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9"/>
  </bookViews>
  <sheets>
    <sheet name="確率の考え方" sheetId="110" r:id="rId1"/>
    <sheet name="Sheet1" sheetId="107" r:id="rId2"/>
    <sheet name="output" sheetId="103" r:id="rId3"/>
    <sheet name="input_588101" sheetId="106" r:id="rId4"/>
    <sheet name="tables_588101" sheetId="82" r:id="rId5"/>
    <sheet name="input_588103" sheetId="147" r:id="rId6"/>
    <sheet name="tables_588103" sheetId="148" r:id="rId7"/>
    <sheet name="input_588104" sheetId="149" r:id="rId8"/>
    <sheet name="tables_588104" sheetId="150" r:id="rId9"/>
    <sheet name="tables_settle_588104" sheetId="157" r:id="rId10"/>
    <sheet name="input_588105" sheetId="158" r:id="rId11"/>
    <sheet name="tables_588105" sheetId="159" r:id="rId12"/>
    <sheet name="input_588106" sheetId="153" r:id="rId13"/>
    <sheet name="tables_588106" sheetId="154" r:id="rId14"/>
    <sheet name="input_588100" sheetId="162" r:id="rId15"/>
    <sheet name="tables_588100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tables_588100!$A$1:$V$300</definedName>
    <definedName name="_xlnm._FilterDatabase" localSheetId="4" hidden="1">tables_588101!$A$1:$V$356</definedName>
    <definedName name="_xlnm._FilterDatabase" localSheetId="6" hidden="1">tables_588103!$A$1:$V$300</definedName>
    <definedName name="_xlnm._FilterDatabase" localSheetId="8" hidden="1">tables_588104!$A$1:$V$294</definedName>
    <definedName name="_xlnm._FilterDatabase" localSheetId="11" hidden="1">tables_588105!$A$1:$V$300</definedName>
    <definedName name="_xlnm._FilterDatabase" localSheetId="13" hidden="1">tables_588106!$A$1:$V$300</definedName>
    <definedName name="_xlnm._FilterDatabase" localSheetId="9" hidden="1">tables_settle_588104!$A$1:$V$3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63" l="1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I347" i="163"/>
  <c r="D347" i="163"/>
  <c r="J347" i="163"/>
  <c r="E347" i="163"/>
  <c r="C347" i="163"/>
  <c r="I348" i="163"/>
  <c r="D348" i="163"/>
  <c r="J348" i="163"/>
  <c r="E348" i="163"/>
  <c r="C348" i="163"/>
  <c r="I349" i="163"/>
  <c r="D349" i="163"/>
  <c r="J349" i="163"/>
  <c r="E349" i="163"/>
  <c r="C349" i="163"/>
  <c r="I350" i="163"/>
  <c r="D350" i="163"/>
  <c r="J350" i="163"/>
  <c r="E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F356" i="163"/>
  <c r="C356" i="163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38" i="162"/>
  <c r="F8" i="162"/>
  <c r="E8" i="162"/>
  <c r="C46" i="162"/>
  <c r="B38" i="162"/>
  <c r="E37" i="162"/>
  <c r="B37" i="162"/>
  <c r="E41" i="162"/>
  <c r="B41" i="162"/>
  <c r="F6" i="162"/>
  <c r="E6" i="162"/>
  <c r="E43" i="162"/>
  <c r="B43" i="162"/>
  <c r="E44" i="162"/>
  <c r="B44" i="162"/>
  <c r="B36" i="162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8" i="153"/>
  <c r="F8" i="153"/>
  <c r="E8" i="153"/>
  <c r="C46" i="153"/>
  <c r="B38" i="153"/>
  <c r="E37" i="153"/>
  <c r="B37" i="153"/>
  <c r="E41" i="153"/>
  <c r="B41" i="153"/>
  <c r="F6" i="153"/>
  <c r="E6" i="153"/>
  <c r="E43" i="153"/>
  <c r="B43" i="153"/>
  <c r="E44" i="153"/>
  <c r="B44" i="153"/>
  <c r="B36" i="153"/>
  <c r="I2" i="159"/>
  <c r="J2" i="159"/>
  <c r="D2" i="159"/>
  <c r="E2" i="159"/>
  <c r="C2" i="159"/>
  <c r="I3" i="159"/>
  <c r="J3" i="159"/>
  <c r="D3" i="159"/>
  <c r="E3" i="159"/>
  <c r="C3" i="159"/>
  <c r="I4" i="159"/>
  <c r="J4" i="159"/>
  <c r="D4" i="159"/>
  <c r="E4" i="159"/>
  <c r="C4" i="159"/>
  <c r="I5" i="159"/>
  <c r="J5" i="159"/>
  <c r="D5" i="159"/>
  <c r="E5" i="159"/>
  <c r="C5" i="159"/>
  <c r="I6" i="159"/>
  <c r="J6" i="159"/>
  <c r="D6" i="159"/>
  <c r="E6" i="159"/>
  <c r="C6" i="159"/>
  <c r="I7" i="159"/>
  <c r="J7" i="159"/>
  <c r="D7" i="159"/>
  <c r="E7" i="159"/>
  <c r="C7" i="159"/>
  <c r="I8" i="159"/>
  <c r="J8" i="159"/>
  <c r="D8" i="159"/>
  <c r="E8" i="159"/>
  <c r="C8" i="159"/>
  <c r="I9" i="159"/>
  <c r="J9" i="159"/>
  <c r="D9" i="159"/>
  <c r="E9" i="159"/>
  <c r="C9" i="159"/>
  <c r="I10" i="159"/>
  <c r="J10" i="159"/>
  <c r="D10" i="159"/>
  <c r="E10" i="159"/>
  <c r="C10" i="159"/>
  <c r="I11" i="159"/>
  <c r="J11" i="159"/>
  <c r="D11" i="159"/>
  <c r="E11" i="159"/>
  <c r="C11" i="159"/>
  <c r="I12" i="159"/>
  <c r="J12" i="159"/>
  <c r="D12" i="159"/>
  <c r="E12" i="159"/>
  <c r="C12" i="159"/>
  <c r="I13" i="159"/>
  <c r="J13" i="159"/>
  <c r="D13" i="159"/>
  <c r="E13" i="159"/>
  <c r="C13" i="159"/>
  <c r="I14" i="159"/>
  <c r="J14" i="159"/>
  <c r="D14" i="159"/>
  <c r="E14" i="159"/>
  <c r="C14" i="159"/>
  <c r="I15" i="159"/>
  <c r="J15" i="159"/>
  <c r="D15" i="159"/>
  <c r="E15" i="159"/>
  <c r="C15" i="159"/>
  <c r="I16" i="159"/>
  <c r="J16" i="159"/>
  <c r="D16" i="159"/>
  <c r="E16" i="159"/>
  <c r="C16" i="159"/>
  <c r="I17" i="159"/>
  <c r="J17" i="159"/>
  <c r="D17" i="159"/>
  <c r="E17" i="159"/>
  <c r="C17" i="159"/>
  <c r="I18" i="159"/>
  <c r="J18" i="159"/>
  <c r="D18" i="159"/>
  <c r="E18" i="159"/>
  <c r="C18" i="159"/>
  <c r="I19" i="159"/>
  <c r="J19" i="159"/>
  <c r="D19" i="159"/>
  <c r="E19" i="159"/>
  <c r="C19" i="159"/>
  <c r="I20" i="159"/>
  <c r="J20" i="159"/>
  <c r="D20" i="159"/>
  <c r="E20" i="159"/>
  <c r="C20" i="159"/>
  <c r="I21" i="159"/>
  <c r="J21" i="159"/>
  <c r="D21" i="159"/>
  <c r="E21" i="159"/>
  <c r="C21" i="159"/>
  <c r="I22" i="159"/>
  <c r="J22" i="159"/>
  <c r="D22" i="159"/>
  <c r="E22" i="159"/>
  <c r="C22" i="159"/>
  <c r="I23" i="159"/>
  <c r="J23" i="159"/>
  <c r="D23" i="159"/>
  <c r="E23" i="159"/>
  <c r="C23" i="159"/>
  <c r="I24" i="159"/>
  <c r="J24" i="159"/>
  <c r="D24" i="159"/>
  <c r="E24" i="159"/>
  <c r="C24" i="159"/>
  <c r="I25" i="159"/>
  <c r="J25" i="159"/>
  <c r="D25" i="159"/>
  <c r="E25" i="159"/>
  <c r="C25" i="159"/>
  <c r="I26" i="159"/>
  <c r="J26" i="159"/>
  <c r="D26" i="159"/>
  <c r="E26" i="159"/>
  <c r="C26" i="159"/>
  <c r="I27" i="159"/>
  <c r="J27" i="159"/>
  <c r="D27" i="159"/>
  <c r="E27" i="159"/>
  <c r="C27" i="159"/>
  <c r="I28" i="159"/>
  <c r="J28" i="159"/>
  <c r="D28" i="159"/>
  <c r="E28" i="159"/>
  <c r="C28" i="159"/>
  <c r="I29" i="159"/>
  <c r="J29" i="159"/>
  <c r="D29" i="159"/>
  <c r="E29" i="159"/>
  <c r="C29" i="159"/>
  <c r="I30" i="159"/>
  <c r="J30" i="159"/>
  <c r="D30" i="159"/>
  <c r="E30" i="159"/>
  <c r="C30" i="159"/>
  <c r="I31" i="159"/>
  <c r="J31" i="159"/>
  <c r="D31" i="159"/>
  <c r="E31" i="159"/>
  <c r="C31" i="159"/>
  <c r="I32" i="159"/>
  <c r="J32" i="159"/>
  <c r="D32" i="159"/>
  <c r="E32" i="159"/>
  <c r="C32" i="159"/>
  <c r="I33" i="159"/>
  <c r="J33" i="159"/>
  <c r="D33" i="159"/>
  <c r="E33" i="159"/>
  <c r="C33" i="159"/>
  <c r="I34" i="159"/>
  <c r="J34" i="159"/>
  <c r="D34" i="159"/>
  <c r="E34" i="159"/>
  <c r="C34" i="159"/>
  <c r="I35" i="159"/>
  <c r="J35" i="159"/>
  <c r="D35" i="159"/>
  <c r="E35" i="159"/>
  <c r="C35" i="159"/>
  <c r="I36" i="159"/>
  <c r="J36" i="159"/>
  <c r="D36" i="159"/>
  <c r="E36" i="159"/>
  <c r="C36" i="159"/>
  <c r="I37" i="159"/>
  <c r="J37" i="159"/>
  <c r="D37" i="159"/>
  <c r="E37" i="159"/>
  <c r="C37" i="159"/>
  <c r="I38" i="159"/>
  <c r="J38" i="159"/>
  <c r="D38" i="159"/>
  <c r="E38" i="159"/>
  <c r="C38" i="159"/>
  <c r="I39" i="159"/>
  <c r="J39" i="159"/>
  <c r="D39" i="159"/>
  <c r="E39" i="159"/>
  <c r="C39" i="159"/>
  <c r="I40" i="159"/>
  <c r="J40" i="159"/>
  <c r="D40" i="159"/>
  <c r="E40" i="159"/>
  <c r="C40" i="159"/>
  <c r="I41" i="159"/>
  <c r="J41" i="159"/>
  <c r="D41" i="159"/>
  <c r="E41" i="159"/>
  <c r="C41" i="159"/>
  <c r="I42" i="159"/>
  <c r="D42" i="159"/>
  <c r="J42" i="159"/>
  <c r="E42" i="159"/>
  <c r="C42" i="159"/>
  <c r="I43" i="159"/>
  <c r="D43" i="159"/>
  <c r="J43" i="159"/>
  <c r="E43" i="159"/>
  <c r="C43" i="159"/>
  <c r="I44" i="159"/>
  <c r="D44" i="159"/>
  <c r="J44" i="159"/>
  <c r="E44" i="159"/>
  <c r="C44" i="159"/>
  <c r="I45" i="159"/>
  <c r="D45" i="159"/>
  <c r="J45" i="159"/>
  <c r="E45" i="159"/>
  <c r="C45" i="159"/>
  <c r="I46" i="159"/>
  <c r="D46" i="159"/>
  <c r="J46" i="159"/>
  <c r="E46" i="159"/>
  <c r="C46" i="159"/>
  <c r="I47" i="159"/>
  <c r="D47" i="159"/>
  <c r="J47" i="159"/>
  <c r="E47" i="159"/>
  <c r="C47" i="159"/>
  <c r="I48" i="159"/>
  <c r="D48" i="159"/>
  <c r="J48" i="159"/>
  <c r="E48" i="159"/>
  <c r="C48" i="159"/>
  <c r="I49" i="159"/>
  <c r="D49" i="159"/>
  <c r="J49" i="159"/>
  <c r="E49" i="159"/>
  <c r="C49" i="159"/>
  <c r="I50" i="159"/>
  <c r="D50" i="159"/>
  <c r="J50" i="159"/>
  <c r="E50" i="159"/>
  <c r="C50" i="159"/>
  <c r="I51" i="159"/>
  <c r="D51" i="159"/>
  <c r="J51" i="159"/>
  <c r="E51" i="159"/>
  <c r="C51" i="159"/>
  <c r="I52" i="159"/>
  <c r="D52" i="159"/>
  <c r="J52" i="159"/>
  <c r="E52" i="159"/>
  <c r="C52" i="159"/>
  <c r="I53" i="159"/>
  <c r="D53" i="159"/>
  <c r="J53" i="159"/>
  <c r="E53" i="159"/>
  <c r="C53" i="159"/>
  <c r="I54" i="159"/>
  <c r="D54" i="159"/>
  <c r="J54" i="159"/>
  <c r="E54" i="159"/>
  <c r="C54" i="159"/>
  <c r="I55" i="159"/>
  <c r="D55" i="159"/>
  <c r="J55" i="159"/>
  <c r="E55" i="159"/>
  <c r="C55" i="159"/>
  <c r="I56" i="159"/>
  <c r="D56" i="159"/>
  <c r="J56" i="159"/>
  <c r="E56" i="159"/>
  <c r="C56" i="159"/>
  <c r="I57" i="159"/>
  <c r="D57" i="159"/>
  <c r="J57" i="159"/>
  <c r="E57" i="159"/>
  <c r="C57" i="159"/>
  <c r="I58" i="159"/>
  <c r="D58" i="159"/>
  <c r="J58" i="159"/>
  <c r="E58" i="159"/>
  <c r="C58" i="159"/>
  <c r="I59" i="159"/>
  <c r="D59" i="159"/>
  <c r="J59" i="159"/>
  <c r="E59" i="159"/>
  <c r="C59" i="159"/>
  <c r="I60" i="159"/>
  <c r="D60" i="159"/>
  <c r="J60" i="159"/>
  <c r="E60" i="159"/>
  <c r="C60" i="159"/>
  <c r="I61" i="159"/>
  <c r="D61" i="159"/>
  <c r="J61" i="159"/>
  <c r="E61" i="159"/>
  <c r="C61" i="159"/>
  <c r="I62" i="159"/>
  <c r="D62" i="159"/>
  <c r="J62" i="159"/>
  <c r="E62" i="159"/>
  <c r="C62" i="159"/>
  <c r="I63" i="159"/>
  <c r="D63" i="159"/>
  <c r="J63" i="159"/>
  <c r="E63" i="159"/>
  <c r="C63" i="159"/>
  <c r="I64" i="159"/>
  <c r="D64" i="159"/>
  <c r="J64" i="159"/>
  <c r="E64" i="159"/>
  <c r="C64" i="159"/>
  <c r="I65" i="159"/>
  <c r="D65" i="159"/>
  <c r="J65" i="159"/>
  <c r="E65" i="159"/>
  <c r="C65" i="159"/>
  <c r="I66" i="159"/>
  <c r="D66" i="159"/>
  <c r="J66" i="159"/>
  <c r="E66" i="159"/>
  <c r="C66" i="159"/>
  <c r="I67" i="159"/>
  <c r="D67" i="159"/>
  <c r="J67" i="159"/>
  <c r="E67" i="159"/>
  <c r="C67" i="159"/>
  <c r="I68" i="159"/>
  <c r="D68" i="159"/>
  <c r="J68" i="159"/>
  <c r="E68" i="159"/>
  <c r="C68" i="159"/>
  <c r="I69" i="159"/>
  <c r="D69" i="159"/>
  <c r="J69" i="159"/>
  <c r="E69" i="159"/>
  <c r="C69" i="159"/>
  <c r="I70" i="159"/>
  <c r="D70" i="159"/>
  <c r="J70" i="159"/>
  <c r="E70" i="159"/>
  <c r="C70" i="159"/>
  <c r="I71" i="159"/>
  <c r="D71" i="159"/>
  <c r="J71" i="159"/>
  <c r="E71" i="159"/>
  <c r="C71" i="159"/>
  <c r="I72" i="159"/>
  <c r="D72" i="159"/>
  <c r="J72" i="159"/>
  <c r="E72" i="159"/>
  <c r="C72" i="159"/>
  <c r="I73" i="159"/>
  <c r="D73" i="159"/>
  <c r="J73" i="159"/>
  <c r="E73" i="159"/>
  <c r="C73" i="159"/>
  <c r="I74" i="159"/>
  <c r="D74" i="159"/>
  <c r="J74" i="159"/>
  <c r="E74" i="159"/>
  <c r="C74" i="159"/>
  <c r="I75" i="159"/>
  <c r="D75" i="159"/>
  <c r="J75" i="159"/>
  <c r="E75" i="159"/>
  <c r="C75" i="159"/>
  <c r="I76" i="159"/>
  <c r="D76" i="159"/>
  <c r="J76" i="159"/>
  <c r="E76" i="159"/>
  <c r="C76" i="159"/>
  <c r="I77" i="159"/>
  <c r="D77" i="159"/>
  <c r="J77" i="159"/>
  <c r="E77" i="159"/>
  <c r="C77" i="159"/>
  <c r="I78" i="159"/>
  <c r="D78" i="159"/>
  <c r="J78" i="159"/>
  <c r="E78" i="159"/>
  <c r="C78" i="159"/>
  <c r="I79" i="159"/>
  <c r="D79" i="159"/>
  <c r="J79" i="159"/>
  <c r="E79" i="159"/>
  <c r="C79" i="159"/>
  <c r="I80" i="159"/>
  <c r="D80" i="159"/>
  <c r="J80" i="159"/>
  <c r="E80" i="159"/>
  <c r="C80" i="159"/>
  <c r="I81" i="159"/>
  <c r="D81" i="159"/>
  <c r="J81" i="159"/>
  <c r="E81" i="159"/>
  <c r="C81" i="159"/>
  <c r="I82" i="159"/>
  <c r="D82" i="159"/>
  <c r="J82" i="159"/>
  <c r="E82" i="159"/>
  <c r="C82" i="159"/>
  <c r="I83" i="159"/>
  <c r="D83" i="159"/>
  <c r="J83" i="159"/>
  <c r="E83" i="159"/>
  <c r="C83" i="159"/>
  <c r="I84" i="159"/>
  <c r="D84" i="159"/>
  <c r="J84" i="159"/>
  <c r="E84" i="159"/>
  <c r="C84" i="159"/>
  <c r="I85" i="159"/>
  <c r="D85" i="159"/>
  <c r="J85" i="159"/>
  <c r="E85" i="159"/>
  <c r="C85" i="159"/>
  <c r="I86" i="159"/>
  <c r="D86" i="159"/>
  <c r="J86" i="159"/>
  <c r="E86" i="159"/>
  <c r="C86" i="159"/>
  <c r="I87" i="159"/>
  <c r="D87" i="159"/>
  <c r="J87" i="159"/>
  <c r="E87" i="159"/>
  <c r="C87" i="159"/>
  <c r="I88" i="159"/>
  <c r="D88" i="159"/>
  <c r="J88" i="159"/>
  <c r="E88" i="159"/>
  <c r="C88" i="159"/>
  <c r="I89" i="159"/>
  <c r="D89" i="159"/>
  <c r="J89" i="159"/>
  <c r="E89" i="159"/>
  <c r="C89" i="159"/>
  <c r="I90" i="159"/>
  <c r="D90" i="159"/>
  <c r="J90" i="159"/>
  <c r="E90" i="159"/>
  <c r="C90" i="159"/>
  <c r="I91" i="159"/>
  <c r="D91" i="159"/>
  <c r="J91" i="159"/>
  <c r="E91" i="159"/>
  <c r="C91" i="159"/>
  <c r="I92" i="159"/>
  <c r="D92" i="159"/>
  <c r="J92" i="159"/>
  <c r="E92" i="159"/>
  <c r="C92" i="159"/>
  <c r="I93" i="159"/>
  <c r="D93" i="159"/>
  <c r="J93" i="159"/>
  <c r="E93" i="159"/>
  <c r="C93" i="159"/>
  <c r="I94" i="159"/>
  <c r="D94" i="159"/>
  <c r="J94" i="159"/>
  <c r="E94" i="159"/>
  <c r="C94" i="159"/>
  <c r="I95" i="159"/>
  <c r="D95" i="159"/>
  <c r="J95" i="159"/>
  <c r="E95" i="159"/>
  <c r="C95" i="159"/>
  <c r="I96" i="159"/>
  <c r="D96" i="159"/>
  <c r="J96" i="159"/>
  <c r="E96" i="159"/>
  <c r="C96" i="159"/>
  <c r="I97" i="159"/>
  <c r="D97" i="159"/>
  <c r="J97" i="159"/>
  <c r="E97" i="159"/>
  <c r="C97" i="159"/>
  <c r="I98" i="159"/>
  <c r="D98" i="159"/>
  <c r="J98" i="159"/>
  <c r="E98" i="159"/>
  <c r="C98" i="159"/>
  <c r="I99" i="159"/>
  <c r="D99" i="159"/>
  <c r="J99" i="159"/>
  <c r="E99" i="159"/>
  <c r="C99" i="159"/>
  <c r="I100" i="159"/>
  <c r="D100" i="159"/>
  <c r="J100" i="159"/>
  <c r="E100" i="159"/>
  <c r="C100" i="159"/>
  <c r="I101" i="159"/>
  <c r="D101" i="159"/>
  <c r="J101" i="159"/>
  <c r="E101" i="159"/>
  <c r="C101" i="159"/>
  <c r="I102" i="159"/>
  <c r="D102" i="159"/>
  <c r="J102" i="159"/>
  <c r="E102" i="159"/>
  <c r="C102" i="159"/>
  <c r="I103" i="159"/>
  <c r="D103" i="159"/>
  <c r="J103" i="159"/>
  <c r="E103" i="159"/>
  <c r="C103" i="159"/>
  <c r="I104" i="159"/>
  <c r="D104" i="159"/>
  <c r="J104" i="159"/>
  <c r="E104" i="159"/>
  <c r="C104" i="159"/>
  <c r="I105" i="159"/>
  <c r="D105" i="159"/>
  <c r="J105" i="159"/>
  <c r="E105" i="159"/>
  <c r="C105" i="159"/>
  <c r="I106" i="159"/>
  <c r="D106" i="159"/>
  <c r="J106" i="159"/>
  <c r="E106" i="159"/>
  <c r="C106" i="159"/>
  <c r="I107" i="159"/>
  <c r="D107" i="159"/>
  <c r="J107" i="159"/>
  <c r="E107" i="159"/>
  <c r="C107" i="159"/>
  <c r="I108" i="159"/>
  <c r="D108" i="159"/>
  <c r="J108" i="159"/>
  <c r="E108" i="159"/>
  <c r="C108" i="159"/>
  <c r="I109" i="159"/>
  <c r="D109" i="159"/>
  <c r="J109" i="159"/>
  <c r="E109" i="159"/>
  <c r="C109" i="159"/>
  <c r="I110" i="159"/>
  <c r="D110" i="159"/>
  <c r="J110" i="159"/>
  <c r="E110" i="159"/>
  <c r="C110" i="159"/>
  <c r="I111" i="159"/>
  <c r="D111" i="159"/>
  <c r="J111" i="159"/>
  <c r="E111" i="159"/>
  <c r="C111" i="159"/>
  <c r="I112" i="159"/>
  <c r="D112" i="159"/>
  <c r="J112" i="159"/>
  <c r="E112" i="159"/>
  <c r="C112" i="159"/>
  <c r="I113" i="159"/>
  <c r="D113" i="159"/>
  <c r="J113" i="159"/>
  <c r="E113" i="159"/>
  <c r="C113" i="159"/>
  <c r="I114" i="159"/>
  <c r="D114" i="159"/>
  <c r="J114" i="159"/>
  <c r="E114" i="159"/>
  <c r="C114" i="159"/>
  <c r="I115" i="159"/>
  <c r="D115" i="159"/>
  <c r="J115" i="159"/>
  <c r="E115" i="159"/>
  <c r="C115" i="159"/>
  <c r="I116" i="159"/>
  <c r="D116" i="159"/>
  <c r="J116" i="159"/>
  <c r="E116" i="159"/>
  <c r="C116" i="159"/>
  <c r="I117" i="159"/>
  <c r="D117" i="159"/>
  <c r="J117" i="159"/>
  <c r="E117" i="159"/>
  <c r="C117" i="159"/>
  <c r="I118" i="159"/>
  <c r="D118" i="159"/>
  <c r="J118" i="159"/>
  <c r="E118" i="159"/>
  <c r="C118" i="159"/>
  <c r="I119" i="159"/>
  <c r="D119" i="159"/>
  <c r="J119" i="159"/>
  <c r="E119" i="159"/>
  <c r="C119" i="159"/>
  <c r="I120" i="159"/>
  <c r="D120" i="159"/>
  <c r="J120" i="159"/>
  <c r="E120" i="159"/>
  <c r="C120" i="159"/>
  <c r="I121" i="159"/>
  <c r="D121" i="159"/>
  <c r="J121" i="159"/>
  <c r="E121" i="159"/>
  <c r="C121" i="159"/>
  <c r="I122" i="159"/>
  <c r="D122" i="159"/>
  <c r="J122" i="159"/>
  <c r="E122" i="159"/>
  <c r="C122" i="159"/>
  <c r="I123" i="159"/>
  <c r="D123" i="159"/>
  <c r="J123" i="159"/>
  <c r="E123" i="159"/>
  <c r="C123" i="159"/>
  <c r="I124" i="159"/>
  <c r="D124" i="159"/>
  <c r="J124" i="159"/>
  <c r="E124" i="159"/>
  <c r="C124" i="159"/>
  <c r="I125" i="159"/>
  <c r="D125" i="159"/>
  <c r="J125" i="159"/>
  <c r="E125" i="159"/>
  <c r="C125" i="159"/>
  <c r="I126" i="159"/>
  <c r="D126" i="159"/>
  <c r="J126" i="159"/>
  <c r="E126" i="159"/>
  <c r="C126" i="159"/>
  <c r="I127" i="159"/>
  <c r="D127" i="159"/>
  <c r="J127" i="159"/>
  <c r="E127" i="159"/>
  <c r="C127" i="159"/>
  <c r="I128" i="159"/>
  <c r="D128" i="159"/>
  <c r="J128" i="159"/>
  <c r="E128" i="159"/>
  <c r="C128" i="159"/>
  <c r="I129" i="159"/>
  <c r="D129" i="159"/>
  <c r="J129" i="159"/>
  <c r="E129" i="159"/>
  <c r="C129" i="159"/>
  <c r="I130" i="159"/>
  <c r="D130" i="159"/>
  <c r="J130" i="159"/>
  <c r="E130" i="159"/>
  <c r="C130" i="159"/>
  <c r="I131" i="159"/>
  <c r="D131" i="159"/>
  <c r="J131" i="159"/>
  <c r="E131" i="159"/>
  <c r="C131" i="159"/>
  <c r="I132" i="159"/>
  <c r="D132" i="159"/>
  <c r="J132" i="159"/>
  <c r="E132" i="159"/>
  <c r="C132" i="159"/>
  <c r="I133" i="159"/>
  <c r="D133" i="159"/>
  <c r="J133" i="159"/>
  <c r="E133" i="159"/>
  <c r="C133" i="159"/>
  <c r="I134" i="159"/>
  <c r="D134" i="159"/>
  <c r="J134" i="159"/>
  <c r="E134" i="159"/>
  <c r="C134" i="159"/>
  <c r="I135" i="159"/>
  <c r="D135" i="159"/>
  <c r="J135" i="159"/>
  <c r="E135" i="159"/>
  <c r="C135" i="159"/>
  <c r="I136" i="159"/>
  <c r="D136" i="159"/>
  <c r="J136" i="159"/>
  <c r="E136" i="159"/>
  <c r="C136" i="159"/>
  <c r="I137" i="159"/>
  <c r="D137" i="159"/>
  <c r="J137" i="159"/>
  <c r="E137" i="159"/>
  <c r="C137" i="159"/>
  <c r="I138" i="159"/>
  <c r="D138" i="159"/>
  <c r="J138" i="159"/>
  <c r="E138" i="159"/>
  <c r="C138" i="159"/>
  <c r="I139" i="159"/>
  <c r="D139" i="159"/>
  <c r="J139" i="159"/>
  <c r="E139" i="159"/>
  <c r="C139" i="159"/>
  <c r="I140" i="159"/>
  <c r="D140" i="159"/>
  <c r="J140" i="159"/>
  <c r="E140" i="159"/>
  <c r="C140" i="159"/>
  <c r="I141" i="159"/>
  <c r="D141" i="159"/>
  <c r="J141" i="159"/>
  <c r="E141" i="159"/>
  <c r="C141" i="159"/>
  <c r="I142" i="159"/>
  <c r="D142" i="159"/>
  <c r="J142" i="159"/>
  <c r="E142" i="159"/>
  <c r="C142" i="159"/>
  <c r="I143" i="159"/>
  <c r="D143" i="159"/>
  <c r="J143" i="159"/>
  <c r="E143" i="159"/>
  <c r="C143" i="159"/>
  <c r="I144" i="159"/>
  <c r="D144" i="159"/>
  <c r="J144" i="159"/>
  <c r="E144" i="159"/>
  <c r="C144" i="159"/>
  <c r="I145" i="159"/>
  <c r="D145" i="159"/>
  <c r="J145" i="159"/>
  <c r="E145" i="159"/>
  <c r="C145" i="159"/>
  <c r="I146" i="159"/>
  <c r="D146" i="159"/>
  <c r="J146" i="159"/>
  <c r="E146" i="159"/>
  <c r="C146" i="159"/>
  <c r="I147" i="159"/>
  <c r="D147" i="159"/>
  <c r="J147" i="159"/>
  <c r="E147" i="159"/>
  <c r="C147" i="159"/>
  <c r="I148" i="159"/>
  <c r="D148" i="159"/>
  <c r="J148" i="159"/>
  <c r="E148" i="159"/>
  <c r="C148" i="159"/>
  <c r="I149" i="159"/>
  <c r="D149" i="159"/>
  <c r="J149" i="159"/>
  <c r="E149" i="159"/>
  <c r="C149" i="159"/>
  <c r="I150" i="159"/>
  <c r="D150" i="159"/>
  <c r="J150" i="159"/>
  <c r="E150" i="159"/>
  <c r="C150" i="159"/>
  <c r="I151" i="159"/>
  <c r="D151" i="159"/>
  <c r="J151" i="159"/>
  <c r="E151" i="159"/>
  <c r="C151" i="159"/>
  <c r="I152" i="159"/>
  <c r="D152" i="159"/>
  <c r="J152" i="159"/>
  <c r="E152" i="159"/>
  <c r="C152" i="159"/>
  <c r="I153" i="159"/>
  <c r="D153" i="159"/>
  <c r="J153" i="159"/>
  <c r="E153" i="159"/>
  <c r="C153" i="159"/>
  <c r="I154" i="159"/>
  <c r="D154" i="159"/>
  <c r="J154" i="159"/>
  <c r="E154" i="159"/>
  <c r="C154" i="159"/>
  <c r="I155" i="159"/>
  <c r="D155" i="159"/>
  <c r="J155" i="159"/>
  <c r="E155" i="159"/>
  <c r="C155" i="159"/>
  <c r="I156" i="159"/>
  <c r="D156" i="159"/>
  <c r="J156" i="159"/>
  <c r="E156" i="159"/>
  <c r="C156" i="159"/>
  <c r="I157" i="159"/>
  <c r="D157" i="159"/>
  <c r="J157" i="159"/>
  <c r="E157" i="159"/>
  <c r="C157" i="159"/>
  <c r="I158" i="159"/>
  <c r="D158" i="159"/>
  <c r="J158" i="159"/>
  <c r="E158" i="159"/>
  <c r="C158" i="159"/>
  <c r="I159" i="159"/>
  <c r="D159" i="159"/>
  <c r="J159" i="159"/>
  <c r="E159" i="159"/>
  <c r="C159" i="159"/>
  <c r="I160" i="159"/>
  <c r="D160" i="159"/>
  <c r="J160" i="159"/>
  <c r="E160" i="159"/>
  <c r="C160" i="159"/>
  <c r="I161" i="159"/>
  <c r="D161" i="159"/>
  <c r="J161" i="159"/>
  <c r="E161" i="159"/>
  <c r="C161" i="159"/>
  <c r="I162" i="159"/>
  <c r="D162" i="159"/>
  <c r="J162" i="159"/>
  <c r="E162" i="159"/>
  <c r="C162" i="159"/>
  <c r="I163" i="159"/>
  <c r="D163" i="159"/>
  <c r="J163" i="159"/>
  <c r="E163" i="159"/>
  <c r="C163" i="159"/>
  <c r="I164" i="159"/>
  <c r="D164" i="159"/>
  <c r="J164" i="159"/>
  <c r="E164" i="159"/>
  <c r="C164" i="159"/>
  <c r="I165" i="159"/>
  <c r="D165" i="159"/>
  <c r="J165" i="159"/>
  <c r="E165" i="159"/>
  <c r="C165" i="159"/>
  <c r="I166" i="159"/>
  <c r="D166" i="159"/>
  <c r="J166" i="159"/>
  <c r="E166" i="159"/>
  <c r="C166" i="159"/>
  <c r="I167" i="159"/>
  <c r="D167" i="159"/>
  <c r="J167" i="159"/>
  <c r="E167" i="159"/>
  <c r="C167" i="159"/>
  <c r="I168" i="159"/>
  <c r="D168" i="159"/>
  <c r="J168" i="159"/>
  <c r="E168" i="159"/>
  <c r="C168" i="159"/>
  <c r="I169" i="159"/>
  <c r="D169" i="159"/>
  <c r="J169" i="159"/>
  <c r="E169" i="159"/>
  <c r="C169" i="159"/>
  <c r="I170" i="159"/>
  <c r="D170" i="159"/>
  <c r="J170" i="159"/>
  <c r="E170" i="159"/>
  <c r="C170" i="159"/>
  <c r="I171" i="159"/>
  <c r="D171" i="159"/>
  <c r="J171" i="159"/>
  <c r="E171" i="159"/>
  <c r="C171" i="159"/>
  <c r="I172" i="159"/>
  <c r="D172" i="159"/>
  <c r="J172" i="159"/>
  <c r="E172" i="159"/>
  <c r="C172" i="159"/>
  <c r="I173" i="159"/>
  <c r="D173" i="159"/>
  <c r="J173" i="159"/>
  <c r="E173" i="159"/>
  <c r="C173" i="159"/>
  <c r="I174" i="159"/>
  <c r="D174" i="159"/>
  <c r="J174" i="159"/>
  <c r="E174" i="159"/>
  <c r="C174" i="159"/>
  <c r="I175" i="159"/>
  <c r="D175" i="159"/>
  <c r="J175" i="159"/>
  <c r="E175" i="159"/>
  <c r="C175" i="159"/>
  <c r="I176" i="159"/>
  <c r="D176" i="159"/>
  <c r="J176" i="159"/>
  <c r="E176" i="159"/>
  <c r="C176" i="159"/>
  <c r="I177" i="159"/>
  <c r="D177" i="159"/>
  <c r="J177" i="159"/>
  <c r="E177" i="159"/>
  <c r="C177" i="159"/>
  <c r="I178" i="159"/>
  <c r="D178" i="159"/>
  <c r="J178" i="159"/>
  <c r="E178" i="159"/>
  <c r="C178" i="159"/>
  <c r="I179" i="159"/>
  <c r="D179" i="159"/>
  <c r="J179" i="159"/>
  <c r="E179" i="159"/>
  <c r="C179" i="159"/>
  <c r="I180" i="159"/>
  <c r="D180" i="159"/>
  <c r="J180" i="159"/>
  <c r="E180" i="159"/>
  <c r="C180" i="159"/>
  <c r="I181" i="159"/>
  <c r="D181" i="159"/>
  <c r="J181" i="159"/>
  <c r="E181" i="159"/>
  <c r="C181" i="159"/>
  <c r="I182" i="159"/>
  <c r="D182" i="159"/>
  <c r="J182" i="159"/>
  <c r="E182" i="159"/>
  <c r="C182" i="159"/>
  <c r="I183" i="159"/>
  <c r="D183" i="159"/>
  <c r="J183" i="159"/>
  <c r="E183" i="159"/>
  <c r="C183" i="159"/>
  <c r="I184" i="159"/>
  <c r="D184" i="159"/>
  <c r="J184" i="159"/>
  <c r="E184" i="159"/>
  <c r="C184" i="159"/>
  <c r="I185" i="159"/>
  <c r="D185" i="159"/>
  <c r="J185" i="159"/>
  <c r="E185" i="159"/>
  <c r="C185" i="159"/>
  <c r="I186" i="159"/>
  <c r="D186" i="159"/>
  <c r="J186" i="159"/>
  <c r="E186" i="159"/>
  <c r="C186" i="159"/>
  <c r="I187" i="159"/>
  <c r="D187" i="159"/>
  <c r="J187" i="159"/>
  <c r="E187" i="159"/>
  <c r="C187" i="159"/>
  <c r="I188" i="159"/>
  <c r="D188" i="159"/>
  <c r="J188" i="159"/>
  <c r="E188" i="159"/>
  <c r="C188" i="159"/>
  <c r="I189" i="159"/>
  <c r="D189" i="159"/>
  <c r="J189" i="159"/>
  <c r="E189" i="159"/>
  <c r="C189" i="159"/>
  <c r="I190" i="159"/>
  <c r="D190" i="159"/>
  <c r="J190" i="159"/>
  <c r="E190" i="159"/>
  <c r="C190" i="159"/>
  <c r="I191" i="159"/>
  <c r="D191" i="159"/>
  <c r="J191" i="159"/>
  <c r="E191" i="159"/>
  <c r="C191" i="159"/>
  <c r="I192" i="159"/>
  <c r="D192" i="159"/>
  <c r="J192" i="159"/>
  <c r="E192" i="159"/>
  <c r="C192" i="159"/>
  <c r="I193" i="159"/>
  <c r="D193" i="159"/>
  <c r="J193" i="159"/>
  <c r="E193" i="159"/>
  <c r="C193" i="159"/>
  <c r="I194" i="159"/>
  <c r="D194" i="159"/>
  <c r="J194" i="159"/>
  <c r="E194" i="159"/>
  <c r="C194" i="159"/>
  <c r="I195" i="159"/>
  <c r="D195" i="159"/>
  <c r="J195" i="159"/>
  <c r="E195" i="159"/>
  <c r="C195" i="159"/>
  <c r="I196" i="159"/>
  <c r="D196" i="159"/>
  <c r="J196" i="159"/>
  <c r="E196" i="159"/>
  <c r="C196" i="159"/>
  <c r="I197" i="159"/>
  <c r="D197" i="159"/>
  <c r="J197" i="159"/>
  <c r="E197" i="159"/>
  <c r="C197" i="159"/>
  <c r="I198" i="159"/>
  <c r="D198" i="159"/>
  <c r="J198" i="159"/>
  <c r="E198" i="159"/>
  <c r="C198" i="159"/>
  <c r="I199" i="159"/>
  <c r="D199" i="159"/>
  <c r="J199" i="159"/>
  <c r="E199" i="159"/>
  <c r="C199" i="159"/>
  <c r="I200" i="159"/>
  <c r="D200" i="159"/>
  <c r="J200" i="159"/>
  <c r="E200" i="159"/>
  <c r="C200" i="159"/>
  <c r="I201" i="159"/>
  <c r="D201" i="159"/>
  <c r="J201" i="159"/>
  <c r="E201" i="159"/>
  <c r="C201" i="159"/>
  <c r="I202" i="159"/>
  <c r="D202" i="159"/>
  <c r="J202" i="159"/>
  <c r="E202" i="159"/>
  <c r="C202" i="159"/>
  <c r="I203" i="159"/>
  <c r="D203" i="159"/>
  <c r="J203" i="159"/>
  <c r="E203" i="159"/>
  <c r="C203" i="159"/>
  <c r="I204" i="159"/>
  <c r="D204" i="159"/>
  <c r="J204" i="159"/>
  <c r="E204" i="159"/>
  <c r="C204" i="159"/>
  <c r="I205" i="159"/>
  <c r="D205" i="159"/>
  <c r="J205" i="159"/>
  <c r="E205" i="159"/>
  <c r="C205" i="159"/>
  <c r="I206" i="159"/>
  <c r="D206" i="159"/>
  <c r="J206" i="159"/>
  <c r="E206" i="159"/>
  <c r="C206" i="159"/>
  <c r="I207" i="159"/>
  <c r="D207" i="159"/>
  <c r="J207" i="159"/>
  <c r="E207" i="159"/>
  <c r="C207" i="159"/>
  <c r="I208" i="159"/>
  <c r="D208" i="159"/>
  <c r="J208" i="159"/>
  <c r="E208" i="159"/>
  <c r="C208" i="159"/>
  <c r="I209" i="159"/>
  <c r="D209" i="159"/>
  <c r="J209" i="159"/>
  <c r="E209" i="159"/>
  <c r="C209" i="159"/>
  <c r="I210" i="159"/>
  <c r="D210" i="159"/>
  <c r="J210" i="159"/>
  <c r="E210" i="159"/>
  <c r="C210" i="159"/>
  <c r="I211" i="159"/>
  <c r="D211" i="159"/>
  <c r="J211" i="159"/>
  <c r="E211" i="159"/>
  <c r="C211" i="159"/>
  <c r="I212" i="159"/>
  <c r="D212" i="159"/>
  <c r="J212" i="159"/>
  <c r="E212" i="159"/>
  <c r="C212" i="159"/>
  <c r="I213" i="159"/>
  <c r="D213" i="159"/>
  <c r="J213" i="159"/>
  <c r="E213" i="159"/>
  <c r="C213" i="159"/>
  <c r="I214" i="159"/>
  <c r="D214" i="159"/>
  <c r="J214" i="159"/>
  <c r="E214" i="159"/>
  <c r="C214" i="159"/>
  <c r="I215" i="159"/>
  <c r="J215" i="159"/>
  <c r="D215" i="159"/>
  <c r="E215" i="159"/>
  <c r="C215" i="159"/>
  <c r="I216" i="159"/>
  <c r="J216" i="159"/>
  <c r="D216" i="159"/>
  <c r="E216" i="159"/>
  <c r="C216" i="159"/>
  <c r="I217" i="159"/>
  <c r="J217" i="159"/>
  <c r="D217" i="159"/>
  <c r="E217" i="159"/>
  <c r="C217" i="159"/>
  <c r="I218" i="159"/>
  <c r="J218" i="159"/>
  <c r="D218" i="159"/>
  <c r="E218" i="159"/>
  <c r="C218" i="159"/>
  <c r="I219" i="159"/>
  <c r="J219" i="159"/>
  <c r="D219" i="159"/>
  <c r="E219" i="159"/>
  <c r="C219" i="159"/>
  <c r="I220" i="159"/>
  <c r="J220" i="159"/>
  <c r="D220" i="159"/>
  <c r="E220" i="159"/>
  <c r="C220" i="159"/>
  <c r="I221" i="159"/>
  <c r="D221" i="159"/>
  <c r="J221" i="159"/>
  <c r="E221" i="159"/>
  <c r="C221" i="159"/>
  <c r="I222" i="159"/>
  <c r="D222" i="159"/>
  <c r="J222" i="159"/>
  <c r="E222" i="159"/>
  <c r="C222" i="159"/>
  <c r="I223" i="159"/>
  <c r="D223" i="159"/>
  <c r="J223" i="159"/>
  <c r="E223" i="159"/>
  <c r="C223" i="159"/>
  <c r="I224" i="159"/>
  <c r="D224" i="159"/>
  <c r="J224" i="159"/>
  <c r="E224" i="159"/>
  <c r="C224" i="159"/>
  <c r="I225" i="159"/>
  <c r="D225" i="159"/>
  <c r="J225" i="159"/>
  <c r="E225" i="159"/>
  <c r="C225" i="159"/>
  <c r="I226" i="159"/>
  <c r="D226" i="159"/>
  <c r="J226" i="159"/>
  <c r="E226" i="159"/>
  <c r="C226" i="159"/>
  <c r="I227" i="159"/>
  <c r="D227" i="159"/>
  <c r="J227" i="159"/>
  <c r="E227" i="159"/>
  <c r="C227" i="159"/>
  <c r="I228" i="159"/>
  <c r="D228" i="159"/>
  <c r="J228" i="159"/>
  <c r="E228" i="159"/>
  <c r="C228" i="159"/>
  <c r="I229" i="159"/>
  <c r="D229" i="159"/>
  <c r="J229" i="159"/>
  <c r="E229" i="159"/>
  <c r="C229" i="159"/>
  <c r="I230" i="159"/>
  <c r="D230" i="159"/>
  <c r="J230" i="159"/>
  <c r="E230" i="159"/>
  <c r="C230" i="159"/>
  <c r="I231" i="159"/>
  <c r="D231" i="159"/>
  <c r="J231" i="159"/>
  <c r="E231" i="159"/>
  <c r="C231" i="159"/>
  <c r="I232" i="159"/>
  <c r="D232" i="159"/>
  <c r="J232" i="159"/>
  <c r="E232" i="159"/>
  <c r="C232" i="159"/>
  <c r="I233" i="159"/>
  <c r="D233" i="159"/>
  <c r="J233" i="159"/>
  <c r="E233" i="159"/>
  <c r="C233" i="159"/>
  <c r="I234" i="159"/>
  <c r="D234" i="159"/>
  <c r="J234" i="159"/>
  <c r="E234" i="159"/>
  <c r="C234" i="159"/>
  <c r="I235" i="159"/>
  <c r="D235" i="159"/>
  <c r="J235" i="159"/>
  <c r="E235" i="159"/>
  <c r="C235" i="159"/>
  <c r="I236" i="159"/>
  <c r="D236" i="159"/>
  <c r="J236" i="159"/>
  <c r="E236" i="159"/>
  <c r="C236" i="159"/>
  <c r="I237" i="159"/>
  <c r="D237" i="159"/>
  <c r="J237" i="159"/>
  <c r="E237" i="159"/>
  <c r="C237" i="159"/>
  <c r="I238" i="159"/>
  <c r="D238" i="159"/>
  <c r="J238" i="159"/>
  <c r="E238" i="159"/>
  <c r="C238" i="159"/>
  <c r="I239" i="159"/>
  <c r="D239" i="159"/>
  <c r="J239" i="159"/>
  <c r="E239" i="159"/>
  <c r="C239" i="159"/>
  <c r="I240" i="159"/>
  <c r="D240" i="159"/>
  <c r="J240" i="159"/>
  <c r="E240" i="159"/>
  <c r="C240" i="159"/>
  <c r="I241" i="159"/>
  <c r="D241" i="159"/>
  <c r="J241" i="159"/>
  <c r="E241" i="159"/>
  <c r="C241" i="159"/>
  <c r="I242" i="159"/>
  <c r="D242" i="159"/>
  <c r="J242" i="159"/>
  <c r="E242" i="159"/>
  <c r="C242" i="159"/>
  <c r="I243" i="159"/>
  <c r="D243" i="159"/>
  <c r="J243" i="159"/>
  <c r="E243" i="159"/>
  <c r="C243" i="159"/>
  <c r="I244" i="159"/>
  <c r="D244" i="159"/>
  <c r="J244" i="159"/>
  <c r="E244" i="159"/>
  <c r="C244" i="159"/>
  <c r="I245" i="159"/>
  <c r="D245" i="159"/>
  <c r="J245" i="159"/>
  <c r="E245" i="159"/>
  <c r="C245" i="159"/>
  <c r="I246" i="159"/>
  <c r="D246" i="159"/>
  <c r="J246" i="159"/>
  <c r="E246" i="159"/>
  <c r="C246" i="159"/>
  <c r="I247" i="159"/>
  <c r="D247" i="159"/>
  <c r="J247" i="159"/>
  <c r="E247" i="159"/>
  <c r="C247" i="159"/>
  <c r="I248" i="159"/>
  <c r="D248" i="159"/>
  <c r="J248" i="159"/>
  <c r="E248" i="159"/>
  <c r="C248" i="159"/>
  <c r="I249" i="159"/>
  <c r="D249" i="159"/>
  <c r="J249" i="159"/>
  <c r="E249" i="159"/>
  <c r="C249" i="159"/>
  <c r="I250" i="159"/>
  <c r="D250" i="159"/>
  <c r="J250" i="159"/>
  <c r="E250" i="159"/>
  <c r="C250" i="159"/>
  <c r="I251" i="159"/>
  <c r="D251" i="159"/>
  <c r="J251" i="159"/>
  <c r="E251" i="159"/>
  <c r="C251" i="159"/>
  <c r="I252" i="159"/>
  <c r="D252" i="159"/>
  <c r="J252" i="159"/>
  <c r="E252" i="159"/>
  <c r="C252" i="159"/>
  <c r="I253" i="159"/>
  <c r="D253" i="159"/>
  <c r="J253" i="159"/>
  <c r="E253" i="159"/>
  <c r="C253" i="159"/>
  <c r="I254" i="159"/>
  <c r="D254" i="159"/>
  <c r="J254" i="159"/>
  <c r="E254" i="159"/>
  <c r="C254" i="159"/>
  <c r="I255" i="159"/>
  <c r="D255" i="159"/>
  <c r="J255" i="159"/>
  <c r="E255" i="159"/>
  <c r="C255" i="159"/>
  <c r="I256" i="159"/>
  <c r="D256" i="159"/>
  <c r="J256" i="159"/>
  <c r="E256" i="159"/>
  <c r="C256" i="159"/>
  <c r="I257" i="159"/>
  <c r="D257" i="159"/>
  <c r="J257" i="159"/>
  <c r="E257" i="159"/>
  <c r="C257" i="159"/>
  <c r="I258" i="159"/>
  <c r="D258" i="159"/>
  <c r="J258" i="159"/>
  <c r="E258" i="159"/>
  <c r="C258" i="159"/>
  <c r="I259" i="159"/>
  <c r="D259" i="159"/>
  <c r="J259" i="159"/>
  <c r="E259" i="159"/>
  <c r="C259" i="159"/>
  <c r="I260" i="159"/>
  <c r="D260" i="159"/>
  <c r="J260" i="159"/>
  <c r="E260" i="159"/>
  <c r="C260" i="159"/>
  <c r="I261" i="159"/>
  <c r="D261" i="159"/>
  <c r="J261" i="159"/>
  <c r="E261" i="159"/>
  <c r="C261" i="159"/>
  <c r="I262" i="159"/>
  <c r="D262" i="159"/>
  <c r="J262" i="159"/>
  <c r="E262" i="159"/>
  <c r="C262" i="159"/>
  <c r="I263" i="159"/>
  <c r="D263" i="159"/>
  <c r="J263" i="159"/>
  <c r="E263" i="159"/>
  <c r="C263" i="159"/>
  <c r="I264" i="159"/>
  <c r="D264" i="159"/>
  <c r="J264" i="159"/>
  <c r="E264" i="159"/>
  <c r="C264" i="159"/>
  <c r="I265" i="159"/>
  <c r="D265" i="159"/>
  <c r="J265" i="159"/>
  <c r="E265" i="159"/>
  <c r="C265" i="159"/>
  <c r="I266" i="159"/>
  <c r="D266" i="159"/>
  <c r="J266" i="159"/>
  <c r="E266" i="159"/>
  <c r="C266" i="159"/>
  <c r="I267" i="159"/>
  <c r="D267" i="159"/>
  <c r="J267" i="159"/>
  <c r="E267" i="159"/>
  <c r="C267" i="159"/>
  <c r="I268" i="159"/>
  <c r="D268" i="159"/>
  <c r="J268" i="159"/>
  <c r="E268" i="159"/>
  <c r="C268" i="159"/>
  <c r="I269" i="159"/>
  <c r="D269" i="159"/>
  <c r="J269" i="159"/>
  <c r="E269" i="159"/>
  <c r="C269" i="159"/>
  <c r="I270" i="159"/>
  <c r="D270" i="159"/>
  <c r="J270" i="159"/>
  <c r="E270" i="159"/>
  <c r="C270" i="159"/>
  <c r="I271" i="159"/>
  <c r="D271" i="159"/>
  <c r="J271" i="159"/>
  <c r="E271" i="159"/>
  <c r="C271" i="159"/>
  <c r="I272" i="159"/>
  <c r="D272" i="159"/>
  <c r="J272" i="159"/>
  <c r="E272" i="159"/>
  <c r="C272" i="159"/>
  <c r="I273" i="159"/>
  <c r="D273" i="159"/>
  <c r="J273" i="159"/>
  <c r="E273" i="159"/>
  <c r="C273" i="159"/>
  <c r="I274" i="159"/>
  <c r="D274" i="159"/>
  <c r="J274" i="159"/>
  <c r="E274" i="159"/>
  <c r="C274" i="159"/>
  <c r="I275" i="159"/>
  <c r="D275" i="159"/>
  <c r="J275" i="159"/>
  <c r="E275" i="159"/>
  <c r="C275" i="159"/>
  <c r="I276" i="159"/>
  <c r="D276" i="159"/>
  <c r="J276" i="159"/>
  <c r="E276" i="159"/>
  <c r="C276" i="159"/>
  <c r="I277" i="159"/>
  <c r="D277" i="159"/>
  <c r="J277" i="159"/>
  <c r="E277" i="159"/>
  <c r="C277" i="159"/>
  <c r="I278" i="159"/>
  <c r="D278" i="159"/>
  <c r="J278" i="159"/>
  <c r="E278" i="159"/>
  <c r="C278" i="159"/>
  <c r="I279" i="159"/>
  <c r="D279" i="159"/>
  <c r="J279" i="159"/>
  <c r="E279" i="159"/>
  <c r="C279" i="159"/>
  <c r="I280" i="159"/>
  <c r="D280" i="159"/>
  <c r="J280" i="159"/>
  <c r="E280" i="159"/>
  <c r="C280" i="159"/>
  <c r="I281" i="159"/>
  <c r="D281" i="159"/>
  <c r="J281" i="159"/>
  <c r="E281" i="159"/>
  <c r="C281" i="159"/>
  <c r="I282" i="159"/>
  <c r="D282" i="159"/>
  <c r="J282" i="159"/>
  <c r="E282" i="159"/>
  <c r="C282" i="159"/>
  <c r="I283" i="159"/>
  <c r="D283" i="159"/>
  <c r="J283" i="159"/>
  <c r="E283" i="159"/>
  <c r="C283" i="159"/>
  <c r="I284" i="159"/>
  <c r="D284" i="159"/>
  <c r="J284" i="159"/>
  <c r="E284" i="159"/>
  <c r="C284" i="159"/>
  <c r="I285" i="159"/>
  <c r="D285" i="159"/>
  <c r="J285" i="159"/>
  <c r="E285" i="159"/>
  <c r="C285" i="159"/>
  <c r="I286" i="159"/>
  <c r="D286" i="159"/>
  <c r="J286" i="159"/>
  <c r="E286" i="159"/>
  <c r="C286" i="159"/>
  <c r="I287" i="159"/>
  <c r="D287" i="159"/>
  <c r="J287" i="159"/>
  <c r="E287" i="159"/>
  <c r="C287" i="159"/>
  <c r="I288" i="159"/>
  <c r="D288" i="159"/>
  <c r="J288" i="159"/>
  <c r="E288" i="159"/>
  <c r="C288" i="159"/>
  <c r="I289" i="159"/>
  <c r="D289" i="159"/>
  <c r="J289" i="159"/>
  <c r="E289" i="159"/>
  <c r="C289" i="159"/>
  <c r="I290" i="159"/>
  <c r="D290" i="159"/>
  <c r="J290" i="159"/>
  <c r="E290" i="159"/>
  <c r="C290" i="159"/>
  <c r="I291" i="159"/>
  <c r="D291" i="159"/>
  <c r="J291" i="159"/>
  <c r="E291" i="159"/>
  <c r="C291" i="159"/>
  <c r="I292" i="159"/>
  <c r="D292" i="159"/>
  <c r="J292" i="159"/>
  <c r="E292" i="159"/>
  <c r="C292" i="159"/>
  <c r="I293" i="159"/>
  <c r="D293" i="159"/>
  <c r="J293" i="159"/>
  <c r="E293" i="159"/>
  <c r="C293" i="159"/>
  <c r="I294" i="159"/>
  <c r="D294" i="159"/>
  <c r="J294" i="159"/>
  <c r="E294" i="159"/>
  <c r="C294" i="159"/>
  <c r="I295" i="159"/>
  <c r="D295" i="159"/>
  <c r="J295" i="159"/>
  <c r="E295" i="159"/>
  <c r="C295" i="159"/>
  <c r="I296" i="159"/>
  <c r="D296" i="159"/>
  <c r="J296" i="159"/>
  <c r="E296" i="159"/>
  <c r="C296" i="159"/>
  <c r="I297" i="159"/>
  <c r="D297" i="159"/>
  <c r="J297" i="159"/>
  <c r="E297" i="159"/>
  <c r="C297" i="159"/>
  <c r="I298" i="159"/>
  <c r="D298" i="159"/>
  <c r="J298" i="159"/>
  <c r="E298" i="159"/>
  <c r="C298" i="159"/>
  <c r="I299" i="159"/>
  <c r="D299" i="159"/>
  <c r="J299" i="159"/>
  <c r="E299" i="159"/>
  <c r="C299" i="159"/>
  <c r="I300" i="159"/>
  <c r="D300" i="159"/>
  <c r="J300" i="159"/>
  <c r="E300" i="159"/>
  <c r="C300" i="159"/>
  <c r="I301" i="159"/>
  <c r="D301" i="159"/>
  <c r="J301" i="159"/>
  <c r="E301" i="159"/>
  <c r="C301" i="159"/>
  <c r="I302" i="159"/>
  <c r="D302" i="159"/>
  <c r="J302" i="159"/>
  <c r="E302" i="159"/>
  <c r="C302" i="159"/>
  <c r="I303" i="159"/>
  <c r="D303" i="159"/>
  <c r="J303" i="159"/>
  <c r="E303" i="159"/>
  <c r="C303" i="159"/>
  <c r="I304" i="159"/>
  <c r="D304" i="159"/>
  <c r="J304" i="159"/>
  <c r="E304" i="159"/>
  <c r="C304" i="159"/>
  <c r="I305" i="159"/>
  <c r="D305" i="159"/>
  <c r="J305" i="159"/>
  <c r="E305" i="159"/>
  <c r="C305" i="159"/>
  <c r="I306" i="159"/>
  <c r="D306" i="159"/>
  <c r="J306" i="159"/>
  <c r="E306" i="159"/>
  <c r="C306" i="159"/>
  <c r="I307" i="159"/>
  <c r="D307" i="159"/>
  <c r="J307" i="159"/>
  <c r="E307" i="159"/>
  <c r="C307" i="159"/>
  <c r="I308" i="159"/>
  <c r="D308" i="159"/>
  <c r="J308" i="159"/>
  <c r="E308" i="159"/>
  <c r="C308" i="159"/>
  <c r="I309" i="159"/>
  <c r="D309" i="159"/>
  <c r="J309" i="159"/>
  <c r="E309" i="159"/>
  <c r="C309" i="159"/>
  <c r="I310" i="159"/>
  <c r="D310" i="159"/>
  <c r="J310" i="159"/>
  <c r="E310" i="159"/>
  <c r="C310" i="159"/>
  <c r="I311" i="159"/>
  <c r="D311" i="159"/>
  <c r="J311" i="159"/>
  <c r="E311" i="159"/>
  <c r="C311" i="159"/>
  <c r="I312" i="159"/>
  <c r="D312" i="159"/>
  <c r="J312" i="159"/>
  <c r="E312" i="159"/>
  <c r="C312" i="159"/>
  <c r="I313" i="159"/>
  <c r="D313" i="159"/>
  <c r="J313" i="159"/>
  <c r="E313" i="159"/>
  <c r="C313" i="159"/>
  <c r="I314" i="159"/>
  <c r="D314" i="159"/>
  <c r="J314" i="159"/>
  <c r="E314" i="159"/>
  <c r="C314" i="159"/>
  <c r="I315" i="159"/>
  <c r="D315" i="159"/>
  <c r="J315" i="159"/>
  <c r="E315" i="159"/>
  <c r="C315" i="159"/>
  <c r="I316" i="159"/>
  <c r="D316" i="159"/>
  <c r="J316" i="159"/>
  <c r="E316" i="159"/>
  <c r="C316" i="159"/>
  <c r="I317" i="159"/>
  <c r="D317" i="159"/>
  <c r="J317" i="159"/>
  <c r="E317" i="159"/>
  <c r="C317" i="159"/>
  <c r="I318" i="159"/>
  <c r="D318" i="159"/>
  <c r="J318" i="159"/>
  <c r="E318" i="159"/>
  <c r="C318" i="159"/>
  <c r="I319" i="159"/>
  <c r="D319" i="159"/>
  <c r="J319" i="159"/>
  <c r="E319" i="159"/>
  <c r="C319" i="159"/>
  <c r="I320" i="159"/>
  <c r="D320" i="159"/>
  <c r="J320" i="159"/>
  <c r="E320" i="159"/>
  <c r="C320" i="159"/>
  <c r="I321" i="159"/>
  <c r="D321" i="159"/>
  <c r="J321" i="159"/>
  <c r="E321" i="159"/>
  <c r="C321" i="159"/>
  <c r="I322" i="159"/>
  <c r="D322" i="159"/>
  <c r="J322" i="159"/>
  <c r="E322" i="159"/>
  <c r="C322" i="159"/>
  <c r="I323" i="159"/>
  <c r="D323" i="159"/>
  <c r="J323" i="159"/>
  <c r="E323" i="159"/>
  <c r="C323" i="159"/>
  <c r="I324" i="159"/>
  <c r="D324" i="159"/>
  <c r="J324" i="159"/>
  <c r="E324" i="159"/>
  <c r="C324" i="159"/>
  <c r="I325" i="159"/>
  <c r="D325" i="159"/>
  <c r="J325" i="159"/>
  <c r="E325" i="159"/>
  <c r="C325" i="159"/>
  <c r="I326" i="159"/>
  <c r="D326" i="159"/>
  <c r="J326" i="159"/>
  <c r="E326" i="159"/>
  <c r="C326" i="159"/>
  <c r="I327" i="159"/>
  <c r="D327" i="159"/>
  <c r="J327" i="159"/>
  <c r="E327" i="159"/>
  <c r="C327" i="159"/>
  <c r="I328" i="159"/>
  <c r="D328" i="159"/>
  <c r="J328" i="159"/>
  <c r="E328" i="159"/>
  <c r="C328" i="159"/>
  <c r="I329" i="159"/>
  <c r="D329" i="159"/>
  <c r="J329" i="159"/>
  <c r="E329" i="159"/>
  <c r="C329" i="159"/>
  <c r="I330" i="159"/>
  <c r="D330" i="159"/>
  <c r="J330" i="159"/>
  <c r="E330" i="159"/>
  <c r="C330" i="159"/>
  <c r="I331" i="159"/>
  <c r="D331" i="159"/>
  <c r="J331" i="159"/>
  <c r="E331" i="159"/>
  <c r="C331" i="159"/>
  <c r="I332" i="159"/>
  <c r="D332" i="159"/>
  <c r="J332" i="159"/>
  <c r="E332" i="159"/>
  <c r="C332" i="159"/>
  <c r="I333" i="159"/>
  <c r="D333" i="159"/>
  <c r="J333" i="159"/>
  <c r="E333" i="159"/>
  <c r="C333" i="159"/>
  <c r="I334" i="159"/>
  <c r="D334" i="159"/>
  <c r="J334" i="159"/>
  <c r="E334" i="159"/>
  <c r="C334" i="159"/>
  <c r="I335" i="159"/>
  <c r="D335" i="159"/>
  <c r="J335" i="159"/>
  <c r="E335" i="159"/>
  <c r="C335" i="159"/>
  <c r="I336" i="159"/>
  <c r="D336" i="159"/>
  <c r="J336" i="159"/>
  <c r="E336" i="159"/>
  <c r="C336" i="159"/>
  <c r="I337" i="159"/>
  <c r="D337" i="159"/>
  <c r="J337" i="159"/>
  <c r="E337" i="159"/>
  <c r="C337" i="159"/>
  <c r="I338" i="159"/>
  <c r="D338" i="159"/>
  <c r="J338" i="159"/>
  <c r="E338" i="159"/>
  <c r="C338" i="159"/>
  <c r="I339" i="159"/>
  <c r="D339" i="159"/>
  <c r="J339" i="159"/>
  <c r="E339" i="159"/>
  <c r="C339" i="159"/>
  <c r="I340" i="159"/>
  <c r="D340" i="159"/>
  <c r="J340" i="159"/>
  <c r="E340" i="159"/>
  <c r="C340" i="159"/>
  <c r="I341" i="159"/>
  <c r="D341" i="159"/>
  <c r="J341" i="159"/>
  <c r="E341" i="159"/>
  <c r="C341" i="159"/>
  <c r="I342" i="159"/>
  <c r="D342" i="159"/>
  <c r="J342" i="159"/>
  <c r="E342" i="159"/>
  <c r="C342" i="159"/>
  <c r="I343" i="159"/>
  <c r="D343" i="159"/>
  <c r="J343" i="159"/>
  <c r="E343" i="159"/>
  <c r="C343" i="159"/>
  <c r="I344" i="159"/>
  <c r="D344" i="159"/>
  <c r="J344" i="159"/>
  <c r="E344" i="159"/>
  <c r="C344" i="159"/>
  <c r="I345" i="159"/>
  <c r="D345" i="159"/>
  <c r="J345" i="159"/>
  <c r="E345" i="159"/>
  <c r="C345" i="159"/>
  <c r="I346" i="159"/>
  <c r="D346" i="159"/>
  <c r="J346" i="159"/>
  <c r="E346" i="159"/>
  <c r="C346" i="159"/>
  <c r="I347" i="159"/>
  <c r="D347" i="159"/>
  <c r="J347" i="159"/>
  <c r="E347" i="159"/>
  <c r="C347" i="159"/>
  <c r="I348" i="159"/>
  <c r="D348" i="159"/>
  <c r="J348" i="159"/>
  <c r="E348" i="159"/>
  <c r="C348" i="159"/>
  <c r="I349" i="159"/>
  <c r="D349" i="159"/>
  <c r="J349" i="159"/>
  <c r="E349" i="159"/>
  <c r="C349" i="159"/>
  <c r="I350" i="159"/>
  <c r="D350" i="159"/>
  <c r="J350" i="159"/>
  <c r="E350" i="159"/>
  <c r="C350" i="159"/>
  <c r="I351" i="159"/>
  <c r="D351" i="159"/>
  <c r="J351" i="159"/>
  <c r="E351" i="159"/>
  <c r="C351" i="159"/>
  <c r="I352" i="159"/>
  <c r="D352" i="159"/>
  <c r="J352" i="159"/>
  <c r="E352" i="159"/>
  <c r="C352" i="159"/>
  <c r="I353" i="159"/>
  <c r="D353" i="159"/>
  <c r="J353" i="159"/>
  <c r="E353" i="159"/>
  <c r="C353" i="159"/>
  <c r="I354" i="159"/>
  <c r="D354" i="159"/>
  <c r="J354" i="159"/>
  <c r="E354" i="159"/>
  <c r="C354" i="159"/>
  <c r="I355" i="159"/>
  <c r="D355" i="159"/>
  <c r="J355" i="159"/>
  <c r="E355" i="159"/>
  <c r="C355" i="159"/>
  <c r="I356" i="159"/>
  <c r="D356" i="159"/>
  <c r="J356" i="159"/>
  <c r="E356" i="159"/>
  <c r="F356" i="159"/>
  <c r="C356" i="159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8" i="158"/>
  <c r="F8" i="158"/>
  <c r="E8" i="158"/>
  <c r="C46" i="158"/>
  <c r="B38" i="158"/>
  <c r="E37" i="158"/>
  <c r="B37" i="158"/>
  <c r="E41" i="158"/>
  <c r="B41" i="158"/>
  <c r="F6" i="158"/>
  <c r="E6" i="158"/>
  <c r="E43" i="158"/>
  <c r="B43" i="158"/>
  <c r="E44" i="158"/>
  <c r="B44" i="158"/>
  <c r="B36" i="158"/>
  <c r="I2" i="150"/>
  <c r="J2" i="150"/>
  <c r="D2" i="150"/>
  <c r="E2" i="150"/>
  <c r="C2" i="150"/>
  <c r="I3" i="150"/>
  <c r="J3" i="150"/>
  <c r="D3" i="150"/>
  <c r="E3" i="150"/>
  <c r="C3" i="150"/>
  <c r="I4" i="150"/>
  <c r="J4" i="150"/>
  <c r="D4" i="150"/>
  <c r="E4" i="150"/>
  <c r="C4" i="150"/>
  <c r="I5" i="150"/>
  <c r="J5" i="150"/>
  <c r="D5" i="150"/>
  <c r="E5" i="150"/>
  <c r="C5" i="150"/>
  <c r="I6" i="150"/>
  <c r="J6" i="150"/>
  <c r="D6" i="150"/>
  <c r="E6" i="150"/>
  <c r="C6" i="150"/>
  <c r="I7" i="150"/>
  <c r="J7" i="150"/>
  <c r="D7" i="150"/>
  <c r="E7" i="150"/>
  <c r="C7" i="150"/>
  <c r="I8" i="150"/>
  <c r="J8" i="150"/>
  <c r="D8" i="150"/>
  <c r="E8" i="150"/>
  <c r="C8" i="150"/>
  <c r="I9" i="150"/>
  <c r="J9" i="150"/>
  <c r="D9" i="150"/>
  <c r="E9" i="150"/>
  <c r="C9" i="150"/>
  <c r="I10" i="150"/>
  <c r="J10" i="150"/>
  <c r="D10" i="150"/>
  <c r="E10" i="150"/>
  <c r="C10" i="150"/>
  <c r="I11" i="150"/>
  <c r="J11" i="150"/>
  <c r="D11" i="150"/>
  <c r="E11" i="150"/>
  <c r="C11" i="150"/>
  <c r="I12" i="150"/>
  <c r="J12" i="150"/>
  <c r="D12" i="150"/>
  <c r="E12" i="150"/>
  <c r="C12" i="150"/>
  <c r="I13" i="150"/>
  <c r="J13" i="150"/>
  <c r="D13" i="150"/>
  <c r="E13" i="150"/>
  <c r="C13" i="150"/>
  <c r="I14" i="150"/>
  <c r="J14" i="150"/>
  <c r="D14" i="150"/>
  <c r="E14" i="150"/>
  <c r="C14" i="150"/>
  <c r="I15" i="150"/>
  <c r="J15" i="150"/>
  <c r="D15" i="150"/>
  <c r="E15" i="150"/>
  <c r="C15" i="150"/>
  <c r="I16" i="150"/>
  <c r="J16" i="150"/>
  <c r="D16" i="150"/>
  <c r="E16" i="150"/>
  <c r="C16" i="150"/>
  <c r="I17" i="150"/>
  <c r="J17" i="150"/>
  <c r="D17" i="150"/>
  <c r="E17" i="150"/>
  <c r="C17" i="150"/>
  <c r="I18" i="150"/>
  <c r="J18" i="150"/>
  <c r="D18" i="150"/>
  <c r="E18" i="150"/>
  <c r="C18" i="150"/>
  <c r="I19" i="150"/>
  <c r="J19" i="150"/>
  <c r="D19" i="150"/>
  <c r="E19" i="150"/>
  <c r="C19" i="150"/>
  <c r="I20" i="150"/>
  <c r="J20" i="150"/>
  <c r="D20" i="150"/>
  <c r="E20" i="150"/>
  <c r="C20" i="150"/>
  <c r="I21" i="150"/>
  <c r="J21" i="150"/>
  <c r="D21" i="150"/>
  <c r="E21" i="150"/>
  <c r="C21" i="150"/>
  <c r="I22" i="150"/>
  <c r="J22" i="150"/>
  <c r="D22" i="150"/>
  <c r="E22" i="150"/>
  <c r="C22" i="150"/>
  <c r="I23" i="150"/>
  <c r="J23" i="150"/>
  <c r="D23" i="150"/>
  <c r="E23" i="150"/>
  <c r="C23" i="150"/>
  <c r="I24" i="150"/>
  <c r="J24" i="150"/>
  <c r="D24" i="150"/>
  <c r="E24" i="150"/>
  <c r="C24" i="150"/>
  <c r="I25" i="150"/>
  <c r="J25" i="150"/>
  <c r="D25" i="150"/>
  <c r="E25" i="150"/>
  <c r="C25" i="150"/>
  <c r="I26" i="150"/>
  <c r="J26" i="150"/>
  <c r="D26" i="150"/>
  <c r="E26" i="150"/>
  <c r="C26" i="150"/>
  <c r="I27" i="150"/>
  <c r="J27" i="150"/>
  <c r="D27" i="150"/>
  <c r="E27" i="150"/>
  <c r="C27" i="150"/>
  <c r="I28" i="150"/>
  <c r="J28" i="150"/>
  <c r="D28" i="150"/>
  <c r="E28" i="150"/>
  <c r="C28" i="150"/>
  <c r="I29" i="150"/>
  <c r="J29" i="150"/>
  <c r="D29" i="150"/>
  <c r="E29" i="150"/>
  <c r="C29" i="150"/>
  <c r="I30" i="150"/>
  <c r="J30" i="150"/>
  <c r="D30" i="150"/>
  <c r="E30" i="150"/>
  <c r="C30" i="150"/>
  <c r="I31" i="150"/>
  <c r="J31" i="150"/>
  <c r="D31" i="150"/>
  <c r="E31" i="150"/>
  <c r="C31" i="150"/>
  <c r="I32" i="150"/>
  <c r="J32" i="150"/>
  <c r="D32" i="150"/>
  <c r="E32" i="150"/>
  <c r="C32" i="150"/>
  <c r="I33" i="150"/>
  <c r="J33" i="150"/>
  <c r="D33" i="150"/>
  <c r="E33" i="150"/>
  <c r="C33" i="150"/>
  <c r="I34" i="150"/>
  <c r="J34" i="150"/>
  <c r="D34" i="150"/>
  <c r="E34" i="150"/>
  <c r="C34" i="150"/>
  <c r="I35" i="150"/>
  <c r="J35" i="150"/>
  <c r="D35" i="150"/>
  <c r="E35" i="150"/>
  <c r="C35" i="150"/>
  <c r="I36" i="150"/>
  <c r="J36" i="150"/>
  <c r="D36" i="150"/>
  <c r="E36" i="150"/>
  <c r="C36" i="150"/>
  <c r="I37" i="150"/>
  <c r="J37" i="150"/>
  <c r="D37" i="150"/>
  <c r="E37" i="150"/>
  <c r="C37" i="150"/>
  <c r="I38" i="150"/>
  <c r="J38" i="150"/>
  <c r="D38" i="150"/>
  <c r="E38" i="150"/>
  <c r="C38" i="150"/>
  <c r="I39" i="150"/>
  <c r="J39" i="150"/>
  <c r="D39" i="150"/>
  <c r="E39" i="150"/>
  <c r="C39" i="150"/>
  <c r="I40" i="150"/>
  <c r="J40" i="150"/>
  <c r="D40" i="150"/>
  <c r="E40" i="150"/>
  <c r="C40" i="150"/>
  <c r="I41" i="150"/>
  <c r="J41" i="150"/>
  <c r="D41" i="150"/>
  <c r="E41" i="150"/>
  <c r="C41" i="150"/>
  <c r="I42" i="150"/>
  <c r="D42" i="150"/>
  <c r="J42" i="150"/>
  <c r="E42" i="150"/>
  <c r="C42" i="150"/>
  <c r="I43" i="150"/>
  <c r="D43" i="150"/>
  <c r="J43" i="150"/>
  <c r="E43" i="150"/>
  <c r="C43" i="150"/>
  <c r="I44" i="150"/>
  <c r="D44" i="150"/>
  <c r="J44" i="150"/>
  <c r="E44" i="150"/>
  <c r="C44" i="150"/>
  <c r="I45" i="150"/>
  <c r="D45" i="150"/>
  <c r="J45" i="150"/>
  <c r="E45" i="150"/>
  <c r="C45" i="150"/>
  <c r="I46" i="150"/>
  <c r="D46" i="150"/>
  <c r="J46" i="150"/>
  <c r="E46" i="150"/>
  <c r="C46" i="150"/>
  <c r="I47" i="150"/>
  <c r="D47" i="150"/>
  <c r="J47" i="150"/>
  <c r="E47" i="150"/>
  <c r="C47" i="150"/>
  <c r="I48" i="150"/>
  <c r="D48" i="150"/>
  <c r="J48" i="150"/>
  <c r="E48" i="150"/>
  <c r="C48" i="150"/>
  <c r="I49" i="150"/>
  <c r="D49" i="150"/>
  <c r="J49" i="150"/>
  <c r="E49" i="150"/>
  <c r="C49" i="150"/>
  <c r="I50" i="150"/>
  <c r="D50" i="150"/>
  <c r="J50" i="150"/>
  <c r="E50" i="150"/>
  <c r="C50" i="150"/>
  <c r="I51" i="150"/>
  <c r="D51" i="150"/>
  <c r="J51" i="150"/>
  <c r="E51" i="150"/>
  <c r="C51" i="150"/>
  <c r="I52" i="150"/>
  <c r="D52" i="150"/>
  <c r="J52" i="150"/>
  <c r="E52" i="150"/>
  <c r="C52" i="150"/>
  <c r="I53" i="150"/>
  <c r="D53" i="150"/>
  <c r="J53" i="150"/>
  <c r="E53" i="150"/>
  <c r="C53" i="150"/>
  <c r="I54" i="150"/>
  <c r="D54" i="150"/>
  <c r="J54" i="150"/>
  <c r="E54" i="150"/>
  <c r="C54" i="150"/>
  <c r="I55" i="150"/>
  <c r="D55" i="150"/>
  <c r="J55" i="150"/>
  <c r="E55" i="150"/>
  <c r="C55" i="150"/>
  <c r="I56" i="150"/>
  <c r="D56" i="150"/>
  <c r="J56" i="150"/>
  <c r="E56" i="150"/>
  <c r="C56" i="150"/>
  <c r="I57" i="150"/>
  <c r="D57" i="150"/>
  <c r="J57" i="150"/>
  <c r="E57" i="150"/>
  <c r="C57" i="150"/>
  <c r="I58" i="150"/>
  <c r="D58" i="150"/>
  <c r="J58" i="150"/>
  <c r="E58" i="150"/>
  <c r="C58" i="150"/>
  <c r="I59" i="150"/>
  <c r="D59" i="150"/>
  <c r="J59" i="150"/>
  <c r="E59" i="150"/>
  <c r="C59" i="150"/>
  <c r="I60" i="150"/>
  <c r="D60" i="150"/>
  <c r="J60" i="150"/>
  <c r="E60" i="150"/>
  <c r="C60" i="150"/>
  <c r="I61" i="150"/>
  <c r="D61" i="150"/>
  <c r="J61" i="150"/>
  <c r="E61" i="150"/>
  <c r="C61" i="150"/>
  <c r="I62" i="150"/>
  <c r="D62" i="150"/>
  <c r="J62" i="150"/>
  <c r="E62" i="150"/>
  <c r="C62" i="150"/>
  <c r="I63" i="150"/>
  <c r="D63" i="150"/>
  <c r="J63" i="150"/>
  <c r="E63" i="150"/>
  <c r="C63" i="150"/>
  <c r="I64" i="150"/>
  <c r="D64" i="150"/>
  <c r="J64" i="150"/>
  <c r="E64" i="150"/>
  <c r="C64" i="150"/>
  <c r="I65" i="150"/>
  <c r="D65" i="150"/>
  <c r="J65" i="150"/>
  <c r="E65" i="150"/>
  <c r="C65" i="150"/>
  <c r="I66" i="150"/>
  <c r="D66" i="150"/>
  <c r="J66" i="150"/>
  <c r="E66" i="150"/>
  <c r="C66" i="150"/>
  <c r="I67" i="150"/>
  <c r="D67" i="150"/>
  <c r="J67" i="150"/>
  <c r="E67" i="150"/>
  <c r="C67" i="150"/>
  <c r="I68" i="150"/>
  <c r="D68" i="150"/>
  <c r="J68" i="150"/>
  <c r="E68" i="150"/>
  <c r="C68" i="150"/>
  <c r="I69" i="150"/>
  <c r="D69" i="150"/>
  <c r="J69" i="150"/>
  <c r="E69" i="150"/>
  <c r="C69" i="150"/>
  <c r="I70" i="150"/>
  <c r="D70" i="150"/>
  <c r="J70" i="150"/>
  <c r="E70" i="150"/>
  <c r="C70" i="150"/>
  <c r="I71" i="150"/>
  <c r="D71" i="150"/>
  <c r="J71" i="150"/>
  <c r="E71" i="150"/>
  <c r="C71" i="150"/>
  <c r="I72" i="150"/>
  <c r="D72" i="150"/>
  <c r="J72" i="150"/>
  <c r="E72" i="150"/>
  <c r="C72" i="150"/>
  <c r="I73" i="150"/>
  <c r="D73" i="150"/>
  <c r="J73" i="150"/>
  <c r="E73" i="150"/>
  <c r="C73" i="150"/>
  <c r="I74" i="150"/>
  <c r="D74" i="150"/>
  <c r="J74" i="150"/>
  <c r="E74" i="150"/>
  <c r="C74" i="150"/>
  <c r="I75" i="150"/>
  <c r="D75" i="150"/>
  <c r="J75" i="150"/>
  <c r="E75" i="150"/>
  <c r="C75" i="150"/>
  <c r="I76" i="150"/>
  <c r="D76" i="150"/>
  <c r="J76" i="150"/>
  <c r="E76" i="150"/>
  <c r="C76" i="150"/>
  <c r="I77" i="150"/>
  <c r="D77" i="150"/>
  <c r="J77" i="150"/>
  <c r="E77" i="150"/>
  <c r="C77" i="150"/>
  <c r="I78" i="150"/>
  <c r="D78" i="150"/>
  <c r="J78" i="150"/>
  <c r="E78" i="150"/>
  <c r="C78" i="150"/>
  <c r="I79" i="150"/>
  <c r="D79" i="150"/>
  <c r="J79" i="150"/>
  <c r="E79" i="150"/>
  <c r="C79" i="150"/>
  <c r="I80" i="150"/>
  <c r="D80" i="150"/>
  <c r="J80" i="150"/>
  <c r="E80" i="150"/>
  <c r="C80" i="150"/>
  <c r="I81" i="150"/>
  <c r="D81" i="150"/>
  <c r="J81" i="150"/>
  <c r="E81" i="150"/>
  <c r="C81" i="150"/>
  <c r="I82" i="150"/>
  <c r="D82" i="150"/>
  <c r="J82" i="150"/>
  <c r="E82" i="150"/>
  <c r="C82" i="150"/>
  <c r="I83" i="150"/>
  <c r="D83" i="150"/>
  <c r="J83" i="150"/>
  <c r="E83" i="150"/>
  <c r="C83" i="150"/>
  <c r="I84" i="150"/>
  <c r="D84" i="150"/>
  <c r="J84" i="150"/>
  <c r="E84" i="150"/>
  <c r="C84" i="150"/>
  <c r="I85" i="150"/>
  <c r="D85" i="150"/>
  <c r="J85" i="150"/>
  <c r="E85" i="150"/>
  <c r="C85" i="150"/>
  <c r="I86" i="150"/>
  <c r="D86" i="150"/>
  <c r="J86" i="150"/>
  <c r="E86" i="150"/>
  <c r="C86" i="150"/>
  <c r="I87" i="150"/>
  <c r="D87" i="150"/>
  <c r="J87" i="150"/>
  <c r="E87" i="150"/>
  <c r="C87" i="150"/>
  <c r="I88" i="150"/>
  <c r="D88" i="150"/>
  <c r="J88" i="150"/>
  <c r="E88" i="150"/>
  <c r="C88" i="150"/>
  <c r="I89" i="150"/>
  <c r="D89" i="150"/>
  <c r="J89" i="150"/>
  <c r="E89" i="150"/>
  <c r="C89" i="150"/>
  <c r="I90" i="150"/>
  <c r="D90" i="150"/>
  <c r="J90" i="150"/>
  <c r="E90" i="150"/>
  <c r="C90" i="150"/>
  <c r="I91" i="150"/>
  <c r="D91" i="150"/>
  <c r="J91" i="150"/>
  <c r="E91" i="150"/>
  <c r="C91" i="150"/>
  <c r="I92" i="150"/>
  <c r="D92" i="150"/>
  <c r="J92" i="150"/>
  <c r="E92" i="150"/>
  <c r="C92" i="150"/>
  <c r="I93" i="150"/>
  <c r="D93" i="150"/>
  <c r="J93" i="150"/>
  <c r="E93" i="150"/>
  <c r="C93" i="150"/>
  <c r="I94" i="150"/>
  <c r="D94" i="150"/>
  <c r="J94" i="150"/>
  <c r="E94" i="150"/>
  <c r="C94" i="150"/>
  <c r="I95" i="150"/>
  <c r="D95" i="150"/>
  <c r="J95" i="150"/>
  <c r="E95" i="150"/>
  <c r="C95" i="150"/>
  <c r="I96" i="150"/>
  <c r="D96" i="150"/>
  <c r="J96" i="150"/>
  <c r="E96" i="150"/>
  <c r="C96" i="150"/>
  <c r="I97" i="150"/>
  <c r="D97" i="150"/>
  <c r="J97" i="150"/>
  <c r="E97" i="150"/>
  <c r="C97" i="150"/>
  <c r="I98" i="150"/>
  <c r="D98" i="150"/>
  <c r="J98" i="150"/>
  <c r="E98" i="150"/>
  <c r="C98" i="150"/>
  <c r="I99" i="150"/>
  <c r="D99" i="150"/>
  <c r="J99" i="150"/>
  <c r="E99" i="150"/>
  <c r="C99" i="150"/>
  <c r="I100" i="150"/>
  <c r="D100" i="150"/>
  <c r="J100" i="150"/>
  <c r="E100" i="150"/>
  <c r="C100" i="150"/>
  <c r="I101" i="150"/>
  <c r="D101" i="150"/>
  <c r="J101" i="150"/>
  <c r="E101" i="150"/>
  <c r="C101" i="150"/>
  <c r="I102" i="150"/>
  <c r="D102" i="150"/>
  <c r="J102" i="150"/>
  <c r="E102" i="150"/>
  <c r="C102" i="150"/>
  <c r="I103" i="150"/>
  <c r="D103" i="150"/>
  <c r="J103" i="150"/>
  <c r="E103" i="150"/>
  <c r="C103" i="150"/>
  <c r="I104" i="150"/>
  <c r="D104" i="150"/>
  <c r="J104" i="150"/>
  <c r="E104" i="150"/>
  <c r="C104" i="150"/>
  <c r="I105" i="150"/>
  <c r="D105" i="150"/>
  <c r="J105" i="150"/>
  <c r="E105" i="150"/>
  <c r="C105" i="150"/>
  <c r="I106" i="150"/>
  <c r="D106" i="150"/>
  <c r="J106" i="150"/>
  <c r="E106" i="150"/>
  <c r="C106" i="150"/>
  <c r="I107" i="150"/>
  <c r="D107" i="150"/>
  <c r="J107" i="150"/>
  <c r="E107" i="150"/>
  <c r="C107" i="150"/>
  <c r="I108" i="150"/>
  <c r="D108" i="150"/>
  <c r="J108" i="150"/>
  <c r="E108" i="150"/>
  <c r="C108" i="150"/>
  <c r="I109" i="150"/>
  <c r="D109" i="150"/>
  <c r="J109" i="150"/>
  <c r="E109" i="150"/>
  <c r="C109" i="150"/>
  <c r="I110" i="150"/>
  <c r="D110" i="150"/>
  <c r="J110" i="150"/>
  <c r="E110" i="150"/>
  <c r="C110" i="150"/>
  <c r="I111" i="150"/>
  <c r="D111" i="150"/>
  <c r="J111" i="150"/>
  <c r="E111" i="150"/>
  <c r="C111" i="150"/>
  <c r="I112" i="150"/>
  <c r="D112" i="150"/>
  <c r="J112" i="150"/>
  <c r="E112" i="150"/>
  <c r="C112" i="150"/>
  <c r="I113" i="150"/>
  <c r="D113" i="150"/>
  <c r="J113" i="150"/>
  <c r="E113" i="150"/>
  <c r="C113" i="150"/>
  <c r="I114" i="150"/>
  <c r="D114" i="150"/>
  <c r="J114" i="150"/>
  <c r="E114" i="150"/>
  <c r="C114" i="150"/>
  <c r="I115" i="150"/>
  <c r="D115" i="150"/>
  <c r="J115" i="150"/>
  <c r="E115" i="150"/>
  <c r="C115" i="150"/>
  <c r="I116" i="150"/>
  <c r="D116" i="150"/>
  <c r="J116" i="150"/>
  <c r="E116" i="150"/>
  <c r="C116" i="150"/>
  <c r="I117" i="150"/>
  <c r="D117" i="150"/>
  <c r="J117" i="150"/>
  <c r="E117" i="150"/>
  <c r="C117" i="150"/>
  <c r="I118" i="150"/>
  <c r="D118" i="150"/>
  <c r="J118" i="150"/>
  <c r="E118" i="150"/>
  <c r="C118" i="150"/>
  <c r="I119" i="150"/>
  <c r="D119" i="150"/>
  <c r="J119" i="150"/>
  <c r="E119" i="150"/>
  <c r="C119" i="150"/>
  <c r="I120" i="150"/>
  <c r="D120" i="150"/>
  <c r="J120" i="150"/>
  <c r="E120" i="150"/>
  <c r="C120" i="150"/>
  <c r="I121" i="150"/>
  <c r="D121" i="150"/>
  <c r="J121" i="150"/>
  <c r="E121" i="150"/>
  <c r="C121" i="150"/>
  <c r="I122" i="150"/>
  <c r="D122" i="150"/>
  <c r="J122" i="150"/>
  <c r="E122" i="150"/>
  <c r="C122" i="150"/>
  <c r="I123" i="150"/>
  <c r="D123" i="150"/>
  <c r="J123" i="150"/>
  <c r="E123" i="150"/>
  <c r="C123" i="150"/>
  <c r="I124" i="150"/>
  <c r="D124" i="150"/>
  <c r="J124" i="150"/>
  <c r="E124" i="150"/>
  <c r="C124" i="150"/>
  <c r="I125" i="150"/>
  <c r="D125" i="150"/>
  <c r="J125" i="150"/>
  <c r="E125" i="150"/>
  <c r="C125" i="150"/>
  <c r="I126" i="150"/>
  <c r="D126" i="150"/>
  <c r="J126" i="150"/>
  <c r="E126" i="150"/>
  <c r="C126" i="150"/>
  <c r="I127" i="150"/>
  <c r="D127" i="150"/>
  <c r="J127" i="150"/>
  <c r="E127" i="150"/>
  <c r="C127" i="150"/>
  <c r="I128" i="150"/>
  <c r="D128" i="150"/>
  <c r="J128" i="150"/>
  <c r="E128" i="150"/>
  <c r="C128" i="150"/>
  <c r="I129" i="150"/>
  <c r="D129" i="150"/>
  <c r="J129" i="150"/>
  <c r="E129" i="150"/>
  <c r="C129" i="150"/>
  <c r="I130" i="150"/>
  <c r="D130" i="150"/>
  <c r="J130" i="150"/>
  <c r="E130" i="150"/>
  <c r="C130" i="150"/>
  <c r="I131" i="150"/>
  <c r="D131" i="150"/>
  <c r="J131" i="150"/>
  <c r="E131" i="150"/>
  <c r="C131" i="150"/>
  <c r="I132" i="150"/>
  <c r="D132" i="150"/>
  <c r="J132" i="150"/>
  <c r="E132" i="150"/>
  <c r="C132" i="150"/>
  <c r="I133" i="150"/>
  <c r="D133" i="150"/>
  <c r="J133" i="150"/>
  <c r="E133" i="150"/>
  <c r="C133" i="150"/>
  <c r="I134" i="150"/>
  <c r="D134" i="150"/>
  <c r="J134" i="150"/>
  <c r="E134" i="150"/>
  <c r="C134" i="150"/>
  <c r="I135" i="150"/>
  <c r="D135" i="150"/>
  <c r="J135" i="150"/>
  <c r="E135" i="150"/>
  <c r="C135" i="150"/>
  <c r="I136" i="150"/>
  <c r="D136" i="150"/>
  <c r="J136" i="150"/>
  <c r="E136" i="150"/>
  <c r="C136" i="150"/>
  <c r="I137" i="150"/>
  <c r="D137" i="150"/>
  <c r="J137" i="150"/>
  <c r="E137" i="150"/>
  <c r="C137" i="150"/>
  <c r="I138" i="150"/>
  <c r="D138" i="150"/>
  <c r="J138" i="150"/>
  <c r="E138" i="150"/>
  <c r="C138" i="150"/>
  <c r="I139" i="150"/>
  <c r="D139" i="150"/>
  <c r="J139" i="150"/>
  <c r="E139" i="150"/>
  <c r="C139" i="150"/>
  <c r="I140" i="150"/>
  <c r="D140" i="150"/>
  <c r="J140" i="150"/>
  <c r="E140" i="150"/>
  <c r="C140" i="150"/>
  <c r="I141" i="150"/>
  <c r="D141" i="150"/>
  <c r="J141" i="150"/>
  <c r="E141" i="150"/>
  <c r="C141" i="150"/>
  <c r="I142" i="150"/>
  <c r="D142" i="150"/>
  <c r="J142" i="150"/>
  <c r="E142" i="150"/>
  <c r="C142" i="150"/>
  <c r="I143" i="150"/>
  <c r="D143" i="150"/>
  <c r="J143" i="150"/>
  <c r="E143" i="150"/>
  <c r="C143" i="150"/>
  <c r="I144" i="150"/>
  <c r="D144" i="150"/>
  <c r="J144" i="150"/>
  <c r="E144" i="150"/>
  <c r="C144" i="150"/>
  <c r="I145" i="150"/>
  <c r="D145" i="150"/>
  <c r="J145" i="150"/>
  <c r="E145" i="150"/>
  <c r="C145" i="150"/>
  <c r="I146" i="150"/>
  <c r="D146" i="150"/>
  <c r="J146" i="150"/>
  <c r="E146" i="150"/>
  <c r="C146" i="150"/>
  <c r="I147" i="150"/>
  <c r="D147" i="150"/>
  <c r="J147" i="150"/>
  <c r="E147" i="150"/>
  <c r="C147" i="150"/>
  <c r="I148" i="150"/>
  <c r="D148" i="150"/>
  <c r="J148" i="150"/>
  <c r="E148" i="150"/>
  <c r="C148" i="150"/>
  <c r="I149" i="150"/>
  <c r="D149" i="150"/>
  <c r="J149" i="150"/>
  <c r="E149" i="150"/>
  <c r="C149" i="150"/>
  <c r="I150" i="150"/>
  <c r="D150" i="150"/>
  <c r="J150" i="150"/>
  <c r="E150" i="150"/>
  <c r="C150" i="150"/>
  <c r="I151" i="150"/>
  <c r="D151" i="150"/>
  <c r="J151" i="150"/>
  <c r="E151" i="150"/>
  <c r="C151" i="150"/>
  <c r="I152" i="150"/>
  <c r="D152" i="150"/>
  <c r="J152" i="150"/>
  <c r="E152" i="150"/>
  <c r="C152" i="150"/>
  <c r="I153" i="150"/>
  <c r="D153" i="150"/>
  <c r="J153" i="150"/>
  <c r="E153" i="150"/>
  <c r="C153" i="150"/>
  <c r="I154" i="150"/>
  <c r="D154" i="150"/>
  <c r="J154" i="150"/>
  <c r="E154" i="150"/>
  <c r="C154" i="150"/>
  <c r="I155" i="150"/>
  <c r="D155" i="150"/>
  <c r="J155" i="150"/>
  <c r="E155" i="150"/>
  <c r="C155" i="150"/>
  <c r="I156" i="150"/>
  <c r="D156" i="150"/>
  <c r="J156" i="150"/>
  <c r="E156" i="150"/>
  <c r="C156" i="150"/>
  <c r="I157" i="150"/>
  <c r="D157" i="150"/>
  <c r="J157" i="150"/>
  <c r="E157" i="150"/>
  <c r="C157" i="150"/>
  <c r="I158" i="150"/>
  <c r="D158" i="150"/>
  <c r="J158" i="150"/>
  <c r="E158" i="150"/>
  <c r="C158" i="150"/>
  <c r="I159" i="150"/>
  <c r="D159" i="150"/>
  <c r="J159" i="150"/>
  <c r="E159" i="150"/>
  <c r="C159" i="150"/>
  <c r="I160" i="150"/>
  <c r="D160" i="150"/>
  <c r="J160" i="150"/>
  <c r="E160" i="150"/>
  <c r="C160" i="150"/>
  <c r="I161" i="150"/>
  <c r="D161" i="150"/>
  <c r="J161" i="150"/>
  <c r="E161" i="150"/>
  <c r="C161" i="150"/>
  <c r="I162" i="150"/>
  <c r="D162" i="150"/>
  <c r="J162" i="150"/>
  <c r="E162" i="150"/>
  <c r="C162" i="150"/>
  <c r="I163" i="150"/>
  <c r="D163" i="150"/>
  <c r="J163" i="150"/>
  <c r="E163" i="150"/>
  <c r="C163" i="150"/>
  <c r="I164" i="150"/>
  <c r="D164" i="150"/>
  <c r="J164" i="150"/>
  <c r="E164" i="150"/>
  <c r="C164" i="150"/>
  <c r="I165" i="150"/>
  <c r="D165" i="150"/>
  <c r="J165" i="150"/>
  <c r="E165" i="150"/>
  <c r="C165" i="150"/>
  <c r="I166" i="150"/>
  <c r="D166" i="150"/>
  <c r="J166" i="150"/>
  <c r="E166" i="150"/>
  <c r="C166" i="150"/>
  <c r="I167" i="150"/>
  <c r="D167" i="150"/>
  <c r="J167" i="150"/>
  <c r="E167" i="150"/>
  <c r="C167" i="150"/>
  <c r="I168" i="150"/>
  <c r="D168" i="150"/>
  <c r="J168" i="150"/>
  <c r="E168" i="150"/>
  <c r="C168" i="150"/>
  <c r="I169" i="150"/>
  <c r="D169" i="150"/>
  <c r="J169" i="150"/>
  <c r="E169" i="150"/>
  <c r="C169" i="150"/>
  <c r="I170" i="150"/>
  <c r="D170" i="150"/>
  <c r="J170" i="150"/>
  <c r="E170" i="150"/>
  <c r="C170" i="150"/>
  <c r="I171" i="150"/>
  <c r="D171" i="150"/>
  <c r="J171" i="150"/>
  <c r="E171" i="150"/>
  <c r="C171" i="150"/>
  <c r="I172" i="150"/>
  <c r="D172" i="150"/>
  <c r="J172" i="150"/>
  <c r="E172" i="150"/>
  <c r="C172" i="150"/>
  <c r="I173" i="150"/>
  <c r="D173" i="150"/>
  <c r="J173" i="150"/>
  <c r="E173" i="150"/>
  <c r="C173" i="150"/>
  <c r="I174" i="150"/>
  <c r="D174" i="150"/>
  <c r="J174" i="150"/>
  <c r="E174" i="150"/>
  <c r="C174" i="150"/>
  <c r="I175" i="150"/>
  <c r="D175" i="150"/>
  <c r="J175" i="150"/>
  <c r="E175" i="150"/>
  <c r="C175" i="150"/>
  <c r="I176" i="150"/>
  <c r="D176" i="150"/>
  <c r="J176" i="150"/>
  <c r="E176" i="150"/>
  <c r="C176" i="150"/>
  <c r="I177" i="150"/>
  <c r="D177" i="150"/>
  <c r="J177" i="150"/>
  <c r="E177" i="150"/>
  <c r="C177" i="150"/>
  <c r="I178" i="150"/>
  <c r="D178" i="150"/>
  <c r="J178" i="150"/>
  <c r="E178" i="150"/>
  <c r="C178" i="150"/>
  <c r="I179" i="150"/>
  <c r="D179" i="150"/>
  <c r="J179" i="150"/>
  <c r="E179" i="150"/>
  <c r="C179" i="150"/>
  <c r="I180" i="150"/>
  <c r="D180" i="150"/>
  <c r="J180" i="150"/>
  <c r="E180" i="150"/>
  <c r="C180" i="150"/>
  <c r="I181" i="150"/>
  <c r="D181" i="150"/>
  <c r="J181" i="150"/>
  <c r="E181" i="150"/>
  <c r="C181" i="150"/>
  <c r="I182" i="150"/>
  <c r="D182" i="150"/>
  <c r="J182" i="150"/>
  <c r="E182" i="150"/>
  <c r="C182" i="150"/>
  <c r="I183" i="150"/>
  <c r="D183" i="150"/>
  <c r="J183" i="150"/>
  <c r="E183" i="150"/>
  <c r="C183" i="150"/>
  <c r="I184" i="150"/>
  <c r="D184" i="150"/>
  <c r="J184" i="150"/>
  <c r="E184" i="150"/>
  <c r="C184" i="150"/>
  <c r="I185" i="150"/>
  <c r="D185" i="150"/>
  <c r="J185" i="150"/>
  <c r="E185" i="150"/>
  <c r="C185" i="150"/>
  <c r="I186" i="150"/>
  <c r="D186" i="150"/>
  <c r="J186" i="150"/>
  <c r="E186" i="150"/>
  <c r="C186" i="150"/>
  <c r="I187" i="150"/>
  <c r="D187" i="150"/>
  <c r="J187" i="150"/>
  <c r="E187" i="150"/>
  <c r="C187" i="150"/>
  <c r="I188" i="150"/>
  <c r="D188" i="150"/>
  <c r="J188" i="150"/>
  <c r="E188" i="150"/>
  <c r="C188" i="150"/>
  <c r="I189" i="150"/>
  <c r="D189" i="150"/>
  <c r="J189" i="150"/>
  <c r="E189" i="150"/>
  <c r="C189" i="150"/>
  <c r="I190" i="150"/>
  <c r="D190" i="150"/>
  <c r="J190" i="150"/>
  <c r="E190" i="150"/>
  <c r="C190" i="150"/>
  <c r="I191" i="150"/>
  <c r="D191" i="150"/>
  <c r="J191" i="150"/>
  <c r="E191" i="150"/>
  <c r="C191" i="150"/>
  <c r="I192" i="150"/>
  <c r="D192" i="150"/>
  <c r="J192" i="150"/>
  <c r="E192" i="150"/>
  <c r="C192" i="150"/>
  <c r="I193" i="150"/>
  <c r="D193" i="150"/>
  <c r="J193" i="150"/>
  <c r="E193" i="150"/>
  <c r="C193" i="150"/>
  <c r="I194" i="150"/>
  <c r="D194" i="150"/>
  <c r="J194" i="150"/>
  <c r="E194" i="150"/>
  <c r="C194" i="150"/>
  <c r="I195" i="150"/>
  <c r="D195" i="150"/>
  <c r="J195" i="150"/>
  <c r="E195" i="150"/>
  <c r="C195" i="150"/>
  <c r="I196" i="150"/>
  <c r="D196" i="150"/>
  <c r="J196" i="150"/>
  <c r="E196" i="150"/>
  <c r="C196" i="150"/>
  <c r="I197" i="150"/>
  <c r="D197" i="150"/>
  <c r="J197" i="150"/>
  <c r="E197" i="150"/>
  <c r="C197" i="150"/>
  <c r="I198" i="150"/>
  <c r="D198" i="150"/>
  <c r="J198" i="150"/>
  <c r="E198" i="150"/>
  <c r="C198" i="150"/>
  <c r="I199" i="150"/>
  <c r="D199" i="150"/>
  <c r="J199" i="150"/>
  <c r="E199" i="150"/>
  <c r="C199" i="150"/>
  <c r="I200" i="150"/>
  <c r="D200" i="150"/>
  <c r="J200" i="150"/>
  <c r="E200" i="150"/>
  <c r="C200" i="150"/>
  <c r="I201" i="150"/>
  <c r="D201" i="150"/>
  <c r="J201" i="150"/>
  <c r="E201" i="150"/>
  <c r="C201" i="150"/>
  <c r="I202" i="150"/>
  <c r="D202" i="150"/>
  <c r="J202" i="150"/>
  <c r="E202" i="150"/>
  <c r="C202" i="150"/>
  <c r="I203" i="150"/>
  <c r="D203" i="150"/>
  <c r="J203" i="150"/>
  <c r="E203" i="150"/>
  <c r="C203" i="150"/>
  <c r="I204" i="150"/>
  <c r="D204" i="150"/>
  <c r="J204" i="150"/>
  <c r="E204" i="150"/>
  <c r="C204" i="150"/>
  <c r="I205" i="150"/>
  <c r="D205" i="150"/>
  <c r="J205" i="150"/>
  <c r="E205" i="150"/>
  <c r="C205" i="150"/>
  <c r="I206" i="150"/>
  <c r="D206" i="150"/>
  <c r="J206" i="150"/>
  <c r="E206" i="150"/>
  <c r="C206" i="150"/>
  <c r="I207" i="150"/>
  <c r="D207" i="150"/>
  <c r="J207" i="150"/>
  <c r="E207" i="150"/>
  <c r="C207" i="150"/>
  <c r="I208" i="150"/>
  <c r="D208" i="150"/>
  <c r="J208" i="150"/>
  <c r="E208" i="150"/>
  <c r="C208" i="150"/>
  <c r="I209" i="150"/>
  <c r="D209" i="150"/>
  <c r="J209" i="150"/>
  <c r="E209" i="150"/>
  <c r="C209" i="150"/>
  <c r="I210" i="150"/>
  <c r="D210" i="150"/>
  <c r="J210" i="150"/>
  <c r="E210" i="150"/>
  <c r="C210" i="150"/>
  <c r="I211" i="150"/>
  <c r="D211" i="150"/>
  <c r="J211" i="150"/>
  <c r="E211" i="150"/>
  <c r="C211" i="150"/>
  <c r="I212" i="150"/>
  <c r="D212" i="150"/>
  <c r="J212" i="150"/>
  <c r="E212" i="150"/>
  <c r="C212" i="150"/>
  <c r="I213" i="150"/>
  <c r="D213" i="150"/>
  <c r="J213" i="150"/>
  <c r="E213" i="150"/>
  <c r="C213" i="150"/>
  <c r="I214" i="150"/>
  <c r="D214" i="150"/>
  <c r="J214" i="150"/>
  <c r="E214" i="150"/>
  <c r="C214" i="150"/>
  <c r="I215" i="150"/>
  <c r="J215" i="150"/>
  <c r="D215" i="150"/>
  <c r="E215" i="150"/>
  <c r="C215" i="150"/>
  <c r="I216" i="150"/>
  <c r="J216" i="150"/>
  <c r="D216" i="150"/>
  <c r="E216" i="150"/>
  <c r="C216" i="150"/>
  <c r="I217" i="150"/>
  <c r="J217" i="150"/>
  <c r="D217" i="150"/>
  <c r="E217" i="150"/>
  <c r="C217" i="150"/>
  <c r="I218" i="150"/>
  <c r="J218" i="150"/>
  <c r="D218" i="150"/>
  <c r="E218" i="150"/>
  <c r="C218" i="150"/>
  <c r="I219" i="150"/>
  <c r="J219" i="150"/>
  <c r="D219" i="150"/>
  <c r="E219" i="150"/>
  <c r="C219" i="150"/>
  <c r="I220" i="150"/>
  <c r="J220" i="150"/>
  <c r="D220" i="150"/>
  <c r="E220" i="150"/>
  <c r="C220" i="150"/>
  <c r="I221" i="150"/>
  <c r="D221" i="150"/>
  <c r="J221" i="150"/>
  <c r="E221" i="150"/>
  <c r="C221" i="150"/>
  <c r="I222" i="150"/>
  <c r="D222" i="150"/>
  <c r="J222" i="150"/>
  <c r="E222" i="150"/>
  <c r="C222" i="150"/>
  <c r="I223" i="150"/>
  <c r="D223" i="150"/>
  <c r="J223" i="150"/>
  <c r="E223" i="150"/>
  <c r="C223" i="150"/>
  <c r="I224" i="150"/>
  <c r="D224" i="150"/>
  <c r="J224" i="150"/>
  <c r="E224" i="150"/>
  <c r="C224" i="150"/>
  <c r="I225" i="150"/>
  <c r="D225" i="150"/>
  <c r="J225" i="150"/>
  <c r="E225" i="150"/>
  <c r="C225" i="150"/>
  <c r="I226" i="150"/>
  <c r="D226" i="150"/>
  <c r="J226" i="150"/>
  <c r="E226" i="150"/>
  <c r="C226" i="150"/>
  <c r="I227" i="150"/>
  <c r="D227" i="150"/>
  <c r="J227" i="150"/>
  <c r="E227" i="150"/>
  <c r="C227" i="150"/>
  <c r="I228" i="150"/>
  <c r="D228" i="150"/>
  <c r="J228" i="150"/>
  <c r="E228" i="150"/>
  <c r="C228" i="150"/>
  <c r="I229" i="150"/>
  <c r="D229" i="150"/>
  <c r="J229" i="150"/>
  <c r="E229" i="150"/>
  <c r="C229" i="150"/>
  <c r="I230" i="150"/>
  <c r="D230" i="150"/>
  <c r="J230" i="150"/>
  <c r="E230" i="150"/>
  <c r="C230" i="150"/>
  <c r="I231" i="150"/>
  <c r="D231" i="150"/>
  <c r="J231" i="150"/>
  <c r="E231" i="150"/>
  <c r="C231" i="150"/>
  <c r="I232" i="150"/>
  <c r="D232" i="150"/>
  <c r="J232" i="150"/>
  <c r="E232" i="150"/>
  <c r="C232" i="150"/>
  <c r="I233" i="150"/>
  <c r="D233" i="150"/>
  <c r="J233" i="150"/>
  <c r="E233" i="150"/>
  <c r="C233" i="150"/>
  <c r="I234" i="150"/>
  <c r="D234" i="150"/>
  <c r="J234" i="150"/>
  <c r="E234" i="150"/>
  <c r="C234" i="150"/>
  <c r="I235" i="150"/>
  <c r="D235" i="150"/>
  <c r="J235" i="150"/>
  <c r="E235" i="150"/>
  <c r="C235" i="150"/>
  <c r="I236" i="150"/>
  <c r="D236" i="150"/>
  <c r="J236" i="150"/>
  <c r="E236" i="150"/>
  <c r="C236" i="150"/>
  <c r="I237" i="150"/>
  <c r="D237" i="150"/>
  <c r="J237" i="150"/>
  <c r="E237" i="150"/>
  <c r="C237" i="150"/>
  <c r="I238" i="150"/>
  <c r="D238" i="150"/>
  <c r="J238" i="150"/>
  <c r="E238" i="150"/>
  <c r="C238" i="150"/>
  <c r="I239" i="150"/>
  <c r="D239" i="150"/>
  <c r="J239" i="150"/>
  <c r="E239" i="150"/>
  <c r="C239" i="150"/>
  <c r="I240" i="150"/>
  <c r="D240" i="150"/>
  <c r="J240" i="150"/>
  <c r="E240" i="150"/>
  <c r="C240" i="150"/>
  <c r="I241" i="150"/>
  <c r="D241" i="150"/>
  <c r="J241" i="150"/>
  <c r="E241" i="150"/>
  <c r="C241" i="150"/>
  <c r="I242" i="150"/>
  <c r="D242" i="150"/>
  <c r="J242" i="150"/>
  <c r="E242" i="150"/>
  <c r="C242" i="150"/>
  <c r="I243" i="150"/>
  <c r="D243" i="150"/>
  <c r="J243" i="150"/>
  <c r="E243" i="150"/>
  <c r="C243" i="150"/>
  <c r="I244" i="150"/>
  <c r="D244" i="150"/>
  <c r="J244" i="150"/>
  <c r="E244" i="150"/>
  <c r="C244" i="150"/>
  <c r="I245" i="150"/>
  <c r="D245" i="150"/>
  <c r="J245" i="150"/>
  <c r="E245" i="150"/>
  <c r="C245" i="150"/>
  <c r="I246" i="150"/>
  <c r="D246" i="150"/>
  <c r="J246" i="150"/>
  <c r="E246" i="150"/>
  <c r="C246" i="150"/>
  <c r="I247" i="150"/>
  <c r="D247" i="150"/>
  <c r="J247" i="150"/>
  <c r="E247" i="150"/>
  <c r="C247" i="150"/>
  <c r="I248" i="150"/>
  <c r="D248" i="150"/>
  <c r="J248" i="150"/>
  <c r="E248" i="150"/>
  <c r="C248" i="150"/>
  <c r="I249" i="150"/>
  <c r="D249" i="150"/>
  <c r="J249" i="150"/>
  <c r="E249" i="150"/>
  <c r="C249" i="150"/>
  <c r="I250" i="150"/>
  <c r="D250" i="150"/>
  <c r="J250" i="150"/>
  <c r="E250" i="150"/>
  <c r="C250" i="150"/>
  <c r="I251" i="150"/>
  <c r="D251" i="150"/>
  <c r="J251" i="150"/>
  <c r="E251" i="150"/>
  <c r="C251" i="150"/>
  <c r="I252" i="150"/>
  <c r="D252" i="150"/>
  <c r="J252" i="150"/>
  <c r="E252" i="150"/>
  <c r="C252" i="150"/>
  <c r="I253" i="150"/>
  <c r="D253" i="150"/>
  <c r="J253" i="150"/>
  <c r="E253" i="150"/>
  <c r="C253" i="150"/>
  <c r="I254" i="150"/>
  <c r="D254" i="150"/>
  <c r="J254" i="150"/>
  <c r="E254" i="150"/>
  <c r="C254" i="150"/>
  <c r="I255" i="150"/>
  <c r="D255" i="150"/>
  <c r="J255" i="150"/>
  <c r="E255" i="150"/>
  <c r="C255" i="150"/>
  <c r="I256" i="150"/>
  <c r="D256" i="150"/>
  <c r="J256" i="150"/>
  <c r="E256" i="150"/>
  <c r="C256" i="150"/>
  <c r="I257" i="150"/>
  <c r="D257" i="150"/>
  <c r="J257" i="150"/>
  <c r="E257" i="150"/>
  <c r="C257" i="150"/>
  <c r="I258" i="150"/>
  <c r="D258" i="150"/>
  <c r="J258" i="150"/>
  <c r="E258" i="150"/>
  <c r="C258" i="150"/>
  <c r="I259" i="150"/>
  <c r="D259" i="150"/>
  <c r="J259" i="150"/>
  <c r="E259" i="150"/>
  <c r="C259" i="150"/>
  <c r="I260" i="150"/>
  <c r="D260" i="150"/>
  <c r="J260" i="150"/>
  <c r="E260" i="150"/>
  <c r="C260" i="150"/>
  <c r="I261" i="150"/>
  <c r="D261" i="150"/>
  <c r="J261" i="150"/>
  <c r="E261" i="150"/>
  <c r="C261" i="150"/>
  <c r="I262" i="150"/>
  <c r="D262" i="150"/>
  <c r="J262" i="150"/>
  <c r="E262" i="150"/>
  <c r="C262" i="150"/>
  <c r="I263" i="150"/>
  <c r="D263" i="150"/>
  <c r="J263" i="150"/>
  <c r="E263" i="150"/>
  <c r="C263" i="150"/>
  <c r="I264" i="150"/>
  <c r="D264" i="150"/>
  <c r="J264" i="150"/>
  <c r="E264" i="150"/>
  <c r="C264" i="150"/>
  <c r="I265" i="150"/>
  <c r="D265" i="150"/>
  <c r="J265" i="150"/>
  <c r="E265" i="150"/>
  <c r="C265" i="150"/>
  <c r="I266" i="150"/>
  <c r="D266" i="150"/>
  <c r="J266" i="150"/>
  <c r="E266" i="150"/>
  <c r="C266" i="150"/>
  <c r="I267" i="150"/>
  <c r="D267" i="150"/>
  <c r="J267" i="150"/>
  <c r="E267" i="150"/>
  <c r="C267" i="150"/>
  <c r="I268" i="150"/>
  <c r="D268" i="150"/>
  <c r="J268" i="150"/>
  <c r="E268" i="150"/>
  <c r="C268" i="150"/>
  <c r="I269" i="150"/>
  <c r="D269" i="150"/>
  <c r="J269" i="150"/>
  <c r="E269" i="150"/>
  <c r="C269" i="150"/>
  <c r="I270" i="150"/>
  <c r="D270" i="150"/>
  <c r="J270" i="150"/>
  <c r="E270" i="150"/>
  <c r="C270" i="150"/>
  <c r="I271" i="150"/>
  <c r="D271" i="150"/>
  <c r="J271" i="150"/>
  <c r="E271" i="150"/>
  <c r="C271" i="150"/>
  <c r="I272" i="150"/>
  <c r="D272" i="150"/>
  <c r="J272" i="150"/>
  <c r="E272" i="150"/>
  <c r="C272" i="150"/>
  <c r="I273" i="150"/>
  <c r="D273" i="150"/>
  <c r="J273" i="150"/>
  <c r="E273" i="150"/>
  <c r="C273" i="150"/>
  <c r="I274" i="150"/>
  <c r="D274" i="150"/>
  <c r="J274" i="150"/>
  <c r="E274" i="150"/>
  <c r="C274" i="150"/>
  <c r="I275" i="150"/>
  <c r="D275" i="150"/>
  <c r="J275" i="150"/>
  <c r="E275" i="150"/>
  <c r="C275" i="150"/>
  <c r="I276" i="150"/>
  <c r="D276" i="150"/>
  <c r="J276" i="150"/>
  <c r="E276" i="150"/>
  <c r="C276" i="150"/>
  <c r="I277" i="150"/>
  <c r="D277" i="150"/>
  <c r="J277" i="150"/>
  <c r="E277" i="150"/>
  <c r="C277" i="150"/>
  <c r="I278" i="150"/>
  <c r="D278" i="150"/>
  <c r="J278" i="150"/>
  <c r="E278" i="150"/>
  <c r="C278" i="150"/>
  <c r="I279" i="150"/>
  <c r="D279" i="150"/>
  <c r="J279" i="150"/>
  <c r="E279" i="150"/>
  <c r="C279" i="150"/>
  <c r="I280" i="150"/>
  <c r="D280" i="150"/>
  <c r="J280" i="150"/>
  <c r="E280" i="150"/>
  <c r="C280" i="150"/>
  <c r="I281" i="150"/>
  <c r="D281" i="150"/>
  <c r="J281" i="150"/>
  <c r="E281" i="150"/>
  <c r="C281" i="150"/>
  <c r="I282" i="150"/>
  <c r="D282" i="150"/>
  <c r="J282" i="150"/>
  <c r="E282" i="150"/>
  <c r="C282" i="150"/>
  <c r="I283" i="150"/>
  <c r="D283" i="150"/>
  <c r="J283" i="150"/>
  <c r="E283" i="150"/>
  <c r="C283" i="150"/>
  <c r="I284" i="150"/>
  <c r="D284" i="150"/>
  <c r="J284" i="150"/>
  <c r="E284" i="150"/>
  <c r="C284" i="150"/>
  <c r="I285" i="150"/>
  <c r="D285" i="150"/>
  <c r="J285" i="150"/>
  <c r="E285" i="150"/>
  <c r="C285" i="150"/>
  <c r="I286" i="150"/>
  <c r="D286" i="150"/>
  <c r="J286" i="150"/>
  <c r="E286" i="150"/>
  <c r="C286" i="150"/>
  <c r="I287" i="150"/>
  <c r="D287" i="150"/>
  <c r="J287" i="150"/>
  <c r="E287" i="150"/>
  <c r="C287" i="150"/>
  <c r="I288" i="150"/>
  <c r="D288" i="150"/>
  <c r="J288" i="150"/>
  <c r="E288" i="150"/>
  <c r="C288" i="150"/>
  <c r="I289" i="150"/>
  <c r="D289" i="150"/>
  <c r="J289" i="150"/>
  <c r="E289" i="150"/>
  <c r="C289" i="150"/>
  <c r="I290" i="150"/>
  <c r="D290" i="150"/>
  <c r="J290" i="150"/>
  <c r="E290" i="150"/>
  <c r="C290" i="150"/>
  <c r="I291" i="150"/>
  <c r="D291" i="150"/>
  <c r="J291" i="150"/>
  <c r="E291" i="150"/>
  <c r="C291" i="150"/>
  <c r="I292" i="150"/>
  <c r="D292" i="150"/>
  <c r="J292" i="150"/>
  <c r="E292" i="150"/>
  <c r="C292" i="150"/>
  <c r="I293" i="150"/>
  <c r="D293" i="150"/>
  <c r="J293" i="150"/>
  <c r="E293" i="150"/>
  <c r="C293" i="150"/>
  <c r="I294" i="150"/>
  <c r="D294" i="150"/>
  <c r="J294" i="150"/>
  <c r="E294" i="150"/>
  <c r="C294" i="150"/>
  <c r="I295" i="150"/>
  <c r="D295" i="150"/>
  <c r="J295" i="150"/>
  <c r="E295" i="150"/>
  <c r="C295" i="150"/>
  <c r="I296" i="150"/>
  <c r="D296" i="150"/>
  <c r="J296" i="150"/>
  <c r="E296" i="150"/>
  <c r="C296" i="150"/>
  <c r="I297" i="150"/>
  <c r="D297" i="150"/>
  <c r="J297" i="150"/>
  <c r="E297" i="150"/>
  <c r="C297" i="150"/>
  <c r="I298" i="150"/>
  <c r="D298" i="150"/>
  <c r="J298" i="150"/>
  <c r="E298" i="150"/>
  <c r="C298" i="150"/>
  <c r="I299" i="150"/>
  <c r="D299" i="150"/>
  <c r="J299" i="150"/>
  <c r="E299" i="150"/>
  <c r="C299" i="150"/>
  <c r="I300" i="150"/>
  <c r="D300" i="150"/>
  <c r="J300" i="150"/>
  <c r="E300" i="150"/>
  <c r="C300" i="150"/>
  <c r="I301" i="150"/>
  <c r="D301" i="150"/>
  <c r="J301" i="150"/>
  <c r="E301" i="150"/>
  <c r="C301" i="150"/>
  <c r="I302" i="150"/>
  <c r="D302" i="150"/>
  <c r="J302" i="150"/>
  <c r="E302" i="150"/>
  <c r="C302" i="150"/>
  <c r="I303" i="150"/>
  <c r="D303" i="150"/>
  <c r="J303" i="150"/>
  <c r="E303" i="150"/>
  <c r="C303" i="150"/>
  <c r="I304" i="150"/>
  <c r="D304" i="150"/>
  <c r="J304" i="150"/>
  <c r="E304" i="150"/>
  <c r="C304" i="150"/>
  <c r="I305" i="150"/>
  <c r="D305" i="150"/>
  <c r="J305" i="150"/>
  <c r="E305" i="150"/>
  <c r="C305" i="150"/>
  <c r="I306" i="150"/>
  <c r="D306" i="150"/>
  <c r="J306" i="150"/>
  <c r="E306" i="150"/>
  <c r="C306" i="150"/>
  <c r="I307" i="150"/>
  <c r="D307" i="150"/>
  <c r="J307" i="150"/>
  <c r="E307" i="150"/>
  <c r="C307" i="150"/>
  <c r="I308" i="150"/>
  <c r="D308" i="150"/>
  <c r="J308" i="150"/>
  <c r="E308" i="150"/>
  <c r="C308" i="150"/>
  <c r="I309" i="150"/>
  <c r="D309" i="150"/>
  <c r="J309" i="150"/>
  <c r="E309" i="150"/>
  <c r="C309" i="150"/>
  <c r="I310" i="150"/>
  <c r="D310" i="150"/>
  <c r="J310" i="150"/>
  <c r="E310" i="150"/>
  <c r="C310" i="150"/>
  <c r="I311" i="150"/>
  <c r="D311" i="150"/>
  <c r="J311" i="150"/>
  <c r="E311" i="150"/>
  <c r="C311" i="150"/>
  <c r="I312" i="150"/>
  <c r="D312" i="150"/>
  <c r="J312" i="150"/>
  <c r="E312" i="150"/>
  <c r="C312" i="150"/>
  <c r="I313" i="150"/>
  <c r="D313" i="150"/>
  <c r="J313" i="150"/>
  <c r="E313" i="150"/>
  <c r="C313" i="150"/>
  <c r="I314" i="150"/>
  <c r="D314" i="150"/>
  <c r="J314" i="150"/>
  <c r="E314" i="150"/>
  <c r="C314" i="150"/>
  <c r="I315" i="150"/>
  <c r="D315" i="150"/>
  <c r="J315" i="150"/>
  <c r="E315" i="150"/>
  <c r="C315" i="150"/>
  <c r="I316" i="150"/>
  <c r="D316" i="150"/>
  <c r="J316" i="150"/>
  <c r="E316" i="150"/>
  <c r="C316" i="150"/>
  <c r="I317" i="150"/>
  <c r="D317" i="150"/>
  <c r="J317" i="150"/>
  <c r="E317" i="150"/>
  <c r="C317" i="150"/>
  <c r="I318" i="150"/>
  <c r="D318" i="150"/>
  <c r="J318" i="150"/>
  <c r="E318" i="150"/>
  <c r="C318" i="150"/>
  <c r="I319" i="150"/>
  <c r="D319" i="150"/>
  <c r="J319" i="150"/>
  <c r="E319" i="150"/>
  <c r="C319" i="150"/>
  <c r="I320" i="150"/>
  <c r="D320" i="150"/>
  <c r="J320" i="150"/>
  <c r="E320" i="150"/>
  <c r="C320" i="150"/>
  <c r="I321" i="150"/>
  <c r="D321" i="150"/>
  <c r="J321" i="150"/>
  <c r="E321" i="150"/>
  <c r="C321" i="150"/>
  <c r="I322" i="150"/>
  <c r="D322" i="150"/>
  <c r="J322" i="150"/>
  <c r="E322" i="150"/>
  <c r="C322" i="150"/>
  <c r="I323" i="150"/>
  <c r="D323" i="150"/>
  <c r="J323" i="150"/>
  <c r="E323" i="150"/>
  <c r="C323" i="150"/>
  <c r="I324" i="150"/>
  <c r="D324" i="150"/>
  <c r="J324" i="150"/>
  <c r="E324" i="150"/>
  <c r="C324" i="150"/>
  <c r="I325" i="150"/>
  <c r="D325" i="150"/>
  <c r="J325" i="150"/>
  <c r="E325" i="150"/>
  <c r="C325" i="150"/>
  <c r="I326" i="150"/>
  <c r="D326" i="150"/>
  <c r="J326" i="150"/>
  <c r="E326" i="150"/>
  <c r="C326" i="150"/>
  <c r="I327" i="150"/>
  <c r="D327" i="150"/>
  <c r="J327" i="150"/>
  <c r="E327" i="150"/>
  <c r="C327" i="150"/>
  <c r="I328" i="150"/>
  <c r="D328" i="150"/>
  <c r="J328" i="150"/>
  <c r="E328" i="150"/>
  <c r="C328" i="150"/>
  <c r="I329" i="150"/>
  <c r="D329" i="150"/>
  <c r="J329" i="150"/>
  <c r="E329" i="150"/>
  <c r="C329" i="150"/>
  <c r="I330" i="150"/>
  <c r="D330" i="150"/>
  <c r="J330" i="150"/>
  <c r="E330" i="150"/>
  <c r="C330" i="150"/>
  <c r="I331" i="150"/>
  <c r="D331" i="150"/>
  <c r="J331" i="150"/>
  <c r="E331" i="150"/>
  <c r="C331" i="150"/>
  <c r="I332" i="150"/>
  <c r="D332" i="150"/>
  <c r="J332" i="150"/>
  <c r="E332" i="150"/>
  <c r="C332" i="150"/>
  <c r="I333" i="150"/>
  <c r="D333" i="150"/>
  <c r="J333" i="150"/>
  <c r="E333" i="150"/>
  <c r="C333" i="150"/>
  <c r="I334" i="150"/>
  <c r="D334" i="150"/>
  <c r="J334" i="150"/>
  <c r="E334" i="150"/>
  <c r="C334" i="150"/>
  <c r="I335" i="150"/>
  <c r="D335" i="150"/>
  <c r="J335" i="150"/>
  <c r="E335" i="150"/>
  <c r="C335" i="150"/>
  <c r="I336" i="150"/>
  <c r="D336" i="150"/>
  <c r="J336" i="150"/>
  <c r="E336" i="150"/>
  <c r="C336" i="150"/>
  <c r="I337" i="150"/>
  <c r="D337" i="150"/>
  <c r="J337" i="150"/>
  <c r="E337" i="150"/>
  <c r="C337" i="150"/>
  <c r="I338" i="150"/>
  <c r="D338" i="150"/>
  <c r="J338" i="150"/>
  <c r="E338" i="150"/>
  <c r="C338" i="150"/>
  <c r="I339" i="150"/>
  <c r="D339" i="150"/>
  <c r="J339" i="150"/>
  <c r="E339" i="150"/>
  <c r="C339" i="150"/>
  <c r="I340" i="150"/>
  <c r="D340" i="150"/>
  <c r="J340" i="150"/>
  <c r="E340" i="150"/>
  <c r="C340" i="150"/>
  <c r="I341" i="150"/>
  <c r="D341" i="150"/>
  <c r="J341" i="150"/>
  <c r="E341" i="150"/>
  <c r="C341" i="150"/>
  <c r="I342" i="150"/>
  <c r="D342" i="150"/>
  <c r="J342" i="150"/>
  <c r="E342" i="150"/>
  <c r="C342" i="150"/>
  <c r="I343" i="150"/>
  <c r="D343" i="150"/>
  <c r="J343" i="150"/>
  <c r="E343" i="150"/>
  <c r="C343" i="150"/>
  <c r="I344" i="150"/>
  <c r="D344" i="150"/>
  <c r="J344" i="150"/>
  <c r="E344" i="150"/>
  <c r="C344" i="150"/>
  <c r="I345" i="150"/>
  <c r="D345" i="150"/>
  <c r="J345" i="150"/>
  <c r="E345" i="150"/>
  <c r="C345" i="150"/>
  <c r="I346" i="150"/>
  <c r="D346" i="150"/>
  <c r="J346" i="150"/>
  <c r="E346" i="150"/>
  <c r="C346" i="150"/>
  <c r="I347" i="150"/>
  <c r="D347" i="150"/>
  <c r="J347" i="150"/>
  <c r="E347" i="150"/>
  <c r="C347" i="150"/>
  <c r="I348" i="150"/>
  <c r="D348" i="150"/>
  <c r="J348" i="150"/>
  <c r="E348" i="150"/>
  <c r="C348" i="150"/>
  <c r="I349" i="150"/>
  <c r="D349" i="150"/>
  <c r="J349" i="150"/>
  <c r="E349" i="150"/>
  <c r="C349" i="150"/>
  <c r="I350" i="150"/>
  <c r="D350" i="150"/>
  <c r="J350" i="150"/>
  <c r="E350" i="150"/>
  <c r="C350" i="150"/>
  <c r="I351" i="150"/>
  <c r="D351" i="150"/>
  <c r="J351" i="150"/>
  <c r="E351" i="150"/>
  <c r="C351" i="150"/>
  <c r="I352" i="150"/>
  <c r="D352" i="150"/>
  <c r="J352" i="150"/>
  <c r="E352" i="150"/>
  <c r="C352" i="150"/>
  <c r="I353" i="150"/>
  <c r="D353" i="150"/>
  <c r="J353" i="150"/>
  <c r="E353" i="150"/>
  <c r="C353" i="150"/>
  <c r="I354" i="150"/>
  <c r="D354" i="150"/>
  <c r="J354" i="150"/>
  <c r="E354" i="150"/>
  <c r="C354" i="150"/>
  <c r="I355" i="150"/>
  <c r="D355" i="150"/>
  <c r="J355" i="150"/>
  <c r="E355" i="150"/>
  <c r="C355" i="150"/>
  <c r="I356" i="150"/>
  <c r="D356" i="150"/>
  <c r="J356" i="150"/>
  <c r="E356" i="150"/>
  <c r="F356" i="150"/>
  <c r="C356" i="150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38" i="149"/>
  <c r="F8" i="149"/>
  <c r="E8" i="149"/>
  <c r="C46" i="149"/>
  <c r="B38" i="149"/>
  <c r="E37" i="149"/>
  <c r="B37" i="149"/>
  <c r="E41" i="149"/>
  <c r="B41" i="149"/>
  <c r="F6" i="149"/>
  <c r="E6" i="149"/>
  <c r="E43" i="149"/>
  <c r="B43" i="149"/>
  <c r="E44" i="149"/>
  <c r="B44" i="149"/>
  <c r="B36" i="149"/>
  <c r="I2" i="148"/>
  <c r="J2" i="148"/>
  <c r="D2" i="148"/>
  <c r="E2" i="148"/>
  <c r="C2" i="148"/>
  <c r="I3" i="148"/>
  <c r="J3" i="148"/>
  <c r="D3" i="148"/>
  <c r="E3" i="148"/>
  <c r="C3" i="148"/>
  <c r="I4" i="148"/>
  <c r="J4" i="148"/>
  <c r="D4" i="148"/>
  <c r="E4" i="148"/>
  <c r="C4" i="148"/>
  <c r="I5" i="148"/>
  <c r="J5" i="148"/>
  <c r="D5" i="148"/>
  <c r="E5" i="148"/>
  <c r="C5" i="148"/>
  <c r="I6" i="148"/>
  <c r="J6" i="148"/>
  <c r="D6" i="148"/>
  <c r="E6" i="148"/>
  <c r="C6" i="148"/>
  <c r="I7" i="148"/>
  <c r="J7" i="148"/>
  <c r="D7" i="148"/>
  <c r="E7" i="148"/>
  <c r="C7" i="148"/>
  <c r="I8" i="148"/>
  <c r="J8" i="148"/>
  <c r="D8" i="148"/>
  <c r="E8" i="148"/>
  <c r="C8" i="148"/>
  <c r="I9" i="148"/>
  <c r="J9" i="148"/>
  <c r="D9" i="148"/>
  <c r="E9" i="148"/>
  <c r="C9" i="148"/>
  <c r="I10" i="148"/>
  <c r="J10" i="148"/>
  <c r="D10" i="148"/>
  <c r="E10" i="148"/>
  <c r="C10" i="148"/>
  <c r="I11" i="148"/>
  <c r="J11" i="148"/>
  <c r="D11" i="148"/>
  <c r="E11" i="148"/>
  <c r="C11" i="148"/>
  <c r="I12" i="148"/>
  <c r="J12" i="148"/>
  <c r="D12" i="148"/>
  <c r="E12" i="148"/>
  <c r="C12" i="148"/>
  <c r="I13" i="148"/>
  <c r="J13" i="148"/>
  <c r="D13" i="148"/>
  <c r="E13" i="148"/>
  <c r="C13" i="148"/>
  <c r="I14" i="148"/>
  <c r="J14" i="148"/>
  <c r="D14" i="148"/>
  <c r="E14" i="148"/>
  <c r="C14" i="148"/>
  <c r="I15" i="148"/>
  <c r="J15" i="148"/>
  <c r="D15" i="148"/>
  <c r="E15" i="148"/>
  <c r="C15" i="148"/>
  <c r="I16" i="148"/>
  <c r="J16" i="148"/>
  <c r="D16" i="148"/>
  <c r="E16" i="148"/>
  <c r="C16" i="148"/>
  <c r="I17" i="148"/>
  <c r="J17" i="148"/>
  <c r="D17" i="148"/>
  <c r="E17" i="148"/>
  <c r="C17" i="148"/>
  <c r="I18" i="148"/>
  <c r="J18" i="148"/>
  <c r="D18" i="148"/>
  <c r="E18" i="148"/>
  <c r="C18" i="148"/>
  <c r="I19" i="148"/>
  <c r="J19" i="148"/>
  <c r="D19" i="148"/>
  <c r="E19" i="148"/>
  <c r="C19" i="148"/>
  <c r="I20" i="148"/>
  <c r="J20" i="148"/>
  <c r="D20" i="148"/>
  <c r="E20" i="148"/>
  <c r="C20" i="148"/>
  <c r="I21" i="148"/>
  <c r="J21" i="148"/>
  <c r="D21" i="148"/>
  <c r="E21" i="148"/>
  <c r="C21" i="148"/>
  <c r="I22" i="148"/>
  <c r="J22" i="148"/>
  <c r="D22" i="148"/>
  <c r="E22" i="148"/>
  <c r="C22" i="148"/>
  <c r="I23" i="148"/>
  <c r="J23" i="148"/>
  <c r="D23" i="148"/>
  <c r="E23" i="148"/>
  <c r="C23" i="148"/>
  <c r="I24" i="148"/>
  <c r="J24" i="148"/>
  <c r="D24" i="148"/>
  <c r="E24" i="148"/>
  <c r="C24" i="148"/>
  <c r="I25" i="148"/>
  <c r="J25" i="148"/>
  <c r="D25" i="148"/>
  <c r="E25" i="148"/>
  <c r="C25" i="148"/>
  <c r="I26" i="148"/>
  <c r="J26" i="148"/>
  <c r="D26" i="148"/>
  <c r="E26" i="148"/>
  <c r="C26" i="148"/>
  <c r="I27" i="148"/>
  <c r="J27" i="148"/>
  <c r="D27" i="148"/>
  <c r="E27" i="148"/>
  <c r="C27" i="148"/>
  <c r="I28" i="148"/>
  <c r="J28" i="148"/>
  <c r="D28" i="148"/>
  <c r="E28" i="148"/>
  <c r="C28" i="148"/>
  <c r="I29" i="148"/>
  <c r="J29" i="148"/>
  <c r="D29" i="148"/>
  <c r="E29" i="148"/>
  <c r="C29" i="148"/>
  <c r="I30" i="148"/>
  <c r="J30" i="148"/>
  <c r="D30" i="148"/>
  <c r="E30" i="148"/>
  <c r="C30" i="148"/>
  <c r="I31" i="148"/>
  <c r="J31" i="148"/>
  <c r="D31" i="148"/>
  <c r="E31" i="148"/>
  <c r="C31" i="148"/>
  <c r="I32" i="148"/>
  <c r="J32" i="148"/>
  <c r="D32" i="148"/>
  <c r="E32" i="148"/>
  <c r="C32" i="148"/>
  <c r="I33" i="148"/>
  <c r="J33" i="148"/>
  <c r="D33" i="148"/>
  <c r="E33" i="148"/>
  <c r="C33" i="148"/>
  <c r="I34" i="148"/>
  <c r="J34" i="148"/>
  <c r="D34" i="148"/>
  <c r="E34" i="148"/>
  <c r="C34" i="148"/>
  <c r="I35" i="148"/>
  <c r="J35" i="148"/>
  <c r="D35" i="148"/>
  <c r="E35" i="148"/>
  <c r="C35" i="148"/>
  <c r="I36" i="148"/>
  <c r="J36" i="148"/>
  <c r="D36" i="148"/>
  <c r="E36" i="148"/>
  <c r="C36" i="148"/>
  <c r="I37" i="148"/>
  <c r="J37" i="148"/>
  <c r="D37" i="148"/>
  <c r="E37" i="148"/>
  <c r="C37" i="148"/>
  <c r="I38" i="148"/>
  <c r="J38" i="148"/>
  <c r="D38" i="148"/>
  <c r="E38" i="148"/>
  <c r="C38" i="148"/>
  <c r="I39" i="148"/>
  <c r="J39" i="148"/>
  <c r="D39" i="148"/>
  <c r="E39" i="148"/>
  <c r="C39" i="148"/>
  <c r="I40" i="148"/>
  <c r="J40" i="148"/>
  <c r="D40" i="148"/>
  <c r="E40" i="148"/>
  <c r="C40" i="148"/>
  <c r="I41" i="148"/>
  <c r="J41" i="148"/>
  <c r="D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J215" i="148"/>
  <c r="D215" i="148"/>
  <c r="E215" i="148"/>
  <c r="C215" i="148"/>
  <c r="I216" i="148"/>
  <c r="J216" i="148"/>
  <c r="D216" i="148"/>
  <c r="E216" i="148"/>
  <c r="C216" i="148"/>
  <c r="I217" i="148"/>
  <c r="J217" i="148"/>
  <c r="D217" i="148"/>
  <c r="E217" i="148"/>
  <c r="C217" i="148"/>
  <c r="I218" i="148"/>
  <c r="J218" i="148"/>
  <c r="D218" i="148"/>
  <c r="E218" i="148"/>
  <c r="C218" i="148"/>
  <c r="I219" i="148"/>
  <c r="J219" i="148"/>
  <c r="D219" i="148"/>
  <c r="E219" i="148"/>
  <c r="C219" i="148"/>
  <c r="I220" i="148"/>
  <c r="J220" i="148"/>
  <c r="D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C295" i="148"/>
  <c r="I296" i="148"/>
  <c r="D296" i="148"/>
  <c r="J296" i="148"/>
  <c r="E296" i="148"/>
  <c r="C296" i="148"/>
  <c r="I297" i="148"/>
  <c r="D297" i="148"/>
  <c r="J297" i="148"/>
  <c r="E297" i="148"/>
  <c r="C297" i="148"/>
  <c r="I298" i="148"/>
  <c r="D298" i="148"/>
  <c r="J298" i="148"/>
  <c r="E298" i="148"/>
  <c r="C298" i="148"/>
  <c r="I299" i="148"/>
  <c r="D299" i="148"/>
  <c r="J299" i="148"/>
  <c r="E299" i="148"/>
  <c r="C299" i="148"/>
  <c r="I300" i="148"/>
  <c r="D300" i="148"/>
  <c r="J300" i="148"/>
  <c r="E300" i="148"/>
  <c r="C300" i="148"/>
  <c r="I301" i="148"/>
  <c r="D301" i="148"/>
  <c r="J301" i="148"/>
  <c r="E301" i="148"/>
  <c r="C301" i="148"/>
  <c r="I302" i="148"/>
  <c r="D302" i="148"/>
  <c r="J302" i="148"/>
  <c r="E302" i="148"/>
  <c r="C302" i="148"/>
  <c r="I303" i="148"/>
  <c r="D303" i="148"/>
  <c r="J303" i="148"/>
  <c r="E303" i="148"/>
  <c r="C303" i="148"/>
  <c r="I304" i="148"/>
  <c r="D304" i="148"/>
  <c r="J304" i="148"/>
  <c r="E304" i="148"/>
  <c r="C304" i="148"/>
  <c r="I305" i="148"/>
  <c r="D305" i="148"/>
  <c r="J305" i="148"/>
  <c r="E305" i="148"/>
  <c r="C305" i="148"/>
  <c r="I306" i="148"/>
  <c r="D306" i="148"/>
  <c r="J306" i="148"/>
  <c r="E306" i="148"/>
  <c r="C306" i="148"/>
  <c r="I307" i="148"/>
  <c r="D307" i="148"/>
  <c r="J307" i="148"/>
  <c r="E307" i="148"/>
  <c r="C307" i="148"/>
  <c r="I308" i="148"/>
  <c r="D308" i="148"/>
  <c r="J308" i="148"/>
  <c r="E308" i="148"/>
  <c r="C308" i="148"/>
  <c r="I309" i="148"/>
  <c r="D309" i="148"/>
  <c r="J309" i="148"/>
  <c r="E309" i="148"/>
  <c r="C309" i="148"/>
  <c r="I310" i="148"/>
  <c r="D310" i="148"/>
  <c r="J310" i="148"/>
  <c r="E310" i="148"/>
  <c r="C310" i="148"/>
  <c r="I311" i="148"/>
  <c r="D311" i="148"/>
  <c r="J311" i="148"/>
  <c r="E311" i="148"/>
  <c r="C311" i="148"/>
  <c r="I312" i="148"/>
  <c r="D312" i="148"/>
  <c r="J312" i="148"/>
  <c r="E312" i="148"/>
  <c r="C312" i="148"/>
  <c r="I313" i="148"/>
  <c r="D313" i="148"/>
  <c r="J313" i="148"/>
  <c r="E313" i="148"/>
  <c r="C313" i="148"/>
  <c r="I314" i="148"/>
  <c r="D314" i="148"/>
  <c r="J314" i="148"/>
  <c r="E314" i="148"/>
  <c r="C314" i="148"/>
  <c r="I315" i="148"/>
  <c r="D315" i="148"/>
  <c r="J315" i="148"/>
  <c r="E315" i="148"/>
  <c r="C315" i="148"/>
  <c r="I316" i="148"/>
  <c r="D316" i="148"/>
  <c r="J316" i="148"/>
  <c r="E316" i="148"/>
  <c r="C316" i="148"/>
  <c r="I317" i="148"/>
  <c r="D317" i="148"/>
  <c r="J317" i="148"/>
  <c r="E317" i="148"/>
  <c r="C317" i="148"/>
  <c r="I318" i="148"/>
  <c r="D318" i="148"/>
  <c r="J318" i="148"/>
  <c r="E318" i="148"/>
  <c r="C318" i="148"/>
  <c r="I319" i="148"/>
  <c r="D319" i="148"/>
  <c r="J319" i="148"/>
  <c r="E319" i="148"/>
  <c r="C319" i="148"/>
  <c r="I320" i="148"/>
  <c r="D320" i="148"/>
  <c r="J320" i="148"/>
  <c r="E320" i="148"/>
  <c r="C320" i="148"/>
  <c r="I321" i="148"/>
  <c r="D321" i="148"/>
  <c r="J321" i="148"/>
  <c r="E321" i="148"/>
  <c r="C321" i="148"/>
  <c r="I322" i="148"/>
  <c r="D322" i="148"/>
  <c r="J322" i="148"/>
  <c r="E322" i="148"/>
  <c r="C322" i="148"/>
  <c r="I323" i="148"/>
  <c r="D323" i="148"/>
  <c r="J323" i="148"/>
  <c r="E323" i="148"/>
  <c r="C323" i="148"/>
  <c r="I324" i="148"/>
  <c r="D324" i="148"/>
  <c r="J324" i="148"/>
  <c r="E324" i="148"/>
  <c r="C324" i="148"/>
  <c r="I325" i="148"/>
  <c r="D325" i="148"/>
  <c r="J325" i="148"/>
  <c r="E325" i="148"/>
  <c r="C325" i="148"/>
  <c r="I326" i="148"/>
  <c r="D326" i="148"/>
  <c r="J326" i="148"/>
  <c r="E326" i="148"/>
  <c r="C326" i="148"/>
  <c r="I327" i="148"/>
  <c r="D327" i="148"/>
  <c r="J327" i="148"/>
  <c r="E327" i="148"/>
  <c r="C327" i="148"/>
  <c r="I328" i="148"/>
  <c r="D328" i="148"/>
  <c r="J328" i="148"/>
  <c r="E328" i="148"/>
  <c r="C328" i="148"/>
  <c r="I329" i="148"/>
  <c r="D329" i="148"/>
  <c r="J329" i="148"/>
  <c r="E329" i="148"/>
  <c r="C329" i="148"/>
  <c r="I330" i="148"/>
  <c r="D330" i="148"/>
  <c r="J330" i="148"/>
  <c r="E330" i="148"/>
  <c r="C330" i="148"/>
  <c r="I331" i="148"/>
  <c r="D331" i="148"/>
  <c r="J331" i="148"/>
  <c r="E331" i="148"/>
  <c r="C331" i="148"/>
  <c r="I332" i="148"/>
  <c r="D332" i="148"/>
  <c r="J332" i="148"/>
  <c r="E332" i="148"/>
  <c r="C332" i="148"/>
  <c r="I333" i="148"/>
  <c r="D333" i="148"/>
  <c r="J333" i="148"/>
  <c r="E333" i="148"/>
  <c r="C333" i="148"/>
  <c r="I334" i="148"/>
  <c r="D334" i="148"/>
  <c r="J334" i="148"/>
  <c r="E334" i="148"/>
  <c r="C334" i="148"/>
  <c r="I335" i="148"/>
  <c r="D335" i="148"/>
  <c r="J335" i="148"/>
  <c r="E335" i="148"/>
  <c r="C335" i="148"/>
  <c r="I336" i="148"/>
  <c r="D336" i="148"/>
  <c r="J336" i="148"/>
  <c r="E336" i="148"/>
  <c r="C336" i="148"/>
  <c r="I337" i="148"/>
  <c r="D337" i="148"/>
  <c r="J337" i="148"/>
  <c r="E337" i="148"/>
  <c r="C337" i="148"/>
  <c r="I338" i="148"/>
  <c r="D338" i="148"/>
  <c r="J338" i="148"/>
  <c r="E338" i="148"/>
  <c r="C338" i="148"/>
  <c r="I339" i="148"/>
  <c r="D339" i="148"/>
  <c r="J339" i="148"/>
  <c r="E339" i="148"/>
  <c r="C339" i="148"/>
  <c r="I340" i="148"/>
  <c r="D340" i="148"/>
  <c r="J340" i="148"/>
  <c r="E340" i="148"/>
  <c r="C340" i="148"/>
  <c r="I341" i="148"/>
  <c r="D341" i="148"/>
  <c r="J341" i="148"/>
  <c r="E341" i="148"/>
  <c r="C341" i="148"/>
  <c r="I342" i="148"/>
  <c r="D342" i="148"/>
  <c r="J342" i="148"/>
  <c r="E342" i="148"/>
  <c r="C342" i="148"/>
  <c r="I343" i="148"/>
  <c r="D343" i="148"/>
  <c r="J343" i="148"/>
  <c r="E343" i="148"/>
  <c r="C343" i="148"/>
  <c r="I344" i="148"/>
  <c r="D344" i="148"/>
  <c r="J344" i="148"/>
  <c r="E344" i="148"/>
  <c r="C344" i="148"/>
  <c r="I345" i="148"/>
  <c r="D345" i="148"/>
  <c r="J345" i="148"/>
  <c r="E345" i="148"/>
  <c r="C345" i="148"/>
  <c r="I346" i="148"/>
  <c r="D346" i="148"/>
  <c r="J346" i="148"/>
  <c r="E346" i="148"/>
  <c r="C346" i="148"/>
  <c r="I347" i="148"/>
  <c r="D347" i="148"/>
  <c r="J347" i="148"/>
  <c r="E347" i="148"/>
  <c r="C347" i="148"/>
  <c r="I348" i="148"/>
  <c r="D348" i="148"/>
  <c r="J348" i="148"/>
  <c r="E348" i="148"/>
  <c r="C348" i="148"/>
  <c r="I349" i="148"/>
  <c r="D349" i="148"/>
  <c r="J349" i="148"/>
  <c r="E349" i="148"/>
  <c r="C349" i="148"/>
  <c r="I350" i="148"/>
  <c r="D350" i="148"/>
  <c r="J350" i="148"/>
  <c r="E350" i="148"/>
  <c r="C350" i="148"/>
  <c r="I351" i="148"/>
  <c r="D351" i="148"/>
  <c r="J351" i="148"/>
  <c r="E351" i="148"/>
  <c r="C351" i="148"/>
  <c r="I352" i="148"/>
  <c r="D352" i="148"/>
  <c r="J352" i="148"/>
  <c r="E352" i="148"/>
  <c r="C352" i="148"/>
  <c r="I353" i="148"/>
  <c r="D353" i="148"/>
  <c r="J353" i="148"/>
  <c r="E353" i="148"/>
  <c r="C353" i="148"/>
  <c r="I354" i="148"/>
  <c r="D354" i="148"/>
  <c r="J354" i="148"/>
  <c r="E354" i="148"/>
  <c r="C354" i="148"/>
  <c r="I355" i="148"/>
  <c r="D355" i="148"/>
  <c r="J355" i="148"/>
  <c r="E355" i="148"/>
  <c r="C355" i="148"/>
  <c r="I356" i="148"/>
  <c r="D356" i="148"/>
  <c r="J356" i="148"/>
  <c r="E356" i="148"/>
  <c r="F356" i="148"/>
  <c r="C356" i="148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38" i="147"/>
  <c r="F8" i="147"/>
  <c r="E8" i="147"/>
  <c r="C46" i="147"/>
  <c r="B38" i="147"/>
  <c r="E37" i="147"/>
  <c r="B37" i="147"/>
  <c r="E41" i="147"/>
  <c r="B41" i="147"/>
  <c r="F6" i="147"/>
  <c r="E6" i="147"/>
  <c r="E43" i="147"/>
  <c r="B43" i="147"/>
  <c r="E44" i="147"/>
  <c r="B44" i="147"/>
  <c r="B36" i="147"/>
  <c r="I2" i="82"/>
  <c r="J2" i="82"/>
  <c r="D2" i="82"/>
  <c r="E2" i="82"/>
  <c r="F2" i="82"/>
  <c r="C2" i="82"/>
  <c r="I3" i="82"/>
  <c r="J3" i="82"/>
  <c r="D3" i="82"/>
  <c r="E3" i="82"/>
  <c r="F3" i="82"/>
  <c r="C3" i="82"/>
  <c r="I4" i="82"/>
  <c r="J4" i="82"/>
  <c r="D4" i="82"/>
  <c r="E4" i="82"/>
  <c r="F4" i="82"/>
  <c r="C4" i="82"/>
  <c r="I5" i="82"/>
  <c r="J5" i="82"/>
  <c r="D5" i="82"/>
  <c r="E5" i="82"/>
  <c r="F5" i="82"/>
  <c r="C5" i="82"/>
  <c r="I6" i="82"/>
  <c r="J6" i="82"/>
  <c r="D6" i="82"/>
  <c r="E6" i="82"/>
  <c r="F6" i="82"/>
  <c r="C6" i="82"/>
  <c r="I7" i="82"/>
  <c r="J7" i="82"/>
  <c r="D7" i="82"/>
  <c r="E7" i="82"/>
  <c r="F7" i="82"/>
  <c r="C7" i="82"/>
  <c r="I8" i="82"/>
  <c r="J8" i="82"/>
  <c r="D8" i="82"/>
  <c r="E8" i="82"/>
  <c r="F8" i="82"/>
  <c r="C8" i="82"/>
  <c r="I9" i="82"/>
  <c r="J9" i="82"/>
  <c r="D9" i="82"/>
  <c r="E9" i="82"/>
  <c r="F9" i="82"/>
  <c r="C9" i="82"/>
  <c r="I10" i="82"/>
  <c r="J10" i="82"/>
  <c r="D10" i="82"/>
  <c r="E10" i="82"/>
  <c r="F10" i="82"/>
  <c r="C10" i="82"/>
  <c r="I11" i="82"/>
  <c r="J11" i="82"/>
  <c r="D11" i="82"/>
  <c r="E11" i="82"/>
  <c r="F11" i="82"/>
  <c r="C11" i="82"/>
  <c r="I12" i="82"/>
  <c r="J12" i="82"/>
  <c r="D12" i="82"/>
  <c r="E12" i="82"/>
  <c r="F12" i="82"/>
  <c r="C12" i="82"/>
  <c r="I13" i="82"/>
  <c r="J13" i="82"/>
  <c r="D13" i="82"/>
  <c r="E13" i="82"/>
  <c r="F13" i="82"/>
  <c r="C13" i="82"/>
  <c r="I14" i="82"/>
  <c r="J14" i="82"/>
  <c r="D14" i="82"/>
  <c r="E14" i="82"/>
  <c r="F14" i="82"/>
  <c r="C14" i="82"/>
  <c r="I15" i="82"/>
  <c r="J15" i="82"/>
  <c r="D15" i="82"/>
  <c r="E15" i="82"/>
  <c r="F15" i="82"/>
  <c r="C15" i="82"/>
  <c r="I16" i="82"/>
  <c r="J16" i="82"/>
  <c r="D16" i="82"/>
  <c r="E16" i="82"/>
  <c r="F16" i="82"/>
  <c r="C16" i="82"/>
  <c r="I17" i="82"/>
  <c r="J17" i="82"/>
  <c r="D17" i="82"/>
  <c r="E17" i="82"/>
  <c r="F17" i="82"/>
  <c r="C17" i="82"/>
  <c r="I18" i="82"/>
  <c r="J18" i="82"/>
  <c r="D18" i="82"/>
  <c r="E18" i="82"/>
  <c r="F18" i="82"/>
  <c r="C18" i="82"/>
  <c r="I19" i="82"/>
  <c r="J19" i="82"/>
  <c r="D19" i="82"/>
  <c r="E19" i="82"/>
  <c r="F19" i="82"/>
  <c r="C19" i="82"/>
  <c r="I20" i="82"/>
  <c r="J20" i="82"/>
  <c r="D20" i="82"/>
  <c r="E20" i="82"/>
  <c r="F20" i="82"/>
  <c r="C20" i="82"/>
  <c r="I21" i="82"/>
  <c r="J21" i="82"/>
  <c r="D21" i="82"/>
  <c r="E21" i="82"/>
  <c r="F21" i="82"/>
  <c r="C21" i="82"/>
  <c r="I22" i="82"/>
  <c r="J22" i="82"/>
  <c r="D22" i="82"/>
  <c r="E22" i="82"/>
  <c r="F22" i="82"/>
  <c r="C22" i="82"/>
  <c r="I23" i="82"/>
  <c r="J23" i="82"/>
  <c r="D23" i="82"/>
  <c r="E23" i="82"/>
  <c r="F23" i="82"/>
  <c r="C23" i="82"/>
  <c r="I24" i="82"/>
  <c r="J24" i="82"/>
  <c r="D24" i="82"/>
  <c r="E24" i="82"/>
  <c r="F24" i="82"/>
  <c r="C24" i="82"/>
  <c r="I25" i="82"/>
  <c r="J25" i="82"/>
  <c r="D25" i="82"/>
  <c r="E25" i="82"/>
  <c r="F25" i="82"/>
  <c r="C25" i="82"/>
  <c r="I26" i="82"/>
  <c r="J26" i="82"/>
  <c r="D26" i="82"/>
  <c r="E26" i="82"/>
  <c r="F26" i="82"/>
  <c r="C26" i="82"/>
  <c r="I27" i="82"/>
  <c r="J27" i="82"/>
  <c r="D27" i="82"/>
  <c r="E27" i="82"/>
  <c r="F27" i="82"/>
  <c r="C27" i="82"/>
  <c r="I28" i="82"/>
  <c r="J28" i="82"/>
  <c r="D28" i="82"/>
  <c r="E28" i="82"/>
  <c r="F28" i="82"/>
  <c r="C28" i="82"/>
  <c r="I29" i="82"/>
  <c r="J29" i="82"/>
  <c r="D29" i="82"/>
  <c r="E29" i="82"/>
  <c r="F29" i="82"/>
  <c r="C29" i="82"/>
  <c r="I30" i="82"/>
  <c r="J30" i="82"/>
  <c r="D30" i="82"/>
  <c r="E30" i="82"/>
  <c r="F30" i="82"/>
  <c r="C30" i="82"/>
  <c r="I31" i="82"/>
  <c r="J31" i="82"/>
  <c r="D31" i="82"/>
  <c r="E31" i="82"/>
  <c r="F31" i="82"/>
  <c r="C31" i="82"/>
  <c r="I32" i="82"/>
  <c r="J32" i="82"/>
  <c r="D32" i="82"/>
  <c r="E32" i="82"/>
  <c r="F32" i="82"/>
  <c r="C32" i="82"/>
  <c r="I33" i="82"/>
  <c r="J33" i="82"/>
  <c r="D33" i="82"/>
  <c r="E33" i="82"/>
  <c r="F33" i="82"/>
  <c r="C33" i="82"/>
  <c r="I34" i="82"/>
  <c r="J34" i="82"/>
  <c r="D34" i="82"/>
  <c r="E34" i="82"/>
  <c r="F34" i="82"/>
  <c r="C34" i="82"/>
  <c r="I35" i="82"/>
  <c r="J35" i="82"/>
  <c r="D35" i="82"/>
  <c r="E35" i="82"/>
  <c r="F35" i="82"/>
  <c r="C35" i="82"/>
  <c r="I36" i="82"/>
  <c r="J36" i="82"/>
  <c r="D36" i="82"/>
  <c r="E36" i="82"/>
  <c r="F36" i="82"/>
  <c r="C36" i="82"/>
  <c r="I37" i="82"/>
  <c r="J37" i="82"/>
  <c r="D37" i="82"/>
  <c r="E37" i="82"/>
  <c r="F37" i="82"/>
  <c r="C37" i="82"/>
  <c r="I38" i="82"/>
  <c r="J38" i="82"/>
  <c r="D38" i="82"/>
  <c r="E38" i="82"/>
  <c r="F38" i="82"/>
  <c r="C38" i="82"/>
  <c r="I39" i="82"/>
  <c r="J39" i="82"/>
  <c r="D39" i="82"/>
  <c r="E39" i="82"/>
  <c r="F39" i="82"/>
  <c r="C39" i="82"/>
  <c r="I40" i="82"/>
  <c r="J40" i="82"/>
  <c r="D40" i="82"/>
  <c r="E40" i="82"/>
  <c r="F40" i="82"/>
  <c r="C40" i="82"/>
  <c r="I41" i="82"/>
  <c r="J41" i="82"/>
  <c r="D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J215" i="82"/>
  <c r="D215" i="82"/>
  <c r="E215" i="82"/>
  <c r="F215" i="82"/>
  <c r="C215" i="82"/>
  <c r="I216" i="82"/>
  <c r="J216" i="82"/>
  <c r="D216" i="82"/>
  <c r="E216" i="82"/>
  <c r="F216" i="82"/>
  <c r="C216" i="82"/>
  <c r="I217" i="82"/>
  <c r="J217" i="82"/>
  <c r="D217" i="82"/>
  <c r="E217" i="82"/>
  <c r="F217" i="82"/>
  <c r="C217" i="82"/>
  <c r="I218" i="82"/>
  <c r="J218" i="82"/>
  <c r="D218" i="82"/>
  <c r="E218" i="82"/>
  <c r="F218" i="82"/>
  <c r="C218" i="82"/>
  <c r="I219" i="82"/>
  <c r="J219" i="82"/>
  <c r="D219" i="82"/>
  <c r="E219" i="82"/>
  <c r="F219" i="82"/>
  <c r="C219" i="82"/>
  <c r="I220" i="82"/>
  <c r="J220" i="82"/>
  <c r="D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E289" i="82"/>
  <c r="F289" i="82"/>
  <c r="C289" i="82"/>
  <c r="I290" i="82"/>
  <c r="D290" i="82"/>
  <c r="J290" i="82"/>
  <c r="E290" i="82"/>
  <c r="F290" i="82"/>
  <c r="C290" i="82"/>
  <c r="I291" i="82"/>
  <c r="D291" i="82"/>
  <c r="J291" i="82"/>
  <c r="E291" i="82"/>
  <c r="F291" i="82"/>
  <c r="C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I296" i="82"/>
  <c r="D296" i="82"/>
  <c r="J296" i="82"/>
  <c r="E296" i="82"/>
  <c r="F296" i="82"/>
  <c r="C296" i="82"/>
  <c r="I297" i="82"/>
  <c r="D297" i="82"/>
  <c r="J297" i="82"/>
  <c r="E297" i="82"/>
  <c r="F297" i="82"/>
  <c r="C297" i="82"/>
  <c r="I298" i="82"/>
  <c r="D298" i="82"/>
  <c r="J298" i="82"/>
  <c r="E298" i="82"/>
  <c r="F298" i="82"/>
  <c r="C298" i="82"/>
  <c r="I299" i="82"/>
  <c r="D299" i="82"/>
  <c r="J299" i="82"/>
  <c r="E299" i="82"/>
  <c r="F299" i="82"/>
  <c r="C299" i="82"/>
  <c r="I300" i="82"/>
  <c r="D300" i="82"/>
  <c r="J300" i="82"/>
  <c r="E300" i="82"/>
  <c r="F300" i="82"/>
  <c r="C300" i="82"/>
  <c r="I301" i="82"/>
  <c r="D301" i="82"/>
  <c r="J301" i="82"/>
  <c r="E301" i="82"/>
  <c r="F301" i="82"/>
  <c r="C301" i="82"/>
  <c r="I302" i="82"/>
  <c r="D302" i="82"/>
  <c r="J302" i="82"/>
  <c r="E302" i="82"/>
  <c r="F302" i="82"/>
  <c r="C302" i="82"/>
  <c r="I303" i="82"/>
  <c r="D303" i="82"/>
  <c r="J303" i="82"/>
  <c r="E303" i="82"/>
  <c r="F303" i="82"/>
  <c r="C303" i="82"/>
  <c r="I304" i="82"/>
  <c r="D304" i="82"/>
  <c r="J304" i="82"/>
  <c r="E304" i="82"/>
  <c r="F304" i="82"/>
  <c r="C304" i="82"/>
  <c r="I305" i="82"/>
  <c r="D305" i="82"/>
  <c r="J305" i="82"/>
  <c r="E305" i="82"/>
  <c r="F305" i="82"/>
  <c r="C305" i="82"/>
  <c r="I306" i="82"/>
  <c r="D306" i="82"/>
  <c r="J306" i="82"/>
  <c r="E306" i="82"/>
  <c r="F306" i="82"/>
  <c r="C306" i="82"/>
  <c r="I307" i="82"/>
  <c r="D307" i="82"/>
  <c r="J307" i="82"/>
  <c r="E307" i="82"/>
  <c r="F307" i="82"/>
  <c r="C307" i="82"/>
  <c r="I308" i="82"/>
  <c r="D308" i="82"/>
  <c r="J308" i="82"/>
  <c r="E308" i="82"/>
  <c r="F308" i="82"/>
  <c r="C308" i="82"/>
  <c r="I309" i="82"/>
  <c r="D309" i="82"/>
  <c r="J309" i="82"/>
  <c r="E309" i="82"/>
  <c r="F309" i="82"/>
  <c r="C309" i="82"/>
  <c r="I310" i="82"/>
  <c r="D310" i="82"/>
  <c r="J310" i="82"/>
  <c r="E310" i="82"/>
  <c r="F310" i="82"/>
  <c r="C310" i="82"/>
  <c r="I311" i="82"/>
  <c r="D311" i="82"/>
  <c r="J311" i="82"/>
  <c r="E311" i="82"/>
  <c r="F311" i="82"/>
  <c r="C311" i="82"/>
  <c r="I312" i="82"/>
  <c r="D312" i="82"/>
  <c r="J312" i="82"/>
  <c r="E312" i="82"/>
  <c r="F312" i="82"/>
  <c r="C312" i="82"/>
  <c r="I313" i="82"/>
  <c r="D313" i="82"/>
  <c r="J313" i="82"/>
  <c r="E313" i="82"/>
  <c r="F313" i="82"/>
  <c r="C313" i="82"/>
  <c r="I314" i="82"/>
  <c r="D314" i="82"/>
  <c r="J314" i="82"/>
  <c r="E314" i="82"/>
  <c r="F314" i="82"/>
  <c r="C314" i="82"/>
  <c r="I315" i="82"/>
  <c r="D315" i="82"/>
  <c r="J315" i="82"/>
  <c r="E315" i="82"/>
  <c r="F315" i="82"/>
  <c r="C315" i="82"/>
  <c r="I316" i="82"/>
  <c r="D316" i="82"/>
  <c r="J316" i="82"/>
  <c r="E316" i="82"/>
  <c r="F316" i="82"/>
  <c r="C316" i="82"/>
  <c r="I317" i="82"/>
  <c r="D317" i="82"/>
  <c r="J317" i="82"/>
  <c r="E317" i="82"/>
  <c r="F317" i="82"/>
  <c r="C317" i="82"/>
  <c r="I318" i="82"/>
  <c r="D318" i="82"/>
  <c r="J318" i="82"/>
  <c r="E318" i="82"/>
  <c r="F318" i="82"/>
  <c r="C318" i="82"/>
  <c r="I319" i="82"/>
  <c r="D319" i="82"/>
  <c r="J319" i="82"/>
  <c r="E319" i="82"/>
  <c r="F319" i="82"/>
  <c r="C319" i="82"/>
  <c r="I320" i="82"/>
  <c r="D320" i="82"/>
  <c r="J320" i="82"/>
  <c r="E320" i="82"/>
  <c r="F320" i="82"/>
  <c r="C320" i="82"/>
  <c r="I321" i="82"/>
  <c r="D321" i="82"/>
  <c r="J321" i="82"/>
  <c r="E321" i="82"/>
  <c r="F321" i="82"/>
  <c r="C321" i="82"/>
  <c r="I322" i="82"/>
  <c r="D322" i="82"/>
  <c r="J322" i="82"/>
  <c r="E322" i="82"/>
  <c r="F322" i="82"/>
  <c r="C322" i="82"/>
  <c r="I323" i="82"/>
  <c r="D323" i="82"/>
  <c r="J323" i="82"/>
  <c r="E323" i="82"/>
  <c r="F323" i="82"/>
  <c r="C323" i="82"/>
  <c r="I324" i="82"/>
  <c r="D324" i="82"/>
  <c r="J324" i="82"/>
  <c r="E324" i="82"/>
  <c r="F324" i="82"/>
  <c r="C324" i="82"/>
  <c r="I325" i="82"/>
  <c r="D325" i="82"/>
  <c r="J325" i="82"/>
  <c r="E325" i="82"/>
  <c r="F325" i="82"/>
  <c r="C325" i="82"/>
  <c r="I326" i="82"/>
  <c r="D326" i="82"/>
  <c r="J326" i="82"/>
  <c r="E326" i="82"/>
  <c r="F326" i="82"/>
  <c r="C326" i="82"/>
  <c r="I327" i="82"/>
  <c r="D327" i="82"/>
  <c r="J327" i="82"/>
  <c r="E327" i="82"/>
  <c r="F327" i="82"/>
  <c r="C327" i="82"/>
  <c r="I328" i="82"/>
  <c r="D328" i="82"/>
  <c r="J328" i="82"/>
  <c r="E328" i="82"/>
  <c r="F328" i="82"/>
  <c r="C328" i="82"/>
  <c r="I329" i="82"/>
  <c r="D329" i="82"/>
  <c r="J329" i="82"/>
  <c r="E329" i="82"/>
  <c r="F329" i="82"/>
  <c r="C329" i="82"/>
  <c r="I330" i="82"/>
  <c r="D330" i="82"/>
  <c r="J330" i="82"/>
  <c r="E330" i="82"/>
  <c r="F330" i="82"/>
  <c r="C330" i="82"/>
  <c r="I331" i="82"/>
  <c r="D331" i="82"/>
  <c r="J331" i="82"/>
  <c r="E331" i="82"/>
  <c r="F331" i="82"/>
  <c r="C331" i="82"/>
  <c r="I332" i="82"/>
  <c r="D332" i="82"/>
  <c r="J332" i="82"/>
  <c r="E332" i="82"/>
  <c r="F332" i="82"/>
  <c r="C332" i="82"/>
  <c r="I333" i="82"/>
  <c r="D333" i="82"/>
  <c r="J333" i="82"/>
  <c r="E333" i="82"/>
  <c r="F333" i="82"/>
  <c r="C333" i="82"/>
  <c r="I334" i="82"/>
  <c r="D334" i="82"/>
  <c r="J334" i="82"/>
  <c r="E334" i="82"/>
  <c r="F334" i="82"/>
  <c r="C334" i="82"/>
  <c r="I335" i="82"/>
  <c r="D335" i="82"/>
  <c r="J335" i="82"/>
  <c r="E335" i="82"/>
  <c r="F335" i="82"/>
  <c r="C335" i="82"/>
  <c r="I336" i="82"/>
  <c r="D336" i="82"/>
  <c r="J336" i="82"/>
  <c r="E336" i="82"/>
  <c r="F336" i="82"/>
  <c r="C336" i="82"/>
  <c r="I337" i="82"/>
  <c r="D337" i="82"/>
  <c r="J337" i="82"/>
  <c r="E337" i="82"/>
  <c r="F337" i="82"/>
  <c r="C337" i="82"/>
  <c r="I338" i="82"/>
  <c r="D338" i="82"/>
  <c r="J338" i="82"/>
  <c r="E338" i="82"/>
  <c r="F338" i="82"/>
  <c r="C338" i="82"/>
  <c r="I339" i="82"/>
  <c r="D339" i="82"/>
  <c r="J339" i="82"/>
  <c r="E339" i="82"/>
  <c r="F339" i="82"/>
  <c r="C339" i="82"/>
  <c r="I340" i="82"/>
  <c r="D340" i="82"/>
  <c r="J340" i="82"/>
  <c r="E340" i="82"/>
  <c r="F340" i="82"/>
  <c r="C340" i="82"/>
  <c r="I341" i="82"/>
  <c r="D341" i="82"/>
  <c r="J341" i="82"/>
  <c r="E341" i="82"/>
  <c r="F341" i="82"/>
  <c r="C341" i="82"/>
  <c r="I342" i="82"/>
  <c r="D342" i="82"/>
  <c r="J342" i="82"/>
  <c r="E342" i="82"/>
  <c r="F342" i="82"/>
  <c r="C342" i="82"/>
  <c r="I343" i="82"/>
  <c r="D343" i="82"/>
  <c r="J343" i="82"/>
  <c r="E343" i="82"/>
  <c r="F343" i="82"/>
  <c r="C343" i="82"/>
  <c r="I344" i="82"/>
  <c r="D344" i="82"/>
  <c r="J344" i="82"/>
  <c r="E344" i="82"/>
  <c r="F344" i="82"/>
  <c r="C344" i="82"/>
  <c r="I345" i="82"/>
  <c r="D345" i="82"/>
  <c r="J345" i="82"/>
  <c r="E345" i="82"/>
  <c r="F345" i="82"/>
  <c r="C345" i="82"/>
  <c r="I346" i="82"/>
  <c r="D346" i="82"/>
  <c r="J346" i="82"/>
  <c r="E346" i="82"/>
  <c r="F346" i="82"/>
  <c r="C346" i="82"/>
  <c r="I347" i="82"/>
  <c r="D347" i="82"/>
  <c r="J347" i="82"/>
  <c r="E347" i="82"/>
  <c r="F347" i="82"/>
  <c r="C347" i="82"/>
  <c r="I348" i="82"/>
  <c r="D348" i="82"/>
  <c r="J348" i="82"/>
  <c r="E348" i="82"/>
  <c r="F348" i="82"/>
  <c r="C348" i="82"/>
  <c r="I349" i="82"/>
  <c r="D349" i="82"/>
  <c r="J349" i="82"/>
  <c r="E349" i="82"/>
  <c r="F349" i="82"/>
  <c r="C349" i="82"/>
  <c r="I350" i="82"/>
  <c r="D350" i="82"/>
  <c r="J350" i="82"/>
  <c r="E350" i="82"/>
  <c r="F350" i="82"/>
  <c r="C350" i="82"/>
  <c r="I351" i="82"/>
  <c r="D351" i="82"/>
  <c r="J351" i="82"/>
  <c r="E351" i="82"/>
  <c r="F351" i="82"/>
  <c r="C351" i="82"/>
  <c r="I352" i="82"/>
  <c r="D352" i="82"/>
  <c r="J352" i="82"/>
  <c r="E352" i="82"/>
  <c r="F352" i="82"/>
  <c r="C352" i="82"/>
  <c r="I353" i="82"/>
  <c r="D353" i="82"/>
  <c r="J353" i="82"/>
  <c r="E353" i="82"/>
  <c r="F353" i="82"/>
  <c r="C353" i="82"/>
  <c r="I354" i="82"/>
  <c r="D354" i="82"/>
  <c r="J354" i="82"/>
  <c r="E354" i="82"/>
  <c r="F354" i="82"/>
  <c r="C354" i="82"/>
  <c r="I355" i="82"/>
  <c r="D355" i="82"/>
  <c r="J355" i="82"/>
  <c r="E355" i="82"/>
  <c r="F355" i="82"/>
  <c r="C355" i="82"/>
  <c r="I356" i="82"/>
  <c r="D356" i="82"/>
  <c r="J356" i="82"/>
  <c r="E356" i="82"/>
  <c r="F356" i="82"/>
  <c r="C356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38" i="106"/>
  <c r="F8" i="106"/>
  <c r="E8" i="106"/>
  <c r="C46" i="106"/>
  <c r="B38" i="106"/>
  <c r="E37" i="106"/>
  <c r="B37" i="106"/>
  <c r="E41" i="106"/>
  <c r="B41" i="106"/>
  <c r="F6" i="106"/>
  <c r="E6" i="106"/>
  <c r="E43" i="106"/>
  <c r="B43" i="106"/>
  <c r="E44" i="106"/>
  <c r="B44" i="106"/>
  <c r="B36" i="106"/>
  <c r="B46" i="106"/>
  <c r="B46" i="162"/>
  <c r="K2" i="82"/>
  <c r="B4" i="98"/>
  <c r="B3" i="98"/>
  <c r="B2" i="98"/>
  <c r="E34" i="106"/>
  <c r="B34" i="106"/>
  <c r="K2" i="148"/>
  <c r="K3" i="148"/>
  <c r="K4" i="148"/>
  <c r="K5" i="148"/>
  <c r="K6" i="148"/>
  <c r="K7" i="148"/>
  <c r="K8" i="148"/>
  <c r="K9" i="148"/>
  <c r="K10" i="148"/>
  <c r="K11" i="148"/>
  <c r="K12" i="148"/>
  <c r="K13" i="148"/>
  <c r="K14" i="148"/>
  <c r="K15" i="148"/>
  <c r="K16" i="148"/>
  <c r="K17" i="148"/>
  <c r="K18" i="148"/>
  <c r="K19" i="148"/>
  <c r="K20" i="148"/>
  <c r="K21" i="148"/>
  <c r="K22" i="148"/>
  <c r="K23" i="148"/>
  <c r="K24" i="148"/>
  <c r="K25" i="148"/>
  <c r="K26" i="148"/>
  <c r="K27" i="148"/>
  <c r="K28" i="148"/>
  <c r="K29" i="148"/>
  <c r="K30" i="148"/>
  <c r="K31" i="148"/>
  <c r="K32" i="148"/>
  <c r="K33" i="148"/>
  <c r="K34" i="148"/>
  <c r="K35" i="148"/>
  <c r="K36" i="148"/>
  <c r="K37" i="148"/>
  <c r="K38" i="148"/>
  <c r="K39" i="148"/>
  <c r="K40" i="148"/>
  <c r="K41" i="148"/>
  <c r="K42" i="148"/>
  <c r="K43" i="148"/>
  <c r="K44" i="148"/>
  <c r="K45" i="148"/>
  <c r="K46" i="148"/>
  <c r="K47" i="148"/>
  <c r="K48" i="148"/>
  <c r="K49" i="148"/>
  <c r="K50" i="148"/>
  <c r="K51" i="148"/>
  <c r="K52" i="148"/>
  <c r="K53" i="148"/>
  <c r="K54" i="148"/>
  <c r="K55" i="148"/>
  <c r="K56" i="148"/>
  <c r="K57" i="148"/>
  <c r="K58" i="148"/>
  <c r="K59" i="148"/>
  <c r="K60" i="148"/>
  <c r="K61" i="148"/>
  <c r="K62" i="148"/>
  <c r="K63" i="148"/>
  <c r="K64" i="148"/>
  <c r="K65" i="148"/>
  <c r="K66" i="148"/>
  <c r="K67" i="148"/>
  <c r="K68" i="148"/>
  <c r="K69" i="148"/>
  <c r="K70" i="148"/>
  <c r="K71" i="148"/>
  <c r="K72" i="148"/>
  <c r="K73" i="148"/>
  <c r="K74" i="148"/>
  <c r="K75" i="148"/>
  <c r="K76" i="148"/>
  <c r="K77" i="148"/>
  <c r="K78" i="148"/>
  <c r="K79" i="148"/>
  <c r="K80" i="148"/>
  <c r="K81" i="148"/>
  <c r="K82" i="148"/>
  <c r="K83" i="148"/>
  <c r="K84" i="148"/>
  <c r="K85" i="148"/>
  <c r="K86" i="148"/>
  <c r="K87" i="148"/>
  <c r="K88" i="148"/>
  <c r="K89" i="148"/>
  <c r="K90" i="148"/>
  <c r="K91" i="148"/>
  <c r="K92" i="148"/>
  <c r="K93" i="148"/>
  <c r="K94" i="148"/>
  <c r="K95" i="148"/>
  <c r="K96" i="148"/>
  <c r="K97" i="148"/>
  <c r="K98" i="148"/>
  <c r="K99" i="148"/>
  <c r="K100" i="148"/>
  <c r="K101" i="148"/>
  <c r="K102" i="148"/>
  <c r="K103" i="148"/>
  <c r="K104" i="148"/>
  <c r="K105" i="148"/>
  <c r="K106" i="148"/>
  <c r="K107" i="148"/>
  <c r="K108" i="148"/>
  <c r="K109" i="148"/>
  <c r="K110" i="148"/>
  <c r="K111" i="148"/>
  <c r="K112" i="148"/>
  <c r="K113" i="148"/>
  <c r="K114" i="148"/>
  <c r="K115" i="148"/>
  <c r="K116" i="148"/>
  <c r="K117" i="148"/>
  <c r="K118" i="148"/>
  <c r="K119" i="148"/>
  <c r="K120" i="148"/>
  <c r="K121" i="148"/>
  <c r="K122" i="148"/>
  <c r="K123" i="148"/>
  <c r="K124" i="148"/>
  <c r="K125" i="148"/>
  <c r="K126" i="148"/>
  <c r="K127" i="148"/>
  <c r="K128" i="148"/>
  <c r="K129" i="148"/>
  <c r="K130" i="148"/>
  <c r="K131" i="148"/>
  <c r="K132" i="148"/>
  <c r="K133" i="148"/>
  <c r="K134" i="148"/>
  <c r="K135" i="148"/>
  <c r="K136" i="148"/>
  <c r="K137" i="148"/>
  <c r="K138" i="148"/>
  <c r="K139" i="148"/>
  <c r="K140" i="148"/>
  <c r="K141" i="148"/>
  <c r="K142" i="148"/>
  <c r="K143" i="148"/>
  <c r="K144" i="148"/>
  <c r="K145" i="148"/>
  <c r="K146" i="148"/>
  <c r="K147" i="148"/>
  <c r="K148" i="148"/>
  <c r="K149" i="148"/>
  <c r="K150" i="148"/>
  <c r="K151" i="148"/>
  <c r="K152" i="148"/>
  <c r="K153" i="148"/>
  <c r="K154" i="148"/>
  <c r="K155" i="148"/>
  <c r="K156" i="148"/>
  <c r="K157" i="148"/>
  <c r="K158" i="148"/>
  <c r="K159" i="148"/>
  <c r="K160" i="148"/>
  <c r="K161" i="148"/>
  <c r="K162" i="148"/>
  <c r="K163" i="148"/>
  <c r="K164" i="148"/>
  <c r="K165" i="148"/>
  <c r="K166" i="148"/>
  <c r="K167" i="148"/>
  <c r="K168" i="148"/>
  <c r="K169" i="148"/>
  <c r="K170" i="148"/>
  <c r="K171" i="148"/>
  <c r="K172" i="148"/>
  <c r="K173" i="148"/>
  <c r="K174" i="148"/>
  <c r="K175" i="148"/>
  <c r="K176" i="148"/>
  <c r="K177" i="148"/>
  <c r="K178" i="148"/>
  <c r="K179" i="148"/>
  <c r="K180" i="148"/>
  <c r="K181" i="148"/>
  <c r="K182" i="148"/>
  <c r="K183" i="148"/>
  <c r="K184" i="148"/>
  <c r="K185" i="148"/>
  <c r="K186" i="148"/>
  <c r="K187" i="148"/>
  <c r="K188" i="148"/>
  <c r="K189" i="148"/>
  <c r="K190" i="148"/>
  <c r="K191" i="148"/>
  <c r="K192" i="148"/>
  <c r="K193" i="148"/>
  <c r="K194" i="148"/>
  <c r="K195" i="148"/>
  <c r="K196" i="148"/>
  <c r="K197" i="148"/>
  <c r="K198" i="148"/>
  <c r="K199" i="148"/>
  <c r="K200" i="148"/>
  <c r="K201" i="148"/>
  <c r="K202" i="148"/>
  <c r="K203" i="148"/>
  <c r="K204" i="148"/>
  <c r="K205" i="148"/>
  <c r="K206" i="148"/>
  <c r="K207" i="148"/>
  <c r="K208" i="148"/>
  <c r="K209" i="148"/>
  <c r="K210" i="148"/>
  <c r="K211" i="148"/>
  <c r="K212" i="148"/>
  <c r="K213" i="148"/>
  <c r="K214" i="148"/>
  <c r="K215" i="148"/>
  <c r="K216" i="148"/>
  <c r="K217" i="148"/>
  <c r="K218" i="148"/>
  <c r="K219" i="148"/>
  <c r="K220" i="148"/>
  <c r="K221" i="148"/>
  <c r="K222" i="148"/>
  <c r="K223" i="148"/>
  <c r="K224" i="148"/>
  <c r="K225" i="148"/>
  <c r="K226" i="148"/>
  <c r="K227" i="148"/>
  <c r="K228" i="148"/>
  <c r="K229" i="148"/>
  <c r="K230" i="148"/>
  <c r="K231" i="148"/>
  <c r="K232" i="148"/>
  <c r="K233" i="148"/>
  <c r="K234" i="148"/>
  <c r="K235" i="148"/>
  <c r="K236" i="148"/>
  <c r="K237" i="148"/>
  <c r="K238" i="148"/>
  <c r="K239" i="148"/>
  <c r="K240" i="148"/>
  <c r="K241" i="148"/>
  <c r="K242" i="148"/>
  <c r="K243" i="148"/>
  <c r="K244" i="148"/>
  <c r="K245" i="148"/>
  <c r="K246" i="148"/>
  <c r="K247" i="148"/>
  <c r="K248" i="148"/>
  <c r="K249" i="148"/>
  <c r="K250" i="148"/>
  <c r="K251" i="148"/>
  <c r="K252" i="148"/>
  <c r="K253" i="148"/>
  <c r="K254" i="148"/>
  <c r="K255" i="148"/>
  <c r="K256" i="148"/>
  <c r="K257" i="148"/>
  <c r="K258" i="148"/>
  <c r="K259" i="148"/>
  <c r="K260" i="148"/>
  <c r="K261" i="148"/>
  <c r="K262" i="148"/>
  <c r="K263" i="148"/>
  <c r="K264" i="148"/>
  <c r="K265" i="148"/>
  <c r="K266" i="148"/>
  <c r="K267" i="148"/>
  <c r="K268" i="148"/>
  <c r="K269" i="148"/>
  <c r="K270" i="148"/>
  <c r="K271" i="148"/>
  <c r="K272" i="148"/>
  <c r="K273" i="148"/>
  <c r="K274" i="148"/>
  <c r="K275" i="148"/>
  <c r="K276" i="148"/>
  <c r="K277" i="148"/>
  <c r="K278" i="148"/>
  <c r="K279" i="148"/>
  <c r="K280" i="148"/>
  <c r="K281" i="148"/>
  <c r="K282" i="148"/>
  <c r="K283" i="148"/>
  <c r="K284" i="148"/>
  <c r="K285" i="148"/>
  <c r="K286" i="148"/>
  <c r="K287" i="148"/>
  <c r="K288" i="148"/>
  <c r="K289" i="148"/>
  <c r="K290" i="148"/>
  <c r="K291" i="148"/>
  <c r="K292" i="148"/>
  <c r="K293" i="148"/>
  <c r="K294" i="148"/>
  <c r="K295" i="148"/>
  <c r="K296" i="148"/>
  <c r="K297" i="148"/>
  <c r="K298" i="148"/>
  <c r="K299" i="148"/>
  <c r="K300" i="148"/>
  <c r="K301" i="148"/>
  <c r="K302" i="148"/>
  <c r="K303" i="148"/>
  <c r="K304" i="148"/>
  <c r="K305" i="148"/>
  <c r="K306" i="148"/>
  <c r="K307" i="148"/>
  <c r="K308" i="148"/>
  <c r="K309" i="148"/>
  <c r="K310" i="148"/>
  <c r="K311" i="148"/>
  <c r="K312" i="148"/>
  <c r="K313" i="148"/>
  <c r="K314" i="148"/>
  <c r="K315" i="148"/>
  <c r="K316" i="148"/>
  <c r="K317" i="148"/>
  <c r="K318" i="148"/>
  <c r="K319" i="148"/>
  <c r="K320" i="148"/>
  <c r="K321" i="148"/>
  <c r="K322" i="148"/>
  <c r="K323" i="148"/>
  <c r="K324" i="148"/>
  <c r="K325" i="148"/>
  <c r="K326" i="148"/>
  <c r="K327" i="148"/>
  <c r="K328" i="148"/>
  <c r="K329" i="148"/>
  <c r="K330" i="148"/>
  <c r="K331" i="148"/>
  <c r="K332" i="148"/>
  <c r="K333" i="148"/>
  <c r="K334" i="148"/>
  <c r="K335" i="148"/>
  <c r="K336" i="148"/>
  <c r="K337" i="148"/>
  <c r="K338" i="148"/>
  <c r="K339" i="148"/>
  <c r="K340" i="148"/>
  <c r="K341" i="148"/>
  <c r="K342" i="148"/>
  <c r="K343" i="148"/>
  <c r="K344" i="148"/>
  <c r="K345" i="148"/>
  <c r="K346" i="148"/>
  <c r="K347" i="148"/>
  <c r="K348" i="148"/>
  <c r="K349" i="148"/>
  <c r="K350" i="148"/>
  <c r="F5" i="147"/>
  <c r="F7" i="147"/>
  <c r="A51" i="147"/>
  <c r="R3" i="147"/>
  <c r="A2" i="147"/>
  <c r="B46" i="147"/>
  <c r="G46" i="147"/>
  <c r="E46" i="147"/>
  <c r="H46" i="147"/>
  <c r="O356" i="148"/>
  <c r="E7" i="147"/>
  <c r="E21" i="147"/>
  <c r="B21" i="147"/>
  <c r="E26" i="147"/>
  <c r="B26" i="147"/>
  <c r="E5" i="147"/>
  <c r="E28" i="147"/>
  <c r="B28" i="147"/>
  <c r="E29" i="147"/>
  <c r="B29" i="147"/>
  <c r="B23" i="147"/>
  <c r="G23" i="147"/>
  <c r="E23" i="147"/>
  <c r="H23" i="147"/>
  <c r="G38" i="147"/>
  <c r="H38" i="147"/>
  <c r="O355" i="148"/>
  <c r="E22" i="147"/>
  <c r="B22" i="147"/>
  <c r="G22" i="147"/>
  <c r="H22" i="147"/>
  <c r="G37" i="147"/>
  <c r="H37" i="147"/>
  <c r="O354" i="148"/>
  <c r="G29" i="147"/>
  <c r="H29" i="147"/>
  <c r="G44" i="147"/>
  <c r="H44" i="147"/>
  <c r="O353" i="148"/>
  <c r="O352" i="148"/>
  <c r="O351" i="148"/>
  <c r="K2" i="150"/>
  <c r="K3" i="150"/>
  <c r="K4" i="150"/>
  <c r="K5" i="150"/>
  <c r="K6" i="150"/>
  <c r="K7" i="150"/>
  <c r="K8" i="150"/>
  <c r="K9" i="150"/>
  <c r="K10" i="150"/>
  <c r="K11" i="150"/>
  <c r="K12" i="150"/>
  <c r="K13" i="150"/>
  <c r="K14" i="150"/>
  <c r="K15" i="150"/>
  <c r="K16" i="150"/>
  <c r="K17" i="150"/>
  <c r="K18" i="150"/>
  <c r="K19" i="150"/>
  <c r="K20" i="150"/>
  <c r="K21" i="150"/>
  <c r="K22" i="150"/>
  <c r="K23" i="150"/>
  <c r="K24" i="150"/>
  <c r="K25" i="150"/>
  <c r="K26" i="150"/>
  <c r="K27" i="150"/>
  <c r="K28" i="150"/>
  <c r="K29" i="150"/>
  <c r="K30" i="150"/>
  <c r="K31" i="150"/>
  <c r="K32" i="150"/>
  <c r="K33" i="150"/>
  <c r="K34" i="150"/>
  <c r="K35" i="150"/>
  <c r="K36" i="150"/>
  <c r="K37" i="150"/>
  <c r="K38" i="150"/>
  <c r="K39" i="150"/>
  <c r="K40" i="150"/>
  <c r="K41" i="150"/>
  <c r="K42" i="150"/>
  <c r="K43" i="150"/>
  <c r="K44" i="150"/>
  <c r="K45" i="150"/>
  <c r="K46" i="150"/>
  <c r="K47" i="150"/>
  <c r="K48" i="150"/>
  <c r="K49" i="150"/>
  <c r="K50" i="150"/>
  <c r="K51" i="150"/>
  <c r="K52" i="150"/>
  <c r="K53" i="150"/>
  <c r="K54" i="150"/>
  <c r="K55" i="150"/>
  <c r="K56" i="150"/>
  <c r="K57" i="150"/>
  <c r="K58" i="150"/>
  <c r="K59" i="150"/>
  <c r="K60" i="150"/>
  <c r="K61" i="150"/>
  <c r="K62" i="150"/>
  <c r="K63" i="150"/>
  <c r="K64" i="150"/>
  <c r="K65" i="150"/>
  <c r="K66" i="150"/>
  <c r="K67" i="150"/>
  <c r="K68" i="150"/>
  <c r="K69" i="150"/>
  <c r="K70" i="150"/>
  <c r="K71" i="150"/>
  <c r="K72" i="150"/>
  <c r="K73" i="150"/>
  <c r="K74" i="150"/>
  <c r="K75" i="150"/>
  <c r="K76" i="150"/>
  <c r="K77" i="150"/>
  <c r="K78" i="150"/>
  <c r="K79" i="150"/>
  <c r="K80" i="150"/>
  <c r="K81" i="150"/>
  <c r="K82" i="150"/>
  <c r="K83" i="150"/>
  <c r="K84" i="150"/>
  <c r="K85" i="150"/>
  <c r="K86" i="150"/>
  <c r="K87" i="150"/>
  <c r="K88" i="150"/>
  <c r="K89" i="150"/>
  <c r="K90" i="150"/>
  <c r="K91" i="150"/>
  <c r="K92" i="150"/>
  <c r="K93" i="150"/>
  <c r="K94" i="150"/>
  <c r="K95" i="150"/>
  <c r="K96" i="150"/>
  <c r="K97" i="150"/>
  <c r="K98" i="150"/>
  <c r="K99" i="150"/>
  <c r="K100" i="150"/>
  <c r="K101" i="150"/>
  <c r="K102" i="150"/>
  <c r="K103" i="150"/>
  <c r="K104" i="150"/>
  <c r="K105" i="150"/>
  <c r="K106" i="150"/>
  <c r="K107" i="150"/>
  <c r="K108" i="150"/>
  <c r="K109" i="150"/>
  <c r="K110" i="150"/>
  <c r="K111" i="150"/>
  <c r="K112" i="150"/>
  <c r="K113" i="150"/>
  <c r="K114" i="150"/>
  <c r="K115" i="150"/>
  <c r="K116" i="150"/>
  <c r="K117" i="150"/>
  <c r="K118" i="150"/>
  <c r="K119" i="150"/>
  <c r="K120" i="150"/>
  <c r="K121" i="150"/>
  <c r="K122" i="150"/>
  <c r="K123" i="150"/>
  <c r="K124" i="150"/>
  <c r="K125" i="150"/>
  <c r="K126" i="150"/>
  <c r="K127" i="150"/>
  <c r="K128" i="150"/>
  <c r="K129" i="150"/>
  <c r="K130" i="150"/>
  <c r="K131" i="150"/>
  <c r="K132" i="150"/>
  <c r="K133" i="150"/>
  <c r="K134" i="150"/>
  <c r="K135" i="150"/>
  <c r="K136" i="150"/>
  <c r="K137" i="150"/>
  <c r="K138" i="150"/>
  <c r="K139" i="150"/>
  <c r="K140" i="150"/>
  <c r="K141" i="150"/>
  <c r="K142" i="150"/>
  <c r="K143" i="150"/>
  <c r="K144" i="150"/>
  <c r="K145" i="150"/>
  <c r="K146" i="150"/>
  <c r="K147" i="150"/>
  <c r="K148" i="150"/>
  <c r="K149" i="150"/>
  <c r="K150" i="150"/>
  <c r="K151" i="150"/>
  <c r="K152" i="150"/>
  <c r="K153" i="150"/>
  <c r="K154" i="150"/>
  <c r="K155" i="150"/>
  <c r="K156" i="150"/>
  <c r="K157" i="150"/>
  <c r="K158" i="150"/>
  <c r="K159" i="150"/>
  <c r="K160" i="150"/>
  <c r="K161" i="150"/>
  <c r="K162" i="150"/>
  <c r="K163" i="150"/>
  <c r="K164" i="150"/>
  <c r="K165" i="150"/>
  <c r="K166" i="150"/>
  <c r="K167" i="150"/>
  <c r="K168" i="150"/>
  <c r="K169" i="150"/>
  <c r="K170" i="150"/>
  <c r="K171" i="150"/>
  <c r="K172" i="150"/>
  <c r="K173" i="150"/>
  <c r="K174" i="150"/>
  <c r="K175" i="150"/>
  <c r="K176" i="150"/>
  <c r="K177" i="150"/>
  <c r="K178" i="150"/>
  <c r="K179" i="150"/>
  <c r="K180" i="150"/>
  <c r="K181" i="150"/>
  <c r="K182" i="150"/>
  <c r="K183" i="150"/>
  <c r="K184" i="150"/>
  <c r="K185" i="150"/>
  <c r="K186" i="150"/>
  <c r="K187" i="150"/>
  <c r="K188" i="150"/>
  <c r="K189" i="150"/>
  <c r="K190" i="150"/>
  <c r="K191" i="150"/>
  <c r="K192" i="150"/>
  <c r="K193" i="150"/>
  <c r="K194" i="150"/>
  <c r="K195" i="150"/>
  <c r="K196" i="150"/>
  <c r="K197" i="150"/>
  <c r="K198" i="150"/>
  <c r="K199" i="150"/>
  <c r="K200" i="150"/>
  <c r="K201" i="150"/>
  <c r="K202" i="150"/>
  <c r="K203" i="150"/>
  <c r="K204" i="150"/>
  <c r="K205" i="150"/>
  <c r="K206" i="150"/>
  <c r="K207" i="150"/>
  <c r="K208" i="150"/>
  <c r="K209" i="150"/>
  <c r="K210" i="150"/>
  <c r="K211" i="150"/>
  <c r="K212" i="150"/>
  <c r="K213" i="150"/>
  <c r="K214" i="150"/>
  <c r="K215" i="150"/>
  <c r="K216" i="150"/>
  <c r="K217" i="150"/>
  <c r="K218" i="150"/>
  <c r="K219" i="150"/>
  <c r="K220" i="150"/>
  <c r="K221" i="150"/>
  <c r="K222" i="150"/>
  <c r="K223" i="150"/>
  <c r="K224" i="150"/>
  <c r="K225" i="150"/>
  <c r="K226" i="150"/>
  <c r="K227" i="150"/>
  <c r="K228" i="150"/>
  <c r="K229" i="150"/>
  <c r="K230" i="150"/>
  <c r="K231" i="150"/>
  <c r="K232" i="150"/>
  <c r="K233" i="150"/>
  <c r="K234" i="150"/>
  <c r="K235" i="150"/>
  <c r="K236" i="150"/>
  <c r="K237" i="150"/>
  <c r="K238" i="150"/>
  <c r="K239" i="150"/>
  <c r="K240" i="150"/>
  <c r="K241" i="150"/>
  <c r="K242" i="150"/>
  <c r="K243" i="150"/>
  <c r="K244" i="150"/>
  <c r="K245" i="150"/>
  <c r="K246" i="150"/>
  <c r="K247" i="150"/>
  <c r="K248" i="150"/>
  <c r="K249" i="150"/>
  <c r="K250" i="150"/>
  <c r="K251" i="150"/>
  <c r="K252" i="150"/>
  <c r="K253" i="150"/>
  <c r="K254" i="150"/>
  <c r="K255" i="150"/>
  <c r="K256" i="150"/>
  <c r="K257" i="150"/>
  <c r="K258" i="150"/>
  <c r="K259" i="150"/>
  <c r="K260" i="150"/>
  <c r="K261" i="150"/>
  <c r="K262" i="150"/>
  <c r="K263" i="150"/>
  <c r="K264" i="150"/>
  <c r="K265" i="150"/>
  <c r="K266" i="150"/>
  <c r="K267" i="150"/>
  <c r="K268" i="150"/>
  <c r="K269" i="150"/>
  <c r="K270" i="150"/>
  <c r="K271" i="150"/>
  <c r="K272" i="150"/>
  <c r="K273" i="150"/>
  <c r="K274" i="150"/>
  <c r="K275" i="150"/>
  <c r="K276" i="150"/>
  <c r="K277" i="150"/>
  <c r="K278" i="150"/>
  <c r="K279" i="150"/>
  <c r="K280" i="150"/>
  <c r="K281" i="150"/>
  <c r="K282" i="150"/>
  <c r="K283" i="150"/>
  <c r="K284" i="150"/>
  <c r="K285" i="150"/>
  <c r="K286" i="150"/>
  <c r="K287" i="150"/>
  <c r="K288" i="150"/>
  <c r="K289" i="150"/>
  <c r="K290" i="150"/>
  <c r="K291" i="150"/>
  <c r="K292" i="150"/>
  <c r="K293" i="150"/>
  <c r="K294" i="150"/>
  <c r="K295" i="150"/>
  <c r="K296" i="150"/>
  <c r="K297" i="150"/>
  <c r="K298" i="150"/>
  <c r="K299" i="150"/>
  <c r="K300" i="150"/>
  <c r="K301" i="150"/>
  <c r="K302" i="150"/>
  <c r="K303" i="150"/>
  <c r="K304" i="150"/>
  <c r="K305" i="150"/>
  <c r="K306" i="150"/>
  <c r="K307" i="150"/>
  <c r="K308" i="150"/>
  <c r="K309" i="150"/>
  <c r="K310" i="150"/>
  <c r="K311" i="150"/>
  <c r="K312" i="150"/>
  <c r="K313" i="150"/>
  <c r="K314" i="150"/>
  <c r="K315" i="150"/>
  <c r="K316" i="150"/>
  <c r="K317" i="150"/>
  <c r="K318" i="150"/>
  <c r="K319" i="150"/>
  <c r="K320" i="150"/>
  <c r="K321" i="150"/>
  <c r="K322" i="150"/>
  <c r="K323" i="150"/>
  <c r="K324" i="150"/>
  <c r="K325" i="150"/>
  <c r="K326" i="150"/>
  <c r="K327" i="150"/>
  <c r="K328" i="150"/>
  <c r="K329" i="150"/>
  <c r="K330" i="150"/>
  <c r="K331" i="150"/>
  <c r="K332" i="150"/>
  <c r="K333" i="150"/>
  <c r="K334" i="150"/>
  <c r="K335" i="150"/>
  <c r="K336" i="150"/>
  <c r="K337" i="150"/>
  <c r="K338" i="150"/>
  <c r="K339" i="150"/>
  <c r="K340" i="150"/>
  <c r="K341" i="150"/>
  <c r="K342" i="150"/>
  <c r="K343" i="150"/>
  <c r="K344" i="150"/>
  <c r="K345" i="150"/>
  <c r="K346" i="150"/>
  <c r="K347" i="150"/>
  <c r="K348" i="150"/>
  <c r="K349" i="150"/>
  <c r="K350" i="150"/>
  <c r="F5" i="149"/>
  <c r="F7" i="149"/>
  <c r="A51" i="149"/>
  <c r="R3" i="149"/>
  <c r="A2" i="149"/>
  <c r="B46" i="149"/>
  <c r="G46" i="149"/>
  <c r="E46" i="149"/>
  <c r="H46" i="149"/>
  <c r="O356" i="150"/>
  <c r="E7" i="149"/>
  <c r="E21" i="149"/>
  <c r="B21" i="149"/>
  <c r="E26" i="149"/>
  <c r="B26" i="149"/>
  <c r="E5" i="149"/>
  <c r="E28" i="149"/>
  <c r="B28" i="149"/>
  <c r="E29" i="149"/>
  <c r="B29" i="149"/>
  <c r="B23" i="149"/>
  <c r="G23" i="149"/>
  <c r="E23" i="149"/>
  <c r="H23" i="149"/>
  <c r="G38" i="149"/>
  <c r="H38" i="149"/>
  <c r="O355" i="150"/>
  <c r="E22" i="149"/>
  <c r="B22" i="149"/>
  <c r="G22" i="149"/>
  <c r="H22" i="149"/>
  <c r="G37" i="149"/>
  <c r="H37" i="149"/>
  <c r="O354" i="150"/>
  <c r="G29" i="149"/>
  <c r="H29" i="149"/>
  <c r="G44" i="149"/>
  <c r="H44" i="149"/>
  <c r="O353" i="150"/>
  <c r="O352" i="150"/>
  <c r="O351" i="150"/>
  <c r="K2" i="159"/>
  <c r="K3" i="159"/>
  <c r="K4" i="159"/>
  <c r="K5" i="159"/>
  <c r="K6" i="159"/>
  <c r="K7" i="159"/>
  <c r="K8" i="159"/>
  <c r="K9" i="159"/>
  <c r="K10" i="159"/>
  <c r="K11" i="159"/>
  <c r="K12" i="159"/>
  <c r="K13" i="159"/>
  <c r="K14" i="159"/>
  <c r="K15" i="159"/>
  <c r="K16" i="159"/>
  <c r="K17" i="159"/>
  <c r="K18" i="159"/>
  <c r="K19" i="159"/>
  <c r="K20" i="159"/>
  <c r="K21" i="159"/>
  <c r="K22" i="159"/>
  <c r="K23" i="159"/>
  <c r="K24" i="159"/>
  <c r="K25" i="159"/>
  <c r="K26" i="159"/>
  <c r="K27" i="159"/>
  <c r="K28" i="159"/>
  <c r="K29" i="159"/>
  <c r="K30" i="159"/>
  <c r="K31" i="159"/>
  <c r="K32" i="159"/>
  <c r="K33" i="159"/>
  <c r="K34" i="159"/>
  <c r="K35" i="159"/>
  <c r="K36" i="159"/>
  <c r="K37" i="159"/>
  <c r="K38" i="159"/>
  <c r="K39" i="159"/>
  <c r="K40" i="159"/>
  <c r="K41" i="159"/>
  <c r="K42" i="159"/>
  <c r="K43" i="159"/>
  <c r="K44" i="159"/>
  <c r="K45" i="159"/>
  <c r="K46" i="159"/>
  <c r="K47" i="159"/>
  <c r="K48" i="159"/>
  <c r="K49" i="159"/>
  <c r="K50" i="159"/>
  <c r="K51" i="159"/>
  <c r="K52" i="159"/>
  <c r="K53" i="159"/>
  <c r="K54" i="159"/>
  <c r="K55" i="159"/>
  <c r="K56" i="159"/>
  <c r="K57" i="159"/>
  <c r="K58" i="159"/>
  <c r="K59" i="159"/>
  <c r="K60" i="159"/>
  <c r="K61" i="159"/>
  <c r="K62" i="159"/>
  <c r="K63" i="159"/>
  <c r="K64" i="159"/>
  <c r="K65" i="159"/>
  <c r="K66" i="159"/>
  <c r="K67" i="159"/>
  <c r="K68" i="159"/>
  <c r="K69" i="159"/>
  <c r="K70" i="159"/>
  <c r="K71" i="159"/>
  <c r="K72" i="159"/>
  <c r="K73" i="159"/>
  <c r="K74" i="159"/>
  <c r="K75" i="159"/>
  <c r="K76" i="159"/>
  <c r="K77" i="159"/>
  <c r="K78" i="159"/>
  <c r="K79" i="159"/>
  <c r="K80" i="159"/>
  <c r="K81" i="159"/>
  <c r="K82" i="159"/>
  <c r="K83" i="159"/>
  <c r="K84" i="159"/>
  <c r="K85" i="159"/>
  <c r="K86" i="159"/>
  <c r="K87" i="159"/>
  <c r="K88" i="159"/>
  <c r="K89" i="159"/>
  <c r="K90" i="159"/>
  <c r="K91" i="159"/>
  <c r="K92" i="159"/>
  <c r="K93" i="159"/>
  <c r="K94" i="159"/>
  <c r="K95" i="159"/>
  <c r="K96" i="159"/>
  <c r="K97" i="159"/>
  <c r="K98" i="159"/>
  <c r="K99" i="159"/>
  <c r="K100" i="159"/>
  <c r="K101" i="159"/>
  <c r="K102" i="159"/>
  <c r="K103" i="159"/>
  <c r="K104" i="159"/>
  <c r="K105" i="159"/>
  <c r="K106" i="159"/>
  <c r="K107" i="159"/>
  <c r="K108" i="159"/>
  <c r="K109" i="159"/>
  <c r="K110" i="159"/>
  <c r="K111" i="159"/>
  <c r="K112" i="159"/>
  <c r="K113" i="159"/>
  <c r="K114" i="159"/>
  <c r="K115" i="159"/>
  <c r="K116" i="159"/>
  <c r="K117" i="159"/>
  <c r="K118" i="159"/>
  <c r="K119" i="159"/>
  <c r="K120" i="159"/>
  <c r="K121" i="159"/>
  <c r="K122" i="159"/>
  <c r="K123" i="159"/>
  <c r="K124" i="159"/>
  <c r="K125" i="159"/>
  <c r="K126" i="159"/>
  <c r="K127" i="159"/>
  <c r="K128" i="159"/>
  <c r="K129" i="159"/>
  <c r="K130" i="159"/>
  <c r="K131" i="159"/>
  <c r="K132" i="159"/>
  <c r="K133" i="159"/>
  <c r="K134" i="159"/>
  <c r="K135" i="159"/>
  <c r="K136" i="159"/>
  <c r="K137" i="159"/>
  <c r="K138" i="159"/>
  <c r="K139" i="159"/>
  <c r="K140" i="159"/>
  <c r="K141" i="159"/>
  <c r="K142" i="159"/>
  <c r="K143" i="159"/>
  <c r="K144" i="159"/>
  <c r="K145" i="159"/>
  <c r="K146" i="159"/>
  <c r="K147" i="159"/>
  <c r="K148" i="159"/>
  <c r="K149" i="159"/>
  <c r="K150" i="159"/>
  <c r="K151" i="159"/>
  <c r="K152" i="159"/>
  <c r="K153" i="159"/>
  <c r="K154" i="159"/>
  <c r="K155" i="159"/>
  <c r="K156" i="159"/>
  <c r="K157" i="159"/>
  <c r="K158" i="159"/>
  <c r="K159" i="159"/>
  <c r="K160" i="159"/>
  <c r="K161" i="159"/>
  <c r="K162" i="159"/>
  <c r="K163" i="159"/>
  <c r="K164" i="159"/>
  <c r="K165" i="159"/>
  <c r="K166" i="159"/>
  <c r="K167" i="159"/>
  <c r="K168" i="159"/>
  <c r="K169" i="159"/>
  <c r="K170" i="159"/>
  <c r="K171" i="159"/>
  <c r="K172" i="159"/>
  <c r="K173" i="159"/>
  <c r="K174" i="159"/>
  <c r="K175" i="159"/>
  <c r="K176" i="159"/>
  <c r="K177" i="159"/>
  <c r="K178" i="159"/>
  <c r="K179" i="159"/>
  <c r="K180" i="159"/>
  <c r="K181" i="159"/>
  <c r="K182" i="159"/>
  <c r="K183" i="159"/>
  <c r="K184" i="159"/>
  <c r="K185" i="159"/>
  <c r="K186" i="159"/>
  <c r="K187" i="159"/>
  <c r="K188" i="159"/>
  <c r="K189" i="159"/>
  <c r="K190" i="159"/>
  <c r="K191" i="159"/>
  <c r="K192" i="159"/>
  <c r="K193" i="159"/>
  <c r="K194" i="159"/>
  <c r="K195" i="159"/>
  <c r="K196" i="159"/>
  <c r="K197" i="159"/>
  <c r="K198" i="159"/>
  <c r="K199" i="159"/>
  <c r="K200" i="159"/>
  <c r="K201" i="159"/>
  <c r="K202" i="159"/>
  <c r="K203" i="159"/>
  <c r="K204" i="159"/>
  <c r="K205" i="159"/>
  <c r="K206" i="159"/>
  <c r="K207" i="159"/>
  <c r="K208" i="159"/>
  <c r="K209" i="159"/>
  <c r="K210" i="159"/>
  <c r="K211" i="159"/>
  <c r="K212" i="159"/>
  <c r="K213" i="159"/>
  <c r="K214" i="159"/>
  <c r="K215" i="159"/>
  <c r="K216" i="159"/>
  <c r="K217" i="159"/>
  <c r="K218" i="159"/>
  <c r="K219" i="159"/>
  <c r="K220" i="159"/>
  <c r="K221" i="159"/>
  <c r="K222" i="159"/>
  <c r="K223" i="159"/>
  <c r="K224" i="159"/>
  <c r="K225" i="159"/>
  <c r="K226" i="159"/>
  <c r="K227" i="159"/>
  <c r="K228" i="159"/>
  <c r="K229" i="159"/>
  <c r="K230" i="159"/>
  <c r="K231" i="159"/>
  <c r="K232" i="159"/>
  <c r="K233" i="159"/>
  <c r="K234" i="159"/>
  <c r="K235" i="159"/>
  <c r="K236" i="159"/>
  <c r="K237" i="159"/>
  <c r="K238" i="159"/>
  <c r="K239" i="159"/>
  <c r="K240" i="159"/>
  <c r="K241" i="159"/>
  <c r="K242" i="159"/>
  <c r="K243" i="159"/>
  <c r="K244" i="159"/>
  <c r="K245" i="159"/>
  <c r="K246" i="159"/>
  <c r="K247" i="159"/>
  <c r="K248" i="159"/>
  <c r="K249" i="159"/>
  <c r="K250" i="159"/>
  <c r="K251" i="159"/>
  <c r="K252" i="159"/>
  <c r="K253" i="159"/>
  <c r="K254" i="159"/>
  <c r="K255" i="159"/>
  <c r="K256" i="159"/>
  <c r="K257" i="159"/>
  <c r="K258" i="159"/>
  <c r="K259" i="159"/>
  <c r="K260" i="159"/>
  <c r="K261" i="159"/>
  <c r="K262" i="159"/>
  <c r="K263" i="159"/>
  <c r="K264" i="159"/>
  <c r="K265" i="159"/>
  <c r="K266" i="159"/>
  <c r="K267" i="159"/>
  <c r="K268" i="159"/>
  <c r="K269" i="159"/>
  <c r="K270" i="159"/>
  <c r="K271" i="159"/>
  <c r="K272" i="159"/>
  <c r="K273" i="159"/>
  <c r="K274" i="159"/>
  <c r="K275" i="159"/>
  <c r="K276" i="159"/>
  <c r="K277" i="159"/>
  <c r="K278" i="159"/>
  <c r="K279" i="159"/>
  <c r="K280" i="159"/>
  <c r="K281" i="159"/>
  <c r="K282" i="159"/>
  <c r="K283" i="159"/>
  <c r="K284" i="159"/>
  <c r="K285" i="159"/>
  <c r="K286" i="159"/>
  <c r="K287" i="159"/>
  <c r="K288" i="159"/>
  <c r="K289" i="159"/>
  <c r="K290" i="159"/>
  <c r="K291" i="159"/>
  <c r="K292" i="159"/>
  <c r="K293" i="159"/>
  <c r="K294" i="159"/>
  <c r="K295" i="159"/>
  <c r="K296" i="159"/>
  <c r="K297" i="159"/>
  <c r="K298" i="159"/>
  <c r="K299" i="159"/>
  <c r="K300" i="159"/>
  <c r="K301" i="159"/>
  <c r="K302" i="159"/>
  <c r="K303" i="159"/>
  <c r="K304" i="159"/>
  <c r="K305" i="159"/>
  <c r="K306" i="159"/>
  <c r="K307" i="159"/>
  <c r="K308" i="159"/>
  <c r="K309" i="159"/>
  <c r="K310" i="159"/>
  <c r="K311" i="159"/>
  <c r="K312" i="159"/>
  <c r="K313" i="159"/>
  <c r="K314" i="159"/>
  <c r="K315" i="159"/>
  <c r="K316" i="159"/>
  <c r="K317" i="159"/>
  <c r="K318" i="159"/>
  <c r="K319" i="159"/>
  <c r="K320" i="159"/>
  <c r="K321" i="159"/>
  <c r="K322" i="159"/>
  <c r="K323" i="159"/>
  <c r="K324" i="159"/>
  <c r="K325" i="159"/>
  <c r="K326" i="159"/>
  <c r="K327" i="159"/>
  <c r="K328" i="159"/>
  <c r="K329" i="159"/>
  <c r="K330" i="159"/>
  <c r="K331" i="159"/>
  <c r="K332" i="159"/>
  <c r="K333" i="159"/>
  <c r="K334" i="159"/>
  <c r="K335" i="159"/>
  <c r="K336" i="159"/>
  <c r="K337" i="159"/>
  <c r="K338" i="159"/>
  <c r="K339" i="159"/>
  <c r="K340" i="159"/>
  <c r="K341" i="159"/>
  <c r="K342" i="159"/>
  <c r="K343" i="159"/>
  <c r="K344" i="159"/>
  <c r="K345" i="159"/>
  <c r="K346" i="159"/>
  <c r="K347" i="159"/>
  <c r="K348" i="159"/>
  <c r="K349" i="159"/>
  <c r="K350" i="159"/>
  <c r="F5" i="158"/>
  <c r="F7" i="158"/>
  <c r="A51" i="158"/>
  <c r="R3" i="158"/>
  <c r="A2" i="158"/>
  <c r="B46" i="158"/>
  <c r="G46" i="158"/>
  <c r="E46" i="158"/>
  <c r="H46" i="158"/>
  <c r="O356" i="159"/>
  <c r="E7" i="158"/>
  <c r="E21" i="158"/>
  <c r="B21" i="158"/>
  <c r="E26" i="158"/>
  <c r="B26" i="158"/>
  <c r="E5" i="158"/>
  <c r="E28" i="158"/>
  <c r="B28" i="158"/>
  <c r="E29" i="158"/>
  <c r="B29" i="158"/>
  <c r="B23" i="158"/>
  <c r="G23" i="158"/>
  <c r="E23" i="158"/>
  <c r="H23" i="158"/>
  <c r="G38" i="158"/>
  <c r="H38" i="158"/>
  <c r="O355" i="159"/>
  <c r="E22" i="158"/>
  <c r="B22" i="158"/>
  <c r="G22" i="158"/>
  <c r="H22" i="158"/>
  <c r="G37" i="158"/>
  <c r="H37" i="158"/>
  <c r="O354" i="159"/>
  <c r="G29" i="158"/>
  <c r="H29" i="158"/>
  <c r="G44" i="158"/>
  <c r="H44" i="158"/>
  <c r="O353" i="159"/>
  <c r="O352" i="159"/>
  <c r="O351" i="159"/>
  <c r="K2" i="154"/>
  <c r="K3" i="154"/>
  <c r="K4" i="154"/>
  <c r="K5" i="154"/>
  <c r="K6" i="154"/>
  <c r="K7" i="154"/>
  <c r="K8" i="154"/>
  <c r="K9" i="154"/>
  <c r="K10" i="154"/>
  <c r="K11" i="154"/>
  <c r="K12" i="154"/>
  <c r="K13" i="154"/>
  <c r="K14" i="154"/>
  <c r="K15" i="154"/>
  <c r="K16" i="154"/>
  <c r="K17" i="154"/>
  <c r="K18" i="154"/>
  <c r="K19" i="154"/>
  <c r="K20" i="154"/>
  <c r="K21" i="154"/>
  <c r="K22" i="154"/>
  <c r="K23" i="154"/>
  <c r="K24" i="154"/>
  <c r="K25" i="154"/>
  <c r="K26" i="154"/>
  <c r="K27" i="154"/>
  <c r="K28" i="154"/>
  <c r="K29" i="154"/>
  <c r="K30" i="154"/>
  <c r="K31" i="154"/>
  <c r="K32" i="154"/>
  <c r="K33" i="154"/>
  <c r="K34" i="154"/>
  <c r="K35" i="154"/>
  <c r="K36" i="154"/>
  <c r="K37" i="154"/>
  <c r="K38" i="154"/>
  <c r="K39" i="154"/>
  <c r="K40" i="154"/>
  <c r="K41" i="154"/>
  <c r="K42" i="154"/>
  <c r="K43" i="154"/>
  <c r="K44" i="154"/>
  <c r="K45" i="154"/>
  <c r="K46" i="154"/>
  <c r="K47" i="154"/>
  <c r="K48" i="154"/>
  <c r="K49" i="154"/>
  <c r="K50" i="154"/>
  <c r="K51" i="154"/>
  <c r="K52" i="154"/>
  <c r="K53" i="154"/>
  <c r="K54" i="154"/>
  <c r="K55" i="154"/>
  <c r="K56" i="154"/>
  <c r="K57" i="154"/>
  <c r="K58" i="154"/>
  <c r="K59" i="154"/>
  <c r="K60" i="154"/>
  <c r="K61" i="154"/>
  <c r="K62" i="154"/>
  <c r="K63" i="154"/>
  <c r="K64" i="154"/>
  <c r="K65" i="154"/>
  <c r="K66" i="154"/>
  <c r="K67" i="154"/>
  <c r="K68" i="154"/>
  <c r="K69" i="154"/>
  <c r="K70" i="154"/>
  <c r="K71" i="154"/>
  <c r="K72" i="154"/>
  <c r="K73" i="154"/>
  <c r="K74" i="154"/>
  <c r="K75" i="154"/>
  <c r="K76" i="154"/>
  <c r="K77" i="154"/>
  <c r="K78" i="154"/>
  <c r="K79" i="154"/>
  <c r="K80" i="154"/>
  <c r="K81" i="154"/>
  <c r="K82" i="154"/>
  <c r="K83" i="154"/>
  <c r="K84" i="154"/>
  <c r="K85" i="154"/>
  <c r="K86" i="154"/>
  <c r="K87" i="154"/>
  <c r="K88" i="154"/>
  <c r="K89" i="154"/>
  <c r="K90" i="154"/>
  <c r="K91" i="154"/>
  <c r="K92" i="154"/>
  <c r="K93" i="154"/>
  <c r="K94" i="154"/>
  <c r="K95" i="154"/>
  <c r="K96" i="154"/>
  <c r="K97" i="154"/>
  <c r="K98" i="154"/>
  <c r="K99" i="154"/>
  <c r="K100" i="154"/>
  <c r="K101" i="154"/>
  <c r="K102" i="154"/>
  <c r="K103" i="154"/>
  <c r="K104" i="154"/>
  <c r="K105" i="154"/>
  <c r="K106" i="154"/>
  <c r="K107" i="154"/>
  <c r="K108" i="154"/>
  <c r="K109" i="154"/>
  <c r="K110" i="154"/>
  <c r="K111" i="154"/>
  <c r="K112" i="154"/>
  <c r="K113" i="154"/>
  <c r="K114" i="154"/>
  <c r="K115" i="154"/>
  <c r="K116" i="154"/>
  <c r="K117" i="154"/>
  <c r="K118" i="154"/>
  <c r="K119" i="154"/>
  <c r="K120" i="154"/>
  <c r="K121" i="154"/>
  <c r="K122" i="154"/>
  <c r="K123" i="154"/>
  <c r="K124" i="154"/>
  <c r="K125" i="154"/>
  <c r="K126" i="154"/>
  <c r="K127" i="154"/>
  <c r="K128" i="154"/>
  <c r="K129" i="154"/>
  <c r="K130" i="154"/>
  <c r="K131" i="154"/>
  <c r="K132" i="154"/>
  <c r="K133" i="154"/>
  <c r="K134" i="154"/>
  <c r="K135" i="154"/>
  <c r="K136" i="154"/>
  <c r="K137" i="154"/>
  <c r="K138" i="154"/>
  <c r="K139" i="154"/>
  <c r="K140" i="154"/>
  <c r="K141" i="154"/>
  <c r="K142" i="154"/>
  <c r="K143" i="154"/>
  <c r="K144" i="154"/>
  <c r="K145" i="154"/>
  <c r="K146" i="154"/>
  <c r="K147" i="154"/>
  <c r="K148" i="154"/>
  <c r="K149" i="154"/>
  <c r="K150" i="154"/>
  <c r="K151" i="154"/>
  <c r="K152" i="154"/>
  <c r="K153" i="154"/>
  <c r="K154" i="154"/>
  <c r="K155" i="154"/>
  <c r="K156" i="154"/>
  <c r="K157" i="154"/>
  <c r="K158" i="154"/>
  <c r="K159" i="154"/>
  <c r="K160" i="154"/>
  <c r="K161" i="154"/>
  <c r="K162" i="154"/>
  <c r="K163" i="154"/>
  <c r="K164" i="154"/>
  <c r="K165" i="154"/>
  <c r="K166" i="154"/>
  <c r="K167" i="154"/>
  <c r="K168" i="154"/>
  <c r="K169" i="154"/>
  <c r="K170" i="154"/>
  <c r="K171" i="154"/>
  <c r="K172" i="154"/>
  <c r="K173" i="154"/>
  <c r="K174" i="154"/>
  <c r="K175" i="154"/>
  <c r="K176" i="154"/>
  <c r="K177" i="154"/>
  <c r="K178" i="154"/>
  <c r="K179" i="154"/>
  <c r="K180" i="154"/>
  <c r="K181" i="154"/>
  <c r="K182" i="154"/>
  <c r="K183" i="154"/>
  <c r="K184" i="154"/>
  <c r="K185" i="154"/>
  <c r="K186" i="154"/>
  <c r="K187" i="154"/>
  <c r="K188" i="154"/>
  <c r="K189" i="154"/>
  <c r="K190" i="154"/>
  <c r="K191" i="154"/>
  <c r="K192" i="154"/>
  <c r="K193" i="154"/>
  <c r="K194" i="154"/>
  <c r="K195" i="154"/>
  <c r="K196" i="154"/>
  <c r="K197" i="154"/>
  <c r="K198" i="154"/>
  <c r="K199" i="154"/>
  <c r="K200" i="154"/>
  <c r="K201" i="154"/>
  <c r="K202" i="154"/>
  <c r="K203" i="154"/>
  <c r="K204" i="154"/>
  <c r="K205" i="154"/>
  <c r="K206" i="154"/>
  <c r="K207" i="154"/>
  <c r="K208" i="154"/>
  <c r="K209" i="154"/>
  <c r="K210" i="154"/>
  <c r="K211" i="154"/>
  <c r="K212" i="154"/>
  <c r="K213" i="154"/>
  <c r="K214" i="154"/>
  <c r="K215" i="154"/>
  <c r="K216" i="154"/>
  <c r="K217" i="154"/>
  <c r="K218" i="154"/>
  <c r="K219" i="154"/>
  <c r="K220" i="154"/>
  <c r="K221" i="154"/>
  <c r="K222" i="154"/>
  <c r="K223" i="154"/>
  <c r="K224" i="154"/>
  <c r="K225" i="154"/>
  <c r="K226" i="154"/>
  <c r="K227" i="154"/>
  <c r="K228" i="154"/>
  <c r="K229" i="154"/>
  <c r="K230" i="154"/>
  <c r="K231" i="154"/>
  <c r="K232" i="154"/>
  <c r="K233" i="154"/>
  <c r="K234" i="154"/>
  <c r="K235" i="154"/>
  <c r="K236" i="154"/>
  <c r="K237" i="154"/>
  <c r="K238" i="154"/>
  <c r="K239" i="154"/>
  <c r="K240" i="154"/>
  <c r="K241" i="154"/>
  <c r="K242" i="154"/>
  <c r="K243" i="154"/>
  <c r="K244" i="154"/>
  <c r="K245" i="154"/>
  <c r="K246" i="154"/>
  <c r="K247" i="154"/>
  <c r="K248" i="154"/>
  <c r="K249" i="154"/>
  <c r="K250" i="154"/>
  <c r="K251" i="154"/>
  <c r="K252" i="154"/>
  <c r="K253" i="154"/>
  <c r="K254" i="154"/>
  <c r="K255" i="154"/>
  <c r="K256" i="154"/>
  <c r="K257" i="154"/>
  <c r="K258" i="154"/>
  <c r="K259" i="154"/>
  <c r="K260" i="154"/>
  <c r="K261" i="154"/>
  <c r="K262" i="154"/>
  <c r="K263" i="154"/>
  <c r="K264" i="154"/>
  <c r="K265" i="154"/>
  <c r="K266" i="154"/>
  <c r="K267" i="154"/>
  <c r="K268" i="154"/>
  <c r="K269" i="154"/>
  <c r="K270" i="154"/>
  <c r="K271" i="154"/>
  <c r="K272" i="154"/>
  <c r="K273" i="154"/>
  <c r="K274" i="154"/>
  <c r="K275" i="154"/>
  <c r="K276" i="154"/>
  <c r="K277" i="154"/>
  <c r="K278" i="154"/>
  <c r="K279" i="154"/>
  <c r="K280" i="154"/>
  <c r="K281" i="154"/>
  <c r="K282" i="154"/>
  <c r="K283" i="154"/>
  <c r="K284" i="154"/>
  <c r="K285" i="154"/>
  <c r="K286" i="154"/>
  <c r="K287" i="154"/>
  <c r="K288" i="154"/>
  <c r="K289" i="154"/>
  <c r="K290" i="154"/>
  <c r="K291" i="154"/>
  <c r="K292" i="154"/>
  <c r="K293" i="154"/>
  <c r="K294" i="154"/>
  <c r="K295" i="154"/>
  <c r="K296" i="154"/>
  <c r="K297" i="154"/>
  <c r="K298" i="154"/>
  <c r="K299" i="154"/>
  <c r="K300" i="154"/>
  <c r="K301" i="154"/>
  <c r="K302" i="154"/>
  <c r="K303" i="154"/>
  <c r="K304" i="154"/>
  <c r="K305" i="154"/>
  <c r="K306" i="154"/>
  <c r="K307" i="154"/>
  <c r="K308" i="154"/>
  <c r="K309" i="154"/>
  <c r="K310" i="154"/>
  <c r="K311" i="154"/>
  <c r="K312" i="154"/>
  <c r="K313" i="154"/>
  <c r="K314" i="154"/>
  <c r="K315" i="154"/>
  <c r="K316" i="154"/>
  <c r="K317" i="154"/>
  <c r="K318" i="154"/>
  <c r="K319" i="154"/>
  <c r="K320" i="154"/>
  <c r="K321" i="154"/>
  <c r="K322" i="154"/>
  <c r="K323" i="154"/>
  <c r="K324" i="154"/>
  <c r="K325" i="154"/>
  <c r="K326" i="154"/>
  <c r="K327" i="154"/>
  <c r="K328" i="154"/>
  <c r="K329" i="154"/>
  <c r="K330" i="154"/>
  <c r="K331" i="154"/>
  <c r="K332" i="154"/>
  <c r="K333" i="154"/>
  <c r="K334" i="154"/>
  <c r="K335" i="154"/>
  <c r="K336" i="154"/>
  <c r="K337" i="154"/>
  <c r="K338" i="154"/>
  <c r="K339" i="154"/>
  <c r="K340" i="154"/>
  <c r="K341" i="154"/>
  <c r="K342" i="154"/>
  <c r="K343" i="154"/>
  <c r="K344" i="154"/>
  <c r="K345" i="154"/>
  <c r="K346" i="154"/>
  <c r="K347" i="154"/>
  <c r="K348" i="154"/>
  <c r="K349" i="154"/>
  <c r="K350" i="154"/>
  <c r="F5" i="153"/>
  <c r="F7" i="153"/>
  <c r="A51" i="153"/>
  <c r="R3" i="153"/>
  <c r="A2" i="153"/>
  <c r="B46" i="153"/>
  <c r="G46" i="153"/>
  <c r="E46" i="153"/>
  <c r="H46" i="153"/>
  <c r="O356" i="154"/>
  <c r="E7" i="153"/>
  <c r="E21" i="153"/>
  <c r="B21" i="153"/>
  <c r="E26" i="153"/>
  <c r="B26" i="153"/>
  <c r="E5" i="153"/>
  <c r="E28" i="153"/>
  <c r="B28" i="153"/>
  <c r="E29" i="153"/>
  <c r="B29" i="153"/>
  <c r="B23" i="153"/>
  <c r="G23" i="153"/>
  <c r="E23" i="153"/>
  <c r="H23" i="153"/>
  <c r="G38" i="153"/>
  <c r="H38" i="153"/>
  <c r="O355" i="154"/>
  <c r="E22" i="153"/>
  <c r="B22" i="153"/>
  <c r="G22" i="153"/>
  <c r="H22" i="153"/>
  <c r="G37" i="153"/>
  <c r="H37" i="153"/>
  <c r="O354" i="154"/>
  <c r="G29" i="153"/>
  <c r="H29" i="153"/>
  <c r="G44" i="153"/>
  <c r="H44" i="153"/>
  <c r="O353" i="154"/>
  <c r="O352" i="154"/>
  <c r="O351" i="154"/>
  <c r="K2" i="163"/>
  <c r="K3" i="163"/>
  <c r="K4" i="163"/>
  <c r="K5" i="163"/>
  <c r="K6" i="163"/>
  <c r="K7" i="163"/>
  <c r="K8" i="163"/>
  <c r="K9" i="163"/>
  <c r="K10" i="163"/>
  <c r="K11" i="163"/>
  <c r="K12" i="163"/>
  <c r="K13" i="163"/>
  <c r="K14" i="163"/>
  <c r="K15" i="163"/>
  <c r="K16" i="163"/>
  <c r="K17" i="163"/>
  <c r="K18" i="163"/>
  <c r="K19" i="163"/>
  <c r="K20" i="163"/>
  <c r="K21" i="163"/>
  <c r="K22" i="163"/>
  <c r="K23" i="163"/>
  <c r="K24" i="163"/>
  <c r="K25" i="163"/>
  <c r="K26" i="163"/>
  <c r="K27" i="163"/>
  <c r="K28" i="163"/>
  <c r="K29" i="163"/>
  <c r="K30" i="163"/>
  <c r="K31" i="163"/>
  <c r="K32" i="163"/>
  <c r="K33" i="163"/>
  <c r="K34" i="163"/>
  <c r="K35" i="163"/>
  <c r="K36" i="163"/>
  <c r="K37" i="163"/>
  <c r="K38" i="163"/>
  <c r="K39" i="163"/>
  <c r="K40" i="163"/>
  <c r="K41" i="163"/>
  <c r="K42" i="163"/>
  <c r="K43" i="163"/>
  <c r="K44" i="163"/>
  <c r="K45" i="163"/>
  <c r="K46" i="163"/>
  <c r="K47" i="163"/>
  <c r="K48" i="163"/>
  <c r="K49" i="163"/>
  <c r="K50" i="163"/>
  <c r="K51" i="163"/>
  <c r="K52" i="163"/>
  <c r="K53" i="163"/>
  <c r="K54" i="163"/>
  <c r="K55" i="163"/>
  <c r="K56" i="163"/>
  <c r="K57" i="163"/>
  <c r="K58" i="163"/>
  <c r="K59" i="163"/>
  <c r="K60" i="163"/>
  <c r="K61" i="163"/>
  <c r="K62" i="163"/>
  <c r="K63" i="163"/>
  <c r="K64" i="163"/>
  <c r="K65" i="163"/>
  <c r="K66" i="163"/>
  <c r="K67" i="163"/>
  <c r="K68" i="163"/>
  <c r="K69" i="163"/>
  <c r="K70" i="163"/>
  <c r="K71" i="163"/>
  <c r="K72" i="163"/>
  <c r="K73" i="163"/>
  <c r="K74" i="163"/>
  <c r="K75" i="163"/>
  <c r="K76" i="163"/>
  <c r="K77" i="163"/>
  <c r="K78" i="163"/>
  <c r="K79" i="163"/>
  <c r="K80" i="163"/>
  <c r="K81" i="163"/>
  <c r="K82" i="163"/>
  <c r="K83" i="163"/>
  <c r="K84" i="163"/>
  <c r="K85" i="163"/>
  <c r="K86" i="163"/>
  <c r="K87" i="163"/>
  <c r="K88" i="163"/>
  <c r="K89" i="163"/>
  <c r="K90" i="163"/>
  <c r="K91" i="163"/>
  <c r="K92" i="163"/>
  <c r="K93" i="163"/>
  <c r="K94" i="163"/>
  <c r="K95" i="163"/>
  <c r="K96" i="163"/>
  <c r="K97" i="163"/>
  <c r="K98" i="163"/>
  <c r="K99" i="163"/>
  <c r="K100" i="163"/>
  <c r="K101" i="163"/>
  <c r="K102" i="163"/>
  <c r="K103" i="163"/>
  <c r="K104" i="163"/>
  <c r="K105" i="163"/>
  <c r="K106" i="163"/>
  <c r="K107" i="163"/>
  <c r="K108" i="163"/>
  <c r="K109" i="163"/>
  <c r="K110" i="163"/>
  <c r="K111" i="163"/>
  <c r="K112" i="163"/>
  <c r="K113" i="163"/>
  <c r="K114" i="163"/>
  <c r="K115" i="163"/>
  <c r="K116" i="163"/>
  <c r="K117" i="163"/>
  <c r="K118" i="163"/>
  <c r="K119" i="163"/>
  <c r="K120" i="163"/>
  <c r="K121" i="163"/>
  <c r="K122" i="163"/>
  <c r="K123" i="163"/>
  <c r="K124" i="163"/>
  <c r="K125" i="163"/>
  <c r="K126" i="163"/>
  <c r="K127" i="163"/>
  <c r="K128" i="163"/>
  <c r="K129" i="163"/>
  <c r="K130" i="163"/>
  <c r="K131" i="163"/>
  <c r="K132" i="163"/>
  <c r="K133" i="163"/>
  <c r="K134" i="163"/>
  <c r="K135" i="163"/>
  <c r="K136" i="163"/>
  <c r="K137" i="163"/>
  <c r="K138" i="163"/>
  <c r="K139" i="163"/>
  <c r="K140" i="163"/>
  <c r="K141" i="163"/>
  <c r="K142" i="163"/>
  <c r="K143" i="163"/>
  <c r="K144" i="163"/>
  <c r="K145" i="163"/>
  <c r="K146" i="163"/>
  <c r="K147" i="163"/>
  <c r="K148" i="163"/>
  <c r="K149" i="163"/>
  <c r="K150" i="163"/>
  <c r="K151" i="163"/>
  <c r="K152" i="163"/>
  <c r="K153" i="163"/>
  <c r="K154" i="163"/>
  <c r="K155" i="163"/>
  <c r="K156" i="163"/>
  <c r="K157" i="163"/>
  <c r="K158" i="163"/>
  <c r="K159" i="163"/>
  <c r="K160" i="163"/>
  <c r="K161" i="163"/>
  <c r="K162" i="163"/>
  <c r="K163" i="163"/>
  <c r="K164" i="163"/>
  <c r="K165" i="163"/>
  <c r="K166" i="163"/>
  <c r="K167" i="163"/>
  <c r="K168" i="163"/>
  <c r="K169" i="163"/>
  <c r="K170" i="163"/>
  <c r="K171" i="163"/>
  <c r="K172" i="163"/>
  <c r="K173" i="163"/>
  <c r="K174" i="163"/>
  <c r="K175" i="163"/>
  <c r="K176" i="163"/>
  <c r="K177" i="163"/>
  <c r="K178" i="163"/>
  <c r="K179" i="163"/>
  <c r="K180" i="163"/>
  <c r="K181" i="163"/>
  <c r="K182" i="163"/>
  <c r="K183" i="163"/>
  <c r="K184" i="163"/>
  <c r="K185" i="163"/>
  <c r="K186" i="163"/>
  <c r="K187" i="163"/>
  <c r="K188" i="163"/>
  <c r="K189" i="163"/>
  <c r="K190" i="163"/>
  <c r="K191" i="163"/>
  <c r="K192" i="163"/>
  <c r="K193" i="163"/>
  <c r="K194" i="163"/>
  <c r="K195" i="163"/>
  <c r="K196" i="163"/>
  <c r="K197" i="163"/>
  <c r="K198" i="163"/>
  <c r="K199" i="163"/>
  <c r="K200" i="163"/>
  <c r="K201" i="163"/>
  <c r="K202" i="163"/>
  <c r="K203" i="163"/>
  <c r="K204" i="163"/>
  <c r="K205" i="163"/>
  <c r="K206" i="163"/>
  <c r="K207" i="163"/>
  <c r="K208" i="163"/>
  <c r="K209" i="163"/>
  <c r="K210" i="163"/>
  <c r="K211" i="163"/>
  <c r="K212" i="163"/>
  <c r="K213" i="163"/>
  <c r="K214" i="163"/>
  <c r="K215" i="163"/>
  <c r="K216" i="163"/>
  <c r="K217" i="163"/>
  <c r="K218" i="163"/>
  <c r="K219" i="163"/>
  <c r="K220" i="163"/>
  <c r="K221" i="163"/>
  <c r="K222" i="163"/>
  <c r="K223" i="163"/>
  <c r="K224" i="163"/>
  <c r="K225" i="163"/>
  <c r="K226" i="163"/>
  <c r="K227" i="163"/>
  <c r="K228" i="163"/>
  <c r="K229" i="163"/>
  <c r="K230" i="163"/>
  <c r="K231" i="163"/>
  <c r="K232" i="163"/>
  <c r="K233" i="163"/>
  <c r="K234" i="163"/>
  <c r="K235" i="163"/>
  <c r="K236" i="163"/>
  <c r="K237" i="163"/>
  <c r="K238" i="163"/>
  <c r="K239" i="163"/>
  <c r="K240" i="163"/>
  <c r="K241" i="163"/>
  <c r="K242" i="163"/>
  <c r="K243" i="163"/>
  <c r="K244" i="163"/>
  <c r="K245" i="163"/>
  <c r="K246" i="163"/>
  <c r="K247" i="163"/>
  <c r="K248" i="163"/>
  <c r="K249" i="163"/>
  <c r="K250" i="163"/>
  <c r="K251" i="163"/>
  <c r="K252" i="163"/>
  <c r="K253" i="163"/>
  <c r="K254" i="163"/>
  <c r="K255" i="163"/>
  <c r="K256" i="163"/>
  <c r="K257" i="163"/>
  <c r="K258" i="163"/>
  <c r="K259" i="163"/>
  <c r="K260" i="163"/>
  <c r="K261" i="163"/>
  <c r="K262" i="163"/>
  <c r="K263" i="163"/>
  <c r="K264" i="163"/>
  <c r="K265" i="163"/>
  <c r="K266" i="163"/>
  <c r="K267" i="163"/>
  <c r="K268" i="163"/>
  <c r="K269" i="163"/>
  <c r="K270" i="163"/>
  <c r="K271" i="163"/>
  <c r="K272" i="163"/>
  <c r="K273" i="163"/>
  <c r="K274" i="163"/>
  <c r="K275" i="163"/>
  <c r="K276" i="163"/>
  <c r="K277" i="163"/>
  <c r="K278" i="163"/>
  <c r="K279" i="163"/>
  <c r="K280" i="163"/>
  <c r="K281" i="163"/>
  <c r="K282" i="163"/>
  <c r="K283" i="163"/>
  <c r="K284" i="163"/>
  <c r="K285" i="163"/>
  <c r="K286" i="163"/>
  <c r="K287" i="163"/>
  <c r="K288" i="163"/>
  <c r="K289" i="163"/>
  <c r="K290" i="163"/>
  <c r="K291" i="163"/>
  <c r="K292" i="163"/>
  <c r="K293" i="163"/>
  <c r="K294" i="163"/>
  <c r="K295" i="163"/>
  <c r="K296" i="163"/>
  <c r="K297" i="163"/>
  <c r="K298" i="163"/>
  <c r="K299" i="163"/>
  <c r="K300" i="163"/>
  <c r="K301" i="163"/>
  <c r="K302" i="163"/>
  <c r="K303" i="163"/>
  <c r="K304" i="163"/>
  <c r="K305" i="163"/>
  <c r="K306" i="163"/>
  <c r="K307" i="163"/>
  <c r="K308" i="163"/>
  <c r="K309" i="163"/>
  <c r="K310" i="163"/>
  <c r="K311" i="163"/>
  <c r="K312" i="163"/>
  <c r="K313" i="163"/>
  <c r="K314" i="163"/>
  <c r="K315" i="163"/>
  <c r="K316" i="163"/>
  <c r="K317" i="163"/>
  <c r="K318" i="163"/>
  <c r="K319" i="163"/>
  <c r="K320" i="163"/>
  <c r="K321" i="163"/>
  <c r="K322" i="163"/>
  <c r="K323" i="163"/>
  <c r="K324" i="163"/>
  <c r="K325" i="163"/>
  <c r="K326" i="163"/>
  <c r="K327" i="163"/>
  <c r="K328" i="163"/>
  <c r="K329" i="163"/>
  <c r="K330" i="163"/>
  <c r="K331" i="163"/>
  <c r="K332" i="163"/>
  <c r="K333" i="163"/>
  <c r="K334" i="163"/>
  <c r="K335" i="163"/>
  <c r="K336" i="163"/>
  <c r="K337" i="163"/>
  <c r="K338" i="163"/>
  <c r="K339" i="163"/>
  <c r="K340" i="163"/>
  <c r="K341" i="163"/>
  <c r="K342" i="163"/>
  <c r="K343" i="163"/>
  <c r="K344" i="163"/>
  <c r="K345" i="163"/>
  <c r="K346" i="163"/>
  <c r="K347" i="163"/>
  <c r="K348" i="163"/>
  <c r="K349" i="163"/>
  <c r="K350" i="163"/>
  <c r="F5" i="162"/>
  <c r="F7" i="162"/>
  <c r="A51" i="162"/>
  <c r="R3" i="162"/>
  <c r="A2" i="162"/>
  <c r="G46" i="162"/>
  <c r="E46" i="162"/>
  <c r="H46" i="162"/>
  <c r="O356" i="163"/>
  <c r="E7" i="162"/>
  <c r="E21" i="162"/>
  <c r="B21" i="162"/>
  <c r="E26" i="162"/>
  <c r="B26" i="162"/>
  <c r="E5" i="162"/>
  <c r="E28" i="162"/>
  <c r="B28" i="162"/>
  <c r="E29" i="162"/>
  <c r="B29" i="162"/>
  <c r="B23" i="162"/>
  <c r="G23" i="162"/>
  <c r="E23" i="162"/>
  <c r="H23" i="162"/>
  <c r="G38" i="162"/>
  <c r="H38" i="162"/>
  <c r="O355" i="163"/>
  <c r="E22" i="162"/>
  <c r="B22" i="162"/>
  <c r="G22" i="162"/>
  <c r="H22" i="162"/>
  <c r="G37" i="162"/>
  <c r="H37" i="162"/>
  <c r="O354" i="163"/>
  <c r="G29" i="162"/>
  <c r="H29" i="162"/>
  <c r="G44" i="162"/>
  <c r="H44" i="162"/>
  <c r="O353" i="163"/>
  <c r="O352" i="163"/>
  <c r="O351" i="163"/>
  <c r="E19" i="162"/>
  <c r="B19" i="162"/>
  <c r="E24" i="162"/>
  <c r="B24" i="162"/>
  <c r="B17" i="162"/>
  <c r="G17" i="162"/>
  <c r="E17" i="162"/>
  <c r="H17" i="162"/>
  <c r="E34" i="162"/>
  <c r="B34" i="162"/>
  <c r="E39" i="162"/>
  <c r="B39" i="162"/>
  <c r="B32" i="162"/>
  <c r="G32" i="162"/>
  <c r="E32" i="162"/>
  <c r="H32" i="162"/>
  <c r="O2" i="163"/>
  <c r="E20" i="162"/>
  <c r="B20" i="162"/>
  <c r="E25" i="162"/>
  <c r="B25" i="162"/>
  <c r="E27" i="162"/>
  <c r="B27" i="162"/>
  <c r="B18" i="162"/>
  <c r="G18" i="162"/>
  <c r="E18" i="162"/>
  <c r="H18" i="162"/>
  <c r="E35" i="162"/>
  <c r="B35" i="162"/>
  <c r="E40" i="162"/>
  <c r="B40" i="162"/>
  <c r="E42" i="162"/>
  <c r="B42" i="162"/>
  <c r="B33" i="162"/>
  <c r="G33" i="162"/>
  <c r="E33" i="162"/>
  <c r="H33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G39" i="162"/>
  <c r="H39" i="162"/>
  <c r="O42" i="163"/>
  <c r="G25" i="162"/>
  <c r="H25" i="162"/>
  <c r="G40" i="162"/>
  <c r="H40" i="162"/>
  <c r="O43" i="163"/>
  <c r="G26" i="162"/>
  <c r="H26" i="162"/>
  <c r="G41" i="162"/>
  <c r="H41" i="162"/>
  <c r="O44" i="163"/>
  <c r="O45" i="163"/>
  <c r="O46" i="163"/>
  <c r="O47" i="163"/>
  <c r="O48" i="163"/>
  <c r="O49" i="163"/>
  <c r="O50" i="163"/>
  <c r="G19" i="162"/>
  <c r="H19" i="162"/>
  <c r="G34" i="162"/>
  <c r="H34" i="162"/>
  <c r="O51" i="163"/>
  <c r="G20" i="162"/>
  <c r="H20" i="162"/>
  <c r="G35" i="162"/>
  <c r="H35" i="162"/>
  <c r="O52" i="163"/>
  <c r="G21" i="162"/>
  <c r="H21" i="162"/>
  <c r="G36" i="162"/>
  <c r="E36" i="162"/>
  <c r="H36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G42" i="162"/>
  <c r="H42" i="162"/>
  <c r="O138" i="163"/>
  <c r="G28" i="162"/>
  <c r="H28" i="162"/>
  <c r="G43" i="162"/>
  <c r="H43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7" i="163"/>
  <c r="O348" i="163"/>
  <c r="O349" i="163"/>
  <c r="O350" i="163"/>
  <c r="A2" i="106"/>
  <c r="P356" i="163"/>
  <c r="H57" i="162"/>
  <c r="H57" i="149"/>
  <c r="E20" i="149"/>
  <c r="B20" i="149"/>
  <c r="E25" i="149"/>
  <c r="B25" i="149"/>
  <c r="E27" i="149"/>
  <c r="B27" i="149"/>
  <c r="B18" i="149"/>
  <c r="E35" i="149"/>
  <c r="B35" i="149"/>
  <c r="E40" i="149"/>
  <c r="B40" i="149"/>
  <c r="E42" i="149"/>
  <c r="B42" i="149"/>
  <c r="B33" i="149"/>
  <c r="H56" i="149"/>
  <c r="E19" i="149"/>
  <c r="B19" i="149"/>
  <c r="E24" i="149"/>
  <c r="B24" i="149"/>
  <c r="B17" i="149"/>
  <c r="G17" i="149"/>
  <c r="E17" i="149"/>
  <c r="H17" i="149"/>
  <c r="E34" i="149"/>
  <c r="B34" i="149"/>
  <c r="E39" i="149"/>
  <c r="B39" i="149"/>
  <c r="B32" i="149"/>
  <c r="G32" i="149"/>
  <c r="E32" i="149"/>
  <c r="H32" i="149"/>
  <c r="O2" i="150"/>
  <c r="G18" i="149"/>
  <c r="E18" i="149"/>
  <c r="H18" i="149"/>
  <c r="G33" i="149"/>
  <c r="E33" i="149"/>
  <c r="H33" i="149"/>
  <c r="O3" i="150"/>
  <c r="O4" i="150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G39" i="149"/>
  <c r="H39" i="149"/>
  <c r="O42" i="150"/>
  <c r="G25" i="149"/>
  <c r="H25" i="149"/>
  <c r="G40" i="149"/>
  <c r="H40" i="149"/>
  <c r="O43" i="150"/>
  <c r="G26" i="149"/>
  <c r="H26" i="149"/>
  <c r="G41" i="149"/>
  <c r="H41" i="149"/>
  <c r="O44" i="150"/>
  <c r="O45" i="150"/>
  <c r="O46" i="150"/>
  <c r="O47" i="150"/>
  <c r="O48" i="150"/>
  <c r="O49" i="150"/>
  <c r="O50" i="150"/>
  <c r="G19" i="149"/>
  <c r="H19" i="149"/>
  <c r="G34" i="149"/>
  <c r="H34" i="149"/>
  <c r="O51" i="150"/>
  <c r="G20" i="149"/>
  <c r="H20" i="149"/>
  <c r="G35" i="149"/>
  <c r="H35" i="149"/>
  <c r="O52" i="150"/>
  <c r="G21" i="149"/>
  <c r="H21" i="149"/>
  <c r="G36" i="149"/>
  <c r="E36" i="149"/>
  <c r="H36" i="149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7" i="149"/>
  <c r="H27" i="149"/>
  <c r="G42" i="149"/>
  <c r="H42" i="149"/>
  <c r="O138" i="150"/>
  <c r="G28" i="149"/>
  <c r="H28" i="149"/>
  <c r="G43" i="149"/>
  <c r="H43" i="149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7" i="150"/>
  <c r="O348" i="150"/>
  <c r="O349" i="150"/>
  <c r="O350" i="150"/>
  <c r="F5" i="106"/>
  <c r="F7" i="106"/>
  <c r="A51" i="106"/>
  <c r="E5" i="106"/>
  <c r="E29" i="106"/>
  <c r="B29" i="106"/>
  <c r="G29" i="106"/>
  <c r="H29" i="106"/>
  <c r="E7" i="106"/>
  <c r="E22" i="106"/>
  <c r="E21" i="106"/>
  <c r="B21" i="106"/>
  <c r="E26" i="106"/>
  <c r="B26" i="106"/>
  <c r="E28" i="106"/>
  <c r="B28" i="106"/>
  <c r="B23" i="106"/>
  <c r="B22" i="106"/>
  <c r="G22" i="106"/>
  <c r="H22" i="106"/>
  <c r="G23" i="106"/>
  <c r="E23" i="106"/>
  <c r="H23" i="106"/>
  <c r="R3" i="106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F60" i="149"/>
  <c r="F57" i="149"/>
  <c r="G57" i="149"/>
  <c r="F56" i="149"/>
  <c r="G56" i="149"/>
  <c r="G26" i="153"/>
  <c r="H26" i="153"/>
  <c r="G41" i="153"/>
  <c r="H41" i="153"/>
  <c r="O44" i="154"/>
  <c r="O47" i="154"/>
  <c r="O50" i="154"/>
  <c r="G21" i="153"/>
  <c r="H21" i="153"/>
  <c r="G36" i="153"/>
  <c r="E36" i="153"/>
  <c r="H36" i="153"/>
  <c r="O53" i="154"/>
  <c r="E19" i="153"/>
  <c r="B19" i="153"/>
  <c r="E24" i="153"/>
  <c r="B24" i="153"/>
  <c r="B17" i="153"/>
  <c r="G17" i="153"/>
  <c r="E17" i="153"/>
  <c r="H17" i="153"/>
  <c r="E34" i="153"/>
  <c r="B34" i="153"/>
  <c r="E39" i="153"/>
  <c r="B39" i="153"/>
  <c r="B32" i="153"/>
  <c r="G32" i="153"/>
  <c r="E32" i="153"/>
  <c r="H32" i="153"/>
  <c r="O2" i="154"/>
  <c r="E20" i="153"/>
  <c r="B20" i="153"/>
  <c r="E25" i="153"/>
  <c r="B25" i="153"/>
  <c r="E27" i="153"/>
  <c r="B27" i="153"/>
  <c r="B18" i="153"/>
  <c r="G18" i="153"/>
  <c r="E18" i="153"/>
  <c r="H18" i="153"/>
  <c r="E35" i="153"/>
  <c r="B35" i="153"/>
  <c r="E40" i="153"/>
  <c r="B40" i="153"/>
  <c r="E42" i="153"/>
  <c r="B42" i="153"/>
  <c r="B33" i="153"/>
  <c r="G33" i="153"/>
  <c r="E33" i="153"/>
  <c r="H33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39" i="153"/>
  <c r="H39" i="153"/>
  <c r="O42" i="154"/>
  <c r="G25" i="153"/>
  <c r="H25" i="153"/>
  <c r="G40" i="153"/>
  <c r="H40" i="153"/>
  <c r="O43" i="154"/>
  <c r="O45" i="154"/>
  <c r="O46" i="154"/>
  <c r="O48" i="154"/>
  <c r="O49" i="154"/>
  <c r="G19" i="153"/>
  <c r="H19" i="153"/>
  <c r="G34" i="153"/>
  <c r="H34" i="153"/>
  <c r="O51" i="154"/>
  <c r="G20" i="153"/>
  <c r="H20" i="153"/>
  <c r="G35" i="153"/>
  <c r="H35" i="153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G42" i="153"/>
  <c r="H42" i="153"/>
  <c r="O138" i="154"/>
  <c r="G28" i="153"/>
  <c r="H28" i="153"/>
  <c r="G43" i="153"/>
  <c r="H43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F57" i="153"/>
  <c r="G57" i="153"/>
  <c r="F56" i="162"/>
  <c r="G56" i="162"/>
  <c r="P4" i="157"/>
  <c r="N4" i="157"/>
  <c r="M4" i="157"/>
  <c r="L4" i="157"/>
  <c r="K4" i="157"/>
  <c r="J4" i="157"/>
  <c r="I4" i="157"/>
  <c r="H4" i="157"/>
  <c r="G4" i="157"/>
  <c r="F4" i="157"/>
  <c r="E4" i="157"/>
  <c r="D4" i="157"/>
  <c r="C4" i="157"/>
  <c r="A356" i="163"/>
  <c r="A355" i="163"/>
  <c r="A354" i="163"/>
  <c r="A353" i="163"/>
  <c r="A352" i="163"/>
  <c r="A351" i="163"/>
  <c r="A356" i="154"/>
  <c r="A355" i="154"/>
  <c r="A354" i="154"/>
  <c r="A353" i="154"/>
  <c r="A352" i="154"/>
  <c r="A351" i="154"/>
  <c r="A356" i="159"/>
  <c r="A355" i="159"/>
  <c r="A354" i="159"/>
  <c r="A353" i="159"/>
  <c r="A352" i="159"/>
  <c r="A351" i="159"/>
  <c r="A356" i="150"/>
  <c r="A355" i="150"/>
  <c r="A354" i="150"/>
  <c r="A353" i="150"/>
  <c r="A352" i="150"/>
  <c r="A351" i="150"/>
  <c r="A356" i="148"/>
  <c r="A355" i="148"/>
  <c r="A354" i="148"/>
  <c r="A353" i="148"/>
  <c r="A352" i="148"/>
  <c r="A351" i="148"/>
  <c r="F351" i="163"/>
  <c r="F352" i="163"/>
  <c r="F353" i="163"/>
  <c r="F354" i="163"/>
  <c r="F355" i="163"/>
  <c r="N356" i="163"/>
  <c r="M356" i="163"/>
  <c r="L356" i="163"/>
  <c r="K356" i="163"/>
  <c r="H356" i="163"/>
  <c r="P355" i="163"/>
  <c r="N355" i="163"/>
  <c r="M355" i="163"/>
  <c r="L355" i="163"/>
  <c r="K355" i="163"/>
  <c r="H355" i="163"/>
  <c r="P354" i="163"/>
  <c r="N354" i="163"/>
  <c r="M354" i="163"/>
  <c r="L354" i="163"/>
  <c r="K354" i="163"/>
  <c r="H354" i="163"/>
  <c r="P353" i="163"/>
  <c r="N353" i="163"/>
  <c r="M353" i="163"/>
  <c r="L353" i="163"/>
  <c r="K353" i="163"/>
  <c r="H353" i="163"/>
  <c r="P352" i="163"/>
  <c r="N352" i="163"/>
  <c r="M352" i="163"/>
  <c r="L352" i="163"/>
  <c r="K352" i="163"/>
  <c r="H352" i="163"/>
  <c r="P351" i="163"/>
  <c r="N351" i="163"/>
  <c r="M351" i="163"/>
  <c r="L351" i="163"/>
  <c r="K351" i="163"/>
  <c r="H351" i="163"/>
  <c r="F351" i="154"/>
  <c r="F352" i="154"/>
  <c r="F353" i="154"/>
  <c r="F354" i="154"/>
  <c r="F355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1" i="159"/>
  <c r="F352" i="159"/>
  <c r="F353" i="159"/>
  <c r="F354" i="159"/>
  <c r="F355" i="159"/>
  <c r="E19" i="158"/>
  <c r="B19" i="158"/>
  <c r="E24" i="158"/>
  <c r="B24" i="158"/>
  <c r="B17" i="158"/>
  <c r="G17" i="158"/>
  <c r="E17" i="158"/>
  <c r="H17" i="158"/>
  <c r="E34" i="158"/>
  <c r="B34" i="158"/>
  <c r="E39" i="158"/>
  <c r="B39" i="158"/>
  <c r="B32" i="158"/>
  <c r="G32" i="158"/>
  <c r="E32" i="158"/>
  <c r="H32" i="158"/>
  <c r="O2" i="159"/>
  <c r="E20" i="158"/>
  <c r="B20" i="158"/>
  <c r="E25" i="158"/>
  <c r="B25" i="158"/>
  <c r="E27" i="158"/>
  <c r="B27" i="158"/>
  <c r="B18" i="158"/>
  <c r="G18" i="158"/>
  <c r="E18" i="158"/>
  <c r="H18" i="158"/>
  <c r="E35" i="158"/>
  <c r="B35" i="158"/>
  <c r="E40" i="158"/>
  <c r="B40" i="158"/>
  <c r="E42" i="158"/>
  <c r="B42" i="158"/>
  <c r="B33" i="158"/>
  <c r="G33" i="158"/>
  <c r="E33" i="158"/>
  <c r="H33" i="158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G39" i="158"/>
  <c r="H39" i="158"/>
  <c r="O42" i="159"/>
  <c r="G25" i="158"/>
  <c r="H25" i="158"/>
  <c r="G40" i="158"/>
  <c r="H40" i="158"/>
  <c r="O43" i="159"/>
  <c r="G26" i="158"/>
  <c r="H26" i="158"/>
  <c r="G41" i="158"/>
  <c r="H41" i="158"/>
  <c r="O44" i="159"/>
  <c r="O45" i="159"/>
  <c r="O46" i="159"/>
  <c r="O47" i="159"/>
  <c r="O48" i="159"/>
  <c r="O49" i="159"/>
  <c r="O50" i="159"/>
  <c r="G19" i="158"/>
  <c r="H19" i="158"/>
  <c r="G34" i="158"/>
  <c r="H34" i="158"/>
  <c r="O51" i="159"/>
  <c r="G20" i="158"/>
  <c r="H20" i="158"/>
  <c r="G35" i="158"/>
  <c r="H35" i="158"/>
  <c r="O52" i="159"/>
  <c r="G21" i="158"/>
  <c r="H21" i="158"/>
  <c r="G36" i="158"/>
  <c r="E36" i="158"/>
  <c r="H36" i="158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27" i="158"/>
  <c r="H27" i="158"/>
  <c r="G42" i="158"/>
  <c r="H42" i="158"/>
  <c r="O138" i="159"/>
  <c r="G28" i="158"/>
  <c r="H28" i="158"/>
  <c r="G43" i="158"/>
  <c r="H43" i="158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7" i="159"/>
  <c r="O348" i="159"/>
  <c r="O349" i="159"/>
  <c r="O350" i="159"/>
  <c r="P356" i="159"/>
  <c r="N356" i="159"/>
  <c r="M356" i="159"/>
  <c r="L356" i="159"/>
  <c r="K356" i="159"/>
  <c r="H356" i="159"/>
  <c r="P355" i="159"/>
  <c r="N355" i="159"/>
  <c r="M355" i="159"/>
  <c r="L355" i="159"/>
  <c r="K355" i="159"/>
  <c r="H355" i="159"/>
  <c r="P354" i="159"/>
  <c r="N354" i="159"/>
  <c r="M354" i="159"/>
  <c r="L354" i="159"/>
  <c r="K354" i="159"/>
  <c r="H354" i="159"/>
  <c r="P353" i="159"/>
  <c r="N353" i="159"/>
  <c r="M353" i="159"/>
  <c r="L353" i="159"/>
  <c r="K353" i="159"/>
  <c r="H353" i="159"/>
  <c r="P352" i="159"/>
  <c r="N352" i="159"/>
  <c r="M352" i="159"/>
  <c r="L352" i="159"/>
  <c r="K352" i="159"/>
  <c r="H352" i="159"/>
  <c r="P351" i="159"/>
  <c r="N351" i="159"/>
  <c r="M351" i="159"/>
  <c r="L351" i="159"/>
  <c r="K351" i="159"/>
  <c r="H351" i="159"/>
  <c r="F351" i="150"/>
  <c r="F352" i="150"/>
  <c r="F353" i="150"/>
  <c r="F354" i="150"/>
  <c r="F355" i="150"/>
  <c r="N356" i="150"/>
  <c r="M356" i="150"/>
  <c r="L356" i="150"/>
  <c r="K356" i="150"/>
  <c r="H356" i="150"/>
  <c r="N355" i="150"/>
  <c r="M355" i="150"/>
  <c r="L355" i="150"/>
  <c r="K355" i="150"/>
  <c r="H355" i="150"/>
  <c r="N354" i="150"/>
  <c r="M354" i="150"/>
  <c r="L354" i="150"/>
  <c r="K354" i="150"/>
  <c r="H354" i="150"/>
  <c r="N353" i="150"/>
  <c r="M353" i="150"/>
  <c r="L353" i="150"/>
  <c r="K353" i="150"/>
  <c r="H353" i="150"/>
  <c r="N352" i="150"/>
  <c r="M352" i="150"/>
  <c r="L352" i="150"/>
  <c r="K352" i="150"/>
  <c r="H352" i="150"/>
  <c r="N351" i="150"/>
  <c r="M351" i="150"/>
  <c r="L351" i="150"/>
  <c r="K351" i="150"/>
  <c r="H351" i="150"/>
  <c r="E19" i="106"/>
  <c r="E27" i="147"/>
  <c r="B27" i="147"/>
  <c r="F351" i="148"/>
  <c r="F352" i="148"/>
  <c r="F353" i="148"/>
  <c r="F354" i="148"/>
  <c r="F355" i="148"/>
  <c r="E19" i="147"/>
  <c r="B19" i="147"/>
  <c r="E24" i="147"/>
  <c r="B24" i="147"/>
  <c r="B17" i="147"/>
  <c r="G17" i="147"/>
  <c r="E17" i="147"/>
  <c r="H17" i="147"/>
  <c r="E34" i="147"/>
  <c r="B34" i="147"/>
  <c r="E39" i="147"/>
  <c r="B39" i="147"/>
  <c r="B32" i="147"/>
  <c r="G32" i="147"/>
  <c r="E32" i="147"/>
  <c r="H32" i="147"/>
  <c r="O2" i="148"/>
  <c r="E20" i="147"/>
  <c r="B20" i="147"/>
  <c r="E25" i="147"/>
  <c r="B25" i="147"/>
  <c r="B18" i="147"/>
  <c r="G18" i="147"/>
  <c r="E18" i="147"/>
  <c r="H18" i="147"/>
  <c r="E35" i="147"/>
  <c r="B35" i="147"/>
  <c r="E40" i="147"/>
  <c r="B40" i="147"/>
  <c r="E42" i="147"/>
  <c r="B42" i="147"/>
  <c r="B33" i="147"/>
  <c r="G33" i="147"/>
  <c r="E33" i="147"/>
  <c r="H33" i="147"/>
  <c r="O3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G39" i="147"/>
  <c r="H39" i="147"/>
  <c r="O42" i="148"/>
  <c r="G25" i="147"/>
  <c r="H25" i="147"/>
  <c r="G40" i="147"/>
  <c r="H40" i="147"/>
  <c r="O43" i="148"/>
  <c r="G26" i="147"/>
  <c r="H26" i="147"/>
  <c r="G41" i="147"/>
  <c r="H41" i="147"/>
  <c r="O44" i="148"/>
  <c r="O45" i="148"/>
  <c r="O46" i="148"/>
  <c r="O47" i="148"/>
  <c r="O48" i="148"/>
  <c r="O49" i="148"/>
  <c r="O50" i="148"/>
  <c r="G19" i="147"/>
  <c r="H19" i="147"/>
  <c r="G34" i="147"/>
  <c r="H34" i="147"/>
  <c r="O51" i="148"/>
  <c r="G20" i="147"/>
  <c r="H20" i="147"/>
  <c r="G35" i="147"/>
  <c r="H35" i="147"/>
  <c r="O52" i="148"/>
  <c r="G21" i="147"/>
  <c r="H21" i="147"/>
  <c r="G36" i="147"/>
  <c r="E36" i="147"/>
  <c r="H36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G42" i="147"/>
  <c r="H42" i="147"/>
  <c r="O138" i="148"/>
  <c r="G28" i="147"/>
  <c r="H28" i="147"/>
  <c r="G43" i="147"/>
  <c r="H43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7" i="148"/>
  <c r="O348" i="148"/>
  <c r="O349" i="148"/>
  <c r="O350" i="148"/>
  <c r="P356" i="148"/>
  <c r="N356" i="148"/>
  <c r="M356" i="148"/>
  <c r="L356" i="148"/>
  <c r="K356" i="148"/>
  <c r="H356" i="148"/>
  <c r="P355" i="148"/>
  <c r="N355" i="148"/>
  <c r="M355" i="148"/>
  <c r="L355" i="148"/>
  <c r="K355" i="148"/>
  <c r="H355" i="148"/>
  <c r="P354" i="148"/>
  <c r="N354" i="148"/>
  <c r="M354" i="148"/>
  <c r="L354" i="148"/>
  <c r="K354" i="148"/>
  <c r="H354" i="148"/>
  <c r="P353" i="148"/>
  <c r="N353" i="148"/>
  <c r="M353" i="148"/>
  <c r="L353" i="148"/>
  <c r="K353" i="148"/>
  <c r="H353" i="148"/>
  <c r="P352" i="148"/>
  <c r="N352" i="148"/>
  <c r="M352" i="148"/>
  <c r="L352" i="148"/>
  <c r="K352" i="148"/>
  <c r="H352" i="148"/>
  <c r="P351" i="148"/>
  <c r="N351" i="148"/>
  <c r="M351" i="148"/>
  <c r="L351" i="148"/>
  <c r="K351" i="148"/>
  <c r="H351" i="148"/>
  <c r="G38" i="106"/>
  <c r="H38" i="106"/>
  <c r="O355" i="82"/>
  <c r="B19" i="106"/>
  <c r="E24" i="106"/>
  <c r="B24" i="106"/>
  <c r="B17" i="106"/>
  <c r="G17" i="106"/>
  <c r="E17" i="106"/>
  <c r="H17" i="106"/>
  <c r="E39" i="106"/>
  <c r="B39" i="106"/>
  <c r="B32" i="106"/>
  <c r="G32" i="106"/>
  <c r="E32" i="106"/>
  <c r="H32" i="106"/>
  <c r="O2" i="82"/>
  <c r="E20" i="106"/>
  <c r="B20" i="106"/>
  <c r="E25" i="106"/>
  <c r="B25" i="106"/>
  <c r="E27" i="106"/>
  <c r="B27" i="106"/>
  <c r="B18" i="106"/>
  <c r="G18" i="106"/>
  <c r="E18" i="106"/>
  <c r="H18" i="106"/>
  <c r="E35" i="106"/>
  <c r="B35" i="106"/>
  <c r="E40" i="106"/>
  <c r="B40" i="106"/>
  <c r="E42" i="106"/>
  <c r="B42" i="106"/>
  <c r="B33" i="106"/>
  <c r="G33" i="106"/>
  <c r="E33" i="106"/>
  <c r="H33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G39" i="106"/>
  <c r="H39" i="106"/>
  <c r="O42" i="82"/>
  <c r="G25" i="106"/>
  <c r="H25" i="106"/>
  <c r="G40" i="106"/>
  <c r="H40" i="106"/>
  <c r="O43" i="82"/>
  <c r="G26" i="106"/>
  <c r="H26" i="106"/>
  <c r="G41" i="106"/>
  <c r="H41" i="106"/>
  <c r="O44" i="82"/>
  <c r="O45" i="82"/>
  <c r="O46" i="82"/>
  <c r="O47" i="82"/>
  <c r="O48" i="82"/>
  <c r="O49" i="82"/>
  <c r="O50" i="82"/>
  <c r="G19" i="106"/>
  <c r="H19" i="106"/>
  <c r="G34" i="106"/>
  <c r="H34" i="106"/>
  <c r="O51" i="82"/>
  <c r="G20" i="106"/>
  <c r="H20" i="106"/>
  <c r="G35" i="106"/>
  <c r="H35" i="106"/>
  <c r="O52" i="82"/>
  <c r="G21" i="106"/>
  <c r="H21" i="106"/>
  <c r="G36" i="106"/>
  <c r="E36" i="106"/>
  <c r="H36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G42" i="106"/>
  <c r="H42" i="106"/>
  <c r="O138" i="82"/>
  <c r="G28" i="106"/>
  <c r="H28" i="106"/>
  <c r="G43" i="106"/>
  <c r="H43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G37" i="106"/>
  <c r="H37" i="106"/>
  <c r="O262" i="82"/>
  <c r="O263" i="82"/>
  <c r="O264" i="82"/>
  <c r="O265" i="82"/>
  <c r="G44" i="106"/>
  <c r="H44" i="106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G46" i="106"/>
  <c r="E46" i="106"/>
  <c r="H46" i="106"/>
  <c r="G31" i="106"/>
  <c r="E31" i="106"/>
  <c r="H31" i="106"/>
  <c r="O356" i="82"/>
  <c r="P355" i="82"/>
  <c r="N355" i="82"/>
  <c r="M355" i="82"/>
  <c r="L355" i="82"/>
  <c r="K355" i="82"/>
  <c r="H355" i="82"/>
  <c r="P354" i="82"/>
  <c r="N354" i="82"/>
  <c r="M354" i="82"/>
  <c r="L354" i="82"/>
  <c r="K354" i="82"/>
  <c r="H354" i="82"/>
  <c r="P353" i="82"/>
  <c r="N353" i="82"/>
  <c r="M353" i="82"/>
  <c r="L353" i="82"/>
  <c r="K353" i="82"/>
  <c r="H353" i="82"/>
  <c r="P352" i="82"/>
  <c r="N352" i="82"/>
  <c r="M352" i="82"/>
  <c r="L352" i="82"/>
  <c r="K352" i="82"/>
  <c r="H352" i="82"/>
  <c r="P351" i="82"/>
  <c r="N351" i="82"/>
  <c r="M351" i="82"/>
  <c r="L351" i="82"/>
  <c r="K351" i="82"/>
  <c r="H351" i="82"/>
  <c r="A355" i="82"/>
  <c r="A354" i="82"/>
  <c r="A353" i="82"/>
  <c r="A352" i="82"/>
  <c r="A351" i="82"/>
  <c r="P356" i="82"/>
  <c r="N356" i="82"/>
  <c r="M356" i="82"/>
  <c r="L356" i="82"/>
  <c r="K356" i="82"/>
  <c r="H356" i="82"/>
  <c r="A356" i="82"/>
  <c r="B11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B11" i="106"/>
  <c r="B10" i="106"/>
  <c r="B11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F319" i="148"/>
  <c r="F320" i="148"/>
  <c r="F321" i="148"/>
  <c r="F322" i="148"/>
  <c r="F323" i="148"/>
  <c r="F324" i="148"/>
  <c r="F325" i="148"/>
  <c r="F326" i="148"/>
  <c r="F327" i="148"/>
  <c r="F328" i="148"/>
  <c r="F329" i="148"/>
  <c r="F330" i="148"/>
  <c r="F331" i="148"/>
  <c r="F332" i="148"/>
  <c r="F333" i="148"/>
  <c r="F334" i="148"/>
  <c r="F335" i="148"/>
  <c r="F336" i="148"/>
  <c r="F337" i="148"/>
  <c r="F338" i="148"/>
  <c r="F339" i="148"/>
  <c r="F340" i="148"/>
  <c r="F341" i="148"/>
  <c r="F342" i="148"/>
  <c r="F343" i="148"/>
  <c r="F344" i="148"/>
  <c r="F345" i="148"/>
  <c r="F346" i="148"/>
  <c r="F347" i="148"/>
  <c r="F348" i="148"/>
  <c r="F349" i="148"/>
  <c r="F350" i="148"/>
  <c r="B10" i="147"/>
  <c r="B11" i="149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F311" i="150"/>
  <c r="F312" i="150"/>
  <c r="F313" i="150"/>
  <c r="F314" i="150"/>
  <c r="F315" i="150"/>
  <c r="F316" i="150"/>
  <c r="F317" i="150"/>
  <c r="F318" i="150"/>
  <c r="F319" i="150"/>
  <c r="F320" i="150"/>
  <c r="F321" i="150"/>
  <c r="F322" i="150"/>
  <c r="F323" i="150"/>
  <c r="F324" i="150"/>
  <c r="F325" i="150"/>
  <c r="F326" i="150"/>
  <c r="F327" i="150"/>
  <c r="F328" i="150"/>
  <c r="F329" i="150"/>
  <c r="F330" i="150"/>
  <c r="F331" i="150"/>
  <c r="F332" i="150"/>
  <c r="F333" i="150"/>
  <c r="F334" i="150"/>
  <c r="F335" i="150"/>
  <c r="F336" i="150"/>
  <c r="F337" i="150"/>
  <c r="F338" i="150"/>
  <c r="F339" i="150"/>
  <c r="F340" i="150"/>
  <c r="F341" i="150"/>
  <c r="F342" i="150"/>
  <c r="F343" i="150"/>
  <c r="F344" i="150"/>
  <c r="F345" i="150"/>
  <c r="F346" i="150"/>
  <c r="F347" i="150"/>
  <c r="F348" i="150"/>
  <c r="F349" i="150"/>
  <c r="F350" i="150"/>
  <c r="B10" i="149"/>
  <c r="B10" i="162"/>
  <c r="B11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10" i="153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311" i="159"/>
  <c r="F312" i="159"/>
  <c r="F313" i="159"/>
  <c r="F314" i="159"/>
  <c r="F315" i="159"/>
  <c r="F316" i="159"/>
  <c r="F317" i="159"/>
  <c r="F318" i="159"/>
  <c r="F319" i="159"/>
  <c r="F320" i="159"/>
  <c r="F321" i="159"/>
  <c r="F322" i="159"/>
  <c r="F323" i="159"/>
  <c r="F324" i="159"/>
  <c r="F325" i="159"/>
  <c r="F326" i="159"/>
  <c r="F327" i="159"/>
  <c r="F328" i="159"/>
  <c r="F329" i="159"/>
  <c r="F330" i="159"/>
  <c r="F331" i="159"/>
  <c r="F332" i="159"/>
  <c r="F333" i="159"/>
  <c r="F334" i="159"/>
  <c r="F335" i="159"/>
  <c r="F336" i="159"/>
  <c r="F337" i="159"/>
  <c r="F338" i="159"/>
  <c r="F339" i="159"/>
  <c r="F340" i="159"/>
  <c r="F341" i="159"/>
  <c r="F342" i="159"/>
  <c r="F343" i="159"/>
  <c r="F344" i="159"/>
  <c r="F345" i="159"/>
  <c r="F346" i="159"/>
  <c r="F347" i="159"/>
  <c r="F348" i="159"/>
  <c r="F349" i="159"/>
  <c r="F350" i="159"/>
  <c r="B11" i="158"/>
  <c r="B10" i="158"/>
  <c r="A347" i="163"/>
  <c r="H347" i="163"/>
  <c r="L347" i="163"/>
  <c r="M347" i="163"/>
  <c r="N347" i="163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347" i="154"/>
  <c r="H347" i="154"/>
  <c r="L347" i="154"/>
  <c r="M347" i="154"/>
  <c r="N347" i="154"/>
  <c r="G31" i="153"/>
  <c r="E31" i="153"/>
  <c r="H31" i="153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347" i="159"/>
  <c r="H347" i="159"/>
  <c r="L347" i="159"/>
  <c r="M347" i="159"/>
  <c r="N347" i="159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47" i="150"/>
  <c r="H347" i="150"/>
  <c r="L347" i="150"/>
  <c r="M347" i="150"/>
  <c r="N347" i="150"/>
  <c r="A348" i="150"/>
  <c r="H348" i="150"/>
  <c r="L348" i="150"/>
  <c r="M348" i="150"/>
  <c r="N348" i="150"/>
  <c r="A349" i="150"/>
  <c r="H349" i="150"/>
  <c r="L349" i="150"/>
  <c r="M349" i="150"/>
  <c r="N349" i="150"/>
  <c r="A350" i="150"/>
  <c r="H350" i="150"/>
  <c r="L350" i="150"/>
  <c r="M350" i="150"/>
  <c r="N350" i="150"/>
  <c r="A347" i="148"/>
  <c r="H347" i="148"/>
  <c r="L347" i="148"/>
  <c r="M347" i="148"/>
  <c r="N347" i="148"/>
  <c r="G31" i="147"/>
  <c r="E31" i="147"/>
  <c r="H31" i="147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B47" i="106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1" i="103"/>
  <c r="E10" i="103"/>
  <c r="E9" i="103"/>
  <c r="C8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F57" i="162"/>
  <c r="G57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H342" i="150"/>
  <c r="L342" i="150"/>
  <c r="M342" i="150"/>
  <c r="N342" i="150"/>
  <c r="H343" i="150"/>
  <c r="L343" i="150"/>
  <c r="M343" i="150"/>
  <c r="N343" i="150"/>
  <c r="H344" i="150"/>
  <c r="L344" i="150"/>
  <c r="M344" i="150"/>
  <c r="N344" i="150"/>
  <c r="H345" i="150"/>
  <c r="L345" i="150"/>
  <c r="M345" i="150"/>
  <c r="N345" i="150"/>
  <c r="H346" i="150"/>
  <c r="L346" i="150"/>
  <c r="M346" i="150"/>
  <c r="N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F56" i="106"/>
  <c r="G56" i="106"/>
  <c r="F57" i="106"/>
  <c r="G57" i="106"/>
  <c r="M3" i="106"/>
  <c r="I3" i="157"/>
  <c r="D3" i="157"/>
  <c r="I2" i="157"/>
  <c r="D2" i="157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H332" i="150"/>
  <c r="L332" i="150"/>
  <c r="M332" i="150"/>
  <c r="N332" i="150"/>
  <c r="H333" i="150"/>
  <c r="L333" i="150"/>
  <c r="M333" i="150"/>
  <c r="N333" i="150"/>
  <c r="H334" i="150"/>
  <c r="L334" i="150"/>
  <c r="M334" i="150"/>
  <c r="N334" i="150"/>
  <c r="H335" i="150"/>
  <c r="L335" i="150"/>
  <c r="M335" i="150"/>
  <c r="N335" i="150"/>
  <c r="H336" i="150"/>
  <c r="L336" i="150"/>
  <c r="M336" i="150"/>
  <c r="N336" i="150"/>
  <c r="H337" i="150"/>
  <c r="L337" i="150"/>
  <c r="M337" i="150"/>
  <c r="N337" i="150"/>
  <c r="H338" i="150"/>
  <c r="L338" i="150"/>
  <c r="M338" i="150"/>
  <c r="N338" i="150"/>
  <c r="H339" i="150"/>
  <c r="L339" i="150"/>
  <c r="M339" i="150"/>
  <c r="N339" i="150"/>
  <c r="H340" i="150"/>
  <c r="L340" i="150"/>
  <c r="M340" i="150"/>
  <c r="N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H57" i="158"/>
  <c r="F63" i="149"/>
  <c r="F64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<sst xmlns="http://schemas.openxmlformats.org/spreadsheetml/2006/main" count="1667" uniqueCount="307">
  <si>
    <t>character_id</t>
  </si>
  <si>
    <t>character_id</t>
    <phoneticPr fontId="12"/>
  </si>
  <si>
    <t>weight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</si>
  <si>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</si>
  <si>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</si>
  <si>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</si>
  <si>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</si>
  <si>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</si>
  <si>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</si>
  <si>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</si>
  <si>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</si>
  <si>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</si>
  <si>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</si>
  <si>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</si>
  <si>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</si>
  <si>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</si>
  <si>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</si>
  <si>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</si>
  <si>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</si>
  <si>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備考</t>
    <rPh sb="0" eb="2">
      <t>ビコウ</t>
    </rPh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</si>
  <si>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</si>
  <si>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</si>
  <si>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</si>
  <si>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</si>
  <si>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</si>
  <si>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</si>
  <si>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</si>
  <si>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</si>
  <si>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</si>
  <si>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</si>
  <si>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</si>
  <si>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</si>
  <si>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</si>
  <si>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</si>
  <si>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出力flg</t>
    <rPh sb="0" eb="2">
      <t>シュツリョク</t>
    </rPh>
    <phoneticPr fontId="45"/>
  </si>
  <si>
    <t>color</t>
    <phoneticPr fontId="12"/>
  </si>
  <si>
    <t>レアリティ別確率</t>
    <rPh sb="5" eb="6">
      <t>ベツ</t>
    </rPh>
    <rPh sb="6" eb="8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</si>
  <si>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</si>
  <si>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SSS</t>
    <phoneticPr fontId="12"/>
  </si>
  <si>
    <t>SS</t>
    <phoneticPr fontId="12"/>
  </si>
  <si>
    <t>ラベル*レアリティ標準確率</t>
    <rPh sb="9" eb="11">
      <t>ヒョウジュン</t>
    </rPh>
    <rPh sb="11" eb="13">
      <t>カクリツ</t>
    </rPh>
    <phoneticPr fontId="12"/>
  </si>
  <si>
    <t>性別</t>
    <rPh sb="0" eb="2">
      <t>セイベツ</t>
    </rPh>
    <phoneticPr fontId="12"/>
  </si>
  <si>
    <t>合計</t>
    <rPh sb="0" eb="2">
      <t>ゴウケイ</t>
    </rPh>
    <phoneticPr fontId="12"/>
  </si>
  <si>
    <t>グループ</t>
    <phoneticPr fontId="12"/>
  </si>
  <si>
    <t>ピックアップ確率</t>
    <rPh sb="6" eb="8">
      <t>カクリツ</t>
    </rPh>
    <phoneticPr fontId="12"/>
  </si>
  <si>
    <t>残り確率</t>
    <rPh sb="0" eb="1">
      <t>ノコ</t>
    </rPh>
    <rPh sb="2" eb="4">
      <t>カクリツ</t>
    </rPh>
    <phoneticPr fontId="12"/>
  </si>
  <si>
    <t>確率</t>
    <rPh sb="0" eb="2">
      <t>カクリツ</t>
    </rPh>
    <phoneticPr fontId="12"/>
  </si>
  <si>
    <t>所属グループ</t>
    <rPh sb="0" eb="2">
      <t>ショゾク</t>
    </rPh>
    <phoneticPr fontId="12"/>
  </si>
  <si>
    <t>名前</t>
    <rPh sb="0" eb="2">
      <t>ナマエ</t>
    </rPh>
    <phoneticPr fontId="12"/>
  </si>
  <si>
    <t>レアリティ</t>
    <phoneticPr fontId="12"/>
  </si>
  <si>
    <t>ラベル</t>
    <phoneticPr fontId="12"/>
  </si>
  <si>
    <t>R3</t>
    <phoneticPr fontId="12"/>
  </si>
  <si>
    <t>R4</t>
    <phoneticPr fontId="12"/>
  </si>
  <si>
    <t>R5</t>
    <phoneticPr fontId="12"/>
  </si>
  <si>
    <t>個別確率</t>
    <rPh sb="0" eb="4">
      <t>コベツカクリツ</t>
    </rPh>
    <phoneticPr fontId="12"/>
  </si>
  <si>
    <t>該当数(ピックアップ除く)</t>
    <rPh sb="0" eb="2">
      <t>ガイトウ</t>
    </rPh>
    <rPh sb="2" eb="3">
      <t>スウ</t>
    </rPh>
    <rPh sb="10" eb="11">
      <t>ノゾ</t>
    </rPh>
    <phoneticPr fontId="12"/>
  </si>
  <si>
    <t>個別weight</t>
    <rPh sb="0" eb="2">
      <t>コベツ</t>
    </rPh>
    <phoneticPr fontId="12"/>
  </si>
  <si>
    <t>グループweight</t>
    <phoneticPr fontId="12"/>
  </si>
  <si>
    <t>端数</t>
    <rPh sb="0" eb="2">
      <t>ハスウ</t>
    </rPh>
    <phoneticPr fontId="12"/>
  </si>
  <si>
    <t>確率</t>
    <rPh sb="0" eb="2">
      <t>カクリツ</t>
    </rPh>
    <phoneticPr fontId="12"/>
  </si>
  <si>
    <t>--検算用--</t>
    <rPh sb="3" eb="6">
      <t>ケンザンヨウ</t>
    </rPh>
    <phoneticPr fontId="12"/>
  </si>
  <si>
    <t>端数逆数</t>
    <rPh sb="0" eb="2">
      <t>ハスウ</t>
    </rPh>
    <rPh sb="2" eb="4">
      <t>ギャクスウ</t>
    </rPh>
    <phoneticPr fontId="12"/>
  </si>
  <si>
    <t>テーブルを増やしたい場合</t>
    <rPh sb="5" eb="6">
      <t>フ</t>
    </rPh>
    <rPh sb="10" eb="12">
      <t>バアイ</t>
    </rPh>
    <phoneticPr fontId="1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</si>
  <si>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</si>
  <si>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2"/>
  </si>
  <si>
    <t>３．outputシートで２で作ったtablesを指定する</t>
    <rPh sb="14" eb="15">
      <t>ツク</t>
    </rPh>
    <rPh sb="24" eb="26">
      <t>シテイ</t>
    </rPh>
    <phoneticPr fontId="12"/>
  </si>
  <si>
    <t>テーブルid</t>
    <phoneticPr fontId="12"/>
  </si>
  <si>
    <t>→ピックアップの確率は右のほうにいます</t>
    <rPh sb="8" eb="10">
      <t>カクリツ</t>
    </rPh>
    <rPh sb="11" eb="12">
      <t>ミギ</t>
    </rPh>
    <phoneticPr fontId="12"/>
  </si>
  <si>
    <t>table_no</t>
    <phoneticPr fontId="12"/>
  </si>
  <si>
    <t>skill_level</t>
  </si>
  <si>
    <t>level</t>
  </si>
  <si>
    <t>hp_plus</t>
    <phoneticPr fontId="45"/>
  </si>
  <si>
    <t>attack_plus</t>
    <phoneticPr fontId="45"/>
  </si>
  <si>
    <t>heal_plus</t>
    <phoneticPr fontId="45"/>
  </si>
  <si>
    <t>defense_plus</t>
    <phoneticPr fontId="45"/>
  </si>
  <si>
    <t>level</t>
    <phoneticPr fontId="45"/>
  </si>
  <si>
    <t>skill_level</t>
    <phoneticPr fontId="45"/>
  </si>
  <si>
    <t>bug</t>
    <phoneticPr fontId="45"/>
  </si>
  <si>
    <t>drop_label2</t>
    <phoneticPr fontId="12"/>
  </si>
  <si>
    <t>Premium</t>
    <phoneticPr fontId="12"/>
  </si>
  <si>
    <t>Premium3</t>
    <phoneticPr fontId="12"/>
  </si>
  <si>
    <t>Premium4</t>
    <phoneticPr fontId="12"/>
  </si>
  <si>
    <t>Premium5</t>
    <phoneticPr fontId="12"/>
  </si>
  <si>
    <t>グループ確率</t>
    <rPh sb="4" eb="6">
      <t>カクリツ</t>
    </rPh>
    <phoneticPr fontId="12"/>
  </si>
  <si>
    <t>レア度別確率</t>
    <rPh sb="2" eb="4">
      <t>ドベツ</t>
    </rPh>
    <rPh sb="4" eb="6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</si>
  <si>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</si>
  <si>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color2</t>
    <phoneticPr fontId="12"/>
  </si>
  <si>
    <t>Premium3</t>
  </si>
  <si>
    <t>Premium4</t>
  </si>
  <si>
    <t>Premium5</t>
  </si>
  <si>
    <t>PremiumSS4</t>
    <phoneticPr fontId="12"/>
  </si>
  <si>
    <t>PremiumSS5</t>
    <phoneticPr fontId="12"/>
  </si>
  <si>
    <t>PremiumSSS5</t>
    <phoneticPr fontId="12"/>
  </si>
  <si>
    <t>PremiumSS4</t>
    <phoneticPr fontId="12"/>
  </si>
  <si>
    <t>PremiumSSS4</t>
    <phoneticPr fontId="12"/>
  </si>
  <si>
    <t>PremiumSS5</t>
    <phoneticPr fontId="12"/>
  </si>
  <si>
    <t>PremiumSSS5</t>
    <phoneticPr fontId="12"/>
  </si>
  <si>
    <t>ラベル確率で考えましょう</t>
    <rPh sb="6" eb="7">
      <t>カンガエマショウ</t>
    </rPh>
    <phoneticPr fontId="45"/>
  </si>
  <si>
    <t>ラベル</t>
    <phoneticPr fontId="45"/>
  </si>
  <si>
    <t>レアリティ</t>
    <phoneticPr fontId="45"/>
  </si>
  <si>
    <t>{W}</t>
    <phoneticPr fontId="45"/>
  </si>
  <si>
    <t>{N,S}</t>
    <phoneticPr fontId="45"/>
  </si>
  <si>
    <t>{N,S}R3less</t>
    <phoneticPr fontId="45"/>
  </si>
  <si>
    <t>{N,S}R6release</t>
    <phoneticPr fontId="45"/>
  </si>
  <si>
    <t>{SS}</t>
    <phoneticPr fontId="45"/>
  </si>
  <si>
    <t>{SS}R6only</t>
    <phoneticPr fontId="45"/>
  </si>
  <si>
    <t>小計</t>
    <rPh sb="0" eb="2">
      <t>ショウケイ</t>
    </rPh>
    <phoneticPr fontId="45"/>
  </si>
  <si>
    <t>A</t>
    <phoneticPr fontId="45"/>
  </si>
  <si>
    <t>C</t>
    <phoneticPr fontId="45"/>
  </si>
  <si>
    <t>H</t>
    <phoneticPr fontId="45"/>
  </si>
  <si>
    <t>B</t>
    <phoneticPr fontId="45"/>
  </si>
  <si>
    <t>D</t>
    <phoneticPr fontId="45"/>
  </si>
  <si>
    <t>F</t>
    <phoneticPr fontId="45"/>
  </si>
  <si>
    <t>I</t>
    <phoneticPr fontId="45"/>
  </si>
  <si>
    <t>K</t>
    <phoneticPr fontId="45"/>
  </si>
  <si>
    <t>E</t>
    <phoneticPr fontId="45"/>
  </si>
  <si>
    <t>G</t>
    <phoneticPr fontId="45"/>
  </si>
  <si>
    <t>J</t>
    <phoneticPr fontId="45"/>
  </si>
  <si>
    <t>L</t>
    <phoneticPr fontId="45"/>
  </si>
  <si>
    <t>M</t>
    <phoneticPr fontId="45"/>
  </si>
  <si>
    <t>→</t>
    <phoneticPr fontId="45"/>
  </si>
  <si>
    <t>1-SS率</t>
    <rPh sb="4" eb="5">
      <t>リツ</t>
    </rPh>
    <phoneticPr fontId="45"/>
  </si>
  <si>
    <t>SS率</t>
    <rPh sb="2" eb="3">
      <t>リツ</t>
    </rPh>
    <phoneticPr fontId="45"/>
  </si>
  <si>
    <t>考え方を変える</t>
    <rPh sb="0" eb="1">
      <t>カンガエカタ</t>
    </rPh>
    <rPh sb="4" eb="5">
      <t>カエル</t>
    </rPh>
    <phoneticPr fontId="45"/>
  </si>
  <si>
    <t>SS4%は確定事項</t>
    <rPh sb="5" eb="7">
      <t>カクテイ</t>
    </rPh>
    <rPh sb="7" eb="9">
      <t>ジコウ</t>
    </rPh>
    <phoneticPr fontId="45"/>
  </si>
  <si>
    <t>当たりは分配</t>
    <rPh sb="0" eb="1">
      <t>アタリ</t>
    </rPh>
    <rPh sb="4" eb="6">
      <t>ブンパイ</t>
    </rPh>
    <phoneticPr fontId="4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</si>
  <si>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5"/>
  </si>
  <si>
    <t>=</t>
    <phoneticPr fontId="45"/>
  </si>
  <si>
    <t>X*{SS R5only}</t>
    <phoneticPr fontId="45"/>
  </si>
  <si>
    <t>K</t>
    <phoneticPr fontId="45"/>
  </si>
  <si>
    <t>=</t>
    <phoneticPr fontId="45"/>
  </si>
  <si>
    <t>X*{SS}*(R3率+R4率)</t>
    <rPh sb="10" eb="11">
      <t>リツ</t>
    </rPh>
    <rPh sb="14" eb="15">
      <t>リツ</t>
    </rPh>
    <phoneticPr fontId="45"/>
  </si>
  <si>
    <t>L</t>
    <phoneticPr fontId="45"/>
  </si>
  <si>
    <t>X*{SS}*R5率</t>
    <rPh sb="9" eb="10">
      <t>リツ</t>
    </rPh>
    <phoneticPr fontId="45"/>
  </si>
  <si>
    <t>X*{R6release}*R3率</t>
    <rPh sb="16" eb="17">
      <t>リツ</t>
    </rPh>
    <phoneticPr fontId="45"/>
  </si>
  <si>
    <t>X*{R6release}*R4率</t>
    <rPh sb="16" eb="17">
      <t>リツ</t>
    </rPh>
    <phoneticPr fontId="45"/>
  </si>
  <si>
    <t>J</t>
    <phoneticPr fontId="45"/>
  </si>
  <si>
    <t>X*{R6release}*R5率</t>
    <rPh sb="16" eb="17">
      <t>リツ</t>
    </rPh>
    <phoneticPr fontId="45"/>
  </si>
  <si>
    <t>ハズレで確率を整える</t>
    <rPh sb="4" eb="6">
      <t>カクリツ</t>
    </rPh>
    <rPh sb="7" eb="8">
      <t>トトノエル</t>
    </rPh>
    <phoneticPr fontId="4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</si>
  <si>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5"/>
  </si>
  <si>
    <t>A + C</t>
    <phoneticPr fontId="45"/>
  </si>
  <si>
    <t>=</t>
    <phoneticPr fontId="45"/>
  </si>
  <si>
    <t>50%-H</t>
    <phoneticPr fontId="45"/>
  </si>
  <si>
    <t>①</t>
    <phoneticPr fontId="45"/>
  </si>
  <si>
    <t>B + D + F</t>
    <phoneticPr fontId="45"/>
  </si>
  <si>
    <t>45%-I-K</t>
    <phoneticPr fontId="45"/>
  </si>
  <si>
    <t>②</t>
    <phoneticPr fontId="45"/>
  </si>
  <si>
    <t>E+G</t>
    <phoneticPr fontId="45"/>
  </si>
  <si>
    <t>5%-J-L-M</t>
    <phoneticPr fontId="45"/>
  </si>
  <si>
    <t>③</t>
    <phoneticPr fontId="45"/>
  </si>
  <si>
    <t>A+B</t>
    <phoneticPr fontId="45"/>
  </si>
  <si>
    <t>Y*{W}</t>
    <phoneticPr fontId="45"/>
  </si>
  <si>
    <t>④</t>
    <phoneticPr fontId="45"/>
  </si>
  <si>
    <t>C+D+E</t>
    <phoneticPr fontId="45"/>
  </si>
  <si>
    <t>Y*{N,S}</t>
    <phoneticPr fontId="45"/>
  </si>
  <si>
    <t>⑤</t>
    <phoneticPr fontId="45"/>
  </si>
  <si>
    <t>F+G</t>
    <phoneticPr fontId="45"/>
  </si>
  <si>
    <t>Y*{N,S R3less}</t>
    <phoneticPr fontId="45"/>
  </si>
  <si>
    <t>⑥</t>
    <phoneticPr fontId="45"/>
  </si>
  <si>
    <t>A+B+C+D+E+F+G</t>
    <phoneticPr fontId="45"/>
  </si>
  <si>
    <t>⑦</t>
    <phoneticPr fontId="45"/>
  </si>
  <si>
    <t>←これは4,5,6で作れるのでダメだわ</t>
    <rPh sb="10" eb="11">
      <t>ツクレル</t>
    </rPh>
    <phoneticPr fontId="45"/>
  </si>
  <si>
    <t>E*R3率/R5率</t>
    <rPh sb="4" eb="5">
      <t>リツ</t>
    </rPh>
    <rPh sb="8" eb="9">
      <t>リツ</t>
    </rPh>
    <phoneticPr fontId="4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</si>
  <si>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5"/>
  </si>
  <si>
    <t>E*R4率/R5率</t>
    <rPh sb="4" eb="5">
      <t>リツ</t>
    </rPh>
    <rPh sb="8" eb="9">
      <t>リツ</t>
    </rPh>
    <phoneticPr fontId="45"/>
  </si>
  <si>
    <t>∴</t>
    <phoneticPr fontId="45"/>
  </si>
  <si>
    <t>E</t>
    <phoneticPr fontId="45"/>
  </si>
  <si>
    <t>Y*{N,S}*R5率</t>
    <rPh sb="10" eb="11">
      <t>リツ</t>
    </rPh>
    <phoneticPr fontId="45"/>
  </si>
  <si>
    <t>Y*{N,S}*R4率</t>
    <rPh sb="10" eb="11">
      <t>リツ</t>
    </rPh>
    <phoneticPr fontId="45"/>
  </si>
  <si>
    <t>Y*{N,S}*R3率</t>
    <rPh sb="10" eb="11">
      <t>リツ</t>
    </rPh>
    <phoneticPr fontId="45"/>
  </si>
  <si>
    <t>50%-H-C</t>
    <phoneticPr fontId="45"/>
  </si>
  <si>
    <t>Y*{W}-A</t>
    <phoneticPr fontId="45"/>
  </si>
  <si>
    <t>5%-J-L-M-E</t>
    <phoneticPr fontId="45"/>
  </si>
  <si>
    <t>Y*{N,S R3less} - G</t>
    <phoneticPr fontId="45"/>
  </si>
  <si>
    <t>R6境界前後</t>
    <rPh sb="2" eb="4">
      <t>キョウカイ</t>
    </rPh>
    <rPh sb="4" eb="6">
      <t>ゼンゴ</t>
    </rPh>
    <phoneticPr fontId="12"/>
  </si>
  <si>
    <t>R6事後開放N,S</t>
    <rPh sb="2" eb="6">
      <t>ジゴカイホウ</t>
    </rPh>
    <phoneticPr fontId="12"/>
  </si>
  <si>
    <t>PremiumW3</t>
    <phoneticPr fontId="12"/>
  </si>
  <si>
    <t>PremiumW4</t>
    <phoneticPr fontId="12"/>
  </si>
  <si>
    <t>ラベル確率</t>
    <rPh sb="3" eb="5">
      <t>カクリツ</t>
    </rPh>
    <phoneticPr fontId="1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</si>
  <si>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</si>
  <si>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</si>
  <si>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</si>
  <si>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</si>
  <si>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</si>
  <si>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2"/>
  </si>
  <si>
    <t>PremiumSS5R5only</t>
  </si>
  <si>
    <t>計算用中間データ</t>
    <rPh sb="0" eb="3">
      <t>ケイサンヨウ</t>
    </rPh>
    <rPh sb="3" eb="5">
      <t>チュウカン</t>
    </rPh>
    <phoneticPr fontId="12"/>
  </si>
  <si>
    <t>X</t>
    <phoneticPr fontId="12"/>
  </si>
  <si>
    <t>Y</t>
    <phoneticPr fontId="12"/>
  </si>
  <si>
    <t>対象数</t>
    <rPh sb="0" eb="3">
      <t>タイショウスウ</t>
    </rPh>
    <phoneticPr fontId="12"/>
  </si>
  <si>
    <t>PremiumW</t>
    <phoneticPr fontId="12"/>
  </si>
  <si>
    <t>PremiumN</t>
    <phoneticPr fontId="12"/>
  </si>
  <si>
    <t>PremiumS</t>
    <phoneticPr fontId="12"/>
  </si>
  <si>
    <t>PremiumSS</t>
    <phoneticPr fontId="12"/>
  </si>
  <si>
    <t>weight</t>
    <phoneticPr fontId="12"/>
  </si>
  <si>
    <t>←R6分はここから差し引く</t>
    <rPh sb="3" eb="4">
      <t>ブン</t>
    </rPh>
    <rPh sb="9" eb="10">
      <t>サシヒク</t>
    </rPh>
    <phoneticPr fontId="12"/>
  </si>
  <si>
    <t>除外確率</t>
    <rPh sb="0" eb="2">
      <t>ジョガイ</t>
    </rPh>
    <rPh sb="2" eb="4">
      <t>カクリツ</t>
    </rPh>
    <phoneticPr fontId="12"/>
  </si>
  <si>
    <t>除外数</t>
    <rPh sb="0" eb="3">
      <t>ジョガイスウ</t>
    </rPh>
    <phoneticPr fontId="12"/>
  </si>
  <si>
    <t>もうここは手で入れよう…</t>
    <rPh sb="5" eb="6">
      <t>テ</t>
    </rPh>
    <rPh sb="7" eb="8">
      <t>イレヨウ</t>
    </rPh>
    <phoneticPr fontId="12"/>
  </si>
  <si>
    <t>通常weight</t>
    <rPh sb="0" eb="2">
      <t>ツウジョウ</t>
    </rPh>
    <phoneticPr fontId="12"/>
  </si>
  <si>
    <t>A</t>
    <phoneticPr fontId="12"/>
  </si>
  <si>
    <t>B</t>
    <phoneticPr fontId="12"/>
  </si>
  <si>
    <t>PremiumW4</t>
    <phoneticPr fontId="12"/>
  </si>
  <si>
    <t>C</t>
    <phoneticPr fontId="12"/>
  </si>
  <si>
    <t>Premium3</t>
    <phoneticPr fontId="12"/>
  </si>
  <si>
    <t>D</t>
    <phoneticPr fontId="12"/>
  </si>
  <si>
    <t>Premium4</t>
    <phoneticPr fontId="12"/>
  </si>
  <si>
    <t>E</t>
    <phoneticPr fontId="12"/>
  </si>
  <si>
    <t>Premium5</t>
    <phoneticPr fontId="12"/>
  </si>
  <si>
    <t>F</t>
    <phoneticPr fontId="12"/>
  </si>
  <si>
    <t>Premium4R3less</t>
    <phoneticPr fontId="12"/>
  </si>
  <si>
    <t>G</t>
    <phoneticPr fontId="12"/>
  </si>
  <si>
    <t>Premium5R3less</t>
    <phoneticPr fontId="12"/>
  </si>
  <si>
    <t>H</t>
    <phoneticPr fontId="12"/>
  </si>
  <si>
    <t>I</t>
    <phoneticPr fontId="12"/>
  </si>
  <si>
    <t>J</t>
    <phoneticPr fontId="12"/>
  </si>
  <si>
    <t>K</t>
    <phoneticPr fontId="12"/>
  </si>
  <si>
    <t>Premium3R6release</t>
    <phoneticPr fontId="12"/>
  </si>
  <si>
    <t>Premium4R6release</t>
    <phoneticPr fontId="12"/>
  </si>
  <si>
    <t>Premium5R6release</t>
    <phoneticPr fontId="12"/>
  </si>
  <si>
    <t>PremiumSS4</t>
    <phoneticPr fontId="12"/>
  </si>
  <si>
    <t>PremiumSS5</t>
    <phoneticPr fontId="12"/>
  </si>
  <si>
    <t>L</t>
    <phoneticPr fontId="12"/>
  </si>
  <si>
    <t>M</t>
    <phoneticPr fontId="12"/>
  </si>
  <si>
    <t>PremiumSS5R5only</t>
    <phoneticPr fontId="12"/>
  </si>
  <si>
    <t>50% - H - C</t>
    <phoneticPr fontId="12"/>
  </si>
  <si>
    <t>Xcolor</t>
    <phoneticPr fontId="12"/>
  </si>
  <si>
    <t>Ycolor</t>
    <phoneticPr fontId="12"/>
  </si>
  <si>
    <t>Premium4color</t>
    <phoneticPr fontId="12"/>
  </si>
  <si>
    <t>PremiumW3color</t>
    <phoneticPr fontId="12"/>
  </si>
  <si>
    <t>PremiumW4color</t>
    <phoneticPr fontId="12"/>
  </si>
  <si>
    <t>Premium3color</t>
    <phoneticPr fontId="12"/>
  </si>
  <si>
    <t>Premium5color</t>
    <phoneticPr fontId="12"/>
  </si>
  <si>
    <t>Premium4R3lesscolor</t>
    <phoneticPr fontId="12"/>
  </si>
  <si>
    <t>Premium5R3lesscolor</t>
    <phoneticPr fontId="12"/>
  </si>
  <si>
    <t>Premium3R6releasecolor</t>
    <phoneticPr fontId="12"/>
  </si>
  <si>
    <t>Premium4R6releasecolor</t>
    <phoneticPr fontId="12"/>
  </si>
  <si>
    <t>Premium5R6releasecolor</t>
    <phoneticPr fontId="12"/>
  </si>
  <si>
    <t>PremiumSS4color</t>
    <phoneticPr fontId="12"/>
  </si>
  <si>
    <t>PremiumSS5color</t>
    <phoneticPr fontId="12"/>
  </si>
  <si>
    <t>PremiumSS5R5onlycolor</t>
    <phoneticPr fontId="12"/>
  </si>
  <si>
    <t>PremiumSSS4R3lesscolor</t>
    <phoneticPr fontId="12"/>
  </si>
  <si>
    <t>PremiumSSS5R3lesscolor</t>
    <phoneticPr fontId="12"/>
  </si>
  <si>
    <t>PremiumSSS4R3less</t>
    <phoneticPr fontId="12"/>
  </si>
  <si>
    <t>PremiumSSS5R3less</t>
    <phoneticPr fontId="12"/>
  </si>
  <si>
    <t>通常確率</t>
    <phoneticPr fontId="12"/>
  </si>
  <si>
    <t>通常確率</t>
    <phoneticPr fontId="12"/>
  </si>
  <si>
    <t>通常確率</t>
    <phoneticPr fontId="12"/>
  </si>
  <si>
    <t>PremiumSSS</t>
    <phoneticPr fontId="12"/>
  </si>
  <si>
    <t>PremiumSSw</t>
    <phoneticPr fontId="12"/>
  </si>
  <si>
    <t>PremiumSS5R5only</t>
    <phoneticPr fontId="12"/>
  </si>
  <si>
    <t>PremiumSSS</t>
    <phoneticPr fontId="12"/>
  </si>
  <si>
    <t>PremiumSSw</t>
    <phoneticPr fontId="12"/>
  </si>
  <si>
    <t>PremiumSSw</t>
    <phoneticPr fontId="12"/>
  </si>
  <si>
    <t>PremiumSSS</t>
    <phoneticPr fontId="12"/>
  </si>
  <si>
    <t>PremiumSSS</t>
    <phoneticPr fontId="12"/>
  </si>
  <si>
    <t>↓これが正しい</t>
    <phoneticPr fontId="12"/>
  </si>
  <si>
    <t>bit</t>
    <phoneticPr fontId="12"/>
  </si>
  <si>
    <t>null</t>
    <phoneticPr fontId="12"/>
  </si>
  <si>
    <t>ja</t>
    <phoneticPr fontId="12"/>
  </si>
  <si>
    <t>100万ビット</t>
    <phoneticPr fontId="12"/>
  </si>
  <si>
    <t>ランキング対抗ガチャ特典</t>
    <phoneticPr fontId="12"/>
  </si>
  <si>
    <t>STEP3特典として
100万ビットをプレゼント！</t>
    <phoneticPr fontId="12"/>
  </si>
  <si>
    <t>unit</t>
    <phoneticPr fontId="12"/>
  </si>
  <si>
    <t>秘術の果実 × 4</t>
    <phoneticPr fontId="12"/>
  </si>
  <si>
    <t>STEP5特典として
秘術の果実を4体プレゼント！</t>
    <phoneticPr fontId="12"/>
  </si>
  <si>
    <t>item</t>
    <phoneticPr fontId="12"/>
  </si>
  <si>
    <t>マスターキー × 3</t>
    <phoneticPr fontId="12"/>
  </si>
  <si>
    <t>STEP6特典として
マスターキーを3本プレゼント！</t>
    <phoneticPr fontId="12"/>
  </si>
  <si>
    <t>gacha_select_tables_</t>
    <phoneticPr fontId="12"/>
  </si>
  <si>
    <t>gacha_select_tables_</t>
    <phoneticPr fontId="12"/>
  </si>
  <si>
    <t>.tmp</t>
    <phoneticPr fontId="45"/>
  </si>
  <si>
    <t>.tmp</t>
    <phoneticPr fontId="45"/>
  </si>
  <si>
    <t>table_no</t>
    <phoneticPr fontId="12"/>
  </si>
  <si>
    <t>gacha_settle_tables_</t>
    <phoneticPr fontId="12"/>
  </si>
  <si>
    <t>.tmp</t>
    <phoneticPr fontId="45"/>
  </si>
  <si>
    <t>table_no</t>
    <phoneticPr fontId="12"/>
  </si>
  <si>
    <t>table_no</t>
    <phoneticPr fontId="12"/>
  </si>
  <si>
    <t>.tmp</t>
    <phoneticPr fontId="45"/>
  </si>
  <si>
    <t>table_no</t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</si>
  <si>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</si>
  <si>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gacha_bonus_tables</t>
    <phoneticPr fontId="45"/>
  </si>
  <si>
    <t>gacha_bonus_tables</t>
    <phoneticPr fontId="45"/>
  </si>
  <si>
    <t>bonus_table_no</t>
    <phoneticPr fontId="12"/>
  </si>
  <si>
    <t>gift_id</t>
    <phoneticPr fontId="12"/>
  </si>
  <si>
    <t>weight</t>
    <phoneticPr fontId="12"/>
  </si>
  <si>
    <t>gifts_tmp_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</si>
  <si>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</si>
  <si>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</si>
  <si>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</si>
  <si>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2"/>
  </si>
  <si>
    <t>.tmp</t>
    <phoneticPr fontId="45"/>
  </si>
  <si>
    <t>gacha_bonus_tables</t>
    <phoneticPr fontId="45"/>
  </si>
  <si>
    <t>gift_id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</si>
  <si>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</si>
  <si>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</si>
  <si>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</si>
  <si>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</si>
  <si>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old</t>
    <phoneticPr fontId="12"/>
  </si>
  <si>
    <t>tables_588101</t>
    <phoneticPr fontId="12"/>
  </si>
  <si>
    <t>tables_588103</t>
    <phoneticPr fontId="12"/>
  </si>
  <si>
    <t>tables_settle_588104</t>
    <phoneticPr fontId="12"/>
  </si>
  <si>
    <t>tables_588104</t>
    <phoneticPr fontId="12"/>
  </si>
  <si>
    <t>tables_588105</t>
    <phoneticPr fontId="12"/>
  </si>
  <si>
    <t>tables_588106</t>
    <phoneticPr fontId="12"/>
  </si>
  <si>
    <t>tables_588100</t>
    <phoneticPr fontId="12"/>
  </si>
  <si>
    <t>color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</si>
</sst>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70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2" fillId="5" borderId="2" applyNumberFormat="0" applyAlignment="0" applyProtection="0"/>
    <xf numFmtId="0" fontId="23" fillId="6" borderId="0" applyNumberFormat="0" applyBorder="0" applyAlignment="0" applyProtection="0"/>
    <xf numFmtId="0" fontId="24" fillId="7" borderId="3" applyNumberFormat="0" applyAlignment="0" applyProtection="0"/>
    <xf numFmtId="0" fontId="25" fillId="0" borderId="0" applyNumberFormat="0" applyFill="0" applyBorder="0" applyAlignment="0" applyProtection="0"/>
    <xf numFmtId="0" fontId="26" fillId="8" borderId="0" applyNumberFormat="0" applyBorder="0" applyAlignment="0" applyProtection="0"/>
    <xf numFmtId="0" fontId="27" fillId="9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0" applyNumberFormat="0" applyBorder="0" applyAlignment="0" applyProtection="0"/>
    <xf numFmtId="0" fontId="32" fillId="6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5" borderId="0" applyNumberFormat="0" applyBorder="0" applyAlignment="0" applyProtection="0"/>
    <xf numFmtId="0" fontId="32" fillId="7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3" borderId="0" applyNumberFormat="0" applyBorder="0" applyAlignment="0" applyProtection="0"/>
    <xf numFmtId="0" fontId="32" fillId="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4" borderId="0" applyNumberFormat="0" applyBorder="0" applyAlignment="0" applyProtection="0"/>
    <xf numFmtId="0" fontId="33" fillId="6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4" fillId="17" borderId="0" applyNumberFormat="0" applyBorder="0" applyAlignment="0" applyProtection="0"/>
    <xf numFmtId="0" fontId="23" fillId="6" borderId="0" applyNumberFormat="0" applyBorder="0" applyAlignment="0" applyProtection="0"/>
    <xf numFmtId="0" fontId="35" fillId="0" borderId="8" applyNumberFormat="0" applyFill="0" applyAlignment="0" applyProtection="0"/>
    <xf numFmtId="0" fontId="36" fillId="7" borderId="9" applyNumberFormat="0" applyAlignment="0" applyProtection="0"/>
    <xf numFmtId="0" fontId="36" fillId="18" borderId="9" applyNumberFormat="0" applyAlignment="0" applyProtection="0"/>
    <xf numFmtId="0" fontId="24" fillId="6" borderId="3" applyNumberFormat="0" applyAlignment="0" applyProtection="0"/>
    <xf numFmtId="0" fontId="37" fillId="0" borderId="10" applyNumberFormat="0" applyFill="0" applyAlignment="0" applyProtection="0"/>
    <xf numFmtId="0" fontId="38" fillId="18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1" fillId="19" borderId="0" applyNumberFormat="0" applyBorder="0" applyAlignment="0" applyProtection="0"/>
    <xf numFmtId="0" fontId="42" fillId="20" borderId="0" applyNumberFormat="0" applyBorder="0" applyAlignment="0" applyProtection="0"/>
    <xf numFmtId="0" fontId="10" fillId="0" borderId="0"/>
    <xf numFmtId="0" fontId="43" fillId="20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8" fillId="0" borderId="0"/>
    <xf numFmtId="0" fontId="46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0" borderId="0"/>
    <xf numFmtId="38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05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7" fillId="2" borderId="1" xfId="2" applyFont="1" applyFill="1" applyBorder="1" applyAlignment="1">
      <alignment horizontal="left" vertical="center"/>
    </xf>
    <xf numFmtId="0" fontId="44" fillId="21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0" fillId="2" borderId="1" xfId="19" applyFill="1" applyBorder="1"/>
    <xf numFmtId="0" fontId="9" fillId="2" borderId="1" xfId="19" applyFont="1" applyFill="1" applyBorder="1"/>
    <xf numFmtId="0" fontId="19" fillId="22" borderId="1" xfId="0" applyFont="1" applyFill="1" applyBorder="1"/>
    <xf numFmtId="0" fontId="44" fillId="2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4" fillId="30" borderId="1" xfId="0" applyFont="1" applyFill="1" applyBorder="1" applyAlignment="1">
      <alignment horizontal="left" vertical="center"/>
    </xf>
    <xf numFmtId="0" fontId="1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6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8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  <xf numFmtId="0" fontId="1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44" fillId="4" borderId="1" xfId="0" applyFont="1" applyFill="1" applyBorder="1" applyAlignment="1">
      <alignment vertical="center"/>
    </xf>
    <xf numFmtId="176" fontId="49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7" fillId="0" borderId="17" xfId="2" applyFont="1" applyBorder="1" applyAlignment="1">
      <alignment vertical="center"/>
    </xf>
    <xf numFmtId="0" fontId="17" fillId="3" borderId="18" xfId="2" applyFont="1" applyFill="1" applyBorder="1" applyAlignment="1">
      <alignment vertical="center"/>
    </xf>
    <xf numFmtId="0" fontId="50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7" fillId="0" borderId="0" xfId="2" applyFont="1" applyBorder="1" applyAlignment="1">
      <alignment vertical="center"/>
    </xf>
    <xf numFmtId="0" fontId="18" fillId="25" borderId="1" xfId="0" applyFont="1" applyFill="1" applyBorder="1" applyAlignment="1">
      <alignment vertical="center"/>
    </xf>
    <xf numFmtId="192" fontId="17" fillId="4" borderId="1" xfId="3663" quotePrefix="1" applyNumberFormat="1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4" fillId="2" borderId="1" xfId="19" applyFont="1" applyFill="1" applyBorder="1"/>
    <xf numFmtId="0" fontId="3" fillId="0" borderId="1" xfId="3036" applyFont="1" applyBorder="1"/>
    <xf numFmtId="0" fontId="17" fillId="0" borderId="0" xfId="2" applyFont="1" applyFill="1" applyAlignment="1">
      <alignment vertical="center"/>
    </xf>
    <xf numFmtId="176" fontId="0" fillId="0" borderId="0" xfId="0" applyNumberFormat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balance</v>
          </cell>
          <cell r="L1428" t="str">
            <v>バランスタイプ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125" zoomScaleNormal="75" zoomScalePageLayoutView="75" workbookViewId="0">
      <selection activeCell="C5" sqref="C3:C5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3" t="s">
        <v>200</v>
      </c>
      <c r="K40" s="73" t="s">
        <v>176</v>
      </c>
      <c r="M40" s="73" t="s">
        <v>225</v>
      </c>
    </row>
    <row r="41" spans="1:13" x14ac:dyDescent="0.15">
      <c r="J41" s="73" t="s">
        <v>201</v>
      </c>
      <c r="K41" s="73" t="s">
        <v>202</v>
      </c>
      <c r="M41" s="57" t="s">
        <v>171</v>
      </c>
    </row>
    <row r="42" spans="1:13" x14ac:dyDescent="0.15">
      <c r="J42" s="73" t="s">
        <v>203</v>
      </c>
      <c r="K42" s="73" t="s">
        <v>204</v>
      </c>
    </row>
    <row r="43" spans="1:13" x14ac:dyDescent="0.15">
      <c r="J43" s="73" t="s">
        <v>205</v>
      </c>
      <c r="K43" s="73" t="s">
        <v>206</v>
      </c>
    </row>
    <row r="44" spans="1:13" x14ac:dyDescent="0.15">
      <c r="J44" s="73" t="s">
        <v>207</v>
      </c>
      <c r="K44" s="73" t="s">
        <v>208</v>
      </c>
    </row>
    <row r="45" spans="1:13" x14ac:dyDescent="0.15">
      <c r="J45" s="73" t="s">
        <v>209</v>
      </c>
      <c r="K45" s="73" t="s">
        <v>210</v>
      </c>
    </row>
    <row r="46" spans="1:13" x14ac:dyDescent="0.15">
      <c r="J46" s="73" t="s">
        <v>211</v>
      </c>
      <c r="K46" s="73" t="s">
        <v>212</v>
      </c>
    </row>
    <row r="47" spans="1:13" x14ac:dyDescent="0.15">
      <c r="J47" s="73" t="s">
        <v>213</v>
      </c>
      <c r="K47" s="73" t="s">
        <v>217</v>
      </c>
    </row>
    <row r="48" spans="1:13" x14ac:dyDescent="0.15">
      <c r="J48" s="73" t="s">
        <v>214</v>
      </c>
      <c r="K48" s="73" t="s">
        <v>218</v>
      </c>
    </row>
    <row r="49" spans="10:11" x14ac:dyDescent="0.15">
      <c r="J49" s="73" t="s">
        <v>215</v>
      </c>
      <c r="K49" s="73" t="s">
        <v>219</v>
      </c>
    </row>
    <row r="50" spans="10:11" x14ac:dyDescent="0.15">
      <c r="J50" s="73" t="s">
        <v>216</v>
      </c>
      <c r="K50" s="73" t="s">
        <v>220</v>
      </c>
    </row>
    <row r="51" spans="10:11" x14ac:dyDescent="0.15">
      <c r="J51" s="73" t="s">
        <v>222</v>
      </c>
      <c r="K51" s="73" t="s">
        <v>221</v>
      </c>
    </row>
    <row r="52" spans="10:11" x14ac:dyDescent="0.15">
      <c r="J52" s="73" t="s">
        <v>223</v>
      </c>
      <c r="K52" s="73" t="s">
        <v>224</v>
      </c>
    </row>
    <row r="53" spans="10:11" x14ac:dyDescent="0.15">
      <c r="J53" s="73"/>
    </row>
  </sheetData>
  <phoneticPr fontId="1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1" t="s">
        <v>298</v>
      </c>
      <c r="B2" s="98" t="s">
        <v>270</v>
      </c>
      <c r="C2" s="99" t="str">
        <f t="shared" ref="C2:C8" si="0">RIGHT(F2,6)</f>
        <v>588101</v>
      </c>
      <c r="D2" s="19" t="s">
        <v>272</v>
      </c>
      <c r="E2" s="17" t="str">
        <f t="shared" ref="E2:E11" si="1">B2&amp;C2&amp;D2</f>
        <v>gacha_select_tables_588101.tmp</v>
      </c>
      <c r="F2" s="104" t="s">
        <v>299</v>
      </c>
      <c r="G2" s="100" t="s">
        <v>273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1" t="s">
        <v>298</v>
      </c>
      <c r="B3" s="98" t="s">
        <v>270</v>
      </c>
      <c r="C3" s="99" t="str">
        <f t="shared" si="0"/>
        <v>588103</v>
      </c>
      <c r="D3" s="19" t="s">
        <v>272</v>
      </c>
      <c r="E3" s="17" t="str">
        <f t="shared" si="1"/>
        <v>gacha_select_tables_588103.tmp</v>
      </c>
      <c r="F3" s="104" t="s">
        <v>300</v>
      </c>
      <c r="G3" s="100" t="s">
        <v>273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1" t="s">
        <v>298</v>
      </c>
      <c r="B4" s="98" t="s">
        <v>274</v>
      </c>
      <c r="C4" s="99" t="str">
        <f t="shared" si="0"/>
        <v>588104</v>
      </c>
      <c r="D4" s="19" t="s">
        <v>275</v>
      </c>
      <c r="E4" s="17" t="str">
        <f t="shared" si="1"/>
        <v>gacha_settle_tables_588104.tmp</v>
      </c>
      <c r="F4" s="104" t="s">
        <v>301</v>
      </c>
      <c r="G4" s="100" t="s">
        <v>276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1" t="s">
        <v>298</v>
      </c>
      <c r="B5" s="98" t="s">
        <v>269</v>
      </c>
      <c r="C5" s="99" t="str">
        <f t="shared" si="0"/>
        <v>588104</v>
      </c>
      <c r="D5" s="19" t="s">
        <v>271</v>
      </c>
      <c r="E5" s="17" t="str">
        <f t="shared" si="1"/>
        <v>gacha_select_tables_588104.tmp</v>
      </c>
      <c r="F5" s="104" t="s">
        <v>302</v>
      </c>
      <c r="G5" s="100" t="s">
        <v>277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1" t="s">
        <v>298</v>
      </c>
      <c r="B6" s="98" t="s">
        <v>269</v>
      </c>
      <c r="C6" s="99" t="str">
        <f t="shared" si="0"/>
        <v>588105</v>
      </c>
      <c r="D6" s="19" t="s">
        <v>271</v>
      </c>
      <c r="E6" s="17" t="str">
        <f t="shared" si="1"/>
        <v>gacha_select_tables_588105.tmp</v>
      </c>
      <c r="F6" s="104" t="s">
        <v>303</v>
      </c>
      <c r="G6" s="100" t="s">
        <v>277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1" t="s">
        <v>298</v>
      </c>
      <c r="B7" s="98" t="s">
        <v>269</v>
      </c>
      <c r="C7" s="99" t="str">
        <f t="shared" si="0"/>
        <v>588106</v>
      </c>
      <c r="D7" s="19" t="s">
        <v>271</v>
      </c>
      <c r="E7" s="17" t="str">
        <f t="shared" si="1"/>
        <v>gacha_select_tables_588106.tmp</v>
      </c>
      <c r="F7" s="104" t="s">
        <v>304</v>
      </c>
      <c r="G7" s="100" t="s">
        <v>277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1" t="s">
        <v>298</v>
      </c>
      <c r="B8" s="98" t="s">
        <v>269</v>
      </c>
      <c r="C8" s="99" t="str">
        <f t="shared" si="0"/>
        <v>588100</v>
      </c>
      <c r="D8" s="19" t="s">
        <v>278</v>
      </c>
      <c r="E8" s="17" t="str">
        <f t="shared" si="1"/>
        <v>gacha_select_tables_588100.tmp</v>
      </c>
      <c r="F8" s="104" t="s">
        <v>305</v>
      </c>
      <c r="G8" s="100" t="s">
        <v>279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1" t="s">
        <v>298</v>
      </c>
      <c r="B9" s="98" t="s">
        <v>280</v>
      </c>
      <c r="C9" s="98">
        <v>588</v>
      </c>
      <c r="D9" s="19" t="s">
        <v>278</v>
      </c>
      <c r="E9" s="17" t="str">
        <f t="shared" si="1"/>
        <v>gacha_bonus_tables_588.tmp</v>
      </c>
      <c r="F9" s="19" t="s">
        <v>282</v>
      </c>
      <c r="G9" s="100" t="s">
        <v>283</v>
      </c>
      <c r="H9" s="100" t="s">
        <v>284</v>
      </c>
      <c r="I9" s="100" t="s">
        <v>285</v>
      </c>
      <c r="J9" s="20"/>
      <c r="K9" s="20"/>
      <c r="L9" s="20"/>
      <c r="M9" s="20"/>
      <c r="N9" s="20"/>
      <c r="O9" s="20"/>
    </row>
    <row r="10" spans="1:21" x14ac:dyDescent="0.15">
      <c r="A10" s="101" t="s">
        <v>298</v>
      </c>
      <c r="B10" s="19" t="s">
        <v>286</v>
      </c>
      <c r="C10" s="98">
        <v>588</v>
      </c>
      <c r="D10" s="19" t="s">
        <v>271</v>
      </c>
      <c r="E10" s="17" t="str">
        <f t="shared" si="1"/>
        <v>gifts_tmp_588.tmp</v>
      </c>
      <c r="F10" s="19" t="s">
        <v>281</v>
      </c>
      <c r="G10" s="100" t="s">
        <v>284</v>
      </c>
      <c r="H10" s="100" t="s">
        <v>287</v>
      </c>
      <c r="I10" s="100" t="s">
        <v>288</v>
      </c>
      <c r="J10" s="100" t="s">
        <v>288</v>
      </c>
      <c r="K10" s="100" t="s">
        <v>288</v>
      </c>
      <c r="L10" s="100" t="s">
        <v>289</v>
      </c>
      <c r="M10" s="100" t="s">
        <v>289</v>
      </c>
      <c r="N10" s="100" t="s">
        <v>289</v>
      </c>
      <c r="O10" s="43" t="s">
        <v>7</v>
      </c>
      <c r="P10" s="43" t="s">
        <v>9</v>
      </c>
      <c r="Q10" s="43" t="s">
        <v>6</v>
      </c>
      <c r="R10" s="43" t="s">
        <v>69</v>
      </c>
      <c r="S10" s="43" t="s">
        <v>8</v>
      </c>
      <c r="T10" s="43" t="s">
        <v>70</v>
      </c>
      <c r="U10" s="43" t="s">
        <v>5</v>
      </c>
    </row>
    <row r="11" spans="1:21" x14ac:dyDescent="0.15">
      <c r="A11" s="101" t="s">
        <v>298</v>
      </c>
      <c r="B11" s="19" t="s">
        <v>290</v>
      </c>
      <c r="C11" s="98">
        <v>588</v>
      </c>
      <c r="D11" s="19" t="s">
        <v>291</v>
      </c>
      <c r="E11" s="17" t="str">
        <f t="shared" si="1"/>
        <v>gifts_i18n_588.tmp</v>
      </c>
      <c r="F11" s="19" t="s">
        <v>292</v>
      </c>
      <c r="G11" s="100" t="s">
        <v>293</v>
      </c>
      <c r="H11" s="100" t="s">
        <v>294</v>
      </c>
      <c r="I11" s="100" t="s">
        <v>295</v>
      </c>
      <c r="J11" s="100" t="s">
        <v>296</v>
      </c>
      <c r="K11" s="100" t="s">
        <v>297</v>
      </c>
      <c r="L11" s="100"/>
      <c r="M11" s="100"/>
      <c r="N11" s="100"/>
      <c r="O11" s="19"/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workbookViewId="0">
      <selection activeCell="F63" sqref="F63:F6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VLOOKUP(L3,tables_588101!B:C,2,FALSE)</f>
        <v>PremiumSSS5R3lesscolor</v>
      </c>
      <c r="R3" s="53">
        <f t="shared" ref="R3:R20" si="1">N3*A$51</f>
        <v>61904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3.7735849056603783E-4</v>
      </c>
      <c r="F5">
        <f>(COUNTIF(tables_588101!C:C,input_588101!A28)+COUNTIF(tables_588101!C:C,input_588101!A29))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1.5789473684210526E-3</v>
      </c>
      <c r="F6">
        <f>(COUNTIF(tables_588101!C:C,input_588101!A43)+COUNTIF(tables_588101!C:C,input_588101!A44))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5.1835616438356165E-3</v>
      </c>
      <c r="F7">
        <f>(COUNTIF(tables_588101!C:C,input_588101!A25)+COUNTIF(tables_588101!C:C,input_588101!A18)+COUNTIF(tables_588101!C:C,input_588101!A20)+COUNTIF(tables_588101!C:C,input_588101!A22))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2.4678260869565215E-2</v>
      </c>
      <c r="F8">
        <f>(COUNTIF(tables_588101!C:C,input_588101!A40)+COUNTIF(tables_588101!C:C,input_588101!A33)+COUNTIF(tables_588101!C:C,input_588101!A35)+COUNTIF(tables_588101!C:C,input_588101!A37))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7.291616438356166E-2</v>
      </c>
      <c r="C17" s="75">
        <f t="shared" ref="C17:C45" si="2">SUMIF(Q:Q,A17,N:N)</f>
        <v>0</v>
      </c>
      <c r="D17" s="66">
        <f t="shared" ref="D17:D26" si="3">B17-C17</f>
        <v>7.291616438356166E-2</v>
      </c>
      <c r="E17">
        <f>COUNTIF(tables_588101!C:C,input_588101!A17)-COUNTIF(Q:Q,A17)</f>
        <v>15</v>
      </c>
      <c r="F17" s="37">
        <f>IFERROR(B17/E17,0)</f>
        <v>4.8610776255707776E-3</v>
      </c>
      <c r="G17">
        <f t="shared" ref="G17:G46" si="4">A$51*B17</f>
        <v>1128450.5600000003</v>
      </c>
      <c r="H17">
        <f t="shared" ref="H17:H26" si="5">IFERROR(ROUND(G17/E17,5),0)</f>
        <v>75230.037330000006</v>
      </c>
      <c r="I17">
        <f t="shared" ref="I17:I31" si="6">MOD(H17,1)</f>
        <v>3.7330000006477349E-2</v>
      </c>
      <c r="J17">
        <f t="shared" ref="J17:J26" si="7">IFERROR(1/I17,1)</f>
        <v>26.788106076251918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6.4372602739726226E-3</v>
      </c>
      <c r="C18" s="75">
        <f t="shared" si="2"/>
        <v>0</v>
      </c>
      <c r="D18" s="66">
        <f t="shared" si="3"/>
        <v>6.4372602739726226E-3</v>
      </c>
      <c r="E18">
        <f>COUNTIF(tables_588101!C:C,input_588101!A18)-COUNTIF(Q:Q,A18)</f>
        <v>15</v>
      </c>
      <c r="F18" s="37">
        <f>IFERROR(B18/E18,0)</f>
        <v>4.2915068493150815E-4</v>
      </c>
      <c r="G18">
        <f t="shared" si="4"/>
        <v>99623.040000000314</v>
      </c>
      <c r="H18">
        <f t="shared" si="5"/>
        <v>6641.5360000000001</v>
      </c>
      <c r="I18">
        <f t="shared" si="6"/>
        <v>0.53600000000005821</v>
      </c>
      <c r="J18">
        <f t="shared" si="7"/>
        <v>1.8656716417908421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8.0863561643835624E-2</v>
      </c>
      <c r="C19" s="75">
        <f t="shared" si="2"/>
        <v>0</v>
      </c>
      <c r="D19" s="66">
        <f t="shared" si="3"/>
        <v>8.0863561643835624E-2</v>
      </c>
      <c r="E19">
        <f>COUNTIF(tables_588101!C:C,input_588101!A19)-COUNTIF(Q:Q,A19)</f>
        <v>39</v>
      </c>
      <c r="F19" s="37">
        <f t="shared" ref="F19:F31" si="8">IFERROR(B19/E19,0)</f>
        <v>2.0734246575342466E-3</v>
      </c>
      <c r="G19">
        <f t="shared" si="4"/>
        <v>1251444.4800000002</v>
      </c>
      <c r="H19">
        <f t="shared" si="5"/>
        <v>32088.32</v>
      </c>
      <c r="I19">
        <f t="shared" si="6"/>
        <v>0.31999999999970896</v>
      </c>
      <c r="J19">
        <f t="shared" si="7"/>
        <v>3.1250000000028422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0.10107945205479452</v>
      </c>
      <c r="C20" s="75">
        <f t="shared" si="2"/>
        <v>0</v>
      </c>
      <c r="D20" s="66">
        <f t="shared" si="3"/>
        <v>0.10107945205479452</v>
      </c>
      <c r="E20">
        <f>COUNTIF(tables_588101!C:C,input_588101!A20)-COUNTIF(Q:Q,A20)</f>
        <v>39</v>
      </c>
      <c r="F20" s="37">
        <f t="shared" si="8"/>
        <v>2.5917808219178082E-3</v>
      </c>
      <c r="G20">
        <f t="shared" si="4"/>
        <v>1564305.5999999999</v>
      </c>
      <c r="H20">
        <f t="shared" si="5"/>
        <v>40110.400000000001</v>
      </c>
      <c r="I20">
        <f t="shared" si="6"/>
        <v>0.40000000000145519</v>
      </c>
      <c r="J20">
        <f t="shared" si="7"/>
        <v>2.4999999999909051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2.0215890410958906E-2</v>
      </c>
      <c r="C21" s="75">
        <f t="shared" si="2"/>
        <v>0</v>
      </c>
      <c r="D21" s="66">
        <f t="shared" si="3"/>
        <v>2.0215890410958906E-2</v>
      </c>
      <c r="E21">
        <f>COUNTIF(tables_588101!C:C,input_588101!A21)-COUNTIF(Q:Q,A21)</f>
        <v>39</v>
      </c>
      <c r="F21" s="37">
        <f t="shared" si="8"/>
        <v>5.1835616438356165E-4</v>
      </c>
      <c r="G21">
        <f t="shared" si="4"/>
        <v>312861.12000000005</v>
      </c>
      <c r="H21">
        <f t="shared" si="5"/>
        <v>8022.08</v>
      </c>
      <c r="I21">
        <f t="shared" si="6"/>
        <v>7.999999999992724E-2</v>
      </c>
      <c r="J21">
        <f t="shared" si="7"/>
        <v>12.500000000011369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7.7575869733781333E-2</v>
      </c>
      <c r="C22" s="75">
        <f t="shared" si="2"/>
        <v>0</v>
      </c>
      <c r="D22" s="66">
        <f t="shared" si="3"/>
        <v>7.7575869733781333E-2</v>
      </c>
      <c r="E22">
        <f>COUNTIF(tables_588101!C:C,input_588101!A22)-COUNTIF(Q:Q,A22)</f>
        <v>16</v>
      </c>
      <c r="F22" s="37">
        <f t="shared" si="8"/>
        <v>4.8484918583613333E-3</v>
      </c>
      <c r="G22">
        <f t="shared" si="4"/>
        <v>1200564.1599999999</v>
      </c>
      <c r="H22">
        <f t="shared" si="5"/>
        <v>75035.259999999995</v>
      </c>
      <c r="I22">
        <f t="shared" si="6"/>
        <v>0.25999999999476131</v>
      </c>
      <c r="J22">
        <f t="shared" si="7"/>
        <v>3.8461538462313416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5.3611165675885239E-3</v>
      </c>
      <c r="C23" s="75">
        <f t="shared" si="2"/>
        <v>0</v>
      </c>
      <c r="D23" s="66">
        <f t="shared" si="3"/>
        <v>5.3611165675885239E-3</v>
      </c>
      <c r="E23">
        <f>COUNTIF(tables_588101!C:C,input_588101!A23)-COUNTIF(Q:Q,A23)</f>
        <v>20</v>
      </c>
      <c r="F23" s="37">
        <f t="shared" si="8"/>
        <v>2.6805582837942621E-4</v>
      </c>
      <c r="G23">
        <f t="shared" si="4"/>
        <v>82968.639999999999</v>
      </c>
      <c r="H23">
        <f t="shared" si="5"/>
        <v>4148.4319999999998</v>
      </c>
      <c r="I23">
        <f t="shared" si="6"/>
        <v>0.431999999999789</v>
      </c>
      <c r="J23">
        <f t="shared" si="7"/>
        <v>2.3148148148159455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6.2202739726027398E-3</v>
      </c>
      <c r="C24" s="75">
        <f t="shared" si="2"/>
        <v>0</v>
      </c>
      <c r="D24" s="66">
        <f t="shared" si="3"/>
        <v>6.2202739726027398E-3</v>
      </c>
      <c r="E24">
        <f>COUNTIF(tables_588101!C:C,input_588101!A24)-COUNTIF(Q:Q,A24)</f>
        <v>3</v>
      </c>
      <c r="F24" s="37">
        <f t="shared" si="8"/>
        <v>2.0734246575342466E-3</v>
      </c>
      <c r="G24">
        <f t="shared" si="4"/>
        <v>96264.960000000006</v>
      </c>
      <c r="H24">
        <f t="shared" si="5"/>
        <v>32088.32</v>
      </c>
      <c r="I24">
        <f t="shared" si="6"/>
        <v>0.31999999999970896</v>
      </c>
      <c r="J24">
        <f t="shared" si="7"/>
        <v>3.1250000000028422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7.7753424657534247E-3</v>
      </c>
      <c r="C25" s="75">
        <f t="shared" si="2"/>
        <v>0</v>
      </c>
      <c r="D25" s="66">
        <f t="shared" si="3"/>
        <v>7.7753424657534247E-3</v>
      </c>
      <c r="E25">
        <f>COUNTIF(tables_588101!C:C,input_588101!A25)-COUNTIF(Q:Q,A25)</f>
        <v>3</v>
      </c>
      <c r="F25" s="37">
        <f t="shared" si="8"/>
        <v>2.5917808219178082E-3</v>
      </c>
      <c r="G25">
        <f t="shared" si="4"/>
        <v>120331.2</v>
      </c>
      <c r="H25">
        <f t="shared" si="5"/>
        <v>40110.400000000001</v>
      </c>
      <c r="I25">
        <f t="shared" si="6"/>
        <v>0.40000000000145519</v>
      </c>
      <c r="J25">
        <f t="shared" si="7"/>
        <v>2.4999999999909051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1.5550684931506849E-3</v>
      </c>
      <c r="C26" s="75">
        <f t="shared" si="2"/>
        <v>0</v>
      </c>
      <c r="D26" s="66">
        <f t="shared" si="3"/>
        <v>1.5550684931506849E-3</v>
      </c>
      <c r="E26">
        <f>COUNTIF(tables_588101!C:C,input_588101!A26)-COUNTIF(Q:Q,A26)</f>
        <v>3</v>
      </c>
      <c r="F26" s="37">
        <f t="shared" si="8"/>
        <v>5.1835616438356165E-4</v>
      </c>
      <c r="G26">
        <f t="shared" si="4"/>
        <v>24066.240000000002</v>
      </c>
      <c r="H26">
        <f t="shared" si="5"/>
        <v>8022.08</v>
      </c>
      <c r="I26">
        <f t="shared" si="6"/>
        <v>7.999999999992724E-2</v>
      </c>
      <c r="J26">
        <f t="shared" si="7"/>
        <v>12.500000000011369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7.1320754716981145E-3</v>
      </c>
      <c r="C27" s="75">
        <f t="shared" si="2"/>
        <v>0</v>
      </c>
      <c r="D27" s="66">
        <f t="shared" ref="D27:D29" si="9">B27-C27</f>
        <v>7.1320754716981145E-3</v>
      </c>
      <c r="E27">
        <f>COUNTIF(tables_588101!C:C,input_588101!A27)-COUNTIF(Q:Q,A27)</f>
        <v>21</v>
      </c>
      <c r="F27" s="37">
        <f>IFERROR(B27/E27,0)</f>
        <v>3.3962264150943404E-4</v>
      </c>
      <c r="G27">
        <f t="shared" si="4"/>
        <v>110376.00000000001</v>
      </c>
      <c r="H27">
        <f t="shared" ref="H27:H29" si="10">IFERROR(ROUND(G27/E27,5),0)</f>
        <v>5256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7.9245283018867943E-4</v>
      </c>
      <c r="C28" s="75">
        <f t="shared" si="2"/>
        <v>0</v>
      </c>
      <c r="D28" s="66">
        <f t="shared" si="9"/>
        <v>7.9245283018867943E-4</v>
      </c>
      <c r="E28">
        <f>COUNTIF(tables_588101!C:C,input_588101!A28)-COUNTIF(Q:Q,A28)</f>
        <v>21</v>
      </c>
      <c r="F28" s="37">
        <f t="shared" si="8"/>
        <v>3.7735849056603783E-5</v>
      </c>
      <c r="G28">
        <f t="shared" si="4"/>
        <v>12264.000000000004</v>
      </c>
      <c r="H28">
        <f t="shared" si="10"/>
        <v>584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1.207547169811321E-2</v>
      </c>
      <c r="C29" s="75">
        <f t="shared" si="2"/>
        <v>0</v>
      </c>
      <c r="D29" s="66">
        <f t="shared" si="9"/>
        <v>1.207547169811321E-2</v>
      </c>
      <c r="E29">
        <f>COUNTIF(tables_588101!C:C,input_588101!A29)-COUNTIF(Q:Q,A29)</f>
        <v>32</v>
      </c>
      <c r="F29" s="37">
        <f t="shared" si="8"/>
        <v>3.7735849056603783E-4</v>
      </c>
      <c r="G29">
        <f t="shared" si="4"/>
        <v>186880.00000000006</v>
      </c>
      <c r="H29">
        <f t="shared" si="10"/>
        <v>5840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5">
        <f t="shared" si="2"/>
        <v>0</v>
      </c>
      <c r="D30" s="66">
        <f t="shared" ref="D30:D44" si="12">B30-C30</f>
        <v>0</v>
      </c>
      <c r="E30">
        <f>COUNTIF(tables_588101!C:C,input_588101!A30)-COUNTIF(Q:Q,A30)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5">
        <f t="shared" si="2"/>
        <v>0</v>
      </c>
      <c r="D31" s="66">
        <f t="shared" si="12"/>
        <v>0</v>
      </c>
      <c r="E31">
        <f>COUNTIF(tables_588101!C:C,input_588101!A31)-COUNTIF(Q:Q,A31)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79">
        <f>B$5*0.6-B34-B39</f>
        <v>0.10180173913043479</v>
      </c>
      <c r="C32" s="75">
        <f t="shared" si="2"/>
        <v>0</v>
      </c>
      <c r="D32" s="66">
        <f t="shared" si="12"/>
        <v>0.10180173913043479</v>
      </c>
      <c r="E32">
        <f>COUNTIF(tables_588101!C:C,input_588101!A32)-COUNTIF(Q:Q,A32)</f>
        <v>5</v>
      </c>
      <c r="F32" s="37">
        <f>IFERROR(B32/E32,0)</f>
        <v>2.0360347826086957E-2</v>
      </c>
      <c r="G32">
        <f t="shared" si="4"/>
        <v>1575483.7147826089</v>
      </c>
      <c r="H32">
        <f t="shared" si="13"/>
        <v>315096.74296</v>
      </c>
      <c r="I32">
        <f t="shared" ref="I32:I46" si="15">MOD(H32,1)</f>
        <v>0.74296000000322238</v>
      </c>
      <c r="J32">
        <f t="shared" si="14"/>
        <v>1.345967481419811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3.1398718535469106E-2</v>
      </c>
      <c r="C33" s="75">
        <f t="shared" si="2"/>
        <v>0</v>
      </c>
      <c r="D33" s="66">
        <f t="shared" si="12"/>
        <v>3.1398718535469106E-2</v>
      </c>
      <c r="E33">
        <f>COUNTIF(tables_588101!C:C,input_588101!A33)-COUNTIF(Q:Q,A33)</f>
        <v>5</v>
      </c>
      <c r="F33" s="37">
        <f>IFERROR(B33/E33,0)</f>
        <v>6.279743707093821E-3</v>
      </c>
      <c r="G33">
        <f t="shared" si="4"/>
        <v>485926.56805491989</v>
      </c>
      <c r="H33">
        <f t="shared" si="13"/>
        <v>97185.313609999997</v>
      </c>
      <c r="I33">
        <f t="shared" si="15"/>
        <v>0.31360999999742489</v>
      </c>
      <c r="J33">
        <f t="shared" si="14"/>
        <v>3.1886738305800555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2">
        <f>E$8*E34*B$5</f>
        <v>0.12832695652173912</v>
      </c>
      <c r="C34" s="75">
        <f t="shared" si="2"/>
        <v>0</v>
      </c>
      <c r="D34" s="66">
        <f t="shared" si="12"/>
        <v>0.12832695652173912</v>
      </c>
      <c r="E34">
        <f>COUNTIF(tables_588101!C:C,input_588101!A34)-COUNTIF(Q:Q,A34)</f>
        <v>13</v>
      </c>
      <c r="F34" s="37">
        <f t="shared" ref="F34:F41" si="16">IFERROR(B34/E34,0)</f>
        <v>9.8713043478260865E-3</v>
      </c>
      <c r="G34">
        <f t="shared" si="4"/>
        <v>1985987.9791304346</v>
      </c>
      <c r="H34">
        <f t="shared" si="13"/>
        <v>152768.30609</v>
      </c>
      <c r="I34">
        <f t="shared" si="15"/>
        <v>0.30608999999822117</v>
      </c>
      <c r="J34">
        <f t="shared" si="14"/>
        <v>3.2670129700604771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0.16040869565217389</v>
      </c>
      <c r="C35" s="75">
        <f t="shared" si="2"/>
        <v>0</v>
      </c>
      <c r="D35" s="66">
        <f t="shared" si="12"/>
        <v>0.16040869565217389</v>
      </c>
      <c r="E35">
        <f>COUNTIF(tables_588101!C:C,input_588101!A35)-COUNTIF(Q:Q,A35)</f>
        <v>13</v>
      </c>
      <c r="F35" s="37">
        <f t="shared" si="16"/>
        <v>1.2339130434782606E-2</v>
      </c>
      <c r="G35">
        <f t="shared" si="4"/>
        <v>2482484.9739130433</v>
      </c>
      <c r="H35">
        <f t="shared" si="13"/>
        <v>190960.38261</v>
      </c>
      <c r="I35">
        <f t="shared" si="15"/>
        <v>0.38261000000056811</v>
      </c>
      <c r="J35">
        <f t="shared" si="14"/>
        <v>2.613627453538891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2.0672585812356981E-2</v>
      </c>
      <c r="C36" s="75">
        <f t="shared" si="2"/>
        <v>0</v>
      </c>
      <c r="D36" s="66">
        <f t="shared" si="12"/>
        <v>2.0672585812356981E-2</v>
      </c>
      <c r="E36">
        <f>COUNTIF(tables_588101!C:C,input_588101!A36)-COUNTIF(Q:Q,A36)</f>
        <v>13</v>
      </c>
      <c r="F36" s="37">
        <f t="shared" si="16"/>
        <v>1.5901989086428447E-3</v>
      </c>
      <c r="G36">
        <f t="shared" si="4"/>
        <v>319928.93803203665</v>
      </c>
      <c r="H36">
        <f t="shared" si="13"/>
        <v>24609.918310000001</v>
      </c>
      <c r="I36">
        <f t="shared" si="15"/>
        <v>0.91831000000092899</v>
      </c>
      <c r="J36">
        <f t="shared" si="14"/>
        <v>1.0889568881956946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8.5906086956521729E-2</v>
      </c>
      <c r="C37" s="75">
        <f t="shared" si="2"/>
        <v>0</v>
      </c>
      <c r="D37" s="66">
        <f t="shared" si="12"/>
        <v>8.5906086956521729E-2</v>
      </c>
      <c r="E37">
        <f>COUNTIF(tables_588101!C:C,input_588101!A37)-COUNTIF(Q:Q,A37)</f>
        <v>4</v>
      </c>
      <c r="F37" s="37">
        <f t="shared" si="16"/>
        <v>2.1476521739130432E-2</v>
      </c>
      <c r="G37">
        <f t="shared" si="4"/>
        <v>1329482.6017391302</v>
      </c>
      <c r="H37">
        <f t="shared" si="13"/>
        <v>332370.65042999998</v>
      </c>
      <c r="I37">
        <f t="shared" si="15"/>
        <v>0.65042999997967854</v>
      </c>
      <c r="J37">
        <f t="shared" si="14"/>
        <v>1.5374444598669237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(E38*E8*B7)-C46/2</f>
        <v>1.2806956521739129E-2</v>
      </c>
      <c r="C38" s="75">
        <f t="shared" si="2"/>
        <v>0</v>
      </c>
      <c r="D38" s="66">
        <f t="shared" si="12"/>
        <v>1.2806956521739129E-2</v>
      </c>
      <c r="E38">
        <f>COUNTIF(tables_588101!C:C,input_588101!A38)-COUNTIF(Q:Q,A38)</f>
        <v>6</v>
      </c>
      <c r="F38" s="37">
        <f t="shared" si="16"/>
        <v>2.1344927536231881E-3</v>
      </c>
      <c r="G38">
        <f t="shared" si="4"/>
        <v>198200.45913043476</v>
      </c>
      <c r="H38">
        <f t="shared" si="13"/>
        <v>33033.40986</v>
      </c>
      <c r="I38">
        <f t="shared" si="15"/>
        <v>0.4098599999997532</v>
      </c>
      <c r="J38">
        <f t="shared" si="14"/>
        <v>2.4398575123227495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9.8713043478260865E-3</v>
      </c>
      <c r="C39" s="75">
        <f t="shared" si="2"/>
        <v>0</v>
      </c>
      <c r="D39" s="66">
        <f t="shared" si="12"/>
        <v>9.8713043478260865E-3</v>
      </c>
      <c r="E39">
        <f>COUNTIF(tables_588101!C:C,input_588101!A39)-COUNTIF(Q:Q,A39)</f>
        <v>1</v>
      </c>
      <c r="F39" s="37">
        <f t="shared" si="16"/>
        <v>9.8713043478260865E-3</v>
      </c>
      <c r="G39">
        <f t="shared" si="4"/>
        <v>152768.30608695652</v>
      </c>
      <c r="H39">
        <f t="shared" si="13"/>
        <v>152768.30609</v>
      </c>
      <c r="I39">
        <f t="shared" si="15"/>
        <v>0.30608999999822117</v>
      </c>
      <c r="J39">
        <f t="shared" si="14"/>
        <v>3.2670129700604771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1.2339130434782608E-2</v>
      </c>
      <c r="C40" s="75">
        <f t="shared" si="2"/>
        <v>0</v>
      </c>
      <c r="D40" s="66">
        <f t="shared" si="12"/>
        <v>1.2339130434782608E-2</v>
      </c>
      <c r="E40">
        <f>COUNTIF(tables_588101!C:C,input_588101!A40)-COUNTIF(Q:Q,A40)</f>
        <v>1</v>
      </c>
      <c r="F40" s="37">
        <f t="shared" si="16"/>
        <v>1.2339130434782608E-2</v>
      </c>
      <c r="G40">
        <f t="shared" si="4"/>
        <v>190960.38260869563</v>
      </c>
      <c r="H40">
        <f t="shared" si="13"/>
        <v>190960.38261</v>
      </c>
      <c r="I40">
        <f t="shared" si="15"/>
        <v>0.38261000000056811</v>
      </c>
      <c r="J40">
        <f t="shared" si="14"/>
        <v>2.613627453538891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2.4678260869565216E-3</v>
      </c>
      <c r="C41" s="75">
        <f t="shared" si="2"/>
        <v>0</v>
      </c>
      <c r="D41" s="66">
        <f t="shared" si="12"/>
        <v>2.4678260869565216E-3</v>
      </c>
      <c r="E41">
        <f>COUNTIF(tables_588101!C:C,input_588101!A41)-COUNTIF(Q:Q,A41)</f>
        <v>1</v>
      </c>
      <c r="F41" s="37">
        <f t="shared" si="16"/>
        <v>2.4678260869565216E-3</v>
      </c>
      <c r="G41">
        <f t="shared" si="4"/>
        <v>38192.076521739131</v>
      </c>
      <c r="H41">
        <f t="shared" si="13"/>
        <v>38192.076520000002</v>
      </c>
      <c r="I41">
        <f t="shared" si="15"/>
        <v>7.6520000002346933E-2</v>
      </c>
      <c r="J41">
        <f t="shared" si="14"/>
        <v>13.068478828663476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9.9473684210526318E-3</v>
      </c>
      <c r="C42" s="75">
        <f t="shared" si="2"/>
        <v>0</v>
      </c>
      <c r="D42" s="66">
        <f t="shared" si="12"/>
        <v>9.9473684210526318E-3</v>
      </c>
      <c r="E42">
        <f>COUNTIF(tables_588101!C:C,input_588101!A42)-COUNTIF(Q:Q,A42)</f>
        <v>7</v>
      </c>
      <c r="F42" s="37">
        <f>IFERROR(B42/E42,0)</f>
        <v>1.4210526315789475E-3</v>
      </c>
      <c r="G42">
        <f t="shared" si="4"/>
        <v>153945.47368421053</v>
      </c>
      <c r="H42">
        <f t="shared" si="13"/>
        <v>21992.21053</v>
      </c>
      <c r="I42">
        <f t="shared" si="15"/>
        <v>0.21053000000028987</v>
      </c>
      <c r="J42">
        <f t="shared" si="14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1.1052631578947368E-3</v>
      </c>
      <c r="C43" s="75">
        <f t="shared" si="2"/>
        <v>0</v>
      </c>
      <c r="D43" s="66">
        <f t="shared" si="12"/>
        <v>1.1052631578947368E-3</v>
      </c>
      <c r="E43">
        <f>COUNTIF(tables_588101!C:C,input_588101!A43)-COUNTIF(Q:Q,A43)</f>
        <v>7</v>
      </c>
      <c r="F43" s="37">
        <f t="shared" ref="F43:F46" si="17">IFERROR(B43/E43,0)</f>
        <v>1.5789473684210527E-4</v>
      </c>
      <c r="G43">
        <f t="shared" si="4"/>
        <v>17105.052631578947</v>
      </c>
      <c r="H43">
        <f t="shared" si="13"/>
        <v>2443.5789500000001</v>
      </c>
      <c r="I43">
        <f t="shared" si="15"/>
        <v>0.57895000000007713</v>
      </c>
      <c r="J43">
        <f t="shared" si="14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1.8947368421052629E-2</v>
      </c>
      <c r="C44" s="75">
        <f t="shared" si="2"/>
        <v>0</v>
      </c>
      <c r="D44" s="66">
        <f t="shared" si="12"/>
        <v>1.8947368421052629E-2</v>
      </c>
      <c r="E44">
        <f>COUNTIF(tables_588101!C:C,input_588101!A44)-COUNTIF(Q:Q,A44)</f>
        <v>12</v>
      </c>
      <c r="F44" s="37">
        <f t="shared" si="17"/>
        <v>1.5789473684210524E-3</v>
      </c>
      <c r="G44">
        <f t="shared" si="4"/>
        <v>293229.4736842105</v>
      </c>
      <c r="H44">
        <f t="shared" si="13"/>
        <v>24435.78947</v>
      </c>
      <c r="I44">
        <f t="shared" si="15"/>
        <v>0.78946999999971013</v>
      </c>
      <c r="J44">
        <f t="shared" si="14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5">
        <f t="shared" si="2"/>
        <v>0</v>
      </c>
      <c r="D45" s="66">
        <f t="shared" ref="D45:D46" si="18">B45-C45</f>
        <v>0</v>
      </c>
      <c r="E45">
        <f>COUNTIF(tables_588101!C:C,input_588101!A45)-COUNTIF(Q:Q,A45)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4.0000000000000001E-3</v>
      </c>
      <c r="C46" s="75">
        <f>SUMIF(Q:Q,A46,N:N)</f>
        <v>4.0000000000000001E-3</v>
      </c>
      <c r="D46" s="66">
        <f t="shared" si="18"/>
        <v>0</v>
      </c>
      <c r="E46">
        <f>COUNTIF(tables_588101!C:C,input_588101!A46)-COUNTIF(Q:Q,A46)</f>
        <v>0</v>
      </c>
      <c r="F46" s="37">
        <f t="shared" si="17"/>
        <v>0</v>
      </c>
      <c r="G46">
        <f t="shared" si="4"/>
        <v>61904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0.99999999999999989</v>
      </c>
      <c r="C47" s="35">
        <f>SUM(C17:C46)</f>
        <v>4.0000000000000001E-3</v>
      </c>
      <c r="D47" s="36">
        <f t="shared" ref="D47" si="21">B47-C47</f>
        <v>0.99599999999999989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3"/>
      <c r="F48" s="91"/>
      <c r="G48" s="93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89"/>
    </row>
    <row r="51" spans="1:8" x14ac:dyDescent="0.15">
      <c r="A51" s="26">
        <f>LCM(F5-I5,F7-I6)*1000*2*2</f>
        <v>15476000</v>
      </c>
      <c r="C51" s="78"/>
      <c r="D51" s="80"/>
      <c r="E51" s="83"/>
      <c r="F51" s="83"/>
      <c r="G51" s="88"/>
      <c r="H51" s="89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SUMIF(tables_588101!C:C,input_588101!A55,tables_588101!O:O)</f>
        <v>1251444.4799999997</v>
      </c>
      <c r="C55" s="46">
        <f t="shared" ref="C55:C61" ca="1" si="22">B55/B$62</f>
        <v>0.38491165493456797</v>
      </c>
      <c r="E55">
        <v>3</v>
      </c>
      <c r="F55">
        <f ca="1">SUMIF(tables_588101!J:J,input_588101!E55,tables_588101!O:O)</f>
        <v>6190400.0000100052</v>
      </c>
      <c r="G55" s="81">
        <f ca="1">F55/A51</f>
        <v>0.40000000000064651</v>
      </c>
      <c r="H55" s="47">
        <f>B17+B19+B24+B32+B34+B39</f>
        <v>0.39999999999999997</v>
      </c>
    </row>
    <row r="56" spans="1:8" x14ac:dyDescent="0.15">
      <c r="A56" s="27" t="s">
        <v>88</v>
      </c>
      <c r="B56">
        <f ca="1">SUMIF(tables_588101!C:C,input_588101!A56,tables_588101!O:O)</f>
        <v>1564305.5999999992</v>
      </c>
      <c r="C56" s="46">
        <f t="shared" ca="1" si="22"/>
        <v>0.48113956866820978</v>
      </c>
      <c r="E56">
        <v>4</v>
      </c>
      <c r="F56">
        <f ca="1">SUMIF(tables_588101!J:J,input_588101!E56,tables_588101!O:O)</f>
        <v>7738000.0000199983</v>
      </c>
      <c r="G56" s="81">
        <f ca="1">F56/A51</f>
        <v>0.50000000000129219</v>
      </c>
      <c r="H56" s="47">
        <f>B18+B20+B22+B25+B27+B30+B33+B35+B37+B40+B42+B45</f>
        <v>0.5</v>
      </c>
    </row>
    <row r="57" spans="1:8" x14ac:dyDescent="0.15">
      <c r="A57" s="27" t="s">
        <v>93</v>
      </c>
      <c r="B57">
        <f ca="1">SUMIF(tables_588101!C:C,input_588101!A57,tables_588101!O:O)</f>
        <v>110376</v>
      </c>
      <c r="C57" s="46">
        <f t="shared" ca="1" si="22"/>
        <v>3.3948776397222095E-2</v>
      </c>
      <c r="E57">
        <v>5</v>
      </c>
      <c r="F57">
        <f ca="1">SUMIF(tables_588101!J:J,input_588101!E57,tables_588101!O:O)</f>
        <v>1547599.9999999998</v>
      </c>
      <c r="G57" s="81">
        <f ca="1">F57/A51</f>
        <v>9.9999999999999992E-2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SUMIF(tables_588101!C:C,input_588101!A58,tables_588101!O:O)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SUMIF(tables_588101!C:C,input_588101!A59,tables_588101!O:O)</f>
        <v>312861.11999999994</v>
      </c>
      <c r="C59" s="46">
        <f t="shared" ca="1" si="22"/>
        <v>9.6227913733641993E-2</v>
      </c>
      <c r="E59" t="s">
        <v>85</v>
      </c>
      <c r="F59" s="47"/>
    </row>
    <row r="60" spans="1:8" x14ac:dyDescent="0.15">
      <c r="A60" s="27" t="s">
        <v>95</v>
      </c>
      <c r="B60">
        <f ca="1">SUMIF(tables_588101!C:C,input_588101!A60,tables_588101!O:O)</f>
        <v>12264</v>
      </c>
      <c r="C60" s="46">
        <f t="shared" ca="1" si="22"/>
        <v>3.7720862663580112E-3</v>
      </c>
      <c r="E60" t="s">
        <v>190</v>
      </c>
      <c r="F60" s="103">
        <f ca="1">SUMIF(tables_588101!I:I,input_588101!E60,tables_588101!P:P)</f>
        <v>0.21789509114199151</v>
      </c>
    </row>
    <row r="61" spans="1:8" x14ac:dyDescent="0.15">
      <c r="A61" s="27" t="s">
        <v>96</v>
      </c>
      <c r="B61">
        <f>SUMIF(tables_588101!C:C,input_588101!A61,tables_588101!O:O)</f>
        <v>0</v>
      </c>
      <c r="C61" s="46">
        <f t="shared" ca="1" si="22"/>
        <v>0</v>
      </c>
      <c r="E61" t="s">
        <v>191</v>
      </c>
      <c r="F61" s="103">
        <f ca="1">SUMIF(tables_588101!I:I,input_588101!E61,tables_588101!P:P)</f>
        <v>0.19675659311476429</v>
      </c>
    </row>
    <row r="62" spans="1:8" x14ac:dyDescent="0.15">
      <c r="A62" s="33" t="s">
        <v>42</v>
      </c>
      <c r="B62">
        <f ca="1">SUM(B55:B61)</f>
        <v>3251251.1999999993</v>
      </c>
      <c r="C62" s="47">
        <f ca="1">SUM(C55:C61)</f>
        <v>0.99999999999999989</v>
      </c>
      <c r="E62" t="s">
        <v>192</v>
      </c>
      <c r="F62" s="103">
        <f ca="1">SUMIF(tables_588101!I:I,input_588101!E62,tables_588101!P:P)</f>
        <v>0.53134831574334818</v>
      </c>
    </row>
    <row r="63" spans="1:8" x14ac:dyDescent="0.15">
      <c r="E63" t="s">
        <v>193</v>
      </c>
      <c r="F63" s="103">
        <f ca="1">SUMIF(tables_588101!I:I,input_588101!E63,tables_588101!P:P)</f>
        <v>4.4200595829585972E-2</v>
      </c>
      <c r="G63" s="84"/>
    </row>
    <row r="64" spans="1:8" x14ac:dyDescent="0.15">
      <c r="E64" t="s">
        <v>249</v>
      </c>
      <c r="F64" s="103">
        <f ca="1">SUMIF(tables_588101!I:I,input_588101!E64,tables_588101!P:P)</f>
        <v>5.7994041703170003E-3</v>
      </c>
    </row>
    <row r="65" spans="5:6" x14ac:dyDescent="0.15">
      <c r="E65" t="s">
        <v>248</v>
      </c>
      <c r="F65" s="103">
        <f ca="1">SUMIF(tables_588101!I:I,input_588101!E65,tables_588101!P:P)</f>
        <v>3.9999999999922407E-3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56"/>
  <sheetViews>
    <sheetView showGridLines="0" workbookViewId="0">
      <pane ySplit="1" topLeftCell="A331" activePane="bottomLeft" state="frozen"/>
      <selection activeCell="H10" sqref="H10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input_588101!A$2</f>
        <v>588101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IFERROR(VLOOKUP(B2,input_588101!L:R,7,FALSE),VLOOKUP(tables_588101!C2,input_588101!A:H,8,FALSE))</f>
        <v>75230.037330000006</v>
      </c>
      <c r="P2" s="40">
        <f t="shared" ref="P2:P65" ca="1" si="1">O2/SUM(O:O)</f>
        <v>4.86107762534596E-3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input_588101!A$2</f>
        <v>588101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IFERROR(VLOOKUP(B3,input_588101!L:R,7,FALSE),VLOOKUP(tables_588101!C3,input_588101!A:H,8,FALSE))</f>
        <v>6641.5360000000001</v>
      </c>
      <c r="P3" s="40">
        <f t="shared" ca="1" si="1"/>
        <v>4.291506849306744E-4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input_588101!A$2</f>
        <v>588101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IFERROR(VLOOKUP(B4,input_588101!L:R,7,FALSE),VLOOKUP(tables_588101!C4,input_588101!A:H,8,FALSE))</f>
        <v>75230.037330000006</v>
      </c>
      <c r="P4" s="40">
        <f t="shared" ca="1" si="1"/>
        <v>4.86107762534596E-3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input_588101!A$2</f>
        <v>588101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IFERROR(VLOOKUP(B5,input_588101!L:R,7,FALSE),VLOOKUP(tables_588101!C5,input_588101!A:H,8,FALSE))</f>
        <v>6641.5360000000001</v>
      </c>
      <c r="P5" s="40">
        <f t="shared" ca="1" si="1"/>
        <v>4.291506849306744E-4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input_588101!A$2</f>
        <v>588101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IFERROR(VLOOKUP(B6,input_588101!L:R,7,FALSE),VLOOKUP(tables_588101!C6,input_588101!A:H,8,FALSE))</f>
        <v>75230.037330000006</v>
      </c>
      <c r="P6" s="40">
        <f t="shared" ca="1" si="1"/>
        <v>4.86107762534596E-3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input_588101!A$2</f>
        <v>588101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IFERROR(VLOOKUP(B7,input_588101!L:R,7,FALSE),VLOOKUP(tables_588101!C7,input_588101!A:H,8,FALSE))</f>
        <v>6641.5360000000001</v>
      </c>
      <c r="P7" s="40">
        <f t="shared" ca="1" si="1"/>
        <v>4.291506849306744E-4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input_588101!A$2</f>
        <v>588101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IFERROR(VLOOKUP(B8,input_588101!L:R,7,FALSE),VLOOKUP(tables_588101!C8,input_588101!A:H,8,FALSE))</f>
        <v>315096.74296</v>
      </c>
      <c r="P8" s="40">
        <f t="shared" ca="1" si="1"/>
        <v>2.0360347826272215E-2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input_588101!A$2</f>
        <v>588101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IFERROR(VLOOKUP(B9,input_588101!L:R,7,FALSE),VLOOKUP(tables_588101!C9,input_588101!A:H,8,FALSE))</f>
        <v>97185.313609999997</v>
      </c>
      <c r="P9" s="40">
        <f t="shared" ca="1" si="1"/>
        <v>6.2797437070180586E-3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input_588101!A$2</f>
        <v>588101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IFERROR(VLOOKUP(B10,input_588101!L:R,7,FALSE),VLOOKUP(tables_588101!C10,input_588101!A:H,8,FALSE))</f>
        <v>75230.037330000006</v>
      </c>
      <c r="P10" s="40">
        <f t="shared" ca="1" si="1"/>
        <v>4.86107762534596E-3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input_588101!A$2</f>
        <v>588101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IFERROR(VLOOKUP(B11,input_588101!L:R,7,FALSE),VLOOKUP(tables_588101!C11,input_588101!A:H,8,FALSE))</f>
        <v>6641.5360000000001</v>
      </c>
      <c r="P11" s="40">
        <f t="shared" ca="1" si="1"/>
        <v>4.291506849306744E-4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input_588101!A$2</f>
        <v>588101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IFERROR(VLOOKUP(B12,input_588101!L:R,7,FALSE),VLOOKUP(tables_588101!C12,input_588101!A:H,8,FALSE))</f>
        <v>75230.037330000006</v>
      </c>
      <c r="P12" s="40">
        <f t="shared" ca="1" si="1"/>
        <v>4.86107762534596E-3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input_588101!A$2</f>
        <v>588101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IFERROR(VLOOKUP(B13,input_588101!L:R,7,FALSE),VLOOKUP(tables_588101!C13,input_588101!A:H,8,FALSE))</f>
        <v>6641.5360000000001</v>
      </c>
      <c r="P13" s="40">
        <f t="shared" ca="1" si="1"/>
        <v>4.291506849306744E-4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input_588101!A$2</f>
        <v>588101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IFERROR(VLOOKUP(B14,input_588101!L:R,7,FALSE),VLOOKUP(tables_588101!C14,input_588101!A:H,8,FALSE))</f>
        <v>75230.037330000006</v>
      </c>
      <c r="P14" s="40">
        <f t="shared" ca="1" si="1"/>
        <v>4.86107762534596E-3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input_588101!A$2</f>
        <v>588101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IFERROR(VLOOKUP(B15,input_588101!L:R,7,FALSE),VLOOKUP(tables_588101!C15,input_588101!A:H,8,FALSE))</f>
        <v>6641.5360000000001</v>
      </c>
      <c r="P15" s="40">
        <f t="shared" ca="1" si="1"/>
        <v>4.291506849306744E-4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input_588101!A$2</f>
        <v>588101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IFERROR(VLOOKUP(B16,input_588101!L:R,7,FALSE),VLOOKUP(tables_588101!C16,input_588101!A:H,8,FALSE))</f>
        <v>315096.74296</v>
      </c>
      <c r="P16" s="40">
        <f t="shared" ca="1" si="1"/>
        <v>2.0360347826272215E-2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input_588101!A$2</f>
        <v>588101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IFERROR(VLOOKUP(B17,input_588101!L:R,7,FALSE),VLOOKUP(tables_588101!C17,input_588101!A:H,8,FALSE))</f>
        <v>97185.313609999997</v>
      </c>
      <c r="P17" s="40">
        <f t="shared" ca="1" si="1"/>
        <v>6.2797437070180586E-3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input_588101!A$2</f>
        <v>588101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IFERROR(VLOOKUP(B18,input_588101!L:R,7,FALSE),VLOOKUP(tables_588101!C18,input_588101!A:H,8,FALSE))</f>
        <v>75230.037330000006</v>
      </c>
      <c r="P18" s="40">
        <f t="shared" ca="1" si="1"/>
        <v>4.86107762534596E-3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input_588101!A$2</f>
        <v>588101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IFERROR(VLOOKUP(B19,input_588101!L:R,7,FALSE),VLOOKUP(tables_588101!C19,input_588101!A:H,8,FALSE))</f>
        <v>6641.5360000000001</v>
      </c>
      <c r="P19" s="40">
        <f t="shared" ca="1" si="1"/>
        <v>4.291506849306744E-4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input_588101!A$2</f>
        <v>588101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IFERROR(VLOOKUP(B20,input_588101!L:R,7,FALSE),VLOOKUP(tables_588101!C20,input_588101!A:H,8,FALSE))</f>
        <v>75230.037330000006</v>
      </c>
      <c r="P20" s="40">
        <f t="shared" ca="1" si="1"/>
        <v>4.86107762534596E-3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input_588101!A$2</f>
        <v>588101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IFERROR(VLOOKUP(B21,input_588101!L:R,7,FALSE),VLOOKUP(tables_588101!C21,input_588101!A:H,8,FALSE))</f>
        <v>6641.5360000000001</v>
      </c>
      <c r="P21" s="40">
        <f t="shared" ca="1" si="1"/>
        <v>4.291506849306744E-4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input_588101!A$2</f>
        <v>588101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IFERROR(VLOOKUP(B22,input_588101!L:R,7,FALSE),VLOOKUP(tables_588101!C22,input_588101!A:H,8,FALSE))</f>
        <v>75230.037330000006</v>
      </c>
      <c r="P22" s="40">
        <f t="shared" ca="1" si="1"/>
        <v>4.86107762534596E-3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input_588101!A$2</f>
        <v>588101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IFERROR(VLOOKUP(B23,input_588101!L:R,7,FALSE),VLOOKUP(tables_588101!C23,input_588101!A:H,8,FALSE))</f>
        <v>6641.5360000000001</v>
      </c>
      <c r="P23" s="40">
        <f t="shared" ca="1" si="1"/>
        <v>4.291506849306744E-4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input_588101!A$2</f>
        <v>588101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IFERROR(VLOOKUP(B24,input_588101!L:R,7,FALSE),VLOOKUP(tables_588101!C24,input_588101!A:H,8,FALSE))</f>
        <v>315096.74296</v>
      </c>
      <c r="P24" s="40">
        <f t="shared" ca="1" si="1"/>
        <v>2.0360347826272215E-2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input_588101!A$2</f>
        <v>588101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IFERROR(VLOOKUP(B25,input_588101!L:R,7,FALSE),VLOOKUP(tables_588101!C25,input_588101!A:H,8,FALSE))</f>
        <v>97185.313609999997</v>
      </c>
      <c r="P25" s="40">
        <f t="shared" ca="1" si="1"/>
        <v>6.2797437070180586E-3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input_588101!A$2</f>
        <v>588101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IFERROR(VLOOKUP(B26,input_588101!L:R,7,FALSE),VLOOKUP(tables_588101!C26,input_588101!A:H,8,FALSE))</f>
        <v>75230.037330000006</v>
      </c>
      <c r="P26" s="40">
        <f t="shared" ca="1" si="1"/>
        <v>4.86107762534596E-3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input_588101!A$2</f>
        <v>588101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IFERROR(VLOOKUP(B27,input_588101!L:R,7,FALSE),VLOOKUP(tables_588101!C27,input_588101!A:H,8,FALSE))</f>
        <v>6641.5360000000001</v>
      </c>
      <c r="P27" s="40">
        <f t="shared" ca="1" si="1"/>
        <v>4.291506849306744E-4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input_588101!A$2</f>
        <v>588101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IFERROR(VLOOKUP(B28,input_588101!L:R,7,FALSE),VLOOKUP(tables_588101!C28,input_588101!A:H,8,FALSE))</f>
        <v>75230.037330000006</v>
      </c>
      <c r="P28" s="40">
        <f t="shared" ca="1" si="1"/>
        <v>4.86107762534596E-3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input_588101!A$2</f>
        <v>588101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IFERROR(VLOOKUP(B29,input_588101!L:R,7,FALSE),VLOOKUP(tables_588101!C29,input_588101!A:H,8,FALSE))</f>
        <v>6641.5360000000001</v>
      </c>
      <c r="P29" s="40">
        <f t="shared" ca="1" si="1"/>
        <v>4.291506849306744E-4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input_588101!A$2</f>
        <v>588101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IFERROR(VLOOKUP(B30,input_588101!L:R,7,FALSE),VLOOKUP(tables_588101!C30,input_588101!A:H,8,FALSE))</f>
        <v>75230.037330000006</v>
      </c>
      <c r="P30" s="40">
        <f t="shared" ca="1" si="1"/>
        <v>4.86107762534596E-3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input_588101!A$2</f>
        <v>588101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IFERROR(VLOOKUP(B31,input_588101!L:R,7,FALSE),VLOOKUP(tables_588101!C31,input_588101!A:H,8,FALSE))</f>
        <v>6641.5360000000001</v>
      </c>
      <c r="P31" s="40">
        <f t="shared" ca="1" si="1"/>
        <v>4.291506849306744E-4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input_588101!A$2</f>
        <v>588101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IFERROR(VLOOKUP(B32,input_588101!L:R,7,FALSE),VLOOKUP(tables_588101!C32,input_588101!A:H,8,FALSE))</f>
        <v>315096.74296</v>
      </c>
      <c r="P32" s="40">
        <f t="shared" ca="1" si="1"/>
        <v>2.0360347826272215E-2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input_588101!A$2</f>
        <v>588101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IFERROR(VLOOKUP(B33,input_588101!L:R,7,FALSE),VLOOKUP(tables_588101!C33,input_588101!A:H,8,FALSE))</f>
        <v>97185.313609999997</v>
      </c>
      <c r="P33" s="40">
        <f t="shared" ca="1" si="1"/>
        <v>6.2797437070180586E-3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input_588101!A$2</f>
        <v>588101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IFERROR(VLOOKUP(B34,input_588101!L:R,7,FALSE),VLOOKUP(tables_588101!C34,input_588101!A:H,8,FALSE))</f>
        <v>75230.037330000006</v>
      </c>
      <c r="P34" s="40">
        <f t="shared" ca="1" si="1"/>
        <v>4.86107762534596E-3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input_588101!A$2</f>
        <v>588101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IFERROR(VLOOKUP(B35,input_588101!L:R,7,FALSE),VLOOKUP(tables_588101!C35,input_588101!A:H,8,FALSE))</f>
        <v>6641.5360000000001</v>
      </c>
      <c r="P35" s="40">
        <f t="shared" ca="1" si="1"/>
        <v>4.291506849306744E-4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input_588101!A$2</f>
        <v>588101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IFERROR(VLOOKUP(B36,input_588101!L:R,7,FALSE),VLOOKUP(tables_588101!C36,input_588101!A:H,8,FALSE))</f>
        <v>75230.037330000006</v>
      </c>
      <c r="P36" s="40">
        <f t="shared" ca="1" si="1"/>
        <v>4.86107762534596E-3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input_588101!A$2</f>
        <v>588101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IFERROR(VLOOKUP(B37,input_588101!L:R,7,FALSE),VLOOKUP(tables_588101!C37,input_588101!A:H,8,FALSE))</f>
        <v>6641.5360000000001</v>
      </c>
      <c r="P37" s="40">
        <f t="shared" ca="1" si="1"/>
        <v>4.291506849306744E-4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input_588101!A$2</f>
        <v>588101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IFERROR(VLOOKUP(B38,input_588101!L:R,7,FALSE),VLOOKUP(tables_588101!C38,input_588101!A:H,8,FALSE))</f>
        <v>75230.037330000006</v>
      </c>
      <c r="P38" s="40">
        <f t="shared" ca="1" si="1"/>
        <v>4.86107762534596E-3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input_588101!A$2</f>
        <v>588101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IFERROR(VLOOKUP(B39,input_588101!L:R,7,FALSE),VLOOKUP(tables_588101!C39,input_588101!A:H,8,FALSE))</f>
        <v>6641.5360000000001</v>
      </c>
      <c r="P39" s="40">
        <f t="shared" ca="1" si="1"/>
        <v>4.291506849306744E-4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input_588101!A$2</f>
        <v>588101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IFERROR(VLOOKUP(B40,input_588101!L:R,7,FALSE),VLOOKUP(tables_588101!C40,input_588101!A:H,8,FALSE))</f>
        <v>315096.74296</v>
      </c>
      <c r="P40" s="40">
        <f t="shared" ca="1" si="1"/>
        <v>2.0360347826272215E-2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input_588101!A$2</f>
        <v>588101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IFERROR(VLOOKUP(B41,input_588101!L:R,7,FALSE),VLOOKUP(tables_588101!C41,input_588101!A:H,8,FALSE))</f>
        <v>97185.313609999997</v>
      </c>
      <c r="P41" s="40">
        <f t="shared" ca="1" si="1"/>
        <v>6.2797437070180586E-3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input_588101!A$2</f>
        <v>588101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IFERROR(VLOOKUP(B42,input_588101!L:R,7,FALSE),VLOOKUP(tables_588101!C42,input_588101!A:H,8,FALSE))</f>
        <v>32088.32</v>
      </c>
      <c r="P42" s="40">
        <f t="shared" ca="1" si="1"/>
        <v>2.0734246575302246E-3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input_588101!A$2</f>
        <v>588101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IFERROR(VLOOKUP(B43,input_588101!L:R,7,FALSE),VLOOKUP(tables_588101!C43,input_588101!A:H,8,FALSE))</f>
        <v>40110.400000000001</v>
      </c>
      <c r="P43" s="40">
        <f t="shared" ca="1" si="1"/>
        <v>2.5917808219127806E-3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input_588101!A$2</f>
        <v>588101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IFERROR(VLOOKUP(B44,input_588101!L:R,7,FALSE),VLOOKUP(tables_588101!C44,input_588101!A:H,8,FALSE))</f>
        <v>8022.08</v>
      </c>
      <c r="P44" s="40">
        <f t="shared" ca="1" si="1"/>
        <v>5.1835616438255616E-4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input_588101!A$2</f>
        <v>588101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IFERROR(VLOOKUP(B45,input_588101!L:R,7,FALSE),VLOOKUP(tables_588101!C45,input_588101!A:H,8,FALSE))</f>
        <v>32088.32</v>
      </c>
      <c r="P45" s="40">
        <f t="shared" ca="1" si="1"/>
        <v>2.0734246575302246E-3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input_588101!A$2</f>
        <v>588101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IFERROR(VLOOKUP(B46,input_588101!L:R,7,FALSE),VLOOKUP(tables_588101!C46,input_588101!A:H,8,FALSE))</f>
        <v>40110.400000000001</v>
      </c>
      <c r="P46" s="40">
        <f t="shared" ca="1" si="1"/>
        <v>2.5917808219127806E-3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input_588101!A$2</f>
        <v>588101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IFERROR(VLOOKUP(B47,input_588101!L:R,7,FALSE),VLOOKUP(tables_588101!C47,input_588101!A:H,8,FALSE))</f>
        <v>8022.08</v>
      </c>
      <c r="P47" s="40">
        <f t="shared" ca="1" si="1"/>
        <v>5.1835616438255616E-4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input_588101!A$2</f>
        <v>588101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IFERROR(VLOOKUP(B48,input_588101!L:R,7,FALSE),VLOOKUP(tables_588101!C48,input_588101!A:H,8,FALSE))</f>
        <v>32088.32</v>
      </c>
      <c r="P48" s="40">
        <f t="shared" ca="1" si="1"/>
        <v>2.0734246575302246E-3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input_588101!A$2</f>
        <v>588101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IFERROR(VLOOKUP(B49,input_588101!L:R,7,FALSE),VLOOKUP(tables_588101!C49,input_588101!A:H,8,FALSE))</f>
        <v>40110.400000000001</v>
      </c>
      <c r="P49" s="40">
        <f t="shared" ca="1" si="1"/>
        <v>2.5917808219127806E-3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input_588101!A$2</f>
        <v>588101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IFERROR(VLOOKUP(B50,input_588101!L:R,7,FALSE),VLOOKUP(tables_588101!C50,input_588101!A:H,8,FALSE))</f>
        <v>8022.08</v>
      </c>
      <c r="P50" s="40">
        <f t="shared" ca="1" si="1"/>
        <v>5.1835616438255616E-4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input_588101!A$2</f>
        <v>588101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IFERROR(VLOOKUP(B51,input_588101!L:R,7,FALSE),VLOOKUP(tables_588101!C51,input_588101!A:H,8,FALSE))</f>
        <v>152768.30609</v>
      </c>
      <c r="P51" s="40">
        <f t="shared" ca="1" si="1"/>
        <v>9.8713043480035973E-3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input_588101!A$2</f>
        <v>588101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IFERROR(VLOOKUP(B52,input_588101!L:R,7,FALSE),VLOOKUP(tables_588101!C52,input_588101!A:H,8,FALSE))</f>
        <v>190960.38261</v>
      </c>
      <c r="P52" s="40">
        <f t="shared" ca="1" si="1"/>
        <v>1.2339130434842955E-2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input_588101!A$2</f>
        <v>588101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IFERROR(VLOOKUP(B53,input_588101!L:R,7,FALSE),VLOOKUP(tables_588101!C53,input_588101!A:H,8,FALSE))</f>
        <v>24609.918310000001</v>
      </c>
      <c r="P53" s="40">
        <f t="shared" ca="1" si="1"/>
        <v>1.5901989086296369E-3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input_588101!A$2</f>
        <v>588101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IFERROR(VLOOKUP(B54,input_588101!L:R,7,FALSE),VLOOKUP(tables_588101!C54,input_588101!A:H,8,FALSE))</f>
        <v>32088.32</v>
      </c>
      <c r="P54" s="40">
        <f t="shared" ca="1" si="1"/>
        <v>2.0734246575302246E-3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input_588101!A$2</f>
        <v>588101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IFERROR(VLOOKUP(B55,input_588101!L:R,7,FALSE),VLOOKUP(tables_588101!C55,input_588101!A:H,8,FALSE))</f>
        <v>40110.400000000001</v>
      </c>
      <c r="P55" s="40">
        <f t="shared" ca="1" si="1"/>
        <v>2.5917808219127806E-3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input_588101!A$2</f>
        <v>588101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IFERROR(VLOOKUP(B56,input_588101!L:R,7,FALSE),VLOOKUP(tables_588101!C56,input_588101!A:H,8,FALSE))</f>
        <v>8022.08</v>
      </c>
      <c r="P56" s="40">
        <f t="shared" ca="1" si="1"/>
        <v>5.1835616438255616E-4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input_588101!A$2</f>
        <v>588101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IFERROR(VLOOKUP(B57,input_588101!L:R,7,FALSE),VLOOKUP(tables_588101!C57,input_588101!A:H,8,FALSE))</f>
        <v>32088.32</v>
      </c>
      <c r="P57" s="40">
        <f t="shared" ca="1" si="1"/>
        <v>2.0734246575302246E-3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input_588101!A$2</f>
        <v>588101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IFERROR(VLOOKUP(B58,input_588101!L:R,7,FALSE),VLOOKUP(tables_588101!C58,input_588101!A:H,8,FALSE))</f>
        <v>40110.400000000001</v>
      </c>
      <c r="P58" s="40">
        <f t="shared" ca="1" si="1"/>
        <v>2.5917808219127806E-3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input_588101!A$2</f>
        <v>588101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IFERROR(VLOOKUP(B59,input_588101!L:R,7,FALSE),VLOOKUP(tables_588101!C59,input_588101!A:H,8,FALSE))</f>
        <v>8022.08</v>
      </c>
      <c r="P59" s="40">
        <f t="shared" ca="1" si="1"/>
        <v>5.1835616438255616E-4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input_588101!A$2</f>
        <v>588101</v>
      </c>
      <c r="B60" s="6">
        <v>184</v>
      </c>
      <c r="C60" s="7" t="str">
        <f t="shared" si="0"/>
        <v>Premium3</v>
      </c>
      <c r="D60" s="7" t="str">
        <f>IF(OR(I60="PremiumSS",I60="PremiumSSw"),"PremiumSS",IF(I60="PremiumSSS",I60,IF(I60="PremiumW",IF(J60=5,"premium",I60),"Premium")))</f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IFERROR(VLOOKUP(B60,input_588101!L:R,7,FALSE),VLOOKUP(tables_588101!C60,input_588101!A:H,8,FALSE))</f>
        <v>32088.32</v>
      </c>
      <c r="P60" s="40">
        <f t="shared" ca="1" si="1"/>
        <v>2.0734246575302246E-3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input_588101!A$2</f>
        <v>588101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IFERROR(VLOOKUP(B61,input_588101!L:R,7,FALSE),VLOOKUP(tables_588101!C61,input_588101!A:H,8,FALSE))</f>
        <v>40110.400000000001</v>
      </c>
      <c r="P61" s="40">
        <f t="shared" ca="1" si="1"/>
        <v>2.5917808219127806E-3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input_588101!A$2</f>
        <v>588101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IFERROR(VLOOKUP(B62,input_588101!L:R,7,FALSE),VLOOKUP(tables_588101!C62,input_588101!A:H,8,FALSE))</f>
        <v>8022.08</v>
      </c>
      <c r="P62" s="40">
        <f t="shared" ca="1" si="1"/>
        <v>5.1835616438255616E-4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input_588101!A$2</f>
        <v>588101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IFERROR(VLOOKUP(B63,input_588101!L:R,7,FALSE),VLOOKUP(tables_588101!C63,input_588101!A:H,8,FALSE))</f>
        <v>152768.30609</v>
      </c>
      <c r="P63" s="40">
        <f t="shared" ca="1" si="1"/>
        <v>9.8713043480035973E-3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input_588101!A$2</f>
        <v>588101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IFERROR(VLOOKUP(B64,input_588101!L:R,7,FALSE),VLOOKUP(tables_588101!C64,input_588101!A:H,8,FALSE))</f>
        <v>190960.38261</v>
      </c>
      <c r="P64" s="40">
        <f t="shared" ca="1" si="1"/>
        <v>1.2339130434842955E-2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input_588101!A$2</f>
        <v>588101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IFERROR(VLOOKUP(B65,input_588101!L:R,7,FALSE),VLOOKUP(tables_588101!C65,input_588101!A:H,8,FALSE))</f>
        <v>24609.918310000001</v>
      </c>
      <c r="P65" s="40">
        <f t="shared" ca="1" si="1"/>
        <v>1.5901989086296369E-3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input_588101!A$2</f>
        <v>588101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IFERROR(VLOOKUP(B66,input_588101!L:R,7,FALSE),VLOOKUP(tables_588101!C66,input_588101!A:H,8,FALSE))</f>
        <v>32088.32</v>
      </c>
      <c r="P66" s="40">
        <f t="shared" ref="P66:P129" ca="1" si="4">O66/SUM(O:O)</f>
        <v>2.0734246575302246E-3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input_588101!A$2</f>
        <v>588101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IFERROR(VLOOKUP(B67,input_588101!L:R,7,FALSE),VLOOKUP(tables_588101!C67,input_588101!A:H,8,FALSE))</f>
        <v>40110.400000000001</v>
      </c>
      <c r="P67" s="40">
        <f t="shared" ca="1" si="4"/>
        <v>2.5917808219127806E-3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input_588101!A$2</f>
        <v>588101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IFERROR(VLOOKUP(B68,input_588101!L:R,7,FALSE),VLOOKUP(tables_588101!C68,input_588101!A:H,8,FALSE))</f>
        <v>8022.08</v>
      </c>
      <c r="P68" s="40">
        <f t="shared" ca="1" si="4"/>
        <v>5.1835616438255616E-4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input_588101!A$2</f>
        <v>588101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IFERROR(VLOOKUP(B69,input_588101!L:R,7,FALSE),VLOOKUP(tables_588101!C69,input_588101!A:H,8,FALSE))</f>
        <v>32088.32</v>
      </c>
      <c r="P69" s="40">
        <f t="shared" ca="1" si="4"/>
        <v>2.0734246575302246E-3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input_588101!A$2</f>
        <v>588101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IFERROR(VLOOKUP(B70,input_588101!L:R,7,FALSE),VLOOKUP(tables_588101!C70,input_588101!A:H,8,FALSE))</f>
        <v>40110.400000000001</v>
      </c>
      <c r="P70" s="40">
        <f t="shared" ca="1" si="4"/>
        <v>2.5917808219127806E-3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input_588101!A$2</f>
        <v>588101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IFERROR(VLOOKUP(B71,input_588101!L:R,7,FALSE),VLOOKUP(tables_588101!C71,input_588101!A:H,8,FALSE))</f>
        <v>8022.08</v>
      </c>
      <c r="P71" s="40">
        <f t="shared" ca="1" si="4"/>
        <v>5.1835616438255616E-4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input_588101!A$2</f>
        <v>588101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IFERROR(VLOOKUP(B72,input_588101!L:R,7,FALSE),VLOOKUP(tables_588101!C72,input_588101!A:H,8,FALSE))</f>
        <v>152768.30609</v>
      </c>
      <c r="P72" s="40">
        <f t="shared" ca="1" si="4"/>
        <v>9.8713043480035973E-3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input_588101!A$2</f>
        <v>588101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IFERROR(VLOOKUP(B73,input_588101!L:R,7,FALSE),VLOOKUP(tables_588101!C73,input_588101!A:H,8,FALSE))</f>
        <v>190960.38261</v>
      </c>
      <c r="P73" s="40">
        <f t="shared" ca="1" si="4"/>
        <v>1.2339130434842955E-2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input_588101!A$2</f>
        <v>588101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IFERROR(VLOOKUP(B74,input_588101!L:R,7,FALSE),VLOOKUP(tables_588101!C74,input_588101!A:H,8,FALSE))</f>
        <v>24609.918310000001</v>
      </c>
      <c r="P74" s="40">
        <f t="shared" ca="1" si="4"/>
        <v>1.5901989086296369E-3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input_588101!A$2</f>
        <v>588101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IFERROR(VLOOKUP(B75,input_588101!L:R,7,FALSE),VLOOKUP(tables_588101!C75,input_588101!A:H,8,FALSE))</f>
        <v>32088.32</v>
      </c>
      <c r="P75" s="40">
        <f t="shared" ca="1" si="4"/>
        <v>2.0734246575302246E-3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input_588101!A$2</f>
        <v>588101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IFERROR(VLOOKUP(B76,input_588101!L:R,7,FALSE),VLOOKUP(tables_588101!C76,input_588101!A:H,8,FALSE))</f>
        <v>40110.400000000001</v>
      </c>
      <c r="P76" s="40">
        <f t="shared" ca="1" si="4"/>
        <v>2.5917808219127806E-3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input_588101!A$2</f>
        <v>588101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IFERROR(VLOOKUP(B77,input_588101!L:R,7,FALSE),VLOOKUP(tables_588101!C77,input_588101!A:H,8,FALSE))</f>
        <v>8022.08</v>
      </c>
      <c r="P77" s="40">
        <f t="shared" ca="1" si="4"/>
        <v>5.1835616438255616E-4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input_588101!A$2</f>
        <v>588101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IFERROR(VLOOKUP(B78,input_588101!L:R,7,FALSE),VLOOKUP(tables_588101!C78,input_588101!A:H,8,FALSE))</f>
        <v>32088.32</v>
      </c>
      <c r="P78" s="40">
        <f t="shared" ca="1" si="4"/>
        <v>2.0734246575302246E-3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input_588101!A$2</f>
        <v>588101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IFERROR(VLOOKUP(B79,input_588101!L:R,7,FALSE),VLOOKUP(tables_588101!C79,input_588101!A:H,8,FALSE))</f>
        <v>40110.400000000001</v>
      </c>
      <c r="P79" s="40">
        <f t="shared" ca="1" si="4"/>
        <v>2.5917808219127806E-3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input_588101!A$2</f>
        <v>588101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IFERROR(VLOOKUP(B80,input_588101!L:R,7,FALSE),VLOOKUP(tables_588101!C80,input_588101!A:H,8,FALSE))</f>
        <v>8022.08</v>
      </c>
      <c r="P80" s="40">
        <f t="shared" ca="1" si="4"/>
        <v>5.1835616438255616E-4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input_588101!A$2</f>
        <v>588101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IFERROR(VLOOKUP(B81,input_588101!L:R,7,FALSE),VLOOKUP(tables_588101!C81,input_588101!A:H,8,FALSE))</f>
        <v>32088.32</v>
      </c>
      <c r="P81" s="40">
        <f t="shared" ca="1" si="4"/>
        <v>2.0734246575302246E-3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input_588101!A$2</f>
        <v>588101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IFERROR(VLOOKUP(B82,input_588101!L:R,7,FALSE),VLOOKUP(tables_588101!C82,input_588101!A:H,8,FALSE))</f>
        <v>40110.400000000001</v>
      </c>
      <c r="P82" s="40">
        <f t="shared" ca="1" si="4"/>
        <v>2.5917808219127806E-3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input_588101!A$2</f>
        <v>588101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IFERROR(VLOOKUP(B83,input_588101!L:R,7,FALSE),VLOOKUP(tables_588101!C83,input_588101!A:H,8,FALSE))</f>
        <v>8022.08</v>
      </c>
      <c r="P83" s="40">
        <f t="shared" ca="1" si="4"/>
        <v>5.1835616438255616E-4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input_588101!A$2</f>
        <v>588101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IFERROR(VLOOKUP(B84,input_588101!L:R,7,FALSE),VLOOKUP(tables_588101!C84,input_588101!A:H,8,FALSE))</f>
        <v>32088.32</v>
      </c>
      <c r="P84" s="40">
        <f t="shared" ca="1" si="4"/>
        <v>2.0734246575302246E-3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input_588101!A$2</f>
        <v>588101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IFERROR(VLOOKUP(B85,input_588101!L:R,7,FALSE),VLOOKUP(tables_588101!C85,input_588101!A:H,8,FALSE))</f>
        <v>40110.400000000001</v>
      </c>
      <c r="P85" s="40">
        <f t="shared" ca="1" si="4"/>
        <v>2.5917808219127806E-3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input_588101!A$2</f>
        <v>588101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IFERROR(VLOOKUP(B86,input_588101!L:R,7,FALSE),VLOOKUP(tables_588101!C86,input_588101!A:H,8,FALSE))</f>
        <v>8022.08</v>
      </c>
      <c r="P86" s="40">
        <f t="shared" ca="1" si="4"/>
        <v>5.1835616438255616E-4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input_588101!A$2</f>
        <v>588101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IFERROR(VLOOKUP(B87,input_588101!L:R,7,FALSE),VLOOKUP(tables_588101!C87,input_588101!A:H,8,FALSE))</f>
        <v>152768.30609</v>
      </c>
      <c r="P87" s="40">
        <f t="shared" ca="1" si="4"/>
        <v>9.8713043480035973E-3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input_588101!A$2</f>
        <v>588101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IFERROR(VLOOKUP(B88,input_588101!L:R,7,FALSE),VLOOKUP(tables_588101!C88,input_588101!A:H,8,FALSE))</f>
        <v>190960.38261</v>
      </c>
      <c r="P88" s="40">
        <f t="shared" ca="1" si="4"/>
        <v>1.2339130434842955E-2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input_588101!A$2</f>
        <v>588101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IFERROR(VLOOKUP(B89,input_588101!L:R,7,FALSE),VLOOKUP(tables_588101!C89,input_588101!A:H,8,FALSE))</f>
        <v>24609.918310000001</v>
      </c>
      <c r="P89" s="40">
        <f t="shared" ca="1" si="4"/>
        <v>1.5901989086296369E-3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input_588101!A$2</f>
        <v>588101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IFERROR(VLOOKUP(B90,input_588101!L:R,7,FALSE),VLOOKUP(tables_588101!C90,input_588101!A:H,8,FALSE))</f>
        <v>32088.32</v>
      </c>
      <c r="P90" s="40">
        <f t="shared" ca="1" si="4"/>
        <v>2.0734246575302246E-3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input_588101!A$2</f>
        <v>588101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IFERROR(VLOOKUP(B91,input_588101!L:R,7,FALSE),VLOOKUP(tables_588101!C91,input_588101!A:H,8,FALSE))</f>
        <v>40110.400000000001</v>
      </c>
      <c r="P91" s="40">
        <f t="shared" ca="1" si="4"/>
        <v>2.5917808219127806E-3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input_588101!A$2</f>
        <v>588101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IFERROR(VLOOKUP(B92,input_588101!L:R,7,FALSE),VLOOKUP(tables_588101!C92,input_588101!A:H,8,FALSE))</f>
        <v>8022.08</v>
      </c>
      <c r="P92" s="40">
        <f t="shared" ca="1" si="4"/>
        <v>5.1835616438255616E-4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input_588101!A$2</f>
        <v>588101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IFERROR(VLOOKUP(B93,input_588101!L:R,7,FALSE),VLOOKUP(tables_588101!C93,input_588101!A:H,8,FALSE))</f>
        <v>32088.32</v>
      </c>
      <c r="P93" s="40">
        <f t="shared" ca="1" si="4"/>
        <v>2.0734246575302246E-3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input_588101!A$2</f>
        <v>588101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IFERROR(VLOOKUP(B94,input_588101!L:R,7,FALSE),VLOOKUP(tables_588101!C94,input_588101!A:H,8,FALSE))</f>
        <v>40110.400000000001</v>
      </c>
      <c r="P94" s="40">
        <f t="shared" ca="1" si="4"/>
        <v>2.5917808219127806E-3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input_588101!A$2</f>
        <v>588101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IFERROR(VLOOKUP(B95,input_588101!L:R,7,FALSE),VLOOKUP(tables_588101!C95,input_588101!A:H,8,FALSE))</f>
        <v>8022.08</v>
      </c>
      <c r="P95" s="40">
        <f t="shared" ca="1" si="4"/>
        <v>5.1835616438255616E-4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input_588101!A$2</f>
        <v>588101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IFERROR(VLOOKUP(B96,input_588101!L:R,7,FALSE),VLOOKUP(tables_588101!C96,input_588101!A:H,8,FALSE))</f>
        <v>32088.32</v>
      </c>
      <c r="P96" s="40">
        <f t="shared" ca="1" si="4"/>
        <v>2.0734246575302246E-3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input_588101!A$2</f>
        <v>588101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IFERROR(VLOOKUP(B97,input_588101!L:R,7,FALSE),VLOOKUP(tables_588101!C97,input_588101!A:H,8,FALSE))</f>
        <v>40110.400000000001</v>
      </c>
      <c r="P97" s="40">
        <f t="shared" ca="1" si="4"/>
        <v>2.5917808219127806E-3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input_588101!A$2</f>
        <v>588101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IFERROR(VLOOKUP(B98,input_588101!L:R,7,FALSE),VLOOKUP(tables_588101!C98,input_588101!A:H,8,FALSE))</f>
        <v>8022.08</v>
      </c>
      <c r="P98" s="40">
        <f t="shared" ca="1" si="4"/>
        <v>5.1835616438255616E-4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input_588101!A$2</f>
        <v>588101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IFERROR(VLOOKUP(B99,input_588101!L:R,7,FALSE),VLOOKUP(tables_588101!C99,input_588101!A:H,8,FALSE))</f>
        <v>152768.30609</v>
      </c>
      <c r="P99" s="40">
        <f t="shared" ca="1" si="4"/>
        <v>9.8713043480035973E-3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input_588101!A$2</f>
        <v>588101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IFERROR(VLOOKUP(B100,input_588101!L:R,7,FALSE),VLOOKUP(tables_588101!C100,input_588101!A:H,8,FALSE))</f>
        <v>190960.38261</v>
      </c>
      <c r="P100" s="40">
        <f t="shared" ca="1" si="4"/>
        <v>1.2339130434842955E-2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input_588101!A$2</f>
        <v>588101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IFERROR(VLOOKUP(B101,input_588101!L:R,7,FALSE),VLOOKUP(tables_588101!C101,input_588101!A:H,8,FALSE))</f>
        <v>24609.918310000001</v>
      </c>
      <c r="P101" s="40">
        <f t="shared" ca="1" si="4"/>
        <v>1.5901989086296369E-3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input_588101!A$2</f>
        <v>588101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IFERROR(VLOOKUP(B102,input_588101!L:R,7,FALSE),VLOOKUP(tables_588101!C102,input_588101!A:H,8,FALSE))</f>
        <v>32088.32</v>
      </c>
      <c r="P102" s="40">
        <f t="shared" ca="1" si="4"/>
        <v>2.0734246575302246E-3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input_588101!A$2</f>
        <v>588101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IFERROR(VLOOKUP(B103,input_588101!L:R,7,FALSE),VLOOKUP(tables_588101!C103,input_588101!A:H,8,FALSE))</f>
        <v>40110.400000000001</v>
      </c>
      <c r="P103" s="40">
        <f t="shared" ca="1" si="4"/>
        <v>2.5917808219127806E-3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input_588101!A$2</f>
        <v>588101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IFERROR(VLOOKUP(B104,input_588101!L:R,7,FALSE),VLOOKUP(tables_588101!C104,input_588101!A:H,8,FALSE))</f>
        <v>8022.08</v>
      </c>
      <c r="P104" s="40">
        <f t="shared" ca="1" si="4"/>
        <v>5.1835616438255616E-4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input_588101!A$2</f>
        <v>588101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IFERROR(VLOOKUP(B105,input_588101!L:R,7,FALSE),VLOOKUP(tables_588101!C105,input_588101!A:H,8,FALSE))</f>
        <v>32088.32</v>
      </c>
      <c r="P105" s="40">
        <f t="shared" ca="1" si="4"/>
        <v>2.0734246575302246E-3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input_588101!A$2</f>
        <v>588101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IFERROR(VLOOKUP(B106,input_588101!L:R,7,FALSE),VLOOKUP(tables_588101!C106,input_588101!A:H,8,FALSE))</f>
        <v>40110.400000000001</v>
      </c>
      <c r="P106" s="40">
        <f t="shared" ca="1" si="4"/>
        <v>2.5917808219127806E-3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input_588101!A$2</f>
        <v>588101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IFERROR(VLOOKUP(B107,input_588101!L:R,7,FALSE),VLOOKUP(tables_588101!C107,input_588101!A:H,8,FALSE))</f>
        <v>8022.08</v>
      </c>
      <c r="P107" s="40">
        <f t="shared" ca="1" si="4"/>
        <v>5.1835616438255616E-4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input_588101!A$2</f>
        <v>588101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IFERROR(VLOOKUP(B108,input_588101!L:R,7,FALSE),VLOOKUP(tables_588101!C108,input_588101!A:H,8,FALSE))</f>
        <v>32088.32</v>
      </c>
      <c r="P108" s="40">
        <f t="shared" ca="1" si="4"/>
        <v>2.0734246575302246E-3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input_588101!A$2</f>
        <v>588101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IFERROR(VLOOKUP(B109,input_588101!L:R,7,FALSE),VLOOKUP(tables_588101!C109,input_588101!A:H,8,FALSE))</f>
        <v>40110.400000000001</v>
      </c>
      <c r="P109" s="40">
        <f t="shared" ca="1" si="4"/>
        <v>2.5917808219127806E-3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input_588101!A$2</f>
        <v>588101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IFERROR(VLOOKUP(B110,input_588101!L:R,7,FALSE),VLOOKUP(tables_588101!C110,input_588101!A:H,8,FALSE))</f>
        <v>8022.08</v>
      </c>
      <c r="P110" s="40">
        <f t="shared" ca="1" si="4"/>
        <v>5.1835616438255616E-4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input_588101!A$2</f>
        <v>588101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IFERROR(VLOOKUP(B111,input_588101!L:R,7,FALSE),VLOOKUP(tables_588101!C111,input_588101!A:H,8,FALSE))</f>
        <v>152768.30609</v>
      </c>
      <c r="P111" s="40">
        <f t="shared" ca="1" si="4"/>
        <v>9.8713043480035973E-3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input_588101!A$2</f>
        <v>588101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IFERROR(VLOOKUP(B112,input_588101!L:R,7,FALSE),VLOOKUP(tables_588101!C112,input_588101!A:H,8,FALSE))</f>
        <v>190960.38261</v>
      </c>
      <c r="P112" s="40">
        <f t="shared" ca="1" si="4"/>
        <v>1.2339130434842955E-2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input_588101!A$2</f>
        <v>588101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IFERROR(VLOOKUP(B113,input_588101!L:R,7,FALSE),VLOOKUP(tables_588101!C113,input_588101!A:H,8,FALSE))</f>
        <v>38192.076520000002</v>
      </c>
      <c r="P113" s="40">
        <f t="shared" ca="1" si="4"/>
        <v>2.4678260868393588E-3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input_588101!A$2</f>
        <v>588101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IFERROR(VLOOKUP(B114,input_588101!L:R,7,FALSE),VLOOKUP(tables_588101!C114,input_588101!A:H,8,FALSE))</f>
        <v>32088.32</v>
      </c>
      <c r="P114" s="40">
        <f t="shared" ca="1" si="4"/>
        <v>2.0734246575302246E-3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input_588101!A$2</f>
        <v>588101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IFERROR(VLOOKUP(B115,input_588101!L:R,7,FALSE),VLOOKUP(tables_588101!C115,input_588101!A:H,8,FALSE))</f>
        <v>40110.400000000001</v>
      </c>
      <c r="P115" s="40">
        <f t="shared" ca="1" si="4"/>
        <v>2.5917808219127806E-3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input_588101!A$2</f>
        <v>588101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IFERROR(VLOOKUP(B116,input_588101!L:R,7,FALSE),VLOOKUP(tables_588101!C116,input_588101!A:H,8,FALSE))</f>
        <v>8022.08</v>
      </c>
      <c r="P116" s="40">
        <f t="shared" ca="1" si="4"/>
        <v>5.1835616438255616E-4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input_588101!A$2</f>
        <v>588101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IFERROR(VLOOKUP(B117,input_588101!L:R,7,FALSE),VLOOKUP(tables_588101!C117,input_588101!A:H,8,FALSE))</f>
        <v>32088.32</v>
      </c>
      <c r="P117" s="40">
        <f t="shared" ca="1" si="4"/>
        <v>2.0734246575302246E-3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input_588101!A$2</f>
        <v>588101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IFERROR(VLOOKUP(B118,input_588101!L:R,7,FALSE),VLOOKUP(tables_588101!C118,input_588101!A:H,8,FALSE))</f>
        <v>40110.400000000001</v>
      </c>
      <c r="P118" s="40">
        <f t="shared" ca="1" si="4"/>
        <v>2.5917808219127806E-3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input_588101!A$2</f>
        <v>588101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IFERROR(VLOOKUP(B119,input_588101!L:R,7,FALSE),VLOOKUP(tables_588101!C119,input_588101!A:H,8,FALSE))</f>
        <v>8022.08</v>
      </c>
      <c r="P119" s="40">
        <f t="shared" ca="1" si="4"/>
        <v>5.1835616438255616E-4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input_588101!A$2</f>
        <v>588101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IFERROR(VLOOKUP(B120,input_588101!L:R,7,FALSE),VLOOKUP(tables_588101!C120,input_588101!A:H,8,FALSE))</f>
        <v>32088.32</v>
      </c>
      <c r="P120" s="40">
        <f t="shared" ca="1" si="4"/>
        <v>2.0734246575302246E-3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input_588101!A$2</f>
        <v>588101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IFERROR(VLOOKUP(B121,input_588101!L:R,7,FALSE),VLOOKUP(tables_588101!C121,input_588101!A:H,8,FALSE))</f>
        <v>40110.400000000001</v>
      </c>
      <c r="P121" s="40">
        <f t="shared" ca="1" si="4"/>
        <v>2.5917808219127806E-3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input_588101!A$2</f>
        <v>588101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IFERROR(VLOOKUP(B122,input_588101!L:R,7,FALSE),VLOOKUP(tables_588101!C122,input_588101!A:H,8,FALSE))</f>
        <v>8022.08</v>
      </c>
      <c r="P122" s="40">
        <f t="shared" ca="1" si="4"/>
        <v>5.1835616438255616E-4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input_588101!A$2</f>
        <v>588101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IFERROR(VLOOKUP(B123,input_588101!L:R,7,FALSE),VLOOKUP(tables_588101!C123,input_588101!A:H,8,FALSE))</f>
        <v>152768.30609</v>
      </c>
      <c r="P123" s="40">
        <f t="shared" ca="1" si="4"/>
        <v>9.8713043480035973E-3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input_588101!A$2</f>
        <v>588101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IFERROR(VLOOKUP(B124,input_588101!L:R,7,FALSE),VLOOKUP(tables_588101!C124,input_588101!A:H,8,FALSE))</f>
        <v>190960.38261</v>
      </c>
      <c r="P124" s="40">
        <f t="shared" ca="1" si="4"/>
        <v>1.2339130434842955E-2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input_588101!A$2</f>
        <v>588101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IFERROR(VLOOKUP(B125,input_588101!L:R,7,FALSE),VLOOKUP(tables_588101!C125,input_588101!A:H,8,FALSE))</f>
        <v>24609.918310000001</v>
      </c>
      <c r="P125" s="40">
        <f t="shared" ca="1" si="4"/>
        <v>1.5901989086296369E-3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input_588101!A$2</f>
        <v>588101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IFERROR(VLOOKUP(B126,input_588101!L:R,7,FALSE),VLOOKUP(tables_588101!C126,input_588101!A:H,8,FALSE))</f>
        <v>32088.32</v>
      </c>
      <c r="P126" s="40">
        <f t="shared" ca="1" si="4"/>
        <v>2.0734246575302246E-3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input_588101!A$2</f>
        <v>588101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IFERROR(VLOOKUP(B127,input_588101!L:R,7,FALSE),VLOOKUP(tables_588101!C127,input_588101!A:H,8,FALSE))</f>
        <v>40110.400000000001</v>
      </c>
      <c r="P127" s="40">
        <f t="shared" ca="1" si="4"/>
        <v>2.5917808219127806E-3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input_588101!A$2</f>
        <v>588101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IFERROR(VLOOKUP(B128,input_588101!L:R,7,FALSE),VLOOKUP(tables_588101!C128,input_588101!A:H,8,FALSE))</f>
        <v>8022.08</v>
      </c>
      <c r="P128" s="40">
        <f t="shared" ca="1" si="4"/>
        <v>5.1835616438255616E-4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input_588101!A$2</f>
        <v>588101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IFERROR(VLOOKUP(B129,input_588101!L:R,7,FALSE),VLOOKUP(tables_588101!C129,input_588101!A:H,8,FALSE))</f>
        <v>32088.32</v>
      </c>
      <c r="P129" s="40">
        <f t="shared" ca="1" si="4"/>
        <v>2.0734246575302246E-3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input_588101!A$2</f>
        <v>588101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IFERROR(VLOOKUP(B130,input_588101!L:R,7,FALSE),VLOOKUP(tables_588101!C130,input_588101!A:H,8,FALSE))</f>
        <v>40110.400000000001</v>
      </c>
      <c r="P130" s="40">
        <f t="shared" ref="P130:P193" ca="1" si="7">O130/SUM(O:O)</f>
        <v>2.5917808219127806E-3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input_588101!A$2</f>
        <v>588101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IFERROR(VLOOKUP(B131,input_588101!L:R,7,FALSE),VLOOKUP(tables_588101!C131,input_588101!A:H,8,FALSE))</f>
        <v>8022.08</v>
      </c>
      <c r="P131" s="40">
        <f t="shared" ca="1" si="7"/>
        <v>5.1835616438255616E-4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input_588101!A$2</f>
        <v>588101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IFERROR(VLOOKUP(B132,input_588101!L:R,7,FALSE),VLOOKUP(tables_588101!C132,input_588101!A:H,8,FALSE))</f>
        <v>32088.32</v>
      </c>
      <c r="P132" s="40">
        <f t="shared" ca="1" si="7"/>
        <v>2.0734246575302246E-3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input_588101!A$2</f>
        <v>588101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IFERROR(VLOOKUP(B133,input_588101!L:R,7,FALSE),VLOOKUP(tables_588101!C133,input_588101!A:H,8,FALSE))</f>
        <v>40110.400000000001</v>
      </c>
      <c r="P133" s="40">
        <f t="shared" ca="1" si="7"/>
        <v>2.5917808219127806E-3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input_588101!A$2</f>
        <v>588101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IFERROR(VLOOKUP(B134,input_588101!L:R,7,FALSE),VLOOKUP(tables_588101!C134,input_588101!A:H,8,FALSE))</f>
        <v>8022.08</v>
      </c>
      <c r="P134" s="40">
        <f t="shared" ca="1" si="7"/>
        <v>5.1835616438255616E-4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input_588101!A$2</f>
        <v>588101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IFERROR(VLOOKUP(B135,input_588101!L:R,7,FALSE),VLOOKUP(tables_588101!C135,input_588101!A:H,8,FALSE))</f>
        <v>152768.30609</v>
      </c>
      <c r="P135" s="40">
        <f t="shared" ca="1" si="7"/>
        <v>9.8713043480035973E-3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input_588101!A$2</f>
        <v>588101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IFERROR(VLOOKUP(B136,input_588101!L:R,7,FALSE),VLOOKUP(tables_588101!C136,input_588101!A:H,8,FALSE))</f>
        <v>190960.38261</v>
      </c>
      <c r="P136" s="40">
        <f t="shared" ca="1" si="7"/>
        <v>1.2339130434842955E-2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input_588101!A$2</f>
        <v>588101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IFERROR(VLOOKUP(B137,input_588101!L:R,7,FALSE),VLOOKUP(tables_588101!C137,input_588101!A:H,8,FALSE))</f>
        <v>24609.918310000001</v>
      </c>
      <c r="P137" s="40">
        <f t="shared" ca="1" si="7"/>
        <v>1.5901989086296369E-3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input_588101!A$2</f>
        <v>588101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IFERROR(VLOOKUP(B138,input_588101!L:R,7,FALSE),VLOOKUP(tables_588101!C138,input_588101!A:H,8,FALSE))</f>
        <v>5256</v>
      </c>
      <c r="P138" s="40">
        <f t="shared" ca="1" si="7"/>
        <v>3.3962264150877517E-4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input_588101!A$2</f>
        <v>588101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IFERROR(VLOOKUP(B139,input_588101!L:R,7,FALSE),VLOOKUP(tables_588101!C139,input_588101!A:H,8,FALSE))</f>
        <v>584</v>
      </c>
      <c r="P139" s="40">
        <f t="shared" ca="1" si="7"/>
        <v>3.7735849056530572E-5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input_588101!A$2</f>
        <v>588101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IFERROR(VLOOKUP(B140,input_588101!L:R,7,FALSE),VLOOKUP(tables_588101!C140,input_588101!A:H,8,FALSE))</f>
        <v>5256</v>
      </c>
      <c r="P140" s="40">
        <f t="shared" ca="1" si="7"/>
        <v>3.3962264150877517E-4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input_588101!A$2</f>
        <v>588101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IFERROR(VLOOKUP(B141,input_588101!L:R,7,FALSE),VLOOKUP(tables_588101!C141,input_588101!A:H,8,FALSE))</f>
        <v>584</v>
      </c>
      <c r="P141" s="40">
        <f t="shared" ca="1" si="7"/>
        <v>3.7735849056530572E-5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input_588101!A$2</f>
        <v>588101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IFERROR(VLOOKUP(B142,input_588101!L:R,7,FALSE),VLOOKUP(tables_588101!C142,input_588101!A:H,8,FALSE))</f>
        <v>5256</v>
      </c>
      <c r="P142" s="40">
        <f t="shared" ca="1" si="7"/>
        <v>3.3962264150877517E-4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input_588101!A$2</f>
        <v>588101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IFERROR(VLOOKUP(B143,input_588101!L:R,7,FALSE),VLOOKUP(tables_588101!C143,input_588101!A:H,8,FALSE))</f>
        <v>584</v>
      </c>
      <c r="P143" s="40">
        <f t="shared" ca="1" si="7"/>
        <v>3.7735849056530572E-5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input_588101!A$2</f>
        <v>588101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IFERROR(VLOOKUP(B144,input_588101!L:R,7,FALSE),VLOOKUP(tables_588101!C144,input_588101!A:H,8,FALSE))</f>
        <v>21992.21053</v>
      </c>
      <c r="P144" s="40">
        <f t="shared" ca="1" si="7"/>
        <v>1.4210526318142503E-3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input_588101!A$2</f>
        <v>588101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IFERROR(VLOOKUP(B145,input_588101!L:R,7,FALSE),VLOOKUP(tables_588101!C145,input_588101!A:H,8,FALSE))</f>
        <v>2443.5789500000001</v>
      </c>
      <c r="P145" s="40">
        <f t="shared" ca="1" si="7"/>
        <v>1.5789473701184156E-4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input_588101!A$2</f>
        <v>588101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IFERROR(VLOOKUP(B146,input_588101!L:R,7,FALSE),VLOOKUP(tables_588101!C146,input_588101!A:H,8,FALSE))</f>
        <v>32088.32</v>
      </c>
      <c r="P146" s="40">
        <f t="shared" ca="1" si="7"/>
        <v>2.0734246575302246E-3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input_588101!A$2</f>
        <v>588101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IFERROR(VLOOKUP(B147,input_588101!L:R,7,FALSE),VLOOKUP(tables_588101!C147,input_588101!A:H,8,FALSE))</f>
        <v>40110.400000000001</v>
      </c>
      <c r="P147" s="40">
        <f t="shared" ca="1" si="7"/>
        <v>2.5917808219127806E-3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input_588101!A$2</f>
        <v>588101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IFERROR(VLOOKUP(B148,input_588101!L:R,7,FALSE),VLOOKUP(tables_588101!C148,input_588101!A:H,8,FALSE))</f>
        <v>8022.08</v>
      </c>
      <c r="P148" s="40">
        <f t="shared" ca="1" si="7"/>
        <v>5.1835616438255616E-4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input_588101!A$2</f>
        <v>588101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IFERROR(VLOOKUP(B149,input_588101!L:R,7,FALSE),VLOOKUP(tables_588101!C149,input_588101!A:H,8,FALSE))</f>
        <v>5256</v>
      </c>
      <c r="P149" s="40">
        <f t="shared" ca="1" si="7"/>
        <v>3.3962264150877517E-4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input_588101!A$2</f>
        <v>588101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IFERROR(VLOOKUP(B150,input_588101!L:R,7,FALSE),VLOOKUP(tables_588101!C150,input_588101!A:H,8,FALSE))</f>
        <v>584</v>
      </c>
      <c r="P150" s="40">
        <f t="shared" ca="1" si="7"/>
        <v>3.7735849056530572E-5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input_588101!A$2</f>
        <v>588101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IFERROR(VLOOKUP(B151,input_588101!L:R,7,FALSE),VLOOKUP(tables_588101!C151,input_588101!A:H,8,FALSE))</f>
        <v>5256</v>
      </c>
      <c r="P151" s="40">
        <f t="shared" ca="1" si="7"/>
        <v>3.3962264150877517E-4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input_588101!A$2</f>
        <v>588101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IFERROR(VLOOKUP(B152,input_588101!L:R,7,FALSE),VLOOKUP(tables_588101!C152,input_588101!A:H,8,FALSE))</f>
        <v>584</v>
      </c>
      <c r="P152" s="40">
        <f t="shared" ca="1" si="7"/>
        <v>3.7735849056530572E-5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input_588101!A$2</f>
        <v>588101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IFERROR(VLOOKUP(B153,input_588101!L:R,7,FALSE),VLOOKUP(tables_588101!C153,input_588101!A:H,8,FALSE))</f>
        <v>152768.30609</v>
      </c>
      <c r="P153" s="40">
        <f t="shared" ca="1" si="7"/>
        <v>9.8713043480035973E-3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input_588101!A$2</f>
        <v>588101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IFERROR(VLOOKUP(B154,input_588101!L:R,7,FALSE),VLOOKUP(tables_588101!C154,input_588101!A:H,8,FALSE))</f>
        <v>190960.38261</v>
      </c>
      <c r="P154" s="40">
        <f t="shared" ca="1" si="7"/>
        <v>1.2339130434842955E-2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input_588101!A$2</f>
        <v>588101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IFERROR(VLOOKUP(B155,input_588101!L:R,7,FALSE),VLOOKUP(tables_588101!C155,input_588101!A:H,8,FALSE))</f>
        <v>24609.918310000001</v>
      </c>
      <c r="P155" s="40">
        <f t="shared" ca="1" si="7"/>
        <v>1.5901989086296369E-3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input_588101!A$2</f>
        <v>588101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IFERROR(VLOOKUP(B156,input_588101!L:R,7,FALSE),VLOOKUP(tables_588101!C156,input_588101!A:H,8,FALSE))</f>
        <v>5256</v>
      </c>
      <c r="P156" s="40">
        <f t="shared" ca="1" si="7"/>
        <v>3.3962264150877517E-4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input_588101!A$2</f>
        <v>588101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IFERROR(VLOOKUP(B157,input_588101!L:R,7,FALSE),VLOOKUP(tables_588101!C157,input_588101!A:H,8,FALSE))</f>
        <v>584</v>
      </c>
      <c r="P157" s="40">
        <f t="shared" ca="1" si="7"/>
        <v>3.7735849056530572E-5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input_588101!A$2</f>
        <v>588101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IFERROR(VLOOKUP(B158,input_588101!L:R,7,FALSE),VLOOKUP(tables_588101!C158,input_588101!A:H,8,FALSE))</f>
        <v>32088.32</v>
      </c>
      <c r="P158" s="40">
        <f t="shared" ca="1" si="7"/>
        <v>2.0734246575302246E-3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input_588101!A$2</f>
        <v>588101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IFERROR(VLOOKUP(B159,input_588101!L:R,7,FALSE),VLOOKUP(tables_588101!C159,input_588101!A:H,8,FALSE))</f>
        <v>40110.400000000001</v>
      </c>
      <c r="P159" s="40">
        <f t="shared" ca="1" si="7"/>
        <v>2.5917808219127806E-3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input_588101!A$2</f>
        <v>588101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IFERROR(VLOOKUP(B160,input_588101!L:R,7,FALSE),VLOOKUP(tables_588101!C160,input_588101!A:H,8,FALSE))</f>
        <v>8022.08</v>
      </c>
      <c r="P160" s="40">
        <f t="shared" ca="1" si="7"/>
        <v>5.1835616438255616E-4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input_588101!A$2</f>
        <v>588101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IFERROR(VLOOKUP(B161,input_588101!L:R,7,FALSE),VLOOKUP(tables_588101!C161,input_588101!A:H,8,FALSE))</f>
        <v>32088.32</v>
      </c>
      <c r="P161" s="40">
        <f t="shared" ca="1" si="7"/>
        <v>2.0734246575302246E-3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input_588101!A$2</f>
        <v>588101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IFERROR(VLOOKUP(B162,input_588101!L:R,7,FALSE),VLOOKUP(tables_588101!C162,input_588101!A:H,8,FALSE))</f>
        <v>40110.400000000001</v>
      </c>
      <c r="P162" s="40">
        <f t="shared" ca="1" si="7"/>
        <v>2.5917808219127806E-3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input_588101!A$2</f>
        <v>588101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IFERROR(VLOOKUP(B163,input_588101!L:R,7,FALSE),VLOOKUP(tables_588101!C163,input_588101!A:H,8,FALSE))</f>
        <v>8022.08</v>
      </c>
      <c r="P163" s="40">
        <f t="shared" ca="1" si="7"/>
        <v>5.1835616438255616E-4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input_588101!A$2</f>
        <v>588101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IFERROR(VLOOKUP(B164,input_588101!L:R,7,FALSE),VLOOKUP(tables_588101!C164,input_588101!A:H,8,FALSE))</f>
        <v>21992.21053</v>
      </c>
      <c r="P164" s="40">
        <f t="shared" ca="1" si="7"/>
        <v>1.4210526318142503E-3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input_588101!A$2</f>
        <v>588101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IFERROR(VLOOKUP(B165,input_588101!L:R,7,FALSE),VLOOKUP(tables_588101!C165,input_588101!A:H,8,FALSE))</f>
        <v>2443.5789500000001</v>
      </c>
      <c r="P165" s="40">
        <f t="shared" ca="1" si="7"/>
        <v>1.5789473701184156E-4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input_588101!A$2</f>
        <v>588101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IFERROR(VLOOKUP(B166,input_588101!L:R,7,FALSE),VLOOKUP(tables_588101!C166,input_588101!A:H,8,FALSE))</f>
        <v>32088.32</v>
      </c>
      <c r="P166" s="40">
        <f t="shared" ca="1" si="7"/>
        <v>2.0734246575302246E-3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input_588101!A$2</f>
        <v>588101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IFERROR(VLOOKUP(B167,input_588101!L:R,7,FALSE),VLOOKUP(tables_588101!C167,input_588101!A:H,8,FALSE))</f>
        <v>40110.400000000001</v>
      </c>
      <c r="P167" s="40">
        <f t="shared" ca="1" si="7"/>
        <v>2.5917808219127806E-3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input_588101!A$2</f>
        <v>588101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IFERROR(VLOOKUP(B168,input_588101!L:R,7,FALSE),VLOOKUP(tables_588101!C168,input_588101!A:H,8,FALSE))</f>
        <v>8022.08</v>
      </c>
      <c r="P168" s="40">
        <f t="shared" ca="1" si="7"/>
        <v>5.1835616438255616E-4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input_588101!A$2</f>
        <v>588101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IFERROR(VLOOKUP(B169,input_588101!L:R,7,FALSE),VLOOKUP(tables_588101!C169,input_588101!A:H,8,FALSE))</f>
        <v>5256</v>
      </c>
      <c r="P169" s="40">
        <f t="shared" ca="1" si="7"/>
        <v>3.3962264150877517E-4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input_588101!A$2</f>
        <v>588101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IFERROR(VLOOKUP(B170,input_588101!L:R,7,FALSE),VLOOKUP(tables_588101!C170,input_588101!A:H,8,FALSE))</f>
        <v>584</v>
      </c>
      <c r="P170" s="40">
        <f t="shared" ca="1" si="7"/>
        <v>3.7735849056530572E-5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input_588101!A$2</f>
        <v>588101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IFERROR(VLOOKUP(B171,input_588101!L:R,7,FALSE),VLOOKUP(tables_588101!C171,input_588101!A:H,8,FALSE))</f>
        <v>32088.32</v>
      </c>
      <c r="P171" s="40">
        <f t="shared" ca="1" si="7"/>
        <v>2.0734246575302246E-3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input_588101!A$2</f>
        <v>588101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IFERROR(VLOOKUP(B172,input_588101!L:R,7,FALSE),VLOOKUP(tables_588101!C172,input_588101!A:H,8,FALSE))</f>
        <v>40110.400000000001</v>
      </c>
      <c r="P172" s="40">
        <f t="shared" ca="1" si="7"/>
        <v>2.5917808219127806E-3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input_588101!A$2</f>
        <v>588101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IFERROR(VLOOKUP(B173,input_588101!L:R,7,FALSE),VLOOKUP(tables_588101!C173,input_588101!A:H,8,FALSE))</f>
        <v>8022.08</v>
      </c>
      <c r="P173" s="40">
        <f t="shared" ca="1" si="7"/>
        <v>5.1835616438255616E-4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input_588101!A$2</f>
        <v>588101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IFERROR(VLOOKUP(B174,input_588101!L:R,7,FALSE),VLOOKUP(tables_588101!C174,input_588101!A:H,8,FALSE))</f>
        <v>21992.21053</v>
      </c>
      <c r="P174" s="40">
        <f t="shared" ca="1" si="7"/>
        <v>1.4210526318142503E-3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input_588101!A$2</f>
        <v>588101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IFERROR(VLOOKUP(B175,input_588101!L:R,7,FALSE),VLOOKUP(tables_588101!C175,input_588101!A:H,8,FALSE))</f>
        <v>2443.5789500000001</v>
      </c>
      <c r="P175" s="40">
        <f t="shared" ca="1" si="7"/>
        <v>1.5789473701184156E-4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input_588101!A$2</f>
        <v>588101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IFERROR(VLOOKUP(B176,input_588101!L:R,7,FALSE),VLOOKUP(tables_588101!C176,input_588101!A:H,8,FALSE))</f>
        <v>5256</v>
      </c>
      <c r="P176" s="40">
        <f t="shared" ca="1" si="7"/>
        <v>3.3962264150877517E-4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input_588101!A$2</f>
        <v>588101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IFERROR(VLOOKUP(B177,input_588101!L:R,7,FALSE),VLOOKUP(tables_588101!C177,input_588101!A:H,8,FALSE))</f>
        <v>584</v>
      </c>
      <c r="P177" s="40">
        <f t="shared" ca="1" si="7"/>
        <v>3.7735849056530572E-5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input_588101!A$2</f>
        <v>588101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IFERROR(VLOOKUP(B178,input_588101!L:R,7,FALSE),VLOOKUP(tables_588101!C178,input_588101!A:H,8,FALSE))</f>
        <v>32088.32</v>
      </c>
      <c r="P178" s="40">
        <f t="shared" ca="1" si="7"/>
        <v>2.0734246575302246E-3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input_588101!A$2</f>
        <v>588101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IFERROR(VLOOKUP(B179,input_588101!L:R,7,FALSE),VLOOKUP(tables_588101!C179,input_588101!A:H,8,FALSE))</f>
        <v>40110.400000000001</v>
      </c>
      <c r="P179" s="40">
        <f t="shared" ca="1" si="7"/>
        <v>2.5917808219127806E-3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input_588101!A$2</f>
        <v>588101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IFERROR(VLOOKUP(B180,input_588101!L:R,7,FALSE),VLOOKUP(tables_588101!C180,input_588101!A:H,8,FALSE))</f>
        <v>8022.08</v>
      </c>
      <c r="P180" s="40">
        <f t="shared" ca="1" si="7"/>
        <v>5.1835616438255616E-4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input_588101!A$2</f>
        <v>588101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IFERROR(VLOOKUP(B181,input_588101!L:R,7,FALSE),VLOOKUP(tables_588101!C181,input_588101!A:H,8,FALSE))</f>
        <v>32088.32</v>
      </c>
      <c r="P181" s="40">
        <f t="shared" ca="1" si="7"/>
        <v>2.0734246575302246E-3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input_588101!A$2</f>
        <v>588101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IFERROR(VLOOKUP(B182,input_588101!L:R,7,FALSE),VLOOKUP(tables_588101!C182,input_588101!A:H,8,FALSE))</f>
        <v>40110.400000000001</v>
      </c>
      <c r="P182" s="40">
        <f t="shared" ca="1" si="7"/>
        <v>2.5917808219127806E-3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input_588101!A$2</f>
        <v>588101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IFERROR(VLOOKUP(B183,input_588101!L:R,7,FALSE),VLOOKUP(tables_588101!C183,input_588101!A:H,8,FALSE))</f>
        <v>8022.08</v>
      </c>
      <c r="P183" s="40">
        <f t="shared" ca="1" si="7"/>
        <v>5.1835616438255616E-4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input_588101!A$2</f>
        <v>588101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IFERROR(VLOOKUP(B184,input_588101!L:R,7,FALSE),VLOOKUP(tables_588101!C184,input_588101!A:H,8,FALSE))</f>
        <v>21992.21053</v>
      </c>
      <c r="P184" s="40">
        <f t="shared" ca="1" si="7"/>
        <v>1.4210526318142503E-3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input_588101!A$2</f>
        <v>588101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IFERROR(VLOOKUP(B185,input_588101!L:R,7,FALSE),VLOOKUP(tables_588101!C185,input_588101!A:H,8,FALSE))</f>
        <v>2443.5789500000001</v>
      </c>
      <c r="P185" s="40">
        <f t="shared" ca="1" si="7"/>
        <v>1.5789473701184156E-4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input_588101!A$2</f>
        <v>588101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IFERROR(VLOOKUP(B186,input_588101!L:R,7,FALSE),VLOOKUP(tables_588101!C186,input_588101!A:H,8,FALSE))</f>
        <v>32088.32</v>
      </c>
      <c r="P186" s="40">
        <f t="shared" ca="1" si="7"/>
        <v>2.0734246575302246E-3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input_588101!A$2</f>
        <v>588101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IFERROR(VLOOKUP(B187,input_588101!L:R,7,FALSE),VLOOKUP(tables_588101!C187,input_588101!A:H,8,FALSE))</f>
        <v>40110.400000000001</v>
      </c>
      <c r="P187" s="40">
        <f t="shared" ca="1" si="7"/>
        <v>2.5917808219127806E-3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input_588101!A$2</f>
        <v>588101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IFERROR(VLOOKUP(B188,input_588101!L:R,7,FALSE),VLOOKUP(tables_588101!C188,input_588101!A:H,8,FALSE))</f>
        <v>8022.08</v>
      </c>
      <c r="P188" s="40">
        <f t="shared" ca="1" si="7"/>
        <v>5.1835616438255616E-4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input_588101!A$2</f>
        <v>588101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IFERROR(VLOOKUP(B189,input_588101!L:R,7,FALSE),VLOOKUP(tables_588101!C189,input_588101!A:H,8,FALSE))</f>
        <v>5256</v>
      </c>
      <c r="P189" s="40">
        <f t="shared" ca="1" si="7"/>
        <v>3.3962264150877517E-4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input_588101!A$2</f>
        <v>588101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IFERROR(VLOOKUP(B190,input_588101!L:R,7,FALSE),VLOOKUP(tables_588101!C190,input_588101!A:H,8,FALSE))</f>
        <v>584</v>
      </c>
      <c r="P190" s="40">
        <f t="shared" ca="1" si="7"/>
        <v>3.7735849056530572E-5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input_588101!A$2</f>
        <v>588101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IFERROR(VLOOKUP(B191,input_588101!L:R,7,FALSE),VLOOKUP(tables_588101!C191,input_588101!A:H,8,FALSE))</f>
        <v>5256</v>
      </c>
      <c r="P191" s="40">
        <f t="shared" ca="1" si="7"/>
        <v>3.3962264150877517E-4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input_588101!A$2</f>
        <v>588101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IFERROR(VLOOKUP(B192,input_588101!L:R,7,FALSE),VLOOKUP(tables_588101!C192,input_588101!A:H,8,FALSE))</f>
        <v>584</v>
      </c>
      <c r="P192" s="40">
        <f t="shared" ca="1" si="7"/>
        <v>3.7735849056530572E-5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input_588101!A$2</f>
        <v>588101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IFERROR(VLOOKUP(B193,input_588101!L:R,7,FALSE),VLOOKUP(tables_588101!C193,input_588101!A:H,8,FALSE))</f>
        <v>152768.30609</v>
      </c>
      <c r="P193" s="40">
        <f t="shared" ca="1" si="7"/>
        <v>9.8713043480035973E-3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input_588101!A$2</f>
        <v>588101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IFERROR(VLOOKUP(B194,input_588101!L:R,7,FALSE),VLOOKUP(tables_588101!C194,input_588101!A:H,8,FALSE))</f>
        <v>190960.38261</v>
      </c>
      <c r="P194" s="40">
        <f t="shared" ref="P194:P257" ca="1" si="10">O194/SUM(O:O)</f>
        <v>1.2339130434842955E-2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input_588101!A$2</f>
        <v>588101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IFERROR(VLOOKUP(B195,input_588101!L:R,7,FALSE),VLOOKUP(tables_588101!C195,input_588101!A:H,8,FALSE))</f>
        <v>24609.918310000001</v>
      </c>
      <c r="P195" s="40">
        <f t="shared" ca="1" si="10"/>
        <v>1.5901989086296369E-3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input_588101!A$2</f>
        <v>588101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IFERROR(VLOOKUP(B196,input_588101!L:R,7,FALSE),VLOOKUP(tables_588101!C196,input_588101!A:H,8,FALSE))</f>
        <v>5256</v>
      </c>
      <c r="P196" s="40">
        <f t="shared" ca="1" si="10"/>
        <v>3.3962264150877517E-4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input_588101!A$2</f>
        <v>588101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IFERROR(VLOOKUP(B197,input_588101!L:R,7,FALSE),VLOOKUP(tables_588101!C197,input_588101!A:H,8,FALSE))</f>
        <v>584</v>
      </c>
      <c r="P197" s="40">
        <f t="shared" ca="1" si="10"/>
        <v>3.7735849056530572E-5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input_588101!A$2</f>
        <v>588101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IFERROR(VLOOKUP(B198,input_588101!L:R,7,FALSE),VLOOKUP(tables_588101!C198,input_588101!A:H,8,FALSE))</f>
        <v>32088.32</v>
      </c>
      <c r="P198" s="40">
        <f t="shared" ca="1" si="10"/>
        <v>2.0734246575302246E-3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input_588101!A$2</f>
        <v>588101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IFERROR(VLOOKUP(B199,input_588101!L:R,7,FALSE),VLOOKUP(tables_588101!C199,input_588101!A:H,8,FALSE))</f>
        <v>40110.400000000001</v>
      </c>
      <c r="P199" s="40">
        <f t="shared" ca="1" si="10"/>
        <v>2.5917808219127806E-3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input_588101!A$2</f>
        <v>588101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IFERROR(VLOOKUP(B200,input_588101!L:R,7,FALSE),VLOOKUP(tables_588101!C200,input_588101!A:H,8,FALSE))</f>
        <v>8022.08</v>
      </c>
      <c r="P200" s="40">
        <f t="shared" ca="1" si="10"/>
        <v>5.1835616438255616E-4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input_588101!A$2</f>
        <v>588101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IFERROR(VLOOKUP(B201,input_588101!L:R,7,FALSE),VLOOKUP(tables_588101!C201,input_588101!A:H,8,FALSE))</f>
        <v>5256</v>
      </c>
      <c r="P201" s="40">
        <f t="shared" ca="1" si="10"/>
        <v>3.3962264150877517E-4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input_588101!A$2</f>
        <v>588101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IFERROR(VLOOKUP(B202,input_588101!L:R,7,FALSE),VLOOKUP(tables_588101!C202,input_588101!A:H,8,FALSE))</f>
        <v>584</v>
      </c>
      <c r="P202" s="40">
        <f t="shared" ca="1" si="10"/>
        <v>3.7735849056530572E-5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input_588101!A$2</f>
        <v>588101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IFERROR(VLOOKUP(B203,input_588101!L:R,7,FALSE),VLOOKUP(tables_588101!C203,input_588101!A:H,8,FALSE))</f>
        <v>152768.30609</v>
      </c>
      <c r="P203" s="40">
        <f t="shared" ca="1" si="10"/>
        <v>9.8713043480035973E-3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input_588101!A$2</f>
        <v>588101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IFERROR(VLOOKUP(B204,input_588101!L:R,7,FALSE),VLOOKUP(tables_588101!C204,input_588101!A:H,8,FALSE))</f>
        <v>190960.38261</v>
      </c>
      <c r="P204" s="40">
        <f t="shared" ca="1" si="10"/>
        <v>1.2339130434842955E-2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input_588101!A$2</f>
        <v>588101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IFERROR(VLOOKUP(B205,input_588101!L:R,7,FALSE),VLOOKUP(tables_588101!C205,input_588101!A:H,8,FALSE))</f>
        <v>24609.918310000001</v>
      </c>
      <c r="P205" s="40">
        <f t="shared" ca="1" si="10"/>
        <v>1.5901989086296369E-3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input_588101!A$2</f>
        <v>588101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IFERROR(VLOOKUP(B206,input_588101!L:R,7,FALSE),VLOOKUP(tables_588101!C206,input_588101!A:H,8,FALSE))</f>
        <v>5256</v>
      </c>
      <c r="P206" s="40">
        <f t="shared" ca="1" si="10"/>
        <v>3.3962264150877517E-4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input_588101!A$2</f>
        <v>588101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IFERROR(VLOOKUP(B207,input_588101!L:R,7,FALSE),VLOOKUP(tables_588101!C207,input_588101!A:H,8,FALSE))</f>
        <v>584</v>
      </c>
      <c r="P207" s="40">
        <f t="shared" ca="1" si="10"/>
        <v>3.7735849056530572E-5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input_588101!A$2</f>
        <v>588101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IFERROR(VLOOKUP(B208,input_588101!L:R,7,FALSE),VLOOKUP(tables_588101!C208,input_588101!A:H,8,FALSE))</f>
        <v>5256</v>
      </c>
      <c r="P208" s="40">
        <f t="shared" ca="1" si="10"/>
        <v>3.3962264150877517E-4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input_588101!A$2</f>
        <v>588101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IFERROR(VLOOKUP(B209,input_588101!L:R,7,FALSE),VLOOKUP(tables_588101!C209,input_588101!A:H,8,FALSE))</f>
        <v>584</v>
      </c>
      <c r="P209" s="40">
        <f t="shared" ca="1" si="10"/>
        <v>3.7735849056530572E-5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input_588101!A$2</f>
        <v>588101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IFERROR(VLOOKUP(B210,input_588101!L:R,7,FALSE),VLOOKUP(tables_588101!C210,input_588101!A:H,8,FALSE))</f>
        <v>32088.32</v>
      </c>
      <c r="P210" s="40">
        <f t="shared" ca="1" si="10"/>
        <v>2.0734246575302246E-3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input_588101!A$2</f>
        <v>588101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IFERROR(VLOOKUP(B211,input_588101!L:R,7,FALSE),VLOOKUP(tables_588101!C211,input_588101!A:H,8,FALSE))</f>
        <v>40110.400000000001</v>
      </c>
      <c r="P211" s="40">
        <f t="shared" ca="1" si="10"/>
        <v>2.5917808219127806E-3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input_588101!A$2</f>
        <v>588101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IFERROR(VLOOKUP(B212,input_588101!L:R,7,FALSE),VLOOKUP(tables_588101!C212,input_588101!A:H,8,FALSE))</f>
        <v>8022.08</v>
      </c>
      <c r="P212" s="40">
        <f t="shared" ca="1" si="10"/>
        <v>5.1835616438255616E-4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input_588101!A$2</f>
        <v>588101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IFERROR(VLOOKUP(B213,input_588101!L:R,7,FALSE),VLOOKUP(tables_588101!C213,input_588101!A:H,8,FALSE))</f>
        <v>21992.21053</v>
      </c>
      <c r="P213" s="40">
        <f t="shared" ca="1" si="10"/>
        <v>1.4210526318142503E-3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input_588101!A$2</f>
        <v>588101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IFERROR(VLOOKUP(B214,input_588101!L:R,7,FALSE),VLOOKUP(tables_588101!C214,input_588101!A:H,8,FALSE))</f>
        <v>2443.5789500000001</v>
      </c>
      <c r="P214" s="40">
        <f t="shared" ca="1" si="10"/>
        <v>1.5789473701184156E-4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input_588101!A$2</f>
        <v>588101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IFERROR(VLOOKUP(B215,input_588101!L:R,7,FALSE),VLOOKUP(tables_588101!C215,input_588101!A:H,8,FALSE))</f>
        <v>4148.4319999999998</v>
      </c>
      <c r="P215" s="40">
        <f t="shared" ca="1" si="10"/>
        <v>2.6805582837890622E-4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input_588101!A$2</f>
        <v>588101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IFERROR(VLOOKUP(B216,input_588101!L:R,7,FALSE),VLOOKUP(tables_588101!C216,input_588101!A:H,8,FALSE))</f>
        <v>4148.4319999999998</v>
      </c>
      <c r="P216" s="40">
        <f t="shared" ca="1" si="10"/>
        <v>2.6805582837890622E-4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input_588101!A$2</f>
        <v>588101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IFERROR(VLOOKUP(B217,input_588101!L:R,7,FALSE),VLOOKUP(tables_588101!C217,input_588101!A:H,8,FALSE))</f>
        <v>4148.4319999999998</v>
      </c>
      <c r="P217" s="40">
        <f t="shared" ca="1" si="10"/>
        <v>2.6805582837890622E-4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input_588101!A$2</f>
        <v>588101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IFERROR(VLOOKUP(B218,input_588101!L:R,7,FALSE),VLOOKUP(tables_588101!C218,input_588101!A:H,8,FALSE))</f>
        <v>33033.40986</v>
      </c>
      <c r="P218" s="40">
        <f t="shared" ca="1" si="10"/>
        <v>2.1344927539374463E-3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input_588101!A$2</f>
        <v>588101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IFERROR(VLOOKUP(B219,input_588101!L:R,7,FALSE),VLOOKUP(tables_588101!C219,input_588101!A:H,8,FALSE))</f>
        <v>4148.4319999999998</v>
      </c>
      <c r="P219" s="40">
        <f t="shared" ca="1" si="10"/>
        <v>2.6805582837890622E-4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input_588101!A$2</f>
        <v>588101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IFERROR(VLOOKUP(B220,input_588101!L:R,7,FALSE),VLOOKUP(tables_588101!C220,input_588101!A:H,8,FALSE))</f>
        <v>33033.40986</v>
      </c>
      <c r="P220" s="40">
        <f t="shared" ca="1" si="10"/>
        <v>2.1344927539374463E-3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input_588101!A$2</f>
        <v>588101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IFERROR(VLOOKUP(B221,input_588101!L:R,7,FALSE),VLOOKUP(tables_588101!C221,input_588101!A:H,8,FALSE))</f>
        <v>5256</v>
      </c>
      <c r="P221" s="40">
        <f t="shared" ca="1" si="10"/>
        <v>3.3962264150877517E-4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input_588101!A$2</f>
        <v>588101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IFERROR(VLOOKUP(B222,input_588101!L:R,7,FALSE),VLOOKUP(tables_588101!C222,input_588101!A:H,8,FALSE))</f>
        <v>584</v>
      </c>
      <c r="P222" s="40">
        <f t="shared" ca="1" si="10"/>
        <v>3.7735849056530572E-5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input_588101!A$2</f>
        <v>588101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IFERROR(VLOOKUP(B223,input_588101!L:R,7,FALSE),VLOOKUP(tables_588101!C223,input_588101!A:H,8,FALSE))</f>
        <v>32088.32</v>
      </c>
      <c r="P223" s="40">
        <f t="shared" ca="1" si="10"/>
        <v>2.0734246575302246E-3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input_588101!A$2</f>
        <v>588101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IFERROR(VLOOKUP(B224,input_588101!L:R,7,FALSE),VLOOKUP(tables_588101!C224,input_588101!A:H,8,FALSE))</f>
        <v>40110.400000000001</v>
      </c>
      <c r="P224" s="40">
        <f t="shared" ca="1" si="10"/>
        <v>2.5917808219127806E-3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input_588101!A$2</f>
        <v>588101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IFERROR(VLOOKUP(B225,input_588101!L:R,7,FALSE),VLOOKUP(tables_588101!C225,input_588101!A:H,8,FALSE))</f>
        <v>8022.08</v>
      </c>
      <c r="P225" s="40">
        <f t="shared" ca="1" si="10"/>
        <v>5.1835616438255616E-4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input_588101!A$2</f>
        <v>588101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IFERROR(VLOOKUP(B226,input_588101!L:R,7,FALSE),VLOOKUP(tables_588101!C226,input_588101!A:H,8,FALSE))</f>
        <v>32088.32</v>
      </c>
      <c r="P226" s="40">
        <f t="shared" ca="1" si="10"/>
        <v>2.0734246575302246E-3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input_588101!A$2</f>
        <v>588101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IFERROR(VLOOKUP(B227,input_588101!L:R,7,FALSE),VLOOKUP(tables_588101!C227,input_588101!A:H,8,FALSE))</f>
        <v>40110.400000000001</v>
      </c>
      <c r="P227" s="40">
        <f t="shared" ca="1" si="10"/>
        <v>2.5917808219127806E-3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input_588101!A$2</f>
        <v>588101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IFERROR(VLOOKUP(B228,input_588101!L:R,7,FALSE),VLOOKUP(tables_588101!C228,input_588101!A:H,8,FALSE))</f>
        <v>8022.08</v>
      </c>
      <c r="P228" s="40">
        <f t="shared" ca="1" si="10"/>
        <v>5.1835616438255616E-4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input_588101!A$2</f>
        <v>588101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IFERROR(VLOOKUP(B229,input_588101!L:R,7,FALSE),VLOOKUP(tables_588101!C229,input_588101!A:H,8,FALSE))</f>
        <v>21992.21053</v>
      </c>
      <c r="P229" s="40">
        <f t="shared" ca="1" si="10"/>
        <v>1.4210526318142503E-3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input_588101!A$2</f>
        <v>588101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IFERROR(VLOOKUP(B230,input_588101!L:R,7,FALSE),VLOOKUP(tables_588101!C230,input_588101!A:H,8,FALSE))</f>
        <v>2443.5789500000001</v>
      </c>
      <c r="P230" s="40">
        <f t="shared" ca="1" si="10"/>
        <v>1.5789473701184156E-4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input_588101!A$2</f>
        <v>588101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IFERROR(VLOOKUP(B231,input_588101!L:R,7,FALSE),VLOOKUP(tables_588101!C231,input_588101!A:H,8,FALSE))</f>
        <v>32088.32</v>
      </c>
      <c r="P231" s="40">
        <f t="shared" ca="1" si="10"/>
        <v>2.0734246575302246E-3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input_588101!A$2</f>
        <v>588101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IFERROR(VLOOKUP(B232,input_588101!L:R,7,FALSE),VLOOKUP(tables_588101!C232,input_588101!A:H,8,FALSE))</f>
        <v>40110.400000000001</v>
      </c>
      <c r="P232" s="40">
        <f t="shared" ca="1" si="10"/>
        <v>2.5917808219127806E-3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input_588101!A$2</f>
        <v>588101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IFERROR(VLOOKUP(B233,input_588101!L:R,7,FALSE),VLOOKUP(tables_588101!C233,input_588101!A:H,8,FALSE))</f>
        <v>8022.08</v>
      </c>
      <c r="P233" s="40">
        <f t="shared" ca="1" si="10"/>
        <v>5.1835616438255616E-4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input_588101!A$2</f>
        <v>588101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IFERROR(VLOOKUP(B234,input_588101!L:R,7,FALSE),VLOOKUP(tables_588101!C234,input_588101!A:H,8,FALSE))</f>
        <v>32088.32</v>
      </c>
      <c r="P234" s="40">
        <f t="shared" ca="1" si="10"/>
        <v>2.0734246575302246E-3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input_588101!A$2</f>
        <v>588101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IFERROR(VLOOKUP(B235,input_588101!L:R,7,FALSE),VLOOKUP(tables_588101!C235,input_588101!A:H,8,FALSE))</f>
        <v>40110.400000000001</v>
      </c>
      <c r="P235" s="40">
        <f t="shared" ca="1" si="10"/>
        <v>2.5917808219127806E-3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input_588101!A$2</f>
        <v>588101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IFERROR(VLOOKUP(B236,input_588101!L:R,7,FALSE),VLOOKUP(tables_588101!C236,input_588101!A:H,8,FALSE))</f>
        <v>8022.08</v>
      </c>
      <c r="P236" s="40">
        <f t="shared" ca="1" si="10"/>
        <v>5.1835616438255616E-4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input_588101!A$2</f>
        <v>588101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IFERROR(VLOOKUP(B237,input_588101!L:R,7,FALSE),VLOOKUP(tables_588101!C237,input_588101!A:H,8,FALSE))</f>
        <v>5256</v>
      </c>
      <c r="P237" s="40">
        <f t="shared" ca="1" si="10"/>
        <v>3.3962264150877517E-4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input_588101!A$2</f>
        <v>588101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IFERROR(VLOOKUP(B238,input_588101!L:R,7,FALSE),VLOOKUP(tables_588101!C238,input_588101!A:H,8,FALSE))</f>
        <v>584</v>
      </c>
      <c r="P238" s="40">
        <f t="shared" ca="1" si="10"/>
        <v>3.7735849056530572E-5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input_588101!A$2</f>
        <v>588101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IFERROR(VLOOKUP(B239,input_588101!L:R,7,FALSE),VLOOKUP(tables_588101!C239,input_588101!A:H,8,FALSE))</f>
        <v>152768.30609</v>
      </c>
      <c r="P239" s="40">
        <f t="shared" ca="1" si="10"/>
        <v>9.8713043480035973E-3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input_588101!A$2</f>
        <v>588101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IFERROR(VLOOKUP(B240,input_588101!L:R,7,FALSE),VLOOKUP(tables_588101!C240,input_588101!A:H,8,FALSE))</f>
        <v>190960.38261</v>
      </c>
      <c r="P240" s="40">
        <f t="shared" ca="1" si="10"/>
        <v>1.2339130434842955E-2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input_588101!A$2</f>
        <v>588101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IFERROR(VLOOKUP(B241,input_588101!L:R,7,FALSE),VLOOKUP(tables_588101!C241,input_588101!A:H,8,FALSE))</f>
        <v>24609.918310000001</v>
      </c>
      <c r="P241" s="40">
        <f t="shared" ca="1" si="10"/>
        <v>1.5901989086296369E-3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input_588101!A$2</f>
        <v>588101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IFERROR(VLOOKUP(B242,input_588101!L:R,7,FALSE),VLOOKUP(tables_588101!C242,input_588101!A:H,8,FALSE))</f>
        <v>5256</v>
      </c>
      <c r="P242" s="40">
        <f t="shared" ca="1" si="10"/>
        <v>3.3962264150877517E-4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input_588101!A$2</f>
        <v>588101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IFERROR(VLOOKUP(B243,input_588101!L:R,7,FALSE),VLOOKUP(tables_588101!C243,input_588101!A:H,8,FALSE))</f>
        <v>584</v>
      </c>
      <c r="P243" s="40">
        <f t="shared" ca="1" si="10"/>
        <v>3.7735849056530572E-5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input_588101!A$2</f>
        <v>588101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IFERROR(VLOOKUP(B244,input_588101!L:R,7,FALSE),VLOOKUP(tables_588101!C244,input_588101!A:H,8,FALSE))</f>
        <v>5256</v>
      </c>
      <c r="P244" s="40">
        <f t="shared" ca="1" si="10"/>
        <v>3.3962264150877517E-4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input_588101!A$2</f>
        <v>588101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IFERROR(VLOOKUP(B245,input_588101!L:R,7,FALSE),VLOOKUP(tables_588101!C245,input_588101!A:H,8,FALSE))</f>
        <v>584</v>
      </c>
      <c r="P245" s="40">
        <f t="shared" ca="1" si="10"/>
        <v>3.7735849056530572E-5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input_588101!A$2</f>
        <v>588101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IFERROR(VLOOKUP(B246,input_588101!L:R,7,FALSE),VLOOKUP(tables_588101!C246,input_588101!A:H,8,FALSE))</f>
        <v>32088.32</v>
      </c>
      <c r="P246" s="40">
        <f t="shared" ca="1" si="10"/>
        <v>2.0734246575302246E-3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input_588101!A$2</f>
        <v>588101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IFERROR(VLOOKUP(B247,input_588101!L:R,7,FALSE),VLOOKUP(tables_588101!C247,input_588101!A:H,8,FALSE))</f>
        <v>40110.400000000001</v>
      </c>
      <c r="P247" s="40">
        <f t="shared" ca="1" si="10"/>
        <v>2.5917808219127806E-3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input_588101!A$2</f>
        <v>588101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IFERROR(VLOOKUP(B248,input_588101!L:R,7,FALSE),VLOOKUP(tables_588101!C248,input_588101!A:H,8,FALSE))</f>
        <v>8022.08</v>
      </c>
      <c r="P248" s="40">
        <f t="shared" ca="1" si="10"/>
        <v>5.1835616438255616E-4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input_588101!A$2</f>
        <v>588101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IFERROR(VLOOKUP(B249,input_588101!L:R,7,FALSE),VLOOKUP(tables_588101!C249,input_588101!A:H,8,FALSE))</f>
        <v>152768.30609</v>
      </c>
      <c r="P249" s="40">
        <f t="shared" ca="1" si="10"/>
        <v>9.8713043480035973E-3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input_588101!A$2</f>
        <v>588101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IFERROR(VLOOKUP(B250,input_588101!L:R,7,FALSE),VLOOKUP(tables_588101!C250,input_588101!A:H,8,FALSE))</f>
        <v>190960.38261</v>
      </c>
      <c r="P250" s="40">
        <f t="shared" ca="1" si="10"/>
        <v>1.2339130434842955E-2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input_588101!A$2</f>
        <v>588101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IFERROR(VLOOKUP(B251,input_588101!L:R,7,FALSE),VLOOKUP(tables_588101!C251,input_588101!A:H,8,FALSE))</f>
        <v>24609.918310000001</v>
      </c>
      <c r="P251" s="40">
        <f t="shared" ca="1" si="10"/>
        <v>1.5901989086296369E-3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input_588101!A$2</f>
        <v>588101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IFERROR(VLOOKUP(B252,input_588101!L:R,7,FALSE),VLOOKUP(tables_588101!C252,input_588101!A:H,8,FALSE))</f>
        <v>32088.32</v>
      </c>
      <c r="P252" s="40">
        <f t="shared" ca="1" si="10"/>
        <v>2.0734246575302246E-3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input_588101!A$2</f>
        <v>588101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IFERROR(VLOOKUP(B253,input_588101!L:R,7,FALSE),VLOOKUP(tables_588101!C253,input_588101!A:H,8,FALSE))</f>
        <v>40110.400000000001</v>
      </c>
      <c r="P253" s="40">
        <f t="shared" ca="1" si="10"/>
        <v>2.5917808219127806E-3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input_588101!A$2</f>
        <v>588101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IFERROR(VLOOKUP(B254,input_588101!L:R,7,FALSE),VLOOKUP(tables_588101!C254,input_588101!A:H,8,FALSE))</f>
        <v>8022.08</v>
      </c>
      <c r="P254" s="40">
        <f t="shared" ca="1" si="10"/>
        <v>5.1835616438255616E-4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input_588101!A$2</f>
        <v>588101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IFERROR(VLOOKUP(B255,input_588101!L:R,7,FALSE),VLOOKUP(tables_588101!C255,input_588101!A:H,8,FALSE))</f>
        <v>32088.32</v>
      </c>
      <c r="P255" s="40">
        <f t="shared" ca="1" si="10"/>
        <v>2.0734246575302246E-3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input_588101!A$2</f>
        <v>588101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IFERROR(VLOOKUP(B256,input_588101!L:R,7,FALSE),VLOOKUP(tables_588101!C256,input_588101!A:H,8,FALSE))</f>
        <v>40110.400000000001</v>
      </c>
      <c r="P256" s="40">
        <f t="shared" ca="1" si="10"/>
        <v>2.5917808219127806E-3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input_588101!A$2</f>
        <v>588101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IFERROR(VLOOKUP(B257,input_588101!L:R,7,FALSE),VLOOKUP(tables_588101!C257,input_588101!A:H,8,FALSE))</f>
        <v>8022.08</v>
      </c>
      <c r="P257" s="40">
        <f t="shared" ca="1" si="10"/>
        <v>5.1835616438255616E-4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input_588101!A$2</f>
        <v>588101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IFERROR(VLOOKUP(B258,input_588101!L:R,7,FALSE),VLOOKUP(tables_588101!C258,input_588101!A:H,8,FALSE))</f>
        <v>5256</v>
      </c>
      <c r="P258" s="40">
        <f t="shared" ref="P258:P321" ca="1" si="13">O258/SUM(O:O)</f>
        <v>3.3962264150877517E-4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input_588101!A$2</f>
        <v>588101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IFERROR(VLOOKUP(B259,input_588101!L:R,7,FALSE),VLOOKUP(tables_588101!C259,input_588101!A:H,8,FALSE))</f>
        <v>584</v>
      </c>
      <c r="P259" s="40">
        <f t="shared" ca="1" si="13"/>
        <v>3.7735849056530572E-5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input_588101!A$2</f>
        <v>588101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IFERROR(VLOOKUP(B260,input_588101!L:R,7,FALSE),VLOOKUP(tables_588101!C260,input_588101!A:H,8,FALSE))</f>
        <v>21992.21053</v>
      </c>
      <c r="P260" s="40">
        <f t="shared" ca="1" si="13"/>
        <v>1.4210526318142503E-3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input_588101!A$2</f>
        <v>588101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IFERROR(VLOOKUP(B261,input_588101!L:R,7,FALSE),VLOOKUP(tables_588101!C261,input_588101!A:H,8,FALSE))</f>
        <v>2443.5789500000001</v>
      </c>
      <c r="P261" s="40">
        <f t="shared" ca="1" si="13"/>
        <v>1.5789473701184156E-4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input_588101!A$2</f>
        <v>588101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IFERROR(VLOOKUP(B262,input_588101!L:R,7,FALSE),VLOOKUP(tables_588101!C262,input_588101!A:H,8,FALSE))</f>
        <v>75035.259999999995</v>
      </c>
      <c r="P262" s="40">
        <f t="shared" ca="1" si="13"/>
        <v>4.8484918583519285E-3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input_588101!A$2</f>
        <v>588101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IFERROR(VLOOKUP(B263,input_588101!L:R,7,FALSE),VLOOKUP(tables_588101!C263,input_588101!A:H,8,FALSE))</f>
        <v>4148.4319999999998</v>
      </c>
      <c r="P263" s="40">
        <f t="shared" ca="1" si="13"/>
        <v>2.6805582837890622E-4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input_588101!A$2</f>
        <v>588101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IFERROR(VLOOKUP(B264,input_588101!L:R,7,FALSE),VLOOKUP(tables_588101!C264,input_588101!A:H,8,FALSE))</f>
        <v>75035.259999999995</v>
      </c>
      <c r="P264" s="40">
        <f t="shared" ca="1" si="13"/>
        <v>4.8484918583519285E-3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input_588101!A$2</f>
        <v>588101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IFERROR(VLOOKUP(B265,input_588101!L:R,7,FALSE),VLOOKUP(tables_588101!C265,input_588101!A:H,8,FALSE))</f>
        <v>4148.4319999999998</v>
      </c>
      <c r="P265" s="40">
        <f t="shared" ca="1" si="13"/>
        <v>2.6805582837890622E-4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input_588101!A$2</f>
        <v>588101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IFERROR(VLOOKUP(B266,input_588101!L:R,7,FALSE),VLOOKUP(tables_588101!C266,input_588101!A:H,8,FALSE))</f>
        <v>5840</v>
      </c>
      <c r="P266" s="40">
        <f t="shared" ca="1" si="13"/>
        <v>3.7735849056530572E-4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input_588101!A$2</f>
        <v>588101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IFERROR(VLOOKUP(B267,input_588101!L:R,7,FALSE),VLOOKUP(tables_588101!C267,input_588101!A:H,8,FALSE))</f>
        <v>24435.78947</v>
      </c>
      <c r="P267" s="40">
        <f t="shared" ca="1" si="13"/>
        <v>1.5789473681799302E-3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input_588101!A$2</f>
        <v>588101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IFERROR(VLOOKUP(B268,input_588101!L:R,7,FALSE),VLOOKUP(tables_588101!C268,input_588101!A:H,8,FALSE))</f>
        <v>5840</v>
      </c>
      <c r="P268" s="40">
        <f t="shared" ca="1" si="13"/>
        <v>3.7735849056530572E-4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input_588101!A$2</f>
        <v>588101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IFERROR(VLOOKUP(B269,input_588101!L:R,7,FALSE),VLOOKUP(tables_588101!C269,input_588101!A:H,8,FALSE))</f>
        <v>5840</v>
      </c>
      <c r="P269" s="40">
        <f t="shared" ca="1" si="13"/>
        <v>3.7735849056530572E-4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input_588101!A$2</f>
        <v>588101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IFERROR(VLOOKUP(B270,input_588101!L:R,7,FALSE),VLOOKUP(tables_588101!C270,input_588101!A:H,8,FALSE))</f>
        <v>75035.259999999995</v>
      </c>
      <c r="P270" s="40">
        <f t="shared" ca="1" si="13"/>
        <v>4.8484918583519285E-3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input_588101!A$2</f>
        <v>588101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IFERROR(VLOOKUP(B271,input_588101!L:R,7,FALSE),VLOOKUP(tables_588101!C271,input_588101!A:H,8,FALSE))</f>
        <v>4148.4319999999998</v>
      </c>
      <c r="P271" s="40">
        <f t="shared" ca="1" si="13"/>
        <v>2.6805582837890622E-4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input_588101!A$2</f>
        <v>588101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IFERROR(VLOOKUP(B272,input_588101!L:R,7,FALSE),VLOOKUP(tables_588101!C272,input_588101!A:H,8,FALSE))</f>
        <v>332370.65042999998</v>
      </c>
      <c r="P272" s="40">
        <f t="shared" ca="1" si="13"/>
        <v>2.1476521738779741E-2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input_588101!A$2</f>
        <v>588101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IFERROR(VLOOKUP(B273,input_588101!L:R,7,FALSE),VLOOKUP(tables_588101!C273,input_588101!A:H,8,FALSE))</f>
        <v>33033.40986</v>
      </c>
      <c r="P273" s="40">
        <f t="shared" ca="1" si="13"/>
        <v>2.1344927539374463E-3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input_588101!A$2</f>
        <v>588101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IFERROR(VLOOKUP(B274,input_588101!L:R,7,FALSE),VLOOKUP(tables_588101!C274,input_588101!A:H,8,FALSE))</f>
        <v>5256</v>
      </c>
      <c r="P274" s="40">
        <f t="shared" ca="1" si="13"/>
        <v>3.3962264150877517E-4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input_588101!A$2</f>
        <v>588101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IFERROR(VLOOKUP(B275,input_588101!L:R,7,FALSE),VLOOKUP(tables_588101!C275,input_588101!A:H,8,FALSE))</f>
        <v>584</v>
      </c>
      <c r="P275" s="40">
        <f t="shared" ca="1" si="13"/>
        <v>3.7735849056530572E-5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input_588101!A$2</f>
        <v>588101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IFERROR(VLOOKUP(B276,input_588101!L:R,7,FALSE),VLOOKUP(tables_588101!C276,input_588101!A:H,8,FALSE))</f>
        <v>5256</v>
      </c>
      <c r="P276" s="40">
        <f t="shared" ca="1" si="13"/>
        <v>3.3962264150877517E-4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input_588101!A$2</f>
        <v>588101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IFERROR(VLOOKUP(B277,input_588101!L:R,7,FALSE),VLOOKUP(tables_588101!C277,input_588101!A:H,8,FALSE))</f>
        <v>584</v>
      </c>
      <c r="P277" s="40">
        <f t="shared" ca="1" si="13"/>
        <v>3.7735849056530572E-5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input_588101!A$2</f>
        <v>588101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IFERROR(VLOOKUP(B278,input_588101!L:R,7,FALSE),VLOOKUP(tables_588101!C278,input_588101!A:H,8,FALSE))</f>
        <v>32088.32</v>
      </c>
      <c r="P278" s="40">
        <f t="shared" ca="1" si="13"/>
        <v>2.0734246575302246E-3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input_588101!A$2</f>
        <v>588101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IFERROR(VLOOKUP(B279,input_588101!L:R,7,FALSE),VLOOKUP(tables_588101!C279,input_588101!A:H,8,FALSE))</f>
        <v>40110.400000000001</v>
      </c>
      <c r="P279" s="40">
        <f t="shared" ca="1" si="13"/>
        <v>2.5917808219127806E-3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input_588101!A$2</f>
        <v>588101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IFERROR(VLOOKUP(B280,input_588101!L:R,7,FALSE),VLOOKUP(tables_588101!C280,input_588101!A:H,8,FALSE))</f>
        <v>8022.08</v>
      </c>
      <c r="P280" s="40">
        <f t="shared" ca="1" si="13"/>
        <v>5.1835616438255616E-4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input_588101!A$2</f>
        <v>588101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IFERROR(VLOOKUP(B281,input_588101!L:R,7,FALSE),VLOOKUP(tables_588101!C281,input_588101!A:H,8,FALSE))</f>
        <v>152768.30609</v>
      </c>
      <c r="P281" s="40">
        <f t="shared" ca="1" si="13"/>
        <v>9.8713043480035973E-3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input_588101!A$2</f>
        <v>588101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IFERROR(VLOOKUP(B282,input_588101!L:R,7,FALSE),VLOOKUP(tables_588101!C282,input_588101!A:H,8,FALSE))</f>
        <v>190960.38261</v>
      </c>
      <c r="P282" s="40">
        <f t="shared" ca="1" si="13"/>
        <v>1.2339130434842955E-2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input_588101!A$2</f>
        <v>588101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IFERROR(VLOOKUP(B283,input_588101!L:R,7,FALSE),VLOOKUP(tables_588101!C283,input_588101!A:H,8,FALSE))</f>
        <v>24609.918310000001</v>
      </c>
      <c r="P283" s="40">
        <f t="shared" ca="1" si="13"/>
        <v>1.5901989086296369E-3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input_588101!A$2</f>
        <v>588101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IFERROR(VLOOKUP(B284,input_588101!L:R,7,FALSE),VLOOKUP(tables_588101!C284,input_588101!A:H,8,FALSE))</f>
        <v>5840</v>
      </c>
      <c r="P284" s="40">
        <f t="shared" ca="1" si="13"/>
        <v>3.7735849056530572E-4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input_588101!A$2</f>
        <v>588101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IFERROR(VLOOKUP(B285,input_588101!L:R,7,FALSE),VLOOKUP(tables_588101!C285,input_588101!A:H,8,FALSE))</f>
        <v>5840</v>
      </c>
      <c r="P285" s="40">
        <f t="shared" ca="1" si="13"/>
        <v>3.7735849056530572E-4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input_588101!A$2</f>
        <v>588101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IFERROR(VLOOKUP(B286,input_588101!L:R,7,FALSE),VLOOKUP(tables_588101!C286,input_588101!A:H,8,FALSE))</f>
        <v>75035.259999999995</v>
      </c>
      <c r="P286" s="40">
        <f t="shared" ca="1" si="13"/>
        <v>4.8484918583519285E-3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input_588101!A$2</f>
        <v>588101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IFERROR(VLOOKUP(B287,input_588101!L:R,7,FALSE),VLOOKUP(tables_588101!C287,input_588101!A:H,8,FALSE))</f>
        <v>4148.4319999999998</v>
      </c>
      <c r="P287" s="40">
        <f t="shared" ca="1" si="13"/>
        <v>2.6805582837890622E-4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input_588101!A$2</f>
        <v>588101</v>
      </c>
      <c r="B288" s="5">
        <v>854</v>
      </c>
      <c r="C288" s="7" t="str">
        <f t="shared" si="12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IFERROR(VLOOKUP(B288,input_588101!L:R,7,FALSE),VLOOKUP(tables_588101!C288,input_588101!A:H,8,FALSE))</f>
        <v>332370.65042999998</v>
      </c>
      <c r="P288" s="40">
        <f t="shared" ca="1" si="13"/>
        <v>2.1476521738779741E-2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input_588101!A$2</f>
        <v>588101</v>
      </c>
      <c r="B289" s="5">
        <v>855</v>
      </c>
      <c r="C289" s="7" t="str">
        <f t="shared" si="12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IFERROR(VLOOKUP(B289,input_588101!L:R,7,FALSE),VLOOKUP(tables_588101!C289,input_588101!A:H,8,FALSE))</f>
        <v>33033.40986</v>
      </c>
      <c r="P289" s="40">
        <f t="shared" ca="1" si="13"/>
        <v>2.1344927539374463E-3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input_588101!A$2</f>
        <v>588101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IFERROR(VLOOKUP(B290,input_588101!L:R,7,FALSE),VLOOKUP(tables_588101!C290,input_588101!A:H,8,FALSE))</f>
        <v>75035.259999999995</v>
      </c>
      <c r="P290" s="40">
        <f t="shared" ca="1" si="13"/>
        <v>4.8484918583519285E-3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input_588101!A$2</f>
        <v>588101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IFERROR(VLOOKUP(B291,input_588101!L:R,7,FALSE),VLOOKUP(tables_588101!C291,input_588101!A:H,8,FALSE))</f>
        <v>4148.4319999999998</v>
      </c>
      <c r="P291" s="40">
        <f t="shared" ca="1" si="13"/>
        <v>2.6805582837890622E-4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input_588101!A$2</f>
        <v>588101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IFERROR(VLOOKUP(B292,input_588101!L:R,7,FALSE),VLOOKUP(tables_588101!C292,input_588101!A:H,8,FALSE))</f>
        <v>75035.259999999995</v>
      </c>
      <c r="P292" s="40">
        <f t="shared" ca="1" si="13"/>
        <v>4.8484918583519285E-3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input_588101!A$2</f>
        <v>588101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IFERROR(VLOOKUP(B293,input_588101!L:R,7,FALSE),VLOOKUP(tables_588101!C293,input_588101!A:H,8,FALSE))</f>
        <v>4148.4319999999998</v>
      </c>
      <c r="P293" s="40">
        <f t="shared" ca="1" si="13"/>
        <v>2.6805582837890622E-4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input_588101!A$2</f>
        <v>588101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IFERROR(VLOOKUP(B294,input_588101!L:R,7,FALSE),VLOOKUP(tables_588101!C294,input_588101!A:H,8,FALSE))</f>
        <v>5840</v>
      </c>
      <c r="P294" s="40">
        <f t="shared" ca="1" si="13"/>
        <v>3.7735849056530572E-4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input_588101!A$2</f>
        <v>588101</v>
      </c>
      <c r="B295" s="5">
        <v>868</v>
      </c>
      <c r="C295" s="7" t="str">
        <f t="shared" si="12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IFERROR(VLOOKUP(B295,input_588101!L:R,7,FALSE),VLOOKUP(tables_588101!C295,input_588101!A:H,8,FALSE))</f>
        <v>24435.78947</v>
      </c>
      <c r="P295" s="40">
        <f t="shared" ca="1" si="13"/>
        <v>1.5789473681799302E-3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input_588101!A$2</f>
        <v>588101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IFERROR(VLOOKUP(B296,input_588101!L:R,7,FALSE),VLOOKUP(tables_588101!C296,input_588101!A:H,8,FALSE))</f>
        <v>5840</v>
      </c>
      <c r="P296" s="40">
        <f t="shared" ca="1" si="13"/>
        <v>3.7735849056530572E-4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input_588101!A$2</f>
        <v>588101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IFERROR(VLOOKUP(B297,input_588101!L:R,7,FALSE),VLOOKUP(tables_588101!C297,input_588101!A:H,8,FALSE))</f>
        <v>75035.259999999995</v>
      </c>
      <c r="P297" s="40">
        <f t="shared" ca="1" si="13"/>
        <v>4.8484918583519285E-3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input_588101!A$2</f>
        <v>588101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IFERROR(VLOOKUP(B298,input_588101!L:R,7,FALSE),VLOOKUP(tables_588101!C298,input_588101!A:H,8,FALSE))</f>
        <v>4148.4319999999998</v>
      </c>
      <c r="P298" s="40">
        <f t="shared" ca="1" si="13"/>
        <v>2.6805582837890622E-4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input_588101!A$2</f>
        <v>588101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IFERROR(VLOOKUP(B299,input_588101!L:R,7,FALSE),VLOOKUP(tables_588101!C299,input_588101!A:H,8,FALSE))</f>
        <v>5840</v>
      </c>
      <c r="P299" s="40">
        <f t="shared" ca="1" si="13"/>
        <v>3.7735849056530572E-4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input_588101!A$2</f>
        <v>588101</v>
      </c>
      <c r="B300" s="5">
        <v>943</v>
      </c>
      <c r="C300" s="7" t="str">
        <f t="shared" si="12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IFERROR(VLOOKUP(B300,input_588101!L:R,7,FALSE),VLOOKUP(tables_588101!C300,input_588101!A:H,8,FALSE))</f>
        <v>24435.78947</v>
      </c>
      <c r="P300" s="40">
        <f t="shared" ca="1" si="13"/>
        <v>1.5789473681799302E-3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input_588101!A$2</f>
        <v>588101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IFERROR(VLOOKUP(B301,input_588101!L:R,7,FALSE),VLOOKUP(tables_588101!C301,input_588101!A:H,8,FALSE))</f>
        <v>5840</v>
      </c>
      <c r="P301" s="40">
        <f t="shared" ca="1" si="13"/>
        <v>3.7735849056530572E-4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input_588101!A$2</f>
        <v>588101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IFERROR(VLOOKUP(B302,input_588101!L:R,7,FALSE),VLOOKUP(tables_588101!C302,input_588101!A:H,8,FALSE))</f>
        <v>5840</v>
      </c>
      <c r="P302" s="40">
        <f t="shared" ca="1" si="13"/>
        <v>3.7735849056530572E-4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input_588101!A$2</f>
        <v>588101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IFERROR(VLOOKUP(B303,input_588101!L:R,7,FALSE),VLOOKUP(tables_588101!C303,input_588101!A:H,8,FALSE))</f>
        <v>75035.259999999995</v>
      </c>
      <c r="P303" s="40">
        <f t="shared" ca="1" si="13"/>
        <v>4.8484918583519285E-3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input_588101!A$2</f>
        <v>588101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IFERROR(VLOOKUP(B304,input_588101!L:R,7,FALSE),VLOOKUP(tables_588101!C304,input_588101!A:H,8,FALSE))</f>
        <v>4148.4319999999998</v>
      </c>
      <c r="P304" s="40">
        <f t="shared" ca="1" si="13"/>
        <v>2.6805582837890622E-4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input_588101!A$2</f>
        <v>588101</v>
      </c>
      <c r="B305" s="5">
        <v>1018</v>
      </c>
      <c r="C305" s="7" t="str">
        <f t="shared" si="12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IFERROR(VLOOKUP(B305,input_588101!L:R,7,FALSE),VLOOKUP(tables_588101!C305,input_588101!A:H,8,FALSE))</f>
        <v>24435.78947</v>
      </c>
      <c r="P305" s="40">
        <f t="shared" ca="1" si="13"/>
        <v>1.5789473681799302E-3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input_588101!A$2</f>
        <v>588101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IFERROR(VLOOKUP(B306,input_588101!L:R,7,FALSE),VLOOKUP(tables_588101!C306,input_588101!A:H,8,FALSE))</f>
        <v>75035.259999999995</v>
      </c>
      <c r="P306" s="40">
        <f t="shared" ca="1" si="13"/>
        <v>4.8484918583519285E-3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input_588101!A$2</f>
        <v>588101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IFERROR(VLOOKUP(B307,input_588101!L:R,7,FALSE),VLOOKUP(tables_588101!C307,input_588101!A:H,8,FALSE))</f>
        <v>4148.4319999999998</v>
      </c>
      <c r="P307" s="40">
        <f t="shared" ca="1" si="13"/>
        <v>2.6805582837890622E-4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input_588101!A$2</f>
        <v>588101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IFERROR(VLOOKUP(B308,input_588101!L:R,7,FALSE),VLOOKUP(tables_588101!C308,input_588101!A:H,8,FALSE))</f>
        <v>5840</v>
      </c>
      <c r="P308" s="40">
        <f t="shared" ca="1" si="13"/>
        <v>3.7735849056530572E-4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input_588101!A$2</f>
        <v>588101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IFERROR(VLOOKUP(B309,input_588101!L:R,7,FALSE),VLOOKUP(tables_588101!C309,input_588101!A:H,8,FALSE))</f>
        <v>5840</v>
      </c>
      <c r="P309" s="40">
        <f t="shared" ca="1" si="13"/>
        <v>3.7735849056530572E-4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input_588101!A$2</f>
        <v>588101</v>
      </c>
      <c r="B310" s="5">
        <v>1033</v>
      </c>
      <c r="C310" s="7" t="str">
        <f t="shared" si="12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IFERROR(VLOOKUP(B310,input_588101!L:R,7,FALSE),VLOOKUP(tables_588101!C310,input_588101!A:H,8,FALSE))</f>
        <v>24435.78947</v>
      </c>
      <c r="P310" s="40">
        <f t="shared" ca="1" si="13"/>
        <v>1.5789473681799302E-3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input_588101!A$2</f>
        <v>588101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IFERROR(VLOOKUP(B311,input_588101!L:R,7,FALSE),VLOOKUP(tables_588101!C311,input_588101!A:H,8,FALSE))</f>
        <v>75035.259999999995</v>
      </c>
      <c r="P311" s="40">
        <f t="shared" ca="1" si="13"/>
        <v>4.8484918583519285E-3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input_588101!A$2</f>
        <v>588101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IFERROR(VLOOKUP(B312,input_588101!L:R,7,FALSE),VLOOKUP(tables_588101!C312,input_588101!A:H,8,FALSE))</f>
        <v>4148.4319999999998</v>
      </c>
      <c r="P312" s="40">
        <f t="shared" ca="1" si="13"/>
        <v>2.6805582837890622E-4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input_588101!A$2</f>
        <v>588101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IFERROR(VLOOKUP(B313,input_588101!L:R,7,FALSE),VLOOKUP(tables_588101!C313,input_588101!A:H,8,FALSE))</f>
        <v>5840</v>
      </c>
      <c r="P313" s="40">
        <f t="shared" ca="1" si="13"/>
        <v>3.7735849056530572E-4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input_588101!A$2</f>
        <v>588101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IFERROR(VLOOKUP(B314,input_588101!L:R,7,FALSE),VLOOKUP(tables_588101!C314,input_588101!A:H,8,FALSE))</f>
        <v>5840</v>
      </c>
      <c r="P314" s="40">
        <f t="shared" ca="1" si="13"/>
        <v>3.7735849056530572E-4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input_588101!A$2</f>
        <v>588101</v>
      </c>
      <c r="B315" s="5">
        <v>1074</v>
      </c>
      <c r="C315" s="7" t="str">
        <f t="shared" si="12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IFERROR(VLOOKUP(B315,input_588101!L:R,7,FALSE),VLOOKUP(tables_588101!C315,input_588101!A:H,8,FALSE))</f>
        <v>24435.78947</v>
      </c>
      <c r="P315" s="40">
        <f t="shared" ca="1" si="13"/>
        <v>1.5789473681799302E-3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input_588101!A$2</f>
        <v>588101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IFERROR(VLOOKUP(B316,input_588101!L:R,7,FALSE),VLOOKUP(tables_588101!C316,input_588101!A:H,8,FALSE))</f>
        <v>5840</v>
      </c>
      <c r="P316" s="40">
        <f t="shared" ca="1" si="13"/>
        <v>3.7735849056530572E-4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input_588101!A$2</f>
        <v>588101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IFERROR(VLOOKUP(B317,input_588101!L:R,7,FALSE),VLOOKUP(tables_588101!C317,input_588101!A:H,8,FALSE))</f>
        <v>5840</v>
      </c>
      <c r="P317" s="40">
        <f t="shared" ca="1" si="13"/>
        <v>3.7735849056530572E-4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input_588101!A$2</f>
        <v>588101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IFERROR(VLOOKUP(B318,input_588101!L:R,7,FALSE),VLOOKUP(tables_588101!C318,input_588101!A:H,8,FALSE))</f>
        <v>75035.259999999995</v>
      </c>
      <c r="P318" s="40">
        <f t="shared" ca="1" si="13"/>
        <v>4.8484918583519285E-3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input_588101!A$2</f>
        <v>588101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IFERROR(VLOOKUP(B319,input_588101!L:R,7,FALSE),VLOOKUP(tables_588101!C319,input_588101!A:H,8,FALSE))</f>
        <v>4148.4319999999998</v>
      </c>
      <c r="P319" s="40">
        <f t="shared" ca="1" si="13"/>
        <v>2.6805582837890622E-4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input_588101!A$2</f>
        <v>588101</v>
      </c>
      <c r="B320" s="5">
        <v>1106</v>
      </c>
      <c r="C320" s="7" t="str">
        <f t="shared" si="12"/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IFERROR(VLOOKUP(B320,input_588101!L:R,7,FALSE),VLOOKUP(tables_588101!C320,input_588101!A:H,8,FALSE))</f>
        <v>24435.78947</v>
      </c>
      <c r="P320" s="40">
        <f t="shared" ca="1" si="13"/>
        <v>1.5789473681799302E-3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input_588101!A$2</f>
        <v>588101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IFERROR(VLOOKUP(B321,input_588101!L:R,7,FALSE),VLOOKUP(tables_588101!C321,input_588101!A:H,8,FALSE))</f>
        <v>5840</v>
      </c>
      <c r="P321" s="40">
        <f t="shared" ca="1" si="13"/>
        <v>3.7735849056530572E-4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input_588101!A$2</f>
        <v>588101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IFERROR(VLOOKUP(B322,input_588101!L:R,7,FALSE),VLOOKUP(tables_588101!C322,input_588101!A:H,8,FALSE))</f>
        <v>5840</v>
      </c>
      <c r="P322" s="40">
        <f t="shared" ref="P322:P356" ca="1" si="16">O322/SUM(O:O)</f>
        <v>3.7735849056530572E-4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input_588101!A$2</f>
        <v>588101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IFERROR(VLOOKUP(B323,input_588101!L:R,7,FALSE),VLOOKUP(tables_588101!C323,input_588101!A:H,8,FALSE))</f>
        <v>5840</v>
      </c>
      <c r="P323" s="40">
        <f t="shared" ca="1" si="16"/>
        <v>3.7735849056530572E-4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input_588101!A$2</f>
        <v>588101</v>
      </c>
      <c r="B324" s="2">
        <v>1143</v>
      </c>
      <c r="C324" s="86" t="str">
        <f t="shared" si="15"/>
        <v>Premium4R3lesscolor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IFERROR(VLOOKUP(B324,input_588101!L:R,7,FALSE),VLOOKUP(tables_588101!C324,input_588101!A:H,8,FALSE))</f>
        <v>332370.65042999998</v>
      </c>
      <c r="P324" s="40">
        <f t="shared" ca="1" si="16"/>
        <v>2.1476521738779741E-2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input_588101!A$2</f>
        <v>588101</v>
      </c>
      <c r="B325" s="2">
        <v>1144</v>
      </c>
      <c r="C325" s="86" t="str">
        <f t="shared" ref="C325:C331" si="18">D325&amp;J325&amp;E325&amp;F325&amp;G325</f>
        <v>Premium5R3lesscolor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IFERROR(VLOOKUP(B325,input_588101!L:R,7,FALSE),VLOOKUP(tables_588101!C325,input_588101!A:H,8,FALSE))</f>
        <v>33033.40986</v>
      </c>
      <c r="P325" s="40">
        <f t="shared" ca="1" si="16"/>
        <v>2.1344927539374463E-3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input_588101!A$2</f>
        <v>588101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IFERROR(VLOOKUP(B326,input_588101!L:R,7,FALSE),VLOOKUP(tables_588101!C326,input_588101!A:H,8,FALSE))</f>
        <v>75035.259999999995</v>
      </c>
      <c r="P326" s="40">
        <f t="shared" ca="1" si="16"/>
        <v>4.8484918583519285E-3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input_588101!A$2</f>
        <v>588101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IFERROR(VLOOKUP(B327,input_588101!L:R,7,FALSE),VLOOKUP(tables_588101!C327,input_588101!A:H,8,FALSE))</f>
        <v>4148.4319999999998</v>
      </c>
      <c r="P327" s="40">
        <f t="shared" ca="1" si="16"/>
        <v>2.6805582837890622E-4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input_588101!A$2</f>
        <v>588101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IFERROR(VLOOKUP(B328,input_588101!L:R,7,FALSE),VLOOKUP(tables_588101!C328,input_588101!A:H,8,FALSE))</f>
        <v>5840</v>
      </c>
      <c r="P328" s="40">
        <f t="shared" ca="1" si="16"/>
        <v>3.7735849056530572E-4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input_588101!A$2</f>
        <v>588101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IFERROR(VLOOKUP(B329,input_588101!L:R,7,FALSE),VLOOKUP(tables_588101!C329,input_588101!A:H,8,FALSE))</f>
        <v>5840</v>
      </c>
      <c r="P329" s="40">
        <f t="shared" ca="1" si="16"/>
        <v>3.7735849056530572E-4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input_588101!A$2</f>
        <v>588101</v>
      </c>
      <c r="B330" s="2">
        <v>1157</v>
      </c>
      <c r="C330" s="86" t="str">
        <f t="shared" si="18"/>
        <v>PremiumSS5R5onlycolor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IFERROR(VLOOKUP(B330,input_588101!L:R,7,FALSE),VLOOKUP(tables_588101!C330,input_588101!A:H,8,FALSE))</f>
        <v>24435.78947</v>
      </c>
      <c r="P330" s="40">
        <f t="shared" ca="1" si="16"/>
        <v>1.5789473681799302E-3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input_588101!A$2</f>
        <v>588101</v>
      </c>
      <c r="B331" s="52">
        <v>1214</v>
      </c>
      <c r="C331" s="86" t="str">
        <f t="shared" si="18"/>
        <v>PremiumSS5R5onlycolor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IFERROR(VLOOKUP(B331,input_588101!L:R,7,FALSE),VLOOKUP(tables_588101!C331,input_588101!A:H,8,FALSE))</f>
        <v>24435.78947</v>
      </c>
      <c r="P331" s="40">
        <f t="shared" ca="1" si="16"/>
        <v>1.5789473681799302E-3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input_588101!A$2</f>
        <v>588101</v>
      </c>
      <c r="B332" s="52">
        <v>1212</v>
      </c>
      <c r="C332" s="86" t="str">
        <f t="shared" ref="C332:C340" si="20">D332&amp;J332&amp;E332&amp;F332&amp;G332</f>
        <v>PremiumSS5R5only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IFERROR(VLOOKUP(B332,input_588101!L:R,7,FALSE),VLOOKUP(tables_588101!C332,input_588101!A:H,8,FALSE))</f>
        <v>5840</v>
      </c>
      <c r="P332" s="40">
        <f t="shared" ca="1" si="16"/>
        <v>3.7735849056530572E-4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input_588101!A$2</f>
        <v>588101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IFERROR(VLOOKUP(B333,input_588101!L:R,7,FALSE),VLOOKUP(tables_588101!C333,input_588101!A:H,8,FALSE))</f>
        <v>5840</v>
      </c>
      <c r="P333" s="40">
        <f t="shared" ca="1" si="16"/>
        <v>3.7735849056530572E-4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input_588101!A$2</f>
        <v>588101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IFERROR(VLOOKUP(B334,input_588101!L:R,7,FALSE),VLOOKUP(tables_588101!C334,input_588101!A:H,8,FALSE))</f>
        <v>75035.259999999995</v>
      </c>
      <c r="P334" s="40">
        <f t="shared" ca="1" si="16"/>
        <v>4.8484918583519285E-3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input_588101!A$2</f>
        <v>588101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IFERROR(VLOOKUP(B335,input_588101!L:R,7,FALSE),VLOOKUP(tables_588101!C335,input_588101!A:H,8,FALSE))</f>
        <v>4148.4319999999998</v>
      </c>
      <c r="P335" s="40">
        <f t="shared" ca="1" si="16"/>
        <v>2.6805582837890622E-4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input_588101!A$2</f>
        <v>588101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IFERROR(VLOOKUP(B336,input_588101!L:R,7,FALSE),VLOOKUP(tables_588101!C336,input_588101!A:H,8,FALSE))</f>
        <v>75035.259999999995</v>
      </c>
      <c r="P336" s="40">
        <f t="shared" ca="1" si="16"/>
        <v>4.8484918583519285E-3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input_588101!A$2</f>
        <v>588101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IFERROR(VLOOKUP(B337,input_588101!L:R,7,FALSE),VLOOKUP(tables_588101!C337,input_588101!A:H,8,FALSE))</f>
        <v>4148.4319999999998</v>
      </c>
      <c r="P337" s="40">
        <f t="shared" ca="1" si="16"/>
        <v>2.6805582837890622E-4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input_588101!A$2</f>
        <v>588101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IFERROR(VLOOKUP(B338,input_588101!L:R,7,FALSE),VLOOKUP(tables_588101!C338,input_588101!A:H,8,FALSE))</f>
        <v>5840</v>
      </c>
      <c r="P338" s="40">
        <f t="shared" ca="1" si="16"/>
        <v>3.7735849056530572E-4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input_588101!A$2</f>
        <v>588101</v>
      </c>
      <c r="B339" s="2">
        <v>1228</v>
      </c>
      <c r="C339" s="86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IFERROR(VLOOKUP(B339,input_588101!L:R,7,FALSE),VLOOKUP(tables_588101!C339,input_588101!A:H,8,FALSE))</f>
        <v>5840</v>
      </c>
      <c r="P339" s="40">
        <f t="shared" ca="1" si="16"/>
        <v>3.7735849056530572E-4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input_588101!A$2</f>
        <v>588101</v>
      </c>
      <c r="B340" s="2">
        <v>1230</v>
      </c>
      <c r="C340" s="86" t="str">
        <f t="shared" si="20"/>
        <v>PremiumSS5R5onlycolor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IFERROR(VLOOKUP(B340,input_588101!L:R,7,FALSE),VLOOKUP(tables_588101!C340,input_588101!A:H,8,FALSE))</f>
        <v>24435.78947</v>
      </c>
      <c r="P340" s="40">
        <f t="shared" ca="1" si="16"/>
        <v>1.5789473681799302E-3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input_588101!A$2</f>
        <v>588101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IFERROR(VLOOKUP(B341,input_588101!L:R,7,FALSE),VLOOKUP(tables_588101!C341,input_588101!A:H,8,FALSE))</f>
        <v>5840</v>
      </c>
      <c r="P341" s="40">
        <f t="shared" ca="1" si="16"/>
        <v>3.7735849056530572E-4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input_588101!A$2</f>
        <v>588101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IFERROR(VLOOKUP(B342,input_588101!L:R,7,FALSE),VLOOKUP(tables_588101!C342,input_588101!A:H,8,FALSE))</f>
        <v>5840</v>
      </c>
      <c r="P342" s="40">
        <f t="shared" ca="1" si="16"/>
        <v>3.7735849056530572E-4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input_588101!A$2</f>
        <v>588101</v>
      </c>
      <c r="B343" s="2">
        <v>1248</v>
      </c>
      <c r="C343" s="86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IFERROR(VLOOKUP(B343,input_588101!L:R,7,FALSE),VLOOKUP(tables_588101!C343,input_588101!A:H,8,FALSE))</f>
        <v>75035.259999999995</v>
      </c>
      <c r="P343" s="40">
        <f t="shared" ca="1" si="16"/>
        <v>4.8484918583519285E-3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input_588101!A$2</f>
        <v>588101</v>
      </c>
      <c r="B344" s="2">
        <v>1249</v>
      </c>
      <c r="C344" s="86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IFERROR(VLOOKUP(B344,input_588101!L:R,7,FALSE),VLOOKUP(tables_588101!C344,input_588101!A:H,8,FALSE))</f>
        <v>4148.4319999999998</v>
      </c>
      <c r="P344" s="40">
        <f t="shared" ca="1" si="16"/>
        <v>2.6805582837890622E-4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input_588101!A$2</f>
        <v>588101</v>
      </c>
      <c r="B345" s="2">
        <v>1250</v>
      </c>
      <c r="C345" s="86" t="str">
        <f t="shared" si="22"/>
        <v>PremiumSS5R5onlycolor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IFERROR(VLOOKUP(B345,input_588101!L:R,7,FALSE),VLOOKUP(tables_588101!C345,input_588101!A:H,8,FALSE))</f>
        <v>24435.78947</v>
      </c>
      <c r="P345" s="40">
        <f t="shared" ca="1" si="16"/>
        <v>1.5789473681799302E-3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input_588101!A$2</f>
        <v>588101</v>
      </c>
      <c r="B346" s="1">
        <v>1260</v>
      </c>
      <c r="C346" s="86" t="str">
        <f t="shared" ref="C346" si="24">D346&amp;J346&amp;E346&amp;F346&amp;G346</f>
        <v>PremiumSS5R5only</v>
      </c>
      <c r="D346" s="7" t="str">
        <f t="shared" ref="D346" si="2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IFERROR(VLOOKUP(B346,input_588101!L:R,7,FALSE),VLOOKUP(tables_588101!C346,input_588101!A:H,8,FALSE))</f>
        <v>5840</v>
      </c>
      <c r="P346" s="40">
        <f t="shared" ca="1" si="16"/>
        <v>3.7735849056530572E-4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input_588101!A$2</f>
        <v>588101</v>
      </c>
      <c r="B347" s="1">
        <v>1262</v>
      </c>
      <c r="C347" s="86" t="str">
        <f t="shared" ref="C347:C350" si="26">D347&amp;J347&amp;E347&amp;F347&amp;G347</f>
        <v>PremiumSS5R5only</v>
      </c>
      <c r="D347" s="7" t="str">
        <f t="shared" ref="D347:D350" si="2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IFERROR(VLOOKUP(B347,input_588101!L:R,7,FALSE),VLOOKUP(tables_588101!C347,input_588101!A:H,8,FALSE))</f>
        <v>5840</v>
      </c>
      <c r="P347" s="40">
        <f t="shared" ca="1" si="16"/>
        <v>3.7735849056530572E-4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input_588101!A$2</f>
        <v>588101</v>
      </c>
      <c r="B348" s="1">
        <v>1264</v>
      </c>
      <c r="C348" s="86" t="str">
        <f t="shared" si="26"/>
        <v>PremiumSS5R5only</v>
      </c>
      <c r="D348" s="7" t="str">
        <f t="shared" si="2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IFERROR(VLOOKUP(B348,input_588101!L:R,7,FALSE),VLOOKUP(tables_588101!C348,input_588101!A:H,8,FALSE))</f>
        <v>5840</v>
      </c>
      <c r="P348" s="40">
        <f t="shared" ca="1" si="16"/>
        <v>3.7735849056530572E-4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input_588101!A$2</f>
        <v>588101</v>
      </c>
      <c r="B349" s="1">
        <v>1266</v>
      </c>
      <c r="C349" s="86" t="str">
        <f t="shared" si="26"/>
        <v>Premium4R3lesscolor</v>
      </c>
      <c r="D349" s="7" t="str">
        <f t="shared" si="2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IFERROR(VLOOKUP(B349,input_588101!L:R,7,FALSE),VLOOKUP(tables_588101!C349,input_588101!A:H,8,FALSE))</f>
        <v>332370.65042999998</v>
      </c>
      <c r="P349" s="40">
        <f t="shared" ca="1" si="16"/>
        <v>2.1476521738779741E-2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input_588101!A$2</f>
        <v>588101</v>
      </c>
      <c r="B350" s="1">
        <v>1267</v>
      </c>
      <c r="C350" s="86" t="str">
        <f t="shared" si="26"/>
        <v>Premium5R3lesscolor</v>
      </c>
      <c r="D350" s="7" t="str">
        <f t="shared" si="2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IFERROR(VLOOKUP(B350,input_588101!L:R,7,FALSE),VLOOKUP(tables_588101!C350,input_588101!A:H,8,FALSE))</f>
        <v>33033.40986</v>
      </c>
      <c r="P350" s="40">
        <f t="shared" ca="1" si="16"/>
        <v>2.1344927539374463E-3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input_588101!A$2</f>
        <v>588101</v>
      </c>
      <c r="B351" s="102">
        <v>1332</v>
      </c>
      <c r="C351" s="86" t="str">
        <f t="shared" ref="C351:C355" si="28">D351&amp;J351&amp;E351&amp;F351&amp;G351</f>
        <v>PremiumSS5R5only</v>
      </c>
      <c r="D351" s="7" t="str">
        <f t="shared" ref="D351:D355" si="2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IFERROR(VLOOKUP(B351,input_588101!L:R,7,FALSE),VLOOKUP(tables_588101!C351,input_588101!A:H,8,FALSE))</f>
        <v>5840</v>
      </c>
      <c r="P351" s="40">
        <f t="shared" ca="1" si="16"/>
        <v>3.7735849056530572E-4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input_588101!A$2</f>
        <v>588101</v>
      </c>
      <c r="B352" s="102">
        <v>1336</v>
      </c>
      <c r="C352" s="86" t="str">
        <f t="shared" si="28"/>
        <v>PremiumSS5R5only</v>
      </c>
      <c r="D352" s="7" t="str">
        <f t="shared" si="2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IFERROR(VLOOKUP(B352,input_588101!L:R,7,FALSE),VLOOKUP(tables_588101!C352,input_588101!A:H,8,FALSE))</f>
        <v>5840</v>
      </c>
      <c r="P352" s="40">
        <f t="shared" ca="1" si="16"/>
        <v>3.7735849056530572E-4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input_588101!A$2</f>
        <v>588101</v>
      </c>
      <c r="B353" s="102">
        <v>1338</v>
      </c>
      <c r="C353" s="86" t="str">
        <f t="shared" si="28"/>
        <v>PremiumSS5R5onlycolor</v>
      </c>
      <c r="D353" s="7" t="str">
        <f t="shared" si="2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IFERROR(VLOOKUP(B353,input_588101!L:R,7,FALSE),VLOOKUP(tables_588101!C353,input_588101!A:H,8,FALSE))</f>
        <v>24435.78947</v>
      </c>
      <c r="P353" s="40">
        <f t="shared" ca="1" si="16"/>
        <v>1.5789473681799302E-3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input_588101!A$2</f>
        <v>588101</v>
      </c>
      <c r="B354" s="102">
        <v>1334</v>
      </c>
      <c r="C354" s="86" t="str">
        <f t="shared" si="28"/>
        <v>Premium4R3less</v>
      </c>
      <c r="D354" s="7" t="str">
        <f t="shared" si="2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IFERROR(VLOOKUP(B354,input_588101!L:R,7,FALSE),VLOOKUP(tables_588101!C354,input_588101!A:H,8,FALSE))</f>
        <v>75035.259999999995</v>
      </c>
      <c r="P354" s="40">
        <f t="shared" ca="1" si="16"/>
        <v>4.8484918583519285E-3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input_588101!A$2</f>
        <v>588101</v>
      </c>
      <c r="B355" s="102">
        <v>1335</v>
      </c>
      <c r="C355" s="86" t="str">
        <f t="shared" si="28"/>
        <v>Premium5R3less</v>
      </c>
      <c r="D355" s="7" t="str">
        <f t="shared" si="2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IFERROR(VLOOKUP(B355,input_588101!L:R,7,FALSE),VLOOKUP(tables_588101!C355,input_588101!A:H,8,FALSE))</f>
        <v>4148.4319999999998</v>
      </c>
      <c r="P355" s="40">
        <f t="shared" ca="1" si="16"/>
        <v>2.6805582837890622E-4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input_588101!A$2</f>
        <v>588101</v>
      </c>
      <c r="B356" s="1">
        <v>1161</v>
      </c>
      <c r="C356" s="86" t="str">
        <f t="shared" ref="C356" si="30">D356&amp;J356&amp;E356&amp;F356&amp;G356</f>
        <v>PremiumSSS5R3lesscolor</v>
      </c>
      <c r="D356" s="7" t="str">
        <f t="shared" ref="D356" si="3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IFERROR(VLOOKUP(B356,input_588101!L:R,7,FALSE),VLOOKUP(tables_588101!C356,input_588101!A:H,8,FALSE))</f>
        <v>61904</v>
      </c>
      <c r="P356" s="40">
        <f t="shared" ca="1" si="16"/>
        <v>3.9999999999922407E-3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56"/>
  <sortState ref="A2:Y189">
    <sortCondition ref="A2:A189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zoomScale="110" zoomScaleNormal="110" zoomScalePageLayoutView="110" workbookViewId="0">
      <selection activeCell="F64" sqref="F63:F6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VLOOKUP(L3,tables_588103!B:C,2,FALSE)</f>
        <v>PremiumSSS5R3lesscolor</v>
      </c>
      <c r="R3" s="53">
        <f t="shared" ref="R3:R20" si="1">N3*A$51</f>
        <v>92856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3.7735849056603783E-4</v>
      </c>
      <c r="F5">
        <f>(COUNTIF(tables_588103!C:C,input_588103!A28)+COUNTIF(tables_588103!C:C,input_588103!A29))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1.5789473684210526E-3</v>
      </c>
      <c r="F6">
        <f>(COUNTIF(tables_588103!C:C,input_588103!A43)+COUNTIF(tables_588103!C:C,input_588103!A44))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5.1726027397260271E-3</v>
      </c>
      <c r="F7">
        <f>(COUNTIF(tables_588103!C:C,input_588103!A25)+COUNTIF(tables_588103!C:C,input_588103!A18)+COUNTIF(tables_588103!C:C,input_588103!A20)+COUNTIF(tables_588103!C:C,input_588103!A22))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2.4626086956521735E-2</v>
      </c>
      <c r="F8">
        <f>(COUNTIF(tables_588103!C:C,input_588103!A40)+COUNTIF(tables_588103!C:C,input_588103!A33)+COUNTIF(tables_588103!C:C,input_588103!A35)+COUNTIF(tables_588103!C:C,input_588103!A37))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COUNTIF(tables_588103!C:C,input_588103!A17)-COUNTIF(Q:Q,A17)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7.9989041095890445E-2</v>
      </c>
      <c r="C18" s="75">
        <f t="shared" si="2"/>
        <v>0</v>
      </c>
      <c r="D18" s="66">
        <f t="shared" si="3"/>
        <v>7.9989041095890445E-2</v>
      </c>
      <c r="E18">
        <f>COUNTIF(tables_588103!C:C,input_588103!A18)-COUNTIF(Q:Q,A18)</f>
        <v>15</v>
      </c>
      <c r="F18" s="37">
        <f>IFERROR(B18/E18,0)</f>
        <v>5.3326027397260301E-3</v>
      </c>
      <c r="G18">
        <f t="shared" si="4"/>
        <v>1237910.4000000006</v>
      </c>
      <c r="H18">
        <f t="shared" si="5"/>
        <v>82527.360000000001</v>
      </c>
      <c r="I18">
        <f t="shared" si="6"/>
        <v>0.36000000000058208</v>
      </c>
      <c r="J18">
        <f t="shared" si="7"/>
        <v>2.7777777777732866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COUNTIF(tables_588103!C:C,input_588103!A19)-COUNTIF(Q:Q,A19)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0.18155835616438357</v>
      </c>
      <c r="C20" s="75">
        <f t="shared" si="2"/>
        <v>0</v>
      </c>
      <c r="D20" s="66">
        <f t="shared" si="3"/>
        <v>0.18155835616438357</v>
      </c>
      <c r="E20">
        <f>COUNTIF(tables_588103!C:C,input_588103!A20)-COUNTIF(Q:Q,A20)</f>
        <v>39</v>
      </c>
      <c r="F20" s="37">
        <f t="shared" si="8"/>
        <v>4.6553424657534244E-3</v>
      </c>
      <c r="G20">
        <f t="shared" si="4"/>
        <v>2809797.12</v>
      </c>
      <c r="H20">
        <f t="shared" si="5"/>
        <v>72046.080000000002</v>
      </c>
      <c r="I20">
        <f t="shared" si="6"/>
        <v>8.000000000174623E-2</v>
      </c>
      <c r="J20">
        <f t="shared" si="7"/>
        <v>12.499999999727152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2.0173150684931508E-2</v>
      </c>
      <c r="C21" s="75">
        <f t="shared" si="2"/>
        <v>0</v>
      </c>
      <c r="D21" s="66">
        <f t="shared" si="3"/>
        <v>2.0173150684931508E-2</v>
      </c>
      <c r="E21">
        <f>COUNTIF(tables_588103!C:C,input_588103!A21)-COUNTIF(Q:Q,A21)</f>
        <v>39</v>
      </c>
      <c r="F21" s="37">
        <f t="shared" si="8"/>
        <v>5.1726027397260281E-4</v>
      </c>
      <c r="G21">
        <f t="shared" si="4"/>
        <v>312199.67999999999</v>
      </c>
      <c r="H21">
        <f t="shared" si="5"/>
        <v>8005.12</v>
      </c>
      <c r="I21">
        <f t="shared" si="6"/>
        <v>0.11999999999989086</v>
      </c>
      <c r="J21">
        <f t="shared" si="7"/>
        <v>8.3333333333409119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7.7354499870767632E-2</v>
      </c>
      <c r="C22" s="75">
        <f t="shared" si="2"/>
        <v>0</v>
      </c>
      <c r="D22" s="66">
        <f t="shared" si="3"/>
        <v>7.7354499870767632E-2</v>
      </c>
      <c r="E22">
        <f>COUNTIF(tables_588103!C:C,input_588103!A22)-COUNTIF(Q:Q,A22)</f>
        <v>16</v>
      </c>
      <c r="F22" s="37">
        <f t="shared" si="8"/>
        <v>4.834656241922977E-3</v>
      </c>
      <c r="G22">
        <f t="shared" si="4"/>
        <v>1197138.2399999998</v>
      </c>
      <c r="H22">
        <f t="shared" si="5"/>
        <v>74821.14</v>
      </c>
      <c r="I22">
        <f t="shared" si="6"/>
        <v>0.13999999999941792</v>
      </c>
      <c r="J22">
        <f t="shared" si="7"/>
        <v>7.1428571428868404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5.4071439648488012E-3</v>
      </c>
      <c r="C23" s="75">
        <f t="shared" si="2"/>
        <v>0</v>
      </c>
      <c r="D23" s="66">
        <f t="shared" si="3"/>
        <v>5.4071439648488012E-3</v>
      </c>
      <c r="E23">
        <f>COUNTIF(tables_588103!C:C,input_588103!A23)-COUNTIF(Q:Q,A23)</f>
        <v>20</v>
      </c>
      <c r="F23" s="37">
        <f t="shared" si="8"/>
        <v>2.7035719824244008E-4</v>
      </c>
      <c r="G23">
        <f t="shared" si="4"/>
        <v>83680.96000000005</v>
      </c>
      <c r="H23">
        <f t="shared" si="5"/>
        <v>4184.0479999999998</v>
      </c>
      <c r="I23">
        <f t="shared" si="6"/>
        <v>4.7999999999774445E-2</v>
      </c>
      <c r="J23">
        <f t="shared" si="7"/>
        <v>20.833333333431231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COUNTIF(tables_588103!C:C,input_588103!A24)-COUNTIF(Q:Q,A24)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1.3966027397260272E-2</v>
      </c>
      <c r="C25" s="75">
        <f t="shared" si="2"/>
        <v>0</v>
      </c>
      <c r="D25" s="66">
        <f t="shared" si="3"/>
        <v>1.3966027397260272E-2</v>
      </c>
      <c r="E25">
        <f>COUNTIF(tables_588103!C:C,input_588103!A25)-COUNTIF(Q:Q,A25)</f>
        <v>3</v>
      </c>
      <c r="F25" s="37">
        <f t="shared" si="8"/>
        <v>4.6553424657534244E-3</v>
      </c>
      <c r="G25">
        <f t="shared" si="4"/>
        <v>216138.23999999996</v>
      </c>
      <c r="H25">
        <f t="shared" si="5"/>
        <v>72046.080000000002</v>
      </c>
      <c r="I25">
        <f t="shared" si="6"/>
        <v>8.000000000174623E-2</v>
      </c>
      <c r="J25">
        <f t="shared" si="7"/>
        <v>12.499999999727152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1.5517808219178081E-3</v>
      </c>
      <c r="C26" s="75">
        <f t="shared" si="2"/>
        <v>0</v>
      </c>
      <c r="D26" s="66">
        <f t="shared" si="3"/>
        <v>1.5517808219178081E-3</v>
      </c>
      <c r="E26">
        <f>COUNTIF(tables_588103!C:C,input_588103!A26)-COUNTIF(Q:Q,A26)</f>
        <v>3</v>
      </c>
      <c r="F26" s="37">
        <f t="shared" si="8"/>
        <v>5.1726027397260271E-4</v>
      </c>
      <c r="G26">
        <f t="shared" si="4"/>
        <v>24015.359999999997</v>
      </c>
      <c r="H26">
        <f t="shared" si="5"/>
        <v>8005.12</v>
      </c>
      <c r="I26">
        <f t="shared" si="6"/>
        <v>0.11999999999989086</v>
      </c>
      <c r="J26">
        <f t="shared" si="7"/>
        <v>8.3333333333409119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7.1320754716981145E-3</v>
      </c>
      <c r="C27" s="75">
        <f t="shared" si="2"/>
        <v>0</v>
      </c>
      <c r="D27" s="66">
        <f t="shared" si="3"/>
        <v>7.1320754716981145E-3</v>
      </c>
      <c r="E27">
        <f>COUNTIF(tables_588103!C:C,input_588103!A27)-COUNTIF(Q:Q,A27)</f>
        <v>21</v>
      </c>
      <c r="F27" s="37">
        <f>IFERROR(B27/E27,0)</f>
        <v>3.3962264150943404E-4</v>
      </c>
      <c r="G27">
        <f t="shared" si="4"/>
        <v>110376.00000000001</v>
      </c>
      <c r="H27">
        <f t="shared" si="5"/>
        <v>5256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7.9245283018867943E-4</v>
      </c>
      <c r="C28" s="75">
        <f t="shared" si="2"/>
        <v>0</v>
      </c>
      <c r="D28" s="66">
        <f t="shared" si="3"/>
        <v>7.9245283018867943E-4</v>
      </c>
      <c r="E28">
        <f>COUNTIF(tables_588103!C:C,input_588103!A28)-COUNTIF(Q:Q,A28)</f>
        <v>21</v>
      </c>
      <c r="F28" s="37">
        <f t="shared" si="8"/>
        <v>3.7735849056603783E-5</v>
      </c>
      <c r="G28">
        <f t="shared" si="4"/>
        <v>12264.000000000004</v>
      </c>
      <c r="H28">
        <f t="shared" si="5"/>
        <v>584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1.207547169811321E-2</v>
      </c>
      <c r="C29" s="75">
        <f t="shared" si="2"/>
        <v>0</v>
      </c>
      <c r="D29" s="66">
        <f t="shared" si="3"/>
        <v>1.207547169811321E-2</v>
      </c>
      <c r="E29">
        <f>COUNTIF(tables_588103!C:C,input_588103!A29)-COUNTIF(Q:Q,A29)</f>
        <v>32</v>
      </c>
      <c r="F29" s="37">
        <f t="shared" si="8"/>
        <v>3.7735849056603783E-4</v>
      </c>
      <c r="G29">
        <f t="shared" si="4"/>
        <v>186880.00000000006</v>
      </c>
      <c r="H29">
        <f t="shared" si="5"/>
        <v>5840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COUNTIF(tables_588103!C:C,input_588103!A30)-COUNTIF(Q:Q,A30)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COUNTIF(tables_588103!C:C,input_588103!A31)-COUNTIF(Q:Q,A31)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COUNTIF(tables_588103!C:C,input_588103!A32)-COUNTIF(Q:Q,A32)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0.13303524027459962</v>
      </c>
      <c r="C33" s="75">
        <f t="shared" si="2"/>
        <v>0</v>
      </c>
      <c r="D33" s="66">
        <f t="shared" si="3"/>
        <v>0.13303524027459962</v>
      </c>
      <c r="E33">
        <f>COUNTIF(tables_588103!C:C,input_588103!A33)-COUNTIF(Q:Q,A33)</f>
        <v>5</v>
      </c>
      <c r="F33" s="37">
        <f>IFERROR(B33/E33,0)</f>
        <v>2.6607048054919924E-2</v>
      </c>
      <c r="G33">
        <f t="shared" si="4"/>
        <v>2058853.3784897036</v>
      </c>
      <c r="H33">
        <f t="shared" si="5"/>
        <v>411770.67570000002</v>
      </c>
      <c r="I33">
        <f t="shared" si="6"/>
        <v>0.67570000002160668</v>
      </c>
      <c r="J33">
        <f t="shared" si="7"/>
        <v>1.479946721870687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COUNTIF(tables_588103!C:C,input_588103!A34)-COUNTIF(Q:Q,A34)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0.28812521739130431</v>
      </c>
      <c r="C35" s="75">
        <f t="shared" si="2"/>
        <v>0</v>
      </c>
      <c r="D35" s="66">
        <f t="shared" si="3"/>
        <v>0.28812521739130431</v>
      </c>
      <c r="E35">
        <f>COUNTIF(tables_588103!C:C,input_588103!A35)-COUNTIF(Q:Q,A35)</f>
        <v>13</v>
      </c>
      <c r="F35" s="37">
        <f t="shared" si="9"/>
        <v>2.2163478260869562E-2</v>
      </c>
      <c r="G35">
        <f t="shared" si="4"/>
        <v>4459025.8643478258</v>
      </c>
      <c r="H35">
        <f t="shared" si="5"/>
        <v>343001.98956999998</v>
      </c>
      <c r="I35">
        <f t="shared" si="6"/>
        <v>0.98956999997608364</v>
      </c>
      <c r="J35">
        <f t="shared" si="7"/>
        <v>1.0105399315098158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1.9709107551487422E-2</v>
      </c>
      <c r="C36" s="75">
        <f t="shared" si="2"/>
        <v>0</v>
      </c>
      <c r="D36" s="66">
        <f t="shared" si="3"/>
        <v>1.9709107551487422E-2</v>
      </c>
      <c r="E36">
        <f>COUNTIF(tables_588103!C:C,input_588103!A36)-COUNTIF(Q:Q,A36)</f>
        <v>13</v>
      </c>
      <c r="F36" s="37">
        <f t="shared" si="9"/>
        <v>1.5160851962682633E-3</v>
      </c>
      <c r="G36">
        <f t="shared" si="4"/>
        <v>305018.14846681932</v>
      </c>
      <c r="H36">
        <f t="shared" si="5"/>
        <v>23462.934499999999</v>
      </c>
      <c r="I36">
        <f t="shared" si="6"/>
        <v>0.93449999999938882</v>
      </c>
      <c r="J36">
        <f t="shared" si="7"/>
        <v>1.0700909577321069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8.6728695652173893E-2</v>
      </c>
      <c r="C37" s="75">
        <f t="shared" si="2"/>
        <v>0</v>
      </c>
      <c r="D37" s="66">
        <f t="shared" si="3"/>
        <v>8.6728695652173893E-2</v>
      </c>
      <c r="E37">
        <f>COUNTIF(tables_588103!C:C,input_588103!A37)-COUNTIF(Q:Q,A37)</f>
        <v>4</v>
      </c>
      <c r="F37" s="37">
        <f t="shared" si="9"/>
        <v>2.1682173913043473E-2</v>
      </c>
      <c r="G37">
        <f t="shared" si="4"/>
        <v>1342213.2939130431</v>
      </c>
      <c r="H37">
        <f t="shared" si="5"/>
        <v>335553.32348000002</v>
      </c>
      <c r="I37">
        <f t="shared" si="6"/>
        <v>0.32348000002093613</v>
      </c>
      <c r="J37">
        <f t="shared" si="7"/>
        <v>3.0913812289330975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1.1775652173913041E-2</v>
      </c>
      <c r="C38" s="75">
        <f t="shared" si="2"/>
        <v>0</v>
      </c>
      <c r="D38" s="66">
        <f t="shared" si="3"/>
        <v>1.1775652173913041E-2</v>
      </c>
      <c r="E38">
        <f>COUNTIF(tables_588103!C:C,input_588103!A38)-COUNTIF(Q:Q,A38)</f>
        <v>6</v>
      </c>
      <c r="F38" s="37">
        <f t="shared" si="9"/>
        <v>1.9626086956521737E-3</v>
      </c>
      <c r="G38">
        <f t="shared" si="4"/>
        <v>182239.99304347823</v>
      </c>
      <c r="H38">
        <f t="shared" si="5"/>
        <v>30373.332170000001</v>
      </c>
      <c r="I38">
        <f t="shared" si="6"/>
        <v>0.3321700000014971</v>
      </c>
      <c r="J38">
        <f t="shared" si="7"/>
        <v>3.0105066682587016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COUNTIF(tables_588103!C:C,input_588103!A39)-COUNTIF(Q:Q,A39)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2.2163478260869562E-2</v>
      </c>
      <c r="C40" s="75">
        <f t="shared" si="2"/>
        <v>0</v>
      </c>
      <c r="D40" s="66">
        <f t="shared" si="3"/>
        <v>2.2163478260869562E-2</v>
      </c>
      <c r="E40">
        <f>COUNTIF(tables_588103!C:C,input_588103!A40)-COUNTIF(Q:Q,A40)</f>
        <v>1</v>
      </c>
      <c r="F40" s="37">
        <f t="shared" si="9"/>
        <v>2.2163478260869562E-2</v>
      </c>
      <c r="G40">
        <f t="shared" si="4"/>
        <v>343001.98956521734</v>
      </c>
      <c r="H40">
        <f t="shared" si="5"/>
        <v>343001.98956999998</v>
      </c>
      <c r="I40">
        <f t="shared" si="6"/>
        <v>0.98956999997608364</v>
      </c>
      <c r="J40">
        <f t="shared" si="7"/>
        <v>1.0105399315098158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2.4626086956521737E-3</v>
      </c>
      <c r="C41" s="75">
        <f t="shared" si="2"/>
        <v>0</v>
      </c>
      <c r="D41" s="66">
        <f t="shared" si="3"/>
        <v>2.4626086956521737E-3</v>
      </c>
      <c r="E41">
        <f>COUNTIF(tables_588103!C:C,input_588103!A41)-COUNTIF(Q:Q,A41)</f>
        <v>1</v>
      </c>
      <c r="F41" s="37">
        <f t="shared" si="9"/>
        <v>2.4626086956521737E-3</v>
      </c>
      <c r="G41">
        <f t="shared" si="4"/>
        <v>38111.332173913041</v>
      </c>
      <c r="H41">
        <f t="shared" si="5"/>
        <v>38111.332170000001</v>
      </c>
      <c r="I41">
        <f t="shared" si="6"/>
        <v>0.3321700000014971</v>
      </c>
      <c r="J41">
        <f t="shared" si="7"/>
        <v>3.0105066682587016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9.9473684210526318E-3</v>
      </c>
      <c r="C42" s="75">
        <f t="shared" si="2"/>
        <v>0</v>
      </c>
      <c r="D42" s="66">
        <f t="shared" si="3"/>
        <v>9.9473684210526318E-3</v>
      </c>
      <c r="E42">
        <f>COUNTIF(tables_588103!C:C,input_588103!A42)-COUNTIF(Q:Q,A42)</f>
        <v>7</v>
      </c>
      <c r="F42" s="37">
        <f>IFERROR(B42/E42,0)</f>
        <v>1.4210526315789475E-3</v>
      </c>
      <c r="G42">
        <f t="shared" si="4"/>
        <v>153945.47368421053</v>
      </c>
      <c r="H42">
        <f t="shared" si="5"/>
        <v>21992.21053</v>
      </c>
      <c r="I42">
        <f t="shared" si="6"/>
        <v>0.21053000000028987</v>
      </c>
      <c r="J42">
        <f t="shared" si="7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1.1052631578947368E-3</v>
      </c>
      <c r="C43" s="75">
        <f t="shared" si="2"/>
        <v>0</v>
      </c>
      <c r="D43" s="66">
        <f t="shared" si="3"/>
        <v>1.1052631578947368E-3</v>
      </c>
      <c r="E43">
        <f>COUNTIF(tables_588103!C:C,input_588103!A43)-COUNTIF(Q:Q,A43)</f>
        <v>7</v>
      </c>
      <c r="F43" s="37">
        <f t="shared" ref="F43:F46" si="10">IFERROR(B43/E43,0)</f>
        <v>1.5789473684210527E-4</v>
      </c>
      <c r="G43">
        <f t="shared" si="4"/>
        <v>17105.052631578947</v>
      </c>
      <c r="H43">
        <f t="shared" si="5"/>
        <v>2443.5789500000001</v>
      </c>
      <c r="I43">
        <f t="shared" si="6"/>
        <v>0.57895000000007713</v>
      </c>
      <c r="J43">
        <f t="shared" si="7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1.8947368421052629E-2</v>
      </c>
      <c r="C44" s="75">
        <f t="shared" si="2"/>
        <v>0</v>
      </c>
      <c r="D44" s="66">
        <f t="shared" si="3"/>
        <v>1.8947368421052629E-2</v>
      </c>
      <c r="E44">
        <f>COUNTIF(tables_588103!C:C,input_588103!A44)-COUNTIF(Q:Q,A44)</f>
        <v>12</v>
      </c>
      <c r="F44" s="37">
        <f t="shared" si="10"/>
        <v>1.5789473684210524E-3</v>
      </c>
      <c r="G44">
        <f t="shared" si="4"/>
        <v>293229.4736842105</v>
      </c>
      <c r="H44">
        <f t="shared" si="5"/>
        <v>24435.78947</v>
      </c>
      <c r="I44">
        <f t="shared" si="6"/>
        <v>0.78946999999971013</v>
      </c>
      <c r="J44">
        <f t="shared" si="7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COUNTIF(tables_588103!C:C,input_588103!A45)-COUNTIF(Q:Q,A45)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6.0000000000000001E-3</v>
      </c>
      <c r="C46" s="75">
        <f>SUMIF(Q:Q,A46,N:N)</f>
        <v>6.0000000000000001E-3</v>
      </c>
      <c r="D46" s="66">
        <f t="shared" si="3"/>
        <v>0</v>
      </c>
      <c r="E46">
        <f>COUNTIF(tables_588103!C:C,input_588103!A46)-COUNTIF(Q:Q,A46)</f>
        <v>0</v>
      </c>
      <c r="F46" s="37">
        <f t="shared" si="10"/>
        <v>0</v>
      </c>
      <c r="G46">
        <f t="shared" si="4"/>
        <v>92856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6.0000000000000001E-3</v>
      </c>
      <c r="D47" s="36">
        <f t="shared" si="3"/>
        <v>0.99399999999999999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</row>
    <row r="51" spans="1:8" x14ac:dyDescent="0.15">
      <c r="A51" s="26">
        <f>LCM(F5-I5,F7-I6)*1000*2*2</f>
        <v>15476000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SUMIF(tables_588103!C:C,input_588103!A55,tables_588103!O:O)</f>
        <v>0</v>
      </c>
      <c r="C55" s="46">
        <f t="shared" ref="C55:C61" ca="1" si="11">B55/B$62</f>
        <v>0</v>
      </c>
      <c r="E55">
        <v>3</v>
      </c>
      <c r="F55">
        <f ca="1">SUMIF(tables_588103!J:J,input_588103!E55,tables_588103!O:O)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SUMIF(tables_588103!C:C,input_588103!A56,tables_588103!O:O)</f>
        <v>2809797.1200000015</v>
      </c>
      <c r="C56" s="46">
        <f t="shared" ca="1" si="11"/>
        <v>0.86598201684700127</v>
      </c>
      <c r="E56">
        <v>4</v>
      </c>
      <c r="F56">
        <f ca="1">SUMIF(tables_588103!J:J,input_588103!E56,tables_588103!O:O)</f>
        <v>13928400.000110013</v>
      </c>
      <c r="G56">
        <f ca="1">F56/A51</f>
        <v>0.90000000000710867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SUMIF(tables_588103!C:C,input_588103!A57,tables_588103!O:O)</f>
        <v>110376</v>
      </c>
      <c r="C57" s="46">
        <f t="shared" ca="1" si="11"/>
        <v>3.401798315299881E-2</v>
      </c>
      <c r="E57">
        <v>5</v>
      </c>
      <c r="F57">
        <f ca="1">SUMIF(tables_588103!J:J,input_588103!E57,tables_588103!O:O)</f>
        <v>1547599.999979998</v>
      </c>
      <c r="G57">
        <f ca="1">F57/A51</f>
        <v>9.9999999998707539E-2</v>
      </c>
      <c r="H57" s="47">
        <f>B21+B23+B26+B28+B29+B31+B36+B38+B41+B43+B44+B46</f>
        <v>0.10000000000000002</v>
      </c>
    </row>
    <row r="58" spans="1:8" x14ac:dyDescent="0.15">
      <c r="A58" s="27" t="s">
        <v>94</v>
      </c>
      <c r="B58">
        <f>SUMIF(tables_588103!C:C,input_588103!A58,tables_588103!O:O)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SUMIF(tables_588103!C:C,input_588103!A59,tables_588103!O:O)</f>
        <v>312199.67999999988</v>
      </c>
      <c r="C59" s="46">
        <f t="shared" ca="1" si="11"/>
        <v>9.622022409411117E-2</v>
      </c>
      <c r="E59" t="s">
        <v>37</v>
      </c>
      <c r="F59" s="47"/>
    </row>
    <row r="60" spans="1:8" x14ac:dyDescent="0.15">
      <c r="A60" s="27" t="s">
        <v>91</v>
      </c>
      <c r="B60">
        <f ca="1">SUMIF(tables_588103!C:C,input_588103!A60,tables_588103!O:O)</f>
        <v>12264</v>
      </c>
      <c r="C60" s="46">
        <f t="shared" ca="1" si="11"/>
        <v>3.7797759058887563E-3</v>
      </c>
      <c r="E60" t="s">
        <v>190</v>
      </c>
      <c r="F60" s="47">
        <f ca="1">SUMIF(tables_588103!I:I,input_588103!E60,tables_588103!P:P)</f>
        <v>0.21803092755365561</v>
      </c>
    </row>
    <row r="61" spans="1:8" x14ac:dyDescent="0.15">
      <c r="A61" s="27" t="s">
        <v>92</v>
      </c>
      <c r="B61">
        <f>SUMIF(tables_588103!C:C,input_588103!A61,tables_588103!O:O)</f>
        <v>0</v>
      </c>
      <c r="C61" s="46">
        <f t="shared" ca="1" si="11"/>
        <v>0</v>
      </c>
      <c r="E61" t="s">
        <v>191</v>
      </c>
      <c r="F61" s="47">
        <f ca="1">SUMIF(tables_588103!I:I,input_588103!E61,tables_588103!P:P)</f>
        <v>0.19598685838280938</v>
      </c>
    </row>
    <row r="62" spans="1:8" x14ac:dyDescent="0.15">
      <c r="A62" s="33" t="s">
        <v>42</v>
      </c>
      <c r="B62">
        <f ca="1">SUM(B55:B61)</f>
        <v>3244636.8000000012</v>
      </c>
      <c r="C62" s="47">
        <f ca="1">SUM(C55:C61)</f>
        <v>1</v>
      </c>
      <c r="E62" t="s">
        <v>192</v>
      </c>
      <c r="F62" s="47">
        <f ca="1">SUMIF(tables_588103!I:I,input_588103!E62,tables_588103!P:P)</f>
        <v>0.52998221406385926</v>
      </c>
    </row>
    <row r="63" spans="1:8" x14ac:dyDescent="0.15">
      <c r="E63" t="s">
        <v>193</v>
      </c>
      <c r="F63" s="103">
        <f ca="1">SUMIF(tables_588103!I:I,input_588103!E63,tables_588103!P:P)</f>
        <v>4.4200595829414643E-2</v>
      </c>
      <c r="G63" s="84"/>
    </row>
    <row r="64" spans="1:8" x14ac:dyDescent="0.15">
      <c r="E64" t="s">
        <v>252</v>
      </c>
      <c r="F64" s="103">
        <f ca="1">SUMIF(tables_588103!I:I,input_588103!E64,tables_588103!P:P)</f>
        <v>5.7994041702945174E-3</v>
      </c>
    </row>
    <row r="65" spans="5:6" x14ac:dyDescent="0.15">
      <c r="E65" t="s">
        <v>251</v>
      </c>
      <c r="F65" s="103">
        <f ca="1">SUMIF(tables_588103!I:I,input_588103!E65,tables_588103!P:P)</f>
        <v>5.9999999999651001E-3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56"/>
  <sheetViews>
    <sheetView showGridLines="0" workbookViewId="0">
      <pane ySplit="1" topLeftCell="A345" activePane="bottomLeft" state="frozen"/>
      <selection activeCell="L296" sqref="L296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input_588103!A$2</f>
        <v>588103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IFERROR(VLOOKUP(B2,input_588103!L:R,7,FALSE),VLOOKUP(tables_588103!C2,input_588103!A:H,8,FALSE))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input_588103!A$2</f>
        <v>588103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IFERROR(VLOOKUP(B3,input_588103!L:R,7,FALSE),VLOOKUP(tables_588103!C3,input_588103!A:H,8,FALSE))</f>
        <v>82527.360000000001</v>
      </c>
      <c r="P3" s="40">
        <f t="shared" ca="1" si="1"/>
        <v>5.3326027396950098E-3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input_588103!A$2</f>
        <v>588103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IFERROR(VLOOKUP(B4,input_588103!L:R,7,FALSE),VLOOKUP(tables_588103!C4,input_588103!A:H,8,FALSE))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input_588103!A$2</f>
        <v>588103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IFERROR(VLOOKUP(B5,input_588103!L:R,7,FALSE),VLOOKUP(tables_588103!C5,input_588103!A:H,8,FALSE))</f>
        <v>82527.360000000001</v>
      </c>
      <c r="P5" s="40">
        <f t="shared" ca="1" si="1"/>
        <v>5.3326027396950098E-3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input_588103!A$2</f>
        <v>588103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IFERROR(VLOOKUP(B6,input_588103!L:R,7,FALSE),VLOOKUP(tables_588103!C6,input_588103!A:H,8,FALSE))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input_588103!A$2</f>
        <v>588103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IFERROR(VLOOKUP(B7,input_588103!L:R,7,FALSE),VLOOKUP(tables_588103!C7,input_588103!A:H,8,FALSE))</f>
        <v>82527.360000000001</v>
      </c>
      <c r="P7" s="40">
        <f t="shared" ca="1" si="1"/>
        <v>5.3326027396950098E-3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input_588103!A$2</f>
        <v>588103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IFERROR(VLOOKUP(B8,input_588103!L:R,7,FALSE),VLOOKUP(tables_588103!C8,input_588103!A:H,8,FALSE))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input_588103!A$2</f>
        <v>588103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IFERROR(VLOOKUP(B9,input_588103!L:R,7,FALSE),VLOOKUP(tables_588103!C9,input_588103!A:H,8,FALSE))</f>
        <v>411770.67570000002</v>
      </c>
      <c r="P9" s="40">
        <f t="shared" ca="1" si="1"/>
        <v>2.6607048054898223E-2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input_588103!A$2</f>
        <v>588103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IFERROR(VLOOKUP(B10,input_588103!L:R,7,FALSE),VLOOKUP(tables_588103!C10,input_588103!A:H,8,FALSE))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input_588103!A$2</f>
        <v>588103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IFERROR(VLOOKUP(B11,input_588103!L:R,7,FALSE),VLOOKUP(tables_588103!C11,input_588103!A:H,8,FALSE))</f>
        <v>82527.360000000001</v>
      </c>
      <c r="P11" s="40">
        <f t="shared" ca="1" si="1"/>
        <v>5.3326027396950098E-3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input_588103!A$2</f>
        <v>588103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IFERROR(VLOOKUP(B12,input_588103!L:R,7,FALSE),VLOOKUP(tables_588103!C12,input_588103!A:H,8,FALSE))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input_588103!A$2</f>
        <v>588103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IFERROR(VLOOKUP(B13,input_588103!L:R,7,FALSE),VLOOKUP(tables_588103!C13,input_588103!A:H,8,FALSE))</f>
        <v>82527.360000000001</v>
      </c>
      <c r="P13" s="40">
        <f t="shared" ca="1" si="1"/>
        <v>5.3326027396950098E-3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input_588103!A$2</f>
        <v>588103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IFERROR(VLOOKUP(B14,input_588103!L:R,7,FALSE),VLOOKUP(tables_588103!C14,input_588103!A:H,8,FALSE))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input_588103!A$2</f>
        <v>588103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IFERROR(VLOOKUP(B15,input_588103!L:R,7,FALSE),VLOOKUP(tables_588103!C15,input_588103!A:H,8,FALSE))</f>
        <v>82527.360000000001</v>
      </c>
      <c r="P15" s="40">
        <f t="shared" ca="1" si="1"/>
        <v>5.3326027396950098E-3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input_588103!A$2</f>
        <v>588103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IFERROR(VLOOKUP(B16,input_588103!L:R,7,FALSE),VLOOKUP(tables_588103!C16,input_588103!A:H,8,FALSE))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input_588103!A$2</f>
        <v>588103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IFERROR(VLOOKUP(B17,input_588103!L:R,7,FALSE),VLOOKUP(tables_588103!C17,input_588103!A:H,8,FALSE))</f>
        <v>411770.67570000002</v>
      </c>
      <c r="P17" s="40">
        <f t="shared" ca="1" si="1"/>
        <v>2.6607048054898223E-2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input_588103!A$2</f>
        <v>588103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IFERROR(VLOOKUP(B18,input_588103!L:R,7,FALSE),VLOOKUP(tables_588103!C18,input_588103!A:H,8,FALSE))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input_588103!A$2</f>
        <v>588103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IFERROR(VLOOKUP(B19,input_588103!L:R,7,FALSE),VLOOKUP(tables_588103!C19,input_588103!A:H,8,FALSE))</f>
        <v>82527.360000000001</v>
      </c>
      <c r="P19" s="40">
        <f t="shared" ca="1" si="1"/>
        <v>5.3326027396950098E-3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input_588103!A$2</f>
        <v>588103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IFERROR(VLOOKUP(B20,input_588103!L:R,7,FALSE),VLOOKUP(tables_588103!C20,input_588103!A:H,8,FALSE))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input_588103!A$2</f>
        <v>588103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IFERROR(VLOOKUP(B21,input_588103!L:R,7,FALSE),VLOOKUP(tables_588103!C21,input_588103!A:H,8,FALSE))</f>
        <v>82527.360000000001</v>
      </c>
      <c r="P21" s="40">
        <f t="shared" ca="1" si="1"/>
        <v>5.3326027396950098E-3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input_588103!A$2</f>
        <v>588103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IFERROR(VLOOKUP(B22,input_588103!L:R,7,FALSE),VLOOKUP(tables_588103!C22,input_588103!A:H,8,FALSE))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input_588103!A$2</f>
        <v>588103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IFERROR(VLOOKUP(B23,input_588103!L:R,7,FALSE),VLOOKUP(tables_588103!C23,input_588103!A:H,8,FALSE))</f>
        <v>82527.360000000001</v>
      </c>
      <c r="P23" s="40">
        <f t="shared" ca="1" si="1"/>
        <v>5.3326027396950098E-3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input_588103!A$2</f>
        <v>588103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IFERROR(VLOOKUP(B24,input_588103!L:R,7,FALSE),VLOOKUP(tables_588103!C24,input_588103!A:H,8,FALSE))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input_588103!A$2</f>
        <v>588103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IFERROR(VLOOKUP(B25,input_588103!L:R,7,FALSE),VLOOKUP(tables_588103!C25,input_588103!A:H,8,FALSE))</f>
        <v>411770.67570000002</v>
      </c>
      <c r="P25" s="40">
        <f t="shared" ca="1" si="1"/>
        <v>2.6607048054898223E-2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input_588103!A$2</f>
        <v>588103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IFERROR(VLOOKUP(B26,input_588103!L:R,7,FALSE),VLOOKUP(tables_588103!C26,input_588103!A:H,8,FALSE))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input_588103!A$2</f>
        <v>588103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IFERROR(VLOOKUP(B27,input_588103!L:R,7,FALSE),VLOOKUP(tables_588103!C27,input_588103!A:H,8,FALSE))</f>
        <v>82527.360000000001</v>
      </c>
      <c r="P27" s="40">
        <f t="shared" ca="1" si="1"/>
        <v>5.3326027396950098E-3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input_588103!A$2</f>
        <v>588103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IFERROR(VLOOKUP(B28,input_588103!L:R,7,FALSE),VLOOKUP(tables_588103!C28,input_588103!A:H,8,FALSE))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input_588103!A$2</f>
        <v>588103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IFERROR(VLOOKUP(B29,input_588103!L:R,7,FALSE),VLOOKUP(tables_588103!C29,input_588103!A:H,8,FALSE))</f>
        <v>82527.360000000001</v>
      </c>
      <c r="P29" s="40">
        <f t="shared" ca="1" si="1"/>
        <v>5.3326027396950098E-3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input_588103!A$2</f>
        <v>588103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IFERROR(VLOOKUP(B30,input_588103!L:R,7,FALSE),VLOOKUP(tables_588103!C30,input_588103!A:H,8,FALSE))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input_588103!A$2</f>
        <v>588103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IFERROR(VLOOKUP(B31,input_588103!L:R,7,FALSE),VLOOKUP(tables_588103!C31,input_588103!A:H,8,FALSE))</f>
        <v>82527.360000000001</v>
      </c>
      <c r="P31" s="40">
        <f t="shared" ca="1" si="1"/>
        <v>5.3326027396950098E-3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input_588103!A$2</f>
        <v>588103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IFERROR(VLOOKUP(B32,input_588103!L:R,7,FALSE),VLOOKUP(tables_588103!C32,input_588103!A:H,8,FALSE))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input_588103!A$2</f>
        <v>588103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IFERROR(VLOOKUP(B33,input_588103!L:R,7,FALSE),VLOOKUP(tables_588103!C33,input_588103!A:H,8,FALSE))</f>
        <v>411770.67570000002</v>
      </c>
      <c r="P33" s="40">
        <f t="shared" ca="1" si="1"/>
        <v>2.6607048054898223E-2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input_588103!A$2</f>
        <v>588103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IFERROR(VLOOKUP(B34,input_588103!L:R,7,FALSE),VLOOKUP(tables_588103!C34,input_588103!A:H,8,FALSE))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input_588103!A$2</f>
        <v>588103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IFERROR(VLOOKUP(B35,input_588103!L:R,7,FALSE),VLOOKUP(tables_588103!C35,input_588103!A:H,8,FALSE))</f>
        <v>82527.360000000001</v>
      </c>
      <c r="P35" s="40">
        <f t="shared" ca="1" si="1"/>
        <v>5.3326027396950098E-3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input_588103!A$2</f>
        <v>588103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IFERROR(VLOOKUP(B36,input_588103!L:R,7,FALSE),VLOOKUP(tables_588103!C36,input_588103!A:H,8,FALSE))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input_588103!A$2</f>
        <v>588103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IFERROR(VLOOKUP(B37,input_588103!L:R,7,FALSE),VLOOKUP(tables_588103!C37,input_588103!A:H,8,FALSE))</f>
        <v>82527.360000000001</v>
      </c>
      <c r="P37" s="40">
        <f t="shared" ca="1" si="1"/>
        <v>5.3326027396950098E-3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input_588103!A$2</f>
        <v>588103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IFERROR(VLOOKUP(B38,input_588103!L:R,7,FALSE),VLOOKUP(tables_588103!C38,input_588103!A:H,8,FALSE))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input_588103!A$2</f>
        <v>588103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IFERROR(VLOOKUP(B39,input_588103!L:R,7,FALSE),VLOOKUP(tables_588103!C39,input_588103!A:H,8,FALSE))</f>
        <v>82527.360000000001</v>
      </c>
      <c r="P39" s="40">
        <f t="shared" ca="1" si="1"/>
        <v>5.3326027396950098E-3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input_588103!A$2</f>
        <v>588103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IFERROR(VLOOKUP(B40,input_588103!L:R,7,FALSE),VLOOKUP(tables_588103!C40,input_588103!A:H,8,FALSE))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input_588103!A$2</f>
        <v>588103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IFERROR(VLOOKUP(B41,input_588103!L:R,7,FALSE),VLOOKUP(tables_588103!C41,input_588103!A:H,8,FALSE))</f>
        <v>411770.67570000002</v>
      </c>
      <c r="P41" s="40">
        <f t="shared" ca="1" si="1"/>
        <v>2.6607048054898223E-2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input_588103!A$2</f>
        <v>588103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IFERROR(VLOOKUP(B42,input_588103!L:R,7,FALSE),VLOOKUP(tables_588103!C42,input_588103!A:H,8,FALSE))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input_588103!A$2</f>
        <v>588103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IFERROR(VLOOKUP(B43,input_588103!L:R,7,FALSE),VLOOKUP(tables_588103!C43,input_588103!A:H,8,FALSE))</f>
        <v>72046.080000000002</v>
      </c>
      <c r="P43" s="40">
        <f t="shared" ca="1" si="1"/>
        <v>4.6553424657263462E-3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input_588103!A$2</f>
        <v>588103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IFERROR(VLOOKUP(B44,input_588103!L:R,7,FALSE),VLOOKUP(tables_588103!C44,input_588103!A:H,8,FALSE))</f>
        <v>8005.12</v>
      </c>
      <c r="P44" s="40">
        <f t="shared" ca="1" si="1"/>
        <v>5.1726027396959405E-4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input_588103!A$2</f>
        <v>588103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IFERROR(VLOOKUP(B45,input_588103!L:R,7,FALSE),VLOOKUP(tables_588103!C45,input_588103!A:H,8,FALSE))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input_588103!A$2</f>
        <v>588103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IFERROR(VLOOKUP(B46,input_588103!L:R,7,FALSE),VLOOKUP(tables_588103!C46,input_588103!A:H,8,FALSE))</f>
        <v>72046.080000000002</v>
      </c>
      <c r="P46" s="40">
        <f t="shared" ca="1" si="1"/>
        <v>4.6553424657263462E-3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input_588103!A$2</f>
        <v>588103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IFERROR(VLOOKUP(B47,input_588103!L:R,7,FALSE),VLOOKUP(tables_588103!C47,input_588103!A:H,8,FALSE))</f>
        <v>8005.12</v>
      </c>
      <c r="P47" s="40">
        <f t="shared" ca="1" si="1"/>
        <v>5.1726027396959405E-4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input_588103!A$2</f>
        <v>588103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IFERROR(VLOOKUP(B48,input_588103!L:R,7,FALSE),VLOOKUP(tables_588103!C48,input_588103!A:H,8,FALSE))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input_588103!A$2</f>
        <v>588103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IFERROR(VLOOKUP(B49,input_588103!L:R,7,FALSE),VLOOKUP(tables_588103!C49,input_588103!A:H,8,FALSE))</f>
        <v>72046.080000000002</v>
      </c>
      <c r="P49" s="40">
        <f t="shared" ca="1" si="1"/>
        <v>4.6553424657263462E-3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input_588103!A$2</f>
        <v>588103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IFERROR(VLOOKUP(B50,input_588103!L:R,7,FALSE),VLOOKUP(tables_588103!C50,input_588103!A:H,8,FALSE))</f>
        <v>8005.12</v>
      </c>
      <c r="P50" s="40">
        <f t="shared" ca="1" si="1"/>
        <v>5.1726027396959405E-4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input_588103!A$2</f>
        <v>588103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IFERROR(VLOOKUP(B51,input_588103!L:R,7,FALSE),VLOOKUP(tables_588103!C51,input_588103!A:H,8,FALSE))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input_588103!A$2</f>
        <v>588103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IFERROR(VLOOKUP(B52,input_588103!L:R,7,FALSE),VLOOKUP(tables_588103!C52,input_588103!A:H,8,FALSE))</f>
        <v>343001.98956999998</v>
      </c>
      <c r="P52" s="40">
        <f t="shared" ca="1" si="1"/>
        <v>2.2163478261049682E-2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input_588103!A$2</f>
        <v>588103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IFERROR(VLOOKUP(B53,input_588103!L:R,7,FALSE),VLOOKUP(tables_588103!C53,input_588103!A:H,8,FALSE))</f>
        <v>23462.934499999999</v>
      </c>
      <c r="P53" s="40">
        <f t="shared" ca="1" si="1"/>
        <v>1.5160851964243684E-3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input_588103!A$2</f>
        <v>588103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IFERROR(VLOOKUP(B54,input_588103!L:R,7,FALSE),VLOOKUP(tables_588103!C54,input_588103!A:H,8,FALSE))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input_588103!A$2</f>
        <v>588103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IFERROR(VLOOKUP(B55,input_588103!L:R,7,FALSE),VLOOKUP(tables_588103!C55,input_588103!A:H,8,FALSE))</f>
        <v>72046.080000000002</v>
      </c>
      <c r="P55" s="40">
        <f t="shared" ca="1" si="1"/>
        <v>4.6553424657263462E-3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input_588103!A$2</f>
        <v>588103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IFERROR(VLOOKUP(B56,input_588103!L:R,7,FALSE),VLOOKUP(tables_588103!C56,input_588103!A:H,8,FALSE))</f>
        <v>8005.12</v>
      </c>
      <c r="P56" s="40">
        <f t="shared" ca="1" si="1"/>
        <v>5.1726027396959405E-4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input_588103!A$2</f>
        <v>588103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IFERROR(VLOOKUP(B57,input_588103!L:R,7,FALSE),VLOOKUP(tables_588103!C57,input_588103!A:H,8,FALSE))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input_588103!A$2</f>
        <v>588103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IFERROR(VLOOKUP(B58,input_588103!L:R,7,FALSE),VLOOKUP(tables_588103!C58,input_588103!A:H,8,FALSE))</f>
        <v>72046.080000000002</v>
      </c>
      <c r="P58" s="40">
        <f t="shared" ca="1" si="1"/>
        <v>4.6553424657263462E-3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input_588103!A$2</f>
        <v>588103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IFERROR(VLOOKUP(B59,input_588103!L:R,7,FALSE),VLOOKUP(tables_588103!C59,input_588103!A:H,8,FALSE))</f>
        <v>8005.12</v>
      </c>
      <c r="P59" s="40">
        <f t="shared" ca="1" si="1"/>
        <v>5.1726027396959405E-4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input_588103!A$2</f>
        <v>588103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IFERROR(VLOOKUP(B60,input_588103!L:R,7,FALSE),VLOOKUP(tables_588103!C60,input_588103!A:H,8,FALSE))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input_588103!A$2</f>
        <v>588103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IFERROR(VLOOKUP(B61,input_588103!L:R,7,FALSE),VLOOKUP(tables_588103!C61,input_588103!A:H,8,FALSE))</f>
        <v>72046.080000000002</v>
      </c>
      <c r="P61" s="40">
        <f t="shared" ca="1" si="1"/>
        <v>4.6553424657263462E-3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input_588103!A$2</f>
        <v>588103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IFERROR(VLOOKUP(B62,input_588103!L:R,7,FALSE),VLOOKUP(tables_588103!C62,input_588103!A:H,8,FALSE))</f>
        <v>8005.12</v>
      </c>
      <c r="P62" s="40">
        <f t="shared" ca="1" si="1"/>
        <v>5.1726027396959405E-4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input_588103!A$2</f>
        <v>588103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IFERROR(VLOOKUP(B63,input_588103!L:R,7,FALSE),VLOOKUP(tables_588103!C63,input_588103!A:H,8,FALSE))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input_588103!A$2</f>
        <v>588103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IFERROR(VLOOKUP(B64,input_588103!L:R,7,FALSE),VLOOKUP(tables_588103!C64,input_588103!A:H,8,FALSE))</f>
        <v>343001.98956999998</v>
      </c>
      <c r="P64" s="40">
        <f t="shared" ca="1" si="1"/>
        <v>2.2163478261049682E-2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input_588103!A$2</f>
        <v>588103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IFERROR(VLOOKUP(B65,input_588103!L:R,7,FALSE),VLOOKUP(tables_588103!C65,input_588103!A:H,8,FALSE))</f>
        <v>23462.934499999999</v>
      </c>
      <c r="P65" s="40">
        <f t="shared" ca="1" si="1"/>
        <v>1.5160851964243684E-3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input_588103!A$2</f>
        <v>588103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IFERROR(VLOOKUP(B66,input_588103!L:R,7,FALSE),VLOOKUP(tables_588103!C66,input_588103!A:H,8,FALSE))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input_588103!A$2</f>
        <v>588103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IFERROR(VLOOKUP(B67,input_588103!L:R,7,FALSE),VLOOKUP(tables_588103!C67,input_588103!A:H,8,FALSE))</f>
        <v>72046.080000000002</v>
      </c>
      <c r="P67" s="40">
        <f t="shared" ca="1" si="4"/>
        <v>4.6553424657263462E-3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input_588103!A$2</f>
        <v>588103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IFERROR(VLOOKUP(B68,input_588103!L:R,7,FALSE),VLOOKUP(tables_588103!C68,input_588103!A:H,8,FALSE))</f>
        <v>8005.12</v>
      </c>
      <c r="P68" s="40">
        <f t="shared" ca="1" si="4"/>
        <v>5.1726027396959405E-4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input_588103!A$2</f>
        <v>588103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IFERROR(VLOOKUP(B69,input_588103!L:R,7,FALSE),VLOOKUP(tables_588103!C69,input_588103!A:H,8,FALSE))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input_588103!A$2</f>
        <v>588103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IFERROR(VLOOKUP(B70,input_588103!L:R,7,FALSE),VLOOKUP(tables_588103!C70,input_588103!A:H,8,FALSE))</f>
        <v>72046.080000000002</v>
      </c>
      <c r="P70" s="40">
        <f t="shared" ca="1" si="4"/>
        <v>4.6553424657263462E-3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input_588103!A$2</f>
        <v>588103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IFERROR(VLOOKUP(B71,input_588103!L:R,7,FALSE),VLOOKUP(tables_588103!C71,input_588103!A:H,8,FALSE))</f>
        <v>8005.12</v>
      </c>
      <c r="P71" s="40">
        <f t="shared" ca="1" si="4"/>
        <v>5.1726027396959405E-4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input_588103!A$2</f>
        <v>588103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IFERROR(VLOOKUP(B72,input_588103!L:R,7,FALSE),VLOOKUP(tables_588103!C72,input_588103!A:H,8,FALSE))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input_588103!A$2</f>
        <v>588103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IFERROR(VLOOKUP(B73,input_588103!L:R,7,FALSE),VLOOKUP(tables_588103!C73,input_588103!A:H,8,FALSE))</f>
        <v>343001.98956999998</v>
      </c>
      <c r="P73" s="40">
        <f t="shared" ca="1" si="4"/>
        <v>2.2163478261049682E-2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input_588103!A$2</f>
        <v>588103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IFERROR(VLOOKUP(B74,input_588103!L:R,7,FALSE),VLOOKUP(tables_588103!C74,input_588103!A:H,8,FALSE))</f>
        <v>23462.934499999999</v>
      </c>
      <c r="P74" s="40">
        <f t="shared" ca="1" si="4"/>
        <v>1.5160851964243684E-3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input_588103!A$2</f>
        <v>588103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IFERROR(VLOOKUP(B75,input_588103!L:R,7,FALSE),VLOOKUP(tables_588103!C75,input_588103!A:H,8,FALSE))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input_588103!A$2</f>
        <v>588103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IFERROR(VLOOKUP(B76,input_588103!L:R,7,FALSE),VLOOKUP(tables_588103!C76,input_588103!A:H,8,FALSE))</f>
        <v>72046.080000000002</v>
      </c>
      <c r="P76" s="40">
        <f t="shared" ca="1" si="4"/>
        <v>4.6553424657263462E-3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input_588103!A$2</f>
        <v>588103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IFERROR(VLOOKUP(B77,input_588103!L:R,7,FALSE),VLOOKUP(tables_588103!C77,input_588103!A:H,8,FALSE))</f>
        <v>8005.12</v>
      </c>
      <c r="P77" s="40">
        <f t="shared" ca="1" si="4"/>
        <v>5.1726027396959405E-4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input_588103!A$2</f>
        <v>588103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IFERROR(VLOOKUP(B78,input_588103!L:R,7,FALSE),VLOOKUP(tables_588103!C78,input_588103!A:H,8,FALSE))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input_588103!A$2</f>
        <v>588103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IFERROR(VLOOKUP(B79,input_588103!L:R,7,FALSE),VLOOKUP(tables_588103!C79,input_588103!A:H,8,FALSE))</f>
        <v>72046.080000000002</v>
      </c>
      <c r="P79" s="40">
        <f t="shared" ca="1" si="4"/>
        <v>4.6553424657263462E-3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input_588103!A$2</f>
        <v>588103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IFERROR(VLOOKUP(B80,input_588103!L:R,7,FALSE),VLOOKUP(tables_588103!C80,input_588103!A:H,8,FALSE))</f>
        <v>8005.12</v>
      </c>
      <c r="P80" s="40">
        <f t="shared" ca="1" si="4"/>
        <v>5.1726027396959405E-4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input_588103!A$2</f>
        <v>588103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IFERROR(VLOOKUP(B81,input_588103!L:R,7,FALSE),VLOOKUP(tables_588103!C81,input_588103!A:H,8,FALSE))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input_588103!A$2</f>
        <v>588103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IFERROR(VLOOKUP(B82,input_588103!L:R,7,FALSE),VLOOKUP(tables_588103!C82,input_588103!A:H,8,FALSE))</f>
        <v>72046.080000000002</v>
      </c>
      <c r="P82" s="40">
        <f t="shared" ca="1" si="4"/>
        <v>4.6553424657263462E-3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input_588103!A$2</f>
        <v>588103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IFERROR(VLOOKUP(B83,input_588103!L:R,7,FALSE),VLOOKUP(tables_588103!C83,input_588103!A:H,8,FALSE))</f>
        <v>8005.12</v>
      </c>
      <c r="P83" s="40">
        <f t="shared" ca="1" si="4"/>
        <v>5.1726027396959405E-4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input_588103!A$2</f>
        <v>588103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IFERROR(VLOOKUP(B84,input_588103!L:R,7,FALSE),VLOOKUP(tables_588103!C84,input_588103!A:H,8,FALSE))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input_588103!A$2</f>
        <v>588103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IFERROR(VLOOKUP(B85,input_588103!L:R,7,FALSE),VLOOKUP(tables_588103!C85,input_588103!A:H,8,FALSE))</f>
        <v>72046.080000000002</v>
      </c>
      <c r="P85" s="40">
        <f t="shared" ca="1" si="4"/>
        <v>4.6553424657263462E-3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input_588103!A$2</f>
        <v>588103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IFERROR(VLOOKUP(B86,input_588103!L:R,7,FALSE),VLOOKUP(tables_588103!C86,input_588103!A:H,8,FALSE))</f>
        <v>8005.12</v>
      </c>
      <c r="P86" s="40">
        <f t="shared" ca="1" si="4"/>
        <v>5.1726027396959405E-4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input_588103!A$2</f>
        <v>588103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IFERROR(VLOOKUP(B87,input_588103!L:R,7,FALSE),VLOOKUP(tables_588103!C87,input_588103!A:H,8,FALSE))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input_588103!A$2</f>
        <v>588103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IFERROR(VLOOKUP(B88,input_588103!L:R,7,FALSE),VLOOKUP(tables_588103!C88,input_588103!A:H,8,FALSE))</f>
        <v>343001.98956999998</v>
      </c>
      <c r="P88" s="40">
        <f t="shared" ca="1" si="4"/>
        <v>2.2163478261049682E-2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input_588103!A$2</f>
        <v>588103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IFERROR(VLOOKUP(B89,input_588103!L:R,7,FALSE),VLOOKUP(tables_588103!C89,input_588103!A:H,8,FALSE))</f>
        <v>23462.934499999999</v>
      </c>
      <c r="P89" s="40">
        <f t="shared" ca="1" si="4"/>
        <v>1.5160851964243684E-3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input_588103!A$2</f>
        <v>588103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IFERROR(VLOOKUP(B90,input_588103!L:R,7,FALSE),VLOOKUP(tables_588103!C90,input_588103!A:H,8,FALSE))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input_588103!A$2</f>
        <v>588103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IFERROR(VLOOKUP(B91,input_588103!L:R,7,FALSE),VLOOKUP(tables_588103!C91,input_588103!A:H,8,FALSE))</f>
        <v>72046.080000000002</v>
      </c>
      <c r="P91" s="40">
        <f t="shared" ca="1" si="4"/>
        <v>4.6553424657263462E-3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input_588103!A$2</f>
        <v>588103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IFERROR(VLOOKUP(B92,input_588103!L:R,7,FALSE),VLOOKUP(tables_588103!C92,input_588103!A:H,8,FALSE))</f>
        <v>8005.12</v>
      </c>
      <c r="P92" s="40">
        <f t="shared" ca="1" si="4"/>
        <v>5.1726027396959405E-4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input_588103!A$2</f>
        <v>588103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IFERROR(VLOOKUP(B93,input_588103!L:R,7,FALSE),VLOOKUP(tables_588103!C93,input_588103!A:H,8,FALSE))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input_588103!A$2</f>
        <v>588103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IFERROR(VLOOKUP(B94,input_588103!L:R,7,FALSE),VLOOKUP(tables_588103!C94,input_588103!A:H,8,FALSE))</f>
        <v>72046.080000000002</v>
      </c>
      <c r="P94" s="40">
        <f t="shared" ca="1" si="4"/>
        <v>4.6553424657263462E-3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input_588103!A$2</f>
        <v>588103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IFERROR(VLOOKUP(B95,input_588103!L:R,7,FALSE),VLOOKUP(tables_588103!C95,input_588103!A:H,8,FALSE))</f>
        <v>8005.12</v>
      </c>
      <c r="P95" s="40">
        <f t="shared" ca="1" si="4"/>
        <v>5.1726027396959405E-4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input_588103!A$2</f>
        <v>588103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IFERROR(VLOOKUP(B96,input_588103!L:R,7,FALSE),VLOOKUP(tables_588103!C96,input_588103!A:H,8,FALSE))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input_588103!A$2</f>
        <v>588103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IFERROR(VLOOKUP(B97,input_588103!L:R,7,FALSE),VLOOKUP(tables_588103!C97,input_588103!A:H,8,FALSE))</f>
        <v>72046.080000000002</v>
      </c>
      <c r="P97" s="40">
        <f t="shared" ca="1" si="4"/>
        <v>4.6553424657263462E-3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input_588103!A$2</f>
        <v>588103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IFERROR(VLOOKUP(B98,input_588103!L:R,7,FALSE),VLOOKUP(tables_588103!C98,input_588103!A:H,8,FALSE))</f>
        <v>8005.12</v>
      </c>
      <c r="P98" s="40">
        <f t="shared" ca="1" si="4"/>
        <v>5.1726027396959405E-4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input_588103!A$2</f>
        <v>588103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IFERROR(VLOOKUP(B99,input_588103!L:R,7,FALSE),VLOOKUP(tables_588103!C99,input_588103!A:H,8,FALSE))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input_588103!A$2</f>
        <v>588103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IFERROR(VLOOKUP(B100,input_588103!L:R,7,FALSE),VLOOKUP(tables_588103!C100,input_588103!A:H,8,FALSE))</f>
        <v>343001.98956999998</v>
      </c>
      <c r="P100" s="40">
        <f t="shared" ca="1" si="4"/>
        <v>2.2163478261049682E-2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input_588103!A$2</f>
        <v>588103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IFERROR(VLOOKUP(B101,input_588103!L:R,7,FALSE),VLOOKUP(tables_588103!C101,input_588103!A:H,8,FALSE))</f>
        <v>23462.934499999999</v>
      </c>
      <c r="P101" s="40">
        <f t="shared" ca="1" si="4"/>
        <v>1.5160851964243684E-3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input_588103!A$2</f>
        <v>588103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IFERROR(VLOOKUP(B102,input_588103!L:R,7,FALSE),VLOOKUP(tables_588103!C102,input_588103!A:H,8,FALSE))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input_588103!A$2</f>
        <v>588103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IFERROR(VLOOKUP(B103,input_588103!L:R,7,FALSE),VLOOKUP(tables_588103!C103,input_588103!A:H,8,FALSE))</f>
        <v>72046.080000000002</v>
      </c>
      <c r="P103" s="40">
        <f t="shared" ca="1" si="4"/>
        <v>4.6553424657263462E-3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input_588103!A$2</f>
        <v>588103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IFERROR(VLOOKUP(B104,input_588103!L:R,7,FALSE),VLOOKUP(tables_588103!C104,input_588103!A:H,8,FALSE))</f>
        <v>8005.12</v>
      </c>
      <c r="P104" s="40">
        <f t="shared" ca="1" si="4"/>
        <v>5.1726027396959405E-4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input_588103!A$2</f>
        <v>588103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IFERROR(VLOOKUP(B105,input_588103!L:R,7,FALSE),VLOOKUP(tables_588103!C105,input_588103!A:H,8,FALSE))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input_588103!A$2</f>
        <v>588103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IFERROR(VLOOKUP(B106,input_588103!L:R,7,FALSE),VLOOKUP(tables_588103!C106,input_588103!A:H,8,FALSE))</f>
        <v>72046.080000000002</v>
      </c>
      <c r="P106" s="40">
        <f t="shared" ca="1" si="4"/>
        <v>4.6553424657263462E-3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input_588103!A$2</f>
        <v>588103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IFERROR(VLOOKUP(B107,input_588103!L:R,7,FALSE),VLOOKUP(tables_588103!C107,input_588103!A:H,8,FALSE))</f>
        <v>8005.12</v>
      </c>
      <c r="P107" s="40">
        <f t="shared" ca="1" si="4"/>
        <v>5.1726027396959405E-4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input_588103!A$2</f>
        <v>588103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IFERROR(VLOOKUP(B108,input_588103!L:R,7,FALSE),VLOOKUP(tables_588103!C108,input_588103!A:H,8,FALSE))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input_588103!A$2</f>
        <v>588103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IFERROR(VLOOKUP(B109,input_588103!L:R,7,FALSE),VLOOKUP(tables_588103!C109,input_588103!A:H,8,FALSE))</f>
        <v>72046.080000000002</v>
      </c>
      <c r="P109" s="40">
        <f t="shared" ca="1" si="4"/>
        <v>4.6553424657263462E-3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input_588103!A$2</f>
        <v>588103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IFERROR(VLOOKUP(B110,input_588103!L:R,7,FALSE),VLOOKUP(tables_588103!C110,input_588103!A:H,8,FALSE))</f>
        <v>8005.12</v>
      </c>
      <c r="P110" s="40">
        <f t="shared" ca="1" si="4"/>
        <v>5.1726027396959405E-4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input_588103!A$2</f>
        <v>588103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IFERROR(VLOOKUP(B111,input_588103!L:R,7,FALSE),VLOOKUP(tables_588103!C111,input_588103!A:H,8,FALSE))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input_588103!A$2</f>
        <v>588103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IFERROR(VLOOKUP(B112,input_588103!L:R,7,FALSE),VLOOKUP(tables_588103!C112,input_588103!A:H,8,FALSE))</f>
        <v>343001.98956999998</v>
      </c>
      <c r="P112" s="40">
        <f t="shared" ca="1" si="4"/>
        <v>2.2163478261049682E-2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input_588103!A$2</f>
        <v>588103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IFERROR(VLOOKUP(B113,input_588103!L:R,7,FALSE),VLOOKUP(tables_588103!C113,input_588103!A:H,8,FALSE))</f>
        <v>38111.332170000001</v>
      </c>
      <c r="P113" s="40">
        <f t="shared" ca="1" si="4"/>
        <v>2.4626086953850042E-3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input_588103!A$2</f>
        <v>588103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IFERROR(VLOOKUP(B114,input_588103!L:R,7,FALSE),VLOOKUP(tables_588103!C114,input_588103!A:H,8,FALSE))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input_588103!A$2</f>
        <v>588103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IFERROR(VLOOKUP(B115,input_588103!L:R,7,FALSE),VLOOKUP(tables_588103!C115,input_588103!A:H,8,FALSE))</f>
        <v>72046.080000000002</v>
      </c>
      <c r="P115" s="40">
        <f t="shared" ca="1" si="4"/>
        <v>4.6553424657263462E-3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input_588103!A$2</f>
        <v>588103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IFERROR(VLOOKUP(B116,input_588103!L:R,7,FALSE),VLOOKUP(tables_588103!C116,input_588103!A:H,8,FALSE))</f>
        <v>8005.12</v>
      </c>
      <c r="P116" s="40">
        <f t="shared" ca="1" si="4"/>
        <v>5.1726027396959405E-4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input_588103!A$2</f>
        <v>588103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IFERROR(VLOOKUP(B117,input_588103!L:R,7,FALSE),VLOOKUP(tables_588103!C117,input_588103!A:H,8,FALSE))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input_588103!A$2</f>
        <v>588103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IFERROR(VLOOKUP(B118,input_588103!L:R,7,FALSE),VLOOKUP(tables_588103!C118,input_588103!A:H,8,FALSE))</f>
        <v>72046.080000000002</v>
      </c>
      <c r="P118" s="40">
        <f t="shared" ca="1" si="4"/>
        <v>4.6553424657263462E-3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input_588103!A$2</f>
        <v>588103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IFERROR(VLOOKUP(B119,input_588103!L:R,7,FALSE),VLOOKUP(tables_588103!C119,input_588103!A:H,8,FALSE))</f>
        <v>8005.12</v>
      </c>
      <c r="P119" s="40">
        <f t="shared" ca="1" si="4"/>
        <v>5.1726027396959405E-4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input_588103!A$2</f>
        <v>588103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IFERROR(VLOOKUP(B120,input_588103!L:R,7,FALSE),VLOOKUP(tables_588103!C120,input_588103!A:H,8,FALSE))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input_588103!A$2</f>
        <v>588103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IFERROR(VLOOKUP(B121,input_588103!L:R,7,FALSE),VLOOKUP(tables_588103!C121,input_588103!A:H,8,FALSE))</f>
        <v>72046.080000000002</v>
      </c>
      <c r="P121" s="40">
        <f t="shared" ca="1" si="4"/>
        <v>4.6553424657263462E-3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input_588103!A$2</f>
        <v>588103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IFERROR(VLOOKUP(B122,input_588103!L:R,7,FALSE),VLOOKUP(tables_588103!C122,input_588103!A:H,8,FALSE))</f>
        <v>8005.12</v>
      </c>
      <c r="P122" s="40">
        <f t="shared" ca="1" si="4"/>
        <v>5.1726027396959405E-4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input_588103!A$2</f>
        <v>588103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IFERROR(VLOOKUP(B123,input_588103!L:R,7,FALSE),VLOOKUP(tables_588103!C123,input_588103!A:H,8,FALSE))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input_588103!A$2</f>
        <v>588103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IFERROR(VLOOKUP(B124,input_588103!L:R,7,FALSE),VLOOKUP(tables_588103!C124,input_588103!A:H,8,FALSE))</f>
        <v>343001.98956999998</v>
      </c>
      <c r="P124" s="40">
        <f t="shared" ca="1" si="4"/>
        <v>2.2163478261049682E-2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input_588103!A$2</f>
        <v>588103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IFERROR(VLOOKUP(B125,input_588103!L:R,7,FALSE),VLOOKUP(tables_588103!C125,input_588103!A:H,8,FALSE))</f>
        <v>23462.934499999999</v>
      </c>
      <c r="P125" s="40">
        <f t="shared" ca="1" si="4"/>
        <v>1.5160851964243684E-3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input_588103!A$2</f>
        <v>588103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IFERROR(VLOOKUP(B126,input_588103!L:R,7,FALSE),VLOOKUP(tables_588103!C126,input_588103!A:H,8,FALSE))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input_588103!A$2</f>
        <v>588103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IFERROR(VLOOKUP(B127,input_588103!L:R,7,FALSE),VLOOKUP(tables_588103!C127,input_588103!A:H,8,FALSE))</f>
        <v>72046.080000000002</v>
      </c>
      <c r="P127" s="40">
        <f t="shared" ca="1" si="4"/>
        <v>4.6553424657263462E-3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input_588103!A$2</f>
        <v>588103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IFERROR(VLOOKUP(B128,input_588103!L:R,7,FALSE),VLOOKUP(tables_588103!C128,input_588103!A:H,8,FALSE))</f>
        <v>8005.12</v>
      </c>
      <c r="P128" s="40">
        <f t="shared" ca="1" si="4"/>
        <v>5.1726027396959405E-4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input_588103!A$2</f>
        <v>588103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IFERROR(VLOOKUP(B129,input_588103!L:R,7,FALSE),VLOOKUP(tables_588103!C129,input_588103!A:H,8,FALSE))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input_588103!A$2</f>
        <v>588103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IFERROR(VLOOKUP(B130,input_588103!L:R,7,FALSE),VLOOKUP(tables_588103!C130,input_588103!A:H,8,FALSE))</f>
        <v>72046.080000000002</v>
      </c>
      <c r="P130" s="40">
        <f t="shared" ref="P130:P193" ca="1" si="7">O130/SUM(O:O)</f>
        <v>4.6553424657263462E-3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input_588103!A$2</f>
        <v>588103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IFERROR(VLOOKUP(B131,input_588103!L:R,7,FALSE),VLOOKUP(tables_588103!C131,input_588103!A:H,8,FALSE))</f>
        <v>8005.12</v>
      </c>
      <c r="P131" s="40">
        <f t="shared" ca="1" si="7"/>
        <v>5.1726027396959405E-4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input_588103!A$2</f>
        <v>588103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IFERROR(VLOOKUP(B132,input_588103!L:R,7,FALSE),VLOOKUP(tables_588103!C132,input_588103!A:H,8,FALSE))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input_588103!A$2</f>
        <v>588103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IFERROR(VLOOKUP(B133,input_588103!L:R,7,FALSE),VLOOKUP(tables_588103!C133,input_588103!A:H,8,FALSE))</f>
        <v>72046.080000000002</v>
      </c>
      <c r="P133" s="40">
        <f t="shared" ca="1" si="7"/>
        <v>4.6553424657263462E-3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input_588103!A$2</f>
        <v>588103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IFERROR(VLOOKUP(B134,input_588103!L:R,7,FALSE),VLOOKUP(tables_588103!C134,input_588103!A:H,8,FALSE))</f>
        <v>8005.12</v>
      </c>
      <c r="P134" s="40">
        <f t="shared" ca="1" si="7"/>
        <v>5.1726027396959405E-4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input_588103!A$2</f>
        <v>588103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IFERROR(VLOOKUP(B135,input_588103!L:R,7,FALSE),VLOOKUP(tables_588103!C135,input_588103!A:H,8,FALSE))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input_588103!A$2</f>
        <v>588103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IFERROR(VLOOKUP(B136,input_588103!L:R,7,FALSE),VLOOKUP(tables_588103!C136,input_588103!A:H,8,FALSE))</f>
        <v>343001.98956999998</v>
      </c>
      <c r="P136" s="40">
        <f t="shared" ca="1" si="7"/>
        <v>2.2163478261049682E-2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input_588103!A$2</f>
        <v>588103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IFERROR(VLOOKUP(B137,input_588103!L:R,7,FALSE),VLOOKUP(tables_588103!C137,input_588103!A:H,8,FALSE))</f>
        <v>23462.934499999999</v>
      </c>
      <c r="P137" s="40">
        <f t="shared" ca="1" si="7"/>
        <v>1.5160851964243684E-3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input_588103!A$2</f>
        <v>588103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IFERROR(VLOOKUP(B138,input_588103!L:R,7,FALSE),VLOOKUP(tables_588103!C138,input_588103!A:H,8,FALSE))</f>
        <v>5256</v>
      </c>
      <c r="P138" s="40">
        <f t="shared" ca="1" si="7"/>
        <v>3.3962264150745852E-4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input_588103!A$2</f>
        <v>588103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IFERROR(VLOOKUP(B139,input_588103!L:R,7,FALSE),VLOOKUP(tables_588103!C139,input_588103!A:H,8,FALSE))</f>
        <v>584</v>
      </c>
      <c r="P139" s="40">
        <f t="shared" ca="1" si="7"/>
        <v>3.7735849056384279E-5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input_588103!A$2</f>
        <v>588103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IFERROR(VLOOKUP(B140,input_588103!L:R,7,FALSE),VLOOKUP(tables_588103!C140,input_588103!A:H,8,FALSE))</f>
        <v>5256</v>
      </c>
      <c r="P140" s="40">
        <f t="shared" ca="1" si="7"/>
        <v>3.3962264150745852E-4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input_588103!A$2</f>
        <v>588103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IFERROR(VLOOKUP(B141,input_588103!L:R,7,FALSE),VLOOKUP(tables_588103!C141,input_588103!A:H,8,FALSE))</f>
        <v>584</v>
      </c>
      <c r="P141" s="40">
        <f t="shared" ca="1" si="7"/>
        <v>3.7735849056384279E-5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input_588103!A$2</f>
        <v>588103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IFERROR(VLOOKUP(B142,input_588103!L:R,7,FALSE),VLOOKUP(tables_588103!C142,input_588103!A:H,8,FALSE))</f>
        <v>5256</v>
      </c>
      <c r="P142" s="40">
        <f t="shared" ca="1" si="7"/>
        <v>3.3962264150745852E-4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input_588103!A$2</f>
        <v>588103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IFERROR(VLOOKUP(B143,input_588103!L:R,7,FALSE),VLOOKUP(tables_588103!C143,input_588103!A:H,8,FALSE))</f>
        <v>584</v>
      </c>
      <c r="P143" s="40">
        <f t="shared" ca="1" si="7"/>
        <v>3.7735849056384279E-5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input_588103!A$2</f>
        <v>588103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IFERROR(VLOOKUP(B144,input_588103!L:R,7,FALSE),VLOOKUP(tables_588103!C144,input_588103!A:H,8,FALSE))</f>
        <v>21992.21053</v>
      </c>
      <c r="P144" s="40">
        <f t="shared" ca="1" si="7"/>
        <v>1.4210526318087413E-3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input_588103!A$2</f>
        <v>588103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IFERROR(VLOOKUP(B145,input_588103!L:R,7,FALSE),VLOOKUP(tables_588103!C145,input_588103!A:H,8,FALSE))</f>
        <v>2443.5789500000001</v>
      </c>
      <c r="P145" s="40">
        <f t="shared" ca="1" si="7"/>
        <v>1.5789473701122945E-4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input_588103!A$2</f>
        <v>588103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IFERROR(VLOOKUP(B146,input_588103!L:R,7,FALSE),VLOOKUP(tables_588103!C146,input_588103!A:H,8,FALSE))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input_588103!A$2</f>
        <v>588103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IFERROR(VLOOKUP(B147,input_588103!L:R,7,FALSE),VLOOKUP(tables_588103!C147,input_588103!A:H,8,FALSE))</f>
        <v>72046.080000000002</v>
      </c>
      <c r="P147" s="40">
        <f t="shared" ca="1" si="7"/>
        <v>4.6553424657263462E-3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input_588103!A$2</f>
        <v>588103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IFERROR(VLOOKUP(B148,input_588103!L:R,7,FALSE),VLOOKUP(tables_588103!C148,input_588103!A:H,8,FALSE))</f>
        <v>8005.12</v>
      </c>
      <c r="P148" s="40">
        <f t="shared" ca="1" si="7"/>
        <v>5.1726027396959405E-4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input_588103!A$2</f>
        <v>588103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IFERROR(VLOOKUP(B149,input_588103!L:R,7,FALSE),VLOOKUP(tables_588103!C149,input_588103!A:H,8,FALSE))</f>
        <v>5256</v>
      </c>
      <c r="P149" s="40">
        <f t="shared" ca="1" si="7"/>
        <v>3.3962264150745852E-4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input_588103!A$2</f>
        <v>588103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IFERROR(VLOOKUP(B150,input_588103!L:R,7,FALSE),VLOOKUP(tables_588103!C150,input_588103!A:H,8,FALSE))</f>
        <v>584</v>
      </c>
      <c r="P150" s="40">
        <f t="shared" ca="1" si="7"/>
        <v>3.7735849056384279E-5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input_588103!A$2</f>
        <v>588103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IFERROR(VLOOKUP(B151,input_588103!L:R,7,FALSE),VLOOKUP(tables_588103!C151,input_588103!A:H,8,FALSE))</f>
        <v>5256</v>
      </c>
      <c r="P151" s="40">
        <f t="shared" ca="1" si="7"/>
        <v>3.3962264150745852E-4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input_588103!A$2</f>
        <v>588103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IFERROR(VLOOKUP(B152,input_588103!L:R,7,FALSE),VLOOKUP(tables_588103!C152,input_588103!A:H,8,FALSE))</f>
        <v>584</v>
      </c>
      <c r="P152" s="40">
        <f t="shared" ca="1" si="7"/>
        <v>3.7735849056384279E-5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input_588103!A$2</f>
        <v>588103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IFERROR(VLOOKUP(B153,input_588103!L:R,7,FALSE),VLOOKUP(tables_588103!C153,input_588103!A:H,8,FALSE))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input_588103!A$2</f>
        <v>588103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IFERROR(VLOOKUP(B154,input_588103!L:R,7,FALSE),VLOOKUP(tables_588103!C154,input_588103!A:H,8,FALSE))</f>
        <v>343001.98956999998</v>
      </c>
      <c r="P154" s="40">
        <f t="shared" ca="1" si="7"/>
        <v>2.2163478261049682E-2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input_588103!A$2</f>
        <v>588103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IFERROR(VLOOKUP(B155,input_588103!L:R,7,FALSE),VLOOKUP(tables_588103!C155,input_588103!A:H,8,FALSE))</f>
        <v>23462.934499999999</v>
      </c>
      <c r="P155" s="40">
        <f t="shared" ca="1" si="7"/>
        <v>1.5160851964243684E-3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input_588103!A$2</f>
        <v>588103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IFERROR(VLOOKUP(B156,input_588103!L:R,7,FALSE),VLOOKUP(tables_588103!C156,input_588103!A:H,8,FALSE))</f>
        <v>5256</v>
      </c>
      <c r="P156" s="40">
        <f t="shared" ca="1" si="7"/>
        <v>3.3962264150745852E-4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input_588103!A$2</f>
        <v>588103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IFERROR(VLOOKUP(B157,input_588103!L:R,7,FALSE),VLOOKUP(tables_588103!C157,input_588103!A:H,8,FALSE))</f>
        <v>584</v>
      </c>
      <c r="P157" s="40">
        <f t="shared" ca="1" si="7"/>
        <v>3.7735849056384279E-5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input_588103!A$2</f>
        <v>588103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IFERROR(VLOOKUP(B158,input_588103!L:R,7,FALSE),VLOOKUP(tables_588103!C158,input_588103!A:H,8,FALSE))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input_588103!A$2</f>
        <v>588103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IFERROR(VLOOKUP(B159,input_588103!L:R,7,FALSE),VLOOKUP(tables_588103!C159,input_588103!A:H,8,FALSE))</f>
        <v>72046.080000000002</v>
      </c>
      <c r="P159" s="40">
        <f t="shared" ca="1" si="7"/>
        <v>4.6553424657263462E-3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input_588103!A$2</f>
        <v>588103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IFERROR(VLOOKUP(B160,input_588103!L:R,7,FALSE),VLOOKUP(tables_588103!C160,input_588103!A:H,8,FALSE))</f>
        <v>8005.12</v>
      </c>
      <c r="P160" s="40">
        <f t="shared" ca="1" si="7"/>
        <v>5.1726027396959405E-4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input_588103!A$2</f>
        <v>588103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IFERROR(VLOOKUP(B161,input_588103!L:R,7,FALSE),VLOOKUP(tables_588103!C161,input_588103!A:H,8,FALSE))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input_588103!A$2</f>
        <v>588103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IFERROR(VLOOKUP(B162,input_588103!L:R,7,FALSE),VLOOKUP(tables_588103!C162,input_588103!A:H,8,FALSE))</f>
        <v>72046.080000000002</v>
      </c>
      <c r="P162" s="40">
        <f t="shared" ca="1" si="7"/>
        <v>4.6553424657263462E-3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input_588103!A$2</f>
        <v>588103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IFERROR(VLOOKUP(B163,input_588103!L:R,7,FALSE),VLOOKUP(tables_588103!C163,input_588103!A:H,8,FALSE))</f>
        <v>8005.12</v>
      </c>
      <c r="P163" s="40">
        <f t="shared" ca="1" si="7"/>
        <v>5.1726027396959405E-4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input_588103!A$2</f>
        <v>588103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IFERROR(VLOOKUP(B164,input_588103!L:R,7,FALSE),VLOOKUP(tables_588103!C164,input_588103!A:H,8,FALSE))</f>
        <v>21992.21053</v>
      </c>
      <c r="P164" s="40">
        <f t="shared" ca="1" si="7"/>
        <v>1.4210526318087413E-3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input_588103!A$2</f>
        <v>588103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IFERROR(VLOOKUP(B165,input_588103!L:R,7,FALSE),VLOOKUP(tables_588103!C165,input_588103!A:H,8,FALSE))</f>
        <v>2443.5789500000001</v>
      </c>
      <c r="P165" s="40">
        <f t="shared" ca="1" si="7"/>
        <v>1.5789473701122945E-4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input_588103!A$2</f>
        <v>588103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IFERROR(VLOOKUP(B166,input_588103!L:R,7,FALSE),VLOOKUP(tables_588103!C166,input_588103!A:H,8,FALSE))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input_588103!A$2</f>
        <v>588103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IFERROR(VLOOKUP(B167,input_588103!L:R,7,FALSE),VLOOKUP(tables_588103!C167,input_588103!A:H,8,FALSE))</f>
        <v>72046.080000000002</v>
      </c>
      <c r="P167" s="40">
        <f t="shared" ca="1" si="7"/>
        <v>4.6553424657263462E-3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input_588103!A$2</f>
        <v>588103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IFERROR(VLOOKUP(B168,input_588103!L:R,7,FALSE),VLOOKUP(tables_588103!C168,input_588103!A:H,8,FALSE))</f>
        <v>8005.12</v>
      </c>
      <c r="P168" s="40">
        <f t="shared" ca="1" si="7"/>
        <v>5.1726027396959405E-4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input_588103!A$2</f>
        <v>588103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IFERROR(VLOOKUP(B169,input_588103!L:R,7,FALSE),VLOOKUP(tables_588103!C169,input_588103!A:H,8,FALSE))</f>
        <v>5256</v>
      </c>
      <c r="P169" s="40">
        <f t="shared" ca="1" si="7"/>
        <v>3.3962264150745852E-4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input_588103!A$2</f>
        <v>588103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IFERROR(VLOOKUP(B170,input_588103!L:R,7,FALSE),VLOOKUP(tables_588103!C170,input_588103!A:H,8,FALSE))</f>
        <v>584</v>
      </c>
      <c r="P170" s="40">
        <f t="shared" ca="1" si="7"/>
        <v>3.7735849056384279E-5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input_588103!A$2</f>
        <v>588103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IFERROR(VLOOKUP(B171,input_588103!L:R,7,FALSE),VLOOKUP(tables_588103!C171,input_588103!A:H,8,FALSE))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input_588103!A$2</f>
        <v>588103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IFERROR(VLOOKUP(B172,input_588103!L:R,7,FALSE),VLOOKUP(tables_588103!C172,input_588103!A:H,8,FALSE))</f>
        <v>72046.080000000002</v>
      </c>
      <c r="P172" s="40">
        <f t="shared" ca="1" si="7"/>
        <v>4.6553424657263462E-3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input_588103!A$2</f>
        <v>588103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IFERROR(VLOOKUP(B173,input_588103!L:R,7,FALSE),VLOOKUP(tables_588103!C173,input_588103!A:H,8,FALSE))</f>
        <v>8005.12</v>
      </c>
      <c r="P173" s="40">
        <f t="shared" ca="1" si="7"/>
        <v>5.1726027396959405E-4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input_588103!A$2</f>
        <v>588103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IFERROR(VLOOKUP(B174,input_588103!L:R,7,FALSE),VLOOKUP(tables_588103!C174,input_588103!A:H,8,FALSE))</f>
        <v>21992.21053</v>
      </c>
      <c r="P174" s="40">
        <f t="shared" ca="1" si="7"/>
        <v>1.4210526318087413E-3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input_588103!A$2</f>
        <v>588103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IFERROR(VLOOKUP(B175,input_588103!L:R,7,FALSE),VLOOKUP(tables_588103!C175,input_588103!A:H,8,FALSE))</f>
        <v>2443.5789500000001</v>
      </c>
      <c r="P175" s="40">
        <f t="shared" ca="1" si="7"/>
        <v>1.5789473701122945E-4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input_588103!A$2</f>
        <v>588103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IFERROR(VLOOKUP(B176,input_588103!L:R,7,FALSE),VLOOKUP(tables_588103!C176,input_588103!A:H,8,FALSE))</f>
        <v>5256</v>
      </c>
      <c r="P176" s="40">
        <f t="shared" ca="1" si="7"/>
        <v>3.3962264150745852E-4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input_588103!A$2</f>
        <v>588103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IFERROR(VLOOKUP(B177,input_588103!L:R,7,FALSE),VLOOKUP(tables_588103!C177,input_588103!A:H,8,FALSE))</f>
        <v>584</v>
      </c>
      <c r="P177" s="40">
        <f t="shared" ca="1" si="7"/>
        <v>3.7735849056384279E-5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input_588103!A$2</f>
        <v>588103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IFERROR(VLOOKUP(B178,input_588103!L:R,7,FALSE),VLOOKUP(tables_588103!C178,input_588103!A:H,8,FALSE))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input_588103!A$2</f>
        <v>588103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IFERROR(VLOOKUP(B179,input_588103!L:R,7,FALSE),VLOOKUP(tables_588103!C179,input_588103!A:H,8,FALSE))</f>
        <v>72046.080000000002</v>
      </c>
      <c r="P179" s="40">
        <f t="shared" ca="1" si="7"/>
        <v>4.6553424657263462E-3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input_588103!A$2</f>
        <v>588103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IFERROR(VLOOKUP(B180,input_588103!L:R,7,FALSE),VLOOKUP(tables_588103!C180,input_588103!A:H,8,FALSE))</f>
        <v>8005.12</v>
      </c>
      <c r="P180" s="40">
        <f t="shared" ca="1" si="7"/>
        <v>5.1726027396959405E-4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input_588103!A$2</f>
        <v>588103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IFERROR(VLOOKUP(B181,input_588103!L:R,7,FALSE),VLOOKUP(tables_588103!C181,input_588103!A:H,8,FALSE))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input_588103!A$2</f>
        <v>588103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IFERROR(VLOOKUP(B182,input_588103!L:R,7,FALSE),VLOOKUP(tables_588103!C182,input_588103!A:H,8,FALSE))</f>
        <v>72046.080000000002</v>
      </c>
      <c r="P182" s="40">
        <f t="shared" ca="1" si="7"/>
        <v>4.6553424657263462E-3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input_588103!A$2</f>
        <v>588103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IFERROR(VLOOKUP(B183,input_588103!L:R,7,FALSE),VLOOKUP(tables_588103!C183,input_588103!A:H,8,FALSE))</f>
        <v>8005.12</v>
      </c>
      <c r="P183" s="40">
        <f t="shared" ca="1" si="7"/>
        <v>5.1726027396959405E-4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input_588103!A$2</f>
        <v>588103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IFERROR(VLOOKUP(B184,input_588103!L:R,7,FALSE),VLOOKUP(tables_588103!C184,input_588103!A:H,8,FALSE))</f>
        <v>21992.21053</v>
      </c>
      <c r="P184" s="40">
        <f t="shared" ca="1" si="7"/>
        <v>1.4210526318087413E-3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input_588103!A$2</f>
        <v>588103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IFERROR(VLOOKUP(B185,input_588103!L:R,7,FALSE),VLOOKUP(tables_588103!C185,input_588103!A:H,8,FALSE))</f>
        <v>2443.5789500000001</v>
      </c>
      <c r="P185" s="40">
        <f t="shared" ca="1" si="7"/>
        <v>1.5789473701122945E-4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input_588103!A$2</f>
        <v>588103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IFERROR(VLOOKUP(B186,input_588103!L:R,7,FALSE),VLOOKUP(tables_588103!C186,input_588103!A:H,8,FALSE))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input_588103!A$2</f>
        <v>588103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IFERROR(VLOOKUP(B187,input_588103!L:R,7,FALSE),VLOOKUP(tables_588103!C187,input_588103!A:H,8,FALSE))</f>
        <v>72046.080000000002</v>
      </c>
      <c r="P187" s="40">
        <f t="shared" ca="1" si="7"/>
        <v>4.6553424657263462E-3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input_588103!A$2</f>
        <v>588103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IFERROR(VLOOKUP(B188,input_588103!L:R,7,FALSE),VLOOKUP(tables_588103!C188,input_588103!A:H,8,FALSE))</f>
        <v>8005.12</v>
      </c>
      <c r="P188" s="40">
        <f t="shared" ca="1" si="7"/>
        <v>5.1726027396959405E-4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input_588103!A$2</f>
        <v>588103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IFERROR(VLOOKUP(B189,input_588103!L:R,7,FALSE),VLOOKUP(tables_588103!C189,input_588103!A:H,8,FALSE))</f>
        <v>5256</v>
      </c>
      <c r="P189" s="40">
        <f t="shared" ca="1" si="7"/>
        <v>3.3962264150745852E-4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input_588103!A$2</f>
        <v>588103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IFERROR(VLOOKUP(B190,input_588103!L:R,7,FALSE),VLOOKUP(tables_588103!C190,input_588103!A:H,8,FALSE))</f>
        <v>584</v>
      </c>
      <c r="P190" s="40">
        <f t="shared" ca="1" si="7"/>
        <v>3.7735849056384279E-5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input_588103!A$2</f>
        <v>588103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IFERROR(VLOOKUP(B191,input_588103!L:R,7,FALSE),VLOOKUP(tables_588103!C191,input_588103!A:H,8,FALSE))</f>
        <v>5256</v>
      </c>
      <c r="P191" s="40">
        <f t="shared" ca="1" si="7"/>
        <v>3.3962264150745852E-4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input_588103!A$2</f>
        <v>588103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IFERROR(VLOOKUP(B192,input_588103!L:R,7,FALSE),VLOOKUP(tables_588103!C192,input_588103!A:H,8,FALSE))</f>
        <v>584</v>
      </c>
      <c r="P192" s="40">
        <f t="shared" ca="1" si="7"/>
        <v>3.7735849056384279E-5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input_588103!A$2</f>
        <v>588103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IFERROR(VLOOKUP(B193,input_588103!L:R,7,FALSE),VLOOKUP(tables_588103!C193,input_588103!A:H,8,FALSE))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input_588103!A$2</f>
        <v>588103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IFERROR(VLOOKUP(B194,input_588103!L:R,7,FALSE),VLOOKUP(tables_588103!C194,input_588103!A:H,8,FALSE))</f>
        <v>343001.98956999998</v>
      </c>
      <c r="P194" s="40">
        <f t="shared" ref="P194:P257" ca="1" si="10">O194/SUM(O:O)</f>
        <v>2.2163478261049682E-2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input_588103!A$2</f>
        <v>588103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IFERROR(VLOOKUP(B195,input_588103!L:R,7,FALSE),VLOOKUP(tables_588103!C195,input_588103!A:H,8,FALSE))</f>
        <v>23462.934499999999</v>
      </c>
      <c r="P195" s="40">
        <f t="shared" ca="1" si="10"/>
        <v>1.5160851964243684E-3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input_588103!A$2</f>
        <v>588103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IFERROR(VLOOKUP(B196,input_588103!L:R,7,FALSE),VLOOKUP(tables_588103!C196,input_588103!A:H,8,FALSE))</f>
        <v>5256</v>
      </c>
      <c r="P196" s="40">
        <f t="shared" ca="1" si="10"/>
        <v>3.3962264150745852E-4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input_588103!A$2</f>
        <v>588103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IFERROR(VLOOKUP(B197,input_588103!L:R,7,FALSE),VLOOKUP(tables_588103!C197,input_588103!A:H,8,FALSE))</f>
        <v>584</v>
      </c>
      <c r="P197" s="40">
        <f t="shared" ca="1" si="10"/>
        <v>3.7735849056384279E-5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input_588103!A$2</f>
        <v>588103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IFERROR(VLOOKUP(B198,input_588103!L:R,7,FALSE),VLOOKUP(tables_588103!C198,input_588103!A:H,8,FALSE))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input_588103!A$2</f>
        <v>588103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IFERROR(VLOOKUP(B199,input_588103!L:R,7,FALSE),VLOOKUP(tables_588103!C199,input_588103!A:H,8,FALSE))</f>
        <v>72046.080000000002</v>
      </c>
      <c r="P199" s="40">
        <f t="shared" ca="1" si="10"/>
        <v>4.6553424657263462E-3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input_588103!A$2</f>
        <v>588103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IFERROR(VLOOKUP(B200,input_588103!L:R,7,FALSE),VLOOKUP(tables_588103!C200,input_588103!A:H,8,FALSE))</f>
        <v>8005.12</v>
      </c>
      <c r="P200" s="40">
        <f t="shared" ca="1" si="10"/>
        <v>5.1726027396959405E-4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input_588103!A$2</f>
        <v>588103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IFERROR(VLOOKUP(B201,input_588103!L:R,7,FALSE),VLOOKUP(tables_588103!C201,input_588103!A:H,8,FALSE))</f>
        <v>5256</v>
      </c>
      <c r="P201" s="40">
        <f t="shared" ca="1" si="10"/>
        <v>3.3962264150745852E-4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input_588103!A$2</f>
        <v>588103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IFERROR(VLOOKUP(B202,input_588103!L:R,7,FALSE),VLOOKUP(tables_588103!C202,input_588103!A:H,8,FALSE))</f>
        <v>584</v>
      </c>
      <c r="P202" s="40">
        <f t="shared" ca="1" si="10"/>
        <v>3.7735849056384279E-5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input_588103!A$2</f>
        <v>588103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IFERROR(VLOOKUP(B203,input_588103!L:R,7,FALSE),VLOOKUP(tables_588103!C203,input_588103!A:H,8,FALSE))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input_588103!A$2</f>
        <v>588103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IFERROR(VLOOKUP(B204,input_588103!L:R,7,FALSE),VLOOKUP(tables_588103!C204,input_588103!A:H,8,FALSE))</f>
        <v>343001.98956999998</v>
      </c>
      <c r="P204" s="40">
        <f t="shared" ca="1" si="10"/>
        <v>2.2163478261049682E-2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input_588103!A$2</f>
        <v>588103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IFERROR(VLOOKUP(B205,input_588103!L:R,7,FALSE),VLOOKUP(tables_588103!C205,input_588103!A:H,8,FALSE))</f>
        <v>23462.934499999999</v>
      </c>
      <c r="P205" s="40">
        <f t="shared" ca="1" si="10"/>
        <v>1.5160851964243684E-3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input_588103!A$2</f>
        <v>588103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IFERROR(VLOOKUP(B206,input_588103!L:R,7,FALSE),VLOOKUP(tables_588103!C206,input_588103!A:H,8,FALSE))</f>
        <v>5256</v>
      </c>
      <c r="P206" s="40">
        <f t="shared" ca="1" si="10"/>
        <v>3.3962264150745852E-4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input_588103!A$2</f>
        <v>588103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IFERROR(VLOOKUP(B207,input_588103!L:R,7,FALSE),VLOOKUP(tables_588103!C207,input_588103!A:H,8,FALSE))</f>
        <v>584</v>
      </c>
      <c r="P207" s="40">
        <f t="shared" ca="1" si="10"/>
        <v>3.7735849056384279E-5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input_588103!A$2</f>
        <v>588103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IFERROR(VLOOKUP(B208,input_588103!L:R,7,FALSE),VLOOKUP(tables_588103!C208,input_588103!A:H,8,FALSE))</f>
        <v>5256</v>
      </c>
      <c r="P208" s="40">
        <f t="shared" ca="1" si="10"/>
        <v>3.3962264150745852E-4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input_588103!A$2</f>
        <v>588103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IFERROR(VLOOKUP(B209,input_588103!L:R,7,FALSE),VLOOKUP(tables_588103!C209,input_588103!A:H,8,FALSE))</f>
        <v>584</v>
      </c>
      <c r="P209" s="40">
        <f t="shared" ca="1" si="10"/>
        <v>3.7735849056384279E-5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input_588103!A$2</f>
        <v>588103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IFERROR(VLOOKUP(B210,input_588103!L:R,7,FALSE),VLOOKUP(tables_588103!C210,input_588103!A:H,8,FALSE))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input_588103!A$2</f>
        <v>588103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IFERROR(VLOOKUP(B211,input_588103!L:R,7,FALSE),VLOOKUP(tables_588103!C211,input_588103!A:H,8,FALSE))</f>
        <v>72046.080000000002</v>
      </c>
      <c r="P211" s="40">
        <f t="shared" ca="1" si="10"/>
        <v>4.6553424657263462E-3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input_588103!A$2</f>
        <v>588103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IFERROR(VLOOKUP(B212,input_588103!L:R,7,FALSE),VLOOKUP(tables_588103!C212,input_588103!A:H,8,FALSE))</f>
        <v>8005.12</v>
      </c>
      <c r="P212" s="40">
        <f t="shared" ca="1" si="10"/>
        <v>5.1726027396959405E-4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input_588103!A$2</f>
        <v>588103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IFERROR(VLOOKUP(B213,input_588103!L:R,7,FALSE),VLOOKUP(tables_588103!C213,input_588103!A:H,8,FALSE))</f>
        <v>21992.21053</v>
      </c>
      <c r="P213" s="40">
        <f t="shared" ca="1" si="10"/>
        <v>1.4210526318087413E-3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input_588103!A$2</f>
        <v>588103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IFERROR(VLOOKUP(B214,input_588103!L:R,7,FALSE),VLOOKUP(tables_588103!C214,input_588103!A:H,8,FALSE))</f>
        <v>2443.5789500000001</v>
      </c>
      <c r="P214" s="40">
        <f t="shared" ca="1" si="10"/>
        <v>1.5789473701122945E-4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input_588103!A$2</f>
        <v>588103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IFERROR(VLOOKUP(B215,input_588103!L:R,7,FALSE),VLOOKUP(tables_588103!C215,input_588103!A:H,8,FALSE))</f>
        <v>4184.0479999999998</v>
      </c>
      <c r="P215" s="40">
        <f t="shared" ca="1" si="10"/>
        <v>2.7035719824086734E-4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input_588103!A$2</f>
        <v>588103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IFERROR(VLOOKUP(B216,input_588103!L:R,7,FALSE),VLOOKUP(tables_588103!C216,input_588103!A:H,8,FALSE))</f>
        <v>4184.0479999999998</v>
      </c>
      <c r="P216" s="40">
        <f t="shared" ca="1" si="10"/>
        <v>2.7035719824086734E-4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input_588103!A$2</f>
        <v>588103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IFERROR(VLOOKUP(B217,input_588103!L:R,7,FALSE),VLOOKUP(tables_588103!C217,input_588103!A:H,8,FALSE))</f>
        <v>4184.0479999999998</v>
      </c>
      <c r="P217" s="40">
        <f t="shared" ca="1" si="10"/>
        <v>2.7035719824086734E-4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input_588103!A$2</f>
        <v>588103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IFERROR(VLOOKUP(B218,input_588103!L:R,7,FALSE),VLOOKUP(tables_588103!C218,input_588103!A:H,8,FALSE))</f>
        <v>30373.332170000001</v>
      </c>
      <c r="P218" s="40">
        <f t="shared" ca="1" si="10"/>
        <v>1.9626086953879124E-3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input_588103!A$2</f>
        <v>588103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IFERROR(VLOOKUP(B219,input_588103!L:R,7,FALSE),VLOOKUP(tables_588103!C219,input_588103!A:H,8,FALSE))</f>
        <v>4184.0479999999998</v>
      </c>
      <c r="P219" s="40">
        <f t="shared" ca="1" si="10"/>
        <v>2.7035719824086734E-4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input_588103!A$2</f>
        <v>588103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IFERROR(VLOOKUP(B220,input_588103!L:R,7,FALSE),VLOOKUP(tables_588103!C220,input_588103!A:H,8,FALSE))</f>
        <v>30373.332170000001</v>
      </c>
      <c r="P220" s="40">
        <f t="shared" ca="1" si="10"/>
        <v>1.9626086953879124E-3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input_588103!A$2</f>
        <v>588103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IFERROR(VLOOKUP(B221,input_588103!L:R,7,FALSE),VLOOKUP(tables_588103!C221,input_588103!A:H,8,FALSE))</f>
        <v>5256</v>
      </c>
      <c r="P221" s="40">
        <f t="shared" ca="1" si="10"/>
        <v>3.3962264150745852E-4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input_588103!A$2</f>
        <v>588103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IFERROR(VLOOKUP(B222,input_588103!L:R,7,FALSE),VLOOKUP(tables_588103!C222,input_588103!A:H,8,FALSE))</f>
        <v>584</v>
      </c>
      <c r="P222" s="40">
        <f t="shared" ca="1" si="10"/>
        <v>3.7735849056384279E-5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input_588103!A$2</f>
        <v>588103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IFERROR(VLOOKUP(B223,input_588103!L:R,7,FALSE),VLOOKUP(tables_588103!C223,input_588103!A:H,8,FALSE))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input_588103!A$2</f>
        <v>588103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IFERROR(VLOOKUP(B224,input_588103!L:R,7,FALSE),VLOOKUP(tables_588103!C224,input_588103!A:H,8,FALSE))</f>
        <v>72046.080000000002</v>
      </c>
      <c r="P224" s="40">
        <f t="shared" ca="1" si="10"/>
        <v>4.6553424657263462E-3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input_588103!A$2</f>
        <v>588103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IFERROR(VLOOKUP(B225,input_588103!L:R,7,FALSE),VLOOKUP(tables_588103!C225,input_588103!A:H,8,FALSE))</f>
        <v>8005.12</v>
      </c>
      <c r="P225" s="40">
        <f t="shared" ca="1" si="10"/>
        <v>5.1726027396959405E-4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input_588103!A$2</f>
        <v>588103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IFERROR(VLOOKUP(B226,input_588103!L:R,7,FALSE),VLOOKUP(tables_588103!C226,input_588103!A:H,8,FALSE))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input_588103!A$2</f>
        <v>588103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IFERROR(VLOOKUP(B227,input_588103!L:R,7,FALSE),VLOOKUP(tables_588103!C227,input_588103!A:H,8,FALSE))</f>
        <v>72046.080000000002</v>
      </c>
      <c r="P227" s="40">
        <f t="shared" ca="1" si="10"/>
        <v>4.6553424657263462E-3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input_588103!A$2</f>
        <v>588103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IFERROR(VLOOKUP(B228,input_588103!L:R,7,FALSE),VLOOKUP(tables_588103!C228,input_588103!A:H,8,FALSE))</f>
        <v>8005.12</v>
      </c>
      <c r="P228" s="40">
        <f t="shared" ca="1" si="10"/>
        <v>5.1726027396959405E-4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input_588103!A$2</f>
        <v>588103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IFERROR(VLOOKUP(B229,input_588103!L:R,7,FALSE),VLOOKUP(tables_588103!C229,input_588103!A:H,8,FALSE))</f>
        <v>21992.21053</v>
      </c>
      <c r="P229" s="40">
        <f t="shared" ca="1" si="10"/>
        <v>1.4210526318087413E-3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input_588103!A$2</f>
        <v>588103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IFERROR(VLOOKUP(B230,input_588103!L:R,7,FALSE),VLOOKUP(tables_588103!C230,input_588103!A:H,8,FALSE))</f>
        <v>2443.5789500000001</v>
      </c>
      <c r="P230" s="40">
        <f t="shared" ca="1" si="10"/>
        <v>1.5789473701122945E-4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input_588103!A$2</f>
        <v>588103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IFERROR(VLOOKUP(B231,input_588103!L:R,7,FALSE),VLOOKUP(tables_588103!C231,input_588103!A:H,8,FALSE))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input_588103!A$2</f>
        <v>588103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IFERROR(VLOOKUP(B232,input_588103!L:R,7,FALSE),VLOOKUP(tables_588103!C232,input_588103!A:H,8,FALSE))</f>
        <v>72046.080000000002</v>
      </c>
      <c r="P232" s="40">
        <f t="shared" ca="1" si="10"/>
        <v>4.6553424657263462E-3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input_588103!A$2</f>
        <v>588103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IFERROR(VLOOKUP(B233,input_588103!L:R,7,FALSE),VLOOKUP(tables_588103!C233,input_588103!A:H,8,FALSE))</f>
        <v>8005.12</v>
      </c>
      <c r="P233" s="40">
        <f t="shared" ca="1" si="10"/>
        <v>5.1726027396959405E-4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input_588103!A$2</f>
        <v>588103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IFERROR(VLOOKUP(B234,input_588103!L:R,7,FALSE),VLOOKUP(tables_588103!C234,input_588103!A:H,8,FALSE))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input_588103!A$2</f>
        <v>588103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IFERROR(VLOOKUP(B235,input_588103!L:R,7,FALSE),VLOOKUP(tables_588103!C235,input_588103!A:H,8,FALSE))</f>
        <v>72046.080000000002</v>
      </c>
      <c r="P235" s="40">
        <f t="shared" ca="1" si="10"/>
        <v>4.6553424657263462E-3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input_588103!A$2</f>
        <v>588103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IFERROR(VLOOKUP(B236,input_588103!L:R,7,FALSE),VLOOKUP(tables_588103!C236,input_588103!A:H,8,FALSE))</f>
        <v>8005.12</v>
      </c>
      <c r="P236" s="40">
        <f t="shared" ca="1" si="10"/>
        <v>5.1726027396959405E-4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input_588103!A$2</f>
        <v>588103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IFERROR(VLOOKUP(B237,input_588103!L:R,7,FALSE),VLOOKUP(tables_588103!C237,input_588103!A:H,8,FALSE))</f>
        <v>5256</v>
      </c>
      <c r="P237" s="40">
        <f t="shared" ca="1" si="10"/>
        <v>3.3962264150745852E-4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input_588103!A$2</f>
        <v>588103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IFERROR(VLOOKUP(B238,input_588103!L:R,7,FALSE),VLOOKUP(tables_588103!C238,input_588103!A:H,8,FALSE))</f>
        <v>584</v>
      </c>
      <c r="P238" s="40">
        <f t="shared" ca="1" si="10"/>
        <v>3.7735849056384279E-5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input_588103!A$2</f>
        <v>588103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IFERROR(VLOOKUP(B239,input_588103!L:R,7,FALSE),VLOOKUP(tables_588103!C239,input_588103!A:H,8,FALSE))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input_588103!A$2</f>
        <v>588103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IFERROR(VLOOKUP(B240,input_588103!L:R,7,FALSE),VLOOKUP(tables_588103!C240,input_588103!A:H,8,FALSE))</f>
        <v>343001.98956999998</v>
      </c>
      <c r="P240" s="40">
        <f t="shared" ca="1" si="10"/>
        <v>2.2163478261049682E-2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input_588103!A$2</f>
        <v>588103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IFERROR(VLOOKUP(B241,input_588103!L:R,7,FALSE),VLOOKUP(tables_588103!C241,input_588103!A:H,8,FALSE))</f>
        <v>23462.934499999999</v>
      </c>
      <c r="P241" s="40">
        <f t="shared" ca="1" si="10"/>
        <v>1.5160851964243684E-3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input_588103!A$2</f>
        <v>588103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IFERROR(VLOOKUP(B242,input_588103!L:R,7,FALSE),VLOOKUP(tables_588103!C242,input_588103!A:H,8,FALSE))</f>
        <v>5256</v>
      </c>
      <c r="P242" s="40">
        <f t="shared" ca="1" si="10"/>
        <v>3.3962264150745852E-4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input_588103!A$2</f>
        <v>588103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IFERROR(VLOOKUP(B243,input_588103!L:R,7,FALSE),VLOOKUP(tables_588103!C243,input_588103!A:H,8,FALSE))</f>
        <v>584</v>
      </c>
      <c r="P243" s="40">
        <f t="shared" ca="1" si="10"/>
        <v>3.7735849056384279E-5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input_588103!A$2</f>
        <v>588103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IFERROR(VLOOKUP(B244,input_588103!L:R,7,FALSE),VLOOKUP(tables_588103!C244,input_588103!A:H,8,FALSE))</f>
        <v>5256</v>
      </c>
      <c r="P244" s="40">
        <f t="shared" ca="1" si="10"/>
        <v>3.3962264150745852E-4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input_588103!A$2</f>
        <v>588103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IFERROR(VLOOKUP(B245,input_588103!L:R,7,FALSE),VLOOKUP(tables_588103!C245,input_588103!A:H,8,FALSE))</f>
        <v>584</v>
      </c>
      <c r="P245" s="40">
        <f t="shared" ca="1" si="10"/>
        <v>3.7735849056384279E-5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input_588103!A$2</f>
        <v>588103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IFERROR(VLOOKUP(B246,input_588103!L:R,7,FALSE),VLOOKUP(tables_588103!C246,input_588103!A:H,8,FALSE))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input_588103!A$2</f>
        <v>588103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IFERROR(VLOOKUP(B247,input_588103!L:R,7,FALSE),VLOOKUP(tables_588103!C247,input_588103!A:H,8,FALSE))</f>
        <v>72046.080000000002</v>
      </c>
      <c r="P247" s="40">
        <f t="shared" ca="1" si="10"/>
        <v>4.6553424657263462E-3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input_588103!A$2</f>
        <v>588103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IFERROR(VLOOKUP(B248,input_588103!L:R,7,FALSE),VLOOKUP(tables_588103!C248,input_588103!A:H,8,FALSE))</f>
        <v>8005.12</v>
      </c>
      <c r="P248" s="40">
        <f t="shared" ca="1" si="10"/>
        <v>5.1726027396959405E-4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input_588103!A$2</f>
        <v>588103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IFERROR(VLOOKUP(B249,input_588103!L:R,7,FALSE),VLOOKUP(tables_588103!C249,input_588103!A:H,8,FALSE))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input_588103!A$2</f>
        <v>588103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IFERROR(VLOOKUP(B250,input_588103!L:R,7,FALSE),VLOOKUP(tables_588103!C250,input_588103!A:H,8,FALSE))</f>
        <v>343001.98956999998</v>
      </c>
      <c r="P250" s="40">
        <f t="shared" ca="1" si="10"/>
        <v>2.2163478261049682E-2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input_588103!A$2</f>
        <v>588103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IFERROR(VLOOKUP(B251,input_588103!L:R,7,FALSE),VLOOKUP(tables_588103!C251,input_588103!A:H,8,FALSE))</f>
        <v>23462.934499999999</v>
      </c>
      <c r="P251" s="40">
        <f t="shared" ca="1" si="10"/>
        <v>1.5160851964243684E-3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input_588103!A$2</f>
        <v>588103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IFERROR(VLOOKUP(B252,input_588103!L:R,7,FALSE),VLOOKUP(tables_588103!C252,input_588103!A:H,8,FALSE))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input_588103!A$2</f>
        <v>588103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IFERROR(VLOOKUP(B253,input_588103!L:R,7,FALSE),VLOOKUP(tables_588103!C253,input_588103!A:H,8,FALSE))</f>
        <v>72046.080000000002</v>
      </c>
      <c r="P253" s="40">
        <f t="shared" ca="1" si="10"/>
        <v>4.6553424657263462E-3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input_588103!A$2</f>
        <v>588103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IFERROR(VLOOKUP(B254,input_588103!L:R,7,FALSE),VLOOKUP(tables_588103!C254,input_588103!A:H,8,FALSE))</f>
        <v>8005.12</v>
      </c>
      <c r="P254" s="40">
        <f t="shared" ca="1" si="10"/>
        <v>5.1726027396959405E-4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input_588103!A$2</f>
        <v>588103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IFERROR(VLOOKUP(B255,input_588103!L:R,7,FALSE),VLOOKUP(tables_588103!C255,input_588103!A:H,8,FALSE))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input_588103!A$2</f>
        <v>588103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IFERROR(VLOOKUP(B256,input_588103!L:R,7,FALSE),VLOOKUP(tables_588103!C256,input_588103!A:H,8,FALSE))</f>
        <v>72046.080000000002</v>
      </c>
      <c r="P256" s="40">
        <f t="shared" ca="1" si="10"/>
        <v>4.6553424657263462E-3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input_588103!A$2</f>
        <v>588103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IFERROR(VLOOKUP(B257,input_588103!L:R,7,FALSE),VLOOKUP(tables_588103!C257,input_588103!A:H,8,FALSE))</f>
        <v>8005.12</v>
      </c>
      <c r="P257" s="40">
        <f t="shared" ca="1" si="10"/>
        <v>5.1726027396959405E-4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input_588103!A$2</f>
        <v>588103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IFERROR(VLOOKUP(B258,input_588103!L:R,7,FALSE),VLOOKUP(tables_588103!C258,input_588103!A:H,8,FALSE))</f>
        <v>5256</v>
      </c>
      <c r="P258" s="40">
        <f t="shared" ref="P258:P321" ca="1" si="13">O258/SUM(O:O)</f>
        <v>3.3962264150745852E-4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input_588103!A$2</f>
        <v>588103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IFERROR(VLOOKUP(B259,input_588103!L:R,7,FALSE),VLOOKUP(tables_588103!C259,input_588103!A:H,8,FALSE))</f>
        <v>584</v>
      </c>
      <c r="P259" s="40">
        <f t="shared" ca="1" si="13"/>
        <v>3.7735849056384279E-5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input_588103!A$2</f>
        <v>588103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IFERROR(VLOOKUP(B260,input_588103!L:R,7,FALSE),VLOOKUP(tables_588103!C260,input_588103!A:H,8,FALSE))</f>
        <v>21992.21053</v>
      </c>
      <c r="P260" s="40">
        <f t="shared" ca="1" si="13"/>
        <v>1.4210526318087413E-3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input_588103!A$2</f>
        <v>588103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IFERROR(VLOOKUP(B261,input_588103!L:R,7,FALSE),VLOOKUP(tables_588103!C261,input_588103!A:H,8,FALSE))</f>
        <v>2443.5789500000001</v>
      </c>
      <c r="P261" s="40">
        <f t="shared" ca="1" si="13"/>
        <v>1.5789473701122945E-4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input_588103!A$2</f>
        <v>588103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IFERROR(VLOOKUP(B262,input_588103!L:R,7,FALSE),VLOOKUP(tables_588103!C262,input_588103!A:H,8,FALSE))</f>
        <v>74821.14</v>
      </c>
      <c r="P262" s="40">
        <f t="shared" ca="1" si="13"/>
        <v>4.8346562418948563E-3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input_588103!A$2</f>
        <v>588103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IFERROR(VLOOKUP(B263,input_588103!L:R,7,FALSE),VLOOKUP(tables_588103!C263,input_588103!A:H,8,FALSE))</f>
        <v>4184.0479999999998</v>
      </c>
      <c r="P263" s="40">
        <f t="shared" ca="1" si="13"/>
        <v>2.7035719824086734E-4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input_588103!A$2</f>
        <v>588103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IFERROR(VLOOKUP(B264,input_588103!L:R,7,FALSE),VLOOKUP(tables_588103!C264,input_588103!A:H,8,FALSE))</f>
        <v>74821.14</v>
      </c>
      <c r="P264" s="40">
        <f t="shared" ca="1" si="13"/>
        <v>4.8346562418948563E-3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input_588103!A$2</f>
        <v>588103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IFERROR(VLOOKUP(B265,input_588103!L:R,7,FALSE),VLOOKUP(tables_588103!C265,input_588103!A:H,8,FALSE))</f>
        <v>4184.0479999999998</v>
      </c>
      <c r="P265" s="40">
        <f t="shared" ca="1" si="13"/>
        <v>2.7035719824086734E-4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input_588103!A$2</f>
        <v>588103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IFERROR(VLOOKUP(B266,input_588103!L:R,7,FALSE),VLOOKUP(tables_588103!C266,input_588103!A:H,8,FALSE))</f>
        <v>5840</v>
      </c>
      <c r="P266" s="40">
        <f t="shared" ca="1" si="13"/>
        <v>3.773584905638428E-4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input_588103!A$2</f>
        <v>588103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IFERROR(VLOOKUP(B267,input_588103!L:R,7,FALSE),VLOOKUP(tables_588103!C267,input_588103!A:H,8,FALSE))</f>
        <v>24435.78947</v>
      </c>
      <c r="P267" s="40">
        <f t="shared" ca="1" si="13"/>
        <v>1.578947368173809E-3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input_588103!A$2</f>
        <v>588103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IFERROR(VLOOKUP(B268,input_588103!L:R,7,FALSE),VLOOKUP(tables_588103!C268,input_588103!A:H,8,FALSE))</f>
        <v>5840</v>
      </c>
      <c r="P268" s="40">
        <f t="shared" ca="1" si="13"/>
        <v>3.773584905638428E-4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input_588103!A$2</f>
        <v>588103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IFERROR(VLOOKUP(B269,input_588103!L:R,7,FALSE),VLOOKUP(tables_588103!C269,input_588103!A:H,8,FALSE))</f>
        <v>5840</v>
      </c>
      <c r="P269" s="40">
        <f t="shared" ca="1" si="13"/>
        <v>3.773584905638428E-4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input_588103!A$2</f>
        <v>588103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IFERROR(VLOOKUP(B270,input_588103!L:R,7,FALSE),VLOOKUP(tables_588103!C270,input_588103!A:H,8,FALSE))</f>
        <v>74821.14</v>
      </c>
      <c r="P270" s="40">
        <f t="shared" ca="1" si="13"/>
        <v>4.8346562418948563E-3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input_588103!A$2</f>
        <v>588103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IFERROR(VLOOKUP(B271,input_588103!L:R,7,FALSE),VLOOKUP(tables_588103!C271,input_588103!A:H,8,FALSE))</f>
        <v>4184.0479999999998</v>
      </c>
      <c r="P271" s="40">
        <f t="shared" ca="1" si="13"/>
        <v>2.7035719824086734E-4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input_588103!A$2</f>
        <v>588103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IFERROR(VLOOKUP(B272,input_588103!L:R,7,FALSE),VLOOKUP(tables_588103!C272,input_588103!A:H,8,FALSE))</f>
        <v>335553.32348000002</v>
      </c>
      <c r="P272" s="40">
        <f t="shared" ca="1" si="13"/>
        <v>2.1682173913029738E-2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input_588103!A$2</f>
        <v>588103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IFERROR(VLOOKUP(B273,input_588103!L:R,7,FALSE),VLOOKUP(tables_588103!C273,input_588103!A:H,8,FALSE))</f>
        <v>30373.332170000001</v>
      </c>
      <c r="P273" s="40">
        <f t="shared" ca="1" si="13"/>
        <v>1.9626086953879124E-3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input_588103!A$2</f>
        <v>588103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IFERROR(VLOOKUP(B274,input_588103!L:R,7,FALSE),VLOOKUP(tables_588103!C274,input_588103!A:H,8,FALSE))</f>
        <v>5256</v>
      </c>
      <c r="P274" s="40">
        <f t="shared" ca="1" si="13"/>
        <v>3.3962264150745852E-4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input_588103!A$2</f>
        <v>588103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IFERROR(VLOOKUP(B275,input_588103!L:R,7,FALSE),VLOOKUP(tables_588103!C275,input_588103!A:H,8,FALSE))</f>
        <v>584</v>
      </c>
      <c r="P275" s="40">
        <f t="shared" ca="1" si="13"/>
        <v>3.7735849056384279E-5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input_588103!A$2</f>
        <v>588103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IFERROR(VLOOKUP(B276,input_588103!L:R,7,FALSE),VLOOKUP(tables_588103!C276,input_588103!A:H,8,FALSE))</f>
        <v>5256</v>
      </c>
      <c r="P276" s="40">
        <f t="shared" ca="1" si="13"/>
        <v>3.3962264150745852E-4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input_588103!A$2</f>
        <v>588103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IFERROR(VLOOKUP(B277,input_588103!L:R,7,FALSE),VLOOKUP(tables_588103!C277,input_588103!A:H,8,FALSE))</f>
        <v>584</v>
      </c>
      <c r="P277" s="40">
        <f t="shared" ca="1" si="13"/>
        <v>3.7735849056384279E-5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input_588103!A$2</f>
        <v>588103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IFERROR(VLOOKUP(B278,input_588103!L:R,7,FALSE),VLOOKUP(tables_588103!C278,input_588103!A:H,8,FALSE))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input_588103!A$2</f>
        <v>588103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IFERROR(VLOOKUP(B279,input_588103!L:R,7,FALSE),VLOOKUP(tables_588103!C279,input_588103!A:H,8,FALSE))</f>
        <v>72046.080000000002</v>
      </c>
      <c r="P279" s="40">
        <f t="shared" ca="1" si="13"/>
        <v>4.6553424657263462E-3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input_588103!A$2</f>
        <v>588103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IFERROR(VLOOKUP(B280,input_588103!L:R,7,FALSE),VLOOKUP(tables_588103!C280,input_588103!A:H,8,FALSE))</f>
        <v>8005.12</v>
      </c>
      <c r="P280" s="40">
        <f t="shared" ca="1" si="13"/>
        <v>5.1726027396959405E-4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input_588103!A$2</f>
        <v>588103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IFERROR(VLOOKUP(B281,input_588103!L:R,7,FALSE),VLOOKUP(tables_588103!C281,input_588103!A:H,8,FALSE))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input_588103!A$2</f>
        <v>588103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IFERROR(VLOOKUP(B282,input_588103!L:R,7,FALSE),VLOOKUP(tables_588103!C282,input_588103!A:H,8,FALSE))</f>
        <v>343001.98956999998</v>
      </c>
      <c r="P282" s="40">
        <f t="shared" ca="1" si="13"/>
        <v>2.2163478261049682E-2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input_588103!A$2</f>
        <v>588103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IFERROR(VLOOKUP(B283,input_588103!L:R,7,FALSE),VLOOKUP(tables_588103!C283,input_588103!A:H,8,FALSE))</f>
        <v>23462.934499999999</v>
      </c>
      <c r="P283" s="40">
        <f t="shared" ca="1" si="13"/>
        <v>1.5160851964243684E-3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input_588103!A$2</f>
        <v>588103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IFERROR(VLOOKUP(B284,input_588103!L:R,7,FALSE),VLOOKUP(tables_588103!C284,input_588103!A:H,8,FALSE))</f>
        <v>5840</v>
      </c>
      <c r="P284" s="40">
        <f t="shared" ca="1" si="13"/>
        <v>3.773584905638428E-4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input_588103!A$2</f>
        <v>588103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IFERROR(VLOOKUP(B285,input_588103!L:R,7,FALSE),VLOOKUP(tables_588103!C285,input_588103!A:H,8,FALSE))</f>
        <v>5840</v>
      </c>
      <c r="P285" s="40">
        <f t="shared" ca="1" si="13"/>
        <v>3.773584905638428E-4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input_588103!A$2</f>
        <v>588103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IFERROR(VLOOKUP(B286,input_588103!L:R,7,FALSE),VLOOKUP(tables_588103!C286,input_588103!A:H,8,FALSE))</f>
        <v>74821.14</v>
      </c>
      <c r="P286" s="40">
        <f t="shared" ca="1" si="13"/>
        <v>4.8346562418948563E-3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input_588103!A$2</f>
        <v>588103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IFERROR(VLOOKUP(B287,input_588103!L:R,7,FALSE),VLOOKUP(tables_588103!C287,input_588103!A:H,8,FALSE))</f>
        <v>4184.0479999999998</v>
      </c>
      <c r="P287" s="40">
        <f t="shared" ca="1" si="13"/>
        <v>2.7035719824086734E-4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input_588103!A$2</f>
        <v>588103</v>
      </c>
      <c r="B288" s="5">
        <v>854</v>
      </c>
      <c r="C288" s="7" t="str">
        <f t="shared" si="12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IFERROR(VLOOKUP(B288,input_588103!L:R,7,FALSE),VLOOKUP(tables_588103!C288,input_588103!A:H,8,FALSE))</f>
        <v>335553.32348000002</v>
      </c>
      <c r="P288" s="40">
        <f t="shared" ca="1" si="13"/>
        <v>2.1682173913029738E-2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input_588103!A$2</f>
        <v>588103</v>
      </c>
      <c r="B289" s="5">
        <v>855</v>
      </c>
      <c r="C289" s="7" t="str">
        <f t="shared" si="12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IFERROR(VLOOKUP(B289,input_588103!L:R,7,FALSE),VLOOKUP(tables_588103!C289,input_588103!A:H,8,FALSE))</f>
        <v>30373.332170000001</v>
      </c>
      <c r="P289" s="40">
        <f t="shared" ca="1" si="13"/>
        <v>1.9626086953879124E-3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input_588103!A$2</f>
        <v>588103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IFERROR(VLOOKUP(B290,input_588103!L:R,7,FALSE),VLOOKUP(tables_588103!C290,input_588103!A:H,8,FALSE))</f>
        <v>74821.14</v>
      </c>
      <c r="P290" s="40">
        <f t="shared" ca="1" si="13"/>
        <v>4.8346562418948563E-3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input_588103!A$2</f>
        <v>588103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IFERROR(VLOOKUP(B291,input_588103!L:R,7,FALSE),VLOOKUP(tables_588103!C291,input_588103!A:H,8,FALSE))</f>
        <v>4184.0479999999998</v>
      </c>
      <c r="P291" s="40">
        <f t="shared" ca="1" si="13"/>
        <v>2.7035719824086734E-4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input_588103!A$2</f>
        <v>588103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IFERROR(VLOOKUP(B292,input_588103!L:R,7,FALSE),VLOOKUP(tables_588103!C292,input_588103!A:H,8,FALSE))</f>
        <v>74821.14</v>
      </c>
      <c r="P292" s="40">
        <f t="shared" ca="1" si="13"/>
        <v>4.8346562418948563E-3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input_588103!A$2</f>
        <v>588103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IFERROR(VLOOKUP(B293,input_588103!L:R,7,FALSE),VLOOKUP(tables_588103!C293,input_588103!A:H,8,FALSE))</f>
        <v>4184.0479999999998</v>
      </c>
      <c r="P293" s="40">
        <f t="shared" ca="1" si="13"/>
        <v>2.7035719824086734E-4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input_588103!A$2</f>
        <v>588103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IFERROR(VLOOKUP(B294,input_588103!L:R,7,FALSE),VLOOKUP(tables_588103!C294,input_588103!A:H,8,FALSE))</f>
        <v>5840</v>
      </c>
      <c r="P294" s="40">
        <f t="shared" ca="1" si="13"/>
        <v>3.773584905638428E-4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input_588103!A$2</f>
        <v>588103</v>
      </c>
      <c r="B295" s="5">
        <v>868</v>
      </c>
      <c r="C295" s="7" t="str">
        <f t="shared" si="12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IFERROR(VLOOKUP(B295,input_588103!L:R,7,FALSE),VLOOKUP(tables_588103!C295,input_588103!A:H,8,FALSE))</f>
        <v>24435.78947</v>
      </c>
      <c r="P295" s="40">
        <f t="shared" ca="1" si="13"/>
        <v>1.578947368173809E-3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input_588103!A$2</f>
        <v>588103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IFERROR(VLOOKUP(B296,input_588103!L:R,7,FALSE),VLOOKUP(tables_588103!C296,input_588103!A:H,8,FALSE))</f>
        <v>5840</v>
      </c>
      <c r="P296" s="40">
        <f t="shared" ca="1" si="13"/>
        <v>3.773584905638428E-4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input_588103!A$2</f>
        <v>588103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IFERROR(VLOOKUP(B297,input_588103!L:R,7,FALSE),VLOOKUP(tables_588103!C297,input_588103!A:H,8,FALSE))</f>
        <v>74821.14</v>
      </c>
      <c r="P297" s="40">
        <f t="shared" ca="1" si="13"/>
        <v>4.8346562418948563E-3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input_588103!A$2</f>
        <v>588103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IFERROR(VLOOKUP(B298,input_588103!L:R,7,FALSE),VLOOKUP(tables_588103!C298,input_588103!A:H,8,FALSE))</f>
        <v>4184.0479999999998</v>
      </c>
      <c r="P298" s="40">
        <f t="shared" ca="1" si="13"/>
        <v>2.7035719824086734E-4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input_588103!A$2</f>
        <v>588103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IFERROR(VLOOKUP(B299,input_588103!L:R,7,FALSE),VLOOKUP(tables_588103!C299,input_588103!A:H,8,FALSE))</f>
        <v>5840</v>
      </c>
      <c r="P299" s="40">
        <f t="shared" ca="1" si="13"/>
        <v>3.773584905638428E-4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input_588103!A$2</f>
        <v>588103</v>
      </c>
      <c r="B300" s="5">
        <v>943</v>
      </c>
      <c r="C300" s="7" t="str">
        <f t="shared" si="12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IFERROR(VLOOKUP(B300,input_588103!L:R,7,FALSE),VLOOKUP(tables_588103!C300,input_588103!A:H,8,FALSE))</f>
        <v>24435.78947</v>
      </c>
      <c r="P300" s="40">
        <f t="shared" ca="1" si="13"/>
        <v>1.578947368173809E-3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input_588103!A$2</f>
        <v>588103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IFERROR(VLOOKUP(B301,input_588103!L:R,7,FALSE),VLOOKUP(tables_588103!C301,input_588103!A:H,8,FALSE))</f>
        <v>5840</v>
      </c>
      <c r="P301" s="40">
        <f t="shared" ca="1" si="13"/>
        <v>3.773584905638428E-4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input_588103!A$2</f>
        <v>588103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IFERROR(VLOOKUP(B302,input_588103!L:R,7,FALSE),VLOOKUP(tables_588103!C302,input_588103!A:H,8,FALSE))</f>
        <v>5840</v>
      </c>
      <c r="P302" s="40">
        <f t="shared" ca="1" si="13"/>
        <v>3.773584905638428E-4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input_588103!A$2</f>
        <v>588103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IFERROR(VLOOKUP(B303,input_588103!L:R,7,FALSE),VLOOKUP(tables_588103!C303,input_588103!A:H,8,FALSE))</f>
        <v>74821.14</v>
      </c>
      <c r="P303" s="40">
        <f t="shared" ca="1" si="13"/>
        <v>4.8346562418948563E-3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input_588103!A$2</f>
        <v>588103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IFERROR(VLOOKUP(B304,input_588103!L:R,7,FALSE),VLOOKUP(tables_588103!C304,input_588103!A:H,8,FALSE))</f>
        <v>4184.0479999999998</v>
      </c>
      <c r="P304" s="40">
        <f t="shared" ca="1" si="13"/>
        <v>2.7035719824086734E-4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input_588103!A$2</f>
        <v>588103</v>
      </c>
      <c r="B305" s="5">
        <v>1018</v>
      </c>
      <c r="C305" s="7" t="str">
        <f t="shared" si="12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IFERROR(VLOOKUP(B305,input_588103!L:R,7,FALSE),VLOOKUP(tables_588103!C305,input_588103!A:H,8,FALSE))</f>
        <v>24435.78947</v>
      </c>
      <c r="P305" s="40">
        <f t="shared" ca="1" si="13"/>
        <v>1.578947368173809E-3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input_588103!A$2</f>
        <v>588103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IFERROR(VLOOKUP(B306,input_588103!L:R,7,FALSE),VLOOKUP(tables_588103!C306,input_588103!A:H,8,FALSE))</f>
        <v>74821.14</v>
      </c>
      <c r="P306" s="40">
        <f t="shared" ca="1" si="13"/>
        <v>4.8346562418948563E-3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input_588103!A$2</f>
        <v>588103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IFERROR(VLOOKUP(B307,input_588103!L:R,7,FALSE),VLOOKUP(tables_588103!C307,input_588103!A:H,8,FALSE))</f>
        <v>4184.0479999999998</v>
      </c>
      <c r="P307" s="40">
        <f t="shared" ca="1" si="13"/>
        <v>2.7035719824086734E-4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input_588103!A$2</f>
        <v>588103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IFERROR(VLOOKUP(B308,input_588103!L:R,7,FALSE),VLOOKUP(tables_588103!C308,input_588103!A:H,8,FALSE))</f>
        <v>5840</v>
      </c>
      <c r="P308" s="40">
        <f t="shared" ca="1" si="13"/>
        <v>3.773584905638428E-4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input_588103!A$2</f>
        <v>588103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IFERROR(VLOOKUP(B309,input_588103!L:R,7,FALSE),VLOOKUP(tables_588103!C309,input_588103!A:H,8,FALSE))</f>
        <v>5840</v>
      </c>
      <c r="P309" s="40">
        <f t="shared" ca="1" si="13"/>
        <v>3.773584905638428E-4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input_588103!A$2</f>
        <v>588103</v>
      </c>
      <c r="B310" s="5">
        <v>1033</v>
      </c>
      <c r="C310" s="7" t="str">
        <f t="shared" si="12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IFERROR(VLOOKUP(B310,input_588103!L:R,7,FALSE),VLOOKUP(tables_588103!C310,input_588103!A:H,8,FALSE))</f>
        <v>24435.78947</v>
      </c>
      <c r="P310" s="40">
        <f t="shared" ca="1" si="13"/>
        <v>1.578947368173809E-3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input_588103!A$2</f>
        <v>588103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IFERROR(VLOOKUP(B311,input_588103!L:R,7,FALSE),VLOOKUP(tables_588103!C311,input_588103!A:H,8,FALSE))</f>
        <v>74821.14</v>
      </c>
      <c r="P311" s="40">
        <f t="shared" ca="1" si="13"/>
        <v>4.8346562418948563E-3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input_588103!A$2</f>
        <v>588103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IFERROR(VLOOKUP(B312,input_588103!L:R,7,FALSE),VLOOKUP(tables_588103!C312,input_588103!A:H,8,FALSE))</f>
        <v>4184.0479999999998</v>
      </c>
      <c r="P312" s="40">
        <f t="shared" ca="1" si="13"/>
        <v>2.7035719824086734E-4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input_588103!A$2</f>
        <v>588103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IFERROR(VLOOKUP(B313,input_588103!L:R,7,FALSE),VLOOKUP(tables_588103!C313,input_588103!A:H,8,FALSE))</f>
        <v>5840</v>
      </c>
      <c r="P313" s="40">
        <f t="shared" ca="1" si="13"/>
        <v>3.773584905638428E-4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input_588103!A$2</f>
        <v>588103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IFERROR(VLOOKUP(B314,input_588103!L:R,7,FALSE),VLOOKUP(tables_588103!C314,input_588103!A:H,8,FALSE))</f>
        <v>5840</v>
      </c>
      <c r="P314" s="40">
        <f t="shared" ca="1" si="13"/>
        <v>3.773584905638428E-4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input_588103!A$2</f>
        <v>588103</v>
      </c>
      <c r="B315" s="5">
        <v>1074</v>
      </c>
      <c r="C315" s="7" t="str">
        <f t="shared" si="12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IFERROR(VLOOKUP(B315,input_588103!L:R,7,FALSE),VLOOKUP(tables_588103!C315,input_588103!A:H,8,FALSE))</f>
        <v>24435.78947</v>
      </c>
      <c r="P315" s="40">
        <f t="shared" ca="1" si="13"/>
        <v>1.578947368173809E-3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input_588103!A$2</f>
        <v>588103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IFERROR(VLOOKUP(B316,input_588103!L:R,7,FALSE),VLOOKUP(tables_588103!C316,input_588103!A:H,8,FALSE))</f>
        <v>5840</v>
      </c>
      <c r="P316" s="40">
        <f t="shared" ca="1" si="13"/>
        <v>3.773584905638428E-4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input_588103!A$2</f>
        <v>588103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IFERROR(VLOOKUP(B317,input_588103!L:R,7,FALSE),VLOOKUP(tables_588103!C317,input_588103!A:H,8,FALSE))</f>
        <v>5840</v>
      </c>
      <c r="P317" s="40">
        <f t="shared" ca="1" si="13"/>
        <v>3.773584905638428E-4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input_588103!A$2</f>
        <v>588103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IFERROR(VLOOKUP(B318,input_588103!L:R,7,FALSE),VLOOKUP(tables_588103!C318,input_588103!A:H,8,FALSE))</f>
        <v>74821.14</v>
      </c>
      <c r="P318" s="40">
        <f t="shared" ca="1" si="13"/>
        <v>4.8346562418948563E-3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input_588103!A$2</f>
        <v>588103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IFERROR(VLOOKUP(B319,input_588103!L:R,7,FALSE),VLOOKUP(tables_588103!C319,input_588103!A:H,8,FALSE))</f>
        <v>4184.0479999999998</v>
      </c>
      <c r="P319" s="40">
        <f t="shared" ca="1" si="13"/>
        <v>2.7035719824086734E-4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input_588103!A$2</f>
        <v>588103</v>
      </c>
      <c r="B320" s="5">
        <v>1106</v>
      </c>
      <c r="C320" s="7" t="str">
        <f t="shared" si="12"/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IFERROR(VLOOKUP(B320,input_588103!L:R,7,FALSE),VLOOKUP(tables_588103!C320,input_588103!A:H,8,FALSE))</f>
        <v>24435.78947</v>
      </c>
      <c r="P320" s="40">
        <f t="shared" ca="1" si="13"/>
        <v>1.578947368173809E-3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input_588103!A$2</f>
        <v>588103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IFERROR(VLOOKUP(B321,input_588103!L:R,7,FALSE),VLOOKUP(tables_588103!C321,input_588103!A:H,8,FALSE))</f>
        <v>5840</v>
      </c>
      <c r="P321" s="40">
        <f t="shared" ca="1" si="13"/>
        <v>3.773584905638428E-4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input_588103!A$2</f>
        <v>588103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IFERROR(VLOOKUP(B322,input_588103!L:R,7,FALSE),VLOOKUP(tables_588103!C322,input_588103!A:H,8,FALSE))</f>
        <v>5840</v>
      </c>
      <c r="P322" s="40">
        <f t="shared" ref="P322:P340" ca="1" si="16">O322/SUM(O:O)</f>
        <v>3.773584905638428E-4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input_588103!A$2</f>
        <v>588103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IFERROR(VLOOKUP(B323,input_588103!L:R,7,FALSE),VLOOKUP(tables_588103!C323,input_588103!A:H,8,FALSE))</f>
        <v>5840</v>
      </c>
      <c r="P323" s="40">
        <f t="shared" ca="1" si="16"/>
        <v>3.773584905638428E-4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input_588103!A$2</f>
        <v>588103</v>
      </c>
      <c r="B324" s="2">
        <v>1143</v>
      </c>
      <c r="C324" s="86" t="str">
        <f t="shared" si="15"/>
        <v>Premium4R3lesscolor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IFERROR(VLOOKUP(B324,input_588103!L:R,7,FALSE),VLOOKUP(tables_588103!C324,input_588103!A:H,8,FALSE))</f>
        <v>335553.32348000002</v>
      </c>
      <c r="P324" s="40">
        <f t="shared" ca="1" si="16"/>
        <v>2.1682173913029738E-2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input_588103!A$2</f>
        <v>588103</v>
      </c>
      <c r="B325" s="2">
        <v>1144</v>
      </c>
      <c r="C325" s="86" t="str">
        <f t="shared" ref="C325:C330" si="18">D325&amp;J325&amp;E325&amp;F325&amp;G325</f>
        <v>Premium5R3lesscolor</v>
      </c>
      <c r="D325" s="7" t="str">
        <f t="shared" ref="D325:D330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IFERROR(VLOOKUP(B325,input_588103!L:R,7,FALSE),VLOOKUP(tables_588103!C325,input_588103!A:H,8,FALSE))</f>
        <v>30373.332170000001</v>
      </c>
      <c r="P325" s="40">
        <f t="shared" ca="1" si="16"/>
        <v>1.9626086953879124E-3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input_588103!A$2</f>
        <v>588103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IFERROR(VLOOKUP(B326,input_588103!L:R,7,FALSE),VLOOKUP(tables_588103!C326,input_588103!A:H,8,FALSE))</f>
        <v>74821.14</v>
      </c>
      <c r="P326" s="40">
        <f t="shared" ca="1" si="16"/>
        <v>4.8346562418948563E-3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input_588103!A$2</f>
        <v>588103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IFERROR(VLOOKUP(B327,input_588103!L:R,7,FALSE),VLOOKUP(tables_588103!C327,input_588103!A:H,8,FALSE))</f>
        <v>4184.0479999999998</v>
      </c>
      <c r="P327" s="40">
        <f t="shared" ca="1" si="16"/>
        <v>2.7035719824086734E-4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input_588103!A$2</f>
        <v>588103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IFERROR(VLOOKUP(B328,input_588103!L:R,7,FALSE),VLOOKUP(tables_588103!C328,input_588103!A:H,8,FALSE))</f>
        <v>5840</v>
      </c>
      <c r="P328" s="40">
        <f t="shared" ca="1" si="16"/>
        <v>3.773584905638428E-4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input_588103!A$2</f>
        <v>588103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IFERROR(VLOOKUP(B329,input_588103!L:R,7,FALSE),VLOOKUP(tables_588103!C329,input_588103!A:H,8,FALSE))</f>
        <v>5840</v>
      </c>
      <c r="P329" s="40">
        <f t="shared" ca="1" si="16"/>
        <v>3.773584905638428E-4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input_588103!A$2</f>
        <v>588103</v>
      </c>
      <c r="B330" s="2">
        <v>1157</v>
      </c>
      <c r="C330" s="86" t="str">
        <f t="shared" si="18"/>
        <v>PremiumSS5R5onlycolor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IFERROR(VLOOKUP(B330,input_588103!L:R,7,FALSE),VLOOKUP(tables_588103!C330,input_588103!A:H,8,FALSE))</f>
        <v>24435.78947</v>
      </c>
      <c r="P330" s="40">
        <f t="shared" ca="1" si="16"/>
        <v>1.578947368173809E-3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input_588103!A$2</f>
        <v>588103</v>
      </c>
      <c r="B331" s="52">
        <v>1214</v>
      </c>
      <c r="C331" s="86" t="str">
        <f t="shared" ref="C331:C340" si="20">D331&amp;J331&amp;E331&amp;F331&amp;G331</f>
        <v>PremiumSS5R5onlycolor</v>
      </c>
      <c r="D331" s="7" t="str">
        <f t="shared" ref="D331:D340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IFERROR(VLOOKUP(B331,input_588103!L:R,7,FALSE),VLOOKUP(tables_588103!C331,input_588103!A:H,8,FALSE))</f>
        <v>24435.78947</v>
      </c>
      <c r="P331" s="40">
        <f t="shared" ca="1" si="16"/>
        <v>1.578947368173809E-3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input_588103!A$2</f>
        <v>588103</v>
      </c>
      <c r="B332" s="52">
        <v>1212</v>
      </c>
      <c r="C332" s="86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IFERROR(VLOOKUP(B332,input_588103!L:R,7,FALSE),VLOOKUP(tables_588103!C332,input_588103!A:H,8,FALSE))</f>
        <v>5840</v>
      </c>
      <c r="P332" s="40">
        <f t="shared" ca="1" si="16"/>
        <v>3.773584905638428E-4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input_588103!A$2</f>
        <v>588103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IFERROR(VLOOKUP(B333,input_588103!L:R,7,FALSE),VLOOKUP(tables_588103!C333,input_588103!A:H,8,FALSE))</f>
        <v>5840</v>
      </c>
      <c r="P333" s="40">
        <f t="shared" ca="1" si="16"/>
        <v>3.773584905638428E-4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input_588103!A$2</f>
        <v>588103</v>
      </c>
      <c r="B334" s="96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IFERROR(VLOOKUP(B334,input_588103!L:R,7,FALSE),VLOOKUP(tables_588103!C334,input_588103!A:H,8,FALSE))</f>
        <v>74821.14</v>
      </c>
      <c r="P334" s="40">
        <f t="shared" ca="1" si="16"/>
        <v>4.8346562418948563E-3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input_588103!A$2</f>
        <v>588103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IFERROR(VLOOKUP(B335,input_588103!L:R,7,FALSE),VLOOKUP(tables_588103!C335,input_588103!A:H,8,FALSE))</f>
        <v>4184.0479999999998</v>
      </c>
      <c r="P335" s="40">
        <f t="shared" ca="1" si="16"/>
        <v>2.7035719824086734E-4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input_588103!A$2</f>
        <v>588103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IFERROR(VLOOKUP(B336,input_588103!L:R,7,FALSE),VLOOKUP(tables_588103!C336,input_588103!A:H,8,FALSE))</f>
        <v>74821.14</v>
      </c>
      <c r="P336" s="40">
        <f t="shared" ca="1" si="16"/>
        <v>4.8346562418948563E-3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input_588103!A$2</f>
        <v>588103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IFERROR(VLOOKUP(B337,input_588103!L:R,7,FALSE),VLOOKUP(tables_588103!C337,input_588103!A:H,8,FALSE))</f>
        <v>4184.0479999999998</v>
      </c>
      <c r="P337" s="40">
        <f t="shared" ca="1" si="16"/>
        <v>2.7035719824086734E-4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input_588103!A$2</f>
        <v>588103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IFERROR(VLOOKUP(B338,input_588103!L:R,7,FALSE),VLOOKUP(tables_588103!C338,input_588103!A:H,8,FALSE))</f>
        <v>5840</v>
      </c>
      <c r="P338" s="40">
        <f t="shared" ca="1" si="16"/>
        <v>3.773584905638428E-4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input_588103!A$2</f>
        <v>588103</v>
      </c>
      <c r="B339" s="2">
        <v>1228</v>
      </c>
      <c r="C339" s="86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IFERROR(VLOOKUP(B339,input_588103!L:R,7,FALSE),VLOOKUP(tables_588103!C339,input_588103!A:H,8,FALSE))</f>
        <v>5840</v>
      </c>
      <c r="P339" s="40">
        <f t="shared" ca="1" si="16"/>
        <v>3.773584905638428E-4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input_588103!A$2</f>
        <v>588103</v>
      </c>
      <c r="B340" s="2">
        <v>1230</v>
      </c>
      <c r="C340" s="86" t="str">
        <f t="shared" si="20"/>
        <v>PremiumSS5R5onlycolor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IFERROR(VLOOKUP(B340,input_588103!L:R,7,FALSE),VLOOKUP(tables_588103!C340,input_588103!A:H,8,FALSE))</f>
        <v>24435.78947</v>
      </c>
      <c r="P340" s="40">
        <f t="shared" ca="1" si="16"/>
        <v>1.578947368173809E-3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input_588103!A$2</f>
        <v>588103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IFERROR(VLOOKUP(B341,input_588103!L:R,7,FALSE),VLOOKUP(tables_588103!C341,input_588103!A:H,8,FALSE))</f>
        <v>5840</v>
      </c>
      <c r="P341" s="40">
        <f t="shared" ref="P341:P345" ca="1" si="24">O341/SUM(O:O)</f>
        <v>3.773584905638428E-4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input_588103!A$2</f>
        <v>588103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IFERROR(VLOOKUP(B342,input_588103!L:R,7,FALSE),VLOOKUP(tables_588103!C342,input_588103!A:H,8,FALSE))</f>
        <v>5840</v>
      </c>
      <c r="P342" s="40">
        <f t="shared" ca="1" si="24"/>
        <v>3.773584905638428E-4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input_588103!A$2</f>
        <v>588103</v>
      </c>
      <c r="B343" s="2">
        <v>1248</v>
      </c>
      <c r="C343" s="86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IFERROR(VLOOKUP(B343,input_588103!L:R,7,FALSE),VLOOKUP(tables_588103!C343,input_588103!A:H,8,FALSE))</f>
        <v>74821.14</v>
      </c>
      <c r="P343" s="40">
        <f t="shared" ca="1" si="24"/>
        <v>4.8346562418948563E-3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input_588103!A$2</f>
        <v>588103</v>
      </c>
      <c r="B344" s="2">
        <v>1249</v>
      </c>
      <c r="C344" s="86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IFERROR(VLOOKUP(B344,input_588103!L:R,7,FALSE),VLOOKUP(tables_588103!C344,input_588103!A:H,8,FALSE))</f>
        <v>4184.0479999999998</v>
      </c>
      <c r="P344" s="40">
        <f t="shared" ca="1" si="24"/>
        <v>2.7035719824086734E-4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input_588103!A$2</f>
        <v>588103</v>
      </c>
      <c r="B345" s="2">
        <v>1250</v>
      </c>
      <c r="C345" s="86" t="str">
        <f t="shared" si="22"/>
        <v>PremiumSS5R5onlycolor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IFERROR(VLOOKUP(B345,input_588103!L:R,7,FALSE),VLOOKUP(tables_588103!C345,input_588103!A:H,8,FALSE))</f>
        <v>24435.78947</v>
      </c>
      <c r="P345" s="40">
        <f t="shared" ca="1" si="24"/>
        <v>1.578947368173809E-3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input_588103!A$2</f>
        <v>588103</v>
      </c>
      <c r="B346" s="1">
        <v>1260</v>
      </c>
      <c r="C346" s="86" t="str">
        <f t="shared" ref="C346" si="25">D346&amp;J346&amp;E346&amp;F346&amp;G346</f>
        <v>PremiumSS5R5only</v>
      </c>
      <c r="D346" s="7" t="str">
        <f t="shared" ref="D346" si="2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IFERROR(VLOOKUP(B346,input_588103!L:R,7,FALSE),VLOOKUP(tables_588103!C346,input_588103!A:H,8,FALSE))</f>
        <v>5840</v>
      </c>
      <c r="P346" s="40">
        <f ca="1">O346/SUM(O:O)</f>
        <v>3.773584905638428E-4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input_588103!A$2</f>
        <v>588103</v>
      </c>
      <c r="B347" s="1">
        <v>1262</v>
      </c>
      <c r="C347" s="86" t="str">
        <f t="shared" ref="C347:C356" si="27">D347&amp;J347&amp;E347&amp;F347&amp;G347</f>
        <v>PremiumSS5R5only</v>
      </c>
      <c r="D347" s="7" t="str">
        <f t="shared" ref="D347:D356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IFERROR(VLOOKUP(B347,input_588103!L:R,7,FALSE),VLOOKUP(tables_588103!C347,input_588103!A:H,8,FALSE))</f>
        <v>5840</v>
      </c>
      <c r="P347" s="40">
        <f t="shared" ref="P347:P350" ca="1" si="29">O347/SUM(O:O)</f>
        <v>3.773584905638428E-4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input_588103!A$2</f>
        <v>588103</v>
      </c>
      <c r="B348" s="1">
        <v>1264</v>
      </c>
      <c r="C348" s="86" t="str">
        <f t="shared" si="27"/>
        <v>PremiumSS5R5only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IFERROR(VLOOKUP(B348,input_588103!L:R,7,FALSE),VLOOKUP(tables_588103!C348,input_588103!A:H,8,FALSE))</f>
        <v>5840</v>
      </c>
      <c r="P348" s="40">
        <f t="shared" ca="1" si="29"/>
        <v>3.773584905638428E-4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input_588103!A$2</f>
        <v>588103</v>
      </c>
      <c r="B349" s="1">
        <v>1266</v>
      </c>
      <c r="C349" s="86" t="str">
        <f t="shared" si="27"/>
        <v>Premium4R3lesscolor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IFERROR(VLOOKUP(B349,input_588103!L:R,7,FALSE),VLOOKUP(tables_588103!C349,input_588103!A:H,8,FALSE))</f>
        <v>335553.32348000002</v>
      </c>
      <c r="P349" s="40">
        <f t="shared" ca="1" si="29"/>
        <v>2.1682173913029738E-2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input_588103!A$2</f>
        <v>588103</v>
      </c>
      <c r="B350" s="1">
        <v>1267</v>
      </c>
      <c r="C350" s="86" t="str">
        <f t="shared" si="27"/>
        <v>Premium5R3lesscolor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IFERROR(VLOOKUP(B350,input_588103!L:R,7,FALSE),VLOOKUP(tables_588103!C350,input_588103!A:H,8,FALSE))</f>
        <v>30373.332170000001</v>
      </c>
      <c r="P350" s="40">
        <f t="shared" ca="1" si="29"/>
        <v>1.9626086953879124E-3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input_588103!A$2</f>
        <v>588103</v>
      </c>
      <c r="B351" s="102">
        <v>1332</v>
      </c>
      <c r="C351" s="86" t="str">
        <f t="shared" si="27"/>
        <v>PremiumSS5R5only</v>
      </c>
      <c r="D351" s="7" t="str">
        <f t="shared" si="2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IFERROR(VLOOKUP(B351,input_588103!L:R,7,FALSE),VLOOKUP(tables_588103!C351,input_588103!A:H,8,FALSE))</f>
        <v>5840</v>
      </c>
      <c r="P351" s="40">
        <f t="shared" ref="P351:P356" ca="1" si="30">O351/SUM(O:O)</f>
        <v>3.773584905638428E-4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input_588103!A$2</f>
        <v>588103</v>
      </c>
      <c r="B352" s="102">
        <v>1336</v>
      </c>
      <c r="C352" s="86" t="str">
        <f t="shared" si="27"/>
        <v>PremiumSS5R5only</v>
      </c>
      <c r="D352" s="7" t="str">
        <f t="shared" si="2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IFERROR(VLOOKUP(B352,input_588103!L:R,7,FALSE),VLOOKUP(tables_588103!C352,input_588103!A:H,8,FALSE))</f>
        <v>5840</v>
      </c>
      <c r="P352" s="40">
        <f t="shared" ca="1" si="30"/>
        <v>3.773584905638428E-4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input_588103!A$2</f>
        <v>588103</v>
      </c>
      <c r="B353" s="102">
        <v>1338</v>
      </c>
      <c r="C353" s="86" t="str">
        <f t="shared" si="27"/>
        <v>PremiumSS5R5onlycolor</v>
      </c>
      <c r="D353" s="7" t="str">
        <f t="shared" si="2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IFERROR(VLOOKUP(B353,input_588103!L:R,7,FALSE),VLOOKUP(tables_588103!C353,input_588103!A:H,8,FALSE))</f>
        <v>24435.78947</v>
      </c>
      <c r="P353" s="40">
        <f t="shared" ca="1" si="30"/>
        <v>1.578947368173809E-3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input_588103!A$2</f>
        <v>588103</v>
      </c>
      <c r="B354" s="102">
        <v>1334</v>
      </c>
      <c r="C354" s="86" t="str">
        <f t="shared" si="27"/>
        <v>Premium4R3less</v>
      </c>
      <c r="D354" s="7" t="str">
        <f t="shared" si="2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IFERROR(VLOOKUP(B354,input_588103!L:R,7,FALSE),VLOOKUP(tables_588103!C354,input_588103!A:H,8,FALSE))</f>
        <v>74821.14</v>
      </c>
      <c r="P354" s="40">
        <f t="shared" ca="1" si="30"/>
        <v>4.8346562418948563E-3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input_588103!A$2</f>
        <v>588103</v>
      </c>
      <c r="B355" s="102">
        <v>1335</v>
      </c>
      <c r="C355" s="86" t="str">
        <f t="shared" si="27"/>
        <v>Premium5R3less</v>
      </c>
      <c r="D355" s="7" t="str">
        <f t="shared" si="2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IFERROR(VLOOKUP(B355,input_588103!L:R,7,FALSE),VLOOKUP(tables_588103!C355,input_588103!A:H,8,FALSE))</f>
        <v>4184.0479999999998</v>
      </c>
      <c r="P355" s="40">
        <f t="shared" ca="1" si="30"/>
        <v>2.7035719824086734E-4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input_588103!A$2</f>
        <v>588103</v>
      </c>
      <c r="B356" s="1">
        <v>1161</v>
      </c>
      <c r="C356" s="86" t="str">
        <f t="shared" si="27"/>
        <v>PremiumSSS5R3lesscolor</v>
      </c>
      <c r="D356" s="7" t="str">
        <f t="shared" si="2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IFERROR(VLOOKUP(B356,input_588103!L:R,7,FALSE),VLOOKUP(tables_588103!C356,input_588103!A:H,8,FALSE))</f>
        <v>92856</v>
      </c>
      <c r="P356" s="40">
        <f t="shared" ca="1" si="30"/>
        <v>5.9999999999651001E-3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VLOOKUP(L3,tables_588104!B:C,2,FALSE)</f>
        <v>PremiumSSS5R3lesscolor</v>
      </c>
      <c r="R3" s="53">
        <f t="shared" ref="R3:R20" si="1">N3*A$51</f>
        <v>185712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3.7735849056603783E-4</v>
      </c>
      <c r="F5">
        <f>(COUNTIF(tables_588104!C:C,input_588104!A28)+COUNTIF(tables_588104!C:C,input_588104!A29))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1.5789473684210526E-3</v>
      </c>
      <c r="F6">
        <f>(COUNTIF(tables_588104!C:C,input_588104!A43)+COUNTIF(tables_588104!C:C,input_588104!A44))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5.1397260273972597E-3</v>
      </c>
      <c r="F7">
        <f>(COUNTIF(tables_588104!C:C,input_588104!A26)+COUNTIF(tables_588104!C:C,input_588104!A18)+COUNTIF(tables_588104!C:C,input_588104!A20)+COUNTIF(tables_588104!C:C,input_588104!A22))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2.4469565217391302E-2</v>
      </c>
      <c r="F8">
        <f>(COUNTIF(tables_588104!C:C,input_588104!A40)+COUNTIF(tables_588104!C:C,input_588104!A33)+COUNTIF(tables_588104!C:C,input_588104!A35)+COUNTIF(tables_588104!C:C,input_588104!A37))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COUNTIF(tables_588104!C:C,input_588104!A17)-COUNTIF(Q:Q,A17)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8.189589041095896E-2</v>
      </c>
      <c r="C18" s="75">
        <f t="shared" si="2"/>
        <v>0</v>
      </c>
      <c r="D18" s="66">
        <f t="shared" si="3"/>
        <v>8.189589041095896E-2</v>
      </c>
      <c r="E18">
        <f>COUNTIF(tables_588104!C:C,input_588104!A18)-COUNTIF(Q:Q,A18)</f>
        <v>15</v>
      </c>
      <c r="F18" s="37">
        <f>IFERROR(B18/E18,0)</f>
        <v>5.459726027397264E-3</v>
      </c>
      <c r="G18">
        <f t="shared" si="4"/>
        <v>1267420.800000001</v>
      </c>
      <c r="H18">
        <f t="shared" si="5"/>
        <v>84494.720000000001</v>
      </c>
      <c r="I18">
        <f t="shared" si="6"/>
        <v>0.72000000000116415</v>
      </c>
      <c r="J18">
        <f t="shared" si="7"/>
        <v>1.3888888888866433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COUNTIF(tables_588104!C:C,input_588104!A19)-COUNTIF(Q:Q,A19)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0.18040438356164382</v>
      </c>
      <c r="C20" s="75">
        <f t="shared" si="2"/>
        <v>0</v>
      </c>
      <c r="D20" s="66">
        <f t="shared" si="3"/>
        <v>0.18040438356164382</v>
      </c>
      <c r="E20">
        <f>COUNTIF(tables_588104!C:C,input_588104!A20)-COUNTIF(Q:Q,A20)</f>
        <v>39</v>
      </c>
      <c r="F20" s="37">
        <f t="shared" si="8"/>
        <v>4.6257534246575338E-3</v>
      </c>
      <c r="G20">
        <f t="shared" si="4"/>
        <v>2791938.2399999998</v>
      </c>
      <c r="H20">
        <f t="shared" si="5"/>
        <v>71588.160000000003</v>
      </c>
      <c r="I20">
        <f t="shared" si="6"/>
        <v>0.16000000000349246</v>
      </c>
      <c r="J20">
        <f t="shared" si="7"/>
        <v>6.2499999998635758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2.0044931506849314E-2</v>
      </c>
      <c r="C21" s="75">
        <f t="shared" si="2"/>
        <v>0</v>
      </c>
      <c r="D21" s="66">
        <f t="shared" si="3"/>
        <v>2.0044931506849314E-2</v>
      </c>
      <c r="E21">
        <f>COUNTIF(tables_588104!C:C,input_588104!A21)-COUNTIF(Q:Q,A21)</f>
        <v>39</v>
      </c>
      <c r="F21" s="37">
        <f t="shared" si="8"/>
        <v>5.1397260273972599E-4</v>
      </c>
      <c r="G21">
        <f t="shared" si="4"/>
        <v>310215.36</v>
      </c>
      <c r="H21">
        <f t="shared" si="5"/>
        <v>7954.24</v>
      </c>
      <c r="I21">
        <f t="shared" si="6"/>
        <v>0.23999999999978172</v>
      </c>
      <c r="J21">
        <f t="shared" si="7"/>
        <v>4.1666666666704559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7.6690390281726528E-2</v>
      </c>
      <c r="C22" s="75">
        <f t="shared" si="2"/>
        <v>0</v>
      </c>
      <c r="D22" s="66">
        <f t="shared" si="3"/>
        <v>7.6690390281726528E-2</v>
      </c>
      <c r="E22">
        <f>COUNTIF(tables_588104!C:C,input_588104!A22)-COUNTIF(Q:Q,A22)</f>
        <v>16</v>
      </c>
      <c r="F22" s="37">
        <f t="shared" si="8"/>
        <v>4.793149392607908E-3</v>
      </c>
      <c r="G22">
        <f t="shared" si="4"/>
        <v>1186860.4799999997</v>
      </c>
      <c r="H22">
        <f t="shared" si="5"/>
        <v>74178.78</v>
      </c>
      <c r="I22">
        <f t="shared" si="6"/>
        <v>0.77999999999883585</v>
      </c>
      <c r="J22">
        <f t="shared" si="7"/>
        <v>1.2820512820531955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5.5452261566296263E-3</v>
      </c>
      <c r="C23" s="75">
        <f t="shared" si="2"/>
        <v>0</v>
      </c>
      <c r="D23" s="66">
        <f t="shared" si="3"/>
        <v>5.5452261566296263E-3</v>
      </c>
      <c r="E23">
        <f>COUNTIF(tables_588104!C:C,input_588104!A23)-COUNTIF(Q:Q,A23)</f>
        <v>20</v>
      </c>
      <c r="F23" s="37">
        <f t="shared" si="8"/>
        <v>2.7726130783148133E-4</v>
      </c>
      <c r="G23">
        <f t="shared" si="4"/>
        <v>85817.9200000001</v>
      </c>
      <c r="H23">
        <f t="shared" si="5"/>
        <v>4290.8959999999997</v>
      </c>
      <c r="I23">
        <f t="shared" si="6"/>
        <v>0.89599999999973079</v>
      </c>
      <c r="J23">
        <f t="shared" si="7"/>
        <v>1.1160714285717639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COUNTIF(tables_588104!C:C,input_588104!A24)-COUNTIF(Q:Q,A24)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1.38772602739726E-2</v>
      </c>
      <c r="C25" s="75">
        <f t="shared" si="2"/>
        <v>0</v>
      </c>
      <c r="D25" s="66">
        <f t="shared" si="3"/>
        <v>1.38772602739726E-2</v>
      </c>
      <c r="E25">
        <f>COUNTIF(tables_588104!C:C,input_588104!A25)-COUNTIF(Q:Q,A25)</f>
        <v>3</v>
      </c>
      <c r="F25" s="37">
        <f t="shared" si="8"/>
        <v>4.6257534246575338E-3</v>
      </c>
      <c r="G25">
        <f t="shared" si="4"/>
        <v>214764.47999999995</v>
      </c>
      <c r="H25">
        <f t="shared" si="5"/>
        <v>71588.160000000003</v>
      </c>
      <c r="I25">
        <f t="shared" si="6"/>
        <v>0.16000000000349246</v>
      </c>
      <c r="J25">
        <f t="shared" si="7"/>
        <v>6.2499999998635758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1.5419178082191781E-3</v>
      </c>
      <c r="C26" s="75">
        <f t="shared" si="2"/>
        <v>0</v>
      </c>
      <c r="D26" s="66">
        <f t="shared" si="3"/>
        <v>1.5419178082191781E-3</v>
      </c>
      <c r="E26">
        <f>COUNTIF(tables_588104!C:C,input_588104!A26)-COUNTIF(Q:Q,A26)</f>
        <v>3</v>
      </c>
      <c r="F26" s="37">
        <f t="shared" si="8"/>
        <v>5.1397260273972599E-4</v>
      </c>
      <c r="G26">
        <f t="shared" si="4"/>
        <v>23862.720000000001</v>
      </c>
      <c r="H26">
        <f t="shared" si="5"/>
        <v>7954.24</v>
      </c>
      <c r="I26">
        <f t="shared" si="6"/>
        <v>0.23999999999978172</v>
      </c>
      <c r="J26">
        <f t="shared" si="7"/>
        <v>4.1666666666704559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7.1320754716981145E-3</v>
      </c>
      <c r="C27" s="75">
        <f t="shared" si="2"/>
        <v>0</v>
      </c>
      <c r="D27" s="66">
        <f t="shared" si="3"/>
        <v>7.1320754716981145E-3</v>
      </c>
      <c r="E27">
        <f>COUNTIF(tables_588104!C:C,input_588104!A27)-COUNTIF(Q:Q,A27)</f>
        <v>21</v>
      </c>
      <c r="F27" s="37">
        <f>IFERROR(B27/E27,0)</f>
        <v>3.3962264150943404E-4</v>
      </c>
      <c r="G27">
        <f t="shared" si="4"/>
        <v>110376.00000000001</v>
      </c>
      <c r="H27">
        <f t="shared" si="5"/>
        <v>5256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7.9245283018867943E-4</v>
      </c>
      <c r="C28" s="75">
        <f t="shared" si="2"/>
        <v>0</v>
      </c>
      <c r="D28" s="66">
        <f t="shared" si="3"/>
        <v>7.9245283018867943E-4</v>
      </c>
      <c r="E28">
        <f>COUNTIF(tables_588104!C:C,input_588104!A28)-COUNTIF(Q:Q,A28)</f>
        <v>21</v>
      </c>
      <c r="F28" s="37">
        <f t="shared" si="8"/>
        <v>3.7735849056603783E-5</v>
      </c>
      <c r="G28">
        <f t="shared" si="4"/>
        <v>12264.000000000004</v>
      </c>
      <c r="H28">
        <f t="shared" si="5"/>
        <v>584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1.207547169811321E-2</v>
      </c>
      <c r="C29" s="75">
        <f t="shared" si="2"/>
        <v>0</v>
      </c>
      <c r="D29" s="66">
        <f t="shared" si="3"/>
        <v>1.207547169811321E-2</v>
      </c>
      <c r="E29">
        <f>COUNTIF(tables_588104!C:C,input_588104!A29)-COUNTIF(Q:Q,A29)</f>
        <v>32</v>
      </c>
      <c r="F29" s="37">
        <f t="shared" si="8"/>
        <v>3.7735849056603783E-4</v>
      </c>
      <c r="G29">
        <f t="shared" si="4"/>
        <v>186880.00000000006</v>
      </c>
      <c r="H29">
        <f t="shared" si="5"/>
        <v>5840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COUNTIF(tables_588104!C:C,input_588104!A30)-COUNTIF(Q:Q,A30)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COUNTIF(tables_588104!C:C,input_588104!A31)-COUNTIF(Q:Q,A31)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COUNTIF(tables_588104!C:C,input_588104!A32)-COUNTIF(Q:Q,A32)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0.13253958810068656</v>
      </c>
      <c r="C33" s="75">
        <f t="shared" si="2"/>
        <v>0</v>
      </c>
      <c r="D33" s="66">
        <f t="shared" si="3"/>
        <v>0.13253958810068656</v>
      </c>
      <c r="E33">
        <f>COUNTIF(tables_588104!C:C,input_588104!A33)-COUNTIF(Q:Q,A33)</f>
        <v>5</v>
      </c>
      <c r="F33" s="37">
        <f>IFERROR(B33/E33,0)</f>
        <v>2.6507917620137312E-2</v>
      </c>
      <c r="G33">
        <f t="shared" si="4"/>
        <v>2051182.6654462251</v>
      </c>
      <c r="H33">
        <f t="shared" si="5"/>
        <v>410236.53308999998</v>
      </c>
      <c r="I33">
        <f t="shared" si="6"/>
        <v>0.53308999998262152</v>
      </c>
      <c r="J33">
        <f t="shared" si="7"/>
        <v>1.8758558592969283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COUNTIF(tables_588104!C:C,input_588104!A34)-COUNTIF(Q:Q,A34)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0.28629391304347823</v>
      </c>
      <c r="C35" s="75">
        <f t="shared" si="2"/>
        <v>0</v>
      </c>
      <c r="D35" s="66">
        <f t="shared" si="3"/>
        <v>0.28629391304347823</v>
      </c>
      <c r="E35">
        <f>COUNTIF(tables_588104!C:C,input_588104!A35)-COUNTIF(Q:Q,A35)</f>
        <v>13</v>
      </c>
      <c r="F35" s="37">
        <f t="shared" si="9"/>
        <v>2.202260869565217E-2</v>
      </c>
      <c r="G35">
        <f t="shared" si="4"/>
        <v>4430684.5982608693</v>
      </c>
      <c r="H35">
        <f t="shared" si="5"/>
        <v>340821.89217000001</v>
      </c>
      <c r="I35">
        <f t="shared" si="6"/>
        <v>0.89217000000644475</v>
      </c>
      <c r="J35">
        <f t="shared" si="7"/>
        <v>1.1208626158610762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1.6818672768878717E-2</v>
      </c>
      <c r="C36" s="75">
        <f t="shared" si="2"/>
        <v>0</v>
      </c>
      <c r="D36" s="66">
        <f t="shared" si="3"/>
        <v>1.6818672768878717E-2</v>
      </c>
      <c r="E36">
        <f>COUNTIF(tables_588104!C:C,input_588104!A36)-COUNTIF(Q:Q,A36)</f>
        <v>13</v>
      </c>
      <c r="F36" s="37">
        <f t="shared" si="9"/>
        <v>1.2937440591445166E-3</v>
      </c>
      <c r="G36">
        <f t="shared" si="4"/>
        <v>260285.77977116703</v>
      </c>
      <c r="H36">
        <f t="shared" si="5"/>
        <v>20021.983059999999</v>
      </c>
      <c r="I36">
        <f t="shared" si="6"/>
        <v>0.9830599999986589</v>
      </c>
      <c r="J36">
        <f t="shared" si="7"/>
        <v>1.0172319085318946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8.9196521739130424E-2</v>
      </c>
      <c r="C37" s="75">
        <f t="shared" si="2"/>
        <v>0</v>
      </c>
      <c r="D37" s="66">
        <f t="shared" si="3"/>
        <v>8.9196521739130424E-2</v>
      </c>
      <c r="E37">
        <f>COUNTIF(tables_588104!C:C,input_588104!A37)-COUNTIF(Q:Q,A37)</f>
        <v>4</v>
      </c>
      <c r="F37" s="37">
        <f t="shared" si="9"/>
        <v>2.2299130434782606E-2</v>
      </c>
      <c r="G37">
        <f t="shared" si="4"/>
        <v>1380405.3704347825</v>
      </c>
      <c r="H37">
        <f t="shared" si="5"/>
        <v>345101.34260999999</v>
      </c>
      <c r="I37">
        <f t="shared" si="6"/>
        <v>0.34260999999241903</v>
      </c>
      <c r="J37">
        <f t="shared" si="7"/>
        <v>2.9187706138820442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8.6817391304347818E-3</v>
      </c>
      <c r="C38" s="75">
        <f t="shared" si="2"/>
        <v>0</v>
      </c>
      <c r="D38" s="66">
        <f t="shared" si="3"/>
        <v>8.6817391304347818E-3</v>
      </c>
      <c r="E38">
        <f>COUNTIF(tables_588104!C:C,input_588104!A38)-COUNTIF(Q:Q,A38)</f>
        <v>6</v>
      </c>
      <c r="F38" s="37">
        <f t="shared" si="9"/>
        <v>1.4469565217391303E-3</v>
      </c>
      <c r="G38">
        <f t="shared" si="4"/>
        <v>134358.59478260868</v>
      </c>
      <c r="H38">
        <f t="shared" si="5"/>
        <v>22393.099129999999</v>
      </c>
      <c r="I38">
        <f t="shared" si="6"/>
        <v>9.9129999998694984E-2</v>
      </c>
      <c r="J38">
        <f t="shared" si="7"/>
        <v>10.087763542955358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COUNTIF(tables_588104!C:C,input_588104!A39)-COUNTIF(Q:Q,A39)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2.202260869565217E-2</v>
      </c>
      <c r="C40" s="75">
        <f t="shared" si="2"/>
        <v>0</v>
      </c>
      <c r="D40" s="66">
        <f t="shared" si="3"/>
        <v>2.202260869565217E-2</v>
      </c>
      <c r="E40">
        <f>COUNTIF(tables_588104!C:C,input_588104!A40)-COUNTIF(Q:Q,A40)</f>
        <v>1</v>
      </c>
      <c r="F40" s="37">
        <f t="shared" si="9"/>
        <v>2.202260869565217E-2</v>
      </c>
      <c r="G40">
        <f t="shared" si="4"/>
        <v>340821.89217391302</v>
      </c>
      <c r="H40">
        <f t="shared" si="5"/>
        <v>340821.89217000001</v>
      </c>
      <c r="I40">
        <f t="shared" si="6"/>
        <v>0.89217000000644475</v>
      </c>
      <c r="J40">
        <f t="shared" si="7"/>
        <v>1.1208626158610762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2.4469565217391303E-3</v>
      </c>
      <c r="C41" s="75">
        <f t="shared" si="2"/>
        <v>0</v>
      </c>
      <c r="D41" s="66">
        <f t="shared" si="3"/>
        <v>2.4469565217391303E-3</v>
      </c>
      <c r="E41">
        <f>COUNTIF(tables_588104!C:C,input_588104!A41)-COUNTIF(Q:Q,A41)</f>
        <v>1</v>
      </c>
      <c r="F41" s="37">
        <f t="shared" si="9"/>
        <v>2.4469565217391303E-3</v>
      </c>
      <c r="G41">
        <f t="shared" si="4"/>
        <v>37869.099130434784</v>
      </c>
      <c r="H41">
        <f t="shared" si="5"/>
        <v>37869.099130000002</v>
      </c>
      <c r="I41">
        <f t="shared" si="6"/>
        <v>9.9130000002332963E-2</v>
      </c>
      <c r="J41">
        <f t="shared" si="7"/>
        <v>10.087763542585147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9.9473684210526318E-3</v>
      </c>
      <c r="C42" s="75">
        <f t="shared" si="2"/>
        <v>0</v>
      </c>
      <c r="D42" s="66">
        <f t="shared" si="3"/>
        <v>9.9473684210526318E-3</v>
      </c>
      <c r="E42">
        <f>COUNTIF(tables_588104!C:C,input_588104!A42)-COUNTIF(Q:Q,A42)</f>
        <v>7</v>
      </c>
      <c r="F42" s="37">
        <f>IFERROR(B42/E42,0)</f>
        <v>1.4210526315789475E-3</v>
      </c>
      <c r="G42">
        <f t="shared" si="4"/>
        <v>153945.47368421053</v>
      </c>
      <c r="H42">
        <f t="shared" si="5"/>
        <v>21992.21053</v>
      </c>
      <c r="I42">
        <f t="shared" si="6"/>
        <v>0.21053000000028987</v>
      </c>
      <c r="J42">
        <f t="shared" si="7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1.1052631578947368E-3</v>
      </c>
      <c r="C43" s="75">
        <f t="shared" si="2"/>
        <v>0</v>
      </c>
      <c r="D43" s="66">
        <f t="shared" si="3"/>
        <v>1.1052631578947368E-3</v>
      </c>
      <c r="E43">
        <f>COUNTIF(tables_588104!C:C,input_588104!A43)-COUNTIF(Q:Q,A43)</f>
        <v>7</v>
      </c>
      <c r="F43" s="37">
        <f t="shared" ref="F43:F46" si="10">IFERROR(B43/E43,0)</f>
        <v>1.5789473684210527E-4</v>
      </c>
      <c r="G43">
        <f t="shared" si="4"/>
        <v>17105.052631578947</v>
      </c>
      <c r="H43">
        <f t="shared" si="5"/>
        <v>2443.5789500000001</v>
      </c>
      <c r="I43">
        <f t="shared" si="6"/>
        <v>0.57895000000007713</v>
      </c>
      <c r="J43">
        <f t="shared" si="7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1.8947368421052629E-2</v>
      </c>
      <c r="C44" s="75">
        <f t="shared" si="2"/>
        <v>0</v>
      </c>
      <c r="D44" s="66">
        <f t="shared" si="3"/>
        <v>1.8947368421052629E-2</v>
      </c>
      <c r="E44">
        <f>COUNTIF(tables_588104!C:C,input_588104!A44)-COUNTIF(Q:Q,A44)</f>
        <v>12</v>
      </c>
      <c r="F44" s="37">
        <f t="shared" si="10"/>
        <v>1.5789473684210524E-3</v>
      </c>
      <c r="G44">
        <f t="shared" si="4"/>
        <v>293229.4736842105</v>
      </c>
      <c r="H44">
        <f t="shared" si="5"/>
        <v>24435.78947</v>
      </c>
      <c r="I44">
        <f t="shared" si="6"/>
        <v>0.78946999999971013</v>
      </c>
      <c r="J44">
        <f t="shared" si="7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COUNTIF(tables_588104!C:C,input_588104!A45)-COUNTIF(Q:Q,A45)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1.2E-2</v>
      </c>
      <c r="C46" s="75">
        <f t="shared" si="2"/>
        <v>1.2E-2</v>
      </c>
      <c r="D46" s="66">
        <f t="shared" si="3"/>
        <v>0</v>
      </c>
      <c r="E46">
        <f>COUNTIF(tables_588104!C:C,input_588104!A46)-COUNTIF(Q:Q,A46)</f>
        <v>0</v>
      </c>
      <c r="F46" s="37">
        <f t="shared" si="10"/>
        <v>0</v>
      </c>
      <c r="G46">
        <f t="shared" si="4"/>
        <v>185712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1.2E-2</v>
      </c>
      <c r="D47" s="36">
        <f t="shared" si="3"/>
        <v>0.98799999999999999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15476000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SUMIF(tables_588104!C:C,input_588104!A55,tables_588104!O:O)</f>
        <v>0</v>
      </c>
      <c r="C55" s="46">
        <f t="shared" ref="C55:C61" ca="1" si="11">B55/B$62</f>
        <v>0</v>
      </c>
      <c r="E55">
        <v>3</v>
      </c>
      <c r="F55">
        <f ca="1">SUMIF(tables_588104!J:J,input_588104!E55,tables_588104!O:O)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SUMIF(tables_588104!C:C,input_588104!A56,tables_588104!O:O)</f>
        <v>2791938.2400000007</v>
      </c>
      <c r="C56" s="46">
        <f t="shared" ca="1" si="11"/>
        <v>0.86577269317329342</v>
      </c>
      <c r="E56">
        <v>4</v>
      </c>
      <c r="F56">
        <f ca="1">SUMIF(tables_588104!J:J,input_588104!E56,tables_588104!O:O)</f>
        <v>13928399.999979997</v>
      </c>
      <c r="G56">
        <f ca="1">F56/A51</f>
        <v>0.8999999999987075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SUMIF(tables_588104!C:C,input_588104!A57,tables_588104!O:O)</f>
        <v>110376</v>
      </c>
      <c r="C57" s="46">
        <f t="shared" ca="1" si="11"/>
        <v>3.4227306826706667E-2</v>
      </c>
      <c r="E57">
        <v>5</v>
      </c>
      <c r="F57">
        <f ca="1">SUMIF(tables_588104!J:J,input_588104!E57,tables_588104!O:O)</f>
        <v>1547599.999979998</v>
      </c>
      <c r="G57">
        <f ca="1">F57/A51</f>
        <v>9.9999999998707539E-2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SUMIF(tables_588104!C:C,input_588104!A58,tables_588104!O:O)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SUMIF(tables_588104!C:C,input_588104!A59,tables_588104!O:O)</f>
        <v>310215.35999999981</v>
      </c>
      <c r="C59" s="46">
        <f t="shared" ca="1" si="11"/>
        <v>9.6196965908143625E-2</v>
      </c>
      <c r="E59" t="s">
        <v>37</v>
      </c>
      <c r="F59" s="47"/>
    </row>
    <row r="60" spans="1:8" x14ac:dyDescent="0.15">
      <c r="A60" s="27" t="s">
        <v>91</v>
      </c>
      <c r="B60">
        <f ca="1">SUMIF(tables_588104!C:C,input_588104!A60,tables_588104!O:O)</f>
        <v>12264</v>
      </c>
      <c r="C60" s="46">
        <f t="shared" ca="1" si="11"/>
        <v>3.8030340918562967E-3</v>
      </c>
      <c r="E60" t="s">
        <v>190</v>
      </c>
      <c r="F60" s="47">
        <f ca="1">SUMIF(tables_588104!I:I,input_588104!E60,tables_588104!P:P)</f>
        <v>0.21843843678720185</v>
      </c>
    </row>
    <row r="61" spans="1:8" x14ac:dyDescent="0.15">
      <c r="A61" s="27" t="s">
        <v>92</v>
      </c>
      <c r="B61">
        <f>SUMIF(tables_588104!C:C,input_588104!A61,tables_588104!O:O)</f>
        <v>0</v>
      </c>
      <c r="C61" s="46">
        <f t="shared" ca="1" si="11"/>
        <v>0</v>
      </c>
      <c r="E61" t="s">
        <v>191</v>
      </c>
      <c r="F61" s="47">
        <f ca="1">SUMIF(tables_588104!I:I,input_588104!E61,tables_588104!P:P)</f>
        <v>0.19367765418439803</v>
      </c>
    </row>
    <row r="62" spans="1:8" x14ac:dyDescent="0.15">
      <c r="A62" s="33" t="s">
        <v>42</v>
      </c>
      <c r="B62">
        <f ca="1">SUM(B55:B61)</f>
        <v>3224793.6000000006</v>
      </c>
      <c r="C62" s="47">
        <f ca="1">SUM(C55:C61)</f>
        <v>1</v>
      </c>
      <c r="E62" t="s">
        <v>192</v>
      </c>
      <c r="F62" s="47">
        <f ca="1">SUMIF(tables_588104!I:I,input_588104!E62,tables_588104!P:P)</f>
        <v>0.52588390902823823</v>
      </c>
    </row>
    <row r="63" spans="1:8" x14ac:dyDescent="0.15">
      <c r="E63" t="s">
        <v>193</v>
      </c>
      <c r="F63" s="103">
        <f ca="1">SUMIF(tables_588104!I:I,input_588104!E63,tables_588104!P:P)</f>
        <v>4.420059582978593E-2</v>
      </c>
      <c r="G63" s="84"/>
    </row>
    <row r="64" spans="1:8" x14ac:dyDescent="0.15">
      <c r="E64" t="s">
        <v>253</v>
      </c>
      <c r="F64" s="103">
        <f ca="1">SUMIF(tables_588104!I:I,input_588104!E64,tables_588104!P:P)</f>
        <v>5.7994041703432345E-3</v>
      </c>
    </row>
    <row r="65" spans="5:6" x14ac:dyDescent="0.15">
      <c r="E65" t="s">
        <v>251</v>
      </c>
      <c r="F65" s="103">
        <f ca="1">SUMIF(tables_588104!I:I,input_588104!E65,tables_588104!P:P)</f>
        <v>1.2000000000031005E-2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09" activePane="bottomLeft" state="frozen"/>
      <selection activeCell="H44" sqref="H4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input_588104!A$2</f>
        <v>588104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IFERROR(VLOOKUP(B2,input_588104!L:R,7,FALSE),VLOOKUP(tables_588104!C2,input_588104!A:H,8,FALSE))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input_588104!A$2</f>
        <v>588104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IFERROR(VLOOKUP(B3,input_588104!L:R,7,FALSE),VLOOKUP(tables_588104!C3,input_588104!A:H,8,FALSE))</f>
        <v>84494.720000000001</v>
      </c>
      <c r="P3" s="40">
        <f t="shared" ca="1" si="1"/>
        <v>5.4597260274113664E-3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input_588104!A$2</f>
        <v>588104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IFERROR(VLOOKUP(B4,input_588104!L:R,7,FALSE),VLOOKUP(tables_588104!C4,input_588104!A:H,8,FALSE))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input_588104!A$2</f>
        <v>588104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IFERROR(VLOOKUP(B5,input_588104!L:R,7,FALSE),VLOOKUP(tables_588104!C5,input_588104!A:H,8,FALSE))</f>
        <v>84494.720000000001</v>
      </c>
      <c r="P5" s="40">
        <f t="shared" ca="1" si="1"/>
        <v>5.4597260274113664E-3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input_588104!A$2</f>
        <v>588104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IFERROR(VLOOKUP(B6,input_588104!L:R,7,FALSE),VLOOKUP(tables_588104!C6,input_588104!A:H,8,FALSE))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input_588104!A$2</f>
        <v>588104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IFERROR(VLOOKUP(B7,input_588104!L:R,7,FALSE),VLOOKUP(tables_588104!C7,input_588104!A:H,8,FALSE))</f>
        <v>84494.720000000001</v>
      </c>
      <c r="P7" s="40">
        <f t="shared" ca="1" si="1"/>
        <v>5.4597260274113664E-3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input_588104!A$2</f>
        <v>588104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IFERROR(VLOOKUP(B8,input_588104!L:R,7,FALSE),VLOOKUP(tables_588104!C8,input_588104!A:H,8,FALSE))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input_588104!A$2</f>
        <v>588104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IFERROR(VLOOKUP(B9,input_588104!L:R,7,FALSE),VLOOKUP(tables_588104!C9,input_588104!A:H,8,FALSE))</f>
        <v>410236.53308999998</v>
      </c>
      <c r="P9" s="40">
        <f t="shared" ca="1" si="1"/>
        <v>2.6507917620254583E-2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input_588104!A$2</f>
        <v>588104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IFERROR(VLOOKUP(B10,input_588104!L:R,7,FALSE),VLOOKUP(tables_588104!C10,input_588104!A:H,8,FALSE))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input_588104!A$2</f>
        <v>588104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IFERROR(VLOOKUP(B11,input_588104!L:R,7,FALSE),VLOOKUP(tables_588104!C11,input_588104!A:H,8,FALSE))</f>
        <v>84494.720000000001</v>
      </c>
      <c r="P11" s="40">
        <f t="shared" ca="1" si="1"/>
        <v>5.4597260274113664E-3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input_588104!A$2</f>
        <v>588104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IFERROR(VLOOKUP(B12,input_588104!L:R,7,FALSE),VLOOKUP(tables_588104!C12,input_588104!A:H,8,FALSE))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input_588104!A$2</f>
        <v>588104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IFERROR(VLOOKUP(B13,input_588104!L:R,7,FALSE),VLOOKUP(tables_588104!C13,input_588104!A:H,8,FALSE))</f>
        <v>84494.720000000001</v>
      </c>
      <c r="P13" s="40">
        <f t="shared" ca="1" si="1"/>
        <v>5.4597260274113664E-3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input_588104!A$2</f>
        <v>588104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IFERROR(VLOOKUP(B14,input_588104!L:R,7,FALSE),VLOOKUP(tables_588104!C14,input_588104!A:H,8,FALSE))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input_588104!A$2</f>
        <v>588104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IFERROR(VLOOKUP(B15,input_588104!L:R,7,FALSE),VLOOKUP(tables_588104!C15,input_588104!A:H,8,FALSE))</f>
        <v>84494.720000000001</v>
      </c>
      <c r="P15" s="40">
        <f t="shared" ca="1" si="1"/>
        <v>5.4597260274113664E-3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input_588104!A$2</f>
        <v>588104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IFERROR(VLOOKUP(B16,input_588104!L:R,7,FALSE),VLOOKUP(tables_588104!C16,input_588104!A:H,8,FALSE))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input_588104!A$2</f>
        <v>588104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IFERROR(VLOOKUP(B17,input_588104!L:R,7,FALSE),VLOOKUP(tables_588104!C17,input_588104!A:H,8,FALSE))</f>
        <v>410236.53308999998</v>
      </c>
      <c r="P17" s="40">
        <f t="shared" ca="1" si="1"/>
        <v>2.6507917620254583E-2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input_588104!A$2</f>
        <v>588104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IFERROR(VLOOKUP(B18,input_588104!L:R,7,FALSE),VLOOKUP(tables_588104!C18,input_588104!A:H,8,FALSE))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input_588104!A$2</f>
        <v>588104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IFERROR(VLOOKUP(B19,input_588104!L:R,7,FALSE),VLOOKUP(tables_588104!C19,input_588104!A:H,8,FALSE))</f>
        <v>84494.720000000001</v>
      </c>
      <c r="P19" s="40">
        <f t="shared" ca="1" si="1"/>
        <v>5.4597260274113664E-3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input_588104!A$2</f>
        <v>588104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IFERROR(VLOOKUP(B20,input_588104!L:R,7,FALSE),VLOOKUP(tables_588104!C20,input_588104!A:H,8,FALSE))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input_588104!A$2</f>
        <v>588104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IFERROR(VLOOKUP(B21,input_588104!L:R,7,FALSE),VLOOKUP(tables_588104!C21,input_588104!A:H,8,FALSE))</f>
        <v>84494.720000000001</v>
      </c>
      <c r="P21" s="40">
        <f t="shared" ca="1" si="1"/>
        <v>5.4597260274113664E-3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input_588104!A$2</f>
        <v>588104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IFERROR(VLOOKUP(B22,input_588104!L:R,7,FALSE),VLOOKUP(tables_588104!C22,input_588104!A:H,8,FALSE))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input_588104!A$2</f>
        <v>588104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IFERROR(VLOOKUP(B23,input_588104!L:R,7,FALSE),VLOOKUP(tables_588104!C23,input_588104!A:H,8,FALSE))</f>
        <v>84494.720000000001</v>
      </c>
      <c r="P23" s="40">
        <f t="shared" ca="1" si="1"/>
        <v>5.4597260274113664E-3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input_588104!A$2</f>
        <v>588104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IFERROR(VLOOKUP(B24,input_588104!L:R,7,FALSE),VLOOKUP(tables_588104!C24,input_588104!A:H,8,FALSE))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input_588104!A$2</f>
        <v>588104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IFERROR(VLOOKUP(B25,input_588104!L:R,7,FALSE),VLOOKUP(tables_588104!C25,input_588104!A:H,8,FALSE))</f>
        <v>410236.53308999998</v>
      </c>
      <c r="P25" s="40">
        <f t="shared" ca="1" si="1"/>
        <v>2.6507917620254583E-2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input_588104!A$2</f>
        <v>588104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IFERROR(VLOOKUP(B26,input_588104!L:R,7,FALSE),VLOOKUP(tables_588104!C26,input_588104!A:H,8,FALSE))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input_588104!A$2</f>
        <v>588104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IFERROR(VLOOKUP(B27,input_588104!L:R,7,FALSE),VLOOKUP(tables_588104!C27,input_588104!A:H,8,FALSE))</f>
        <v>84494.720000000001</v>
      </c>
      <c r="P27" s="40">
        <f t="shared" ca="1" si="1"/>
        <v>5.4597260274113664E-3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input_588104!A$2</f>
        <v>588104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IFERROR(VLOOKUP(B28,input_588104!L:R,7,FALSE),VLOOKUP(tables_588104!C28,input_588104!A:H,8,FALSE))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input_588104!A$2</f>
        <v>588104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IFERROR(VLOOKUP(B29,input_588104!L:R,7,FALSE),VLOOKUP(tables_588104!C29,input_588104!A:H,8,FALSE))</f>
        <v>84494.720000000001</v>
      </c>
      <c r="P29" s="40">
        <f t="shared" ca="1" si="1"/>
        <v>5.4597260274113664E-3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input_588104!A$2</f>
        <v>588104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IFERROR(VLOOKUP(B30,input_588104!L:R,7,FALSE),VLOOKUP(tables_588104!C30,input_588104!A:H,8,FALSE))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input_588104!A$2</f>
        <v>588104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IFERROR(VLOOKUP(B31,input_588104!L:R,7,FALSE),VLOOKUP(tables_588104!C31,input_588104!A:H,8,FALSE))</f>
        <v>84494.720000000001</v>
      </c>
      <c r="P31" s="40">
        <f t="shared" ca="1" si="1"/>
        <v>5.4597260274113664E-3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input_588104!A$2</f>
        <v>588104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IFERROR(VLOOKUP(B32,input_588104!L:R,7,FALSE),VLOOKUP(tables_588104!C32,input_588104!A:H,8,FALSE))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input_588104!A$2</f>
        <v>588104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IFERROR(VLOOKUP(B33,input_588104!L:R,7,FALSE),VLOOKUP(tables_588104!C33,input_588104!A:H,8,FALSE))</f>
        <v>410236.53308999998</v>
      </c>
      <c r="P33" s="40">
        <f t="shared" ca="1" si="1"/>
        <v>2.6507917620254583E-2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input_588104!A$2</f>
        <v>588104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IFERROR(VLOOKUP(B34,input_588104!L:R,7,FALSE),VLOOKUP(tables_588104!C34,input_588104!A:H,8,FALSE))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input_588104!A$2</f>
        <v>588104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IFERROR(VLOOKUP(B35,input_588104!L:R,7,FALSE),VLOOKUP(tables_588104!C35,input_588104!A:H,8,FALSE))</f>
        <v>84494.720000000001</v>
      </c>
      <c r="P35" s="40">
        <f t="shared" ca="1" si="1"/>
        <v>5.4597260274113664E-3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input_588104!A$2</f>
        <v>588104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IFERROR(VLOOKUP(B36,input_588104!L:R,7,FALSE),VLOOKUP(tables_588104!C36,input_588104!A:H,8,FALSE))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input_588104!A$2</f>
        <v>588104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IFERROR(VLOOKUP(B37,input_588104!L:R,7,FALSE),VLOOKUP(tables_588104!C37,input_588104!A:H,8,FALSE))</f>
        <v>84494.720000000001</v>
      </c>
      <c r="P37" s="40">
        <f t="shared" ca="1" si="1"/>
        <v>5.4597260274113664E-3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input_588104!A$2</f>
        <v>588104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IFERROR(VLOOKUP(B38,input_588104!L:R,7,FALSE),VLOOKUP(tables_588104!C38,input_588104!A:H,8,FALSE))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input_588104!A$2</f>
        <v>588104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IFERROR(VLOOKUP(B39,input_588104!L:R,7,FALSE),VLOOKUP(tables_588104!C39,input_588104!A:H,8,FALSE))</f>
        <v>84494.720000000001</v>
      </c>
      <c r="P39" s="40">
        <f t="shared" ca="1" si="1"/>
        <v>5.4597260274113664E-3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input_588104!A$2</f>
        <v>588104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IFERROR(VLOOKUP(B40,input_588104!L:R,7,FALSE),VLOOKUP(tables_588104!C40,input_588104!A:H,8,FALSE))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input_588104!A$2</f>
        <v>588104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IFERROR(VLOOKUP(B41,input_588104!L:R,7,FALSE),VLOOKUP(tables_588104!C41,input_588104!A:H,8,FALSE))</f>
        <v>410236.53308999998</v>
      </c>
      <c r="P41" s="40">
        <f t="shared" ca="1" si="1"/>
        <v>2.6507917620254583E-2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input_588104!A$2</f>
        <v>588104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IFERROR(VLOOKUP(B42,input_588104!L:R,7,FALSE),VLOOKUP(tables_588104!C42,input_588104!A:H,8,FALSE))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input_588104!A$2</f>
        <v>588104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IFERROR(VLOOKUP(B43,input_588104!L:R,7,FALSE),VLOOKUP(tables_588104!C43,input_588104!A:H,8,FALSE))</f>
        <v>71588.160000000003</v>
      </c>
      <c r="P43" s="40">
        <f t="shared" ca="1" si="1"/>
        <v>4.625753424669486E-3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input_588104!A$2</f>
        <v>588104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IFERROR(VLOOKUP(B44,input_588104!L:R,7,FALSE),VLOOKUP(tables_588104!C44,input_588104!A:H,8,FALSE))</f>
        <v>7954.24</v>
      </c>
      <c r="P44" s="40">
        <f t="shared" ca="1" si="1"/>
        <v>5.1397260274105392E-4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input_588104!A$2</f>
        <v>588104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IFERROR(VLOOKUP(B45,input_588104!L:R,7,FALSE),VLOOKUP(tables_588104!C45,input_588104!A:H,8,FALSE))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input_588104!A$2</f>
        <v>588104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IFERROR(VLOOKUP(B46,input_588104!L:R,7,FALSE),VLOOKUP(tables_588104!C46,input_588104!A:H,8,FALSE))</f>
        <v>71588.160000000003</v>
      </c>
      <c r="P46" s="40">
        <f t="shared" ca="1" si="1"/>
        <v>4.625753424669486E-3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input_588104!A$2</f>
        <v>588104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IFERROR(VLOOKUP(B47,input_588104!L:R,7,FALSE),VLOOKUP(tables_588104!C47,input_588104!A:H,8,FALSE))</f>
        <v>7954.24</v>
      </c>
      <c r="P47" s="40">
        <f t="shared" ca="1" si="1"/>
        <v>5.1397260274105392E-4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input_588104!A$2</f>
        <v>588104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IFERROR(VLOOKUP(B48,input_588104!L:R,7,FALSE),VLOOKUP(tables_588104!C48,input_588104!A:H,8,FALSE))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input_588104!A$2</f>
        <v>588104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IFERROR(VLOOKUP(B49,input_588104!L:R,7,FALSE),VLOOKUP(tables_588104!C49,input_588104!A:H,8,FALSE))</f>
        <v>71588.160000000003</v>
      </c>
      <c r="P49" s="40">
        <f t="shared" ca="1" si="1"/>
        <v>4.625753424669486E-3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input_588104!A$2</f>
        <v>588104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IFERROR(VLOOKUP(B50,input_588104!L:R,7,FALSE),VLOOKUP(tables_588104!C50,input_588104!A:H,8,FALSE))</f>
        <v>7954.24</v>
      </c>
      <c r="P50" s="40">
        <f t="shared" ca="1" si="1"/>
        <v>5.1397260274105392E-4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input_588104!A$2</f>
        <v>588104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IFERROR(VLOOKUP(B51,input_588104!L:R,7,FALSE),VLOOKUP(tables_588104!C51,input_588104!A:H,8,FALSE))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input_588104!A$2</f>
        <v>588104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IFERROR(VLOOKUP(B52,input_588104!L:R,7,FALSE),VLOOKUP(tables_588104!C52,input_588104!A:H,8,FALSE))</f>
        <v>340821.89217000001</v>
      </c>
      <c r="P52" s="40">
        <f t="shared" ca="1" si="1"/>
        <v>2.202260869545623E-2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input_588104!A$2</f>
        <v>588104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IFERROR(VLOOKUP(B53,input_588104!L:R,7,FALSE),VLOOKUP(tables_588104!C53,input_588104!A:H,8,FALSE))</f>
        <v>20021.983059999999</v>
      </c>
      <c r="P53" s="40">
        <f t="shared" ca="1" si="1"/>
        <v>1.2937440591917634E-3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input_588104!A$2</f>
        <v>588104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IFERROR(VLOOKUP(B54,input_588104!L:R,7,FALSE),VLOOKUP(tables_588104!C54,input_588104!A:H,8,FALSE))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input_588104!A$2</f>
        <v>588104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IFERROR(VLOOKUP(B55,input_588104!L:R,7,FALSE),VLOOKUP(tables_588104!C55,input_588104!A:H,8,FALSE))</f>
        <v>71588.160000000003</v>
      </c>
      <c r="P55" s="40">
        <f t="shared" ca="1" si="1"/>
        <v>4.625753424669486E-3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input_588104!A$2</f>
        <v>588104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IFERROR(VLOOKUP(B56,input_588104!L:R,7,FALSE),VLOOKUP(tables_588104!C56,input_588104!A:H,8,FALSE))</f>
        <v>7954.24</v>
      </c>
      <c r="P56" s="40">
        <f t="shared" ca="1" si="1"/>
        <v>5.1397260274105392E-4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input_588104!A$2</f>
        <v>588104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IFERROR(VLOOKUP(B57,input_588104!L:R,7,FALSE),VLOOKUP(tables_588104!C57,input_588104!A:H,8,FALSE))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input_588104!A$2</f>
        <v>588104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IFERROR(VLOOKUP(B58,input_588104!L:R,7,FALSE),VLOOKUP(tables_588104!C58,input_588104!A:H,8,FALSE))</f>
        <v>71588.160000000003</v>
      </c>
      <c r="P58" s="40">
        <f t="shared" ca="1" si="1"/>
        <v>4.625753424669486E-3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input_588104!A$2</f>
        <v>588104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IFERROR(VLOOKUP(B59,input_588104!L:R,7,FALSE),VLOOKUP(tables_588104!C59,input_588104!A:H,8,FALSE))</f>
        <v>7954.24</v>
      </c>
      <c r="P59" s="40">
        <f t="shared" ca="1" si="1"/>
        <v>5.1397260274105392E-4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input_588104!A$2</f>
        <v>588104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IFERROR(VLOOKUP(B60,input_588104!L:R,7,FALSE),VLOOKUP(tables_588104!C60,input_588104!A:H,8,FALSE))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input_588104!A$2</f>
        <v>588104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IFERROR(VLOOKUP(B61,input_588104!L:R,7,FALSE),VLOOKUP(tables_588104!C61,input_588104!A:H,8,FALSE))</f>
        <v>71588.160000000003</v>
      </c>
      <c r="P61" s="40">
        <f t="shared" ca="1" si="1"/>
        <v>4.625753424669486E-3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input_588104!A$2</f>
        <v>588104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IFERROR(VLOOKUP(B62,input_588104!L:R,7,FALSE),VLOOKUP(tables_588104!C62,input_588104!A:H,8,FALSE))</f>
        <v>7954.24</v>
      </c>
      <c r="P62" s="40">
        <f t="shared" ca="1" si="1"/>
        <v>5.1397260274105392E-4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input_588104!A$2</f>
        <v>588104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IFERROR(VLOOKUP(B63,input_588104!L:R,7,FALSE),VLOOKUP(tables_588104!C63,input_588104!A:H,8,FALSE))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input_588104!A$2</f>
        <v>588104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IFERROR(VLOOKUP(B64,input_588104!L:R,7,FALSE),VLOOKUP(tables_588104!C64,input_588104!A:H,8,FALSE))</f>
        <v>340821.89217000001</v>
      </c>
      <c r="P64" s="40">
        <f t="shared" ca="1" si="1"/>
        <v>2.202260869545623E-2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input_588104!A$2</f>
        <v>588104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IFERROR(VLOOKUP(B65,input_588104!L:R,7,FALSE),VLOOKUP(tables_588104!C65,input_588104!A:H,8,FALSE))</f>
        <v>20021.983059999999</v>
      </c>
      <c r="P65" s="40">
        <f t="shared" ca="1" si="1"/>
        <v>1.2937440591917634E-3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input_588104!A$2</f>
        <v>588104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IFERROR(VLOOKUP(B66,input_588104!L:R,7,FALSE),VLOOKUP(tables_588104!C66,input_588104!A:H,8,FALSE))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input_588104!A$2</f>
        <v>588104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IFERROR(VLOOKUP(B67,input_588104!L:R,7,FALSE),VLOOKUP(tables_588104!C67,input_588104!A:H,8,FALSE))</f>
        <v>71588.160000000003</v>
      </c>
      <c r="P67" s="40">
        <f t="shared" ca="1" si="4"/>
        <v>4.625753424669486E-3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input_588104!A$2</f>
        <v>588104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IFERROR(VLOOKUP(B68,input_588104!L:R,7,FALSE),VLOOKUP(tables_588104!C68,input_588104!A:H,8,FALSE))</f>
        <v>7954.24</v>
      </c>
      <c r="P68" s="40">
        <f t="shared" ca="1" si="4"/>
        <v>5.1397260274105392E-4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input_588104!A$2</f>
        <v>588104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IFERROR(VLOOKUP(B69,input_588104!L:R,7,FALSE),VLOOKUP(tables_588104!C69,input_588104!A:H,8,FALSE))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input_588104!A$2</f>
        <v>588104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IFERROR(VLOOKUP(B70,input_588104!L:R,7,FALSE),VLOOKUP(tables_588104!C70,input_588104!A:H,8,FALSE))</f>
        <v>71588.160000000003</v>
      </c>
      <c r="P70" s="40">
        <f t="shared" ca="1" si="4"/>
        <v>4.625753424669486E-3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input_588104!A$2</f>
        <v>588104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IFERROR(VLOOKUP(B71,input_588104!L:R,7,FALSE),VLOOKUP(tables_588104!C71,input_588104!A:H,8,FALSE))</f>
        <v>7954.24</v>
      </c>
      <c r="P71" s="40">
        <f t="shared" ca="1" si="4"/>
        <v>5.1397260274105392E-4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input_588104!A$2</f>
        <v>588104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IFERROR(VLOOKUP(B72,input_588104!L:R,7,FALSE),VLOOKUP(tables_588104!C72,input_588104!A:H,8,FALSE))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input_588104!A$2</f>
        <v>588104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IFERROR(VLOOKUP(B73,input_588104!L:R,7,FALSE),VLOOKUP(tables_588104!C73,input_588104!A:H,8,FALSE))</f>
        <v>340821.89217000001</v>
      </c>
      <c r="P73" s="40">
        <f t="shared" ca="1" si="4"/>
        <v>2.202260869545623E-2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input_588104!A$2</f>
        <v>588104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IFERROR(VLOOKUP(B74,input_588104!L:R,7,FALSE),VLOOKUP(tables_588104!C74,input_588104!A:H,8,FALSE))</f>
        <v>20021.983059999999</v>
      </c>
      <c r="P74" s="40">
        <f t="shared" ca="1" si="4"/>
        <v>1.2937440591917634E-3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input_588104!A$2</f>
        <v>588104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IFERROR(VLOOKUP(B75,input_588104!L:R,7,FALSE),VLOOKUP(tables_588104!C75,input_588104!A:H,8,FALSE))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input_588104!A$2</f>
        <v>588104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IFERROR(VLOOKUP(B76,input_588104!L:R,7,FALSE),VLOOKUP(tables_588104!C76,input_588104!A:H,8,FALSE))</f>
        <v>71588.160000000003</v>
      </c>
      <c r="P76" s="40">
        <f t="shared" ca="1" si="4"/>
        <v>4.625753424669486E-3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input_588104!A$2</f>
        <v>588104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IFERROR(VLOOKUP(B77,input_588104!L:R,7,FALSE),VLOOKUP(tables_588104!C77,input_588104!A:H,8,FALSE))</f>
        <v>7954.24</v>
      </c>
      <c r="P77" s="40">
        <f t="shared" ca="1" si="4"/>
        <v>5.1397260274105392E-4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input_588104!A$2</f>
        <v>588104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IFERROR(VLOOKUP(B78,input_588104!L:R,7,FALSE),VLOOKUP(tables_588104!C78,input_588104!A:H,8,FALSE))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input_588104!A$2</f>
        <v>588104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IFERROR(VLOOKUP(B79,input_588104!L:R,7,FALSE),VLOOKUP(tables_588104!C79,input_588104!A:H,8,FALSE))</f>
        <v>71588.160000000003</v>
      </c>
      <c r="P79" s="40">
        <f t="shared" ca="1" si="4"/>
        <v>4.625753424669486E-3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input_588104!A$2</f>
        <v>588104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IFERROR(VLOOKUP(B80,input_588104!L:R,7,FALSE),VLOOKUP(tables_588104!C80,input_588104!A:H,8,FALSE))</f>
        <v>7954.24</v>
      </c>
      <c r="P80" s="40">
        <f t="shared" ca="1" si="4"/>
        <v>5.1397260274105392E-4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input_588104!A$2</f>
        <v>588104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IFERROR(VLOOKUP(B81,input_588104!L:R,7,FALSE),VLOOKUP(tables_588104!C81,input_588104!A:H,8,FALSE))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input_588104!A$2</f>
        <v>588104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IFERROR(VLOOKUP(B82,input_588104!L:R,7,FALSE),VLOOKUP(tables_588104!C82,input_588104!A:H,8,FALSE))</f>
        <v>71588.160000000003</v>
      </c>
      <c r="P82" s="40">
        <f t="shared" ca="1" si="4"/>
        <v>4.625753424669486E-3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input_588104!A$2</f>
        <v>588104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IFERROR(VLOOKUP(B83,input_588104!L:R,7,FALSE),VLOOKUP(tables_588104!C83,input_588104!A:H,8,FALSE))</f>
        <v>7954.24</v>
      </c>
      <c r="P83" s="40">
        <f t="shared" ca="1" si="4"/>
        <v>5.1397260274105392E-4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input_588104!A$2</f>
        <v>588104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IFERROR(VLOOKUP(B84,input_588104!L:R,7,FALSE),VLOOKUP(tables_588104!C84,input_588104!A:H,8,FALSE))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input_588104!A$2</f>
        <v>588104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IFERROR(VLOOKUP(B85,input_588104!L:R,7,FALSE),VLOOKUP(tables_588104!C85,input_588104!A:H,8,FALSE))</f>
        <v>71588.160000000003</v>
      </c>
      <c r="P85" s="40">
        <f t="shared" ca="1" si="4"/>
        <v>4.625753424669486E-3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input_588104!A$2</f>
        <v>588104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IFERROR(VLOOKUP(B86,input_588104!L:R,7,FALSE),VLOOKUP(tables_588104!C86,input_588104!A:H,8,FALSE))</f>
        <v>7954.24</v>
      </c>
      <c r="P86" s="40">
        <f t="shared" ca="1" si="4"/>
        <v>5.1397260274105392E-4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input_588104!A$2</f>
        <v>588104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IFERROR(VLOOKUP(B87,input_588104!L:R,7,FALSE),VLOOKUP(tables_588104!C87,input_588104!A:H,8,FALSE))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input_588104!A$2</f>
        <v>588104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IFERROR(VLOOKUP(B88,input_588104!L:R,7,FALSE),VLOOKUP(tables_588104!C88,input_588104!A:H,8,FALSE))</f>
        <v>340821.89217000001</v>
      </c>
      <c r="P88" s="40">
        <f t="shared" ca="1" si="4"/>
        <v>2.202260869545623E-2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input_588104!A$2</f>
        <v>588104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IFERROR(VLOOKUP(B89,input_588104!L:R,7,FALSE),VLOOKUP(tables_588104!C89,input_588104!A:H,8,FALSE))</f>
        <v>20021.983059999999</v>
      </c>
      <c r="P89" s="40">
        <f t="shared" ca="1" si="4"/>
        <v>1.2937440591917634E-3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input_588104!A$2</f>
        <v>588104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IFERROR(VLOOKUP(B90,input_588104!L:R,7,FALSE),VLOOKUP(tables_588104!C90,input_588104!A:H,8,FALSE))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input_588104!A$2</f>
        <v>588104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IFERROR(VLOOKUP(B91,input_588104!L:R,7,FALSE),VLOOKUP(tables_588104!C91,input_588104!A:H,8,FALSE))</f>
        <v>71588.160000000003</v>
      </c>
      <c r="P91" s="40">
        <f t="shared" ca="1" si="4"/>
        <v>4.625753424669486E-3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input_588104!A$2</f>
        <v>588104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IFERROR(VLOOKUP(B92,input_588104!L:R,7,FALSE),VLOOKUP(tables_588104!C92,input_588104!A:H,8,FALSE))</f>
        <v>7954.24</v>
      </c>
      <c r="P92" s="40">
        <f t="shared" ca="1" si="4"/>
        <v>5.1397260274105392E-4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input_588104!A$2</f>
        <v>588104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IFERROR(VLOOKUP(B93,input_588104!L:R,7,FALSE),VLOOKUP(tables_588104!C93,input_588104!A:H,8,FALSE))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input_588104!A$2</f>
        <v>588104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IFERROR(VLOOKUP(B94,input_588104!L:R,7,FALSE),VLOOKUP(tables_588104!C94,input_588104!A:H,8,FALSE))</f>
        <v>71588.160000000003</v>
      </c>
      <c r="P94" s="40">
        <f t="shared" ca="1" si="4"/>
        <v>4.625753424669486E-3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input_588104!A$2</f>
        <v>588104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IFERROR(VLOOKUP(B95,input_588104!L:R,7,FALSE),VLOOKUP(tables_588104!C95,input_588104!A:H,8,FALSE))</f>
        <v>7954.24</v>
      </c>
      <c r="P95" s="40">
        <f t="shared" ca="1" si="4"/>
        <v>5.1397260274105392E-4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input_588104!A$2</f>
        <v>588104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IFERROR(VLOOKUP(B96,input_588104!L:R,7,FALSE),VLOOKUP(tables_588104!C96,input_588104!A:H,8,FALSE))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input_588104!A$2</f>
        <v>588104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IFERROR(VLOOKUP(B97,input_588104!L:R,7,FALSE),VLOOKUP(tables_588104!C97,input_588104!A:H,8,FALSE))</f>
        <v>71588.160000000003</v>
      </c>
      <c r="P97" s="40">
        <f t="shared" ca="1" si="4"/>
        <v>4.625753424669486E-3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input_588104!A$2</f>
        <v>588104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IFERROR(VLOOKUP(B98,input_588104!L:R,7,FALSE),VLOOKUP(tables_588104!C98,input_588104!A:H,8,FALSE))</f>
        <v>7954.24</v>
      </c>
      <c r="P98" s="40">
        <f t="shared" ca="1" si="4"/>
        <v>5.1397260274105392E-4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input_588104!A$2</f>
        <v>588104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IFERROR(VLOOKUP(B99,input_588104!L:R,7,FALSE),VLOOKUP(tables_588104!C99,input_588104!A:H,8,FALSE))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input_588104!A$2</f>
        <v>588104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IFERROR(VLOOKUP(B100,input_588104!L:R,7,FALSE),VLOOKUP(tables_588104!C100,input_588104!A:H,8,FALSE))</f>
        <v>340821.89217000001</v>
      </c>
      <c r="P100" s="40">
        <f t="shared" ca="1" si="4"/>
        <v>2.202260869545623E-2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input_588104!A$2</f>
        <v>588104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IFERROR(VLOOKUP(B101,input_588104!L:R,7,FALSE),VLOOKUP(tables_588104!C101,input_588104!A:H,8,FALSE))</f>
        <v>20021.983059999999</v>
      </c>
      <c r="P101" s="40">
        <f t="shared" ca="1" si="4"/>
        <v>1.2937440591917634E-3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input_588104!A$2</f>
        <v>588104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IFERROR(VLOOKUP(B102,input_588104!L:R,7,FALSE),VLOOKUP(tables_588104!C102,input_588104!A:H,8,FALSE))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input_588104!A$2</f>
        <v>588104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IFERROR(VLOOKUP(B103,input_588104!L:R,7,FALSE),VLOOKUP(tables_588104!C103,input_588104!A:H,8,FALSE))</f>
        <v>71588.160000000003</v>
      </c>
      <c r="P103" s="40">
        <f t="shared" ca="1" si="4"/>
        <v>4.625753424669486E-3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input_588104!A$2</f>
        <v>588104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IFERROR(VLOOKUP(B104,input_588104!L:R,7,FALSE),VLOOKUP(tables_588104!C104,input_588104!A:H,8,FALSE))</f>
        <v>7954.24</v>
      </c>
      <c r="P104" s="40">
        <f t="shared" ca="1" si="4"/>
        <v>5.1397260274105392E-4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input_588104!A$2</f>
        <v>588104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IFERROR(VLOOKUP(B105,input_588104!L:R,7,FALSE),VLOOKUP(tables_588104!C105,input_588104!A:H,8,FALSE))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input_588104!A$2</f>
        <v>588104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IFERROR(VLOOKUP(B106,input_588104!L:R,7,FALSE),VLOOKUP(tables_588104!C106,input_588104!A:H,8,FALSE))</f>
        <v>71588.160000000003</v>
      </c>
      <c r="P106" s="40">
        <f t="shared" ca="1" si="4"/>
        <v>4.625753424669486E-3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input_588104!A$2</f>
        <v>588104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IFERROR(VLOOKUP(B107,input_588104!L:R,7,FALSE),VLOOKUP(tables_588104!C107,input_588104!A:H,8,FALSE))</f>
        <v>7954.24</v>
      </c>
      <c r="P107" s="40">
        <f t="shared" ca="1" si="4"/>
        <v>5.1397260274105392E-4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input_588104!A$2</f>
        <v>588104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IFERROR(VLOOKUP(B108,input_588104!L:R,7,FALSE),VLOOKUP(tables_588104!C108,input_588104!A:H,8,FALSE))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input_588104!A$2</f>
        <v>588104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IFERROR(VLOOKUP(B109,input_588104!L:R,7,FALSE),VLOOKUP(tables_588104!C109,input_588104!A:H,8,FALSE))</f>
        <v>71588.160000000003</v>
      </c>
      <c r="P109" s="40">
        <f t="shared" ca="1" si="4"/>
        <v>4.625753424669486E-3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input_588104!A$2</f>
        <v>588104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IFERROR(VLOOKUP(B110,input_588104!L:R,7,FALSE),VLOOKUP(tables_588104!C110,input_588104!A:H,8,FALSE))</f>
        <v>7954.24</v>
      </c>
      <c r="P110" s="40">
        <f t="shared" ca="1" si="4"/>
        <v>5.1397260274105392E-4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input_588104!A$2</f>
        <v>588104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IFERROR(VLOOKUP(B111,input_588104!L:R,7,FALSE),VLOOKUP(tables_588104!C111,input_588104!A:H,8,FALSE))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input_588104!A$2</f>
        <v>588104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IFERROR(VLOOKUP(B112,input_588104!L:R,7,FALSE),VLOOKUP(tables_588104!C112,input_588104!A:H,8,FALSE))</f>
        <v>340821.89217000001</v>
      </c>
      <c r="P112" s="40">
        <f t="shared" ca="1" si="4"/>
        <v>2.202260869545623E-2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input_588104!A$2</f>
        <v>588104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IFERROR(VLOOKUP(B113,input_588104!L:R,7,FALSE),VLOOKUP(tables_588104!C113,input_588104!A:H,8,FALSE))</f>
        <v>37869.099130000002</v>
      </c>
      <c r="P113" s="40">
        <f t="shared" ca="1" si="4"/>
        <v>2.4469565217173587E-3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input_588104!A$2</f>
        <v>588104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IFERROR(VLOOKUP(B114,input_588104!L:R,7,FALSE),VLOOKUP(tables_588104!C114,input_588104!A:H,8,FALSE))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input_588104!A$2</f>
        <v>588104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IFERROR(VLOOKUP(B115,input_588104!L:R,7,FALSE),VLOOKUP(tables_588104!C115,input_588104!A:H,8,FALSE))</f>
        <v>71588.160000000003</v>
      </c>
      <c r="P115" s="40">
        <f t="shared" ca="1" si="4"/>
        <v>4.625753424669486E-3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input_588104!A$2</f>
        <v>588104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IFERROR(VLOOKUP(B116,input_588104!L:R,7,FALSE),VLOOKUP(tables_588104!C116,input_588104!A:H,8,FALSE))</f>
        <v>7954.24</v>
      </c>
      <c r="P116" s="40">
        <f t="shared" ca="1" si="4"/>
        <v>5.1397260274105392E-4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input_588104!A$2</f>
        <v>588104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IFERROR(VLOOKUP(B117,input_588104!L:R,7,FALSE),VLOOKUP(tables_588104!C117,input_588104!A:H,8,FALSE))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input_588104!A$2</f>
        <v>588104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IFERROR(VLOOKUP(B118,input_588104!L:R,7,FALSE),VLOOKUP(tables_588104!C118,input_588104!A:H,8,FALSE))</f>
        <v>71588.160000000003</v>
      </c>
      <c r="P118" s="40">
        <f t="shared" ca="1" si="4"/>
        <v>4.625753424669486E-3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input_588104!A$2</f>
        <v>588104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IFERROR(VLOOKUP(B119,input_588104!L:R,7,FALSE),VLOOKUP(tables_588104!C119,input_588104!A:H,8,FALSE))</f>
        <v>7954.24</v>
      </c>
      <c r="P119" s="40">
        <f t="shared" ca="1" si="4"/>
        <v>5.1397260274105392E-4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input_588104!A$2</f>
        <v>588104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IFERROR(VLOOKUP(B120,input_588104!L:R,7,FALSE),VLOOKUP(tables_588104!C120,input_588104!A:H,8,FALSE))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input_588104!A$2</f>
        <v>588104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IFERROR(VLOOKUP(B121,input_588104!L:R,7,FALSE),VLOOKUP(tables_588104!C121,input_588104!A:H,8,FALSE))</f>
        <v>71588.160000000003</v>
      </c>
      <c r="P121" s="40">
        <f t="shared" ca="1" si="4"/>
        <v>4.625753424669486E-3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input_588104!A$2</f>
        <v>588104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IFERROR(VLOOKUP(B122,input_588104!L:R,7,FALSE),VLOOKUP(tables_588104!C122,input_588104!A:H,8,FALSE))</f>
        <v>7954.24</v>
      </c>
      <c r="P122" s="40">
        <f t="shared" ca="1" si="4"/>
        <v>5.1397260274105392E-4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input_588104!A$2</f>
        <v>588104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IFERROR(VLOOKUP(B123,input_588104!L:R,7,FALSE),VLOOKUP(tables_588104!C123,input_588104!A:H,8,FALSE))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input_588104!A$2</f>
        <v>588104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IFERROR(VLOOKUP(B124,input_588104!L:R,7,FALSE),VLOOKUP(tables_588104!C124,input_588104!A:H,8,FALSE))</f>
        <v>340821.89217000001</v>
      </c>
      <c r="P124" s="40">
        <f t="shared" ca="1" si="4"/>
        <v>2.202260869545623E-2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input_588104!A$2</f>
        <v>588104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IFERROR(VLOOKUP(B125,input_588104!L:R,7,FALSE),VLOOKUP(tables_588104!C125,input_588104!A:H,8,FALSE))</f>
        <v>20021.983059999999</v>
      </c>
      <c r="P125" s="40">
        <f t="shared" ca="1" si="4"/>
        <v>1.2937440591917634E-3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input_588104!A$2</f>
        <v>588104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IFERROR(VLOOKUP(B126,input_588104!L:R,7,FALSE),VLOOKUP(tables_588104!C126,input_588104!A:H,8,FALSE))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input_588104!A$2</f>
        <v>588104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IFERROR(VLOOKUP(B127,input_588104!L:R,7,FALSE),VLOOKUP(tables_588104!C127,input_588104!A:H,8,FALSE))</f>
        <v>71588.160000000003</v>
      </c>
      <c r="P127" s="40">
        <f t="shared" ca="1" si="4"/>
        <v>4.625753424669486E-3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input_588104!A$2</f>
        <v>588104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IFERROR(VLOOKUP(B128,input_588104!L:R,7,FALSE),VLOOKUP(tables_588104!C128,input_588104!A:H,8,FALSE))</f>
        <v>7954.24</v>
      </c>
      <c r="P128" s="40">
        <f t="shared" ca="1" si="4"/>
        <v>5.1397260274105392E-4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input_588104!A$2</f>
        <v>588104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IFERROR(VLOOKUP(B129,input_588104!L:R,7,FALSE),VLOOKUP(tables_588104!C129,input_588104!A:H,8,FALSE))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input_588104!A$2</f>
        <v>588104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IFERROR(VLOOKUP(B130,input_588104!L:R,7,FALSE),VLOOKUP(tables_588104!C130,input_588104!A:H,8,FALSE))</f>
        <v>71588.160000000003</v>
      </c>
      <c r="P130" s="40">
        <f t="shared" ref="P130:P193" ca="1" si="7">O130/SUM(O:O)</f>
        <v>4.625753424669486E-3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input_588104!A$2</f>
        <v>588104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IFERROR(VLOOKUP(B131,input_588104!L:R,7,FALSE),VLOOKUP(tables_588104!C131,input_588104!A:H,8,FALSE))</f>
        <v>7954.24</v>
      </c>
      <c r="P131" s="40">
        <f t="shared" ca="1" si="7"/>
        <v>5.1397260274105392E-4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input_588104!A$2</f>
        <v>588104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IFERROR(VLOOKUP(B132,input_588104!L:R,7,FALSE),VLOOKUP(tables_588104!C132,input_588104!A:H,8,FALSE))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input_588104!A$2</f>
        <v>588104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IFERROR(VLOOKUP(B133,input_588104!L:R,7,FALSE),VLOOKUP(tables_588104!C133,input_588104!A:H,8,FALSE))</f>
        <v>71588.160000000003</v>
      </c>
      <c r="P133" s="40">
        <f t="shared" ca="1" si="7"/>
        <v>4.625753424669486E-3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input_588104!A$2</f>
        <v>588104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IFERROR(VLOOKUP(B134,input_588104!L:R,7,FALSE),VLOOKUP(tables_588104!C134,input_588104!A:H,8,FALSE))</f>
        <v>7954.24</v>
      </c>
      <c r="P134" s="40">
        <f t="shared" ca="1" si="7"/>
        <v>5.1397260274105392E-4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input_588104!A$2</f>
        <v>588104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IFERROR(VLOOKUP(B135,input_588104!L:R,7,FALSE),VLOOKUP(tables_588104!C135,input_588104!A:H,8,FALSE))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input_588104!A$2</f>
        <v>588104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IFERROR(VLOOKUP(B136,input_588104!L:R,7,FALSE),VLOOKUP(tables_588104!C136,input_588104!A:H,8,FALSE))</f>
        <v>340821.89217000001</v>
      </c>
      <c r="P136" s="40">
        <f t="shared" ca="1" si="7"/>
        <v>2.202260869545623E-2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input_588104!A$2</f>
        <v>588104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IFERROR(VLOOKUP(B137,input_588104!L:R,7,FALSE),VLOOKUP(tables_588104!C137,input_588104!A:H,8,FALSE))</f>
        <v>20021.983059999999</v>
      </c>
      <c r="P137" s="40">
        <f t="shared" ca="1" si="7"/>
        <v>1.2937440591917634E-3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input_588104!A$2</f>
        <v>588104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IFERROR(VLOOKUP(B138,input_588104!L:R,7,FALSE),VLOOKUP(tables_588104!C138,input_588104!A:H,8,FALSE))</f>
        <v>5256</v>
      </c>
      <c r="P138" s="40">
        <f t="shared" ca="1" si="7"/>
        <v>3.3962264151031143E-4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input_588104!A$2</f>
        <v>588104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IFERROR(VLOOKUP(B139,input_588104!L:R,7,FALSE),VLOOKUP(tables_588104!C139,input_588104!A:H,8,FALSE))</f>
        <v>584</v>
      </c>
      <c r="P139" s="40">
        <f t="shared" ca="1" si="7"/>
        <v>3.7735849056701273E-5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input_588104!A$2</f>
        <v>588104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IFERROR(VLOOKUP(B140,input_588104!L:R,7,FALSE),VLOOKUP(tables_588104!C140,input_588104!A:H,8,FALSE))</f>
        <v>5256</v>
      </c>
      <c r="P140" s="40">
        <f t="shared" ca="1" si="7"/>
        <v>3.3962264151031143E-4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input_588104!A$2</f>
        <v>588104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IFERROR(VLOOKUP(B141,input_588104!L:R,7,FALSE),VLOOKUP(tables_588104!C141,input_588104!A:H,8,FALSE))</f>
        <v>584</v>
      </c>
      <c r="P141" s="40">
        <f t="shared" ca="1" si="7"/>
        <v>3.7735849056701273E-5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input_588104!A$2</f>
        <v>588104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IFERROR(VLOOKUP(B142,input_588104!L:R,7,FALSE),VLOOKUP(tables_588104!C142,input_588104!A:H,8,FALSE))</f>
        <v>5256</v>
      </c>
      <c r="P142" s="40">
        <f t="shared" ca="1" si="7"/>
        <v>3.3962264151031143E-4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input_588104!A$2</f>
        <v>588104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IFERROR(VLOOKUP(B143,input_588104!L:R,7,FALSE),VLOOKUP(tables_588104!C143,input_588104!A:H,8,FALSE))</f>
        <v>584</v>
      </c>
      <c r="P143" s="40">
        <f t="shared" ca="1" si="7"/>
        <v>3.7735849056701273E-5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input_588104!A$2</f>
        <v>588104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IFERROR(VLOOKUP(B144,input_588104!L:R,7,FALSE),VLOOKUP(tables_588104!C144,input_588104!A:H,8,FALSE))</f>
        <v>21992.21053</v>
      </c>
      <c r="P144" s="40">
        <f t="shared" ca="1" si="7"/>
        <v>1.4210526318206786E-3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input_588104!A$2</f>
        <v>588104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IFERROR(VLOOKUP(B145,input_588104!L:R,7,FALSE),VLOOKUP(tables_588104!C145,input_588104!A:H,8,FALSE))</f>
        <v>2443.5789500000001</v>
      </c>
      <c r="P145" s="40">
        <f t="shared" ca="1" si="7"/>
        <v>1.5789473701255581E-4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input_588104!A$2</f>
        <v>588104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IFERROR(VLOOKUP(B146,input_588104!L:R,7,FALSE),VLOOKUP(tables_588104!C146,input_588104!A:H,8,FALSE))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input_588104!A$2</f>
        <v>588104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IFERROR(VLOOKUP(B147,input_588104!L:R,7,FALSE),VLOOKUP(tables_588104!C147,input_588104!A:H,8,FALSE))</f>
        <v>71588.160000000003</v>
      </c>
      <c r="P147" s="40">
        <f t="shared" ca="1" si="7"/>
        <v>4.625753424669486E-3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input_588104!A$2</f>
        <v>588104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IFERROR(VLOOKUP(B148,input_588104!L:R,7,FALSE),VLOOKUP(tables_588104!C148,input_588104!A:H,8,FALSE))</f>
        <v>7954.24</v>
      </c>
      <c r="P148" s="40">
        <f t="shared" ca="1" si="7"/>
        <v>5.1397260274105392E-4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input_588104!A$2</f>
        <v>588104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IFERROR(VLOOKUP(B149,input_588104!L:R,7,FALSE),VLOOKUP(tables_588104!C149,input_588104!A:H,8,FALSE))</f>
        <v>5256</v>
      </c>
      <c r="P149" s="40">
        <f t="shared" ca="1" si="7"/>
        <v>3.3962264151031143E-4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input_588104!A$2</f>
        <v>588104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IFERROR(VLOOKUP(B150,input_588104!L:R,7,FALSE),VLOOKUP(tables_588104!C150,input_588104!A:H,8,FALSE))</f>
        <v>584</v>
      </c>
      <c r="P150" s="40">
        <f t="shared" ca="1" si="7"/>
        <v>3.7735849056701273E-5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input_588104!A$2</f>
        <v>588104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IFERROR(VLOOKUP(B151,input_588104!L:R,7,FALSE),VLOOKUP(tables_588104!C151,input_588104!A:H,8,FALSE))</f>
        <v>5256</v>
      </c>
      <c r="P151" s="40">
        <f t="shared" ca="1" si="7"/>
        <v>3.3962264151031143E-4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input_588104!A$2</f>
        <v>588104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IFERROR(VLOOKUP(B152,input_588104!L:R,7,FALSE),VLOOKUP(tables_588104!C152,input_588104!A:H,8,FALSE))</f>
        <v>584</v>
      </c>
      <c r="P152" s="40">
        <f t="shared" ca="1" si="7"/>
        <v>3.7735849056701273E-5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input_588104!A$2</f>
        <v>588104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IFERROR(VLOOKUP(B153,input_588104!L:R,7,FALSE),VLOOKUP(tables_588104!C153,input_588104!A:H,8,FALSE))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input_588104!A$2</f>
        <v>588104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IFERROR(VLOOKUP(B154,input_588104!L:R,7,FALSE),VLOOKUP(tables_588104!C154,input_588104!A:H,8,FALSE))</f>
        <v>340821.89217000001</v>
      </c>
      <c r="P154" s="40">
        <f t="shared" ca="1" si="7"/>
        <v>2.202260869545623E-2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input_588104!A$2</f>
        <v>588104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IFERROR(VLOOKUP(B155,input_588104!L:R,7,FALSE),VLOOKUP(tables_588104!C155,input_588104!A:H,8,FALSE))</f>
        <v>20021.983059999999</v>
      </c>
      <c r="P155" s="40">
        <f t="shared" ca="1" si="7"/>
        <v>1.2937440591917634E-3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input_588104!A$2</f>
        <v>588104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IFERROR(VLOOKUP(B156,input_588104!L:R,7,FALSE),VLOOKUP(tables_588104!C156,input_588104!A:H,8,FALSE))</f>
        <v>5256</v>
      </c>
      <c r="P156" s="40">
        <f t="shared" ca="1" si="7"/>
        <v>3.3962264151031143E-4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input_588104!A$2</f>
        <v>588104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IFERROR(VLOOKUP(B157,input_588104!L:R,7,FALSE),VLOOKUP(tables_588104!C157,input_588104!A:H,8,FALSE))</f>
        <v>584</v>
      </c>
      <c r="P157" s="40">
        <f t="shared" ca="1" si="7"/>
        <v>3.7735849056701273E-5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input_588104!A$2</f>
        <v>588104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IFERROR(VLOOKUP(B158,input_588104!L:R,7,FALSE),VLOOKUP(tables_588104!C158,input_588104!A:H,8,FALSE))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input_588104!A$2</f>
        <v>588104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IFERROR(VLOOKUP(B159,input_588104!L:R,7,FALSE),VLOOKUP(tables_588104!C159,input_588104!A:H,8,FALSE))</f>
        <v>71588.160000000003</v>
      </c>
      <c r="P159" s="40">
        <f t="shared" ca="1" si="7"/>
        <v>4.625753424669486E-3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input_588104!A$2</f>
        <v>588104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IFERROR(VLOOKUP(B160,input_588104!L:R,7,FALSE),VLOOKUP(tables_588104!C160,input_588104!A:H,8,FALSE))</f>
        <v>7954.24</v>
      </c>
      <c r="P160" s="40">
        <f t="shared" ca="1" si="7"/>
        <v>5.1397260274105392E-4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input_588104!A$2</f>
        <v>588104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IFERROR(VLOOKUP(B161,input_588104!L:R,7,FALSE),VLOOKUP(tables_588104!C161,input_588104!A:H,8,FALSE))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input_588104!A$2</f>
        <v>588104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IFERROR(VLOOKUP(B162,input_588104!L:R,7,FALSE),VLOOKUP(tables_588104!C162,input_588104!A:H,8,FALSE))</f>
        <v>71588.160000000003</v>
      </c>
      <c r="P162" s="40">
        <f t="shared" ca="1" si="7"/>
        <v>4.625753424669486E-3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input_588104!A$2</f>
        <v>588104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IFERROR(VLOOKUP(B163,input_588104!L:R,7,FALSE),VLOOKUP(tables_588104!C163,input_588104!A:H,8,FALSE))</f>
        <v>7954.24</v>
      </c>
      <c r="P163" s="40">
        <f t="shared" ca="1" si="7"/>
        <v>5.1397260274105392E-4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input_588104!A$2</f>
        <v>588104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IFERROR(VLOOKUP(B164,input_588104!L:R,7,FALSE),VLOOKUP(tables_588104!C164,input_588104!A:H,8,FALSE))</f>
        <v>21992.21053</v>
      </c>
      <c r="P164" s="40">
        <f t="shared" ca="1" si="7"/>
        <v>1.4210526318206786E-3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input_588104!A$2</f>
        <v>588104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IFERROR(VLOOKUP(B165,input_588104!L:R,7,FALSE),VLOOKUP(tables_588104!C165,input_588104!A:H,8,FALSE))</f>
        <v>2443.5789500000001</v>
      </c>
      <c r="P165" s="40">
        <f t="shared" ca="1" si="7"/>
        <v>1.5789473701255581E-4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input_588104!A$2</f>
        <v>588104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IFERROR(VLOOKUP(B166,input_588104!L:R,7,FALSE),VLOOKUP(tables_588104!C166,input_588104!A:H,8,FALSE))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input_588104!A$2</f>
        <v>588104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IFERROR(VLOOKUP(B167,input_588104!L:R,7,FALSE),VLOOKUP(tables_588104!C167,input_588104!A:H,8,FALSE))</f>
        <v>71588.160000000003</v>
      </c>
      <c r="P167" s="40">
        <f t="shared" ca="1" si="7"/>
        <v>4.625753424669486E-3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input_588104!A$2</f>
        <v>588104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IFERROR(VLOOKUP(B168,input_588104!L:R,7,FALSE),VLOOKUP(tables_588104!C168,input_588104!A:H,8,FALSE))</f>
        <v>7954.24</v>
      </c>
      <c r="P168" s="40">
        <f t="shared" ca="1" si="7"/>
        <v>5.1397260274105392E-4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input_588104!A$2</f>
        <v>588104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IFERROR(VLOOKUP(B169,input_588104!L:R,7,FALSE),VLOOKUP(tables_588104!C169,input_588104!A:H,8,FALSE))</f>
        <v>5256</v>
      </c>
      <c r="P169" s="40">
        <f t="shared" ca="1" si="7"/>
        <v>3.3962264151031143E-4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input_588104!A$2</f>
        <v>588104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IFERROR(VLOOKUP(B170,input_588104!L:R,7,FALSE),VLOOKUP(tables_588104!C170,input_588104!A:H,8,FALSE))</f>
        <v>584</v>
      </c>
      <c r="P170" s="40">
        <f t="shared" ca="1" si="7"/>
        <v>3.7735849056701273E-5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input_588104!A$2</f>
        <v>588104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IFERROR(VLOOKUP(B171,input_588104!L:R,7,FALSE),VLOOKUP(tables_588104!C171,input_588104!A:H,8,FALSE))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input_588104!A$2</f>
        <v>588104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IFERROR(VLOOKUP(B172,input_588104!L:R,7,FALSE),VLOOKUP(tables_588104!C172,input_588104!A:H,8,FALSE))</f>
        <v>71588.160000000003</v>
      </c>
      <c r="P172" s="40">
        <f t="shared" ca="1" si="7"/>
        <v>4.625753424669486E-3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input_588104!A$2</f>
        <v>588104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IFERROR(VLOOKUP(B173,input_588104!L:R,7,FALSE),VLOOKUP(tables_588104!C173,input_588104!A:H,8,FALSE))</f>
        <v>7954.24</v>
      </c>
      <c r="P173" s="40">
        <f t="shared" ca="1" si="7"/>
        <v>5.1397260274105392E-4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input_588104!A$2</f>
        <v>588104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IFERROR(VLOOKUP(B174,input_588104!L:R,7,FALSE),VLOOKUP(tables_588104!C174,input_588104!A:H,8,FALSE))</f>
        <v>21992.21053</v>
      </c>
      <c r="P174" s="40">
        <f t="shared" ca="1" si="7"/>
        <v>1.4210526318206786E-3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input_588104!A$2</f>
        <v>588104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IFERROR(VLOOKUP(B175,input_588104!L:R,7,FALSE),VLOOKUP(tables_588104!C175,input_588104!A:H,8,FALSE))</f>
        <v>2443.5789500000001</v>
      </c>
      <c r="P175" s="40">
        <f t="shared" ca="1" si="7"/>
        <v>1.5789473701255581E-4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input_588104!A$2</f>
        <v>588104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IFERROR(VLOOKUP(B176,input_588104!L:R,7,FALSE),VLOOKUP(tables_588104!C176,input_588104!A:H,8,FALSE))</f>
        <v>5256</v>
      </c>
      <c r="P176" s="40">
        <f t="shared" ca="1" si="7"/>
        <v>3.3962264151031143E-4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input_588104!A$2</f>
        <v>588104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IFERROR(VLOOKUP(B177,input_588104!L:R,7,FALSE),VLOOKUP(tables_588104!C177,input_588104!A:H,8,FALSE))</f>
        <v>584</v>
      </c>
      <c r="P177" s="40">
        <f t="shared" ca="1" si="7"/>
        <v>3.7735849056701273E-5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input_588104!A$2</f>
        <v>588104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IFERROR(VLOOKUP(B178,input_588104!L:R,7,FALSE),VLOOKUP(tables_588104!C178,input_588104!A:H,8,FALSE))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input_588104!A$2</f>
        <v>588104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IFERROR(VLOOKUP(B179,input_588104!L:R,7,FALSE),VLOOKUP(tables_588104!C179,input_588104!A:H,8,FALSE))</f>
        <v>71588.160000000003</v>
      </c>
      <c r="P179" s="40">
        <f t="shared" ca="1" si="7"/>
        <v>4.625753424669486E-3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input_588104!A$2</f>
        <v>588104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IFERROR(VLOOKUP(B180,input_588104!L:R,7,FALSE),VLOOKUP(tables_588104!C180,input_588104!A:H,8,FALSE))</f>
        <v>7954.24</v>
      </c>
      <c r="P180" s="40">
        <f t="shared" ca="1" si="7"/>
        <v>5.1397260274105392E-4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input_588104!A$2</f>
        <v>588104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IFERROR(VLOOKUP(B181,input_588104!L:R,7,FALSE),VLOOKUP(tables_588104!C181,input_588104!A:H,8,FALSE))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input_588104!A$2</f>
        <v>588104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IFERROR(VLOOKUP(B182,input_588104!L:R,7,FALSE),VLOOKUP(tables_588104!C182,input_588104!A:H,8,FALSE))</f>
        <v>71588.160000000003</v>
      </c>
      <c r="P182" s="40">
        <f t="shared" ca="1" si="7"/>
        <v>4.625753424669486E-3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input_588104!A$2</f>
        <v>588104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IFERROR(VLOOKUP(B183,input_588104!L:R,7,FALSE),VLOOKUP(tables_588104!C183,input_588104!A:H,8,FALSE))</f>
        <v>7954.24</v>
      </c>
      <c r="P183" s="40">
        <f t="shared" ca="1" si="7"/>
        <v>5.1397260274105392E-4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input_588104!A$2</f>
        <v>588104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IFERROR(VLOOKUP(B184,input_588104!L:R,7,FALSE),VLOOKUP(tables_588104!C184,input_588104!A:H,8,FALSE))</f>
        <v>21992.21053</v>
      </c>
      <c r="P184" s="40">
        <f t="shared" ca="1" si="7"/>
        <v>1.4210526318206786E-3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input_588104!A$2</f>
        <v>588104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IFERROR(VLOOKUP(B185,input_588104!L:R,7,FALSE),VLOOKUP(tables_588104!C185,input_588104!A:H,8,FALSE))</f>
        <v>2443.5789500000001</v>
      </c>
      <c r="P185" s="40">
        <f t="shared" ca="1" si="7"/>
        <v>1.5789473701255581E-4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input_588104!A$2</f>
        <v>588104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IFERROR(VLOOKUP(B186,input_588104!L:R,7,FALSE),VLOOKUP(tables_588104!C186,input_588104!A:H,8,FALSE))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input_588104!A$2</f>
        <v>588104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IFERROR(VLOOKUP(B187,input_588104!L:R,7,FALSE),VLOOKUP(tables_588104!C187,input_588104!A:H,8,FALSE))</f>
        <v>71588.160000000003</v>
      </c>
      <c r="P187" s="40">
        <f t="shared" ca="1" si="7"/>
        <v>4.625753424669486E-3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input_588104!A$2</f>
        <v>588104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IFERROR(VLOOKUP(B188,input_588104!L:R,7,FALSE),VLOOKUP(tables_588104!C188,input_588104!A:H,8,FALSE))</f>
        <v>7954.24</v>
      </c>
      <c r="P188" s="40">
        <f t="shared" ca="1" si="7"/>
        <v>5.1397260274105392E-4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input_588104!A$2</f>
        <v>588104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IFERROR(VLOOKUP(B189,input_588104!L:R,7,FALSE),VLOOKUP(tables_588104!C189,input_588104!A:H,8,FALSE))</f>
        <v>5256</v>
      </c>
      <c r="P189" s="40">
        <f t="shared" ca="1" si="7"/>
        <v>3.3962264151031143E-4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input_588104!A$2</f>
        <v>588104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IFERROR(VLOOKUP(B190,input_588104!L:R,7,FALSE),VLOOKUP(tables_588104!C190,input_588104!A:H,8,FALSE))</f>
        <v>584</v>
      </c>
      <c r="P190" s="40">
        <f t="shared" ca="1" si="7"/>
        <v>3.7735849056701273E-5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input_588104!A$2</f>
        <v>588104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IFERROR(VLOOKUP(B191,input_588104!L:R,7,FALSE),VLOOKUP(tables_588104!C191,input_588104!A:H,8,FALSE))</f>
        <v>5256</v>
      </c>
      <c r="P191" s="40">
        <f t="shared" ca="1" si="7"/>
        <v>3.3962264151031143E-4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input_588104!A$2</f>
        <v>588104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IFERROR(VLOOKUP(B192,input_588104!L:R,7,FALSE),VLOOKUP(tables_588104!C192,input_588104!A:H,8,FALSE))</f>
        <v>584</v>
      </c>
      <c r="P192" s="40">
        <f t="shared" ca="1" si="7"/>
        <v>3.7735849056701273E-5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input_588104!A$2</f>
        <v>588104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IFERROR(VLOOKUP(B193,input_588104!L:R,7,FALSE),VLOOKUP(tables_588104!C193,input_588104!A:H,8,FALSE))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input_588104!A$2</f>
        <v>588104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IFERROR(VLOOKUP(B194,input_588104!L:R,7,FALSE),VLOOKUP(tables_588104!C194,input_588104!A:H,8,FALSE))</f>
        <v>340821.89217000001</v>
      </c>
      <c r="P194" s="40">
        <f t="shared" ref="P194:P257" ca="1" si="10">O194/SUM(O:O)</f>
        <v>2.202260869545623E-2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input_588104!A$2</f>
        <v>588104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IFERROR(VLOOKUP(B195,input_588104!L:R,7,FALSE),VLOOKUP(tables_588104!C195,input_588104!A:H,8,FALSE))</f>
        <v>20021.983059999999</v>
      </c>
      <c r="P195" s="40">
        <f t="shared" ca="1" si="10"/>
        <v>1.2937440591917634E-3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input_588104!A$2</f>
        <v>588104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IFERROR(VLOOKUP(B196,input_588104!L:R,7,FALSE),VLOOKUP(tables_588104!C196,input_588104!A:H,8,FALSE))</f>
        <v>5256</v>
      </c>
      <c r="P196" s="40">
        <f t="shared" ca="1" si="10"/>
        <v>3.3962264151031143E-4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input_588104!A$2</f>
        <v>588104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IFERROR(VLOOKUP(B197,input_588104!L:R,7,FALSE),VLOOKUP(tables_588104!C197,input_588104!A:H,8,FALSE))</f>
        <v>584</v>
      </c>
      <c r="P197" s="40">
        <f t="shared" ca="1" si="10"/>
        <v>3.7735849056701273E-5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input_588104!A$2</f>
        <v>588104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IFERROR(VLOOKUP(B198,input_588104!L:R,7,FALSE),VLOOKUP(tables_588104!C198,input_588104!A:H,8,FALSE))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input_588104!A$2</f>
        <v>588104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IFERROR(VLOOKUP(B199,input_588104!L:R,7,FALSE),VLOOKUP(tables_588104!C199,input_588104!A:H,8,FALSE))</f>
        <v>71588.160000000003</v>
      </c>
      <c r="P199" s="40">
        <f t="shared" ca="1" si="10"/>
        <v>4.625753424669486E-3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input_588104!A$2</f>
        <v>588104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IFERROR(VLOOKUP(B200,input_588104!L:R,7,FALSE),VLOOKUP(tables_588104!C200,input_588104!A:H,8,FALSE))</f>
        <v>7954.24</v>
      </c>
      <c r="P200" s="40">
        <f t="shared" ca="1" si="10"/>
        <v>5.1397260274105392E-4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input_588104!A$2</f>
        <v>588104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IFERROR(VLOOKUP(B201,input_588104!L:R,7,FALSE),VLOOKUP(tables_588104!C201,input_588104!A:H,8,FALSE))</f>
        <v>5256</v>
      </c>
      <c r="P201" s="40">
        <f t="shared" ca="1" si="10"/>
        <v>3.3962264151031143E-4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input_588104!A$2</f>
        <v>588104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IFERROR(VLOOKUP(B202,input_588104!L:R,7,FALSE),VLOOKUP(tables_588104!C202,input_588104!A:H,8,FALSE))</f>
        <v>584</v>
      </c>
      <c r="P202" s="40">
        <f t="shared" ca="1" si="10"/>
        <v>3.7735849056701273E-5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input_588104!A$2</f>
        <v>588104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IFERROR(VLOOKUP(B203,input_588104!L:R,7,FALSE),VLOOKUP(tables_588104!C203,input_588104!A:H,8,FALSE))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input_588104!A$2</f>
        <v>588104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IFERROR(VLOOKUP(B204,input_588104!L:R,7,FALSE),VLOOKUP(tables_588104!C204,input_588104!A:H,8,FALSE))</f>
        <v>340821.89217000001</v>
      </c>
      <c r="P204" s="40">
        <f t="shared" ca="1" si="10"/>
        <v>2.202260869545623E-2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input_588104!A$2</f>
        <v>588104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IFERROR(VLOOKUP(B205,input_588104!L:R,7,FALSE),VLOOKUP(tables_588104!C205,input_588104!A:H,8,FALSE))</f>
        <v>20021.983059999999</v>
      </c>
      <c r="P205" s="40">
        <f t="shared" ca="1" si="10"/>
        <v>1.2937440591917634E-3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input_588104!A$2</f>
        <v>588104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IFERROR(VLOOKUP(B206,input_588104!L:R,7,FALSE),VLOOKUP(tables_588104!C206,input_588104!A:H,8,FALSE))</f>
        <v>5256</v>
      </c>
      <c r="P206" s="40">
        <f t="shared" ca="1" si="10"/>
        <v>3.3962264151031143E-4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input_588104!A$2</f>
        <v>588104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IFERROR(VLOOKUP(B207,input_588104!L:R,7,FALSE),VLOOKUP(tables_588104!C207,input_588104!A:H,8,FALSE))</f>
        <v>584</v>
      </c>
      <c r="P207" s="40">
        <f t="shared" ca="1" si="10"/>
        <v>3.7735849056701273E-5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input_588104!A$2</f>
        <v>588104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IFERROR(VLOOKUP(B208,input_588104!L:R,7,FALSE),VLOOKUP(tables_588104!C208,input_588104!A:H,8,FALSE))</f>
        <v>5256</v>
      </c>
      <c r="P208" s="40">
        <f t="shared" ca="1" si="10"/>
        <v>3.3962264151031143E-4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input_588104!A$2</f>
        <v>588104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IFERROR(VLOOKUP(B209,input_588104!L:R,7,FALSE),VLOOKUP(tables_588104!C209,input_588104!A:H,8,FALSE))</f>
        <v>584</v>
      </c>
      <c r="P209" s="40">
        <f t="shared" ca="1" si="10"/>
        <v>3.7735849056701273E-5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input_588104!A$2</f>
        <v>588104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IFERROR(VLOOKUP(B210,input_588104!L:R,7,FALSE),VLOOKUP(tables_588104!C210,input_588104!A:H,8,FALSE))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input_588104!A$2</f>
        <v>588104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IFERROR(VLOOKUP(B211,input_588104!L:R,7,FALSE),VLOOKUP(tables_588104!C211,input_588104!A:H,8,FALSE))</f>
        <v>71588.160000000003</v>
      </c>
      <c r="P211" s="40">
        <f t="shared" ca="1" si="10"/>
        <v>4.625753424669486E-3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input_588104!A$2</f>
        <v>588104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IFERROR(VLOOKUP(B212,input_588104!L:R,7,FALSE),VLOOKUP(tables_588104!C212,input_588104!A:H,8,FALSE))</f>
        <v>7954.24</v>
      </c>
      <c r="P212" s="40">
        <f t="shared" ca="1" si="10"/>
        <v>5.1397260274105392E-4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input_588104!A$2</f>
        <v>588104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IFERROR(VLOOKUP(B213,input_588104!L:R,7,FALSE),VLOOKUP(tables_588104!C213,input_588104!A:H,8,FALSE))</f>
        <v>21992.21053</v>
      </c>
      <c r="P213" s="40">
        <f t="shared" ca="1" si="10"/>
        <v>1.4210526318206786E-3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input_588104!A$2</f>
        <v>588104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IFERROR(VLOOKUP(B214,input_588104!L:R,7,FALSE),VLOOKUP(tables_588104!C214,input_588104!A:H,8,FALSE))</f>
        <v>2443.5789500000001</v>
      </c>
      <c r="P214" s="40">
        <f t="shared" ca="1" si="10"/>
        <v>1.5789473701255581E-4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input_588104!A$2</f>
        <v>588104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IFERROR(VLOOKUP(B215,input_588104!L:R,7,FALSE),VLOOKUP(tables_588104!C215,input_588104!A:H,8,FALSE))</f>
        <v>4290.8959999999997</v>
      </c>
      <c r="P215" s="40">
        <f t="shared" ca="1" si="10"/>
        <v>2.7726130783219734E-4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input_588104!A$2</f>
        <v>588104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IFERROR(VLOOKUP(B216,input_588104!L:R,7,FALSE),VLOOKUP(tables_588104!C216,input_588104!A:H,8,FALSE))</f>
        <v>4290.8959999999997</v>
      </c>
      <c r="P216" s="40">
        <f t="shared" ca="1" si="10"/>
        <v>2.7726130783219734E-4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input_588104!A$2</f>
        <v>588104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IFERROR(VLOOKUP(B217,input_588104!L:R,7,FALSE),VLOOKUP(tables_588104!C217,input_588104!A:H,8,FALSE))</f>
        <v>4290.8959999999997</v>
      </c>
      <c r="P217" s="40">
        <f t="shared" ca="1" si="10"/>
        <v>2.7726130783219734E-4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input_588104!A$2</f>
        <v>588104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IFERROR(VLOOKUP(B218,input_588104!L:R,7,FALSE),VLOOKUP(tables_588104!C218,input_588104!A:H,8,FALSE))</f>
        <v>22393.099129999999</v>
      </c>
      <c r="P218" s="40">
        <f t="shared" ca="1" si="10"/>
        <v>1.4469565217147748E-3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input_588104!A$2</f>
        <v>588104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IFERROR(VLOOKUP(B219,input_588104!L:R,7,FALSE),VLOOKUP(tables_588104!C219,input_588104!A:H,8,FALSE))</f>
        <v>4290.8959999999997</v>
      </c>
      <c r="P219" s="40">
        <f t="shared" ca="1" si="10"/>
        <v>2.7726130783219734E-4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input_588104!A$2</f>
        <v>588104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IFERROR(VLOOKUP(B220,input_588104!L:R,7,FALSE),VLOOKUP(tables_588104!C220,input_588104!A:H,8,FALSE))</f>
        <v>22393.099129999999</v>
      </c>
      <c r="P220" s="40">
        <f t="shared" ca="1" si="10"/>
        <v>1.4469565217147748E-3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input_588104!A$2</f>
        <v>588104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IFERROR(VLOOKUP(B221,input_588104!L:R,7,FALSE),VLOOKUP(tables_588104!C221,input_588104!A:H,8,FALSE))</f>
        <v>5256</v>
      </c>
      <c r="P221" s="40">
        <f t="shared" ca="1" si="10"/>
        <v>3.3962264151031143E-4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input_588104!A$2</f>
        <v>588104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IFERROR(VLOOKUP(B222,input_588104!L:R,7,FALSE),VLOOKUP(tables_588104!C222,input_588104!A:H,8,FALSE))</f>
        <v>584</v>
      </c>
      <c r="P222" s="40">
        <f t="shared" ca="1" si="10"/>
        <v>3.7735849056701273E-5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input_588104!A$2</f>
        <v>588104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IFERROR(VLOOKUP(B223,input_588104!L:R,7,FALSE),VLOOKUP(tables_588104!C223,input_588104!A:H,8,FALSE))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input_588104!A$2</f>
        <v>588104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IFERROR(VLOOKUP(B224,input_588104!L:R,7,FALSE),VLOOKUP(tables_588104!C224,input_588104!A:H,8,FALSE))</f>
        <v>71588.160000000003</v>
      </c>
      <c r="P224" s="40">
        <f t="shared" ca="1" si="10"/>
        <v>4.625753424669486E-3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input_588104!A$2</f>
        <v>588104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IFERROR(VLOOKUP(B225,input_588104!L:R,7,FALSE),VLOOKUP(tables_588104!C225,input_588104!A:H,8,FALSE))</f>
        <v>7954.24</v>
      </c>
      <c r="P225" s="40">
        <f t="shared" ca="1" si="10"/>
        <v>5.1397260274105392E-4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input_588104!A$2</f>
        <v>588104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IFERROR(VLOOKUP(B226,input_588104!L:R,7,FALSE),VLOOKUP(tables_588104!C226,input_588104!A:H,8,FALSE))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input_588104!A$2</f>
        <v>588104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IFERROR(VLOOKUP(B227,input_588104!L:R,7,FALSE),VLOOKUP(tables_588104!C227,input_588104!A:H,8,FALSE))</f>
        <v>71588.160000000003</v>
      </c>
      <c r="P227" s="40">
        <f t="shared" ca="1" si="10"/>
        <v>4.625753424669486E-3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input_588104!A$2</f>
        <v>588104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IFERROR(VLOOKUP(B228,input_588104!L:R,7,FALSE),VLOOKUP(tables_588104!C228,input_588104!A:H,8,FALSE))</f>
        <v>7954.24</v>
      </c>
      <c r="P228" s="40">
        <f t="shared" ca="1" si="10"/>
        <v>5.1397260274105392E-4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input_588104!A$2</f>
        <v>588104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IFERROR(VLOOKUP(B229,input_588104!L:R,7,FALSE),VLOOKUP(tables_588104!C229,input_588104!A:H,8,FALSE))</f>
        <v>21992.21053</v>
      </c>
      <c r="P229" s="40">
        <f t="shared" ca="1" si="10"/>
        <v>1.4210526318206786E-3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input_588104!A$2</f>
        <v>588104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IFERROR(VLOOKUP(B230,input_588104!L:R,7,FALSE),VLOOKUP(tables_588104!C230,input_588104!A:H,8,FALSE))</f>
        <v>2443.5789500000001</v>
      </c>
      <c r="P230" s="40">
        <f t="shared" ca="1" si="10"/>
        <v>1.5789473701255581E-4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input_588104!A$2</f>
        <v>588104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IFERROR(VLOOKUP(B231,input_588104!L:R,7,FALSE),VLOOKUP(tables_588104!C231,input_588104!A:H,8,FALSE))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input_588104!A$2</f>
        <v>588104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IFERROR(VLOOKUP(B232,input_588104!L:R,7,FALSE),VLOOKUP(tables_588104!C232,input_588104!A:H,8,FALSE))</f>
        <v>71588.160000000003</v>
      </c>
      <c r="P232" s="40">
        <f t="shared" ca="1" si="10"/>
        <v>4.625753424669486E-3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input_588104!A$2</f>
        <v>588104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IFERROR(VLOOKUP(B233,input_588104!L:R,7,FALSE),VLOOKUP(tables_588104!C233,input_588104!A:H,8,FALSE))</f>
        <v>7954.24</v>
      </c>
      <c r="P233" s="40">
        <f t="shared" ca="1" si="10"/>
        <v>5.1397260274105392E-4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input_588104!A$2</f>
        <v>588104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IFERROR(VLOOKUP(B234,input_588104!L:R,7,FALSE),VLOOKUP(tables_588104!C234,input_588104!A:H,8,FALSE))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input_588104!A$2</f>
        <v>588104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IFERROR(VLOOKUP(B235,input_588104!L:R,7,FALSE),VLOOKUP(tables_588104!C235,input_588104!A:H,8,FALSE))</f>
        <v>71588.160000000003</v>
      </c>
      <c r="P235" s="40">
        <f t="shared" ca="1" si="10"/>
        <v>4.625753424669486E-3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input_588104!A$2</f>
        <v>588104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IFERROR(VLOOKUP(B236,input_588104!L:R,7,FALSE),VLOOKUP(tables_588104!C236,input_588104!A:H,8,FALSE))</f>
        <v>7954.24</v>
      </c>
      <c r="P236" s="40">
        <f t="shared" ca="1" si="10"/>
        <v>5.1397260274105392E-4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input_588104!A$2</f>
        <v>588104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IFERROR(VLOOKUP(B237,input_588104!L:R,7,FALSE),VLOOKUP(tables_588104!C237,input_588104!A:H,8,FALSE))</f>
        <v>5256</v>
      </c>
      <c r="P237" s="40">
        <f t="shared" ca="1" si="10"/>
        <v>3.3962264151031143E-4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input_588104!A$2</f>
        <v>588104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IFERROR(VLOOKUP(B238,input_588104!L:R,7,FALSE),VLOOKUP(tables_588104!C238,input_588104!A:H,8,FALSE))</f>
        <v>584</v>
      </c>
      <c r="P238" s="40">
        <f t="shared" ca="1" si="10"/>
        <v>3.7735849056701273E-5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input_588104!A$2</f>
        <v>588104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IFERROR(VLOOKUP(B239,input_588104!L:R,7,FALSE),VLOOKUP(tables_588104!C239,input_588104!A:H,8,FALSE))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input_588104!A$2</f>
        <v>588104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IFERROR(VLOOKUP(B240,input_588104!L:R,7,FALSE),VLOOKUP(tables_588104!C240,input_588104!A:H,8,FALSE))</f>
        <v>340821.89217000001</v>
      </c>
      <c r="P240" s="40">
        <f t="shared" ca="1" si="10"/>
        <v>2.202260869545623E-2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input_588104!A$2</f>
        <v>588104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IFERROR(VLOOKUP(B241,input_588104!L:R,7,FALSE),VLOOKUP(tables_588104!C241,input_588104!A:H,8,FALSE))</f>
        <v>20021.983059999999</v>
      </c>
      <c r="P241" s="40">
        <f t="shared" ca="1" si="10"/>
        <v>1.2937440591917634E-3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input_588104!A$2</f>
        <v>588104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IFERROR(VLOOKUP(B242,input_588104!L:R,7,FALSE),VLOOKUP(tables_588104!C242,input_588104!A:H,8,FALSE))</f>
        <v>5256</v>
      </c>
      <c r="P242" s="40">
        <f t="shared" ca="1" si="10"/>
        <v>3.3962264151031143E-4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input_588104!A$2</f>
        <v>588104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IFERROR(VLOOKUP(B243,input_588104!L:R,7,FALSE),VLOOKUP(tables_588104!C243,input_588104!A:H,8,FALSE))</f>
        <v>584</v>
      </c>
      <c r="P243" s="40">
        <f t="shared" ca="1" si="10"/>
        <v>3.7735849056701273E-5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input_588104!A$2</f>
        <v>588104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IFERROR(VLOOKUP(B244,input_588104!L:R,7,FALSE),VLOOKUP(tables_588104!C244,input_588104!A:H,8,FALSE))</f>
        <v>5256</v>
      </c>
      <c r="P244" s="40">
        <f t="shared" ca="1" si="10"/>
        <v>3.3962264151031143E-4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input_588104!A$2</f>
        <v>588104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IFERROR(VLOOKUP(B245,input_588104!L:R,7,FALSE),VLOOKUP(tables_588104!C245,input_588104!A:H,8,FALSE))</f>
        <v>584</v>
      </c>
      <c r="P245" s="40">
        <f t="shared" ca="1" si="10"/>
        <v>3.7735849056701273E-5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input_588104!A$2</f>
        <v>588104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IFERROR(VLOOKUP(B246,input_588104!L:R,7,FALSE),VLOOKUP(tables_588104!C246,input_588104!A:H,8,FALSE))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input_588104!A$2</f>
        <v>588104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IFERROR(VLOOKUP(B247,input_588104!L:R,7,FALSE),VLOOKUP(tables_588104!C247,input_588104!A:H,8,FALSE))</f>
        <v>71588.160000000003</v>
      </c>
      <c r="P247" s="40">
        <f t="shared" ca="1" si="10"/>
        <v>4.625753424669486E-3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input_588104!A$2</f>
        <v>588104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IFERROR(VLOOKUP(B248,input_588104!L:R,7,FALSE),VLOOKUP(tables_588104!C248,input_588104!A:H,8,FALSE))</f>
        <v>7954.24</v>
      </c>
      <c r="P248" s="40">
        <f t="shared" ca="1" si="10"/>
        <v>5.1397260274105392E-4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input_588104!A$2</f>
        <v>588104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IFERROR(VLOOKUP(B249,input_588104!L:R,7,FALSE),VLOOKUP(tables_588104!C249,input_588104!A:H,8,FALSE))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input_588104!A$2</f>
        <v>588104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IFERROR(VLOOKUP(B250,input_588104!L:R,7,FALSE),VLOOKUP(tables_588104!C250,input_588104!A:H,8,FALSE))</f>
        <v>340821.89217000001</v>
      </c>
      <c r="P250" s="40">
        <f t="shared" ca="1" si="10"/>
        <v>2.202260869545623E-2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input_588104!A$2</f>
        <v>588104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IFERROR(VLOOKUP(B251,input_588104!L:R,7,FALSE),VLOOKUP(tables_588104!C251,input_588104!A:H,8,FALSE))</f>
        <v>20021.983059999999</v>
      </c>
      <c r="P251" s="40">
        <f t="shared" ca="1" si="10"/>
        <v>1.2937440591917634E-3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input_588104!A$2</f>
        <v>588104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IFERROR(VLOOKUP(B252,input_588104!L:R,7,FALSE),VLOOKUP(tables_588104!C252,input_588104!A:H,8,FALSE))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input_588104!A$2</f>
        <v>588104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IFERROR(VLOOKUP(B253,input_588104!L:R,7,FALSE),VLOOKUP(tables_588104!C253,input_588104!A:H,8,FALSE))</f>
        <v>71588.160000000003</v>
      </c>
      <c r="P253" s="40">
        <f t="shared" ca="1" si="10"/>
        <v>4.625753424669486E-3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input_588104!A$2</f>
        <v>588104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IFERROR(VLOOKUP(B254,input_588104!L:R,7,FALSE),VLOOKUP(tables_588104!C254,input_588104!A:H,8,FALSE))</f>
        <v>7954.24</v>
      </c>
      <c r="P254" s="40">
        <f t="shared" ca="1" si="10"/>
        <v>5.1397260274105392E-4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input_588104!A$2</f>
        <v>588104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IFERROR(VLOOKUP(B255,input_588104!L:R,7,FALSE),VLOOKUP(tables_588104!C255,input_588104!A:H,8,FALSE))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input_588104!A$2</f>
        <v>588104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IFERROR(VLOOKUP(B256,input_588104!L:R,7,FALSE),VLOOKUP(tables_588104!C256,input_588104!A:H,8,FALSE))</f>
        <v>71588.160000000003</v>
      </c>
      <c r="P256" s="40">
        <f t="shared" ca="1" si="10"/>
        <v>4.625753424669486E-3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input_588104!A$2</f>
        <v>588104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IFERROR(VLOOKUP(B257,input_588104!L:R,7,FALSE),VLOOKUP(tables_588104!C257,input_588104!A:H,8,FALSE))</f>
        <v>7954.24</v>
      </c>
      <c r="P257" s="40">
        <f t="shared" ca="1" si="10"/>
        <v>5.1397260274105392E-4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input_588104!A$2</f>
        <v>588104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IFERROR(VLOOKUP(B258,input_588104!L:R,7,FALSE),VLOOKUP(tables_588104!C258,input_588104!A:H,8,FALSE))</f>
        <v>5256</v>
      </c>
      <c r="P258" s="40">
        <f t="shared" ref="P258:P305" ca="1" si="13">O258/SUM(O:O)</f>
        <v>3.3962264151031143E-4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input_588104!A$2</f>
        <v>588104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IFERROR(VLOOKUP(B259,input_588104!L:R,7,FALSE),VLOOKUP(tables_588104!C259,input_588104!A:H,8,FALSE))</f>
        <v>584</v>
      </c>
      <c r="P259" s="40">
        <f t="shared" ca="1" si="13"/>
        <v>3.7735849056701273E-5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input_588104!A$2</f>
        <v>588104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IFERROR(VLOOKUP(B260,input_588104!L:R,7,FALSE),VLOOKUP(tables_588104!C260,input_588104!A:H,8,FALSE))</f>
        <v>21992.21053</v>
      </c>
      <c r="P260" s="40">
        <f t="shared" ca="1" si="13"/>
        <v>1.4210526318206786E-3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input_588104!A$2</f>
        <v>588104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IFERROR(VLOOKUP(B261,input_588104!L:R,7,FALSE),VLOOKUP(tables_588104!C261,input_588104!A:H,8,FALSE))</f>
        <v>2443.5789500000001</v>
      </c>
      <c r="P261" s="40">
        <f t="shared" ca="1" si="13"/>
        <v>1.5789473701255581E-4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input_588104!A$2</f>
        <v>588104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IFERROR(VLOOKUP(B262,input_588104!L:R,7,FALSE),VLOOKUP(tables_588104!C262,input_588104!A:H,8,FALSE))</f>
        <v>74178.78</v>
      </c>
      <c r="P262" s="40">
        <f t="shared" ca="1" si="13"/>
        <v>4.7931493926202931E-3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input_588104!A$2</f>
        <v>588104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IFERROR(VLOOKUP(B263,input_588104!L:R,7,FALSE),VLOOKUP(tables_588104!C263,input_588104!A:H,8,FALSE))</f>
        <v>4290.8959999999997</v>
      </c>
      <c r="P263" s="40">
        <f t="shared" ca="1" si="13"/>
        <v>2.7726130783219734E-4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input_588104!A$2</f>
        <v>588104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IFERROR(VLOOKUP(B264,input_588104!L:R,7,FALSE),VLOOKUP(tables_588104!C264,input_588104!A:H,8,FALSE))</f>
        <v>74178.78</v>
      </c>
      <c r="P264" s="40">
        <f t="shared" ca="1" si="13"/>
        <v>4.7931493926202931E-3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input_588104!A$2</f>
        <v>588104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IFERROR(VLOOKUP(B265,input_588104!L:R,7,FALSE),VLOOKUP(tables_588104!C265,input_588104!A:H,8,FALSE))</f>
        <v>4290.8959999999997</v>
      </c>
      <c r="P265" s="40">
        <f t="shared" ca="1" si="13"/>
        <v>2.7726130783219734E-4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input_588104!A$2</f>
        <v>588104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IFERROR(VLOOKUP(B266,input_588104!L:R,7,FALSE),VLOOKUP(tables_588104!C266,input_588104!A:H,8,FALSE))</f>
        <v>5840</v>
      </c>
      <c r="P266" s="40">
        <f t="shared" ca="1" si="13"/>
        <v>3.7735849056701274E-4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input_588104!A$2</f>
        <v>588104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IFERROR(VLOOKUP(B267,input_588104!L:R,7,FALSE),VLOOKUP(tables_588104!C267,input_588104!A:H,8,FALSE))</f>
        <v>24435.78947</v>
      </c>
      <c r="P267" s="40">
        <f t="shared" ca="1" si="13"/>
        <v>1.5789473681870724E-3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input_588104!A$2</f>
        <v>588104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IFERROR(VLOOKUP(B268,input_588104!L:R,7,FALSE),VLOOKUP(tables_588104!C268,input_588104!A:H,8,FALSE))</f>
        <v>5840</v>
      </c>
      <c r="P268" s="40">
        <f t="shared" ca="1" si="13"/>
        <v>3.7735849056701274E-4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input_588104!A$2</f>
        <v>588104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IFERROR(VLOOKUP(B269,input_588104!L:R,7,FALSE),VLOOKUP(tables_588104!C269,input_588104!A:H,8,FALSE))</f>
        <v>5840</v>
      </c>
      <c r="P269" s="40">
        <f t="shared" ca="1" si="13"/>
        <v>3.7735849056701274E-4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input_588104!A$2</f>
        <v>588104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IFERROR(VLOOKUP(B270,input_588104!L:R,7,FALSE),VLOOKUP(tables_588104!C270,input_588104!A:H,8,FALSE))</f>
        <v>74178.78</v>
      </c>
      <c r="P270" s="40">
        <f t="shared" ca="1" si="13"/>
        <v>4.7931493926202931E-3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input_588104!A$2</f>
        <v>588104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IFERROR(VLOOKUP(B271,input_588104!L:R,7,FALSE),VLOOKUP(tables_588104!C271,input_588104!A:H,8,FALSE))</f>
        <v>4290.8959999999997</v>
      </c>
      <c r="P271" s="40">
        <f t="shared" ca="1" si="13"/>
        <v>2.7726130783219734E-4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input_588104!A$2</f>
        <v>588104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IFERROR(VLOOKUP(B272,input_588104!L:R,7,FALSE),VLOOKUP(tables_588104!C272,input_588104!A:H,8,FALSE))</f>
        <v>345101.34260999999</v>
      </c>
      <c r="P272" s="40">
        <f t="shared" ca="1" si="13"/>
        <v>2.2299130434924503E-2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input_588104!A$2</f>
        <v>588104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IFERROR(VLOOKUP(B273,input_588104!L:R,7,FALSE),VLOOKUP(tables_588104!C273,input_588104!A:H,8,FALSE))</f>
        <v>22393.099129999999</v>
      </c>
      <c r="P273" s="40">
        <f t="shared" ca="1" si="13"/>
        <v>1.4469565217147748E-3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input_588104!A$2</f>
        <v>588104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IFERROR(VLOOKUP(B274,input_588104!L:R,7,FALSE),VLOOKUP(tables_588104!C274,input_588104!A:H,8,FALSE))</f>
        <v>5256</v>
      </c>
      <c r="P274" s="40">
        <f t="shared" ca="1" si="13"/>
        <v>3.3962264151031143E-4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input_588104!A$2</f>
        <v>588104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IFERROR(VLOOKUP(B275,input_588104!L:R,7,FALSE),VLOOKUP(tables_588104!C275,input_588104!A:H,8,FALSE))</f>
        <v>584</v>
      </c>
      <c r="P275" s="40">
        <f t="shared" ca="1" si="13"/>
        <v>3.7735849056701273E-5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input_588104!A$2</f>
        <v>588104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IFERROR(VLOOKUP(B276,input_588104!L:R,7,FALSE),VLOOKUP(tables_588104!C276,input_588104!A:H,8,FALSE))</f>
        <v>5256</v>
      </c>
      <c r="P276" s="40">
        <f t="shared" ca="1" si="13"/>
        <v>3.3962264151031143E-4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input_588104!A$2</f>
        <v>588104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IFERROR(VLOOKUP(B277,input_588104!L:R,7,FALSE),VLOOKUP(tables_588104!C277,input_588104!A:H,8,FALSE))</f>
        <v>584</v>
      </c>
      <c r="P277" s="40">
        <f t="shared" ca="1" si="13"/>
        <v>3.7735849056701273E-5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input_588104!A$2</f>
        <v>588104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IFERROR(VLOOKUP(B278,input_588104!L:R,7,FALSE),VLOOKUP(tables_588104!C278,input_588104!A:H,8,FALSE))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input_588104!A$2</f>
        <v>588104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IFERROR(VLOOKUP(B279,input_588104!L:R,7,FALSE),VLOOKUP(tables_588104!C279,input_588104!A:H,8,FALSE))</f>
        <v>71588.160000000003</v>
      </c>
      <c r="P279" s="40">
        <f t="shared" ca="1" si="13"/>
        <v>4.625753424669486E-3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input_588104!A$2</f>
        <v>588104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IFERROR(VLOOKUP(B280,input_588104!L:R,7,FALSE),VLOOKUP(tables_588104!C280,input_588104!A:H,8,FALSE))</f>
        <v>7954.24</v>
      </c>
      <c r="P280" s="40">
        <f t="shared" ca="1" si="13"/>
        <v>5.1397260274105392E-4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input_588104!A$2</f>
        <v>588104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IFERROR(VLOOKUP(B281,input_588104!L:R,7,FALSE),VLOOKUP(tables_588104!C281,input_588104!A:H,8,FALSE))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input_588104!A$2</f>
        <v>588104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IFERROR(VLOOKUP(B282,input_588104!L:R,7,FALSE),VLOOKUP(tables_588104!C282,input_588104!A:H,8,FALSE))</f>
        <v>340821.89217000001</v>
      </c>
      <c r="P282" s="40">
        <f t="shared" ca="1" si="13"/>
        <v>2.202260869545623E-2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input_588104!A$2</f>
        <v>588104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IFERROR(VLOOKUP(B283,input_588104!L:R,7,FALSE),VLOOKUP(tables_588104!C283,input_588104!A:H,8,FALSE))</f>
        <v>20021.983059999999</v>
      </c>
      <c r="P283" s="40">
        <f t="shared" ca="1" si="13"/>
        <v>1.2937440591917634E-3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input_588104!A$2</f>
        <v>588104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IFERROR(VLOOKUP(B284,input_588104!L:R,7,FALSE),VLOOKUP(tables_588104!C284,input_588104!A:H,8,FALSE))</f>
        <v>5840</v>
      </c>
      <c r="P284" s="40">
        <f t="shared" ca="1" si="13"/>
        <v>3.7735849056701274E-4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input_588104!A$2</f>
        <v>588104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IFERROR(VLOOKUP(B285,input_588104!L:R,7,FALSE),VLOOKUP(tables_588104!C285,input_588104!A:H,8,FALSE))</f>
        <v>5840</v>
      </c>
      <c r="P285" s="40">
        <f t="shared" ca="1" si="13"/>
        <v>3.7735849056701274E-4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input_588104!A$2</f>
        <v>588104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IFERROR(VLOOKUP(B286,input_588104!L:R,7,FALSE),VLOOKUP(tables_588104!C286,input_588104!A:H,8,FALSE))</f>
        <v>74178.78</v>
      </c>
      <c r="P286" s="40">
        <f t="shared" ca="1" si="13"/>
        <v>4.7931493926202931E-3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input_588104!A$2</f>
        <v>588104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IFERROR(VLOOKUP(B287,input_588104!L:R,7,FALSE),VLOOKUP(tables_588104!C287,input_588104!A:H,8,FALSE))</f>
        <v>4290.8959999999997</v>
      </c>
      <c r="P287" s="40">
        <f t="shared" ca="1" si="13"/>
        <v>2.7726130783219734E-4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input_588104!A$2</f>
        <v>588104</v>
      </c>
      <c r="B288" s="5">
        <v>854</v>
      </c>
      <c r="C288" s="7" t="str">
        <f t="shared" si="12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IFERROR(VLOOKUP(B288,input_588104!L:R,7,FALSE),VLOOKUP(tables_588104!C288,input_588104!A:H,8,FALSE))</f>
        <v>345101.34260999999</v>
      </c>
      <c r="P288" s="40">
        <f t="shared" ca="1" si="13"/>
        <v>2.2299130434924503E-2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input_588104!A$2</f>
        <v>588104</v>
      </c>
      <c r="B289" s="5">
        <v>855</v>
      </c>
      <c r="C289" s="7" t="str">
        <f t="shared" si="12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IFERROR(VLOOKUP(B289,input_588104!L:R,7,FALSE),VLOOKUP(tables_588104!C289,input_588104!A:H,8,FALSE))</f>
        <v>22393.099129999999</v>
      </c>
      <c r="P289" s="40">
        <f t="shared" ca="1" si="13"/>
        <v>1.4469565217147748E-3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input_588104!A$2</f>
        <v>588104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IFERROR(VLOOKUP(B290,input_588104!L:R,7,FALSE),VLOOKUP(tables_588104!C290,input_588104!A:H,8,FALSE))</f>
        <v>74178.78</v>
      </c>
      <c r="P290" s="40">
        <f t="shared" ca="1" si="13"/>
        <v>4.7931493926202931E-3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input_588104!A$2</f>
        <v>588104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IFERROR(VLOOKUP(B291,input_588104!L:R,7,FALSE),VLOOKUP(tables_588104!C291,input_588104!A:H,8,FALSE))</f>
        <v>4290.8959999999997</v>
      </c>
      <c r="P291" s="40">
        <f t="shared" ca="1" si="13"/>
        <v>2.7726130783219734E-4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input_588104!A$2</f>
        <v>588104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IFERROR(VLOOKUP(B292,input_588104!L:R,7,FALSE),VLOOKUP(tables_588104!C292,input_588104!A:H,8,FALSE))</f>
        <v>74178.78</v>
      </c>
      <c r="P292" s="40">
        <f t="shared" ca="1" si="13"/>
        <v>4.7931493926202931E-3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input_588104!A$2</f>
        <v>588104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IFERROR(VLOOKUP(B293,input_588104!L:R,7,FALSE),VLOOKUP(tables_588104!C293,input_588104!A:H,8,FALSE))</f>
        <v>4290.8959999999997</v>
      </c>
      <c r="P293" s="40">
        <f t="shared" ca="1" si="13"/>
        <v>2.7726130783219734E-4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input_588104!A$2</f>
        <v>588104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IFERROR(VLOOKUP(B294,input_588104!L:R,7,FALSE),VLOOKUP(tables_588104!C294,input_588104!A:H,8,FALSE))</f>
        <v>5840</v>
      </c>
      <c r="P294" s="40">
        <f t="shared" ca="1" si="13"/>
        <v>3.7735849056701274E-4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input_588104!A$2</f>
        <v>588104</v>
      </c>
      <c r="B295" s="5">
        <v>868</v>
      </c>
      <c r="C295" s="7" t="str">
        <f t="shared" si="12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IFERROR(VLOOKUP(B295,input_588104!L:R,7,FALSE),VLOOKUP(tables_588104!C295,input_588104!A:H,8,FALSE))</f>
        <v>24435.78947</v>
      </c>
      <c r="P295" s="40">
        <f t="shared" ca="1" si="13"/>
        <v>1.5789473681870724E-3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input_588104!A$2</f>
        <v>588104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IFERROR(VLOOKUP(B296,input_588104!L:R,7,FALSE),VLOOKUP(tables_588104!C296,input_588104!A:H,8,FALSE))</f>
        <v>5840</v>
      </c>
      <c r="P296" s="40">
        <f t="shared" ca="1" si="13"/>
        <v>3.7735849056701274E-4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input_588104!A$2</f>
        <v>588104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IFERROR(VLOOKUP(B297,input_588104!L:R,7,FALSE),VLOOKUP(tables_588104!C297,input_588104!A:H,8,FALSE))</f>
        <v>74178.78</v>
      </c>
      <c r="P297" s="40">
        <f t="shared" ca="1" si="13"/>
        <v>4.7931493926202931E-3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input_588104!A$2</f>
        <v>588104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IFERROR(VLOOKUP(B298,input_588104!L:R,7,FALSE),VLOOKUP(tables_588104!C298,input_588104!A:H,8,FALSE))</f>
        <v>4290.8959999999997</v>
      </c>
      <c r="P298" s="40">
        <f t="shared" ca="1" si="13"/>
        <v>2.7726130783219734E-4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input_588104!A$2</f>
        <v>588104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IFERROR(VLOOKUP(B299,input_588104!L:R,7,FALSE),VLOOKUP(tables_588104!C299,input_588104!A:H,8,FALSE))</f>
        <v>5840</v>
      </c>
      <c r="P299" s="40">
        <f t="shared" ca="1" si="13"/>
        <v>3.7735849056701274E-4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input_588104!A$2</f>
        <v>588104</v>
      </c>
      <c r="B300" s="5">
        <v>943</v>
      </c>
      <c r="C300" s="7" t="str">
        <f t="shared" si="12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IFERROR(VLOOKUP(B300,input_588104!L:R,7,FALSE),VLOOKUP(tables_588104!C300,input_588104!A:H,8,FALSE))</f>
        <v>24435.78947</v>
      </c>
      <c r="P300" s="40">
        <f t="shared" ca="1" si="13"/>
        <v>1.5789473681870724E-3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input_588104!A$2</f>
        <v>588104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IFERROR(VLOOKUP(B301,input_588104!L:R,7,FALSE),VLOOKUP(tables_588104!C301,input_588104!A:H,8,FALSE))</f>
        <v>5840</v>
      </c>
      <c r="P301" s="40">
        <f t="shared" ca="1" si="13"/>
        <v>3.7735849056701274E-4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input_588104!A$2</f>
        <v>588104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IFERROR(VLOOKUP(B302,input_588104!L:R,7,FALSE),VLOOKUP(tables_588104!C302,input_588104!A:H,8,FALSE))</f>
        <v>5840</v>
      </c>
      <c r="P302" s="40">
        <f t="shared" ca="1" si="13"/>
        <v>3.7735849056701274E-4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input_588104!A$2</f>
        <v>588104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IFERROR(VLOOKUP(B303,input_588104!L:R,7,FALSE),VLOOKUP(tables_588104!C303,input_588104!A:H,8,FALSE))</f>
        <v>74178.78</v>
      </c>
      <c r="P303" s="40">
        <f t="shared" ca="1" si="13"/>
        <v>4.7931493926202931E-3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input_588104!A$2</f>
        <v>588104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IFERROR(VLOOKUP(B304,input_588104!L:R,7,FALSE),VLOOKUP(tables_588104!C304,input_588104!A:H,8,FALSE))</f>
        <v>4290.8959999999997</v>
      </c>
      <c r="P304" s="40">
        <f t="shared" ca="1" si="13"/>
        <v>2.7726130783219734E-4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input_588104!A$2</f>
        <v>588104</v>
      </c>
      <c r="B305" s="5">
        <v>1018</v>
      </c>
      <c r="C305" s="7" t="str">
        <f t="shared" si="12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IFERROR(VLOOKUP(B305,input_588104!L:R,7,FALSE),VLOOKUP(tables_588104!C305,input_588104!A:H,8,FALSE))</f>
        <v>24435.78947</v>
      </c>
      <c r="P305" s="40">
        <f t="shared" ca="1" si="13"/>
        <v>1.5789473681870724E-3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input_588104!A$2</f>
        <v>588104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IFERROR(VLOOKUP(B306,input_588104!L:R,7,FALSE),VLOOKUP(tables_588104!C306,input_588104!A:H,8,FALSE))</f>
        <v>74178.78</v>
      </c>
      <c r="P306" s="40">
        <f t="shared" ref="P306:P310" ca="1" si="15">O306/SUM(O:O)</f>
        <v>4.7931493926202931E-3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input_588104!A$2</f>
        <v>588104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IFERROR(VLOOKUP(B307,input_588104!L:R,7,FALSE),VLOOKUP(tables_588104!C307,input_588104!A:H,8,FALSE))</f>
        <v>4290.8959999999997</v>
      </c>
      <c r="P307" s="40">
        <f t="shared" ca="1" si="15"/>
        <v>2.7726130783219734E-4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input_588104!A$2</f>
        <v>588104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IFERROR(VLOOKUP(B308,input_588104!L:R,7,FALSE),VLOOKUP(tables_588104!C308,input_588104!A:H,8,FALSE))</f>
        <v>5840</v>
      </c>
      <c r="P308" s="40">
        <f t="shared" ca="1" si="15"/>
        <v>3.7735849056701274E-4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input_588104!A$2</f>
        <v>588104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IFERROR(VLOOKUP(B309,input_588104!L:R,7,FALSE),VLOOKUP(tables_588104!C309,input_588104!A:H,8,FALSE))</f>
        <v>5840</v>
      </c>
      <c r="P309" s="40">
        <f t="shared" ca="1" si="15"/>
        <v>3.7735849056701274E-4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input_588104!A$2</f>
        <v>588104</v>
      </c>
      <c r="B310" s="5">
        <v>1033</v>
      </c>
      <c r="C310" s="7" t="str">
        <f t="shared" si="12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IFERROR(VLOOKUP(B310,input_588104!L:R,7,FALSE),VLOOKUP(tables_588104!C310,input_588104!A:H,8,FALSE))</f>
        <v>24435.78947</v>
      </c>
      <c r="P310" s="40">
        <f t="shared" ca="1" si="15"/>
        <v>1.5789473681870724E-3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input_588104!A$2</f>
        <v>588104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IFERROR(VLOOKUP(B311,input_588104!L:R,7,FALSE),VLOOKUP(tables_588104!C311,input_588104!A:H,8,FALSE))</f>
        <v>74178.78</v>
      </c>
      <c r="P311" s="40">
        <f t="shared" ref="P311:P319" ca="1" si="16">O311/SUM(O:O)</f>
        <v>4.7931493926202931E-3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input_588104!A$2</f>
        <v>588104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IFERROR(VLOOKUP(B312,input_588104!L:R,7,FALSE),VLOOKUP(tables_588104!C312,input_588104!A:H,8,FALSE))</f>
        <v>4290.8959999999997</v>
      </c>
      <c r="P312" s="40">
        <f t="shared" ca="1" si="16"/>
        <v>2.7726130783219734E-4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input_588104!A$2</f>
        <v>588104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IFERROR(VLOOKUP(B313,input_588104!L:R,7,FALSE),VLOOKUP(tables_588104!C313,input_588104!A:H,8,FALSE))</f>
        <v>5840</v>
      </c>
      <c r="P313" s="40">
        <f t="shared" ca="1" si="16"/>
        <v>3.7735849056701274E-4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input_588104!A$2</f>
        <v>588104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IFERROR(VLOOKUP(B314,input_588104!L:R,7,FALSE),VLOOKUP(tables_588104!C314,input_588104!A:H,8,FALSE))</f>
        <v>5840</v>
      </c>
      <c r="P314" s="40">
        <f t="shared" ca="1" si="16"/>
        <v>3.7735849056701274E-4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input_588104!A$2</f>
        <v>588104</v>
      </c>
      <c r="B315" s="5">
        <v>1074</v>
      </c>
      <c r="C315" s="7" t="str">
        <f t="shared" si="12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IFERROR(VLOOKUP(B315,input_588104!L:R,7,FALSE),VLOOKUP(tables_588104!C315,input_588104!A:H,8,FALSE))</f>
        <v>24435.78947</v>
      </c>
      <c r="P315" s="40">
        <f t="shared" ca="1" si="16"/>
        <v>1.5789473681870724E-3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input_588104!A$2</f>
        <v>588104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IFERROR(VLOOKUP(B316,input_588104!L:R,7,FALSE),VLOOKUP(tables_588104!C316,input_588104!A:H,8,FALSE))</f>
        <v>5840</v>
      </c>
      <c r="P316" s="40">
        <f t="shared" ca="1" si="16"/>
        <v>3.7735849056701274E-4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input_588104!A$2</f>
        <v>588104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IFERROR(VLOOKUP(B317,input_588104!L:R,7,FALSE),VLOOKUP(tables_588104!C317,input_588104!A:H,8,FALSE))</f>
        <v>5840</v>
      </c>
      <c r="P317" s="40">
        <f t="shared" ca="1" si="16"/>
        <v>3.7735849056701274E-4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input_588104!A$2</f>
        <v>588104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IFERROR(VLOOKUP(B318,input_588104!L:R,7,FALSE),VLOOKUP(tables_588104!C318,input_588104!A:H,8,FALSE))</f>
        <v>74178.78</v>
      </c>
      <c r="P318" s="40">
        <f t="shared" ca="1" si="16"/>
        <v>4.7931493926202931E-3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input_588104!A$2</f>
        <v>588104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IFERROR(VLOOKUP(B319,input_588104!L:R,7,FALSE),VLOOKUP(tables_588104!C319,input_588104!A:H,8,FALSE))</f>
        <v>4290.8959999999997</v>
      </c>
      <c r="P319" s="40">
        <f t="shared" ca="1" si="16"/>
        <v>2.7726130783219734E-4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input_588104!A$2</f>
        <v>588104</v>
      </c>
      <c r="B320" s="5">
        <v>1106</v>
      </c>
      <c r="C320" s="7" t="str">
        <f t="shared" si="12"/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IFERROR(VLOOKUP(B320,input_588104!L:R,7,FALSE),VLOOKUP(tables_588104!C320,input_588104!A:H,8,FALSE))</f>
        <v>24435.78947</v>
      </c>
      <c r="P320" s="40">
        <f t="shared" ref="P320:P324" ca="1" si="17">O320/SUM(O:O)</f>
        <v>1.5789473681870724E-3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input_588104!A$2</f>
        <v>588104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IFERROR(VLOOKUP(B321,input_588104!L:R,7,FALSE),VLOOKUP(tables_588104!C321,input_588104!A:H,8,FALSE))</f>
        <v>5840</v>
      </c>
      <c r="P321" s="40">
        <f t="shared" ca="1" si="17"/>
        <v>3.7735849056701274E-4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input_588104!A$2</f>
        <v>588104</v>
      </c>
      <c r="B322" s="5">
        <v>1139</v>
      </c>
      <c r="C322" s="7" t="str">
        <f t="shared" ref="C322:C330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IFERROR(VLOOKUP(B322,input_588104!L:R,7,FALSE),VLOOKUP(tables_588104!C322,input_588104!A:H,8,FALSE))</f>
        <v>5840</v>
      </c>
      <c r="P322" s="40">
        <f t="shared" ca="1" si="17"/>
        <v>3.7735849056701274E-4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input_588104!A$2</f>
        <v>588104</v>
      </c>
      <c r="B323" s="5">
        <v>1141</v>
      </c>
      <c r="C323" s="7" t="str">
        <f t="shared" si="18"/>
        <v>PremiumSS5R5only</v>
      </c>
      <c r="D323" s="7" t="str">
        <f t="shared" ref="D323:D330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IFERROR(VLOOKUP(B323,input_588104!L:R,7,FALSE),VLOOKUP(tables_588104!C323,input_588104!A:H,8,FALSE))</f>
        <v>5840</v>
      </c>
      <c r="P323" s="40">
        <f t="shared" ca="1" si="17"/>
        <v>3.7735849056701274E-4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input_588104!A$2</f>
        <v>588104</v>
      </c>
      <c r="B324" s="2">
        <v>1143</v>
      </c>
      <c r="C324" s="86" t="str">
        <f t="shared" si="18"/>
        <v>Premium4R3lesscolor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IFERROR(VLOOKUP(B324,input_588104!L:R,7,FALSE),VLOOKUP(tables_588104!C324,input_588104!A:H,8,FALSE))</f>
        <v>345101.34260999999</v>
      </c>
      <c r="P324" s="40">
        <f t="shared" ca="1" si="17"/>
        <v>2.2299130434924503E-2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input_588104!A$2</f>
        <v>588104</v>
      </c>
      <c r="B325" s="2">
        <v>1144</v>
      </c>
      <c r="C325" s="86" t="str">
        <f t="shared" si="18"/>
        <v>Premium5R3lesscolor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IFERROR(VLOOKUP(B325,input_588104!L:R,7,FALSE),VLOOKUP(tables_588104!C325,input_588104!A:H,8,FALSE))</f>
        <v>22393.099129999999</v>
      </c>
      <c r="P325" s="40">
        <f t="shared" ref="P325:P330" ca="1" si="20">O325/SUM(O:O)</f>
        <v>1.4469565217147748E-3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input_588104!A$2</f>
        <v>588104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IFERROR(VLOOKUP(B326,input_588104!L:R,7,FALSE),VLOOKUP(tables_588104!C326,input_588104!A:H,8,FALSE))</f>
        <v>74178.78</v>
      </c>
      <c r="P326" s="40">
        <f t="shared" ca="1" si="20"/>
        <v>4.7931493926202931E-3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input_588104!A$2</f>
        <v>588104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IFERROR(VLOOKUP(B327,input_588104!L:R,7,FALSE),VLOOKUP(tables_588104!C327,input_588104!A:H,8,FALSE))</f>
        <v>4290.8959999999997</v>
      </c>
      <c r="P327" s="40">
        <f t="shared" ca="1" si="20"/>
        <v>2.7726130783219734E-4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input_588104!A$2</f>
        <v>588104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IFERROR(VLOOKUP(B328,input_588104!L:R,7,FALSE),VLOOKUP(tables_588104!C328,input_588104!A:H,8,FALSE))</f>
        <v>5840</v>
      </c>
      <c r="P328" s="40">
        <f t="shared" ca="1" si="20"/>
        <v>3.7735849056701274E-4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input_588104!A$2</f>
        <v>588104</v>
      </c>
      <c r="B329" s="2">
        <v>1155</v>
      </c>
      <c r="C329" s="86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IFERROR(VLOOKUP(B329,input_588104!L:R,7,FALSE),VLOOKUP(tables_588104!C329,input_588104!A:H,8,FALSE))</f>
        <v>5840</v>
      </c>
      <c r="P329" s="40">
        <f t="shared" ca="1" si="20"/>
        <v>3.7735849056701274E-4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input_588104!A$2</f>
        <v>588104</v>
      </c>
      <c r="B330" s="2">
        <v>1157</v>
      </c>
      <c r="C330" s="86" t="str">
        <f t="shared" si="18"/>
        <v>PremiumSS5R5onlycolor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IFERROR(VLOOKUP(B330,input_588104!L:R,7,FALSE),VLOOKUP(tables_588104!C330,input_588104!A:H,8,FALSE))</f>
        <v>24435.78947</v>
      </c>
      <c r="P330" s="40">
        <f t="shared" ca="1" si="20"/>
        <v>1.5789473681870724E-3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input_588104!A$2</f>
        <v>588104</v>
      </c>
      <c r="B331" s="52">
        <v>1214</v>
      </c>
      <c r="C331" s="86" t="str">
        <f t="shared" ref="C331:C340" si="21">D331&amp;J331&amp;E331&amp;F331&amp;G331</f>
        <v>PremiumSS5R5onlycolor</v>
      </c>
      <c r="D331" s="7" t="str">
        <f t="shared" ref="D331:D340" si="22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IFERROR(VLOOKUP(B331,input_588104!L:R,7,FALSE),VLOOKUP(tables_588104!C331,input_588104!A:H,8,FALSE))</f>
        <v>24435.78947</v>
      </c>
      <c r="P331" s="40">
        <f t="shared" ref="P331:P340" ca="1" si="23">O331/SUM(O:O)</f>
        <v>1.5789473681870724E-3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input_588104!A$2</f>
        <v>588104</v>
      </c>
      <c r="B332" s="52">
        <v>1212</v>
      </c>
      <c r="C332" s="86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IFERROR(VLOOKUP(B332,input_588104!L:R,7,FALSE),VLOOKUP(tables_588104!C332,input_588104!A:H,8,FALSE))</f>
        <v>5840</v>
      </c>
      <c r="P332" s="40">
        <f t="shared" ca="1" si="23"/>
        <v>3.7735849056701274E-4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input_588104!A$2</f>
        <v>588104</v>
      </c>
      <c r="B333" s="52">
        <v>1208</v>
      </c>
      <c r="C333" s="86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IFERROR(VLOOKUP(B333,input_588104!L:R,7,FALSE),VLOOKUP(tables_588104!C333,input_588104!A:H,8,FALSE))</f>
        <v>5840</v>
      </c>
      <c r="P333" s="40">
        <f t="shared" ca="1" si="23"/>
        <v>3.7735849056701274E-4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input_588104!A$2</f>
        <v>588104</v>
      </c>
      <c r="B334" s="96">
        <v>1210</v>
      </c>
      <c r="C334" s="86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IFERROR(VLOOKUP(B334,input_588104!L:R,7,FALSE),VLOOKUP(tables_588104!C334,input_588104!A:H,8,FALSE))</f>
        <v>74178.78</v>
      </c>
      <c r="P334" s="40">
        <f t="shared" ca="1" si="23"/>
        <v>4.7931493926202931E-3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input_588104!A$2</f>
        <v>588104</v>
      </c>
      <c r="B335" s="52">
        <v>1211</v>
      </c>
      <c r="C335" s="86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IFERROR(VLOOKUP(B335,input_588104!L:R,7,FALSE),VLOOKUP(tables_588104!C335,input_588104!A:H,8,FALSE))</f>
        <v>4290.8959999999997</v>
      </c>
      <c r="P335" s="40">
        <f t="shared" ca="1" si="23"/>
        <v>2.7726130783219734E-4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input_588104!A$2</f>
        <v>588104</v>
      </c>
      <c r="B336" s="2">
        <v>1224</v>
      </c>
      <c r="C336" s="86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IFERROR(VLOOKUP(B336,input_588104!L:R,7,FALSE),VLOOKUP(tables_588104!C336,input_588104!A:H,8,FALSE))</f>
        <v>74178.78</v>
      </c>
      <c r="P336" s="40">
        <f t="shared" ca="1" si="23"/>
        <v>4.7931493926202931E-3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input_588104!A$2</f>
        <v>588104</v>
      </c>
      <c r="B337" s="2">
        <v>1225</v>
      </c>
      <c r="C337" s="86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IFERROR(VLOOKUP(B337,input_588104!L:R,7,FALSE),VLOOKUP(tables_588104!C337,input_588104!A:H,8,FALSE))</f>
        <v>4290.8959999999997</v>
      </c>
      <c r="P337" s="40">
        <f t="shared" ca="1" si="23"/>
        <v>2.7726130783219734E-4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input_588104!A$2</f>
        <v>588104</v>
      </c>
      <c r="B338" s="2">
        <v>1226</v>
      </c>
      <c r="C338" s="86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IFERROR(VLOOKUP(B338,input_588104!L:R,7,FALSE),VLOOKUP(tables_588104!C338,input_588104!A:H,8,FALSE))</f>
        <v>5840</v>
      </c>
      <c r="P338" s="40">
        <f t="shared" ca="1" si="23"/>
        <v>3.7735849056701274E-4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input_588104!A$2</f>
        <v>588104</v>
      </c>
      <c r="B339" s="2">
        <v>1228</v>
      </c>
      <c r="C339" s="86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IFERROR(VLOOKUP(B339,input_588104!L:R,7,FALSE),VLOOKUP(tables_588104!C339,input_588104!A:H,8,FALSE))</f>
        <v>5840</v>
      </c>
      <c r="P339" s="40">
        <f t="shared" ca="1" si="23"/>
        <v>3.7735849056701274E-4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input_588104!A$2</f>
        <v>588104</v>
      </c>
      <c r="B340" s="2">
        <v>1230</v>
      </c>
      <c r="C340" s="86" t="str">
        <f t="shared" si="21"/>
        <v>PremiumSS5R5onlycolor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IFERROR(VLOOKUP(B340,input_588104!L:R,7,FALSE),VLOOKUP(tables_588104!C340,input_588104!A:H,8,FALSE))</f>
        <v>24435.78947</v>
      </c>
      <c r="P340" s="40">
        <f t="shared" ca="1" si="23"/>
        <v>1.5789473681870724E-3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input_588104!A$2</f>
        <v>588104</v>
      </c>
      <c r="B341" s="2">
        <v>1244</v>
      </c>
      <c r="C341" s="86" t="str">
        <f t="shared" ref="C341" si="24">D341&amp;J341&amp;E341&amp;F341&amp;G341</f>
        <v>PremiumSS5R5only</v>
      </c>
      <c r="D341" s="7" t="str">
        <f t="shared" ref="D341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IFERROR(VLOOKUP(B341,input_588104!L:R,7,FALSE),VLOOKUP(tables_588104!C341,input_588104!A:H,8,FALSE))</f>
        <v>5840</v>
      </c>
      <c r="P341" s="40">
        <f t="shared" ref="P341" ca="1" si="26">O341/SUM(O:O)</f>
        <v>3.7735849056701274E-4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input_588104!A$2</f>
        <v>588104</v>
      </c>
      <c r="B342" s="2">
        <v>1246</v>
      </c>
      <c r="C342" s="86" t="str">
        <f t="shared" ref="C342:C346" si="27">D342&amp;J342&amp;E342&amp;F342&amp;G342</f>
        <v>PremiumSS5R5only</v>
      </c>
      <c r="D342" s="7" t="str">
        <f t="shared" ref="D342:D346" si="28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IFERROR(VLOOKUP(B342,input_588104!L:R,7,FALSE),VLOOKUP(tables_588104!C342,input_588104!A:H,8,FALSE))</f>
        <v>5840</v>
      </c>
      <c r="P342" s="40">
        <f t="shared" ref="P342:P346" ca="1" si="29">O342/SUM(O:O)</f>
        <v>3.7735849056701274E-4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input_588104!A$2</f>
        <v>588104</v>
      </c>
      <c r="B343" s="2">
        <v>1248</v>
      </c>
      <c r="C343" s="86" t="str">
        <f t="shared" si="27"/>
        <v>Premium4R3less</v>
      </c>
      <c r="D343" s="7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IFERROR(VLOOKUP(B343,input_588104!L:R,7,FALSE),VLOOKUP(tables_588104!C343,input_588104!A:H,8,FALSE))</f>
        <v>74178.78</v>
      </c>
      <c r="P343" s="40">
        <f t="shared" ca="1" si="29"/>
        <v>4.7931493926202931E-3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input_588104!A$2</f>
        <v>588104</v>
      </c>
      <c r="B344" s="2">
        <v>1249</v>
      </c>
      <c r="C344" s="86" t="str">
        <f t="shared" si="27"/>
        <v>Premium5R3less</v>
      </c>
      <c r="D344" s="7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IFERROR(VLOOKUP(B344,input_588104!L:R,7,FALSE),VLOOKUP(tables_588104!C344,input_588104!A:H,8,FALSE))</f>
        <v>4290.8959999999997</v>
      </c>
      <c r="P344" s="40">
        <f t="shared" ca="1" si="29"/>
        <v>2.7726130783219734E-4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input_588104!A$2</f>
        <v>588104</v>
      </c>
      <c r="B345" s="2">
        <v>1250</v>
      </c>
      <c r="C345" s="86" t="str">
        <f t="shared" si="27"/>
        <v>PremiumSS5R5onlycolor</v>
      </c>
      <c r="D345" s="7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IFERROR(VLOOKUP(B345,input_588104!L:R,7,FALSE),VLOOKUP(tables_588104!C345,input_588104!A:H,8,FALSE))</f>
        <v>24435.78947</v>
      </c>
      <c r="P345" s="40">
        <f t="shared" ca="1" si="29"/>
        <v>1.5789473681870724E-3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input_588104!A$2</f>
        <v>588104</v>
      </c>
      <c r="B346" s="1">
        <v>1260</v>
      </c>
      <c r="C346" s="86" t="str">
        <f t="shared" si="27"/>
        <v>PremiumSS5R5only</v>
      </c>
      <c r="D346" s="7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IFERROR(VLOOKUP(B346,input_588104!L:R,7,FALSE),VLOOKUP(tables_588104!C346,input_588104!A:H,8,FALSE))</f>
        <v>5840</v>
      </c>
      <c r="P346" s="40">
        <f t="shared" ca="1" si="29"/>
        <v>3.7735849056701274E-4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input_588104!A$2</f>
        <v>588104</v>
      </c>
      <c r="B347" s="1">
        <v>1262</v>
      </c>
      <c r="C347" s="86" t="str">
        <f t="shared" ref="C347:C356" si="30">D347&amp;J347&amp;E347&amp;F347&amp;G347</f>
        <v>PremiumSS5R5only</v>
      </c>
      <c r="D347" s="7" t="str">
        <f t="shared" ref="D347:D356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IFERROR(VLOOKUP(B347,input_588104!L:R,7,FALSE),VLOOKUP(tables_588104!C347,input_588104!A:H,8,FALSE))</f>
        <v>5840</v>
      </c>
      <c r="P347" s="40">
        <f t="shared" ref="P347:P350" ca="1" si="32">O347/SUM(O:O)</f>
        <v>3.7735849056701274E-4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input_588104!A$2</f>
        <v>588104</v>
      </c>
      <c r="B348" s="1">
        <v>1264</v>
      </c>
      <c r="C348" s="86" t="str">
        <f t="shared" si="30"/>
        <v>PremiumSS5R5only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IFERROR(VLOOKUP(B348,input_588104!L:R,7,FALSE),VLOOKUP(tables_588104!C348,input_588104!A:H,8,FALSE))</f>
        <v>5840</v>
      </c>
      <c r="P348" s="40">
        <f t="shared" ca="1" si="32"/>
        <v>3.7735849056701274E-4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input_588104!A$2</f>
        <v>588104</v>
      </c>
      <c r="B349" s="1">
        <v>1266</v>
      </c>
      <c r="C349" s="86" t="str">
        <f t="shared" si="30"/>
        <v>Premium4R3lesscolor</v>
      </c>
      <c r="D349" s="7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IFERROR(VLOOKUP(B349,input_588104!L:R,7,FALSE),VLOOKUP(tables_588104!C349,input_588104!A:H,8,FALSE))</f>
        <v>345101.34260999999</v>
      </c>
      <c r="P349" s="40">
        <f t="shared" ca="1" si="32"/>
        <v>2.2299130434924503E-2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input_588104!A$2</f>
        <v>588104</v>
      </c>
      <c r="B350" s="1">
        <v>1267</v>
      </c>
      <c r="C350" s="86" t="str">
        <f t="shared" si="30"/>
        <v>Premium5R3lesscolor</v>
      </c>
      <c r="D350" s="7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IFERROR(VLOOKUP(B350,input_588104!L:R,7,FALSE),VLOOKUP(tables_588104!C350,input_588104!A:H,8,FALSE))</f>
        <v>22393.099129999999</v>
      </c>
      <c r="P350" s="40">
        <f t="shared" ca="1" si="32"/>
        <v>1.4469565217147748E-3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input_588104!A$2</f>
        <v>588104</v>
      </c>
      <c r="B351" s="102">
        <v>1332</v>
      </c>
      <c r="C351" s="86" t="str">
        <f t="shared" si="30"/>
        <v>PremiumSS5R5only</v>
      </c>
      <c r="D351" s="7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IFERROR(VLOOKUP(B351,input_588104!L:R,7,FALSE),VLOOKUP(tables_588104!C351,input_588104!A:H,8,FALSE))</f>
        <v>5840</v>
      </c>
      <c r="P351" s="40">
        <f t="shared" ref="P351:P356" ca="1" si="33">O351/SUM(O:O)</f>
        <v>3.7735849056701274E-4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input_588104!A$2</f>
        <v>588104</v>
      </c>
      <c r="B352" s="102">
        <v>1336</v>
      </c>
      <c r="C352" s="86" t="str">
        <f t="shared" si="30"/>
        <v>PremiumSS5R5only</v>
      </c>
      <c r="D352" s="7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IFERROR(VLOOKUP(B352,input_588104!L:R,7,FALSE),VLOOKUP(tables_588104!C352,input_588104!A:H,8,FALSE))</f>
        <v>5840</v>
      </c>
      <c r="P352" s="40">
        <f t="shared" ca="1" si="33"/>
        <v>3.7735849056701274E-4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input_588104!A$2</f>
        <v>588104</v>
      </c>
      <c r="B353" s="102">
        <v>1338</v>
      </c>
      <c r="C353" s="86" t="str">
        <f t="shared" si="30"/>
        <v>PremiumSS5R5onlycolor</v>
      </c>
      <c r="D353" s="7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IFERROR(VLOOKUP(B353,input_588104!L:R,7,FALSE),VLOOKUP(tables_588104!C353,input_588104!A:H,8,FALSE))</f>
        <v>24435.78947</v>
      </c>
      <c r="P353" s="40">
        <f t="shared" ca="1" si="33"/>
        <v>1.5789473681870724E-3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input_588104!A$2</f>
        <v>588104</v>
      </c>
      <c r="B354" s="102">
        <v>1334</v>
      </c>
      <c r="C354" s="86" t="str">
        <f t="shared" si="30"/>
        <v>Premium4R3less</v>
      </c>
      <c r="D354" s="7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IFERROR(VLOOKUP(B354,input_588104!L:R,7,FALSE),VLOOKUP(tables_588104!C354,input_588104!A:H,8,FALSE))</f>
        <v>74178.78</v>
      </c>
      <c r="P354" s="40">
        <f t="shared" ca="1" si="33"/>
        <v>4.7931493926202931E-3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input_588104!A$2</f>
        <v>588104</v>
      </c>
      <c r="B355" s="102">
        <v>1335</v>
      </c>
      <c r="C355" s="86" t="str">
        <f t="shared" si="30"/>
        <v>Premium5R3less</v>
      </c>
      <c r="D355" s="7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IFERROR(VLOOKUP(B355,input_588104!L:R,7,FALSE),VLOOKUP(tables_588104!C355,input_588104!A:H,8,FALSE))</f>
        <v>4290.8959999999997</v>
      </c>
      <c r="P355" s="40">
        <f t="shared" ca="1" si="33"/>
        <v>2.7726130783219734E-4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input_588104!A$2</f>
        <v>588104</v>
      </c>
      <c r="B356" s="1">
        <v>1161</v>
      </c>
      <c r="C356" s="86" t="str">
        <f t="shared" si="30"/>
        <v>PremiumSSS5R3lesscolor</v>
      </c>
      <c r="D356" s="7" t="str">
        <f t="shared" si="31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IFERROR(VLOOKUP(B356,input_588104!L:R,7,FALSE),VLOOKUP(tables_588104!C356,input_588104!A:H,8,FALSE))</f>
        <v>185712</v>
      </c>
      <c r="P356" s="40">
        <f t="shared" ca="1" si="33"/>
        <v>1.2000000000031005E-2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294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tabSelected="1" zoomScale="90" zoomScaleNormal="90" zoomScalePageLayoutView="90" workbookViewId="0">
      <pane ySplit="1" topLeftCell="A2" activePane="bottomLeft" state="frozen"/>
      <selection activeCell="L296" sqref="L296"/>
      <selection pane="bottomLeft" activeCell="A5" sqref="A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5">
        <v>588104</v>
      </c>
      <c r="B2" s="87">
        <v>409</v>
      </c>
      <c r="C2" s="86" t="str">
        <f t="shared" ref="C2:C3" si="0">D2&amp;J2&amp;E2&amp;F2&amp;G2</f>
        <v>PremiumSS5color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>color</v>
      </c>
      <c r="H2" s="7" t="str">
        <f>VLOOKUP(B2,[1]characters!$A:$C,3,FALSE)</f>
        <v>天眼の皇貴魔 アスタロト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39">
        <v>10</v>
      </c>
      <c r="P2" s="40">
        <f>O2/SUM(O:O)</f>
        <v>0.33333333333333331</v>
      </c>
      <c r="Q2" s="76">
        <v>80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5">
        <v>588104</v>
      </c>
      <c r="B3" s="87">
        <v>868</v>
      </c>
      <c r="C3" s="86" t="str">
        <f t="shared" si="0"/>
        <v>PremiumSS5R5onlycolor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tr">
        <f t="shared" ref="G3" si="2">IF(K3="yellow","color","")</f>
        <v>color</v>
      </c>
      <c r="H3" s="7" t="str">
        <f>VLOOKUP(B3,[1]characters!$A:$C,3,FALSE)</f>
        <v>アラジンと殲滅機兵LAMP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9">
        <v>10</v>
      </c>
      <c r="P3" s="40">
        <f>O3/SUM(O:O)</f>
        <v>0.33333333333333331</v>
      </c>
      <c r="Q3" s="76">
        <v>80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85">
        <v>588104</v>
      </c>
      <c r="B4" s="87">
        <v>1157</v>
      </c>
      <c r="C4" s="86" t="str">
        <f t="shared" ref="C4" si="3">D4&amp;J4&amp;E4&amp;F4&amp;G4</f>
        <v>PremiumSS5R5onlycolor</v>
      </c>
      <c r="D4" s="7" t="str">
        <f t="shared" ref="D4" si="4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 t="str">
        <f t="shared" ref="G4" si="5">IF(K4="yellow","color","")</f>
        <v>color</v>
      </c>
      <c r="H4" s="7" t="str">
        <f>VLOOKUP(B4,[1]characters!$A:$C,3,FALSE)</f>
        <v>インドラ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不明</v>
      </c>
      <c r="O4" s="39">
        <v>10</v>
      </c>
      <c r="P4" s="40">
        <f>O4/SUM(O:O)</f>
        <v>0.33333333333333331</v>
      </c>
      <c r="Q4" s="76">
        <v>80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95"/>
      <c r="B5"/>
    </row>
    <row r="6" spans="1:22" ht="21" customHeight="1" x14ac:dyDescent="0.15">
      <c r="A6" s="95"/>
      <c r="B6"/>
    </row>
    <row r="7" spans="1:22" ht="21" customHeight="1" x14ac:dyDescent="0.15">
      <c r="A7" s="95"/>
      <c r="B7" s="95"/>
    </row>
    <row r="8" spans="1:22" ht="21" customHeight="1" x14ac:dyDescent="0.15">
      <c r="A8" s="95"/>
      <c r="B8" s="95"/>
    </row>
    <row r="9" spans="1:22" ht="21" customHeight="1" x14ac:dyDescent="0.15">
      <c r="A9" s="95"/>
      <c r="B9" s="95"/>
    </row>
    <row r="10" spans="1:22" ht="21" customHeight="1" x14ac:dyDescent="0.15">
      <c r="A10" s="95"/>
      <c r="B10" s="95"/>
    </row>
    <row r="11" spans="1:22" ht="21" customHeight="1" x14ac:dyDescent="0.15">
      <c r="A11" s="95"/>
      <c r="B11" s="95"/>
    </row>
    <row r="12" spans="1:22" ht="21" customHeight="1" x14ac:dyDescent="0.15">
      <c r="A12" s="95"/>
      <c r="B12" s="95"/>
    </row>
    <row r="13" spans="1:22" ht="21" customHeight="1" x14ac:dyDescent="0.15">
      <c r="A13" s="95"/>
      <c r="B13" s="95"/>
    </row>
    <row r="14" spans="1:22" ht="21" customHeight="1" x14ac:dyDescent="0.15">
      <c r="A14" s="95"/>
      <c r="B14" s="95"/>
    </row>
    <row r="15" spans="1:22" ht="21" customHeight="1" x14ac:dyDescent="0.15">
      <c r="A15" s="95"/>
      <c r="B15" s="95"/>
    </row>
    <row r="16" spans="1:22" ht="21" customHeight="1" x14ac:dyDescent="0.15">
      <c r="A16" s="95"/>
      <c r="B16" s="95"/>
    </row>
    <row r="17" spans="1:2" ht="21" customHeight="1" x14ac:dyDescent="0.15">
      <c r="A17" s="95"/>
      <c r="B17" s="95"/>
    </row>
    <row r="18" spans="1:2" ht="21" customHeight="1" x14ac:dyDescent="0.15">
      <c r="A18" s="95"/>
      <c r="B18" s="95"/>
    </row>
    <row r="19" spans="1:2" ht="21" customHeight="1" x14ac:dyDescent="0.15">
      <c r="A19" s="95"/>
      <c r="B19" s="95"/>
    </row>
    <row r="20" spans="1:2" ht="21" customHeight="1" x14ac:dyDescent="0.15">
      <c r="A20" s="95"/>
      <c r="B20" s="95"/>
    </row>
    <row r="21" spans="1:2" ht="21" customHeight="1" x14ac:dyDescent="0.15">
      <c r="A21" s="95"/>
      <c r="B21" s="95"/>
    </row>
    <row r="22" spans="1:2" ht="21" customHeight="1" x14ac:dyDescent="0.15">
      <c r="A22" s="95"/>
      <c r="B22" s="95"/>
    </row>
    <row r="23" spans="1:2" ht="21" customHeight="1" x14ac:dyDescent="0.15">
      <c r="A23" s="95"/>
      <c r="B23" s="95"/>
    </row>
    <row r="24" spans="1:2" ht="21" customHeight="1" x14ac:dyDescent="0.15">
      <c r="A24" s="95"/>
      <c r="B24" s="95"/>
    </row>
    <row r="25" spans="1:2" ht="21" customHeight="1" x14ac:dyDescent="0.15">
      <c r="A25" s="95"/>
      <c r="B25" s="95"/>
    </row>
    <row r="26" spans="1:2" ht="21" customHeight="1" x14ac:dyDescent="0.15">
      <c r="A26" s="95"/>
      <c r="B26" s="95"/>
    </row>
    <row r="27" spans="1:2" ht="21" customHeight="1" x14ac:dyDescent="0.15">
      <c r="A27" s="95"/>
      <c r="B27" s="95"/>
    </row>
    <row r="28" spans="1:2" ht="21" customHeight="1" x14ac:dyDescent="0.15">
      <c r="A28" s="95"/>
      <c r="B28" s="95"/>
    </row>
    <row r="29" spans="1:2" ht="21" customHeight="1" x14ac:dyDescent="0.15">
      <c r="A29" s="95"/>
      <c r="B29" s="95"/>
    </row>
    <row r="30" spans="1:2" ht="21" customHeight="1" x14ac:dyDescent="0.15">
      <c r="A30" s="95"/>
      <c r="B30" s="95"/>
    </row>
    <row r="31" spans="1:2" ht="21" customHeight="1" x14ac:dyDescent="0.15">
      <c r="A31" s="95"/>
      <c r="B31" s="95"/>
    </row>
    <row r="32" spans="1:2" ht="21" customHeight="1" x14ac:dyDescent="0.15">
      <c r="A32" s="95"/>
      <c r="B32" s="95"/>
    </row>
    <row r="33" spans="1:2" ht="21" customHeight="1" x14ac:dyDescent="0.15">
      <c r="A33" s="95"/>
      <c r="B33" s="95"/>
    </row>
    <row r="34" spans="1:2" ht="21" customHeight="1" x14ac:dyDescent="0.15">
      <c r="A34" s="95"/>
      <c r="B34" s="95"/>
    </row>
    <row r="35" spans="1:2" ht="21" customHeight="1" x14ac:dyDescent="0.15">
      <c r="A35" s="95"/>
      <c r="B35" s="95"/>
    </row>
    <row r="36" spans="1:2" ht="21" customHeight="1" x14ac:dyDescent="0.15">
      <c r="A36" s="95"/>
      <c r="B36" s="95"/>
    </row>
    <row r="37" spans="1:2" ht="21" customHeight="1" x14ac:dyDescent="0.15">
      <c r="A37" s="95"/>
      <c r="B37" s="95"/>
    </row>
    <row r="38" spans="1:2" ht="21" customHeight="1" x14ac:dyDescent="0.15">
      <c r="A38" s="95"/>
      <c r="B38" s="95"/>
    </row>
    <row r="39" spans="1:2" ht="21" customHeight="1" x14ac:dyDescent="0.15">
      <c r="A39" s="95"/>
      <c r="B39" s="95"/>
    </row>
  </sheetData>
  <autoFilter ref="A1:V3"/>
  <sortState ref="A2:V114">
    <sortCondition ref="G2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VLOOKUP(L3,tables_588105!B:C,2,FALSE)</f>
        <v>PremiumSSS5R3lesscolor</v>
      </c>
      <c r="R3" s="53">
        <f t="shared" ref="R3:R20" si="1">N3*A$51</f>
        <v>247616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3.7735849056603783E-4</v>
      </c>
      <c r="F5">
        <f>(COUNTIF(tables_588105!C:C,input_588105!A28)+COUNTIF(tables_588105!C:C,input_588105!A29))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1.5789473684210526E-3</v>
      </c>
      <c r="F6">
        <f>(COUNTIF(tables_588105!C:C,input_588105!A43)+COUNTIF(tables_588105!C:C,input_588105!A44))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5.1178082191780817E-3</v>
      </c>
      <c r="F7">
        <f>(COUNTIF(tables_588105!C:C,input_588105!A26)+COUNTIF(tables_588105!C:C,input_588105!A18)+COUNTIF(tables_588105!C:C,input_588105!A20)+COUNTIF(tables_588105!C:C,input_588105!A22))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2.4365217391304345E-2</v>
      </c>
      <c r="F8">
        <f>(COUNTIF(tables_588105!C:C,input_588105!A40)+COUNTIF(tables_588105!C:C,input_588105!A33)+COUNTIF(tables_588105!C:C,input_588105!A35)+COUNTIF(tables_588105!C:C,input_588105!A37))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>SUMIF(Q:Q,A17,N:N)</f>
        <v>0</v>
      </c>
      <c r="D17" s="66">
        <f t="shared" ref="D17:D47" si="2">B17-C17</f>
        <v>0</v>
      </c>
      <c r="E17">
        <f>COUNTIF(tables_588105!C:C,input_588105!A17)-COUNTIF(Q:Q,A17)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8.3167123287671285E-2</v>
      </c>
      <c r="C18" s="75">
        <f t="shared" ref="C18:C46" si="7">SUMIF(Q:Q,A18,N:N)</f>
        <v>0</v>
      </c>
      <c r="D18" s="66">
        <f t="shared" si="2"/>
        <v>8.3167123287671285E-2</v>
      </c>
      <c r="E18">
        <f>COUNTIF(tables_588105!C:C,input_588105!A18)-COUNTIF(Q:Q,A18)</f>
        <v>15</v>
      </c>
      <c r="F18" s="37">
        <f>IFERROR(B18/E18,0)</f>
        <v>5.5444748858447523E-3</v>
      </c>
      <c r="G18">
        <f t="shared" si="3"/>
        <v>1287094.4000000008</v>
      </c>
      <c r="H18">
        <f t="shared" si="4"/>
        <v>85806.29333</v>
      </c>
      <c r="I18">
        <f t="shared" si="5"/>
        <v>0.29333000000042375</v>
      </c>
      <c r="J18">
        <f t="shared" si="6"/>
        <v>3.4091296491956342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7"/>
        <v>0</v>
      </c>
      <c r="D19" s="66">
        <f t="shared" si="2"/>
        <v>0</v>
      </c>
      <c r="E19">
        <f>COUNTIF(tables_588105!C:C,input_588105!A19)-COUNTIF(Q:Q,A19)</f>
        <v>39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0.17963506849315067</v>
      </c>
      <c r="C20" s="75">
        <f t="shared" si="7"/>
        <v>0</v>
      </c>
      <c r="D20" s="66">
        <f t="shared" si="2"/>
        <v>0.17963506849315067</v>
      </c>
      <c r="E20">
        <f>COUNTIF(tables_588105!C:C,input_588105!A20)-COUNTIF(Q:Q,A20)</f>
        <v>39</v>
      </c>
      <c r="F20" s="37">
        <f t="shared" si="8"/>
        <v>4.6060273972602737E-3</v>
      </c>
      <c r="G20">
        <f t="shared" si="3"/>
        <v>2780032.32</v>
      </c>
      <c r="H20">
        <f t="shared" si="4"/>
        <v>71282.880000000005</v>
      </c>
      <c r="I20">
        <f t="shared" si="5"/>
        <v>0.88000000000465661</v>
      </c>
      <c r="J20">
        <f t="shared" si="6"/>
        <v>1.1363636363576233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1.9959452054794519E-2</v>
      </c>
      <c r="C21" s="75">
        <f t="shared" si="7"/>
        <v>0</v>
      </c>
      <c r="D21" s="66">
        <f t="shared" si="2"/>
        <v>1.9959452054794519E-2</v>
      </c>
      <c r="E21">
        <f>COUNTIF(tables_588105!C:C,input_588105!A21)-COUNTIF(Q:Q,A21)</f>
        <v>39</v>
      </c>
      <c r="F21" s="37">
        <f t="shared" si="8"/>
        <v>5.1178082191780821E-4</v>
      </c>
      <c r="G21">
        <f t="shared" si="3"/>
        <v>308892.48</v>
      </c>
      <c r="H21">
        <f t="shared" si="4"/>
        <v>7920.32</v>
      </c>
      <c r="I21">
        <f t="shared" si="5"/>
        <v>0.31999999999970896</v>
      </c>
      <c r="J21">
        <f t="shared" si="6"/>
        <v>3.1250000000028422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7.6247650555699126E-2</v>
      </c>
      <c r="C22" s="75">
        <f t="shared" si="7"/>
        <v>0</v>
      </c>
      <c r="D22" s="66">
        <f t="shared" si="2"/>
        <v>7.6247650555699126E-2</v>
      </c>
      <c r="E22">
        <f>COUNTIF(tables_588105!C:C,input_588105!A22)-COUNTIF(Q:Q,A22)</f>
        <v>16</v>
      </c>
      <c r="F22" s="37">
        <f t="shared" si="8"/>
        <v>4.7654781597311954E-3</v>
      </c>
      <c r="G22">
        <f t="shared" si="3"/>
        <v>1180008.6399999997</v>
      </c>
      <c r="H22">
        <f t="shared" si="4"/>
        <v>73750.539999999994</v>
      </c>
      <c r="I22">
        <f t="shared" si="5"/>
        <v>0.53999999999359716</v>
      </c>
      <c r="J22">
        <f t="shared" si="6"/>
        <v>1.8518518518738094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5.637280951150174E-3</v>
      </c>
      <c r="C23" s="75">
        <f t="shared" si="7"/>
        <v>0</v>
      </c>
      <c r="D23" s="66">
        <f t="shared" si="2"/>
        <v>5.637280951150174E-3</v>
      </c>
      <c r="E23">
        <f>COUNTIF(tables_588105!C:C,input_588105!A23)-COUNTIF(Q:Q,A23)</f>
        <v>20</v>
      </c>
      <c r="F23" s="37">
        <f t="shared" si="8"/>
        <v>2.8186404755750871E-4</v>
      </c>
      <c r="G23">
        <f t="shared" si="3"/>
        <v>87242.5600000001</v>
      </c>
      <c r="H23">
        <f t="shared" si="4"/>
        <v>4362.1279999999997</v>
      </c>
      <c r="I23">
        <f t="shared" si="5"/>
        <v>0.12799999999970169</v>
      </c>
      <c r="J23">
        <f t="shared" si="6"/>
        <v>7.8125000000182077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7"/>
        <v>0</v>
      </c>
      <c r="D24" s="66">
        <f t="shared" si="2"/>
        <v>0</v>
      </c>
      <c r="E24">
        <f>COUNTIF(tables_588105!C:C,input_588105!A24)-COUNTIF(Q:Q,A24)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1.3818082191780821E-2</v>
      </c>
      <c r="C25" s="75">
        <f t="shared" si="7"/>
        <v>0</v>
      </c>
      <c r="D25" s="66">
        <f t="shared" si="2"/>
        <v>1.3818082191780821E-2</v>
      </c>
      <c r="E25">
        <f>COUNTIF(tables_588105!C:C,input_588105!A25)-COUNTIF(Q:Q,A25)</f>
        <v>3</v>
      </c>
      <c r="F25" s="37">
        <f t="shared" si="8"/>
        <v>4.6060273972602737E-3</v>
      </c>
      <c r="G25">
        <f t="shared" si="3"/>
        <v>213848.63999999998</v>
      </c>
      <c r="H25">
        <f t="shared" si="4"/>
        <v>71282.880000000005</v>
      </c>
      <c r="I25">
        <f t="shared" si="5"/>
        <v>0.88000000000465661</v>
      </c>
      <c r="J25">
        <f t="shared" si="6"/>
        <v>1.1363636363576233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1.5353424657534246E-3</v>
      </c>
      <c r="C26" s="75">
        <f t="shared" si="7"/>
        <v>0</v>
      </c>
      <c r="D26" s="66">
        <f t="shared" si="2"/>
        <v>1.5353424657534246E-3</v>
      </c>
      <c r="E26">
        <f>COUNTIF(tables_588105!C:C,input_588105!A26)-COUNTIF(Q:Q,A26)</f>
        <v>3</v>
      </c>
      <c r="F26" s="37">
        <f t="shared" si="8"/>
        <v>5.1178082191780821E-4</v>
      </c>
      <c r="G26">
        <f t="shared" si="3"/>
        <v>23760.959999999999</v>
      </c>
      <c r="H26">
        <f t="shared" si="4"/>
        <v>7920.32</v>
      </c>
      <c r="I26">
        <f t="shared" si="5"/>
        <v>0.31999999999970896</v>
      </c>
      <c r="J26">
        <f t="shared" si="6"/>
        <v>3.1250000000028422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7.1320754716981145E-3</v>
      </c>
      <c r="C27" s="75">
        <f t="shared" si="7"/>
        <v>0</v>
      </c>
      <c r="D27" s="66">
        <f t="shared" si="2"/>
        <v>7.1320754716981145E-3</v>
      </c>
      <c r="E27">
        <f>COUNTIF(tables_588105!C:C,input_588105!A27)-COUNTIF(Q:Q,A27)</f>
        <v>21</v>
      </c>
      <c r="F27" s="37">
        <f>IFERROR(B27/E27,0)</f>
        <v>3.3962264150943404E-4</v>
      </c>
      <c r="G27">
        <f t="shared" si="3"/>
        <v>110376.00000000001</v>
      </c>
      <c r="H27">
        <f t="shared" si="4"/>
        <v>5256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7.9245283018867943E-4</v>
      </c>
      <c r="C28" s="75">
        <f t="shared" si="7"/>
        <v>0</v>
      </c>
      <c r="D28" s="66">
        <f t="shared" si="2"/>
        <v>7.9245283018867943E-4</v>
      </c>
      <c r="E28">
        <f>COUNTIF(tables_588105!C:C,input_588105!A28)-COUNTIF(Q:Q,A28)</f>
        <v>21</v>
      </c>
      <c r="F28" s="37">
        <f t="shared" si="8"/>
        <v>3.7735849056603783E-5</v>
      </c>
      <c r="G28">
        <f t="shared" si="3"/>
        <v>12264.000000000004</v>
      </c>
      <c r="H28">
        <f t="shared" si="4"/>
        <v>584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1.207547169811321E-2</v>
      </c>
      <c r="C29" s="75">
        <f t="shared" si="7"/>
        <v>0</v>
      </c>
      <c r="D29" s="66">
        <f t="shared" si="2"/>
        <v>1.207547169811321E-2</v>
      </c>
      <c r="E29">
        <f>COUNTIF(tables_588105!C:C,input_588105!A29)-COUNTIF(Q:Q,A29)</f>
        <v>32</v>
      </c>
      <c r="F29" s="37">
        <f t="shared" si="8"/>
        <v>3.7735849056603783E-4</v>
      </c>
      <c r="G29">
        <f t="shared" si="3"/>
        <v>186880.00000000006</v>
      </c>
      <c r="H29">
        <f t="shared" si="4"/>
        <v>5840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7"/>
        <v>0</v>
      </c>
      <c r="D30" s="66">
        <f t="shared" si="2"/>
        <v>0</v>
      </c>
      <c r="E30">
        <f>COUNTIF(tables_588105!C:C,input_588105!A30)-COUNTIF(Q:Q,A30)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7"/>
        <v>0</v>
      </c>
      <c r="D31" s="66">
        <f t="shared" si="2"/>
        <v>0</v>
      </c>
      <c r="E31">
        <f>COUNTIF(tables_588105!C:C,input_588105!A31)-COUNTIF(Q:Q,A31)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7"/>
        <v>0</v>
      </c>
      <c r="D32" s="66">
        <f t="shared" si="2"/>
        <v>0</v>
      </c>
      <c r="E32">
        <f>COUNTIF(tables_588105!C:C,input_588105!A32)-COUNTIF(Q:Q,A32)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0.13220915331807787</v>
      </c>
      <c r="C33" s="75">
        <f t="shared" si="7"/>
        <v>0</v>
      </c>
      <c r="D33" s="66">
        <f t="shared" si="2"/>
        <v>0.13220915331807787</v>
      </c>
      <c r="E33">
        <f>COUNTIF(tables_588105!C:C,input_588105!A33)-COUNTIF(Q:Q,A33)</f>
        <v>5</v>
      </c>
      <c r="F33" s="37">
        <f>IFERROR(B33/E33,0)</f>
        <v>2.6441830663615572E-2</v>
      </c>
      <c r="G33">
        <f t="shared" si="3"/>
        <v>2046068.856750573</v>
      </c>
      <c r="H33">
        <f t="shared" si="4"/>
        <v>409213.77135</v>
      </c>
      <c r="I33">
        <f t="shared" si="5"/>
        <v>0.77134999999543652</v>
      </c>
      <c r="J33">
        <f t="shared" si="6"/>
        <v>1.2964283399311807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7"/>
        <v>0</v>
      </c>
      <c r="D34" s="66">
        <f t="shared" si="2"/>
        <v>0</v>
      </c>
      <c r="E34">
        <f>COUNTIF(tables_588105!C:C,input_588105!A34)-COUNTIF(Q:Q,A34)</f>
        <v>13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0.28507304347826085</v>
      </c>
      <c r="C35" s="75">
        <f t="shared" si="7"/>
        <v>0</v>
      </c>
      <c r="D35" s="66">
        <f t="shared" si="2"/>
        <v>0.28507304347826085</v>
      </c>
      <c r="E35">
        <f>COUNTIF(tables_588105!C:C,input_588105!A35)-COUNTIF(Q:Q,A35)</f>
        <v>13</v>
      </c>
      <c r="F35" s="37">
        <f t="shared" si="9"/>
        <v>2.192869565217391E-2</v>
      </c>
      <c r="G35">
        <f t="shared" si="3"/>
        <v>4411790.4208695646</v>
      </c>
      <c r="H35">
        <f t="shared" si="4"/>
        <v>339368.49391000002</v>
      </c>
      <c r="I35">
        <f t="shared" si="5"/>
        <v>0.49391000001924112</v>
      </c>
      <c r="J35">
        <f t="shared" si="6"/>
        <v>2.0246603631451952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1.4891716247139586E-2</v>
      </c>
      <c r="C36" s="75">
        <f t="shared" si="7"/>
        <v>0</v>
      </c>
      <c r="D36" s="66">
        <f t="shared" si="2"/>
        <v>1.4891716247139586E-2</v>
      </c>
      <c r="E36">
        <f>COUNTIF(tables_588105!C:C,input_588105!A36)-COUNTIF(Q:Q,A36)</f>
        <v>13</v>
      </c>
      <c r="F36" s="37">
        <f t="shared" si="9"/>
        <v>1.1455166343953527E-3</v>
      </c>
      <c r="G36">
        <f t="shared" si="3"/>
        <v>230464.20064073222</v>
      </c>
      <c r="H36">
        <f t="shared" si="4"/>
        <v>17728.015429999999</v>
      </c>
      <c r="I36">
        <f t="shared" si="5"/>
        <v>1.5429999999469146E-2</v>
      </c>
      <c r="J36">
        <f t="shared" si="6"/>
        <v>64.808814000933509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9.0841739130434779E-2</v>
      </c>
      <c r="C37" s="75">
        <f t="shared" si="7"/>
        <v>0</v>
      </c>
      <c r="D37" s="66">
        <f t="shared" si="2"/>
        <v>9.0841739130434779E-2</v>
      </c>
      <c r="E37">
        <f>COUNTIF(tables_588105!C:C,input_588105!A37)-COUNTIF(Q:Q,A37)</f>
        <v>4</v>
      </c>
      <c r="F37" s="37">
        <f t="shared" si="9"/>
        <v>2.2710434782608695E-2</v>
      </c>
      <c r="G37">
        <f t="shared" si="3"/>
        <v>1405866.7547826087</v>
      </c>
      <c r="H37">
        <f t="shared" si="4"/>
        <v>351466.6887</v>
      </c>
      <c r="I37">
        <f t="shared" si="5"/>
        <v>0.68869999999878928</v>
      </c>
      <c r="J37">
        <f t="shared" si="6"/>
        <v>1.4520110352864208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6.6191304347826066E-3</v>
      </c>
      <c r="C38" s="75">
        <f t="shared" si="7"/>
        <v>0</v>
      </c>
      <c r="D38" s="66">
        <f t="shared" si="2"/>
        <v>6.6191304347826066E-3</v>
      </c>
      <c r="E38">
        <f>COUNTIF(tables_588105!C:C,input_588105!A38)-COUNTIF(Q:Q,A38)</f>
        <v>6</v>
      </c>
      <c r="F38" s="37">
        <f t="shared" si="9"/>
        <v>1.1031884057971012E-3</v>
      </c>
      <c r="G38">
        <f t="shared" si="3"/>
        <v>102437.66260869562</v>
      </c>
      <c r="H38">
        <f t="shared" si="4"/>
        <v>17072.943770000002</v>
      </c>
      <c r="I38">
        <f t="shared" si="5"/>
        <v>0.94377000000167754</v>
      </c>
      <c r="J38">
        <f t="shared" si="6"/>
        <v>1.0595801943251242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7"/>
        <v>0</v>
      </c>
      <c r="D39" s="66">
        <f t="shared" si="2"/>
        <v>0</v>
      </c>
      <c r="E39">
        <f>COUNTIF(tables_588105!C:C,input_588105!A39)-COUNTIF(Q:Q,A39)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2.192869565217391E-2</v>
      </c>
      <c r="C40" s="75">
        <f t="shared" si="7"/>
        <v>0</v>
      </c>
      <c r="D40" s="66">
        <f t="shared" si="2"/>
        <v>2.192869565217391E-2</v>
      </c>
      <c r="E40">
        <f>COUNTIF(tables_588105!C:C,input_588105!A40)-COUNTIF(Q:Q,A40)</f>
        <v>1</v>
      </c>
      <c r="F40" s="37">
        <f t="shared" si="9"/>
        <v>2.192869565217391E-2</v>
      </c>
      <c r="G40">
        <f t="shared" si="3"/>
        <v>339368.49391304341</v>
      </c>
      <c r="H40">
        <f t="shared" si="4"/>
        <v>339368.49391000002</v>
      </c>
      <c r="I40">
        <f t="shared" si="5"/>
        <v>0.49391000001924112</v>
      </c>
      <c r="J40">
        <f t="shared" si="6"/>
        <v>2.0246603631451952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2.4365217391304345E-3</v>
      </c>
      <c r="C41" s="75">
        <f t="shared" si="7"/>
        <v>0</v>
      </c>
      <c r="D41" s="66">
        <f t="shared" si="2"/>
        <v>2.4365217391304345E-3</v>
      </c>
      <c r="E41">
        <f>COUNTIF(tables_588105!C:C,input_588105!A41)-COUNTIF(Q:Q,A41)</f>
        <v>1</v>
      </c>
      <c r="F41" s="37">
        <f t="shared" si="9"/>
        <v>2.4365217391304345E-3</v>
      </c>
      <c r="G41">
        <f t="shared" si="3"/>
        <v>37707.610434782604</v>
      </c>
      <c r="H41">
        <f t="shared" si="4"/>
        <v>37707.610430000001</v>
      </c>
      <c r="I41">
        <f t="shared" si="5"/>
        <v>0.6104300000006333</v>
      </c>
      <c r="J41">
        <f t="shared" si="6"/>
        <v>1.6381894729927469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9.9473684210526318E-3</v>
      </c>
      <c r="C42" s="75">
        <f t="shared" si="7"/>
        <v>0</v>
      </c>
      <c r="D42" s="66">
        <f t="shared" si="2"/>
        <v>9.9473684210526318E-3</v>
      </c>
      <c r="E42">
        <f>COUNTIF(tables_588105!C:C,input_588105!A42)-COUNTIF(Q:Q,A42)</f>
        <v>7</v>
      </c>
      <c r="F42" s="37">
        <f>IFERROR(B42/E42,0)</f>
        <v>1.4210526315789475E-3</v>
      </c>
      <c r="G42">
        <f t="shared" si="3"/>
        <v>153945.47368421053</v>
      </c>
      <c r="H42">
        <f t="shared" si="4"/>
        <v>21992.21053</v>
      </c>
      <c r="I42">
        <f t="shared" si="5"/>
        <v>0.21053000000028987</v>
      </c>
      <c r="J42">
        <f t="shared" si="6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1.1052631578947368E-3</v>
      </c>
      <c r="C43" s="75">
        <f t="shared" si="7"/>
        <v>0</v>
      </c>
      <c r="D43" s="66">
        <f t="shared" si="2"/>
        <v>1.1052631578947368E-3</v>
      </c>
      <c r="E43">
        <f>COUNTIF(tables_588105!C:C,input_588105!A43)-COUNTIF(Q:Q,A43)</f>
        <v>7</v>
      </c>
      <c r="F43" s="37">
        <f t="shared" ref="F43:F46" si="10">IFERROR(B43/E43,0)</f>
        <v>1.5789473684210527E-4</v>
      </c>
      <c r="G43">
        <f t="shared" si="3"/>
        <v>17105.052631578947</v>
      </c>
      <c r="H43">
        <f t="shared" si="4"/>
        <v>2443.5789500000001</v>
      </c>
      <c r="I43">
        <f t="shared" si="5"/>
        <v>0.57895000000007713</v>
      </c>
      <c r="J43">
        <f t="shared" si="6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1.8947368421052629E-2</v>
      </c>
      <c r="C44" s="75">
        <f t="shared" si="7"/>
        <v>0</v>
      </c>
      <c r="D44" s="66">
        <f t="shared" si="2"/>
        <v>1.8947368421052629E-2</v>
      </c>
      <c r="E44">
        <f>COUNTIF(tables_588105!C:C,input_588105!A44)-COUNTIF(Q:Q,A44)</f>
        <v>12</v>
      </c>
      <c r="F44" s="37">
        <f t="shared" si="10"/>
        <v>1.5789473684210524E-3</v>
      </c>
      <c r="G44">
        <f t="shared" si="3"/>
        <v>293229.4736842105</v>
      </c>
      <c r="H44">
        <f t="shared" si="4"/>
        <v>24435.78947</v>
      </c>
      <c r="I44">
        <f t="shared" si="5"/>
        <v>0.78946999999971013</v>
      </c>
      <c r="J44">
        <f t="shared" si="6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7"/>
        <v>0</v>
      </c>
      <c r="D45" s="66">
        <f t="shared" si="2"/>
        <v>0</v>
      </c>
      <c r="E45">
        <f>COUNTIF(tables_588105!C:C,input_588105!A45)-COUNTIF(Q:Q,A45)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1.6E-2</v>
      </c>
      <c r="C46" s="75">
        <f t="shared" si="7"/>
        <v>1.6E-2</v>
      </c>
      <c r="D46" s="66">
        <f t="shared" si="2"/>
        <v>0</v>
      </c>
      <c r="E46">
        <f>COUNTIF(tables_588105!C:C,input_588105!A46)-COUNTIF(Q:Q,A46)</f>
        <v>0</v>
      </c>
      <c r="F46" s="37">
        <f t="shared" si="10"/>
        <v>0</v>
      </c>
      <c r="G46">
        <f t="shared" si="3"/>
        <v>247616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1.6E-2</v>
      </c>
      <c r="D47" s="36">
        <f t="shared" si="2"/>
        <v>0.98399999999999999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15476000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SUMIF(tables_588105!C:C,input_588105!A55,tables_588105!O:O)</f>
        <v>0</v>
      </c>
      <c r="C55" s="46">
        <f t="shared" ref="C55:C61" ca="1" si="11">B55/B$62</f>
        <v>0</v>
      </c>
      <c r="E55">
        <v>3</v>
      </c>
      <c r="F55">
        <f ca="1">SUMIF(tables_588105!J:J,input_588105!E55,tables_588105!O:O)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SUMIF(tables_588105!C:C,input_588105!A56,tables_588105!O:O)</f>
        <v>2780032.3199999975</v>
      </c>
      <c r="C56" s="46">
        <f t="shared" ca="1" si="11"/>
        <v>0.86563170701086256</v>
      </c>
      <c r="E56">
        <v>4</v>
      </c>
      <c r="F56">
        <f ca="1">SUMIF(tables_588105!J:J,input_588105!E56,tables_588105!O:O)</f>
        <v>13928399.999949988</v>
      </c>
      <c r="G56">
        <f ca="1">F56/A51</f>
        <v>0.89999999999676839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SUMIF(tables_588105!C:C,input_588105!A57,tables_588105!O:O)</f>
        <v>110376</v>
      </c>
      <c r="C57" s="46">
        <f t="shared" ca="1" si="11"/>
        <v>3.4368292989137281E-2</v>
      </c>
      <c r="E57">
        <v>5</v>
      </c>
      <c r="F57">
        <f ca="1">SUMIF(tables_588105!J:J,input_588105!E57,tables_588105!O:O)</f>
        <v>1547599.9999299997</v>
      </c>
      <c r="G57">
        <f ca="1">F57/A51</f>
        <v>9.9999999995476846E-2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SUMIF(tables_588105!C:C,input_588105!A58,tables_588105!O:O)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SUMIF(tables_588105!C:C,input_588105!A59,tables_588105!O:O)</f>
        <v>308892.48000000021</v>
      </c>
      <c r="C59" s="46">
        <f t="shared" ca="1" si="11"/>
        <v>9.6181300778984874E-2</v>
      </c>
      <c r="E59" t="s">
        <v>37</v>
      </c>
      <c r="F59" s="47"/>
    </row>
    <row r="60" spans="1:8" x14ac:dyDescent="0.15">
      <c r="A60" s="27" t="s">
        <v>91</v>
      </c>
      <c r="B60">
        <f ca="1">SUMIF(tables_588105!C:C,input_588105!A60,tables_588105!O:O)</f>
        <v>12264</v>
      </c>
      <c r="C60" s="46">
        <f t="shared" ca="1" si="11"/>
        <v>3.8186992210152535E-3</v>
      </c>
      <c r="E60" t="s">
        <v>190</v>
      </c>
      <c r="F60" s="47">
        <f ca="1">SUMIF(tables_588105!I:I,input_588105!E60,tables_588105!P:P)</f>
        <v>0.21871010960624457</v>
      </c>
    </row>
    <row r="61" spans="1:8" x14ac:dyDescent="0.15">
      <c r="A61" s="27" t="s">
        <v>92</v>
      </c>
      <c r="B61">
        <f>SUMIF(tables_588105!C:C,input_588105!A61,tables_588105!O:O)</f>
        <v>0</v>
      </c>
      <c r="C61" s="46">
        <f t="shared" ca="1" si="11"/>
        <v>0</v>
      </c>
      <c r="E61" t="s">
        <v>191</v>
      </c>
      <c r="F61" s="47">
        <f ca="1">SUMIF(tables_588105!I:I,input_588105!E61,tables_588105!P:P)</f>
        <v>0.19213818471976299</v>
      </c>
    </row>
    <row r="62" spans="1:8" x14ac:dyDescent="0.15">
      <c r="A62" s="33" t="s">
        <v>42</v>
      </c>
      <c r="B62">
        <f ca="1">SUM(B55:B61)</f>
        <v>3211564.799999998</v>
      </c>
      <c r="C62" s="47">
        <f ca="1">SUM(C55:C61)</f>
        <v>1</v>
      </c>
      <c r="E62" t="s">
        <v>192</v>
      </c>
      <c r="F62" s="47">
        <f ca="1">SUMIF(tables_588105!I:I,input_588105!E62,tables_588105!P:P)</f>
        <v>0.52315170567347935</v>
      </c>
    </row>
    <row r="63" spans="1:8" x14ac:dyDescent="0.15">
      <c r="E63" t="s">
        <v>193</v>
      </c>
      <c r="F63" s="103">
        <f ca="1">SUMIF(tables_588105!I:I,input_588105!E63,tables_588105!P:P)</f>
        <v>4.4200595830014393E-2</v>
      </c>
      <c r="G63" s="84"/>
    </row>
    <row r="64" spans="1:8" x14ac:dyDescent="0.15">
      <c r="E64" t="s">
        <v>253</v>
      </c>
      <c r="F64" s="103">
        <f ca="1">SUMIF(tables_588105!I:I,input_588105!E64,tables_588105!P:P)</f>
        <v>5.7994041703732114E-3</v>
      </c>
    </row>
    <row r="65" spans="5:6" x14ac:dyDescent="0.15">
      <c r="E65" t="s">
        <v>254</v>
      </c>
      <c r="F65" s="103">
        <f ca="1">SUMIF(tables_588105!I:I,input_588105!E65,tables_588105!P:P)</f>
        <v>1.6000000000124043E-2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1" activePane="bottomLeft" state="frozen"/>
      <selection activeCell="U32" sqref="U32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input_588105!A$2</f>
        <v>588105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IFERROR(VLOOKUP(B2,input_588105!L:R,7,FALSE),VLOOKUP(tables_588105!C2,input_588105!A:H,8,FALSE))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input_588105!A$2</f>
        <v>588105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IFERROR(VLOOKUP(B3,input_588105!L:R,7,FALSE),VLOOKUP(tables_588105!C3,input_588105!A:H,8,FALSE))</f>
        <v>85806.29333</v>
      </c>
      <c r="P3" s="40">
        <f t="shared" ca="1" si="1"/>
        <v>5.544474885672346E-3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input_588105!A$2</f>
        <v>588105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IFERROR(VLOOKUP(B4,input_588105!L:R,7,FALSE),VLOOKUP(tables_588105!C4,input_588105!A:H,8,FALSE))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input_588105!A$2</f>
        <v>588105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IFERROR(VLOOKUP(B5,input_588105!L:R,7,FALSE),VLOOKUP(tables_588105!C5,input_588105!A:H,8,FALSE))</f>
        <v>85806.29333</v>
      </c>
      <c r="P5" s="40">
        <f t="shared" ca="1" si="1"/>
        <v>5.544474885672346E-3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input_588105!A$2</f>
        <v>588105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IFERROR(VLOOKUP(B6,input_588105!L:R,7,FALSE),VLOOKUP(tables_588105!C6,input_588105!A:H,8,FALSE))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input_588105!A$2</f>
        <v>588105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IFERROR(VLOOKUP(B7,input_588105!L:R,7,FALSE),VLOOKUP(tables_588105!C7,input_588105!A:H,8,FALSE))</f>
        <v>85806.29333</v>
      </c>
      <c r="P7" s="40">
        <f t="shared" ca="1" si="1"/>
        <v>5.544474885672346E-3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input_588105!A$2</f>
        <v>588105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IFERROR(VLOOKUP(B8,input_588105!L:R,7,FALSE),VLOOKUP(tables_588105!C8,input_588105!A:H,8,FALSE))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input_588105!A$2</f>
        <v>588105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IFERROR(VLOOKUP(B9,input_588105!L:R,7,FALSE),VLOOKUP(tables_588105!C9,input_588105!A:H,8,FALSE))</f>
        <v>409213.77135</v>
      </c>
      <c r="P9" s="40">
        <f t="shared" ca="1" si="1"/>
        <v>2.6441830663813164E-2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input_588105!A$2</f>
        <v>588105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IFERROR(VLOOKUP(B10,input_588105!L:R,7,FALSE),VLOOKUP(tables_588105!C10,input_588105!A:H,8,FALSE))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input_588105!A$2</f>
        <v>588105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IFERROR(VLOOKUP(B11,input_588105!L:R,7,FALSE),VLOOKUP(tables_588105!C11,input_588105!A:H,8,FALSE))</f>
        <v>85806.29333</v>
      </c>
      <c r="P11" s="40">
        <f t="shared" ca="1" si="1"/>
        <v>5.544474885672346E-3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input_588105!A$2</f>
        <v>588105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IFERROR(VLOOKUP(B12,input_588105!L:R,7,FALSE),VLOOKUP(tables_588105!C12,input_588105!A:H,8,FALSE))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input_588105!A$2</f>
        <v>588105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IFERROR(VLOOKUP(B13,input_588105!L:R,7,FALSE),VLOOKUP(tables_588105!C13,input_588105!A:H,8,FALSE))</f>
        <v>85806.29333</v>
      </c>
      <c r="P13" s="40">
        <f t="shared" ca="1" si="1"/>
        <v>5.544474885672346E-3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input_588105!A$2</f>
        <v>588105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IFERROR(VLOOKUP(B14,input_588105!L:R,7,FALSE),VLOOKUP(tables_588105!C14,input_588105!A:H,8,FALSE))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input_588105!A$2</f>
        <v>588105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IFERROR(VLOOKUP(B15,input_588105!L:R,7,FALSE),VLOOKUP(tables_588105!C15,input_588105!A:H,8,FALSE))</f>
        <v>85806.29333</v>
      </c>
      <c r="P15" s="40">
        <f t="shared" ca="1" si="1"/>
        <v>5.544474885672346E-3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input_588105!A$2</f>
        <v>588105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IFERROR(VLOOKUP(B16,input_588105!L:R,7,FALSE),VLOOKUP(tables_588105!C16,input_588105!A:H,8,FALSE))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input_588105!A$2</f>
        <v>588105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IFERROR(VLOOKUP(B17,input_588105!L:R,7,FALSE),VLOOKUP(tables_588105!C17,input_588105!A:H,8,FALSE))</f>
        <v>409213.77135</v>
      </c>
      <c r="P17" s="40">
        <f t="shared" ca="1" si="1"/>
        <v>2.6441830663813164E-2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input_588105!A$2</f>
        <v>588105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IFERROR(VLOOKUP(B18,input_588105!L:R,7,FALSE),VLOOKUP(tables_588105!C18,input_588105!A:H,8,FALSE))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input_588105!A$2</f>
        <v>588105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IFERROR(VLOOKUP(B19,input_588105!L:R,7,FALSE),VLOOKUP(tables_588105!C19,input_588105!A:H,8,FALSE))</f>
        <v>85806.29333</v>
      </c>
      <c r="P19" s="40">
        <f t="shared" ca="1" si="1"/>
        <v>5.544474885672346E-3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input_588105!A$2</f>
        <v>588105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IFERROR(VLOOKUP(B20,input_588105!L:R,7,FALSE),VLOOKUP(tables_588105!C20,input_588105!A:H,8,FALSE))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input_588105!A$2</f>
        <v>588105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IFERROR(VLOOKUP(B21,input_588105!L:R,7,FALSE),VLOOKUP(tables_588105!C21,input_588105!A:H,8,FALSE))</f>
        <v>85806.29333</v>
      </c>
      <c r="P21" s="40">
        <f t="shared" ca="1" si="1"/>
        <v>5.544474885672346E-3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input_588105!A$2</f>
        <v>588105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IFERROR(VLOOKUP(B22,input_588105!L:R,7,FALSE),VLOOKUP(tables_588105!C22,input_588105!A:H,8,FALSE))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input_588105!A$2</f>
        <v>588105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IFERROR(VLOOKUP(B23,input_588105!L:R,7,FALSE),VLOOKUP(tables_588105!C23,input_588105!A:H,8,FALSE))</f>
        <v>85806.29333</v>
      </c>
      <c r="P23" s="40">
        <f t="shared" ca="1" si="1"/>
        <v>5.544474885672346E-3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input_588105!A$2</f>
        <v>588105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IFERROR(VLOOKUP(B24,input_588105!L:R,7,FALSE),VLOOKUP(tables_588105!C24,input_588105!A:H,8,FALSE))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input_588105!A$2</f>
        <v>588105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IFERROR(VLOOKUP(B25,input_588105!L:R,7,FALSE),VLOOKUP(tables_588105!C25,input_588105!A:H,8,FALSE))</f>
        <v>409213.77135</v>
      </c>
      <c r="P25" s="40">
        <f t="shared" ca="1" si="1"/>
        <v>2.6441830663813164E-2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input_588105!A$2</f>
        <v>588105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IFERROR(VLOOKUP(B26,input_588105!L:R,7,FALSE),VLOOKUP(tables_588105!C26,input_588105!A:H,8,FALSE))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input_588105!A$2</f>
        <v>588105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IFERROR(VLOOKUP(B27,input_588105!L:R,7,FALSE),VLOOKUP(tables_588105!C27,input_588105!A:H,8,FALSE))</f>
        <v>85806.29333</v>
      </c>
      <c r="P27" s="40">
        <f t="shared" ca="1" si="1"/>
        <v>5.544474885672346E-3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input_588105!A$2</f>
        <v>588105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IFERROR(VLOOKUP(B28,input_588105!L:R,7,FALSE),VLOOKUP(tables_588105!C28,input_588105!A:H,8,FALSE))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input_588105!A$2</f>
        <v>588105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IFERROR(VLOOKUP(B29,input_588105!L:R,7,FALSE),VLOOKUP(tables_588105!C29,input_588105!A:H,8,FALSE))</f>
        <v>85806.29333</v>
      </c>
      <c r="P29" s="40">
        <f t="shared" ca="1" si="1"/>
        <v>5.544474885672346E-3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input_588105!A$2</f>
        <v>588105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IFERROR(VLOOKUP(B30,input_588105!L:R,7,FALSE),VLOOKUP(tables_588105!C30,input_588105!A:H,8,FALSE))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input_588105!A$2</f>
        <v>588105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IFERROR(VLOOKUP(B31,input_588105!L:R,7,FALSE),VLOOKUP(tables_588105!C31,input_588105!A:H,8,FALSE))</f>
        <v>85806.29333</v>
      </c>
      <c r="P31" s="40">
        <f t="shared" ca="1" si="1"/>
        <v>5.544474885672346E-3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input_588105!A$2</f>
        <v>588105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IFERROR(VLOOKUP(B32,input_588105!L:R,7,FALSE),VLOOKUP(tables_588105!C32,input_588105!A:H,8,FALSE))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input_588105!A$2</f>
        <v>588105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IFERROR(VLOOKUP(B33,input_588105!L:R,7,FALSE),VLOOKUP(tables_588105!C33,input_588105!A:H,8,FALSE))</f>
        <v>409213.77135</v>
      </c>
      <c r="P33" s="40">
        <f t="shared" ca="1" si="1"/>
        <v>2.6441830663813164E-2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input_588105!A$2</f>
        <v>588105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IFERROR(VLOOKUP(B34,input_588105!L:R,7,FALSE),VLOOKUP(tables_588105!C34,input_588105!A:H,8,FALSE))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input_588105!A$2</f>
        <v>588105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IFERROR(VLOOKUP(B35,input_588105!L:R,7,FALSE),VLOOKUP(tables_588105!C35,input_588105!A:H,8,FALSE))</f>
        <v>85806.29333</v>
      </c>
      <c r="P35" s="40">
        <f t="shared" ca="1" si="1"/>
        <v>5.544474885672346E-3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input_588105!A$2</f>
        <v>588105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IFERROR(VLOOKUP(B36,input_588105!L:R,7,FALSE),VLOOKUP(tables_588105!C36,input_588105!A:H,8,FALSE))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input_588105!A$2</f>
        <v>588105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IFERROR(VLOOKUP(B37,input_588105!L:R,7,FALSE),VLOOKUP(tables_588105!C37,input_588105!A:H,8,FALSE))</f>
        <v>85806.29333</v>
      </c>
      <c r="P37" s="40">
        <f t="shared" ca="1" si="1"/>
        <v>5.544474885672346E-3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input_588105!A$2</f>
        <v>588105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IFERROR(VLOOKUP(B38,input_588105!L:R,7,FALSE),VLOOKUP(tables_588105!C38,input_588105!A:H,8,FALSE))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input_588105!A$2</f>
        <v>588105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IFERROR(VLOOKUP(B39,input_588105!L:R,7,FALSE),VLOOKUP(tables_588105!C39,input_588105!A:H,8,FALSE))</f>
        <v>85806.29333</v>
      </c>
      <c r="P39" s="40">
        <f t="shared" ca="1" si="1"/>
        <v>5.544474885672346E-3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input_588105!A$2</f>
        <v>588105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IFERROR(VLOOKUP(B40,input_588105!L:R,7,FALSE),VLOOKUP(tables_588105!C40,input_588105!A:H,8,FALSE))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input_588105!A$2</f>
        <v>588105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IFERROR(VLOOKUP(B41,input_588105!L:R,7,FALSE),VLOOKUP(tables_588105!C41,input_588105!A:H,8,FALSE))</f>
        <v>409213.77135</v>
      </c>
      <c r="P41" s="40">
        <f t="shared" ca="1" si="1"/>
        <v>2.6441830663813164E-2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input_588105!A$2</f>
        <v>588105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IFERROR(VLOOKUP(B42,input_588105!L:R,7,FALSE),VLOOKUP(tables_588105!C42,input_588105!A:H,8,FALSE))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input_588105!A$2</f>
        <v>588105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IFERROR(VLOOKUP(B43,input_588105!L:R,7,FALSE),VLOOKUP(tables_588105!C43,input_588105!A:H,8,FALSE))</f>
        <v>71282.880000000005</v>
      </c>
      <c r="P43" s="40">
        <f t="shared" ca="1" si="1"/>
        <v>4.606027397295983E-3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input_588105!A$2</f>
        <v>588105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IFERROR(VLOOKUP(B44,input_588105!L:R,7,FALSE),VLOOKUP(tables_588105!C44,input_588105!A:H,8,FALSE))</f>
        <v>7920.32</v>
      </c>
      <c r="P44" s="40">
        <f t="shared" ca="1" si="1"/>
        <v>5.1178082192177585E-4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input_588105!A$2</f>
        <v>588105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IFERROR(VLOOKUP(B45,input_588105!L:R,7,FALSE),VLOOKUP(tables_588105!C45,input_588105!A:H,8,FALSE))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input_588105!A$2</f>
        <v>588105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IFERROR(VLOOKUP(B46,input_588105!L:R,7,FALSE),VLOOKUP(tables_588105!C46,input_588105!A:H,8,FALSE))</f>
        <v>71282.880000000005</v>
      </c>
      <c r="P46" s="40">
        <f t="shared" ca="1" si="1"/>
        <v>4.606027397295983E-3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input_588105!A$2</f>
        <v>588105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IFERROR(VLOOKUP(B47,input_588105!L:R,7,FALSE),VLOOKUP(tables_588105!C47,input_588105!A:H,8,FALSE))</f>
        <v>7920.32</v>
      </c>
      <c r="P47" s="40">
        <f t="shared" ca="1" si="1"/>
        <v>5.1178082192177585E-4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input_588105!A$2</f>
        <v>588105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IFERROR(VLOOKUP(B48,input_588105!L:R,7,FALSE),VLOOKUP(tables_588105!C48,input_588105!A:H,8,FALSE))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input_588105!A$2</f>
        <v>588105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IFERROR(VLOOKUP(B49,input_588105!L:R,7,FALSE),VLOOKUP(tables_588105!C49,input_588105!A:H,8,FALSE))</f>
        <v>71282.880000000005</v>
      </c>
      <c r="P49" s="40">
        <f t="shared" ca="1" si="1"/>
        <v>4.606027397295983E-3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input_588105!A$2</f>
        <v>588105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IFERROR(VLOOKUP(B50,input_588105!L:R,7,FALSE),VLOOKUP(tables_588105!C50,input_588105!A:H,8,FALSE))</f>
        <v>7920.32</v>
      </c>
      <c r="P50" s="40">
        <f t="shared" ca="1" si="1"/>
        <v>5.1178082192177585E-4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input_588105!A$2</f>
        <v>588105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IFERROR(VLOOKUP(B51,input_588105!L:R,7,FALSE),VLOOKUP(tables_588105!C51,input_588105!A:H,8,FALSE))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input_588105!A$2</f>
        <v>588105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IFERROR(VLOOKUP(B52,input_588105!L:R,7,FALSE),VLOOKUP(tables_588105!C52,input_588105!A:H,8,FALSE))</f>
        <v>339368.49391000002</v>
      </c>
      <c r="P52" s="40">
        <f t="shared" ca="1" si="1"/>
        <v>2.1928695652147261E-2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input_588105!A$2</f>
        <v>588105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IFERROR(VLOOKUP(B53,input_588105!L:R,7,FALSE),VLOOKUP(tables_588105!C53,input_588105!A:H,8,FALSE))</f>
        <v>17728.015429999999</v>
      </c>
      <c r="P53" s="40">
        <f t="shared" ca="1" si="1"/>
        <v>1.1455166341520703E-3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input_588105!A$2</f>
        <v>588105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IFERROR(VLOOKUP(B54,input_588105!L:R,7,FALSE),VLOOKUP(tables_588105!C54,input_588105!A:H,8,FALSE))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input_588105!A$2</f>
        <v>588105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IFERROR(VLOOKUP(B55,input_588105!L:R,7,FALSE),VLOOKUP(tables_588105!C55,input_588105!A:H,8,FALSE))</f>
        <v>71282.880000000005</v>
      </c>
      <c r="P55" s="40">
        <f t="shared" ca="1" si="1"/>
        <v>4.606027397295983E-3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input_588105!A$2</f>
        <v>588105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IFERROR(VLOOKUP(B56,input_588105!L:R,7,FALSE),VLOOKUP(tables_588105!C56,input_588105!A:H,8,FALSE))</f>
        <v>7920.32</v>
      </c>
      <c r="P56" s="40">
        <f t="shared" ca="1" si="1"/>
        <v>5.1178082192177585E-4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input_588105!A$2</f>
        <v>588105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IFERROR(VLOOKUP(B57,input_588105!L:R,7,FALSE),VLOOKUP(tables_588105!C57,input_588105!A:H,8,FALSE))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input_588105!A$2</f>
        <v>588105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IFERROR(VLOOKUP(B58,input_588105!L:R,7,FALSE),VLOOKUP(tables_588105!C58,input_588105!A:H,8,FALSE))</f>
        <v>71282.880000000005</v>
      </c>
      <c r="P58" s="40">
        <f t="shared" ca="1" si="1"/>
        <v>4.606027397295983E-3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input_588105!A$2</f>
        <v>588105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IFERROR(VLOOKUP(B59,input_588105!L:R,7,FALSE),VLOOKUP(tables_588105!C59,input_588105!A:H,8,FALSE))</f>
        <v>7920.32</v>
      </c>
      <c r="P59" s="40">
        <f t="shared" ca="1" si="1"/>
        <v>5.1178082192177585E-4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input_588105!A$2</f>
        <v>588105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IFERROR(VLOOKUP(B60,input_588105!L:R,7,FALSE),VLOOKUP(tables_588105!C60,input_588105!A:H,8,FALSE))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input_588105!A$2</f>
        <v>588105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IFERROR(VLOOKUP(B61,input_588105!L:R,7,FALSE),VLOOKUP(tables_588105!C61,input_588105!A:H,8,FALSE))</f>
        <v>71282.880000000005</v>
      </c>
      <c r="P61" s="40">
        <f t="shared" ca="1" si="1"/>
        <v>4.606027397295983E-3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input_588105!A$2</f>
        <v>588105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IFERROR(VLOOKUP(B62,input_588105!L:R,7,FALSE),VLOOKUP(tables_588105!C62,input_588105!A:H,8,FALSE))</f>
        <v>7920.32</v>
      </c>
      <c r="P62" s="40">
        <f t="shared" ca="1" si="1"/>
        <v>5.1178082192177585E-4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input_588105!A$2</f>
        <v>588105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IFERROR(VLOOKUP(B63,input_588105!L:R,7,FALSE),VLOOKUP(tables_588105!C63,input_588105!A:H,8,FALSE))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input_588105!A$2</f>
        <v>588105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IFERROR(VLOOKUP(B64,input_588105!L:R,7,FALSE),VLOOKUP(tables_588105!C64,input_588105!A:H,8,FALSE))</f>
        <v>339368.49391000002</v>
      </c>
      <c r="P64" s="40">
        <f t="shared" ca="1" si="1"/>
        <v>2.1928695652147261E-2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input_588105!A$2</f>
        <v>588105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IFERROR(VLOOKUP(B65,input_588105!L:R,7,FALSE),VLOOKUP(tables_588105!C65,input_588105!A:H,8,FALSE))</f>
        <v>17728.015429999999</v>
      </c>
      <c r="P65" s="40">
        <f t="shared" ca="1" si="1"/>
        <v>1.1455166341520703E-3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input_588105!A$2</f>
        <v>588105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IFERROR(VLOOKUP(B66,input_588105!L:R,7,FALSE),VLOOKUP(tables_588105!C66,input_588105!A:H,8,FALSE))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input_588105!A$2</f>
        <v>588105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IFERROR(VLOOKUP(B67,input_588105!L:R,7,FALSE),VLOOKUP(tables_588105!C67,input_588105!A:H,8,FALSE))</f>
        <v>71282.880000000005</v>
      </c>
      <c r="P67" s="40">
        <f t="shared" ca="1" si="4"/>
        <v>4.606027397295983E-3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input_588105!A$2</f>
        <v>588105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IFERROR(VLOOKUP(B68,input_588105!L:R,7,FALSE),VLOOKUP(tables_588105!C68,input_588105!A:H,8,FALSE))</f>
        <v>7920.32</v>
      </c>
      <c r="P68" s="40">
        <f t="shared" ca="1" si="4"/>
        <v>5.1178082192177585E-4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input_588105!A$2</f>
        <v>588105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IFERROR(VLOOKUP(B69,input_588105!L:R,7,FALSE),VLOOKUP(tables_588105!C69,input_588105!A:H,8,FALSE))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input_588105!A$2</f>
        <v>588105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IFERROR(VLOOKUP(B70,input_588105!L:R,7,FALSE),VLOOKUP(tables_588105!C70,input_588105!A:H,8,FALSE))</f>
        <v>71282.880000000005</v>
      </c>
      <c r="P70" s="40">
        <f t="shared" ca="1" si="4"/>
        <v>4.606027397295983E-3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input_588105!A$2</f>
        <v>588105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IFERROR(VLOOKUP(B71,input_588105!L:R,7,FALSE),VLOOKUP(tables_588105!C71,input_588105!A:H,8,FALSE))</f>
        <v>7920.32</v>
      </c>
      <c r="P71" s="40">
        <f t="shared" ca="1" si="4"/>
        <v>5.1178082192177585E-4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input_588105!A$2</f>
        <v>588105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IFERROR(VLOOKUP(B72,input_588105!L:R,7,FALSE),VLOOKUP(tables_588105!C72,input_588105!A:H,8,FALSE))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input_588105!A$2</f>
        <v>588105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IFERROR(VLOOKUP(B73,input_588105!L:R,7,FALSE),VLOOKUP(tables_588105!C73,input_588105!A:H,8,FALSE))</f>
        <v>339368.49391000002</v>
      </c>
      <c r="P73" s="40">
        <f t="shared" ca="1" si="4"/>
        <v>2.1928695652147261E-2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input_588105!A$2</f>
        <v>588105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IFERROR(VLOOKUP(B74,input_588105!L:R,7,FALSE),VLOOKUP(tables_588105!C74,input_588105!A:H,8,FALSE))</f>
        <v>17728.015429999999</v>
      </c>
      <c r="P74" s="40">
        <f t="shared" ca="1" si="4"/>
        <v>1.1455166341520703E-3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input_588105!A$2</f>
        <v>588105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IFERROR(VLOOKUP(B75,input_588105!L:R,7,FALSE),VLOOKUP(tables_588105!C75,input_588105!A:H,8,FALSE))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input_588105!A$2</f>
        <v>588105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IFERROR(VLOOKUP(B76,input_588105!L:R,7,FALSE),VLOOKUP(tables_588105!C76,input_588105!A:H,8,FALSE))</f>
        <v>71282.880000000005</v>
      </c>
      <c r="P76" s="40">
        <f t="shared" ca="1" si="4"/>
        <v>4.606027397295983E-3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input_588105!A$2</f>
        <v>588105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IFERROR(VLOOKUP(B77,input_588105!L:R,7,FALSE),VLOOKUP(tables_588105!C77,input_588105!A:H,8,FALSE))</f>
        <v>7920.32</v>
      </c>
      <c r="P77" s="40">
        <f t="shared" ca="1" si="4"/>
        <v>5.1178082192177585E-4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input_588105!A$2</f>
        <v>588105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IFERROR(VLOOKUP(B78,input_588105!L:R,7,FALSE),VLOOKUP(tables_588105!C78,input_588105!A:H,8,FALSE))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input_588105!A$2</f>
        <v>588105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IFERROR(VLOOKUP(B79,input_588105!L:R,7,FALSE),VLOOKUP(tables_588105!C79,input_588105!A:H,8,FALSE))</f>
        <v>71282.880000000005</v>
      </c>
      <c r="P79" s="40">
        <f t="shared" ca="1" si="4"/>
        <v>4.606027397295983E-3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input_588105!A$2</f>
        <v>588105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IFERROR(VLOOKUP(B80,input_588105!L:R,7,FALSE),VLOOKUP(tables_588105!C80,input_588105!A:H,8,FALSE))</f>
        <v>7920.32</v>
      </c>
      <c r="P80" s="40">
        <f t="shared" ca="1" si="4"/>
        <v>5.1178082192177585E-4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input_588105!A$2</f>
        <v>588105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IFERROR(VLOOKUP(B81,input_588105!L:R,7,FALSE),VLOOKUP(tables_588105!C81,input_588105!A:H,8,FALSE))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input_588105!A$2</f>
        <v>588105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IFERROR(VLOOKUP(B82,input_588105!L:R,7,FALSE),VLOOKUP(tables_588105!C82,input_588105!A:H,8,FALSE))</f>
        <v>71282.880000000005</v>
      </c>
      <c r="P82" s="40">
        <f t="shared" ca="1" si="4"/>
        <v>4.606027397295983E-3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input_588105!A$2</f>
        <v>588105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IFERROR(VLOOKUP(B83,input_588105!L:R,7,FALSE),VLOOKUP(tables_588105!C83,input_588105!A:H,8,FALSE))</f>
        <v>7920.32</v>
      </c>
      <c r="P83" s="40">
        <f t="shared" ca="1" si="4"/>
        <v>5.1178082192177585E-4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input_588105!A$2</f>
        <v>588105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IFERROR(VLOOKUP(B84,input_588105!L:R,7,FALSE),VLOOKUP(tables_588105!C84,input_588105!A:H,8,FALSE))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input_588105!A$2</f>
        <v>588105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IFERROR(VLOOKUP(B85,input_588105!L:R,7,FALSE),VLOOKUP(tables_588105!C85,input_588105!A:H,8,FALSE))</f>
        <v>71282.880000000005</v>
      </c>
      <c r="P85" s="40">
        <f t="shared" ca="1" si="4"/>
        <v>4.606027397295983E-3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input_588105!A$2</f>
        <v>588105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IFERROR(VLOOKUP(B86,input_588105!L:R,7,FALSE),VLOOKUP(tables_588105!C86,input_588105!A:H,8,FALSE))</f>
        <v>7920.32</v>
      </c>
      <c r="P86" s="40">
        <f t="shared" ca="1" si="4"/>
        <v>5.1178082192177585E-4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input_588105!A$2</f>
        <v>588105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IFERROR(VLOOKUP(B87,input_588105!L:R,7,FALSE),VLOOKUP(tables_588105!C87,input_588105!A:H,8,FALSE))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input_588105!A$2</f>
        <v>588105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IFERROR(VLOOKUP(B88,input_588105!L:R,7,FALSE),VLOOKUP(tables_588105!C88,input_588105!A:H,8,FALSE))</f>
        <v>339368.49391000002</v>
      </c>
      <c r="P88" s="40">
        <f t="shared" ca="1" si="4"/>
        <v>2.1928695652147261E-2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input_588105!A$2</f>
        <v>588105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IFERROR(VLOOKUP(B89,input_588105!L:R,7,FALSE),VLOOKUP(tables_588105!C89,input_588105!A:H,8,FALSE))</f>
        <v>17728.015429999999</v>
      </c>
      <c r="P89" s="40">
        <f t="shared" ca="1" si="4"/>
        <v>1.1455166341520703E-3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input_588105!A$2</f>
        <v>588105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IFERROR(VLOOKUP(B90,input_588105!L:R,7,FALSE),VLOOKUP(tables_588105!C90,input_588105!A:H,8,FALSE))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input_588105!A$2</f>
        <v>588105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IFERROR(VLOOKUP(B91,input_588105!L:R,7,FALSE),VLOOKUP(tables_588105!C91,input_588105!A:H,8,FALSE))</f>
        <v>71282.880000000005</v>
      </c>
      <c r="P91" s="40">
        <f t="shared" ca="1" si="4"/>
        <v>4.606027397295983E-3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input_588105!A$2</f>
        <v>588105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IFERROR(VLOOKUP(B92,input_588105!L:R,7,FALSE),VLOOKUP(tables_588105!C92,input_588105!A:H,8,FALSE))</f>
        <v>7920.32</v>
      </c>
      <c r="P92" s="40">
        <f t="shared" ca="1" si="4"/>
        <v>5.1178082192177585E-4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input_588105!A$2</f>
        <v>588105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IFERROR(VLOOKUP(B93,input_588105!L:R,7,FALSE),VLOOKUP(tables_588105!C93,input_588105!A:H,8,FALSE))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input_588105!A$2</f>
        <v>588105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IFERROR(VLOOKUP(B94,input_588105!L:R,7,FALSE),VLOOKUP(tables_588105!C94,input_588105!A:H,8,FALSE))</f>
        <v>71282.880000000005</v>
      </c>
      <c r="P94" s="40">
        <f t="shared" ca="1" si="4"/>
        <v>4.606027397295983E-3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input_588105!A$2</f>
        <v>588105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IFERROR(VLOOKUP(B95,input_588105!L:R,7,FALSE),VLOOKUP(tables_588105!C95,input_588105!A:H,8,FALSE))</f>
        <v>7920.32</v>
      </c>
      <c r="P95" s="40">
        <f t="shared" ca="1" si="4"/>
        <v>5.1178082192177585E-4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input_588105!A$2</f>
        <v>588105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IFERROR(VLOOKUP(B96,input_588105!L:R,7,FALSE),VLOOKUP(tables_588105!C96,input_588105!A:H,8,FALSE))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input_588105!A$2</f>
        <v>588105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IFERROR(VLOOKUP(B97,input_588105!L:R,7,FALSE),VLOOKUP(tables_588105!C97,input_588105!A:H,8,FALSE))</f>
        <v>71282.880000000005</v>
      </c>
      <c r="P97" s="40">
        <f t="shared" ca="1" si="4"/>
        <v>4.606027397295983E-3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input_588105!A$2</f>
        <v>588105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IFERROR(VLOOKUP(B98,input_588105!L:R,7,FALSE),VLOOKUP(tables_588105!C98,input_588105!A:H,8,FALSE))</f>
        <v>7920.32</v>
      </c>
      <c r="P98" s="40">
        <f t="shared" ca="1" si="4"/>
        <v>5.1178082192177585E-4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input_588105!A$2</f>
        <v>588105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IFERROR(VLOOKUP(B99,input_588105!L:R,7,FALSE),VLOOKUP(tables_588105!C99,input_588105!A:H,8,FALSE))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input_588105!A$2</f>
        <v>588105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IFERROR(VLOOKUP(B100,input_588105!L:R,7,FALSE),VLOOKUP(tables_588105!C100,input_588105!A:H,8,FALSE))</f>
        <v>339368.49391000002</v>
      </c>
      <c r="P100" s="40">
        <f t="shared" ca="1" si="4"/>
        <v>2.1928695652147261E-2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input_588105!A$2</f>
        <v>588105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IFERROR(VLOOKUP(B101,input_588105!L:R,7,FALSE),VLOOKUP(tables_588105!C101,input_588105!A:H,8,FALSE))</f>
        <v>17728.015429999999</v>
      </c>
      <c r="P101" s="40">
        <f t="shared" ca="1" si="4"/>
        <v>1.1455166341520703E-3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input_588105!A$2</f>
        <v>588105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IFERROR(VLOOKUP(B102,input_588105!L:R,7,FALSE),VLOOKUP(tables_588105!C102,input_588105!A:H,8,FALSE))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input_588105!A$2</f>
        <v>588105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IFERROR(VLOOKUP(B103,input_588105!L:R,7,FALSE),VLOOKUP(tables_588105!C103,input_588105!A:H,8,FALSE))</f>
        <v>71282.880000000005</v>
      </c>
      <c r="P103" s="40">
        <f t="shared" ca="1" si="4"/>
        <v>4.606027397295983E-3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input_588105!A$2</f>
        <v>588105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IFERROR(VLOOKUP(B104,input_588105!L:R,7,FALSE),VLOOKUP(tables_588105!C104,input_588105!A:H,8,FALSE))</f>
        <v>7920.32</v>
      </c>
      <c r="P104" s="40">
        <f t="shared" ca="1" si="4"/>
        <v>5.1178082192177585E-4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input_588105!A$2</f>
        <v>588105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IFERROR(VLOOKUP(B105,input_588105!L:R,7,FALSE),VLOOKUP(tables_588105!C105,input_588105!A:H,8,FALSE))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input_588105!A$2</f>
        <v>588105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IFERROR(VLOOKUP(B106,input_588105!L:R,7,FALSE),VLOOKUP(tables_588105!C106,input_588105!A:H,8,FALSE))</f>
        <v>71282.880000000005</v>
      </c>
      <c r="P106" s="40">
        <f t="shared" ca="1" si="4"/>
        <v>4.606027397295983E-3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input_588105!A$2</f>
        <v>588105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IFERROR(VLOOKUP(B107,input_588105!L:R,7,FALSE),VLOOKUP(tables_588105!C107,input_588105!A:H,8,FALSE))</f>
        <v>7920.32</v>
      </c>
      <c r="P107" s="40">
        <f t="shared" ca="1" si="4"/>
        <v>5.1178082192177585E-4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input_588105!A$2</f>
        <v>588105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IFERROR(VLOOKUP(B108,input_588105!L:R,7,FALSE),VLOOKUP(tables_588105!C108,input_588105!A:H,8,FALSE))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input_588105!A$2</f>
        <v>588105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IFERROR(VLOOKUP(B109,input_588105!L:R,7,FALSE),VLOOKUP(tables_588105!C109,input_588105!A:H,8,FALSE))</f>
        <v>71282.880000000005</v>
      </c>
      <c r="P109" s="40">
        <f t="shared" ca="1" si="4"/>
        <v>4.606027397295983E-3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input_588105!A$2</f>
        <v>588105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IFERROR(VLOOKUP(B110,input_588105!L:R,7,FALSE),VLOOKUP(tables_588105!C110,input_588105!A:H,8,FALSE))</f>
        <v>7920.32</v>
      </c>
      <c r="P110" s="40">
        <f t="shared" ca="1" si="4"/>
        <v>5.1178082192177585E-4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input_588105!A$2</f>
        <v>588105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IFERROR(VLOOKUP(B111,input_588105!L:R,7,FALSE),VLOOKUP(tables_588105!C111,input_588105!A:H,8,FALSE))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input_588105!A$2</f>
        <v>588105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IFERROR(VLOOKUP(B112,input_588105!L:R,7,FALSE),VLOOKUP(tables_588105!C112,input_588105!A:H,8,FALSE))</f>
        <v>339368.49391000002</v>
      </c>
      <c r="P112" s="40">
        <f t="shared" ca="1" si="4"/>
        <v>2.1928695652147261E-2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input_588105!A$2</f>
        <v>588105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IFERROR(VLOOKUP(B113,input_588105!L:R,7,FALSE),VLOOKUP(tables_588105!C113,input_588105!A:H,8,FALSE))</f>
        <v>37707.610430000001</v>
      </c>
      <c r="P113" s="40">
        <f t="shared" ca="1" si="4"/>
        <v>2.4365217388402907E-3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input_588105!A$2</f>
        <v>588105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IFERROR(VLOOKUP(B114,input_588105!L:R,7,FALSE),VLOOKUP(tables_588105!C114,input_588105!A:H,8,FALSE))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input_588105!A$2</f>
        <v>588105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IFERROR(VLOOKUP(B115,input_588105!L:R,7,FALSE),VLOOKUP(tables_588105!C115,input_588105!A:H,8,FALSE))</f>
        <v>71282.880000000005</v>
      </c>
      <c r="P115" s="40">
        <f t="shared" ca="1" si="4"/>
        <v>4.606027397295983E-3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input_588105!A$2</f>
        <v>588105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IFERROR(VLOOKUP(B116,input_588105!L:R,7,FALSE),VLOOKUP(tables_588105!C116,input_588105!A:H,8,FALSE))</f>
        <v>7920.32</v>
      </c>
      <c r="P116" s="40">
        <f t="shared" ca="1" si="4"/>
        <v>5.1178082192177585E-4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input_588105!A$2</f>
        <v>588105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IFERROR(VLOOKUP(B117,input_588105!L:R,7,FALSE),VLOOKUP(tables_588105!C117,input_588105!A:H,8,FALSE))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input_588105!A$2</f>
        <v>588105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IFERROR(VLOOKUP(B118,input_588105!L:R,7,FALSE),VLOOKUP(tables_588105!C118,input_588105!A:H,8,FALSE))</f>
        <v>71282.880000000005</v>
      </c>
      <c r="P118" s="40">
        <f t="shared" ca="1" si="4"/>
        <v>4.606027397295983E-3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input_588105!A$2</f>
        <v>588105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IFERROR(VLOOKUP(B119,input_588105!L:R,7,FALSE),VLOOKUP(tables_588105!C119,input_588105!A:H,8,FALSE))</f>
        <v>7920.32</v>
      </c>
      <c r="P119" s="40">
        <f t="shared" ca="1" si="4"/>
        <v>5.1178082192177585E-4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input_588105!A$2</f>
        <v>588105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IFERROR(VLOOKUP(B120,input_588105!L:R,7,FALSE),VLOOKUP(tables_588105!C120,input_588105!A:H,8,FALSE))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input_588105!A$2</f>
        <v>588105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IFERROR(VLOOKUP(B121,input_588105!L:R,7,FALSE),VLOOKUP(tables_588105!C121,input_588105!A:H,8,FALSE))</f>
        <v>71282.880000000005</v>
      </c>
      <c r="P121" s="40">
        <f t="shared" ca="1" si="4"/>
        <v>4.606027397295983E-3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input_588105!A$2</f>
        <v>588105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IFERROR(VLOOKUP(B122,input_588105!L:R,7,FALSE),VLOOKUP(tables_588105!C122,input_588105!A:H,8,FALSE))</f>
        <v>7920.32</v>
      </c>
      <c r="P122" s="40">
        <f t="shared" ca="1" si="4"/>
        <v>5.1178082192177585E-4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input_588105!A$2</f>
        <v>588105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IFERROR(VLOOKUP(B123,input_588105!L:R,7,FALSE),VLOOKUP(tables_588105!C123,input_588105!A:H,8,FALSE))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input_588105!A$2</f>
        <v>588105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IFERROR(VLOOKUP(B124,input_588105!L:R,7,FALSE),VLOOKUP(tables_588105!C124,input_588105!A:H,8,FALSE))</f>
        <v>339368.49391000002</v>
      </c>
      <c r="P124" s="40">
        <f t="shared" ca="1" si="4"/>
        <v>2.1928695652147261E-2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input_588105!A$2</f>
        <v>588105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IFERROR(VLOOKUP(B125,input_588105!L:R,7,FALSE),VLOOKUP(tables_588105!C125,input_588105!A:H,8,FALSE))</f>
        <v>17728.015429999999</v>
      </c>
      <c r="P125" s="40">
        <f t="shared" ca="1" si="4"/>
        <v>1.1455166341520703E-3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input_588105!A$2</f>
        <v>588105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IFERROR(VLOOKUP(B126,input_588105!L:R,7,FALSE),VLOOKUP(tables_588105!C126,input_588105!A:H,8,FALSE))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input_588105!A$2</f>
        <v>588105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IFERROR(VLOOKUP(B127,input_588105!L:R,7,FALSE),VLOOKUP(tables_588105!C127,input_588105!A:H,8,FALSE))</f>
        <v>71282.880000000005</v>
      </c>
      <c r="P127" s="40">
        <f t="shared" ca="1" si="4"/>
        <v>4.606027397295983E-3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input_588105!A$2</f>
        <v>588105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IFERROR(VLOOKUP(B128,input_588105!L:R,7,FALSE),VLOOKUP(tables_588105!C128,input_588105!A:H,8,FALSE))</f>
        <v>7920.32</v>
      </c>
      <c r="P128" s="40">
        <f t="shared" ca="1" si="4"/>
        <v>5.1178082192177585E-4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input_588105!A$2</f>
        <v>588105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IFERROR(VLOOKUP(B129,input_588105!L:R,7,FALSE),VLOOKUP(tables_588105!C129,input_588105!A:H,8,FALSE))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input_588105!A$2</f>
        <v>588105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IFERROR(VLOOKUP(B130,input_588105!L:R,7,FALSE),VLOOKUP(tables_588105!C130,input_588105!A:H,8,FALSE))</f>
        <v>71282.880000000005</v>
      </c>
      <c r="P130" s="40">
        <f t="shared" ref="P130:P193" ca="1" si="7">O130/SUM(O:O)</f>
        <v>4.606027397295983E-3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input_588105!A$2</f>
        <v>588105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IFERROR(VLOOKUP(B131,input_588105!L:R,7,FALSE),VLOOKUP(tables_588105!C131,input_588105!A:H,8,FALSE))</f>
        <v>7920.32</v>
      </c>
      <c r="P131" s="40">
        <f t="shared" ca="1" si="7"/>
        <v>5.1178082192177585E-4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input_588105!A$2</f>
        <v>588105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IFERROR(VLOOKUP(B132,input_588105!L:R,7,FALSE),VLOOKUP(tables_588105!C132,input_588105!A:H,8,FALSE))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input_588105!A$2</f>
        <v>588105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IFERROR(VLOOKUP(B133,input_588105!L:R,7,FALSE),VLOOKUP(tables_588105!C133,input_588105!A:H,8,FALSE))</f>
        <v>71282.880000000005</v>
      </c>
      <c r="P133" s="40">
        <f t="shared" ca="1" si="7"/>
        <v>4.606027397295983E-3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input_588105!A$2</f>
        <v>588105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IFERROR(VLOOKUP(B134,input_588105!L:R,7,FALSE),VLOOKUP(tables_588105!C134,input_588105!A:H,8,FALSE))</f>
        <v>7920.32</v>
      </c>
      <c r="P134" s="40">
        <f t="shared" ca="1" si="7"/>
        <v>5.1178082192177585E-4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input_588105!A$2</f>
        <v>588105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IFERROR(VLOOKUP(B135,input_588105!L:R,7,FALSE),VLOOKUP(tables_588105!C135,input_588105!A:H,8,FALSE))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input_588105!A$2</f>
        <v>588105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IFERROR(VLOOKUP(B136,input_588105!L:R,7,FALSE),VLOOKUP(tables_588105!C136,input_588105!A:H,8,FALSE))</f>
        <v>339368.49391000002</v>
      </c>
      <c r="P136" s="40">
        <f t="shared" ca="1" si="7"/>
        <v>2.1928695652147261E-2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input_588105!A$2</f>
        <v>588105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IFERROR(VLOOKUP(B137,input_588105!L:R,7,FALSE),VLOOKUP(tables_588105!C137,input_588105!A:H,8,FALSE))</f>
        <v>17728.015429999999</v>
      </c>
      <c r="P137" s="40">
        <f t="shared" ca="1" si="7"/>
        <v>1.1455166341520703E-3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input_588105!A$2</f>
        <v>588105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IFERROR(VLOOKUP(B138,input_588105!L:R,7,FALSE),VLOOKUP(tables_588105!C138,input_588105!A:H,8,FALSE))</f>
        <v>5256</v>
      </c>
      <c r="P138" s="40">
        <f t="shared" ca="1" si="7"/>
        <v>3.3962264151206697E-4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input_588105!A$2</f>
        <v>588105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IFERROR(VLOOKUP(B139,input_588105!L:R,7,FALSE),VLOOKUP(tables_588105!C139,input_588105!A:H,8,FALSE))</f>
        <v>584</v>
      </c>
      <c r="P139" s="40">
        <f t="shared" ca="1" si="7"/>
        <v>3.7735849056896327E-5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input_588105!A$2</f>
        <v>588105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IFERROR(VLOOKUP(B140,input_588105!L:R,7,FALSE),VLOOKUP(tables_588105!C140,input_588105!A:H,8,FALSE))</f>
        <v>5256</v>
      </c>
      <c r="P140" s="40">
        <f t="shared" ca="1" si="7"/>
        <v>3.3962264151206697E-4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input_588105!A$2</f>
        <v>588105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IFERROR(VLOOKUP(B141,input_588105!L:R,7,FALSE),VLOOKUP(tables_588105!C141,input_588105!A:H,8,FALSE))</f>
        <v>584</v>
      </c>
      <c r="P141" s="40">
        <f t="shared" ca="1" si="7"/>
        <v>3.7735849056896327E-5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input_588105!A$2</f>
        <v>588105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IFERROR(VLOOKUP(B142,input_588105!L:R,7,FALSE),VLOOKUP(tables_588105!C142,input_588105!A:H,8,FALSE))</f>
        <v>5256</v>
      </c>
      <c r="P142" s="40">
        <f t="shared" ca="1" si="7"/>
        <v>3.3962264151206697E-4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input_588105!A$2</f>
        <v>588105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IFERROR(VLOOKUP(B143,input_588105!L:R,7,FALSE),VLOOKUP(tables_588105!C143,input_588105!A:H,8,FALSE))</f>
        <v>584</v>
      </c>
      <c r="P143" s="40">
        <f t="shared" ca="1" si="7"/>
        <v>3.7735849056896327E-5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input_588105!A$2</f>
        <v>588105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IFERROR(VLOOKUP(B144,input_588105!L:R,7,FALSE),VLOOKUP(tables_588105!C144,input_588105!A:H,8,FALSE))</f>
        <v>21992.21053</v>
      </c>
      <c r="P144" s="40">
        <f t="shared" ca="1" si="7"/>
        <v>1.4210526318280241E-3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input_588105!A$2</f>
        <v>588105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IFERROR(VLOOKUP(B145,input_588105!L:R,7,FALSE),VLOOKUP(tables_588105!C145,input_588105!A:H,8,FALSE))</f>
        <v>2443.5789500000001</v>
      </c>
      <c r="P145" s="40">
        <f t="shared" ca="1" si="7"/>
        <v>1.5789473701337197E-4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input_588105!A$2</f>
        <v>588105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IFERROR(VLOOKUP(B146,input_588105!L:R,7,FALSE),VLOOKUP(tables_588105!C146,input_588105!A:H,8,FALSE))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input_588105!A$2</f>
        <v>588105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IFERROR(VLOOKUP(B147,input_588105!L:R,7,FALSE),VLOOKUP(tables_588105!C147,input_588105!A:H,8,FALSE))</f>
        <v>71282.880000000005</v>
      </c>
      <c r="P147" s="40">
        <f t="shared" ca="1" si="7"/>
        <v>4.606027397295983E-3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input_588105!A$2</f>
        <v>588105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IFERROR(VLOOKUP(B148,input_588105!L:R,7,FALSE),VLOOKUP(tables_588105!C148,input_588105!A:H,8,FALSE))</f>
        <v>7920.32</v>
      </c>
      <c r="P148" s="40">
        <f t="shared" ca="1" si="7"/>
        <v>5.1178082192177585E-4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input_588105!A$2</f>
        <v>588105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IFERROR(VLOOKUP(B149,input_588105!L:R,7,FALSE),VLOOKUP(tables_588105!C149,input_588105!A:H,8,FALSE))</f>
        <v>5256</v>
      </c>
      <c r="P149" s="40">
        <f t="shared" ca="1" si="7"/>
        <v>3.3962264151206697E-4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input_588105!A$2</f>
        <v>588105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IFERROR(VLOOKUP(B150,input_588105!L:R,7,FALSE),VLOOKUP(tables_588105!C150,input_588105!A:H,8,FALSE))</f>
        <v>584</v>
      </c>
      <c r="P150" s="40">
        <f t="shared" ca="1" si="7"/>
        <v>3.7735849056896327E-5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input_588105!A$2</f>
        <v>588105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IFERROR(VLOOKUP(B151,input_588105!L:R,7,FALSE),VLOOKUP(tables_588105!C151,input_588105!A:H,8,FALSE))</f>
        <v>5256</v>
      </c>
      <c r="P151" s="40">
        <f t="shared" ca="1" si="7"/>
        <v>3.3962264151206697E-4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input_588105!A$2</f>
        <v>588105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IFERROR(VLOOKUP(B152,input_588105!L:R,7,FALSE),VLOOKUP(tables_588105!C152,input_588105!A:H,8,FALSE))</f>
        <v>584</v>
      </c>
      <c r="P152" s="40">
        <f t="shared" ca="1" si="7"/>
        <v>3.7735849056896327E-5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input_588105!A$2</f>
        <v>588105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IFERROR(VLOOKUP(B153,input_588105!L:R,7,FALSE),VLOOKUP(tables_588105!C153,input_588105!A:H,8,FALSE))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input_588105!A$2</f>
        <v>588105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IFERROR(VLOOKUP(B154,input_588105!L:R,7,FALSE),VLOOKUP(tables_588105!C154,input_588105!A:H,8,FALSE))</f>
        <v>339368.49391000002</v>
      </c>
      <c r="P154" s="40">
        <f t="shared" ca="1" si="7"/>
        <v>2.1928695652147261E-2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input_588105!A$2</f>
        <v>588105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IFERROR(VLOOKUP(B155,input_588105!L:R,7,FALSE),VLOOKUP(tables_588105!C155,input_588105!A:H,8,FALSE))</f>
        <v>17728.015429999999</v>
      </c>
      <c r="P155" s="40">
        <f t="shared" ca="1" si="7"/>
        <v>1.1455166341520703E-3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input_588105!A$2</f>
        <v>588105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IFERROR(VLOOKUP(B156,input_588105!L:R,7,FALSE),VLOOKUP(tables_588105!C156,input_588105!A:H,8,FALSE))</f>
        <v>5256</v>
      </c>
      <c r="P156" s="40">
        <f t="shared" ca="1" si="7"/>
        <v>3.3962264151206697E-4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input_588105!A$2</f>
        <v>588105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IFERROR(VLOOKUP(B157,input_588105!L:R,7,FALSE),VLOOKUP(tables_588105!C157,input_588105!A:H,8,FALSE))</f>
        <v>584</v>
      </c>
      <c r="P157" s="40">
        <f t="shared" ca="1" si="7"/>
        <v>3.7735849056896327E-5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input_588105!A$2</f>
        <v>588105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IFERROR(VLOOKUP(B158,input_588105!L:R,7,FALSE),VLOOKUP(tables_588105!C158,input_588105!A:H,8,FALSE))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input_588105!A$2</f>
        <v>588105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IFERROR(VLOOKUP(B159,input_588105!L:R,7,FALSE),VLOOKUP(tables_588105!C159,input_588105!A:H,8,FALSE))</f>
        <v>71282.880000000005</v>
      </c>
      <c r="P159" s="40">
        <f t="shared" ca="1" si="7"/>
        <v>4.606027397295983E-3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input_588105!A$2</f>
        <v>588105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IFERROR(VLOOKUP(B160,input_588105!L:R,7,FALSE),VLOOKUP(tables_588105!C160,input_588105!A:H,8,FALSE))</f>
        <v>7920.32</v>
      </c>
      <c r="P160" s="40">
        <f t="shared" ca="1" si="7"/>
        <v>5.1178082192177585E-4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input_588105!A$2</f>
        <v>588105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IFERROR(VLOOKUP(B161,input_588105!L:R,7,FALSE),VLOOKUP(tables_588105!C161,input_588105!A:H,8,FALSE))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input_588105!A$2</f>
        <v>588105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IFERROR(VLOOKUP(B162,input_588105!L:R,7,FALSE),VLOOKUP(tables_588105!C162,input_588105!A:H,8,FALSE))</f>
        <v>71282.880000000005</v>
      </c>
      <c r="P162" s="40">
        <f t="shared" ca="1" si="7"/>
        <v>4.606027397295983E-3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input_588105!A$2</f>
        <v>588105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IFERROR(VLOOKUP(B163,input_588105!L:R,7,FALSE),VLOOKUP(tables_588105!C163,input_588105!A:H,8,FALSE))</f>
        <v>7920.32</v>
      </c>
      <c r="P163" s="40">
        <f t="shared" ca="1" si="7"/>
        <v>5.1178082192177585E-4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input_588105!A$2</f>
        <v>588105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IFERROR(VLOOKUP(B164,input_588105!L:R,7,FALSE),VLOOKUP(tables_588105!C164,input_588105!A:H,8,FALSE))</f>
        <v>21992.21053</v>
      </c>
      <c r="P164" s="40">
        <f t="shared" ca="1" si="7"/>
        <v>1.4210526318280241E-3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input_588105!A$2</f>
        <v>588105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IFERROR(VLOOKUP(B165,input_588105!L:R,7,FALSE),VLOOKUP(tables_588105!C165,input_588105!A:H,8,FALSE))</f>
        <v>2443.5789500000001</v>
      </c>
      <c r="P165" s="40">
        <f t="shared" ca="1" si="7"/>
        <v>1.5789473701337197E-4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input_588105!A$2</f>
        <v>588105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IFERROR(VLOOKUP(B166,input_588105!L:R,7,FALSE),VLOOKUP(tables_588105!C166,input_588105!A:H,8,FALSE))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input_588105!A$2</f>
        <v>588105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IFERROR(VLOOKUP(B167,input_588105!L:R,7,FALSE),VLOOKUP(tables_588105!C167,input_588105!A:H,8,FALSE))</f>
        <v>71282.880000000005</v>
      </c>
      <c r="P167" s="40">
        <f t="shared" ca="1" si="7"/>
        <v>4.606027397295983E-3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input_588105!A$2</f>
        <v>588105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IFERROR(VLOOKUP(B168,input_588105!L:R,7,FALSE),VLOOKUP(tables_588105!C168,input_588105!A:H,8,FALSE))</f>
        <v>7920.32</v>
      </c>
      <c r="P168" s="40">
        <f t="shared" ca="1" si="7"/>
        <v>5.1178082192177585E-4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input_588105!A$2</f>
        <v>588105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IFERROR(VLOOKUP(B169,input_588105!L:R,7,FALSE),VLOOKUP(tables_588105!C169,input_588105!A:H,8,FALSE))</f>
        <v>5256</v>
      </c>
      <c r="P169" s="40">
        <f t="shared" ca="1" si="7"/>
        <v>3.3962264151206697E-4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input_588105!A$2</f>
        <v>588105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IFERROR(VLOOKUP(B170,input_588105!L:R,7,FALSE),VLOOKUP(tables_588105!C170,input_588105!A:H,8,FALSE))</f>
        <v>584</v>
      </c>
      <c r="P170" s="40">
        <f t="shared" ca="1" si="7"/>
        <v>3.7735849056896327E-5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input_588105!A$2</f>
        <v>588105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IFERROR(VLOOKUP(B171,input_588105!L:R,7,FALSE),VLOOKUP(tables_588105!C171,input_588105!A:H,8,FALSE))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input_588105!A$2</f>
        <v>588105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IFERROR(VLOOKUP(B172,input_588105!L:R,7,FALSE),VLOOKUP(tables_588105!C172,input_588105!A:H,8,FALSE))</f>
        <v>71282.880000000005</v>
      </c>
      <c r="P172" s="40">
        <f t="shared" ca="1" si="7"/>
        <v>4.606027397295983E-3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input_588105!A$2</f>
        <v>588105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IFERROR(VLOOKUP(B173,input_588105!L:R,7,FALSE),VLOOKUP(tables_588105!C173,input_588105!A:H,8,FALSE))</f>
        <v>7920.32</v>
      </c>
      <c r="P173" s="40">
        <f t="shared" ca="1" si="7"/>
        <v>5.1178082192177585E-4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input_588105!A$2</f>
        <v>588105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IFERROR(VLOOKUP(B174,input_588105!L:R,7,FALSE),VLOOKUP(tables_588105!C174,input_588105!A:H,8,FALSE))</f>
        <v>21992.21053</v>
      </c>
      <c r="P174" s="40">
        <f t="shared" ca="1" si="7"/>
        <v>1.4210526318280241E-3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input_588105!A$2</f>
        <v>588105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IFERROR(VLOOKUP(B175,input_588105!L:R,7,FALSE),VLOOKUP(tables_588105!C175,input_588105!A:H,8,FALSE))</f>
        <v>2443.5789500000001</v>
      </c>
      <c r="P175" s="40">
        <f t="shared" ca="1" si="7"/>
        <v>1.5789473701337197E-4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input_588105!A$2</f>
        <v>588105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IFERROR(VLOOKUP(B176,input_588105!L:R,7,FALSE),VLOOKUP(tables_588105!C176,input_588105!A:H,8,FALSE))</f>
        <v>5256</v>
      </c>
      <c r="P176" s="40">
        <f t="shared" ca="1" si="7"/>
        <v>3.3962264151206697E-4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input_588105!A$2</f>
        <v>588105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IFERROR(VLOOKUP(B177,input_588105!L:R,7,FALSE),VLOOKUP(tables_588105!C177,input_588105!A:H,8,FALSE))</f>
        <v>584</v>
      </c>
      <c r="P177" s="40">
        <f t="shared" ca="1" si="7"/>
        <v>3.7735849056896327E-5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input_588105!A$2</f>
        <v>588105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IFERROR(VLOOKUP(B178,input_588105!L:R,7,FALSE),VLOOKUP(tables_588105!C178,input_588105!A:H,8,FALSE))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input_588105!A$2</f>
        <v>588105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IFERROR(VLOOKUP(B179,input_588105!L:R,7,FALSE),VLOOKUP(tables_588105!C179,input_588105!A:H,8,FALSE))</f>
        <v>71282.880000000005</v>
      </c>
      <c r="P179" s="40">
        <f t="shared" ca="1" si="7"/>
        <v>4.606027397295983E-3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input_588105!A$2</f>
        <v>588105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IFERROR(VLOOKUP(B180,input_588105!L:R,7,FALSE),VLOOKUP(tables_588105!C180,input_588105!A:H,8,FALSE))</f>
        <v>7920.32</v>
      </c>
      <c r="P180" s="40">
        <f t="shared" ca="1" si="7"/>
        <v>5.1178082192177585E-4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input_588105!A$2</f>
        <v>588105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IFERROR(VLOOKUP(B181,input_588105!L:R,7,FALSE),VLOOKUP(tables_588105!C181,input_588105!A:H,8,FALSE))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input_588105!A$2</f>
        <v>588105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IFERROR(VLOOKUP(B182,input_588105!L:R,7,FALSE),VLOOKUP(tables_588105!C182,input_588105!A:H,8,FALSE))</f>
        <v>71282.880000000005</v>
      </c>
      <c r="P182" s="40">
        <f t="shared" ca="1" si="7"/>
        <v>4.606027397295983E-3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input_588105!A$2</f>
        <v>588105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IFERROR(VLOOKUP(B183,input_588105!L:R,7,FALSE),VLOOKUP(tables_588105!C183,input_588105!A:H,8,FALSE))</f>
        <v>7920.32</v>
      </c>
      <c r="P183" s="40">
        <f t="shared" ca="1" si="7"/>
        <v>5.1178082192177585E-4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input_588105!A$2</f>
        <v>588105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IFERROR(VLOOKUP(B184,input_588105!L:R,7,FALSE),VLOOKUP(tables_588105!C184,input_588105!A:H,8,FALSE))</f>
        <v>21992.21053</v>
      </c>
      <c r="P184" s="40">
        <f t="shared" ca="1" si="7"/>
        <v>1.4210526318280241E-3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input_588105!A$2</f>
        <v>588105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IFERROR(VLOOKUP(B185,input_588105!L:R,7,FALSE),VLOOKUP(tables_588105!C185,input_588105!A:H,8,FALSE))</f>
        <v>2443.5789500000001</v>
      </c>
      <c r="P185" s="40">
        <f t="shared" ca="1" si="7"/>
        <v>1.5789473701337197E-4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input_588105!A$2</f>
        <v>588105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IFERROR(VLOOKUP(B186,input_588105!L:R,7,FALSE),VLOOKUP(tables_588105!C186,input_588105!A:H,8,FALSE))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input_588105!A$2</f>
        <v>588105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IFERROR(VLOOKUP(B187,input_588105!L:R,7,FALSE),VLOOKUP(tables_588105!C187,input_588105!A:H,8,FALSE))</f>
        <v>71282.880000000005</v>
      </c>
      <c r="P187" s="40">
        <f t="shared" ca="1" si="7"/>
        <v>4.606027397295983E-3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input_588105!A$2</f>
        <v>588105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IFERROR(VLOOKUP(B188,input_588105!L:R,7,FALSE),VLOOKUP(tables_588105!C188,input_588105!A:H,8,FALSE))</f>
        <v>7920.32</v>
      </c>
      <c r="P188" s="40">
        <f t="shared" ca="1" si="7"/>
        <v>5.1178082192177585E-4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input_588105!A$2</f>
        <v>588105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IFERROR(VLOOKUP(B189,input_588105!L:R,7,FALSE),VLOOKUP(tables_588105!C189,input_588105!A:H,8,FALSE))</f>
        <v>5256</v>
      </c>
      <c r="P189" s="40">
        <f t="shared" ca="1" si="7"/>
        <v>3.3962264151206697E-4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input_588105!A$2</f>
        <v>588105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IFERROR(VLOOKUP(B190,input_588105!L:R,7,FALSE),VLOOKUP(tables_588105!C190,input_588105!A:H,8,FALSE))</f>
        <v>584</v>
      </c>
      <c r="P190" s="40">
        <f t="shared" ca="1" si="7"/>
        <v>3.7735849056896327E-5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input_588105!A$2</f>
        <v>588105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IFERROR(VLOOKUP(B191,input_588105!L:R,7,FALSE),VLOOKUP(tables_588105!C191,input_588105!A:H,8,FALSE))</f>
        <v>5256</v>
      </c>
      <c r="P191" s="40">
        <f t="shared" ca="1" si="7"/>
        <v>3.3962264151206697E-4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input_588105!A$2</f>
        <v>588105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IFERROR(VLOOKUP(B192,input_588105!L:R,7,FALSE),VLOOKUP(tables_588105!C192,input_588105!A:H,8,FALSE))</f>
        <v>584</v>
      </c>
      <c r="P192" s="40">
        <f t="shared" ca="1" si="7"/>
        <v>3.7735849056896327E-5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input_588105!A$2</f>
        <v>588105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IFERROR(VLOOKUP(B193,input_588105!L:R,7,FALSE),VLOOKUP(tables_588105!C193,input_588105!A:H,8,FALSE))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input_588105!A$2</f>
        <v>588105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IFERROR(VLOOKUP(B194,input_588105!L:R,7,FALSE),VLOOKUP(tables_588105!C194,input_588105!A:H,8,FALSE))</f>
        <v>339368.49391000002</v>
      </c>
      <c r="P194" s="40">
        <f t="shared" ref="P194:P257" ca="1" si="10">O194/SUM(O:O)</f>
        <v>2.1928695652147261E-2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input_588105!A$2</f>
        <v>588105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IFERROR(VLOOKUP(B195,input_588105!L:R,7,FALSE),VLOOKUP(tables_588105!C195,input_588105!A:H,8,FALSE))</f>
        <v>17728.015429999999</v>
      </c>
      <c r="P195" s="40">
        <f t="shared" ca="1" si="10"/>
        <v>1.1455166341520703E-3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input_588105!A$2</f>
        <v>588105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IFERROR(VLOOKUP(B196,input_588105!L:R,7,FALSE),VLOOKUP(tables_588105!C196,input_588105!A:H,8,FALSE))</f>
        <v>5256</v>
      </c>
      <c r="P196" s="40">
        <f t="shared" ca="1" si="10"/>
        <v>3.3962264151206697E-4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input_588105!A$2</f>
        <v>588105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IFERROR(VLOOKUP(B197,input_588105!L:R,7,FALSE),VLOOKUP(tables_588105!C197,input_588105!A:H,8,FALSE))</f>
        <v>584</v>
      </c>
      <c r="P197" s="40">
        <f t="shared" ca="1" si="10"/>
        <v>3.7735849056896327E-5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input_588105!A$2</f>
        <v>588105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IFERROR(VLOOKUP(B198,input_588105!L:R,7,FALSE),VLOOKUP(tables_588105!C198,input_588105!A:H,8,FALSE))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input_588105!A$2</f>
        <v>588105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IFERROR(VLOOKUP(B199,input_588105!L:R,7,FALSE),VLOOKUP(tables_588105!C199,input_588105!A:H,8,FALSE))</f>
        <v>71282.880000000005</v>
      </c>
      <c r="P199" s="40">
        <f t="shared" ca="1" si="10"/>
        <v>4.606027397295983E-3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input_588105!A$2</f>
        <v>588105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IFERROR(VLOOKUP(B200,input_588105!L:R,7,FALSE),VLOOKUP(tables_588105!C200,input_588105!A:H,8,FALSE))</f>
        <v>7920.32</v>
      </c>
      <c r="P200" s="40">
        <f t="shared" ca="1" si="10"/>
        <v>5.1178082192177585E-4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input_588105!A$2</f>
        <v>588105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IFERROR(VLOOKUP(B201,input_588105!L:R,7,FALSE),VLOOKUP(tables_588105!C201,input_588105!A:H,8,FALSE))</f>
        <v>5256</v>
      </c>
      <c r="P201" s="40">
        <f t="shared" ca="1" si="10"/>
        <v>3.3962264151206697E-4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input_588105!A$2</f>
        <v>588105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IFERROR(VLOOKUP(B202,input_588105!L:R,7,FALSE),VLOOKUP(tables_588105!C202,input_588105!A:H,8,FALSE))</f>
        <v>584</v>
      </c>
      <c r="P202" s="40">
        <f t="shared" ca="1" si="10"/>
        <v>3.7735849056896327E-5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input_588105!A$2</f>
        <v>588105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IFERROR(VLOOKUP(B203,input_588105!L:R,7,FALSE),VLOOKUP(tables_588105!C203,input_588105!A:H,8,FALSE))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input_588105!A$2</f>
        <v>588105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IFERROR(VLOOKUP(B204,input_588105!L:R,7,FALSE),VLOOKUP(tables_588105!C204,input_588105!A:H,8,FALSE))</f>
        <v>339368.49391000002</v>
      </c>
      <c r="P204" s="40">
        <f t="shared" ca="1" si="10"/>
        <v>2.1928695652147261E-2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input_588105!A$2</f>
        <v>588105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IFERROR(VLOOKUP(B205,input_588105!L:R,7,FALSE),VLOOKUP(tables_588105!C205,input_588105!A:H,8,FALSE))</f>
        <v>17728.015429999999</v>
      </c>
      <c r="P205" s="40">
        <f t="shared" ca="1" si="10"/>
        <v>1.1455166341520703E-3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input_588105!A$2</f>
        <v>588105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IFERROR(VLOOKUP(B206,input_588105!L:R,7,FALSE),VLOOKUP(tables_588105!C206,input_588105!A:H,8,FALSE))</f>
        <v>5256</v>
      </c>
      <c r="P206" s="40">
        <f t="shared" ca="1" si="10"/>
        <v>3.3962264151206697E-4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input_588105!A$2</f>
        <v>588105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IFERROR(VLOOKUP(B207,input_588105!L:R,7,FALSE),VLOOKUP(tables_588105!C207,input_588105!A:H,8,FALSE))</f>
        <v>584</v>
      </c>
      <c r="P207" s="40">
        <f t="shared" ca="1" si="10"/>
        <v>3.7735849056896327E-5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input_588105!A$2</f>
        <v>588105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IFERROR(VLOOKUP(B208,input_588105!L:R,7,FALSE),VLOOKUP(tables_588105!C208,input_588105!A:H,8,FALSE))</f>
        <v>5256</v>
      </c>
      <c r="P208" s="40">
        <f t="shared" ca="1" si="10"/>
        <v>3.3962264151206697E-4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input_588105!A$2</f>
        <v>588105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IFERROR(VLOOKUP(B209,input_588105!L:R,7,FALSE),VLOOKUP(tables_588105!C209,input_588105!A:H,8,FALSE))</f>
        <v>584</v>
      </c>
      <c r="P209" s="40">
        <f t="shared" ca="1" si="10"/>
        <v>3.7735849056896327E-5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input_588105!A$2</f>
        <v>588105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IFERROR(VLOOKUP(B210,input_588105!L:R,7,FALSE),VLOOKUP(tables_588105!C210,input_588105!A:H,8,FALSE))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input_588105!A$2</f>
        <v>588105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IFERROR(VLOOKUP(B211,input_588105!L:R,7,FALSE),VLOOKUP(tables_588105!C211,input_588105!A:H,8,FALSE))</f>
        <v>71282.880000000005</v>
      </c>
      <c r="P211" s="40">
        <f t="shared" ca="1" si="10"/>
        <v>4.606027397295983E-3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input_588105!A$2</f>
        <v>588105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IFERROR(VLOOKUP(B212,input_588105!L:R,7,FALSE),VLOOKUP(tables_588105!C212,input_588105!A:H,8,FALSE))</f>
        <v>7920.32</v>
      </c>
      <c r="P212" s="40">
        <f t="shared" ca="1" si="10"/>
        <v>5.1178082192177585E-4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input_588105!A$2</f>
        <v>588105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IFERROR(VLOOKUP(B213,input_588105!L:R,7,FALSE),VLOOKUP(tables_588105!C213,input_588105!A:H,8,FALSE))</f>
        <v>21992.21053</v>
      </c>
      <c r="P213" s="40">
        <f t="shared" ca="1" si="10"/>
        <v>1.4210526318280241E-3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input_588105!A$2</f>
        <v>588105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IFERROR(VLOOKUP(B214,input_588105!L:R,7,FALSE),VLOOKUP(tables_588105!C214,input_588105!A:H,8,FALSE))</f>
        <v>2443.5789500000001</v>
      </c>
      <c r="P214" s="40">
        <f t="shared" ca="1" si="10"/>
        <v>1.5789473701337197E-4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input_588105!A$2</f>
        <v>588105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IFERROR(VLOOKUP(B215,input_588105!L:R,7,FALSE),VLOOKUP(tables_588105!C215,input_588105!A:H,8,FALSE))</f>
        <v>4362.1279999999997</v>
      </c>
      <c r="P215" s="40">
        <f t="shared" ca="1" si="10"/>
        <v>2.8186404755969359E-4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input_588105!A$2</f>
        <v>588105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IFERROR(VLOOKUP(B216,input_588105!L:R,7,FALSE),VLOOKUP(tables_588105!C216,input_588105!A:H,8,FALSE))</f>
        <v>4362.1279999999997</v>
      </c>
      <c r="P216" s="40">
        <f t="shared" ca="1" si="10"/>
        <v>2.8186404755969359E-4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input_588105!A$2</f>
        <v>588105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IFERROR(VLOOKUP(B217,input_588105!L:R,7,FALSE),VLOOKUP(tables_588105!C217,input_588105!A:H,8,FALSE))</f>
        <v>4362.1279999999997</v>
      </c>
      <c r="P217" s="40">
        <f t="shared" ca="1" si="10"/>
        <v>2.8186404755969359E-4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input_588105!A$2</f>
        <v>588105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IFERROR(VLOOKUP(B218,input_588105!L:R,7,FALSE),VLOOKUP(tables_588105!C218,input_588105!A:H,8,FALSE))</f>
        <v>17072.943770000002</v>
      </c>
      <c r="P218" s="40">
        <f t="shared" ca="1" si="10"/>
        <v>1.103188405927395E-3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input_588105!A$2</f>
        <v>588105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IFERROR(VLOOKUP(B219,input_588105!L:R,7,FALSE),VLOOKUP(tables_588105!C219,input_588105!A:H,8,FALSE))</f>
        <v>4362.1279999999997</v>
      </c>
      <c r="P219" s="40">
        <f t="shared" ca="1" si="10"/>
        <v>2.8186404755969359E-4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input_588105!A$2</f>
        <v>588105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IFERROR(VLOOKUP(B220,input_588105!L:R,7,FALSE),VLOOKUP(tables_588105!C220,input_588105!A:H,8,FALSE))</f>
        <v>17072.943770000002</v>
      </c>
      <c r="P220" s="40">
        <f t="shared" ca="1" si="10"/>
        <v>1.103188405927395E-3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input_588105!A$2</f>
        <v>588105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IFERROR(VLOOKUP(B221,input_588105!L:R,7,FALSE),VLOOKUP(tables_588105!C221,input_588105!A:H,8,FALSE))</f>
        <v>5256</v>
      </c>
      <c r="P221" s="40">
        <f t="shared" ca="1" si="10"/>
        <v>3.3962264151206697E-4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input_588105!A$2</f>
        <v>588105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IFERROR(VLOOKUP(B222,input_588105!L:R,7,FALSE),VLOOKUP(tables_588105!C222,input_588105!A:H,8,FALSE))</f>
        <v>584</v>
      </c>
      <c r="P222" s="40">
        <f t="shared" ca="1" si="10"/>
        <v>3.7735849056896327E-5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input_588105!A$2</f>
        <v>588105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IFERROR(VLOOKUP(B223,input_588105!L:R,7,FALSE),VLOOKUP(tables_588105!C223,input_588105!A:H,8,FALSE))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input_588105!A$2</f>
        <v>588105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IFERROR(VLOOKUP(B224,input_588105!L:R,7,FALSE),VLOOKUP(tables_588105!C224,input_588105!A:H,8,FALSE))</f>
        <v>71282.880000000005</v>
      </c>
      <c r="P224" s="40">
        <f t="shared" ca="1" si="10"/>
        <v>4.606027397295983E-3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input_588105!A$2</f>
        <v>588105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IFERROR(VLOOKUP(B225,input_588105!L:R,7,FALSE),VLOOKUP(tables_588105!C225,input_588105!A:H,8,FALSE))</f>
        <v>7920.32</v>
      </c>
      <c r="P225" s="40">
        <f t="shared" ca="1" si="10"/>
        <v>5.1178082192177585E-4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input_588105!A$2</f>
        <v>588105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IFERROR(VLOOKUP(B226,input_588105!L:R,7,FALSE),VLOOKUP(tables_588105!C226,input_588105!A:H,8,FALSE))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input_588105!A$2</f>
        <v>588105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IFERROR(VLOOKUP(B227,input_588105!L:R,7,FALSE),VLOOKUP(tables_588105!C227,input_588105!A:H,8,FALSE))</f>
        <v>71282.880000000005</v>
      </c>
      <c r="P227" s="40">
        <f t="shared" ca="1" si="10"/>
        <v>4.606027397295983E-3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input_588105!A$2</f>
        <v>588105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IFERROR(VLOOKUP(B228,input_588105!L:R,7,FALSE),VLOOKUP(tables_588105!C228,input_588105!A:H,8,FALSE))</f>
        <v>7920.32</v>
      </c>
      <c r="P228" s="40">
        <f t="shared" ca="1" si="10"/>
        <v>5.1178082192177585E-4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input_588105!A$2</f>
        <v>588105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IFERROR(VLOOKUP(B229,input_588105!L:R,7,FALSE),VLOOKUP(tables_588105!C229,input_588105!A:H,8,FALSE))</f>
        <v>21992.21053</v>
      </c>
      <c r="P229" s="40">
        <f t="shared" ca="1" si="10"/>
        <v>1.4210526318280241E-3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input_588105!A$2</f>
        <v>588105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IFERROR(VLOOKUP(B230,input_588105!L:R,7,FALSE),VLOOKUP(tables_588105!C230,input_588105!A:H,8,FALSE))</f>
        <v>2443.5789500000001</v>
      </c>
      <c r="P230" s="40">
        <f t="shared" ca="1" si="10"/>
        <v>1.5789473701337197E-4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input_588105!A$2</f>
        <v>588105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IFERROR(VLOOKUP(B231,input_588105!L:R,7,FALSE),VLOOKUP(tables_588105!C231,input_588105!A:H,8,FALSE))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input_588105!A$2</f>
        <v>588105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IFERROR(VLOOKUP(B232,input_588105!L:R,7,FALSE),VLOOKUP(tables_588105!C232,input_588105!A:H,8,FALSE))</f>
        <v>71282.880000000005</v>
      </c>
      <c r="P232" s="40">
        <f t="shared" ca="1" si="10"/>
        <v>4.606027397295983E-3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input_588105!A$2</f>
        <v>588105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IFERROR(VLOOKUP(B233,input_588105!L:R,7,FALSE),VLOOKUP(tables_588105!C233,input_588105!A:H,8,FALSE))</f>
        <v>7920.32</v>
      </c>
      <c r="P233" s="40">
        <f t="shared" ca="1" si="10"/>
        <v>5.1178082192177585E-4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input_588105!A$2</f>
        <v>588105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IFERROR(VLOOKUP(B234,input_588105!L:R,7,FALSE),VLOOKUP(tables_588105!C234,input_588105!A:H,8,FALSE))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input_588105!A$2</f>
        <v>588105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IFERROR(VLOOKUP(B235,input_588105!L:R,7,FALSE),VLOOKUP(tables_588105!C235,input_588105!A:H,8,FALSE))</f>
        <v>71282.880000000005</v>
      </c>
      <c r="P235" s="40">
        <f t="shared" ca="1" si="10"/>
        <v>4.606027397295983E-3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input_588105!A$2</f>
        <v>588105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IFERROR(VLOOKUP(B236,input_588105!L:R,7,FALSE),VLOOKUP(tables_588105!C236,input_588105!A:H,8,FALSE))</f>
        <v>7920.32</v>
      </c>
      <c r="P236" s="40">
        <f t="shared" ca="1" si="10"/>
        <v>5.1178082192177585E-4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input_588105!A$2</f>
        <v>588105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IFERROR(VLOOKUP(B237,input_588105!L:R,7,FALSE),VLOOKUP(tables_588105!C237,input_588105!A:H,8,FALSE))</f>
        <v>5256</v>
      </c>
      <c r="P237" s="40">
        <f t="shared" ca="1" si="10"/>
        <v>3.3962264151206697E-4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input_588105!A$2</f>
        <v>588105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IFERROR(VLOOKUP(B238,input_588105!L:R,7,FALSE),VLOOKUP(tables_588105!C238,input_588105!A:H,8,FALSE))</f>
        <v>584</v>
      </c>
      <c r="P238" s="40">
        <f t="shared" ca="1" si="10"/>
        <v>3.7735849056896327E-5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input_588105!A$2</f>
        <v>588105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IFERROR(VLOOKUP(B239,input_588105!L:R,7,FALSE),VLOOKUP(tables_588105!C239,input_588105!A:H,8,FALSE))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input_588105!A$2</f>
        <v>588105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IFERROR(VLOOKUP(B240,input_588105!L:R,7,FALSE),VLOOKUP(tables_588105!C240,input_588105!A:H,8,FALSE))</f>
        <v>339368.49391000002</v>
      </c>
      <c r="P240" s="40">
        <f t="shared" ca="1" si="10"/>
        <v>2.1928695652147261E-2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input_588105!A$2</f>
        <v>588105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IFERROR(VLOOKUP(B241,input_588105!L:R,7,FALSE),VLOOKUP(tables_588105!C241,input_588105!A:H,8,FALSE))</f>
        <v>17728.015429999999</v>
      </c>
      <c r="P241" s="40">
        <f t="shared" ca="1" si="10"/>
        <v>1.1455166341520703E-3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input_588105!A$2</f>
        <v>588105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IFERROR(VLOOKUP(B242,input_588105!L:R,7,FALSE),VLOOKUP(tables_588105!C242,input_588105!A:H,8,FALSE))</f>
        <v>5256</v>
      </c>
      <c r="P242" s="40">
        <f t="shared" ca="1" si="10"/>
        <v>3.3962264151206697E-4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input_588105!A$2</f>
        <v>588105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IFERROR(VLOOKUP(B243,input_588105!L:R,7,FALSE),VLOOKUP(tables_588105!C243,input_588105!A:H,8,FALSE))</f>
        <v>584</v>
      </c>
      <c r="P243" s="40">
        <f t="shared" ca="1" si="10"/>
        <v>3.7735849056896327E-5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input_588105!A$2</f>
        <v>588105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IFERROR(VLOOKUP(B244,input_588105!L:R,7,FALSE),VLOOKUP(tables_588105!C244,input_588105!A:H,8,FALSE))</f>
        <v>5256</v>
      </c>
      <c r="P244" s="40">
        <f t="shared" ca="1" si="10"/>
        <v>3.3962264151206697E-4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input_588105!A$2</f>
        <v>588105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IFERROR(VLOOKUP(B245,input_588105!L:R,7,FALSE),VLOOKUP(tables_588105!C245,input_588105!A:H,8,FALSE))</f>
        <v>584</v>
      </c>
      <c r="P245" s="40">
        <f t="shared" ca="1" si="10"/>
        <v>3.7735849056896327E-5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input_588105!A$2</f>
        <v>588105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IFERROR(VLOOKUP(B246,input_588105!L:R,7,FALSE),VLOOKUP(tables_588105!C246,input_588105!A:H,8,FALSE))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input_588105!A$2</f>
        <v>588105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IFERROR(VLOOKUP(B247,input_588105!L:R,7,FALSE),VLOOKUP(tables_588105!C247,input_588105!A:H,8,FALSE))</f>
        <v>71282.880000000005</v>
      </c>
      <c r="P247" s="40">
        <f t="shared" ca="1" si="10"/>
        <v>4.606027397295983E-3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input_588105!A$2</f>
        <v>588105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IFERROR(VLOOKUP(B248,input_588105!L:R,7,FALSE),VLOOKUP(tables_588105!C248,input_588105!A:H,8,FALSE))</f>
        <v>7920.32</v>
      </c>
      <c r="P248" s="40">
        <f t="shared" ca="1" si="10"/>
        <v>5.1178082192177585E-4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input_588105!A$2</f>
        <v>588105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IFERROR(VLOOKUP(B249,input_588105!L:R,7,FALSE),VLOOKUP(tables_588105!C249,input_588105!A:H,8,FALSE))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input_588105!A$2</f>
        <v>588105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IFERROR(VLOOKUP(B250,input_588105!L:R,7,FALSE),VLOOKUP(tables_588105!C250,input_588105!A:H,8,FALSE))</f>
        <v>339368.49391000002</v>
      </c>
      <c r="P250" s="40">
        <f t="shared" ca="1" si="10"/>
        <v>2.1928695652147261E-2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input_588105!A$2</f>
        <v>588105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IFERROR(VLOOKUP(B251,input_588105!L:R,7,FALSE),VLOOKUP(tables_588105!C251,input_588105!A:H,8,FALSE))</f>
        <v>17728.015429999999</v>
      </c>
      <c r="P251" s="40">
        <f t="shared" ca="1" si="10"/>
        <v>1.1455166341520703E-3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input_588105!A$2</f>
        <v>588105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IFERROR(VLOOKUP(B252,input_588105!L:R,7,FALSE),VLOOKUP(tables_588105!C252,input_588105!A:H,8,FALSE))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input_588105!A$2</f>
        <v>588105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IFERROR(VLOOKUP(B253,input_588105!L:R,7,FALSE),VLOOKUP(tables_588105!C253,input_588105!A:H,8,FALSE))</f>
        <v>71282.880000000005</v>
      </c>
      <c r="P253" s="40">
        <f t="shared" ca="1" si="10"/>
        <v>4.606027397295983E-3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input_588105!A$2</f>
        <v>588105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IFERROR(VLOOKUP(B254,input_588105!L:R,7,FALSE),VLOOKUP(tables_588105!C254,input_588105!A:H,8,FALSE))</f>
        <v>7920.32</v>
      </c>
      <c r="P254" s="40">
        <f t="shared" ca="1" si="10"/>
        <v>5.1178082192177585E-4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input_588105!A$2</f>
        <v>588105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IFERROR(VLOOKUP(B255,input_588105!L:R,7,FALSE),VLOOKUP(tables_588105!C255,input_588105!A:H,8,FALSE))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input_588105!A$2</f>
        <v>588105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IFERROR(VLOOKUP(B256,input_588105!L:R,7,FALSE),VLOOKUP(tables_588105!C256,input_588105!A:H,8,FALSE))</f>
        <v>71282.880000000005</v>
      </c>
      <c r="P256" s="40">
        <f t="shared" ca="1" si="10"/>
        <v>4.606027397295983E-3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input_588105!A$2</f>
        <v>588105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IFERROR(VLOOKUP(B257,input_588105!L:R,7,FALSE),VLOOKUP(tables_588105!C257,input_588105!A:H,8,FALSE))</f>
        <v>7920.32</v>
      </c>
      <c r="P257" s="40">
        <f t="shared" ca="1" si="10"/>
        <v>5.1178082192177585E-4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input_588105!A$2</f>
        <v>588105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IFERROR(VLOOKUP(B258,input_588105!L:R,7,FALSE),VLOOKUP(tables_588105!C258,input_588105!A:H,8,FALSE))</f>
        <v>5256</v>
      </c>
      <c r="P258" s="40">
        <f t="shared" ref="P258:P305" ca="1" si="13">O258/SUM(O:O)</f>
        <v>3.3962264151206697E-4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input_588105!A$2</f>
        <v>588105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IFERROR(VLOOKUP(B259,input_588105!L:R,7,FALSE),VLOOKUP(tables_588105!C259,input_588105!A:H,8,FALSE))</f>
        <v>584</v>
      </c>
      <c r="P259" s="40">
        <f t="shared" ca="1" si="13"/>
        <v>3.7735849056896327E-5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input_588105!A$2</f>
        <v>588105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IFERROR(VLOOKUP(B260,input_588105!L:R,7,FALSE),VLOOKUP(tables_588105!C260,input_588105!A:H,8,FALSE))</f>
        <v>21992.21053</v>
      </c>
      <c r="P260" s="40">
        <f t="shared" ca="1" si="13"/>
        <v>1.4210526318280241E-3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input_588105!A$2</f>
        <v>588105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IFERROR(VLOOKUP(B261,input_588105!L:R,7,FALSE),VLOOKUP(tables_588105!C261,input_588105!A:H,8,FALSE))</f>
        <v>2443.5789500000001</v>
      </c>
      <c r="P261" s="40">
        <f t="shared" ca="1" si="13"/>
        <v>1.5789473701337197E-4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input_588105!A$2</f>
        <v>588105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IFERROR(VLOOKUP(B262,input_588105!L:R,7,FALSE),VLOOKUP(tables_588105!C262,input_588105!A:H,8,FALSE))</f>
        <v>73750.539999999994</v>
      </c>
      <c r="P262" s="40">
        <f t="shared" ca="1" si="13"/>
        <v>4.7654781597681415E-3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input_588105!A$2</f>
        <v>588105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IFERROR(VLOOKUP(B263,input_588105!L:R,7,FALSE),VLOOKUP(tables_588105!C263,input_588105!A:H,8,FALSE))</f>
        <v>4362.1279999999997</v>
      </c>
      <c r="P263" s="40">
        <f t="shared" ca="1" si="13"/>
        <v>2.8186404755969359E-4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input_588105!A$2</f>
        <v>588105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IFERROR(VLOOKUP(B264,input_588105!L:R,7,FALSE),VLOOKUP(tables_588105!C264,input_588105!A:H,8,FALSE))</f>
        <v>73750.539999999994</v>
      </c>
      <c r="P264" s="40">
        <f t="shared" ca="1" si="13"/>
        <v>4.7654781597681415E-3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input_588105!A$2</f>
        <v>588105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IFERROR(VLOOKUP(B265,input_588105!L:R,7,FALSE),VLOOKUP(tables_588105!C265,input_588105!A:H,8,FALSE))</f>
        <v>4362.1279999999997</v>
      </c>
      <c r="P265" s="40">
        <f t="shared" ca="1" si="13"/>
        <v>2.8186404755969359E-4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input_588105!A$2</f>
        <v>588105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IFERROR(VLOOKUP(B266,input_588105!L:R,7,FALSE),VLOOKUP(tables_588105!C266,input_588105!A:H,8,FALSE))</f>
        <v>5840</v>
      </c>
      <c r="P266" s="40">
        <f t="shared" ca="1" si="13"/>
        <v>3.7735849056896327E-4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input_588105!A$2</f>
        <v>588105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IFERROR(VLOOKUP(B267,input_588105!L:R,7,FALSE),VLOOKUP(tables_588105!C267,input_588105!A:H,8,FALSE))</f>
        <v>24435.78947</v>
      </c>
      <c r="P267" s="40">
        <f t="shared" ca="1" si="13"/>
        <v>1.5789473681952341E-3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input_588105!A$2</f>
        <v>588105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IFERROR(VLOOKUP(B268,input_588105!L:R,7,FALSE),VLOOKUP(tables_588105!C268,input_588105!A:H,8,FALSE))</f>
        <v>5840</v>
      </c>
      <c r="P268" s="40">
        <f t="shared" ca="1" si="13"/>
        <v>3.7735849056896327E-4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input_588105!A$2</f>
        <v>588105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IFERROR(VLOOKUP(B269,input_588105!L:R,7,FALSE),VLOOKUP(tables_588105!C269,input_588105!A:H,8,FALSE))</f>
        <v>5840</v>
      </c>
      <c r="P269" s="40">
        <f t="shared" ca="1" si="13"/>
        <v>3.7735849056896327E-4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input_588105!A$2</f>
        <v>588105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IFERROR(VLOOKUP(B270,input_588105!L:R,7,FALSE),VLOOKUP(tables_588105!C270,input_588105!A:H,8,FALSE))</f>
        <v>73750.539999999994</v>
      </c>
      <c r="P270" s="40">
        <f t="shared" ca="1" si="13"/>
        <v>4.7654781597681415E-3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input_588105!A$2</f>
        <v>588105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IFERROR(VLOOKUP(B271,input_588105!L:R,7,FALSE),VLOOKUP(tables_588105!C271,input_588105!A:H,8,FALSE))</f>
        <v>4362.1279999999997</v>
      </c>
      <c r="P271" s="40">
        <f t="shared" ca="1" si="13"/>
        <v>2.8186404755969359E-4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input_588105!A$2</f>
        <v>588105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IFERROR(VLOOKUP(B272,input_588105!L:R,7,FALSE),VLOOKUP(tables_588105!C272,input_588105!A:H,8,FALSE))</f>
        <v>351466.6887</v>
      </c>
      <c r="P272" s="40">
        <f t="shared" ca="1" si="13"/>
        <v>2.2710434783065701E-2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input_588105!A$2</f>
        <v>588105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IFERROR(VLOOKUP(B273,input_588105!L:R,7,FALSE),VLOOKUP(tables_588105!C273,input_588105!A:H,8,FALSE))</f>
        <v>17072.943770000002</v>
      </c>
      <c r="P273" s="40">
        <f t="shared" ca="1" si="13"/>
        <v>1.103188405927395E-3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input_588105!A$2</f>
        <v>588105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IFERROR(VLOOKUP(B274,input_588105!L:R,7,FALSE),VLOOKUP(tables_588105!C274,input_588105!A:H,8,FALSE))</f>
        <v>5256</v>
      </c>
      <c r="P274" s="40">
        <f t="shared" ca="1" si="13"/>
        <v>3.3962264151206697E-4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input_588105!A$2</f>
        <v>588105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IFERROR(VLOOKUP(B275,input_588105!L:R,7,FALSE),VLOOKUP(tables_588105!C275,input_588105!A:H,8,FALSE))</f>
        <v>584</v>
      </c>
      <c r="P275" s="40">
        <f t="shared" ca="1" si="13"/>
        <v>3.7735849056896327E-5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input_588105!A$2</f>
        <v>588105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IFERROR(VLOOKUP(B276,input_588105!L:R,7,FALSE),VLOOKUP(tables_588105!C276,input_588105!A:H,8,FALSE))</f>
        <v>5256</v>
      </c>
      <c r="P276" s="40">
        <f t="shared" ca="1" si="13"/>
        <v>3.3962264151206697E-4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input_588105!A$2</f>
        <v>588105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IFERROR(VLOOKUP(B277,input_588105!L:R,7,FALSE),VLOOKUP(tables_588105!C277,input_588105!A:H,8,FALSE))</f>
        <v>584</v>
      </c>
      <c r="P277" s="40">
        <f t="shared" ca="1" si="13"/>
        <v>3.7735849056896327E-5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input_588105!A$2</f>
        <v>588105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IFERROR(VLOOKUP(B278,input_588105!L:R,7,FALSE),VLOOKUP(tables_588105!C278,input_588105!A:H,8,FALSE))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input_588105!A$2</f>
        <v>588105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IFERROR(VLOOKUP(B279,input_588105!L:R,7,FALSE),VLOOKUP(tables_588105!C279,input_588105!A:H,8,FALSE))</f>
        <v>71282.880000000005</v>
      </c>
      <c r="P279" s="40">
        <f t="shared" ca="1" si="13"/>
        <v>4.606027397295983E-3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input_588105!A$2</f>
        <v>588105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IFERROR(VLOOKUP(B280,input_588105!L:R,7,FALSE),VLOOKUP(tables_588105!C280,input_588105!A:H,8,FALSE))</f>
        <v>7920.32</v>
      </c>
      <c r="P280" s="40">
        <f t="shared" ca="1" si="13"/>
        <v>5.1178082192177585E-4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input_588105!A$2</f>
        <v>588105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IFERROR(VLOOKUP(B281,input_588105!L:R,7,FALSE),VLOOKUP(tables_588105!C281,input_588105!A:H,8,FALSE))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input_588105!A$2</f>
        <v>588105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IFERROR(VLOOKUP(B282,input_588105!L:R,7,FALSE),VLOOKUP(tables_588105!C282,input_588105!A:H,8,FALSE))</f>
        <v>339368.49391000002</v>
      </c>
      <c r="P282" s="40">
        <f t="shared" ca="1" si="13"/>
        <v>2.1928695652147261E-2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input_588105!A$2</f>
        <v>588105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IFERROR(VLOOKUP(B283,input_588105!L:R,7,FALSE),VLOOKUP(tables_588105!C283,input_588105!A:H,8,FALSE))</f>
        <v>17728.015429999999</v>
      </c>
      <c r="P283" s="40">
        <f t="shared" ca="1" si="13"/>
        <v>1.1455166341520703E-3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input_588105!A$2</f>
        <v>588105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IFERROR(VLOOKUP(B284,input_588105!L:R,7,FALSE),VLOOKUP(tables_588105!C284,input_588105!A:H,8,FALSE))</f>
        <v>5840</v>
      </c>
      <c r="P284" s="40">
        <f t="shared" ca="1" si="13"/>
        <v>3.7735849056896327E-4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input_588105!A$2</f>
        <v>588105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IFERROR(VLOOKUP(B285,input_588105!L:R,7,FALSE),VLOOKUP(tables_588105!C285,input_588105!A:H,8,FALSE))</f>
        <v>5840</v>
      </c>
      <c r="P285" s="40">
        <f t="shared" ca="1" si="13"/>
        <v>3.7735849056896327E-4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input_588105!A$2</f>
        <v>588105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IFERROR(VLOOKUP(B286,input_588105!L:R,7,FALSE),VLOOKUP(tables_588105!C286,input_588105!A:H,8,FALSE))</f>
        <v>73750.539999999994</v>
      </c>
      <c r="P286" s="40">
        <f t="shared" ca="1" si="13"/>
        <v>4.7654781597681415E-3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input_588105!A$2</f>
        <v>588105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IFERROR(VLOOKUP(B287,input_588105!L:R,7,FALSE),VLOOKUP(tables_588105!C287,input_588105!A:H,8,FALSE))</f>
        <v>4362.1279999999997</v>
      </c>
      <c r="P287" s="40">
        <f t="shared" ca="1" si="13"/>
        <v>2.8186404755969359E-4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input_588105!A$2</f>
        <v>588105</v>
      </c>
      <c r="B288" s="5">
        <v>854</v>
      </c>
      <c r="C288" s="7" t="str">
        <f t="shared" si="12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IFERROR(VLOOKUP(B288,input_588105!L:R,7,FALSE),VLOOKUP(tables_588105!C288,input_588105!A:H,8,FALSE))</f>
        <v>351466.6887</v>
      </c>
      <c r="P288" s="40">
        <f t="shared" ca="1" si="13"/>
        <v>2.2710434783065701E-2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input_588105!A$2</f>
        <v>588105</v>
      </c>
      <c r="B289" s="5">
        <v>855</v>
      </c>
      <c r="C289" s="7" t="str">
        <f t="shared" si="12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IFERROR(VLOOKUP(B289,input_588105!L:R,7,FALSE),VLOOKUP(tables_588105!C289,input_588105!A:H,8,FALSE))</f>
        <v>17072.943770000002</v>
      </c>
      <c r="P289" s="40">
        <f t="shared" ca="1" si="13"/>
        <v>1.103188405927395E-3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input_588105!A$2</f>
        <v>588105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IFERROR(VLOOKUP(B290,input_588105!L:R,7,FALSE),VLOOKUP(tables_588105!C290,input_588105!A:H,8,FALSE))</f>
        <v>73750.539999999994</v>
      </c>
      <c r="P290" s="40">
        <f t="shared" ca="1" si="13"/>
        <v>4.7654781597681415E-3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input_588105!A$2</f>
        <v>588105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IFERROR(VLOOKUP(B291,input_588105!L:R,7,FALSE),VLOOKUP(tables_588105!C291,input_588105!A:H,8,FALSE))</f>
        <v>4362.1279999999997</v>
      </c>
      <c r="P291" s="40">
        <f t="shared" ca="1" si="13"/>
        <v>2.8186404755969359E-4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input_588105!A$2</f>
        <v>588105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IFERROR(VLOOKUP(B292,input_588105!L:R,7,FALSE),VLOOKUP(tables_588105!C292,input_588105!A:H,8,FALSE))</f>
        <v>73750.539999999994</v>
      </c>
      <c r="P292" s="40">
        <f t="shared" ca="1" si="13"/>
        <v>4.7654781597681415E-3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input_588105!A$2</f>
        <v>588105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IFERROR(VLOOKUP(B293,input_588105!L:R,7,FALSE),VLOOKUP(tables_588105!C293,input_588105!A:H,8,FALSE))</f>
        <v>4362.1279999999997</v>
      </c>
      <c r="P293" s="40">
        <f t="shared" ca="1" si="13"/>
        <v>2.8186404755969359E-4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input_588105!A$2</f>
        <v>588105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IFERROR(VLOOKUP(B294,input_588105!L:R,7,FALSE),VLOOKUP(tables_588105!C294,input_588105!A:H,8,FALSE))</f>
        <v>5840</v>
      </c>
      <c r="P294" s="40">
        <f t="shared" ca="1" si="13"/>
        <v>3.7735849056896327E-4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input_588105!A$2</f>
        <v>588105</v>
      </c>
      <c r="B295" s="5">
        <v>868</v>
      </c>
      <c r="C295" s="7" t="str">
        <f t="shared" si="12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IFERROR(VLOOKUP(B295,input_588105!L:R,7,FALSE),VLOOKUP(tables_588105!C295,input_588105!A:H,8,FALSE))</f>
        <v>24435.78947</v>
      </c>
      <c r="P295" s="40">
        <f t="shared" ca="1" si="13"/>
        <v>1.5789473681952341E-3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input_588105!A$2</f>
        <v>588105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IFERROR(VLOOKUP(B296,input_588105!L:R,7,FALSE),VLOOKUP(tables_588105!C296,input_588105!A:H,8,FALSE))</f>
        <v>5840</v>
      </c>
      <c r="P296" s="40">
        <f t="shared" ca="1" si="13"/>
        <v>3.7735849056896327E-4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input_588105!A$2</f>
        <v>588105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IFERROR(VLOOKUP(B297,input_588105!L:R,7,FALSE),VLOOKUP(tables_588105!C297,input_588105!A:H,8,FALSE))</f>
        <v>73750.539999999994</v>
      </c>
      <c r="P297" s="40">
        <f t="shared" ca="1" si="13"/>
        <v>4.7654781597681415E-3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input_588105!A$2</f>
        <v>588105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IFERROR(VLOOKUP(B298,input_588105!L:R,7,FALSE),VLOOKUP(tables_588105!C298,input_588105!A:H,8,FALSE))</f>
        <v>4362.1279999999997</v>
      </c>
      <c r="P298" s="40">
        <f t="shared" ca="1" si="13"/>
        <v>2.8186404755969359E-4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input_588105!A$2</f>
        <v>588105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IFERROR(VLOOKUP(B299,input_588105!L:R,7,FALSE),VLOOKUP(tables_588105!C299,input_588105!A:H,8,FALSE))</f>
        <v>5840</v>
      </c>
      <c r="P299" s="40">
        <f t="shared" ca="1" si="13"/>
        <v>3.7735849056896327E-4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input_588105!A$2</f>
        <v>588105</v>
      </c>
      <c r="B300" s="5">
        <v>943</v>
      </c>
      <c r="C300" s="7" t="str">
        <f t="shared" si="12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IFERROR(VLOOKUP(B300,input_588105!L:R,7,FALSE),VLOOKUP(tables_588105!C300,input_588105!A:H,8,FALSE))</f>
        <v>24435.78947</v>
      </c>
      <c r="P300" s="40">
        <f t="shared" ca="1" si="13"/>
        <v>1.5789473681952341E-3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input_588105!A$2</f>
        <v>588105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IFERROR(VLOOKUP(B301,input_588105!L:R,7,FALSE),VLOOKUP(tables_588105!C301,input_588105!A:H,8,FALSE))</f>
        <v>5840</v>
      </c>
      <c r="P301" s="40">
        <f t="shared" ca="1" si="13"/>
        <v>3.7735849056896327E-4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input_588105!A$2</f>
        <v>588105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IFERROR(VLOOKUP(B302,input_588105!L:R,7,FALSE),VLOOKUP(tables_588105!C302,input_588105!A:H,8,FALSE))</f>
        <v>5840</v>
      </c>
      <c r="P302" s="40">
        <f t="shared" ca="1" si="13"/>
        <v>3.7735849056896327E-4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input_588105!A$2</f>
        <v>588105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IFERROR(VLOOKUP(B303,input_588105!L:R,7,FALSE),VLOOKUP(tables_588105!C303,input_588105!A:H,8,FALSE))</f>
        <v>73750.539999999994</v>
      </c>
      <c r="P303" s="40">
        <f t="shared" ca="1" si="13"/>
        <v>4.7654781597681415E-3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input_588105!A$2</f>
        <v>588105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IFERROR(VLOOKUP(B304,input_588105!L:R,7,FALSE),VLOOKUP(tables_588105!C304,input_588105!A:H,8,FALSE))</f>
        <v>4362.1279999999997</v>
      </c>
      <c r="P304" s="40">
        <f t="shared" ca="1" si="13"/>
        <v>2.8186404755969359E-4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input_588105!A$2</f>
        <v>588105</v>
      </c>
      <c r="B305" s="5">
        <v>1018</v>
      </c>
      <c r="C305" s="7" t="str">
        <f t="shared" si="12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IFERROR(VLOOKUP(B305,input_588105!L:R,7,FALSE),VLOOKUP(tables_588105!C305,input_588105!A:H,8,FALSE))</f>
        <v>24435.78947</v>
      </c>
      <c r="P305" s="40">
        <f t="shared" ca="1" si="13"/>
        <v>1.5789473681952341E-3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input_588105!A$2</f>
        <v>588105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IFERROR(VLOOKUP(B306,input_588105!L:R,7,FALSE),VLOOKUP(tables_588105!C306,input_588105!A:H,8,FALSE))</f>
        <v>73750.539999999994</v>
      </c>
      <c r="P306" s="40">
        <f t="shared" ref="P306:P310" ca="1" si="15">O306/SUM(O:O)</f>
        <v>4.7654781597681415E-3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input_588105!A$2</f>
        <v>588105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IFERROR(VLOOKUP(B307,input_588105!L:R,7,FALSE),VLOOKUP(tables_588105!C307,input_588105!A:H,8,FALSE))</f>
        <v>4362.1279999999997</v>
      </c>
      <c r="P307" s="40">
        <f t="shared" ca="1" si="15"/>
        <v>2.8186404755969359E-4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input_588105!A$2</f>
        <v>588105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IFERROR(VLOOKUP(B308,input_588105!L:R,7,FALSE),VLOOKUP(tables_588105!C308,input_588105!A:H,8,FALSE))</f>
        <v>5840</v>
      </c>
      <c r="P308" s="40">
        <f t="shared" ca="1" si="15"/>
        <v>3.7735849056896327E-4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input_588105!A$2</f>
        <v>588105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IFERROR(VLOOKUP(B309,input_588105!L:R,7,FALSE),VLOOKUP(tables_588105!C309,input_588105!A:H,8,FALSE))</f>
        <v>5840</v>
      </c>
      <c r="P309" s="40">
        <f t="shared" ca="1" si="15"/>
        <v>3.7735849056896327E-4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input_588105!A$2</f>
        <v>588105</v>
      </c>
      <c r="B310" s="5">
        <v>1033</v>
      </c>
      <c r="C310" s="7" t="str">
        <f t="shared" si="12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IFERROR(VLOOKUP(B310,input_588105!L:R,7,FALSE),VLOOKUP(tables_588105!C310,input_588105!A:H,8,FALSE))</f>
        <v>24435.78947</v>
      </c>
      <c r="P310" s="40">
        <f t="shared" ca="1" si="15"/>
        <v>1.5789473681952341E-3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input_588105!A$2</f>
        <v>588105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IFERROR(VLOOKUP(B311,input_588105!L:R,7,FALSE),VLOOKUP(tables_588105!C311,input_588105!A:H,8,FALSE))</f>
        <v>73750.539999999994</v>
      </c>
      <c r="P311" s="40">
        <f t="shared" ref="P311:P319" ca="1" si="16">O311/SUM(O:O)</f>
        <v>4.7654781597681415E-3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input_588105!A$2</f>
        <v>588105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IFERROR(VLOOKUP(B312,input_588105!L:R,7,FALSE),VLOOKUP(tables_588105!C312,input_588105!A:H,8,FALSE))</f>
        <v>4362.1279999999997</v>
      </c>
      <c r="P312" s="40">
        <f t="shared" ca="1" si="16"/>
        <v>2.8186404755969359E-4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input_588105!A$2</f>
        <v>588105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IFERROR(VLOOKUP(B313,input_588105!L:R,7,FALSE),VLOOKUP(tables_588105!C313,input_588105!A:H,8,FALSE))</f>
        <v>5840</v>
      </c>
      <c r="P313" s="40">
        <f t="shared" ca="1" si="16"/>
        <v>3.7735849056896327E-4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input_588105!A$2</f>
        <v>588105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IFERROR(VLOOKUP(B314,input_588105!L:R,7,FALSE),VLOOKUP(tables_588105!C314,input_588105!A:H,8,FALSE))</f>
        <v>5840</v>
      </c>
      <c r="P314" s="40">
        <f t="shared" ca="1" si="16"/>
        <v>3.7735849056896327E-4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input_588105!A$2</f>
        <v>588105</v>
      </c>
      <c r="B315" s="5">
        <v>1074</v>
      </c>
      <c r="C315" s="7" t="str">
        <f t="shared" si="12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IFERROR(VLOOKUP(B315,input_588105!L:R,7,FALSE),VLOOKUP(tables_588105!C315,input_588105!A:H,8,FALSE))</f>
        <v>24435.78947</v>
      </c>
      <c r="P315" s="40">
        <f t="shared" ca="1" si="16"/>
        <v>1.5789473681952341E-3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input_588105!A$2</f>
        <v>588105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IFERROR(VLOOKUP(B316,input_588105!L:R,7,FALSE),VLOOKUP(tables_588105!C316,input_588105!A:H,8,FALSE))</f>
        <v>5840</v>
      </c>
      <c r="P316" s="40">
        <f t="shared" ca="1" si="16"/>
        <v>3.7735849056896327E-4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input_588105!A$2</f>
        <v>588105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IFERROR(VLOOKUP(B317,input_588105!L:R,7,FALSE),VLOOKUP(tables_588105!C317,input_588105!A:H,8,FALSE))</f>
        <v>5840</v>
      </c>
      <c r="P317" s="40">
        <f t="shared" ca="1" si="16"/>
        <v>3.7735849056896327E-4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input_588105!A$2</f>
        <v>588105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IFERROR(VLOOKUP(B318,input_588105!L:R,7,FALSE),VLOOKUP(tables_588105!C318,input_588105!A:H,8,FALSE))</f>
        <v>73750.539999999994</v>
      </c>
      <c r="P318" s="40">
        <f t="shared" ca="1" si="16"/>
        <v>4.7654781597681415E-3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input_588105!A$2</f>
        <v>588105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IFERROR(VLOOKUP(B319,input_588105!L:R,7,FALSE),VLOOKUP(tables_588105!C319,input_588105!A:H,8,FALSE))</f>
        <v>4362.1279999999997</v>
      </c>
      <c r="P319" s="40">
        <f t="shared" ca="1" si="16"/>
        <v>2.8186404755969359E-4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input_588105!A$2</f>
        <v>588105</v>
      </c>
      <c r="B320" s="5">
        <v>1106</v>
      </c>
      <c r="C320" s="7" t="str">
        <f t="shared" si="12"/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IFERROR(VLOOKUP(B320,input_588105!L:R,7,FALSE),VLOOKUP(tables_588105!C320,input_588105!A:H,8,FALSE))</f>
        <v>24435.78947</v>
      </c>
      <c r="P320" s="40">
        <f t="shared" ref="P320:P324" ca="1" si="17">O320/SUM(O:O)</f>
        <v>1.5789473681952341E-3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input_588105!A$2</f>
        <v>588105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IFERROR(VLOOKUP(B321,input_588105!L:R,7,FALSE),VLOOKUP(tables_588105!C321,input_588105!A:H,8,FALSE))</f>
        <v>5840</v>
      </c>
      <c r="P321" s="40">
        <f t="shared" ca="1" si="17"/>
        <v>3.7735849056896327E-4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input_588105!A$2</f>
        <v>588105</v>
      </c>
      <c r="B322" s="5">
        <v>1139</v>
      </c>
      <c r="C322" s="7" t="str">
        <f t="shared" ref="C322:C324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IFERROR(VLOOKUP(B322,input_588105!L:R,7,FALSE),VLOOKUP(tables_588105!C322,input_588105!A:H,8,FALSE))</f>
        <v>5840</v>
      </c>
      <c r="P322" s="40">
        <f t="shared" ca="1" si="17"/>
        <v>3.7735849056896327E-4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input_588105!A$2</f>
        <v>588105</v>
      </c>
      <c r="B323" s="5">
        <v>1141</v>
      </c>
      <c r="C323" s="7" t="str">
        <f t="shared" si="18"/>
        <v>PremiumSS5R5only</v>
      </c>
      <c r="D323" s="7" t="str">
        <f t="shared" ref="D323:D324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IFERROR(VLOOKUP(B323,input_588105!L:R,7,FALSE),VLOOKUP(tables_588105!C323,input_588105!A:H,8,FALSE))</f>
        <v>5840</v>
      </c>
      <c r="P323" s="40">
        <f t="shared" ca="1" si="17"/>
        <v>3.7735849056896327E-4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input_588105!A$2</f>
        <v>588105</v>
      </c>
      <c r="B324" s="2">
        <v>1143</v>
      </c>
      <c r="C324" s="7" t="str">
        <f t="shared" si="18"/>
        <v>Premium4R3lesscolor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IFERROR(VLOOKUP(B324,input_588105!L:R,7,FALSE),VLOOKUP(tables_588105!C324,input_588105!A:H,8,FALSE))</f>
        <v>351466.6887</v>
      </c>
      <c r="P324" s="40">
        <f t="shared" ca="1" si="17"/>
        <v>2.2710434783065701E-2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input_588105!A$2</f>
        <v>588105</v>
      </c>
      <c r="B325" s="2">
        <v>1144</v>
      </c>
      <c r="C325" s="7" t="str">
        <f t="shared" ref="C325:C330" si="20">D325&amp;J325&amp;E325&amp;F325&amp;G325</f>
        <v>Premium5R3lesscolor</v>
      </c>
      <c r="D325" s="7" t="str">
        <f t="shared" ref="D325:D330" si="2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IFERROR(VLOOKUP(B325,input_588105!L:R,7,FALSE),VLOOKUP(tables_588105!C325,input_588105!A:H,8,FALSE))</f>
        <v>17072.943770000002</v>
      </c>
      <c r="P325" s="40">
        <f t="shared" ref="P325:P330" ca="1" si="22">O325/SUM(O:O)</f>
        <v>1.103188405927395E-3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input_588105!A$2</f>
        <v>588105</v>
      </c>
      <c r="B326" s="2">
        <v>1151</v>
      </c>
      <c r="C326" s="7" t="str">
        <f t="shared" si="20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IFERROR(VLOOKUP(B326,input_588105!L:R,7,FALSE),VLOOKUP(tables_588105!C326,input_588105!A:H,8,FALSE))</f>
        <v>73750.539999999994</v>
      </c>
      <c r="P326" s="40">
        <f t="shared" ca="1" si="22"/>
        <v>4.7654781597681415E-3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input_588105!A$2</f>
        <v>588105</v>
      </c>
      <c r="B327" s="2">
        <v>1152</v>
      </c>
      <c r="C327" s="7" t="str">
        <f t="shared" si="20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IFERROR(VLOOKUP(B327,input_588105!L:R,7,FALSE),VLOOKUP(tables_588105!C327,input_588105!A:H,8,FALSE))</f>
        <v>4362.1279999999997</v>
      </c>
      <c r="P327" s="40">
        <f t="shared" ca="1" si="22"/>
        <v>2.8186404755969359E-4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input_588105!A$2</f>
        <v>588105</v>
      </c>
      <c r="B328" s="2">
        <v>1153</v>
      </c>
      <c r="C328" s="7" t="str">
        <f t="shared" si="20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IFERROR(VLOOKUP(B328,input_588105!L:R,7,FALSE),VLOOKUP(tables_588105!C328,input_588105!A:H,8,FALSE))</f>
        <v>5840</v>
      </c>
      <c r="P328" s="40">
        <f t="shared" ca="1" si="22"/>
        <v>3.7735849056896327E-4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input_588105!A$2</f>
        <v>588105</v>
      </c>
      <c r="B329" s="2">
        <v>1155</v>
      </c>
      <c r="C329" s="7" t="str">
        <f t="shared" si="20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IFERROR(VLOOKUP(B329,input_588105!L:R,7,FALSE),VLOOKUP(tables_588105!C329,input_588105!A:H,8,FALSE))</f>
        <v>5840</v>
      </c>
      <c r="P329" s="40">
        <f t="shared" ca="1" si="22"/>
        <v>3.7735849056896327E-4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input_588105!A$2</f>
        <v>588105</v>
      </c>
      <c r="B330" s="2">
        <v>1157</v>
      </c>
      <c r="C330" s="7" t="str">
        <f t="shared" si="20"/>
        <v>PremiumSS5R5onlycolor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IFERROR(VLOOKUP(B330,input_588105!L:R,7,FALSE),VLOOKUP(tables_588105!C330,input_588105!A:H,8,FALSE))</f>
        <v>24435.78947</v>
      </c>
      <c r="P330" s="40">
        <f t="shared" ca="1" si="22"/>
        <v>1.5789473681952341E-3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input_588105!A$2</f>
        <v>588105</v>
      </c>
      <c r="B331" s="52">
        <v>1214</v>
      </c>
      <c r="C331" s="7" t="str">
        <f t="shared" ref="C331:C340" si="23">D331&amp;J331&amp;E331&amp;F331&amp;G331</f>
        <v>PremiumSS5R5onlycolor</v>
      </c>
      <c r="D331" s="7" t="str">
        <f t="shared" ref="D331:D340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IFERROR(VLOOKUP(B331,input_588105!L:R,7,FALSE),VLOOKUP(tables_588105!C331,input_588105!A:H,8,FALSE))</f>
        <v>24435.78947</v>
      </c>
      <c r="P331" s="40">
        <f t="shared" ref="P331:P340" ca="1" si="25">O331/SUM(O:O)</f>
        <v>1.5789473681952341E-3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input_588105!A$2</f>
        <v>588105</v>
      </c>
      <c r="B332" s="52">
        <v>1212</v>
      </c>
      <c r="C332" s="7" t="str">
        <f t="shared" si="23"/>
        <v>PremiumSS5R5only</v>
      </c>
      <c r="D332" s="7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IFERROR(VLOOKUP(B332,input_588105!L:R,7,FALSE),VLOOKUP(tables_588105!C332,input_588105!A:H,8,FALSE))</f>
        <v>5840</v>
      </c>
      <c r="P332" s="40">
        <f t="shared" ca="1" si="25"/>
        <v>3.7735849056896327E-4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input_588105!A$2</f>
        <v>588105</v>
      </c>
      <c r="B333" s="52">
        <v>1208</v>
      </c>
      <c r="C333" s="7" t="str">
        <f t="shared" si="23"/>
        <v>PremiumSS5R5only</v>
      </c>
      <c r="D333" s="7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IFERROR(VLOOKUP(B333,input_588105!L:R,7,FALSE),VLOOKUP(tables_588105!C333,input_588105!A:H,8,FALSE))</f>
        <v>5840</v>
      </c>
      <c r="P333" s="40">
        <f t="shared" ca="1" si="25"/>
        <v>3.7735849056896327E-4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input_588105!A$2</f>
        <v>588105</v>
      </c>
      <c r="B334" s="96">
        <v>1210</v>
      </c>
      <c r="C334" s="7" t="str">
        <f t="shared" si="23"/>
        <v>Premium4R3less</v>
      </c>
      <c r="D334" s="7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IFERROR(VLOOKUP(B334,input_588105!L:R,7,FALSE),VLOOKUP(tables_588105!C334,input_588105!A:H,8,FALSE))</f>
        <v>73750.539999999994</v>
      </c>
      <c r="P334" s="40">
        <f t="shared" ca="1" si="25"/>
        <v>4.7654781597681415E-3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input_588105!A$2</f>
        <v>588105</v>
      </c>
      <c r="B335" s="52">
        <v>1211</v>
      </c>
      <c r="C335" s="7" t="str">
        <f t="shared" si="23"/>
        <v>Premium5R3less</v>
      </c>
      <c r="D335" s="7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IFERROR(VLOOKUP(B335,input_588105!L:R,7,FALSE),VLOOKUP(tables_588105!C335,input_588105!A:H,8,FALSE))</f>
        <v>4362.1279999999997</v>
      </c>
      <c r="P335" s="40">
        <f t="shared" ca="1" si="25"/>
        <v>2.8186404755969359E-4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input_588105!A$2</f>
        <v>588105</v>
      </c>
      <c r="B336" s="2">
        <v>1224</v>
      </c>
      <c r="C336" s="7" t="str">
        <f t="shared" si="23"/>
        <v>Premium4R3less</v>
      </c>
      <c r="D336" s="7" t="str">
        <f t="shared" si="2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IFERROR(VLOOKUP(B336,input_588105!L:R,7,FALSE),VLOOKUP(tables_588105!C336,input_588105!A:H,8,FALSE))</f>
        <v>73750.539999999994</v>
      </c>
      <c r="P336" s="40">
        <f t="shared" ca="1" si="25"/>
        <v>4.7654781597681415E-3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input_588105!A$2</f>
        <v>588105</v>
      </c>
      <c r="B337" s="2">
        <v>1225</v>
      </c>
      <c r="C337" s="7" t="str">
        <f t="shared" si="23"/>
        <v>Premium5R3less</v>
      </c>
      <c r="D337" s="7" t="str">
        <f t="shared" si="2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IFERROR(VLOOKUP(B337,input_588105!L:R,7,FALSE),VLOOKUP(tables_588105!C337,input_588105!A:H,8,FALSE))</f>
        <v>4362.1279999999997</v>
      </c>
      <c r="P337" s="40">
        <f t="shared" ca="1" si="25"/>
        <v>2.8186404755969359E-4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input_588105!A$2</f>
        <v>588105</v>
      </c>
      <c r="B338" s="2">
        <v>1226</v>
      </c>
      <c r="C338" s="7" t="str">
        <f t="shared" si="23"/>
        <v>PremiumSS5R5only</v>
      </c>
      <c r="D338" s="7" t="str">
        <f t="shared" si="2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IFERROR(VLOOKUP(B338,input_588105!L:R,7,FALSE),VLOOKUP(tables_588105!C338,input_588105!A:H,8,FALSE))</f>
        <v>5840</v>
      </c>
      <c r="P338" s="40">
        <f t="shared" ca="1" si="25"/>
        <v>3.7735849056896327E-4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input_588105!A$2</f>
        <v>588105</v>
      </c>
      <c r="B339" s="2">
        <v>1228</v>
      </c>
      <c r="C339" s="7" t="str">
        <f t="shared" si="23"/>
        <v>PremiumSS5R5only</v>
      </c>
      <c r="D339" s="7" t="str">
        <f t="shared" si="2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IFERROR(VLOOKUP(B339,input_588105!L:R,7,FALSE),VLOOKUP(tables_588105!C339,input_588105!A:H,8,FALSE))</f>
        <v>5840</v>
      </c>
      <c r="P339" s="40">
        <f t="shared" ca="1" si="25"/>
        <v>3.7735849056896327E-4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input_588105!A$2</f>
        <v>588105</v>
      </c>
      <c r="B340" s="2">
        <v>1230</v>
      </c>
      <c r="C340" s="7" t="str">
        <f t="shared" si="23"/>
        <v>PremiumSS5R5onlycolor</v>
      </c>
      <c r="D340" s="7" t="str">
        <f t="shared" si="2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IFERROR(VLOOKUP(B340,input_588105!L:R,7,FALSE),VLOOKUP(tables_588105!C340,input_588105!A:H,8,FALSE))</f>
        <v>24435.78947</v>
      </c>
      <c r="P340" s="40">
        <f t="shared" ca="1" si="25"/>
        <v>1.5789473681952341E-3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input_588105!A$2</f>
        <v>588105</v>
      </c>
      <c r="B341" s="2">
        <v>1244</v>
      </c>
      <c r="C341" s="7" t="str">
        <f t="shared" ref="C341" si="26">D341&amp;J341&amp;E341&amp;F341&amp;G341</f>
        <v>PremiumSS5R5only</v>
      </c>
      <c r="D341" s="7" t="str">
        <f t="shared" ref="D341" si="2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IFERROR(VLOOKUP(B341,input_588105!L:R,7,FALSE),VLOOKUP(tables_588105!C341,input_588105!A:H,8,FALSE))</f>
        <v>5840</v>
      </c>
      <c r="P341" s="40">
        <f t="shared" ref="P341" ca="1" si="28">O341/SUM(O:O)</f>
        <v>3.7735849056896327E-4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input_588105!A$2</f>
        <v>588105</v>
      </c>
      <c r="B342" s="2">
        <v>1246</v>
      </c>
      <c r="C342" s="7" t="str">
        <f t="shared" ref="C342:C346" si="29">D342&amp;J342&amp;E342&amp;F342&amp;G342</f>
        <v>PremiumSS5R5only</v>
      </c>
      <c r="D342" s="7" t="str">
        <f t="shared" ref="D342:D346" si="3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IFERROR(VLOOKUP(B342,input_588105!L:R,7,FALSE),VLOOKUP(tables_588105!C342,input_588105!A:H,8,FALSE))</f>
        <v>5840</v>
      </c>
      <c r="P342" s="40">
        <f t="shared" ref="P342:P346" ca="1" si="31">O342/SUM(O:O)</f>
        <v>3.7735849056896327E-4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input_588105!A$2</f>
        <v>588105</v>
      </c>
      <c r="B343" s="2">
        <v>1248</v>
      </c>
      <c r="C343" s="7" t="str">
        <f t="shared" si="29"/>
        <v>Premium4R3less</v>
      </c>
      <c r="D343" s="7" t="str">
        <f t="shared" si="3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IFERROR(VLOOKUP(B343,input_588105!L:R,7,FALSE),VLOOKUP(tables_588105!C343,input_588105!A:H,8,FALSE))</f>
        <v>73750.539999999994</v>
      </c>
      <c r="P343" s="40">
        <f t="shared" ca="1" si="31"/>
        <v>4.7654781597681415E-3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input_588105!A$2</f>
        <v>588105</v>
      </c>
      <c r="B344" s="2">
        <v>1249</v>
      </c>
      <c r="C344" s="7" t="str">
        <f t="shared" si="29"/>
        <v>Premium5R3less</v>
      </c>
      <c r="D344" s="7" t="str">
        <f t="shared" si="3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IFERROR(VLOOKUP(B344,input_588105!L:R,7,FALSE),VLOOKUP(tables_588105!C344,input_588105!A:H,8,FALSE))</f>
        <v>4362.1279999999997</v>
      </c>
      <c r="P344" s="40">
        <f t="shared" ca="1" si="31"/>
        <v>2.8186404755969359E-4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input_588105!A$2</f>
        <v>588105</v>
      </c>
      <c r="B345" s="2">
        <v>1250</v>
      </c>
      <c r="C345" s="7" t="str">
        <f t="shared" si="29"/>
        <v>PremiumSS5R5onlycolor</v>
      </c>
      <c r="D345" s="7" t="str">
        <f t="shared" si="3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IFERROR(VLOOKUP(B345,input_588105!L:R,7,FALSE),VLOOKUP(tables_588105!C345,input_588105!A:H,8,FALSE))</f>
        <v>24435.78947</v>
      </c>
      <c r="P345" s="40">
        <f t="shared" ca="1" si="31"/>
        <v>1.5789473681952341E-3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input_588105!A$2</f>
        <v>588105</v>
      </c>
      <c r="B346" s="1">
        <v>1260</v>
      </c>
      <c r="C346" s="7" t="str">
        <f t="shared" si="29"/>
        <v>PremiumSS5R5only</v>
      </c>
      <c r="D346" s="7" t="str">
        <f t="shared" si="3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IFERROR(VLOOKUP(B346,input_588105!L:R,7,FALSE),VLOOKUP(tables_588105!C346,input_588105!A:H,8,FALSE))</f>
        <v>5840</v>
      </c>
      <c r="P346" s="40">
        <f t="shared" ca="1" si="31"/>
        <v>3.7735849056896327E-4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input_588105!A$2</f>
        <v>588105</v>
      </c>
      <c r="B347" s="1">
        <v>1262</v>
      </c>
      <c r="C347" s="7" t="str">
        <f t="shared" ref="C347:C356" si="32">D347&amp;J347&amp;E347&amp;F347&amp;G347</f>
        <v>PremiumSS5R5only</v>
      </c>
      <c r="D347" s="7" t="str">
        <f t="shared" ref="D347:D356" si="3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IFERROR(VLOOKUP(B347,input_588105!L:R,7,FALSE),VLOOKUP(tables_588105!C347,input_588105!A:H,8,FALSE))</f>
        <v>5840</v>
      </c>
      <c r="P347" s="40">
        <f t="shared" ref="P347:P350" ca="1" si="34">O347/SUM(O:O)</f>
        <v>3.7735849056896327E-4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input_588105!A$2</f>
        <v>588105</v>
      </c>
      <c r="B348" s="1">
        <v>1264</v>
      </c>
      <c r="C348" s="7" t="str">
        <f t="shared" si="32"/>
        <v>PremiumSS5R5only</v>
      </c>
      <c r="D348" s="7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IFERROR(VLOOKUP(B348,input_588105!L:R,7,FALSE),VLOOKUP(tables_588105!C348,input_588105!A:H,8,FALSE))</f>
        <v>5840</v>
      </c>
      <c r="P348" s="40">
        <f t="shared" ca="1" si="34"/>
        <v>3.7735849056896327E-4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input_588105!A$2</f>
        <v>588105</v>
      </c>
      <c r="B349" s="1">
        <v>1266</v>
      </c>
      <c r="C349" s="7" t="str">
        <f t="shared" si="32"/>
        <v>Premium4R3lesscolor</v>
      </c>
      <c r="D349" s="7" t="str">
        <f t="shared" si="3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IFERROR(VLOOKUP(B349,input_588105!L:R,7,FALSE),VLOOKUP(tables_588105!C349,input_588105!A:H,8,FALSE))</f>
        <v>351466.6887</v>
      </c>
      <c r="P349" s="40">
        <f t="shared" ca="1" si="34"/>
        <v>2.2710434783065701E-2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input_588105!A$2</f>
        <v>588105</v>
      </c>
      <c r="B350" s="1">
        <v>1267</v>
      </c>
      <c r="C350" s="7" t="str">
        <f t="shared" si="32"/>
        <v>Premium5R3lesscolor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IFERROR(VLOOKUP(B350,input_588105!L:R,7,FALSE),VLOOKUP(tables_588105!C350,input_588105!A:H,8,FALSE))</f>
        <v>17072.943770000002</v>
      </c>
      <c r="P350" s="40">
        <f t="shared" ca="1" si="34"/>
        <v>1.103188405927395E-3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input_588105!A$2</f>
        <v>588105</v>
      </c>
      <c r="B351" s="102">
        <v>1332</v>
      </c>
      <c r="C351" s="86" t="str">
        <f t="shared" si="32"/>
        <v>PremiumSS5R5only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IFERROR(VLOOKUP(B351,input_588105!L:R,7,FALSE),VLOOKUP(tables_588105!C351,input_588105!A:H,8,FALSE))</f>
        <v>5840</v>
      </c>
      <c r="P351" s="40">
        <f t="shared" ref="P351:P356" ca="1" si="35">O351/SUM(O:O)</f>
        <v>3.7735849056896327E-4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input_588105!A$2</f>
        <v>588105</v>
      </c>
      <c r="B352" s="102">
        <v>1336</v>
      </c>
      <c r="C352" s="86" t="str">
        <f t="shared" si="32"/>
        <v>PremiumSS5R5only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IFERROR(VLOOKUP(B352,input_588105!L:R,7,FALSE),VLOOKUP(tables_588105!C352,input_588105!A:H,8,FALSE))</f>
        <v>5840</v>
      </c>
      <c r="P352" s="40">
        <f t="shared" ca="1" si="35"/>
        <v>3.7735849056896327E-4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input_588105!A$2</f>
        <v>588105</v>
      </c>
      <c r="B353" s="102">
        <v>1338</v>
      </c>
      <c r="C353" s="86" t="str">
        <f t="shared" si="32"/>
        <v>PremiumSS5R5onlycolor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IFERROR(VLOOKUP(B353,input_588105!L:R,7,FALSE),VLOOKUP(tables_588105!C353,input_588105!A:H,8,FALSE))</f>
        <v>24435.78947</v>
      </c>
      <c r="P353" s="40">
        <f t="shared" ca="1" si="35"/>
        <v>1.5789473681952341E-3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input_588105!A$2</f>
        <v>588105</v>
      </c>
      <c r="B354" s="102">
        <v>1334</v>
      </c>
      <c r="C354" s="86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IFERROR(VLOOKUP(B354,input_588105!L:R,7,FALSE),VLOOKUP(tables_588105!C354,input_588105!A:H,8,FALSE))</f>
        <v>73750.539999999994</v>
      </c>
      <c r="P354" s="40">
        <f t="shared" ca="1" si="35"/>
        <v>4.7654781597681415E-3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input_588105!A$2</f>
        <v>588105</v>
      </c>
      <c r="B355" s="102">
        <v>1335</v>
      </c>
      <c r="C355" s="86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IFERROR(VLOOKUP(B355,input_588105!L:R,7,FALSE),VLOOKUP(tables_588105!C355,input_588105!A:H,8,FALSE))</f>
        <v>4362.1279999999997</v>
      </c>
      <c r="P355" s="40">
        <f t="shared" ca="1" si="35"/>
        <v>2.8186404755969359E-4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input_588105!A$2</f>
        <v>588105</v>
      </c>
      <c r="B356" s="1">
        <v>1161</v>
      </c>
      <c r="C356" s="86" t="str">
        <f t="shared" si="32"/>
        <v>PremiumSSS5R3lesscolor</v>
      </c>
      <c r="D356" s="7" t="str">
        <f t="shared" si="33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IFERROR(VLOOKUP(B356,input_588105!L:R,7,FALSE),VLOOKUP(tables_588105!C356,input_588105!A:H,8,FALSE))</f>
        <v>247616</v>
      </c>
      <c r="P356" s="40">
        <f t="shared" ca="1" si="35"/>
        <v>1.6000000000124043E-2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VLOOKUP(L3,tables_588106!B:C,2,FALSE)</f>
        <v>PremiumSSS5R3lesscolor</v>
      </c>
      <c r="R3" s="53">
        <f t="shared" ref="R3:R20" si="1">N3*A$51</f>
        <v>309520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3.7735849056603783E-4</v>
      </c>
      <c r="F5">
        <f>(COUNTIF(tables_588106!C:C,input_588106!A28)+COUNTIF(tables_588106!C:C,input_588106!A29))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1.5789473684210526E-3</v>
      </c>
      <c r="F6">
        <f>(COUNTIF(tables_588106!C:C,input_588106!A43)+COUNTIF(tables_588106!C:C,input_588106!A44))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5.0958904109589037E-3</v>
      </c>
      <c r="F7">
        <f>(COUNTIF(tables_588106!C:C,input_588106!A25)+COUNTIF(tables_588106!C:C,input_588106!A18)+COUNTIF(tables_588106!C:C,input_588106!A20)+COUNTIF(tables_588106!C:C,input_588106!A22))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2.4260869565217388E-2</v>
      </c>
      <c r="F8">
        <f>(COUNTIF(tables_588106!C:C,input_588106!A40)+COUNTIF(tables_588106!C:C,input_588106!A33)+COUNTIF(tables_588106!C:C,input_588106!A35)+COUNTIF(tables_588106!C:C,input_588106!A37))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COUNTIF(tables_588106!C:C,input_588106!A17)-COUNTIF(Q:Q,A17)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8.443835616438361E-2</v>
      </c>
      <c r="C18" s="75">
        <f t="shared" si="2"/>
        <v>0</v>
      </c>
      <c r="D18" s="66">
        <f t="shared" si="3"/>
        <v>8.443835616438361E-2</v>
      </c>
      <c r="E18">
        <f>COUNTIF(tables_588106!C:C,input_588106!A18)-COUNTIF(Q:Q,A18)</f>
        <v>15</v>
      </c>
      <c r="F18" s="37">
        <f>IFERROR(B18/E18,0)</f>
        <v>5.6292237442922407E-3</v>
      </c>
      <c r="G18">
        <f t="shared" si="4"/>
        <v>1306768.0000000007</v>
      </c>
      <c r="H18">
        <f t="shared" si="5"/>
        <v>87117.866670000003</v>
      </c>
      <c r="I18">
        <f t="shared" si="6"/>
        <v>0.86667000000306871</v>
      </c>
      <c r="J18">
        <f t="shared" si="7"/>
        <v>1.1538417159893144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COUNTIF(tables_588106!C:C,input_588106!A19)-COUNTIF(Q:Q,A19)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0.17886575342465755</v>
      </c>
      <c r="C20" s="75">
        <f t="shared" si="2"/>
        <v>0</v>
      </c>
      <c r="D20" s="66">
        <f t="shared" si="3"/>
        <v>0.17886575342465755</v>
      </c>
      <c r="E20">
        <f>COUNTIF(tables_588106!C:C,input_588106!A20)-COUNTIF(Q:Q,A20)</f>
        <v>39</v>
      </c>
      <c r="F20" s="37">
        <f t="shared" si="8"/>
        <v>4.5863013698630144E-3</v>
      </c>
      <c r="G20">
        <f t="shared" si="4"/>
        <v>2768126.4000000004</v>
      </c>
      <c r="H20">
        <f t="shared" si="5"/>
        <v>70977.600000000006</v>
      </c>
      <c r="I20">
        <f t="shared" si="6"/>
        <v>0.60000000000582077</v>
      </c>
      <c r="J20">
        <f t="shared" si="7"/>
        <v>1.6666666666504979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1.9873972602739726E-2</v>
      </c>
      <c r="C21" s="75">
        <f t="shared" si="2"/>
        <v>0</v>
      </c>
      <c r="D21" s="66">
        <f t="shared" si="3"/>
        <v>1.9873972602739726E-2</v>
      </c>
      <c r="E21">
        <f>COUNTIF(tables_588106!C:C,input_588106!A21)-COUNTIF(Q:Q,A21)</f>
        <v>39</v>
      </c>
      <c r="F21" s="37">
        <f t="shared" si="8"/>
        <v>5.0958904109589043E-4</v>
      </c>
      <c r="G21">
        <f t="shared" si="4"/>
        <v>307569.59999999998</v>
      </c>
      <c r="H21">
        <f t="shared" si="5"/>
        <v>7886.4</v>
      </c>
      <c r="I21">
        <f t="shared" si="6"/>
        <v>0.3999999999996362</v>
      </c>
      <c r="J21">
        <f t="shared" si="7"/>
        <v>2.5000000000022737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7.5804910829671737E-2</v>
      </c>
      <c r="C22" s="75">
        <f t="shared" si="2"/>
        <v>0</v>
      </c>
      <c r="D22" s="66">
        <f t="shared" si="3"/>
        <v>7.5804910829671737E-2</v>
      </c>
      <c r="E22">
        <f>COUNTIF(tables_588106!C:C,input_588106!A22)-COUNTIF(Q:Q,A22)</f>
        <v>16</v>
      </c>
      <c r="F22" s="37">
        <f t="shared" si="8"/>
        <v>4.7378069268544836E-3</v>
      </c>
      <c r="G22">
        <f t="shared" si="4"/>
        <v>1173156.7999999998</v>
      </c>
      <c r="H22">
        <f t="shared" si="5"/>
        <v>73322.3</v>
      </c>
      <c r="I22">
        <f t="shared" si="6"/>
        <v>0.30000000000291038</v>
      </c>
      <c r="J22">
        <f t="shared" si="7"/>
        <v>3.3333333333009958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5.7293357456707217E-3</v>
      </c>
      <c r="C23" s="75">
        <f t="shared" si="2"/>
        <v>0</v>
      </c>
      <c r="D23" s="66">
        <f t="shared" si="3"/>
        <v>5.7293357456707217E-3</v>
      </c>
      <c r="E23">
        <f>COUNTIF(tables_588106!C:C,input_588106!A23)-COUNTIF(Q:Q,A23)</f>
        <v>20</v>
      </c>
      <c r="F23" s="37">
        <f t="shared" si="8"/>
        <v>2.8646678728353608E-4</v>
      </c>
      <c r="G23">
        <f t="shared" si="4"/>
        <v>88667.200000000084</v>
      </c>
      <c r="H23">
        <f t="shared" si="5"/>
        <v>4433.3599999999997</v>
      </c>
      <c r="I23">
        <f t="shared" si="6"/>
        <v>0.35999999999967258</v>
      </c>
      <c r="J23">
        <f t="shared" si="7"/>
        <v>2.7777777777803041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COUNTIF(tables_588106!C:C,input_588106!A24)-COUNTIF(Q:Q,A24)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1.3758904109589042E-2</v>
      </c>
      <c r="C25" s="75">
        <f t="shared" si="2"/>
        <v>0</v>
      </c>
      <c r="D25" s="66">
        <f t="shared" si="3"/>
        <v>1.3758904109589042E-2</v>
      </c>
      <c r="E25">
        <f>COUNTIF(tables_588106!C:C,input_588106!A25)-COUNTIF(Q:Q,A25)</f>
        <v>3</v>
      </c>
      <c r="F25" s="37">
        <f t="shared" si="8"/>
        <v>4.5863013698630136E-3</v>
      </c>
      <c r="G25">
        <f t="shared" si="4"/>
        <v>212932.80000000002</v>
      </c>
      <c r="H25">
        <f t="shared" si="5"/>
        <v>70977.600000000006</v>
      </c>
      <c r="I25">
        <f t="shared" si="6"/>
        <v>0.60000000000582077</v>
      </c>
      <c r="J25">
        <f t="shared" si="7"/>
        <v>1.6666666666504979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1.5287671232876712E-3</v>
      </c>
      <c r="C26" s="75">
        <f t="shared" si="2"/>
        <v>0</v>
      </c>
      <c r="D26" s="66">
        <f t="shared" si="3"/>
        <v>1.5287671232876712E-3</v>
      </c>
      <c r="E26">
        <f>COUNTIF(tables_588106!C:C,input_588106!A26)-COUNTIF(Q:Q,A26)</f>
        <v>3</v>
      </c>
      <c r="F26" s="37">
        <f t="shared" si="8"/>
        <v>5.0958904109589043E-4</v>
      </c>
      <c r="G26">
        <f t="shared" si="4"/>
        <v>23659.200000000001</v>
      </c>
      <c r="H26">
        <f t="shared" si="5"/>
        <v>7886.4</v>
      </c>
      <c r="I26">
        <f t="shared" si="6"/>
        <v>0.3999999999996362</v>
      </c>
      <c r="J26">
        <f t="shared" si="7"/>
        <v>2.5000000000022737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7.1320754716981145E-3</v>
      </c>
      <c r="C27" s="75">
        <f t="shared" si="2"/>
        <v>0</v>
      </c>
      <c r="D27" s="66">
        <f t="shared" si="3"/>
        <v>7.1320754716981145E-3</v>
      </c>
      <c r="E27">
        <f>COUNTIF(tables_588106!C:C,input_588106!A27)-COUNTIF(Q:Q,A27)</f>
        <v>21</v>
      </c>
      <c r="F27" s="37">
        <f>IFERROR(B27/E27,0)</f>
        <v>3.3962264150943404E-4</v>
      </c>
      <c r="G27">
        <f t="shared" si="4"/>
        <v>110376.00000000001</v>
      </c>
      <c r="H27">
        <f t="shared" si="5"/>
        <v>5256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7.9245283018867943E-4</v>
      </c>
      <c r="C28" s="75">
        <f t="shared" si="2"/>
        <v>0</v>
      </c>
      <c r="D28" s="66">
        <f t="shared" si="3"/>
        <v>7.9245283018867943E-4</v>
      </c>
      <c r="E28">
        <f>COUNTIF(tables_588106!C:C,input_588106!A28)-COUNTIF(Q:Q,A28)</f>
        <v>21</v>
      </c>
      <c r="F28" s="37">
        <f t="shared" si="8"/>
        <v>3.7735849056603783E-5</v>
      </c>
      <c r="G28">
        <f t="shared" si="4"/>
        <v>12264.000000000004</v>
      </c>
      <c r="H28">
        <f t="shared" si="5"/>
        <v>584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1.207547169811321E-2</v>
      </c>
      <c r="C29" s="75">
        <f t="shared" si="2"/>
        <v>0</v>
      </c>
      <c r="D29" s="66">
        <f t="shared" si="3"/>
        <v>1.207547169811321E-2</v>
      </c>
      <c r="E29">
        <f>COUNTIF(tables_588106!C:C,input_588106!A29)-COUNTIF(Q:Q,A29)</f>
        <v>32</v>
      </c>
      <c r="F29" s="37">
        <f t="shared" si="8"/>
        <v>3.7735849056603783E-4</v>
      </c>
      <c r="G29">
        <f t="shared" si="4"/>
        <v>186880.00000000006</v>
      </c>
      <c r="H29">
        <f t="shared" si="5"/>
        <v>5840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COUNTIF(tables_588106!C:C,input_588106!A30)-COUNTIF(Q:Q,A30)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COUNTIF(tables_588106!C:C,input_588106!A31)-COUNTIF(Q:Q,A31)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COUNTIF(tables_588106!C:C,input_588106!A32)-COUNTIF(Q:Q,A32)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0.13187871853546917</v>
      </c>
      <c r="C33" s="75">
        <f t="shared" si="2"/>
        <v>0</v>
      </c>
      <c r="D33" s="66">
        <f t="shared" si="3"/>
        <v>0.13187871853546917</v>
      </c>
      <c r="E33">
        <f>COUNTIF(tables_588106!C:C,input_588106!A33)-COUNTIF(Q:Q,A33)</f>
        <v>5</v>
      </c>
      <c r="F33" s="37">
        <f>IFERROR(B33/E33,0)</f>
        <v>2.6375743707093835E-2</v>
      </c>
      <c r="G33">
        <f t="shared" si="4"/>
        <v>2040955.048054921</v>
      </c>
      <c r="H33">
        <f t="shared" si="5"/>
        <v>408191.00961000001</v>
      </c>
      <c r="I33">
        <f t="shared" si="6"/>
        <v>9.610000008251518E-3</v>
      </c>
      <c r="J33">
        <f t="shared" si="7"/>
        <v>104.05827254332584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COUNTIF(tables_588106!C:C,input_588106!A34)-COUNTIF(Q:Q,A34)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0.28385217391304346</v>
      </c>
      <c r="C35" s="75">
        <f t="shared" si="2"/>
        <v>0</v>
      </c>
      <c r="D35" s="66">
        <f t="shared" si="3"/>
        <v>0.28385217391304346</v>
      </c>
      <c r="E35">
        <f>COUNTIF(tables_588106!C:C,input_588106!A35)-COUNTIF(Q:Q,A35)</f>
        <v>13</v>
      </c>
      <c r="F35" s="37">
        <f t="shared" si="9"/>
        <v>2.183478260869565E-2</v>
      </c>
      <c r="G35">
        <f t="shared" si="4"/>
        <v>4392896.2434782609</v>
      </c>
      <c r="H35">
        <f t="shared" si="5"/>
        <v>337915.09564999997</v>
      </c>
      <c r="I35">
        <f t="shared" si="6"/>
        <v>9.5649999973829836E-2</v>
      </c>
      <c r="J35">
        <f t="shared" si="7"/>
        <v>10.454783066111901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1.2964759725400454E-2</v>
      </c>
      <c r="C36" s="75">
        <f t="shared" si="2"/>
        <v>0</v>
      </c>
      <c r="D36" s="66">
        <f t="shared" si="3"/>
        <v>1.2964759725400454E-2</v>
      </c>
      <c r="E36">
        <f>COUNTIF(tables_588106!C:C,input_588106!A36)-COUNTIF(Q:Q,A36)</f>
        <v>13</v>
      </c>
      <c r="F36" s="37">
        <f t="shared" si="9"/>
        <v>9.9728920964618881E-4</v>
      </c>
      <c r="G36">
        <f t="shared" si="4"/>
        <v>200642.62151029744</v>
      </c>
      <c r="H36">
        <f t="shared" si="5"/>
        <v>15434.04781</v>
      </c>
      <c r="I36">
        <f t="shared" si="6"/>
        <v>4.7810000000026776E-2</v>
      </c>
      <c r="J36">
        <f t="shared" si="7"/>
        <v>20.91612633339134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9.2486956521739119E-2</v>
      </c>
      <c r="C37" s="75">
        <f t="shared" si="2"/>
        <v>0</v>
      </c>
      <c r="D37" s="66">
        <f t="shared" si="3"/>
        <v>9.2486956521739119E-2</v>
      </c>
      <c r="E37">
        <f>COUNTIF(tables_588106!C:C,input_588106!A37)-COUNTIF(Q:Q,A37)</f>
        <v>4</v>
      </c>
      <c r="F37" s="37">
        <f t="shared" si="9"/>
        <v>2.312173913043478E-2</v>
      </c>
      <c r="G37">
        <f t="shared" si="4"/>
        <v>1431328.1391304347</v>
      </c>
      <c r="H37">
        <f t="shared" si="5"/>
        <v>357832.03477999999</v>
      </c>
      <c r="I37">
        <f t="shared" si="6"/>
        <v>3.4779999987222254E-2</v>
      </c>
      <c r="J37">
        <f t="shared" si="7"/>
        <v>28.752156422294071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4.5565217391304331E-3</v>
      </c>
      <c r="C38" s="75">
        <f t="shared" si="2"/>
        <v>0</v>
      </c>
      <c r="D38" s="66">
        <f t="shared" si="3"/>
        <v>4.5565217391304331E-3</v>
      </c>
      <c r="E38">
        <f>COUNTIF(tables_588106!C:C,input_588106!A38)-COUNTIF(Q:Q,A38)</f>
        <v>6</v>
      </c>
      <c r="F38" s="37">
        <f t="shared" si="9"/>
        <v>7.5942028985507214E-4</v>
      </c>
      <c r="G38">
        <f t="shared" si="4"/>
        <v>70516.730434782585</v>
      </c>
      <c r="H38">
        <f t="shared" si="5"/>
        <v>11752.788409999999</v>
      </c>
      <c r="I38">
        <f t="shared" si="6"/>
        <v>0.78840999999920314</v>
      </c>
      <c r="J38">
        <f t="shared" si="7"/>
        <v>1.2683755913814014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COUNTIF(tables_588106!C:C,input_588106!A39)-COUNTIF(Q:Q,A39)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2.183478260869565E-2</v>
      </c>
      <c r="C40" s="75">
        <f t="shared" si="2"/>
        <v>0</v>
      </c>
      <c r="D40" s="66">
        <f t="shared" si="3"/>
        <v>2.183478260869565E-2</v>
      </c>
      <c r="E40">
        <f>COUNTIF(tables_588106!C:C,input_588106!A40)-COUNTIF(Q:Q,A40)</f>
        <v>1</v>
      </c>
      <c r="F40" s="37">
        <f t="shared" si="9"/>
        <v>2.183478260869565E-2</v>
      </c>
      <c r="G40">
        <f t="shared" si="4"/>
        <v>337915.09565217386</v>
      </c>
      <c r="H40">
        <f t="shared" si="5"/>
        <v>337915.09564999997</v>
      </c>
      <c r="I40">
        <f t="shared" si="6"/>
        <v>9.5649999973829836E-2</v>
      </c>
      <c r="J40">
        <f t="shared" si="7"/>
        <v>10.454783066111901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2.426086956521739E-3</v>
      </c>
      <c r="C41" s="75">
        <f t="shared" si="2"/>
        <v>0</v>
      </c>
      <c r="D41" s="66">
        <f t="shared" si="3"/>
        <v>2.426086956521739E-3</v>
      </c>
      <c r="E41">
        <f>COUNTIF(tables_588106!C:C,input_588106!A41)-COUNTIF(Q:Q,A41)</f>
        <v>1</v>
      </c>
      <c r="F41" s="37">
        <f t="shared" si="9"/>
        <v>2.426086956521739E-3</v>
      </c>
      <c r="G41">
        <f t="shared" si="4"/>
        <v>37546.121739130431</v>
      </c>
      <c r="H41">
        <f t="shared" si="5"/>
        <v>37546.121740000002</v>
      </c>
      <c r="I41">
        <f t="shared" si="6"/>
        <v>0.12174000000231899</v>
      </c>
      <c r="J41">
        <f t="shared" si="7"/>
        <v>8.2142270410789493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9.9473684210526318E-3</v>
      </c>
      <c r="C42" s="75">
        <f t="shared" si="2"/>
        <v>0</v>
      </c>
      <c r="D42" s="66">
        <f t="shared" si="3"/>
        <v>9.9473684210526318E-3</v>
      </c>
      <c r="E42">
        <f>COUNTIF(tables_588106!C:C,input_588106!A42)-COUNTIF(Q:Q,A42)</f>
        <v>7</v>
      </c>
      <c r="F42" s="37">
        <f>IFERROR(B42/E42,0)</f>
        <v>1.4210526315789475E-3</v>
      </c>
      <c r="G42">
        <f t="shared" si="4"/>
        <v>153945.47368421053</v>
      </c>
      <c r="H42">
        <f t="shared" si="5"/>
        <v>21992.21053</v>
      </c>
      <c r="I42">
        <f t="shared" si="6"/>
        <v>0.21053000000028987</v>
      </c>
      <c r="J42">
        <f t="shared" si="7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1.1052631578947368E-3</v>
      </c>
      <c r="C43" s="75">
        <f t="shared" si="2"/>
        <v>0</v>
      </c>
      <c r="D43" s="66">
        <f t="shared" si="3"/>
        <v>1.1052631578947368E-3</v>
      </c>
      <c r="E43">
        <f>COUNTIF(tables_588106!C:C,input_588106!A43)-COUNTIF(Q:Q,A43)</f>
        <v>7</v>
      </c>
      <c r="F43" s="37">
        <f t="shared" ref="F43:F46" si="10">IFERROR(B43/E43,0)</f>
        <v>1.5789473684210527E-4</v>
      </c>
      <c r="G43">
        <f t="shared" si="4"/>
        <v>17105.052631578947</v>
      </c>
      <c r="H43">
        <f t="shared" si="5"/>
        <v>2443.5789500000001</v>
      </c>
      <c r="I43">
        <f t="shared" si="6"/>
        <v>0.57895000000007713</v>
      </c>
      <c r="J43">
        <f t="shared" si="7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1.8947368421052629E-2</v>
      </c>
      <c r="C44" s="75">
        <f t="shared" si="2"/>
        <v>0</v>
      </c>
      <c r="D44" s="66">
        <f t="shared" si="3"/>
        <v>1.8947368421052629E-2</v>
      </c>
      <c r="E44">
        <f>COUNTIF(tables_588106!C:C,input_588106!A44)-COUNTIF(Q:Q,A44)</f>
        <v>12</v>
      </c>
      <c r="F44" s="37">
        <f t="shared" si="10"/>
        <v>1.5789473684210524E-3</v>
      </c>
      <c r="G44">
        <f t="shared" si="4"/>
        <v>293229.4736842105</v>
      </c>
      <c r="H44">
        <f t="shared" si="5"/>
        <v>24435.78947</v>
      </c>
      <c r="I44">
        <f t="shared" si="6"/>
        <v>0.78946999999971013</v>
      </c>
      <c r="J44">
        <f t="shared" si="7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COUNTIF(tables_588106!C:C,input_588106!A45)-COUNTIF(Q:Q,A45)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0.02</v>
      </c>
      <c r="C46" s="75">
        <f t="shared" si="2"/>
        <v>0.02</v>
      </c>
      <c r="D46" s="66">
        <f t="shared" si="3"/>
        <v>0</v>
      </c>
      <c r="E46">
        <f>COUNTIF(tables_588106!C:C,input_588106!A46)-COUNTIF(Q:Q,A46)</f>
        <v>0</v>
      </c>
      <c r="F46" s="37">
        <f t="shared" si="10"/>
        <v>0</v>
      </c>
      <c r="G46">
        <f t="shared" si="4"/>
        <v>309520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0.02</v>
      </c>
      <c r="D47" s="36">
        <f t="shared" si="3"/>
        <v>0.98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15476000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SUMIF(tables_588106!C:C,input_588106!A55,tables_588106!O:O)</f>
        <v>0</v>
      </c>
      <c r="C55" s="46">
        <f t="shared" ref="C55:C61" ca="1" si="11">B55/B$62</f>
        <v>0</v>
      </c>
      <c r="E55">
        <v>3</v>
      </c>
      <c r="F55">
        <f ca="1">SUMIF(tables_588106!J:J,input_588106!E55,tables_588106!O:O)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SUMIF(tables_588106!C:C,input_588106!A56,tables_588106!O:O)</f>
        <v>2768126.4000000018</v>
      </c>
      <c r="C56" s="46">
        <f t="shared" ca="1" si="11"/>
        <v>0.86548955456837562</v>
      </c>
      <c r="E56">
        <v>4</v>
      </c>
      <c r="F56">
        <f ca="1">SUMIF(tables_588106!J:J,input_588106!E56,tables_588106!O:O)</f>
        <v>13928400.000029994</v>
      </c>
      <c r="G56">
        <f ca="1">F56/A51</f>
        <v>0.90000000000193814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SUMIF(tables_588106!C:C,input_588106!A57,tables_588106!O:O)</f>
        <v>110376</v>
      </c>
      <c r="C57" s="46">
        <f t="shared" ca="1" si="11"/>
        <v>3.4510445431624424E-2</v>
      </c>
      <c r="E57">
        <v>5</v>
      </c>
      <c r="F57">
        <f ca="1">SUMIF(tables_588106!J:J,input_588106!E57,tables_588106!O:O)</f>
        <v>1547600.0000200004</v>
      </c>
      <c r="G57">
        <f ca="1">F57/A51</f>
        <v>0.10000000000129235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SUMIF(tables_588106!C:C,input_588106!A58,tables_588106!O:O)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SUMIF(tables_588106!C:C,input_588106!A59,tables_588106!O:O)</f>
        <v>307569.59999999998</v>
      </c>
      <c r="C59" s="46">
        <f t="shared" ca="1" si="11"/>
        <v>9.6165506063152772E-2</v>
      </c>
      <c r="E59" t="s">
        <v>37</v>
      </c>
      <c r="F59" s="47"/>
    </row>
    <row r="60" spans="1:8" x14ac:dyDescent="0.15">
      <c r="A60" s="27" t="s">
        <v>91</v>
      </c>
      <c r="B60">
        <f ca="1">SUMIF(tables_588106!C:C,input_588106!A60,tables_588106!O:O)</f>
        <v>12264</v>
      </c>
      <c r="C60" s="46">
        <f t="shared" ca="1" si="11"/>
        <v>3.8344939368471585E-3</v>
      </c>
      <c r="E60" t="s">
        <v>190</v>
      </c>
      <c r="F60" s="47">
        <f ca="1">SUMIF(tables_588106!I:I,input_588106!E60,tables_588106!P:P)</f>
        <v>0.21898178243144539</v>
      </c>
    </row>
    <row r="61" spans="1:8" x14ac:dyDescent="0.15">
      <c r="A61" s="27" t="s">
        <v>92</v>
      </c>
      <c r="B61">
        <f>SUMIF(tables_588106!C:C,input_588106!A61,tables_588106!O:O)</f>
        <v>0</v>
      </c>
      <c r="C61" s="46">
        <f t="shared" ca="1" si="11"/>
        <v>0</v>
      </c>
      <c r="E61" t="s">
        <v>191</v>
      </c>
      <c r="F61" s="47">
        <f ca="1">SUMIF(tables_588106!I:I,input_588106!E61,tables_588106!P:P)</f>
        <v>0.19059871525526423</v>
      </c>
    </row>
    <row r="62" spans="1:8" x14ac:dyDescent="0.15">
      <c r="A62" s="33" t="s">
        <v>42</v>
      </c>
      <c r="B62">
        <f ca="1">SUM(B55:B61)</f>
        <v>3198336.0000000019</v>
      </c>
      <c r="C62" s="47">
        <f ca="1">SUM(C55:C61)</f>
        <v>1</v>
      </c>
      <c r="E62" t="s">
        <v>192</v>
      </c>
      <c r="F62" s="47">
        <f ca="1">SUMIF(tables_588106!I:I,input_588106!E62,tables_588106!P:P)</f>
        <v>0.52041950231351664</v>
      </c>
    </row>
    <row r="63" spans="1:8" x14ac:dyDescent="0.15">
      <c r="E63" t="s">
        <v>193</v>
      </c>
      <c r="F63" s="103">
        <f ca="1">SUMIF(tables_588106!I:I,input_588106!E63,tables_588106!P:P)</f>
        <v>4.4200595829528948E-2</v>
      </c>
      <c r="G63" s="84"/>
    </row>
    <row r="64" spans="1:8" x14ac:dyDescent="0.15">
      <c r="E64" t="s">
        <v>253</v>
      </c>
      <c r="F64" s="103">
        <f ca="1">SUMIF(tables_588106!I:I,input_588106!E64,tables_588106!P:P)</f>
        <v>5.7994041703095106E-3</v>
      </c>
    </row>
    <row r="65" spans="5:6" x14ac:dyDescent="0.15">
      <c r="E65" t="s">
        <v>255</v>
      </c>
      <c r="F65" s="103">
        <f ca="1">SUMIF(tables_588106!I:I,input_588106!E65,tables_588106!P:P)</f>
        <v>1.9999999999935378E-2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24" activePane="bottomLeft" state="frozen"/>
      <selection activeCell="B13" sqref="B13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input_588106!A$2</f>
        <v>588106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IFERROR(VLOOKUP(B2,input_588106!L:R,7,FALSE),VLOOKUP(tables_588106!C2,input_588106!A:H,8,FALSE))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input_588106!A$2</f>
        <v>588106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IFERROR(VLOOKUP(B3,input_588106!L:R,7,FALSE),VLOOKUP(tables_588106!C3,input_588106!A:H,8,FALSE))</f>
        <v>87117.866670000003</v>
      </c>
      <c r="P3" s="40">
        <f t="shared" ca="1" si="1"/>
        <v>5.6292237444894363E-3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input_588106!A$2</f>
        <v>588106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IFERROR(VLOOKUP(B4,input_588106!L:R,7,FALSE),VLOOKUP(tables_588106!C4,input_588106!A:H,8,FALSE))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input_588106!A$2</f>
        <v>588106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IFERROR(VLOOKUP(B5,input_588106!L:R,7,FALSE),VLOOKUP(tables_588106!C5,input_588106!A:H,8,FALSE))</f>
        <v>87117.866670000003</v>
      </c>
      <c r="P5" s="40">
        <f t="shared" ca="1" si="1"/>
        <v>5.6292237444894363E-3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input_588106!A$2</f>
        <v>588106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IFERROR(VLOOKUP(B6,input_588106!L:R,7,FALSE),VLOOKUP(tables_588106!C6,input_588106!A:H,8,FALSE))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input_588106!A$2</f>
        <v>588106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IFERROR(VLOOKUP(B7,input_588106!L:R,7,FALSE),VLOOKUP(tables_588106!C7,input_588106!A:H,8,FALSE))</f>
        <v>87117.866670000003</v>
      </c>
      <c r="P7" s="40">
        <f t="shared" ca="1" si="1"/>
        <v>5.6292237444894363E-3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input_588106!A$2</f>
        <v>588106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IFERROR(VLOOKUP(B8,input_588106!L:R,7,FALSE),VLOOKUP(tables_588106!C8,input_588106!A:H,8,FALSE))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input_588106!A$2</f>
        <v>588106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IFERROR(VLOOKUP(B9,input_588106!L:R,7,FALSE),VLOOKUP(tables_588106!C9,input_588106!A:H,8,FALSE))</f>
        <v>408191.00961000001</v>
      </c>
      <c r="P9" s="40">
        <f t="shared" ca="1" si="1"/>
        <v>2.6375743706945017E-2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input_588106!A$2</f>
        <v>588106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IFERROR(VLOOKUP(B10,input_588106!L:R,7,FALSE),VLOOKUP(tables_588106!C10,input_588106!A:H,8,FALSE))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input_588106!A$2</f>
        <v>588106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IFERROR(VLOOKUP(B11,input_588106!L:R,7,FALSE),VLOOKUP(tables_588106!C11,input_588106!A:H,8,FALSE))</f>
        <v>87117.866670000003</v>
      </c>
      <c r="P11" s="40">
        <f t="shared" ca="1" si="1"/>
        <v>5.6292237444894363E-3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input_588106!A$2</f>
        <v>588106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IFERROR(VLOOKUP(B12,input_588106!L:R,7,FALSE),VLOOKUP(tables_588106!C12,input_588106!A:H,8,FALSE))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input_588106!A$2</f>
        <v>588106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IFERROR(VLOOKUP(B13,input_588106!L:R,7,FALSE),VLOOKUP(tables_588106!C13,input_588106!A:H,8,FALSE))</f>
        <v>87117.866670000003</v>
      </c>
      <c r="P13" s="40">
        <f t="shared" ca="1" si="1"/>
        <v>5.6292237444894363E-3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input_588106!A$2</f>
        <v>588106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IFERROR(VLOOKUP(B14,input_588106!L:R,7,FALSE),VLOOKUP(tables_588106!C14,input_588106!A:H,8,FALSE))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input_588106!A$2</f>
        <v>588106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IFERROR(VLOOKUP(B15,input_588106!L:R,7,FALSE),VLOOKUP(tables_588106!C15,input_588106!A:H,8,FALSE))</f>
        <v>87117.866670000003</v>
      </c>
      <c r="P15" s="40">
        <f t="shared" ca="1" si="1"/>
        <v>5.6292237444894363E-3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input_588106!A$2</f>
        <v>588106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IFERROR(VLOOKUP(B16,input_588106!L:R,7,FALSE),VLOOKUP(tables_588106!C16,input_588106!A:H,8,FALSE))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input_588106!A$2</f>
        <v>588106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IFERROR(VLOOKUP(B17,input_588106!L:R,7,FALSE),VLOOKUP(tables_588106!C17,input_588106!A:H,8,FALSE))</f>
        <v>408191.00961000001</v>
      </c>
      <c r="P17" s="40">
        <f t="shared" ca="1" si="1"/>
        <v>2.6375743706945017E-2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input_588106!A$2</f>
        <v>588106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IFERROR(VLOOKUP(B18,input_588106!L:R,7,FALSE),VLOOKUP(tables_588106!C18,input_588106!A:H,8,FALSE))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input_588106!A$2</f>
        <v>588106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IFERROR(VLOOKUP(B19,input_588106!L:R,7,FALSE),VLOOKUP(tables_588106!C19,input_588106!A:H,8,FALSE))</f>
        <v>87117.866670000003</v>
      </c>
      <c r="P19" s="40">
        <f t="shared" ca="1" si="1"/>
        <v>5.6292237444894363E-3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input_588106!A$2</f>
        <v>588106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IFERROR(VLOOKUP(B20,input_588106!L:R,7,FALSE),VLOOKUP(tables_588106!C20,input_588106!A:H,8,FALSE))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input_588106!A$2</f>
        <v>588106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IFERROR(VLOOKUP(B21,input_588106!L:R,7,FALSE),VLOOKUP(tables_588106!C21,input_588106!A:H,8,FALSE))</f>
        <v>87117.866670000003</v>
      </c>
      <c r="P21" s="40">
        <f t="shared" ca="1" si="1"/>
        <v>5.6292237444894363E-3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input_588106!A$2</f>
        <v>588106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IFERROR(VLOOKUP(B22,input_588106!L:R,7,FALSE),VLOOKUP(tables_588106!C22,input_588106!A:H,8,FALSE))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input_588106!A$2</f>
        <v>588106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IFERROR(VLOOKUP(B23,input_588106!L:R,7,FALSE),VLOOKUP(tables_588106!C23,input_588106!A:H,8,FALSE))</f>
        <v>87117.866670000003</v>
      </c>
      <c r="P23" s="40">
        <f t="shared" ca="1" si="1"/>
        <v>5.6292237444894363E-3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input_588106!A$2</f>
        <v>588106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IFERROR(VLOOKUP(B24,input_588106!L:R,7,FALSE),VLOOKUP(tables_588106!C24,input_588106!A:H,8,FALSE))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input_588106!A$2</f>
        <v>588106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IFERROR(VLOOKUP(B25,input_588106!L:R,7,FALSE),VLOOKUP(tables_588106!C25,input_588106!A:H,8,FALSE))</f>
        <v>408191.00961000001</v>
      </c>
      <c r="P25" s="40">
        <f t="shared" ca="1" si="1"/>
        <v>2.6375743706945017E-2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input_588106!A$2</f>
        <v>588106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IFERROR(VLOOKUP(B26,input_588106!L:R,7,FALSE),VLOOKUP(tables_588106!C26,input_588106!A:H,8,FALSE))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input_588106!A$2</f>
        <v>588106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IFERROR(VLOOKUP(B27,input_588106!L:R,7,FALSE),VLOOKUP(tables_588106!C27,input_588106!A:H,8,FALSE))</f>
        <v>87117.866670000003</v>
      </c>
      <c r="P27" s="40">
        <f t="shared" ca="1" si="1"/>
        <v>5.6292237444894363E-3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input_588106!A$2</f>
        <v>588106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IFERROR(VLOOKUP(B28,input_588106!L:R,7,FALSE),VLOOKUP(tables_588106!C28,input_588106!A:H,8,FALSE))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input_588106!A$2</f>
        <v>588106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IFERROR(VLOOKUP(B29,input_588106!L:R,7,FALSE),VLOOKUP(tables_588106!C29,input_588106!A:H,8,FALSE))</f>
        <v>87117.866670000003</v>
      </c>
      <c r="P29" s="40">
        <f t="shared" ca="1" si="1"/>
        <v>5.6292237444894363E-3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input_588106!A$2</f>
        <v>588106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IFERROR(VLOOKUP(B30,input_588106!L:R,7,FALSE),VLOOKUP(tables_588106!C30,input_588106!A:H,8,FALSE))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input_588106!A$2</f>
        <v>588106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IFERROR(VLOOKUP(B31,input_588106!L:R,7,FALSE),VLOOKUP(tables_588106!C31,input_588106!A:H,8,FALSE))</f>
        <v>87117.866670000003</v>
      </c>
      <c r="P31" s="40">
        <f t="shared" ca="1" si="1"/>
        <v>5.6292237444894363E-3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input_588106!A$2</f>
        <v>588106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IFERROR(VLOOKUP(B32,input_588106!L:R,7,FALSE),VLOOKUP(tables_588106!C32,input_588106!A:H,8,FALSE))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input_588106!A$2</f>
        <v>588106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IFERROR(VLOOKUP(B33,input_588106!L:R,7,FALSE),VLOOKUP(tables_588106!C33,input_588106!A:H,8,FALSE))</f>
        <v>408191.00961000001</v>
      </c>
      <c r="P33" s="40">
        <f t="shared" ca="1" si="1"/>
        <v>2.6375743706945017E-2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input_588106!A$2</f>
        <v>588106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IFERROR(VLOOKUP(B34,input_588106!L:R,7,FALSE),VLOOKUP(tables_588106!C34,input_588106!A:H,8,FALSE))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input_588106!A$2</f>
        <v>588106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IFERROR(VLOOKUP(B35,input_588106!L:R,7,FALSE),VLOOKUP(tables_588106!C35,input_588106!A:H,8,FALSE))</f>
        <v>87117.866670000003</v>
      </c>
      <c r="P35" s="40">
        <f t="shared" ca="1" si="1"/>
        <v>5.6292237444894363E-3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input_588106!A$2</f>
        <v>588106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IFERROR(VLOOKUP(B36,input_588106!L:R,7,FALSE),VLOOKUP(tables_588106!C36,input_588106!A:H,8,FALSE))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input_588106!A$2</f>
        <v>588106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IFERROR(VLOOKUP(B37,input_588106!L:R,7,FALSE),VLOOKUP(tables_588106!C37,input_588106!A:H,8,FALSE))</f>
        <v>87117.866670000003</v>
      </c>
      <c r="P37" s="40">
        <f t="shared" ca="1" si="1"/>
        <v>5.6292237444894363E-3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input_588106!A$2</f>
        <v>588106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IFERROR(VLOOKUP(B38,input_588106!L:R,7,FALSE),VLOOKUP(tables_588106!C38,input_588106!A:H,8,FALSE))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input_588106!A$2</f>
        <v>588106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IFERROR(VLOOKUP(B39,input_588106!L:R,7,FALSE),VLOOKUP(tables_588106!C39,input_588106!A:H,8,FALSE))</f>
        <v>87117.866670000003</v>
      </c>
      <c r="P39" s="40">
        <f t="shared" ca="1" si="1"/>
        <v>5.6292237444894363E-3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input_588106!A$2</f>
        <v>588106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IFERROR(VLOOKUP(B40,input_588106!L:R,7,FALSE),VLOOKUP(tables_588106!C40,input_588106!A:H,8,FALSE))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input_588106!A$2</f>
        <v>588106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IFERROR(VLOOKUP(B41,input_588106!L:R,7,FALSE),VLOOKUP(tables_588106!C41,input_588106!A:H,8,FALSE))</f>
        <v>408191.00961000001</v>
      </c>
      <c r="P41" s="40">
        <f t="shared" ca="1" si="1"/>
        <v>2.6375743706945017E-2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input_588106!A$2</f>
        <v>588106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IFERROR(VLOOKUP(B42,input_588106!L:R,7,FALSE),VLOOKUP(tables_588106!C42,input_588106!A:H,8,FALSE))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input_588106!A$2</f>
        <v>588106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IFERROR(VLOOKUP(B43,input_588106!L:R,7,FALSE),VLOOKUP(tables_588106!C43,input_588106!A:H,8,FALSE))</f>
        <v>70977.600000000006</v>
      </c>
      <c r="P43" s="40">
        <f t="shared" ca="1" si="1"/>
        <v>4.5863013698481956E-3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input_588106!A$2</f>
        <v>588106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IFERROR(VLOOKUP(B44,input_588106!L:R,7,FALSE),VLOOKUP(tables_588106!C44,input_588106!A:H,8,FALSE))</f>
        <v>7886.4</v>
      </c>
      <c r="P44" s="40">
        <f t="shared" ca="1" si="1"/>
        <v>5.0958904109424386E-4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input_588106!A$2</f>
        <v>588106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IFERROR(VLOOKUP(B45,input_588106!L:R,7,FALSE),VLOOKUP(tables_588106!C45,input_588106!A:H,8,FALSE))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input_588106!A$2</f>
        <v>588106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IFERROR(VLOOKUP(B46,input_588106!L:R,7,FALSE),VLOOKUP(tables_588106!C46,input_588106!A:H,8,FALSE))</f>
        <v>70977.600000000006</v>
      </c>
      <c r="P46" s="40">
        <f t="shared" ca="1" si="1"/>
        <v>4.5863013698481956E-3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input_588106!A$2</f>
        <v>588106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IFERROR(VLOOKUP(B47,input_588106!L:R,7,FALSE),VLOOKUP(tables_588106!C47,input_588106!A:H,8,FALSE))</f>
        <v>7886.4</v>
      </c>
      <c r="P47" s="40">
        <f t="shared" ca="1" si="1"/>
        <v>5.0958904109424386E-4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input_588106!A$2</f>
        <v>588106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IFERROR(VLOOKUP(B48,input_588106!L:R,7,FALSE),VLOOKUP(tables_588106!C48,input_588106!A:H,8,FALSE))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input_588106!A$2</f>
        <v>588106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IFERROR(VLOOKUP(B49,input_588106!L:R,7,FALSE),VLOOKUP(tables_588106!C49,input_588106!A:H,8,FALSE))</f>
        <v>70977.600000000006</v>
      </c>
      <c r="P49" s="40">
        <f t="shared" ca="1" si="1"/>
        <v>4.5863013698481956E-3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input_588106!A$2</f>
        <v>588106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IFERROR(VLOOKUP(B50,input_588106!L:R,7,FALSE),VLOOKUP(tables_588106!C50,input_588106!A:H,8,FALSE))</f>
        <v>7886.4</v>
      </c>
      <c r="P50" s="40">
        <f t="shared" ca="1" si="1"/>
        <v>5.0958904109424386E-4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input_588106!A$2</f>
        <v>588106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IFERROR(VLOOKUP(B51,input_588106!L:R,7,FALSE),VLOOKUP(tables_588106!C51,input_588106!A:H,8,FALSE))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input_588106!A$2</f>
        <v>588106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IFERROR(VLOOKUP(B52,input_588106!L:R,7,FALSE),VLOOKUP(tables_588106!C52,input_588106!A:H,8,FALSE))</f>
        <v>337915.09564999997</v>
      </c>
      <c r="P52" s="40">
        <f t="shared" ca="1" si="1"/>
        <v>2.1834782608484631E-2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input_588106!A$2</f>
        <v>588106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IFERROR(VLOOKUP(B53,input_588106!L:R,7,FALSE),VLOOKUP(tables_588106!C53,input_588106!A:H,8,FALSE))</f>
        <v>15434.04781</v>
      </c>
      <c r="P53" s="40">
        <f t="shared" ca="1" si="1"/>
        <v>9.9728920974089755E-4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input_588106!A$2</f>
        <v>588106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IFERROR(VLOOKUP(B54,input_588106!L:R,7,FALSE),VLOOKUP(tables_588106!C54,input_588106!A:H,8,FALSE))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input_588106!A$2</f>
        <v>588106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IFERROR(VLOOKUP(B55,input_588106!L:R,7,FALSE),VLOOKUP(tables_588106!C55,input_588106!A:H,8,FALSE))</f>
        <v>70977.600000000006</v>
      </c>
      <c r="P55" s="40">
        <f t="shared" ca="1" si="1"/>
        <v>4.5863013698481956E-3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input_588106!A$2</f>
        <v>588106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IFERROR(VLOOKUP(B56,input_588106!L:R,7,FALSE),VLOOKUP(tables_588106!C56,input_588106!A:H,8,FALSE))</f>
        <v>7886.4</v>
      </c>
      <c r="P56" s="40">
        <f t="shared" ca="1" si="1"/>
        <v>5.0958904109424386E-4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input_588106!A$2</f>
        <v>588106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IFERROR(VLOOKUP(B57,input_588106!L:R,7,FALSE),VLOOKUP(tables_588106!C57,input_588106!A:H,8,FALSE))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input_588106!A$2</f>
        <v>588106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IFERROR(VLOOKUP(B58,input_588106!L:R,7,FALSE),VLOOKUP(tables_588106!C58,input_588106!A:H,8,FALSE))</f>
        <v>70977.600000000006</v>
      </c>
      <c r="P58" s="40">
        <f t="shared" ca="1" si="1"/>
        <v>4.5863013698481956E-3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input_588106!A$2</f>
        <v>588106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IFERROR(VLOOKUP(B59,input_588106!L:R,7,FALSE),VLOOKUP(tables_588106!C59,input_588106!A:H,8,FALSE))</f>
        <v>7886.4</v>
      </c>
      <c r="P59" s="40">
        <f t="shared" ca="1" si="1"/>
        <v>5.0958904109424386E-4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input_588106!A$2</f>
        <v>588106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IFERROR(VLOOKUP(B60,input_588106!L:R,7,FALSE),VLOOKUP(tables_588106!C60,input_588106!A:H,8,FALSE))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input_588106!A$2</f>
        <v>588106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IFERROR(VLOOKUP(B61,input_588106!L:R,7,FALSE),VLOOKUP(tables_588106!C61,input_588106!A:H,8,FALSE))</f>
        <v>70977.600000000006</v>
      </c>
      <c r="P61" s="40">
        <f t="shared" ca="1" si="1"/>
        <v>4.5863013698481956E-3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input_588106!A$2</f>
        <v>588106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IFERROR(VLOOKUP(B62,input_588106!L:R,7,FALSE),VLOOKUP(tables_588106!C62,input_588106!A:H,8,FALSE))</f>
        <v>7886.4</v>
      </c>
      <c r="P62" s="40">
        <f t="shared" ca="1" si="1"/>
        <v>5.0958904109424386E-4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input_588106!A$2</f>
        <v>588106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IFERROR(VLOOKUP(B63,input_588106!L:R,7,FALSE),VLOOKUP(tables_588106!C63,input_588106!A:H,8,FALSE))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input_588106!A$2</f>
        <v>588106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IFERROR(VLOOKUP(B64,input_588106!L:R,7,FALSE),VLOOKUP(tables_588106!C64,input_588106!A:H,8,FALSE))</f>
        <v>337915.09564999997</v>
      </c>
      <c r="P64" s="40">
        <f t="shared" ca="1" si="1"/>
        <v>2.1834782608484631E-2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input_588106!A$2</f>
        <v>588106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IFERROR(VLOOKUP(B65,input_588106!L:R,7,FALSE),VLOOKUP(tables_588106!C65,input_588106!A:H,8,FALSE))</f>
        <v>15434.04781</v>
      </c>
      <c r="P65" s="40">
        <f t="shared" ca="1" si="1"/>
        <v>9.9728920974089755E-4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input_588106!A$2</f>
        <v>588106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IFERROR(VLOOKUP(B66,input_588106!L:R,7,FALSE),VLOOKUP(tables_588106!C66,input_588106!A:H,8,FALSE))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input_588106!A$2</f>
        <v>588106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IFERROR(VLOOKUP(B67,input_588106!L:R,7,FALSE),VLOOKUP(tables_588106!C67,input_588106!A:H,8,FALSE))</f>
        <v>70977.600000000006</v>
      </c>
      <c r="P67" s="40">
        <f t="shared" ca="1" si="4"/>
        <v>4.5863013698481956E-3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input_588106!A$2</f>
        <v>588106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IFERROR(VLOOKUP(B68,input_588106!L:R,7,FALSE),VLOOKUP(tables_588106!C68,input_588106!A:H,8,FALSE))</f>
        <v>7886.4</v>
      </c>
      <c r="P68" s="40">
        <f t="shared" ca="1" si="4"/>
        <v>5.0958904109424386E-4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input_588106!A$2</f>
        <v>588106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IFERROR(VLOOKUP(B69,input_588106!L:R,7,FALSE),VLOOKUP(tables_588106!C69,input_588106!A:H,8,FALSE))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input_588106!A$2</f>
        <v>588106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IFERROR(VLOOKUP(B70,input_588106!L:R,7,FALSE),VLOOKUP(tables_588106!C70,input_588106!A:H,8,FALSE))</f>
        <v>70977.600000000006</v>
      </c>
      <c r="P70" s="40">
        <f t="shared" ca="1" si="4"/>
        <v>4.5863013698481956E-3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input_588106!A$2</f>
        <v>588106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IFERROR(VLOOKUP(B71,input_588106!L:R,7,FALSE),VLOOKUP(tables_588106!C71,input_588106!A:H,8,FALSE))</f>
        <v>7886.4</v>
      </c>
      <c r="P71" s="40">
        <f t="shared" ca="1" si="4"/>
        <v>5.0958904109424386E-4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input_588106!A$2</f>
        <v>588106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IFERROR(VLOOKUP(B72,input_588106!L:R,7,FALSE),VLOOKUP(tables_588106!C72,input_588106!A:H,8,FALSE))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input_588106!A$2</f>
        <v>588106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IFERROR(VLOOKUP(B73,input_588106!L:R,7,FALSE),VLOOKUP(tables_588106!C73,input_588106!A:H,8,FALSE))</f>
        <v>337915.09564999997</v>
      </c>
      <c r="P73" s="40">
        <f t="shared" ca="1" si="4"/>
        <v>2.1834782608484631E-2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input_588106!A$2</f>
        <v>588106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IFERROR(VLOOKUP(B74,input_588106!L:R,7,FALSE),VLOOKUP(tables_588106!C74,input_588106!A:H,8,FALSE))</f>
        <v>15434.04781</v>
      </c>
      <c r="P74" s="40">
        <f t="shared" ca="1" si="4"/>
        <v>9.9728920974089755E-4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input_588106!A$2</f>
        <v>588106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IFERROR(VLOOKUP(B75,input_588106!L:R,7,FALSE),VLOOKUP(tables_588106!C75,input_588106!A:H,8,FALSE))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input_588106!A$2</f>
        <v>588106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IFERROR(VLOOKUP(B76,input_588106!L:R,7,FALSE),VLOOKUP(tables_588106!C76,input_588106!A:H,8,FALSE))</f>
        <v>70977.600000000006</v>
      </c>
      <c r="P76" s="40">
        <f t="shared" ca="1" si="4"/>
        <v>4.5863013698481956E-3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input_588106!A$2</f>
        <v>588106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IFERROR(VLOOKUP(B77,input_588106!L:R,7,FALSE),VLOOKUP(tables_588106!C77,input_588106!A:H,8,FALSE))</f>
        <v>7886.4</v>
      </c>
      <c r="P77" s="40">
        <f t="shared" ca="1" si="4"/>
        <v>5.0958904109424386E-4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input_588106!A$2</f>
        <v>588106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IFERROR(VLOOKUP(B78,input_588106!L:R,7,FALSE),VLOOKUP(tables_588106!C78,input_588106!A:H,8,FALSE))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input_588106!A$2</f>
        <v>588106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IFERROR(VLOOKUP(B79,input_588106!L:R,7,FALSE),VLOOKUP(tables_588106!C79,input_588106!A:H,8,FALSE))</f>
        <v>70977.600000000006</v>
      </c>
      <c r="P79" s="40">
        <f t="shared" ca="1" si="4"/>
        <v>4.5863013698481956E-3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input_588106!A$2</f>
        <v>588106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IFERROR(VLOOKUP(B80,input_588106!L:R,7,FALSE),VLOOKUP(tables_588106!C80,input_588106!A:H,8,FALSE))</f>
        <v>7886.4</v>
      </c>
      <c r="P80" s="40">
        <f t="shared" ca="1" si="4"/>
        <v>5.0958904109424386E-4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input_588106!A$2</f>
        <v>588106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IFERROR(VLOOKUP(B81,input_588106!L:R,7,FALSE),VLOOKUP(tables_588106!C81,input_588106!A:H,8,FALSE))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input_588106!A$2</f>
        <v>588106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IFERROR(VLOOKUP(B82,input_588106!L:R,7,FALSE),VLOOKUP(tables_588106!C82,input_588106!A:H,8,FALSE))</f>
        <v>70977.600000000006</v>
      </c>
      <c r="P82" s="40">
        <f t="shared" ca="1" si="4"/>
        <v>4.5863013698481956E-3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input_588106!A$2</f>
        <v>588106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IFERROR(VLOOKUP(B83,input_588106!L:R,7,FALSE),VLOOKUP(tables_588106!C83,input_588106!A:H,8,FALSE))</f>
        <v>7886.4</v>
      </c>
      <c r="P83" s="40">
        <f t="shared" ca="1" si="4"/>
        <v>5.0958904109424386E-4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input_588106!A$2</f>
        <v>588106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IFERROR(VLOOKUP(B84,input_588106!L:R,7,FALSE),VLOOKUP(tables_588106!C84,input_588106!A:H,8,FALSE))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input_588106!A$2</f>
        <v>588106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IFERROR(VLOOKUP(B85,input_588106!L:R,7,FALSE),VLOOKUP(tables_588106!C85,input_588106!A:H,8,FALSE))</f>
        <v>70977.600000000006</v>
      </c>
      <c r="P85" s="40">
        <f t="shared" ca="1" si="4"/>
        <v>4.5863013698481956E-3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input_588106!A$2</f>
        <v>588106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IFERROR(VLOOKUP(B86,input_588106!L:R,7,FALSE),VLOOKUP(tables_588106!C86,input_588106!A:H,8,FALSE))</f>
        <v>7886.4</v>
      </c>
      <c r="P86" s="40">
        <f t="shared" ca="1" si="4"/>
        <v>5.0958904109424386E-4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input_588106!A$2</f>
        <v>588106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IFERROR(VLOOKUP(B87,input_588106!L:R,7,FALSE),VLOOKUP(tables_588106!C87,input_588106!A:H,8,FALSE))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input_588106!A$2</f>
        <v>588106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IFERROR(VLOOKUP(B88,input_588106!L:R,7,FALSE),VLOOKUP(tables_588106!C88,input_588106!A:H,8,FALSE))</f>
        <v>337915.09564999997</v>
      </c>
      <c r="P88" s="40">
        <f t="shared" ca="1" si="4"/>
        <v>2.1834782608484631E-2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input_588106!A$2</f>
        <v>588106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IFERROR(VLOOKUP(B89,input_588106!L:R,7,FALSE),VLOOKUP(tables_588106!C89,input_588106!A:H,8,FALSE))</f>
        <v>15434.04781</v>
      </c>
      <c r="P89" s="40">
        <f t="shared" ca="1" si="4"/>
        <v>9.9728920974089755E-4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input_588106!A$2</f>
        <v>588106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IFERROR(VLOOKUP(B90,input_588106!L:R,7,FALSE),VLOOKUP(tables_588106!C90,input_588106!A:H,8,FALSE))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input_588106!A$2</f>
        <v>588106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IFERROR(VLOOKUP(B91,input_588106!L:R,7,FALSE),VLOOKUP(tables_588106!C91,input_588106!A:H,8,FALSE))</f>
        <v>70977.600000000006</v>
      </c>
      <c r="P91" s="40">
        <f t="shared" ca="1" si="4"/>
        <v>4.5863013698481956E-3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input_588106!A$2</f>
        <v>588106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IFERROR(VLOOKUP(B92,input_588106!L:R,7,FALSE),VLOOKUP(tables_588106!C92,input_588106!A:H,8,FALSE))</f>
        <v>7886.4</v>
      </c>
      <c r="P92" s="40">
        <f t="shared" ca="1" si="4"/>
        <v>5.0958904109424386E-4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input_588106!A$2</f>
        <v>588106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IFERROR(VLOOKUP(B93,input_588106!L:R,7,FALSE),VLOOKUP(tables_588106!C93,input_588106!A:H,8,FALSE))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input_588106!A$2</f>
        <v>588106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IFERROR(VLOOKUP(B94,input_588106!L:R,7,FALSE),VLOOKUP(tables_588106!C94,input_588106!A:H,8,FALSE))</f>
        <v>70977.600000000006</v>
      </c>
      <c r="P94" s="40">
        <f t="shared" ca="1" si="4"/>
        <v>4.5863013698481956E-3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input_588106!A$2</f>
        <v>588106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IFERROR(VLOOKUP(B95,input_588106!L:R,7,FALSE),VLOOKUP(tables_588106!C95,input_588106!A:H,8,FALSE))</f>
        <v>7886.4</v>
      </c>
      <c r="P95" s="40">
        <f t="shared" ca="1" si="4"/>
        <v>5.0958904109424386E-4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input_588106!A$2</f>
        <v>588106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IFERROR(VLOOKUP(B96,input_588106!L:R,7,FALSE),VLOOKUP(tables_588106!C96,input_588106!A:H,8,FALSE))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input_588106!A$2</f>
        <v>588106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IFERROR(VLOOKUP(B97,input_588106!L:R,7,FALSE),VLOOKUP(tables_588106!C97,input_588106!A:H,8,FALSE))</f>
        <v>70977.600000000006</v>
      </c>
      <c r="P97" s="40">
        <f t="shared" ca="1" si="4"/>
        <v>4.5863013698481956E-3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input_588106!A$2</f>
        <v>588106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IFERROR(VLOOKUP(B98,input_588106!L:R,7,FALSE),VLOOKUP(tables_588106!C98,input_588106!A:H,8,FALSE))</f>
        <v>7886.4</v>
      </c>
      <c r="P98" s="40">
        <f t="shared" ca="1" si="4"/>
        <v>5.0958904109424386E-4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input_588106!A$2</f>
        <v>588106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IFERROR(VLOOKUP(B99,input_588106!L:R,7,FALSE),VLOOKUP(tables_588106!C99,input_588106!A:H,8,FALSE))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input_588106!A$2</f>
        <v>588106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IFERROR(VLOOKUP(B100,input_588106!L:R,7,FALSE),VLOOKUP(tables_588106!C100,input_588106!A:H,8,FALSE))</f>
        <v>337915.09564999997</v>
      </c>
      <c r="P100" s="40">
        <f t="shared" ca="1" si="4"/>
        <v>2.1834782608484631E-2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input_588106!A$2</f>
        <v>588106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IFERROR(VLOOKUP(B101,input_588106!L:R,7,FALSE),VLOOKUP(tables_588106!C101,input_588106!A:H,8,FALSE))</f>
        <v>15434.04781</v>
      </c>
      <c r="P101" s="40">
        <f t="shared" ca="1" si="4"/>
        <v>9.9728920974089755E-4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input_588106!A$2</f>
        <v>588106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IFERROR(VLOOKUP(B102,input_588106!L:R,7,FALSE),VLOOKUP(tables_588106!C102,input_588106!A:H,8,FALSE))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input_588106!A$2</f>
        <v>588106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IFERROR(VLOOKUP(B103,input_588106!L:R,7,FALSE),VLOOKUP(tables_588106!C103,input_588106!A:H,8,FALSE))</f>
        <v>70977.600000000006</v>
      </c>
      <c r="P103" s="40">
        <f t="shared" ca="1" si="4"/>
        <v>4.5863013698481956E-3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input_588106!A$2</f>
        <v>588106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IFERROR(VLOOKUP(B104,input_588106!L:R,7,FALSE),VLOOKUP(tables_588106!C104,input_588106!A:H,8,FALSE))</f>
        <v>7886.4</v>
      </c>
      <c r="P104" s="40">
        <f t="shared" ca="1" si="4"/>
        <v>5.0958904109424386E-4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input_588106!A$2</f>
        <v>588106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IFERROR(VLOOKUP(B105,input_588106!L:R,7,FALSE),VLOOKUP(tables_588106!C105,input_588106!A:H,8,FALSE))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input_588106!A$2</f>
        <v>588106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IFERROR(VLOOKUP(B106,input_588106!L:R,7,FALSE),VLOOKUP(tables_588106!C106,input_588106!A:H,8,FALSE))</f>
        <v>70977.600000000006</v>
      </c>
      <c r="P106" s="40">
        <f t="shared" ca="1" si="4"/>
        <v>4.5863013698481956E-3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input_588106!A$2</f>
        <v>588106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IFERROR(VLOOKUP(B107,input_588106!L:R,7,FALSE),VLOOKUP(tables_588106!C107,input_588106!A:H,8,FALSE))</f>
        <v>7886.4</v>
      </c>
      <c r="P107" s="40">
        <f t="shared" ca="1" si="4"/>
        <v>5.0958904109424386E-4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input_588106!A$2</f>
        <v>588106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IFERROR(VLOOKUP(B108,input_588106!L:R,7,FALSE),VLOOKUP(tables_588106!C108,input_588106!A:H,8,FALSE))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input_588106!A$2</f>
        <v>588106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IFERROR(VLOOKUP(B109,input_588106!L:R,7,FALSE),VLOOKUP(tables_588106!C109,input_588106!A:H,8,FALSE))</f>
        <v>70977.600000000006</v>
      </c>
      <c r="P109" s="40">
        <f t="shared" ca="1" si="4"/>
        <v>4.5863013698481956E-3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input_588106!A$2</f>
        <v>588106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IFERROR(VLOOKUP(B110,input_588106!L:R,7,FALSE),VLOOKUP(tables_588106!C110,input_588106!A:H,8,FALSE))</f>
        <v>7886.4</v>
      </c>
      <c r="P110" s="40">
        <f t="shared" ca="1" si="4"/>
        <v>5.0958904109424386E-4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input_588106!A$2</f>
        <v>588106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IFERROR(VLOOKUP(B111,input_588106!L:R,7,FALSE),VLOOKUP(tables_588106!C111,input_588106!A:H,8,FALSE))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input_588106!A$2</f>
        <v>588106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IFERROR(VLOOKUP(B112,input_588106!L:R,7,FALSE),VLOOKUP(tables_588106!C112,input_588106!A:H,8,FALSE))</f>
        <v>337915.09564999997</v>
      </c>
      <c r="P112" s="40">
        <f t="shared" ca="1" si="4"/>
        <v>2.1834782608484631E-2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input_588106!A$2</f>
        <v>588106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IFERROR(VLOOKUP(B113,input_588106!L:R,7,FALSE),VLOOKUP(tables_588106!C113,input_588106!A:H,8,FALSE))</f>
        <v>37546.121740000002</v>
      </c>
      <c r="P113" s="40">
        <f t="shared" ca="1" si="4"/>
        <v>2.4260869565700884E-3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input_588106!A$2</f>
        <v>588106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IFERROR(VLOOKUP(B114,input_588106!L:R,7,FALSE),VLOOKUP(tables_588106!C114,input_588106!A:H,8,FALSE))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input_588106!A$2</f>
        <v>588106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IFERROR(VLOOKUP(B115,input_588106!L:R,7,FALSE),VLOOKUP(tables_588106!C115,input_588106!A:H,8,FALSE))</f>
        <v>70977.600000000006</v>
      </c>
      <c r="P115" s="40">
        <f t="shared" ca="1" si="4"/>
        <v>4.5863013698481956E-3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input_588106!A$2</f>
        <v>588106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IFERROR(VLOOKUP(B116,input_588106!L:R,7,FALSE),VLOOKUP(tables_588106!C116,input_588106!A:H,8,FALSE))</f>
        <v>7886.4</v>
      </c>
      <c r="P116" s="40">
        <f t="shared" ca="1" si="4"/>
        <v>5.0958904109424386E-4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input_588106!A$2</f>
        <v>588106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IFERROR(VLOOKUP(B117,input_588106!L:R,7,FALSE),VLOOKUP(tables_588106!C117,input_588106!A:H,8,FALSE))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input_588106!A$2</f>
        <v>588106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IFERROR(VLOOKUP(B118,input_588106!L:R,7,FALSE),VLOOKUP(tables_588106!C118,input_588106!A:H,8,FALSE))</f>
        <v>70977.600000000006</v>
      </c>
      <c r="P118" s="40">
        <f t="shared" ca="1" si="4"/>
        <v>4.5863013698481956E-3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input_588106!A$2</f>
        <v>588106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IFERROR(VLOOKUP(B119,input_588106!L:R,7,FALSE),VLOOKUP(tables_588106!C119,input_588106!A:H,8,FALSE))</f>
        <v>7886.4</v>
      </c>
      <c r="P119" s="40">
        <f t="shared" ca="1" si="4"/>
        <v>5.0958904109424386E-4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input_588106!A$2</f>
        <v>588106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IFERROR(VLOOKUP(B120,input_588106!L:R,7,FALSE),VLOOKUP(tables_588106!C120,input_588106!A:H,8,FALSE))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input_588106!A$2</f>
        <v>588106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IFERROR(VLOOKUP(B121,input_588106!L:R,7,FALSE),VLOOKUP(tables_588106!C121,input_588106!A:H,8,FALSE))</f>
        <v>70977.600000000006</v>
      </c>
      <c r="P121" s="40">
        <f t="shared" ca="1" si="4"/>
        <v>4.5863013698481956E-3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input_588106!A$2</f>
        <v>588106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IFERROR(VLOOKUP(B122,input_588106!L:R,7,FALSE),VLOOKUP(tables_588106!C122,input_588106!A:H,8,FALSE))</f>
        <v>7886.4</v>
      </c>
      <c r="P122" s="40">
        <f t="shared" ca="1" si="4"/>
        <v>5.0958904109424386E-4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input_588106!A$2</f>
        <v>588106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IFERROR(VLOOKUP(B123,input_588106!L:R,7,FALSE),VLOOKUP(tables_588106!C123,input_588106!A:H,8,FALSE))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input_588106!A$2</f>
        <v>588106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IFERROR(VLOOKUP(B124,input_588106!L:R,7,FALSE),VLOOKUP(tables_588106!C124,input_588106!A:H,8,FALSE))</f>
        <v>337915.09564999997</v>
      </c>
      <c r="P124" s="40">
        <f t="shared" ca="1" si="4"/>
        <v>2.1834782608484631E-2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input_588106!A$2</f>
        <v>588106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IFERROR(VLOOKUP(B125,input_588106!L:R,7,FALSE),VLOOKUP(tables_588106!C125,input_588106!A:H,8,FALSE))</f>
        <v>15434.04781</v>
      </c>
      <c r="P125" s="40">
        <f t="shared" ca="1" si="4"/>
        <v>9.9728920974089755E-4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input_588106!A$2</f>
        <v>588106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IFERROR(VLOOKUP(B126,input_588106!L:R,7,FALSE),VLOOKUP(tables_588106!C126,input_588106!A:H,8,FALSE))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input_588106!A$2</f>
        <v>588106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IFERROR(VLOOKUP(B127,input_588106!L:R,7,FALSE),VLOOKUP(tables_588106!C127,input_588106!A:H,8,FALSE))</f>
        <v>70977.600000000006</v>
      </c>
      <c r="P127" s="40">
        <f t="shared" ca="1" si="4"/>
        <v>4.5863013698481956E-3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input_588106!A$2</f>
        <v>588106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IFERROR(VLOOKUP(B128,input_588106!L:R,7,FALSE),VLOOKUP(tables_588106!C128,input_588106!A:H,8,FALSE))</f>
        <v>7886.4</v>
      </c>
      <c r="P128" s="40">
        <f t="shared" ca="1" si="4"/>
        <v>5.0958904109424386E-4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input_588106!A$2</f>
        <v>588106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IFERROR(VLOOKUP(B129,input_588106!L:R,7,FALSE),VLOOKUP(tables_588106!C129,input_588106!A:H,8,FALSE))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input_588106!A$2</f>
        <v>588106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IFERROR(VLOOKUP(B130,input_588106!L:R,7,FALSE),VLOOKUP(tables_588106!C130,input_588106!A:H,8,FALSE))</f>
        <v>70977.600000000006</v>
      </c>
      <c r="P130" s="40">
        <f t="shared" ref="P130:P193" ca="1" si="7">O130/SUM(O:O)</f>
        <v>4.5863013698481956E-3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input_588106!A$2</f>
        <v>588106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IFERROR(VLOOKUP(B131,input_588106!L:R,7,FALSE),VLOOKUP(tables_588106!C131,input_588106!A:H,8,FALSE))</f>
        <v>7886.4</v>
      </c>
      <c r="P131" s="40">
        <f t="shared" ca="1" si="7"/>
        <v>5.0958904109424386E-4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input_588106!A$2</f>
        <v>588106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IFERROR(VLOOKUP(B132,input_588106!L:R,7,FALSE),VLOOKUP(tables_588106!C132,input_588106!A:H,8,FALSE))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input_588106!A$2</f>
        <v>588106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IFERROR(VLOOKUP(B133,input_588106!L:R,7,FALSE),VLOOKUP(tables_588106!C133,input_588106!A:H,8,FALSE))</f>
        <v>70977.600000000006</v>
      </c>
      <c r="P133" s="40">
        <f t="shared" ca="1" si="7"/>
        <v>4.5863013698481956E-3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input_588106!A$2</f>
        <v>588106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IFERROR(VLOOKUP(B134,input_588106!L:R,7,FALSE),VLOOKUP(tables_588106!C134,input_588106!A:H,8,FALSE))</f>
        <v>7886.4</v>
      </c>
      <c r="P134" s="40">
        <f t="shared" ca="1" si="7"/>
        <v>5.0958904109424386E-4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input_588106!A$2</f>
        <v>588106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IFERROR(VLOOKUP(B135,input_588106!L:R,7,FALSE),VLOOKUP(tables_588106!C135,input_588106!A:H,8,FALSE))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input_588106!A$2</f>
        <v>588106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IFERROR(VLOOKUP(B136,input_588106!L:R,7,FALSE),VLOOKUP(tables_588106!C136,input_588106!A:H,8,FALSE))</f>
        <v>337915.09564999997</v>
      </c>
      <c r="P136" s="40">
        <f t="shared" ca="1" si="7"/>
        <v>2.1834782608484631E-2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input_588106!A$2</f>
        <v>588106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IFERROR(VLOOKUP(B137,input_588106!L:R,7,FALSE),VLOOKUP(tables_588106!C137,input_588106!A:H,8,FALSE))</f>
        <v>15434.04781</v>
      </c>
      <c r="P137" s="40">
        <f t="shared" ca="1" si="7"/>
        <v>9.9728920974089755E-4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input_588106!A$2</f>
        <v>588106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IFERROR(VLOOKUP(B138,input_588106!L:R,7,FALSE),VLOOKUP(tables_588106!C138,input_588106!A:H,8,FALSE))</f>
        <v>5256</v>
      </c>
      <c r="P138" s="40">
        <f t="shared" ca="1" si="7"/>
        <v>3.3962264150833661E-4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input_588106!A$2</f>
        <v>588106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IFERROR(VLOOKUP(B139,input_588106!L:R,7,FALSE),VLOOKUP(tables_588106!C139,input_588106!A:H,8,FALSE))</f>
        <v>584</v>
      </c>
      <c r="P139" s="40">
        <f t="shared" ca="1" si="7"/>
        <v>3.7735849056481844E-5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input_588106!A$2</f>
        <v>588106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IFERROR(VLOOKUP(B140,input_588106!L:R,7,FALSE),VLOOKUP(tables_588106!C140,input_588106!A:H,8,FALSE))</f>
        <v>5256</v>
      </c>
      <c r="P140" s="40">
        <f t="shared" ca="1" si="7"/>
        <v>3.3962264150833661E-4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input_588106!A$2</f>
        <v>588106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IFERROR(VLOOKUP(B141,input_588106!L:R,7,FALSE),VLOOKUP(tables_588106!C141,input_588106!A:H,8,FALSE))</f>
        <v>584</v>
      </c>
      <c r="P141" s="40">
        <f t="shared" ca="1" si="7"/>
        <v>3.7735849056481844E-5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input_588106!A$2</f>
        <v>588106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IFERROR(VLOOKUP(B142,input_588106!L:R,7,FALSE),VLOOKUP(tables_588106!C142,input_588106!A:H,8,FALSE))</f>
        <v>5256</v>
      </c>
      <c r="P142" s="40">
        <f t="shared" ca="1" si="7"/>
        <v>3.3962264150833661E-4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input_588106!A$2</f>
        <v>588106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IFERROR(VLOOKUP(B143,input_588106!L:R,7,FALSE),VLOOKUP(tables_588106!C143,input_588106!A:H,8,FALSE))</f>
        <v>584</v>
      </c>
      <c r="P143" s="40">
        <f t="shared" ca="1" si="7"/>
        <v>3.7735849056481844E-5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input_588106!A$2</f>
        <v>588106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IFERROR(VLOOKUP(B144,input_588106!L:R,7,FALSE),VLOOKUP(tables_588106!C144,input_588106!A:H,8,FALSE))</f>
        <v>21992.21053</v>
      </c>
      <c r="P144" s="40">
        <f t="shared" ca="1" si="7"/>
        <v>1.4210526318124154E-3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input_588106!A$2</f>
        <v>588106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IFERROR(VLOOKUP(B145,input_588106!L:R,7,FALSE),VLOOKUP(tables_588106!C145,input_588106!A:H,8,FALSE))</f>
        <v>2443.5789500000001</v>
      </c>
      <c r="P145" s="40">
        <f t="shared" ca="1" si="7"/>
        <v>1.5789473701163768E-4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input_588106!A$2</f>
        <v>588106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IFERROR(VLOOKUP(B146,input_588106!L:R,7,FALSE),VLOOKUP(tables_588106!C146,input_588106!A:H,8,FALSE))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input_588106!A$2</f>
        <v>588106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IFERROR(VLOOKUP(B147,input_588106!L:R,7,FALSE),VLOOKUP(tables_588106!C147,input_588106!A:H,8,FALSE))</f>
        <v>70977.600000000006</v>
      </c>
      <c r="P147" s="40">
        <f t="shared" ca="1" si="7"/>
        <v>4.5863013698481956E-3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input_588106!A$2</f>
        <v>588106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IFERROR(VLOOKUP(B148,input_588106!L:R,7,FALSE),VLOOKUP(tables_588106!C148,input_588106!A:H,8,FALSE))</f>
        <v>7886.4</v>
      </c>
      <c r="P148" s="40">
        <f t="shared" ca="1" si="7"/>
        <v>5.0958904109424386E-4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input_588106!A$2</f>
        <v>588106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IFERROR(VLOOKUP(B149,input_588106!L:R,7,FALSE),VLOOKUP(tables_588106!C149,input_588106!A:H,8,FALSE))</f>
        <v>5256</v>
      </c>
      <c r="P149" s="40">
        <f t="shared" ca="1" si="7"/>
        <v>3.3962264150833661E-4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input_588106!A$2</f>
        <v>588106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IFERROR(VLOOKUP(B150,input_588106!L:R,7,FALSE),VLOOKUP(tables_588106!C150,input_588106!A:H,8,FALSE))</f>
        <v>584</v>
      </c>
      <c r="P150" s="40">
        <f t="shared" ca="1" si="7"/>
        <v>3.7735849056481844E-5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input_588106!A$2</f>
        <v>588106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IFERROR(VLOOKUP(B151,input_588106!L:R,7,FALSE),VLOOKUP(tables_588106!C151,input_588106!A:H,8,FALSE))</f>
        <v>5256</v>
      </c>
      <c r="P151" s="40">
        <f t="shared" ca="1" si="7"/>
        <v>3.3962264150833661E-4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input_588106!A$2</f>
        <v>588106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IFERROR(VLOOKUP(B152,input_588106!L:R,7,FALSE),VLOOKUP(tables_588106!C152,input_588106!A:H,8,FALSE))</f>
        <v>584</v>
      </c>
      <c r="P152" s="40">
        <f t="shared" ca="1" si="7"/>
        <v>3.7735849056481844E-5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input_588106!A$2</f>
        <v>588106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IFERROR(VLOOKUP(B153,input_588106!L:R,7,FALSE),VLOOKUP(tables_588106!C153,input_588106!A:H,8,FALSE))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input_588106!A$2</f>
        <v>588106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IFERROR(VLOOKUP(B154,input_588106!L:R,7,FALSE),VLOOKUP(tables_588106!C154,input_588106!A:H,8,FALSE))</f>
        <v>337915.09564999997</v>
      </c>
      <c r="P154" s="40">
        <f t="shared" ca="1" si="7"/>
        <v>2.1834782608484631E-2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input_588106!A$2</f>
        <v>588106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IFERROR(VLOOKUP(B155,input_588106!L:R,7,FALSE),VLOOKUP(tables_588106!C155,input_588106!A:H,8,FALSE))</f>
        <v>15434.04781</v>
      </c>
      <c r="P155" s="40">
        <f t="shared" ca="1" si="7"/>
        <v>9.9728920974089755E-4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input_588106!A$2</f>
        <v>588106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IFERROR(VLOOKUP(B156,input_588106!L:R,7,FALSE),VLOOKUP(tables_588106!C156,input_588106!A:H,8,FALSE))</f>
        <v>5256</v>
      </c>
      <c r="P156" s="40">
        <f t="shared" ca="1" si="7"/>
        <v>3.3962264150833661E-4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input_588106!A$2</f>
        <v>588106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IFERROR(VLOOKUP(B157,input_588106!L:R,7,FALSE),VLOOKUP(tables_588106!C157,input_588106!A:H,8,FALSE))</f>
        <v>584</v>
      </c>
      <c r="P157" s="40">
        <f t="shared" ca="1" si="7"/>
        <v>3.7735849056481844E-5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input_588106!A$2</f>
        <v>588106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IFERROR(VLOOKUP(B158,input_588106!L:R,7,FALSE),VLOOKUP(tables_588106!C158,input_588106!A:H,8,FALSE))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input_588106!A$2</f>
        <v>588106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IFERROR(VLOOKUP(B159,input_588106!L:R,7,FALSE),VLOOKUP(tables_588106!C159,input_588106!A:H,8,FALSE))</f>
        <v>70977.600000000006</v>
      </c>
      <c r="P159" s="40">
        <f t="shared" ca="1" si="7"/>
        <v>4.5863013698481956E-3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input_588106!A$2</f>
        <v>588106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IFERROR(VLOOKUP(B160,input_588106!L:R,7,FALSE),VLOOKUP(tables_588106!C160,input_588106!A:H,8,FALSE))</f>
        <v>7886.4</v>
      </c>
      <c r="P160" s="40">
        <f t="shared" ca="1" si="7"/>
        <v>5.0958904109424386E-4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input_588106!A$2</f>
        <v>588106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IFERROR(VLOOKUP(B161,input_588106!L:R,7,FALSE),VLOOKUP(tables_588106!C161,input_588106!A:H,8,FALSE))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input_588106!A$2</f>
        <v>588106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IFERROR(VLOOKUP(B162,input_588106!L:R,7,FALSE),VLOOKUP(tables_588106!C162,input_588106!A:H,8,FALSE))</f>
        <v>70977.600000000006</v>
      </c>
      <c r="P162" s="40">
        <f t="shared" ca="1" si="7"/>
        <v>4.5863013698481956E-3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input_588106!A$2</f>
        <v>588106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IFERROR(VLOOKUP(B163,input_588106!L:R,7,FALSE),VLOOKUP(tables_588106!C163,input_588106!A:H,8,FALSE))</f>
        <v>7886.4</v>
      </c>
      <c r="P163" s="40">
        <f t="shared" ca="1" si="7"/>
        <v>5.0958904109424386E-4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input_588106!A$2</f>
        <v>588106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IFERROR(VLOOKUP(B164,input_588106!L:R,7,FALSE),VLOOKUP(tables_588106!C164,input_588106!A:H,8,FALSE))</f>
        <v>21992.21053</v>
      </c>
      <c r="P164" s="40">
        <f t="shared" ca="1" si="7"/>
        <v>1.4210526318124154E-3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input_588106!A$2</f>
        <v>588106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IFERROR(VLOOKUP(B165,input_588106!L:R,7,FALSE),VLOOKUP(tables_588106!C165,input_588106!A:H,8,FALSE))</f>
        <v>2443.5789500000001</v>
      </c>
      <c r="P165" s="40">
        <f t="shared" ca="1" si="7"/>
        <v>1.5789473701163768E-4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input_588106!A$2</f>
        <v>588106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IFERROR(VLOOKUP(B166,input_588106!L:R,7,FALSE),VLOOKUP(tables_588106!C166,input_588106!A:H,8,FALSE))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input_588106!A$2</f>
        <v>588106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IFERROR(VLOOKUP(B167,input_588106!L:R,7,FALSE),VLOOKUP(tables_588106!C167,input_588106!A:H,8,FALSE))</f>
        <v>70977.600000000006</v>
      </c>
      <c r="P167" s="40">
        <f t="shared" ca="1" si="7"/>
        <v>4.5863013698481956E-3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input_588106!A$2</f>
        <v>588106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IFERROR(VLOOKUP(B168,input_588106!L:R,7,FALSE),VLOOKUP(tables_588106!C168,input_588106!A:H,8,FALSE))</f>
        <v>7886.4</v>
      </c>
      <c r="P168" s="40">
        <f t="shared" ca="1" si="7"/>
        <v>5.0958904109424386E-4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input_588106!A$2</f>
        <v>588106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IFERROR(VLOOKUP(B169,input_588106!L:R,7,FALSE),VLOOKUP(tables_588106!C169,input_588106!A:H,8,FALSE))</f>
        <v>5256</v>
      </c>
      <c r="P169" s="40">
        <f t="shared" ca="1" si="7"/>
        <v>3.3962264150833661E-4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input_588106!A$2</f>
        <v>588106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IFERROR(VLOOKUP(B170,input_588106!L:R,7,FALSE),VLOOKUP(tables_588106!C170,input_588106!A:H,8,FALSE))</f>
        <v>584</v>
      </c>
      <c r="P170" s="40">
        <f t="shared" ca="1" si="7"/>
        <v>3.7735849056481844E-5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input_588106!A$2</f>
        <v>588106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IFERROR(VLOOKUP(B171,input_588106!L:R,7,FALSE),VLOOKUP(tables_588106!C171,input_588106!A:H,8,FALSE))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input_588106!A$2</f>
        <v>588106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IFERROR(VLOOKUP(B172,input_588106!L:R,7,FALSE),VLOOKUP(tables_588106!C172,input_588106!A:H,8,FALSE))</f>
        <v>70977.600000000006</v>
      </c>
      <c r="P172" s="40">
        <f t="shared" ca="1" si="7"/>
        <v>4.5863013698481956E-3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input_588106!A$2</f>
        <v>588106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IFERROR(VLOOKUP(B173,input_588106!L:R,7,FALSE),VLOOKUP(tables_588106!C173,input_588106!A:H,8,FALSE))</f>
        <v>7886.4</v>
      </c>
      <c r="P173" s="40">
        <f t="shared" ca="1" si="7"/>
        <v>5.0958904109424386E-4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input_588106!A$2</f>
        <v>588106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IFERROR(VLOOKUP(B174,input_588106!L:R,7,FALSE),VLOOKUP(tables_588106!C174,input_588106!A:H,8,FALSE))</f>
        <v>21992.21053</v>
      </c>
      <c r="P174" s="40">
        <f t="shared" ca="1" si="7"/>
        <v>1.4210526318124154E-3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input_588106!A$2</f>
        <v>588106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IFERROR(VLOOKUP(B175,input_588106!L:R,7,FALSE),VLOOKUP(tables_588106!C175,input_588106!A:H,8,FALSE))</f>
        <v>2443.5789500000001</v>
      </c>
      <c r="P175" s="40">
        <f t="shared" ca="1" si="7"/>
        <v>1.5789473701163768E-4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input_588106!A$2</f>
        <v>588106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IFERROR(VLOOKUP(B176,input_588106!L:R,7,FALSE),VLOOKUP(tables_588106!C176,input_588106!A:H,8,FALSE))</f>
        <v>5256</v>
      </c>
      <c r="P176" s="40">
        <f t="shared" ca="1" si="7"/>
        <v>3.3962264150833661E-4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input_588106!A$2</f>
        <v>588106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IFERROR(VLOOKUP(B177,input_588106!L:R,7,FALSE),VLOOKUP(tables_588106!C177,input_588106!A:H,8,FALSE))</f>
        <v>584</v>
      </c>
      <c r="P177" s="40">
        <f t="shared" ca="1" si="7"/>
        <v>3.7735849056481844E-5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input_588106!A$2</f>
        <v>588106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IFERROR(VLOOKUP(B178,input_588106!L:R,7,FALSE),VLOOKUP(tables_588106!C178,input_588106!A:H,8,FALSE))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input_588106!A$2</f>
        <v>588106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IFERROR(VLOOKUP(B179,input_588106!L:R,7,FALSE),VLOOKUP(tables_588106!C179,input_588106!A:H,8,FALSE))</f>
        <v>70977.600000000006</v>
      </c>
      <c r="P179" s="40">
        <f t="shared" ca="1" si="7"/>
        <v>4.5863013698481956E-3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input_588106!A$2</f>
        <v>588106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IFERROR(VLOOKUP(B180,input_588106!L:R,7,FALSE),VLOOKUP(tables_588106!C180,input_588106!A:H,8,FALSE))</f>
        <v>7886.4</v>
      </c>
      <c r="P180" s="40">
        <f t="shared" ca="1" si="7"/>
        <v>5.0958904109424386E-4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input_588106!A$2</f>
        <v>588106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IFERROR(VLOOKUP(B181,input_588106!L:R,7,FALSE),VLOOKUP(tables_588106!C181,input_588106!A:H,8,FALSE))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input_588106!A$2</f>
        <v>588106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IFERROR(VLOOKUP(B182,input_588106!L:R,7,FALSE),VLOOKUP(tables_588106!C182,input_588106!A:H,8,FALSE))</f>
        <v>70977.600000000006</v>
      </c>
      <c r="P182" s="40">
        <f t="shared" ca="1" si="7"/>
        <v>4.5863013698481956E-3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input_588106!A$2</f>
        <v>588106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IFERROR(VLOOKUP(B183,input_588106!L:R,7,FALSE),VLOOKUP(tables_588106!C183,input_588106!A:H,8,FALSE))</f>
        <v>7886.4</v>
      </c>
      <c r="P183" s="40">
        <f t="shared" ca="1" si="7"/>
        <v>5.0958904109424386E-4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input_588106!A$2</f>
        <v>588106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IFERROR(VLOOKUP(B184,input_588106!L:R,7,FALSE),VLOOKUP(tables_588106!C184,input_588106!A:H,8,FALSE))</f>
        <v>21992.21053</v>
      </c>
      <c r="P184" s="40">
        <f t="shared" ca="1" si="7"/>
        <v>1.4210526318124154E-3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input_588106!A$2</f>
        <v>588106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IFERROR(VLOOKUP(B185,input_588106!L:R,7,FALSE),VLOOKUP(tables_588106!C185,input_588106!A:H,8,FALSE))</f>
        <v>2443.5789500000001</v>
      </c>
      <c r="P185" s="40">
        <f t="shared" ca="1" si="7"/>
        <v>1.5789473701163768E-4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input_588106!A$2</f>
        <v>588106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IFERROR(VLOOKUP(B186,input_588106!L:R,7,FALSE),VLOOKUP(tables_588106!C186,input_588106!A:H,8,FALSE))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input_588106!A$2</f>
        <v>588106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IFERROR(VLOOKUP(B187,input_588106!L:R,7,FALSE),VLOOKUP(tables_588106!C187,input_588106!A:H,8,FALSE))</f>
        <v>70977.600000000006</v>
      </c>
      <c r="P187" s="40">
        <f t="shared" ca="1" si="7"/>
        <v>4.5863013698481956E-3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input_588106!A$2</f>
        <v>588106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IFERROR(VLOOKUP(B188,input_588106!L:R,7,FALSE),VLOOKUP(tables_588106!C188,input_588106!A:H,8,FALSE))</f>
        <v>7886.4</v>
      </c>
      <c r="P188" s="40">
        <f t="shared" ca="1" si="7"/>
        <v>5.0958904109424386E-4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input_588106!A$2</f>
        <v>588106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IFERROR(VLOOKUP(B189,input_588106!L:R,7,FALSE),VLOOKUP(tables_588106!C189,input_588106!A:H,8,FALSE))</f>
        <v>5256</v>
      </c>
      <c r="P189" s="40">
        <f t="shared" ca="1" si="7"/>
        <v>3.3962264150833661E-4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input_588106!A$2</f>
        <v>588106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IFERROR(VLOOKUP(B190,input_588106!L:R,7,FALSE),VLOOKUP(tables_588106!C190,input_588106!A:H,8,FALSE))</f>
        <v>584</v>
      </c>
      <c r="P190" s="40">
        <f t="shared" ca="1" si="7"/>
        <v>3.7735849056481844E-5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input_588106!A$2</f>
        <v>588106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IFERROR(VLOOKUP(B191,input_588106!L:R,7,FALSE),VLOOKUP(tables_588106!C191,input_588106!A:H,8,FALSE))</f>
        <v>5256</v>
      </c>
      <c r="P191" s="40">
        <f t="shared" ca="1" si="7"/>
        <v>3.3962264150833661E-4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input_588106!A$2</f>
        <v>588106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IFERROR(VLOOKUP(B192,input_588106!L:R,7,FALSE),VLOOKUP(tables_588106!C192,input_588106!A:H,8,FALSE))</f>
        <v>584</v>
      </c>
      <c r="P192" s="40">
        <f t="shared" ca="1" si="7"/>
        <v>3.7735849056481844E-5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input_588106!A$2</f>
        <v>588106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IFERROR(VLOOKUP(B193,input_588106!L:R,7,FALSE),VLOOKUP(tables_588106!C193,input_588106!A:H,8,FALSE))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input_588106!A$2</f>
        <v>588106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IFERROR(VLOOKUP(B194,input_588106!L:R,7,FALSE),VLOOKUP(tables_588106!C194,input_588106!A:H,8,FALSE))</f>
        <v>337915.09564999997</v>
      </c>
      <c r="P194" s="40">
        <f t="shared" ref="P194:P257" ca="1" si="10">O194/SUM(O:O)</f>
        <v>2.1834782608484631E-2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input_588106!A$2</f>
        <v>588106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IFERROR(VLOOKUP(B195,input_588106!L:R,7,FALSE),VLOOKUP(tables_588106!C195,input_588106!A:H,8,FALSE))</f>
        <v>15434.04781</v>
      </c>
      <c r="P195" s="40">
        <f t="shared" ca="1" si="10"/>
        <v>9.9728920974089755E-4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input_588106!A$2</f>
        <v>588106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IFERROR(VLOOKUP(B196,input_588106!L:R,7,FALSE),VLOOKUP(tables_588106!C196,input_588106!A:H,8,FALSE))</f>
        <v>5256</v>
      </c>
      <c r="P196" s="40">
        <f t="shared" ca="1" si="10"/>
        <v>3.3962264150833661E-4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input_588106!A$2</f>
        <v>588106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IFERROR(VLOOKUP(B197,input_588106!L:R,7,FALSE),VLOOKUP(tables_588106!C197,input_588106!A:H,8,FALSE))</f>
        <v>584</v>
      </c>
      <c r="P197" s="40">
        <f t="shared" ca="1" si="10"/>
        <v>3.7735849056481844E-5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input_588106!A$2</f>
        <v>588106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IFERROR(VLOOKUP(B198,input_588106!L:R,7,FALSE),VLOOKUP(tables_588106!C198,input_588106!A:H,8,FALSE))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input_588106!A$2</f>
        <v>588106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IFERROR(VLOOKUP(B199,input_588106!L:R,7,FALSE),VLOOKUP(tables_588106!C199,input_588106!A:H,8,FALSE))</f>
        <v>70977.600000000006</v>
      </c>
      <c r="P199" s="40">
        <f t="shared" ca="1" si="10"/>
        <v>4.5863013698481956E-3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input_588106!A$2</f>
        <v>588106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IFERROR(VLOOKUP(B200,input_588106!L:R,7,FALSE),VLOOKUP(tables_588106!C200,input_588106!A:H,8,FALSE))</f>
        <v>7886.4</v>
      </c>
      <c r="P200" s="40">
        <f t="shared" ca="1" si="10"/>
        <v>5.0958904109424386E-4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input_588106!A$2</f>
        <v>588106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IFERROR(VLOOKUP(B201,input_588106!L:R,7,FALSE),VLOOKUP(tables_588106!C201,input_588106!A:H,8,FALSE))</f>
        <v>5256</v>
      </c>
      <c r="P201" s="40">
        <f t="shared" ca="1" si="10"/>
        <v>3.3962264150833661E-4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input_588106!A$2</f>
        <v>588106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IFERROR(VLOOKUP(B202,input_588106!L:R,7,FALSE),VLOOKUP(tables_588106!C202,input_588106!A:H,8,FALSE))</f>
        <v>584</v>
      </c>
      <c r="P202" s="40">
        <f t="shared" ca="1" si="10"/>
        <v>3.7735849056481844E-5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input_588106!A$2</f>
        <v>588106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IFERROR(VLOOKUP(B203,input_588106!L:R,7,FALSE),VLOOKUP(tables_588106!C203,input_588106!A:H,8,FALSE))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input_588106!A$2</f>
        <v>588106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IFERROR(VLOOKUP(B204,input_588106!L:R,7,FALSE),VLOOKUP(tables_588106!C204,input_588106!A:H,8,FALSE))</f>
        <v>337915.09564999997</v>
      </c>
      <c r="P204" s="40">
        <f t="shared" ca="1" si="10"/>
        <v>2.1834782608484631E-2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input_588106!A$2</f>
        <v>588106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IFERROR(VLOOKUP(B205,input_588106!L:R,7,FALSE),VLOOKUP(tables_588106!C205,input_588106!A:H,8,FALSE))</f>
        <v>15434.04781</v>
      </c>
      <c r="P205" s="40">
        <f t="shared" ca="1" si="10"/>
        <v>9.9728920974089755E-4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input_588106!A$2</f>
        <v>588106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IFERROR(VLOOKUP(B206,input_588106!L:R,7,FALSE),VLOOKUP(tables_588106!C206,input_588106!A:H,8,FALSE))</f>
        <v>5256</v>
      </c>
      <c r="P206" s="40">
        <f t="shared" ca="1" si="10"/>
        <v>3.3962264150833661E-4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input_588106!A$2</f>
        <v>588106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IFERROR(VLOOKUP(B207,input_588106!L:R,7,FALSE),VLOOKUP(tables_588106!C207,input_588106!A:H,8,FALSE))</f>
        <v>584</v>
      </c>
      <c r="P207" s="40">
        <f t="shared" ca="1" si="10"/>
        <v>3.7735849056481844E-5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input_588106!A$2</f>
        <v>588106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IFERROR(VLOOKUP(B208,input_588106!L:R,7,FALSE),VLOOKUP(tables_588106!C208,input_588106!A:H,8,FALSE))</f>
        <v>5256</v>
      </c>
      <c r="P208" s="40">
        <f t="shared" ca="1" si="10"/>
        <v>3.3962264150833661E-4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input_588106!A$2</f>
        <v>588106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IFERROR(VLOOKUP(B209,input_588106!L:R,7,FALSE),VLOOKUP(tables_588106!C209,input_588106!A:H,8,FALSE))</f>
        <v>584</v>
      </c>
      <c r="P209" s="40">
        <f t="shared" ca="1" si="10"/>
        <v>3.7735849056481844E-5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input_588106!A$2</f>
        <v>588106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IFERROR(VLOOKUP(B210,input_588106!L:R,7,FALSE),VLOOKUP(tables_588106!C210,input_588106!A:H,8,FALSE))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input_588106!A$2</f>
        <v>588106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IFERROR(VLOOKUP(B211,input_588106!L:R,7,FALSE),VLOOKUP(tables_588106!C211,input_588106!A:H,8,FALSE))</f>
        <v>70977.600000000006</v>
      </c>
      <c r="P211" s="40">
        <f t="shared" ca="1" si="10"/>
        <v>4.5863013698481956E-3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input_588106!A$2</f>
        <v>588106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IFERROR(VLOOKUP(B212,input_588106!L:R,7,FALSE),VLOOKUP(tables_588106!C212,input_588106!A:H,8,FALSE))</f>
        <v>7886.4</v>
      </c>
      <c r="P212" s="40">
        <f t="shared" ca="1" si="10"/>
        <v>5.0958904109424386E-4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input_588106!A$2</f>
        <v>588106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IFERROR(VLOOKUP(B213,input_588106!L:R,7,FALSE),VLOOKUP(tables_588106!C213,input_588106!A:H,8,FALSE))</f>
        <v>21992.21053</v>
      </c>
      <c r="P213" s="40">
        <f t="shared" ca="1" si="10"/>
        <v>1.4210526318124154E-3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input_588106!A$2</f>
        <v>588106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IFERROR(VLOOKUP(B214,input_588106!L:R,7,FALSE),VLOOKUP(tables_588106!C214,input_588106!A:H,8,FALSE))</f>
        <v>2443.5789500000001</v>
      </c>
      <c r="P214" s="40">
        <f t="shared" ca="1" si="10"/>
        <v>1.5789473701163768E-4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input_588106!A$2</f>
        <v>588106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IFERROR(VLOOKUP(B215,input_588106!L:R,7,FALSE),VLOOKUP(tables_588106!C215,input_588106!A:H,8,FALSE))</f>
        <v>4433.3599999999997</v>
      </c>
      <c r="P215" s="40">
        <f t="shared" ca="1" si="10"/>
        <v>2.8646678728261018E-4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input_588106!A$2</f>
        <v>588106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IFERROR(VLOOKUP(B216,input_588106!L:R,7,FALSE),VLOOKUP(tables_588106!C216,input_588106!A:H,8,FALSE))</f>
        <v>4433.3599999999997</v>
      </c>
      <c r="P216" s="40">
        <f t="shared" ca="1" si="10"/>
        <v>2.8646678728261018E-4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input_588106!A$2</f>
        <v>588106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IFERROR(VLOOKUP(B217,input_588106!L:R,7,FALSE),VLOOKUP(tables_588106!C217,input_588106!A:H,8,FALSE))</f>
        <v>4433.3599999999997</v>
      </c>
      <c r="P217" s="40">
        <f t="shared" ca="1" si="10"/>
        <v>2.8646678728261018E-4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input_588106!A$2</f>
        <v>588106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IFERROR(VLOOKUP(B218,input_588106!L:R,7,FALSE),VLOOKUP(tables_588106!C218,input_588106!A:H,8,FALSE))</f>
        <v>11752.788409999999</v>
      </c>
      <c r="P218" s="40">
        <f t="shared" ca="1" si="10"/>
        <v>7.5942029012419389E-4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input_588106!A$2</f>
        <v>588106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IFERROR(VLOOKUP(B219,input_588106!L:R,7,FALSE),VLOOKUP(tables_588106!C219,input_588106!A:H,8,FALSE))</f>
        <v>4433.3599999999997</v>
      </c>
      <c r="P219" s="40">
        <f t="shared" ca="1" si="10"/>
        <v>2.8646678728261018E-4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input_588106!A$2</f>
        <v>588106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IFERROR(VLOOKUP(B220,input_588106!L:R,7,FALSE),VLOOKUP(tables_588106!C220,input_588106!A:H,8,FALSE))</f>
        <v>11752.788409999999</v>
      </c>
      <c r="P220" s="40">
        <f t="shared" ca="1" si="10"/>
        <v>7.5942029012419389E-4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input_588106!A$2</f>
        <v>588106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IFERROR(VLOOKUP(B221,input_588106!L:R,7,FALSE),VLOOKUP(tables_588106!C221,input_588106!A:H,8,FALSE))</f>
        <v>5256</v>
      </c>
      <c r="P221" s="40">
        <f t="shared" ca="1" si="10"/>
        <v>3.3962264150833661E-4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input_588106!A$2</f>
        <v>588106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IFERROR(VLOOKUP(B222,input_588106!L:R,7,FALSE),VLOOKUP(tables_588106!C222,input_588106!A:H,8,FALSE))</f>
        <v>584</v>
      </c>
      <c r="P222" s="40">
        <f t="shared" ca="1" si="10"/>
        <v>3.7735849056481844E-5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input_588106!A$2</f>
        <v>588106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IFERROR(VLOOKUP(B223,input_588106!L:R,7,FALSE),VLOOKUP(tables_588106!C223,input_588106!A:H,8,FALSE))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input_588106!A$2</f>
        <v>588106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IFERROR(VLOOKUP(B224,input_588106!L:R,7,FALSE),VLOOKUP(tables_588106!C224,input_588106!A:H,8,FALSE))</f>
        <v>70977.600000000006</v>
      </c>
      <c r="P224" s="40">
        <f t="shared" ca="1" si="10"/>
        <v>4.5863013698481956E-3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input_588106!A$2</f>
        <v>588106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IFERROR(VLOOKUP(B225,input_588106!L:R,7,FALSE),VLOOKUP(tables_588106!C225,input_588106!A:H,8,FALSE))</f>
        <v>7886.4</v>
      </c>
      <c r="P225" s="40">
        <f t="shared" ca="1" si="10"/>
        <v>5.0958904109424386E-4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input_588106!A$2</f>
        <v>588106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IFERROR(VLOOKUP(B226,input_588106!L:R,7,FALSE),VLOOKUP(tables_588106!C226,input_588106!A:H,8,FALSE))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input_588106!A$2</f>
        <v>588106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IFERROR(VLOOKUP(B227,input_588106!L:R,7,FALSE),VLOOKUP(tables_588106!C227,input_588106!A:H,8,FALSE))</f>
        <v>70977.600000000006</v>
      </c>
      <c r="P227" s="40">
        <f t="shared" ca="1" si="10"/>
        <v>4.5863013698481956E-3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input_588106!A$2</f>
        <v>588106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IFERROR(VLOOKUP(B228,input_588106!L:R,7,FALSE),VLOOKUP(tables_588106!C228,input_588106!A:H,8,FALSE))</f>
        <v>7886.4</v>
      </c>
      <c r="P228" s="40">
        <f t="shared" ca="1" si="10"/>
        <v>5.0958904109424386E-4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input_588106!A$2</f>
        <v>588106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IFERROR(VLOOKUP(B229,input_588106!L:R,7,FALSE),VLOOKUP(tables_588106!C229,input_588106!A:H,8,FALSE))</f>
        <v>21992.21053</v>
      </c>
      <c r="P229" s="40">
        <f t="shared" ca="1" si="10"/>
        <v>1.4210526318124154E-3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input_588106!A$2</f>
        <v>588106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IFERROR(VLOOKUP(B230,input_588106!L:R,7,FALSE),VLOOKUP(tables_588106!C230,input_588106!A:H,8,FALSE))</f>
        <v>2443.5789500000001</v>
      </c>
      <c r="P230" s="40">
        <f t="shared" ca="1" si="10"/>
        <v>1.5789473701163768E-4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input_588106!A$2</f>
        <v>588106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IFERROR(VLOOKUP(B231,input_588106!L:R,7,FALSE),VLOOKUP(tables_588106!C231,input_588106!A:H,8,FALSE))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input_588106!A$2</f>
        <v>588106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IFERROR(VLOOKUP(B232,input_588106!L:R,7,FALSE),VLOOKUP(tables_588106!C232,input_588106!A:H,8,FALSE))</f>
        <v>70977.600000000006</v>
      </c>
      <c r="P232" s="40">
        <f t="shared" ca="1" si="10"/>
        <v>4.5863013698481956E-3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input_588106!A$2</f>
        <v>588106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IFERROR(VLOOKUP(B233,input_588106!L:R,7,FALSE),VLOOKUP(tables_588106!C233,input_588106!A:H,8,FALSE))</f>
        <v>7886.4</v>
      </c>
      <c r="P233" s="40">
        <f t="shared" ca="1" si="10"/>
        <v>5.0958904109424386E-4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input_588106!A$2</f>
        <v>588106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IFERROR(VLOOKUP(B234,input_588106!L:R,7,FALSE),VLOOKUP(tables_588106!C234,input_588106!A:H,8,FALSE))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input_588106!A$2</f>
        <v>588106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IFERROR(VLOOKUP(B235,input_588106!L:R,7,FALSE),VLOOKUP(tables_588106!C235,input_588106!A:H,8,FALSE))</f>
        <v>70977.600000000006</v>
      </c>
      <c r="P235" s="40">
        <f t="shared" ca="1" si="10"/>
        <v>4.5863013698481956E-3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input_588106!A$2</f>
        <v>588106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IFERROR(VLOOKUP(B236,input_588106!L:R,7,FALSE),VLOOKUP(tables_588106!C236,input_588106!A:H,8,FALSE))</f>
        <v>7886.4</v>
      </c>
      <c r="P236" s="40">
        <f t="shared" ca="1" si="10"/>
        <v>5.0958904109424386E-4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input_588106!A$2</f>
        <v>588106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IFERROR(VLOOKUP(B237,input_588106!L:R,7,FALSE),VLOOKUP(tables_588106!C237,input_588106!A:H,8,FALSE))</f>
        <v>5256</v>
      </c>
      <c r="P237" s="40">
        <f t="shared" ca="1" si="10"/>
        <v>3.3962264150833661E-4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input_588106!A$2</f>
        <v>588106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IFERROR(VLOOKUP(B238,input_588106!L:R,7,FALSE),VLOOKUP(tables_588106!C238,input_588106!A:H,8,FALSE))</f>
        <v>584</v>
      </c>
      <c r="P238" s="40">
        <f t="shared" ca="1" si="10"/>
        <v>3.7735849056481844E-5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input_588106!A$2</f>
        <v>588106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IFERROR(VLOOKUP(B239,input_588106!L:R,7,FALSE),VLOOKUP(tables_588106!C239,input_588106!A:H,8,FALSE))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input_588106!A$2</f>
        <v>588106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IFERROR(VLOOKUP(B240,input_588106!L:R,7,FALSE),VLOOKUP(tables_588106!C240,input_588106!A:H,8,FALSE))</f>
        <v>337915.09564999997</v>
      </c>
      <c r="P240" s="40">
        <f t="shared" ca="1" si="10"/>
        <v>2.1834782608484631E-2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input_588106!A$2</f>
        <v>588106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IFERROR(VLOOKUP(B241,input_588106!L:R,7,FALSE),VLOOKUP(tables_588106!C241,input_588106!A:H,8,FALSE))</f>
        <v>15434.04781</v>
      </c>
      <c r="P241" s="40">
        <f t="shared" ca="1" si="10"/>
        <v>9.9728920974089755E-4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input_588106!A$2</f>
        <v>588106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IFERROR(VLOOKUP(B242,input_588106!L:R,7,FALSE),VLOOKUP(tables_588106!C242,input_588106!A:H,8,FALSE))</f>
        <v>5256</v>
      </c>
      <c r="P242" s="40">
        <f t="shared" ca="1" si="10"/>
        <v>3.3962264150833661E-4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input_588106!A$2</f>
        <v>588106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IFERROR(VLOOKUP(B243,input_588106!L:R,7,FALSE),VLOOKUP(tables_588106!C243,input_588106!A:H,8,FALSE))</f>
        <v>584</v>
      </c>
      <c r="P243" s="40">
        <f t="shared" ca="1" si="10"/>
        <v>3.7735849056481844E-5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input_588106!A$2</f>
        <v>588106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IFERROR(VLOOKUP(B244,input_588106!L:R,7,FALSE),VLOOKUP(tables_588106!C244,input_588106!A:H,8,FALSE))</f>
        <v>5256</v>
      </c>
      <c r="P244" s="40">
        <f t="shared" ca="1" si="10"/>
        <v>3.3962264150833661E-4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input_588106!A$2</f>
        <v>588106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IFERROR(VLOOKUP(B245,input_588106!L:R,7,FALSE),VLOOKUP(tables_588106!C245,input_588106!A:H,8,FALSE))</f>
        <v>584</v>
      </c>
      <c r="P245" s="40">
        <f t="shared" ca="1" si="10"/>
        <v>3.7735849056481844E-5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input_588106!A$2</f>
        <v>588106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IFERROR(VLOOKUP(B246,input_588106!L:R,7,FALSE),VLOOKUP(tables_588106!C246,input_588106!A:H,8,FALSE))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input_588106!A$2</f>
        <v>588106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IFERROR(VLOOKUP(B247,input_588106!L:R,7,FALSE),VLOOKUP(tables_588106!C247,input_588106!A:H,8,FALSE))</f>
        <v>70977.600000000006</v>
      </c>
      <c r="P247" s="40">
        <f t="shared" ca="1" si="10"/>
        <v>4.5863013698481956E-3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input_588106!A$2</f>
        <v>588106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IFERROR(VLOOKUP(B248,input_588106!L:R,7,FALSE),VLOOKUP(tables_588106!C248,input_588106!A:H,8,FALSE))</f>
        <v>7886.4</v>
      </c>
      <c r="P248" s="40">
        <f t="shared" ca="1" si="10"/>
        <v>5.0958904109424386E-4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input_588106!A$2</f>
        <v>588106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IFERROR(VLOOKUP(B249,input_588106!L:R,7,FALSE),VLOOKUP(tables_588106!C249,input_588106!A:H,8,FALSE))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input_588106!A$2</f>
        <v>588106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IFERROR(VLOOKUP(B250,input_588106!L:R,7,FALSE),VLOOKUP(tables_588106!C250,input_588106!A:H,8,FALSE))</f>
        <v>337915.09564999997</v>
      </c>
      <c r="P250" s="40">
        <f t="shared" ca="1" si="10"/>
        <v>2.1834782608484631E-2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input_588106!A$2</f>
        <v>588106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IFERROR(VLOOKUP(B251,input_588106!L:R,7,FALSE),VLOOKUP(tables_588106!C251,input_588106!A:H,8,FALSE))</f>
        <v>15434.04781</v>
      </c>
      <c r="P251" s="40">
        <f t="shared" ca="1" si="10"/>
        <v>9.9728920974089755E-4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input_588106!A$2</f>
        <v>588106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IFERROR(VLOOKUP(B252,input_588106!L:R,7,FALSE),VLOOKUP(tables_588106!C252,input_588106!A:H,8,FALSE))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input_588106!A$2</f>
        <v>588106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IFERROR(VLOOKUP(B253,input_588106!L:R,7,FALSE),VLOOKUP(tables_588106!C253,input_588106!A:H,8,FALSE))</f>
        <v>70977.600000000006</v>
      </c>
      <c r="P253" s="40">
        <f t="shared" ca="1" si="10"/>
        <v>4.5863013698481956E-3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input_588106!A$2</f>
        <v>588106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IFERROR(VLOOKUP(B254,input_588106!L:R,7,FALSE),VLOOKUP(tables_588106!C254,input_588106!A:H,8,FALSE))</f>
        <v>7886.4</v>
      </c>
      <c r="P254" s="40">
        <f t="shared" ca="1" si="10"/>
        <v>5.0958904109424386E-4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input_588106!A$2</f>
        <v>588106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IFERROR(VLOOKUP(B255,input_588106!L:R,7,FALSE),VLOOKUP(tables_588106!C255,input_588106!A:H,8,FALSE))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input_588106!A$2</f>
        <v>588106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IFERROR(VLOOKUP(B256,input_588106!L:R,7,FALSE),VLOOKUP(tables_588106!C256,input_588106!A:H,8,FALSE))</f>
        <v>70977.600000000006</v>
      </c>
      <c r="P256" s="40">
        <f t="shared" ca="1" si="10"/>
        <v>4.5863013698481956E-3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input_588106!A$2</f>
        <v>588106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IFERROR(VLOOKUP(B257,input_588106!L:R,7,FALSE),VLOOKUP(tables_588106!C257,input_588106!A:H,8,FALSE))</f>
        <v>7886.4</v>
      </c>
      <c r="P257" s="40">
        <f t="shared" ca="1" si="10"/>
        <v>5.0958904109424386E-4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input_588106!A$2</f>
        <v>588106</v>
      </c>
      <c r="B258" s="52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IFERROR(VLOOKUP(B258,input_588106!L:R,7,FALSE),VLOOKUP(tables_588106!C258,input_588106!A:H,8,FALSE))</f>
        <v>5256</v>
      </c>
      <c r="P258" s="40">
        <f t="shared" ref="P258:P305" ca="1" si="13">O258/SUM(O:O)</f>
        <v>3.3962264150833661E-4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input_588106!A$2</f>
        <v>588106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IFERROR(VLOOKUP(B259,input_588106!L:R,7,FALSE),VLOOKUP(tables_588106!C259,input_588106!A:H,8,FALSE))</f>
        <v>584</v>
      </c>
      <c r="P259" s="40">
        <f t="shared" ca="1" si="13"/>
        <v>3.7735849056481844E-5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input_588106!A$2</f>
        <v>588106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IFERROR(VLOOKUP(B260,input_588106!L:R,7,FALSE),VLOOKUP(tables_588106!C260,input_588106!A:H,8,FALSE))</f>
        <v>21992.21053</v>
      </c>
      <c r="P260" s="40">
        <f t="shared" ca="1" si="13"/>
        <v>1.4210526318124154E-3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input_588106!A$2</f>
        <v>588106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IFERROR(VLOOKUP(B261,input_588106!L:R,7,FALSE),VLOOKUP(tables_588106!C261,input_588106!A:H,8,FALSE))</f>
        <v>2443.5789500000001</v>
      </c>
      <c r="P261" s="40">
        <f t="shared" ca="1" si="13"/>
        <v>1.5789473701163768E-4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input_588106!A$2</f>
        <v>588106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IFERROR(VLOOKUP(B262,input_588106!L:R,7,FALSE),VLOOKUP(tables_588106!C262,input_588106!A:H,8,FALSE))</f>
        <v>73322.3</v>
      </c>
      <c r="P262" s="40">
        <f t="shared" ca="1" si="13"/>
        <v>4.7378069268391764E-3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input_588106!A$2</f>
        <v>588106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IFERROR(VLOOKUP(B263,input_588106!L:R,7,FALSE),VLOOKUP(tables_588106!C263,input_588106!A:H,8,FALSE))</f>
        <v>4433.3599999999997</v>
      </c>
      <c r="P263" s="40">
        <f t="shared" ca="1" si="13"/>
        <v>2.8646678728261018E-4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input_588106!A$2</f>
        <v>588106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IFERROR(VLOOKUP(B264,input_588106!L:R,7,FALSE),VLOOKUP(tables_588106!C264,input_588106!A:H,8,FALSE))</f>
        <v>73322.3</v>
      </c>
      <c r="P264" s="40">
        <f t="shared" ca="1" si="13"/>
        <v>4.7378069268391764E-3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input_588106!A$2</f>
        <v>588106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IFERROR(VLOOKUP(B265,input_588106!L:R,7,FALSE),VLOOKUP(tables_588106!C265,input_588106!A:H,8,FALSE))</f>
        <v>4433.3599999999997</v>
      </c>
      <c r="P265" s="40">
        <f t="shared" ca="1" si="13"/>
        <v>2.8646678728261018E-4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input_588106!A$2</f>
        <v>588106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IFERROR(VLOOKUP(B266,input_588106!L:R,7,FALSE),VLOOKUP(tables_588106!C266,input_588106!A:H,8,FALSE))</f>
        <v>5840</v>
      </c>
      <c r="P266" s="40">
        <f t="shared" ca="1" si="13"/>
        <v>3.7735849056481848E-4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input_588106!A$2</f>
        <v>588106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IFERROR(VLOOKUP(B267,input_588106!L:R,7,FALSE),VLOOKUP(tables_588106!C267,input_588106!A:H,8,FALSE))</f>
        <v>24435.78947</v>
      </c>
      <c r="P267" s="40">
        <f t="shared" ca="1" si="13"/>
        <v>1.5789473681778912E-3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input_588106!A$2</f>
        <v>588106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IFERROR(VLOOKUP(B268,input_588106!L:R,7,FALSE),VLOOKUP(tables_588106!C268,input_588106!A:H,8,FALSE))</f>
        <v>5840</v>
      </c>
      <c r="P268" s="40">
        <f t="shared" ca="1" si="13"/>
        <v>3.7735849056481848E-4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input_588106!A$2</f>
        <v>588106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IFERROR(VLOOKUP(B269,input_588106!L:R,7,FALSE),VLOOKUP(tables_588106!C269,input_588106!A:H,8,FALSE))</f>
        <v>5840</v>
      </c>
      <c r="P269" s="40">
        <f t="shared" ca="1" si="13"/>
        <v>3.7735849056481848E-4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input_588106!A$2</f>
        <v>588106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IFERROR(VLOOKUP(B270,input_588106!L:R,7,FALSE),VLOOKUP(tables_588106!C270,input_588106!A:H,8,FALSE))</f>
        <v>73322.3</v>
      </c>
      <c r="P270" s="40">
        <f t="shared" ca="1" si="13"/>
        <v>4.7378069268391764E-3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input_588106!A$2</f>
        <v>588106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IFERROR(VLOOKUP(B271,input_588106!L:R,7,FALSE),VLOOKUP(tables_588106!C271,input_588106!A:H,8,FALSE))</f>
        <v>4433.3599999999997</v>
      </c>
      <c r="P271" s="40">
        <f t="shared" ca="1" si="13"/>
        <v>2.8646678728261018E-4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input_588106!A$2</f>
        <v>588106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IFERROR(VLOOKUP(B272,input_588106!L:R,7,FALSE),VLOOKUP(tables_588106!C272,input_588106!A:H,8,FALSE))</f>
        <v>357832.03477999999</v>
      </c>
      <c r="P272" s="40">
        <f t="shared" ca="1" si="13"/>
        <v>2.3121739130191509E-2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input_588106!A$2</f>
        <v>588106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IFERROR(VLOOKUP(B273,input_588106!L:R,7,FALSE),VLOOKUP(tables_588106!C273,input_588106!A:H,8,FALSE))</f>
        <v>11752.788409999999</v>
      </c>
      <c r="P273" s="40">
        <f t="shared" ca="1" si="13"/>
        <v>7.5942029012419389E-4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input_588106!A$2</f>
        <v>588106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IFERROR(VLOOKUP(B274,input_588106!L:R,7,FALSE),VLOOKUP(tables_588106!C274,input_588106!A:H,8,FALSE))</f>
        <v>5256</v>
      </c>
      <c r="P274" s="40">
        <f t="shared" ca="1" si="13"/>
        <v>3.3962264150833661E-4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input_588106!A$2</f>
        <v>588106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IFERROR(VLOOKUP(B275,input_588106!L:R,7,FALSE),VLOOKUP(tables_588106!C275,input_588106!A:H,8,FALSE))</f>
        <v>584</v>
      </c>
      <c r="P275" s="40">
        <f t="shared" ca="1" si="13"/>
        <v>3.7735849056481844E-5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input_588106!A$2</f>
        <v>588106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IFERROR(VLOOKUP(B276,input_588106!L:R,7,FALSE),VLOOKUP(tables_588106!C276,input_588106!A:H,8,FALSE))</f>
        <v>5256</v>
      </c>
      <c r="P276" s="40">
        <f t="shared" ca="1" si="13"/>
        <v>3.3962264150833661E-4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input_588106!A$2</f>
        <v>588106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IFERROR(VLOOKUP(B277,input_588106!L:R,7,FALSE),VLOOKUP(tables_588106!C277,input_588106!A:H,8,FALSE))</f>
        <v>584</v>
      </c>
      <c r="P277" s="40">
        <f t="shared" ca="1" si="13"/>
        <v>3.7735849056481844E-5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input_588106!A$2</f>
        <v>588106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IFERROR(VLOOKUP(B278,input_588106!L:R,7,FALSE),VLOOKUP(tables_588106!C278,input_588106!A:H,8,FALSE))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input_588106!A$2</f>
        <v>588106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IFERROR(VLOOKUP(B279,input_588106!L:R,7,FALSE),VLOOKUP(tables_588106!C279,input_588106!A:H,8,FALSE))</f>
        <v>70977.600000000006</v>
      </c>
      <c r="P279" s="40">
        <f t="shared" ca="1" si="13"/>
        <v>4.5863013698481956E-3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input_588106!A$2</f>
        <v>588106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IFERROR(VLOOKUP(B280,input_588106!L:R,7,FALSE),VLOOKUP(tables_588106!C280,input_588106!A:H,8,FALSE))</f>
        <v>7886.4</v>
      </c>
      <c r="P280" s="40">
        <f t="shared" ca="1" si="13"/>
        <v>5.0958904109424386E-4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input_588106!A$2</f>
        <v>588106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IFERROR(VLOOKUP(B281,input_588106!L:R,7,FALSE),VLOOKUP(tables_588106!C281,input_588106!A:H,8,FALSE))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input_588106!A$2</f>
        <v>588106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IFERROR(VLOOKUP(B282,input_588106!L:R,7,FALSE),VLOOKUP(tables_588106!C282,input_588106!A:H,8,FALSE))</f>
        <v>337915.09564999997</v>
      </c>
      <c r="P282" s="40">
        <f t="shared" ca="1" si="13"/>
        <v>2.1834782608484631E-2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input_588106!A$2</f>
        <v>588106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IFERROR(VLOOKUP(B283,input_588106!L:R,7,FALSE),VLOOKUP(tables_588106!C283,input_588106!A:H,8,FALSE))</f>
        <v>15434.04781</v>
      </c>
      <c r="P283" s="40">
        <f t="shared" ca="1" si="13"/>
        <v>9.9728920974089755E-4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input_588106!A$2</f>
        <v>588106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IFERROR(VLOOKUP(B284,input_588106!L:R,7,FALSE),VLOOKUP(tables_588106!C284,input_588106!A:H,8,FALSE))</f>
        <v>5840</v>
      </c>
      <c r="P284" s="40">
        <f t="shared" ca="1" si="13"/>
        <v>3.7735849056481848E-4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input_588106!A$2</f>
        <v>588106</v>
      </c>
      <c r="B285" s="5">
        <v>850</v>
      </c>
      <c r="C285" s="7" t="str">
        <f t="shared" ref="C285:C290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IFERROR(VLOOKUP(B285,input_588106!L:R,7,FALSE),VLOOKUP(tables_588106!C285,input_588106!A:H,8,FALSE))</f>
        <v>5840</v>
      </c>
      <c r="P285" s="40">
        <f t="shared" ca="1" si="13"/>
        <v>3.7735849056481848E-4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input_588106!A$2</f>
        <v>588106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IFERROR(VLOOKUP(B286,input_588106!L:R,7,FALSE),VLOOKUP(tables_588106!C286,input_588106!A:H,8,FALSE))</f>
        <v>73322.3</v>
      </c>
      <c r="P286" s="40">
        <f t="shared" ca="1" si="13"/>
        <v>4.7378069268391764E-3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input_588106!A$2</f>
        <v>588106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IFERROR(VLOOKUP(B287,input_588106!L:R,7,FALSE),VLOOKUP(tables_588106!C287,input_588106!A:H,8,FALSE))</f>
        <v>4433.3599999999997</v>
      </c>
      <c r="P287" s="40">
        <f t="shared" ca="1" si="13"/>
        <v>2.8646678728261018E-4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input_588106!A$2</f>
        <v>588106</v>
      </c>
      <c r="B288" s="5">
        <v>854</v>
      </c>
      <c r="C288" s="7" t="str">
        <f t="shared" si="15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IFERROR(VLOOKUP(B288,input_588106!L:R,7,FALSE),VLOOKUP(tables_588106!C288,input_588106!A:H,8,FALSE))</f>
        <v>357832.03477999999</v>
      </c>
      <c r="P288" s="40">
        <f t="shared" ca="1" si="13"/>
        <v>2.3121739130191509E-2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input_588106!A$2</f>
        <v>588106</v>
      </c>
      <c r="B289" s="5">
        <v>855</v>
      </c>
      <c r="C289" s="7" t="str">
        <f t="shared" si="15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IFERROR(VLOOKUP(B289,input_588106!L:R,7,FALSE),VLOOKUP(tables_588106!C289,input_588106!A:H,8,FALSE))</f>
        <v>11752.788409999999</v>
      </c>
      <c r="P289" s="40">
        <f t="shared" ca="1" si="13"/>
        <v>7.5942029012419389E-4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input_588106!A$2</f>
        <v>588106</v>
      </c>
      <c r="B290" s="5">
        <v>862</v>
      </c>
      <c r="C290" s="7" t="str">
        <f t="shared" si="15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IFERROR(VLOOKUP(B290,input_588106!L:R,7,FALSE),VLOOKUP(tables_588106!C290,input_588106!A:H,8,FALSE))</f>
        <v>73322.3</v>
      </c>
      <c r="P290" s="40">
        <f t="shared" ca="1" si="13"/>
        <v>4.7378069268391764E-3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input_588106!A$2</f>
        <v>588106</v>
      </c>
      <c r="B291" s="5">
        <v>863</v>
      </c>
      <c r="C291" s="7" t="str">
        <f t="shared" ref="C291:C300" si="16">D291&amp;J291&amp;E291&amp;F291&amp;G291</f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IFERROR(VLOOKUP(B291,input_588106!L:R,7,FALSE),VLOOKUP(tables_588106!C291,input_588106!A:H,8,FALSE))</f>
        <v>4433.3599999999997</v>
      </c>
      <c r="P291" s="40">
        <f t="shared" ca="1" si="13"/>
        <v>2.8646678728261018E-4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input_588106!A$2</f>
        <v>588106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IFERROR(VLOOKUP(B292,input_588106!L:R,7,FALSE),VLOOKUP(tables_588106!C292,input_588106!A:H,8,FALSE))</f>
        <v>73322.3</v>
      </c>
      <c r="P292" s="40">
        <f t="shared" ca="1" si="13"/>
        <v>4.7378069268391764E-3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input_588106!A$2</f>
        <v>588106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IFERROR(VLOOKUP(B293,input_588106!L:R,7,FALSE),VLOOKUP(tables_588106!C293,input_588106!A:H,8,FALSE))</f>
        <v>4433.3599999999997</v>
      </c>
      <c r="P293" s="40">
        <f t="shared" ca="1" si="13"/>
        <v>2.8646678728261018E-4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input_588106!A$2</f>
        <v>588106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IFERROR(VLOOKUP(B294,input_588106!L:R,7,FALSE),VLOOKUP(tables_588106!C294,input_588106!A:H,8,FALSE))</f>
        <v>5840</v>
      </c>
      <c r="P294" s="40">
        <f t="shared" ca="1" si="13"/>
        <v>3.7735849056481848E-4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input_588106!A$2</f>
        <v>588106</v>
      </c>
      <c r="B295" s="5">
        <v>868</v>
      </c>
      <c r="C295" s="7" t="str">
        <f t="shared" si="16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IFERROR(VLOOKUP(B295,input_588106!L:R,7,FALSE),VLOOKUP(tables_588106!C295,input_588106!A:H,8,FALSE))</f>
        <v>24435.78947</v>
      </c>
      <c r="P295" s="40">
        <f t="shared" ca="1" si="13"/>
        <v>1.5789473681778912E-3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input_588106!A$2</f>
        <v>588106</v>
      </c>
      <c r="B296" s="5">
        <v>937</v>
      </c>
      <c r="C296" s="7" t="str">
        <f t="shared" si="16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IFERROR(VLOOKUP(B296,input_588106!L:R,7,FALSE),VLOOKUP(tables_588106!C296,input_588106!A:H,8,FALSE))</f>
        <v>5840</v>
      </c>
      <c r="P296" s="40">
        <f t="shared" ca="1" si="13"/>
        <v>3.7735849056481848E-4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input_588106!A$2</f>
        <v>588106</v>
      </c>
      <c r="B297" s="5">
        <v>939</v>
      </c>
      <c r="C297" s="7" t="str">
        <f t="shared" si="16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IFERROR(VLOOKUP(B297,input_588106!L:R,7,FALSE),VLOOKUP(tables_588106!C297,input_588106!A:H,8,FALSE))</f>
        <v>73322.3</v>
      </c>
      <c r="P297" s="40">
        <f t="shared" ca="1" si="13"/>
        <v>4.7378069268391764E-3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input_588106!A$2</f>
        <v>588106</v>
      </c>
      <c r="B298" s="5">
        <v>940</v>
      </c>
      <c r="C298" s="7" t="str">
        <f t="shared" si="16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IFERROR(VLOOKUP(B298,input_588106!L:R,7,FALSE),VLOOKUP(tables_588106!C298,input_588106!A:H,8,FALSE))</f>
        <v>4433.3599999999997</v>
      </c>
      <c r="P298" s="40">
        <f t="shared" ca="1" si="13"/>
        <v>2.8646678728261018E-4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input_588106!A$2</f>
        <v>588106</v>
      </c>
      <c r="B299" s="5">
        <v>941</v>
      </c>
      <c r="C299" s="7" t="str">
        <f t="shared" si="16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IFERROR(VLOOKUP(B299,input_588106!L:R,7,FALSE),VLOOKUP(tables_588106!C299,input_588106!A:H,8,FALSE))</f>
        <v>5840</v>
      </c>
      <c r="P299" s="40">
        <f t="shared" ca="1" si="13"/>
        <v>3.7735849056481848E-4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input_588106!A$2</f>
        <v>588106</v>
      </c>
      <c r="B300" s="5">
        <v>943</v>
      </c>
      <c r="C300" s="7" t="str">
        <f t="shared" si="16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IFERROR(VLOOKUP(B300,input_588106!L:R,7,FALSE),VLOOKUP(tables_588106!C300,input_588106!A:H,8,FALSE))</f>
        <v>24435.78947</v>
      </c>
      <c r="P300" s="40">
        <f t="shared" ca="1" si="13"/>
        <v>1.5789473681778912E-3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input_588106!A$2</f>
        <v>588106</v>
      </c>
      <c r="B301" s="5">
        <v>1012</v>
      </c>
      <c r="C301" s="7" t="str">
        <f t="shared" ref="C301:C305" si="17">D301&amp;J301&amp;E301&amp;F301&amp;G301</f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IFERROR(VLOOKUP(B301,input_588106!L:R,7,FALSE),VLOOKUP(tables_588106!C301,input_588106!A:H,8,FALSE))</f>
        <v>5840</v>
      </c>
      <c r="P301" s="40">
        <f t="shared" ca="1" si="13"/>
        <v>3.7735849056481848E-4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input_588106!A$2</f>
        <v>588106</v>
      </c>
      <c r="B302" s="5">
        <v>1014</v>
      </c>
      <c r="C302" s="7" t="str">
        <f t="shared" si="17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IFERROR(VLOOKUP(B302,input_588106!L:R,7,FALSE),VLOOKUP(tables_588106!C302,input_588106!A:H,8,FALSE))</f>
        <v>5840</v>
      </c>
      <c r="P302" s="40">
        <f t="shared" ca="1" si="13"/>
        <v>3.7735849056481848E-4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input_588106!A$2</f>
        <v>588106</v>
      </c>
      <c r="B303" s="5">
        <v>1016</v>
      </c>
      <c r="C303" s="7" t="str">
        <f t="shared" si="17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IFERROR(VLOOKUP(B303,input_588106!L:R,7,FALSE),VLOOKUP(tables_588106!C303,input_588106!A:H,8,FALSE))</f>
        <v>73322.3</v>
      </c>
      <c r="P303" s="40">
        <f t="shared" ca="1" si="13"/>
        <v>4.7378069268391764E-3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input_588106!A$2</f>
        <v>588106</v>
      </c>
      <c r="B304" s="5">
        <v>1017</v>
      </c>
      <c r="C304" s="7" t="str">
        <f t="shared" si="17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IFERROR(VLOOKUP(B304,input_588106!L:R,7,FALSE),VLOOKUP(tables_588106!C304,input_588106!A:H,8,FALSE))</f>
        <v>4433.3599999999997</v>
      </c>
      <c r="P304" s="40">
        <f t="shared" ca="1" si="13"/>
        <v>2.8646678728261018E-4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input_588106!A$2</f>
        <v>588106</v>
      </c>
      <c r="B305" s="5">
        <v>1018</v>
      </c>
      <c r="C305" s="7" t="str">
        <f t="shared" si="17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IFERROR(VLOOKUP(B305,input_588106!L:R,7,FALSE),VLOOKUP(tables_588106!C305,input_588106!A:H,8,FALSE))</f>
        <v>24435.78947</v>
      </c>
      <c r="P305" s="40">
        <f t="shared" ca="1" si="13"/>
        <v>1.5789473681778912E-3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input_588106!A$2</f>
        <v>588106</v>
      </c>
      <c r="B306" s="5">
        <v>1026</v>
      </c>
      <c r="C306" s="7" t="str">
        <f t="shared" ref="C306:C310" si="18">D306&amp;J306&amp;E306&amp;F306&amp;G306</f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IFERROR(VLOOKUP(B306,input_588106!L:R,7,FALSE),VLOOKUP(tables_588106!C306,input_588106!A:H,8,FALSE))</f>
        <v>73322.3</v>
      </c>
      <c r="P306" s="40">
        <f t="shared" ref="P306:P310" ca="1" si="19">O306/SUM(O:O)</f>
        <v>4.7378069268391764E-3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input_588106!A$2</f>
        <v>588106</v>
      </c>
      <c r="B307" s="5">
        <v>1027</v>
      </c>
      <c r="C307" s="7" t="str">
        <f t="shared" si="18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IFERROR(VLOOKUP(B307,input_588106!L:R,7,FALSE),VLOOKUP(tables_588106!C307,input_588106!A:H,8,FALSE))</f>
        <v>4433.3599999999997</v>
      </c>
      <c r="P307" s="40">
        <f t="shared" ca="1" si="19"/>
        <v>2.8646678728261018E-4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input_588106!A$2</f>
        <v>588106</v>
      </c>
      <c r="B308" s="5">
        <v>1028</v>
      </c>
      <c r="C308" s="7" t="str">
        <f t="shared" si="18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IFERROR(VLOOKUP(B308,input_588106!L:R,7,FALSE),VLOOKUP(tables_588106!C308,input_588106!A:H,8,FALSE))</f>
        <v>5840</v>
      </c>
      <c r="P308" s="40">
        <f t="shared" ca="1" si="19"/>
        <v>3.7735849056481848E-4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input_588106!A$2</f>
        <v>588106</v>
      </c>
      <c r="B309" s="5">
        <v>1031</v>
      </c>
      <c r="C309" s="7" t="str">
        <f t="shared" si="18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IFERROR(VLOOKUP(B309,input_588106!L:R,7,FALSE),VLOOKUP(tables_588106!C309,input_588106!A:H,8,FALSE))</f>
        <v>5840</v>
      </c>
      <c r="P309" s="40">
        <f t="shared" ca="1" si="19"/>
        <v>3.7735849056481848E-4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input_588106!A$2</f>
        <v>588106</v>
      </c>
      <c r="B310" s="5">
        <v>1033</v>
      </c>
      <c r="C310" s="7" t="str">
        <f t="shared" si="18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IFERROR(VLOOKUP(B310,input_588106!L:R,7,FALSE),VLOOKUP(tables_588106!C310,input_588106!A:H,8,FALSE))</f>
        <v>24435.78947</v>
      </c>
      <c r="P310" s="40">
        <f t="shared" ca="1" si="19"/>
        <v>1.5789473681778912E-3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input_588106!A$2</f>
        <v>588106</v>
      </c>
      <c r="B311" s="5">
        <v>1067</v>
      </c>
      <c r="C311" s="7" t="str">
        <f t="shared" ref="C311:C319" si="20">D311&amp;J311&amp;E311&amp;F311&amp;G311</f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IFERROR(VLOOKUP(B311,input_588106!L:R,7,FALSE),VLOOKUP(tables_588106!C311,input_588106!A:H,8,FALSE))</f>
        <v>73322.3</v>
      </c>
      <c r="P311" s="40">
        <f t="shared" ref="P311:P319" ca="1" si="21">O311/SUM(O:O)</f>
        <v>4.7378069268391764E-3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input_588106!A$2</f>
        <v>588106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IFERROR(VLOOKUP(B312,input_588106!L:R,7,FALSE),VLOOKUP(tables_588106!C312,input_588106!A:H,8,FALSE))</f>
        <v>4433.3599999999997</v>
      </c>
      <c r="P312" s="40">
        <f t="shared" ca="1" si="21"/>
        <v>2.8646678728261018E-4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input_588106!A$2</f>
        <v>588106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IFERROR(VLOOKUP(B313,input_588106!L:R,7,FALSE),VLOOKUP(tables_588106!C313,input_588106!A:H,8,FALSE))</f>
        <v>5840</v>
      </c>
      <c r="P313" s="40">
        <f t="shared" ca="1" si="21"/>
        <v>3.7735849056481848E-4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input_588106!A$2</f>
        <v>588106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IFERROR(VLOOKUP(B314,input_588106!L:R,7,FALSE),VLOOKUP(tables_588106!C314,input_588106!A:H,8,FALSE))</f>
        <v>5840</v>
      </c>
      <c r="P314" s="40">
        <f t="shared" ca="1" si="21"/>
        <v>3.7735849056481848E-4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input_588106!A$2</f>
        <v>588106</v>
      </c>
      <c r="B315" s="5">
        <v>1074</v>
      </c>
      <c r="C315" s="7" t="str">
        <f t="shared" si="20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IFERROR(VLOOKUP(B315,input_588106!L:R,7,FALSE),VLOOKUP(tables_588106!C315,input_588106!A:H,8,FALSE))</f>
        <v>24435.78947</v>
      </c>
      <c r="P315" s="40">
        <f t="shared" ca="1" si="21"/>
        <v>1.5789473681778912E-3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input_588106!A$2</f>
        <v>588106</v>
      </c>
      <c r="B316" s="5">
        <v>1100</v>
      </c>
      <c r="C316" s="7" t="str">
        <f t="shared" si="20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IFERROR(VLOOKUP(B316,input_588106!L:R,7,FALSE),VLOOKUP(tables_588106!C316,input_588106!A:H,8,FALSE))</f>
        <v>5840</v>
      </c>
      <c r="P316" s="40">
        <f t="shared" ca="1" si="21"/>
        <v>3.7735849056481848E-4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input_588106!A$2</f>
        <v>588106</v>
      </c>
      <c r="B317" s="5">
        <v>1102</v>
      </c>
      <c r="C317" s="7" t="str">
        <f t="shared" si="20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IFERROR(VLOOKUP(B317,input_588106!L:R,7,FALSE),VLOOKUP(tables_588106!C317,input_588106!A:H,8,FALSE))</f>
        <v>5840</v>
      </c>
      <c r="P317" s="40">
        <f t="shared" ca="1" si="21"/>
        <v>3.7735849056481848E-4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input_588106!A$2</f>
        <v>588106</v>
      </c>
      <c r="B318" s="5">
        <v>1104</v>
      </c>
      <c r="C318" s="7" t="str">
        <f t="shared" si="20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IFERROR(VLOOKUP(B318,input_588106!L:R,7,FALSE),VLOOKUP(tables_588106!C318,input_588106!A:H,8,FALSE))</f>
        <v>73322.3</v>
      </c>
      <c r="P318" s="40">
        <f t="shared" ca="1" si="21"/>
        <v>4.7378069268391764E-3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input_588106!A$2</f>
        <v>588106</v>
      </c>
      <c r="B319" s="5">
        <v>1105</v>
      </c>
      <c r="C319" s="7" t="str">
        <f t="shared" si="20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IFERROR(VLOOKUP(B319,input_588106!L:R,7,FALSE),VLOOKUP(tables_588106!C319,input_588106!A:H,8,FALSE))</f>
        <v>4433.3599999999997</v>
      </c>
      <c r="P319" s="40">
        <f t="shared" ca="1" si="21"/>
        <v>2.8646678728261018E-4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input_588106!A$2</f>
        <v>588106</v>
      </c>
      <c r="B320" s="5">
        <v>1106</v>
      </c>
      <c r="C320" s="7" t="str">
        <f t="shared" ref="C320:C324" si="22">D320&amp;J320&amp;E320&amp;F320&amp;G320</f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IFERROR(VLOOKUP(B320,input_588106!L:R,7,FALSE),VLOOKUP(tables_588106!C320,input_588106!A:H,8,FALSE))</f>
        <v>24435.78947</v>
      </c>
      <c r="P320" s="40">
        <f t="shared" ref="P320:P324" ca="1" si="23">O320/SUM(O:O)</f>
        <v>1.5789473681778912E-3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input_588106!A$2</f>
        <v>588106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IFERROR(VLOOKUP(B321,input_588106!L:R,7,FALSE),VLOOKUP(tables_588106!C321,input_588106!A:H,8,FALSE))</f>
        <v>5840</v>
      </c>
      <c r="P321" s="40">
        <f t="shared" ca="1" si="23"/>
        <v>3.7735849056481848E-4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input_588106!A$2</f>
        <v>588106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IFERROR(VLOOKUP(B322,input_588106!L:R,7,FALSE),VLOOKUP(tables_588106!C322,input_588106!A:H,8,FALSE))</f>
        <v>5840</v>
      </c>
      <c r="P322" s="40">
        <f t="shared" ca="1" si="23"/>
        <v>3.7735849056481848E-4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input_588106!A$2</f>
        <v>588106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IFERROR(VLOOKUP(B323,input_588106!L:R,7,FALSE),VLOOKUP(tables_588106!C323,input_588106!A:H,8,FALSE))</f>
        <v>5840</v>
      </c>
      <c r="P323" s="40">
        <f t="shared" ca="1" si="23"/>
        <v>3.7735849056481848E-4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input_588106!A$2</f>
        <v>588106</v>
      </c>
      <c r="B324" s="2">
        <v>1143</v>
      </c>
      <c r="C324" s="7" t="str">
        <f t="shared" si="22"/>
        <v>Premium4R3lesscolor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IFERROR(VLOOKUP(B324,input_588106!L:R,7,FALSE),VLOOKUP(tables_588106!C324,input_588106!A:H,8,FALSE))</f>
        <v>357832.03477999999</v>
      </c>
      <c r="P324" s="40">
        <f t="shared" ca="1" si="23"/>
        <v>2.3121739130191509E-2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input_588106!A$2</f>
        <v>588106</v>
      </c>
      <c r="B325" s="2">
        <v>1144</v>
      </c>
      <c r="C325" s="7" t="str">
        <f t="shared" ref="C325:C330" si="25">D325&amp;J325&amp;E325&amp;F325&amp;G325</f>
        <v>Premium5R3lesscolor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IFERROR(VLOOKUP(B325,input_588106!L:R,7,FALSE),VLOOKUP(tables_588106!C325,input_588106!A:H,8,FALSE))</f>
        <v>11752.788409999999</v>
      </c>
      <c r="P325" s="40">
        <f t="shared" ref="P325:P330" ca="1" si="26">O325/SUM(O:O)</f>
        <v>7.5942029012419389E-4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input_588106!A$2</f>
        <v>588106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IFERROR(VLOOKUP(B326,input_588106!L:R,7,FALSE),VLOOKUP(tables_588106!C326,input_588106!A:H,8,FALSE))</f>
        <v>73322.3</v>
      </c>
      <c r="P326" s="40">
        <f t="shared" ca="1" si="26"/>
        <v>4.7378069268391764E-3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input_588106!A$2</f>
        <v>588106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IFERROR(VLOOKUP(B327,input_588106!L:R,7,FALSE),VLOOKUP(tables_588106!C327,input_588106!A:H,8,FALSE))</f>
        <v>4433.3599999999997</v>
      </c>
      <c r="P327" s="40">
        <f t="shared" ca="1" si="26"/>
        <v>2.8646678728261018E-4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input_588106!A$2</f>
        <v>588106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IFERROR(VLOOKUP(B328,input_588106!L:R,7,FALSE),VLOOKUP(tables_588106!C328,input_588106!A:H,8,FALSE))</f>
        <v>5840</v>
      </c>
      <c r="P328" s="40">
        <f t="shared" ca="1" si="26"/>
        <v>3.7735849056481848E-4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input_588106!A$2</f>
        <v>588106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IFERROR(VLOOKUP(B329,input_588106!L:R,7,FALSE),VLOOKUP(tables_588106!C329,input_588106!A:H,8,FALSE))</f>
        <v>5840</v>
      </c>
      <c r="P329" s="40">
        <f t="shared" ca="1" si="26"/>
        <v>3.7735849056481848E-4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input_588106!A$2</f>
        <v>588106</v>
      </c>
      <c r="B330" s="2">
        <v>1157</v>
      </c>
      <c r="C330" s="7" t="str">
        <f t="shared" si="25"/>
        <v>PremiumSS5R5onlycolor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IFERROR(VLOOKUP(B330,input_588106!L:R,7,FALSE),VLOOKUP(tables_588106!C330,input_588106!A:H,8,FALSE))</f>
        <v>24435.78947</v>
      </c>
      <c r="P330" s="40">
        <f t="shared" ca="1" si="26"/>
        <v>1.5789473681778912E-3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input_588106!A$2</f>
        <v>588106</v>
      </c>
      <c r="B331" s="52">
        <v>1214</v>
      </c>
      <c r="C331" s="7" t="str">
        <f t="shared" ref="C331:C340" si="27">D331&amp;J331&amp;E331&amp;F331&amp;G331</f>
        <v>PremiumSS5R5onlycolor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IFERROR(VLOOKUP(B331,input_588106!L:R,7,FALSE),VLOOKUP(tables_588106!C331,input_588106!A:H,8,FALSE))</f>
        <v>24435.78947</v>
      </c>
      <c r="P331" s="40">
        <f t="shared" ref="P331:P340" ca="1" si="29">O331/SUM(O:O)</f>
        <v>1.5789473681778912E-3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input_588106!A$2</f>
        <v>588106</v>
      </c>
      <c r="B332" s="52">
        <v>1212</v>
      </c>
      <c r="C332" s="7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IFERROR(VLOOKUP(B332,input_588106!L:R,7,FALSE),VLOOKUP(tables_588106!C332,input_588106!A:H,8,FALSE))</f>
        <v>5840</v>
      </c>
      <c r="P332" s="40">
        <f t="shared" ca="1" si="29"/>
        <v>3.7735849056481848E-4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input_588106!A$2</f>
        <v>588106</v>
      </c>
      <c r="B333" s="52">
        <v>1208</v>
      </c>
      <c r="C333" s="7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IFERROR(VLOOKUP(B333,input_588106!L:R,7,FALSE),VLOOKUP(tables_588106!C333,input_588106!A:H,8,FALSE))</f>
        <v>5840</v>
      </c>
      <c r="P333" s="40">
        <f t="shared" ca="1" si="29"/>
        <v>3.7735849056481848E-4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input_588106!A$2</f>
        <v>588106</v>
      </c>
      <c r="B334" s="96">
        <v>1210</v>
      </c>
      <c r="C334" s="7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IFERROR(VLOOKUP(B334,input_588106!L:R,7,FALSE),VLOOKUP(tables_588106!C334,input_588106!A:H,8,FALSE))</f>
        <v>73322.3</v>
      </c>
      <c r="P334" s="40">
        <f t="shared" ca="1" si="29"/>
        <v>4.7378069268391764E-3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input_588106!A$2</f>
        <v>588106</v>
      </c>
      <c r="B335" s="52">
        <v>1211</v>
      </c>
      <c r="C335" s="7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IFERROR(VLOOKUP(B335,input_588106!L:R,7,FALSE),VLOOKUP(tables_588106!C335,input_588106!A:H,8,FALSE))</f>
        <v>4433.3599999999997</v>
      </c>
      <c r="P335" s="40">
        <f t="shared" ca="1" si="29"/>
        <v>2.8646678728261018E-4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input_588106!A$2</f>
        <v>588106</v>
      </c>
      <c r="B336" s="2">
        <v>1224</v>
      </c>
      <c r="C336" s="7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IFERROR(VLOOKUP(B336,input_588106!L:R,7,FALSE),VLOOKUP(tables_588106!C336,input_588106!A:H,8,FALSE))</f>
        <v>73322.3</v>
      </c>
      <c r="P336" s="40">
        <f t="shared" ca="1" si="29"/>
        <v>4.7378069268391764E-3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input_588106!A$2</f>
        <v>588106</v>
      </c>
      <c r="B337" s="2">
        <v>1225</v>
      </c>
      <c r="C337" s="7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IFERROR(VLOOKUP(B337,input_588106!L:R,7,FALSE),VLOOKUP(tables_588106!C337,input_588106!A:H,8,FALSE))</f>
        <v>4433.3599999999997</v>
      </c>
      <c r="P337" s="40">
        <f t="shared" ca="1" si="29"/>
        <v>2.8646678728261018E-4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input_588106!A$2</f>
        <v>588106</v>
      </c>
      <c r="B338" s="2">
        <v>1226</v>
      </c>
      <c r="C338" s="7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IFERROR(VLOOKUP(B338,input_588106!L:R,7,FALSE),VLOOKUP(tables_588106!C338,input_588106!A:H,8,FALSE))</f>
        <v>5840</v>
      </c>
      <c r="P338" s="40">
        <f t="shared" ca="1" si="29"/>
        <v>3.7735849056481848E-4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input_588106!A$2</f>
        <v>588106</v>
      </c>
      <c r="B339" s="2">
        <v>1228</v>
      </c>
      <c r="C339" s="7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IFERROR(VLOOKUP(B339,input_588106!L:R,7,FALSE),VLOOKUP(tables_588106!C339,input_588106!A:H,8,FALSE))</f>
        <v>5840</v>
      </c>
      <c r="P339" s="40">
        <f t="shared" ca="1" si="29"/>
        <v>3.7735849056481848E-4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input_588106!A$2</f>
        <v>588106</v>
      </c>
      <c r="B340" s="2">
        <v>1230</v>
      </c>
      <c r="C340" s="7" t="str">
        <f t="shared" si="27"/>
        <v>PremiumSS5R5onlycolor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IFERROR(VLOOKUP(B340,input_588106!L:R,7,FALSE),VLOOKUP(tables_588106!C340,input_588106!A:H,8,FALSE))</f>
        <v>24435.78947</v>
      </c>
      <c r="P340" s="40">
        <f t="shared" ca="1" si="29"/>
        <v>1.5789473681778912E-3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input_588106!A$2</f>
        <v>588106</v>
      </c>
      <c r="B341" s="2">
        <v>1244</v>
      </c>
      <c r="C341" s="7" t="str">
        <f t="shared" ref="C341" si="30">D341&amp;J341&amp;E341&amp;F341&amp;G341</f>
        <v>PremiumSS5R5only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IFERROR(VLOOKUP(B341,input_588106!L:R,7,FALSE),VLOOKUP(tables_588106!C341,input_588106!A:H,8,FALSE))</f>
        <v>5840</v>
      </c>
      <c r="P341" s="40">
        <f t="shared" ref="P341" ca="1" si="32">O341/SUM(O:O)</f>
        <v>3.7735849056481848E-4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input_588106!A$2</f>
        <v>588106</v>
      </c>
      <c r="B342" s="2">
        <v>1246</v>
      </c>
      <c r="C342" s="7" t="str">
        <f t="shared" ref="C342:C346" si="33">D342&amp;J342&amp;E342&amp;F342&amp;G342</f>
        <v>PremiumSS5R5only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IFERROR(VLOOKUP(B342,input_588106!L:R,7,FALSE),VLOOKUP(tables_588106!C342,input_588106!A:H,8,FALSE))</f>
        <v>5840</v>
      </c>
      <c r="P342" s="40">
        <f t="shared" ref="P342:P346" ca="1" si="35">O342/SUM(O:O)</f>
        <v>3.7735849056481848E-4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input_588106!A$2</f>
        <v>588106</v>
      </c>
      <c r="B343" s="2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IFERROR(VLOOKUP(B343,input_588106!L:R,7,FALSE),VLOOKUP(tables_588106!C343,input_588106!A:H,8,FALSE))</f>
        <v>73322.3</v>
      </c>
      <c r="P343" s="40">
        <f t="shared" ca="1" si="35"/>
        <v>4.7378069268391764E-3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input_588106!A$2</f>
        <v>588106</v>
      </c>
      <c r="B344" s="2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IFERROR(VLOOKUP(B344,input_588106!L:R,7,FALSE),VLOOKUP(tables_588106!C344,input_588106!A:H,8,FALSE))</f>
        <v>4433.3599999999997</v>
      </c>
      <c r="P344" s="40">
        <f t="shared" ca="1" si="35"/>
        <v>2.8646678728261018E-4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input_588106!A$2</f>
        <v>588106</v>
      </c>
      <c r="B345" s="2">
        <v>1250</v>
      </c>
      <c r="C345" s="7" t="str">
        <f t="shared" si="33"/>
        <v>PremiumSS5R5onlycolor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IFERROR(VLOOKUP(B345,input_588106!L:R,7,FALSE),VLOOKUP(tables_588106!C345,input_588106!A:H,8,FALSE))</f>
        <v>24435.78947</v>
      </c>
      <c r="P345" s="40">
        <f t="shared" ca="1" si="35"/>
        <v>1.5789473681778912E-3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input_588106!A$2</f>
        <v>588106</v>
      </c>
      <c r="B346" s="1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IFERROR(VLOOKUP(B346,input_588106!L:R,7,FALSE),VLOOKUP(tables_588106!C346,input_588106!A:H,8,FALSE))</f>
        <v>5840</v>
      </c>
      <c r="P346" s="40">
        <f t="shared" ca="1" si="35"/>
        <v>3.7735849056481848E-4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input_588106!A$2</f>
        <v>588106</v>
      </c>
      <c r="B347" s="1">
        <v>1262</v>
      </c>
      <c r="C347" s="7" t="str">
        <f t="shared" ref="C347:C356" si="36">D347&amp;J347&amp;E347&amp;F347&amp;G347</f>
        <v>PremiumSS5R5only</v>
      </c>
      <c r="D347" s="7" t="str">
        <f t="shared" ref="D347:D356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IFERROR(VLOOKUP(B347,input_588106!L:R,7,FALSE),VLOOKUP(tables_588106!C347,input_588106!A:H,8,FALSE))</f>
        <v>5840</v>
      </c>
      <c r="P347" s="40">
        <f t="shared" ref="P347:P350" ca="1" si="38">O347/SUM(O:O)</f>
        <v>3.7735849056481848E-4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input_588106!A$2</f>
        <v>588106</v>
      </c>
      <c r="B348" s="1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IFERROR(VLOOKUP(B348,input_588106!L:R,7,FALSE),VLOOKUP(tables_588106!C348,input_588106!A:H,8,FALSE))</f>
        <v>5840</v>
      </c>
      <c r="P348" s="40">
        <f t="shared" ca="1" si="38"/>
        <v>3.7735849056481848E-4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input_588106!A$2</f>
        <v>588106</v>
      </c>
      <c r="B349" s="1">
        <v>1266</v>
      </c>
      <c r="C349" s="7" t="str">
        <f t="shared" si="36"/>
        <v>Premium4R3lesscolor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IFERROR(VLOOKUP(B349,input_588106!L:R,7,FALSE),VLOOKUP(tables_588106!C349,input_588106!A:H,8,FALSE))</f>
        <v>357832.03477999999</v>
      </c>
      <c r="P349" s="40">
        <f t="shared" ca="1" si="38"/>
        <v>2.3121739130191509E-2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input_588106!A$2</f>
        <v>588106</v>
      </c>
      <c r="B350" s="1">
        <v>1267</v>
      </c>
      <c r="C350" s="7" t="str">
        <f t="shared" si="36"/>
        <v>Premium5R3lesscolor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IFERROR(VLOOKUP(B350,input_588106!L:R,7,FALSE),VLOOKUP(tables_588106!C350,input_588106!A:H,8,FALSE))</f>
        <v>11752.788409999999</v>
      </c>
      <c r="P350" s="40">
        <f t="shared" ca="1" si="38"/>
        <v>7.5942029012419389E-4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input_588106!A$2</f>
        <v>588106</v>
      </c>
      <c r="B351" s="102">
        <v>1332</v>
      </c>
      <c r="C351" s="86" t="str">
        <f t="shared" si="36"/>
        <v>PremiumSS5R5only</v>
      </c>
      <c r="D351" s="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IFERROR(VLOOKUP(B351,input_588106!L:R,7,FALSE),VLOOKUP(tables_588106!C351,input_588106!A:H,8,FALSE))</f>
        <v>5840</v>
      </c>
      <c r="P351" s="40">
        <f t="shared" ref="P351:P356" ca="1" si="39">O351/SUM(O:O)</f>
        <v>3.7735849056481848E-4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input_588106!A$2</f>
        <v>588106</v>
      </c>
      <c r="B352" s="102">
        <v>1336</v>
      </c>
      <c r="C352" s="86" t="str">
        <f t="shared" si="36"/>
        <v>PremiumSS5R5only</v>
      </c>
      <c r="D352" s="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IFERROR(VLOOKUP(B352,input_588106!L:R,7,FALSE),VLOOKUP(tables_588106!C352,input_588106!A:H,8,FALSE))</f>
        <v>5840</v>
      </c>
      <c r="P352" s="40">
        <f t="shared" ca="1" si="39"/>
        <v>3.7735849056481848E-4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input_588106!A$2</f>
        <v>588106</v>
      </c>
      <c r="B353" s="102">
        <v>1338</v>
      </c>
      <c r="C353" s="86" t="str">
        <f t="shared" si="36"/>
        <v>PremiumSS5R5onlycolor</v>
      </c>
      <c r="D353" s="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IFERROR(VLOOKUP(B353,input_588106!L:R,7,FALSE),VLOOKUP(tables_588106!C353,input_588106!A:H,8,FALSE))</f>
        <v>24435.78947</v>
      </c>
      <c r="P353" s="40">
        <f t="shared" ca="1" si="39"/>
        <v>1.5789473681778912E-3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input_588106!A$2</f>
        <v>588106</v>
      </c>
      <c r="B354" s="102">
        <v>1334</v>
      </c>
      <c r="C354" s="86" t="str">
        <f t="shared" si="36"/>
        <v>Premium4R3less</v>
      </c>
      <c r="D354" s="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IFERROR(VLOOKUP(B354,input_588106!L:R,7,FALSE),VLOOKUP(tables_588106!C354,input_588106!A:H,8,FALSE))</f>
        <v>73322.3</v>
      </c>
      <c r="P354" s="40">
        <f t="shared" ca="1" si="39"/>
        <v>4.7378069268391764E-3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input_588106!A$2</f>
        <v>588106</v>
      </c>
      <c r="B355" s="102">
        <v>1335</v>
      </c>
      <c r="C355" s="86" t="str">
        <f t="shared" si="36"/>
        <v>Premium5R3less</v>
      </c>
      <c r="D355" s="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IFERROR(VLOOKUP(B355,input_588106!L:R,7,FALSE),VLOOKUP(tables_588106!C355,input_588106!A:H,8,FALSE))</f>
        <v>4433.3599999999997</v>
      </c>
      <c r="P355" s="40">
        <f t="shared" ca="1" si="39"/>
        <v>2.8646678728261018E-4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input_588106!A$2</f>
        <v>588106</v>
      </c>
      <c r="B356" s="1">
        <v>1161</v>
      </c>
      <c r="C356" s="86" t="str">
        <f t="shared" si="36"/>
        <v>PremiumSSS5R3lesscolor</v>
      </c>
      <c r="D356" s="7" t="str">
        <f t="shared" si="37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IFERROR(VLOOKUP(B356,input_588106!L:R,7,FALSE),VLOOKUP(tables_588106!C356,input_588106!A:H,8,FALSE))</f>
        <v>309520</v>
      </c>
      <c r="P356" s="40">
        <f t="shared" ca="1" si="39"/>
        <v>1.9999999999935378E-2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topLeftCell="A11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588100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1161</v>
      </c>
      <c r="M3" s="31" t="str">
        <f>VLOOKUP(L3,[1]characters!$A:$C,3,FALSE)</f>
        <v>ヒルベルト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VLOOKUP(L3,tables_588100!B:C,2,FALSE)</f>
        <v>PremiumSSS5R3lesscolor</v>
      </c>
      <c r="R3" s="53">
        <f t="shared" ref="R3:R20" si="1">N3*A$51</f>
        <v>371424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VLOOKUP(L4,tables_588100!B:C,2,FALSE)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3.7735849056603783E-4</v>
      </c>
      <c r="F5">
        <f>(COUNTIF(tables_588100!C:C,input_588100!A28)+COUNTIF(tables_588100!C:C,input_588100!A29))</f>
        <v>53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VLOOKUP(L5,tables_588100!B:C,2,FALSE)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1.5789473684210526E-3</v>
      </c>
      <c r="F6">
        <f>(COUNTIF(tables_588100!C:C,input_588100!A43)+COUNTIF(tables_588100!C:C,input_588100!A44))</f>
        <v>19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VLOOKUP(L6,tables_588100!B:C,2,FALSE)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5.0739726027397257E-3</v>
      </c>
      <c r="F7">
        <f>(COUNTIF(tables_588100!C:C,input_588100!A25)+COUNTIF(tables_588100!C:C,input_588100!A18)+COUNTIF(tables_588100!C:C,input_588100!A20)+COUNTIF(tables_588100!C:C,input_588100!A22))</f>
        <v>73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VLOOKUP(L7,tables_588100!B:C,2,FALSE)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2.4156521739130434E-2</v>
      </c>
      <c r="F8">
        <f>(COUNTIF(tables_588100!C:C,input_588100!A40)+COUNTIF(tables_588100!C:C,input_588100!A33)+COUNTIF(tables_588100!C:C,input_588100!A35)+COUNTIF(tables_588100!C:C,input_588100!A37))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VLOOKUP(L8,tables_588100!B:C,2,FALSE)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VLOOKUP(L9,tables_588100!B:C,2,FALSE)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VLOOKUP(L10,tables_588100!B:C,2,FALSE)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VLOOKUP(L11,tables_588100!B:C,2,FALSE)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VLOOKUP(L12,tables_588100!B:C,2,FALSE)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VLOOKUP(L13,tables_588100!B:C,2,FALSE)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VLOOKUP(L14,tables_588100!B:C,2,FALSE)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VLOOKUP(L15,tables_588100!B:C,2,FALSE)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VLOOKUP(L16,tables_588100!B:C,2,FALSE)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COUNTIF(tables_588100!C:C,input_588100!A17)-COUNTIF(Q:Q,A17)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VLOOKUP(L17,tables_588100!B:C,2,FALSE)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8.5709589041095935E-2</v>
      </c>
      <c r="C18" s="75">
        <f t="shared" si="2"/>
        <v>0</v>
      </c>
      <c r="D18" s="66">
        <f t="shared" si="3"/>
        <v>8.5709589041095935E-2</v>
      </c>
      <c r="E18">
        <f>COUNTIF(tables_588100!C:C,input_588100!A18)-COUNTIF(Q:Q,A18)</f>
        <v>15</v>
      </c>
      <c r="F18" s="37">
        <f>IFERROR(B18/E18,0)</f>
        <v>5.7139726027397291E-3</v>
      </c>
      <c r="G18">
        <f t="shared" si="4"/>
        <v>1326441.6000000008</v>
      </c>
      <c r="H18">
        <f t="shared" si="5"/>
        <v>88429.440000000002</v>
      </c>
      <c r="I18">
        <f t="shared" si="6"/>
        <v>0.44000000000232831</v>
      </c>
      <c r="J18">
        <f t="shared" si="7"/>
        <v>2.2727272727152465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VLOOKUP(L18,tables_588100!B:C,2,FALSE)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COUNTIF(tables_588100!C:C,input_588100!A19)-COUNTIF(Q:Q,A19)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VLOOKUP(L19,tables_588100!B:C,2,FALSE)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0.17809643835616437</v>
      </c>
      <c r="C20" s="75">
        <f t="shared" si="2"/>
        <v>0</v>
      </c>
      <c r="D20" s="66">
        <f t="shared" si="3"/>
        <v>0.17809643835616437</v>
      </c>
      <c r="E20">
        <f>COUNTIF(tables_588100!C:C,input_588100!A20)-COUNTIF(Q:Q,A20)</f>
        <v>39</v>
      </c>
      <c r="F20" s="37">
        <f t="shared" si="8"/>
        <v>4.5665753424657535E-3</v>
      </c>
      <c r="G20">
        <f t="shared" si="4"/>
        <v>2756220.48</v>
      </c>
      <c r="H20">
        <f t="shared" si="5"/>
        <v>70672.320000000007</v>
      </c>
      <c r="I20">
        <f t="shared" si="6"/>
        <v>0.32000000000698492</v>
      </c>
      <c r="J20">
        <f t="shared" si="7"/>
        <v>3.1249999999317879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VLOOKUP(L20,tables_588100!B:C,2,FALSE)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1.9788493150684931E-2</v>
      </c>
      <c r="C21" s="75">
        <f t="shared" si="2"/>
        <v>0</v>
      </c>
      <c r="D21" s="66">
        <f t="shared" si="3"/>
        <v>1.9788493150684931E-2</v>
      </c>
      <c r="E21">
        <f>COUNTIF(tables_588100!C:C,input_588100!A21)-COUNTIF(Q:Q,A21)</f>
        <v>39</v>
      </c>
      <c r="F21" s="37">
        <f t="shared" si="8"/>
        <v>5.0739726027397255E-4</v>
      </c>
      <c r="G21">
        <f t="shared" si="4"/>
        <v>306246.71999999997</v>
      </c>
      <c r="H21">
        <f t="shared" si="5"/>
        <v>7852.48</v>
      </c>
      <c r="I21">
        <f t="shared" si="6"/>
        <v>0.47999999999956344</v>
      </c>
      <c r="J21">
        <f t="shared" si="7"/>
        <v>2.083333333335228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7.5362171103644349E-2</v>
      </c>
      <c r="C22" s="75">
        <f t="shared" si="2"/>
        <v>0</v>
      </c>
      <c r="D22" s="66">
        <f t="shared" si="3"/>
        <v>7.5362171103644349E-2</v>
      </c>
      <c r="E22">
        <f>COUNTIF(tables_588100!C:C,input_588100!A22)-COUNTIF(Q:Q,A22)</f>
        <v>16</v>
      </c>
      <c r="F22" s="37">
        <f t="shared" si="8"/>
        <v>4.7101356939777718E-3</v>
      </c>
      <c r="G22">
        <f t="shared" si="4"/>
        <v>1166304.96</v>
      </c>
      <c r="H22">
        <f t="shared" si="5"/>
        <v>72894.06</v>
      </c>
      <c r="I22">
        <f t="shared" si="6"/>
        <v>5.9999999997671694E-2</v>
      </c>
      <c r="J22">
        <f t="shared" si="7"/>
        <v>16.666666667313418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5.8213905401912694E-3</v>
      </c>
      <c r="C23" s="75">
        <f t="shared" si="2"/>
        <v>0</v>
      </c>
      <c r="D23" s="66">
        <f t="shared" si="3"/>
        <v>5.8213905401912694E-3</v>
      </c>
      <c r="E23">
        <f>COUNTIF(tables_588100!C:C,input_588100!A23)-COUNTIF(Q:Q,A23)</f>
        <v>20</v>
      </c>
      <c r="F23" s="37">
        <f t="shared" si="8"/>
        <v>2.9106952700956346E-4</v>
      </c>
      <c r="G23">
        <f t="shared" si="4"/>
        <v>90091.840000000084</v>
      </c>
      <c r="H23">
        <f t="shared" si="5"/>
        <v>4504.5919999999996</v>
      </c>
      <c r="I23">
        <f t="shared" si="6"/>
        <v>0.59199999999964348</v>
      </c>
      <c r="J23">
        <f t="shared" si="7"/>
        <v>1.6891891891902064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COUNTIF(tables_588100!C:C,input_588100!A24)-COUNTIF(Q:Q,A24)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1.369972602739726E-2</v>
      </c>
      <c r="C25" s="75">
        <f t="shared" si="2"/>
        <v>0</v>
      </c>
      <c r="D25" s="66">
        <f t="shared" si="3"/>
        <v>1.369972602739726E-2</v>
      </c>
      <c r="E25">
        <f>COUNTIF(tables_588100!C:C,input_588100!A25)-COUNTIF(Q:Q,A25)</f>
        <v>3</v>
      </c>
      <c r="F25" s="37">
        <f t="shared" si="8"/>
        <v>4.5665753424657535E-3</v>
      </c>
      <c r="G25">
        <f t="shared" si="4"/>
        <v>212016.96</v>
      </c>
      <c r="H25">
        <f t="shared" si="5"/>
        <v>70672.320000000007</v>
      </c>
      <c r="I25">
        <f t="shared" si="6"/>
        <v>0.32000000000698492</v>
      </c>
      <c r="J25">
        <f t="shared" si="7"/>
        <v>3.1249999999317879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1.5221917808219175E-3</v>
      </c>
      <c r="C26" s="75">
        <f t="shared" si="2"/>
        <v>0</v>
      </c>
      <c r="D26" s="66">
        <f t="shared" si="3"/>
        <v>1.5221917808219175E-3</v>
      </c>
      <c r="E26">
        <f>COUNTIF(tables_588100!C:C,input_588100!A26)-COUNTIF(Q:Q,A26)</f>
        <v>3</v>
      </c>
      <c r="F26" s="37">
        <f t="shared" si="8"/>
        <v>5.0739726027397255E-4</v>
      </c>
      <c r="G26">
        <f t="shared" si="4"/>
        <v>23557.439999999995</v>
      </c>
      <c r="H26">
        <f t="shared" si="5"/>
        <v>7852.48</v>
      </c>
      <c r="I26">
        <f t="shared" si="6"/>
        <v>0.47999999999956344</v>
      </c>
      <c r="J26">
        <f t="shared" si="7"/>
        <v>2.083333333335228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7.1320754716981145E-3</v>
      </c>
      <c r="C27" s="75">
        <f t="shared" si="2"/>
        <v>0</v>
      </c>
      <c r="D27" s="66">
        <f t="shared" si="3"/>
        <v>7.1320754716981145E-3</v>
      </c>
      <c r="E27">
        <f>COUNTIF(tables_588100!C:C,input_588100!A27)-COUNTIF(Q:Q,A27)</f>
        <v>21</v>
      </c>
      <c r="F27" s="37">
        <f>IFERROR(B27/E27,0)</f>
        <v>3.3962264150943404E-4</v>
      </c>
      <c r="G27">
        <f t="shared" si="4"/>
        <v>110376.00000000001</v>
      </c>
      <c r="H27">
        <f t="shared" si="5"/>
        <v>5256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7.9245283018867943E-4</v>
      </c>
      <c r="C28" s="75">
        <f t="shared" si="2"/>
        <v>0</v>
      </c>
      <c r="D28" s="66">
        <f t="shared" si="3"/>
        <v>7.9245283018867943E-4</v>
      </c>
      <c r="E28">
        <f>COUNTIF(tables_588100!C:C,input_588100!A28)-COUNTIF(Q:Q,A28)</f>
        <v>21</v>
      </c>
      <c r="F28" s="37">
        <f t="shared" si="8"/>
        <v>3.7735849056603783E-5</v>
      </c>
      <c r="G28">
        <f t="shared" si="4"/>
        <v>12264.000000000004</v>
      </c>
      <c r="H28">
        <f t="shared" si="5"/>
        <v>584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1.207547169811321E-2</v>
      </c>
      <c r="C29" s="75">
        <f t="shared" si="2"/>
        <v>0</v>
      </c>
      <c r="D29" s="66">
        <f t="shared" si="3"/>
        <v>1.207547169811321E-2</v>
      </c>
      <c r="E29">
        <f>COUNTIF(tables_588100!C:C,input_588100!A29)-COUNTIF(Q:Q,A29)</f>
        <v>32</v>
      </c>
      <c r="F29" s="37">
        <f t="shared" si="8"/>
        <v>3.7735849056603783E-4</v>
      </c>
      <c r="G29">
        <f t="shared" si="4"/>
        <v>186880.00000000006</v>
      </c>
      <c r="H29">
        <f t="shared" si="5"/>
        <v>5840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COUNTIF(tables_588100!C:C,input_588100!A30)-COUNTIF(Q:Q,A30)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COUNTIF(tables_588100!C:C,input_588100!A31)-COUNTIF(Q:Q,A31)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COUNTIF(tables_588100!C:C,input_588100!A32)-COUNTIF(Q:Q,A32)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0.13154828375286043</v>
      </c>
      <c r="C33" s="75">
        <f t="shared" si="2"/>
        <v>0</v>
      </c>
      <c r="D33" s="66">
        <f t="shared" si="3"/>
        <v>0.13154828375286043</v>
      </c>
      <c r="E33">
        <f>COUNTIF(tables_588100!C:C,input_588100!A33)-COUNTIF(Q:Q,A33)</f>
        <v>5</v>
      </c>
      <c r="F33" s="37">
        <f>IFERROR(B33/E33,0)</f>
        <v>2.6309656750572084E-2</v>
      </c>
      <c r="G33">
        <f t="shared" si="4"/>
        <v>2035841.239359268</v>
      </c>
      <c r="H33">
        <f t="shared" si="5"/>
        <v>407168.24787000002</v>
      </c>
      <c r="I33">
        <f t="shared" si="6"/>
        <v>0.24787000002106652</v>
      </c>
      <c r="J33">
        <f t="shared" si="7"/>
        <v>4.034372856396538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COUNTIF(tables_588100!C:C,input_588100!A34)-COUNTIF(Q:Q,A34)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0.28263130434782613</v>
      </c>
      <c r="C35" s="75">
        <f t="shared" si="2"/>
        <v>0</v>
      </c>
      <c r="D35" s="66">
        <f t="shared" si="3"/>
        <v>0.28263130434782613</v>
      </c>
      <c r="E35">
        <f>COUNTIF(tables_588100!C:C,input_588100!A35)-COUNTIF(Q:Q,A35)</f>
        <v>13</v>
      </c>
      <c r="F35" s="37">
        <f t="shared" si="9"/>
        <v>2.1740869565217393E-2</v>
      </c>
      <c r="G35">
        <f t="shared" si="4"/>
        <v>4374002.0660869572</v>
      </c>
      <c r="H35">
        <f t="shared" si="5"/>
        <v>336461.69738999999</v>
      </c>
      <c r="I35">
        <f t="shared" si="6"/>
        <v>0.69738999998662621</v>
      </c>
      <c r="J35">
        <f t="shared" si="7"/>
        <v>1.4339178938888957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1.103780320366133E-2</v>
      </c>
      <c r="C36" s="75">
        <f t="shared" si="2"/>
        <v>0</v>
      </c>
      <c r="D36" s="66">
        <f t="shared" si="3"/>
        <v>1.103780320366133E-2</v>
      </c>
      <c r="E36">
        <f>COUNTIF(tables_588100!C:C,input_588100!A36)-COUNTIF(Q:Q,A36)</f>
        <v>13</v>
      </c>
      <c r="F36" s="37">
        <f t="shared" si="9"/>
        <v>8.4906178489702533E-4</v>
      </c>
      <c r="G36">
        <f t="shared" si="4"/>
        <v>170821.04237986275</v>
      </c>
      <c r="H36">
        <f t="shared" si="5"/>
        <v>13140.080180000001</v>
      </c>
      <c r="I36">
        <f t="shared" si="6"/>
        <v>8.0180000000837026E-2</v>
      </c>
      <c r="J36">
        <f t="shared" si="7"/>
        <v>12.471938139056631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9.4132173913043474E-2</v>
      </c>
      <c r="C37" s="75">
        <f t="shared" si="2"/>
        <v>0</v>
      </c>
      <c r="D37" s="66">
        <f t="shared" si="3"/>
        <v>9.4132173913043474E-2</v>
      </c>
      <c r="E37">
        <f>COUNTIF(tables_588100!C:C,input_588100!A37)-COUNTIF(Q:Q,A37)</f>
        <v>4</v>
      </c>
      <c r="F37" s="37">
        <f t="shared" si="9"/>
        <v>2.3533043478260868E-2</v>
      </c>
      <c r="G37">
        <f t="shared" si="4"/>
        <v>1456789.5234782607</v>
      </c>
      <c r="H37">
        <f t="shared" si="5"/>
        <v>364197.38086999999</v>
      </c>
      <c r="I37">
        <f t="shared" si="6"/>
        <v>0.3808699999935925</v>
      </c>
      <c r="J37">
        <f t="shared" si="7"/>
        <v>2.6255677790763863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2.4939130434782596E-3</v>
      </c>
      <c r="C38" s="75">
        <f t="shared" si="2"/>
        <v>0</v>
      </c>
      <c r="D38" s="66">
        <f t="shared" si="3"/>
        <v>2.4939130434782596E-3</v>
      </c>
      <c r="E38">
        <f>COUNTIF(tables_588100!C:C,input_588100!A38)-COUNTIF(Q:Q,A38)</f>
        <v>6</v>
      </c>
      <c r="F38" s="37">
        <f t="shared" si="9"/>
        <v>4.1565217391304328E-4</v>
      </c>
      <c r="G38">
        <f t="shared" si="4"/>
        <v>38595.798260869546</v>
      </c>
      <c r="H38">
        <f t="shared" si="5"/>
        <v>6432.6330399999997</v>
      </c>
      <c r="I38">
        <f t="shared" si="6"/>
        <v>0.63303999999970983</v>
      </c>
      <c r="J38">
        <f t="shared" si="7"/>
        <v>1.5796790092260495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COUNTIF(tables_588100!C:C,input_588100!A39)-COUNTIF(Q:Q,A39)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2.174086956521739E-2</v>
      </c>
      <c r="C40" s="75">
        <f t="shared" si="2"/>
        <v>0</v>
      </c>
      <c r="D40" s="66">
        <f t="shared" si="3"/>
        <v>2.174086956521739E-2</v>
      </c>
      <c r="E40">
        <f>COUNTIF(tables_588100!C:C,input_588100!A40)-COUNTIF(Q:Q,A40)</f>
        <v>1</v>
      </c>
      <c r="F40" s="37">
        <f t="shared" si="9"/>
        <v>2.174086956521739E-2</v>
      </c>
      <c r="G40">
        <f t="shared" si="4"/>
        <v>336461.6973913043</v>
      </c>
      <c r="H40">
        <f t="shared" si="5"/>
        <v>336461.69738999999</v>
      </c>
      <c r="I40">
        <f t="shared" si="6"/>
        <v>0.69738999998662621</v>
      </c>
      <c r="J40">
        <f t="shared" si="7"/>
        <v>1.4339178938888957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2.4156521739130436E-3</v>
      </c>
      <c r="C41" s="75">
        <f t="shared" si="2"/>
        <v>0</v>
      </c>
      <c r="D41" s="66">
        <f t="shared" si="3"/>
        <v>2.4156521739130436E-3</v>
      </c>
      <c r="E41">
        <f>COUNTIF(tables_588100!C:C,input_588100!A41)-COUNTIF(Q:Q,A41)</f>
        <v>1</v>
      </c>
      <c r="F41" s="37">
        <f t="shared" si="9"/>
        <v>2.4156521739130436E-3</v>
      </c>
      <c r="G41">
        <f t="shared" si="4"/>
        <v>37384.633043478265</v>
      </c>
      <c r="H41">
        <f t="shared" si="5"/>
        <v>37384.633040000001</v>
      </c>
      <c r="I41">
        <f t="shared" si="6"/>
        <v>0.63304000000061933</v>
      </c>
      <c r="J41">
        <f t="shared" si="7"/>
        <v>1.57967900922378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9.9473684210526318E-3</v>
      </c>
      <c r="C42" s="75">
        <f t="shared" si="2"/>
        <v>0</v>
      </c>
      <c r="D42" s="66">
        <f t="shared" si="3"/>
        <v>9.9473684210526318E-3</v>
      </c>
      <c r="E42">
        <f>COUNTIF(tables_588100!C:C,input_588100!A42)-COUNTIF(Q:Q,A42)</f>
        <v>7</v>
      </c>
      <c r="F42" s="37">
        <f>IFERROR(B42/E42,0)</f>
        <v>1.4210526315789475E-3</v>
      </c>
      <c r="G42">
        <f t="shared" si="4"/>
        <v>153945.47368421053</v>
      </c>
      <c r="H42">
        <f t="shared" si="5"/>
        <v>21992.21053</v>
      </c>
      <c r="I42">
        <f t="shared" si="6"/>
        <v>0.21053000000028987</v>
      </c>
      <c r="J42">
        <f t="shared" si="7"/>
        <v>4.7499168764481219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1.1052631578947368E-3</v>
      </c>
      <c r="C43" s="75">
        <f t="shared" si="2"/>
        <v>0</v>
      </c>
      <c r="D43" s="66">
        <f t="shared" si="3"/>
        <v>1.1052631578947368E-3</v>
      </c>
      <c r="E43">
        <f>COUNTIF(tables_588100!C:C,input_588100!A43)-COUNTIF(Q:Q,A43)</f>
        <v>7</v>
      </c>
      <c r="F43" s="37">
        <f t="shared" ref="F43:F46" si="10">IFERROR(B43/E43,0)</f>
        <v>1.5789473684210527E-4</v>
      </c>
      <c r="G43">
        <f t="shared" si="4"/>
        <v>17105.052631578947</v>
      </c>
      <c r="H43">
        <f t="shared" si="5"/>
        <v>2443.5789500000001</v>
      </c>
      <c r="I43">
        <f t="shared" si="6"/>
        <v>0.57895000000007713</v>
      </c>
      <c r="J43">
        <f t="shared" si="7"/>
        <v>1.727264876068515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1.8947368421052629E-2</v>
      </c>
      <c r="C44" s="75">
        <f t="shared" si="2"/>
        <v>0</v>
      </c>
      <c r="D44" s="66">
        <f t="shared" si="3"/>
        <v>1.8947368421052629E-2</v>
      </c>
      <c r="E44">
        <f>COUNTIF(tables_588100!C:C,input_588100!A44)-COUNTIF(Q:Q,A44)</f>
        <v>12</v>
      </c>
      <c r="F44" s="37">
        <f t="shared" si="10"/>
        <v>1.5789473684210524E-3</v>
      </c>
      <c r="G44">
        <f t="shared" si="4"/>
        <v>293229.4736842105</v>
      </c>
      <c r="H44">
        <f t="shared" si="5"/>
        <v>24435.78947</v>
      </c>
      <c r="I44">
        <f t="shared" si="6"/>
        <v>0.78946999999971013</v>
      </c>
      <c r="J44">
        <f t="shared" si="7"/>
        <v>1.2666725778058281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COUNTIF(tables_588100!C:C,input_588100!A45)-COUNTIF(Q:Q,A45)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2.4E-2</v>
      </c>
      <c r="C46" s="75">
        <f>SUMIF(Q:Q,A46,N:N)</f>
        <v>2.4E-2</v>
      </c>
      <c r="D46" s="66">
        <f t="shared" si="3"/>
        <v>0</v>
      </c>
      <c r="E46">
        <f>COUNTIF(tables_588100!C:C,input_588100!A46)-COUNTIF(Q:Q,A46)</f>
        <v>0</v>
      </c>
      <c r="F46" s="37">
        <f t="shared" si="10"/>
        <v>0</v>
      </c>
      <c r="G46">
        <f t="shared" si="4"/>
        <v>371424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2.4E-2</v>
      </c>
      <c r="D47" s="36">
        <f t="shared" si="3"/>
        <v>0.97599999999999998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4"/>
      <c r="H49" s="92"/>
    </row>
    <row r="50" spans="1:8" x14ac:dyDescent="0.15">
      <c r="A50" t="s">
        <v>56</v>
      </c>
      <c r="B50" s="78"/>
      <c r="C50" s="78"/>
      <c r="D50" s="82"/>
      <c r="E50" s="83"/>
      <c r="F50" s="91"/>
      <c r="G50" s="94"/>
      <c r="H50" s="47"/>
    </row>
    <row r="51" spans="1:8" x14ac:dyDescent="0.15">
      <c r="A51" s="26">
        <f>LCM(F5-I5,F7-I6)*1000*2*2</f>
        <v>15476000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0" t="s">
        <v>256</v>
      </c>
    </row>
    <row r="55" spans="1:8" x14ac:dyDescent="0.15">
      <c r="A55" s="27" t="s">
        <v>87</v>
      </c>
      <c r="B55">
        <f ca="1">SUMIF(tables_588100!C:C,input_588100!A55,tables_588100!O:O)</f>
        <v>0</v>
      </c>
      <c r="C55" s="46">
        <f t="shared" ref="C55:C61" ca="1" si="11">B55/B$62</f>
        <v>0</v>
      </c>
      <c r="E55">
        <v>3</v>
      </c>
      <c r="F55">
        <f ca="1">SUMIF(tables_588100!J:J,input_588100!E55,tables_588100!O:O)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SUMIF(tables_588100!C:C,input_588100!A56,tables_588100!O:O)</f>
        <v>2756220.48</v>
      </c>
      <c r="C56" s="46">
        <f t="shared" ca="1" si="11"/>
        <v>0.8653462213139953</v>
      </c>
      <c r="E56">
        <v>4</v>
      </c>
      <c r="F56">
        <f ca="1">SUMIF(tables_588100!J:J,input_588100!E56,tables_588100!O:O)</f>
        <v>13928400.000000013</v>
      </c>
      <c r="G56">
        <f ca="1">F56/A51</f>
        <v>0.9000000000000008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SUMIF(tables_588100!C:C,input_588100!A57,tables_588100!O:O)</f>
        <v>110376</v>
      </c>
      <c r="C57" s="46">
        <f t="shared" ca="1" si="11"/>
        <v>3.4653778686004666E-2</v>
      </c>
      <c r="E57">
        <v>5</v>
      </c>
      <c r="F57">
        <f ca="1">SUMIF(tables_588100!J:J,input_588100!E57,tables_588100!O:O)</f>
        <v>1547599.9999099984</v>
      </c>
      <c r="G57">
        <f ca="1">F57/A51</f>
        <v>9.9999999994184435E-2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SUMIF(tables_588100!C:C,input_588100!A58,tables_588100!O:O)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SUMIF(tables_588100!C:C,input_588100!A59,tables_588100!O:O)</f>
        <v>306246.72000000003</v>
      </c>
      <c r="C59" s="46">
        <f t="shared" ca="1" si="11"/>
        <v>9.6149580145999489E-2</v>
      </c>
      <c r="E59" t="s">
        <v>37</v>
      </c>
      <c r="F59" s="47"/>
    </row>
    <row r="60" spans="1:8" x14ac:dyDescent="0.15">
      <c r="A60" s="27" t="s">
        <v>91</v>
      </c>
      <c r="B60">
        <f ca="1">SUMIF(tables_588100!C:C,input_588100!A60,tables_588100!O:O)</f>
        <v>12264</v>
      </c>
      <c r="C60" s="46">
        <f t="shared" ca="1" si="11"/>
        <v>3.8504198540005182E-3</v>
      </c>
      <c r="E60" t="s">
        <v>190</v>
      </c>
      <c r="F60" s="47">
        <f ca="1">SUMIF(tables_588100!I:I,input_588100!E60,tables_588100!P:P)</f>
        <v>0.21925345525004689</v>
      </c>
    </row>
    <row r="61" spans="1:8" x14ac:dyDescent="0.15">
      <c r="A61" s="27" t="s">
        <v>92</v>
      </c>
      <c r="B61">
        <f>SUMIF(tables_588100!C:C,input_588100!A61,tables_588100!O:O)</f>
        <v>0</v>
      </c>
      <c r="C61" s="46">
        <f t="shared" ca="1" si="11"/>
        <v>0</v>
      </c>
      <c r="E61" t="s">
        <v>191</v>
      </c>
      <c r="F61" s="47">
        <f ca="1">SUMIF(tables_588100!I:I,input_588100!E61,tables_588100!P:P)</f>
        <v>0.18905924579135489</v>
      </c>
    </row>
    <row r="62" spans="1:8" x14ac:dyDescent="0.15">
      <c r="A62" s="33" t="s">
        <v>42</v>
      </c>
      <c r="B62">
        <f ca="1">SUM(B55:B61)</f>
        <v>3185107.2</v>
      </c>
      <c r="C62" s="47">
        <f ca="1">SUM(C55:C61)</f>
        <v>0.99999999999999989</v>
      </c>
      <c r="E62" t="s">
        <v>192</v>
      </c>
      <c r="F62" s="47">
        <f ca="1">SUMIF(tables_588100!I:I,input_588100!E62,tables_588100!P:P)</f>
        <v>0.51768729895816545</v>
      </c>
    </row>
    <row r="63" spans="1:8" x14ac:dyDescent="0.15">
      <c r="E63" t="s">
        <v>193</v>
      </c>
      <c r="F63" s="103">
        <f ca="1">SUMIF(tables_588100!I:I,input_588100!E63,tables_588100!P:P)</f>
        <v>4.420059582992867E-2</v>
      </c>
      <c r="G63" s="84"/>
    </row>
    <row r="64" spans="1:8" x14ac:dyDescent="0.15">
      <c r="E64" t="s">
        <v>253</v>
      </c>
      <c r="F64" s="103">
        <f ca="1">SUMIF(tables_588100!I:I,input_588100!E64,tables_588100!P:P)</f>
        <v>5.7994041703619617E-3</v>
      </c>
    </row>
    <row r="65" spans="5:6" x14ac:dyDescent="0.15">
      <c r="E65" t="s">
        <v>255</v>
      </c>
      <c r="F65" s="103">
        <f ca="1">SUMIF(tables_588100!I:I,input_588100!E65,tables_588100!P:P)</f>
        <v>2.400000000013951E-2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41" activePane="bottomLeft" state="frozen"/>
      <selection activeCell="B13" sqref="B13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input_588100!A$2</f>
        <v>588100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IFERROR(VLOOKUP(B2,input_588100!L:R,7,FALSE),VLOOKUP(tables_588100!C2,input_588100!A:H,8,FALSE))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input_588100!A$2</f>
        <v>588100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IFERROR(VLOOKUP(B3,input_588100!L:R,7,FALSE),VLOOKUP(tables_588100!C3,input_588100!A:H,8,FALSE))</f>
        <v>88429.440000000002</v>
      </c>
      <c r="P3" s="40">
        <f t="shared" ca="1" si="1"/>
        <v>5.7139726027729413E-3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input_588100!A$2</f>
        <v>588100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IFERROR(VLOOKUP(B4,input_588100!L:R,7,FALSE),VLOOKUP(tables_588100!C4,input_588100!A:H,8,FALSE))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input_588100!A$2</f>
        <v>588100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IFERROR(VLOOKUP(B5,input_588100!L:R,7,FALSE),VLOOKUP(tables_588100!C5,input_588100!A:H,8,FALSE))</f>
        <v>88429.440000000002</v>
      </c>
      <c r="P5" s="40">
        <f t="shared" ca="1" si="1"/>
        <v>5.7139726027729413E-3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input_588100!A$2</f>
        <v>588100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IFERROR(VLOOKUP(B6,input_588100!L:R,7,FALSE),VLOOKUP(tables_588100!C6,input_588100!A:H,8,FALSE))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input_588100!A$2</f>
        <v>588100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IFERROR(VLOOKUP(B7,input_588100!L:R,7,FALSE),VLOOKUP(tables_588100!C7,input_588100!A:H,8,FALSE))</f>
        <v>88429.440000000002</v>
      </c>
      <c r="P7" s="40">
        <f t="shared" ca="1" si="1"/>
        <v>5.7139726027729413E-3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input_588100!A$2</f>
        <v>588100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">
        <v>306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IFERROR(VLOOKUP(B8,input_588100!L:R,7,FALSE),VLOOKUP(tables_588100!C8,input_588100!A:H,8,FALSE))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input_588100!A$2</f>
        <v>588100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">
        <v>306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IFERROR(VLOOKUP(B9,input_588100!L:R,7,FALSE),VLOOKUP(tables_588100!C9,input_588100!A:H,8,FALSE))</f>
        <v>407168.24787000002</v>
      </c>
      <c r="P9" s="40">
        <f t="shared" ca="1" si="1"/>
        <v>2.6309656750605249E-2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input_588100!A$2</f>
        <v>588100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IFERROR(VLOOKUP(B10,input_588100!L:R,7,FALSE),VLOOKUP(tables_588100!C10,input_588100!A:H,8,FALSE))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input_588100!A$2</f>
        <v>588100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IFERROR(VLOOKUP(B11,input_588100!L:R,7,FALSE),VLOOKUP(tables_588100!C11,input_588100!A:H,8,FALSE))</f>
        <v>88429.440000000002</v>
      </c>
      <c r="P11" s="40">
        <f t="shared" ca="1" si="1"/>
        <v>5.7139726027729413E-3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input_588100!A$2</f>
        <v>588100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IFERROR(VLOOKUP(B12,input_588100!L:R,7,FALSE),VLOOKUP(tables_588100!C12,input_588100!A:H,8,FALSE))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input_588100!A$2</f>
        <v>588100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IFERROR(VLOOKUP(B13,input_588100!L:R,7,FALSE),VLOOKUP(tables_588100!C13,input_588100!A:H,8,FALSE))</f>
        <v>88429.440000000002</v>
      </c>
      <c r="P13" s="40">
        <f t="shared" ca="1" si="1"/>
        <v>5.7139726027729413E-3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input_588100!A$2</f>
        <v>588100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IFERROR(VLOOKUP(B14,input_588100!L:R,7,FALSE),VLOOKUP(tables_588100!C14,input_588100!A:H,8,FALSE))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input_588100!A$2</f>
        <v>588100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IFERROR(VLOOKUP(B15,input_588100!L:R,7,FALSE),VLOOKUP(tables_588100!C15,input_588100!A:H,8,FALSE))</f>
        <v>88429.440000000002</v>
      </c>
      <c r="P15" s="40">
        <f t="shared" ca="1" si="1"/>
        <v>5.7139726027729413E-3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input_588100!A$2</f>
        <v>588100</v>
      </c>
      <c r="B16" s="11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">
        <v>306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IFERROR(VLOOKUP(B16,input_588100!L:R,7,FALSE),VLOOKUP(tables_588100!C16,input_588100!A:H,8,FALSE))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input_588100!A$2</f>
        <v>588100</v>
      </c>
      <c r="B17" s="6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">
        <v>306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IFERROR(VLOOKUP(B17,input_588100!L:R,7,FALSE),VLOOKUP(tables_588100!C17,input_588100!A:H,8,FALSE))</f>
        <v>407168.24787000002</v>
      </c>
      <c r="P17" s="40">
        <f t="shared" ca="1" si="1"/>
        <v>2.6309656750605249E-2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input_588100!A$2</f>
        <v>588100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IFERROR(VLOOKUP(B18,input_588100!L:R,7,FALSE),VLOOKUP(tables_588100!C18,input_588100!A:H,8,FALSE))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input_588100!A$2</f>
        <v>588100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IFERROR(VLOOKUP(B19,input_588100!L:R,7,FALSE),VLOOKUP(tables_588100!C19,input_588100!A:H,8,FALSE))</f>
        <v>88429.440000000002</v>
      </c>
      <c r="P19" s="40">
        <f t="shared" ca="1" si="1"/>
        <v>5.7139726027729413E-3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input_588100!A$2</f>
        <v>588100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IFERROR(VLOOKUP(B20,input_588100!L:R,7,FALSE),VLOOKUP(tables_588100!C20,input_588100!A:H,8,FALSE))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input_588100!A$2</f>
        <v>588100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IFERROR(VLOOKUP(B21,input_588100!L:R,7,FALSE),VLOOKUP(tables_588100!C21,input_588100!A:H,8,FALSE))</f>
        <v>88429.440000000002</v>
      </c>
      <c r="P21" s="40">
        <f t="shared" ca="1" si="1"/>
        <v>5.7139726027729413E-3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input_588100!A$2</f>
        <v>588100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IFERROR(VLOOKUP(B22,input_588100!L:R,7,FALSE),VLOOKUP(tables_588100!C22,input_588100!A:H,8,FALSE))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input_588100!A$2</f>
        <v>588100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IFERROR(VLOOKUP(B23,input_588100!L:R,7,FALSE),VLOOKUP(tables_588100!C23,input_588100!A:H,8,FALSE))</f>
        <v>88429.440000000002</v>
      </c>
      <c r="P23" s="40">
        <f t="shared" ca="1" si="1"/>
        <v>5.7139726027729413E-3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input_588100!A$2</f>
        <v>588100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">
        <v>306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IFERROR(VLOOKUP(B24,input_588100!L:R,7,FALSE),VLOOKUP(tables_588100!C24,input_588100!A:H,8,FALSE))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input_588100!A$2</f>
        <v>588100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">
        <v>306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IFERROR(VLOOKUP(B25,input_588100!L:R,7,FALSE),VLOOKUP(tables_588100!C25,input_588100!A:H,8,FALSE))</f>
        <v>407168.24787000002</v>
      </c>
      <c r="P25" s="40">
        <f t="shared" ca="1" si="1"/>
        <v>2.6309656750605249E-2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input_588100!A$2</f>
        <v>588100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IFERROR(VLOOKUP(B26,input_588100!L:R,7,FALSE),VLOOKUP(tables_588100!C26,input_588100!A:H,8,FALSE))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input_588100!A$2</f>
        <v>588100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IFERROR(VLOOKUP(B27,input_588100!L:R,7,FALSE),VLOOKUP(tables_588100!C27,input_588100!A:H,8,FALSE))</f>
        <v>88429.440000000002</v>
      </c>
      <c r="P27" s="40">
        <f t="shared" ca="1" si="1"/>
        <v>5.7139726027729413E-3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input_588100!A$2</f>
        <v>588100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IFERROR(VLOOKUP(B28,input_588100!L:R,7,FALSE),VLOOKUP(tables_588100!C28,input_588100!A:H,8,FALSE))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input_588100!A$2</f>
        <v>588100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IFERROR(VLOOKUP(B29,input_588100!L:R,7,FALSE),VLOOKUP(tables_588100!C29,input_588100!A:H,8,FALSE))</f>
        <v>88429.440000000002</v>
      </c>
      <c r="P29" s="40">
        <f t="shared" ca="1" si="1"/>
        <v>5.7139726027729413E-3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input_588100!A$2</f>
        <v>588100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IFERROR(VLOOKUP(B30,input_588100!L:R,7,FALSE),VLOOKUP(tables_588100!C30,input_588100!A:H,8,FALSE))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input_588100!A$2</f>
        <v>588100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IFERROR(VLOOKUP(B31,input_588100!L:R,7,FALSE),VLOOKUP(tables_588100!C31,input_588100!A:H,8,FALSE))</f>
        <v>88429.440000000002</v>
      </c>
      <c r="P31" s="40">
        <f t="shared" ca="1" si="1"/>
        <v>5.7139726027729413E-3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input_588100!A$2</f>
        <v>588100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">
        <v>306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IFERROR(VLOOKUP(B32,input_588100!L:R,7,FALSE),VLOOKUP(tables_588100!C32,input_588100!A:H,8,FALSE))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input_588100!A$2</f>
        <v>588100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">
        <v>306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IFERROR(VLOOKUP(B33,input_588100!L:R,7,FALSE),VLOOKUP(tables_588100!C33,input_588100!A:H,8,FALSE))</f>
        <v>407168.24787000002</v>
      </c>
      <c r="P33" s="40">
        <f t="shared" ca="1" si="1"/>
        <v>2.6309656750605249E-2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input_588100!A$2</f>
        <v>588100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IFERROR(VLOOKUP(B34,input_588100!L:R,7,FALSE),VLOOKUP(tables_588100!C34,input_588100!A:H,8,FALSE))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input_588100!A$2</f>
        <v>588100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IFERROR(VLOOKUP(B35,input_588100!L:R,7,FALSE),VLOOKUP(tables_588100!C35,input_588100!A:H,8,FALSE))</f>
        <v>88429.440000000002</v>
      </c>
      <c r="P35" s="40">
        <f t="shared" ca="1" si="1"/>
        <v>5.7139726027729413E-3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input_588100!A$2</f>
        <v>588100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IFERROR(VLOOKUP(B36,input_588100!L:R,7,FALSE),VLOOKUP(tables_588100!C36,input_588100!A:H,8,FALSE))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input_588100!A$2</f>
        <v>588100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IFERROR(VLOOKUP(B37,input_588100!L:R,7,FALSE),VLOOKUP(tables_588100!C37,input_588100!A:H,8,FALSE))</f>
        <v>88429.440000000002</v>
      </c>
      <c r="P37" s="40">
        <f t="shared" ca="1" si="1"/>
        <v>5.7139726027729413E-3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input_588100!A$2</f>
        <v>588100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IFERROR(VLOOKUP(B38,input_588100!L:R,7,FALSE),VLOOKUP(tables_588100!C38,input_588100!A:H,8,FALSE))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input_588100!A$2</f>
        <v>588100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IFERROR(VLOOKUP(B39,input_588100!L:R,7,FALSE),VLOOKUP(tables_588100!C39,input_588100!A:H,8,FALSE))</f>
        <v>88429.440000000002</v>
      </c>
      <c r="P39" s="40">
        <f t="shared" ca="1" si="1"/>
        <v>5.7139726027729413E-3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input_588100!A$2</f>
        <v>588100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">
        <v>306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IFERROR(VLOOKUP(B40,input_588100!L:R,7,FALSE),VLOOKUP(tables_588100!C40,input_588100!A:H,8,FALSE))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input_588100!A$2</f>
        <v>588100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">
        <v>306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IFERROR(VLOOKUP(B41,input_588100!L:R,7,FALSE),VLOOKUP(tables_588100!C41,input_588100!A:H,8,FALSE))</f>
        <v>407168.24787000002</v>
      </c>
      <c r="P41" s="40">
        <f t="shared" ca="1" si="1"/>
        <v>2.6309656750605249E-2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input_588100!A$2</f>
        <v>588100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IFERROR(VLOOKUP(B42,input_588100!L:R,7,FALSE),VLOOKUP(tables_588100!C42,input_588100!A:H,8,FALSE))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input_588100!A$2</f>
        <v>588100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IFERROR(VLOOKUP(B43,input_588100!L:R,7,FALSE),VLOOKUP(tables_588100!C43,input_588100!A:H,8,FALSE))</f>
        <v>70672.320000000007</v>
      </c>
      <c r="P43" s="40">
        <f t="shared" ca="1" si="1"/>
        <v>4.5665753424922991E-3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input_588100!A$2</f>
        <v>588100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IFERROR(VLOOKUP(B44,input_588100!L:R,7,FALSE),VLOOKUP(tables_588100!C44,input_588100!A:H,8,FALSE))</f>
        <v>7852.48</v>
      </c>
      <c r="P44" s="40">
        <f t="shared" ca="1" si="1"/>
        <v>5.0739726027692201E-4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input_588100!A$2</f>
        <v>588100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IFERROR(VLOOKUP(B45,input_588100!L:R,7,FALSE),VLOOKUP(tables_588100!C45,input_588100!A:H,8,FALSE))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input_588100!A$2</f>
        <v>588100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IFERROR(VLOOKUP(B46,input_588100!L:R,7,FALSE),VLOOKUP(tables_588100!C46,input_588100!A:H,8,FALSE))</f>
        <v>70672.320000000007</v>
      </c>
      <c r="P46" s="40">
        <f t="shared" ca="1" si="1"/>
        <v>4.5665753424922991E-3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input_588100!A$2</f>
        <v>588100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IFERROR(VLOOKUP(B47,input_588100!L:R,7,FALSE),VLOOKUP(tables_588100!C47,input_588100!A:H,8,FALSE))</f>
        <v>7852.48</v>
      </c>
      <c r="P47" s="40">
        <f t="shared" ca="1" si="1"/>
        <v>5.0739726027692201E-4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input_588100!A$2</f>
        <v>588100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IFERROR(VLOOKUP(B48,input_588100!L:R,7,FALSE),VLOOKUP(tables_588100!C48,input_588100!A:H,8,FALSE))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input_588100!A$2</f>
        <v>588100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IFERROR(VLOOKUP(B49,input_588100!L:R,7,FALSE),VLOOKUP(tables_588100!C49,input_588100!A:H,8,FALSE))</f>
        <v>70672.320000000007</v>
      </c>
      <c r="P49" s="40">
        <f t="shared" ca="1" si="1"/>
        <v>4.5665753424922991E-3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input_588100!A$2</f>
        <v>588100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IFERROR(VLOOKUP(B50,input_588100!L:R,7,FALSE),VLOOKUP(tables_588100!C50,input_588100!A:H,8,FALSE))</f>
        <v>7852.48</v>
      </c>
      <c r="P50" s="40">
        <f t="shared" ca="1" si="1"/>
        <v>5.0739726027692201E-4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input_588100!A$2</f>
        <v>588100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">
        <v>306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IFERROR(VLOOKUP(B51,input_588100!L:R,7,FALSE),VLOOKUP(tables_588100!C51,input_588100!A:H,8,FALSE))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input_588100!A$2</f>
        <v>588100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">
        <v>306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IFERROR(VLOOKUP(B52,input_588100!L:R,7,FALSE),VLOOKUP(tables_588100!C52,input_588100!A:H,8,FALSE))</f>
        <v>336461.69738999999</v>
      </c>
      <c r="P52" s="40">
        <f t="shared" ca="1" si="1"/>
        <v>2.1740869565259485E-2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input_588100!A$2</f>
        <v>588100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">
        <v>306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IFERROR(VLOOKUP(B53,input_588100!L:R,7,FALSE),VLOOKUP(tables_588100!C53,input_588100!A:H,8,FALSE))</f>
        <v>13140.080180000001</v>
      </c>
      <c r="P53" s="40">
        <f t="shared" ca="1" si="1"/>
        <v>8.4906178470382418E-4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input_588100!A$2</f>
        <v>588100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IFERROR(VLOOKUP(B54,input_588100!L:R,7,FALSE),VLOOKUP(tables_588100!C54,input_588100!A:H,8,FALSE))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input_588100!A$2</f>
        <v>588100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IFERROR(VLOOKUP(B55,input_588100!L:R,7,FALSE),VLOOKUP(tables_588100!C55,input_588100!A:H,8,FALSE))</f>
        <v>70672.320000000007</v>
      </c>
      <c r="P55" s="40">
        <f t="shared" ca="1" si="1"/>
        <v>4.5665753424922991E-3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input_588100!A$2</f>
        <v>588100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IFERROR(VLOOKUP(B56,input_588100!L:R,7,FALSE),VLOOKUP(tables_588100!C56,input_588100!A:H,8,FALSE))</f>
        <v>7852.48</v>
      </c>
      <c r="P56" s="40">
        <f t="shared" ca="1" si="1"/>
        <v>5.0739726027692201E-4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input_588100!A$2</f>
        <v>588100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IFERROR(VLOOKUP(B57,input_588100!L:R,7,FALSE),VLOOKUP(tables_588100!C57,input_588100!A:H,8,FALSE))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input_588100!A$2</f>
        <v>588100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IFERROR(VLOOKUP(B58,input_588100!L:R,7,FALSE),VLOOKUP(tables_588100!C58,input_588100!A:H,8,FALSE))</f>
        <v>70672.320000000007</v>
      </c>
      <c r="P58" s="40">
        <f t="shared" ca="1" si="1"/>
        <v>4.5665753424922991E-3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input_588100!A$2</f>
        <v>588100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IFERROR(VLOOKUP(B59,input_588100!L:R,7,FALSE),VLOOKUP(tables_588100!C59,input_588100!A:H,8,FALSE))</f>
        <v>7852.48</v>
      </c>
      <c r="P59" s="40">
        <f t="shared" ca="1" si="1"/>
        <v>5.0739726027692201E-4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input_588100!A$2</f>
        <v>588100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IFERROR(VLOOKUP(B60,input_588100!L:R,7,FALSE),VLOOKUP(tables_588100!C60,input_588100!A:H,8,FALSE))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input_588100!A$2</f>
        <v>588100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IFERROR(VLOOKUP(B61,input_588100!L:R,7,FALSE),VLOOKUP(tables_588100!C61,input_588100!A:H,8,FALSE))</f>
        <v>70672.320000000007</v>
      </c>
      <c r="P61" s="40">
        <f t="shared" ca="1" si="1"/>
        <v>4.5665753424922991E-3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input_588100!A$2</f>
        <v>588100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IFERROR(VLOOKUP(B62,input_588100!L:R,7,FALSE),VLOOKUP(tables_588100!C62,input_588100!A:H,8,FALSE))</f>
        <v>7852.48</v>
      </c>
      <c r="P62" s="40">
        <f t="shared" ca="1" si="1"/>
        <v>5.0739726027692201E-4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input_588100!A$2</f>
        <v>588100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">
        <v>306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IFERROR(VLOOKUP(B63,input_588100!L:R,7,FALSE),VLOOKUP(tables_588100!C63,input_588100!A:H,8,FALSE))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input_588100!A$2</f>
        <v>588100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">
        <v>306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IFERROR(VLOOKUP(B64,input_588100!L:R,7,FALSE),VLOOKUP(tables_588100!C64,input_588100!A:H,8,FALSE))</f>
        <v>336461.69738999999</v>
      </c>
      <c r="P64" s="40">
        <f t="shared" ca="1" si="1"/>
        <v>2.1740869565259485E-2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input_588100!A$2</f>
        <v>588100</v>
      </c>
      <c r="B65" s="6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">
        <v>306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IFERROR(VLOOKUP(B65,input_588100!L:R,7,FALSE),VLOOKUP(tables_588100!C65,input_588100!A:H,8,FALSE))</f>
        <v>13140.080180000001</v>
      </c>
      <c r="P65" s="40">
        <f t="shared" ca="1" si="1"/>
        <v>8.4906178470382418E-4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input_588100!A$2</f>
        <v>588100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IFERROR(VLOOKUP(B66,input_588100!L:R,7,FALSE),VLOOKUP(tables_588100!C66,input_588100!A:H,8,FALSE))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input_588100!A$2</f>
        <v>588100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IFERROR(VLOOKUP(B67,input_588100!L:R,7,FALSE),VLOOKUP(tables_588100!C67,input_588100!A:H,8,FALSE))</f>
        <v>70672.320000000007</v>
      </c>
      <c r="P67" s="40">
        <f t="shared" ca="1" si="4"/>
        <v>4.5665753424922991E-3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input_588100!A$2</f>
        <v>588100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IFERROR(VLOOKUP(B68,input_588100!L:R,7,FALSE),VLOOKUP(tables_588100!C68,input_588100!A:H,8,FALSE))</f>
        <v>7852.48</v>
      </c>
      <c r="P68" s="40">
        <f t="shared" ca="1" si="4"/>
        <v>5.0739726027692201E-4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input_588100!A$2</f>
        <v>588100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IFERROR(VLOOKUP(B69,input_588100!L:R,7,FALSE),VLOOKUP(tables_588100!C69,input_588100!A:H,8,FALSE))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input_588100!A$2</f>
        <v>588100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IFERROR(VLOOKUP(B70,input_588100!L:R,7,FALSE),VLOOKUP(tables_588100!C70,input_588100!A:H,8,FALSE))</f>
        <v>70672.320000000007</v>
      </c>
      <c r="P70" s="40">
        <f t="shared" ca="1" si="4"/>
        <v>4.5665753424922991E-3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input_588100!A$2</f>
        <v>588100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IFERROR(VLOOKUP(B71,input_588100!L:R,7,FALSE),VLOOKUP(tables_588100!C71,input_588100!A:H,8,FALSE))</f>
        <v>7852.48</v>
      </c>
      <c r="P71" s="40">
        <f t="shared" ca="1" si="4"/>
        <v>5.0739726027692201E-4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input_588100!A$2</f>
        <v>588100</v>
      </c>
      <c r="B72" s="11">
        <v>196</v>
      </c>
      <c r="C72" s="7" t="str">
        <f t="shared" si="3"/>
        <v>Premium3color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">
        <v>306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IFERROR(VLOOKUP(B72,input_588100!L:R,7,FALSE),VLOOKUP(tables_588100!C72,input_588100!A:H,8,FALSE))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input_588100!A$2</f>
        <v>588100</v>
      </c>
      <c r="B73" s="6">
        <v>197</v>
      </c>
      <c r="C73" s="7" t="str">
        <f t="shared" si="3"/>
        <v>Premium4color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">
        <v>306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IFERROR(VLOOKUP(B73,input_588100!L:R,7,FALSE),VLOOKUP(tables_588100!C73,input_588100!A:H,8,FALSE))</f>
        <v>336461.69738999999</v>
      </c>
      <c r="P73" s="40">
        <f t="shared" ca="1" si="4"/>
        <v>2.1740869565259485E-2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input_588100!A$2</f>
        <v>588100</v>
      </c>
      <c r="B74" s="6">
        <v>198</v>
      </c>
      <c r="C74" s="7" t="str">
        <f t="shared" si="3"/>
        <v>Premium5color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">
        <v>306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IFERROR(VLOOKUP(B74,input_588100!L:R,7,FALSE),VLOOKUP(tables_588100!C74,input_588100!A:H,8,FALSE))</f>
        <v>13140.080180000001</v>
      </c>
      <c r="P74" s="40">
        <f t="shared" ca="1" si="4"/>
        <v>8.4906178470382418E-4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input_588100!A$2</f>
        <v>588100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IFERROR(VLOOKUP(B75,input_588100!L:R,7,FALSE),VLOOKUP(tables_588100!C75,input_588100!A:H,8,FALSE))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input_588100!A$2</f>
        <v>588100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IFERROR(VLOOKUP(B76,input_588100!L:R,7,FALSE),VLOOKUP(tables_588100!C76,input_588100!A:H,8,FALSE))</f>
        <v>70672.320000000007</v>
      </c>
      <c r="P76" s="40">
        <f t="shared" ca="1" si="4"/>
        <v>4.5665753424922991E-3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input_588100!A$2</f>
        <v>588100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IFERROR(VLOOKUP(B77,input_588100!L:R,7,FALSE),VLOOKUP(tables_588100!C77,input_588100!A:H,8,FALSE))</f>
        <v>7852.48</v>
      </c>
      <c r="P77" s="40">
        <f t="shared" ca="1" si="4"/>
        <v>5.0739726027692201E-4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input_588100!A$2</f>
        <v>588100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IFERROR(VLOOKUP(B78,input_588100!L:R,7,FALSE),VLOOKUP(tables_588100!C78,input_588100!A:H,8,FALSE))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input_588100!A$2</f>
        <v>588100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IFERROR(VLOOKUP(B79,input_588100!L:R,7,FALSE),VLOOKUP(tables_588100!C79,input_588100!A:H,8,FALSE))</f>
        <v>70672.320000000007</v>
      </c>
      <c r="P79" s="40">
        <f t="shared" ca="1" si="4"/>
        <v>4.5665753424922991E-3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input_588100!A$2</f>
        <v>588100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IFERROR(VLOOKUP(B80,input_588100!L:R,7,FALSE),VLOOKUP(tables_588100!C80,input_588100!A:H,8,FALSE))</f>
        <v>7852.48</v>
      </c>
      <c r="P80" s="40">
        <f t="shared" ca="1" si="4"/>
        <v>5.0739726027692201E-4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input_588100!A$2</f>
        <v>588100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IFERROR(VLOOKUP(B81,input_588100!L:R,7,FALSE),VLOOKUP(tables_588100!C81,input_588100!A:H,8,FALSE))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input_588100!A$2</f>
        <v>588100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IFERROR(VLOOKUP(B82,input_588100!L:R,7,FALSE),VLOOKUP(tables_588100!C82,input_588100!A:H,8,FALSE))</f>
        <v>70672.320000000007</v>
      </c>
      <c r="P82" s="40">
        <f t="shared" ca="1" si="4"/>
        <v>4.5665753424922991E-3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input_588100!A$2</f>
        <v>588100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IFERROR(VLOOKUP(B83,input_588100!L:R,7,FALSE),VLOOKUP(tables_588100!C83,input_588100!A:H,8,FALSE))</f>
        <v>7852.48</v>
      </c>
      <c r="P83" s="40">
        <f t="shared" ca="1" si="4"/>
        <v>5.0739726027692201E-4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input_588100!A$2</f>
        <v>588100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IFERROR(VLOOKUP(B84,input_588100!L:R,7,FALSE),VLOOKUP(tables_588100!C84,input_588100!A:H,8,FALSE))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input_588100!A$2</f>
        <v>588100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IFERROR(VLOOKUP(B85,input_588100!L:R,7,FALSE),VLOOKUP(tables_588100!C85,input_588100!A:H,8,FALSE))</f>
        <v>70672.320000000007</v>
      </c>
      <c r="P85" s="40">
        <f t="shared" ca="1" si="4"/>
        <v>4.5665753424922991E-3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input_588100!A$2</f>
        <v>588100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IFERROR(VLOOKUP(B86,input_588100!L:R,7,FALSE),VLOOKUP(tables_588100!C86,input_588100!A:H,8,FALSE))</f>
        <v>7852.48</v>
      </c>
      <c r="P86" s="40">
        <f t="shared" ca="1" si="4"/>
        <v>5.0739726027692201E-4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input_588100!A$2</f>
        <v>588100</v>
      </c>
      <c r="B87" s="5">
        <v>211</v>
      </c>
      <c r="C87" s="7" t="str">
        <f t="shared" si="3"/>
        <v>Premium3color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">
        <v>306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IFERROR(VLOOKUP(B87,input_588100!L:R,7,FALSE),VLOOKUP(tables_588100!C87,input_588100!A:H,8,FALSE))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input_588100!A$2</f>
        <v>588100</v>
      </c>
      <c r="B88" s="5">
        <v>212</v>
      </c>
      <c r="C88" s="7" t="str">
        <f t="shared" si="3"/>
        <v>Premium4color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">
        <v>306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IFERROR(VLOOKUP(B88,input_588100!L:R,7,FALSE),VLOOKUP(tables_588100!C88,input_588100!A:H,8,FALSE))</f>
        <v>336461.69738999999</v>
      </c>
      <c r="P88" s="40">
        <f t="shared" ca="1" si="4"/>
        <v>2.1740869565259485E-2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input_588100!A$2</f>
        <v>588100</v>
      </c>
      <c r="B89" s="5">
        <v>213</v>
      </c>
      <c r="C89" s="7" t="str">
        <f t="shared" si="3"/>
        <v>Premium5color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">
        <v>306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IFERROR(VLOOKUP(B89,input_588100!L:R,7,FALSE),VLOOKUP(tables_588100!C89,input_588100!A:H,8,FALSE))</f>
        <v>13140.080180000001</v>
      </c>
      <c r="P89" s="40">
        <f t="shared" ca="1" si="4"/>
        <v>8.4906178470382418E-4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input_588100!A$2</f>
        <v>588100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IFERROR(VLOOKUP(B90,input_588100!L:R,7,FALSE),VLOOKUP(tables_588100!C90,input_588100!A:H,8,FALSE))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input_588100!A$2</f>
        <v>588100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IFERROR(VLOOKUP(B91,input_588100!L:R,7,FALSE),VLOOKUP(tables_588100!C91,input_588100!A:H,8,FALSE))</f>
        <v>70672.320000000007</v>
      </c>
      <c r="P91" s="40">
        <f t="shared" ca="1" si="4"/>
        <v>4.5665753424922991E-3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input_588100!A$2</f>
        <v>588100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IFERROR(VLOOKUP(B92,input_588100!L:R,7,FALSE),VLOOKUP(tables_588100!C92,input_588100!A:H,8,FALSE))</f>
        <v>7852.48</v>
      </c>
      <c r="P92" s="40">
        <f t="shared" ca="1" si="4"/>
        <v>5.0739726027692201E-4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input_588100!A$2</f>
        <v>588100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IFERROR(VLOOKUP(B93,input_588100!L:R,7,FALSE),VLOOKUP(tables_588100!C93,input_588100!A:H,8,FALSE))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input_588100!A$2</f>
        <v>588100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IFERROR(VLOOKUP(B94,input_588100!L:R,7,FALSE),VLOOKUP(tables_588100!C94,input_588100!A:H,8,FALSE))</f>
        <v>70672.320000000007</v>
      </c>
      <c r="P94" s="40">
        <f t="shared" ca="1" si="4"/>
        <v>4.5665753424922991E-3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input_588100!A$2</f>
        <v>588100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IFERROR(VLOOKUP(B95,input_588100!L:R,7,FALSE),VLOOKUP(tables_588100!C95,input_588100!A:H,8,FALSE))</f>
        <v>7852.48</v>
      </c>
      <c r="P95" s="40">
        <f t="shared" ca="1" si="4"/>
        <v>5.0739726027692201E-4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input_588100!A$2</f>
        <v>588100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IFERROR(VLOOKUP(B96,input_588100!L:R,7,FALSE),VLOOKUP(tables_588100!C96,input_588100!A:H,8,FALSE))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input_588100!A$2</f>
        <v>588100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IFERROR(VLOOKUP(B97,input_588100!L:R,7,FALSE),VLOOKUP(tables_588100!C97,input_588100!A:H,8,FALSE))</f>
        <v>70672.320000000007</v>
      </c>
      <c r="P97" s="40">
        <f t="shared" ca="1" si="4"/>
        <v>4.5665753424922991E-3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input_588100!A$2</f>
        <v>588100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IFERROR(VLOOKUP(B98,input_588100!L:R,7,FALSE),VLOOKUP(tables_588100!C98,input_588100!A:H,8,FALSE))</f>
        <v>7852.48</v>
      </c>
      <c r="P98" s="40">
        <f t="shared" ca="1" si="4"/>
        <v>5.0739726027692201E-4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input_588100!A$2</f>
        <v>588100</v>
      </c>
      <c r="B99" s="5">
        <v>223</v>
      </c>
      <c r="C99" s="7" t="str">
        <f t="shared" si="3"/>
        <v>Premium3color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">
        <v>306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IFERROR(VLOOKUP(B99,input_588100!L:R,7,FALSE),VLOOKUP(tables_588100!C99,input_588100!A:H,8,FALSE))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input_588100!A$2</f>
        <v>588100</v>
      </c>
      <c r="B100" s="5">
        <v>224</v>
      </c>
      <c r="C100" s="7" t="str">
        <f t="shared" si="3"/>
        <v>Premium4color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">
        <v>306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IFERROR(VLOOKUP(B100,input_588100!L:R,7,FALSE),VLOOKUP(tables_588100!C100,input_588100!A:H,8,FALSE))</f>
        <v>336461.69738999999</v>
      </c>
      <c r="P100" s="40">
        <f t="shared" ca="1" si="4"/>
        <v>2.1740869565259485E-2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input_588100!A$2</f>
        <v>588100</v>
      </c>
      <c r="B101" s="5">
        <v>225</v>
      </c>
      <c r="C101" s="7" t="str">
        <f t="shared" si="3"/>
        <v>Premium5color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">
        <v>306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IFERROR(VLOOKUP(B101,input_588100!L:R,7,FALSE),VLOOKUP(tables_588100!C101,input_588100!A:H,8,FALSE))</f>
        <v>13140.080180000001</v>
      </c>
      <c r="P101" s="40">
        <f t="shared" ca="1" si="4"/>
        <v>8.4906178470382418E-4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input_588100!A$2</f>
        <v>588100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IFERROR(VLOOKUP(B102,input_588100!L:R,7,FALSE),VLOOKUP(tables_588100!C102,input_588100!A:H,8,FALSE))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input_588100!A$2</f>
        <v>588100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IFERROR(VLOOKUP(B103,input_588100!L:R,7,FALSE),VLOOKUP(tables_588100!C103,input_588100!A:H,8,FALSE))</f>
        <v>70672.320000000007</v>
      </c>
      <c r="P103" s="40">
        <f t="shared" ca="1" si="4"/>
        <v>4.5665753424922991E-3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input_588100!A$2</f>
        <v>588100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IFERROR(VLOOKUP(B104,input_588100!L:R,7,FALSE),VLOOKUP(tables_588100!C104,input_588100!A:H,8,FALSE))</f>
        <v>7852.48</v>
      </c>
      <c r="P104" s="40">
        <f t="shared" ca="1" si="4"/>
        <v>5.0739726027692201E-4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input_588100!A$2</f>
        <v>588100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IFERROR(VLOOKUP(B105,input_588100!L:R,7,FALSE),VLOOKUP(tables_588100!C105,input_588100!A:H,8,FALSE))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input_588100!A$2</f>
        <v>588100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IFERROR(VLOOKUP(B106,input_588100!L:R,7,FALSE),VLOOKUP(tables_588100!C106,input_588100!A:H,8,FALSE))</f>
        <v>70672.320000000007</v>
      </c>
      <c r="P106" s="40">
        <f t="shared" ca="1" si="4"/>
        <v>4.5665753424922991E-3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input_588100!A$2</f>
        <v>588100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IFERROR(VLOOKUP(B107,input_588100!L:R,7,FALSE),VLOOKUP(tables_588100!C107,input_588100!A:H,8,FALSE))</f>
        <v>7852.48</v>
      </c>
      <c r="P107" s="40">
        <f t="shared" ca="1" si="4"/>
        <v>5.0739726027692201E-4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input_588100!A$2</f>
        <v>588100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IFERROR(VLOOKUP(B108,input_588100!L:R,7,FALSE),VLOOKUP(tables_588100!C108,input_588100!A:H,8,FALSE))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input_588100!A$2</f>
        <v>588100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IFERROR(VLOOKUP(B109,input_588100!L:R,7,FALSE),VLOOKUP(tables_588100!C109,input_588100!A:H,8,FALSE))</f>
        <v>70672.320000000007</v>
      </c>
      <c r="P109" s="40">
        <f t="shared" ca="1" si="4"/>
        <v>4.5665753424922991E-3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input_588100!A$2</f>
        <v>588100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IFERROR(VLOOKUP(B110,input_588100!L:R,7,FALSE),VLOOKUP(tables_588100!C110,input_588100!A:H,8,FALSE))</f>
        <v>7852.48</v>
      </c>
      <c r="P110" s="40">
        <f t="shared" ca="1" si="4"/>
        <v>5.0739726027692201E-4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input_588100!A$2</f>
        <v>588100</v>
      </c>
      <c r="B111" s="5">
        <v>235</v>
      </c>
      <c r="C111" s="7" t="str">
        <f t="shared" si="3"/>
        <v>Premium3R6releasecolor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">
        <v>306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IFERROR(VLOOKUP(B111,input_588100!L:R,7,FALSE),VLOOKUP(tables_588100!C111,input_588100!A:H,8,FALSE))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input_588100!A$2</f>
        <v>588100</v>
      </c>
      <c r="B112" s="5">
        <v>236</v>
      </c>
      <c r="C112" s="7" t="str">
        <f t="shared" si="3"/>
        <v>Premium4R6releasecolor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">
        <v>306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IFERROR(VLOOKUP(B112,input_588100!L:R,7,FALSE),VLOOKUP(tables_588100!C112,input_588100!A:H,8,FALSE))</f>
        <v>336461.69738999999</v>
      </c>
      <c r="P112" s="40">
        <f t="shared" ca="1" si="4"/>
        <v>2.1740869565259485E-2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input_588100!A$2</f>
        <v>588100</v>
      </c>
      <c r="B113" s="5">
        <v>237</v>
      </c>
      <c r="C113" s="7" t="str">
        <f t="shared" si="3"/>
        <v>Premium5R6releasecolor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">
        <v>306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IFERROR(VLOOKUP(B113,input_588100!L:R,7,FALSE),VLOOKUP(tables_588100!C113,input_588100!A:H,8,FALSE))</f>
        <v>37384.633040000001</v>
      </c>
      <c r="P113" s="40">
        <f t="shared" ca="1" si="4"/>
        <v>2.4156521737023337E-3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input_588100!A$2</f>
        <v>588100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IFERROR(VLOOKUP(B114,input_588100!L:R,7,FALSE),VLOOKUP(tables_588100!C114,input_588100!A:H,8,FALSE))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input_588100!A$2</f>
        <v>588100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IFERROR(VLOOKUP(B115,input_588100!L:R,7,FALSE),VLOOKUP(tables_588100!C115,input_588100!A:H,8,FALSE))</f>
        <v>70672.320000000007</v>
      </c>
      <c r="P115" s="40">
        <f t="shared" ca="1" si="4"/>
        <v>4.5665753424922991E-3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input_588100!A$2</f>
        <v>588100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IFERROR(VLOOKUP(B116,input_588100!L:R,7,FALSE),VLOOKUP(tables_588100!C116,input_588100!A:H,8,FALSE))</f>
        <v>7852.48</v>
      </c>
      <c r="P116" s="40">
        <f t="shared" ca="1" si="4"/>
        <v>5.0739726027692201E-4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input_588100!A$2</f>
        <v>588100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IFERROR(VLOOKUP(B117,input_588100!L:R,7,FALSE),VLOOKUP(tables_588100!C117,input_588100!A:H,8,FALSE))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input_588100!A$2</f>
        <v>588100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IFERROR(VLOOKUP(B118,input_588100!L:R,7,FALSE),VLOOKUP(tables_588100!C118,input_588100!A:H,8,FALSE))</f>
        <v>70672.320000000007</v>
      </c>
      <c r="P118" s="40">
        <f t="shared" ca="1" si="4"/>
        <v>4.5665753424922991E-3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input_588100!A$2</f>
        <v>588100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IFERROR(VLOOKUP(B119,input_588100!L:R,7,FALSE),VLOOKUP(tables_588100!C119,input_588100!A:H,8,FALSE))</f>
        <v>7852.48</v>
      </c>
      <c r="P119" s="40">
        <f t="shared" ca="1" si="4"/>
        <v>5.0739726027692201E-4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input_588100!A$2</f>
        <v>588100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IFERROR(VLOOKUP(B120,input_588100!L:R,7,FALSE),VLOOKUP(tables_588100!C120,input_588100!A:H,8,FALSE))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input_588100!A$2</f>
        <v>588100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IFERROR(VLOOKUP(B121,input_588100!L:R,7,FALSE),VLOOKUP(tables_588100!C121,input_588100!A:H,8,FALSE))</f>
        <v>70672.320000000007</v>
      </c>
      <c r="P121" s="40">
        <f t="shared" ca="1" si="4"/>
        <v>4.5665753424922991E-3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input_588100!A$2</f>
        <v>588100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IFERROR(VLOOKUP(B122,input_588100!L:R,7,FALSE),VLOOKUP(tables_588100!C122,input_588100!A:H,8,FALSE))</f>
        <v>7852.48</v>
      </c>
      <c r="P122" s="40">
        <f t="shared" ca="1" si="4"/>
        <v>5.0739726027692201E-4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input_588100!A$2</f>
        <v>588100</v>
      </c>
      <c r="B123" s="5">
        <v>247</v>
      </c>
      <c r="C123" s="7" t="str">
        <f t="shared" si="3"/>
        <v>Premium3color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">
        <v>306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IFERROR(VLOOKUP(B123,input_588100!L:R,7,FALSE),VLOOKUP(tables_588100!C123,input_588100!A:H,8,FALSE))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input_588100!A$2</f>
        <v>588100</v>
      </c>
      <c r="B124" s="6">
        <v>248</v>
      </c>
      <c r="C124" s="7" t="str">
        <f t="shared" si="3"/>
        <v>Premium4color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">
        <v>306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IFERROR(VLOOKUP(B124,input_588100!L:R,7,FALSE),VLOOKUP(tables_588100!C124,input_588100!A:H,8,FALSE))</f>
        <v>336461.69738999999</v>
      </c>
      <c r="P124" s="40">
        <f t="shared" ca="1" si="4"/>
        <v>2.1740869565259485E-2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input_588100!A$2</f>
        <v>588100</v>
      </c>
      <c r="B125" s="6">
        <v>249</v>
      </c>
      <c r="C125" s="7" t="str">
        <f t="shared" si="3"/>
        <v>Premium5color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">
        <v>306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IFERROR(VLOOKUP(B125,input_588100!L:R,7,FALSE),VLOOKUP(tables_588100!C125,input_588100!A:H,8,FALSE))</f>
        <v>13140.080180000001</v>
      </c>
      <c r="P125" s="40">
        <f t="shared" ca="1" si="4"/>
        <v>8.4906178470382418E-4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input_588100!A$2</f>
        <v>588100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IFERROR(VLOOKUP(B126,input_588100!L:R,7,FALSE),VLOOKUP(tables_588100!C126,input_588100!A:H,8,FALSE))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input_588100!A$2</f>
        <v>588100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IFERROR(VLOOKUP(B127,input_588100!L:R,7,FALSE),VLOOKUP(tables_588100!C127,input_588100!A:H,8,FALSE))</f>
        <v>70672.320000000007</v>
      </c>
      <c r="P127" s="40">
        <f t="shared" ca="1" si="4"/>
        <v>4.5665753424922991E-3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input_588100!A$2</f>
        <v>588100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IFERROR(VLOOKUP(B128,input_588100!L:R,7,FALSE),VLOOKUP(tables_588100!C128,input_588100!A:H,8,FALSE))</f>
        <v>7852.48</v>
      </c>
      <c r="P128" s="40">
        <f t="shared" ca="1" si="4"/>
        <v>5.0739726027692201E-4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input_588100!A$2</f>
        <v>588100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IFERROR(VLOOKUP(B129,input_588100!L:R,7,FALSE),VLOOKUP(tables_588100!C129,input_588100!A:H,8,FALSE))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input_588100!A$2</f>
        <v>588100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IFERROR(VLOOKUP(B130,input_588100!L:R,7,FALSE),VLOOKUP(tables_588100!C130,input_588100!A:H,8,FALSE))</f>
        <v>70672.320000000007</v>
      </c>
      <c r="P130" s="40">
        <f t="shared" ref="P130:P193" ca="1" si="7">O130/SUM(O:O)</f>
        <v>4.5665753424922991E-3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input_588100!A$2</f>
        <v>588100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IFERROR(VLOOKUP(B131,input_588100!L:R,7,FALSE),VLOOKUP(tables_588100!C131,input_588100!A:H,8,FALSE))</f>
        <v>7852.48</v>
      </c>
      <c r="P131" s="40">
        <f t="shared" ca="1" si="7"/>
        <v>5.0739726027692201E-4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input_588100!A$2</f>
        <v>588100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IFERROR(VLOOKUP(B132,input_588100!L:R,7,FALSE),VLOOKUP(tables_588100!C132,input_588100!A:H,8,FALSE))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input_588100!A$2</f>
        <v>588100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IFERROR(VLOOKUP(B133,input_588100!L:R,7,FALSE),VLOOKUP(tables_588100!C133,input_588100!A:H,8,FALSE))</f>
        <v>70672.320000000007</v>
      </c>
      <c r="P133" s="40">
        <f t="shared" ca="1" si="7"/>
        <v>4.5665753424922991E-3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input_588100!A$2</f>
        <v>588100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IFERROR(VLOOKUP(B134,input_588100!L:R,7,FALSE),VLOOKUP(tables_588100!C134,input_588100!A:H,8,FALSE))</f>
        <v>7852.48</v>
      </c>
      <c r="P134" s="40">
        <f t="shared" ca="1" si="7"/>
        <v>5.0739726027692201E-4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input_588100!A$2</f>
        <v>588100</v>
      </c>
      <c r="B135" s="8">
        <v>259</v>
      </c>
      <c r="C135" s="7" t="str">
        <f t="shared" si="6"/>
        <v>Premium3color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">
        <v>306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IFERROR(VLOOKUP(B135,input_588100!L:R,7,FALSE),VLOOKUP(tables_588100!C135,input_588100!A:H,8,FALSE))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input_588100!A$2</f>
        <v>588100</v>
      </c>
      <c r="B136" s="8">
        <v>260</v>
      </c>
      <c r="C136" s="7" t="str">
        <f t="shared" si="6"/>
        <v>Premium4color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">
        <v>306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IFERROR(VLOOKUP(B136,input_588100!L:R,7,FALSE),VLOOKUP(tables_588100!C136,input_588100!A:H,8,FALSE))</f>
        <v>336461.69738999999</v>
      </c>
      <c r="P136" s="40">
        <f t="shared" ca="1" si="7"/>
        <v>2.1740869565259485E-2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input_588100!A$2</f>
        <v>588100</v>
      </c>
      <c r="B137" s="6">
        <v>261</v>
      </c>
      <c r="C137" s="7" t="str">
        <f t="shared" si="6"/>
        <v>Premium5color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">
        <v>306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IFERROR(VLOOKUP(B137,input_588100!L:R,7,FALSE),VLOOKUP(tables_588100!C137,input_588100!A:H,8,FALSE))</f>
        <v>13140.080180000001</v>
      </c>
      <c r="P137" s="40">
        <f t="shared" ca="1" si="7"/>
        <v>8.4906178470382418E-4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input_588100!A$2</f>
        <v>588100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IFERROR(VLOOKUP(B138,input_588100!L:R,7,FALSE),VLOOKUP(tables_588100!C138,input_588100!A:H,8,FALSE))</f>
        <v>5256</v>
      </c>
      <c r="P138" s="40">
        <f t="shared" ca="1" si="7"/>
        <v>3.3962264151140816E-4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input_588100!A$2</f>
        <v>588100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IFERROR(VLOOKUP(B139,input_588100!L:R,7,FALSE),VLOOKUP(tables_588100!C139,input_588100!A:H,8,FALSE))</f>
        <v>584</v>
      </c>
      <c r="P139" s="40">
        <f t="shared" ca="1" si="7"/>
        <v>3.773584905682313E-5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input_588100!A$2</f>
        <v>588100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IFERROR(VLOOKUP(B140,input_588100!L:R,7,FALSE),VLOOKUP(tables_588100!C140,input_588100!A:H,8,FALSE))</f>
        <v>5256</v>
      </c>
      <c r="P140" s="40">
        <f t="shared" ca="1" si="7"/>
        <v>3.3962264151140816E-4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input_588100!A$2</f>
        <v>588100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IFERROR(VLOOKUP(B141,input_588100!L:R,7,FALSE),VLOOKUP(tables_588100!C141,input_588100!A:H,8,FALSE))</f>
        <v>584</v>
      </c>
      <c r="P141" s="40">
        <f t="shared" ca="1" si="7"/>
        <v>3.773584905682313E-5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input_588100!A$2</f>
        <v>588100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IFERROR(VLOOKUP(B142,input_588100!L:R,7,FALSE),VLOOKUP(tables_588100!C142,input_588100!A:H,8,FALSE))</f>
        <v>5256</v>
      </c>
      <c r="P142" s="40">
        <f t="shared" ca="1" si="7"/>
        <v>3.3962264151140816E-4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input_588100!A$2</f>
        <v>588100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IFERROR(VLOOKUP(B143,input_588100!L:R,7,FALSE),VLOOKUP(tables_588100!C143,input_588100!A:H,8,FALSE))</f>
        <v>584</v>
      </c>
      <c r="P143" s="40">
        <f t="shared" ca="1" si="7"/>
        <v>3.773584905682313E-5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input_588100!A$2</f>
        <v>588100</v>
      </c>
      <c r="B144" s="6">
        <v>326</v>
      </c>
      <c r="C144" s="7" t="str">
        <f t="shared" si="6"/>
        <v>PremiumSS4color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">
        <v>306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IFERROR(VLOOKUP(B144,input_588100!L:R,7,FALSE),VLOOKUP(tables_588100!C144,input_588100!A:H,8,FALSE))</f>
        <v>21992.21053</v>
      </c>
      <c r="P144" s="40">
        <f t="shared" ca="1" si="7"/>
        <v>1.4210526318252674E-3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input_588100!A$2</f>
        <v>588100</v>
      </c>
      <c r="B145" s="6">
        <v>327</v>
      </c>
      <c r="C145" s="7" t="str">
        <f t="shared" si="6"/>
        <v>PremiumSS5color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">
        <v>306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IFERROR(VLOOKUP(B145,input_588100!L:R,7,FALSE),VLOOKUP(tables_588100!C145,input_588100!A:H,8,FALSE))</f>
        <v>2443.5789500000001</v>
      </c>
      <c r="P145" s="40">
        <f t="shared" ca="1" si="7"/>
        <v>1.5789473701306568E-4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input_588100!A$2</f>
        <v>588100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IFERROR(VLOOKUP(B146,input_588100!L:R,7,FALSE),VLOOKUP(tables_588100!C146,input_588100!A:H,8,FALSE))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input_588100!A$2</f>
        <v>588100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IFERROR(VLOOKUP(B147,input_588100!L:R,7,FALSE),VLOOKUP(tables_588100!C147,input_588100!A:H,8,FALSE))</f>
        <v>70672.320000000007</v>
      </c>
      <c r="P147" s="40">
        <f t="shared" ca="1" si="7"/>
        <v>4.5665753424922991E-3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input_588100!A$2</f>
        <v>588100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IFERROR(VLOOKUP(B148,input_588100!L:R,7,FALSE),VLOOKUP(tables_588100!C148,input_588100!A:H,8,FALSE))</f>
        <v>7852.48</v>
      </c>
      <c r="P148" s="40">
        <f t="shared" ca="1" si="7"/>
        <v>5.0739726027692201E-4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input_588100!A$2</f>
        <v>588100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IFERROR(VLOOKUP(B149,input_588100!L:R,7,FALSE),VLOOKUP(tables_588100!C149,input_588100!A:H,8,FALSE))</f>
        <v>5256</v>
      </c>
      <c r="P149" s="40">
        <f t="shared" ca="1" si="7"/>
        <v>3.3962264151140816E-4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input_588100!A$2</f>
        <v>588100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IFERROR(VLOOKUP(B150,input_588100!L:R,7,FALSE),VLOOKUP(tables_588100!C150,input_588100!A:H,8,FALSE))</f>
        <v>584</v>
      </c>
      <c r="P150" s="40">
        <f t="shared" ca="1" si="7"/>
        <v>3.773584905682313E-5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input_588100!A$2</f>
        <v>588100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IFERROR(VLOOKUP(B151,input_588100!L:R,7,FALSE),VLOOKUP(tables_588100!C151,input_588100!A:H,8,FALSE))</f>
        <v>5256</v>
      </c>
      <c r="P151" s="40">
        <f t="shared" ca="1" si="7"/>
        <v>3.3962264151140816E-4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input_588100!A$2</f>
        <v>588100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IFERROR(VLOOKUP(B152,input_588100!L:R,7,FALSE),VLOOKUP(tables_588100!C152,input_588100!A:H,8,FALSE))</f>
        <v>584</v>
      </c>
      <c r="P152" s="40">
        <f t="shared" ca="1" si="7"/>
        <v>3.773584905682313E-5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input_588100!A$2</f>
        <v>588100</v>
      </c>
      <c r="B153" s="6">
        <v>387</v>
      </c>
      <c r="C153" s="7" t="str">
        <f t="shared" si="6"/>
        <v>Premium3color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">
        <v>306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IFERROR(VLOOKUP(B153,input_588100!L:R,7,FALSE),VLOOKUP(tables_588100!C153,input_588100!A:H,8,FALSE))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input_588100!A$2</f>
        <v>588100</v>
      </c>
      <c r="B154" s="6">
        <v>388</v>
      </c>
      <c r="C154" s="7" t="str">
        <f t="shared" si="6"/>
        <v>Premium4color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">
        <v>306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IFERROR(VLOOKUP(B154,input_588100!L:R,7,FALSE),VLOOKUP(tables_588100!C154,input_588100!A:H,8,FALSE))</f>
        <v>336461.69738999999</v>
      </c>
      <c r="P154" s="40">
        <f t="shared" ca="1" si="7"/>
        <v>2.1740869565259485E-2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input_588100!A$2</f>
        <v>588100</v>
      </c>
      <c r="B155" s="6">
        <v>389</v>
      </c>
      <c r="C155" s="7" t="str">
        <f t="shared" si="6"/>
        <v>Premium5color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">
        <v>306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IFERROR(VLOOKUP(B155,input_588100!L:R,7,FALSE),VLOOKUP(tables_588100!C155,input_588100!A:H,8,FALSE))</f>
        <v>13140.080180000001</v>
      </c>
      <c r="P155" s="40">
        <f t="shared" ca="1" si="7"/>
        <v>8.4906178470382418E-4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input_588100!A$2</f>
        <v>588100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IFERROR(VLOOKUP(B156,input_588100!L:R,7,FALSE),VLOOKUP(tables_588100!C156,input_588100!A:H,8,FALSE))</f>
        <v>5256</v>
      </c>
      <c r="P156" s="40">
        <f t="shared" ca="1" si="7"/>
        <v>3.3962264151140816E-4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input_588100!A$2</f>
        <v>588100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IFERROR(VLOOKUP(B157,input_588100!L:R,7,FALSE),VLOOKUP(tables_588100!C157,input_588100!A:H,8,FALSE))</f>
        <v>584</v>
      </c>
      <c r="P157" s="40">
        <f t="shared" ca="1" si="7"/>
        <v>3.773584905682313E-5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input_588100!A$2</f>
        <v>588100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IFERROR(VLOOKUP(B158,input_588100!L:R,7,FALSE),VLOOKUP(tables_588100!C158,input_588100!A:H,8,FALSE))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input_588100!A$2</f>
        <v>588100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IFERROR(VLOOKUP(B159,input_588100!L:R,7,FALSE),VLOOKUP(tables_588100!C159,input_588100!A:H,8,FALSE))</f>
        <v>70672.320000000007</v>
      </c>
      <c r="P159" s="40">
        <f t="shared" ca="1" si="7"/>
        <v>4.5665753424922991E-3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input_588100!A$2</f>
        <v>588100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IFERROR(VLOOKUP(B160,input_588100!L:R,7,FALSE),VLOOKUP(tables_588100!C160,input_588100!A:H,8,FALSE))</f>
        <v>7852.48</v>
      </c>
      <c r="P160" s="40">
        <f t="shared" ca="1" si="7"/>
        <v>5.0739726027692201E-4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input_588100!A$2</f>
        <v>588100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IFERROR(VLOOKUP(B161,input_588100!L:R,7,FALSE),VLOOKUP(tables_588100!C161,input_588100!A:H,8,FALSE))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input_588100!A$2</f>
        <v>588100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IFERROR(VLOOKUP(B162,input_588100!L:R,7,FALSE),VLOOKUP(tables_588100!C162,input_588100!A:H,8,FALSE))</f>
        <v>70672.320000000007</v>
      </c>
      <c r="P162" s="40">
        <f t="shared" ca="1" si="7"/>
        <v>4.5665753424922991E-3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input_588100!A$2</f>
        <v>588100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IFERROR(VLOOKUP(B163,input_588100!L:R,7,FALSE),VLOOKUP(tables_588100!C163,input_588100!A:H,8,FALSE))</f>
        <v>7852.48</v>
      </c>
      <c r="P163" s="40">
        <f t="shared" ca="1" si="7"/>
        <v>5.0739726027692201E-4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input_588100!A$2</f>
        <v>588100</v>
      </c>
      <c r="B164" s="6">
        <v>398</v>
      </c>
      <c r="C164" s="7" t="str">
        <f t="shared" si="6"/>
        <v>PremiumSS4color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">
        <v>306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IFERROR(VLOOKUP(B164,input_588100!L:R,7,FALSE),VLOOKUP(tables_588100!C164,input_588100!A:H,8,FALSE))</f>
        <v>21992.21053</v>
      </c>
      <c r="P164" s="40">
        <f t="shared" ca="1" si="7"/>
        <v>1.4210526318252674E-3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input_588100!A$2</f>
        <v>588100</v>
      </c>
      <c r="B165" s="6">
        <v>399</v>
      </c>
      <c r="C165" s="7" t="str">
        <f t="shared" si="6"/>
        <v>PremiumSS5color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">
        <v>306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IFERROR(VLOOKUP(B165,input_588100!L:R,7,FALSE),VLOOKUP(tables_588100!C165,input_588100!A:H,8,FALSE))</f>
        <v>2443.5789500000001</v>
      </c>
      <c r="P165" s="40">
        <f t="shared" ca="1" si="7"/>
        <v>1.5789473701306568E-4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input_588100!A$2</f>
        <v>588100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IFERROR(VLOOKUP(B166,input_588100!L:R,7,FALSE),VLOOKUP(tables_588100!C166,input_588100!A:H,8,FALSE))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input_588100!A$2</f>
        <v>588100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IFERROR(VLOOKUP(B167,input_588100!L:R,7,FALSE),VLOOKUP(tables_588100!C167,input_588100!A:H,8,FALSE))</f>
        <v>70672.320000000007</v>
      </c>
      <c r="P167" s="40">
        <f t="shared" ca="1" si="7"/>
        <v>4.5665753424922991E-3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input_588100!A$2</f>
        <v>588100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IFERROR(VLOOKUP(B168,input_588100!L:R,7,FALSE),VLOOKUP(tables_588100!C168,input_588100!A:H,8,FALSE))</f>
        <v>7852.48</v>
      </c>
      <c r="P168" s="40">
        <f t="shared" ca="1" si="7"/>
        <v>5.0739726027692201E-4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input_588100!A$2</f>
        <v>588100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IFERROR(VLOOKUP(B169,input_588100!L:R,7,FALSE),VLOOKUP(tables_588100!C169,input_588100!A:H,8,FALSE))</f>
        <v>5256</v>
      </c>
      <c r="P169" s="40">
        <f t="shared" ca="1" si="7"/>
        <v>3.3962264151140816E-4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input_588100!A$2</f>
        <v>588100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IFERROR(VLOOKUP(B170,input_588100!L:R,7,FALSE),VLOOKUP(tables_588100!C170,input_588100!A:H,8,FALSE))</f>
        <v>584</v>
      </c>
      <c r="P170" s="40">
        <f t="shared" ca="1" si="7"/>
        <v>3.773584905682313E-5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input_588100!A$2</f>
        <v>588100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IFERROR(VLOOKUP(B171,input_588100!L:R,7,FALSE),VLOOKUP(tables_588100!C171,input_588100!A:H,8,FALSE))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input_588100!A$2</f>
        <v>588100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IFERROR(VLOOKUP(B172,input_588100!L:R,7,FALSE),VLOOKUP(tables_588100!C172,input_588100!A:H,8,FALSE))</f>
        <v>70672.320000000007</v>
      </c>
      <c r="P172" s="40">
        <f t="shared" ca="1" si="7"/>
        <v>4.5665753424922991E-3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input_588100!A$2</f>
        <v>588100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IFERROR(VLOOKUP(B173,input_588100!L:R,7,FALSE),VLOOKUP(tables_588100!C173,input_588100!A:H,8,FALSE))</f>
        <v>7852.48</v>
      </c>
      <c r="P173" s="40">
        <f t="shared" ca="1" si="7"/>
        <v>5.0739726027692201E-4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input_588100!A$2</f>
        <v>588100</v>
      </c>
      <c r="B174" s="6">
        <v>408</v>
      </c>
      <c r="C174" s="7" t="str">
        <f t="shared" si="6"/>
        <v>PremiumSS4color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">
        <v>306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IFERROR(VLOOKUP(B174,input_588100!L:R,7,FALSE),VLOOKUP(tables_588100!C174,input_588100!A:H,8,FALSE))</f>
        <v>21992.21053</v>
      </c>
      <c r="P174" s="40">
        <f t="shared" ca="1" si="7"/>
        <v>1.4210526318252674E-3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input_588100!A$2</f>
        <v>588100</v>
      </c>
      <c r="B175" s="6">
        <v>409</v>
      </c>
      <c r="C175" s="7" t="str">
        <f t="shared" si="6"/>
        <v>PremiumSS5color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">
        <v>306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IFERROR(VLOOKUP(B175,input_588100!L:R,7,FALSE),VLOOKUP(tables_588100!C175,input_588100!A:H,8,FALSE))</f>
        <v>2443.5789500000001</v>
      </c>
      <c r="P175" s="40">
        <f t="shared" ca="1" si="7"/>
        <v>1.5789473701306568E-4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input_588100!A$2</f>
        <v>588100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IFERROR(VLOOKUP(B176,input_588100!L:R,7,FALSE),VLOOKUP(tables_588100!C176,input_588100!A:H,8,FALSE))</f>
        <v>5256</v>
      </c>
      <c r="P176" s="40">
        <f t="shared" ca="1" si="7"/>
        <v>3.3962264151140816E-4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input_588100!A$2</f>
        <v>588100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IFERROR(VLOOKUP(B177,input_588100!L:R,7,FALSE),VLOOKUP(tables_588100!C177,input_588100!A:H,8,FALSE))</f>
        <v>584</v>
      </c>
      <c r="P177" s="40">
        <f t="shared" ca="1" si="7"/>
        <v>3.773584905682313E-5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input_588100!A$2</f>
        <v>588100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IFERROR(VLOOKUP(B178,input_588100!L:R,7,FALSE),VLOOKUP(tables_588100!C178,input_588100!A:H,8,FALSE))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input_588100!A$2</f>
        <v>588100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IFERROR(VLOOKUP(B179,input_588100!L:R,7,FALSE),VLOOKUP(tables_588100!C179,input_588100!A:H,8,FALSE))</f>
        <v>70672.320000000007</v>
      </c>
      <c r="P179" s="40">
        <f t="shared" ca="1" si="7"/>
        <v>4.5665753424922991E-3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input_588100!A$2</f>
        <v>588100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IFERROR(VLOOKUP(B180,input_588100!L:R,7,FALSE),VLOOKUP(tables_588100!C180,input_588100!A:H,8,FALSE))</f>
        <v>7852.48</v>
      </c>
      <c r="P180" s="40">
        <f t="shared" ca="1" si="7"/>
        <v>5.0739726027692201E-4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input_588100!A$2</f>
        <v>588100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IFERROR(VLOOKUP(B181,input_588100!L:R,7,FALSE),VLOOKUP(tables_588100!C181,input_588100!A:H,8,FALSE))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input_588100!A$2</f>
        <v>588100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IFERROR(VLOOKUP(B182,input_588100!L:R,7,FALSE),VLOOKUP(tables_588100!C182,input_588100!A:H,8,FALSE))</f>
        <v>70672.320000000007</v>
      </c>
      <c r="P182" s="40">
        <f t="shared" ca="1" si="7"/>
        <v>4.5665753424922991E-3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input_588100!A$2</f>
        <v>588100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IFERROR(VLOOKUP(B183,input_588100!L:R,7,FALSE),VLOOKUP(tables_588100!C183,input_588100!A:H,8,FALSE))</f>
        <v>7852.48</v>
      </c>
      <c r="P183" s="40">
        <f t="shared" ca="1" si="7"/>
        <v>5.0739726027692201E-4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input_588100!A$2</f>
        <v>588100</v>
      </c>
      <c r="B184" s="6">
        <v>442</v>
      </c>
      <c r="C184" s="7" t="str">
        <f t="shared" si="6"/>
        <v>PremiumSS4color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">
        <v>306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IFERROR(VLOOKUP(B184,input_588100!L:R,7,FALSE),VLOOKUP(tables_588100!C184,input_588100!A:H,8,FALSE))</f>
        <v>21992.21053</v>
      </c>
      <c r="P184" s="40">
        <f t="shared" ca="1" si="7"/>
        <v>1.4210526318252674E-3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input_588100!A$2</f>
        <v>588100</v>
      </c>
      <c r="B185" s="8">
        <v>443</v>
      </c>
      <c r="C185" s="7" t="str">
        <f t="shared" si="6"/>
        <v>PremiumSS5color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">
        <v>306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IFERROR(VLOOKUP(B185,input_588100!L:R,7,FALSE),VLOOKUP(tables_588100!C185,input_588100!A:H,8,FALSE))</f>
        <v>2443.5789500000001</v>
      </c>
      <c r="P185" s="40">
        <f t="shared" ca="1" si="7"/>
        <v>1.5789473701306568E-4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input_588100!A$2</f>
        <v>588100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IFERROR(VLOOKUP(B186,input_588100!L:R,7,FALSE),VLOOKUP(tables_588100!C186,input_588100!A:H,8,FALSE))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input_588100!A$2</f>
        <v>588100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IFERROR(VLOOKUP(B187,input_588100!L:R,7,FALSE),VLOOKUP(tables_588100!C187,input_588100!A:H,8,FALSE))</f>
        <v>70672.320000000007</v>
      </c>
      <c r="P187" s="40">
        <f t="shared" ca="1" si="7"/>
        <v>4.5665753424922991E-3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input_588100!A$2</f>
        <v>588100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IFERROR(VLOOKUP(B188,input_588100!L:R,7,FALSE),VLOOKUP(tables_588100!C188,input_588100!A:H,8,FALSE))</f>
        <v>7852.48</v>
      </c>
      <c r="P188" s="40">
        <f t="shared" ca="1" si="7"/>
        <v>5.0739726027692201E-4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input_588100!A$2</f>
        <v>588100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IFERROR(VLOOKUP(B189,input_588100!L:R,7,FALSE),VLOOKUP(tables_588100!C189,input_588100!A:H,8,FALSE))</f>
        <v>5256</v>
      </c>
      <c r="P189" s="40">
        <f t="shared" ca="1" si="7"/>
        <v>3.3962264151140816E-4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input_588100!A$2</f>
        <v>588100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IFERROR(VLOOKUP(B190,input_588100!L:R,7,FALSE),VLOOKUP(tables_588100!C190,input_588100!A:H,8,FALSE))</f>
        <v>584</v>
      </c>
      <c r="P190" s="40">
        <f t="shared" ca="1" si="7"/>
        <v>3.773584905682313E-5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input_588100!A$2</f>
        <v>588100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IFERROR(VLOOKUP(B191,input_588100!L:R,7,FALSE),VLOOKUP(tables_588100!C191,input_588100!A:H,8,FALSE))</f>
        <v>5256</v>
      </c>
      <c r="P191" s="40">
        <f t="shared" ca="1" si="7"/>
        <v>3.3962264151140816E-4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input_588100!A$2</f>
        <v>588100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IFERROR(VLOOKUP(B192,input_588100!L:R,7,FALSE),VLOOKUP(tables_588100!C192,input_588100!A:H,8,FALSE))</f>
        <v>584</v>
      </c>
      <c r="P192" s="40">
        <f t="shared" ca="1" si="7"/>
        <v>3.773584905682313E-5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input_588100!A$2</f>
        <v>588100</v>
      </c>
      <c r="B193" s="6">
        <v>469</v>
      </c>
      <c r="C193" s="7" t="str">
        <f t="shared" si="6"/>
        <v>Premium3color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">
        <v>306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IFERROR(VLOOKUP(B193,input_588100!L:R,7,FALSE),VLOOKUP(tables_588100!C193,input_588100!A:H,8,FALSE))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input_588100!A$2</f>
        <v>588100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">
        <v>306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IFERROR(VLOOKUP(B194,input_588100!L:R,7,FALSE),VLOOKUP(tables_588100!C194,input_588100!A:H,8,FALSE))</f>
        <v>336461.69738999999</v>
      </c>
      <c r="P194" s="40">
        <f t="shared" ref="P194:P257" ca="1" si="10">O194/SUM(O:O)</f>
        <v>2.1740869565259485E-2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input_588100!A$2</f>
        <v>588100</v>
      </c>
      <c r="B195" s="6">
        <v>471</v>
      </c>
      <c r="C195" s="7" t="str">
        <f t="shared" si="9"/>
        <v>Premium5color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">
        <v>306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IFERROR(VLOOKUP(B195,input_588100!L:R,7,FALSE),VLOOKUP(tables_588100!C195,input_588100!A:H,8,FALSE))</f>
        <v>13140.080180000001</v>
      </c>
      <c r="P195" s="40">
        <f t="shared" ca="1" si="10"/>
        <v>8.4906178470382418E-4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input_588100!A$2</f>
        <v>588100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IFERROR(VLOOKUP(B196,input_588100!L:R,7,FALSE),VLOOKUP(tables_588100!C196,input_588100!A:H,8,FALSE))</f>
        <v>5256</v>
      </c>
      <c r="P196" s="40">
        <f t="shared" ca="1" si="10"/>
        <v>3.3962264151140816E-4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input_588100!A$2</f>
        <v>588100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IFERROR(VLOOKUP(B197,input_588100!L:R,7,FALSE),VLOOKUP(tables_588100!C197,input_588100!A:H,8,FALSE))</f>
        <v>584</v>
      </c>
      <c r="P197" s="40">
        <f t="shared" ca="1" si="10"/>
        <v>3.773584905682313E-5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input_588100!A$2</f>
        <v>588100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IFERROR(VLOOKUP(B198,input_588100!L:R,7,FALSE),VLOOKUP(tables_588100!C198,input_588100!A:H,8,FALSE))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input_588100!A$2</f>
        <v>588100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IFERROR(VLOOKUP(B199,input_588100!L:R,7,FALSE),VLOOKUP(tables_588100!C199,input_588100!A:H,8,FALSE))</f>
        <v>70672.320000000007</v>
      </c>
      <c r="P199" s="40">
        <f t="shared" ca="1" si="10"/>
        <v>4.5665753424922991E-3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input_588100!A$2</f>
        <v>588100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IFERROR(VLOOKUP(B200,input_588100!L:R,7,FALSE),VLOOKUP(tables_588100!C200,input_588100!A:H,8,FALSE))</f>
        <v>7852.48</v>
      </c>
      <c r="P200" s="40">
        <f t="shared" ca="1" si="10"/>
        <v>5.0739726027692201E-4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input_588100!A$2</f>
        <v>588100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IFERROR(VLOOKUP(B201,input_588100!L:R,7,FALSE),VLOOKUP(tables_588100!C201,input_588100!A:H,8,FALSE))</f>
        <v>5256</v>
      </c>
      <c r="P201" s="40">
        <f t="shared" ca="1" si="10"/>
        <v>3.3962264151140816E-4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input_588100!A$2</f>
        <v>588100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IFERROR(VLOOKUP(B202,input_588100!L:R,7,FALSE),VLOOKUP(tables_588100!C202,input_588100!A:H,8,FALSE))</f>
        <v>584</v>
      </c>
      <c r="P202" s="40">
        <f t="shared" ca="1" si="10"/>
        <v>3.773584905682313E-5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input_588100!A$2</f>
        <v>588100</v>
      </c>
      <c r="B203" s="6">
        <v>481</v>
      </c>
      <c r="C203" s="7" t="str">
        <f t="shared" si="9"/>
        <v>Premium3color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">
        <v>306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IFERROR(VLOOKUP(B203,input_588100!L:R,7,FALSE),VLOOKUP(tables_588100!C203,input_588100!A:H,8,FALSE))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input_588100!A$2</f>
        <v>588100</v>
      </c>
      <c r="B204" s="6">
        <v>482</v>
      </c>
      <c r="C204" s="7" t="str">
        <f t="shared" si="9"/>
        <v>Premium4color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">
        <v>306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IFERROR(VLOOKUP(B204,input_588100!L:R,7,FALSE),VLOOKUP(tables_588100!C204,input_588100!A:H,8,FALSE))</f>
        <v>336461.69738999999</v>
      </c>
      <c r="P204" s="40">
        <f t="shared" ca="1" si="10"/>
        <v>2.1740869565259485E-2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input_588100!A$2</f>
        <v>588100</v>
      </c>
      <c r="B205" s="6">
        <v>483</v>
      </c>
      <c r="C205" s="7" t="str">
        <f t="shared" si="9"/>
        <v>Premium5color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">
        <v>306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IFERROR(VLOOKUP(B205,input_588100!L:R,7,FALSE),VLOOKUP(tables_588100!C205,input_588100!A:H,8,FALSE))</f>
        <v>13140.080180000001</v>
      </c>
      <c r="P205" s="40">
        <f t="shared" ca="1" si="10"/>
        <v>8.4906178470382418E-4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input_588100!A$2</f>
        <v>588100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IFERROR(VLOOKUP(B206,input_588100!L:R,7,FALSE),VLOOKUP(tables_588100!C206,input_588100!A:H,8,FALSE))</f>
        <v>5256</v>
      </c>
      <c r="P206" s="40">
        <f t="shared" ca="1" si="10"/>
        <v>3.3962264151140816E-4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input_588100!A$2</f>
        <v>588100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IFERROR(VLOOKUP(B207,input_588100!L:R,7,FALSE),VLOOKUP(tables_588100!C207,input_588100!A:H,8,FALSE))</f>
        <v>584</v>
      </c>
      <c r="P207" s="40">
        <f t="shared" ca="1" si="10"/>
        <v>3.773584905682313E-5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input_588100!A$2</f>
        <v>588100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IFERROR(VLOOKUP(B208,input_588100!L:R,7,FALSE),VLOOKUP(tables_588100!C208,input_588100!A:H,8,FALSE))</f>
        <v>5256</v>
      </c>
      <c r="P208" s="40">
        <f t="shared" ca="1" si="10"/>
        <v>3.3962264151140816E-4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input_588100!A$2</f>
        <v>588100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IFERROR(VLOOKUP(B209,input_588100!L:R,7,FALSE),VLOOKUP(tables_588100!C209,input_588100!A:H,8,FALSE))</f>
        <v>584</v>
      </c>
      <c r="P209" s="40">
        <f t="shared" ca="1" si="10"/>
        <v>3.773584905682313E-5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input_588100!A$2</f>
        <v>588100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IFERROR(VLOOKUP(B210,input_588100!L:R,7,FALSE),VLOOKUP(tables_588100!C210,input_588100!A:H,8,FALSE))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input_588100!A$2</f>
        <v>588100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IFERROR(VLOOKUP(B211,input_588100!L:R,7,FALSE),VLOOKUP(tables_588100!C211,input_588100!A:H,8,FALSE))</f>
        <v>70672.320000000007</v>
      </c>
      <c r="P211" s="40">
        <f t="shared" ca="1" si="10"/>
        <v>4.5665753424922991E-3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input_588100!A$2</f>
        <v>588100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IFERROR(VLOOKUP(B212,input_588100!L:R,7,FALSE),VLOOKUP(tables_588100!C212,input_588100!A:H,8,FALSE))</f>
        <v>7852.48</v>
      </c>
      <c r="P212" s="40">
        <f t="shared" ca="1" si="10"/>
        <v>5.0739726027692201E-4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input_588100!A$2</f>
        <v>588100</v>
      </c>
      <c r="B213" s="6">
        <v>499</v>
      </c>
      <c r="C213" s="7" t="str">
        <f t="shared" si="9"/>
        <v>PremiumSS4color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">
        <v>306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IFERROR(VLOOKUP(B213,input_588100!L:R,7,FALSE),VLOOKUP(tables_588100!C213,input_588100!A:H,8,FALSE))</f>
        <v>21992.21053</v>
      </c>
      <c r="P213" s="40">
        <f t="shared" ca="1" si="10"/>
        <v>1.4210526318252674E-3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input_588100!A$2</f>
        <v>588100</v>
      </c>
      <c r="B214" s="6">
        <v>500</v>
      </c>
      <c r="C214" s="7" t="str">
        <f t="shared" si="9"/>
        <v>PremiumSS5color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">
        <v>306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IFERROR(VLOOKUP(B214,input_588100!L:R,7,FALSE),VLOOKUP(tables_588100!C214,input_588100!A:H,8,FALSE))</f>
        <v>2443.5789500000001</v>
      </c>
      <c r="P214" s="40">
        <f t="shared" ca="1" si="10"/>
        <v>1.5789473701306568E-4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input_588100!A$2</f>
        <v>588100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IFERROR(VLOOKUP(B215,input_588100!L:R,7,FALSE),VLOOKUP(tables_588100!C215,input_588100!A:H,8,FALSE))</f>
        <v>4504.5919999999996</v>
      </c>
      <c r="P215" s="40">
        <f t="shared" ca="1" si="10"/>
        <v>2.9106952701125514E-4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input_588100!A$2</f>
        <v>588100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IFERROR(VLOOKUP(B216,input_588100!L:R,7,FALSE),VLOOKUP(tables_588100!C216,input_588100!A:H,8,FALSE))</f>
        <v>4504.5919999999996</v>
      </c>
      <c r="P216" s="40">
        <f t="shared" ca="1" si="10"/>
        <v>2.9106952701125514E-4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input_588100!A$2</f>
        <v>588100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IFERROR(VLOOKUP(B217,input_588100!L:R,7,FALSE),VLOOKUP(tables_588100!C217,input_588100!A:H,8,FALSE))</f>
        <v>4504.5919999999996</v>
      </c>
      <c r="P217" s="40">
        <f t="shared" ca="1" si="10"/>
        <v>2.9106952701125514E-4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input_588100!A$2</f>
        <v>588100</v>
      </c>
      <c r="B218" s="6">
        <v>563</v>
      </c>
      <c r="C218" s="7" t="str">
        <f t="shared" si="9"/>
        <v>premium5R3lesscolor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">
        <v>306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IFERROR(VLOOKUP(B218,input_588100!L:R,7,FALSE),VLOOKUP(tables_588100!C218,input_588100!A:H,8,FALSE))</f>
        <v>6432.6330399999997</v>
      </c>
      <c r="P218" s="40">
        <f t="shared" ca="1" si="10"/>
        <v>4.1565217369070767E-4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input_588100!A$2</f>
        <v>588100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IFERROR(VLOOKUP(B219,input_588100!L:R,7,FALSE),VLOOKUP(tables_588100!C219,input_588100!A:H,8,FALSE))</f>
        <v>4504.5919999999996</v>
      </c>
      <c r="P219" s="40">
        <f t="shared" ca="1" si="10"/>
        <v>2.9106952701125514E-4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input_588100!A$2</f>
        <v>588100</v>
      </c>
      <c r="B220" s="6">
        <v>567</v>
      </c>
      <c r="C220" s="7" t="str">
        <f t="shared" si="9"/>
        <v>premium5R3lesscolor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">
        <v>306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IFERROR(VLOOKUP(B220,input_588100!L:R,7,FALSE),VLOOKUP(tables_588100!C220,input_588100!A:H,8,FALSE))</f>
        <v>6432.6330399999997</v>
      </c>
      <c r="P220" s="40">
        <f t="shared" ca="1" si="10"/>
        <v>4.1565217369070767E-4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input_588100!A$2</f>
        <v>588100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IFERROR(VLOOKUP(B221,input_588100!L:R,7,FALSE),VLOOKUP(tables_588100!C221,input_588100!A:H,8,FALSE))</f>
        <v>5256</v>
      </c>
      <c r="P221" s="40">
        <f t="shared" ca="1" si="10"/>
        <v>3.3962264151140816E-4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input_588100!A$2</f>
        <v>588100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IFERROR(VLOOKUP(B222,input_588100!L:R,7,FALSE),VLOOKUP(tables_588100!C222,input_588100!A:H,8,FALSE))</f>
        <v>584</v>
      </c>
      <c r="P222" s="40">
        <f t="shared" ca="1" si="10"/>
        <v>3.773584905682313E-5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input_588100!A$2</f>
        <v>588100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IFERROR(VLOOKUP(B223,input_588100!L:R,7,FALSE),VLOOKUP(tables_588100!C223,input_588100!A:H,8,FALSE))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input_588100!A$2</f>
        <v>588100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IFERROR(VLOOKUP(B224,input_588100!L:R,7,FALSE),VLOOKUP(tables_588100!C224,input_588100!A:H,8,FALSE))</f>
        <v>70672.320000000007</v>
      </c>
      <c r="P224" s="40">
        <f t="shared" ca="1" si="10"/>
        <v>4.5665753424922991E-3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input_588100!A$2</f>
        <v>588100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IFERROR(VLOOKUP(B225,input_588100!L:R,7,FALSE),VLOOKUP(tables_588100!C225,input_588100!A:H,8,FALSE))</f>
        <v>7852.48</v>
      </c>
      <c r="P225" s="40">
        <f t="shared" ca="1" si="10"/>
        <v>5.0739726027692201E-4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input_588100!A$2</f>
        <v>588100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IFERROR(VLOOKUP(B226,input_588100!L:R,7,FALSE),VLOOKUP(tables_588100!C226,input_588100!A:H,8,FALSE))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input_588100!A$2</f>
        <v>588100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IFERROR(VLOOKUP(B227,input_588100!L:R,7,FALSE),VLOOKUP(tables_588100!C227,input_588100!A:H,8,FALSE))</f>
        <v>70672.320000000007</v>
      </c>
      <c r="P227" s="40">
        <f t="shared" ca="1" si="10"/>
        <v>4.5665753424922991E-3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input_588100!A$2</f>
        <v>588100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IFERROR(VLOOKUP(B228,input_588100!L:R,7,FALSE),VLOOKUP(tables_588100!C228,input_588100!A:H,8,FALSE))</f>
        <v>7852.48</v>
      </c>
      <c r="P228" s="40">
        <f t="shared" ca="1" si="10"/>
        <v>5.0739726027692201E-4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input_588100!A$2</f>
        <v>588100</v>
      </c>
      <c r="B229" s="6">
        <v>594</v>
      </c>
      <c r="C229" s="7" t="str">
        <f t="shared" si="9"/>
        <v>PremiumSS4color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">
        <v>306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IFERROR(VLOOKUP(B229,input_588100!L:R,7,FALSE),VLOOKUP(tables_588100!C229,input_588100!A:H,8,FALSE))</f>
        <v>21992.21053</v>
      </c>
      <c r="P229" s="40">
        <f t="shared" ca="1" si="10"/>
        <v>1.4210526318252674E-3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input_588100!A$2</f>
        <v>588100</v>
      </c>
      <c r="B230" s="6">
        <v>595</v>
      </c>
      <c r="C230" s="7" t="str">
        <f t="shared" si="9"/>
        <v>PremiumSS5color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">
        <v>306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IFERROR(VLOOKUP(B230,input_588100!L:R,7,FALSE),VLOOKUP(tables_588100!C230,input_588100!A:H,8,FALSE))</f>
        <v>2443.5789500000001</v>
      </c>
      <c r="P230" s="40">
        <f t="shared" ca="1" si="10"/>
        <v>1.5789473701306568E-4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input_588100!A$2</f>
        <v>588100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IFERROR(VLOOKUP(B231,input_588100!L:R,7,FALSE),VLOOKUP(tables_588100!C231,input_588100!A:H,8,FALSE))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input_588100!A$2</f>
        <v>588100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IFERROR(VLOOKUP(B232,input_588100!L:R,7,FALSE),VLOOKUP(tables_588100!C232,input_588100!A:H,8,FALSE))</f>
        <v>70672.320000000007</v>
      </c>
      <c r="P232" s="40">
        <f t="shared" ca="1" si="10"/>
        <v>4.5665753424922991E-3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input_588100!A$2</f>
        <v>588100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IFERROR(VLOOKUP(B233,input_588100!L:R,7,FALSE),VLOOKUP(tables_588100!C233,input_588100!A:H,8,FALSE))</f>
        <v>7852.48</v>
      </c>
      <c r="P233" s="40">
        <f t="shared" ca="1" si="10"/>
        <v>5.0739726027692201E-4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input_588100!A$2</f>
        <v>588100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IFERROR(VLOOKUP(B234,input_588100!L:R,7,FALSE),VLOOKUP(tables_588100!C234,input_588100!A:H,8,FALSE))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input_588100!A$2</f>
        <v>588100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IFERROR(VLOOKUP(B235,input_588100!L:R,7,FALSE),VLOOKUP(tables_588100!C235,input_588100!A:H,8,FALSE))</f>
        <v>70672.320000000007</v>
      </c>
      <c r="P235" s="40">
        <f t="shared" ca="1" si="10"/>
        <v>4.5665753424922991E-3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input_588100!A$2</f>
        <v>588100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IFERROR(VLOOKUP(B236,input_588100!L:R,7,FALSE),VLOOKUP(tables_588100!C236,input_588100!A:H,8,FALSE))</f>
        <v>7852.48</v>
      </c>
      <c r="P236" s="40">
        <f t="shared" ca="1" si="10"/>
        <v>5.0739726027692201E-4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input_588100!A$2</f>
        <v>588100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IFERROR(VLOOKUP(B237,input_588100!L:R,7,FALSE),VLOOKUP(tables_588100!C237,input_588100!A:H,8,FALSE))</f>
        <v>5256</v>
      </c>
      <c r="P237" s="40">
        <f t="shared" ca="1" si="10"/>
        <v>3.3962264151140816E-4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input_588100!A$2</f>
        <v>588100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IFERROR(VLOOKUP(B238,input_588100!L:R,7,FALSE),VLOOKUP(tables_588100!C238,input_588100!A:H,8,FALSE))</f>
        <v>584</v>
      </c>
      <c r="P238" s="40">
        <f t="shared" ca="1" si="10"/>
        <v>3.773584905682313E-5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input_588100!A$2</f>
        <v>588100</v>
      </c>
      <c r="B239" s="6">
        <v>604</v>
      </c>
      <c r="C239" s="7" t="str">
        <f t="shared" si="9"/>
        <v>Premium3color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">
        <v>306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IFERROR(VLOOKUP(B239,input_588100!L:R,7,FALSE),VLOOKUP(tables_588100!C239,input_588100!A:H,8,FALSE))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input_588100!A$2</f>
        <v>588100</v>
      </c>
      <c r="B240" s="6">
        <v>605</v>
      </c>
      <c r="C240" s="7" t="str">
        <f t="shared" si="9"/>
        <v>Premium4color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">
        <v>306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IFERROR(VLOOKUP(B240,input_588100!L:R,7,FALSE),VLOOKUP(tables_588100!C240,input_588100!A:H,8,FALSE))</f>
        <v>336461.69738999999</v>
      </c>
      <c r="P240" s="40">
        <f t="shared" ca="1" si="10"/>
        <v>2.1740869565259485E-2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input_588100!A$2</f>
        <v>588100</v>
      </c>
      <c r="B241" s="6">
        <v>606</v>
      </c>
      <c r="C241" s="7" t="str">
        <f t="shared" si="9"/>
        <v>Premium5color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">
        <v>306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IFERROR(VLOOKUP(B241,input_588100!L:R,7,FALSE),VLOOKUP(tables_588100!C241,input_588100!A:H,8,FALSE))</f>
        <v>13140.080180000001</v>
      </c>
      <c r="P241" s="40">
        <f t="shared" ca="1" si="10"/>
        <v>8.4906178470382418E-4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input_588100!A$2</f>
        <v>588100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IFERROR(VLOOKUP(B242,input_588100!L:R,7,FALSE),VLOOKUP(tables_588100!C242,input_588100!A:H,8,FALSE))</f>
        <v>5256</v>
      </c>
      <c r="P242" s="40">
        <f t="shared" ca="1" si="10"/>
        <v>3.3962264151140816E-4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input_588100!A$2</f>
        <v>588100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IFERROR(VLOOKUP(B243,input_588100!L:R,7,FALSE),VLOOKUP(tables_588100!C243,input_588100!A:H,8,FALSE))</f>
        <v>584</v>
      </c>
      <c r="P243" s="40">
        <f t="shared" ca="1" si="10"/>
        <v>3.773584905682313E-5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input_588100!A$2</f>
        <v>588100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IFERROR(VLOOKUP(B244,input_588100!L:R,7,FALSE),VLOOKUP(tables_588100!C244,input_588100!A:H,8,FALSE))</f>
        <v>5256</v>
      </c>
      <c r="P244" s="40">
        <f t="shared" ca="1" si="10"/>
        <v>3.3962264151140816E-4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input_588100!A$2</f>
        <v>588100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IFERROR(VLOOKUP(B245,input_588100!L:R,7,FALSE),VLOOKUP(tables_588100!C245,input_588100!A:H,8,FALSE))</f>
        <v>584</v>
      </c>
      <c r="P245" s="40">
        <f t="shared" ca="1" si="10"/>
        <v>3.773584905682313E-5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input_588100!A$2</f>
        <v>588100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IFERROR(VLOOKUP(B246,input_588100!L:R,7,FALSE),VLOOKUP(tables_588100!C246,input_588100!A:H,8,FALSE))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input_588100!A$2</f>
        <v>588100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IFERROR(VLOOKUP(B247,input_588100!L:R,7,FALSE),VLOOKUP(tables_588100!C247,input_588100!A:H,8,FALSE))</f>
        <v>70672.320000000007</v>
      </c>
      <c r="P247" s="40">
        <f t="shared" ca="1" si="10"/>
        <v>4.5665753424922991E-3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input_588100!A$2</f>
        <v>588100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IFERROR(VLOOKUP(B248,input_588100!L:R,7,FALSE),VLOOKUP(tables_588100!C248,input_588100!A:H,8,FALSE))</f>
        <v>7852.48</v>
      </c>
      <c r="P248" s="40">
        <f t="shared" ca="1" si="10"/>
        <v>5.0739726027692201E-4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input_588100!A$2</f>
        <v>588100</v>
      </c>
      <c r="B249" s="52">
        <v>665</v>
      </c>
      <c r="C249" s="7" t="str">
        <f t="shared" si="9"/>
        <v>Premium3color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">
        <v>306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IFERROR(VLOOKUP(B249,input_588100!L:R,7,FALSE),VLOOKUP(tables_588100!C249,input_588100!A:H,8,FALSE))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input_588100!A$2</f>
        <v>588100</v>
      </c>
      <c r="B250" s="52">
        <v>666</v>
      </c>
      <c r="C250" s="7" t="str">
        <f t="shared" si="9"/>
        <v>Premium4color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">
        <v>306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IFERROR(VLOOKUP(B250,input_588100!L:R,7,FALSE),VLOOKUP(tables_588100!C250,input_588100!A:H,8,FALSE))</f>
        <v>336461.69738999999</v>
      </c>
      <c r="P250" s="40">
        <f t="shared" ca="1" si="10"/>
        <v>2.1740869565259485E-2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input_588100!A$2</f>
        <v>588100</v>
      </c>
      <c r="B251" s="52">
        <v>667</v>
      </c>
      <c r="C251" s="7" t="str">
        <f t="shared" si="9"/>
        <v>Premium5color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">
        <v>306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IFERROR(VLOOKUP(B251,input_588100!L:R,7,FALSE),VLOOKUP(tables_588100!C251,input_588100!A:H,8,FALSE))</f>
        <v>13140.080180000001</v>
      </c>
      <c r="P251" s="40">
        <f t="shared" ca="1" si="10"/>
        <v>8.4906178470382418E-4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input_588100!A$2</f>
        <v>588100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IFERROR(VLOOKUP(B252,input_588100!L:R,7,FALSE),VLOOKUP(tables_588100!C252,input_588100!A:H,8,FALSE))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input_588100!A$2</f>
        <v>588100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IFERROR(VLOOKUP(B253,input_588100!L:R,7,FALSE),VLOOKUP(tables_588100!C253,input_588100!A:H,8,FALSE))</f>
        <v>70672.320000000007</v>
      </c>
      <c r="P253" s="40">
        <f t="shared" ca="1" si="10"/>
        <v>4.5665753424922991E-3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input_588100!A$2</f>
        <v>588100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IFERROR(VLOOKUP(B254,input_588100!L:R,7,FALSE),VLOOKUP(tables_588100!C254,input_588100!A:H,8,FALSE))</f>
        <v>7852.48</v>
      </c>
      <c r="P254" s="40">
        <f t="shared" ca="1" si="10"/>
        <v>5.0739726027692201E-4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input_588100!A$2</f>
        <v>588100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IFERROR(VLOOKUP(B255,input_588100!L:R,7,FALSE),VLOOKUP(tables_588100!C255,input_588100!A:H,8,FALSE))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input_588100!A$2</f>
        <v>588100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IFERROR(VLOOKUP(B256,input_588100!L:R,7,FALSE),VLOOKUP(tables_588100!C256,input_588100!A:H,8,FALSE))</f>
        <v>70672.320000000007</v>
      </c>
      <c r="P256" s="40">
        <f t="shared" ca="1" si="10"/>
        <v>4.5665753424922991E-3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input_588100!A$2</f>
        <v>588100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IFERROR(VLOOKUP(B257,input_588100!L:R,7,FALSE),VLOOKUP(tables_588100!C257,input_588100!A:H,8,FALSE))</f>
        <v>7852.48</v>
      </c>
      <c r="P257" s="40">
        <f t="shared" ca="1" si="10"/>
        <v>5.0739726027692201E-4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input_588100!A$2</f>
        <v>588100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IFERROR(VLOOKUP(B258,input_588100!L:R,7,FALSE),VLOOKUP(tables_588100!C258,input_588100!A:H,8,FALSE))</f>
        <v>5256</v>
      </c>
      <c r="P258" s="40">
        <f t="shared" ref="P258:P321" ca="1" si="13">O258/SUM(O:O)</f>
        <v>3.3962264151140816E-4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input_588100!A$2</f>
        <v>588100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IFERROR(VLOOKUP(B259,input_588100!L:R,7,FALSE),VLOOKUP(tables_588100!C259,input_588100!A:H,8,FALSE))</f>
        <v>584</v>
      </c>
      <c r="P259" s="40">
        <f t="shared" ca="1" si="13"/>
        <v>3.773584905682313E-5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input_588100!A$2</f>
        <v>588100</v>
      </c>
      <c r="B260" s="52">
        <v>676</v>
      </c>
      <c r="C260" s="7" t="str">
        <f t="shared" si="12"/>
        <v>PremiumSS4color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">
        <v>306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IFERROR(VLOOKUP(B260,input_588100!L:R,7,FALSE),VLOOKUP(tables_588100!C260,input_588100!A:H,8,FALSE))</f>
        <v>21992.21053</v>
      </c>
      <c r="P260" s="40">
        <f t="shared" ca="1" si="13"/>
        <v>1.4210526318252674E-3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input_588100!A$2</f>
        <v>588100</v>
      </c>
      <c r="B261" s="52">
        <v>677</v>
      </c>
      <c r="C261" s="7" t="str">
        <f t="shared" si="12"/>
        <v>PremiumSS5color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">
        <v>306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IFERROR(VLOOKUP(B261,input_588100!L:R,7,FALSE),VLOOKUP(tables_588100!C261,input_588100!A:H,8,FALSE))</f>
        <v>2443.5789500000001</v>
      </c>
      <c r="P261" s="40">
        <f t="shared" ca="1" si="13"/>
        <v>1.5789473701306568E-4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input_588100!A$2</f>
        <v>588100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IFERROR(VLOOKUP(B262,input_588100!L:R,7,FALSE),VLOOKUP(tables_588100!C262,input_588100!A:H,8,FALSE))</f>
        <v>72894.06</v>
      </c>
      <c r="P262" s="40">
        <f t="shared" ca="1" si="13"/>
        <v>4.7101356940051509E-3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input_588100!A$2</f>
        <v>588100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IFERROR(VLOOKUP(B263,input_588100!L:R,7,FALSE),VLOOKUP(tables_588100!C263,input_588100!A:H,8,FALSE))</f>
        <v>4504.5919999999996</v>
      </c>
      <c r="P263" s="40">
        <f t="shared" ca="1" si="13"/>
        <v>2.9106952701125514E-4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input_588100!A$2</f>
        <v>588100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IFERROR(VLOOKUP(B264,input_588100!L:R,7,FALSE),VLOOKUP(tables_588100!C264,input_588100!A:H,8,FALSE))</f>
        <v>72894.06</v>
      </c>
      <c r="P264" s="40">
        <f t="shared" ca="1" si="13"/>
        <v>4.7101356940051509E-3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input_588100!A$2</f>
        <v>588100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IFERROR(VLOOKUP(B265,input_588100!L:R,7,FALSE),VLOOKUP(tables_588100!C265,input_588100!A:H,8,FALSE))</f>
        <v>4504.5919999999996</v>
      </c>
      <c r="P265" s="40">
        <f t="shared" ca="1" si="13"/>
        <v>2.9106952701125514E-4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input_588100!A$2</f>
        <v>588100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IFERROR(VLOOKUP(B266,input_588100!L:R,7,FALSE),VLOOKUP(tables_588100!C266,input_588100!A:H,8,FALSE))</f>
        <v>5840</v>
      </c>
      <c r="P266" s="40">
        <f t="shared" ca="1" si="13"/>
        <v>3.7735849056823127E-4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input_588100!A$2</f>
        <v>588100</v>
      </c>
      <c r="B267" s="52">
        <v>734</v>
      </c>
      <c r="C267" s="7" t="str">
        <f t="shared" si="12"/>
        <v>PremiumSS5R5onlycolor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">
        <v>306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IFERROR(VLOOKUP(B267,input_588100!L:R,7,FALSE),VLOOKUP(tables_588100!C267,input_588100!A:H,8,FALSE))</f>
        <v>24435.78947</v>
      </c>
      <c r="P267" s="40">
        <f t="shared" ca="1" si="13"/>
        <v>1.5789473681921712E-3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input_588100!A$2</f>
        <v>588100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IFERROR(VLOOKUP(B268,input_588100!L:R,7,FALSE),VLOOKUP(tables_588100!C268,input_588100!A:H,8,FALSE))</f>
        <v>5840</v>
      </c>
      <c r="P268" s="40">
        <f t="shared" ca="1" si="13"/>
        <v>3.7735849056823127E-4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input_588100!A$2</f>
        <v>588100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IFERROR(VLOOKUP(B269,input_588100!L:R,7,FALSE),VLOOKUP(tables_588100!C269,input_588100!A:H,8,FALSE))</f>
        <v>5840</v>
      </c>
      <c r="P269" s="40">
        <f t="shared" ca="1" si="13"/>
        <v>3.7735849056823127E-4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input_588100!A$2</f>
        <v>588100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IFERROR(VLOOKUP(B270,input_588100!L:R,7,FALSE),VLOOKUP(tables_588100!C270,input_588100!A:H,8,FALSE))</f>
        <v>72894.06</v>
      </c>
      <c r="P270" s="40">
        <f t="shared" ca="1" si="13"/>
        <v>4.7101356940051509E-3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input_588100!A$2</f>
        <v>588100</v>
      </c>
      <c r="B271" s="7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IFERROR(VLOOKUP(B271,input_588100!L:R,7,FALSE),VLOOKUP(tables_588100!C271,input_588100!A:H,8,FALSE))</f>
        <v>4504.5919999999996</v>
      </c>
      <c r="P271" s="40">
        <f t="shared" ca="1" si="13"/>
        <v>2.9106952701125514E-4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input_588100!A$2</f>
        <v>588100</v>
      </c>
      <c r="B272" s="71">
        <v>748</v>
      </c>
      <c r="C272" s="7" t="str">
        <f t="shared" si="12"/>
        <v>Premium4R3lesscolor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">
        <v>306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IFERROR(VLOOKUP(B272,input_588100!L:R,7,FALSE),VLOOKUP(tables_588100!C272,input_588100!A:H,8,FALSE))</f>
        <v>364197.38086999999</v>
      </c>
      <c r="P272" s="40">
        <f t="shared" ca="1" si="13"/>
        <v>2.3533043478425757E-2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input_588100!A$2</f>
        <v>588100</v>
      </c>
      <c r="B273" s="71">
        <v>749</v>
      </c>
      <c r="C273" s="7" t="str">
        <f t="shared" si="12"/>
        <v>Premium5R3lesscolor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">
        <v>306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IFERROR(VLOOKUP(B273,input_588100!L:R,7,FALSE),VLOOKUP(tables_588100!C273,input_588100!A:H,8,FALSE))</f>
        <v>6432.6330399999997</v>
      </c>
      <c r="P273" s="40">
        <f t="shared" ca="1" si="13"/>
        <v>4.1565217369070767E-4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input_588100!A$2</f>
        <v>588100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IFERROR(VLOOKUP(B274,input_588100!L:R,7,FALSE),VLOOKUP(tables_588100!C274,input_588100!A:H,8,FALSE))</f>
        <v>5256</v>
      </c>
      <c r="P274" s="40">
        <f t="shared" ca="1" si="13"/>
        <v>3.3962264151140816E-4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input_588100!A$2</f>
        <v>588100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IFERROR(VLOOKUP(B275,input_588100!L:R,7,FALSE),VLOOKUP(tables_588100!C275,input_588100!A:H,8,FALSE))</f>
        <v>584</v>
      </c>
      <c r="P275" s="40">
        <f t="shared" ca="1" si="13"/>
        <v>3.773584905682313E-5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input_588100!A$2</f>
        <v>588100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IFERROR(VLOOKUP(B276,input_588100!L:R,7,FALSE),VLOOKUP(tables_588100!C276,input_588100!A:H,8,FALSE))</f>
        <v>5256</v>
      </c>
      <c r="P276" s="40">
        <f t="shared" ca="1" si="13"/>
        <v>3.3962264151140816E-4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input_588100!A$2</f>
        <v>588100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IFERROR(VLOOKUP(B277,input_588100!L:R,7,FALSE),VLOOKUP(tables_588100!C277,input_588100!A:H,8,FALSE))</f>
        <v>584</v>
      </c>
      <c r="P277" s="40">
        <f t="shared" ca="1" si="13"/>
        <v>3.773584905682313E-5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input_588100!A$2</f>
        <v>588100</v>
      </c>
      <c r="B278" s="7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IFERROR(VLOOKUP(B278,input_588100!L:R,7,FALSE),VLOOKUP(tables_588100!C278,input_588100!A:H,8,FALSE))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input_588100!A$2</f>
        <v>588100</v>
      </c>
      <c r="B279" s="7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IFERROR(VLOOKUP(B279,input_588100!L:R,7,FALSE),VLOOKUP(tables_588100!C279,input_588100!A:H,8,FALSE))</f>
        <v>70672.320000000007</v>
      </c>
      <c r="P279" s="40">
        <f t="shared" ca="1" si="13"/>
        <v>4.5665753424922991E-3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input_588100!A$2</f>
        <v>588100</v>
      </c>
      <c r="B280" s="7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IFERROR(VLOOKUP(B280,input_588100!L:R,7,FALSE),VLOOKUP(tables_588100!C280,input_588100!A:H,8,FALSE))</f>
        <v>7852.48</v>
      </c>
      <c r="P280" s="40">
        <f t="shared" ca="1" si="13"/>
        <v>5.0739726027692201E-4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input_588100!A$2</f>
        <v>588100</v>
      </c>
      <c r="B281" s="71">
        <v>777</v>
      </c>
      <c r="C281" s="7" t="str">
        <f t="shared" si="12"/>
        <v>Premium3color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">
        <v>306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IFERROR(VLOOKUP(B281,input_588100!L:R,7,FALSE),VLOOKUP(tables_588100!C281,input_588100!A:H,8,FALSE))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input_588100!A$2</f>
        <v>588100</v>
      </c>
      <c r="B282" s="71">
        <v>778</v>
      </c>
      <c r="C282" s="7" t="str">
        <f t="shared" si="12"/>
        <v>Premium4color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">
        <v>306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IFERROR(VLOOKUP(B282,input_588100!L:R,7,FALSE),VLOOKUP(tables_588100!C282,input_588100!A:H,8,FALSE))</f>
        <v>336461.69738999999</v>
      </c>
      <c r="P282" s="40">
        <f t="shared" ca="1" si="13"/>
        <v>2.1740869565259485E-2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input_588100!A$2</f>
        <v>588100</v>
      </c>
      <c r="B283" s="5">
        <v>779</v>
      </c>
      <c r="C283" s="7" t="str">
        <f t="shared" si="12"/>
        <v>Premium5color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">
        <v>306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IFERROR(VLOOKUP(B283,input_588100!L:R,7,FALSE),VLOOKUP(tables_588100!C283,input_588100!A:H,8,FALSE))</f>
        <v>13140.080180000001</v>
      </c>
      <c r="P283" s="40">
        <f t="shared" ca="1" si="13"/>
        <v>8.4906178470382418E-4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input_588100!A$2</f>
        <v>588100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IFERROR(VLOOKUP(B284,input_588100!L:R,7,FALSE),VLOOKUP(tables_588100!C284,input_588100!A:H,8,FALSE))</f>
        <v>5840</v>
      </c>
      <c r="P284" s="40">
        <f t="shared" ca="1" si="13"/>
        <v>3.7735849056823127E-4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input_588100!A$2</f>
        <v>588100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IFERROR(VLOOKUP(B285,input_588100!L:R,7,FALSE),VLOOKUP(tables_588100!C285,input_588100!A:H,8,FALSE))</f>
        <v>5840</v>
      </c>
      <c r="P285" s="40">
        <f t="shared" ca="1" si="13"/>
        <v>3.7735849056823127E-4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input_588100!A$2</f>
        <v>588100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IFERROR(VLOOKUP(B286,input_588100!L:R,7,FALSE),VLOOKUP(tables_588100!C286,input_588100!A:H,8,FALSE))</f>
        <v>72894.06</v>
      </c>
      <c r="P286" s="40">
        <f t="shared" ca="1" si="13"/>
        <v>4.7101356940051509E-3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input_588100!A$2</f>
        <v>588100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IFERROR(VLOOKUP(B287,input_588100!L:R,7,FALSE),VLOOKUP(tables_588100!C287,input_588100!A:H,8,FALSE))</f>
        <v>4504.5919999999996</v>
      </c>
      <c r="P287" s="40">
        <f t="shared" ca="1" si="13"/>
        <v>2.9106952701125514E-4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input_588100!A$2</f>
        <v>588100</v>
      </c>
      <c r="B288" s="5">
        <v>854</v>
      </c>
      <c r="C288" s="7" t="str">
        <f t="shared" si="12"/>
        <v>Premium4R3lesscolor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">
        <v>306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IFERROR(VLOOKUP(B288,input_588100!L:R,7,FALSE),VLOOKUP(tables_588100!C288,input_588100!A:H,8,FALSE))</f>
        <v>364197.38086999999</v>
      </c>
      <c r="P288" s="40">
        <f t="shared" ca="1" si="13"/>
        <v>2.3533043478425757E-2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input_588100!A$2</f>
        <v>588100</v>
      </c>
      <c r="B289" s="5">
        <v>855</v>
      </c>
      <c r="C289" s="7" t="str">
        <f t="shared" si="12"/>
        <v>Premium5R3lesscolor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">
        <v>306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IFERROR(VLOOKUP(B289,input_588100!L:R,7,FALSE),VLOOKUP(tables_588100!C289,input_588100!A:H,8,FALSE))</f>
        <v>6432.6330399999997</v>
      </c>
      <c r="P289" s="40">
        <f t="shared" ca="1" si="13"/>
        <v>4.1565217369070767E-4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input_588100!A$2</f>
        <v>588100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IFERROR(VLOOKUP(B290,input_588100!L:R,7,FALSE),VLOOKUP(tables_588100!C290,input_588100!A:H,8,FALSE))</f>
        <v>72894.06</v>
      </c>
      <c r="P290" s="40">
        <f t="shared" ca="1" si="13"/>
        <v>4.7101356940051509E-3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input_588100!A$2</f>
        <v>588100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IFERROR(VLOOKUP(B291,input_588100!L:R,7,FALSE),VLOOKUP(tables_588100!C291,input_588100!A:H,8,FALSE))</f>
        <v>4504.5919999999996</v>
      </c>
      <c r="P291" s="40">
        <f t="shared" ca="1" si="13"/>
        <v>2.9106952701125514E-4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input_588100!A$2</f>
        <v>588100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IFERROR(VLOOKUP(B292,input_588100!L:R,7,FALSE),VLOOKUP(tables_588100!C292,input_588100!A:H,8,FALSE))</f>
        <v>72894.06</v>
      </c>
      <c r="P292" s="40">
        <f t="shared" ca="1" si="13"/>
        <v>4.7101356940051509E-3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input_588100!A$2</f>
        <v>588100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IFERROR(VLOOKUP(B293,input_588100!L:R,7,FALSE),VLOOKUP(tables_588100!C293,input_588100!A:H,8,FALSE))</f>
        <v>4504.5919999999996</v>
      </c>
      <c r="P293" s="40">
        <f t="shared" ca="1" si="13"/>
        <v>2.9106952701125514E-4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input_588100!A$2</f>
        <v>588100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IFERROR(VLOOKUP(B294,input_588100!L:R,7,FALSE),VLOOKUP(tables_588100!C294,input_588100!A:H,8,FALSE))</f>
        <v>5840</v>
      </c>
      <c r="P294" s="40">
        <f t="shared" ca="1" si="13"/>
        <v>3.7735849056823127E-4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input_588100!A$2</f>
        <v>588100</v>
      </c>
      <c r="B295" s="5">
        <v>868</v>
      </c>
      <c r="C295" s="7" t="str">
        <f t="shared" si="12"/>
        <v>PremiumSS5R5onlycolor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">
        <v>306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IFERROR(VLOOKUP(B295,input_588100!L:R,7,FALSE),VLOOKUP(tables_588100!C295,input_588100!A:H,8,FALSE))</f>
        <v>24435.78947</v>
      </c>
      <c r="P295" s="40">
        <f t="shared" ca="1" si="13"/>
        <v>1.5789473681921712E-3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input_588100!A$2</f>
        <v>588100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IFERROR(VLOOKUP(B296,input_588100!L:R,7,FALSE),VLOOKUP(tables_588100!C296,input_588100!A:H,8,FALSE))</f>
        <v>5840</v>
      </c>
      <c r="P296" s="40">
        <f t="shared" ca="1" si="13"/>
        <v>3.7735849056823127E-4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input_588100!A$2</f>
        <v>588100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IFERROR(VLOOKUP(B297,input_588100!L:R,7,FALSE),VLOOKUP(tables_588100!C297,input_588100!A:H,8,FALSE))</f>
        <v>72894.06</v>
      </c>
      <c r="P297" s="40">
        <f t="shared" ca="1" si="13"/>
        <v>4.7101356940051509E-3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input_588100!A$2</f>
        <v>588100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IFERROR(VLOOKUP(B298,input_588100!L:R,7,FALSE),VLOOKUP(tables_588100!C298,input_588100!A:H,8,FALSE))</f>
        <v>4504.5919999999996</v>
      </c>
      <c r="P298" s="40">
        <f t="shared" ca="1" si="13"/>
        <v>2.9106952701125514E-4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input_588100!A$2</f>
        <v>588100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IFERROR(VLOOKUP(B299,input_588100!L:R,7,FALSE),VLOOKUP(tables_588100!C299,input_588100!A:H,8,FALSE))</f>
        <v>5840</v>
      </c>
      <c r="P299" s="40">
        <f t="shared" ca="1" si="13"/>
        <v>3.7735849056823127E-4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input_588100!A$2</f>
        <v>588100</v>
      </c>
      <c r="B300" s="5">
        <v>943</v>
      </c>
      <c r="C300" s="7" t="str">
        <f t="shared" si="12"/>
        <v>PremiumSS5R5onlycolor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">
        <v>306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IFERROR(VLOOKUP(B300,input_588100!L:R,7,FALSE),VLOOKUP(tables_588100!C300,input_588100!A:H,8,FALSE))</f>
        <v>24435.78947</v>
      </c>
      <c r="P300" s="40">
        <f t="shared" ca="1" si="13"/>
        <v>1.5789473681921712E-3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input_588100!A$2</f>
        <v>588100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IFERROR(VLOOKUP(B301,input_588100!L:R,7,FALSE),VLOOKUP(tables_588100!C301,input_588100!A:H,8,FALSE))</f>
        <v>5840</v>
      </c>
      <c r="P301" s="40">
        <f t="shared" ca="1" si="13"/>
        <v>3.7735849056823127E-4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input_588100!A$2</f>
        <v>588100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IFERROR(VLOOKUP(B302,input_588100!L:R,7,FALSE),VLOOKUP(tables_588100!C302,input_588100!A:H,8,FALSE))</f>
        <v>5840</v>
      </c>
      <c r="P302" s="40">
        <f t="shared" ca="1" si="13"/>
        <v>3.7735849056823127E-4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input_588100!A$2</f>
        <v>588100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IFERROR(VLOOKUP(B303,input_588100!L:R,7,FALSE),VLOOKUP(tables_588100!C303,input_588100!A:H,8,FALSE))</f>
        <v>72894.06</v>
      </c>
      <c r="P303" s="40">
        <f t="shared" ca="1" si="13"/>
        <v>4.7101356940051509E-3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input_588100!A$2</f>
        <v>588100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IFERROR(VLOOKUP(B304,input_588100!L:R,7,FALSE),VLOOKUP(tables_588100!C304,input_588100!A:H,8,FALSE))</f>
        <v>4504.5919999999996</v>
      </c>
      <c r="P304" s="40">
        <f t="shared" ca="1" si="13"/>
        <v>2.9106952701125514E-4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input_588100!A$2</f>
        <v>588100</v>
      </c>
      <c r="B305" s="5">
        <v>1018</v>
      </c>
      <c r="C305" s="7" t="str">
        <f t="shared" si="12"/>
        <v>PremiumSS5R5onlycolor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">
        <v>306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IFERROR(VLOOKUP(B305,input_588100!L:R,7,FALSE),VLOOKUP(tables_588100!C305,input_588100!A:H,8,FALSE))</f>
        <v>24435.78947</v>
      </c>
      <c r="P305" s="40">
        <f t="shared" ca="1" si="13"/>
        <v>1.5789473681921712E-3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input_588100!A$2</f>
        <v>588100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IFERROR(VLOOKUP(B306,input_588100!L:R,7,FALSE),VLOOKUP(tables_588100!C306,input_588100!A:H,8,FALSE))</f>
        <v>72894.06</v>
      </c>
      <c r="P306" s="40">
        <f t="shared" ca="1" si="13"/>
        <v>4.7101356940051509E-3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input_588100!A$2</f>
        <v>588100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IFERROR(VLOOKUP(B307,input_588100!L:R,7,FALSE),VLOOKUP(tables_588100!C307,input_588100!A:H,8,FALSE))</f>
        <v>4504.5919999999996</v>
      </c>
      <c r="P307" s="40">
        <f t="shared" ca="1" si="13"/>
        <v>2.9106952701125514E-4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input_588100!A$2</f>
        <v>588100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IFERROR(VLOOKUP(B308,input_588100!L:R,7,FALSE),VLOOKUP(tables_588100!C308,input_588100!A:H,8,FALSE))</f>
        <v>5840</v>
      </c>
      <c r="P308" s="40">
        <f t="shared" ca="1" si="13"/>
        <v>3.7735849056823127E-4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input_588100!A$2</f>
        <v>588100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IFERROR(VLOOKUP(B309,input_588100!L:R,7,FALSE),VLOOKUP(tables_588100!C309,input_588100!A:H,8,FALSE))</f>
        <v>5840</v>
      </c>
      <c r="P309" s="40">
        <f t="shared" ca="1" si="13"/>
        <v>3.7735849056823127E-4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input_588100!A$2</f>
        <v>588100</v>
      </c>
      <c r="B310" s="5">
        <v>1033</v>
      </c>
      <c r="C310" s="7" t="str">
        <f t="shared" si="12"/>
        <v>PremiumSS5R5onlycolor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">
        <v>306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IFERROR(VLOOKUP(B310,input_588100!L:R,7,FALSE),VLOOKUP(tables_588100!C310,input_588100!A:H,8,FALSE))</f>
        <v>24435.78947</v>
      </c>
      <c r="P310" s="40">
        <f t="shared" ca="1" si="13"/>
        <v>1.5789473681921712E-3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input_588100!A$2</f>
        <v>588100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IFERROR(VLOOKUP(B311,input_588100!L:R,7,FALSE),VLOOKUP(tables_588100!C311,input_588100!A:H,8,FALSE))</f>
        <v>72894.06</v>
      </c>
      <c r="P311" s="40">
        <f t="shared" ca="1" si="13"/>
        <v>4.7101356940051509E-3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input_588100!A$2</f>
        <v>588100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IFERROR(VLOOKUP(B312,input_588100!L:R,7,FALSE),VLOOKUP(tables_588100!C312,input_588100!A:H,8,FALSE))</f>
        <v>4504.5919999999996</v>
      </c>
      <c r="P312" s="40">
        <f t="shared" ca="1" si="13"/>
        <v>2.9106952701125514E-4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input_588100!A$2</f>
        <v>588100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IFERROR(VLOOKUP(B313,input_588100!L:R,7,FALSE),VLOOKUP(tables_588100!C313,input_588100!A:H,8,FALSE))</f>
        <v>5840</v>
      </c>
      <c r="P313" s="40">
        <f t="shared" ca="1" si="13"/>
        <v>3.7735849056823127E-4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input_588100!A$2</f>
        <v>588100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IFERROR(VLOOKUP(B314,input_588100!L:R,7,FALSE),VLOOKUP(tables_588100!C314,input_588100!A:H,8,FALSE))</f>
        <v>5840</v>
      </c>
      <c r="P314" s="40">
        <f t="shared" ca="1" si="13"/>
        <v>3.7735849056823127E-4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input_588100!A$2</f>
        <v>588100</v>
      </c>
      <c r="B315" s="5">
        <v>1074</v>
      </c>
      <c r="C315" s="7" t="str">
        <f t="shared" si="12"/>
        <v>PremiumSS5R5onlycolor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">
        <v>306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IFERROR(VLOOKUP(B315,input_588100!L:R,7,FALSE),VLOOKUP(tables_588100!C315,input_588100!A:H,8,FALSE))</f>
        <v>24435.78947</v>
      </c>
      <c r="P315" s="40">
        <f t="shared" ca="1" si="13"/>
        <v>1.5789473681921712E-3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input_588100!A$2</f>
        <v>588100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IFERROR(VLOOKUP(B316,input_588100!L:R,7,FALSE),VLOOKUP(tables_588100!C316,input_588100!A:H,8,FALSE))</f>
        <v>5840</v>
      </c>
      <c r="P316" s="40">
        <f t="shared" ca="1" si="13"/>
        <v>3.7735849056823127E-4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input_588100!A$2</f>
        <v>588100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IFERROR(VLOOKUP(B317,input_588100!L:R,7,FALSE),VLOOKUP(tables_588100!C317,input_588100!A:H,8,FALSE))</f>
        <v>5840</v>
      </c>
      <c r="P317" s="40">
        <f t="shared" ca="1" si="13"/>
        <v>3.7735849056823127E-4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input_588100!A$2</f>
        <v>588100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IFERROR(VLOOKUP(B318,input_588100!L:R,7,FALSE),VLOOKUP(tables_588100!C318,input_588100!A:H,8,FALSE))</f>
        <v>72894.06</v>
      </c>
      <c r="P318" s="40">
        <f t="shared" ca="1" si="13"/>
        <v>4.7101356940051509E-3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input_588100!A$2</f>
        <v>588100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IFERROR(VLOOKUP(B319,input_588100!L:R,7,FALSE),VLOOKUP(tables_588100!C319,input_588100!A:H,8,FALSE))</f>
        <v>4504.5919999999996</v>
      </c>
      <c r="P319" s="40">
        <f t="shared" ca="1" si="13"/>
        <v>2.9106952701125514E-4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input_588100!A$2</f>
        <v>588100</v>
      </c>
      <c r="B320" s="5">
        <v>1106</v>
      </c>
      <c r="C320" s="7" t="str">
        <f t="shared" si="12"/>
        <v>PremiumSS5R5onlycolor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">
        <v>306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IFERROR(VLOOKUP(B320,input_588100!L:R,7,FALSE),VLOOKUP(tables_588100!C320,input_588100!A:H,8,FALSE))</f>
        <v>24435.78947</v>
      </c>
      <c r="P320" s="40">
        <f t="shared" ca="1" si="13"/>
        <v>1.5789473681921712E-3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input_588100!A$2</f>
        <v>588100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IFERROR(VLOOKUP(B321,input_588100!L:R,7,FALSE),VLOOKUP(tables_588100!C321,input_588100!A:H,8,FALSE))</f>
        <v>5840</v>
      </c>
      <c r="P321" s="40">
        <f t="shared" ca="1" si="13"/>
        <v>3.7735849056823127E-4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input_588100!A$2</f>
        <v>588100</v>
      </c>
      <c r="B322" s="5">
        <v>1139</v>
      </c>
      <c r="C322" s="7" t="str">
        <f t="shared" ref="C322:C34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IFERROR(VLOOKUP(B322,input_588100!L:R,7,FALSE),VLOOKUP(tables_588100!C322,input_588100!A:H,8,FALSE))</f>
        <v>5840</v>
      </c>
      <c r="P322" s="40">
        <f t="shared" ref="P322:P341" ca="1" si="16">O322/SUM(O:O)</f>
        <v>3.7735849056823127E-4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input_588100!A$2</f>
        <v>588100</v>
      </c>
      <c r="B323" s="5">
        <v>1141</v>
      </c>
      <c r="C323" s="7" t="str">
        <f t="shared" si="15"/>
        <v>PremiumSS5R5only</v>
      </c>
      <c r="D323" s="7" t="str">
        <f t="shared" ref="D323:D34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IFERROR(VLOOKUP(B323,input_588100!L:R,7,FALSE),VLOOKUP(tables_588100!C323,input_588100!A:H,8,FALSE))</f>
        <v>5840</v>
      </c>
      <c r="P323" s="40">
        <f t="shared" ca="1" si="16"/>
        <v>3.7735849056823127E-4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input_588100!A$2</f>
        <v>588100</v>
      </c>
      <c r="B324" s="2">
        <v>1143</v>
      </c>
      <c r="C324" s="7" t="str">
        <f t="shared" si="15"/>
        <v>Premium4R3lesscolor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">
        <v>306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IFERROR(VLOOKUP(B324,input_588100!L:R,7,FALSE),VLOOKUP(tables_588100!C324,input_588100!A:H,8,FALSE))</f>
        <v>364197.38086999999</v>
      </c>
      <c r="P324" s="40">
        <f t="shared" ca="1" si="16"/>
        <v>2.3533043478425757E-2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input_588100!A$2</f>
        <v>588100</v>
      </c>
      <c r="B325" s="2">
        <v>1144</v>
      </c>
      <c r="C325" s="7" t="str">
        <f t="shared" si="15"/>
        <v>Premium5R3lesscolor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">
        <v>306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IFERROR(VLOOKUP(B325,input_588100!L:R,7,FALSE),VLOOKUP(tables_588100!C325,input_588100!A:H,8,FALSE))</f>
        <v>6432.6330399999997</v>
      </c>
      <c r="P325" s="40">
        <f t="shared" ca="1" si="16"/>
        <v>4.1565217369070767E-4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input_588100!A$2</f>
        <v>588100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IFERROR(VLOOKUP(B326,input_588100!L:R,7,FALSE),VLOOKUP(tables_588100!C326,input_588100!A:H,8,FALSE))</f>
        <v>72894.06</v>
      </c>
      <c r="P326" s="40">
        <f t="shared" ca="1" si="16"/>
        <v>4.7101356940051509E-3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input_588100!A$2</f>
        <v>588100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IFERROR(VLOOKUP(B327,input_588100!L:R,7,FALSE),VLOOKUP(tables_588100!C327,input_588100!A:H,8,FALSE))</f>
        <v>4504.5919999999996</v>
      </c>
      <c r="P327" s="40">
        <f t="shared" ca="1" si="16"/>
        <v>2.9106952701125514E-4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input_588100!A$2</f>
        <v>588100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IFERROR(VLOOKUP(B328,input_588100!L:R,7,FALSE),VLOOKUP(tables_588100!C328,input_588100!A:H,8,FALSE))</f>
        <v>5840</v>
      </c>
      <c r="P328" s="40">
        <f t="shared" ca="1" si="16"/>
        <v>3.7735849056823127E-4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input_588100!A$2</f>
        <v>588100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IFERROR(VLOOKUP(B329,input_588100!L:R,7,FALSE),VLOOKUP(tables_588100!C329,input_588100!A:H,8,FALSE))</f>
        <v>5840</v>
      </c>
      <c r="P329" s="40">
        <f t="shared" ca="1" si="16"/>
        <v>3.7735849056823127E-4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input_588100!A$2</f>
        <v>588100</v>
      </c>
      <c r="B330" s="2">
        <v>1157</v>
      </c>
      <c r="C330" s="7" t="str">
        <f t="shared" si="15"/>
        <v>PremiumSS5R5onlycolor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">
        <v>306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IFERROR(VLOOKUP(B330,input_588100!L:R,7,FALSE),VLOOKUP(tables_588100!C330,input_588100!A:H,8,FALSE))</f>
        <v>24435.78947</v>
      </c>
      <c r="P330" s="40">
        <f t="shared" ca="1" si="16"/>
        <v>1.5789473681921712E-3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input_588100!A$2</f>
        <v>588100</v>
      </c>
      <c r="B331" s="52">
        <v>1214</v>
      </c>
      <c r="C331" s="7" t="str">
        <f t="shared" si="15"/>
        <v>PremiumSS5R5onlycolor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">
        <v>306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IFERROR(VLOOKUP(B331,input_588100!L:R,7,FALSE),VLOOKUP(tables_588100!C331,input_588100!A:H,8,FALSE))</f>
        <v>24435.78947</v>
      </c>
      <c r="P331" s="40">
        <f t="shared" ca="1" si="16"/>
        <v>1.5789473681921712E-3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input_588100!A$2</f>
        <v>588100</v>
      </c>
      <c r="B332" s="52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IFERROR(VLOOKUP(B332,input_588100!L:R,7,FALSE),VLOOKUP(tables_588100!C332,input_588100!A:H,8,FALSE))</f>
        <v>5840</v>
      </c>
      <c r="P332" s="40">
        <f t="shared" ca="1" si="16"/>
        <v>3.7735849056823127E-4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input_588100!A$2</f>
        <v>588100</v>
      </c>
      <c r="B333" s="52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IFERROR(VLOOKUP(B333,input_588100!L:R,7,FALSE),VLOOKUP(tables_588100!C333,input_588100!A:H,8,FALSE))</f>
        <v>5840</v>
      </c>
      <c r="P333" s="40">
        <f t="shared" ca="1" si="16"/>
        <v>3.7735849056823127E-4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input_588100!A$2</f>
        <v>588100</v>
      </c>
      <c r="B334" s="96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IFERROR(VLOOKUP(B334,input_588100!L:R,7,FALSE),VLOOKUP(tables_588100!C334,input_588100!A:H,8,FALSE))</f>
        <v>72894.06</v>
      </c>
      <c r="P334" s="40">
        <f t="shared" ca="1" si="16"/>
        <v>4.7101356940051509E-3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input_588100!A$2</f>
        <v>588100</v>
      </c>
      <c r="B335" s="52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IFERROR(VLOOKUP(B335,input_588100!L:R,7,FALSE),VLOOKUP(tables_588100!C335,input_588100!A:H,8,FALSE))</f>
        <v>4504.5919999999996</v>
      </c>
      <c r="P335" s="40">
        <f t="shared" ca="1" si="16"/>
        <v>2.9106952701125514E-4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input_588100!A$2</f>
        <v>588100</v>
      </c>
      <c r="B336" s="2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IFERROR(VLOOKUP(B336,input_588100!L:R,7,FALSE),VLOOKUP(tables_588100!C336,input_588100!A:H,8,FALSE))</f>
        <v>72894.06</v>
      </c>
      <c r="P336" s="40">
        <f t="shared" ca="1" si="16"/>
        <v>4.7101356940051509E-3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input_588100!A$2</f>
        <v>588100</v>
      </c>
      <c r="B337" s="2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IFERROR(VLOOKUP(B337,input_588100!L:R,7,FALSE),VLOOKUP(tables_588100!C337,input_588100!A:H,8,FALSE))</f>
        <v>4504.5919999999996</v>
      </c>
      <c r="P337" s="40">
        <f t="shared" ca="1" si="16"/>
        <v>2.9106952701125514E-4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input_588100!A$2</f>
        <v>588100</v>
      </c>
      <c r="B338" s="2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IFERROR(VLOOKUP(B338,input_588100!L:R,7,FALSE),VLOOKUP(tables_588100!C338,input_588100!A:H,8,FALSE))</f>
        <v>5840</v>
      </c>
      <c r="P338" s="40">
        <f t="shared" ca="1" si="16"/>
        <v>3.7735849056823127E-4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input_588100!A$2</f>
        <v>588100</v>
      </c>
      <c r="B339" s="2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IFERROR(VLOOKUP(B339,input_588100!L:R,7,FALSE),VLOOKUP(tables_588100!C339,input_588100!A:H,8,FALSE))</f>
        <v>5840</v>
      </c>
      <c r="P339" s="40">
        <f t="shared" ca="1" si="16"/>
        <v>3.7735849056823127E-4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input_588100!A$2</f>
        <v>588100</v>
      </c>
      <c r="B340" s="2">
        <v>1230</v>
      </c>
      <c r="C340" s="7" t="str">
        <f t="shared" si="15"/>
        <v>PremiumSS5R5onlycolor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">
        <v>306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IFERROR(VLOOKUP(B340,input_588100!L:R,7,FALSE),VLOOKUP(tables_588100!C340,input_588100!A:H,8,FALSE))</f>
        <v>24435.78947</v>
      </c>
      <c r="P340" s="40">
        <f t="shared" ca="1" si="16"/>
        <v>1.5789473681921712E-3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input_588100!A$2</f>
        <v>588100</v>
      </c>
      <c r="B341" s="2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IFERROR(VLOOKUP(B341,input_588100!L:R,7,FALSE),VLOOKUP(tables_588100!C341,input_588100!A:H,8,FALSE))</f>
        <v>5840</v>
      </c>
      <c r="P341" s="40">
        <f t="shared" ca="1" si="16"/>
        <v>3.7735849056823127E-4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input_588100!A$2</f>
        <v>588100</v>
      </c>
      <c r="B342" s="2">
        <v>1246</v>
      </c>
      <c r="C342" s="7" t="str">
        <f t="shared" ref="C342:C346" si="18">D342&amp;J342&amp;E342&amp;F342&amp;G342</f>
        <v>PremiumSS5R5only</v>
      </c>
      <c r="D342" s="7" t="str">
        <f t="shared" ref="D342:D346" si="19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IFERROR(VLOOKUP(B342,input_588100!L:R,7,FALSE),VLOOKUP(tables_588100!C342,input_588100!A:H,8,FALSE))</f>
        <v>5840</v>
      </c>
      <c r="P342" s="40">
        <f t="shared" ref="P342:P346" ca="1" si="20">O342/SUM(O:O)</f>
        <v>3.7735849056823127E-4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input_588100!A$2</f>
        <v>588100</v>
      </c>
      <c r="B343" s="2">
        <v>1248</v>
      </c>
      <c r="C343" s="7" t="str">
        <f t="shared" si="18"/>
        <v>Premium4R3less</v>
      </c>
      <c r="D343" s="7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IFERROR(VLOOKUP(B343,input_588100!L:R,7,FALSE),VLOOKUP(tables_588100!C343,input_588100!A:H,8,FALSE))</f>
        <v>72894.06</v>
      </c>
      <c r="P343" s="40">
        <f t="shared" ca="1" si="20"/>
        <v>4.7101356940051509E-3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input_588100!A$2</f>
        <v>588100</v>
      </c>
      <c r="B344" s="2">
        <v>1249</v>
      </c>
      <c r="C344" s="7" t="str">
        <f t="shared" si="18"/>
        <v>Premium5R3less</v>
      </c>
      <c r="D344" s="7" t="str">
        <f t="shared" si="1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IFERROR(VLOOKUP(B344,input_588100!L:R,7,FALSE),VLOOKUP(tables_588100!C344,input_588100!A:H,8,FALSE))</f>
        <v>4504.5919999999996</v>
      </c>
      <c r="P344" s="40">
        <f t="shared" ca="1" si="20"/>
        <v>2.9106952701125514E-4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input_588100!A$2</f>
        <v>588100</v>
      </c>
      <c r="B345" s="2">
        <v>1250</v>
      </c>
      <c r="C345" s="7" t="str">
        <f t="shared" si="18"/>
        <v>PremiumSS5R5onlycolor</v>
      </c>
      <c r="D345" s="7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">
        <v>306</v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IFERROR(VLOOKUP(B345,input_588100!L:R,7,FALSE),VLOOKUP(tables_588100!C345,input_588100!A:H,8,FALSE))</f>
        <v>24435.78947</v>
      </c>
      <c r="P345" s="40">
        <f t="shared" ca="1" si="20"/>
        <v>1.5789473681921712E-3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input_588100!A$2</f>
        <v>588100</v>
      </c>
      <c r="B346" s="1">
        <v>1260</v>
      </c>
      <c r="C346" s="7" t="str">
        <f t="shared" si="18"/>
        <v>PremiumSS5R5only</v>
      </c>
      <c r="D346" s="7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IFERROR(VLOOKUP(B346,input_588100!L:R,7,FALSE),VLOOKUP(tables_588100!C346,input_588100!A:H,8,FALSE))</f>
        <v>5840</v>
      </c>
      <c r="P346" s="40">
        <f t="shared" ca="1" si="20"/>
        <v>3.7735849056823127E-4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input_588100!A$2</f>
        <v>588100</v>
      </c>
      <c r="B347" s="1">
        <v>1262</v>
      </c>
      <c r="C347" s="7" t="str">
        <f t="shared" ref="C347:C356" si="21">D347&amp;J347&amp;E347&amp;F347&amp;G347</f>
        <v>PremiumSS5R5only</v>
      </c>
      <c r="D347" s="7" t="str">
        <f t="shared" ref="D347:D356" si="22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IFERROR(VLOOKUP(B347,input_588100!L:R,7,FALSE),VLOOKUP(tables_588100!C347,input_588100!A:H,8,FALSE))</f>
        <v>5840</v>
      </c>
      <c r="P347" s="40">
        <f t="shared" ref="P347:P350" ca="1" si="23">O347/SUM(O:O)</f>
        <v>3.7735849056823127E-4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input_588100!A$2</f>
        <v>588100</v>
      </c>
      <c r="B348" s="1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IFERROR(VLOOKUP(B348,input_588100!L:R,7,FALSE),VLOOKUP(tables_588100!C348,input_588100!A:H,8,FALSE))</f>
        <v>5840</v>
      </c>
      <c r="P348" s="40">
        <f t="shared" ca="1" si="23"/>
        <v>3.7735849056823127E-4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input_588100!A$2</f>
        <v>588100</v>
      </c>
      <c r="B349" s="1">
        <v>1266</v>
      </c>
      <c r="C349" s="7" t="str">
        <f t="shared" si="21"/>
        <v>Premium4R3lesscolor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">
        <v>306</v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IFERROR(VLOOKUP(B349,input_588100!L:R,7,FALSE),VLOOKUP(tables_588100!C349,input_588100!A:H,8,FALSE))</f>
        <v>364197.38086999999</v>
      </c>
      <c r="P349" s="40">
        <f t="shared" ca="1" si="23"/>
        <v>2.3533043478425757E-2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input_588100!A$2</f>
        <v>588100</v>
      </c>
      <c r="B350" s="1">
        <v>1267</v>
      </c>
      <c r="C350" s="7" t="str">
        <f t="shared" si="21"/>
        <v>Premium5R3lesscolor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">
        <v>306</v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IFERROR(VLOOKUP(B350,input_588100!L:R,7,FALSE),VLOOKUP(tables_588100!C350,input_588100!A:H,8,FALSE))</f>
        <v>6432.6330399999997</v>
      </c>
      <c r="P350" s="40">
        <f t="shared" ca="1" si="23"/>
        <v>4.1565217369070767E-4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input_588100!A$2</f>
        <v>588100</v>
      </c>
      <c r="B351" s="102">
        <v>1332</v>
      </c>
      <c r="C351" s="86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IFERROR(VLOOKUP(B351,input_588100!L:R,7,FALSE),VLOOKUP(tables_588100!C351,input_588100!A:H,8,FALSE))</f>
        <v>5840</v>
      </c>
      <c r="P351" s="40">
        <f t="shared" ref="P351:P355" ca="1" si="24">O351/SUM(O:O)</f>
        <v>3.7735849056823127E-4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input_588100!A$2</f>
        <v>588100</v>
      </c>
      <c r="B352" s="102">
        <v>1336</v>
      </c>
      <c r="C352" s="86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IFERROR(VLOOKUP(B352,input_588100!L:R,7,FALSE),VLOOKUP(tables_588100!C352,input_588100!A:H,8,FALSE))</f>
        <v>5840</v>
      </c>
      <c r="P352" s="40">
        <f t="shared" ca="1" si="24"/>
        <v>3.7735849056823127E-4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input_588100!A$2</f>
        <v>588100</v>
      </c>
      <c r="B353" s="102">
        <v>1338</v>
      </c>
      <c r="C353" s="86" t="str">
        <f t="shared" si="21"/>
        <v>PremiumSS5R5onlycolor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 t="s">
        <v>306</v>
      </c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IFERROR(VLOOKUP(B353,input_588100!L:R,7,FALSE),VLOOKUP(tables_588100!C353,input_588100!A:H,8,FALSE))</f>
        <v>24435.78947</v>
      </c>
      <c r="P353" s="40">
        <f t="shared" ca="1" si="24"/>
        <v>1.5789473681921712E-3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input_588100!A$2</f>
        <v>588100</v>
      </c>
      <c r="B354" s="102">
        <v>1334</v>
      </c>
      <c r="C354" s="86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IFERROR(VLOOKUP(B354,input_588100!L:R,7,FALSE),VLOOKUP(tables_588100!C354,input_588100!A:H,8,FALSE))</f>
        <v>72894.06</v>
      </c>
      <c r="P354" s="40">
        <f t="shared" ca="1" si="24"/>
        <v>4.7101356940051509E-3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input_588100!A$2</f>
        <v>588100</v>
      </c>
      <c r="B355" s="102">
        <v>1335</v>
      </c>
      <c r="C355" s="86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IFERROR(VLOOKUP(B355,input_588100!L:R,7,FALSE),VLOOKUP(tables_588100!C355,input_588100!A:H,8,FALSE))</f>
        <v>4504.5919999999996</v>
      </c>
      <c r="P355" s="40">
        <f t="shared" ca="1" si="24"/>
        <v>2.9106952701125514E-4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input_588100!A$2</f>
        <v>588100</v>
      </c>
      <c r="B356" s="1">
        <v>1161</v>
      </c>
      <c r="C356" s="86" t="str">
        <f t="shared" si="21"/>
        <v>PremiumSSS5R3lesscolor</v>
      </c>
      <c r="D356" s="7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306</v>
      </c>
      <c r="H356" s="7" t="str">
        <f>VLOOKUP(B356,[1]characters!$A:$C,3,FALSE)</f>
        <v>ヒルベルト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39">
        <f>IFERROR(VLOOKUP(B356,input_588100!L:R,7,FALSE),VLOOKUP(tables_588100!C356,input_588100!A:H,8,FALSE))</f>
        <v>371424</v>
      </c>
      <c r="P356" s="40">
        <f ca="1">O356/SUM(O:O)</f>
        <v>2.400000000013951E-2</v>
      </c>
      <c r="Q356" s="76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7">
        <v>588103</v>
      </c>
      <c r="B2" s="97" t="str">
        <f>A2&amp;1</f>
        <v>5881031</v>
      </c>
      <c r="C2" s="69" t="s">
        <v>257</v>
      </c>
      <c r="D2" s="69">
        <v>1000000</v>
      </c>
      <c r="E2" s="69" t="s">
        <v>258</v>
      </c>
      <c r="F2" s="69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69" t="s">
        <v>259</v>
      </c>
      <c r="O2" s="69" t="s">
        <v>260</v>
      </c>
      <c r="P2" s="69" t="s">
        <v>261</v>
      </c>
      <c r="Q2" s="70" t="s">
        <v>262</v>
      </c>
    </row>
    <row r="3" spans="1:17" ht="21" customHeight="1" x14ac:dyDescent="0.15">
      <c r="A3" s="97">
        <v>588105</v>
      </c>
      <c r="B3" s="97" t="str">
        <f>A3&amp;1</f>
        <v>5881051</v>
      </c>
      <c r="C3" s="2" t="s">
        <v>263</v>
      </c>
      <c r="D3" s="2">
        <v>125</v>
      </c>
      <c r="E3" s="2">
        <v>4</v>
      </c>
      <c r="F3" s="69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69" t="s">
        <v>259</v>
      </c>
      <c r="O3" s="69" t="s">
        <v>264</v>
      </c>
      <c r="P3" s="69" t="s">
        <v>261</v>
      </c>
      <c r="Q3" s="70" t="s">
        <v>265</v>
      </c>
    </row>
    <row r="4" spans="1:17" ht="21" customHeight="1" x14ac:dyDescent="0.15">
      <c r="A4" s="97">
        <v>588106</v>
      </c>
      <c r="B4" s="97" t="str">
        <f>A4&amp;1</f>
        <v>5881061</v>
      </c>
      <c r="C4" s="2" t="s">
        <v>266</v>
      </c>
      <c r="D4" s="2">
        <v>1</v>
      </c>
      <c r="E4" s="2">
        <v>3</v>
      </c>
      <c r="F4" s="69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69" t="s">
        <v>259</v>
      </c>
      <c r="O4" s="69" t="s">
        <v>267</v>
      </c>
      <c r="P4" s="69" t="s">
        <v>261</v>
      </c>
      <c r="Q4" s="70" t="s">
        <v>268</v>
      </c>
    </row>
  </sheetData>
  <autoFilter ref="A1:F1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4" workbookViewId="0">
      <selection activeCell="B254" sqref="B254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input_588101</vt:lpstr>
      <vt:lpstr>tables_588101</vt:lpstr>
      <vt:lpstr>input_588103</vt:lpstr>
      <vt:lpstr>tables_588103</vt:lpstr>
      <vt:lpstr>input_588104</vt:lpstr>
      <vt:lpstr>tables_588104</vt:lpstr>
      <vt:lpstr>tables_settle_588104</vt:lpstr>
      <vt:lpstr>input_588105</vt:lpstr>
      <vt:lpstr>tables_588105</vt:lpstr>
      <vt:lpstr>input_588106</vt:lpstr>
      <vt:lpstr>tables_588106</vt:lpstr>
      <vt:lpstr>input_588100</vt:lpstr>
      <vt:lpstr>tables_588100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2017-04-26T14:28:43Z</dcterms:modified>
</cp:coreProperties>
</file>