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500" windowWidth="27700" windowHeight="1610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9" i="3" l="1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4" i="13"/>
  <c r="J3" i="3"/>
  <c r="J4" i="3"/>
  <c r="J5" i="3"/>
  <c r="H3" i="3"/>
  <c r="H4" i="3"/>
  <c r="H5" i="3"/>
  <c r="C3" i="3"/>
  <c r="D3" i="3"/>
  <c r="E3" i="3"/>
  <c r="F3" i="3"/>
  <c r="C4" i="3"/>
  <c r="D4" i="3"/>
  <c r="E4" i="3"/>
  <c r="F4" i="3"/>
  <c r="C5" i="3"/>
  <c r="D5" i="3"/>
  <c r="E5" i="3"/>
  <c r="F5" i="3"/>
  <c r="G2" i="13"/>
  <c r="S2" i="58"/>
  <c r="G8" i="13"/>
  <c r="G10" i="13"/>
  <c r="G11" i="13"/>
  <c r="G2" i="58"/>
  <c r="U2" i="58"/>
  <c r="J2" i="3"/>
  <c r="A5" i="3"/>
  <c r="A4" i="3"/>
  <c r="A3" i="3"/>
  <c r="C2" i="3"/>
  <c r="D2" i="3"/>
  <c r="H2" i="3"/>
  <c r="T2" i="58"/>
  <c r="R2" i="58"/>
  <c r="B2" i="58"/>
  <c r="G9" i="13"/>
  <c r="G3" i="13"/>
  <c r="P2" i="58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<sst xmlns="http://schemas.openxmlformats.org/spreadsheetml/2006/main" count="840" uniqueCount="334">
  <si>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</si>
  <si>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</si>
  <si>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</si>
  <si>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</si>
  <si>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</si>
  <si>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</si>
  <si>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</si>
  <si>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</si>
  <si>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</si>
  <si>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</si>
  <si>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</si>
  <si>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</si>
  <si>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</si>
  <si>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</si>
  <si>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</si>
  <si>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</si>
  <si>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</si>
  <si>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</si>
  <si>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</si>
  <si>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</si>
  <si>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</si>
  <si>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</si>
  <si>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</si>
  <si>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</si>
  <si>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</si>
  <si>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</si>
  <si>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</si>
  <si>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</si>
  <si>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</si>
  <si>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</si>
  <si>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</si>
  <si>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</si>
  <si>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</si>
  <si>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</si>
  <si>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</si>
  <si>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</si>
  <si>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</si>
  <si>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</si>
  <si>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</si>
  <si>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</si>
  <si>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</si>
  <si>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</si>
  <si>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</si>
  <si>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</si>
  <si>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</si>
  <si>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</si>
  <si>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</si>
  <si>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</si>
  <si>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</si>
  <si>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</si>
  <si>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</si>
  <si>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</si>
  <si>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</si>
  <si>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</si>
  <si>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</si>
  <si>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</si>
  <si>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</si>
  <si>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</si>
  <si>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</si>
  <si>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</si>
  <si>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</si>
  <si>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</si>
  <si>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</si>
  <si>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</si>
  <si>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</si>
  <si>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</si>
  <si>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</si>
  <si>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</si>
  <si>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</si>
  <si>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</si>
  <si>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</si>
  <si>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</si>
  <si>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</si>
  <si>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</si>
  <si>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</si>
  <si>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</si>
  <si>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</si>
  <si>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</si>
  <si>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</si>
  <si>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</si>
  <si>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</si>
  <si>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</si>
  <si>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</si>
  <si>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</si>
  <si>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</si>
  <si>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</si>
  <si>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</si>
  <si>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</si>
  <si>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</si>
  <si>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</si>
  <si>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</si>
  <si>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</si>
  <si>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</si>
  <si>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</si>
  <si>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</si>
  <si>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</si>
  <si>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</si>
  <si>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</si>
  <si>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</si>
  <si>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</si>
  <si>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</si>
  <si>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</si>
  <si>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</si>
  <si>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</si>
  <si>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</si>
  <si>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</si>
  <si>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</si>
  <si>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</si>
  <si>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</si>
  <si>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</si>
  <si>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</si>
  <si>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</si>
  <si>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</si>
  <si>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</si>
  <si>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</si>
  <si>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</si>
  <si>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</si>
  <si>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</si>
  <si>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</si>
  <si>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</si>
  <si>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</si>
  <si>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</si>
  <si>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</si>
  <si>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</si>
  <si>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</si>
  <si>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</si>
  <si>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</si>
  <si>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</si>
  <si>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</si>
  <si>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</si>
  <si>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</si>
  <si>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</si>
  <si>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</si>
  <si>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</si>
  <si>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</si>
  <si>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</si>
  <si>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</si>
  <si>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</si>
  <si>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</si>
  <si>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</si>
  <si>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</si>
  <si>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</si>
  <si>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</si>
  <si>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</si>
  <si>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</si>
  <si>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</si>
  <si>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</si>
  <si>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</si>
  <si>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</si>
  <si>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</si>
  <si>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</si>
  <si>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</si>
  <si>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</si>
  <si>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</si>
  <si>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</si>
  <si>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</si>
  <si>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</si>
  <si>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</si>
  <si>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</si>
  <si>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</si>
  <si>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</si>
  <si>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</si>
  <si>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</si>
  <si>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</si>
  <si>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</si>
  <si>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</si>
  <si>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</si>
  <si>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</si>
  <si>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</si>
  <si>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</si>
  <si>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</si>
  <si>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</si>
  <si>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</si>
  <si>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</si>
  <si>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</si>
  <si>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</si>
  <si>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</si>
  <si>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</si>
  <si>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</si>
  <si>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</si>
  <si>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</si>
  <si>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</si>
  <si>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</si>
  <si>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</si>
  <si>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</si>
  <si>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</si>
  <si>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</si>
  <si>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</si>
  <si>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</si>
  <si>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</si>
  <si>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</si>
  <si>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</si>
  <si>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</si>
  <si>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</si>
  <si>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</si>
  <si>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</si>
  <si>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</si>
  <si>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</si>
  <si>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</si>
  <si>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</si>
  <si>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</si>
  <si>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</si>
  <si>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</si>
  <si>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</si>
  <si>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</si>
  <si>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</si>
  <si>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</si>
  <si>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</si>
  <si>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</si>
  <si>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</si>
  <si>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</si>
  <si>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</si>
  <si>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</si>
  <si>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</si>
  <si>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</si>
  <si>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</si>
  <si>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</si>
  <si>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</si>
  <si>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</si>
  <si>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</si>
  <si>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</si>
  <si>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</si>
  <si>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</si>
  <si>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</si>
  <si>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</si>
  <si>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</si>
  <si>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</si>
  <si>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</si>
  <si>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</si>
  <si>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</si>
  <si>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</si>
  <si>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</si>
  <si>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</si>
  <si>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</si>
  <si>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</si>
  <si>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</si>
  <si>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</si>
  <si>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</si>
  <si>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</si>
  <si>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</si>
  <si>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</si>
  <si>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</si>
  <si>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</si>
  <si>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</si>
  <si>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</si>
  <si>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</si>
  <si>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</si>
  <si>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</si>
  <si>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</si>
  <si>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</si>
  <si>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</si>
  <si>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</si>
  <si>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</si>
  <si>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</si>
  <si>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</si>
  <si>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</si>
  <si>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</si>
  <si>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</si>
  <si>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</si>
  <si>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</si>
  <si>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</si>
  <si>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</si>
  <si>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</si>
  <si>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</si>
  <si>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</si>
  <si>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</si>
  <si>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</si>
  <si>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</si>
  <si>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</si>
  <si>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</si>
  <si>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</si>
  <si>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</si>
  <si>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</si>
  <si>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</si>
  <si>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</si>
  <si>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</si>
  <si>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</si>
  <si>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</si>
  <si>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</si>
  <si>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</si>
  <si>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</si>
  <si>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</si>
  <si>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</si>
  <si>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</si>
  <si>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</si>
  <si>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</si>
  <si>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</si>
  <si>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</si>
  <si>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</si>
  <si>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</si>
  <si>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</si>
  <si>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</si>
  <si>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</si>
  <si>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</si>
  <si>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</si>
  <si>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</si>
  <si>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</si>
  <si>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</si>
  <si>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</si>
  <si>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</si>
  <si>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</si>
  <si>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</si>
  <si>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</si>
  <si>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</si>
  <si>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</si>
  <si>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</si>
  <si>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</si>
  <si>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old</t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</si>
  <si>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</si>
  <si>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</si>
  <si>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</si>
  <si>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</si>
  <si>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</si>
  <si>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</si>
  <si>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</si>
  <si>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</si>
  <si>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</si>
  <si>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</si>
  <si>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</si>
  <si>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</si>
  <si>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</si>
  <si>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</si>
  <si>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</si>
  <si>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</si>
  <si>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</si>
  <si>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</si>
  <si>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</si>
  <si>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</si>
  <si>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</si>
  <si>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</si>
  <si>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abilities_tmp_</t>
    <phoneticPr fontId="22"/>
  </si>
  <si>
    <t>twn03</t>
    <phoneticPr fontId="22"/>
  </si>
  <si>
    <t>skip</t>
  </si>
  <si>
    <t>skip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</si>
</sst>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2"/>
      <color indexed="206"/>
      <name val="ＭＳ Ｐゴシック"/>
      <family val="2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6" fillId="11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8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8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2" borderId="8" xfId="0" applyFont="1" applyFill="1" applyBorder="1" applyAlignment="1">
      <alignment vertical="center"/>
    </xf>
    <xf numFmtId="0" fontId="16" fillId="12" borderId="4" xfId="0" applyFont="1" applyFill="1" applyBorder="1" applyAlignment="1">
      <alignment vertical="center"/>
    </xf>
    <xf numFmtId="0" fontId="13" fillId="11" borderId="4" xfId="0" applyFont="1" applyFill="1" applyBorder="1" applyAlignment="1">
      <alignment horizontal="center" vertical="center" wrapText="1"/>
    </xf>
    <xf numFmtId="0" fontId="16" fillId="11" borderId="6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vertical="center"/>
    </xf>
    <xf numFmtId="0" fontId="8" fillId="12" borderId="1" xfId="0" applyFont="1" applyFill="1" applyBorder="1" applyAlignment="1">
      <alignment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5" fillId="10" borderId="0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3" fillId="10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7" borderId="0" xfId="0" applyFont="1" applyFill="1"/>
    <xf numFmtId="0" fontId="16" fillId="0" borderId="4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4" borderId="4" xfId="0" applyFont="1" applyFill="1" applyBorder="1" applyAlignment="1">
      <alignment horizontal="left" vertical="center"/>
    </xf>
    <xf numFmtId="0" fontId="15" fillId="10" borderId="12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0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1" xfId="0" applyFont="1" applyFill="1" applyBorder="1" applyAlignment="1">
      <alignment horizontal="left" vertical="center"/>
    </xf>
    <xf numFmtId="0" fontId="15" fillId="8" borderId="13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5" borderId="14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5" xfId="0" applyFont="1" applyFill="1" applyBorder="1" applyAlignment="1">
      <alignment horizontal="left" vertical="center"/>
    </xf>
    <xf numFmtId="0" fontId="12" fillId="9" borderId="16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4" borderId="15" xfId="0" applyFont="1" applyFill="1" applyBorder="1" applyAlignment="1">
      <alignment horizontal="left" vertical="center"/>
    </xf>
    <xf numFmtId="0" fontId="19" fillId="15" borderId="15" xfId="0" applyFont="1" applyFill="1" applyBorder="1" applyAlignment="1">
      <alignment horizontal="left" vertical="center"/>
    </xf>
    <xf numFmtId="0" fontId="19" fillId="14" borderId="9" xfId="0" applyFont="1" applyFill="1" applyBorder="1" applyAlignment="1">
      <alignment horizontal="left" vertical="center"/>
    </xf>
    <xf numFmtId="0" fontId="19" fillId="14" borderId="10" xfId="0" applyFont="1" applyFill="1" applyBorder="1" applyAlignment="1">
      <alignment horizontal="left" vertical="center"/>
    </xf>
    <xf numFmtId="0" fontId="8" fillId="18" borderId="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vertical="center"/>
    </xf>
    <xf numFmtId="0" fontId="23" fillId="19" borderId="4" xfId="0" applyFont="1" applyFill="1" applyBorder="1"/>
    <xf numFmtId="0" fontId="0" fillId="19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0" borderId="4" xfId="0" applyFill="1" applyBorder="1"/>
    <xf numFmtId="0" fontId="0" fillId="10" borderId="6" xfId="0" applyFill="1" applyBorder="1"/>
    <xf numFmtId="0" fontId="0" fillId="10" borderId="4" xfId="0" applyFill="1" applyBorder="1"/>
    <xf numFmtId="0" fontId="13" fillId="0" borderId="4" xfId="0" applyFont="1" applyFill="1" applyBorder="1" applyAlignment="1">
      <alignment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20" xfId="0" applyFont="1" applyFill="1" applyBorder="1" applyAlignment="1">
      <alignment horizontal="center" vertical="center"/>
    </xf>
    <xf numFmtId="0" fontId="13" fillId="10" borderId="20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8" borderId="4" xfId="0" applyFont="1" applyFill="1" applyBorder="1" applyAlignment="1">
      <alignment horizontal="left" vertical="center"/>
    </xf>
    <xf numFmtId="0" fontId="0" fillId="21" borderId="4" xfId="0" applyFill="1" applyBorder="1"/>
    <xf numFmtId="0" fontId="0" fillId="21" borderId="0" xfId="0" applyFill="1"/>
    <xf numFmtId="0" fontId="26" fillId="0" borderId="0" xfId="0" applyFont="1"/>
    <xf numFmtId="0" fontId="16" fillId="22" borderId="3" xfId="0" applyFont="1" applyFill="1" applyBorder="1" applyAlignment="1">
      <alignment horizontal="center" vertical="center"/>
    </xf>
    <xf numFmtId="0" fontId="8" fillId="22" borderId="18" xfId="0" applyFont="1" applyFill="1" applyBorder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8" fillId="23" borderId="8" xfId="0" applyFont="1" applyFill="1" applyBorder="1" applyAlignment="1">
      <alignment vertical="center"/>
    </xf>
    <xf numFmtId="0" fontId="8" fillId="22" borderId="17" xfId="0" applyFont="1" applyFill="1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vertical="center"/>
    </xf>
    <xf numFmtId="0" fontId="8" fillId="22" borderId="21" xfId="0" applyFont="1" applyFill="1" applyBorder="1" applyAlignment="1">
      <alignment horizontal="center" vertical="center"/>
    </xf>
    <xf numFmtId="0" fontId="8" fillId="22" borderId="22" xfId="0" applyFont="1" applyFill="1" applyBorder="1" applyAlignment="1">
      <alignment horizontal="center" vertical="center"/>
    </xf>
    <xf numFmtId="0" fontId="8" fillId="23" borderId="22" xfId="0" applyFont="1" applyFill="1" applyBorder="1" applyAlignment="1">
      <alignment vertical="center"/>
    </xf>
    <xf numFmtId="0" fontId="16" fillId="23" borderId="4" xfId="0" applyFont="1" applyFill="1" applyBorder="1" applyAlignment="1">
      <alignment vertical="center"/>
    </xf>
    <xf numFmtId="0" fontId="18" fillId="23" borderId="4" xfId="0" applyFont="1" applyFill="1" applyBorder="1" applyAlignment="1">
      <alignment horizontal="center" vertical="center"/>
    </xf>
    <xf numFmtId="0" fontId="17" fillId="23" borderId="4" xfId="0" applyFont="1" applyFill="1" applyBorder="1" applyAlignment="1">
      <alignment horizontal="center" vertical="center" wrapText="1"/>
    </xf>
    <xf numFmtId="0" fontId="8" fillId="23" borderId="1" xfId="0" applyFont="1" applyFill="1" applyBorder="1" applyAlignment="1">
      <alignment vertical="center"/>
    </xf>
    <xf numFmtId="0" fontId="8" fillId="22" borderId="23" xfId="0" applyFont="1" applyFill="1" applyBorder="1" applyAlignment="1">
      <alignment horizontal="center" vertical="center"/>
    </xf>
    <xf numFmtId="0" fontId="8" fillId="22" borderId="10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6" xfId="0" applyFont="1" applyFill="1" applyBorder="1" applyAlignment="1">
      <alignment horizontal="center" vertical="center"/>
    </xf>
    <xf numFmtId="0" fontId="8" fillId="22" borderId="25" xfId="0" applyFont="1" applyFill="1" applyBorder="1" applyAlignment="1">
      <alignment horizontal="center" vertical="center"/>
    </xf>
    <xf numFmtId="0" fontId="16" fillId="22" borderId="19" xfId="0" applyFont="1" applyFill="1" applyBorder="1" applyAlignment="1">
      <alignment horizontal="center" vertical="center"/>
    </xf>
    <xf numFmtId="0" fontId="17" fillId="23" borderId="10" xfId="0" applyFont="1" applyFill="1" applyBorder="1" applyAlignment="1">
      <alignment horizontal="center" vertical="center" wrapText="1"/>
    </xf>
    <xf numFmtId="0" fontId="0" fillId="13" borderId="4" xfId="0" applyFill="1" applyBorder="1"/>
    <xf numFmtId="0" fontId="16" fillId="24" borderId="4" xfId="0" applyFont="1" applyFill="1" applyBorder="1" applyAlignment="1">
      <alignment horizontal="center" vertical="center"/>
    </xf>
    <xf numFmtId="0" fontId="0" fillId="24" borderId="4" xfId="0" applyFill="1" applyBorder="1"/>
    <xf numFmtId="0" fontId="13" fillId="24" borderId="13" xfId="0" applyFont="1" applyFill="1" applyBorder="1" applyAlignment="1">
      <alignment horizontal="center" vertical="center"/>
    </xf>
    <xf numFmtId="0" fontId="13" fillId="24" borderId="20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1" borderId="13" xfId="0" applyFont="1" applyFill="1" applyBorder="1" applyAlignment="1">
      <alignment horizontal="center" vertical="center"/>
    </xf>
    <xf numFmtId="0" fontId="13" fillId="21" borderId="13" xfId="0" applyFont="1" applyFill="1" applyBorder="1" applyAlignment="1">
      <alignment horizontal="center" vertical="center"/>
    </xf>
    <xf numFmtId="0" fontId="16" fillId="21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5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6" borderId="4" xfId="0" applyFont="1" applyFill="1" applyBorder="1" applyAlignment="1">
      <alignment horizontal="center"/>
    </xf>
    <xf numFmtId="0" fontId="12" fillId="27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8" fillId="13" borderId="4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vertical="center"/>
    </xf>
    <xf numFmtId="0" fontId="16" fillId="13" borderId="4" xfId="0" applyFont="1" applyFill="1" applyBorder="1" applyAlignment="1">
      <alignment horizontal="right" vertical="center"/>
    </xf>
    <xf numFmtId="0" fontId="16" fillId="13" borderId="4" xfId="0" applyFont="1" applyFill="1" applyBorder="1" applyAlignment="1">
      <alignment horizontal="right" vertical="center" wrapText="1"/>
    </xf>
    <xf numFmtId="0" fontId="0" fillId="13" borderId="4" xfId="0" applyFont="1" applyFill="1" applyBorder="1"/>
    <xf numFmtId="0" fontId="16" fillId="13" borderId="4" xfId="0" applyFont="1" applyFill="1" applyBorder="1"/>
    <xf numFmtId="0" fontId="14" fillId="13" borderId="4" xfId="0" applyFont="1" applyFill="1" applyBorder="1" applyAlignment="1">
      <alignment horizontal="righ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/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F26" sqref="F26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92" t="s">
        <v>125</v>
      </c>
      <c r="B1" s="92" t="s">
        <v>116</v>
      </c>
      <c r="C1" s="92" t="s">
        <v>117</v>
      </c>
      <c r="D1" s="92" t="s">
        <v>118</v>
      </c>
      <c r="E1" s="92" t="s">
        <v>119</v>
      </c>
      <c r="F1" s="92" t="s">
        <v>120</v>
      </c>
      <c r="G1" s="92" t="s">
        <v>121</v>
      </c>
      <c r="H1" s="92"/>
      <c r="I1" s="92"/>
      <c r="J1" s="92"/>
      <c r="K1" s="92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</row>
    <row r="2" spans="1:29" x14ac:dyDescent="0.15">
      <c r="A2" s="94" t="s">
        <v>332</v>
      </c>
      <c r="B2" s="94" t="s">
        <v>129</v>
      </c>
      <c r="C2" s="142" t="s">
        <v>331</v>
      </c>
      <c r="D2" s="94" t="s">
        <v>128</v>
      </c>
      <c r="E2" s="93" t="str">
        <f>B2&amp;C2&amp;D2</f>
        <v>units_twn03.tmp</v>
      </c>
      <c r="F2" s="94" t="s">
        <v>124</v>
      </c>
      <c r="G2" s="50" t="s">
        <v>17</v>
      </c>
      <c r="H2" s="51" t="s">
        <v>96</v>
      </c>
      <c r="I2" s="51" t="s">
        <v>1</v>
      </c>
      <c r="J2" s="51" t="s">
        <v>3</v>
      </c>
      <c r="K2" s="51" t="s">
        <v>2</v>
      </c>
      <c r="L2" s="51" t="s">
        <v>98</v>
      </c>
      <c r="M2" s="51" t="s">
        <v>20</v>
      </c>
      <c r="N2" s="51" t="s">
        <v>103</v>
      </c>
      <c r="O2" s="51" t="s">
        <v>101</v>
      </c>
      <c r="P2" s="51" t="s">
        <v>39</v>
      </c>
      <c r="Q2" s="51" t="s">
        <v>57</v>
      </c>
      <c r="R2" s="94" t="s">
        <v>328</v>
      </c>
      <c r="S2" s="94"/>
      <c r="T2" s="94"/>
      <c r="U2" s="94"/>
      <c r="V2" s="94"/>
      <c r="W2" s="94"/>
    </row>
    <row r="3" spans="1:29" x14ac:dyDescent="0.15">
      <c r="A3" s="94" t="s">
        <v>307</v>
      </c>
      <c r="B3" s="94" t="s">
        <v>285</v>
      </c>
      <c r="C3" s="142" t="s">
        <v>331</v>
      </c>
      <c r="D3" s="94" t="s">
        <v>128</v>
      </c>
      <c r="E3" s="93" t="str">
        <f>B3&amp;C3&amp;D3</f>
        <v>fork_awake_units_twn03.tmp</v>
      </c>
      <c r="F3" s="94" t="s">
        <v>286</v>
      </c>
      <c r="G3" s="50" t="s">
        <v>17</v>
      </c>
      <c r="H3" s="51" t="s">
        <v>287</v>
      </c>
      <c r="I3" s="51" t="s">
        <v>288</v>
      </c>
      <c r="J3" s="51" t="s">
        <v>289</v>
      </c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</row>
    <row r="4" spans="1:29" x14ac:dyDescent="0.15">
      <c r="A4" s="94" t="s">
        <v>307</v>
      </c>
      <c r="B4" s="94" t="s">
        <v>130</v>
      </c>
      <c r="C4" s="142" t="s">
        <v>331</v>
      </c>
      <c r="D4" s="94" t="s">
        <v>128</v>
      </c>
      <c r="E4" s="93" t="str">
        <f>B4&amp;C4&amp;D4</f>
        <v>awake_materials_twn03.tmp</v>
      </c>
      <c r="F4" s="94" t="s">
        <v>123</v>
      </c>
      <c r="G4" s="95" t="s">
        <v>38</v>
      </c>
      <c r="H4" s="96" t="s">
        <v>36</v>
      </c>
      <c r="I4" s="96" t="s">
        <v>37</v>
      </c>
      <c r="J4" s="98" t="s">
        <v>126</v>
      </c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</row>
    <row r="5" spans="1:29" x14ac:dyDescent="0.15">
      <c r="A5" s="94" t="s">
        <v>307</v>
      </c>
      <c r="B5" s="94" t="s">
        <v>284</v>
      </c>
      <c r="C5" s="142" t="s">
        <v>331</v>
      </c>
      <c r="D5" s="94" t="s">
        <v>128</v>
      </c>
      <c r="E5" s="93" t="str">
        <f>B5&amp;C5&amp;D5</f>
        <v>fork_awake_materials_twn03.tmp</v>
      </c>
      <c r="F5" s="94" t="s">
        <v>123</v>
      </c>
      <c r="G5" s="158" t="s">
        <v>290</v>
      </c>
      <c r="H5" s="158" t="s">
        <v>291</v>
      </c>
      <c r="I5" s="158" t="s">
        <v>36</v>
      </c>
      <c r="J5" s="158" t="s">
        <v>37</v>
      </c>
      <c r="K5" s="158" t="s">
        <v>292</v>
      </c>
      <c r="L5" s="158" t="s">
        <v>293</v>
      </c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</row>
    <row r="6" spans="1:29" x14ac:dyDescent="0.15">
      <c r="A6" s="94" t="s">
        <v>333</v>
      </c>
      <c r="B6" s="94" t="s">
        <v>131</v>
      </c>
      <c r="C6" s="142" t="s">
        <v>331</v>
      </c>
      <c r="D6" s="94" t="s">
        <v>132</v>
      </c>
      <c r="E6" s="93" t="str">
        <f t="shared" ref="E6" si="0">B6&amp;C6&amp;D6</f>
        <v>unit_levels_calc_twn03.tmp</v>
      </c>
      <c r="F6" s="94" t="s">
        <v>122</v>
      </c>
      <c r="G6" s="46" t="s">
        <v>17</v>
      </c>
      <c r="H6" s="47" t="s">
        <v>2</v>
      </c>
      <c r="I6" s="48" t="s">
        <v>79</v>
      </c>
      <c r="J6" s="48" t="s">
        <v>80</v>
      </c>
      <c r="K6" s="48" t="s">
        <v>81</v>
      </c>
      <c r="L6" s="48" t="s">
        <v>82</v>
      </c>
      <c r="M6" s="48" t="s">
        <v>87</v>
      </c>
      <c r="N6" s="48" t="s">
        <v>88</v>
      </c>
      <c r="O6" s="48" t="s">
        <v>89</v>
      </c>
      <c r="P6" s="48" t="s">
        <v>90</v>
      </c>
      <c r="Q6" s="48" t="s">
        <v>91</v>
      </c>
      <c r="R6" s="48" t="s">
        <v>94</v>
      </c>
      <c r="S6" s="48" t="s">
        <v>92</v>
      </c>
      <c r="T6" s="48" t="s">
        <v>93</v>
      </c>
      <c r="U6" s="48" t="s">
        <v>83</v>
      </c>
      <c r="V6" s="48" t="s">
        <v>84</v>
      </c>
      <c r="W6" s="48" t="s">
        <v>85</v>
      </c>
    </row>
    <row r="7" spans="1:29" x14ac:dyDescent="0.15">
      <c r="A7" s="94" t="s">
        <v>333</v>
      </c>
      <c r="B7" s="94" t="s">
        <v>143</v>
      </c>
      <c r="C7" s="142" t="s">
        <v>331</v>
      </c>
      <c r="D7" s="94" t="s">
        <v>144</v>
      </c>
      <c r="E7" s="93" t="str">
        <f>B7&amp;C7&amp;D7</f>
        <v>unit_skills_data_twn03.tmp</v>
      </c>
      <c r="F7" s="94" t="s">
        <v>145</v>
      </c>
      <c r="G7" s="101" t="s">
        <v>20</v>
      </c>
      <c r="H7" s="101" t="s">
        <v>146</v>
      </c>
      <c r="I7" s="101" t="s">
        <v>2</v>
      </c>
      <c r="J7" s="101" t="s">
        <v>147</v>
      </c>
      <c r="K7" s="101" t="s">
        <v>148</v>
      </c>
      <c r="L7" s="101" t="s">
        <v>4</v>
      </c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</row>
    <row r="8" spans="1:29" x14ac:dyDescent="0.15">
      <c r="A8" s="94" t="s">
        <v>333</v>
      </c>
      <c r="B8" s="94" t="s">
        <v>149</v>
      </c>
      <c r="C8" s="142" t="s">
        <v>331</v>
      </c>
      <c r="D8" s="94" t="s">
        <v>128</v>
      </c>
      <c r="E8" s="93" t="str">
        <f>B8&amp;C8&amp;D8</f>
        <v>unit_skills_i18n_twn03.tmp</v>
      </c>
      <c r="F8" s="94" t="s">
        <v>145</v>
      </c>
      <c r="G8" s="101" t="s">
        <v>150</v>
      </c>
      <c r="H8" s="101" t="s">
        <v>134</v>
      </c>
      <c r="I8" s="101" t="s">
        <v>151</v>
      </c>
      <c r="J8" s="101" t="s">
        <v>152</v>
      </c>
      <c r="K8" s="97"/>
      <c r="L8" s="97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</row>
    <row r="9" spans="1:29" x14ac:dyDescent="0.15">
      <c r="A9" s="94" t="s">
        <v>333</v>
      </c>
      <c r="B9" s="94" t="s">
        <v>153</v>
      </c>
      <c r="C9" s="142" t="s">
        <v>331</v>
      </c>
      <c r="D9" s="94" t="s">
        <v>154</v>
      </c>
      <c r="E9" s="93" t="str">
        <f>B9&amp;C9&amp;D9</f>
        <v>crash_skills_data_twn03.tmp</v>
      </c>
      <c r="F9" s="94" t="s">
        <v>155</v>
      </c>
      <c r="G9" s="101" t="s">
        <v>156</v>
      </c>
      <c r="H9" s="101" t="s">
        <v>148</v>
      </c>
      <c r="I9" s="101" t="s">
        <v>4</v>
      </c>
      <c r="J9" s="97"/>
      <c r="K9" s="97"/>
      <c r="L9" s="97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</row>
    <row r="10" spans="1:29" x14ac:dyDescent="0.15">
      <c r="A10" s="94" t="s">
        <v>333</v>
      </c>
      <c r="B10" s="94" t="s">
        <v>157</v>
      </c>
      <c r="C10" s="142" t="s">
        <v>331</v>
      </c>
      <c r="D10" s="94" t="s">
        <v>158</v>
      </c>
      <c r="E10" s="93" t="str">
        <f t="shared" ref="E10" si="1">B10&amp;C10&amp;D10</f>
        <v>crash_skills_i18n_twn03.tmp</v>
      </c>
      <c r="F10" s="94" t="s">
        <v>155</v>
      </c>
      <c r="G10" s="101" t="s">
        <v>159</v>
      </c>
      <c r="H10" s="101" t="s">
        <v>160</v>
      </c>
      <c r="I10" s="101" t="s">
        <v>161</v>
      </c>
      <c r="J10" s="101" t="s">
        <v>162</v>
      </c>
      <c r="K10" s="102"/>
      <c r="L10" s="102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</row>
    <row r="11" spans="1:29" x14ac:dyDescent="0.15">
      <c r="A11" s="94" t="s">
        <v>333</v>
      </c>
      <c r="B11" s="97" t="s">
        <v>135</v>
      </c>
      <c r="C11" s="142" t="s">
        <v>331</v>
      </c>
      <c r="D11" s="94" t="s">
        <v>158</v>
      </c>
      <c r="E11" s="93" t="str">
        <f t="shared" ref="E11:E12" si="2">B11&amp;C11&amp;D11</f>
        <v>unit_serifs_data_twn03.tmp</v>
      </c>
      <c r="F11" s="97" t="s">
        <v>137</v>
      </c>
      <c r="G11" s="100" t="s">
        <v>138</v>
      </c>
      <c r="H11" s="101" t="s">
        <v>139</v>
      </c>
      <c r="I11" s="101" t="s">
        <v>133</v>
      </c>
      <c r="J11" s="99" t="s">
        <v>187</v>
      </c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</row>
    <row r="12" spans="1:29" x14ac:dyDescent="0.15">
      <c r="A12" s="94" t="s">
        <v>333</v>
      </c>
      <c r="B12" s="97" t="s">
        <v>136</v>
      </c>
      <c r="C12" s="142" t="s">
        <v>331</v>
      </c>
      <c r="D12" s="94" t="s">
        <v>158</v>
      </c>
      <c r="E12" s="93" t="str">
        <f t="shared" si="2"/>
        <v>unit_serifs_i18n_twn03.tmp</v>
      </c>
      <c r="F12" s="97" t="s">
        <v>137</v>
      </c>
      <c r="G12" s="100" t="s">
        <v>140</v>
      </c>
      <c r="H12" s="101" t="s">
        <v>141</v>
      </c>
      <c r="I12" s="101" t="s">
        <v>142</v>
      </c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</row>
    <row r="13" spans="1:29" x14ac:dyDescent="0.15">
      <c r="A13" s="94" t="s">
        <v>333</v>
      </c>
      <c r="B13" s="94" t="s">
        <v>330</v>
      </c>
      <c r="C13" s="142" t="s">
        <v>331</v>
      </c>
      <c r="D13" s="94" t="s">
        <v>246</v>
      </c>
      <c r="E13" s="93" t="str">
        <f>B13&amp;C13&amp;D13</f>
        <v>abilities_tmp_twn03.tmp</v>
      </c>
      <c r="F13" s="94" t="s">
        <v>247</v>
      </c>
      <c r="G13" s="143" t="s">
        <v>248</v>
      </c>
      <c r="H13" s="143" t="s">
        <v>249</v>
      </c>
      <c r="I13" s="143" t="s">
        <v>250</v>
      </c>
      <c r="J13" s="143"/>
      <c r="K13" s="14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</row>
    <row r="14" spans="1:29" x14ac:dyDescent="0.15">
      <c r="A14" s="94" t="s">
        <v>333</v>
      </c>
      <c r="B14" s="94" t="s">
        <v>251</v>
      </c>
      <c r="C14" s="142" t="s">
        <v>331</v>
      </c>
      <c r="D14" s="94" t="s">
        <v>128</v>
      </c>
      <c r="E14" s="93" t="str">
        <f>B14&amp;C14&amp;D14</f>
        <v>abilities_i18n_twn03.tmp</v>
      </c>
      <c r="F14" s="94" t="s">
        <v>252</v>
      </c>
      <c r="G14" s="143" t="s">
        <v>248</v>
      </c>
      <c r="H14" s="143" t="s">
        <v>141</v>
      </c>
      <c r="I14" s="143" t="s">
        <v>253</v>
      </c>
      <c r="J14" s="143" t="s">
        <v>152</v>
      </c>
      <c r="K14" s="14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</row>
    <row r="15" spans="1:29" x14ac:dyDescent="0.15">
      <c r="A15" s="94" t="s">
        <v>333</v>
      </c>
      <c r="B15" s="94" t="s">
        <v>254</v>
      </c>
      <c r="C15" s="142" t="s">
        <v>331</v>
      </c>
      <c r="D15" s="94" t="s">
        <v>128</v>
      </c>
      <c r="E15" s="93" t="str">
        <f>B15&amp;C15&amp;D15</f>
        <v>unit_abilities_twn03.tmp</v>
      </c>
      <c r="F15" s="94" t="s">
        <v>255</v>
      </c>
      <c r="G15" s="143" t="s">
        <v>138</v>
      </c>
      <c r="H15" s="145" t="s">
        <v>256</v>
      </c>
      <c r="I15" s="145" t="s">
        <v>257</v>
      </c>
      <c r="J15" s="146" t="s">
        <v>258</v>
      </c>
      <c r="K15" s="143" t="s">
        <v>259</v>
      </c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G10" sqref="G10"/>
    </sheetView>
  </sheetViews>
  <sheetFormatPr baseColWidth="12" defaultColWidth="8.83203125" defaultRowHeight="21" customHeight="1" outlineLevelCol="1" x14ac:dyDescent="0.15"/>
  <cols>
    <col min="1" max="1" width="12.83203125" style="8" customWidth="1"/>
    <col min="2" max="2" width="21.5" style="9" bestFit="1" customWidth="1" collapsed="1"/>
    <col min="3" max="3" width="23.6640625" style="9" hidden="1" customWidth="1" outlineLevel="1"/>
    <col min="4" max="4" width="8.6640625" style="9" hidden="1" customWidth="1" outlineLevel="1"/>
    <col min="5" max="5" width="8" style="9" hidden="1" customWidth="1" outlineLevel="1"/>
    <col min="6" max="6" width="7.1640625" style="9" hidden="1" customWidth="1" outlineLevel="1"/>
    <col min="7" max="7" width="9.6640625" style="9" bestFit="1" customWidth="1"/>
    <col min="8" max="8" width="13.6640625" style="9" bestFit="1" customWidth="1"/>
    <col min="9" max="9" width="10.5" style="9" bestFit="1" customWidth="1" collapsed="1"/>
    <col min="10" max="10" width="59.5" style="9" hidden="1" customWidth="1" outlineLevel="1"/>
    <col min="11" max="13" width="13.6640625" style="9" hidden="1" customWidth="1" outlineLevel="1"/>
    <col min="14" max="14" width="10" style="9" bestFit="1" customWidth="1"/>
    <col min="15" max="15" width="13.5" style="9" bestFit="1" customWidth="1"/>
    <col min="16" max="16" width="13.5" style="9" customWidth="1"/>
    <col min="17" max="17" width="18.83203125" style="9" bestFit="1" customWidth="1"/>
    <col min="18" max="18" width="14.1640625" style="9" customWidth="1"/>
    <col min="19" max="19" width="12.33203125" style="9" customWidth="1" outlineLevel="1"/>
    <col min="20" max="22" width="13.6640625" style="9" customWidth="1" outlineLevel="1"/>
    <col min="23" max="23" width="22.83203125" style="8" bestFit="1" customWidth="1"/>
    <col min="24" max="24" width="14.1640625" style="9" customWidth="1"/>
    <col min="25" max="25" width="22" style="9" customWidth="1" outlineLevel="1"/>
    <col min="26" max="26" width="14.1640625" style="9" customWidth="1" outlineLevel="1"/>
    <col min="27" max="27" width="12.33203125" style="9" customWidth="1" outlineLevel="1"/>
    <col min="28" max="30" width="13.6640625" style="9" customWidth="1" outlineLevel="1"/>
    <col min="31" max="31" width="20.1640625" style="8" bestFit="1" customWidth="1"/>
    <col min="32" max="32" width="18.83203125" style="9" bestFit="1" customWidth="1"/>
    <col min="33" max="34" width="18.83203125" style="9" customWidth="1"/>
    <col min="35" max="35" width="15.1640625" style="9" customWidth="1"/>
    <col min="36" max="36" width="13.1640625" style="8" customWidth="1"/>
    <col min="37" max="37" width="15.33203125" style="9" bestFit="1" customWidth="1"/>
    <col min="38" max="38" width="13.33203125" style="9" bestFit="1" customWidth="1"/>
    <col min="39" max="39" width="15.33203125" style="10" bestFit="1" customWidth="1"/>
    <col min="40" max="40" width="14" style="10" bestFit="1" customWidth="1"/>
    <col min="41" max="41" width="16" style="35" bestFit="1" customWidth="1"/>
    <col min="42" max="42" width="14.33203125" style="11" bestFit="1" customWidth="1"/>
    <col min="43" max="43" width="20.83203125" style="9" customWidth="1"/>
    <col min="44" max="44" width="80.6640625" style="9" customWidth="1" outlineLevel="1"/>
    <col min="45" max="45" width="6.83203125" style="9" customWidth="1"/>
    <col min="46" max="46" width="15.6640625" style="8" bestFit="1" customWidth="1"/>
    <col min="47" max="47" width="43.6640625" style="9" customWidth="1"/>
    <col min="48" max="48" width="43.6640625" style="9" customWidth="1" outlineLevel="1"/>
    <col min="49" max="49" width="6.83203125" style="9" customWidth="1"/>
    <col min="50" max="50" width="11.33203125" style="9" bestFit="1" customWidth="1"/>
    <col min="51" max="54" width="8.33203125" style="8" customWidth="1"/>
    <col min="55" max="56" width="12" style="9" bestFit="1" customWidth="1"/>
    <col min="57" max="57" width="14.33203125" style="9" customWidth="1" outlineLevel="1"/>
    <col min="58" max="58" width="16.1640625" style="9" customWidth="1" outlineLevel="1"/>
    <col min="59" max="62" width="11.83203125" style="9" customWidth="1"/>
    <col min="63" max="66" width="11.83203125" style="8" customWidth="1"/>
    <col min="67" max="67" width="12.83203125" style="8" bestFit="1" customWidth="1"/>
    <col min="68" max="68" width="12.6640625" style="8" bestFit="1" customWidth="1"/>
    <col min="69" max="69" width="13.5" style="8" bestFit="1" customWidth="1"/>
    <col min="70" max="16384" width="8.83203125" style="8"/>
  </cols>
  <sheetData>
    <row r="1" spans="1:70" ht="21" customHeight="1" x14ac:dyDescent="0.15">
      <c r="A1" s="66" t="s">
        <v>108</v>
      </c>
      <c r="B1" s="68" t="s">
        <v>44</v>
      </c>
      <c r="C1" s="71" t="s">
        <v>27</v>
      </c>
      <c r="D1" s="71" t="s">
        <v>30</v>
      </c>
      <c r="E1" s="71" t="s">
        <v>28</v>
      </c>
      <c r="F1" s="71" t="s">
        <v>29</v>
      </c>
      <c r="G1" s="66" t="s">
        <v>1</v>
      </c>
      <c r="H1" s="69" t="s">
        <v>19</v>
      </c>
      <c r="I1" s="70" t="s">
        <v>0</v>
      </c>
      <c r="J1" s="72" t="s">
        <v>49</v>
      </c>
      <c r="K1" s="72" t="s">
        <v>48</v>
      </c>
      <c r="L1" s="72" t="s">
        <v>50</v>
      </c>
      <c r="M1" s="72" t="s">
        <v>51</v>
      </c>
      <c r="N1" s="66" t="s">
        <v>3</v>
      </c>
      <c r="O1" s="73" t="s">
        <v>2</v>
      </c>
      <c r="P1" s="66" t="s">
        <v>97</v>
      </c>
      <c r="Q1" s="74" t="s">
        <v>18</v>
      </c>
      <c r="R1" s="65" t="s">
        <v>52</v>
      </c>
      <c r="S1" s="75" t="s">
        <v>23</v>
      </c>
      <c r="T1" s="75" t="s">
        <v>24</v>
      </c>
      <c r="U1" s="75" t="s">
        <v>26</v>
      </c>
      <c r="V1" s="75" t="s">
        <v>25</v>
      </c>
      <c r="W1" s="70" t="s">
        <v>32</v>
      </c>
      <c r="X1" s="71" t="s">
        <v>53</v>
      </c>
      <c r="Y1" s="70" t="s">
        <v>33</v>
      </c>
      <c r="Z1" s="71" t="s">
        <v>53</v>
      </c>
      <c r="AA1" s="72" t="s">
        <v>23</v>
      </c>
      <c r="AB1" s="72" t="s">
        <v>24</v>
      </c>
      <c r="AC1" s="72" t="s">
        <v>26</v>
      </c>
      <c r="AD1" s="72" t="s">
        <v>25</v>
      </c>
      <c r="AE1" s="76" t="s">
        <v>100</v>
      </c>
      <c r="AF1" s="65" t="s">
        <v>45</v>
      </c>
      <c r="AG1" s="77" t="s">
        <v>58</v>
      </c>
      <c r="AH1" s="65" t="s">
        <v>45</v>
      </c>
      <c r="AI1" s="77" t="s">
        <v>46</v>
      </c>
      <c r="AJ1" s="67" t="s">
        <v>67</v>
      </c>
      <c r="AK1" s="65" t="s">
        <v>21</v>
      </c>
      <c r="AL1" s="78" t="s">
        <v>68</v>
      </c>
      <c r="AM1" s="79" t="s">
        <v>66</v>
      </c>
      <c r="AN1" s="79" t="s">
        <v>69</v>
      </c>
      <c r="AO1" s="80" t="s">
        <v>31</v>
      </c>
      <c r="AP1" s="76" t="s">
        <v>20</v>
      </c>
      <c r="AQ1" s="81" t="s">
        <v>113</v>
      </c>
      <c r="AR1" s="81" t="s">
        <v>107</v>
      </c>
      <c r="AS1" s="65" t="s">
        <v>104</v>
      </c>
      <c r="AT1" s="76" t="s">
        <v>102</v>
      </c>
      <c r="AU1" s="65" t="s">
        <v>110</v>
      </c>
      <c r="AV1" s="81" t="s">
        <v>107</v>
      </c>
      <c r="AW1" s="65" t="s">
        <v>104</v>
      </c>
      <c r="AX1" s="71" t="s">
        <v>4</v>
      </c>
      <c r="AY1" s="82" t="s">
        <v>54</v>
      </c>
      <c r="AZ1" s="82" t="s">
        <v>55</v>
      </c>
      <c r="BA1" s="82" t="s">
        <v>114</v>
      </c>
      <c r="BB1" s="82" t="s">
        <v>56</v>
      </c>
      <c r="BC1" s="5" t="s">
        <v>22</v>
      </c>
      <c r="BD1" s="85" t="s">
        <v>34</v>
      </c>
      <c r="BE1" s="83" t="s">
        <v>5</v>
      </c>
      <c r="BF1" s="84" t="s">
        <v>6</v>
      </c>
      <c r="BG1" s="86" t="s">
        <v>70</v>
      </c>
      <c r="BH1" s="86" t="s">
        <v>71</v>
      </c>
      <c r="BI1" s="86" t="s">
        <v>72</v>
      </c>
      <c r="BJ1" s="86" t="s">
        <v>73</v>
      </c>
      <c r="BK1" s="87" t="s">
        <v>74</v>
      </c>
      <c r="BL1" s="87" t="s">
        <v>95</v>
      </c>
      <c r="BM1" s="87" t="s">
        <v>75</v>
      </c>
      <c r="BN1" s="87" t="s">
        <v>76</v>
      </c>
      <c r="BO1" s="88" t="s">
        <v>77</v>
      </c>
      <c r="BP1" s="89" t="s">
        <v>78</v>
      </c>
      <c r="BQ1" s="89" t="s">
        <v>86</v>
      </c>
      <c r="BR1" s="6" t="s">
        <v>329</v>
      </c>
    </row>
  </sheetData>
  <autoFilter ref="A1:BQ1"/>
  <phoneticPr fontId="10"/>
  <conditionalFormatting sqref="BO1">
    <cfRule type="cellIs" dxfId="30" priority="120" stopIfTrue="1" operator="equal">
      <formula>1</formula>
    </cfRule>
  </conditionalFormatting>
  <conditionalFormatting sqref="BQ1">
    <cfRule type="cellIs" dxfId="2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:XFD9"/>
    </sheetView>
  </sheetViews>
  <sheetFormatPr baseColWidth="12" defaultColWidth="13" defaultRowHeight="21" customHeight="1" outlineLevelCol="1" x14ac:dyDescent="0.15"/>
  <cols>
    <col min="1" max="1" width="16.1640625" style="115" bestFit="1" customWidth="1"/>
    <col min="2" max="2" width="13" style="115" bestFit="1" customWidth="1"/>
    <col min="3" max="3" width="21.83203125" style="115" customWidth="1"/>
    <col min="4" max="4" width="41.83203125" style="115" customWidth="1"/>
    <col min="5" max="5" width="9" style="115" customWidth="1"/>
    <col min="6" max="6" width="7.83203125" style="115" bestFit="1" customWidth="1"/>
    <col min="7" max="7" width="8.1640625" style="115" bestFit="1" customWidth="1"/>
    <col min="8" max="8" width="13.6640625" style="115" bestFit="1" customWidth="1"/>
    <col min="9" max="10" width="51.6640625" style="115" customWidth="1"/>
    <col min="11" max="11" width="10.83203125" style="115" customWidth="1" outlineLevel="1"/>
    <col min="12" max="17" width="9.5" style="114" customWidth="1" outlineLevel="1"/>
    <col min="18" max="18" width="20.33203125" style="115" customWidth="1" outlineLevel="1"/>
    <col min="19" max="19" width="10.33203125" style="115" bestFit="1" customWidth="1"/>
    <col min="20" max="16384" width="13" style="115"/>
  </cols>
  <sheetData>
    <row r="1" spans="1:19" s="114" customFormat="1" ht="21" customHeight="1" x14ac:dyDescent="0.15">
      <c r="A1" s="103" t="s">
        <v>20</v>
      </c>
      <c r="B1" s="104" t="s">
        <v>134</v>
      </c>
      <c r="C1" s="105" t="s">
        <v>40</v>
      </c>
      <c r="D1" s="106" t="s">
        <v>163</v>
      </c>
      <c r="E1" s="106" t="s">
        <v>164</v>
      </c>
      <c r="F1" s="103" t="s">
        <v>146</v>
      </c>
      <c r="G1" s="107" t="s">
        <v>2</v>
      </c>
      <c r="H1" s="107" t="s">
        <v>165</v>
      </c>
      <c r="I1" s="107" t="s">
        <v>166</v>
      </c>
      <c r="J1" s="108" t="s">
        <v>183</v>
      </c>
      <c r="K1" s="107" t="s">
        <v>4</v>
      </c>
      <c r="L1" s="109" t="s">
        <v>167</v>
      </c>
      <c r="M1" s="110" t="s">
        <v>168</v>
      </c>
      <c r="N1" s="110" t="s">
        <v>169</v>
      </c>
      <c r="O1" s="110" t="s">
        <v>170</v>
      </c>
      <c r="P1" s="110" t="s">
        <v>171</v>
      </c>
      <c r="Q1" s="111" t="s">
        <v>172</v>
      </c>
      <c r="R1" s="112" t="s">
        <v>173</v>
      </c>
      <c r="S1" s="113" t="s">
        <v>174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:E1048576">
    <cfRule type="cellIs" dxfId="28" priority="39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J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2" sqref="A2:XFD9"/>
    </sheetView>
  </sheetViews>
  <sheetFormatPr baseColWidth="12" defaultColWidth="13" defaultRowHeight="21" customHeight="1" x14ac:dyDescent="0.15"/>
  <cols>
    <col min="1" max="2" width="12.1640625" style="115" customWidth="1"/>
    <col min="3" max="3" width="48.83203125" style="116" customWidth="1"/>
    <col min="4" max="4" width="23.83203125" style="116" customWidth="1"/>
    <col min="5" max="5" width="10.5" style="116" customWidth="1"/>
    <col min="6" max="7" width="59.1640625" style="116" customWidth="1"/>
    <col min="8" max="8" width="6.83203125" style="115" bestFit="1" customWidth="1"/>
    <col min="9" max="9" width="20.33203125" style="115" customWidth="1"/>
    <col min="10" max="10" width="5" style="115" bestFit="1" customWidth="1"/>
    <col min="11" max="16384" width="13" style="115"/>
  </cols>
  <sheetData>
    <row r="1" spans="1:10" ht="21" customHeight="1" x14ac:dyDescent="0.15">
      <c r="A1" s="103" t="s">
        <v>182</v>
      </c>
      <c r="B1" s="104" t="s">
        <v>181</v>
      </c>
      <c r="C1" s="105" t="s">
        <v>180</v>
      </c>
      <c r="D1" s="106" t="s">
        <v>179</v>
      </c>
      <c r="E1" s="106" t="s">
        <v>178</v>
      </c>
      <c r="F1" s="107" t="s">
        <v>177</v>
      </c>
      <c r="G1" s="108" t="s">
        <v>183</v>
      </c>
      <c r="H1" s="107" t="s">
        <v>176</v>
      </c>
      <c r="I1" s="108" t="s">
        <v>175</v>
      </c>
      <c r="J1" s="112" t="s">
        <v>174</v>
      </c>
    </row>
  </sheetData>
  <sheetProtection selectLockedCells="1" selectUnlockedCells="1"/>
  <autoFilter ref="A1:J1"/>
  <phoneticPr fontId="22"/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"/>
  <sheetViews>
    <sheetView zoomScale="110" workbookViewId="0">
      <selection activeCell="A2" sqref="A2:XFD39"/>
    </sheetView>
  </sheetViews>
  <sheetFormatPr baseColWidth="12" defaultRowHeight="15" outlineLevelCol="1" x14ac:dyDescent="0.15"/>
  <cols>
    <col min="2" max="2" width="12.83203125" style="119"/>
    <col min="4" max="4" width="12.83203125" style="119" customWidth="1" outlineLevel="1"/>
    <col min="5" max="5" width="12.83203125" style="119"/>
    <col min="8" max="8" width="26" customWidth="1"/>
  </cols>
  <sheetData>
    <row r="1" spans="1:8" x14ac:dyDescent="0.15">
      <c r="A1" s="99" t="s">
        <v>184</v>
      </c>
      <c r="B1" s="118" t="s">
        <v>185</v>
      </c>
      <c r="C1" s="99" t="s">
        <v>186</v>
      </c>
      <c r="D1" s="118" t="s">
        <v>188</v>
      </c>
      <c r="E1" s="118" t="s">
        <v>189</v>
      </c>
      <c r="F1" s="98" t="s">
        <v>190</v>
      </c>
      <c r="G1" s="99" t="s">
        <v>187</v>
      </c>
      <c r="H1" s="98" t="s">
        <v>191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6" sqref="Q6"/>
    </sheetView>
  </sheetViews>
  <sheetFormatPr baseColWidth="12" defaultColWidth="8.83203125" defaultRowHeight="21" customHeight="1" outlineLevelCol="1" x14ac:dyDescent="0.15"/>
  <cols>
    <col min="1" max="1" width="12.83203125" style="8" customWidth="1"/>
    <col min="2" max="2" width="21.5" style="9" bestFit="1" customWidth="1" collapsed="1"/>
    <col min="3" max="3" width="23.6640625" style="9" hidden="1" customWidth="1" outlineLevel="1"/>
    <col min="4" max="4" width="8.6640625" style="9" hidden="1" customWidth="1" outlineLevel="1"/>
    <col min="5" max="5" width="8" style="9" hidden="1" customWidth="1" outlineLevel="1"/>
    <col min="6" max="6" width="7.1640625" style="9" hidden="1" customWidth="1" outlineLevel="1"/>
    <col min="7" max="7" width="9.6640625" style="9" bestFit="1" customWidth="1"/>
    <col min="8" max="8" width="13.6640625" style="9" bestFit="1" customWidth="1"/>
    <col min="9" max="9" width="10.5" style="9" bestFit="1" customWidth="1" collapsed="1"/>
    <col min="10" max="10" width="22" style="9" hidden="1" customWidth="1" outlineLevel="1"/>
    <col min="11" max="11" width="14.1640625" style="9" hidden="1" customWidth="1" outlineLevel="1"/>
    <col min="12" max="12" width="12.33203125" style="9" hidden="1" customWidth="1" outlineLevel="1"/>
    <col min="13" max="15" width="13.6640625" style="9" hidden="1" customWidth="1" outlineLevel="1"/>
    <col min="16" max="16" width="15.1640625" style="9" customWidth="1"/>
    <col min="17" max="17" width="20.1640625" style="8" bestFit="1" customWidth="1"/>
    <col min="18" max="18" width="18.83203125" style="9" bestFit="1" customWidth="1"/>
    <col min="19" max="20" width="18.83203125" style="9" customWidth="1"/>
    <col min="21" max="21" width="15.1640625" style="9" customWidth="1"/>
    <col min="22" max="16384" width="8.83203125" style="8"/>
  </cols>
  <sheetData>
    <row r="1" spans="1:21" ht="21" customHeight="1" x14ac:dyDescent="0.15">
      <c r="A1" s="66" t="s">
        <v>267</v>
      </c>
      <c r="B1" s="80" t="s">
        <v>268</v>
      </c>
      <c r="C1" s="71" t="s">
        <v>269</v>
      </c>
      <c r="D1" s="71" t="s">
        <v>270</v>
      </c>
      <c r="E1" s="71" t="s">
        <v>271</v>
      </c>
      <c r="F1" s="71" t="s">
        <v>272</v>
      </c>
      <c r="G1" s="71" t="s">
        <v>1</v>
      </c>
      <c r="H1" s="152" t="s">
        <v>19</v>
      </c>
      <c r="I1" s="71" t="s">
        <v>0</v>
      </c>
      <c r="J1" s="70" t="s">
        <v>273</v>
      </c>
      <c r="K1" s="71" t="s">
        <v>268</v>
      </c>
      <c r="L1" s="72" t="s">
        <v>49</v>
      </c>
      <c r="M1" s="72" t="s">
        <v>48</v>
      </c>
      <c r="N1" s="72" t="s">
        <v>274</v>
      </c>
      <c r="O1" s="72" t="s">
        <v>275</v>
      </c>
      <c r="P1" s="77" t="s">
        <v>276</v>
      </c>
      <c r="Q1" s="76" t="s">
        <v>277</v>
      </c>
      <c r="R1" s="65" t="s">
        <v>268</v>
      </c>
      <c r="S1" s="77" t="s">
        <v>278</v>
      </c>
      <c r="T1" s="65" t="s">
        <v>268</v>
      </c>
      <c r="U1" s="77" t="s">
        <v>279</v>
      </c>
    </row>
    <row r="2" spans="1:21" ht="21" customHeight="1" x14ac:dyDescent="0.15">
      <c r="A2" s="164">
        <v>8009</v>
      </c>
      <c r="B2" s="45" t="str">
        <f ca="1">VLOOKUP($A2,OFFSET([1]characters!$A$1,0,0,COUNTA([1]characters!$A:$A),MATCH(B$1,[1]characters!$1:$1,0)-MATCH($A$1,[1]characters!$1:$1,0)+1),MATCH(B$1,[1]characters!$1:$1,0)-MATCH($A$1,[1]characters!$1:$1,0)+1,FALSE)</f>
        <v>西王娘娘</v>
      </c>
      <c r="C2" s="45" t="str">
        <f ca="1">VLOOKUP($A2,OFFSET([1]characters!$A$1,0,0,COUNTA([1]characters!$A:$A),MATCH(C$1,[1]characters!$1:$1,0)-MATCH($A$1,[1]characters!$1:$1,0)+1),MATCH(C$1,[1]characters!$1:$1,0)-MATCH($A$1,[1]characters!$1:$1,0)+1,FALSE)</f>
        <v>イベント:ミクコラボ01</v>
      </c>
      <c r="D2" s="4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4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45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4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45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4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45" t="str">
        <f ca="1">VLOOKUP($A2,OFFSET([1]characters!$A$1,0,0,COUNTA([1]characters!$A:$A),MATCH(J$1,[1]characters!$1:$1,0)-MATCH($A$1,[1]characters!$1:$1,0)+1),MATCH(J$1,[1]characters!$1:$1,0)-MATCH($A$1,[1]characters!$1:$1,0)+1,FALSE)</f>
        <v>machine</v>
      </c>
      <c r="K2" s="5" t="str">
        <f ca="1">VLOOKUP(J2,[1]character_tribe_i18n!$A:$H,3,FALSE)</f>
        <v>マシン</v>
      </c>
      <c r="L2" s="7" t="e">
        <f>VLOOKUP(#REF!,[1]character_tribe_i18n!$A:$H,4,FALSE)</f>
        <v>#REF!</v>
      </c>
      <c r="M2" s="7" t="e">
        <f>VLOOKUP(#REF!,[1]character_tribe_i18n!$A:$H,5,FALSE)</f>
        <v>#REF!</v>
      </c>
      <c r="N2" s="7" t="e">
        <f>VLOOKUP(#REF!,[1]character_tribe_i18n!$A:$H,6,FALSE)</f>
        <v>#REF!</v>
      </c>
      <c r="O2" s="7" t="e">
        <f>VLOOKUP(#REF!,[1]character_tribe_i18n!$A:$H,7,FALSE)</f>
        <v>#REF!</v>
      </c>
      <c r="P2" s="153" t="str">
        <f>VLOOKUP(Q2,[1]characters!$A:$AC,20)</f>
        <v>normal</v>
      </c>
      <c r="Q2" s="163">
        <v>8010</v>
      </c>
      <c r="R2" s="49" t="str">
        <f ca="1">IF(Q2="NULL","",VLOOKUP($Q2,OFFSET([1]characters!$A$1,0,0,COUNTA([1]characters!$A:$A),MATCH(R$1,[1]characters!$1:$1,0)-MATCH($A$1,[1]characters!$1:$1,0)+1),MATCH(R$1,[1]characters!$1:$1,0)-MATCH($A$1,[1]characters!$1:$1,0)+1,FALSE))</f>
        <v>極楽瑶池の聖母 西王娘娘</v>
      </c>
      <c r="S2" s="5">
        <f ca="1">IF(ISNA(MATCH(A2,Q:Q,0)),A2,INDIRECT(ADDRESS(MATCH(A2,Q:Q,0),COLUMN())))</f>
        <v>8009</v>
      </c>
      <c r="T2" s="49" t="str">
        <f ca="1">VLOOKUP($S2,OFFSET([1]characters!$A$1,0,0,COUNTA([1]characters!$A:$A),MATCH(T$1,[1]characters!$1:$1,0)-MATCH($A$1,[1]characters!$1:$1,0)+1),MATCH(T$1,[1]characters!$1:$1,0)-MATCH($A$1,[1]characters!$1:$1,0)+1,FALSE)</f>
        <v>西王娘娘</v>
      </c>
      <c r="U2" s="7">
        <f ca="1">IF(Q2="NULL","NULL",VLOOKUP(G2,[2]ビット!$A$2:$B$7,2))</f>
        <v>200000</v>
      </c>
    </row>
    <row r="3" spans="1:21" ht="21" customHeight="1" x14ac:dyDescent="0.15">
      <c r="A3" s="164">
        <v>8011</v>
      </c>
      <c r="B3" s="45" t="str">
        <f ca="1">VLOOKUP($A3,OFFSET([1]characters!$A$1,0,0,COUNTA([1]characters!$A:$A),MATCH(B$1,[1]characters!$1:$1,0)-MATCH($A$1,[1]characters!$1:$1,0)+1),MATCH(B$1,[1]characters!$1:$1,0)-MATCH($A$1,[1]characters!$1:$1,0)+1,FALSE)</f>
        <v>月下老人</v>
      </c>
      <c r="C3" s="45" t="str">
        <f ca="1">VLOOKUP($A3,OFFSET([1]characters!$A$1,0,0,COUNTA([1]characters!$A:$A),MATCH(C$1,[1]characters!$1:$1,0)-MATCH($A$1,[1]characters!$1:$1,0)+1),MATCH(C$1,[1]characters!$1:$1,0)-MATCH($A$1,[1]characters!$1:$1,0)+1,FALSE)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" s="4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4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45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4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45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45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4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7" t="e">
        <f>VLOOKUP(#REF!,[1]character_tribe_i18n!$A:$H,4,FALSE)</f>
        <v>#REF!</v>
      </c>
      <c r="M3" s="7" t="e">
        <f>VLOOKUP(#REF!,[1]character_tribe_i18n!$A:$H,5,FALSE)</f>
        <v>#REF!</v>
      </c>
      <c r="N3" s="7" t="e">
        <f>VLOOKUP(#REF!,[1]character_tribe_i18n!$A:$H,6,FALSE)</f>
        <v>#REF!</v>
      </c>
      <c r="O3" s="7" t="e">
        <f>VLOOKUP(#REF!,[1]character_tribe_i18n!$A:$H,7,FALSE)</f>
        <v>#REF!</v>
      </c>
      <c r="P3" s="153" t="str">
        <f>VLOOKUP(Q3,[1]characters!$A:$AC,20)</f>
        <v>normal</v>
      </c>
      <c r="Q3" s="163">
        <v>8012</v>
      </c>
      <c r="R3" s="49" t="str">
        <f ca="1">IF(Q3="NULL","",VLOOKUP($Q3,OFFSET([1]characters!$A$1,0,0,COUNTA([1]characters!$A:$A),MATCH(R$1,[1]characters!$1:$1,0)-MATCH($A$1,[1]characters!$1:$1,0)+1),MATCH(R$1,[1]characters!$1:$1,0)-MATCH($A$1,[1]characters!$1:$1,0)+1,FALSE))</f>
        <v>破戀斬る縁剣 月下老人</v>
      </c>
      <c r="S3" s="5">
        <f ca="1">IF(ISNA(MATCH(A3,Q:Q,0)),A3,INDIRECT(ADDRESS(MATCH(A3,Q:Q,0),COLUMN())))</f>
        <v>8011</v>
      </c>
      <c r="T3" s="49" t="str">
        <f ca="1">VLOOKUP($S3,OFFSET([1]characters!$A$1,0,0,COUNTA([1]characters!$A:$A),MATCH(T$1,[1]characters!$1:$1,0)-MATCH($A$1,[1]characters!$1:$1,0)+1),MATCH(T$1,[1]characters!$1:$1,0)-MATCH($A$1,[1]characters!$1:$1,0)+1,FALSE)</f>
        <v>月下老人</v>
      </c>
      <c r="U3" s="7">
        <f ca="1">IF(Q3="NULL","NULL",VLOOKUP(G3,[2]ビット!$A$2:$B$7,2))</f>
        <v>200000</v>
      </c>
    </row>
    <row r="4" spans="1:21" ht="21" customHeight="1" x14ac:dyDescent="0.15">
      <c r="A4" s="164">
        <v>8031</v>
      </c>
      <c r="B4" s="45" t="str">
        <f ca="1">VLOOKUP($A4,OFFSET([1]characters!$A$1,0,0,COUNTA([1]characters!$A:$A),MATCH(B$1,[1]characters!$1:$1,0)-MATCH($A$1,[1]characters!$1:$1,0)+1),MATCH(B$1,[1]characters!$1:$1,0)-MATCH($A$1,[1]characters!$1:$1,0)+1,FALSE)</f>
        <v>閻羅王</v>
      </c>
      <c r="C4" s="45" t="str">
        <f ca="1">VLOOKUP($A4,OFFSET([1]characters!$A$1,0,0,COUNTA([1]characters!$A:$A),MATCH(C$1,[1]characters!$1:$1,0)-MATCH($A$1,[1]characters!$1:$1,0)+1),MATCH(C$1,[1]characters!$1:$1,0)-MATCH($A$1,[1]characters!$1:$1,0)+1,FALSE)</f>
        <v>Expoミク</v>
      </c>
      <c r="D4" s="4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4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45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4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45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45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45" t="str">
        <f ca="1">VLOOKUP($A4,OFFSET([1]characters!$A$1,0,0,COUNTA([1]characters!$A:$A),MATCH(J$1,[1]characters!$1:$1,0)-MATCH($A$1,[1]characters!$1:$1,0)+1),MATCH(J$1,[1]characters!$1:$1,0)-MATCH($A$1,[1]characters!$1:$1,0)+1,FALSE)</f>
        <v>machine</v>
      </c>
      <c r="K4" s="5" t="str">
        <f ca="1">VLOOKUP(J4,[1]character_tribe_i18n!$A:$H,3,FALSE)</f>
        <v>マシン</v>
      </c>
      <c r="L4" s="7" t="e">
        <f>VLOOKUP(#REF!,[1]character_tribe_i18n!$A:$H,4,FALSE)</f>
        <v>#REF!</v>
      </c>
      <c r="M4" s="7" t="e">
        <f>VLOOKUP(#REF!,[1]character_tribe_i18n!$A:$H,5,FALSE)</f>
        <v>#REF!</v>
      </c>
      <c r="N4" s="7" t="e">
        <f>VLOOKUP(#REF!,[1]character_tribe_i18n!$A:$H,6,FALSE)</f>
        <v>#REF!</v>
      </c>
      <c r="O4" s="7" t="e">
        <f>VLOOKUP(#REF!,[1]character_tribe_i18n!$A:$H,7,FALSE)</f>
        <v>#REF!</v>
      </c>
      <c r="P4" s="153" t="str">
        <f>VLOOKUP(Q4,[1]characters!$A:$AC,20)</f>
        <v>normal</v>
      </c>
      <c r="Q4" s="163">
        <v>8032</v>
      </c>
      <c r="R4" s="49" t="str">
        <f ca="1">IF(Q4="NULL","",VLOOKUP($Q4,OFFSET([1]characters!$A$1,0,0,COUNTA([1]characters!$A:$A),MATCH(R$1,[1]characters!$1:$1,0)-MATCH($A$1,[1]characters!$1:$1,0)+1),MATCH(R$1,[1]characters!$1:$1,0)-MATCH($A$1,[1]characters!$1:$1,0)+1,FALSE))</f>
        <v>六道輪廻の絶獄 閻羅王</v>
      </c>
      <c r="S4" s="5">
        <f ca="1">IF(ISNA(MATCH(A4,Q:Q,0)),A4,INDIRECT(ADDRESS(MATCH(A4,Q:Q,0),COLUMN())))</f>
        <v>8031</v>
      </c>
      <c r="T4" s="49" t="str">
        <f ca="1">VLOOKUP($S4,OFFSET([1]characters!$A$1,0,0,COUNTA([1]characters!$A:$A),MATCH(T$1,[1]characters!$1:$1,0)-MATCH($A$1,[1]characters!$1:$1,0)+1),MATCH(T$1,[1]characters!$1:$1,0)-MATCH($A$1,[1]characters!$1:$1,0)+1,FALSE)</f>
        <v>閻羅王</v>
      </c>
      <c r="U4" s="7">
        <f ca="1">IF(Q4="NULL","NULL",VLOOKUP(G4,[2]ビット!$A$2:$B$7,2))</f>
        <v>200000</v>
      </c>
    </row>
    <row r="5" spans="1:21" ht="21" customHeight="1" x14ac:dyDescent="0.15">
      <c r="A5" s="164">
        <v>8033</v>
      </c>
      <c r="B5" s="45" t="str">
        <f ca="1">VLOOKUP($A5,OFFSET([1]characters!$A$1,0,0,COUNTA([1]characters!$A:$A),MATCH(B$1,[1]characters!$1:$1,0)-MATCH($A$1,[1]characters!$1:$1,0)+1),MATCH(B$1,[1]characters!$1:$1,0)-MATCH($A$1,[1]characters!$1:$1,0)+1,FALSE)</f>
        <v>牛頭馬面</v>
      </c>
      <c r="C5" s="45" t="str">
        <f ca="1">VLOOKUP($A5,OFFSET([1]characters!$A$1,0,0,COUNTA([1]characters!$A:$A),MATCH(C$1,[1]characters!$1:$1,0)-MATCH($A$1,[1]characters!$1:$1,0)+1),MATCH(C$1,[1]characters!$1:$1,0)-MATCH($A$1,[1]characters!$1:$1,0)+1,FALSE)</f>
        <v>Expoミク</v>
      </c>
      <c r="D5" s="4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4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45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4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45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45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45" t="str">
        <f ca="1">VLOOKUP($A5,OFFSET([1]characters!$A$1,0,0,COUNTA([1]characters!$A:$A),MATCH(J$1,[1]characters!$1:$1,0)-MATCH($A$1,[1]characters!$1:$1,0)+1),MATCH(J$1,[1]characters!$1:$1,0)-MATCH($A$1,[1]characters!$1:$1,0)+1,FALSE)</f>
        <v>animal</v>
      </c>
      <c r="K5" s="5" t="str">
        <f ca="1">VLOOKUP(J5,[1]character_tribe_i18n!$A:$H,3,FALSE)</f>
        <v>アニマル</v>
      </c>
      <c r="L5" s="7" t="e">
        <f>VLOOKUP(#REF!,[1]character_tribe_i18n!$A:$H,4,FALSE)</f>
        <v>#REF!</v>
      </c>
      <c r="M5" s="7" t="e">
        <f>VLOOKUP(#REF!,[1]character_tribe_i18n!$A:$H,5,FALSE)</f>
        <v>#REF!</v>
      </c>
      <c r="N5" s="7" t="e">
        <f>VLOOKUP(#REF!,[1]character_tribe_i18n!$A:$H,6,FALSE)</f>
        <v>#REF!</v>
      </c>
      <c r="O5" s="7" t="e">
        <f>VLOOKUP(#REF!,[1]character_tribe_i18n!$A:$H,7,FALSE)</f>
        <v>#REF!</v>
      </c>
      <c r="P5" s="153" t="str">
        <f>VLOOKUP(Q5,[1]characters!$A:$AC,20)</f>
        <v>normal</v>
      </c>
      <c r="Q5" s="163">
        <v>8034</v>
      </c>
      <c r="R5" s="49" t="str">
        <f ca="1">IF(Q5="NULL","",VLOOKUP($Q5,OFFSET([1]characters!$A$1,0,0,COUNTA([1]characters!$A:$A),MATCH(R$1,[1]characters!$1:$1,0)-MATCH($A$1,[1]characters!$1:$1,0)+1),MATCH(R$1,[1]characters!$1:$1,0)-MATCH($A$1,[1]characters!$1:$1,0)+1,FALSE))</f>
        <v>冥府狩る魂使 牛頭馬面</v>
      </c>
      <c r="S5" s="5">
        <f ca="1">IF(ISNA(MATCH(A5,Q:Q,0)),A5,INDIRECT(ADDRESS(MATCH(A5,Q:Q,0),COLUMN())))</f>
        <v>8033</v>
      </c>
      <c r="T5" s="49" t="str">
        <f ca="1">VLOOKUP($S5,OFFSET([1]characters!$A$1,0,0,COUNTA([1]characters!$A:$A),MATCH(T$1,[1]characters!$1:$1,0)-MATCH($A$1,[1]characters!$1:$1,0)+1),MATCH(T$1,[1]characters!$1:$1,0)-MATCH($A$1,[1]characters!$1:$1,0)+1,FALSE)</f>
        <v>牛頭馬面</v>
      </c>
      <c r="U5" s="7">
        <f ca="1">IF(Q5="NULL","NULL",VLOOKUP(G5,[2]ビット!$A$2:$B$7,2))</f>
        <v>200000</v>
      </c>
    </row>
  </sheetData>
  <autoFilter ref="A1:U2"/>
  <phoneticPr fontId="22"/>
  <conditionalFormatting sqref="W1:W2 W6:W1048576">
    <cfRule type="cellIs" dxfId="27" priority="20" operator="equal">
      <formula>"FALSE"</formula>
    </cfRule>
  </conditionalFormatting>
  <conditionalFormatting sqref="W3">
    <cfRule type="cellIs" dxfId="26" priority="3" operator="equal">
      <formula>"FALSE"</formula>
    </cfRule>
  </conditionalFormatting>
  <conditionalFormatting sqref="W4">
    <cfRule type="cellIs" dxfId="25" priority="2" operator="equal">
      <formula>"FALSE"</formula>
    </cfRule>
  </conditionalFormatting>
  <conditionalFormatting sqref="W5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9"/>
  <sheetViews>
    <sheetView showGridLines="0" workbookViewId="0">
      <pane ySplit="1" topLeftCell="A2" activePane="bottomLeft" state="frozen"/>
      <selection pane="bottomLeft" activeCell="C25" sqref="C25"/>
    </sheetView>
  </sheetViews>
  <sheetFormatPr baseColWidth="12" defaultColWidth="13" defaultRowHeight="15" x14ac:dyDescent="0.15"/>
  <cols>
    <col min="1" max="1" width="11.5" style="52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52" t="s">
        <v>99</v>
      </c>
      <c r="B1" s="33" t="s">
        <v>38</v>
      </c>
      <c r="C1" s="154" t="s">
        <v>280</v>
      </c>
      <c r="D1" s="13" t="s">
        <v>40</v>
      </c>
      <c r="E1" s="13" t="s">
        <v>42</v>
      </c>
      <c r="F1" s="13" t="s">
        <v>43</v>
      </c>
      <c r="G1" s="154" t="s">
        <v>281</v>
      </c>
      <c r="H1" s="13" t="s">
        <v>40</v>
      </c>
      <c r="I1" s="34" t="s">
        <v>36</v>
      </c>
      <c r="J1" s="13" t="s">
        <v>41</v>
      </c>
      <c r="K1" s="12" t="s">
        <v>37</v>
      </c>
      <c r="L1" s="156" t="s">
        <v>127</v>
      </c>
      <c r="M1" s="157" t="s">
        <v>283</v>
      </c>
    </row>
    <row r="2" spans="1:14" ht="21" customHeight="1" x14ac:dyDescent="0.15">
      <c r="A2" s="52" t="str">
        <f t="shared" ref="A2:A5" si="0">B2&amp;"_"&amp;I2</f>
        <v>8009_107</v>
      </c>
      <c r="B2" s="168">
        <v>8009</v>
      </c>
      <c r="C2" s="155">
        <f t="shared" ref="C2" si="1">B2</f>
        <v>8009</v>
      </c>
      <c r="D2" s="45" t="str">
        <f ca="1">VLOOKUP($C2,OFFSET([1]characters!$A$1,0,0,COUNTA([1]characters!$A:$A),MATCH(D$1,[1]characters!$1:$1,0)-MATCH($C$1,[1]characters!$1:$1,0)+1),MATCH(D$1,[1]characters!$1:$1,0)-MATCH($C$1,[1]characters!$1:$1,0)+1,FALSE)</f>
        <v>西王娘娘</v>
      </c>
      <c r="E2" s="45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45" t="str">
        <f ca="1">VLOOKUP($C2,OFFSET([1]characters!$A$1,0,0,COUNTA([1]characters!$A:$A),MATCH(F$1,[1]characters!$1:$1,0)-MATCH($C$1,[1]characters!$1:$1,0)+1),MATCH(F$1,[1]characters!$1:$1,0)-MATCH($C$1,[1]characters!$1:$1,0)+1,FALSE)</f>
        <v>PremiumSS</v>
      </c>
      <c r="G2" s="168">
        <v>8010</v>
      </c>
      <c r="H2" s="45" t="str">
        <f ca="1">VLOOKUP($G2,OFFSET([1]characters!$A$1,0,0,COUNTA([1]characters!$A:$A),MATCH(H$1,[1]characters!$1:$1,0)-MATCH($C$1,[1]characters!$1:$1,0)+1),MATCH(H$1,[1]characters!$1:$1,0)-MATCH($C$1,[1]characters!$1:$1,0)+1,FALSE)</f>
        <v>極楽瑶池の聖母 西王娘娘</v>
      </c>
      <c r="I2" s="167">
        <v>107</v>
      </c>
      <c r="J2" s="45" t="str">
        <f ca="1">VLOOKUP($I2,OFFSET([1]characters!$A$1,0,0,COUNTA([1]characters!$A:$A),MATCH(J$1,[1]characters!$1:$1,0)-MATCH($C$1,[1]characters!$1:$1,0)+1),MATCH(J$1,[1]characters!$1:$1,0)-MATCH($C$1,[1]characters!$1:$1,0)+1,FALSE)</f>
        <v>グリーンキャタップ</v>
      </c>
      <c r="K2" s="165">
        <v>1</v>
      </c>
      <c r="L2" s="166">
        <v>1</v>
      </c>
      <c r="M2" s="166">
        <v>10</v>
      </c>
      <c r="N2" s="2" t="s">
        <v>282</v>
      </c>
    </row>
    <row r="3" spans="1:14" ht="21" customHeight="1" x14ac:dyDescent="0.15">
      <c r="A3" s="52" t="str">
        <f t="shared" si="0"/>
        <v>8009_108</v>
      </c>
      <c r="B3" s="168">
        <v>8009</v>
      </c>
      <c r="C3" s="155">
        <f t="shared" ref="C3:C5" si="2">B3</f>
        <v>8009</v>
      </c>
      <c r="D3" s="45" t="str">
        <f ca="1">VLOOKUP($C3,OFFSET([1]characters!$A$1,0,0,COUNTA([1]characters!$A:$A),MATCH(D$1,[1]characters!$1:$1,0)-MATCH($C$1,[1]characters!$1:$1,0)+1),MATCH(D$1,[1]characters!$1:$1,0)-MATCH($C$1,[1]characters!$1:$1,0)+1,FALSE)</f>
        <v>西王娘娘</v>
      </c>
      <c r="E3" s="45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45" t="str">
        <f ca="1">VLOOKUP($C3,OFFSET([1]characters!$A$1,0,0,COUNTA([1]characters!$A:$A),MATCH(F$1,[1]characters!$1:$1,0)-MATCH($C$1,[1]characters!$1:$1,0)+1),MATCH(F$1,[1]characters!$1:$1,0)-MATCH($C$1,[1]characters!$1:$1,0)+1,FALSE)</f>
        <v>PremiumSS</v>
      </c>
      <c r="G3" s="168">
        <v>8010</v>
      </c>
      <c r="H3" s="45" t="str">
        <f ca="1">VLOOKUP($G3,OFFSET([1]characters!$A$1,0,0,COUNTA([1]characters!$A:$A),MATCH(H$1,[1]characters!$1:$1,0)-MATCH($C$1,[1]characters!$1:$1,0)+1),MATCH(H$1,[1]characters!$1:$1,0)-MATCH($C$1,[1]characters!$1:$1,0)+1,FALSE)</f>
        <v>極楽瑶池の聖母 西王娘娘</v>
      </c>
      <c r="I3" s="167">
        <v>108</v>
      </c>
      <c r="J3" s="45" t="str">
        <f ca="1">VLOOKUP($I3,OFFSET([1]characters!$A$1,0,0,COUNTA([1]characters!$A:$A),MATCH(J$1,[1]characters!$1:$1,0)-MATCH($C$1,[1]characters!$1:$1,0)+1),MATCH(J$1,[1]characters!$1:$1,0)-MATCH($C$1,[1]characters!$1:$1,0)+1,FALSE)</f>
        <v>森のマッドハッター</v>
      </c>
      <c r="K3" s="165">
        <v>1</v>
      </c>
      <c r="L3" s="166">
        <v>1</v>
      </c>
      <c r="M3" s="166">
        <v>10</v>
      </c>
      <c r="N3" s="2" t="s">
        <v>282</v>
      </c>
    </row>
    <row r="4" spans="1:14" ht="21" customHeight="1" x14ac:dyDescent="0.15">
      <c r="A4" s="52" t="str">
        <f t="shared" si="0"/>
        <v>8009_294</v>
      </c>
      <c r="B4" s="168">
        <v>8009</v>
      </c>
      <c r="C4" s="155">
        <f t="shared" si="2"/>
        <v>8009</v>
      </c>
      <c r="D4" s="45" t="str">
        <f ca="1">VLOOKUP($C4,OFFSET([1]characters!$A$1,0,0,COUNTA([1]characters!$A:$A),MATCH(D$1,[1]characters!$1:$1,0)-MATCH($C$1,[1]characters!$1:$1,0)+1),MATCH(D$1,[1]characters!$1:$1,0)-MATCH($C$1,[1]characters!$1:$1,0)+1,FALSE)</f>
        <v>西王娘娘</v>
      </c>
      <c r="E4" s="45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45" t="str">
        <f ca="1">VLOOKUP($C4,OFFSET([1]characters!$A$1,0,0,COUNTA([1]characters!$A:$A),MATCH(F$1,[1]characters!$1:$1,0)-MATCH($C$1,[1]characters!$1:$1,0)+1),MATCH(F$1,[1]characters!$1:$1,0)-MATCH($C$1,[1]characters!$1:$1,0)+1,FALSE)</f>
        <v>PremiumSS</v>
      </c>
      <c r="G4" s="168">
        <v>8010</v>
      </c>
      <c r="H4" s="45" t="str">
        <f ca="1">VLOOKUP($G4,OFFSET([1]characters!$A$1,0,0,COUNTA([1]characters!$A:$A),MATCH(H$1,[1]characters!$1:$1,0)-MATCH($C$1,[1]characters!$1:$1,0)+1),MATCH(H$1,[1]characters!$1:$1,0)-MATCH($C$1,[1]characters!$1:$1,0)+1,FALSE)</f>
        <v>極楽瑶池の聖母 西王娘娘</v>
      </c>
      <c r="I4" s="167">
        <v>294</v>
      </c>
      <c r="J4" s="45" t="str">
        <f ca="1">VLOOKUP($I4,OFFSET([1]characters!$A$1,0,0,COUNTA([1]characters!$A:$A),MATCH(J$1,[1]characters!$1:$1,0)-MATCH($C$1,[1]characters!$1:$1,0)+1),MATCH(J$1,[1]characters!$1:$1,0)-MATCH($C$1,[1]characters!$1:$1,0)+1,FALSE)</f>
        <v>ウルフ・ザ・レッドイーター</v>
      </c>
      <c r="K4" s="165">
        <v>1</v>
      </c>
      <c r="L4" s="166">
        <v>1</v>
      </c>
      <c r="M4" s="166">
        <v>100</v>
      </c>
      <c r="N4" s="2" t="s">
        <v>282</v>
      </c>
    </row>
    <row r="5" spans="1:14" ht="21" customHeight="1" x14ac:dyDescent="0.15">
      <c r="A5" s="52" t="str">
        <f t="shared" si="0"/>
        <v>8009_420</v>
      </c>
      <c r="B5" s="168">
        <v>8009</v>
      </c>
      <c r="C5" s="155">
        <f t="shared" si="2"/>
        <v>8009</v>
      </c>
      <c r="D5" s="45" t="str">
        <f ca="1">VLOOKUP($C5,OFFSET([1]characters!$A$1,0,0,COUNTA([1]characters!$A:$A),MATCH(D$1,[1]characters!$1:$1,0)-MATCH($C$1,[1]characters!$1:$1,0)+1),MATCH(D$1,[1]characters!$1:$1,0)-MATCH($C$1,[1]characters!$1:$1,0)+1,FALSE)</f>
        <v>西王娘娘</v>
      </c>
      <c r="E5" s="45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45" t="str">
        <f ca="1">VLOOKUP($C5,OFFSET([1]characters!$A$1,0,0,COUNTA([1]characters!$A:$A),MATCH(F$1,[1]characters!$1:$1,0)-MATCH($C$1,[1]characters!$1:$1,0)+1),MATCH(F$1,[1]characters!$1:$1,0)-MATCH($C$1,[1]characters!$1:$1,0)+1,FALSE)</f>
        <v>PremiumSS</v>
      </c>
      <c r="G5" s="168">
        <v>8010</v>
      </c>
      <c r="H5" s="45" t="str">
        <f ca="1">VLOOKUP($G5,OFFSET([1]characters!$A$1,0,0,COUNTA([1]characters!$A:$A),MATCH(H$1,[1]characters!$1:$1,0)-MATCH($C$1,[1]characters!$1:$1,0)+1),MATCH(H$1,[1]characters!$1:$1,0)-MATCH($C$1,[1]characters!$1:$1,0)+1,FALSE)</f>
        <v>極楽瑶池の聖母 西王娘娘</v>
      </c>
      <c r="I5" s="167">
        <v>420</v>
      </c>
      <c r="J5" s="45" t="str">
        <f ca="1">VLOOKUP($I5,OFFSET([1]characters!$A$1,0,0,COUNTA([1]characters!$A:$A),MATCH(J$1,[1]characters!$1:$1,0)-MATCH($C$1,[1]characters!$1:$1,0)+1),MATCH(J$1,[1]characters!$1:$1,0)-MATCH($C$1,[1]characters!$1:$1,0)+1,FALSE)</f>
        <v>カエデ</v>
      </c>
      <c r="K5" s="165">
        <v>1</v>
      </c>
      <c r="L5" s="166">
        <v>1</v>
      </c>
      <c r="M5" s="166">
        <v>100</v>
      </c>
      <c r="N5" s="2" t="s">
        <v>282</v>
      </c>
    </row>
    <row r="6" spans="1:14" ht="21" customHeight="1" x14ac:dyDescent="0.15">
      <c r="A6" s="52" t="str">
        <f t="shared" ref="A6:A10" si="3">B6&amp;"_"&amp;I6</f>
        <v>8009_837</v>
      </c>
      <c r="B6" s="168">
        <v>8009</v>
      </c>
      <c r="C6" s="155">
        <f t="shared" ref="C6:C10" si="4">B6</f>
        <v>8009</v>
      </c>
      <c r="D6" s="45" t="str">
        <f ca="1">VLOOKUP($C6,OFFSET([1]characters!$A$1,0,0,COUNTA([1]characters!$A:$A),MATCH(D$1,[1]characters!$1:$1,0)-MATCH($C$1,[1]characters!$1:$1,0)+1),MATCH(D$1,[1]characters!$1:$1,0)-MATCH($C$1,[1]characters!$1:$1,0)+1,FALSE)</f>
        <v>西王娘娘</v>
      </c>
      <c r="E6" s="45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45" t="str">
        <f ca="1">VLOOKUP($C6,OFFSET([1]characters!$A$1,0,0,COUNTA([1]characters!$A:$A),MATCH(F$1,[1]characters!$1:$1,0)-MATCH($C$1,[1]characters!$1:$1,0)+1),MATCH(F$1,[1]characters!$1:$1,0)-MATCH($C$1,[1]characters!$1:$1,0)+1,FALSE)</f>
        <v>PremiumSS</v>
      </c>
      <c r="G6" s="168">
        <v>8010</v>
      </c>
      <c r="H6" s="45" t="str">
        <f ca="1">VLOOKUP($G6,OFFSET([1]characters!$A$1,0,0,COUNTA([1]characters!$A:$A),MATCH(H$1,[1]characters!$1:$1,0)-MATCH($C$1,[1]characters!$1:$1,0)+1),MATCH(H$1,[1]characters!$1:$1,0)-MATCH($C$1,[1]characters!$1:$1,0)+1,FALSE)</f>
        <v>極楽瑶池の聖母 西王娘娘</v>
      </c>
      <c r="I6" s="167">
        <v>837</v>
      </c>
      <c r="J6" s="45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65">
        <v>1</v>
      </c>
      <c r="L6" s="166">
        <v>1</v>
      </c>
      <c r="M6" s="166">
        <v>1000</v>
      </c>
      <c r="N6" s="2" t="s">
        <v>282</v>
      </c>
    </row>
    <row r="7" spans="1:14" ht="21" customHeight="1" x14ac:dyDescent="0.15">
      <c r="A7" s="52" t="str">
        <f t="shared" si="3"/>
        <v>8011_116</v>
      </c>
      <c r="B7" s="168">
        <v>8011</v>
      </c>
      <c r="C7" s="155">
        <f t="shared" si="4"/>
        <v>8011</v>
      </c>
      <c r="D7" s="45" t="str">
        <f ca="1">VLOOKUP($C7,OFFSET([1]characters!$A$1,0,0,COUNTA([1]characters!$A:$A),MATCH(D$1,[1]characters!$1:$1,0)-MATCH($C$1,[1]characters!$1:$1,0)+1),MATCH(D$1,[1]characters!$1:$1,0)-MATCH($C$1,[1]characters!$1:$1,0)+1,FALSE)</f>
        <v>月下老人</v>
      </c>
      <c r="E7" s="45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45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68">
        <v>8012</v>
      </c>
      <c r="H7" s="45" t="str">
        <f ca="1">VLOOKUP($G7,OFFSET([1]characters!$A$1,0,0,COUNTA([1]characters!$A:$A),MATCH(H$1,[1]characters!$1:$1,0)-MATCH($C$1,[1]characters!$1:$1,0)+1),MATCH(H$1,[1]characters!$1:$1,0)-MATCH($C$1,[1]characters!$1:$1,0)+1,FALSE)</f>
        <v>破戀斬る縁剣 月下老人</v>
      </c>
      <c r="I7" s="167">
        <v>116</v>
      </c>
      <c r="J7" s="45" t="str">
        <f ca="1">VLOOKUP($I7,OFFSET([1]characters!$A$1,0,0,COUNTA([1]characters!$A:$A),MATCH(J$1,[1]characters!$1:$1,0)-MATCH($C$1,[1]characters!$1:$1,0)+1),MATCH(J$1,[1]characters!$1:$1,0)-MATCH($C$1,[1]characters!$1:$1,0)+1,FALSE)</f>
        <v>雷のマッドハッター</v>
      </c>
      <c r="K7" s="165">
        <v>1</v>
      </c>
      <c r="L7" s="166">
        <v>1</v>
      </c>
      <c r="M7" s="166">
        <v>10</v>
      </c>
      <c r="N7" s="2" t="s">
        <v>282</v>
      </c>
    </row>
    <row r="8" spans="1:14" ht="21" customHeight="1" x14ac:dyDescent="0.15">
      <c r="A8" s="52" t="str">
        <f t="shared" si="3"/>
        <v>8011_288</v>
      </c>
      <c r="B8" s="168">
        <v>8011</v>
      </c>
      <c r="C8" s="155">
        <f t="shared" si="4"/>
        <v>8011</v>
      </c>
      <c r="D8" s="45" t="str">
        <f ca="1">VLOOKUP($C8,OFFSET([1]characters!$A$1,0,0,COUNTA([1]characters!$A:$A),MATCH(D$1,[1]characters!$1:$1,0)-MATCH($C$1,[1]characters!$1:$1,0)+1),MATCH(D$1,[1]characters!$1:$1,0)-MATCH($C$1,[1]characters!$1:$1,0)+1,FALSE)</f>
        <v>月下老人</v>
      </c>
      <c r="E8" s="45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45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68">
        <v>8012</v>
      </c>
      <c r="H8" s="45" t="str">
        <f ca="1">VLOOKUP($G8,OFFSET([1]characters!$A$1,0,0,COUNTA([1]characters!$A:$A),MATCH(H$1,[1]characters!$1:$1,0)-MATCH($C$1,[1]characters!$1:$1,0)+1),MATCH(H$1,[1]characters!$1:$1,0)-MATCH($C$1,[1]characters!$1:$1,0)+1,FALSE)</f>
        <v>破戀斬る縁剣 月下老人</v>
      </c>
      <c r="I8" s="167">
        <v>288</v>
      </c>
      <c r="J8" s="45" t="str">
        <f ca="1">VLOOKUP($I8,OFFSET([1]characters!$A$1,0,0,COUNTA([1]characters!$A:$A),MATCH(J$1,[1]characters!$1:$1,0)-MATCH($C$1,[1]characters!$1:$1,0)+1),MATCH(J$1,[1]characters!$1:$1,0)-MATCH($C$1,[1]characters!$1:$1,0)+1,FALSE)</f>
        <v>ミカド</v>
      </c>
      <c r="K8" s="165">
        <v>1</v>
      </c>
      <c r="L8" s="166">
        <v>3</v>
      </c>
      <c r="M8" s="166">
        <v>100</v>
      </c>
      <c r="N8" s="2" t="s">
        <v>282</v>
      </c>
    </row>
    <row r="9" spans="1:14" ht="21" customHeight="1" x14ac:dyDescent="0.15">
      <c r="A9" s="52" t="str">
        <f t="shared" si="3"/>
        <v>8011_650</v>
      </c>
      <c r="B9" s="168">
        <v>8011</v>
      </c>
      <c r="C9" s="155">
        <f t="shared" si="4"/>
        <v>8011</v>
      </c>
      <c r="D9" s="45" t="str">
        <f ca="1">VLOOKUP($C9,OFFSET([1]characters!$A$1,0,0,COUNTA([1]characters!$A:$A),MATCH(D$1,[1]characters!$1:$1,0)-MATCH($C$1,[1]characters!$1:$1,0)+1),MATCH(D$1,[1]characters!$1:$1,0)-MATCH($C$1,[1]characters!$1:$1,0)+1,FALSE)</f>
        <v>月下老人</v>
      </c>
      <c r="E9" s="45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45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68">
        <v>8012</v>
      </c>
      <c r="H9" s="45" t="str">
        <f ca="1">VLOOKUP($G9,OFFSET([1]characters!$A$1,0,0,COUNTA([1]characters!$A:$A),MATCH(H$1,[1]characters!$1:$1,0)-MATCH($C$1,[1]characters!$1:$1,0)+1),MATCH(H$1,[1]characters!$1:$1,0)-MATCH($C$1,[1]characters!$1:$1,0)+1,FALSE)</f>
        <v>破戀斬る縁剣 月下老人</v>
      </c>
      <c r="I9" s="167">
        <v>650</v>
      </c>
      <c r="J9" s="45" t="str">
        <f ca="1">VLOOKUP($I9,OFFSET([1]characters!$A$1,0,0,COUNTA([1]characters!$A:$A),MATCH(J$1,[1]characters!$1:$1,0)-MATCH($C$1,[1]characters!$1:$1,0)+1),MATCH(J$1,[1]characters!$1:$1,0)-MATCH($C$1,[1]characters!$1:$1,0)+1,FALSE)</f>
        <v>土蜘蛛 ユウヤ</v>
      </c>
      <c r="K9" s="165">
        <v>1</v>
      </c>
      <c r="L9" s="166">
        <v>2</v>
      </c>
      <c r="M9" s="166">
        <v>100</v>
      </c>
      <c r="N9" s="2" t="s">
        <v>282</v>
      </c>
    </row>
    <row r="10" spans="1:14" ht="21" customHeight="1" x14ac:dyDescent="0.15">
      <c r="A10" s="52" t="str">
        <f t="shared" si="3"/>
        <v>8011_837</v>
      </c>
      <c r="B10" s="168">
        <v>8011</v>
      </c>
      <c r="C10" s="155">
        <f t="shared" si="4"/>
        <v>8011</v>
      </c>
      <c r="D10" s="45" t="str">
        <f ca="1">VLOOKUP($C10,OFFSET([1]characters!$A$1,0,0,COUNTA([1]characters!$A:$A),MATCH(D$1,[1]characters!$1:$1,0)-MATCH($C$1,[1]characters!$1:$1,0)+1),MATCH(D$1,[1]characters!$1:$1,0)-MATCH($C$1,[1]characters!$1:$1,0)+1,FALSE)</f>
        <v>月下老人</v>
      </c>
      <c r="E10" s="45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45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68">
        <v>8012</v>
      </c>
      <c r="H10" s="45" t="str">
        <f ca="1">VLOOKUP($G10,OFFSET([1]characters!$A$1,0,0,COUNTA([1]characters!$A:$A),MATCH(H$1,[1]characters!$1:$1,0)-MATCH($C$1,[1]characters!$1:$1,0)+1),MATCH(H$1,[1]characters!$1:$1,0)-MATCH($C$1,[1]characters!$1:$1,0)+1,FALSE)</f>
        <v>破戀斬る縁剣 月下老人</v>
      </c>
      <c r="I10" s="167">
        <v>837</v>
      </c>
      <c r="J10" s="45" t="str">
        <f ca="1">VLOOKUP($I10,OFFSET([1]characters!$A$1,0,0,COUNTA([1]characters!$A:$A),MATCH(J$1,[1]characters!$1:$1,0)-MATCH($C$1,[1]characters!$1:$1,0)+1),MATCH(J$1,[1]characters!$1:$1,0)-MATCH($C$1,[1]characters!$1:$1,0)+1,FALSE)</f>
        <v>リトルハンプティ</v>
      </c>
      <c r="K10" s="165">
        <v>1</v>
      </c>
      <c r="L10" s="166">
        <v>1</v>
      </c>
      <c r="M10" s="166">
        <v>1000</v>
      </c>
      <c r="N10" s="2" t="s">
        <v>282</v>
      </c>
    </row>
    <row r="11" spans="1:14" ht="21" customHeight="1" x14ac:dyDescent="0.15">
      <c r="A11" s="52" t="str">
        <f t="shared" ref="A11" si="5">B11&amp;"_"&amp;I11</f>
        <v>8031_103</v>
      </c>
      <c r="B11" s="168">
        <v>8031</v>
      </c>
      <c r="C11" s="155">
        <f t="shared" ref="C11" si="6">B11</f>
        <v>8031</v>
      </c>
      <c r="D11" s="45" t="str">
        <f ca="1">VLOOKUP($C11,OFFSET([1]characters!$A$1,0,0,COUNTA([1]characters!$A:$A),MATCH(D$1,[1]characters!$1:$1,0)-MATCH($C$1,[1]characters!$1:$1,0)+1),MATCH(D$1,[1]characters!$1:$1,0)-MATCH($C$1,[1]characters!$1:$1,0)+1,FALSE)</f>
        <v>閻羅王</v>
      </c>
      <c r="E11" s="45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45" t="str">
        <f ca="1">VLOOKUP($C11,OFFSET([1]characters!$A$1,0,0,COUNTA([1]characters!$A:$A),MATCH(F$1,[1]characters!$1:$1,0)-MATCH($C$1,[1]characters!$1:$1,0)+1),MATCH(F$1,[1]characters!$1:$1,0)-MATCH($C$1,[1]characters!$1:$1,0)+1,FALSE)</f>
        <v>PremiumSS</v>
      </c>
      <c r="G11" s="168">
        <v>8032</v>
      </c>
      <c r="H11" s="45" t="str">
        <f ca="1">VLOOKUP($G11,OFFSET([1]characters!$A$1,0,0,COUNTA([1]characters!$A:$A),MATCH(H$1,[1]characters!$1:$1,0)-MATCH($C$1,[1]characters!$1:$1,0)+1),MATCH(H$1,[1]characters!$1:$1,0)-MATCH($C$1,[1]characters!$1:$1,0)+1,FALSE)</f>
        <v>六道輪廻の絶獄 閻羅王</v>
      </c>
      <c r="I11" s="167">
        <v>103</v>
      </c>
      <c r="J11" s="45" t="str">
        <f ca="1">VLOOKUP($I11,OFFSET([1]characters!$A$1,0,0,COUNTA([1]characters!$A:$A),MATCH(J$1,[1]characters!$1:$1,0)-MATCH($C$1,[1]characters!$1:$1,0)+1),MATCH(J$1,[1]characters!$1:$1,0)-MATCH($C$1,[1]characters!$1:$1,0)+1,FALSE)</f>
        <v>レッドキャタップ</v>
      </c>
      <c r="K11" s="165">
        <v>1</v>
      </c>
      <c r="L11" s="166">
        <v>1</v>
      </c>
      <c r="M11" s="166">
        <v>10</v>
      </c>
      <c r="N11" s="2" t="s">
        <v>282</v>
      </c>
    </row>
    <row r="12" spans="1:14" ht="21" customHeight="1" x14ac:dyDescent="0.15">
      <c r="A12" s="52" t="str">
        <f t="shared" ref="A12:A15" si="7">B12&amp;"_"&amp;I12</f>
        <v>8031_840</v>
      </c>
      <c r="B12" s="168">
        <v>8031</v>
      </c>
      <c r="C12" s="155">
        <f t="shared" ref="C12:C15" si="8">B12</f>
        <v>8031</v>
      </c>
      <c r="D12" s="45" t="str">
        <f ca="1">VLOOKUP($C12,OFFSET([1]characters!$A$1,0,0,COUNTA([1]characters!$A:$A),MATCH(D$1,[1]characters!$1:$1,0)-MATCH($C$1,[1]characters!$1:$1,0)+1),MATCH(D$1,[1]characters!$1:$1,0)-MATCH($C$1,[1]characters!$1:$1,0)+1,FALSE)</f>
        <v>閻羅王</v>
      </c>
      <c r="E12" s="45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45" t="str">
        <f ca="1">VLOOKUP($C12,OFFSET([1]characters!$A$1,0,0,COUNTA([1]characters!$A:$A),MATCH(F$1,[1]characters!$1:$1,0)-MATCH($C$1,[1]characters!$1:$1,0)+1),MATCH(F$1,[1]characters!$1:$1,0)-MATCH($C$1,[1]characters!$1:$1,0)+1,FALSE)</f>
        <v>PremiumSS</v>
      </c>
      <c r="G12" s="168">
        <v>8032</v>
      </c>
      <c r="H12" s="45" t="str">
        <f ca="1">VLOOKUP($G12,OFFSET([1]characters!$A$1,0,0,COUNTA([1]characters!$A:$A),MATCH(H$1,[1]characters!$1:$1,0)-MATCH($C$1,[1]characters!$1:$1,0)+1),MATCH(H$1,[1]characters!$1:$1,0)-MATCH($C$1,[1]characters!$1:$1,0)+1,FALSE)</f>
        <v>六道輪廻の絶獄 閻羅王</v>
      </c>
      <c r="I12" s="167">
        <v>840</v>
      </c>
      <c r="J12" s="45" t="str">
        <f ca="1">VLOOKUP($I12,OFFSET([1]characters!$A$1,0,0,COUNTA([1]characters!$A:$A),MATCH(J$1,[1]characters!$1:$1,0)-MATCH($C$1,[1]characters!$1:$1,0)+1),MATCH(J$1,[1]characters!$1:$1,0)-MATCH($C$1,[1]characters!$1:$1,0)+1,FALSE)</f>
        <v>フェニックス</v>
      </c>
      <c r="K12" s="165">
        <v>1</v>
      </c>
      <c r="L12" s="166">
        <v>1</v>
      </c>
      <c r="M12" s="166">
        <v>100</v>
      </c>
      <c r="N12" s="2" t="s">
        <v>282</v>
      </c>
    </row>
    <row r="13" spans="1:14" ht="21" customHeight="1" x14ac:dyDescent="0.15">
      <c r="A13" s="52" t="str">
        <f t="shared" si="7"/>
        <v>8031_766</v>
      </c>
      <c r="B13" s="168">
        <v>8031</v>
      </c>
      <c r="C13" s="155">
        <f t="shared" si="8"/>
        <v>8031</v>
      </c>
      <c r="D13" s="45" t="str">
        <f ca="1">VLOOKUP($C13,OFFSET([1]characters!$A$1,0,0,COUNTA([1]characters!$A:$A),MATCH(D$1,[1]characters!$1:$1,0)-MATCH($C$1,[1]characters!$1:$1,0)+1),MATCH(D$1,[1]characters!$1:$1,0)-MATCH($C$1,[1]characters!$1:$1,0)+1,FALSE)</f>
        <v>閻羅王</v>
      </c>
      <c r="E13" s="45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45" t="str">
        <f ca="1">VLOOKUP($C13,OFFSET([1]characters!$A$1,0,0,COUNTA([1]characters!$A:$A),MATCH(F$1,[1]characters!$1:$1,0)-MATCH($C$1,[1]characters!$1:$1,0)+1),MATCH(F$1,[1]characters!$1:$1,0)-MATCH($C$1,[1]characters!$1:$1,0)+1,FALSE)</f>
        <v>PremiumSS</v>
      </c>
      <c r="G13" s="168">
        <v>8032</v>
      </c>
      <c r="H13" s="45" t="str">
        <f ca="1">VLOOKUP($G13,OFFSET([1]characters!$A$1,0,0,COUNTA([1]characters!$A:$A),MATCH(H$1,[1]characters!$1:$1,0)-MATCH($C$1,[1]characters!$1:$1,0)+1),MATCH(H$1,[1]characters!$1:$1,0)-MATCH($C$1,[1]characters!$1:$1,0)+1,FALSE)</f>
        <v>六道輪廻の絶獄 閻羅王</v>
      </c>
      <c r="I13" s="167">
        <v>766</v>
      </c>
      <c r="J13" s="45" t="str">
        <f ca="1">VLOOKUP($I13,OFFSET([1]characters!$A$1,0,0,COUNTA([1]characters!$A:$A),MATCH(J$1,[1]characters!$1:$1,0)-MATCH($C$1,[1]characters!$1:$1,0)+1),MATCH(J$1,[1]characters!$1:$1,0)-MATCH($C$1,[1]characters!$1:$1,0)+1,FALSE)</f>
        <v>ランドラグ</v>
      </c>
      <c r="K13" s="165">
        <v>1</v>
      </c>
      <c r="L13" s="166">
        <v>1</v>
      </c>
      <c r="M13" s="166">
        <v>100</v>
      </c>
      <c r="N13" s="2" t="s">
        <v>282</v>
      </c>
    </row>
    <row r="14" spans="1:14" ht="21" customHeight="1" x14ac:dyDescent="0.15">
      <c r="A14" s="52" t="str">
        <f t="shared" si="7"/>
        <v>8031_837</v>
      </c>
      <c r="B14" s="168">
        <v>8031</v>
      </c>
      <c r="C14" s="155">
        <f t="shared" si="8"/>
        <v>8031</v>
      </c>
      <c r="D14" s="45" t="str">
        <f ca="1">VLOOKUP($C14,OFFSET([1]characters!$A$1,0,0,COUNTA([1]characters!$A:$A),MATCH(D$1,[1]characters!$1:$1,0)-MATCH($C$1,[1]characters!$1:$1,0)+1),MATCH(D$1,[1]characters!$1:$1,0)-MATCH($C$1,[1]characters!$1:$1,0)+1,FALSE)</f>
        <v>閻羅王</v>
      </c>
      <c r="E14" s="45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45" t="str">
        <f ca="1">VLOOKUP($C14,OFFSET([1]characters!$A$1,0,0,COUNTA([1]characters!$A:$A),MATCH(F$1,[1]characters!$1:$1,0)-MATCH($C$1,[1]characters!$1:$1,0)+1),MATCH(F$1,[1]characters!$1:$1,0)-MATCH($C$1,[1]characters!$1:$1,0)+1,FALSE)</f>
        <v>PremiumSS</v>
      </c>
      <c r="G14" s="168">
        <v>8032</v>
      </c>
      <c r="H14" s="45" t="str">
        <f ca="1">VLOOKUP($G14,OFFSET([1]characters!$A$1,0,0,COUNTA([1]characters!$A:$A),MATCH(H$1,[1]characters!$1:$1,0)-MATCH($C$1,[1]characters!$1:$1,0)+1),MATCH(H$1,[1]characters!$1:$1,0)-MATCH($C$1,[1]characters!$1:$1,0)+1,FALSE)</f>
        <v>六道輪廻の絶獄 閻羅王</v>
      </c>
      <c r="I14" s="167">
        <v>837</v>
      </c>
      <c r="J14" s="45" t="str">
        <f ca="1">VLOOKUP($I14,OFFSET([1]characters!$A$1,0,0,COUNTA([1]characters!$A:$A),MATCH(J$1,[1]characters!$1:$1,0)-MATCH($C$1,[1]characters!$1:$1,0)+1),MATCH(J$1,[1]characters!$1:$1,0)-MATCH($C$1,[1]characters!$1:$1,0)+1,FALSE)</f>
        <v>リトルハンプティ</v>
      </c>
      <c r="K14" s="165">
        <v>1</v>
      </c>
      <c r="L14" s="166">
        <v>1</v>
      </c>
      <c r="M14" s="166">
        <v>1000</v>
      </c>
      <c r="N14" s="2" t="s">
        <v>282</v>
      </c>
    </row>
    <row r="15" spans="1:14" ht="21" customHeight="1" x14ac:dyDescent="0.15">
      <c r="A15" s="52" t="str">
        <f t="shared" si="7"/>
        <v>8031_104</v>
      </c>
      <c r="B15" s="168">
        <v>8031</v>
      </c>
      <c r="C15" s="155">
        <f t="shared" si="8"/>
        <v>8031</v>
      </c>
      <c r="D15" s="45" t="str">
        <f ca="1">VLOOKUP($C15,OFFSET([1]characters!$A$1,0,0,COUNTA([1]characters!$A:$A),MATCH(D$1,[1]characters!$1:$1,0)-MATCH($C$1,[1]characters!$1:$1,0)+1),MATCH(D$1,[1]characters!$1:$1,0)-MATCH($C$1,[1]characters!$1:$1,0)+1,FALSE)</f>
        <v>閻羅王</v>
      </c>
      <c r="E15" s="45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45" t="str">
        <f ca="1">VLOOKUP($C15,OFFSET([1]characters!$A$1,0,0,COUNTA([1]characters!$A:$A),MATCH(F$1,[1]characters!$1:$1,0)-MATCH($C$1,[1]characters!$1:$1,0)+1),MATCH(F$1,[1]characters!$1:$1,0)-MATCH($C$1,[1]characters!$1:$1,0)+1,FALSE)</f>
        <v>PremiumSS</v>
      </c>
      <c r="G15" s="168">
        <v>8032</v>
      </c>
      <c r="H15" s="45" t="str">
        <f ca="1">VLOOKUP($G15,OFFSET([1]characters!$A$1,0,0,COUNTA([1]characters!$A:$A),MATCH(H$1,[1]characters!$1:$1,0)-MATCH($C$1,[1]characters!$1:$1,0)+1),MATCH(H$1,[1]characters!$1:$1,0)-MATCH($C$1,[1]characters!$1:$1,0)+1,FALSE)</f>
        <v>六道輪廻の絶獄 閻羅王</v>
      </c>
      <c r="I15" s="167">
        <v>104</v>
      </c>
      <c r="J15" s="45" t="str">
        <f ca="1">VLOOKUP($I15,OFFSET([1]characters!$A$1,0,0,COUNTA([1]characters!$A:$A),MATCH(J$1,[1]characters!$1:$1,0)-MATCH($C$1,[1]characters!$1:$1,0)+1),MATCH(J$1,[1]characters!$1:$1,0)-MATCH($C$1,[1]characters!$1:$1,0)+1,FALSE)</f>
        <v>炎のマッドハッター</v>
      </c>
      <c r="K15" s="165">
        <v>1</v>
      </c>
      <c r="L15" s="166">
        <v>1</v>
      </c>
      <c r="M15" s="166">
        <v>10</v>
      </c>
      <c r="N15" s="2" t="s">
        <v>282</v>
      </c>
    </row>
    <row r="16" spans="1:14" ht="21" customHeight="1" x14ac:dyDescent="0.15">
      <c r="A16" s="52" t="str">
        <f t="shared" ref="A16" si="9">B16&amp;"_"&amp;I16</f>
        <v>8033_108</v>
      </c>
      <c r="B16" s="168">
        <v>8033</v>
      </c>
      <c r="C16" s="155">
        <f t="shared" ref="C16" si="10">B16</f>
        <v>8033</v>
      </c>
      <c r="D16" s="45" t="str">
        <f ca="1">VLOOKUP($C16,OFFSET([1]characters!$A$1,0,0,COUNTA([1]characters!$A:$A),MATCH(D$1,[1]characters!$1:$1,0)-MATCH($C$1,[1]characters!$1:$1,0)+1),MATCH(D$1,[1]characters!$1:$1,0)-MATCH($C$1,[1]characters!$1:$1,0)+1,FALSE)</f>
        <v>牛頭馬面</v>
      </c>
      <c r="E16" s="45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45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168">
        <v>8034</v>
      </c>
      <c r="H16" s="45" t="str">
        <f ca="1">VLOOKUP($G16,OFFSET([1]characters!$A$1,0,0,COUNTA([1]characters!$A:$A),MATCH(H$1,[1]characters!$1:$1,0)-MATCH($C$1,[1]characters!$1:$1,0)+1),MATCH(H$1,[1]characters!$1:$1,0)-MATCH($C$1,[1]characters!$1:$1,0)+1,FALSE)</f>
        <v>冥府狩る魂使 牛頭馬面</v>
      </c>
      <c r="I16" s="167">
        <v>108</v>
      </c>
      <c r="J16" s="45" t="str">
        <f ca="1">VLOOKUP($I16,OFFSET([1]characters!$A$1,0,0,COUNTA([1]characters!$A:$A),MATCH(J$1,[1]characters!$1:$1,0)-MATCH($C$1,[1]characters!$1:$1,0)+1),MATCH(J$1,[1]characters!$1:$1,0)-MATCH($C$1,[1]characters!$1:$1,0)+1,FALSE)</f>
        <v>森のマッドハッター</v>
      </c>
      <c r="K16" s="165">
        <v>1</v>
      </c>
      <c r="L16" s="166">
        <v>1</v>
      </c>
      <c r="M16" s="166">
        <v>10</v>
      </c>
      <c r="N16" s="2" t="s">
        <v>282</v>
      </c>
    </row>
    <row r="17" spans="1:14" ht="21" customHeight="1" x14ac:dyDescent="0.15">
      <c r="A17" s="52" t="str">
        <f t="shared" ref="A17:A19" si="11">B17&amp;"_"&amp;I17</f>
        <v>8033_454</v>
      </c>
      <c r="B17" s="168">
        <v>8033</v>
      </c>
      <c r="C17" s="155">
        <f t="shared" ref="C17:C19" si="12">B17</f>
        <v>8033</v>
      </c>
      <c r="D17" s="45" t="str">
        <f ca="1">VLOOKUP($C17,OFFSET([1]characters!$A$1,0,0,COUNTA([1]characters!$A:$A),MATCH(D$1,[1]characters!$1:$1,0)-MATCH($C$1,[1]characters!$1:$1,0)+1),MATCH(D$1,[1]characters!$1:$1,0)-MATCH($C$1,[1]characters!$1:$1,0)+1,FALSE)</f>
        <v>牛頭馬面</v>
      </c>
      <c r="E17" s="45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45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68">
        <v>8034</v>
      </c>
      <c r="H17" s="45" t="str">
        <f ca="1">VLOOKUP($G17,OFFSET([1]characters!$A$1,0,0,COUNTA([1]characters!$A:$A),MATCH(H$1,[1]characters!$1:$1,0)-MATCH($C$1,[1]characters!$1:$1,0)+1),MATCH(H$1,[1]characters!$1:$1,0)-MATCH($C$1,[1]characters!$1:$1,0)+1,FALSE)</f>
        <v>冥府狩る魂使 牛頭馬面</v>
      </c>
      <c r="I17" s="167">
        <v>454</v>
      </c>
      <c r="J17" s="45" t="str">
        <f ca="1">VLOOKUP($I17,OFFSET([1]characters!$A$1,0,0,COUNTA([1]characters!$A:$A),MATCH(J$1,[1]characters!$1:$1,0)-MATCH($C$1,[1]characters!$1:$1,0)+1),MATCH(J$1,[1]characters!$1:$1,0)-MATCH($C$1,[1]characters!$1:$1,0)+1,FALSE)</f>
        <v>二闘 レッサとギガン</v>
      </c>
      <c r="K17" s="165">
        <v>1</v>
      </c>
      <c r="L17" s="166">
        <v>3</v>
      </c>
      <c r="M17" s="166">
        <v>100</v>
      </c>
      <c r="N17" s="2" t="s">
        <v>282</v>
      </c>
    </row>
    <row r="18" spans="1:14" ht="21" customHeight="1" x14ac:dyDescent="0.15">
      <c r="A18" s="52" t="str">
        <f t="shared" si="11"/>
        <v>8033_720</v>
      </c>
      <c r="B18" s="168">
        <v>8033</v>
      </c>
      <c r="C18" s="155">
        <f t="shared" si="12"/>
        <v>8033</v>
      </c>
      <c r="D18" s="45" t="str">
        <f ca="1">VLOOKUP($C18,OFFSET([1]characters!$A$1,0,0,COUNTA([1]characters!$A:$A),MATCH(D$1,[1]characters!$1:$1,0)-MATCH($C$1,[1]characters!$1:$1,0)+1),MATCH(D$1,[1]characters!$1:$1,0)-MATCH($C$1,[1]characters!$1:$1,0)+1,FALSE)</f>
        <v>牛頭馬面</v>
      </c>
      <c r="E18" s="45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45" t="str">
        <f ca="1">VLOOKUP($C18,OFFSET([1]characters!$A$1,0,0,COUNTA([1]characters!$A:$A),MATCH(F$1,[1]characters!$1:$1,0)-MATCH($C$1,[1]characters!$1:$1,0)+1),MATCH(F$1,[1]characters!$1:$1,0)-MATCH($C$1,[1]characters!$1:$1,0)+1,FALSE)</f>
        <v>DropWizS</v>
      </c>
      <c r="G18" s="168">
        <v>8034</v>
      </c>
      <c r="H18" s="45" t="str">
        <f ca="1">VLOOKUP($G18,OFFSET([1]characters!$A$1,0,0,COUNTA([1]characters!$A:$A),MATCH(H$1,[1]characters!$1:$1,0)-MATCH($C$1,[1]characters!$1:$1,0)+1),MATCH(H$1,[1]characters!$1:$1,0)-MATCH($C$1,[1]characters!$1:$1,0)+1,FALSE)</f>
        <v>冥府狩る魂使 牛頭馬面</v>
      </c>
      <c r="I18" s="167">
        <v>720</v>
      </c>
      <c r="J18" s="45" t="str">
        <f ca="1">VLOOKUP($I18,OFFSET([1]characters!$A$1,0,0,COUNTA([1]characters!$A:$A),MATCH(J$1,[1]characters!$1:$1,0)-MATCH($C$1,[1]characters!$1:$1,0)+1),MATCH(J$1,[1]characters!$1:$1,0)-MATCH($C$1,[1]characters!$1:$1,0)+1,FALSE)</f>
        <v>直江兼続</v>
      </c>
      <c r="K18" s="165">
        <v>1</v>
      </c>
      <c r="L18" s="166">
        <v>2</v>
      </c>
      <c r="M18" s="166">
        <v>100</v>
      </c>
      <c r="N18" s="2" t="s">
        <v>282</v>
      </c>
    </row>
    <row r="19" spans="1:14" ht="21" customHeight="1" x14ac:dyDescent="0.15">
      <c r="A19" s="52" t="str">
        <f t="shared" si="11"/>
        <v>8033_837</v>
      </c>
      <c r="B19" s="168">
        <v>8033</v>
      </c>
      <c r="C19" s="155">
        <f t="shared" si="12"/>
        <v>8033</v>
      </c>
      <c r="D19" s="45" t="str">
        <f ca="1">VLOOKUP($C19,OFFSET([1]characters!$A$1,0,0,COUNTA([1]characters!$A:$A),MATCH(D$1,[1]characters!$1:$1,0)-MATCH($C$1,[1]characters!$1:$1,0)+1),MATCH(D$1,[1]characters!$1:$1,0)-MATCH($C$1,[1]characters!$1:$1,0)+1,FALSE)</f>
        <v>牛頭馬面</v>
      </c>
      <c r="E19" s="45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45" t="str">
        <f ca="1">VLOOKUP($C19,OFFSET([1]characters!$A$1,0,0,COUNTA([1]characters!$A:$A),MATCH(F$1,[1]characters!$1:$1,0)-MATCH($C$1,[1]characters!$1:$1,0)+1),MATCH(F$1,[1]characters!$1:$1,0)-MATCH($C$1,[1]characters!$1:$1,0)+1,FALSE)</f>
        <v>DropWizS</v>
      </c>
      <c r="G19" s="168">
        <v>8034</v>
      </c>
      <c r="H19" s="45" t="str">
        <f ca="1">VLOOKUP($G19,OFFSET([1]characters!$A$1,0,0,COUNTA([1]characters!$A:$A),MATCH(H$1,[1]characters!$1:$1,0)-MATCH($C$1,[1]characters!$1:$1,0)+1),MATCH(H$1,[1]characters!$1:$1,0)-MATCH($C$1,[1]characters!$1:$1,0)+1,FALSE)</f>
        <v>冥府狩る魂使 牛頭馬面</v>
      </c>
      <c r="I19" s="167">
        <v>837</v>
      </c>
      <c r="J19" s="45" t="str">
        <f ca="1">VLOOKUP($I19,OFFSET([1]characters!$A$1,0,0,COUNTA([1]characters!$A:$A),MATCH(J$1,[1]characters!$1:$1,0)-MATCH($C$1,[1]characters!$1:$1,0)+1),MATCH(J$1,[1]characters!$1:$1,0)-MATCH($C$1,[1]characters!$1:$1,0)+1,FALSE)</f>
        <v>リトルハンプティ</v>
      </c>
      <c r="K19" s="165">
        <v>1</v>
      </c>
      <c r="L19" s="166">
        <v>1</v>
      </c>
      <c r="M19" s="166">
        <v>1000</v>
      </c>
      <c r="N19" s="2" t="s">
        <v>282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A2" sqref="A2:XFD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16" customFormat="1" ht="21" customHeight="1" x14ac:dyDescent="0.15">
      <c r="A1" s="147" t="s">
        <v>294</v>
      </c>
      <c r="B1" s="104" t="s">
        <v>295</v>
      </c>
      <c r="C1" s="105" t="s">
        <v>296</v>
      </c>
      <c r="D1" s="106" t="s">
        <v>297</v>
      </c>
      <c r="E1" s="106" t="s">
        <v>298</v>
      </c>
      <c r="F1" s="106" t="s">
        <v>299</v>
      </c>
      <c r="G1" s="106" t="s">
        <v>300</v>
      </c>
      <c r="H1" s="106" t="s">
        <v>301</v>
      </c>
      <c r="I1" s="151" t="s">
        <v>302</v>
      </c>
      <c r="J1" s="148" t="s">
        <v>303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"/>
  <sheetViews>
    <sheetView workbookViewId="0">
      <selection activeCell="F20" sqref="F20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16" customFormat="1" ht="21" customHeight="1" x14ac:dyDescent="0.15">
      <c r="A1" s="147" t="s">
        <v>138</v>
      </c>
      <c r="B1" s="149" t="s">
        <v>260</v>
      </c>
      <c r="C1" s="104" t="s">
        <v>261</v>
      </c>
      <c r="D1" s="104" t="s">
        <v>262</v>
      </c>
      <c r="E1" s="150" t="s">
        <v>263</v>
      </c>
      <c r="F1" s="150" t="s">
        <v>264</v>
      </c>
      <c r="G1" s="107" t="s">
        <v>265</v>
      </c>
      <c r="H1" s="147" t="s">
        <v>266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G14" sqref="G14"/>
    </sheetView>
  </sheetViews>
  <sheetFormatPr baseColWidth="12" defaultRowHeight="15" x14ac:dyDescent="0.15"/>
  <sheetData>
    <row r="1" spans="1:2" x14ac:dyDescent="0.15">
      <c r="A1" t="s">
        <v>308</v>
      </c>
      <c r="B1" t="s">
        <v>309</v>
      </c>
    </row>
    <row r="2" spans="1:2" x14ac:dyDescent="0.15">
      <c r="A2" t="s">
        <v>310</v>
      </c>
      <c r="B2">
        <v>1</v>
      </c>
    </row>
    <row r="3" spans="1:2" x14ac:dyDescent="0.15">
      <c r="A3" t="s">
        <v>311</v>
      </c>
      <c r="B3">
        <v>1</v>
      </c>
    </row>
    <row r="4" spans="1:2" x14ac:dyDescent="0.15">
      <c r="A4" t="s">
        <v>312</v>
      </c>
      <c r="B4">
        <v>1</v>
      </c>
    </row>
    <row r="5" spans="1:2" x14ac:dyDescent="0.15">
      <c r="A5" t="s">
        <v>313</v>
      </c>
      <c r="B5">
        <v>1</v>
      </c>
    </row>
    <row r="6" spans="1:2" x14ac:dyDescent="0.15">
      <c r="A6" t="s">
        <v>314</v>
      </c>
      <c r="B6">
        <v>1</v>
      </c>
    </row>
    <row r="7" spans="1:2" x14ac:dyDescent="0.15">
      <c r="A7" t="s">
        <v>315</v>
      </c>
      <c r="B7">
        <v>1</v>
      </c>
    </row>
    <row r="8" spans="1:2" x14ac:dyDescent="0.15">
      <c r="A8" t="s">
        <v>316</v>
      </c>
      <c r="B8">
        <v>1</v>
      </c>
    </row>
    <row r="9" spans="1:2" x14ac:dyDescent="0.15">
      <c r="A9" t="s">
        <v>317</v>
      </c>
      <c r="B9">
        <v>1</v>
      </c>
    </row>
    <row r="10" spans="1:2" x14ac:dyDescent="0.15">
      <c r="A10" t="s">
        <v>318</v>
      </c>
      <c r="B10">
        <v>1</v>
      </c>
    </row>
    <row r="11" spans="1:2" x14ac:dyDescent="0.15">
      <c r="A11" t="s">
        <v>319</v>
      </c>
      <c r="B11">
        <v>1</v>
      </c>
    </row>
    <row r="12" spans="1:2" x14ac:dyDescent="0.15">
      <c r="A12" t="s">
        <v>320</v>
      </c>
      <c r="B12">
        <v>1</v>
      </c>
    </row>
    <row r="13" spans="1:2" x14ac:dyDescent="0.15">
      <c r="A13" t="s">
        <v>321</v>
      </c>
      <c r="B13">
        <v>0</v>
      </c>
    </row>
    <row r="14" spans="1:2" x14ac:dyDescent="0.15">
      <c r="A14" t="s">
        <v>322</v>
      </c>
      <c r="B14">
        <v>500</v>
      </c>
    </row>
    <row r="15" spans="1:2" x14ac:dyDescent="0.15">
      <c r="A15" t="s">
        <v>323</v>
      </c>
      <c r="B15">
        <v>600</v>
      </c>
    </row>
    <row r="16" spans="1:2" x14ac:dyDescent="0.15">
      <c r="A16" t="s">
        <v>324</v>
      </c>
      <c r="B16">
        <v>700</v>
      </c>
    </row>
    <row r="17" spans="1:2" x14ac:dyDescent="0.15">
      <c r="A17" t="s">
        <v>325</v>
      </c>
      <c r="B17">
        <v>5500</v>
      </c>
    </row>
    <row r="18" spans="1:2" x14ac:dyDescent="0.15">
      <c r="A18" t="s">
        <v>326</v>
      </c>
      <c r="B18">
        <v>6000</v>
      </c>
    </row>
    <row r="19" spans="1:2" x14ac:dyDescent="0.15">
      <c r="A19" t="s">
        <v>327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s="4" customFormat="1" ht="21" customHeight="1" x14ac:dyDescent="0.15">
      <c r="A1" s="23" t="s">
        <v>227</v>
      </c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</row>
    <row r="2" spans="1:9" s="4" customFormat="1" ht="21" customHeight="1" x14ac:dyDescent="0.15">
      <c r="A2" s="121" t="s">
        <v>228</v>
      </c>
      <c r="B2" s="122"/>
      <c r="C2" s="123"/>
      <c r="D2" s="124" t="s">
        <v>229</v>
      </c>
      <c r="E2" s="124">
        <v>30</v>
      </c>
      <c r="F2" s="124">
        <v>40</v>
      </c>
      <c r="G2" s="124">
        <f>15+F2</f>
        <v>55</v>
      </c>
      <c r="H2" s="123"/>
      <c r="I2" s="123"/>
    </row>
    <row r="3" spans="1:9" s="4" customFormat="1" ht="21" customHeight="1" x14ac:dyDescent="0.15">
      <c r="A3" s="121" t="s">
        <v>230</v>
      </c>
      <c r="B3" s="125"/>
      <c r="C3" s="126"/>
      <c r="D3" s="127" t="s">
        <v>229</v>
      </c>
      <c r="E3" s="127">
        <v>25</v>
      </c>
      <c r="F3" s="127">
        <v>35</v>
      </c>
      <c r="G3" s="124">
        <f t="shared" ref="G3:G4" si="0">15+F3</f>
        <v>50</v>
      </c>
      <c r="H3" s="126"/>
      <c r="I3" s="126"/>
    </row>
    <row r="4" spans="1:9" s="4" customFormat="1" ht="21" customHeight="1" x14ac:dyDescent="0.15">
      <c r="A4" s="121" t="s">
        <v>231</v>
      </c>
      <c r="B4" s="128"/>
      <c r="C4" s="129"/>
      <c r="D4" s="130">
        <v>10</v>
      </c>
      <c r="E4" s="130">
        <v>20</v>
      </c>
      <c r="F4" s="130">
        <v>30</v>
      </c>
      <c r="G4" s="130">
        <f t="shared" si="0"/>
        <v>45</v>
      </c>
      <c r="H4" s="129"/>
      <c r="I4" s="129"/>
    </row>
    <row r="5" spans="1:9" s="4" customFormat="1" ht="21" customHeight="1" x14ac:dyDescent="0.15">
      <c r="A5" s="140" t="s">
        <v>232</v>
      </c>
      <c r="B5" s="135"/>
      <c r="C5" s="136"/>
      <c r="D5" s="21">
        <v>9</v>
      </c>
      <c r="E5" s="21">
        <v>18</v>
      </c>
      <c r="F5" s="21">
        <v>28</v>
      </c>
      <c r="G5" s="31">
        <v>38</v>
      </c>
      <c r="H5" s="136"/>
      <c r="I5" s="136"/>
    </row>
    <row r="6" spans="1:9" s="4" customFormat="1" ht="21" customHeight="1" x14ac:dyDescent="0.15">
      <c r="A6" s="140" t="s">
        <v>233</v>
      </c>
      <c r="B6" s="135"/>
      <c r="C6" s="136"/>
      <c r="D6" s="21">
        <v>7</v>
      </c>
      <c r="E6" s="21">
        <v>16</v>
      </c>
      <c r="F6" s="54" t="s">
        <v>11</v>
      </c>
      <c r="G6" s="54" t="s">
        <v>11</v>
      </c>
      <c r="H6" s="136"/>
      <c r="I6" s="136"/>
    </row>
    <row r="7" spans="1:9" ht="21" customHeight="1" x14ac:dyDescent="0.15">
      <c r="A7" s="59" t="s">
        <v>234</v>
      </c>
      <c r="B7" s="36" t="s">
        <v>11</v>
      </c>
      <c r="C7" s="36" t="s">
        <v>11</v>
      </c>
      <c r="D7" s="31" t="s">
        <v>229</v>
      </c>
      <c r="E7" s="31" t="s">
        <v>229</v>
      </c>
      <c r="F7" s="31" t="s">
        <v>229</v>
      </c>
      <c r="G7" s="31" t="s">
        <v>229</v>
      </c>
      <c r="H7" s="31" t="s">
        <v>229</v>
      </c>
      <c r="I7" s="31" t="s">
        <v>229</v>
      </c>
    </row>
    <row r="8" spans="1:9" ht="21" customHeight="1" x14ac:dyDescent="0.15">
      <c r="A8" s="60" t="s">
        <v>235</v>
      </c>
      <c r="B8" s="36" t="s">
        <v>11</v>
      </c>
      <c r="C8" s="36" t="s">
        <v>11</v>
      </c>
      <c r="D8" s="31" t="s">
        <v>229</v>
      </c>
      <c r="E8" s="31">
        <v>30</v>
      </c>
      <c r="F8" s="31">
        <v>40</v>
      </c>
      <c r="G8" s="31">
        <f>15+F8</f>
        <v>55</v>
      </c>
      <c r="H8" s="31" t="s">
        <v>229</v>
      </c>
      <c r="I8" s="31" t="s">
        <v>229</v>
      </c>
    </row>
    <row r="9" spans="1:9" s="35" customFormat="1" ht="21" customHeight="1" x14ac:dyDescent="0.15">
      <c r="A9" s="61" t="s">
        <v>304</v>
      </c>
      <c r="B9" s="21" t="s">
        <v>11</v>
      </c>
      <c r="C9" s="21" t="s">
        <v>11</v>
      </c>
      <c r="D9" s="91" t="s">
        <v>109</v>
      </c>
      <c r="E9" s="91" t="s">
        <v>109</v>
      </c>
      <c r="F9" s="91">
        <v>38</v>
      </c>
      <c r="G9" s="31">
        <f>15+F9</f>
        <v>53</v>
      </c>
      <c r="H9" s="91" t="s">
        <v>109</v>
      </c>
      <c r="I9" s="91" t="s">
        <v>109</v>
      </c>
    </row>
    <row r="10" spans="1:9" s="35" customFormat="1" ht="21" customHeight="1" x14ac:dyDescent="0.15">
      <c r="A10" s="61" t="s">
        <v>236</v>
      </c>
      <c r="B10" s="21" t="s">
        <v>11</v>
      </c>
      <c r="C10" s="21" t="s">
        <v>11</v>
      </c>
      <c r="D10" s="91" t="s">
        <v>229</v>
      </c>
      <c r="E10" s="91">
        <v>25</v>
      </c>
      <c r="F10" s="91">
        <v>35</v>
      </c>
      <c r="G10" s="31">
        <f t="shared" ref="G10:G11" si="1">15+F10</f>
        <v>50</v>
      </c>
      <c r="H10" s="91" t="s">
        <v>229</v>
      </c>
      <c r="I10" s="91" t="s">
        <v>229</v>
      </c>
    </row>
    <row r="11" spans="1:9" ht="21" customHeight="1" x14ac:dyDescent="0.15">
      <c r="A11" s="61" t="s">
        <v>9</v>
      </c>
      <c r="B11" s="54" t="s">
        <v>11</v>
      </c>
      <c r="C11" s="54" t="s">
        <v>11</v>
      </c>
      <c r="D11" s="21">
        <v>10</v>
      </c>
      <c r="E11" s="21">
        <v>20</v>
      </c>
      <c r="F11" s="21">
        <v>30</v>
      </c>
      <c r="G11" s="31">
        <f t="shared" si="1"/>
        <v>45</v>
      </c>
      <c r="H11" s="54" t="s">
        <v>11</v>
      </c>
      <c r="I11" s="54" t="s">
        <v>11</v>
      </c>
    </row>
    <row r="12" spans="1:9" ht="21" customHeight="1" x14ac:dyDescent="0.15">
      <c r="A12" s="61" t="s">
        <v>237</v>
      </c>
      <c r="B12" s="54" t="s">
        <v>11</v>
      </c>
      <c r="C12" s="54" t="s">
        <v>11</v>
      </c>
      <c r="D12" s="21">
        <v>9</v>
      </c>
      <c r="E12" s="21">
        <v>18</v>
      </c>
      <c r="F12" s="21">
        <v>28</v>
      </c>
      <c r="G12" s="31">
        <v>38</v>
      </c>
      <c r="H12" s="54" t="s">
        <v>11</v>
      </c>
      <c r="I12" s="54" t="s">
        <v>11</v>
      </c>
    </row>
    <row r="13" spans="1:9" ht="21" customHeight="1" x14ac:dyDescent="0.15">
      <c r="A13" s="61" t="s">
        <v>238</v>
      </c>
      <c r="B13" s="54" t="s">
        <v>11</v>
      </c>
      <c r="C13" s="54" t="s">
        <v>11</v>
      </c>
      <c r="D13" s="21">
        <v>7</v>
      </c>
      <c r="E13" s="21">
        <v>16</v>
      </c>
      <c r="F13" s="160">
        <v>26</v>
      </c>
      <c r="G13" s="54" t="s">
        <v>11</v>
      </c>
      <c r="H13" s="54" t="s">
        <v>11</v>
      </c>
      <c r="I13" s="54" t="s">
        <v>11</v>
      </c>
    </row>
    <row r="14" spans="1:9" ht="21" customHeight="1" x14ac:dyDescent="0.15">
      <c r="A14" s="90" t="s">
        <v>239</v>
      </c>
      <c r="B14" s="54" t="s">
        <v>11</v>
      </c>
      <c r="C14" s="54" t="s">
        <v>11</v>
      </c>
      <c r="D14" s="21">
        <v>8</v>
      </c>
      <c r="E14" s="21">
        <v>17</v>
      </c>
      <c r="F14" s="21">
        <v>26</v>
      </c>
      <c r="G14" s="54" t="s">
        <v>11</v>
      </c>
      <c r="H14" s="54" t="s">
        <v>11</v>
      </c>
      <c r="I14" s="54" t="s">
        <v>11</v>
      </c>
    </row>
    <row r="15" spans="1:9" ht="21" customHeight="1" x14ac:dyDescent="0.15">
      <c r="A15" s="61" t="s">
        <v>240</v>
      </c>
      <c r="B15" s="54" t="s">
        <v>11</v>
      </c>
      <c r="C15" s="54" t="s">
        <v>11</v>
      </c>
      <c r="D15" s="21">
        <v>8</v>
      </c>
      <c r="E15" s="21">
        <v>17</v>
      </c>
      <c r="F15" s="21">
        <v>26</v>
      </c>
      <c r="G15" s="54" t="s">
        <v>11</v>
      </c>
      <c r="H15" s="54" t="s">
        <v>11</v>
      </c>
      <c r="I15" s="54" t="s">
        <v>11</v>
      </c>
    </row>
    <row r="16" spans="1:9" ht="21" customHeight="1" x14ac:dyDescent="0.15">
      <c r="A16" s="61" t="s">
        <v>241</v>
      </c>
      <c r="B16" s="54" t="s">
        <v>11</v>
      </c>
      <c r="C16" s="54" t="s">
        <v>11</v>
      </c>
      <c r="D16" s="21">
        <v>6</v>
      </c>
      <c r="E16" s="21">
        <v>14</v>
      </c>
      <c r="F16" s="54" t="s">
        <v>11</v>
      </c>
      <c r="G16" s="54" t="s">
        <v>11</v>
      </c>
      <c r="H16" s="54" t="s">
        <v>11</v>
      </c>
      <c r="I16" s="54" t="s">
        <v>11</v>
      </c>
    </row>
    <row r="17" spans="1:9" ht="21" customHeight="1" x14ac:dyDescent="0.15">
      <c r="A17" s="61" t="s">
        <v>242</v>
      </c>
      <c r="B17" s="54" t="s">
        <v>11</v>
      </c>
      <c r="C17" s="21">
        <v>4</v>
      </c>
      <c r="D17" s="21">
        <v>6</v>
      </c>
      <c r="E17" s="21">
        <v>14</v>
      </c>
      <c r="F17" s="54" t="s">
        <v>11</v>
      </c>
      <c r="G17" s="54" t="s">
        <v>11</v>
      </c>
      <c r="H17" s="54" t="s">
        <v>11</v>
      </c>
      <c r="I17" s="54" t="s">
        <v>11</v>
      </c>
    </row>
    <row r="18" spans="1:9" ht="21" customHeight="1" x14ac:dyDescent="0.15">
      <c r="A18" s="61" t="s">
        <v>8</v>
      </c>
      <c r="B18" s="21">
        <v>2</v>
      </c>
      <c r="C18" s="21">
        <v>4</v>
      </c>
      <c r="D18" s="21">
        <v>6</v>
      </c>
      <c r="E18" s="54" t="s">
        <v>11</v>
      </c>
      <c r="F18" s="54" t="s">
        <v>11</v>
      </c>
      <c r="G18" s="54" t="s">
        <v>11</v>
      </c>
      <c r="H18" s="54" t="s">
        <v>11</v>
      </c>
      <c r="I18" s="54" t="s">
        <v>11</v>
      </c>
    </row>
    <row r="19" spans="1:9" ht="21" customHeight="1" x14ac:dyDescent="0.15">
      <c r="A19" s="62" t="s">
        <v>7</v>
      </c>
      <c r="B19" s="24">
        <v>1</v>
      </c>
      <c r="C19" s="24">
        <v>2</v>
      </c>
      <c r="D19" s="55" t="s">
        <v>11</v>
      </c>
      <c r="E19" s="55" t="s">
        <v>11</v>
      </c>
      <c r="F19" s="55" t="s">
        <v>11</v>
      </c>
      <c r="G19" s="55" t="s">
        <v>11</v>
      </c>
      <c r="H19" s="55" t="s">
        <v>11</v>
      </c>
      <c r="I19" s="55" t="s">
        <v>11</v>
      </c>
    </row>
    <row r="20" spans="1:9" ht="21" customHeight="1" x14ac:dyDescent="0.15">
      <c r="A20" s="63" t="s">
        <v>243</v>
      </c>
      <c r="B20" s="19">
        <v>1</v>
      </c>
      <c r="C20" s="19">
        <v>1</v>
      </c>
      <c r="D20" s="55" t="s">
        <v>11</v>
      </c>
      <c r="E20" s="55" t="s">
        <v>11</v>
      </c>
      <c r="F20" s="55" t="s">
        <v>11</v>
      </c>
      <c r="G20" s="55" t="s">
        <v>11</v>
      </c>
      <c r="H20" s="55" t="s">
        <v>11</v>
      </c>
      <c r="I20" s="55" t="s">
        <v>11</v>
      </c>
    </row>
    <row r="21" spans="1:9" ht="21" customHeight="1" x14ac:dyDescent="0.15">
      <c r="A21" s="30" t="s">
        <v>244</v>
      </c>
      <c r="B21" s="19">
        <v>99</v>
      </c>
      <c r="C21" s="19">
        <v>99</v>
      </c>
      <c r="D21" s="19">
        <v>99</v>
      </c>
      <c r="E21" s="19">
        <v>99</v>
      </c>
      <c r="F21" s="19">
        <v>99</v>
      </c>
      <c r="G21" s="19">
        <v>99</v>
      </c>
      <c r="H21" s="19">
        <v>99</v>
      </c>
      <c r="I21" s="19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ht="21" customHeight="1" x14ac:dyDescent="0.15">
      <c r="A1" s="25" t="s">
        <v>10</v>
      </c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</row>
    <row r="2" spans="1:9" s="4" customFormat="1" ht="21" customHeight="1" x14ac:dyDescent="0.15">
      <c r="A2" s="121" t="s">
        <v>228</v>
      </c>
      <c r="B2" s="137"/>
      <c r="C2" s="123"/>
      <c r="D2" s="131" t="s">
        <v>109</v>
      </c>
      <c r="E2" s="131">
        <v>60</v>
      </c>
      <c r="F2" s="131">
        <v>80</v>
      </c>
      <c r="G2" s="131">
        <v>99</v>
      </c>
      <c r="H2" s="123"/>
      <c r="I2" s="123"/>
    </row>
    <row r="3" spans="1:9" s="4" customFormat="1" ht="21" customHeight="1" x14ac:dyDescent="0.15">
      <c r="A3" s="121" t="s">
        <v>230</v>
      </c>
      <c r="B3" s="138"/>
      <c r="C3" s="126"/>
      <c r="D3" s="131" t="s">
        <v>109</v>
      </c>
      <c r="E3" s="131">
        <v>60</v>
      </c>
      <c r="F3" s="131">
        <v>80</v>
      </c>
      <c r="G3" s="131">
        <v>99</v>
      </c>
      <c r="H3" s="126"/>
      <c r="I3" s="126"/>
    </row>
    <row r="4" spans="1:9" s="4" customFormat="1" ht="21" customHeight="1" x14ac:dyDescent="0.15">
      <c r="A4" s="121" t="s">
        <v>224</v>
      </c>
      <c r="B4" s="139"/>
      <c r="C4" s="129"/>
      <c r="D4" s="131">
        <v>40</v>
      </c>
      <c r="E4" s="131">
        <v>60</v>
      </c>
      <c r="F4" s="131">
        <v>80</v>
      </c>
      <c r="G4" s="131">
        <v>99</v>
      </c>
      <c r="H4" s="129"/>
      <c r="I4" s="129"/>
    </row>
    <row r="5" spans="1:9" s="4" customFormat="1" ht="21" customHeight="1" x14ac:dyDescent="0.15">
      <c r="A5" s="140" t="s">
        <v>232</v>
      </c>
      <c r="B5" s="135"/>
      <c r="C5" s="136"/>
      <c r="D5" s="131">
        <v>40</v>
      </c>
      <c r="E5" s="131">
        <v>60</v>
      </c>
      <c r="F5" s="131">
        <v>80</v>
      </c>
      <c r="G5" s="131">
        <v>99</v>
      </c>
      <c r="H5" s="136"/>
      <c r="I5" s="136"/>
    </row>
    <row r="6" spans="1:9" s="4" customFormat="1" ht="21" customHeight="1" x14ac:dyDescent="0.15">
      <c r="A6" s="140" t="s">
        <v>233</v>
      </c>
      <c r="B6" s="135"/>
      <c r="C6" s="136"/>
      <c r="D6" s="131">
        <v>40</v>
      </c>
      <c r="E6" s="131">
        <v>60</v>
      </c>
      <c r="F6" s="131" t="s">
        <v>109</v>
      </c>
      <c r="G6" s="131" t="s">
        <v>109</v>
      </c>
      <c r="H6" s="136"/>
      <c r="I6" s="136"/>
    </row>
    <row r="7" spans="1:9" ht="21" customHeight="1" x14ac:dyDescent="0.15">
      <c r="A7" s="59" t="s">
        <v>200</v>
      </c>
      <c r="B7" s="32" t="s">
        <v>109</v>
      </c>
      <c r="C7" s="32" t="s">
        <v>109</v>
      </c>
      <c r="D7" s="32" t="s">
        <v>109</v>
      </c>
      <c r="E7" s="32" t="s">
        <v>109</v>
      </c>
      <c r="F7" s="32" t="s">
        <v>109</v>
      </c>
      <c r="G7" s="32" t="s">
        <v>109</v>
      </c>
      <c r="H7" s="32" t="s">
        <v>109</v>
      </c>
      <c r="I7" s="32" t="s">
        <v>109</v>
      </c>
    </row>
    <row r="8" spans="1:9" ht="21" customHeight="1" x14ac:dyDescent="0.15">
      <c r="A8" s="60" t="s">
        <v>235</v>
      </c>
      <c r="B8" s="32" t="s">
        <v>109</v>
      </c>
      <c r="C8" s="32" t="s">
        <v>109</v>
      </c>
      <c r="D8" s="32" t="s">
        <v>109</v>
      </c>
      <c r="E8" s="32">
        <v>60</v>
      </c>
      <c r="F8" s="32">
        <v>80</v>
      </c>
      <c r="G8" s="32">
        <v>99</v>
      </c>
      <c r="H8" s="32" t="s">
        <v>109</v>
      </c>
      <c r="I8" s="32" t="s">
        <v>109</v>
      </c>
    </row>
    <row r="9" spans="1:9" s="35" customFormat="1" ht="21" customHeight="1" x14ac:dyDescent="0.15">
      <c r="A9" s="61" t="s">
        <v>305</v>
      </c>
      <c r="B9" s="53" t="s">
        <v>109</v>
      </c>
      <c r="C9" s="53" t="s">
        <v>109</v>
      </c>
      <c r="D9" s="53" t="s">
        <v>109</v>
      </c>
      <c r="E9" s="53" t="s">
        <v>109</v>
      </c>
      <c r="F9" s="53">
        <v>80</v>
      </c>
      <c r="G9" s="53">
        <v>99</v>
      </c>
      <c r="H9" s="53" t="s">
        <v>109</v>
      </c>
      <c r="I9" s="53" t="s">
        <v>109</v>
      </c>
    </row>
    <row r="10" spans="1:9" s="35" customFormat="1" ht="21" customHeight="1" x14ac:dyDescent="0.15">
      <c r="A10" s="61" t="s">
        <v>236</v>
      </c>
      <c r="B10" s="53" t="s">
        <v>109</v>
      </c>
      <c r="C10" s="53" t="s">
        <v>109</v>
      </c>
      <c r="D10" s="53" t="s">
        <v>109</v>
      </c>
      <c r="E10" s="53">
        <v>60</v>
      </c>
      <c r="F10" s="53">
        <v>80</v>
      </c>
      <c r="G10" s="53">
        <v>99</v>
      </c>
      <c r="H10" s="53" t="s">
        <v>109</v>
      </c>
      <c r="I10" s="53" t="s">
        <v>109</v>
      </c>
    </row>
    <row r="11" spans="1:9" ht="21" customHeight="1" x14ac:dyDescent="0.15">
      <c r="A11" s="61" t="s">
        <v>9</v>
      </c>
      <c r="B11" s="56" t="s">
        <v>109</v>
      </c>
      <c r="C11" s="56" t="s">
        <v>109</v>
      </c>
      <c r="D11" s="29">
        <v>40</v>
      </c>
      <c r="E11" s="29">
        <v>60</v>
      </c>
      <c r="F11" s="29">
        <v>80</v>
      </c>
      <c r="G11" s="32">
        <v>99</v>
      </c>
      <c r="H11" s="56" t="s">
        <v>109</v>
      </c>
      <c r="I11" s="56" t="s">
        <v>109</v>
      </c>
    </row>
    <row r="12" spans="1:9" ht="21" customHeight="1" x14ac:dyDescent="0.15">
      <c r="A12" s="61" t="s">
        <v>203</v>
      </c>
      <c r="B12" s="56" t="s">
        <v>109</v>
      </c>
      <c r="C12" s="56" t="s">
        <v>109</v>
      </c>
      <c r="D12" s="29">
        <v>40</v>
      </c>
      <c r="E12" s="29">
        <v>60</v>
      </c>
      <c r="F12" s="29">
        <v>80</v>
      </c>
      <c r="G12" s="53">
        <v>99</v>
      </c>
      <c r="H12" s="56" t="s">
        <v>109</v>
      </c>
      <c r="I12" s="56" t="s">
        <v>109</v>
      </c>
    </row>
    <row r="13" spans="1:9" ht="21" customHeight="1" x14ac:dyDescent="0.15">
      <c r="A13" s="61" t="s">
        <v>199</v>
      </c>
      <c r="B13" s="56" t="s">
        <v>109</v>
      </c>
      <c r="C13" s="56" t="s">
        <v>109</v>
      </c>
      <c r="D13" s="29">
        <v>40</v>
      </c>
      <c r="E13" s="29">
        <v>60</v>
      </c>
      <c r="F13" s="161">
        <v>80</v>
      </c>
      <c r="G13" s="56" t="s">
        <v>109</v>
      </c>
      <c r="H13" s="56" t="s">
        <v>109</v>
      </c>
      <c r="I13" s="56" t="s">
        <v>109</v>
      </c>
    </row>
    <row r="14" spans="1:9" ht="21" customHeight="1" x14ac:dyDescent="0.15">
      <c r="A14" s="90" t="s">
        <v>239</v>
      </c>
      <c r="B14" s="56" t="s">
        <v>109</v>
      </c>
      <c r="C14" s="56" t="s">
        <v>109</v>
      </c>
      <c r="D14" s="29">
        <v>40</v>
      </c>
      <c r="E14" s="29">
        <v>60</v>
      </c>
      <c r="F14" s="29">
        <v>80</v>
      </c>
      <c r="G14" s="56" t="s">
        <v>109</v>
      </c>
      <c r="H14" s="56" t="s">
        <v>109</v>
      </c>
      <c r="I14" s="56" t="s">
        <v>109</v>
      </c>
    </row>
    <row r="15" spans="1:9" ht="21" customHeight="1" x14ac:dyDescent="0.15">
      <c r="A15" s="61" t="s">
        <v>240</v>
      </c>
      <c r="B15" s="56" t="s">
        <v>109</v>
      </c>
      <c r="C15" s="56" t="s">
        <v>109</v>
      </c>
      <c r="D15" s="29">
        <v>40</v>
      </c>
      <c r="E15" s="29">
        <v>60</v>
      </c>
      <c r="F15" s="29">
        <v>80</v>
      </c>
      <c r="G15" s="56" t="s">
        <v>109</v>
      </c>
      <c r="H15" s="56" t="s">
        <v>109</v>
      </c>
      <c r="I15" s="56" t="s">
        <v>109</v>
      </c>
    </row>
    <row r="16" spans="1:9" ht="21" customHeight="1" x14ac:dyDescent="0.15">
      <c r="A16" s="61" t="s">
        <v>105</v>
      </c>
      <c r="B16" s="56" t="s">
        <v>109</v>
      </c>
      <c r="C16" s="29">
        <v>30</v>
      </c>
      <c r="D16" s="29">
        <v>40</v>
      </c>
      <c r="E16" s="29">
        <v>60</v>
      </c>
      <c r="F16" s="56" t="s">
        <v>109</v>
      </c>
      <c r="G16" s="56" t="s">
        <v>109</v>
      </c>
      <c r="H16" s="56" t="s">
        <v>109</v>
      </c>
      <c r="I16" s="56" t="s">
        <v>109</v>
      </c>
    </row>
    <row r="17" spans="1:9" ht="21" customHeight="1" x14ac:dyDescent="0.15">
      <c r="A17" s="61" t="s">
        <v>242</v>
      </c>
      <c r="B17" s="56" t="s">
        <v>109</v>
      </c>
      <c r="C17" s="29">
        <v>30</v>
      </c>
      <c r="D17" s="29">
        <v>40</v>
      </c>
      <c r="E17" s="29">
        <v>60</v>
      </c>
      <c r="F17" s="56" t="s">
        <v>109</v>
      </c>
      <c r="G17" s="56" t="s">
        <v>109</v>
      </c>
      <c r="H17" s="56" t="s">
        <v>109</v>
      </c>
      <c r="I17" s="56" t="s">
        <v>109</v>
      </c>
    </row>
    <row r="18" spans="1:9" ht="21" customHeight="1" x14ac:dyDescent="0.15">
      <c r="A18" s="61" t="s">
        <v>8</v>
      </c>
      <c r="B18" s="29">
        <v>15</v>
      </c>
      <c r="C18" s="29">
        <v>30</v>
      </c>
      <c r="D18" s="29">
        <v>40</v>
      </c>
      <c r="E18" s="56" t="s">
        <v>109</v>
      </c>
      <c r="F18" s="56" t="s">
        <v>109</v>
      </c>
      <c r="G18" s="56" t="s">
        <v>109</v>
      </c>
      <c r="H18" s="56" t="s">
        <v>109</v>
      </c>
      <c r="I18" s="56" t="s">
        <v>109</v>
      </c>
    </row>
    <row r="19" spans="1:9" ht="21" customHeight="1" x14ac:dyDescent="0.15">
      <c r="A19" s="62" t="s">
        <v>7</v>
      </c>
      <c r="B19" s="29">
        <v>15</v>
      </c>
      <c r="C19" s="29">
        <v>30</v>
      </c>
      <c r="D19" s="29">
        <v>40</v>
      </c>
      <c r="E19" s="56" t="s">
        <v>209</v>
      </c>
      <c r="F19" s="56" t="s">
        <v>209</v>
      </c>
      <c r="G19" s="56" t="s">
        <v>209</v>
      </c>
      <c r="H19" s="56" t="s">
        <v>209</v>
      </c>
      <c r="I19" s="56" t="s">
        <v>209</v>
      </c>
    </row>
    <row r="20" spans="1:9" ht="21" customHeight="1" x14ac:dyDescent="0.15">
      <c r="A20" s="63" t="s">
        <v>243</v>
      </c>
      <c r="B20" s="29">
        <v>10</v>
      </c>
      <c r="C20" s="29">
        <v>20</v>
      </c>
      <c r="D20" s="56" t="s">
        <v>209</v>
      </c>
      <c r="E20" s="56" t="s">
        <v>209</v>
      </c>
      <c r="F20" s="56" t="s">
        <v>209</v>
      </c>
      <c r="G20" s="56" t="s">
        <v>209</v>
      </c>
      <c r="H20" s="56" t="s">
        <v>209</v>
      </c>
      <c r="I20" s="56" t="s">
        <v>209</v>
      </c>
    </row>
    <row r="21" spans="1:9" ht="21" customHeight="1" x14ac:dyDescent="0.15">
      <c r="A21" s="30" t="s">
        <v>244</v>
      </c>
      <c r="B21" s="29">
        <v>1</v>
      </c>
      <c r="C21" s="29">
        <v>1</v>
      </c>
      <c r="D21" s="29">
        <v>1</v>
      </c>
      <c r="E21" s="29">
        <v>1</v>
      </c>
      <c r="F21" s="29">
        <v>1</v>
      </c>
      <c r="G21" s="29">
        <v>1</v>
      </c>
      <c r="H21" s="29">
        <v>1</v>
      </c>
      <c r="I21" s="29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16"/>
  </cols>
  <sheetData>
    <row r="1" spans="1:11" ht="21" customHeight="1" x14ac:dyDescent="0.15">
      <c r="A1" s="37" t="s">
        <v>10</v>
      </c>
      <c r="B1" s="38">
        <v>1</v>
      </c>
      <c r="C1" s="38">
        <v>2</v>
      </c>
      <c r="D1" s="38">
        <v>3</v>
      </c>
      <c r="E1" s="38">
        <v>4</v>
      </c>
      <c r="F1" s="38">
        <v>5</v>
      </c>
      <c r="G1" s="38">
        <v>6</v>
      </c>
      <c r="H1" s="38">
        <v>7</v>
      </c>
      <c r="I1" s="38">
        <v>8</v>
      </c>
    </row>
    <row r="2" spans="1:11" s="4" customFormat="1" ht="21" customHeight="1" x14ac:dyDescent="0.15">
      <c r="A2" s="121" t="s">
        <v>228</v>
      </c>
      <c r="B2" s="122"/>
      <c r="C2" s="123"/>
      <c r="D2" s="131" t="s">
        <v>109</v>
      </c>
      <c r="E2" s="132" t="s">
        <v>59</v>
      </c>
      <c r="F2" s="132" t="s">
        <v>59</v>
      </c>
      <c r="G2" s="132" t="s">
        <v>245</v>
      </c>
      <c r="H2" s="123"/>
      <c r="I2" s="123"/>
    </row>
    <row r="3" spans="1:11" s="4" customFormat="1" ht="21" customHeight="1" x14ac:dyDescent="0.15">
      <c r="A3" s="121" t="s">
        <v>230</v>
      </c>
      <c r="B3" s="125"/>
      <c r="C3" s="126"/>
      <c r="D3" s="132" t="s">
        <v>59</v>
      </c>
      <c r="E3" s="132" t="s">
        <v>59</v>
      </c>
      <c r="F3" s="132" t="s">
        <v>59</v>
      </c>
      <c r="G3" s="132" t="s">
        <v>223</v>
      </c>
      <c r="H3" s="126"/>
      <c r="I3" s="126"/>
    </row>
    <row r="4" spans="1:11" s="4" customFormat="1" ht="21" customHeight="1" x14ac:dyDescent="0.15">
      <c r="A4" s="121" t="s">
        <v>224</v>
      </c>
      <c r="B4" s="128"/>
      <c r="C4" s="129"/>
      <c r="D4" s="133" t="s">
        <v>59</v>
      </c>
      <c r="E4" s="133" t="s">
        <v>59</v>
      </c>
      <c r="F4" s="133" t="s">
        <v>59</v>
      </c>
      <c r="G4" s="132" t="s">
        <v>223</v>
      </c>
      <c r="H4" s="129"/>
      <c r="I4" s="129"/>
    </row>
    <row r="5" spans="1:11" s="4" customFormat="1" ht="21" customHeight="1" x14ac:dyDescent="0.15">
      <c r="A5" s="140" t="s">
        <v>232</v>
      </c>
      <c r="B5" s="135"/>
      <c r="C5" s="136"/>
      <c r="D5" s="133" t="s">
        <v>59</v>
      </c>
      <c r="E5" s="133" t="s">
        <v>59</v>
      </c>
      <c r="F5" s="133" t="s">
        <v>59</v>
      </c>
      <c r="G5" s="132" t="s">
        <v>213</v>
      </c>
      <c r="H5" s="136"/>
      <c r="I5" s="136"/>
    </row>
    <row r="6" spans="1:11" s="4" customFormat="1" ht="21" customHeight="1" x14ac:dyDescent="0.15">
      <c r="A6" s="140" t="s">
        <v>233</v>
      </c>
      <c r="B6" s="135"/>
      <c r="C6" s="136"/>
      <c r="D6" s="141" t="s">
        <v>60</v>
      </c>
      <c r="E6" s="141" t="s">
        <v>60</v>
      </c>
      <c r="F6" s="131" t="s">
        <v>109</v>
      </c>
      <c r="G6" s="131" t="s">
        <v>109</v>
      </c>
      <c r="H6" s="136"/>
      <c r="I6" s="136"/>
    </row>
    <row r="7" spans="1:11" ht="21" customHeight="1" x14ac:dyDescent="0.15">
      <c r="A7" s="59" t="s">
        <v>200</v>
      </c>
      <c r="B7" s="32" t="s">
        <v>109</v>
      </c>
      <c r="C7" s="32" t="s">
        <v>109</v>
      </c>
      <c r="D7" s="32" t="s">
        <v>109</v>
      </c>
      <c r="E7" s="32" t="s">
        <v>109</v>
      </c>
      <c r="F7" s="32" t="s">
        <v>109</v>
      </c>
      <c r="G7" s="32" t="s">
        <v>109</v>
      </c>
      <c r="H7" s="32" t="s">
        <v>109</v>
      </c>
      <c r="I7" s="32" t="s">
        <v>109</v>
      </c>
    </row>
    <row r="8" spans="1:11" ht="21" customHeight="1" x14ac:dyDescent="0.15">
      <c r="A8" s="60" t="s">
        <v>235</v>
      </c>
      <c r="B8" s="32" t="s">
        <v>109</v>
      </c>
      <c r="C8" s="32" t="s">
        <v>109</v>
      </c>
      <c r="D8" s="32" t="s">
        <v>210</v>
      </c>
      <c r="E8" s="40" t="s">
        <v>115</v>
      </c>
      <c r="F8" s="40" t="s">
        <v>115</v>
      </c>
      <c r="G8" s="40" t="s">
        <v>211</v>
      </c>
      <c r="H8" s="32" t="s">
        <v>210</v>
      </c>
      <c r="I8" s="32" t="s">
        <v>109</v>
      </c>
    </row>
    <row r="9" spans="1:11" s="35" customFormat="1" ht="21" customHeight="1" x14ac:dyDescent="0.15">
      <c r="A9" s="61" t="s">
        <v>304</v>
      </c>
      <c r="B9" s="53" t="s">
        <v>109</v>
      </c>
      <c r="C9" s="53" t="s">
        <v>109</v>
      </c>
      <c r="D9" s="53" t="s">
        <v>109</v>
      </c>
      <c r="E9" s="53" t="s">
        <v>109</v>
      </c>
      <c r="F9" s="40" t="s">
        <v>59</v>
      </c>
      <c r="G9" s="40" t="s">
        <v>115</v>
      </c>
      <c r="H9" s="53" t="s">
        <v>109</v>
      </c>
      <c r="I9" s="53" t="s">
        <v>109</v>
      </c>
    </row>
    <row r="10" spans="1:11" s="35" customFormat="1" ht="21" customHeight="1" x14ac:dyDescent="0.15">
      <c r="A10" s="61" t="s">
        <v>236</v>
      </c>
      <c r="B10" s="53" t="s">
        <v>109</v>
      </c>
      <c r="C10" s="53" t="s">
        <v>109</v>
      </c>
      <c r="D10" s="53" t="s">
        <v>109</v>
      </c>
      <c r="E10" s="40" t="s">
        <v>59</v>
      </c>
      <c r="F10" s="40" t="s">
        <v>59</v>
      </c>
      <c r="G10" s="40" t="s">
        <v>115</v>
      </c>
      <c r="H10" s="53" t="s">
        <v>212</v>
      </c>
      <c r="I10" s="53" t="s">
        <v>212</v>
      </c>
    </row>
    <row r="11" spans="1:11" ht="21" customHeight="1" x14ac:dyDescent="0.15">
      <c r="A11" s="61" t="s">
        <v>9</v>
      </c>
      <c r="B11" s="56" t="s">
        <v>109</v>
      </c>
      <c r="C11" s="56" t="s">
        <v>109</v>
      </c>
      <c r="D11" s="40" t="s">
        <v>59</v>
      </c>
      <c r="E11" s="40" t="s">
        <v>59</v>
      </c>
      <c r="F11" s="40" t="s">
        <v>59</v>
      </c>
      <c r="G11" s="40" t="s">
        <v>213</v>
      </c>
      <c r="H11" s="56" t="s">
        <v>212</v>
      </c>
      <c r="I11" s="56" t="s">
        <v>212</v>
      </c>
      <c r="K11" s="20" t="s">
        <v>12</v>
      </c>
    </row>
    <row r="12" spans="1:11" ht="21" customHeight="1" x14ac:dyDescent="0.15">
      <c r="A12" s="61" t="s">
        <v>203</v>
      </c>
      <c r="B12" s="56" t="s">
        <v>109</v>
      </c>
      <c r="C12" s="56" t="s">
        <v>109</v>
      </c>
      <c r="D12" s="41" t="s">
        <v>59</v>
      </c>
      <c r="E12" s="41" t="s">
        <v>59</v>
      </c>
      <c r="F12" s="41" t="s">
        <v>59</v>
      </c>
      <c r="G12" s="40" t="s">
        <v>213</v>
      </c>
      <c r="H12" s="56" t="s">
        <v>212</v>
      </c>
      <c r="I12" s="56" t="s">
        <v>212</v>
      </c>
      <c r="K12" s="22" t="s">
        <v>13</v>
      </c>
    </row>
    <row r="13" spans="1:11" ht="21" customHeight="1" x14ac:dyDescent="0.15">
      <c r="A13" s="61" t="s">
        <v>199</v>
      </c>
      <c r="B13" s="56" t="s">
        <v>109</v>
      </c>
      <c r="C13" s="56" t="s">
        <v>109</v>
      </c>
      <c r="D13" s="42" t="s">
        <v>60</v>
      </c>
      <c r="E13" s="42" t="s">
        <v>60</v>
      </c>
      <c r="F13" s="162" t="s">
        <v>59</v>
      </c>
      <c r="G13" s="56" t="s">
        <v>109</v>
      </c>
      <c r="H13" s="56" t="s">
        <v>109</v>
      </c>
      <c r="I13" s="56" t="s">
        <v>109</v>
      </c>
      <c r="K13" s="57" t="s">
        <v>35</v>
      </c>
    </row>
    <row r="14" spans="1:11" ht="21" customHeight="1" x14ac:dyDescent="0.15">
      <c r="A14" s="90" t="s">
        <v>239</v>
      </c>
      <c r="B14" s="56" t="s">
        <v>109</v>
      </c>
      <c r="C14" s="56" t="s">
        <v>109</v>
      </c>
      <c r="D14" s="43" t="s">
        <v>59</v>
      </c>
      <c r="E14" s="43" t="s">
        <v>59</v>
      </c>
      <c r="F14" s="43" t="s">
        <v>59</v>
      </c>
      <c r="G14" s="56" t="s">
        <v>109</v>
      </c>
      <c r="H14" s="56" t="s">
        <v>109</v>
      </c>
      <c r="I14" s="56" t="s">
        <v>109</v>
      </c>
      <c r="K14" s="58"/>
    </row>
    <row r="15" spans="1:11" ht="21" customHeight="1" x14ac:dyDescent="0.15">
      <c r="A15" s="61" t="s">
        <v>240</v>
      </c>
      <c r="B15" s="56" t="s">
        <v>109</v>
      </c>
      <c r="C15" s="56" t="s">
        <v>109</v>
      </c>
      <c r="D15" s="43" t="s">
        <v>59</v>
      </c>
      <c r="E15" s="43" t="s">
        <v>59</v>
      </c>
      <c r="F15" s="43" t="s">
        <v>59</v>
      </c>
      <c r="G15" s="56" t="s">
        <v>109</v>
      </c>
      <c r="H15" s="56" t="s">
        <v>109</v>
      </c>
      <c r="I15" s="56" t="s">
        <v>109</v>
      </c>
    </row>
    <row r="16" spans="1:11" ht="21" customHeight="1" x14ac:dyDescent="0.15">
      <c r="A16" s="61" t="s">
        <v>105</v>
      </c>
      <c r="B16" s="56" t="s">
        <v>109</v>
      </c>
      <c r="C16" s="56" t="s">
        <v>109</v>
      </c>
      <c r="D16" s="43" t="s">
        <v>60</v>
      </c>
      <c r="E16" s="43" t="s">
        <v>60</v>
      </c>
      <c r="F16" s="56" t="s">
        <v>109</v>
      </c>
      <c r="G16" s="56" t="s">
        <v>109</v>
      </c>
      <c r="H16" s="56" t="s">
        <v>109</v>
      </c>
      <c r="I16" s="56" t="s">
        <v>109</v>
      </c>
    </row>
    <row r="17" spans="1:9" ht="21" customHeight="1" x14ac:dyDescent="0.15">
      <c r="A17" s="61" t="s">
        <v>242</v>
      </c>
      <c r="B17" s="56" t="s">
        <v>109</v>
      </c>
      <c r="C17" s="43" t="s">
        <v>60</v>
      </c>
      <c r="D17" s="43" t="s">
        <v>60</v>
      </c>
      <c r="E17" s="43" t="s">
        <v>60</v>
      </c>
      <c r="F17" s="56" t="s">
        <v>109</v>
      </c>
      <c r="G17" s="56" t="s">
        <v>109</v>
      </c>
      <c r="H17" s="56" t="s">
        <v>109</v>
      </c>
      <c r="I17" s="56" t="s">
        <v>109</v>
      </c>
    </row>
    <row r="18" spans="1:9" ht="21" customHeight="1" x14ac:dyDescent="0.15">
      <c r="A18" s="61" t="s">
        <v>8</v>
      </c>
      <c r="B18" s="44" t="s">
        <v>61</v>
      </c>
      <c r="C18" s="44" t="s">
        <v>61</v>
      </c>
      <c r="D18" s="44" t="s">
        <v>61</v>
      </c>
      <c r="E18" s="56" t="s">
        <v>109</v>
      </c>
      <c r="F18" s="56" t="s">
        <v>109</v>
      </c>
      <c r="G18" s="56" t="s">
        <v>109</v>
      </c>
      <c r="H18" s="56" t="s">
        <v>109</v>
      </c>
      <c r="I18" s="56" t="s">
        <v>109</v>
      </c>
    </row>
    <row r="19" spans="1:9" ht="21" customHeight="1" x14ac:dyDescent="0.15">
      <c r="A19" s="62" t="s">
        <v>7</v>
      </c>
      <c r="B19" s="39" t="s">
        <v>62</v>
      </c>
      <c r="C19" s="39" t="s">
        <v>62</v>
      </c>
      <c r="D19" s="56" t="s">
        <v>109</v>
      </c>
      <c r="E19" s="56" t="s">
        <v>109</v>
      </c>
      <c r="F19" s="56" t="s">
        <v>109</v>
      </c>
      <c r="G19" s="56" t="s">
        <v>109</v>
      </c>
      <c r="H19" s="56" t="s">
        <v>109</v>
      </c>
      <c r="I19" s="56" t="s">
        <v>109</v>
      </c>
    </row>
    <row r="20" spans="1:9" ht="21" customHeight="1" x14ac:dyDescent="0.15">
      <c r="A20" s="63" t="s">
        <v>243</v>
      </c>
      <c r="B20" s="41" t="s">
        <v>63</v>
      </c>
      <c r="C20" s="41" t="s">
        <v>63</v>
      </c>
      <c r="D20" s="56" t="s">
        <v>109</v>
      </c>
      <c r="E20" s="56" t="s">
        <v>109</v>
      </c>
      <c r="F20" s="56" t="s">
        <v>109</v>
      </c>
      <c r="G20" s="56" t="s">
        <v>109</v>
      </c>
      <c r="H20" s="56" t="s">
        <v>109</v>
      </c>
      <c r="I20" s="56" t="s">
        <v>109</v>
      </c>
    </row>
    <row r="21" spans="1:9" ht="21" customHeight="1" x14ac:dyDescent="0.15">
      <c r="A21" s="30" t="s">
        <v>244</v>
      </c>
      <c r="B21" s="64" t="s">
        <v>47</v>
      </c>
      <c r="C21" s="64" t="s">
        <v>47</v>
      </c>
      <c r="D21" s="64" t="s">
        <v>47</v>
      </c>
      <c r="E21" s="64" t="s">
        <v>47</v>
      </c>
      <c r="F21" s="64" t="s">
        <v>47</v>
      </c>
      <c r="G21" s="64" t="s">
        <v>47</v>
      </c>
      <c r="H21" s="64" t="s">
        <v>47</v>
      </c>
      <c r="I21" s="64" t="s">
        <v>47</v>
      </c>
    </row>
    <row r="26" spans="1:9" ht="21" customHeight="1" x14ac:dyDescent="0.15">
      <c r="A26" s="16" t="s">
        <v>14</v>
      </c>
    </row>
    <row r="27" spans="1:9" ht="21" customHeight="1" x14ac:dyDescent="0.15">
      <c r="A27" s="14" t="s">
        <v>64</v>
      </c>
      <c r="B27" s="14" t="s">
        <v>65</v>
      </c>
    </row>
    <row r="28" spans="1:9" ht="21" customHeight="1" x14ac:dyDescent="0.15">
      <c r="A28" s="17">
        <v>1</v>
      </c>
      <c r="B28" s="17">
        <v>200</v>
      </c>
    </row>
    <row r="29" spans="1:9" ht="21" customHeight="1" x14ac:dyDescent="0.15">
      <c r="A29" s="17">
        <v>2</v>
      </c>
      <c r="B29" s="17">
        <v>600</v>
      </c>
    </row>
    <row r="30" spans="1:9" ht="21" customHeight="1" x14ac:dyDescent="0.15">
      <c r="A30" s="17">
        <v>3</v>
      </c>
      <c r="B30" s="17">
        <v>1500</v>
      </c>
    </row>
    <row r="31" spans="1:9" ht="21" customHeight="1" x14ac:dyDescent="0.15">
      <c r="A31" s="17">
        <v>4</v>
      </c>
      <c r="B31" s="17">
        <v>3400</v>
      </c>
    </row>
    <row r="32" spans="1:9" ht="21" customHeight="1" x14ac:dyDescent="0.15">
      <c r="A32" s="17">
        <v>5</v>
      </c>
      <c r="B32" s="17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s="4" customFormat="1" ht="21" customHeight="1" x14ac:dyDescent="0.15">
      <c r="A1" s="25" t="s">
        <v>10</v>
      </c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</row>
    <row r="2" spans="1:9" s="4" customFormat="1" ht="21" customHeight="1" x14ac:dyDescent="0.15">
      <c r="A2" s="121" t="s">
        <v>221</v>
      </c>
      <c r="B2" s="122"/>
      <c r="C2" s="123"/>
      <c r="D2" s="134" t="s">
        <v>11</v>
      </c>
      <c r="E2" s="134">
        <v>8000</v>
      </c>
      <c r="F2" s="134">
        <v>10000</v>
      </c>
      <c r="G2" s="134">
        <v>14000</v>
      </c>
      <c r="H2" s="123"/>
      <c r="I2" s="123"/>
    </row>
    <row r="3" spans="1:9" s="4" customFormat="1" ht="21" customHeight="1" x14ac:dyDescent="0.15">
      <c r="A3" s="121" t="s">
        <v>222</v>
      </c>
      <c r="B3" s="125"/>
      <c r="C3" s="126"/>
      <c r="D3" s="134" t="s">
        <v>11</v>
      </c>
      <c r="E3" s="134">
        <v>7500</v>
      </c>
      <c r="F3" s="134">
        <v>9500</v>
      </c>
      <c r="G3" s="134">
        <v>13000</v>
      </c>
      <c r="H3" s="126"/>
      <c r="I3" s="126"/>
    </row>
    <row r="4" spans="1:9" s="4" customFormat="1" ht="21" customHeight="1" x14ac:dyDescent="0.15">
      <c r="A4" s="121" t="s">
        <v>224</v>
      </c>
      <c r="B4" s="128"/>
      <c r="C4" s="129"/>
      <c r="D4" s="134">
        <v>5000</v>
      </c>
      <c r="E4" s="134">
        <v>7000</v>
      </c>
      <c r="F4" s="134">
        <v>9000</v>
      </c>
      <c r="G4" s="134">
        <v>12000</v>
      </c>
      <c r="H4" s="129"/>
      <c r="I4" s="129"/>
    </row>
    <row r="5" spans="1:9" s="4" customFormat="1" ht="21" customHeight="1" x14ac:dyDescent="0.15">
      <c r="A5" s="140" t="s">
        <v>225</v>
      </c>
      <c r="B5" s="135"/>
      <c r="C5" s="136"/>
      <c r="D5" s="134">
        <v>4900</v>
      </c>
      <c r="E5" s="134">
        <v>6700</v>
      </c>
      <c r="F5" s="134">
        <v>8500</v>
      </c>
      <c r="G5" s="134">
        <v>11000</v>
      </c>
      <c r="H5" s="136"/>
      <c r="I5" s="136"/>
    </row>
    <row r="6" spans="1:9" s="4" customFormat="1" ht="21" customHeight="1" x14ac:dyDescent="0.15">
      <c r="A6" s="140" t="s">
        <v>226</v>
      </c>
      <c r="B6" s="135"/>
      <c r="C6" s="136"/>
      <c r="D6" s="134">
        <v>4800</v>
      </c>
      <c r="E6" s="134">
        <v>6600</v>
      </c>
      <c r="F6" s="134" t="s">
        <v>11</v>
      </c>
      <c r="G6" s="134" t="s">
        <v>11</v>
      </c>
      <c r="H6" s="136"/>
      <c r="I6" s="136"/>
    </row>
    <row r="7" spans="1:9" ht="21" customHeight="1" x14ac:dyDescent="0.15">
      <c r="A7" s="59" t="s">
        <v>200</v>
      </c>
      <c r="B7" s="36" t="s">
        <v>11</v>
      </c>
      <c r="C7" s="36" t="s">
        <v>11</v>
      </c>
      <c r="D7" s="36" t="s">
        <v>11</v>
      </c>
      <c r="E7" s="36" t="s">
        <v>11</v>
      </c>
      <c r="F7" s="36" t="s">
        <v>11</v>
      </c>
      <c r="G7" s="36" t="s">
        <v>11</v>
      </c>
      <c r="H7" s="36" t="s">
        <v>11</v>
      </c>
      <c r="I7" s="36" t="s">
        <v>11</v>
      </c>
    </row>
    <row r="8" spans="1:9" ht="21" customHeight="1" x14ac:dyDescent="0.15">
      <c r="A8" s="60" t="s">
        <v>201</v>
      </c>
      <c r="B8" s="36" t="s">
        <v>11</v>
      </c>
      <c r="C8" s="36" t="s">
        <v>11</v>
      </c>
      <c r="D8" s="36" t="s">
        <v>11</v>
      </c>
      <c r="E8" s="36">
        <v>8000</v>
      </c>
      <c r="F8" s="21">
        <v>10000</v>
      </c>
      <c r="G8" s="36">
        <v>14000</v>
      </c>
      <c r="H8" s="36" t="s">
        <v>11</v>
      </c>
      <c r="I8" s="36" t="s">
        <v>11</v>
      </c>
    </row>
    <row r="9" spans="1:9" s="35" customFormat="1" ht="21" customHeight="1" x14ac:dyDescent="0.15">
      <c r="A9" s="159" t="s">
        <v>306</v>
      </c>
      <c r="B9" s="21" t="s">
        <v>11</v>
      </c>
      <c r="C9" s="21" t="s">
        <v>11</v>
      </c>
      <c r="D9" s="21" t="s">
        <v>11</v>
      </c>
      <c r="E9" s="21" t="s">
        <v>11</v>
      </c>
      <c r="F9" s="21">
        <v>10000</v>
      </c>
      <c r="G9" s="36">
        <v>14000</v>
      </c>
      <c r="H9" s="21" t="s">
        <v>11</v>
      </c>
      <c r="I9" s="21" t="s">
        <v>11</v>
      </c>
    </row>
    <row r="10" spans="1:9" s="35" customFormat="1" ht="21" customHeight="1" x14ac:dyDescent="0.15">
      <c r="A10" s="61" t="s">
        <v>202</v>
      </c>
      <c r="B10" s="21" t="s">
        <v>11</v>
      </c>
      <c r="C10" s="21" t="s">
        <v>11</v>
      </c>
      <c r="D10" s="21" t="s">
        <v>11</v>
      </c>
      <c r="E10" s="21">
        <v>7500</v>
      </c>
      <c r="F10" s="21">
        <v>9500</v>
      </c>
      <c r="G10" s="36">
        <v>13000</v>
      </c>
      <c r="H10" s="21" t="s">
        <v>11</v>
      </c>
      <c r="I10" s="21" t="s">
        <v>11</v>
      </c>
    </row>
    <row r="11" spans="1:9" ht="21" customHeight="1" x14ac:dyDescent="0.15">
      <c r="A11" s="61" t="s">
        <v>9</v>
      </c>
      <c r="B11" s="54" t="s">
        <v>11</v>
      </c>
      <c r="C11" s="54" t="s">
        <v>11</v>
      </c>
      <c r="D11" s="21">
        <v>5000</v>
      </c>
      <c r="E11" s="21">
        <v>7000</v>
      </c>
      <c r="F11" s="21">
        <v>9000</v>
      </c>
      <c r="G11" s="36">
        <v>12000</v>
      </c>
      <c r="H11" s="54" t="s">
        <v>11</v>
      </c>
      <c r="I11" s="54" t="s">
        <v>11</v>
      </c>
    </row>
    <row r="12" spans="1:9" ht="21" customHeight="1" x14ac:dyDescent="0.15">
      <c r="A12" s="61" t="s">
        <v>203</v>
      </c>
      <c r="B12" s="54" t="s">
        <v>11</v>
      </c>
      <c r="C12" s="54" t="s">
        <v>11</v>
      </c>
      <c r="D12" s="21">
        <v>4900</v>
      </c>
      <c r="E12" s="21">
        <v>6700</v>
      </c>
      <c r="F12" s="21">
        <v>8500</v>
      </c>
      <c r="G12" s="36">
        <v>11000</v>
      </c>
      <c r="H12" s="54" t="s">
        <v>11</v>
      </c>
      <c r="I12" s="54" t="s">
        <v>11</v>
      </c>
    </row>
    <row r="13" spans="1:9" ht="21" customHeight="1" x14ac:dyDescent="0.15">
      <c r="A13" s="61" t="s">
        <v>106</v>
      </c>
      <c r="B13" s="54" t="s">
        <v>11</v>
      </c>
      <c r="C13" s="54" t="s">
        <v>11</v>
      </c>
      <c r="D13" s="21">
        <v>4800</v>
      </c>
      <c r="E13" s="21">
        <v>6600</v>
      </c>
      <c r="F13" s="160">
        <v>9000</v>
      </c>
      <c r="G13" s="54" t="s">
        <v>11</v>
      </c>
      <c r="H13" s="54" t="s">
        <v>11</v>
      </c>
      <c r="I13" s="54" t="s">
        <v>11</v>
      </c>
    </row>
    <row r="14" spans="1:9" ht="21" customHeight="1" x14ac:dyDescent="0.15">
      <c r="A14" s="61" t="s">
        <v>204</v>
      </c>
      <c r="B14" s="54" t="s">
        <v>11</v>
      </c>
      <c r="C14" s="54" t="s">
        <v>11</v>
      </c>
      <c r="D14" s="54" t="s">
        <v>11</v>
      </c>
      <c r="E14" s="21">
        <v>6300</v>
      </c>
      <c r="F14" s="54" t="s">
        <v>11</v>
      </c>
      <c r="G14" s="54" t="s">
        <v>11</v>
      </c>
      <c r="H14" s="54" t="s">
        <v>11</v>
      </c>
      <c r="I14" s="54" t="s">
        <v>11</v>
      </c>
    </row>
    <row r="15" spans="1:9" ht="21" customHeight="1" x14ac:dyDescent="0.15">
      <c r="A15" s="61" t="s">
        <v>205</v>
      </c>
      <c r="B15" s="54" t="s">
        <v>11</v>
      </c>
      <c r="C15" s="54" t="s">
        <v>11</v>
      </c>
      <c r="D15" s="21">
        <v>4600</v>
      </c>
      <c r="E15" s="21">
        <v>5800</v>
      </c>
      <c r="F15" s="21">
        <v>7600</v>
      </c>
      <c r="G15" s="54" t="s">
        <v>11</v>
      </c>
      <c r="H15" s="54" t="s">
        <v>11</v>
      </c>
      <c r="I15" s="54" t="s">
        <v>11</v>
      </c>
    </row>
    <row r="16" spans="1:9" ht="21" customHeight="1" x14ac:dyDescent="0.15">
      <c r="A16" s="61" t="s">
        <v>105</v>
      </c>
      <c r="B16" s="54" t="s">
        <v>11</v>
      </c>
      <c r="C16" s="54" t="s">
        <v>11</v>
      </c>
      <c r="D16" s="21">
        <v>4400</v>
      </c>
      <c r="E16" s="21">
        <v>5600</v>
      </c>
      <c r="F16" s="54" t="s">
        <v>11</v>
      </c>
      <c r="G16" s="54" t="s">
        <v>11</v>
      </c>
      <c r="H16" s="54" t="s">
        <v>11</v>
      </c>
      <c r="I16" s="54" t="s">
        <v>11</v>
      </c>
    </row>
    <row r="17" spans="1:9" ht="21" customHeight="1" x14ac:dyDescent="0.15">
      <c r="A17" s="61" t="s">
        <v>206</v>
      </c>
      <c r="B17" s="54" t="s">
        <v>11</v>
      </c>
      <c r="C17" s="21">
        <v>3000</v>
      </c>
      <c r="D17" s="21">
        <v>4200</v>
      </c>
      <c r="E17" s="21">
        <v>5400</v>
      </c>
      <c r="F17" s="54" t="s">
        <v>11</v>
      </c>
      <c r="G17" s="54" t="s">
        <v>11</v>
      </c>
      <c r="H17" s="54" t="s">
        <v>11</v>
      </c>
      <c r="I17" s="54" t="s">
        <v>11</v>
      </c>
    </row>
    <row r="18" spans="1:9" ht="21" customHeight="1" x14ac:dyDescent="0.15">
      <c r="A18" s="61" t="s">
        <v>8</v>
      </c>
      <c r="B18" s="21">
        <v>2000</v>
      </c>
      <c r="C18" s="21">
        <v>2800</v>
      </c>
      <c r="D18" s="21">
        <v>4000</v>
      </c>
      <c r="E18" s="54" t="s">
        <v>11</v>
      </c>
      <c r="F18" s="54" t="s">
        <v>11</v>
      </c>
      <c r="G18" s="54" t="s">
        <v>11</v>
      </c>
      <c r="H18" s="54" t="s">
        <v>11</v>
      </c>
      <c r="I18" s="54" t="s">
        <v>11</v>
      </c>
    </row>
    <row r="19" spans="1:9" ht="21" customHeight="1" x14ac:dyDescent="0.15">
      <c r="A19" s="62" t="s">
        <v>7</v>
      </c>
      <c r="B19" s="21">
        <v>1750</v>
      </c>
      <c r="C19" s="21">
        <v>2550</v>
      </c>
      <c r="D19" s="54" t="s">
        <v>11</v>
      </c>
      <c r="E19" s="54" t="s">
        <v>11</v>
      </c>
      <c r="F19" s="54" t="s">
        <v>11</v>
      </c>
      <c r="G19" s="54" t="s">
        <v>11</v>
      </c>
      <c r="H19" s="54" t="s">
        <v>11</v>
      </c>
      <c r="I19" s="54" t="s">
        <v>11</v>
      </c>
    </row>
    <row r="20" spans="1:9" ht="21" customHeight="1" x14ac:dyDescent="0.15">
      <c r="A20" s="62" t="s">
        <v>207</v>
      </c>
      <c r="B20" s="21">
        <v>1500</v>
      </c>
      <c r="C20" s="21">
        <v>2300</v>
      </c>
      <c r="D20" s="54" t="s">
        <v>11</v>
      </c>
      <c r="E20" s="54" t="s">
        <v>11</v>
      </c>
      <c r="F20" s="54" t="s">
        <v>11</v>
      </c>
      <c r="G20" s="54" t="s">
        <v>11</v>
      </c>
      <c r="H20" s="54" t="s">
        <v>11</v>
      </c>
      <c r="I20" s="54" t="s">
        <v>11</v>
      </c>
    </row>
    <row r="21" spans="1:9" ht="21" customHeight="1" x14ac:dyDescent="0.15">
      <c r="A21" s="30" t="s">
        <v>208</v>
      </c>
      <c r="B21" s="29">
        <v>1000</v>
      </c>
      <c r="C21" s="29">
        <v>1000</v>
      </c>
      <c r="D21" s="29">
        <v>1000</v>
      </c>
      <c r="E21" s="29">
        <v>1000</v>
      </c>
      <c r="F21" s="29">
        <v>1000</v>
      </c>
      <c r="G21" s="29">
        <v>1000</v>
      </c>
      <c r="H21" s="29">
        <v>1000</v>
      </c>
      <c r="I21" s="29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16"/>
  </cols>
  <sheetData>
    <row r="1" spans="1:8" ht="21" customHeight="1" x14ac:dyDescent="0.15">
      <c r="A1" s="16" t="s">
        <v>111</v>
      </c>
      <c r="G1" s="16" t="s">
        <v>112</v>
      </c>
    </row>
    <row r="2" spans="1:8" ht="21" customHeight="1" x14ac:dyDescent="0.15">
      <c r="A2" s="14" t="s">
        <v>15</v>
      </c>
      <c r="B2" s="14" t="s">
        <v>16</v>
      </c>
      <c r="G2" s="14" t="s">
        <v>15</v>
      </c>
      <c r="H2" s="14" t="s">
        <v>16</v>
      </c>
    </row>
    <row r="3" spans="1:8" ht="21" customHeight="1" x14ac:dyDescent="0.15">
      <c r="A3" s="17">
        <v>1</v>
      </c>
      <c r="B3" s="26">
        <v>5000</v>
      </c>
      <c r="G3" s="17">
        <v>1</v>
      </c>
      <c r="H3" s="17">
        <v>75</v>
      </c>
    </row>
    <row r="4" spans="1:8" ht="21" customHeight="1" x14ac:dyDescent="0.15">
      <c r="A4" s="17">
        <v>2</v>
      </c>
      <c r="B4" s="18">
        <v>10000</v>
      </c>
      <c r="G4" s="17">
        <v>2</v>
      </c>
      <c r="H4" s="17">
        <v>150</v>
      </c>
    </row>
    <row r="5" spans="1:8" ht="21" customHeight="1" x14ac:dyDescent="0.15">
      <c r="A5" s="17">
        <v>3</v>
      </c>
      <c r="B5" s="18">
        <v>20000</v>
      </c>
      <c r="G5" s="17">
        <v>3</v>
      </c>
      <c r="H5" s="17">
        <v>300</v>
      </c>
    </row>
    <row r="6" spans="1:8" ht="21" customHeight="1" x14ac:dyDescent="0.15">
      <c r="A6" s="17">
        <v>4</v>
      </c>
      <c r="B6" s="18">
        <v>50000</v>
      </c>
      <c r="G6" s="17">
        <v>4</v>
      </c>
      <c r="H6" s="17">
        <v>600</v>
      </c>
    </row>
    <row r="7" spans="1:8" ht="21" customHeight="1" x14ac:dyDescent="0.15">
      <c r="A7" s="17">
        <v>5</v>
      </c>
      <c r="B7" s="18">
        <v>200000</v>
      </c>
      <c r="G7" s="17">
        <v>5</v>
      </c>
      <c r="H7" s="17">
        <v>900</v>
      </c>
    </row>
    <row r="8" spans="1:8" ht="21" customHeight="1" x14ac:dyDescent="0.15">
      <c r="A8" s="17">
        <v>6</v>
      </c>
      <c r="B8" s="27">
        <v>0</v>
      </c>
      <c r="G8" s="17">
        <v>6</v>
      </c>
      <c r="H8" s="28">
        <v>1200</v>
      </c>
    </row>
    <row r="9" spans="1:8" ht="21" customHeight="1" x14ac:dyDescent="0.15">
      <c r="A9" s="17">
        <v>7</v>
      </c>
      <c r="B9" s="27"/>
      <c r="G9" s="17">
        <v>7</v>
      </c>
      <c r="H9" s="27"/>
    </row>
    <row r="10" spans="1:8" ht="21" customHeight="1" x14ac:dyDescent="0.15">
      <c r="A10" s="17">
        <v>8</v>
      </c>
      <c r="B10" s="27"/>
      <c r="G10" s="17">
        <v>8</v>
      </c>
      <c r="H10" s="27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192</v>
      </c>
      <c r="B2" s="8">
        <v>591</v>
      </c>
    </row>
    <row r="3" spans="1:4" x14ac:dyDescent="0.15">
      <c r="A3" t="s">
        <v>193</v>
      </c>
      <c r="B3" s="117">
        <v>592</v>
      </c>
    </row>
    <row r="4" spans="1:4" x14ac:dyDescent="0.15">
      <c r="A4" t="s">
        <v>194</v>
      </c>
      <c r="B4" s="117">
        <v>593</v>
      </c>
    </row>
    <row r="7" spans="1:4" x14ac:dyDescent="0.15">
      <c r="A7" t="s">
        <v>195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214</v>
      </c>
    </row>
    <row r="13" spans="1:4" x14ac:dyDescent="0.15">
      <c r="B13" t="s">
        <v>218</v>
      </c>
      <c r="C13" t="s">
        <v>219</v>
      </c>
      <c r="D13" t="s">
        <v>220</v>
      </c>
    </row>
    <row r="14" spans="1:4" x14ac:dyDescent="0.15">
      <c r="A14" t="s">
        <v>216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217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215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196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197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198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2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2017-06-06T10:03:52Z</dcterms:modified>
</cp:coreProperties>
</file>