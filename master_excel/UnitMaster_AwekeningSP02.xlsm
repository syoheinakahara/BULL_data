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26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60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85" i="3" l="1"/>
  <c r="H85" i="3"/>
  <c r="C85" i="3"/>
  <c r="F85" i="3"/>
  <c r="E85" i="3"/>
  <c r="D85" i="3"/>
  <c r="A85" i="3"/>
  <c r="J84" i="3"/>
  <c r="H84" i="3"/>
  <c r="C84" i="3"/>
  <c r="F84" i="3"/>
  <c r="E84" i="3"/>
  <c r="D84" i="3"/>
  <c r="A84" i="3"/>
  <c r="J83" i="3"/>
  <c r="H83" i="3"/>
  <c r="C83" i="3"/>
  <c r="F83" i="3"/>
  <c r="E83" i="3"/>
  <c r="D83" i="3"/>
  <c r="A83" i="3"/>
  <c r="J82" i="3"/>
  <c r="H82" i="3"/>
  <c r="C82" i="3"/>
  <c r="F82" i="3"/>
  <c r="E82" i="3"/>
  <c r="D82" i="3"/>
  <c r="A82" i="3"/>
  <c r="J81" i="3"/>
  <c r="H81" i="3"/>
  <c r="C81" i="3"/>
  <c r="F81" i="3"/>
  <c r="E81" i="3"/>
  <c r="D81" i="3"/>
  <c r="A81" i="3"/>
  <c r="J80" i="3"/>
  <c r="H80" i="3"/>
  <c r="C80" i="3"/>
  <c r="F80" i="3"/>
  <c r="E80" i="3"/>
  <c r="D80" i="3"/>
  <c r="A80" i="3"/>
  <c r="J79" i="3"/>
  <c r="H79" i="3"/>
  <c r="C79" i="3"/>
  <c r="F79" i="3"/>
  <c r="E79" i="3"/>
  <c r="D79" i="3"/>
  <c r="A79" i="3"/>
  <c r="J78" i="3"/>
  <c r="H78" i="3"/>
  <c r="C78" i="3"/>
  <c r="F78" i="3"/>
  <c r="E78" i="3"/>
  <c r="D78" i="3"/>
  <c r="A78" i="3"/>
  <c r="G32" i="58"/>
  <c r="U32" i="58"/>
  <c r="S21" i="58"/>
  <c r="S30" i="58"/>
  <c r="S32" i="58"/>
  <c r="S31" i="58"/>
  <c r="T32" i="58"/>
  <c r="R32" i="58"/>
  <c r="P32" i="58"/>
  <c r="O32" i="58"/>
  <c r="N32" i="58"/>
  <c r="M32" i="58"/>
  <c r="L32" i="58"/>
  <c r="J32" i="58"/>
  <c r="K32" i="58"/>
  <c r="I32" i="58"/>
  <c r="H32" i="58"/>
  <c r="F32" i="58"/>
  <c r="E32" i="58"/>
  <c r="D32" i="58"/>
  <c r="C32" i="58"/>
  <c r="B32" i="58"/>
  <c r="G31" i="58"/>
  <c r="U31" i="58"/>
  <c r="S23" i="58"/>
  <c r="T31" i="58"/>
  <c r="R31" i="58"/>
  <c r="P31" i="58"/>
  <c r="O31" i="58"/>
  <c r="N31" i="58"/>
  <c r="M31" i="58"/>
  <c r="L31" i="58"/>
  <c r="J31" i="58"/>
  <c r="K31" i="58"/>
  <c r="I31" i="58"/>
  <c r="H31" i="58"/>
  <c r="F31" i="58"/>
  <c r="E31" i="58"/>
  <c r="D31" i="58"/>
  <c r="C31" i="58"/>
  <c r="B31" i="58"/>
  <c r="G30" i="58"/>
  <c r="U30" i="58"/>
  <c r="T30" i="58"/>
  <c r="R30" i="58"/>
  <c r="P30" i="58"/>
  <c r="O30" i="58"/>
  <c r="N30" i="58"/>
  <c r="M30" i="58"/>
  <c r="L30" i="58"/>
  <c r="J30" i="58"/>
  <c r="K30" i="58"/>
  <c r="I30" i="58"/>
  <c r="H30" i="58"/>
  <c r="F30" i="58"/>
  <c r="E30" i="58"/>
  <c r="D30" i="58"/>
  <c r="C30" i="58"/>
  <c r="B30" i="58"/>
  <c r="B21" i="58"/>
  <c r="C21" i="58"/>
  <c r="D21" i="58"/>
  <c r="E21" i="58"/>
  <c r="F21" i="58"/>
  <c r="G21" i="58"/>
  <c r="H21" i="58"/>
  <c r="I21" i="58"/>
  <c r="B22" i="58"/>
  <c r="C22" i="58"/>
  <c r="D22" i="58"/>
  <c r="E22" i="58"/>
  <c r="F22" i="58"/>
  <c r="G22" i="58"/>
  <c r="H22" i="58"/>
  <c r="I22" i="58"/>
  <c r="B23" i="58"/>
  <c r="C23" i="58"/>
  <c r="D23" i="58"/>
  <c r="E23" i="58"/>
  <c r="F23" i="58"/>
  <c r="G23" i="58"/>
  <c r="H23" i="58"/>
  <c r="I23" i="58"/>
  <c r="B24" i="58"/>
  <c r="C24" i="58"/>
  <c r="D24" i="58"/>
  <c r="E24" i="58"/>
  <c r="F24" i="58"/>
  <c r="G24" i="58"/>
  <c r="H24" i="58"/>
  <c r="I24" i="58"/>
  <c r="B25" i="58"/>
  <c r="C25" i="58"/>
  <c r="D25" i="58"/>
  <c r="E25" i="58"/>
  <c r="F25" i="58"/>
  <c r="G25" i="58"/>
  <c r="H25" i="58"/>
  <c r="I25" i="58"/>
  <c r="B26" i="58"/>
  <c r="C26" i="58"/>
  <c r="D26" i="58"/>
  <c r="E26" i="58"/>
  <c r="F26" i="58"/>
  <c r="G26" i="58"/>
  <c r="H26" i="58"/>
  <c r="I26" i="58"/>
  <c r="B27" i="58"/>
  <c r="C27" i="58"/>
  <c r="D27" i="58"/>
  <c r="E27" i="58"/>
  <c r="F27" i="58"/>
  <c r="G27" i="58"/>
  <c r="H27" i="58"/>
  <c r="I27" i="58"/>
  <c r="B28" i="58"/>
  <c r="C28" i="58"/>
  <c r="D28" i="58"/>
  <c r="E28" i="58"/>
  <c r="F28" i="58"/>
  <c r="G28" i="58"/>
  <c r="H28" i="58"/>
  <c r="I28" i="58"/>
  <c r="B29" i="58"/>
  <c r="C29" i="58"/>
  <c r="D29" i="58"/>
  <c r="E29" i="58"/>
  <c r="F29" i="58"/>
  <c r="G29" i="58"/>
  <c r="H29" i="58"/>
  <c r="I29" i="58"/>
  <c r="P26" i="58"/>
  <c r="P27" i="58"/>
  <c r="P28" i="58"/>
  <c r="P29" i="58"/>
  <c r="R25" i="58"/>
  <c r="S24" i="58"/>
  <c r="S26" i="58"/>
  <c r="S25" i="58"/>
  <c r="T25" i="58"/>
  <c r="U25" i="58"/>
  <c r="R26" i="58"/>
  <c r="T26" i="58"/>
  <c r="U26" i="58"/>
  <c r="R27" i="58"/>
  <c r="S27" i="58"/>
  <c r="T27" i="58"/>
  <c r="U27" i="58"/>
  <c r="R28" i="58"/>
  <c r="S29" i="58"/>
  <c r="S28" i="58"/>
  <c r="T28" i="58"/>
  <c r="U28" i="58"/>
  <c r="R29" i="58"/>
  <c r="T29" i="58"/>
  <c r="U29" i="58"/>
  <c r="F22" i="57"/>
  <c r="E22" i="57"/>
  <c r="B22" i="57"/>
  <c r="F21" i="57"/>
  <c r="E21" i="57"/>
  <c r="B21" i="57"/>
  <c r="E56" i="60"/>
  <c r="D56" i="60"/>
  <c r="B56" i="60"/>
  <c r="E55" i="60"/>
  <c r="D55" i="60"/>
  <c r="B55" i="60"/>
  <c r="E54" i="60"/>
  <c r="D54" i="60"/>
  <c r="B54" i="60"/>
  <c r="E53" i="60"/>
  <c r="D53" i="60"/>
  <c r="B53" i="60"/>
  <c r="E52" i="60"/>
  <c r="D52" i="60"/>
  <c r="B52" i="60"/>
  <c r="H12" i="53"/>
  <c r="G12" i="53"/>
  <c r="E12" i="53"/>
  <c r="K12" i="52"/>
  <c r="J12" i="52"/>
  <c r="H12" i="52"/>
  <c r="E12" i="52"/>
  <c r="H12" i="23"/>
  <c r="G12" i="23"/>
  <c r="BC12" i="23"/>
  <c r="BD12" i="23"/>
  <c r="Q12" i="23"/>
  <c r="V12" i="23"/>
  <c r="W12" i="23"/>
  <c r="AD12" i="23"/>
  <c r="I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J12" i="23"/>
  <c r="BK12" i="23"/>
  <c r="BE12" i="23"/>
  <c r="BJ12" i="23"/>
  <c r="BI12" i="23"/>
  <c r="BH12" i="23"/>
  <c r="BG12" i="23"/>
  <c r="I11" i="23"/>
  <c r="J11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G8" i="13"/>
  <c r="N12" i="23"/>
  <c r="F12" i="23"/>
  <c r="E12" i="23"/>
  <c r="D12" i="23"/>
  <c r="C12" i="23"/>
  <c r="B12" i="23"/>
  <c r="F16" i="57"/>
  <c r="E16" i="57"/>
  <c r="B16" i="57"/>
  <c r="F20" i="57"/>
  <c r="E20" i="57"/>
  <c r="B20" i="57"/>
  <c r="F19" i="57"/>
  <c r="E19" i="57"/>
  <c r="B19" i="57"/>
  <c r="J77" i="3"/>
  <c r="H77" i="3"/>
  <c r="C77" i="3"/>
  <c r="F77" i="3"/>
  <c r="E77" i="3"/>
  <c r="D77" i="3"/>
  <c r="A77" i="3"/>
  <c r="J76" i="3"/>
  <c r="H76" i="3"/>
  <c r="C76" i="3"/>
  <c r="F76" i="3"/>
  <c r="E76" i="3"/>
  <c r="D76" i="3"/>
  <c r="A76" i="3"/>
  <c r="J75" i="3"/>
  <c r="H75" i="3"/>
  <c r="C75" i="3"/>
  <c r="F75" i="3"/>
  <c r="E75" i="3"/>
  <c r="D75" i="3"/>
  <c r="A75" i="3"/>
  <c r="J74" i="3"/>
  <c r="H74" i="3"/>
  <c r="C74" i="3"/>
  <c r="F74" i="3"/>
  <c r="E74" i="3"/>
  <c r="D74" i="3"/>
  <c r="A74" i="3"/>
  <c r="J73" i="3"/>
  <c r="H73" i="3"/>
  <c r="C73" i="3"/>
  <c r="F73" i="3"/>
  <c r="E73" i="3"/>
  <c r="D73" i="3"/>
  <c r="A73" i="3"/>
  <c r="J72" i="3"/>
  <c r="H72" i="3"/>
  <c r="C72" i="3"/>
  <c r="F72" i="3"/>
  <c r="E72" i="3"/>
  <c r="D72" i="3"/>
  <c r="A72" i="3"/>
  <c r="J71" i="3"/>
  <c r="H71" i="3"/>
  <c r="C71" i="3"/>
  <c r="F71" i="3"/>
  <c r="E71" i="3"/>
  <c r="D71" i="3"/>
  <c r="A71" i="3"/>
  <c r="J70" i="3"/>
  <c r="H70" i="3"/>
  <c r="C70" i="3"/>
  <c r="F70" i="3"/>
  <c r="E70" i="3"/>
  <c r="D70" i="3"/>
  <c r="A70" i="3"/>
  <c r="O29" i="58"/>
  <c r="N29" i="58"/>
  <c r="M29" i="58"/>
  <c r="L29" i="58"/>
  <c r="J29" i="58"/>
  <c r="K29" i="58"/>
  <c r="O28" i="58"/>
  <c r="N28" i="58"/>
  <c r="M28" i="58"/>
  <c r="L28" i="58"/>
  <c r="J28" i="58"/>
  <c r="K28" i="58"/>
  <c r="O27" i="58"/>
  <c r="N27" i="58"/>
  <c r="M27" i="58"/>
  <c r="L27" i="58"/>
  <c r="J27" i="58"/>
  <c r="K27" i="58"/>
  <c r="E51" i="60"/>
  <c r="D51" i="60"/>
  <c r="B51" i="60"/>
  <c r="E50" i="60"/>
  <c r="D50" i="60"/>
  <c r="B50" i="60"/>
  <c r="E49" i="60"/>
  <c r="D49" i="60"/>
  <c r="B49" i="60"/>
  <c r="E48" i="60"/>
  <c r="D48" i="60"/>
  <c r="B48" i="60"/>
  <c r="E47" i="60"/>
  <c r="D47" i="60"/>
  <c r="B47" i="60"/>
  <c r="H11" i="53"/>
  <c r="G11" i="53"/>
  <c r="E11" i="53"/>
  <c r="K11" i="52"/>
  <c r="J11" i="52"/>
  <c r="H11" i="52"/>
  <c r="E11" i="52"/>
  <c r="H11" i="23"/>
  <c r="G11" i="23"/>
  <c r="BC11" i="23"/>
  <c r="BD11" i="23"/>
  <c r="Q11" i="23"/>
  <c r="V11" i="23"/>
  <c r="W11" i="23"/>
  <c r="AD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BK11" i="23"/>
  <c r="BE11" i="23"/>
  <c r="BJ11" i="23"/>
  <c r="BI11" i="23"/>
  <c r="BH11" i="23"/>
  <c r="BG11" i="23"/>
  <c r="I10" i="23"/>
  <c r="J10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N11" i="23"/>
  <c r="F11" i="23"/>
  <c r="E11" i="23"/>
  <c r="D11" i="23"/>
  <c r="C11" i="23"/>
  <c r="B11" i="23"/>
  <c r="F18" i="57"/>
  <c r="E18" i="57"/>
  <c r="B18" i="57"/>
  <c r="F17" i="57"/>
  <c r="E17" i="57"/>
  <c r="B17" i="57"/>
  <c r="F15" i="57"/>
  <c r="E15" i="57"/>
  <c r="B15" i="57"/>
  <c r="J69" i="3"/>
  <c r="H69" i="3"/>
  <c r="C69" i="3"/>
  <c r="F69" i="3"/>
  <c r="E69" i="3"/>
  <c r="D69" i="3"/>
  <c r="A69" i="3"/>
  <c r="J68" i="3"/>
  <c r="H68" i="3"/>
  <c r="C68" i="3"/>
  <c r="F68" i="3"/>
  <c r="E68" i="3"/>
  <c r="D68" i="3"/>
  <c r="A68" i="3"/>
  <c r="J67" i="3"/>
  <c r="H67" i="3"/>
  <c r="C67" i="3"/>
  <c r="F67" i="3"/>
  <c r="E67" i="3"/>
  <c r="D67" i="3"/>
  <c r="A67" i="3"/>
  <c r="J66" i="3"/>
  <c r="H66" i="3"/>
  <c r="C66" i="3"/>
  <c r="F66" i="3"/>
  <c r="E66" i="3"/>
  <c r="D66" i="3"/>
  <c r="A66" i="3"/>
  <c r="J65" i="3"/>
  <c r="H65" i="3"/>
  <c r="C65" i="3"/>
  <c r="F65" i="3"/>
  <c r="E65" i="3"/>
  <c r="D65" i="3"/>
  <c r="A65" i="3"/>
  <c r="J64" i="3"/>
  <c r="H64" i="3"/>
  <c r="C64" i="3"/>
  <c r="F64" i="3"/>
  <c r="E64" i="3"/>
  <c r="D64" i="3"/>
  <c r="A64" i="3"/>
  <c r="J63" i="3"/>
  <c r="H63" i="3"/>
  <c r="C63" i="3"/>
  <c r="F63" i="3"/>
  <c r="E63" i="3"/>
  <c r="D63" i="3"/>
  <c r="A63" i="3"/>
  <c r="J62" i="3"/>
  <c r="H62" i="3"/>
  <c r="C62" i="3"/>
  <c r="F62" i="3"/>
  <c r="E62" i="3"/>
  <c r="D62" i="3"/>
  <c r="A62" i="3"/>
  <c r="O26" i="58"/>
  <c r="N26" i="58"/>
  <c r="M26" i="58"/>
  <c r="L26" i="58"/>
  <c r="J26" i="58"/>
  <c r="K26" i="58"/>
  <c r="P25" i="58"/>
  <c r="O25" i="58"/>
  <c r="N25" i="58"/>
  <c r="M25" i="58"/>
  <c r="L25" i="58"/>
  <c r="J25" i="58"/>
  <c r="K25" i="58"/>
  <c r="U24" i="58"/>
  <c r="T24" i="58"/>
  <c r="R24" i="58"/>
  <c r="P24" i="58"/>
  <c r="O24" i="58"/>
  <c r="N24" i="58"/>
  <c r="M24" i="58"/>
  <c r="L24" i="58"/>
  <c r="J24" i="58"/>
  <c r="K24" i="58"/>
  <c r="E46" i="60"/>
  <c r="D46" i="60"/>
  <c r="B46" i="60"/>
  <c r="E45" i="60"/>
  <c r="D45" i="60"/>
  <c r="B45" i="60"/>
  <c r="E44" i="60"/>
  <c r="D44" i="60"/>
  <c r="B44" i="60"/>
  <c r="E43" i="60"/>
  <c r="D43" i="60"/>
  <c r="B43" i="60"/>
  <c r="E42" i="60"/>
  <c r="D42" i="60"/>
  <c r="B42" i="60"/>
  <c r="H10" i="53"/>
  <c r="G10" i="53"/>
  <c r="E10" i="53"/>
  <c r="K10" i="52"/>
  <c r="J10" i="52"/>
  <c r="H10" i="52"/>
  <c r="E10" i="52"/>
  <c r="H10" i="23"/>
  <c r="G10" i="23"/>
  <c r="BC10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F14" i="57"/>
  <c r="E14" i="57"/>
  <c r="B14" i="57"/>
  <c r="F13" i="57"/>
  <c r="E13" i="57"/>
  <c r="B13" i="57"/>
  <c r="J61" i="3"/>
  <c r="H61" i="3"/>
  <c r="C61" i="3"/>
  <c r="F61" i="3"/>
  <c r="E61" i="3"/>
  <c r="D61" i="3"/>
  <c r="A61" i="3"/>
  <c r="J60" i="3"/>
  <c r="H60" i="3"/>
  <c r="C60" i="3"/>
  <c r="F60" i="3"/>
  <c r="E60" i="3"/>
  <c r="D60" i="3"/>
  <c r="A60" i="3"/>
  <c r="J59" i="3"/>
  <c r="H59" i="3"/>
  <c r="C59" i="3"/>
  <c r="F59" i="3"/>
  <c r="E59" i="3"/>
  <c r="D59" i="3"/>
  <c r="A59" i="3"/>
  <c r="J58" i="3"/>
  <c r="H58" i="3"/>
  <c r="C58" i="3"/>
  <c r="F58" i="3"/>
  <c r="E58" i="3"/>
  <c r="D58" i="3"/>
  <c r="A58" i="3"/>
  <c r="J57" i="3"/>
  <c r="H57" i="3"/>
  <c r="C57" i="3"/>
  <c r="F57" i="3"/>
  <c r="E57" i="3"/>
  <c r="D57" i="3"/>
  <c r="A57" i="3"/>
  <c r="J56" i="3"/>
  <c r="H56" i="3"/>
  <c r="C56" i="3"/>
  <c r="F56" i="3"/>
  <c r="E56" i="3"/>
  <c r="D56" i="3"/>
  <c r="A56" i="3"/>
  <c r="J55" i="3"/>
  <c r="H55" i="3"/>
  <c r="C55" i="3"/>
  <c r="F55" i="3"/>
  <c r="E55" i="3"/>
  <c r="D55" i="3"/>
  <c r="A55" i="3"/>
  <c r="J54" i="3"/>
  <c r="H54" i="3"/>
  <c r="C54" i="3"/>
  <c r="F54" i="3"/>
  <c r="E54" i="3"/>
  <c r="D54" i="3"/>
  <c r="A54" i="3"/>
  <c r="U23" i="58"/>
  <c r="S8" i="58"/>
  <c r="T23" i="58"/>
  <c r="R23" i="58"/>
  <c r="P23" i="58"/>
  <c r="O23" i="58"/>
  <c r="N23" i="58"/>
  <c r="M23" i="58"/>
  <c r="L23" i="58"/>
  <c r="J23" i="58"/>
  <c r="K23" i="58"/>
  <c r="U22" i="58"/>
  <c r="S10" i="58"/>
  <c r="S22" i="58"/>
  <c r="T22" i="58"/>
  <c r="R22" i="58"/>
  <c r="P22" i="58"/>
  <c r="O22" i="58"/>
  <c r="N22" i="58"/>
  <c r="M22" i="58"/>
  <c r="L22" i="58"/>
  <c r="J22" i="58"/>
  <c r="K22" i="58"/>
  <c r="U21" i="58"/>
  <c r="T21" i="58"/>
  <c r="R21" i="58"/>
  <c r="P21" i="58"/>
  <c r="O21" i="58"/>
  <c r="N21" i="58"/>
  <c r="M21" i="58"/>
  <c r="L21" i="58"/>
  <c r="J21" i="58"/>
  <c r="K21" i="58"/>
  <c r="E41" i="60"/>
  <c r="D41" i="60"/>
  <c r="B41" i="60"/>
  <c r="E40" i="60"/>
  <c r="D40" i="60"/>
  <c r="B40" i="60"/>
  <c r="E39" i="60"/>
  <c r="D39" i="60"/>
  <c r="B39" i="60"/>
  <c r="E38" i="60"/>
  <c r="D38" i="60"/>
  <c r="B38" i="60"/>
  <c r="E37" i="60"/>
  <c r="D37" i="60"/>
  <c r="B37" i="60"/>
  <c r="H9" i="53"/>
  <c r="G9" i="53"/>
  <c r="E9" i="53"/>
  <c r="K9" i="52"/>
  <c r="J9" i="52"/>
  <c r="H9" i="52"/>
  <c r="E9" i="52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BE9" i="23"/>
  <c r="BJ9" i="23"/>
  <c r="BI9" i="23"/>
  <c r="BH9" i="23"/>
  <c r="BG9" i="23"/>
  <c r="I6" i="23"/>
  <c r="J6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B3" i="23"/>
  <c r="H8" i="23"/>
  <c r="BR8" i="23"/>
  <c r="G8" i="23"/>
  <c r="BC8" i="23"/>
  <c r="BD8" i="23"/>
  <c r="Q8" i="23"/>
  <c r="V8" i="23"/>
  <c r="W8" i="23"/>
  <c r="AD8" i="23"/>
  <c r="I8" i="23"/>
  <c r="M8" i="23"/>
  <c r="BN8" i="23"/>
  <c r="U8" i="23"/>
  <c r="AC8" i="23"/>
  <c r="L8" i="23"/>
  <c r="BM8" i="23"/>
  <c r="T8" i="23"/>
  <c r="AB8" i="23"/>
  <c r="K8" i="23"/>
  <c r="BL8" i="23"/>
  <c r="S8" i="23"/>
  <c r="AA8" i="23"/>
  <c r="J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G10" i="13"/>
  <c r="G11" i="13"/>
  <c r="N8" i="23"/>
  <c r="F8" i="23"/>
  <c r="E8" i="23"/>
  <c r="D8" i="23"/>
  <c r="C8" i="23"/>
  <c r="B8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I5" i="23"/>
  <c r="J5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F12" i="57"/>
  <c r="E12" i="57"/>
  <c r="B12" i="57"/>
  <c r="F11" i="57"/>
  <c r="E11" i="57"/>
  <c r="B11" i="57"/>
  <c r="F10" i="57"/>
  <c r="E10" i="57"/>
  <c r="B10" i="57"/>
  <c r="J53" i="3"/>
  <c r="H53" i="3"/>
  <c r="C53" i="3"/>
  <c r="F53" i="3"/>
  <c r="E53" i="3"/>
  <c r="D53" i="3"/>
  <c r="A53" i="3"/>
  <c r="J52" i="3"/>
  <c r="H52" i="3"/>
  <c r="C52" i="3"/>
  <c r="F52" i="3"/>
  <c r="E52" i="3"/>
  <c r="D52" i="3"/>
  <c r="A52" i="3"/>
  <c r="J51" i="3"/>
  <c r="H51" i="3"/>
  <c r="C51" i="3"/>
  <c r="F51" i="3"/>
  <c r="E51" i="3"/>
  <c r="D51" i="3"/>
  <c r="A51" i="3"/>
  <c r="J50" i="3"/>
  <c r="H50" i="3"/>
  <c r="C50" i="3"/>
  <c r="F50" i="3"/>
  <c r="E50" i="3"/>
  <c r="D50" i="3"/>
  <c r="A50" i="3"/>
  <c r="J49" i="3"/>
  <c r="H49" i="3"/>
  <c r="C49" i="3"/>
  <c r="F49" i="3"/>
  <c r="E49" i="3"/>
  <c r="D49" i="3"/>
  <c r="A49" i="3"/>
  <c r="J48" i="3"/>
  <c r="H48" i="3"/>
  <c r="C48" i="3"/>
  <c r="F48" i="3"/>
  <c r="E48" i="3"/>
  <c r="D48" i="3"/>
  <c r="A48" i="3"/>
  <c r="J47" i="3"/>
  <c r="H47" i="3"/>
  <c r="C47" i="3"/>
  <c r="F47" i="3"/>
  <c r="E47" i="3"/>
  <c r="D47" i="3"/>
  <c r="A47" i="3"/>
  <c r="J46" i="3"/>
  <c r="H46" i="3"/>
  <c r="C46" i="3"/>
  <c r="F46" i="3"/>
  <c r="E46" i="3"/>
  <c r="D46" i="3"/>
  <c r="A46" i="3"/>
  <c r="J45" i="3"/>
  <c r="H45" i="3"/>
  <c r="C45" i="3"/>
  <c r="F45" i="3"/>
  <c r="E45" i="3"/>
  <c r="D45" i="3"/>
  <c r="A45" i="3"/>
  <c r="J44" i="3"/>
  <c r="H44" i="3"/>
  <c r="C44" i="3"/>
  <c r="F44" i="3"/>
  <c r="E44" i="3"/>
  <c r="D44" i="3"/>
  <c r="A44" i="3"/>
  <c r="J43" i="3"/>
  <c r="H43" i="3"/>
  <c r="C43" i="3"/>
  <c r="F43" i="3"/>
  <c r="E43" i="3"/>
  <c r="D43" i="3"/>
  <c r="A43" i="3"/>
  <c r="J42" i="3"/>
  <c r="H42" i="3"/>
  <c r="C42" i="3"/>
  <c r="F42" i="3"/>
  <c r="E42" i="3"/>
  <c r="D42" i="3"/>
  <c r="A42" i="3"/>
  <c r="G20" i="58"/>
  <c r="U20" i="58"/>
  <c r="R20" i="58"/>
  <c r="P20" i="58"/>
  <c r="O20" i="58"/>
  <c r="N20" i="58"/>
  <c r="M20" i="58"/>
  <c r="L20" i="58"/>
  <c r="J20" i="58"/>
  <c r="K20" i="58"/>
  <c r="I20" i="58"/>
  <c r="H20" i="58"/>
  <c r="F20" i="58"/>
  <c r="E20" i="58"/>
  <c r="D20" i="58"/>
  <c r="C20" i="58"/>
  <c r="B20" i="58"/>
  <c r="G19" i="58"/>
  <c r="U19" i="58"/>
  <c r="S17" i="58"/>
  <c r="S18" i="58"/>
  <c r="S19" i="58"/>
  <c r="T19" i="58"/>
  <c r="R19" i="58"/>
  <c r="P19" i="58"/>
  <c r="O19" i="58"/>
  <c r="N19" i="58"/>
  <c r="M19" i="58"/>
  <c r="L19" i="58"/>
  <c r="J19" i="58"/>
  <c r="K19" i="58"/>
  <c r="I19" i="58"/>
  <c r="H19" i="58"/>
  <c r="F19" i="58"/>
  <c r="E19" i="58"/>
  <c r="D19" i="58"/>
  <c r="C19" i="58"/>
  <c r="B19" i="58"/>
  <c r="G18" i="58"/>
  <c r="U18" i="58"/>
  <c r="T18" i="58"/>
  <c r="R18" i="58"/>
  <c r="P18" i="58"/>
  <c r="O18" i="58"/>
  <c r="N18" i="58"/>
  <c r="M18" i="58"/>
  <c r="L18" i="58"/>
  <c r="J18" i="58"/>
  <c r="K18" i="58"/>
  <c r="I18" i="58"/>
  <c r="H18" i="58"/>
  <c r="F18" i="58"/>
  <c r="E18" i="58"/>
  <c r="D18" i="58"/>
  <c r="C18" i="58"/>
  <c r="B18" i="58"/>
  <c r="G17" i="58"/>
  <c r="U17" i="58"/>
  <c r="T17" i="58"/>
  <c r="R17" i="58"/>
  <c r="P17" i="58"/>
  <c r="O17" i="58"/>
  <c r="N17" i="58"/>
  <c r="M17" i="58"/>
  <c r="L17" i="58"/>
  <c r="J17" i="58"/>
  <c r="K17" i="58"/>
  <c r="I17" i="58"/>
  <c r="H17" i="58"/>
  <c r="F17" i="58"/>
  <c r="E17" i="58"/>
  <c r="D17" i="58"/>
  <c r="C17" i="58"/>
  <c r="B17" i="58"/>
  <c r="E36" i="60"/>
  <c r="D36" i="60"/>
  <c r="B36" i="60"/>
  <c r="E35" i="60"/>
  <c r="D35" i="60"/>
  <c r="B35" i="60"/>
  <c r="E34" i="60"/>
  <c r="D34" i="60"/>
  <c r="B34" i="60"/>
  <c r="E33" i="60"/>
  <c r="D33" i="60"/>
  <c r="B33" i="60"/>
  <c r="E32" i="60"/>
  <c r="D32" i="60"/>
  <c r="B32" i="60"/>
  <c r="E31" i="60"/>
  <c r="D31" i="60"/>
  <c r="B31" i="60"/>
  <c r="E30" i="60"/>
  <c r="D30" i="60"/>
  <c r="B30" i="60"/>
  <c r="E29" i="60"/>
  <c r="D29" i="60"/>
  <c r="B29" i="60"/>
  <c r="E28" i="60"/>
  <c r="D28" i="60"/>
  <c r="B28" i="60"/>
  <c r="E27" i="60"/>
  <c r="D27" i="60"/>
  <c r="B27" i="60"/>
  <c r="H8" i="53"/>
  <c r="G8" i="53"/>
  <c r="E8" i="53"/>
  <c r="H7" i="53"/>
  <c r="G7" i="53"/>
  <c r="E7" i="53"/>
  <c r="K8" i="52"/>
  <c r="J8" i="52"/>
  <c r="H8" i="52"/>
  <c r="E8" i="52"/>
  <c r="K7" i="52"/>
  <c r="J7" i="52"/>
  <c r="H7" i="52"/>
  <c r="E7" i="52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6" i="60"/>
  <c r="E5" i="60"/>
  <c r="E4" i="60"/>
  <c r="E3" i="60"/>
  <c r="E2" i="60"/>
  <c r="E7" i="60"/>
  <c r="D26" i="60"/>
  <c r="B26" i="60"/>
  <c r="D25" i="60"/>
  <c r="B25" i="60"/>
  <c r="D24" i="60"/>
  <c r="B24" i="60"/>
  <c r="D23" i="60"/>
  <c r="B23" i="60"/>
  <c r="D22" i="60"/>
  <c r="B22" i="60"/>
  <c r="D21" i="60"/>
  <c r="B21" i="60"/>
  <c r="D20" i="60"/>
  <c r="B20" i="60"/>
  <c r="D19" i="60"/>
  <c r="B19" i="60"/>
  <c r="D18" i="60"/>
  <c r="B18" i="60"/>
  <c r="D17" i="60"/>
  <c r="B17" i="60"/>
  <c r="D16" i="60"/>
  <c r="B16" i="60"/>
  <c r="D15" i="60"/>
  <c r="B15" i="60"/>
  <c r="D14" i="60"/>
  <c r="B14" i="60"/>
  <c r="D13" i="60"/>
  <c r="B13" i="60"/>
  <c r="D12" i="60"/>
  <c r="B12" i="60"/>
  <c r="D11" i="60"/>
  <c r="B11" i="60"/>
  <c r="D10" i="60"/>
  <c r="B10" i="60"/>
  <c r="D9" i="60"/>
  <c r="B9" i="60"/>
  <c r="D8" i="60"/>
  <c r="B8" i="60"/>
  <c r="D7" i="60"/>
  <c r="B7" i="60"/>
  <c r="D6" i="60"/>
  <c r="B6" i="60"/>
  <c r="D5" i="60"/>
  <c r="B5" i="60"/>
  <c r="D4" i="60"/>
  <c r="B4" i="60"/>
  <c r="D3" i="60"/>
  <c r="B3" i="60"/>
  <c r="D2" i="60"/>
  <c r="B2" i="60"/>
  <c r="F9" i="57"/>
  <c r="E9" i="57"/>
  <c r="B9" i="57"/>
  <c r="F8" i="57"/>
  <c r="E8" i="57"/>
  <c r="B8" i="57"/>
  <c r="J41" i="3"/>
  <c r="H41" i="3"/>
  <c r="C41" i="3"/>
  <c r="F41" i="3"/>
  <c r="E41" i="3"/>
  <c r="D41" i="3"/>
  <c r="A41" i="3"/>
  <c r="J40" i="3"/>
  <c r="H40" i="3"/>
  <c r="C40" i="3"/>
  <c r="F40" i="3"/>
  <c r="E40" i="3"/>
  <c r="D40" i="3"/>
  <c r="A40" i="3"/>
  <c r="J39" i="3"/>
  <c r="H39" i="3"/>
  <c r="C39" i="3"/>
  <c r="F39" i="3"/>
  <c r="E39" i="3"/>
  <c r="D39" i="3"/>
  <c r="A39" i="3"/>
  <c r="J38" i="3"/>
  <c r="H38" i="3"/>
  <c r="C38" i="3"/>
  <c r="F38" i="3"/>
  <c r="E38" i="3"/>
  <c r="D38" i="3"/>
  <c r="A38" i="3"/>
  <c r="J37" i="3"/>
  <c r="H37" i="3"/>
  <c r="C37" i="3"/>
  <c r="F37" i="3"/>
  <c r="E37" i="3"/>
  <c r="D37" i="3"/>
  <c r="A37" i="3"/>
  <c r="J36" i="3"/>
  <c r="H36" i="3"/>
  <c r="C36" i="3"/>
  <c r="F36" i="3"/>
  <c r="E36" i="3"/>
  <c r="D36" i="3"/>
  <c r="A36" i="3"/>
  <c r="J35" i="3"/>
  <c r="H35" i="3"/>
  <c r="C35" i="3"/>
  <c r="F35" i="3"/>
  <c r="E35" i="3"/>
  <c r="D35" i="3"/>
  <c r="A35" i="3"/>
  <c r="J34" i="3"/>
  <c r="H34" i="3"/>
  <c r="C34" i="3"/>
  <c r="F34" i="3"/>
  <c r="E34" i="3"/>
  <c r="D34" i="3"/>
  <c r="A34" i="3"/>
  <c r="G16" i="58"/>
  <c r="U16" i="58"/>
  <c r="S11" i="58"/>
  <c r="S14" i="58"/>
  <c r="S16" i="58"/>
  <c r="T16" i="58"/>
  <c r="R16" i="58"/>
  <c r="P16" i="58"/>
  <c r="O16" i="58"/>
  <c r="N16" i="58"/>
  <c r="M16" i="58"/>
  <c r="L16" i="58"/>
  <c r="J16" i="58"/>
  <c r="K16" i="58"/>
  <c r="I16" i="58"/>
  <c r="H16" i="58"/>
  <c r="F16" i="58"/>
  <c r="E16" i="58"/>
  <c r="D16" i="58"/>
  <c r="C16" i="58"/>
  <c r="B16" i="58"/>
  <c r="G15" i="58"/>
  <c r="U15" i="58"/>
  <c r="S13" i="58"/>
  <c r="S15" i="58"/>
  <c r="T15" i="58"/>
  <c r="R15" i="58"/>
  <c r="P15" i="58"/>
  <c r="O15" i="58"/>
  <c r="N15" i="58"/>
  <c r="M15" i="58"/>
  <c r="L15" i="58"/>
  <c r="J15" i="58"/>
  <c r="K15" i="58"/>
  <c r="I15" i="58"/>
  <c r="H15" i="58"/>
  <c r="F15" i="58"/>
  <c r="E15" i="58"/>
  <c r="D15" i="58"/>
  <c r="C15" i="58"/>
  <c r="B15" i="58"/>
  <c r="G14" i="58"/>
  <c r="U14" i="58"/>
  <c r="T14" i="58"/>
  <c r="R14" i="58"/>
  <c r="P14" i="58"/>
  <c r="O14" i="58"/>
  <c r="N14" i="58"/>
  <c r="M14" i="58"/>
  <c r="L14" i="58"/>
  <c r="J14" i="58"/>
  <c r="K14" i="58"/>
  <c r="I14" i="58"/>
  <c r="H14" i="58"/>
  <c r="F14" i="58"/>
  <c r="E14" i="58"/>
  <c r="D14" i="58"/>
  <c r="C14" i="58"/>
  <c r="B14" i="58"/>
  <c r="H6" i="53"/>
  <c r="G6" i="53"/>
  <c r="E6" i="53"/>
  <c r="K6" i="52"/>
  <c r="J6" i="52"/>
  <c r="H6" i="52"/>
  <c r="E6" i="52"/>
  <c r="H6" i="23"/>
  <c r="BR6" i="23"/>
  <c r="G6" i="23"/>
  <c r="BC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J33" i="3"/>
  <c r="H33" i="3"/>
  <c r="C33" i="3"/>
  <c r="F33" i="3"/>
  <c r="E33" i="3"/>
  <c r="D33" i="3"/>
  <c r="A33" i="3"/>
  <c r="J32" i="3"/>
  <c r="H32" i="3"/>
  <c r="C32" i="3"/>
  <c r="F32" i="3"/>
  <c r="E32" i="3"/>
  <c r="D32" i="3"/>
  <c r="A32" i="3"/>
  <c r="J31" i="3"/>
  <c r="H31" i="3"/>
  <c r="C31" i="3"/>
  <c r="F31" i="3"/>
  <c r="E31" i="3"/>
  <c r="D31" i="3"/>
  <c r="A31" i="3"/>
  <c r="J30" i="3"/>
  <c r="H30" i="3"/>
  <c r="C30" i="3"/>
  <c r="F30" i="3"/>
  <c r="E30" i="3"/>
  <c r="D30" i="3"/>
  <c r="A30" i="3"/>
  <c r="J29" i="3"/>
  <c r="H29" i="3"/>
  <c r="C29" i="3"/>
  <c r="F29" i="3"/>
  <c r="E29" i="3"/>
  <c r="D29" i="3"/>
  <c r="A29" i="3"/>
  <c r="J28" i="3"/>
  <c r="H28" i="3"/>
  <c r="C28" i="3"/>
  <c r="F28" i="3"/>
  <c r="E28" i="3"/>
  <c r="D28" i="3"/>
  <c r="A28" i="3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G13" i="58"/>
  <c r="U13" i="58"/>
  <c r="R13" i="58"/>
  <c r="P13" i="58"/>
  <c r="O13" i="58"/>
  <c r="N13" i="58"/>
  <c r="M13" i="58"/>
  <c r="L13" i="58"/>
  <c r="J13" i="58"/>
  <c r="K13" i="58"/>
  <c r="I13" i="58"/>
  <c r="H13" i="58"/>
  <c r="F13" i="58"/>
  <c r="E13" i="58"/>
  <c r="D13" i="58"/>
  <c r="C13" i="58"/>
  <c r="B13" i="58"/>
  <c r="G12" i="58"/>
  <c r="U12" i="58"/>
  <c r="R12" i="58"/>
  <c r="P12" i="58"/>
  <c r="O12" i="58"/>
  <c r="N12" i="58"/>
  <c r="M12" i="58"/>
  <c r="L12" i="58"/>
  <c r="J12" i="58"/>
  <c r="K12" i="58"/>
  <c r="I12" i="58"/>
  <c r="H12" i="58"/>
  <c r="F12" i="58"/>
  <c r="E12" i="58"/>
  <c r="D12" i="58"/>
  <c r="C12" i="58"/>
  <c r="B12" i="58"/>
  <c r="G11" i="58"/>
  <c r="U11" i="58"/>
  <c r="T11" i="58"/>
  <c r="R11" i="58"/>
  <c r="P11" i="58"/>
  <c r="O11" i="58"/>
  <c r="N11" i="58"/>
  <c r="M11" i="58"/>
  <c r="L11" i="58"/>
  <c r="J11" i="58"/>
  <c r="K11" i="58"/>
  <c r="I11" i="58"/>
  <c r="H11" i="58"/>
  <c r="F11" i="58"/>
  <c r="E11" i="58"/>
  <c r="D11" i="58"/>
  <c r="C11" i="58"/>
  <c r="B11" i="58"/>
  <c r="H5" i="53"/>
  <c r="G5" i="53"/>
  <c r="E5" i="53"/>
  <c r="K5" i="52"/>
  <c r="J5" i="52"/>
  <c r="H5" i="52"/>
  <c r="E5" i="52"/>
  <c r="H5" i="23"/>
  <c r="BR5" i="23"/>
  <c r="G5" i="23"/>
  <c r="BC5" i="23"/>
  <c r="BD5" i="23"/>
  <c r="Q5" i="23"/>
  <c r="V5" i="23"/>
  <c r="W5" i="23"/>
  <c r="AD5" i="23"/>
  <c r="M5" i="23"/>
  <c r="BN5" i="23"/>
  <c r="U5" i="23"/>
  <c r="AC5" i="23"/>
  <c r="L5" i="23"/>
  <c r="BM5" i="23"/>
  <c r="T5" i="23"/>
  <c r="AB5" i="23"/>
  <c r="K5" i="23"/>
  <c r="BL5" i="23"/>
  <c r="S5" i="23"/>
  <c r="AA5" i="23"/>
  <c r="BK5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H3" i="23"/>
  <c r="BR3" i="23"/>
  <c r="H4" i="23"/>
  <c r="BR4" i="23"/>
  <c r="H2" i="23"/>
  <c r="BR2" i="23"/>
  <c r="F7" i="57"/>
  <c r="E7" i="57"/>
  <c r="B7" i="57"/>
  <c r="G8" i="58"/>
  <c r="U8" i="58"/>
  <c r="R8" i="58"/>
  <c r="P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S5" i="58"/>
  <c r="S7" i="58"/>
  <c r="G10" i="58"/>
  <c r="U10" i="58"/>
  <c r="R10" i="58"/>
  <c r="P10" i="58"/>
  <c r="O10" i="58"/>
  <c r="N10" i="58"/>
  <c r="M10" i="58"/>
  <c r="L10" i="58"/>
  <c r="J10" i="58"/>
  <c r="K10" i="58"/>
  <c r="I10" i="58"/>
  <c r="H10" i="58"/>
  <c r="F10" i="58"/>
  <c r="E10" i="58"/>
  <c r="D10" i="58"/>
  <c r="C10" i="58"/>
  <c r="B10" i="58"/>
  <c r="G9" i="58"/>
  <c r="U9" i="58"/>
  <c r="R9" i="58"/>
  <c r="P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J25" i="3"/>
  <c r="H25" i="3"/>
  <c r="C25" i="3"/>
  <c r="F25" i="3"/>
  <c r="E25" i="3"/>
  <c r="D25" i="3"/>
  <c r="A25" i="3"/>
  <c r="J24" i="3"/>
  <c r="H24" i="3"/>
  <c r="C24" i="3"/>
  <c r="F24" i="3"/>
  <c r="E24" i="3"/>
  <c r="D24" i="3"/>
  <c r="A24" i="3"/>
  <c r="J23" i="3"/>
  <c r="H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F6" i="57"/>
  <c r="E6" i="57"/>
  <c r="B6" i="57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H4" i="53"/>
  <c r="G4" i="53"/>
  <c r="E4" i="53"/>
  <c r="G4" i="23"/>
  <c r="BC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I3" i="23"/>
  <c r="J3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K4" i="52"/>
  <c r="J4" i="52"/>
  <c r="H4" i="52"/>
  <c r="E4" i="52"/>
  <c r="F5" i="57"/>
  <c r="E5" i="57"/>
  <c r="B5" i="57"/>
  <c r="F4" i="57"/>
  <c r="E4" i="57"/>
  <c r="B4" i="57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G7" i="58"/>
  <c r="U7" i="58"/>
  <c r="S2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S4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H3" i="53"/>
  <c r="G3" i="53"/>
  <c r="E3" i="53"/>
  <c r="K3" i="52"/>
  <c r="J3" i="52"/>
  <c r="H3" i="52"/>
  <c r="E3" i="52"/>
  <c r="G3" i="23"/>
  <c r="BC3" i="23"/>
  <c r="BD3" i="23"/>
  <c r="Q3" i="23"/>
  <c r="V3" i="23"/>
  <c r="W3" i="23"/>
  <c r="AD3" i="23"/>
  <c r="M3" i="23"/>
  <c r="BN3" i="23"/>
  <c r="U3" i="23"/>
  <c r="AC3" i="23"/>
  <c r="L3" i="23"/>
  <c r="BM3" i="23"/>
  <c r="T3" i="23"/>
  <c r="AB3" i="23"/>
  <c r="K3" i="23"/>
  <c r="BL3" i="23"/>
  <c r="S3" i="23"/>
  <c r="AA3" i="23"/>
  <c r="BK3" i="23"/>
  <c r="BE3" i="23"/>
  <c r="BJ3" i="23"/>
  <c r="BI3" i="23"/>
  <c r="BH3" i="23"/>
  <c r="BG3" i="23"/>
  <c r="I2" i="23"/>
  <c r="J2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F3" i="57"/>
  <c r="E3" i="57"/>
  <c r="B3" i="57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G4" i="58"/>
  <c r="U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G2" i="58"/>
  <c r="U2" i="58"/>
  <c r="G2" i="23"/>
  <c r="BC2" i="23"/>
  <c r="BD2" i="23"/>
  <c r="Q2" i="23"/>
  <c r="S2" i="23"/>
  <c r="W2" i="23"/>
  <c r="AA2" i="23"/>
  <c r="BK2" i="23"/>
  <c r="J4" i="3"/>
  <c r="J3" i="3"/>
  <c r="J2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2" i="23"/>
  <c r="AB2" i="23"/>
  <c r="K2" i="23"/>
  <c r="BL2" i="23"/>
  <c r="V2" i="23"/>
  <c r="AD2" i="23"/>
  <c r="M2" i="23"/>
  <c r="BN2" i="23"/>
  <c r="H2" i="3"/>
  <c r="T2" i="58"/>
  <c r="R2" i="58"/>
  <c r="B2" i="58"/>
  <c r="G2" i="53"/>
  <c r="AH2" i="23"/>
  <c r="G9" i="13"/>
  <c r="B2" i="23"/>
  <c r="G3" i="13"/>
  <c r="G4" i="13"/>
  <c r="R2" i="23"/>
  <c r="J2" i="52"/>
  <c r="AQ2" i="23"/>
  <c r="H2" i="5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  <c r="T10" i="58"/>
  <c r="S9" i="58"/>
  <c r="T9" i="58"/>
  <c r="T8" i="58"/>
  <c r="S12" i="58"/>
  <c r="T12" i="58"/>
  <c r="T13" i="58"/>
  <c r="S20" i="58"/>
  <c r="T20" i="58"/>
</calcChain>
</file>

<file path=xl/sharedStrings.xml><?xml version="1.0" encoding="utf-8"?>
<sst xmlns="http://schemas.openxmlformats.org/spreadsheetml/2006/main" count="1278" uniqueCount="465">
  <si>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</si>
  <si>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</si>
  <si>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</si>
  <si>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</si>
  <si>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</si>
  <si>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</si>
  <si>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</si>
  <si>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</si>
  <si>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</si>
  <si>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</si>
  <si>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</si>
  <si>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</si>
  <si>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</si>
  <si>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</si>
  <si>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</si>
  <si>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</si>
  <si>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</si>
  <si>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</si>
  <si>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</si>
  <si>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</si>
  <si>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</si>
  <si>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</si>
  <si>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</si>
  <si>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</si>
  <si>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</si>
  <si>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</si>
  <si>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</si>
  <si>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</si>
  <si>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</si>
  <si>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</si>
  <si>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</si>
  <si>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</si>
  <si>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</si>
  <si>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</si>
  <si>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</si>
  <si>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</si>
  <si>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</si>
  <si>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</si>
  <si>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</si>
  <si>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</si>
  <si>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</si>
  <si>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</si>
  <si>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</si>
  <si>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</si>
  <si>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</si>
  <si>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</si>
  <si>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</si>
  <si>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</si>
  <si>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</si>
  <si>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</si>
  <si>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</si>
  <si>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</si>
  <si>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</si>
  <si>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</si>
  <si>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</si>
  <si>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</si>
  <si>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</si>
  <si>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</si>
  <si>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</si>
  <si>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</si>
  <si>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</si>
  <si>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</si>
  <si>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</si>
  <si>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</si>
  <si>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</si>
  <si>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</si>
  <si>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</si>
  <si>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</si>
  <si>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</si>
  <si>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</si>
  <si>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</si>
  <si>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</si>
  <si>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</si>
  <si>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</si>
  <si>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</si>
  <si>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</si>
  <si>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</si>
  <si>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</si>
  <si>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</si>
  <si>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</si>
  <si>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</si>
  <si>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</si>
  <si>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</si>
  <si>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</si>
  <si>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</si>
  <si>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</si>
  <si>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</si>
  <si>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</si>
  <si>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</si>
  <si>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</si>
  <si>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</si>
  <si>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</si>
  <si>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</si>
  <si>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</si>
  <si>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</si>
  <si>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</si>
  <si>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</si>
  <si>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</si>
  <si>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</si>
  <si>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</si>
  <si>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</si>
  <si>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</si>
  <si>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</si>
  <si>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</si>
  <si>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</si>
  <si>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</si>
  <si>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</si>
  <si>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</si>
  <si>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</si>
  <si>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</si>
  <si>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</si>
  <si>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</si>
  <si>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</si>
  <si>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</si>
  <si>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</si>
  <si>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</si>
  <si>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</si>
  <si>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</si>
  <si>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</si>
  <si>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</si>
  <si>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</si>
  <si>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</si>
  <si>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</si>
  <si>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</si>
  <si>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</si>
  <si>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</si>
  <si>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</si>
  <si>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</si>
  <si>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</si>
  <si>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</si>
  <si>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</si>
  <si>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</si>
  <si>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</si>
  <si>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</si>
  <si>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</si>
  <si>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</si>
  <si>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</si>
  <si>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</si>
  <si>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</si>
  <si>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</si>
  <si>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</si>
  <si>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</si>
  <si>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</si>
  <si>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</si>
  <si>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</si>
  <si>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</si>
  <si>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</si>
  <si>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</si>
  <si>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</si>
  <si>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</si>
  <si>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</si>
  <si>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</si>
  <si>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</si>
  <si>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</si>
  <si>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</si>
  <si>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</si>
  <si>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</si>
  <si>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</si>
  <si>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</si>
  <si>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</si>
  <si>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</si>
  <si>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</si>
  <si>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</si>
  <si>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</si>
  <si>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</si>
  <si>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</si>
  <si>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</si>
  <si>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</si>
  <si>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</si>
  <si>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</si>
  <si>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</si>
  <si>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</si>
  <si>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</si>
  <si>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</si>
  <si>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</si>
  <si>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</si>
  <si>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</si>
  <si>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</si>
  <si>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</si>
  <si>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</si>
  <si>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</si>
  <si>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</si>
  <si>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</si>
  <si>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</si>
  <si>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</si>
  <si>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</si>
  <si>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name</t>
    <phoneticPr fontId="22"/>
  </si>
  <si>
    <t>serif_type</t>
    <phoneticPr fontId="22"/>
  </si>
  <si>
    <t>frame_type</t>
  </si>
  <si>
    <t>serif_id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</si>
  <si>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</si>
  <si>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</si>
  <si>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</si>
  <si>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</si>
  <si>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</si>
  <si>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</si>
  <si>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</si>
  <si>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</si>
  <si>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</si>
  <si>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</si>
  <si>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</si>
  <si>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</si>
  <si>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</si>
  <si>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</si>
  <si>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</si>
  <si>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</si>
  <si>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</si>
  <si>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</si>
  <si>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</si>
  <si>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</si>
  <si>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</si>
  <si>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</si>
  <si>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</si>
  <si>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</si>
  <si>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</si>
  <si>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</si>
  <si>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</si>
  <si>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</si>
  <si>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</si>
  <si>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</si>
  <si>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</si>
  <si>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</si>
  <si>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</si>
  <si>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</si>
  <si>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</si>
  <si>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</si>
  <si>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</si>
  <si>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</si>
  <si>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</si>
  <si>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</si>
  <si>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</si>
  <si>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</si>
  <si>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</si>
  <si>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</si>
  <si>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</si>
  <si>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</si>
  <si>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</si>
  <si>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</si>
  <si>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</si>
  <si>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</si>
  <si>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</si>
  <si>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</si>
  <si>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</si>
  <si>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</si>
  <si>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</si>
  <si>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</si>
  <si>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</si>
  <si>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</si>
  <si>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</si>
  <si>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</si>
  <si>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</si>
  <si>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</si>
  <si>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</si>
  <si>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</si>
  <si>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</si>
  <si>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</si>
  <si>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</si>
  <si>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</si>
  <si>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</si>
  <si>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</si>
  <si>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</si>
  <si>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</si>
  <si>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</si>
  <si>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</si>
  <si>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</si>
  <si>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</si>
  <si>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</si>
  <si>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</si>
  <si>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</si>
  <si>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</si>
  <si>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</si>
  <si>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</si>
  <si>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</si>
  <si>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</si>
  <si>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</si>
  <si>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</si>
  <si>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</si>
  <si>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</si>
  <si>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</si>
  <si>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</si>
  <si>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</si>
  <si>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</si>
  <si>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</si>
  <si>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</si>
  <si>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</si>
  <si>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</si>
  <si>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</si>
  <si>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</si>
  <si>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</si>
  <si>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</si>
  <si>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</si>
  <si>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</si>
  <si>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</si>
  <si>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</si>
  <si>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</si>
  <si>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</si>
  <si>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</si>
  <si>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</si>
  <si>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</si>
  <si>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</si>
  <si>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</si>
  <si>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</si>
  <si>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</si>
  <si>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</si>
  <si>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</si>
  <si>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</si>
  <si>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</si>
  <si>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</si>
  <si>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</si>
  <si>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</si>
  <si>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AwekeningSP02</t>
    <phoneticPr fontId="22"/>
  </si>
  <si>
    <t>NULL</t>
    <phoneticPr fontId="10"/>
  </si>
  <si>
    <t>1</t>
    <phoneticPr fontId="22"/>
  </si>
  <si>
    <t>old</t>
  </si>
  <si>
    <t>skip</t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</si>
  <si>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</si>
  <si>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</si>
  <si>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</si>
  <si>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</si>
  <si>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</si>
  <si>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</si>
  <si>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</si>
  <si>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</si>
  <si>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</si>
  <si>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</si>
  <si>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</si>
  <si>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</si>
  <si>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</si>
  <si>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</si>
  <si>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</si>
  <si>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</si>
  <si>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</si>
  <si>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</si>
  <si>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</si>
  <si>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</si>
  <si>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</si>
  <si>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</si>
  <si>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ja</t>
    <phoneticPr fontId="22"/>
  </si>
  <si>
    <t>temp</t>
    <phoneticPr fontId="22"/>
  </si>
  <si>
    <t>serif</t>
    <phoneticPr fontId="22"/>
  </si>
  <si>
    <t>←リトルハンプティは1000 / イベントユニットは100 / 曜日素材は10</t>
    <phoneticPr fontId="9"/>
  </si>
  <si>
    <t>1</t>
    <phoneticPr fontId="22"/>
  </si>
  <si>
    <t>渦動の力に呑まれろ！</t>
    <phoneticPr fontId="22"/>
  </si>
  <si>
    <t>giza</t>
  </si>
  <si>
    <t>一瞬で叩き込む！！</t>
    <phoneticPr fontId="22"/>
  </si>
  <si>
    <t>手加減はできんぞ…！</t>
    <phoneticPr fontId="22"/>
  </si>
  <si>
    <t>大穴を開けてやるか…</t>
    <phoneticPr fontId="22"/>
  </si>
  <si>
    <t>雑魚は引っ込め！</t>
    <phoneticPr fontId="22"/>
  </si>
  <si>
    <t>[effect:force_change_block, new_block:block_blue, target:block_yellow, count:0, val:0, animation:change_block],[effect:force_change_block, new_block:crash, target:block_green, count:0, val:6, animation:change_block],[effect:guard_break, target:enemy_all, turn:1, val:1.0, calc:mul, animation:guard_break01],[effect:reduction, target:unit_all, turn:1, color:all, val:0.5, animation:reduction_one02]</t>
    <phoneticPr fontId="22"/>
  </si>
  <si>
    <t>[effect:enhance_unit, target:unit_blue, turn:1, status:attack, val:0.075, calc:mul,animation:enhance_unit_all_attack02_unit01],[effect:damage, target:enemy_one, color:blue, val:2, animation:damage_one_blue04]</t>
    <phoneticPr fontId="22"/>
  </si>
  <si>
    <t>1体に超大ダメージ+
1ターンの間、青属性ユニットの攻撃力UP</t>
    <phoneticPr fontId="22"/>
  </si>
  <si>
    <t>黄パネルを青パネル、緑パネルをCパネルに変換+1ターン、敵全体の防御力を0にし、敵からのダメージを50%軽減</t>
    <phoneticPr fontId="22"/>
  </si>
  <si>
    <t>挑戦は終わらないわよ！</t>
    <phoneticPr fontId="22"/>
  </si>
  <si>
    <t>私の前は走らせない！</t>
    <phoneticPr fontId="22"/>
  </si>
  <si>
    <t>見惚れさせてあげる！</t>
    <phoneticPr fontId="22"/>
  </si>
  <si>
    <t>ほら捕まえてごらん！</t>
    <phoneticPr fontId="22"/>
  </si>
  <si>
    <t>前人未到の超大技よ！！</t>
    <phoneticPr fontId="22"/>
  </si>
  <si>
    <t>1体に超大ダメージ+
HPを回復</t>
    <rPh sb="3" eb="5">
      <t>チョウダ</t>
    </rPh>
    <phoneticPr fontId="22"/>
  </si>
  <si>
    <t>[effect:damage, target:enemy_one, color:yellow, val:2, animation:damage_one_yellow04],[effect:heal_ratio, val:0.18, animation:heal02_unit01]</t>
    <phoneticPr fontId="22"/>
  </si>
  <si>
    <t>緑・青パネルを黄ボムパネルに変換+2ターン全ユニットのCパネル生成短縮(効果激烈)、黄属性ユニットのタップ回数を1増やす</t>
    <phoneticPr fontId="22"/>
  </si>
  <si>
    <t>[effect:force_change_block, new_block:crack_bomb, target:block_green, color:yellow, count:0, val:12, animation:change_block],[effect:force_change_block, new_block:crack_bomb, target:block_blue, color:yellow, count:0, val:12, animation:change_block],[effect:crash_condition, target:unit_all, val:-12, turn:2, animation:crash_panel_reduce04],[effect:enhance_unit, target:unit_yellow, turn:2, status:action, val:1, calc:add, animation:enhance_unit_one_action01]</t>
    <phoneticPr fontId="22"/>
  </si>
  <si>
    <t>何が真実か…わかるだろ？</t>
  </si>
  <si>
    <t>それが証拠かい？</t>
  </si>
  <si>
    <t>証明終了だね</t>
  </si>
  <si>
    <t>数えきれるかい？</t>
  </si>
  <si>
    <t>見る必要はない</t>
  </si>
  <si>
    <t>[effect:force_change_block, new_block:block_green, target:block_yellow, count:0, val:0, animation:change_block],[effect:force_change_block, new_block:crash, target:block_red, count:0, val:8, animation:change_block],[effect:force_change_block, new_block:crash, target:block_heart, count:0, val:8, animation:change_block],[effect:force_change_block, new_block:block_green, target:block_blue, count:2, val:0, animation:change_block],[effect:enhance_fever, val:200, animation:fevergauge_up03]</t>
    <phoneticPr fontId="22"/>
  </si>
  <si>
    <t>赤・ハートパネルをCパネルに、黄パネルを緑パネルに、青パネルを2個緑パネルに変換+フィーバーゲージ20％UP</t>
    <phoneticPr fontId="22"/>
  </si>
  <si>
    <t>[effect:damage, target:enemy_one, color:green, val:2, animation:damage_one_green04],[effect:heal_ratio, val:0.18, animation:heal02_unit01]</t>
    <phoneticPr fontId="22"/>
  </si>
  <si>
    <t>1体に超大ダメージ+
HP中回復</t>
    <phoneticPr fontId="22"/>
  </si>
  <si>
    <t>[effect:damage_anti_tribe, target:enemy_one, tribe:god, val1:2.375, val2:1.2, animation:damage_one_yellow03],[effect:damage_anti_tribe, target:enemy_one, tribe:machine, val1:2.375, val2:1.2, animation:damage_one_yellow03]</t>
    <phoneticPr fontId="22"/>
  </si>
  <si>
    <t>[effect:damage_gravity, target:enemy_all, val:0.30, animation:damage_gravity_all05],[effect:force_change_block, new_block:crash, target:block_all, ignore01:crash, ignore02:crack_bomb, ignore03:color_break, count:6, val:12, animation:change_block],[effect:force_change_block, new_block:crack_bomb, target:block_all, ignore01:crash, ignore02:crack_bomb, ignore03:color_break, color:heal, count:3, val:24, animation:change_block],[effect:guard_break, target:enemy_all, turn:1, val:1.0, calc:mul, animation:guard_break02]</t>
    <phoneticPr fontId="22"/>
  </si>
  <si>
    <t>[effect:damage_anti_tribe, target:enemy_one, tribe:god, val1:3.75, val2:1.5, animation:damage_one_red04]</t>
    <phoneticPr fontId="22"/>
  </si>
  <si>
    <t>[effect:damage_heal, target:enemy_one, color:yellow, val:2.5, animation:damage_one_yellow04],[effect:enhance_unit, target:unit_all, turn:1, status:heal, val:0.03, calc:mul, animation:enhance_unit_all_heal02_unit01]</t>
    <phoneticPr fontId="22"/>
  </si>
  <si>
    <t>[effect:force_change_block, new_block:crash, target:block_all, ignore01:crash, ignore02:crack_bomb, ignore03:color_break, count:3, val:24, animation:change_block],[effect:force_change_block, new_block:block_heart, target:block_green, count:0, val:0, animation:change_block],[effect:force_change_block, new_block:block_heart, target:block_red, count:0, val:0, animation:change_block],[effect:force_change_block, new_block:block_heart, target:block_blue, count:0, val:0, animation:change_block]</t>
    <phoneticPr fontId="22"/>
  </si>
  <si>
    <t>[effect:force_change_block, new_block:crash, target:block_all, ignore01:crash, ignore02:crack_bomb, ignore03:color_break, count:5, val:12, animation:change_block],[effect:enhance_unit, target:unit_attack/unit_heal/unit_balance/or, turn:3, status:action, val:1, calc:add, animation:enhance_unit_one_action01],[effect:break_enchance_unit, target:unit_attack/unit_balance/unit_heal/or, val:0.006, lowest_val:0.24, count:-1, status:attack, turn:3, block01:block_yellow, block02:block_blue, calc:mul, animation:enhance_unit_all_attack02]</t>
    <phoneticPr fontId="22"/>
  </si>
  <si>
    <t>白鴉のスード・パラドックス</t>
  </si>
  <si>
    <t>エンドレス・セオレム・ラン</t>
  </si>
  <si>
    <t>刻命的エンペルリパルサー</t>
  </si>
  <si>
    <t>確症定理エントロピーケース</t>
  </si>
  <si>
    <t>特異青春特製デルタ</t>
  </si>
  <si>
    <t>綺煌のディープ・ワールド</t>
  </si>
  <si>
    <t>アビア・マッスィモクオーレ</t>
  </si>
  <si>
    <t>デイドリーム・キャッチャー</t>
  </si>
  <si>
    <t>クロウ・トゥルース・クロス</t>
  </si>
  <si>
    <t>プロバビリティ・スピン1080°</t>
  </si>
  <si>
    <t>ジャヴェロット･ヴォーティス</t>
  </si>
  <si>
    <t>超越エンドリーマー</t>
  </si>
  <si>
    <t>ネビュラ・インテグレート</t>
  </si>
  <si>
    <t>素晴らしき妖精の援護</t>
  </si>
  <si>
    <t>さぁ開きますよ…真実が</t>
  </si>
  <si>
    <t>衝撃にご注意を…</t>
  </si>
  <si>
    <t>ほんの実験ですよ…ふふ</t>
  </si>
  <si>
    <t>勉強の時間にしましょう</t>
  </si>
  <si>
    <t>何だって解るんですよ…</t>
  </si>
  <si>
    <t>kumo</t>
  </si>
  <si>
    <t>これが私の最高最愛の成果よ</t>
  </si>
  <si>
    <t>あなたでは無理よ</t>
  </si>
  <si>
    <t>邪魔しないで</t>
  </si>
  <si>
    <t>これで終わりよ</t>
  </si>
  <si>
    <t>困難など何もないわ</t>
  </si>
  <si>
    <t>銀河の煌きに呑まれなさい！</t>
  </si>
  <si>
    <t>宇宙を感じなさい！</t>
  </si>
  <si>
    <t>あの星まで届け！</t>
  </si>
  <si>
    <t>輝く銀河のように！</t>
  </si>
  <si>
    <t>宇宙は全て私の手の中よ</t>
  </si>
  <si>
    <t>痛かったよね…まかせて！</t>
  </si>
  <si>
    <t>さあ、私の手をとって！</t>
  </si>
  <si>
    <t>みんな頑張ろっ！</t>
  </si>
  <si>
    <t>えいっ☆</t>
  </si>
  <si>
    <t>花咲かせちゃうからっ！</t>
  </si>
  <si>
    <t>みーんな私の虜なんだから！</t>
  </si>
  <si>
    <t>嫌な出会いだったわね</t>
  </si>
  <si>
    <t>モテたいだけなのに！</t>
  </si>
  <si>
    <t>夢よ覚めないでー！</t>
  </si>
  <si>
    <t>これを機に…ね？</t>
  </si>
  <si>
    <t>ランダムでパネルを3個SCパネル(大)に、赤・青・緑パネルをハートパネルに変換</t>
    <phoneticPr fontId="22"/>
  </si>
  <si>
    <t>1体に特大ダメージ
種族ゴッドに効果超大</t>
    <phoneticPr fontId="22"/>
  </si>
  <si>
    <t>種族ゴッドに効果超大の単体大ダメージ+
種族マシンに効果超大の単体大ダメージ</t>
    <rPh sb="0" eb="2">
      <t>シュゾk</t>
    </rPh>
    <rPh sb="20" eb="22">
      <t>シュゾk</t>
    </rPh>
    <phoneticPr fontId="22"/>
  </si>
  <si>
    <t>敵全体の残りHP30%減少+ランダムでパネルを6個SCP、3個ハートボムパネル(大)変換+1ターン敵全体の防御力を0にする</t>
    <phoneticPr fontId="22"/>
  </si>
  <si>
    <t>ランダムで5個SCパネルに変換+3ターン攻撃・回復・バランスタイプのタップ回数を1増やし、青・黄パネルを吸収し攻撃力UP</t>
    <phoneticPr fontId="22"/>
  </si>
  <si>
    <t>ストレイン・インフィニティ</t>
    <phoneticPr fontId="22"/>
  </si>
  <si>
    <t>潜在一遇ディストーション</t>
    <phoneticPr fontId="22"/>
  </si>
  <si>
    <t>自身の回復力に比例して1体に超大ダメージ+1ターン全ユニットの回復力UP</t>
    <phoneticPr fontId="22"/>
  </si>
  <si>
    <t>時空崩壊クエーサー</t>
    <phoneticPr fontId="22"/>
  </si>
  <si>
    <t>グラビティ・ラビリンス</t>
    <phoneticPr fontId="22"/>
  </si>
  <si>
    <t>これが崩落の世界…</t>
  </si>
  <si>
    <t>壊れるって…素敵…</t>
  </si>
  <si>
    <t>さぁいらっしゃい…</t>
  </si>
  <si>
    <t>私が怖いの…？ふふ……</t>
  </si>
  <si>
    <t>一緒になりましょう……</t>
  </si>
  <si>
    <t>波動伝播グレーティング</t>
    <phoneticPr fontId="22"/>
  </si>
  <si>
    <t>これが私の光跡よ！</t>
  </si>
  <si>
    <t>この軌跡見切れるかしら？</t>
  </si>
  <si>
    <t>配置カンペキ…ゴー！！</t>
  </si>
  <si>
    <t>最短距離で撃ちこむわ！</t>
  </si>
  <si>
    <t>到達点確認、反射開始！</t>
  </si>
  <si>
    <t>1ターン緑属性ユニットの攻撃力UP+
HP大回復</t>
    <phoneticPr fontId="22"/>
  </si>
  <si>
    <t>[effect:enhance_unit, target:unit_green, turn:1, status:attack, val:0.075, calc:mul, animation:enhance_unit_all_attack02],[effect:heal_ratio, val:0.3, animation:heal03_unit01]</t>
    <phoneticPr fontId="22"/>
  </si>
  <si>
    <t>[effect:force_change_block, new_block:crash, target:block_red, count:2, val:12, animation:change_block],[effect:change_panel_ratio, turn:1, block_type:green, val:0.6],[effect:change_panel_ratio, turn:1, block_type:red, val:0.1, animation:block_incidence04]</t>
    <phoneticPr fontId="22"/>
  </si>
  <si>
    <t>ランダムで赤パネルを最大2個SCパネルに変換+1ターン緑パネルの出現率大UPし、赤パネル出現率DOWN</t>
    <phoneticPr fontId="22"/>
  </si>
  <si>
    <t>[effect:force_change_block, new_block:crash, target:block_all, ignore01:crash, ignore02:crack_bomb, ignore03:color_break, ignore04:magnet, count:1, val:36, animation:change_block],[effect:force_change_block, new_block:crack_bomb, target:block_all, ignore01:crash, ignore02:crack_bomb, ignore03:color_break, ignore04:magnet, color:red, count:1, val:24, animation:change_block],[effect:drop_block, block_type:crack_bomb, color:block_all, val:24, rate:0.12, turn:1],[effect:reduction, target:unit_all, turn:2, color:all, val:0.4, animation:reduction_one03]</t>
    <phoneticPr fontId="22"/>
  </si>
  <si>
    <t>1体に特大ダメージ</t>
    <phoneticPr fontId="22"/>
  </si>
  <si>
    <t>[effect:damage, target:enemy_one, color:yellow, val:2.25, animation:damage_one_yellow04]</t>
    <phoneticPr fontId="22"/>
  </si>
  <si>
    <t>ランダムで最大1個ずつSCP(特大)とボム(大)に変換+1ターン確率で5色のボム(大)をドロップ+2ターンダメージを40%軽減</t>
    <phoneticPr fontId="22"/>
  </si>
  <si>
    <t>[effect:force_change_block, new_block:crash, target:block_red, count:0, val:6, animation:change_block],[effect:enhance_unit, target:unit_yellow, turn:2, status:attack, val:0.25, calc:mul, animation:enhance_unit_all_attack04],[effect:crash_condition, target:unit_all, turn:1, val:-4, animation:crash_panel_reduce04],[effect:attack_command, turn:1, target:myself, val:1.0, animation:unit_all_attack_command05]</t>
    <phoneticPr fontId="22"/>
  </si>
  <si>
    <t>赤パネルをCP変換+2ターン黄属性の攻撃力超大UP+1ターン全ユニットCP生成短縮特大、自身が先頭以外でも通常攻撃に参加</t>
    <phoneticPr fontId="22"/>
  </si>
  <si>
    <t>レンズ・オブ・サンクション</t>
    <phoneticPr fontId="22"/>
  </si>
  <si>
    <t>[effect:force_change_block, new_block:crash, target:block_yellow, count:1, val:36, animation:change_block],[effect:enhance_unit, target:unit_blue, turn:2, status:attack, val:0.175, calc:mul, animation:enhance_unit_all_attack03],[effect:change_panel_ratio, turn:2, block_type:heal, val:0.1, animation:block_incidence04]</t>
    <phoneticPr fontId="22"/>
  </si>
  <si>
    <t>1体に超大ダメージ</t>
    <phoneticPr fontId="22"/>
  </si>
  <si>
    <t>[effect:damage, target:enemy_one, color:blue, val:2.5, animation:damage_one_blue04]</t>
    <phoneticPr fontId="22"/>
  </si>
  <si>
    <t>黄パネルを最大1個SCパネル(特大)に変換+2ターン青属性ユニットの攻撃力を大UPし、ハートパネルの出現率をDOWN</t>
    <phoneticPr fontId="22"/>
  </si>
  <si>
    <t>[effect:damage, target:enemy_all, color:blue, val:1.96, animation:damage_all_blue04],[effect:enhance_unit, target:unit_all, turn:1, status:heal, val:0.03, calc:mul, animation:enhance_unit_all_heal02_unit01]</t>
    <phoneticPr fontId="22"/>
  </si>
  <si>
    <t>全体に激烈ダメージ+
1ターン全ユニットの回復力UP</t>
    <phoneticPr fontId="22"/>
  </si>
  <si>
    <t>[effect:damage, target:enemy_one, color:green, val:2, animation:damage_one_green04],[effect:heal_ratio, val:0.3, animation:heal03_unit01],[effect:enhance_unit, target:unit_all, turn:1, status:heal, val:0.015, calc:mul, animation:enhance_unit_all_heal01_unit01]</t>
    <phoneticPr fontId="22"/>
  </si>
  <si>
    <t>1体に超大ダメージ+HP大回復+
1ターン全ユニットの回復力小UP</t>
    <phoneticPr fontId="22"/>
  </si>
  <si>
    <t>[effect:force_change_block, new_block:crack_bomb, target:block_red, color:green, count:0, val:12, animation:change_block],[effect:force_change_block, new_block:crack_bomb, target:jammer, color:green, count:0, val:12, animation:change_block],[effect:cure, bad_status:virus, animation:cure01],[effect:crash_condition, target:unit_all, turn:1, val:-4, animation:crash_panel_reduce04],[effect:change_panel_ratio, turn:2, block_type:green, val:0.92],[effect:change_panel_ratio, turn:2, block_type:yellow, val:0.6, animation:block_incidence04]</t>
    <phoneticPr fontId="22"/>
  </si>
  <si>
    <t>赤・お邪魔を緑ボムに変換+ウィルス解除+1ターンCP生成短縮(特大)+2ターン緑パネル出現率を特大UPし、黄パネル出現率を大UP</t>
    <phoneticPr fontId="22"/>
  </si>
  <si>
    <t>幸福契約曲線・改演</t>
    <phoneticPr fontId="22"/>
  </si>
  <si>
    <t>アンコール・オブ・ベネッセレ</t>
    <phoneticPr fontId="22"/>
  </si>
  <si>
    <t>感動をお約束よっ♪</t>
    <phoneticPr fontId="22"/>
  </si>
  <si>
    <t>みんな〜さんはいっ♪</t>
    <phoneticPr fontId="22"/>
  </si>
  <si>
    <t>はい､いちにーさんしっ♪</t>
    <phoneticPr fontId="22"/>
  </si>
  <si>
    <t>お披露目の時間よ〜♪</t>
    <phoneticPr fontId="22"/>
  </si>
  <si>
    <t>お祭りの始まりよっ♪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</si>
</sst>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3" fillId="14" borderId="0" xfId="0" applyFont="1" applyFill="1" applyAlignment="1">
      <alignment vertical="center" wrapText="1"/>
    </xf>
    <xf numFmtId="0" fontId="16" fillId="14" borderId="4" xfId="0" applyFont="1" applyFill="1" applyBorder="1" applyAlignment="1">
      <alignment horizontal="left" vertical="center"/>
    </xf>
    <xf numFmtId="0" fontId="13" fillId="14" borderId="4" xfId="0" applyFont="1" applyFill="1" applyBorder="1" applyAlignment="1">
      <alignment horizontal="right" vertical="center" wrapText="1"/>
    </xf>
    <xf numFmtId="0" fontId="13" fillId="14" borderId="4" xfId="0" applyFont="1" applyFill="1" applyBorder="1" applyAlignment="1">
      <alignment vertical="center" wrapText="1"/>
    </xf>
    <xf numFmtId="0" fontId="13" fillId="29" borderId="0" xfId="0" applyFont="1" applyFill="1" applyAlignment="1">
      <alignment vertical="center"/>
    </xf>
    <xf numFmtId="0" fontId="13" fillId="30" borderId="4" xfId="0" applyFont="1" applyFill="1" applyBorder="1" applyAlignment="1">
      <alignment vertical="center" wrapText="1"/>
    </xf>
    <xf numFmtId="0" fontId="14" fillId="29" borderId="4" xfId="0" applyFont="1" applyFill="1" applyBorder="1" applyAlignment="1">
      <alignment horizontal="left" vertical="center" wrapText="1"/>
    </xf>
  </cellXfs>
  <cellStyles count="458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赤字強調" xfId="4"/>
    <cellStyle name="青字強調" xfId="3"/>
  </cellStyles>
  <dxfs count="7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Awekening_S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119402</v>
          </cell>
          <cell r="B126" t="str">
            <v>ja</v>
          </cell>
          <cell r="C126" t="str">
            <v>ハロウィンナイトパニック！ 威力UP</v>
          </cell>
          <cell r="D126" t="str">
            <v>ハロウィンナイトパニック！内で自身の全ての攻撃の威力を究極UP</v>
          </cell>
        </row>
        <row r="127">
          <cell r="A127">
            <v>803</v>
          </cell>
          <cell r="B127" t="str">
            <v>ja</v>
          </cell>
          <cell r="C127" t="str">
            <v>パネルブレイク30 防御力UP</v>
          </cell>
          <cell r="D127" t="str">
            <v>自身が先頭の時、1ターンの間に合計30個以上パネルを破壊した場合に防御力UP</v>
          </cell>
        </row>
        <row r="128">
          <cell r="A128">
            <v>804</v>
          </cell>
          <cell r="B128" t="str">
            <v>ja</v>
          </cell>
          <cell r="C128" t="str">
            <v>パネルブレイク30 防御力大UP</v>
          </cell>
          <cell r="D128" t="str">
            <v>自身が先頭の時、1ターンの間に合計30個以上パネルを破壊した場合に防御力大UP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G5" sqref="G5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2" t="s">
        <v>125</v>
      </c>
      <c r="B1" s="102" t="s">
        <v>116</v>
      </c>
      <c r="C1" s="102" t="s">
        <v>117</v>
      </c>
      <c r="D1" s="102" t="s">
        <v>118</v>
      </c>
      <c r="E1" s="102" t="s">
        <v>119</v>
      </c>
      <c r="F1" s="102" t="s">
        <v>120</v>
      </c>
      <c r="G1" s="102" t="s">
        <v>121</v>
      </c>
      <c r="H1" s="102"/>
      <c r="I1" s="102"/>
      <c r="J1" s="102"/>
      <c r="K1" s="102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9" x14ac:dyDescent="0.15">
      <c r="A2" s="104" t="s">
        <v>313</v>
      </c>
      <c r="B2" s="104" t="s">
        <v>129</v>
      </c>
      <c r="C2" s="161" t="s">
        <v>310</v>
      </c>
      <c r="D2" s="104" t="s">
        <v>128</v>
      </c>
      <c r="E2" s="103" t="str">
        <f>B2&amp;C2&amp;D2</f>
        <v>units_AwekeningSP02.tmp</v>
      </c>
      <c r="F2" s="104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104" t="s">
        <v>336</v>
      </c>
      <c r="S2" s="104"/>
      <c r="T2" s="104"/>
      <c r="U2" s="104"/>
      <c r="V2" s="104"/>
      <c r="W2" s="104"/>
    </row>
    <row r="3" spans="1:29" x14ac:dyDescent="0.15">
      <c r="A3" s="104" t="s">
        <v>313</v>
      </c>
      <c r="B3" s="104" t="s">
        <v>288</v>
      </c>
      <c r="C3" s="161" t="s">
        <v>310</v>
      </c>
      <c r="D3" s="104" t="s">
        <v>128</v>
      </c>
      <c r="E3" s="103" t="str">
        <f>B3&amp;C3&amp;D3</f>
        <v>fork_awake_units_AwekeningSP02.tmp</v>
      </c>
      <c r="F3" s="104" t="s">
        <v>289</v>
      </c>
      <c r="G3" s="58" t="s">
        <v>17</v>
      </c>
      <c r="H3" s="59" t="s">
        <v>290</v>
      </c>
      <c r="I3" s="59" t="s">
        <v>291</v>
      </c>
      <c r="J3" s="59" t="s">
        <v>292</v>
      </c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1:29" x14ac:dyDescent="0.15">
      <c r="A4" s="104" t="s">
        <v>313</v>
      </c>
      <c r="B4" s="104" t="s">
        <v>130</v>
      </c>
      <c r="C4" s="161" t="s">
        <v>310</v>
      </c>
      <c r="D4" s="104" t="s">
        <v>128</v>
      </c>
      <c r="E4" s="103" t="str">
        <f>B4&amp;C4&amp;D4</f>
        <v>awake_materials_AwekeningSP02.tmp</v>
      </c>
      <c r="F4" s="104" t="s">
        <v>123</v>
      </c>
      <c r="G4" s="105" t="s">
        <v>38</v>
      </c>
      <c r="H4" s="106" t="s">
        <v>36</v>
      </c>
      <c r="I4" s="106" t="s">
        <v>37</v>
      </c>
      <c r="J4" s="108" t="s">
        <v>126</v>
      </c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1:29" x14ac:dyDescent="0.15">
      <c r="A5" s="104" t="s">
        <v>313</v>
      </c>
      <c r="B5" s="104" t="s">
        <v>287</v>
      </c>
      <c r="C5" s="161" t="s">
        <v>310</v>
      </c>
      <c r="D5" s="104" t="s">
        <v>128</v>
      </c>
      <c r="E5" s="103" t="str">
        <f>B5&amp;C5&amp;D5</f>
        <v>fork_awake_materials_AwekeningSP02.tmp</v>
      </c>
      <c r="F5" s="104" t="s">
        <v>123</v>
      </c>
      <c r="G5" s="180" t="s">
        <v>293</v>
      </c>
      <c r="H5" s="180" t="s">
        <v>294</v>
      </c>
      <c r="I5" s="180" t="s">
        <v>36</v>
      </c>
      <c r="J5" s="180" t="s">
        <v>37</v>
      </c>
      <c r="K5" s="180" t="s">
        <v>295</v>
      </c>
      <c r="L5" s="180" t="s">
        <v>296</v>
      </c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</row>
    <row r="6" spans="1:29" x14ac:dyDescent="0.15">
      <c r="A6" s="104" t="s">
        <v>313</v>
      </c>
      <c r="B6" s="104" t="s">
        <v>131</v>
      </c>
      <c r="C6" s="161" t="s">
        <v>310</v>
      </c>
      <c r="D6" s="104" t="s">
        <v>132</v>
      </c>
      <c r="E6" s="103" t="str">
        <f t="shared" ref="E6" si="0">B6&amp;C6&amp;D6</f>
        <v>unit_levels_calc_AwekeningSP02.tmp</v>
      </c>
      <c r="F6" s="104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4" t="s">
        <v>313</v>
      </c>
      <c r="B7" s="104" t="s">
        <v>143</v>
      </c>
      <c r="C7" s="161" t="s">
        <v>310</v>
      </c>
      <c r="D7" s="104" t="s">
        <v>144</v>
      </c>
      <c r="E7" s="103" t="str">
        <f>B7&amp;C7&amp;D7</f>
        <v>unit_skills_data_AwekeningSP02.tmp</v>
      </c>
      <c r="F7" s="104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4" t="s">
        <v>313</v>
      </c>
      <c r="B8" s="104" t="s">
        <v>149</v>
      </c>
      <c r="C8" s="161" t="s">
        <v>310</v>
      </c>
      <c r="D8" s="104" t="s">
        <v>128</v>
      </c>
      <c r="E8" s="103" t="str">
        <f>B8&amp;C8&amp;D8</f>
        <v>unit_skills_i18n_AwekeningSP02.tmp</v>
      </c>
      <c r="F8" s="104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7"/>
      <c r="L8" s="107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4" t="s">
        <v>313</v>
      </c>
      <c r="B9" s="104" t="s">
        <v>153</v>
      </c>
      <c r="C9" s="161" t="s">
        <v>310</v>
      </c>
      <c r="D9" s="104" t="s">
        <v>154</v>
      </c>
      <c r="E9" s="103" t="str">
        <f>B9&amp;C9&amp;D9</f>
        <v>crash_skills_data_AwekeningSP02.tmp</v>
      </c>
      <c r="F9" s="104" t="s">
        <v>155</v>
      </c>
      <c r="G9" s="111" t="s">
        <v>156</v>
      </c>
      <c r="H9" s="111" t="s">
        <v>148</v>
      </c>
      <c r="I9" s="111" t="s">
        <v>4</v>
      </c>
      <c r="J9" s="107"/>
      <c r="K9" s="107"/>
      <c r="L9" s="107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4" t="s">
        <v>313</v>
      </c>
      <c r="B10" s="104" t="s">
        <v>157</v>
      </c>
      <c r="C10" s="161" t="s">
        <v>310</v>
      </c>
      <c r="D10" s="104" t="s">
        <v>158</v>
      </c>
      <c r="E10" s="103" t="str">
        <f t="shared" ref="E10" si="1">B10&amp;C10&amp;D10</f>
        <v>crash_skills_i18n_AwekeningSP02.tmp</v>
      </c>
      <c r="F10" s="104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4" t="s">
        <v>313</v>
      </c>
      <c r="B11" s="107" t="s">
        <v>135</v>
      </c>
      <c r="C11" s="161" t="s">
        <v>310</v>
      </c>
      <c r="D11" s="104" t="s">
        <v>158</v>
      </c>
      <c r="E11" s="103" t="str">
        <f t="shared" ref="E11:E12" si="2">B11&amp;C11&amp;D11</f>
        <v>unit_serifs_data_AwekeningSP02.tmp</v>
      </c>
      <c r="F11" s="107" t="s">
        <v>137</v>
      </c>
      <c r="G11" s="110" t="s">
        <v>138</v>
      </c>
      <c r="H11" s="111" t="s">
        <v>139</v>
      </c>
      <c r="I11" s="111" t="s">
        <v>133</v>
      </c>
      <c r="J11" s="109" t="s">
        <v>188</v>
      </c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</row>
    <row r="12" spans="1:29" x14ac:dyDescent="0.15">
      <c r="A12" s="104" t="s">
        <v>313</v>
      </c>
      <c r="B12" s="107" t="s">
        <v>136</v>
      </c>
      <c r="C12" s="161" t="s">
        <v>310</v>
      </c>
      <c r="D12" s="104" t="s">
        <v>158</v>
      </c>
      <c r="E12" s="103" t="str">
        <f t="shared" si="2"/>
        <v>unit_serifs_i18n_AwekeningSP02.tmp</v>
      </c>
      <c r="F12" s="107" t="s">
        <v>137</v>
      </c>
      <c r="G12" s="110" t="s">
        <v>140</v>
      </c>
      <c r="H12" s="111" t="s">
        <v>141</v>
      </c>
      <c r="I12" s="111" t="s">
        <v>142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</row>
    <row r="13" spans="1:29" x14ac:dyDescent="0.15">
      <c r="A13" s="104" t="s">
        <v>314</v>
      </c>
      <c r="B13" s="104" t="s">
        <v>247</v>
      </c>
      <c r="C13" s="161" t="s">
        <v>310</v>
      </c>
      <c r="D13" s="104" t="s">
        <v>248</v>
      </c>
      <c r="E13" s="103" t="str">
        <f>B13&amp;C13&amp;D13</f>
        <v>abilities_AwekeningSP02.tmp</v>
      </c>
      <c r="F13" s="104" t="s">
        <v>249</v>
      </c>
      <c r="G13" s="162" t="s">
        <v>250</v>
      </c>
      <c r="H13" s="162" t="s">
        <v>251</v>
      </c>
      <c r="I13" s="162" t="s">
        <v>252</v>
      </c>
      <c r="J13" s="162"/>
      <c r="K13" s="163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x14ac:dyDescent="0.15">
      <c r="A14" s="104" t="s">
        <v>314</v>
      </c>
      <c r="B14" s="104" t="s">
        <v>253</v>
      </c>
      <c r="C14" s="161" t="s">
        <v>310</v>
      </c>
      <c r="D14" s="104" t="s">
        <v>128</v>
      </c>
      <c r="E14" s="103" t="str">
        <f>B14&amp;C14&amp;D14</f>
        <v>abilities_i18n_AwekeningSP02.tmp</v>
      </c>
      <c r="F14" s="104" t="s">
        <v>254</v>
      </c>
      <c r="G14" s="162" t="s">
        <v>250</v>
      </c>
      <c r="H14" s="162" t="s">
        <v>141</v>
      </c>
      <c r="I14" s="162" t="s">
        <v>255</v>
      </c>
      <c r="J14" s="162" t="s">
        <v>152</v>
      </c>
      <c r="K14" s="163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A15" s="104" t="s">
        <v>313</v>
      </c>
      <c r="B15" s="104" t="s">
        <v>256</v>
      </c>
      <c r="C15" s="161" t="s">
        <v>310</v>
      </c>
      <c r="D15" s="104" t="s">
        <v>128</v>
      </c>
      <c r="E15" s="103" t="str">
        <f>B15&amp;C15&amp;D15</f>
        <v>unit_abilities_AwekeningSP02.tmp</v>
      </c>
      <c r="F15" s="104" t="s">
        <v>257</v>
      </c>
      <c r="G15" s="162" t="s">
        <v>138</v>
      </c>
      <c r="H15" s="164" t="s">
        <v>258</v>
      </c>
      <c r="I15" s="164" t="s">
        <v>259</v>
      </c>
      <c r="J15" s="165" t="s">
        <v>260</v>
      </c>
      <c r="K15" s="162" t="s">
        <v>261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2"/>
  <sheetViews>
    <sheetView showGridLines="0" workbookViewId="0">
      <pane xSplit="9" ySplit="1" topLeftCell="BM2" activePane="bottomRight" state="frozen"/>
      <selection pane="topRight" activeCell="J1" sqref="J1"/>
      <selection pane="bottomLeft" activeCell="A3" sqref="A3"/>
      <selection pane="bottomRight" activeCell="A2" sqref="A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1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6" t="s">
        <v>108</v>
      </c>
      <c r="B1" s="78" t="s">
        <v>44</v>
      </c>
      <c r="C1" s="81" t="s">
        <v>27</v>
      </c>
      <c r="D1" s="81" t="s">
        <v>30</v>
      </c>
      <c r="E1" s="81" t="s">
        <v>28</v>
      </c>
      <c r="F1" s="81" t="s">
        <v>29</v>
      </c>
      <c r="G1" s="76" t="s">
        <v>1</v>
      </c>
      <c r="H1" s="79" t="s">
        <v>19</v>
      </c>
      <c r="I1" s="80" t="s">
        <v>0</v>
      </c>
      <c r="J1" s="82" t="s">
        <v>49</v>
      </c>
      <c r="K1" s="82" t="s">
        <v>48</v>
      </c>
      <c r="L1" s="82" t="s">
        <v>50</v>
      </c>
      <c r="M1" s="82" t="s">
        <v>51</v>
      </c>
      <c r="N1" s="76" t="s">
        <v>3</v>
      </c>
      <c r="O1" s="83" t="s">
        <v>2</v>
      </c>
      <c r="P1" s="76" t="s">
        <v>97</v>
      </c>
      <c r="Q1" s="84" t="s">
        <v>18</v>
      </c>
      <c r="R1" s="75" t="s">
        <v>52</v>
      </c>
      <c r="S1" s="85" t="s">
        <v>23</v>
      </c>
      <c r="T1" s="85" t="s">
        <v>24</v>
      </c>
      <c r="U1" s="85" t="s">
        <v>26</v>
      </c>
      <c r="V1" s="85" t="s">
        <v>25</v>
      </c>
      <c r="W1" s="80" t="s">
        <v>32</v>
      </c>
      <c r="X1" s="81" t="s">
        <v>53</v>
      </c>
      <c r="Y1" s="80" t="s">
        <v>33</v>
      </c>
      <c r="Z1" s="81" t="s">
        <v>53</v>
      </c>
      <c r="AA1" s="82" t="s">
        <v>23</v>
      </c>
      <c r="AB1" s="82" t="s">
        <v>24</v>
      </c>
      <c r="AC1" s="82" t="s">
        <v>26</v>
      </c>
      <c r="AD1" s="82" t="s">
        <v>25</v>
      </c>
      <c r="AE1" s="86" t="s">
        <v>100</v>
      </c>
      <c r="AF1" s="75" t="s">
        <v>45</v>
      </c>
      <c r="AG1" s="87" t="s">
        <v>58</v>
      </c>
      <c r="AH1" s="75" t="s">
        <v>45</v>
      </c>
      <c r="AI1" s="87" t="s">
        <v>46</v>
      </c>
      <c r="AJ1" s="77" t="s">
        <v>67</v>
      </c>
      <c r="AK1" s="75" t="s">
        <v>21</v>
      </c>
      <c r="AL1" s="88" t="s">
        <v>68</v>
      </c>
      <c r="AM1" s="89" t="s">
        <v>66</v>
      </c>
      <c r="AN1" s="89" t="s">
        <v>69</v>
      </c>
      <c r="AO1" s="90" t="s">
        <v>31</v>
      </c>
      <c r="AP1" s="86" t="s">
        <v>20</v>
      </c>
      <c r="AQ1" s="91" t="s">
        <v>113</v>
      </c>
      <c r="AR1" s="91" t="s">
        <v>107</v>
      </c>
      <c r="AS1" s="75" t="s">
        <v>104</v>
      </c>
      <c r="AT1" s="86" t="s">
        <v>102</v>
      </c>
      <c r="AU1" s="75" t="s">
        <v>110</v>
      </c>
      <c r="AV1" s="91" t="s">
        <v>107</v>
      </c>
      <c r="AW1" s="75" t="s">
        <v>104</v>
      </c>
      <c r="AX1" s="81" t="s">
        <v>4</v>
      </c>
      <c r="AY1" s="92" t="s">
        <v>54</v>
      </c>
      <c r="AZ1" s="92" t="s">
        <v>55</v>
      </c>
      <c r="BA1" s="92" t="s">
        <v>114</v>
      </c>
      <c r="BB1" s="92" t="s">
        <v>56</v>
      </c>
      <c r="BC1" s="5" t="s">
        <v>22</v>
      </c>
      <c r="BD1" s="95" t="s">
        <v>34</v>
      </c>
      <c r="BE1" s="93" t="s">
        <v>5</v>
      </c>
      <c r="BF1" s="94" t="s">
        <v>6</v>
      </c>
      <c r="BG1" s="96" t="s">
        <v>70</v>
      </c>
      <c r="BH1" s="96" t="s">
        <v>71</v>
      </c>
      <c r="BI1" s="96" t="s">
        <v>72</v>
      </c>
      <c r="BJ1" s="96" t="s">
        <v>73</v>
      </c>
      <c r="BK1" s="97" t="s">
        <v>74</v>
      </c>
      <c r="BL1" s="97" t="s">
        <v>95</v>
      </c>
      <c r="BM1" s="97" t="s">
        <v>75</v>
      </c>
      <c r="BN1" s="97" t="s">
        <v>76</v>
      </c>
      <c r="BO1" s="98" t="s">
        <v>77</v>
      </c>
      <c r="BP1" s="99" t="s">
        <v>78</v>
      </c>
      <c r="BQ1" s="99" t="s">
        <v>86</v>
      </c>
      <c r="BR1" s="9" t="s">
        <v>335</v>
      </c>
    </row>
    <row r="2" spans="1:70" ht="26" customHeight="1" x14ac:dyDescent="0.15">
      <c r="A2" s="185">
        <v>1127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真蒼導く対偶 ヘンペル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55</v>
      </c>
      <c r="O2" s="10">
        <f ca="1">INDEX(レベル!$A$1:$I$22,MATCH(H2,レベル!$A$1:$A$22,FALSE),MATCH(G2,レベル!$A$1:$I$1,FALSE))</f>
        <v>99</v>
      </c>
      <c r="P2" s="43">
        <f t="shared" ref="P2" ca="1" si="0">IF(G2 &gt;= 6, 99,G2*15)</f>
        <v>99</v>
      </c>
      <c r="Q2" s="52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2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2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6" t="s">
        <v>311</v>
      </c>
      <c r="AF2" s="57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6">
        <v>488</v>
      </c>
      <c r="AH2" s="57" t="str">
        <f ca="1">VLOOKUP($AG2,OFFSET([1]characters!$A$1,0,0,COUNTA([1]characters!$A:$A),MATCH(AH$1,[1]characters!$1:$1,0)-MATCH($A$1,[1]characters!$1:$1,0)+1),MATCH(AH$1,[1]characters!$1:$1,0)-MATCH($A$1,[1]characters!$1:$1,0)+1,FALSE)</f>
        <v>直観の異論 ヘンペル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required_exp_300</v>
      </c>
      <c r="AM2" s="8">
        <f ca="1">VLOOKUP(G2,経験値!$A$28:$B$32,2)</f>
        <v>6400</v>
      </c>
      <c r="AN2" s="16">
        <f ca="1">VLOOKUP(G2,ビット!$G$2:$H$7,2)</f>
        <v>900</v>
      </c>
      <c r="AO2" s="40"/>
      <c r="AP2" s="62">
        <v>1127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白鴉のスード・パラドックス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>赤・ハートパネルをCパネルに、黄パネルを緑パネルに、青パネルを2個緑パネルに変換+フィーバーゲージ20％UP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2">
        <v>1127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クロウ・トゥルース・クロス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全体に激烈ダメージ+_x000D_1ターン全ユニットの回復力UP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3">
        <v>1.08</v>
      </c>
      <c r="AZ2" s="63">
        <v>1.07</v>
      </c>
      <c r="BA2" s="63">
        <v>0</v>
      </c>
      <c r="BB2" s="63">
        <v>1.26</v>
      </c>
      <c r="BC2" s="10">
        <f ca="1">INDEX('RC6SV'!$A$1:$G$21,MATCH(H2,'RC6SV'!$A$1:$A$21,FALSE),MATCH(G2,'RC6SV'!$A$1:$G$1,FALSE))</f>
        <v>14000</v>
      </c>
      <c r="BD2" s="43">
        <f t="shared" ref="BD2" ca="1" si="2">ROUND(BC2*IF(AJ2=1,0.95,IF(AJ2=2,1,IF(AJ2,1.05,0))),0)</f>
        <v>14000</v>
      </c>
      <c r="BE2" s="10">
        <f t="shared" ref="BE2:BE12" ca="1" si="3">ROUND(IFERROR(INDIRECT(ADDRESS(MATCH($A2,$AE:$AE,0),MATCH($BC$1,$1:$1,0))),0),0)</f>
        <v>0</v>
      </c>
      <c r="BF2" s="10">
        <f t="shared" ref="BF2:BF12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3780</v>
      </c>
      <c r="BH2" s="15">
        <f ca="1">IF($BE2&lt;=0,ROUND(BL2*0.5,0), ROUND($BE2*T2*AB2*K2*AZ2*0.8*[1]ステータス!$C$2,0))</f>
        <v>2929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1507</v>
      </c>
      <c r="BK2" s="10">
        <f ca="1">ROUND(BD2*S2*AA2*J2*AY2*[1]ステータス!$B$2,0)</f>
        <v>7560</v>
      </c>
      <c r="BL2" s="10">
        <f ca="1">ROUND(BD2*T2*AB2*K2*AZ2*[1]ステータス!$C$2,0)</f>
        <v>5857</v>
      </c>
      <c r="BM2" s="10">
        <f ca="1">ROUND(BD2*U2*AC2*L2*BA2*[1]ステータス!$D$2,0)</f>
        <v>0</v>
      </c>
      <c r="BN2" s="10">
        <f ca="1">ROUND(BD2*V2*AD2*M2*BB2*[1]ステータス!$E$2,0)</f>
        <v>3014</v>
      </c>
      <c r="BO2" s="9">
        <v>0</v>
      </c>
      <c r="BP2" s="9">
        <v>1</v>
      </c>
      <c r="BQ2" s="9" t="s">
        <v>47</v>
      </c>
      <c r="BR2" s="9">
        <f ca="1">VLOOKUP(H2,ghosts_label!$A$2:$B$19,2,FALSE)</f>
        <v>30000</v>
      </c>
    </row>
    <row r="3" spans="1:70" ht="26" customHeight="1" x14ac:dyDescent="0.15">
      <c r="A3" s="185">
        <v>1186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超疾の最理者 フェルマー</v>
      </c>
      <c r="C3" s="52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2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2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2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3">
        <f t="shared" ref="P3" ca="1" si="5">IF(G3 &gt;= 6, 99,G3*15)</f>
        <v>99</v>
      </c>
      <c r="Q3" s="52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2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2" t="str">
        <f ca="1">VLOOKUP($A3,OFFSET([1]characters!$A$1,0,0,COUNTA([1]characters!$A:$A),MATCH(Y$1,[1]characters!$1:$1,0)-MATCH($A$1,[1]characters!$1:$1,0)+1),MATCH(Y$1,[1]characters!$1:$1,0)-MATCH($A$1,[1]characters!$1:$1,0)+1,FALSE)</f>
        <v>machine</v>
      </c>
      <c r="Z3" s="5" t="str">
        <f ca="1">VLOOKUP(Y3,[1]character_tribe_i18n!$A:$H,3,FALSE)</f>
        <v>マシン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6" t="s">
        <v>311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6">
        <v>623</v>
      </c>
      <c r="AH3" s="57" t="str">
        <f ca="1">VLOOKUP($AG3,OFFSET([1]characters!$A$1,0,0,COUNTA([1]characters!$A:$A),MATCH(AH$1,[1]characters!$1:$1,0)-MATCH($A$1,[1]characters!$1:$1,0)+1),MATCH(AH$1,[1]characters!$1:$1,0)-MATCH($A$1,[1]characters!$1:$1,0)+1,FALSE)</f>
        <v>フェルマー</v>
      </c>
      <c r="AI3" s="10" t="str">
        <f>IF(AE3="NULL","NULL",VLOOKUP(G3,ビット!$A$2:$B$7,2))</f>
        <v>NULL</v>
      </c>
      <c r="AJ3" s="6">
        <v>2</v>
      </c>
      <c r="AK3" s="7" t="str">
        <f t="shared" ref="AK3" si="6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0"/>
      <c r="AP3" s="62">
        <v>1186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エンドレス・セオレム・ラン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緑・青パネルを黄ボムパネルに変換+2ターン全ユニットのCパネル生成短縮(効果激烈)、黄属性ユニットのタップ回数を1増やす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2">
        <v>1186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プロバビリティ・スピン1080°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1体に超大ダメージ+_x000D_HPを回復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3">
        <v>0.92</v>
      </c>
      <c r="AZ3" s="63">
        <v>1.2749999999999999</v>
      </c>
      <c r="BA3" s="63">
        <v>0</v>
      </c>
      <c r="BB3" s="63">
        <v>0.76</v>
      </c>
      <c r="BC3" s="10">
        <f ca="1">INDEX('RC6SV'!$A$1:$G$21,MATCH(H3,'RC6SV'!$A$1:$A$21,FALSE),MATCH(G3,'RC6SV'!$A$1:$G$1,FALSE))</f>
        <v>14000</v>
      </c>
      <c r="BD3" s="43">
        <f t="shared" ref="BD3" ca="1" si="7">ROUND(BC3*IF(AJ3=1,0.95,IF(AJ3=2,1,IF(AJ3,1.05,0))),0)</f>
        <v>14000</v>
      </c>
      <c r="BE3" s="10">
        <f t="shared" ca="1" si="3"/>
        <v>0</v>
      </c>
      <c r="BF3" s="10">
        <f t="shared" ca="1" si="4"/>
        <v>1</v>
      </c>
      <c r="BG3" s="15">
        <f ca="1">IF($BE3&lt;=0,ROUND(BK3*0.5,0), ROUND($BE3*S3*AA3*J3*AY3*0.8*[1]ステータス!$B$2,0))</f>
        <v>3156</v>
      </c>
      <c r="BH3" s="15">
        <f ca="1">IF($BE3&lt;=0,ROUND(BL3*0.5,0), ROUND($BE3*T3*AB3*K3*AZ3*0.8*[1]ステータス!$C$2,0))</f>
        <v>2705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1344</v>
      </c>
      <c r="BK3" s="10">
        <f ca="1">ROUND(BD3*S3*AA3*J3*AY3*[1]ステータス!$B$2,0)</f>
        <v>6311</v>
      </c>
      <c r="BL3" s="10">
        <f ca="1">ROUND(BD3*T3*AB3*K3*AZ3*[1]ステータス!$C$2,0)</f>
        <v>5409</v>
      </c>
      <c r="BM3" s="10">
        <f ca="1">ROUND(BD3*U3*AC3*L3*BA3*[1]ステータス!$D$2,0)</f>
        <v>0</v>
      </c>
      <c r="BN3" s="10">
        <f ca="1">ROUND(BD3*V3*AD3*M3*BB3*[1]ステータス!$E$2,0)</f>
        <v>2687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30000</v>
      </c>
    </row>
    <row r="4" spans="1:70" ht="26" customHeight="1" x14ac:dyDescent="0.15">
      <c r="A4" s="185">
        <v>1182</v>
      </c>
      <c r="B4" s="52" t="str">
        <f ca="1">VLOOKUP($A4,OFFSET([1]characters!$A$1,0,0,COUNTA([1]characters!$A:$A),MATCH(B$1,[1]characters!$1:$1,0)-MATCH($A$1,[1]characters!$1:$1,0)+1),MATCH(B$1,[1]characters!$1:$1,0)-MATCH($A$1,[1]characters!$1:$1,0)+1,FALSE)</f>
        <v>黄金螺旋の閃鋼機 フィボナッチ</v>
      </c>
      <c r="C4" s="52" t="str">
        <f ca="1">VLOOKUP($A4,OFFSET([1]characters!$A$1,0,0,COUNTA([1]characters!$A:$A),MATCH(C$1,[1]characters!$1:$1,0)-MATCH($A$1,[1]characters!$1:$1,0)+1),MATCH(C$1,[1]characters!$1:$1,0)-MATCH($A$1,[1]characters!$1:$1,0)+1,FALSE)</f>
        <v>超覚醒ハーシェル</v>
      </c>
      <c r="D4" s="52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2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2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2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2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2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55</v>
      </c>
      <c r="O4" s="10">
        <f ca="1">INDEX(レベル!$A$1:$I$22,MATCH(H4,レベル!$A$1:$A$22,FALSE),MATCH(G4,レベル!$A$1:$I$1,FALSE))</f>
        <v>99</v>
      </c>
      <c r="P4" s="43">
        <f t="shared" ref="P4" ca="1" si="8">IF(G4 &gt;= 6, 99,G4*15)</f>
        <v>99</v>
      </c>
      <c r="Q4" s="52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0">
        <f ca="1">VLOOKUP(Q4,[1]character_type_i18n!$A:$H,4,FALSE)</f>
        <v>1</v>
      </c>
      <c r="T4" s="10">
        <f ca="1">VLOOKUP(Q4,[1]character_type_i18n!$A:$H,5,FALSE)</f>
        <v>1</v>
      </c>
      <c r="U4" s="10">
        <f ca="1">VLOOKUP(Q4,[1]character_type_i18n!$A:$H,6,FALSE)</f>
        <v>1</v>
      </c>
      <c r="V4" s="10">
        <f ca="1">VLOOKUP(Q4,[1]character_type_i18n!$A:$H,7,FALSE)</f>
        <v>1</v>
      </c>
      <c r="W4" s="52" t="str">
        <f ca="1">VLOOKUP($A4,OFFSET([1]characters!$A$1,0,0,COUNTA([1]characters!$A:$A),MATCH(W$1,[1]characters!$1:$1,0)-MATCH($A$1,[1]characters!$1:$1,0)+1),MATCH(W$1,[1]characters!$1:$1,0)-MATCH($A$1,[1]characters!$1:$1,0)+1,FALSE)</f>
        <v>academia</v>
      </c>
      <c r="X4" s="5" t="str">
        <f ca="1">VLOOKUP(W4,[1]character_tribe_i18n!$A:$H,3,FALSE)</f>
        <v>アカデミア</v>
      </c>
      <c r="Y4" s="52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6" t="s">
        <v>311</v>
      </c>
      <c r="AF4" s="57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6">
        <v>762</v>
      </c>
      <c r="AH4" s="57" t="str">
        <f ca="1">VLOOKUP($AG4,OFFSET([1]characters!$A$1,0,0,COUNTA([1]characters!$A:$A),MATCH(AH$1,[1]characters!$1:$1,0)-MATCH($A$1,[1]characters!$1:$1,0)+1),MATCH(AH$1,[1]characters!$1:$1,0)-MATCH($A$1,[1]characters!$1:$1,0)+1,FALSE)</f>
        <v>フィボナッチ</v>
      </c>
      <c r="AI4" s="10" t="str">
        <f>IF(AE4="NULL","NULL",VLOOKUP(G4,ビット!$A$2:$B$7,2))</f>
        <v>NULL</v>
      </c>
      <c r="AJ4" s="6">
        <v>2</v>
      </c>
      <c r="AK4" s="7" t="str">
        <f t="shared" ref="AK4" si="9">IF(AJ4=1,"早熟",IF(AJ4=2,"普通",IF(AJ4=3,"晩成","")))</f>
        <v>普通</v>
      </c>
      <c r="AL4" s="10" t="str">
        <f ca="1">INDEX(経験値!$A$1:$I$21,MATCH(H4,経験値!$A$1:$A$21,FALSE),MATCH(G4,経験値!$A$1:$I$1,FALSE))</f>
        <v>required_exp_300</v>
      </c>
      <c r="AM4" s="8">
        <f ca="1">VLOOKUP(G4,経験値!$A$28:$B$32,2)</f>
        <v>6400</v>
      </c>
      <c r="AN4" s="16">
        <f ca="1">VLOOKUP(G4,ビット!$G$2:$H$7,2)</f>
        <v>900</v>
      </c>
      <c r="AO4" s="40"/>
      <c r="AP4" s="62">
        <v>1182</v>
      </c>
      <c r="AQ4" s="52" t="str">
        <f ca="1">VLOOKUP($AP4,OFFSET(unit_skills!$A$1,0,0,COUNTA(unit_skills!$A:$A),MATCH(AQ$1,unit_skills!$1:$1,0)-MATCH($AP$1,unit_skills!$1:$1,0)+1),MATCH(AQ$1,unit_skills!$1:$1,0)-MATCH($AP$1,unit_skills!$1:$1,0)+1,FALSE)</f>
        <v>刻命的エンペルリパルサー</v>
      </c>
      <c r="AR4" s="52" t="str">
        <f ca="1">VLOOKUP($AP4,OFFSET(unit_skills!$A$1,0,0,COUNTA(unit_skills!$A:$A),MATCH(AR$1,unit_skills!$1:$1,0)-MATCH($AP$1,unit_skills!$1:$1,0)+1),MATCH(AR$1,unit_skills!$1:$1,0)-MATCH($AP$1,unit_skills!$1:$1,0)+1,FALSE)</f>
        <v>黄パネルを青パネル、緑パネルをCパネルに変換+1ターン、敵全体の防御力を0にし、敵からのダメージを50%軽減</v>
      </c>
      <c r="AS4" s="52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2">
        <v>1182</v>
      </c>
      <c r="AU4" s="52" t="str">
        <f ca="1">VLOOKUP($AT4,OFFSET(crash_skills!$A$1,0,0,COUNTA(crash_skills!$A:$A),MATCH(AU$1,crash_skills!$1:$1,0)-MATCH($AT$1,crash_skills!$1:$1,0)+1),MATCH(AU$1,crash_skills!$1:$1,0)-MATCH($AT$1,crash_skills!$1:$1,0)+1,FALSE)</f>
        <v>ジャヴェロット･ヴォーティス</v>
      </c>
      <c r="AV4" s="52" t="str">
        <f ca="1">VLOOKUP($AT4,OFFSET(crash_skills!$A$1,0,0,COUNTA(crash_skills!$A:$A),MATCH(AV$1,crash_skills!$1:$1,0)-MATCH($AT$1,crash_skills!$1:$1,0)+1),MATCH(AV$1,crash_skills!$1:$1,0)-MATCH($AT$1,crash_skills!$1:$1,0)+1,FALSE)</f>
        <v>1体に超大ダメージ+_x000D_1ターンの間、青属性ユニットの攻撃力UP</v>
      </c>
      <c r="AW4" s="52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3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3">
        <v>1</v>
      </c>
      <c r="AZ4" s="63">
        <v>1</v>
      </c>
      <c r="BA4" s="63">
        <v>0</v>
      </c>
      <c r="BB4" s="63">
        <v>1</v>
      </c>
      <c r="BC4" s="10">
        <f ca="1">INDEX('RC6SV'!$A$1:$G$21,MATCH(H4,'RC6SV'!$A$1:$A$21,FALSE),MATCH(G4,'RC6SV'!$A$1:$G$1,FALSE))</f>
        <v>14000</v>
      </c>
      <c r="BD4" s="43">
        <f t="shared" ref="BD4" ca="1" si="10">ROUND(BC4*IF(AJ4=1,0.95,IF(AJ4=2,1,IF(AJ4,1.05,0))),0)</f>
        <v>14000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3500</v>
      </c>
      <c r="BH4" s="15">
        <f ca="1">IF($BE4&lt;=0,ROUND(BL4*0.5,0), ROUND($BE4*T4*AB4*K4*AZ4*0.8*[1]ステータス!$C$2,0))</f>
        <v>2058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1785</v>
      </c>
      <c r="BK4" s="10">
        <f ca="1">ROUND(BD4*S4*AA4*J4*AY4*[1]ステータス!$B$2,0)</f>
        <v>7000</v>
      </c>
      <c r="BL4" s="10">
        <f ca="1">ROUND(BD4*T4*AB4*K4*AZ4*[1]ステータス!$C$2,0)</f>
        <v>4116</v>
      </c>
      <c r="BM4" s="10">
        <f ca="1">ROUND(BD4*U4*AC4*L4*BA4*[1]ステータス!$D$2,0)</f>
        <v>0</v>
      </c>
      <c r="BN4" s="10">
        <f ca="1">ROUND(BD4*V4*AD4*M4*BB4*[1]ステータス!$E$2,0)</f>
        <v>3570</v>
      </c>
      <c r="BO4" s="9">
        <v>0</v>
      </c>
      <c r="BP4" s="9">
        <v>1</v>
      </c>
      <c r="BQ4" s="9" t="s">
        <v>47</v>
      </c>
      <c r="BR4" s="9">
        <f ca="1">VLOOKUP(H4,ghosts_label!$A$2:$B$19,2,FALSE)</f>
        <v>30000</v>
      </c>
    </row>
    <row r="5" spans="1:70" ht="26" customHeight="1" x14ac:dyDescent="0.15">
      <c r="A5" s="185">
        <v>1171</v>
      </c>
      <c r="B5" s="52" t="str">
        <f ca="1">VLOOKUP($A5,OFFSET([1]characters!$A$1,0,0,COUNTA([1]characters!$A:$A),MATCH(B$1,[1]characters!$1:$1,0)-MATCH($A$1,[1]characters!$1:$1,0)+1),MATCH(B$1,[1]characters!$1:$1,0)-MATCH($A$1,[1]characters!$1:$1,0)+1,FALSE)</f>
        <v>解匣する交率 ポアソン</v>
      </c>
      <c r="C5" s="52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2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2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2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2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2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2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0">
        <f ca="1">VLOOKUP(I5,[1]属性!$A:$E,2,FALSE)</f>
        <v>1.02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</v>
      </c>
      <c r="N5" s="10">
        <f ca="1">INDEX(コスト!$A$1:$I$21,MATCH(H5,コスト!$A$1:$A$21,FALSE),MATCH(G5,コスト!$A$1:$I$1,FALSE))</f>
        <v>55</v>
      </c>
      <c r="O5" s="10">
        <f ca="1">INDEX(レベル!$A$1:$I$22,MATCH(H5,レベル!$A$1:$A$22,FALSE),MATCH(G5,レベル!$A$1:$I$1,FALSE))</f>
        <v>99</v>
      </c>
      <c r="P5" s="43">
        <f t="shared" ref="P5" ca="1" si="11">IF(G5 &gt;= 6, 99,G5*15)</f>
        <v>99</v>
      </c>
      <c r="Q5" s="52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0">
        <f ca="1">VLOOKUP(Q5,[1]character_type_i18n!$A:$H,4,FALSE)</f>
        <v>1</v>
      </c>
      <c r="T5" s="10">
        <f ca="1">VLOOKUP(Q5,[1]character_type_i18n!$A:$H,5,FALSE)</f>
        <v>1</v>
      </c>
      <c r="U5" s="10">
        <f ca="1">VLOOKUP(Q5,[1]character_type_i18n!$A:$H,6,FALSE)</f>
        <v>1</v>
      </c>
      <c r="V5" s="10">
        <f ca="1">VLOOKUP(Q5,[1]character_type_i18n!$A:$H,7,FALSE)</f>
        <v>1</v>
      </c>
      <c r="W5" s="52" t="str">
        <f ca="1">VLOOKUP($A5,OFFSET([1]characters!$A$1,0,0,COUNTA([1]characters!$A:$A),MATCH(W$1,[1]characters!$1:$1,0)-MATCH($A$1,[1]characters!$1:$1,0)+1),MATCH(W$1,[1]characters!$1:$1,0)-MATCH($A$1,[1]characters!$1:$1,0)+1,FALSE)</f>
        <v>academia</v>
      </c>
      <c r="X5" s="5" t="str">
        <f ca="1">VLOOKUP(W5,[1]character_tribe_i18n!$A:$H,3,FALSE)</f>
        <v>アカデミア</v>
      </c>
      <c r="Y5" s="52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6" t="s">
        <v>311</v>
      </c>
      <c r="AF5" s="57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6">
        <v>750</v>
      </c>
      <c r="AH5" s="57" t="str">
        <f ca="1">VLOOKUP($AG5,OFFSET([1]characters!$A$1,0,0,COUNTA([1]characters!$A:$A),MATCH(AH$1,[1]characters!$1:$1,0)-MATCH($A$1,[1]characters!$1:$1,0)+1),MATCH(AH$1,[1]characters!$1:$1,0)-MATCH($A$1,[1]characters!$1:$1,0)+1,FALSE)</f>
        <v>ポアソン</v>
      </c>
      <c r="AI5" s="10" t="str">
        <f>IF(AE5="NULL","NULL",VLOOKUP(G5,ビット!$A$2:$B$7,2))</f>
        <v>NULL</v>
      </c>
      <c r="AJ5" s="6">
        <v>2</v>
      </c>
      <c r="AK5" s="7" t="str">
        <f t="shared" ref="AK5" si="12">IF(AJ5=1,"早熟",IF(AJ5=2,"普通",IF(AJ5=3,"晩成","")))</f>
        <v>普通</v>
      </c>
      <c r="AL5" s="10" t="str">
        <f ca="1">INDEX(経験値!$A$1:$I$21,MATCH(H5,経験値!$A$1:$A$21,FALSE),MATCH(G5,経験値!$A$1:$I$1,FALSE))</f>
        <v>required_exp_300</v>
      </c>
      <c r="AM5" s="8">
        <f ca="1">VLOOKUP(G5,経験値!$A$28:$B$32,2)</f>
        <v>6400</v>
      </c>
      <c r="AN5" s="16">
        <f ca="1">VLOOKUP(G5,ビット!$G$2:$H$7,2)</f>
        <v>900</v>
      </c>
      <c r="AO5" s="40"/>
      <c r="AP5" s="62">
        <v>1171</v>
      </c>
      <c r="AQ5" s="52" t="str">
        <f ca="1">VLOOKUP($AP5,OFFSET(unit_skills!$A$1,0,0,COUNTA(unit_skills!$A:$A),MATCH(AQ$1,unit_skills!$1:$1,0)-MATCH($AP$1,unit_skills!$1:$1,0)+1),MATCH(AQ$1,unit_skills!$1:$1,0)-MATCH($AP$1,unit_skills!$1:$1,0)+1,FALSE)</f>
        <v>確症定理エントロピーケース</v>
      </c>
      <c r="AR5" s="52" t="str">
        <f ca="1">VLOOKUP($AP5,OFFSET(unit_skills!$A$1,0,0,COUNTA(unit_skills!$A:$A),MATCH(AR$1,unit_skills!$1:$1,0)-MATCH($AP$1,unit_skills!$1:$1,0)+1),MATCH(AR$1,unit_skills!$1:$1,0)-MATCH($AP$1,unit_skills!$1:$1,0)+1,FALSE)</f>
        <v>ランダムで5個SCパネルに変換+3ターン攻撃・回復・バランスタイプのタップ回数を1増やし、青・黄パネルを吸収し攻撃力UP</v>
      </c>
      <c r="AS5" s="52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2">
        <v>1171</v>
      </c>
      <c r="AU5" s="52" t="str">
        <f ca="1">VLOOKUP($AT5,OFFSET(crash_skills!$A$1,0,0,COUNTA(crash_skills!$A:$A),MATCH(AU$1,crash_skills!$1:$1,0)-MATCH($AT$1,crash_skills!$1:$1,0)+1),MATCH(AU$1,crash_skills!$1:$1,0)-MATCH($AT$1,crash_skills!$1:$1,0)+1,FALSE)</f>
        <v>ストレイン・インフィニティ</v>
      </c>
      <c r="AV5" s="52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1体に超大ダメージ+_x000D_HP中回復</v>
      </c>
      <c r="AW5" s="52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3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3">
        <v>0.91800000000000004</v>
      </c>
      <c r="AZ5" s="63">
        <v>1.125</v>
      </c>
      <c r="BA5" s="63">
        <v>0</v>
      </c>
      <c r="BB5" s="63">
        <v>1.0900000000000001</v>
      </c>
      <c r="BC5" s="10">
        <f ca="1">INDEX('RC6SV'!$A$1:$G$21,MATCH(H5,'RC6SV'!$A$1:$A$21,FALSE),MATCH(G5,'RC6SV'!$A$1:$G$1,FALSE))</f>
        <v>14000</v>
      </c>
      <c r="BD5" s="43">
        <f t="shared" ref="BD5" ca="1" si="13">ROUND(BC5*IF(AJ5=1,0.95,IF(AJ5=2,1,IF(AJ5,1.05,0))),0)</f>
        <v>14000</v>
      </c>
      <c r="BE5" s="10">
        <f t="shared" ca="1" si="3"/>
        <v>0</v>
      </c>
      <c r="BF5" s="10">
        <f t="shared" ca="1" si="4"/>
        <v>1</v>
      </c>
      <c r="BG5" s="15">
        <f ca="1">IF($BE5&lt;=0,ROUND(BK5*0.5,0), ROUND($BE5*S5*AA5*J5*AY5*0.8*[1]ステータス!$B$2,0))</f>
        <v>3278</v>
      </c>
      <c r="BH5" s="15">
        <f ca="1">IF($BE5&lt;=0,ROUND(BL5*0.5,0), ROUND($BE5*T5*AB5*K5*AZ5*0.8*[1]ステータス!$C$2,0))</f>
        <v>2316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1908</v>
      </c>
      <c r="BK5" s="10">
        <f ca="1">ROUND(BD5*S5*AA5*J5*AY5*[1]ステータス!$B$2,0)</f>
        <v>6555</v>
      </c>
      <c r="BL5" s="10">
        <f ca="1">ROUND(BD5*T5*AB5*K5*AZ5*[1]ステータス!$C$2,0)</f>
        <v>4631</v>
      </c>
      <c r="BM5" s="10">
        <f ca="1">ROUND(BD5*U5*AC5*L5*BA5*[1]ステータス!$D$2,0)</f>
        <v>0</v>
      </c>
      <c r="BN5" s="10">
        <f ca="1">ROUND(BD5*V5*AD5*M5*BB5*[1]ステータス!$E$2,0)</f>
        <v>3815</v>
      </c>
      <c r="BO5" s="9">
        <v>0</v>
      </c>
      <c r="BP5" s="9">
        <v>1</v>
      </c>
      <c r="BQ5" s="9" t="s">
        <v>47</v>
      </c>
      <c r="BR5" s="9">
        <f ca="1">VLOOKUP(H5,ghosts_label!$A$2:$B$19,2,FALSE)</f>
        <v>30000</v>
      </c>
    </row>
    <row r="6" spans="1:70" ht="26" customHeight="1" x14ac:dyDescent="0.15">
      <c r="A6" s="185">
        <v>1172</v>
      </c>
      <c r="B6" s="52" t="str">
        <f ca="1">VLOOKUP($A6,OFFSET([1]characters!$A$1,0,0,COUNTA([1]characters!$A:$A),MATCH(B$1,[1]characters!$1:$1,0)-MATCH($A$1,[1]characters!$1:$1,0)+1),MATCH(B$1,[1]characters!$1:$1,0)-MATCH($A$1,[1]characters!$1:$1,0)+1,FALSE)</f>
        <v>極限解析の讃嬢 クロネッカー</v>
      </c>
      <c r="C6" s="52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2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2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2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2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2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2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0">
        <f ca="1">VLOOKUP(I6,[1]属性!$A:$E,2,FALSE)</f>
        <v>0.98</v>
      </c>
      <c r="K6" s="10">
        <f ca="1">VLOOKUP(I6,[1]属性!$A:$E,3,FALSE)</f>
        <v>1.01</v>
      </c>
      <c r="L6" s="10">
        <f ca="1">VLOOKUP(I6,[1]属性!$A:$E,4,FALSE)</f>
        <v>1</v>
      </c>
      <c r="M6" s="10">
        <f ca="1">VLOOKUP(I6,[1]属性!$A:$E,5,FALSE)</f>
        <v>1.01</v>
      </c>
      <c r="N6" s="10">
        <f ca="1">INDEX(コスト!$A$1:$I$21,MATCH(H6,コスト!$A$1:$A$21,FALSE),MATCH(G6,コスト!$A$1:$I$1,FALSE))</f>
        <v>55</v>
      </c>
      <c r="O6" s="10">
        <f ca="1">INDEX(レベル!$A$1:$I$22,MATCH(H6,レベル!$A$1:$A$22,FALSE),MATCH(G6,レベル!$A$1:$I$1,FALSE))</f>
        <v>99</v>
      </c>
      <c r="P6" s="43">
        <f t="shared" ref="P6:P7" ca="1" si="14">IF(G6 &gt;= 6, 99,G6*15)</f>
        <v>99</v>
      </c>
      <c r="Q6" s="52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0">
        <f ca="1">VLOOKUP(Q6,[1]character_type_i18n!$A:$H,4,FALSE)</f>
        <v>1</v>
      </c>
      <c r="T6" s="10">
        <f ca="1">VLOOKUP(Q6,[1]character_type_i18n!$A:$H,5,FALSE)</f>
        <v>1</v>
      </c>
      <c r="U6" s="10">
        <f ca="1">VLOOKUP(Q6,[1]character_type_i18n!$A:$H,6,FALSE)</f>
        <v>1</v>
      </c>
      <c r="V6" s="10">
        <f ca="1">VLOOKUP(Q6,[1]character_type_i18n!$A:$H,7,FALSE)</f>
        <v>1</v>
      </c>
      <c r="W6" s="52" t="str">
        <f ca="1">VLOOKUP($A6,OFFSET([1]characters!$A$1,0,0,COUNTA([1]characters!$A:$A),MATCH(W$1,[1]characters!$1:$1,0)-MATCH($A$1,[1]characters!$1:$1,0)+1),MATCH(W$1,[1]characters!$1:$1,0)-MATCH($A$1,[1]characters!$1:$1,0)+1,FALSE)</f>
        <v>academia</v>
      </c>
      <c r="X6" s="5" t="str">
        <f ca="1">VLOOKUP(W6,[1]character_tribe_i18n!$A:$H,3,FALSE)</f>
        <v>アカデミア</v>
      </c>
      <c r="Y6" s="52" t="str">
        <f ca="1">VLOOKUP($A6,OFFSET([1]characters!$A$1,0,0,COUNTA([1]characters!$A:$A),MATCH(Y$1,[1]characters!$1:$1,0)-MATCH($A$1,[1]characters!$1:$1,0)+1),MATCH(Y$1,[1]characters!$1:$1,0)-MATCH($A$1,[1]characters!$1:$1,0)+1,FALSE)</f>
        <v>human</v>
      </c>
      <c r="Z6" s="5" t="str">
        <f ca="1">VLOOKUP(Y6,[1]character_tribe_i18n!$A:$H,3,FALSE)</f>
        <v>ヒューマン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6" t="s">
        <v>311</v>
      </c>
      <c r="AF6" s="57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6">
        <v>760</v>
      </c>
      <c r="AH6" s="57" t="str">
        <f ca="1">VLOOKUP($AG6,OFFSET([1]characters!$A$1,0,0,COUNTA([1]characters!$A:$A),MATCH(AH$1,[1]characters!$1:$1,0)-MATCH($A$1,[1]characters!$1:$1,0)+1),MATCH(AH$1,[1]characters!$1:$1,0)-MATCH($A$1,[1]characters!$1:$1,0)+1,FALSE)</f>
        <v>限論顕現 クロネッカー</v>
      </c>
      <c r="AI6" s="10" t="str">
        <f>IF(AE6="NULL","NULL",VLOOKUP(G6,ビット!$A$2:$B$7,2))</f>
        <v>NULL</v>
      </c>
      <c r="AJ6" s="6">
        <v>2</v>
      </c>
      <c r="AK6" s="7" t="str">
        <f t="shared" ref="AK6:AK7" si="15">IF(AJ6=1,"早熟",IF(AJ6=2,"普通",IF(AJ6=3,"晩成","")))</f>
        <v>普通</v>
      </c>
      <c r="AL6" s="10" t="str">
        <f ca="1">INDEX(経験値!$A$1:$I$21,MATCH(H6,経験値!$A$1:$A$21,FALSE),MATCH(G6,経験値!$A$1:$I$1,FALSE))</f>
        <v>required_exp_300</v>
      </c>
      <c r="AM6" s="8">
        <f ca="1">VLOOKUP(G6,経験値!$A$28:$B$32,2)</f>
        <v>6400</v>
      </c>
      <c r="AN6" s="16">
        <f ca="1">VLOOKUP(G6,ビット!$G$2:$H$7,2)</f>
        <v>900</v>
      </c>
      <c r="AO6" s="40"/>
      <c r="AP6" s="62">
        <v>1172</v>
      </c>
      <c r="AQ6" s="52" t="str">
        <f ca="1">VLOOKUP($AP6,OFFSET(unit_skills!$A$1,0,0,COUNTA(unit_skills!$A:$A),MATCH(AQ$1,unit_skills!$1:$1,0)-MATCH($AP$1,unit_skills!$1:$1,0)+1),MATCH(AQ$1,unit_skills!$1:$1,0)-MATCH($AP$1,unit_skills!$1:$1,0)+1,FALSE)</f>
        <v>特異青春特製デルタ</v>
      </c>
      <c r="AR6" s="52" t="str">
        <f ca="1">VLOOKUP($AP6,OFFSET(unit_skills!$A$1,0,0,COUNTA(unit_skills!$A:$A),MATCH(AR$1,unit_skills!$1:$1,0)-MATCH($AP$1,unit_skills!$1:$1,0)+1),MATCH(AR$1,unit_skills!$1:$1,0)-MATCH($AP$1,unit_skills!$1:$1,0)+1,FALSE)</f>
        <v>敵全体の残りHP30%減少+ランダムでパネルを6個SCP、3個ハートボムパネル(大)変換+1ターン敵全体の防御力を0にする</v>
      </c>
      <c r="AS6" s="52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2">
        <v>1172</v>
      </c>
      <c r="AU6" s="52" t="str">
        <f ca="1">VLOOKUP($AT6,OFFSET(crash_skills!$A$1,0,0,COUNTA(crash_skills!$A:$A),MATCH(AU$1,crash_skills!$1:$1,0)-MATCH($AT$1,crash_skills!$1:$1,0)+1),MATCH(AU$1,crash_skills!$1:$1,0)-MATCH($AT$1,crash_skills!$1:$1,0)+1,FALSE)</f>
        <v>超越エンドリーマー</v>
      </c>
      <c r="AV6" s="52" t="str">
        <f ca="1">VLOOKUP($AT6,OFFSET(crash_skills!$A$1,0,0,COUNTA(crash_skills!$A:$A),MATCH(AV$1,crash_skills!$1:$1,0)-MATCH($AT$1,crash_skills!$1:$1,0)+1),MATCH(AV$1,crash_skills!$1:$1,0)-MATCH($AT$1,crash_skills!$1:$1,0)+1,FALSE)</f>
        <v>種族ゴッドに効果超大の単体大ダメージ+_x000D_種族マシンに効果超大の単体大ダメージ</v>
      </c>
      <c r="AW6" s="52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3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3">
        <v>0.97</v>
      </c>
      <c r="AZ6" s="63">
        <v>1.19</v>
      </c>
      <c r="BA6" s="63">
        <v>0</v>
      </c>
      <c r="BB6" s="63">
        <v>1.01</v>
      </c>
      <c r="BC6" s="10">
        <f ca="1">INDEX('RC6SV'!$A$1:$G$21,MATCH(H6,'RC6SV'!$A$1:$A$21,FALSE),MATCH(G6,'RC6SV'!$A$1:$G$1,FALSE))</f>
        <v>14000</v>
      </c>
      <c r="BD6" s="43">
        <f t="shared" ref="BD6:BD7" ca="1" si="16">ROUND(BC6*IF(AJ6=1,0.95,IF(AJ6=2,1,IF(AJ6,1.05,0))),0)</f>
        <v>14000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3327</v>
      </c>
      <c r="BH6" s="15">
        <f ca="1">IF($BE6&lt;=0,ROUND(BL6*0.5,0), ROUND($BE6*T6*AB6*K6*AZ6*0.8*[1]ステータス!$C$2,0))</f>
        <v>2524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1785</v>
      </c>
      <c r="BK6" s="10">
        <f ca="1">ROUND(BD6*S6*AA6*J6*AY6*[1]ステータス!$B$2,0)</f>
        <v>6654</v>
      </c>
      <c r="BL6" s="10">
        <f ca="1">ROUND(BD6*T6*AB6*K6*AZ6*[1]ステータス!$C$2,0)</f>
        <v>5048</v>
      </c>
      <c r="BM6" s="10">
        <f ca="1">ROUND(BD6*U6*AC6*L6*BA6*[1]ステータス!$D$2,0)</f>
        <v>0</v>
      </c>
      <c r="BN6" s="10">
        <f ca="1">ROUND(BD6*V6*AD6*M6*BB6*[1]ステータス!$E$2,0)</f>
        <v>3570</v>
      </c>
      <c r="BO6" s="9">
        <v>0</v>
      </c>
      <c r="BP6" s="9">
        <v>1</v>
      </c>
      <c r="BQ6" s="9" t="s">
        <v>47</v>
      </c>
      <c r="BR6" s="9">
        <f ca="1">VLOOKUP(H6,ghosts_label!$A$2:$B$19,2,FALSE)</f>
        <v>30000</v>
      </c>
    </row>
    <row r="7" spans="1:70" ht="26" customHeight="1" x14ac:dyDescent="0.15">
      <c r="A7" s="185">
        <v>1128</v>
      </c>
      <c r="B7" s="52" t="str">
        <f ca="1">VLOOKUP($A7,OFFSET([1]characters!$A$1,0,0,COUNTA([1]characters!$A:$A),MATCH(B$1,[1]characters!$1:$1,0)-MATCH($A$1,[1]characters!$1:$1,0)+1),MATCH(B$1,[1]characters!$1:$1,0)-MATCH($A$1,[1]characters!$1:$1,0)+1,FALSE)</f>
        <v>宇宙天紡の星明 ハップル</v>
      </c>
      <c r="C7" s="52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2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2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2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2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2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2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0">
        <f ca="1">VLOOKUP(I7,[1]属性!$A:$E,2,FALSE)</f>
        <v>0.98</v>
      </c>
      <c r="K7" s="10">
        <f ca="1">VLOOKUP(I7,[1]属性!$A:$E,3,FALSE)</f>
        <v>1.01</v>
      </c>
      <c r="L7" s="10">
        <f ca="1">VLOOKUP(I7,[1]属性!$A:$E,4,FALSE)</f>
        <v>1</v>
      </c>
      <c r="M7" s="10">
        <f ca="1">VLOOKUP(I7,[1]属性!$A:$E,5,FALSE)</f>
        <v>1.01</v>
      </c>
      <c r="N7" s="10">
        <f ca="1">INDEX(コスト!$A$1:$I$21,MATCH(H7,コスト!$A$1:$A$21,FALSE),MATCH(G7,コスト!$A$1:$I$1,FALSE))</f>
        <v>55</v>
      </c>
      <c r="O7" s="10">
        <f ca="1">INDEX(レベル!$A$1:$I$22,MATCH(H7,レベル!$A$1:$A$22,FALSE),MATCH(G7,レベル!$A$1:$I$1,FALSE))</f>
        <v>99</v>
      </c>
      <c r="P7" s="43">
        <f t="shared" ca="1" si="14"/>
        <v>99</v>
      </c>
      <c r="Q7" s="52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0">
        <f ca="1">VLOOKUP(Q7,[1]character_type_i18n!$A:$H,4,FALSE)</f>
        <v>0.9</v>
      </c>
      <c r="T7" s="10">
        <f ca="1">VLOOKUP(Q7,[1]character_type_i18n!$A:$H,5,FALSE)</f>
        <v>0.9</v>
      </c>
      <c r="U7" s="10">
        <f ca="1">VLOOKUP(Q7,[1]character_type_i18n!$A:$H,6,FALSE)</f>
        <v>1</v>
      </c>
      <c r="V7" s="10">
        <f ca="1">VLOOKUP(Q7,[1]character_type_i18n!$A:$H,7,FALSE)</f>
        <v>0.9</v>
      </c>
      <c r="W7" s="52" t="str">
        <f ca="1">VLOOKUP($A7,OFFSET([1]characters!$A$1,0,0,COUNTA([1]characters!$A:$A),MATCH(W$1,[1]characters!$1:$1,0)-MATCH($A$1,[1]characters!$1:$1,0)+1),MATCH(W$1,[1]characters!$1:$1,0)-MATCH($A$1,[1]characters!$1:$1,0)+1,FALSE)</f>
        <v>academia</v>
      </c>
      <c r="X7" s="5" t="str">
        <f ca="1">VLOOKUP(W7,[1]character_tribe_i18n!$A:$H,3,FALSE)</f>
        <v>アカデミア</v>
      </c>
      <c r="Y7" s="52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6" t="s">
        <v>311</v>
      </c>
      <c r="AF7" s="57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98">
        <v>489</v>
      </c>
      <c r="AH7" s="57" t="str">
        <f ca="1">VLOOKUP($AG7,OFFSET([1]characters!$A$1,0,0,COUNTA([1]characters!$A:$A),MATCH(AH$1,[1]characters!$1:$1,0)-MATCH($A$1,[1]characters!$1:$1,0)+1),MATCH(AH$1,[1]characters!$1:$1,0)-MATCH($A$1,[1]characters!$1:$1,0)+1,FALSE)</f>
        <v>宇宙の拡超 ハップル</v>
      </c>
      <c r="AI7" s="10" t="str">
        <f>IF(AE7="NULL","NULL",VLOOKUP(G7,ビット!$A$2:$B$7,2))</f>
        <v>NULL</v>
      </c>
      <c r="AJ7" s="6">
        <v>2</v>
      </c>
      <c r="AK7" s="7" t="str">
        <f t="shared" si="15"/>
        <v>普通</v>
      </c>
      <c r="AL7" s="10" t="str">
        <f ca="1">INDEX(経験値!$A$1:$I$21,MATCH(H7,経験値!$A$1:$A$21,FALSE),MATCH(G7,経験値!$A$1:$I$1,FALSE))</f>
        <v>required_exp_300</v>
      </c>
      <c r="AM7" s="8">
        <f ca="1">VLOOKUP(G7,経験値!$A$28:$B$32,2)</f>
        <v>6400</v>
      </c>
      <c r="AN7" s="16">
        <f ca="1">VLOOKUP(G7,ビット!$G$2:$H$7,2)</f>
        <v>900</v>
      </c>
      <c r="AO7" s="40"/>
      <c r="AP7" s="62">
        <v>1128</v>
      </c>
      <c r="AQ7" s="52" t="str">
        <f ca="1">VLOOKUP($AP7,OFFSET(unit_skills!$A$1,0,0,COUNTA(unit_skills!$A:$A),MATCH(AQ$1,unit_skills!$1:$1,0)-MATCH($AP$1,unit_skills!$1:$1,0)+1),MATCH(AQ$1,unit_skills!$1:$1,0)-MATCH($AP$1,unit_skills!$1:$1,0)+1,FALSE)</f>
        <v>綺煌のディープ・ワールド</v>
      </c>
      <c r="AR7" s="52" t="str">
        <f ca="1">VLOOKUP($AP7,OFFSET(unit_skills!$A$1,0,0,COUNTA(unit_skills!$A:$A),MATCH(AR$1,unit_skills!$1:$1,0)-MATCH($AP$1,unit_skills!$1:$1,0)+1),MATCH(AR$1,unit_skills!$1:$1,0)-MATCH($AP$1,unit_skills!$1:$1,0)+1,FALSE)</f>
        <v>ランダムでパネルを3個SCパネル(大)に、赤・青・緑パネルをハートパネルに変換</v>
      </c>
      <c r="AS7" s="52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199">
        <v>1128</v>
      </c>
      <c r="AU7" s="52" t="str">
        <f ca="1">VLOOKUP($AT7,OFFSET(crash_skills!$A$1,0,0,COUNTA(crash_skills!$A:$A),MATCH(AU$1,crash_skills!$1:$1,0)-MATCH($AT$1,crash_skills!$1:$1,0)+1),MATCH(AU$1,crash_skills!$1:$1,0)-MATCH($AT$1,crash_skills!$1:$1,0)+1,FALSE)</f>
        <v>ネビュラ・インテグレート</v>
      </c>
      <c r="AV7" s="52" t="str">
        <f ca="1">VLOOKUP($AT7,OFFSET(crash_skills!$A$1,0,0,COUNTA(crash_skills!$A:$A),MATCH(AV$1,crash_skills!$1:$1,0)-MATCH($AT$1,crash_skills!$1:$1,0)+1),MATCH(AV$1,crash_skills!$1:$1,0)-MATCH($AT$1,crash_skills!$1:$1,0)+1,FALSE)</f>
        <v>自身の回復力に比例して1体に超大ダメージ+1ターン全ユニットの回復力UP</v>
      </c>
      <c r="AW7" s="52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3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3">
        <v>1.0269999999999999</v>
      </c>
      <c r="AZ7" s="63">
        <v>1.2669999999999999</v>
      </c>
      <c r="BA7" s="63">
        <v>0</v>
      </c>
      <c r="BB7" s="63">
        <v>1.2649999999999999</v>
      </c>
      <c r="BC7" s="10">
        <f ca="1">INDEX('RC6SV'!$A$1:$G$21,MATCH(H7,'RC6SV'!$A$1:$A$21,FALSE),MATCH(G7,'RC6SV'!$A$1:$G$1,FALSE))</f>
        <v>14000</v>
      </c>
      <c r="BD7" s="43">
        <f t="shared" ca="1" si="16"/>
        <v>14000</v>
      </c>
      <c r="BE7" s="10">
        <f t="shared" ca="1" si="3"/>
        <v>0</v>
      </c>
      <c r="BF7" s="10">
        <f t="shared" ca="1" si="4"/>
        <v>1</v>
      </c>
      <c r="BG7" s="15">
        <f ca="1">IF($BE7&lt;=0,ROUND(BK7*0.5,0), ROUND($BE7*S7*AA7*J7*AY7*0.8*[1]ステータス!$B$2,0))</f>
        <v>3171</v>
      </c>
      <c r="BH7" s="15">
        <f ca="1">IF($BE7&lt;=0,ROUND(BL7*0.5,0), ROUND($BE7*T7*AB7*K7*AZ7*0.8*[1]ステータス!$C$2,0))</f>
        <v>2419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2013</v>
      </c>
      <c r="BK7" s="10">
        <f ca="1">ROUND(BD7*S7*AA7*J7*AY7*[1]ステータス!$B$2,0)</f>
        <v>6341</v>
      </c>
      <c r="BL7" s="10">
        <f ca="1">ROUND(BD7*T7*AB7*K7*AZ7*[1]ステータス!$C$2,0)</f>
        <v>4837</v>
      </c>
      <c r="BM7" s="10">
        <f ca="1">ROUND(BD7*U7*AC7*L7*BA7*[1]ステータス!$D$2,0)</f>
        <v>0</v>
      </c>
      <c r="BN7" s="10">
        <f ca="1">ROUND(BD7*V7*AD7*M7*BB7*[1]ステータス!$E$2,0)</f>
        <v>4025</v>
      </c>
      <c r="BO7" s="9">
        <v>0</v>
      </c>
      <c r="BP7" s="9">
        <v>1</v>
      </c>
      <c r="BQ7" s="9" t="s">
        <v>47</v>
      </c>
      <c r="BR7" s="9">
        <f ca="1">VLOOKUP(H7,ghosts_label!$A$2:$B$19,2,FALSE)</f>
        <v>30000</v>
      </c>
    </row>
    <row r="8" spans="1:70" ht="26" customHeight="1" x14ac:dyDescent="0.15">
      <c r="A8" s="185">
        <v>1173</v>
      </c>
      <c r="B8" s="52" t="str">
        <f ca="1">VLOOKUP($A8,OFFSET([1]characters!$A$1,0,0,COUNTA([1]characters!$A:$A),MATCH(B$1,[1]characters!$1:$1,0)-MATCH($A$1,[1]characters!$1:$1,0)+1),MATCH(B$1,[1]characters!$1:$1,0)-MATCH($A$1,[1]characters!$1:$1,0)+1,FALSE)</f>
        <v>愛を咲かせる春羽妖精 ファータ</v>
      </c>
      <c r="C8" s="52" t="str">
        <f ca="1">VLOOKUP($A8,OFFSET([1]characters!$A$1,0,0,COUNTA([1]characters!$A:$A),MATCH(C$1,[1]characters!$1:$1,0)-MATCH($A$1,[1]characters!$1:$1,0)+1),MATCH(C$1,[1]characters!$1:$1,0)-MATCH($A$1,[1]characters!$1:$1,0)+1,FALSE)</f>
        <v>未定</v>
      </c>
      <c r="D8" s="52" t="str">
        <f ca="1">VLOOKUP($A8,OFFSET([1]characters!$A$1,0,0,COUNTA([1]characters!$A:$A),MATCH(D$1,[1]characters!$1:$1,0)-MATCH($A$1,[1]characters!$1:$1,0)+1),MATCH(D$1,[1]characters!$1:$1,0)-MATCH($A$1,[1]characters!$1:$1,0)+1,FALSE)</f>
        <v>アリス</v>
      </c>
      <c r="E8" s="52" t="str">
        <f ca="1">VLOOKUP($A8,OFFSET([1]characters!$A$1,0,0,COUNTA([1]characters!$A:$A),MATCH(E$1,[1]characters!$1:$1,0)-MATCH($A$1,[1]characters!$1:$1,0)+1),MATCH(E$1,[1]characters!$1:$1,0)-MATCH($A$1,[1]characters!$1:$1,0)+1,FALSE)</f>
        <v>世界観</v>
      </c>
      <c r="F8" s="52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2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2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2" t="str">
        <f ca="1">VLOOKUP($A8,OFFSET([1]characters!$A$1,0,0,COUNTA([1]characters!$A:$A),MATCH(I$1,[1]characters!$1:$1,0)-MATCH($A$1,[1]characters!$1:$1,0)+1),MATCH(I$1,[1]characters!$1:$1,0)-MATCH($A$1,[1]characters!$1:$1,0)+1,FALSE)</f>
        <v>green</v>
      </c>
      <c r="J8" s="10">
        <f ca="1">VLOOKUP(I8,[1]属性!$A:$E,2,FALSE)</f>
        <v>1.02</v>
      </c>
      <c r="K8" s="10">
        <f ca="1">VLOOKUP(I8,[1]属性!$A:$E,3,FALSE)</f>
        <v>0.98</v>
      </c>
      <c r="L8" s="10">
        <f ca="1">VLOOKUP(I8,[1]属性!$A:$E,4,FALSE)</f>
        <v>1</v>
      </c>
      <c r="M8" s="10">
        <f ca="1">VLOOKUP(I8,[1]属性!$A:$E,5,FALSE)</f>
        <v>1</v>
      </c>
      <c r="N8" s="10">
        <f ca="1">INDEX(コスト!$A$1:$I$21,MATCH(H8,コスト!$A$1:$A$21,FALSE),MATCH(G8,コスト!$A$1:$I$1,FALSE))</f>
        <v>45</v>
      </c>
      <c r="O8" s="10">
        <f ca="1">INDEX(レベル!$A$1:$I$22,MATCH(H8,レベル!$A$1:$A$22,FALSE),MATCH(G8,レベル!$A$1:$I$1,FALSE))</f>
        <v>99</v>
      </c>
      <c r="P8" s="43">
        <f t="shared" ref="P8:P9" ca="1" si="17">IF(G8 &gt;= 6, 99,G8*15)</f>
        <v>99</v>
      </c>
      <c r="Q8" s="52" t="str">
        <f ca="1">VLOOKUP($A8,OFFSET([1]characters!$A$1,0,0,COUNTA([1]characters!$A:$A),MATCH(Q$1,[1]characters!$1:$1,0)-MATCH($A$1,[1]characters!$1:$1,0)+1),MATCH(Q$1,[1]characters!$1:$1,0)-MATCH($A$1,[1]characters!$1:$1,0)+1,FALSE)</f>
        <v>heal</v>
      </c>
      <c r="R8" s="5" t="str">
        <f ca="1">VLOOKUP(Q8,[1]character_type_i18n!$A:$H,3,FALSE)</f>
        <v>回復タイプ</v>
      </c>
      <c r="S8" s="10">
        <f ca="1">VLOOKUP(Q8,[1]character_type_i18n!$A:$H,4,FALSE)</f>
        <v>0.8</v>
      </c>
      <c r="T8" s="10">
        <f ca="1">VLOOKUP(Q8,[1]character_type_i18n!$A:$H,5,FALSE)</f>
        <v>0.78</v>
      </c>
      <c r="U8" s="10">
        <f ca="1">VLOOKUP(Q8,[1]character_type_i18n!$A:$H,6,FALSE)</f>
        <v>1</v>
      </c>
      <c r="V8" s="10">
        <f ca="1">VLOOKUP(Q8,[1]character_type_i18n!$A:$H,7,FALSE)</f>
        <v>1.42</v>
      </c>
      <c r="W8" s="52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2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0">
        <f ca="1">VLOOKUP(W8,[1]character_tribe_i18n!$A:$H,4,FALSE)</f>
        <v>1</v>
      </c>
      <c r="AB8" s="10">
        <f ca="1">VLOOKUP(W8,[1]character_tribe_i18n!$A:$H,5,FALSE)</f>
        <v>1</v>
      </c>
      <c r="AC8" s="10">
        <f ca="1">VLOOKUP(W8,[1]character_tribe_i18n!$A:$H,6,FALSE)</f>
        <v>1</v>
      </c>
      <c r="AD8" s="10">
        <f ca="1">VLOOKUP(W8,[1]character_tribe_i18n!$A:$H,7,FALSE)</f>
        <v>1</v>
      </c>
      <c r="AE8" s="186" t="s">
        <v>311</v>
      </c>
      <c r="AF8" s="57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198">
        <v>476</v>
      </c>
      <c r="AH8" s="57" t="str">
        <f ca="1">VLOOKUP($AG8,OFFSET([1]characters!$A$1,0,0,COUNTA([1]characters!$A:$A),MATCH(AH$1,[1]characters!$1:$1,0)-MATCH($A$1,[1]characters!$1:$1,0)+1),MATCH(AH$1,[1]characters!$1:$1,0)-MATCH($A$1,[1]characters!$1:$1,0)+1,FALSE)</f>
        <v>ファータ</v>
      </c>
      <c r="AI8" s="10" t="str">
        <f>IF(AE8="NULL","NULL",VLOOKUP(G8,ビット!$A$2:$B$7,2))</f>
        <v>NULL</v>
      </c>
      <c r="AJ8" s="6">
        <v>2</v>
      </c>
      <c r="AK8" s="7" t="str">
        <f t="shared" ref="AK8:AK9" si="18">IF(AJ8=1,"早熟",IF(AJ8=2,"普通",IF(AJ8=3,"晩成","")))</f>
        <v>普通</v>
      </c>
      <c r="AL8" s="10" t="str">
        <f ca="1">INDEX(経験値!$A$1:$I$21,MATCH(H8,経験値!$A$1:$A$21,FALSE),MATCH(G8,経験値!$A$1:$I$1,FALSE))</f>
        <v>required_exp_250</v>
      </c>
      <c r="AM8" s="8">
        <f ca="1">VLOOKUP(G8,経験値!$A$28:$B$32,2)</f>
        <v>6400</v>
      </c>
      <c r="AN8" s="16">
        <f ca="1">VLOOKUP(G8,ビット!$G$2:$H$7,2)</f>
        <v>900</v>
      </c>
      <c r="AO8" s="40"/>
      <c r="AP8" s="62">
        <v>1173</v>
      </c>
      <c r="AQ8" s="52" t="str">
        <f ca="1">VLOOKUP($AP8,OFFSET(unit_skills!$A$1,0,0,COUNTA(unit_skills!$A:$A),MATCH(AQ$1,unit_skills!$1:$1,0)-MATCH($AP$1,unit_skills!$1:$1,0)+1),MATCH(AQ$1,unit_skills!$1:$1,0)-MATCH($AP$1,unit_skills!$1:$1,0)+1,FALSE)</f>
        <v>アビア・マッスィモクオーレ</v>
      </c>
      <c r="AR8" s="52" t="str">
        <f ca="1">VLOOKUP($AP8,OFFSET(unit_skills!$A$1,0,0,COUNTA(unit_skills!$A:$A),MATCH(AR$1,unit_skills!$1:$1,0)-MATCH($AP$1,unit_skills!$1:$1,0)+1),MATCH(AR$1,unit_skills!$1:$1,0)-MATCH($AP$1,unit_skills!$1:$1,0)+1,FALSE)</f>
        <v>ランダムで赤パネルを最大2個SCパネルに変換+1ターン緑パネルの出現率大UPし、赤パネル出現率DOWN</v>
      </c>
      <c r="AS8" s="52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99">
        <v>1173</v>
      </c>
      <c r="AU8" s="52" t="str">
        <f ca="1">VLOOKUP($AT8,OFFSET(crash_skills!$A$1,0,0,COUNTA(crash_skills!$A:$A),MATCH(AU$1,crash_skills!$1:$1,0)-MATCH($AT$1,crash_skills!$1:$1,0)+1),MATCH(AU$1,crash_skills!$1:$1,0)-MATCH($AT$1,crash_skills!$1:$1,0)+1,FALSE)</f>
        <v>素晴らしき妖精の援護</v>
      </c>
      <c r="AV8" s="52" t="str">
        <f ca="1">VLOOKUP($AT8,OFFSET(crash_skills!$A$1,0,0,COUNTA(crash_skills!$A:$A),MATCH(AV$1,crash_skills!$1:$1,0)-MATCH($AT$1,crash_skills!$1:$1,0)+1),MATCH(AV$1,crash_skills!$1:$1,0)-MATCH($AT$1,crash_skills!$1:$1,0)+1,FALSE)</f>
        <v>1ターン緑属性ユニットの攻撃力UP+_x000D_HP大回復</v>
      </c>
      <c r="AW8" s="52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3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3">
        <v>1.0229999999999999</v>
      </c>
      <c r="AZ8" s="63">
        <v>0.76300000000000001</v>
      </c>
      <c r="BA8" s="63">
        <v>0</v>
      </c>
      <c r="BB8" s="63">
        <v>1.1759999999999999</v>
      </c>
      <c r="BC8" s="10">
        <f ca="1">INDEX('RC6SV'!$A$1:$G$21,MATCH(H8,'RC6SV'!$A$1:$A$21,FALSE),MATCH(G8,'RC6SV'!$A$1:$G$1,FALSE))</f>
        <v>12000</v>
      </c>
      <c r="BD8" s="43">
        <f t="shared" ref="BD8:BD9" ca="1" si="19">ROUND(BC8*IF(AJ8=1,0.95,IF(AJ8=2,1,IF(AJ8,1.05,0))),0)</f>
        <v>12000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2505</v>
      </c>
      <c r="BH8" s="15">
        <f ca="1">IF($BE8&lt;=0,ROUND(BL8*0.5,0), ROUND($BE8*T8*AB8*K8*AZ8*0.8*[1]ステータス!$C$2,0))</f>
        <v>1050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2505</v>
      </c>
      <c r="BK8" s="10">
        <f ca="1">ROUND(BD8*S8*AA8*J8*AY8*[1]ステータス!$B$2,0)</f>
        <v>5009</v>
      </c>
      <c r="BL8" s="10">
        <f ca="1">ROUND(BD8*T8*AB8*K8*AZ8*[1]ステータス!$C$2,0)</f>
        <v>2100</v>
      </c>
      <c r="BM8" s="10">
        <f ca="1">ROUND(BD8*U8*AC8*L8*BA8*[1]ステータス!$D$2,0)</f>
        <v>0</v>
      </c>
      <c r="BN8" s="10">
        <f ca="1">ROUND(BD8*V8*AD8*M8*BB8*[1]ステータス!$E$2,0)</f>
        <v>5010</v>
      </c>
      <c r="BO8" s="9">
        <v>0</v>
      </c>
      <c r="BP8" s="9">
        <v>1</v>
      </c>
      <c r="BQ8" s="9" t="s">
        <v>47</v>
      </c>
      <c r="BR8" s="9">
        <f ca="1">VLOOKUP(H8,ghosts_label!$A$2:$B$19,2,FALSE)</f>
        <v>700</v>
      </c>
    </row>
    <row r="9" spans="1:70" ht="26" customHeight="1" x14ac:dyDescent="0.15">
      <c r="A9" s="185">
        <v>1176</v>
      </c>
      <c r="B9" s="52" t="str">
        <f ca="1">VLOOKUP($A9,OFFSET([1]characters!$A$1,0,0,COUNTA([1]characters!$A:$A),MATCH(B$1,[1]characters!$1:$1,0)-MATCH($A$1,[1]characters!$1:$1,0)+1),MATCH(B$1,[1]characters!$1:$1,0)-MATCH($A$1,[1]characters!$1:$1,0)+1,FALSE)</f>
        <v>夢二夢斬の遊猟 フロイト</v>
      </c>
      <c r="C9" s="52" t="str">
        <f ca="1">VLOOKUP($A9,OFFSET([1]characters!$A$1,0,0,COUNTA([1]characters!$A:$A),MATCH(C$1,[1]characters!$1:$1,0)-MATCH($A$1,[1]characters!$1:$1,0)+1),MATCH(C$1,[1]characters!$1:$1,0)-MATCH($A$1,[1]characters!$1:$1,0)+1,FALSE)</f>
        <v>未定</v>
      </c>
      <c r="D9" s="52" t="str">
        <f ca="1">VLOOKUP($A9,OFFSET([1]characters!$A$1,0,0,COUNTA([1]characters!$A:$A),MATCH(D$1,[1]characters!$1:$1,0)-MATCH($A$1,[1]characters!$1:$1,0)+1),MATCH(D$1,[1]characters!$1:$1,0)-MATCH($A$1,[1]characters!$1:$1,0)+1,FALSE)</f>
        <v>アリス</v>
      </c>
      <c r="E9" s="52" t="str">
        <f ca="1">VLOOKUP($A9,OFFSET([1]characters!$A$1,0,0,COUNTA([1]characters!$A:$A),MATCH(E$1,[1]characters!$1:$1,0)-MATCH($A$1,[1]characters!$1:$1,0)+1),MATCH(E$1,[1]characters!$1:$1,0)-MATCH($A$1,[1]characters!$1:$1,0)+1,FALSE)</f>
        <v>世界観</v>
      </c>
      <c r="F9" s="52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2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2" t="str">
        <f ca="1">VLOOKUP($A9,OFFSET([1]characters!$A$1,0,0,COUNTA([1]characters!$A:$A),MATCH(H$1,[1]characters!$1:$1,0)-MATCH($A$1,[1]characters!$1:$1,0)+1),MATCH(H$1,[1]characters!$1:$1,0)-MATCH($A$1,[1]characters!$1:$1,0)+1,FALSE)</f>
        <v>PremiumSSS</v>
      </c>
      <c r="I9" s="52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0">
        <f ca="1">VLOOKUP(I9,[1]属性!$A:$E,2,FALSE)</f>
        <v>1</v>
      </c>
      <c r="K9" s="10">
        <f ca="1">VLOOKUP(I9,[1]属性!$A:$E,3,FALSE)</f>
        <v>1.02</v>
      </c>
      <c r="L9" s="10">
        <f ca="1">VLOOKUP(I9,[1]属性!$A:$E,4,FALSE)</f>
        <v>1</v>
      </c>
      <c r="M9" s="10">
        <f ca="1">VLOOKUP(I9,[1]属性!$A:$E,5,FALSE)</f>
        <v>0.98</v>
      </c>
      <c r="N9" s="10">
        <f ca="1">INDEX(コスト!$A$1:$I$21,MATCH(H9,コスト!$A$1:$A$21,FALSE),MATCH(G9,コスト!$A$1:$I$1,FALSE))</f>
        <v>55</v>
      </c>
      <c r="O9" s="10">
        <f ca="1">INDEX(レベル!$A$1:$I$22,MATCH(H9,レベル!$A$1:$A$22,FALSE),MATCH(G9,レベル!$A$1:$I$1,FALSE))</f>
        <v>99</v>
      </c>
      <c r="P9" s="43">
        <f t="shared" ca="1" si="17"/>
        <v>99</v>
      </c>
      <c r="Q9" s="52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0">
        <f ca="1">VLOOKUP(Q9,[1]character_type_i18n!$A:$H,4,FALSE)</f>
        <v>1</v>
      </c>
      <c r="T9" s="10">
        <f ca="1">VLOOKUP(Q9,[1]character_type_i18n!$A:$H,5,FALSE)</f>
        <v>1</v>
      </c>
      <c r="U9" s="10">
        <f ca="1">VLOOKUP(Q9,[1]character_type_i18n!$A:$H,6,FALSE)</f>
        <v>1</v>
      </c>
      <c r="V9" s="10">
        <f ca="1">VLOOKUP(Q9,[1]character_type_i18n!$A:$H,7,FALSE)</f>
        <v>1</v>
      </c>
      <c r="W9" s="52" t="str">
        <f ca="1">VLOOKUP($A9,OFFSET([1]characters!$A$1,0,0,COUNTA([1]characters!$A:$A),MATCH(W$1,[1]characters!$1:$1,0)-MATCH($A$1,[1]characters!$1:$1,0)+1),MATCH(W$1,[1]characters!$1:$1,0)-MATCH($A$1,[1]characters!$1:$1,0)+1,FALSE)</f>
        <v>academia</v>
      </c>
      <c r="X9" s="5" t="str">
        <f ca="1">VLOOKUP(W9,[1]character_tribe_i18n!$A:$H,3,FALSE)</f>
        <v>アカデミア</v>
      </c>
      <c r="Y9" s="52" t="str">
        <f ca="1">VLOOKUP($A9,OFFSET([1]characters!$A$1,0,0,COUNTA([1]characters!$A:$A),MATCH(Y$1,[1]characters!$1:$1,0)-MATCH($A$1,[1]characters!$1:$1,0)+1),MATCH(Y$1,[1]characters!$1:$1,0)-MATCH($A$1,[1]characters!$1:$1,0)+1,FALSE)</f>
        <v>machine</v>
      </c>
      <c r="Z9" s="5" t="str">
        <f ca="1">VLOOKUP(Y9,[1]character_tribe_i18n!$A:$H,3,FALSE)</f>
        <v>マシン</v>
      </c>
      <c r="AA9" s="10">
        <f ca="1">VLOOKUP(W9,[1]character_tribe_i18n!$A:$H,4,FALSE)</f>
        <v>1</v>
      </c>
      <c r="AB9" s="10">
        <f ca="1">VLOOKUP(W9,[1]character_tribe_i18n!$A:$H,5,FALSE)</f>
        <v>1</v>
      </c>
      <c r="AC9" s="10">
        <f ca="1">VLOOKUP(W9,[1]character_tribe_i18n!$A:$H,6,FALSE)</f>
        <v>1</v>
      </c>
      <c r="AD9" s="10">
        <f ca="1">VLOOKUP(W9,[1]character_tribe_i18n!$A:$H,7,FALSE)</f>
        <v>1</v>
      </c>
      <c r="AE9" s="186" t="s">
        <v>311</v>
      </c>
      <c r="AF9" s="57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6">
        <v>870</v>
      </c>
      <c r="AH9" s="57" t="str">
        <f ca="1">VLOOKUP($AG9,OFFSET([1]characters!$A$1,0,0,COUNTA([1]characters!$A:$A),MATCH(AH$1,[1]characters!$1:$1,0)-MATCH($A$1,[1]characters!$1:$1,0)+1),MATCH(AH$1,[1]characters!$1:$1,0)-MATCH($A$1,[1]characters!$1:$1,0)+1,FALSE)</f>
        <v>フロイト</v>
      </c>
      <c r="AI9" s="10" t="str">
        <f>IF(AE9="NULL","NULL",VLOOKUP(G9,ビット!$A$2:$B$7,2))</f>
        <v>NULL</v>
      </c>
      <c r="AJ9" s="6">
        <v>2</v>
      </c>
      <c r="AK9" s="7" t="str">
        <f t="shared" si="18"/>
        <v>普通</v>
      </c>
      <c r="AL9" s="10" t="str">
        <f ca="1">INDEX(経験値!$A$1:$I$21,MATCH(H9,経験値!$A$1:$A$21,FALSE),MATCH(G9,経験値!$A$1:$I$1,FALSE))</f>
        <v>required_exp_300</v>
      </c>
      <c r="AM9" s="8">
        <f ca="1">VLOOKUP(G9,経験値!$A$28:$B$32,2)</f>
        <v>6400</v>
      </c>
      <c r="AN9" s="16">
        <f ca="1">VLOOKUP(G9,ビット!$G$2:$H$7,2)</f>
        <v>900</v>
      </c>
      <c r="AO9" s="40"/>
      <c r="AP9" s="62">
        <v>1176</v>
      </c>
      <c r="AQ9" s="52" t="str">
        <f ca="1">VLOOKUP($AP9,OFFSET(unit_skills!$A$1,0,0,COUNTA(unit_skills!$A:$A),MATCH(AQ$1,unit_skills!$1:$1,0)-MATCH($AP$1,unit_skills!$1:$1,0)+1),MATCH(AQ$1,unit_skills!$1:$1,0)-MATCH($AP$1,unit_skills!$1:$1,0)+1,FALSE)</f>
        <v>デイドリーム・キャッチャー</v>
      </c>
      <c r="AR9" s="52" t="str">
        <f ca="1">VLOOKUP($AP9,OFFSET(unit_skills!$A$1,0,0,COUNTA(unit_skills!$A:$A),MATCH(AR$1,unit_skills!$1:$1,0)-MATCH($AP$1,unit_skills!$1:$1,0)+1),MATCH(AR$1,unit_skills!$1:$1,0)-MATCH($AP$1,unit_skills!$1:$1,0)+1,FALSE)</f>
        <v>ランダムで最大1個ずつSCP(特大)とボム(大)に変換+1ターン確率で5色のボム(大)をドロップ+2ターンダメージを40%軽減</v>
      </c>
      <c r="AS9" s="52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62">
        <v>1176</v>
      </c>
      <c r="AU9" s="52" t="str">
        <f ca="1">VLOOKUP($AT9,OFFSET(crash_skills!$A$1,0,0,COUNTA(crash_skills!$A:$A),MATCH(AU$1,crash_skills!$1:$1,0)-MATCH($AT$1,crash_skills!$1:$1,0)+1),MATCH(AU$1,crash_skills!$1:$1,0)-MATCH($AT$1,crash_skills!$1:$1,0)+1,FALSE)</f>
        <v>潜在一遇ディストーション</v>
      </c>
      <c r="AV9" s="52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1体に特大ダメージ_x000D_種族ゴッドに効果超大</v>
      </c>
      <c r="AW9" s="52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3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3">
        <v>0.97</v>
      </c>
      <c r="AZ9" s="63">
        <v>1.125</v>
      </c>
      <c r="BA9" s="63">
        <v>0</v>
      </c>
      <c r="BB9" s="63">
        <v>1</v>
      </c>
      <c r="BC9" s="10">
        <f ca="1">INDEX('RC6SV'!$A$1:$G$21,MATCH(H9,'RC6SV'!$A$1:$A$21,FALSE),MATCH(G9,'RC6SV'!$A$1:$G$1,FALSE))</f>
        <v>14000</v>
      </c>
      <c r="BD9" s="43">
        <f t="shared" ca="1" si="19"/>
        <v>14000</v>
      </c>
      <c r="BE9" s="10">
        <f t="shared" ca="1" si="3"/>
        <v>0</v>
      </c>
      <c r="BF9" s="10">
        <f t="shared" ca="1" si="4"/>
        <v>1</v>
      </c>
      <c r="BG9" s="15">
        <f ca="1">IF($BE9&lt;=0,ROUND(BK9*0.5,0), ROUND($BE9*S9*AA9*J9*AY9*0.8*[1]ステータス!$B$2,0))</f>
        <v>3395</v>
      </c>
      <c r="BH9" s="15">
        <f ca="1">IF($BE9&lt;=0,ROUND(BL9*0.5,0), ROUND($BE9*T9*AB9*K9*AZ9*0.8*[1]ステータス!$C$2,0))</f>
        <v>2410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1715</v>
      </c>
      <c r="BK9" s="10">
        <f ca="1">ROUND(BD9*S9*AA9*J9*AY9*[1]ステータス!$B$2,0)</f>
        <v>6790</v>
      </c>
      <c r="BL9" s="10">
        <f ca="1">ROUND(BD9*T9*AB9*K9*AZ9*[1]ステータス!$C$2,0)</f>
        <v>4820</v>
      </c>
      <c r="BM9" s="10">
        <f ca="1">ROUND(BD9*U9*AC9*L9*BA9*[1]ステータス!$D$2,0)</f>
        <v>0</v>
      </c>
      <c r="BN9" s="10">
        <f ca="1">ROUND(BD9*V9*AD9*M9*BB9*[1]ステータス!$E$2,0)</f>
        <v>3430</v>
      </c>
      <c r="BO9" s="9">
        <v>0</v>
      </c>
      <c r="BP9" s="9">
        <v>1</v>
      </c>
      <c r="BQ9" s="9" t="s">
        <v>47</v>
      </c>
      <c r="BR9" s="9">
        <f ca="1">VLOOKUP(H9,ghosts_label!$A$2:$B$19,2,FALSE)</f>
        <v>30000</v>
      </c>
    </row>
    <row r="10" spans="1:70" ht="26" customHeight="1" x14ac:dyDescent="0.15">
      <c r="A10" s="185">
        <v>882</v>
      </c>
      <c r="B10" s="52" t="str">
        <f ca="1">VLOOKUP($A10,OFFSET([1]characters!$A$1,0,0,COUNTA([1]characters!$A:$A),MATCH(B$1,[1]characters!$1:$1,0)-MATCH($A$1,[1]characters!$1:$1,0)+1),MATCH(B$1,[1]characters!$1:$1,0)-MATCH($A$1,[1]characters!$1:$1,0)+1,FALSE)</f>
        <v>歪極する星壊 シュヴァルツシルト</v>
      </c>
      <c r="C10" s="52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各属性相性良3・黄・R486</v>
      </c>
      <c r="D10" s="52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2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2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2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2" t="str">
        <f ca="1">VLOOKUP($A10,OFFSET([1]characters!$A$1,0,0,COUNTA([1]characters!$A:$A),MATCH(H$1,[1]characters!$1:$1,0)-MATCH($A$1,[1]characters!$1:$1,0)+1),MATCH(H$1,[1]characters!$1:$1,0)-MATCH($A$1,[1]characters!$1:$1,0)+1,FALSE)</f>
        <v>PremiumSSS</v>
      </c>
      <c r="I10" s="52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10">
        <f ca="1">VLOOKUP(I10,[1]属性!$A:$E,2,FALSE)</f>
        <v>1</v>
      </c>
      <c r="K10" s="10">
        <f ca="1">VLOOKUP(I10,[1]属性!$A:$E,3,FALSE)</f>
        <v>0.98</v>
      </c>
      <c r="L10" s="10">
        <f ca="1">VLOOKUP(I10,[1]属性!$A:$E,4,FALSE)</f>
        <v>1</v>
      </c>
      <c r="M10" s="10">
        <f ca="1">VLOOKUP(I10,[1]属性!$A:$E,5,FALSE)</f>
        <v>1.02</v>
      </c>
      <c r="N10" s="10">
        <f ca="1">INDEX(コスト!$A$1:$I$21,MATCH(H10,コスト!$A$1:$A$21,FALSE),MATCH(G10,コスト!$A$1:$I$1,FALSE))</f>
        <v>55</v>
      </c>
      <c r="O10" s="10">
        <f ca="1">INDEX(レベル!$A$1:$I$22,MATCH(H10,レベル!$A$1:$A$22,FALSE),MATCH(G10,レベル!$A$1:$I$1,FALSE))</f>
        <v>99</v>
      </c>
      <c r="P10" s="43">
        <f t="shared" ref="P10" ca="1" si="20">IF(G10 &gt;= 6, 99,G10*15)</f>
        <v>99</v>
      </c>
      <c r="Q10" s="52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0">
        <f ca="1">VLOOKUP(Q10,[1]character_type_i18n!$A:$H,4,FALSE)</f>
        <v>1</v>
      </c>
      <c r="T10" s="10">
        <f ca="1">VLOOKUP(Q10,[1]character_type_i18n!$A:$H,5,FALSE)</f>
        <v>1.33</v>
      </c>
      <c r="U10" s="10">
        <f ca="1">VLOOKUP(Q10,[1]character_type_i18n!$A:$H,6,FALSE)</f>
        <v>1</v>
      </c>
      <c r="V10" s="10">
        <f ca="1">VLOOKUP(Q10,[1]character_type_i18n!$A:$H,7,FALSE)</f>
        <v>0.67</v>
      </c>
      <c r="W10" s="52" t="str">
        <f ca="1">VLOOKUP($A10,OFFSET([1]characters!$A$1,0,0,COUNTA([1]characters!$A:$A),MATCH(W$1,[1]characters!$1:$1,0)-MATCH($A$1,[1]characters!$1:$1,0)+1),MATCH(W$1,[1]characters!$1:$1,0)-MATCH($A$1,[1]characters!$1:$1,0)+1,FALSE)</f>
        <v>academia</v>
      </c>
      <c r="X10" s="5" t="str">
        <f ca="1">VLOOKUP(W10,[1]character_tribe_i18n!$A:$H,3,FALSE)</f>
        <v>アカデミア</v>
      </c>
      <c r="Y10" s="52" t="str">
        <f ca="1">VLOOKUP($A10,OFFSET([1]characters!$A$1,0,0,COUNTA([1]characters!$A:$A),MATCH(Y$1,[1]characters!$1:$1,0)-MATCH($A$1,[1]characters!$1:$1,0)+1),MATCH(Y$1,[1]characters!$1:$1,0)-MATCH($A$1,[1]characters!$1:$1,0)+1,FALSE)</f>
        <v>human</v>
      </c>
      <c r="Z10" s="5" t="str">
        <f ca="1">VLOOKUP(Y10,[1]character_tribe_i18n!$A:$H,3,FALSE)</f>
        <v>ヒューマン</v>
      </c>
      <c r="AA10" s="10">
        <f ca="1">VLOOKUP(W10,[1]character_tribe_i18n!$A:$H,4,FALSE)</f>
        <v>1</v>
      </c>
      <c r="AB10" s="10">
        <f ca="1">VLOOKUP(W10,[1]character_tribe_i18n!$A:$H,5,FALSE)</f>
        <v>1</v>
      </c>
      <c r="AC10" s="10">
        <f ca="1">VLOOKUP(W10,[1]character_tribe_i18n!$A:$H,6,FALSE)</f>
        <v>1</v>
      </c>
      <c r="AD10" s="10">
        <f ca="1">VLOOKUP(W10,[1]character_tribe_i18n!$A:$H,7,FALSE)</f>
        <v>1</v>
      </c>
      <c r="AE10" s="186" t="s">
        <v>311</v>
      </c>
      <c r="AF10" s="57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186">
        <v>872</v>
      </c>
      <c r="AH10" s="57" t="str">
        <f ca="1">VLOOKUP($AG10,OFFSET([1]characters!$A$1,0,0,COUNTA([1]characters!$A:$A),MATCH(AH$1,[1]characters!$1:$1,0)-MATCH($A$1,[1]characters!$1:$1,0)+1),MATCH(AH$1,[1]characters!$1:$1,0)-MATCH($A$1,[1]characters!$1:$1,0)+1,FALSE)</f>
        <v>シュヴァルツシルト</v>
      </c>
      <c r="AI10" s="10" t="str">
        <f>IF(AE10="NULL","NULL",VLOOKUP(G10,ビット!$A$2:$B$7,2))</f>
        <v>NULL</v>
      </c>
      <c r="AJ10" s="6">
        <v>2</v>
      </c>
      <c r="AK10" s="7" t="str">
        <f t="shared" ref="AK10" si="21">IF(AJ10=1,"早熟",IF(AJ10=2,"普通",IF(AJ10=3,"晩成","")))</f>
        <v>普通</v>
      </c>
      <c r="AL10" s="10" t="str">
        <f ca="1">INDEX(経験値!$A$1:$I$21,MATCH(H10,経験値!$A$1:$A$21,FALSE),MATCH(G10,経験値!$A$1:$I$1,FALSE))</f>
        <v>required_exp_300</v>
      </c>
      <c r="AM10" s="8">
        <f ca="1">VLOOKUP(G10,経験値!$A$28:$B$32,2)</f>
        <v>6400</v>
      </c>
      <c r="AN10" s="16">
        <f ca="1">VLOOKUP(G10,ビット!$G$2:$H$7,2)</f>
        <v>900</v>
      </c>
      <c r="AO10" s="40"/>
      <c r="AP10" s="62">
        <v>882</v>
      </c>
      <c r="AQ10" s="52" t="str">
        <f ca="1">VLOOKUP($AP10,OFFSET(unit_skills!$A$1,0,0,COUNTA(unit_skills!$A:$A),MATCH(AQ$1,unit_skills!$1:$1,0)-MATCH($AP$1,unit_skills!$1:$1,0)+1),MATCH(AQ$1,unit_skills!$1:$1,0)-MATCH($AP$1,unit_skills!$1:$1,0)+1,FALSE)</f>
        <v>時空崩壊クエーサー</v>
      </c>
      <c r="AR10" s="52" t="str">
        <f ca="1">VLOOKUP($AP10,OFFSET(unit_skills!$A$1,0,0,COUNTA(unit_skills!$A:$A),MATCH(AR$1,unit_skills!$1:$1,0)-MATCH($AP$1,unit_skills!$1:$1,0)+1),MATCH(AR$1,unit_skills!$1:$1,0)-MATCH($AP$1,unit_skills!$1:$1,0)+1,FALSE)</f>
        <v>黄パネルを最大1個SCパネル(特大)に変換+2ターン青属性ユニットの攻撃力を大UPし、ハートパネルの出現率をDOWN</v>
      </c>
      <c r="AS10" s="52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62">
        <v>882</v>
      </c>
      <c r="AU10" s="52" t="str">
        <f ca="1">VLOOKUP($AT10,OFFSET(crash_skills!$A$1,0,0,COUNTA(crash_skills!$A:$A),MATCH(AU$1,crash_skills!$1:$1,0)-MATCH($AT$1,crash_skills!$1:$1,0)+1),MATCH(AU$1,crash_skills!$1:$1,0)-MATCH($AT$1,crash_skills!$1:$1,0)+1,FALSE)</f>
        <v>グラビティ・ラビリンス</v>
      </c>
      <c r="AV10" s="52" t="str">
        <f ca="1">VLOOKUP($AT10,OFFSET(crash_skills!$A$1,0,0,COUNTA(crash_skills!$A:$A),MATCH(AV$1,crash_skills!$1:$1,0)-MATCH($AT$1,crash_skills!$1:$1,0)+1),MATCH(AV$1,crash_skills!$1:$1,0)-MATCH($AT$1,crash_skills!$1:$1,0)+1,FALSE)</f>
        <v>1体に超大ダメージ</v>
      </c>
      <c r="AW10" s="52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3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3">
        <v>1.014</v>
      </c>
      <c r="AZ10" s="63">
        <v>0.93200000000000005</v>
      </c>
      <c r="BA10" s="63">
        <v>0</v>
      </c>
      <c r="BB10" s="63">
        <v>1.0660000000000001</v>
      </c>
      <c r="BC10" s="10">
        <f ca="1">INDEX('RC6SV'!$A$1:$G$21,MATCH(H10,'RC6SV'!$A$1:$A$21,FALSE),MATCH(G10,'RC6SV'!$A$1:$G$1,FALSE))</f>
        <v>14000</v>
      </c>
      <c r="BD10" s="43">
        <f t="shared" ref="BD10" ca="1" si="22">ROUND(BC10*IF(AJ10=1,0.95,IF(AJ10=2,1,IF(AJ10,1.05,0))),0)</f>
        <v>14000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3549</v>
      </c>
      <c r="BH10" s="15">
        <f ca="1">IF($BE10&lt;=0,ROUND(BL10*0.5,0), ROUND($BE10*T10*AB10*K10*AZ10*0.8*[1]ステータス!$C$2,0))</f>
        <v>2551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1275</v>
      </c>
      <c r="BK10" s="10">
        <f ca="1">ROUND(BD10*S10*AA10*J10*AY10*[1]ステータス!$B$2,0)</f>
        <v>7098</v>
      </c>
      <c r="BL10" s="10">
        <f ca="1">ROUND(BD10*T10*AB10*K10*AZ10*[1]ステータス!$C$2,0)</f>
        <v>5102</v>
      </c>
      <c r="BM10" s="10">
        <f ca="1">ROUND(BD10*U10*AC10*L10*BA10*[1]ステータス!$D$2,0)</f>
        <v>0</v>
      </c>
      <c r="BN10" s="10">
        <f ca="1">ROUND(BD10*V10*AD10*M10*BB10*[1]ステータス!$E$2,0)</f>
        <v>2550</v>
      </c>
      <c r="BO10" s="9">
        <v>0</v>
      </c>
      <c r="BP10" s="9">
        <v>1</v>
      </c>
      <c r="BQ10" s="9" t="s">
        <v>47</v>
      </c>
      <c r="BR10" s="198">
        <v>5500</v>
      </c>
    </row>
    <row r="11" spans="1:70" ht="26" customHeight="1" x14ac:dyDescent="0.15">
      <c r="A11" s="185">
        <v>1108</v>
      </c>
      <c r="B11" s="52" t="str">
        <f ca="1">VLOOKUP($A11,OFFSET([1]characters!$A$1,0,0,COUNTA([1]characters!$A:$A),MATCH(B$1,[1]characters!$1:$1,0)-MATCH($A$1,[1]characters!$1:$1,0)+1),MATCH(B$1,[1]characters!$1:$1,0)-MATCH($A$1,[1]characters!$1:$1,0)+1,FALSE)</f>
        <v>交鏡の光波 フレネル</v>
      </c>
      <c r="C11" s="52" t="str">
        <f ca="1">VLOOKUP($A11,OFFSET([1]characters!$A$1,0,0,COUNTA([1]characters!$A:$A),MATCH(C$1,[1]characters!$1:$1,0)-MATCH($A$1,[1]characters!$1:$1,0)+1),MATCH(C$1,[1]characters!$1:$1,0)-MATCH($A$1,[1]characters!$1:$1,0)+1,FALSE)</f>
        <v>未定</v>
      </c>
      <c r="D11" s="52" t="str">
        <f ca="1">VLOOKUP($A11,OFFSET([1]characters!$A$1,0,0,COUNTA([1]characters!$A:$A),MATCH(D$1,[1]characters!$1:$1,0)-MATCH($A$1,[1]characters!$1:$1,0)+1),MATCH(D$1,[1]characters!$1:$1,0)-MATCH($A$1,[1]characters!$1:$1,0)+1,FALSE)</f>
        <v>アリス</v>
      </c>
      <c r="E11" s="52" t="str">
        <f ca="1">VLOOKUP($A11,OFFSET([1]characters!$A$1,0,0,COUNTA([1]characters!$A:$A),MATCH(E$1,[1]characters!$1:$1,0)-MATCH($A$1,[1]characters!$1:$1,0)+1),MATCH(E$1,[1]characters!$1:$1,0)-MATCH($A$1,[1]characters!$1:$1,0)+1,FALSE)</f>
        <v>世界観</v>
      </c>
      <c r="F11" s="52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2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2" t="str">
        <f ca="1">VLOOKUP($A11,OFFSET([1]characters!$A$1,0,0,COUNTA([1]characters!$A:$A),MATCH(H$1,[1]characters!$1:$1,0)-MATCH($A$1,[1]characters!$1:$1,0)+1),MATCH(H$1,[1]characters!$1:$1,0)-MATCH($A$1,[1]characters!$1:$1,0)+1,FALSE)</f>
        <v>PremiumSSS</v>
      </c>
      <c r="I11" s="52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0">
        <f ca="1">VLOOKUP(I11,[1]属性!$A:$E,2,FALSE)</f>
        <v>0.98</v>
      </c>
      <c r="K11" s="10">
        <f ca="1">VLOOKUP(I11,[1]属性!$A:$E,3,FALSE)</f>
        <v>1.01</v>
      </c>
      <c r="L11" s="10">
        <f ca="1">VLOOKUP(I11,[1]属性!$A:$E,4,FALSE)</f>
        <v>1</v>
      </c>
      <c r="M11" s="10">
        <f ca="1">VLOOKUP(I11,[1]属性!$A:$E,5,FALSE)</f>
        <v>1.01</v>
      </c>
      <c r="N11" s="10">
        <f ca="1">INDEX(コスト!$A$1:$I$21,MATCH(H11,コスト!$A$1:$A$21,FALSE),MATCH(G11,コスト!$A$1:$I$1,FALSE))</f>
        <v>55</v>
      </c>
      <c r="O11" s="10">
        <f ca="1">INDEX(レベル!$A$1:$I$22,MATCH(H11,レベル!$A$1:$A$22,FALSE),MATCH(G11,レベル!$A$1:$I$1,FALSE))</f>
        <v>99</v>
      </c>
      <c r="P11" s="43">
        <f t="shared" ref="P11" ca="1" si="23">IF(G11 &gt;= 6, 99,G11*15)</f>
        <v>99</v>
      </c>
      <c r="Q11" s="52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0">
        <f ca="1">VLOOKUP(Q11,[1]character_type_i18n!$A:$H,4,FALSE)</f>
        <v>1</v>
      </c>
      <c r="T11" s="10">
        <f ca="1">VLOOKUP(Q11,[1]character_type_i18n!$A:$H,5,FALSE)</f>
        <v>1.33</v>
      </c>
      <c r="U11" s="10">
        <f ca="1">VLOOKUP(Q11,[1]character_type_i18n!$A:$H,6,FALSE)</f>
        <v>1</v>
      </c>
      <c r="V11" s="10">
        <f ca="1">VLOOKUP(Q11,[1]character_type_i18n!$A:$H,7,FALSE)</f>
        <v>0.67</v>
      </c>
      <c r="W11" s="52" t="str">
        <f ca="1">VLOOKUP($A11,OFFSET([1]characters!$A$1,0,0,COUNTA([1]characters!$A:$A),MATCH(W$1,[1]characters!$1:$1,0)-MATCH($A$1,[1]characters!$1:$1,0)+1),MATCH(W$1,[1]characters!$1:$1,0)-MATCH($A$1,[1]characters!$1:$1,0)+1,FALSE)</f>
        <v>academia</v>
      </c>
      <c r="X11" s="5" t="str">
        <f ca="1">VLOOKUP(W11,[1]character_tribe_i18n!$A:$H,3,FALSE)</f>
        <v>アカデミア</v>
      </c>
      <c r="Y11" s="52" t="str">
        <f ca="1">VLOOKUP($A11,OFFSET([1]characters!$A$1,0,0,COUNTA([1]characters!$A:$A),MATCH(Y$1,[1]characters!$1:$1,0)-MATCH($A$1,[1]characters!$1:$1,0)+1),MATCH(Y$1,[1]characters!$1:$1,0)-MATCH($A$1,[1]characters!$1:$1,0)+1,FALSE)</f>
        <v>machine</v>
      </c>
      <c r="Z11" s="5" t="str">
        <f ca="1">VLOOKUP(Y11,[1]character_tribe_i18n!$A:$H,3,FALSE)</f>
        <v>マシン</v>
      </c>
      <c r="AA11" s="10">
        <f ca="1">VLOOKUP(W11,[1]character_tribe_i18n!$A:$H,4,FALSE)</f>
        <v>1</v>
      </c>
      <c r="AB11" s="10">
        <f ca="1">VLOOKUP(W11,[1]character_tribe_i18n!$A:$H,5,FALSE)</f>
        <v>1</v>
      </c>
      <c r="AC11" s="10">
        <f ca="1">VLOOKUP(W11,[1]character_tribe_i18n!$A:$H,6,FALSE)</f>
        <v>1</v>
      </c>
      <c r="AD11" s="10">
        <f ca="1">VLOOKUP(W11,[1]character_tribe_i18n!$A:$H,7,FALSE)</f>
        <v>1</v>
      </c>
      <c r="AE11" s="186" t="s">
        <v>311</v>
      </c>
      <c r="AF11" s="57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6">
        <v>874</v>
      </c>
      <c r="AH11" s="57" t="str">
        <f ca="1">VLOOKUP($AG11,OFFSET([1]characters!$A$1,0,0,COUNTA([1]characters!$A:$A),MATCH(AH$1,[1]characters!$1:$1,0)-MATCH($A$1,[1]characters!$1:$1,0)+1),MATCH(AH$1,[1]characters!$1:$1,0)-MATCH($A$1,[1]characters!$1:$1,0)+1,FALSE)</f>
        <v>フレネル</v>
      </c>
      <c r="AI11" s="10" t="str">
        <f>IF(AE11="NULL","NULL",VLOOKUP(G11,ビット!$A$2:$B$7,2))</f>
        <v>NULL</v>
      </c>
      <c r="AJ11" s="6">
        <v>2</v>
      </c>
      <c r="AK11" s="7" t="str">
        <f t="shared" ref="AK11" si="24">IF(AJ11=1,"早熟",IF(AJ11=2,"普通",IF(AJ11=3,"晩成","")))</f>
        <v>普通</v>
      </c>
      <c r="AL11" s="10" t="str">
        <f ca="1">INDEX(経験値!$A$1:$I$21,MATCH(H11,経験値!$A$1:$A$21,FALSE),MATCH(G11,経験値!$A$1:$I$1,FALSE))</f>
        <v>required_exp_300</v>
      </c>
      <c r="AM11" s="8">
        <f ca="1">VLOOKUP(G11,経験値!$A$28:$B$32,2)</f>
        <v>6400</v>
      </c>
      <c r="AN11" s="16">
        <f ca="1">VLOOKUP(G11,ビット!$G$2:$H$7,2)</f>
        <v>900</v>
      </c>
      <c r="AO11" s="40"/>
      <c r="AP11" s="62">
        <v>1108</v>
      </c>
      <c r="AQ11" s="52" t="str">
        <f ca="1">VLOOKUP($AP11,OFFSET(unit_skills!$A$1,0,0,COUNTA(unit_skills!$A:$A),MATCH(AQ$1,unit_skills!$1:$1,0)-MATCH($AP$1,unit_skills!$1:$1,0)+1),MATCH(AQ$1,unit_skills!$1:$1,0)-MATCH($AP$1,unit_skills!$1:$1,0)+1,FALSE)</f>
        <v>波動伝播グレーティング</v>
      </c>
      <c r="AR11" s="52" t="str">
        <f ca="1">VLOOKUP($AP11,OFFSET(unit_skills!$A$1,0,0,COUNTA(unit_skills!$A:$A),MATCH(AR$1,unit_skills!$1:$1,0)-MATCH($AP$1,unit_skills!$1:$1,0)+1),MATCH(AR$1,unit_skills!$1:$1,0)-MATCH($AP$1,unit_skills!$1:$1,0)+1,FALSE)</f>
        <v>赤パネルをCP変換+2ターン黄属性の攻撃力超大UP+1ターン全ユニットCP生成短縮特大、自身が先頭以外でも通常攻撃に参加</v>
      </c>
      <c r="AS11" s="52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62">
        <v>1108</v>
      </c>
      <c r="AU11" s="52" t="str">
        <f ca="1">VLOOKUP($AT11,OFFSET(crash_skills!$A$1,0,0,COUNTA(crash_skills!$A:$A),MATCH(AU$1,crash_skills!$1:$1,0)-MATCH($AT$1,crash_skills!$1:$1,0)+1),MATCH(AU$1,crash_skills!$1:$1,0)-MATCH($AT$1,crash_skills!$1:$1,0)+1,FALSE)</f>
        <v>レンズ・オブ・サンクション</v>
      </c>
      <c r="AV11" s="52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</v>
      </c>
      <c r="AW11" s="52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3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3">
        <v>0.97699999999999998</v>
      </c>
      <c r="AZ11" s="63">
        <v>0.90600000000000003</v>
      </c>
      <c r="BA11" s="63">
        <v>0</v>
      </c>
      <c r="BB11" s="63">
        <v>1.161</v>
      </c>
      <c r="BC11" s="10">
        <f ca="1">INDEX('RC6SV'!$A$1:$G$21,MATCH(H11,'RC6SV'!$A$1:$A$21,FALSE),MATCH(G11,'RC6SV'!$A$1:$G$1,FALSE))</f>
        <v>14000</v>
      </c>
      <c r="BD11" s="43">
        <f t="shared" ref="BD11" ca="1" si="25">ROUND(BC11*IF(AJ11=1,0.95,IF(AJ11=2,1,IF(AJ11,1.05,0))),0)</f>
        <v>14000</v>
      </c>
      <c r="BE11" s="10">
        <f t="shared" ca="1" si="3"/>
        <v>0</v>
      </c>
      <c r="BF11" s="10">
        <f t="shared" ca="1" si="4"/>
        <v>1</v>
      </c>
      <c r="BG11" s="15">
        <f ca="1">IF($BE11&lt;=0,ROUND(BK11*0.5,0), ROUND($BE11*S11*AA11*J11*AY11*0.8*[1]ステータス!$B$2,0))</f>
        <v>3351</v>
      </c>
      <c r="BH11" s="15">
        <f ca="1">IF($BE11&lt;=0,ROUND(BL11*0.5,0), ROUND($BE11*T11*AB11*K11*AZ11*0.8*[1]ステータス!$C$2,0))</f>
        <v>2556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1375</v>
      </c>
      <c r="BK11" s="10">
        <f ca="1">ROUND(BD11*S11*AA11*J11*AY11*[1]ステータス!$B$2,0)</f>
        <v>6702</v>
      </c>
      <c r="BL11" s="10">
        <f ca="1">ROUND(BD11*T11*AB11*K11*AZ11*[1]ステータス!$C$2,0)</f>
        <v>5112</v>
      </c>
      <c r="BM11" s="10">
        <f ca="1">ROUND(BD11*U11*AC11*L11*BA11*[1]ステータス!$D$2,0)</f>
        <v>0</v>
      </c>
      <c r="BN11" s="10">
        <f ca="1">ROUND(BD11*V11*AD11*M11*BB11*[1]ステータス!$E$2,0)</f>
        <v>2750</v>
      </c>
      <c r="BO11" s="9">
        <v>0</v>
      </c>
      <c r="BP11" s="9">
        <v>1</v>
      </c>
      <c r="BQ11" s="9" t="s">
        <v>47</v>
      </c>
      <c r="BR11" s="198">
        <v>5500</v>
      </c>
    </row>
    <row r="12" spans="1:70" ht="26" customHeight="1" x14ac:dyDescent="0.15">
      <c r="A12" s="185">
        <v>1078</v>
      </c>
      <c r="B12" s="52" t="str">
        <f ca="1">VLOOKUP($A12,OFFSET([1]characters!$A$1,0,0,COUNTA([1]characters!$A:$A),MATCH(B$1,[1]characters!$1:$1,0)-MATCH($A$1,[1]characters!$1:$1,0)+1),MATCH(B$1,[1]characters!$1:$1,0)-MATCH($A$1,[1]characters!$1:$1,0)+1,FALSE)</f>
        <v>合奏の飛論理 パレート</v>
      </c>
      <c r="C12" s="52" t="str">
        <f ca="1">VLOOKUP($A12,OFFSET([1]characters!$A$1,0,0,COUNTA([1]characters!$A:$A),MATCH(C$1,[1]characters!$1:$1,0)-MATCH($A$1,[1]characters!$1:$1,0)+1),MATCH(C$1,[1]characters!$1:$1,0)-MATCH($A$1,[1]characters!$1:$1,0)+1,FALSE)</f>
        <v>イザナミ_分岐</v>
      </c>
      <c r="D12" s="52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2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2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2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2" t="str">
        <f ca="1">VLOOKUP($A12,OFFSET([1]characters!$A$1,0,0,COUNTA([1]characters!$A:$A),MATCH(H$1,[1]characters!$1:$1,0)-MATCH($A$1,[1]characters!$1:$1,0)+1),MATCH(H$1,[1]characters!$1:$1,0)-MATCH($A$1,[1]characters!$1:$1,0)+1,FALSE)</f>
        <v>PremiumSSS</v>
      </c>
      <c r="I12" s="52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0">
        <f ca="1">VLOOKUP(I12,[1]属性!$A:$E,2,FALSE)</f>
        <v>1.02</v>
      </c>
      <c r="K12" s="10">
        <f ca="1">VLOOKUP(I12,[1]属性!$A:$E,3,FALSE)</f>
        <v>0.98</v>
      </c>
      <c r="L12" s="10">
        <f ca="1">VLOOKUP(I12,[1]属性!$A:$E,4,FALSE)</f>
        <v>1</v>
      </c>
      <c r="M12" s="10">
        <f ca="1">VLOOKUP(I12,[1]属性!$A:$E,5,FALSE)</f>
        <v>1</v>
      </c>
      <c r="N12" s="10">
        <f ca="1">INDEX(コスト!$A$1:$I$21,MATCH(H12,コスト!$A$1:$A$21,FALSE),MATCH(G12,コスト!$A$1:$I$1,FALSE))</f>
        <v>55</v>
      </c>
      <c r="O12" s="10">
        <f ca="1">INDEX(レベル!$A$1:$I$22,MATCH(H12,レベル!$A$1:$A$22,FALSE),MATCH(G12,レベル!$A$1:$I$1,FALSE))</f>
        <v>99</v>
      </c>
      <c r="P12" s="43">
        <f t="shared" ref="P12" ca="1" si="26">IF(G12 &gt;= 6, 99,G12*15)</f>
        <v>99</v>
      </c>
      <c r="Q12" s="52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0">
        <f ca="1">VLOOKUP(Q12,[1]character_type_i18n!$A:$H,4,FALSE)</f>
        <v>1</v>
      </c>
      <c r="T12" s="10">
        <f ca="1">VLOOKUP(Q12,[1]character_type_i18n!$A:$H,5,FALSE)</f>
        <v>1</v>
      </c>
      <c r="U12" s="10">
        <f ca="1">VLOOKUP(Q12,[1]character_type_i18n!$A:$H,6,FALSE)</f>
        <v>1</v>
      </c>
      <c r="V12" s="10">
        <f ca="1">VLOOKUP(Q12,[1]character_type_i18n!$A:$H,7,FALSE)</f>
        <v>1</v>
      </c>
      <c r="W12" s="52" t="str">
        <f ca="1">VLOOKUP($A12,OFFSET([1]characters!$A$1,0,0,COUNTA([1]characters!$A:$A),MATCH(W$1,[1]characters!$1:$1,0)-MATCH($A$1,[1]characters!$1:$1,0)+1),MATCH(W$1,[1]characters!$1:$1,0)-MATCH($A$1,[1]characters!$1:$1,0)+1,FALSE)</f>
        <v>academia</v>
      </c>
      <c r="X12" s="5" t="str">
        <f ca="1">VLOOKUP(W12,[1]character_tribe_i18n!$A:$H,3,FALSE)</f>
        <v>アカデミア</v>
      </c>
      <c r="Y12" s="52" t="str">
        <f ca="1">VLOOKUP($A12,OFFSET([1]characters!$A$1,0,0,COUNTA([1]characters!$A:$A),MATCH(Y$1,[1]characters!$1:$1,0)-MATCH($A$1,[1]characters!$1:$1,0)+1),MATCH(Y$1,[1]characters!$1:$1,0)-MATCH($A$1,[1]characters!$1:$1,0)+1,FALSE)</f>
        <v>fantasy</v>
      </c>
      <c r="Z12" s="5" t="str">
        <f ca="1">VLOOKUP(Y12,[1]character_tribe_i18n!$A:$H,3,FALSE)</f>
        <v>ファンタジー</v>
      </c>
      <c r="AA12" s="10">
        <f ca="1">VLOOKUP(W12,[1]character_tribe_i18n!$A:$H,4,FALSE)</f>
        <v>1</v>
      </c>
      <c r="AB12" s="10">
        <f ca="1">VLOOKUP(W12,[1]character_tribe_i18n!$A:$H,5,FALSE)</f>
        <v>1</v>
      </c>
      <c r="AC12" s="10">
        <f ca="1">VLOOKUP(W12,[1]character_tribe_i18n!$A:$H,6,FALSE)</f>
        <v>1</v>
      </c>
      <c r="AD12" s="10">
        <f ca="1">VLOOKUP(W12,[1]character_tribe_i18n!$A:$H,7,FALSE)</f>
        <v>1</v>
      </c>
      <c r="AE12" s="186" t="s">
        <v>311</v>
      </c>
      <c r="AF12" s="57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186">
        <v>1076</v>
      </c>
      <c r="AH12" s="57" t="str">
        <f ca="1">VLOOKUP($AG12,OFFSET([1]characters!$A$1,0,0,COUNTA([1]characters!$A:$A),MATCH(AH$1,[1]characters!$1:$1,0)-MATCH($A$1,[1]characters!$1:$1,0)+1),MATCH(AH$1,[1]characters!$1:$1,0)-MATCH($A$1,[1]characters!$1:$1,0)+1,FALSE)</f>
        <v>パレート</v>
      </c>
      <c r="AI12" s="10" t="str">
        <f>IF(AE12="NULL","NULL",VLOOKUP(G12,ビット!$A$2:$B$7,2))</f>
        <v>NULL</v>
      </c>
      <c r="AJ12" s="6">
        <v>2</v>
      </c>
      <c r="AK12" s="7" t="str">
        <f t="shared" ref="AK12" si="27">IF(AJ12=1,"早熟",IF(AJ12=2,"普通",IF(AJ12=3,"晩成","")))</f>
        <v>普通</v>
      </c>
      <c r="AL12" s="10" t="str">
        <f ca="1">INDEX(経験値!$A$1:$I$21,MATCH(H12,経験値!$A$1:$A$21,FALSE),MATCH(G12,経験値!$A$1:$I$1,FALSE))</f>
        <v>required_exp_300</v>
      </c>
      <c r="AM12" s="8">
        <f ca="1">VLOOKUP(G12,経験値!$A$28:$B$32,2)</f>
        <v>6400</v>
      </c>
      <c r="AN12" s="16">
        <f ca="1">VLOOKUP(G12,ビット!$G$2:$H$7,2)</f>
        <v>900</v>
      </c>
      <c r="AO12" s="40"/>
      <c r="AP12" s="62">
        <v>1078</v>
      </c>
      <c r="AQ12" s="52" t="str">
        <f ca="1">VLOOKUP($AP12,OFFSET(unit_skills!$A$1,0,0,COUNTA(unit_skills!$A:$A),MATCH(AQ$1,unit_skills!$1:$1,0)-MATCH($AP$1,unit_skills!$1:$1,0)+1),MATCH(AQ$1,unit_skills!$1:$1,0)-MATCH($AP$1,unit_skills!$1:$1,0)+1,FALSE)</f>
        <v>幸福契約曲線・改演</v>
      </c>
      <c r="AR12" s="52" t="str">
        <f ca="1">VLOOKUP($AP12,OFFSET(unit_skills!$A$1,0,0,COUNTA(unit_skills!$A:$A),MATCH(AR$1,unit_skills!$1:$1,0)-MATCH($AP$1,unit_skills!$1:$1,0)+1),MATCH(AR$1,unit_skills!$1:$1,0)-MATCH($AP$1,unit_skills!$1:$1,0)+1,FALSE)</f>
        <v>赤・お邪魔を緑ボムに変換+ウィルス解除+1ターンCP生成短縮(特大)+2ターン緑パネル出現率を特大UPし、黄パネル出現率を大UP</v>
      </c>
      <c r="AS12" s="52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62">
        <v>1078</v>
      </c>
      <c r="AU12" s="52" t="str">
        <f ca="1">VLOOKUP($AT12,OFFSET(crash_skills!$A$1,0,0,COUNTA(crash_skills!$A:$A),MATCH(AU$1,crash_skills!$1:$1,0)-MATCH($AT$1,crash_skills!$1:$1,0)+1),MATCH(AU$1,crash_skills!$1:$1,0)-MATCH($AT$1,crash_skills!$1:$1,0)+1,FALSE)</f>
        <v>アンコール・オブ・ベネッセレ</v>
      </c>
      <c r="AV12" s="52" t="str">
        <f ca="1">VLOOKUP($AT12,OFFSET(crash_skills!$A$1,0,0,COUNTA(crash_skills!$A:$A),MATCH(AV$1,crash_skills!$1:$1,0)-MATCH($AT$1,crash_skills!$1:$1,0)+1),MATCH(AV$1,crash_skills!$1:$1,0)-MATCH($AT$1,crash_skills!$1:$1,0)+1,FALSE)</f>
        <v>1体に超大ダメージ+HP大回復+_x000D_1ターン全ユニットの回復力小UP</v>
      </c>
      <c r="AW12" s="52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3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3">
        <v>0.87309999999999999</v>
      </c>
      <c r="AZ12" s="63">
        <v>1.1859999999999999</v>
      </c>
      <c r="BA12" s="63">
        <v>0</v>
      </c>
      <c r="BB12" s="63">
        <v>1.052</v>
      </c>
      <c r="BC12" s="10">
        <f ca="1">INDEX('RC6SV'!$A$1:$G$21,MATCH(H12,'RC6SV'!$A$1:$A$21,FALSE),MATCH(G12,'RC6SV'!$A$1:$G$1,FALSE))</f>
        <v>14000</v>
      </c>
      <c r="BD12" s="43">
        <f t="shared" ref="BD12" ca="1" si="28">ROUND(BC12*IF(AJ12=1,0.95,IF(AJ12=2,1,IF(AJ12,1.05,0))),0)</f>
        <v>14000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3117</v>
      </c>
      <c r="BH12" s="15">
        <f ca="1">IF($BE12&lt;=0,ROUND(BL12*0.5,0), ROUND($BE12*T12*AB12*K12*AZ12*0.8*[1]ステータス!$C$2,0))</f>
        <v>2441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1841</v>
      </c>
      <c r="BK12" s="10">
        <f ca="1">ROUND(BD12*S12*AA12*J12*AY12*[1]ステータス!$B$2,0)</f>
        <v>6234</v>
      </c>
      <c r="BL12" s="10">
        <f ca="1">ROUND(BD12*T12*AB12*K12*AZ12*[1]ステータス!$C$2,0)</f>
        <v>4882</v>
      </c>
      <c r="BM12" s="10">
        <f ca="1">ROUND(BD12*U12*AC12*L12*BA12*[1]ステータス!$D$2,0)</f>
        <v>0</v>
      </c>
      <c r="BN12" s="10">
        <f ca="1">ROUND(BD12*V12*AD12*M12*BB12*[1]ステータス!$E$2,0)</f>
        <v>3682</v>
      </c>
      <c r="BO12" s="9">
        <v>0</v>
      </c>
      <c r="BP12" s="9">
        <v>1</v>
      </c>
      <c r="BQ12" s="9" t="s">
        <v>47</v>
      </c>
      <c r="BR12" s="198">
        <v>3000</v>
      </c>
    </row>
  </sheetData>
  <autoFilter ref="A1:BQ1"/>
  <phoneticPr fontId="10"/>
  <conditionalFormatting sqref="BO1">
    <cfRule type="cellIs" dxfId="77" priority="120" stopIfTrue="1" operator="equal">
      <formula>1</formula>
    </cfRule>
  </conditionalFormatting>
  <conditionalFormatting sqref="BQ1">
    <cfRule type="cellIs" dxfId="7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2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2" sqref="I12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7.83203125" style="125" bestFit="1" customWidth="1"/>
    <col min="7" max="7" width="8.1640625" style="125" bestFit="1" customWidth="1"/>
    <col min="8" max="8" width="13.6640625" style="125" bestFit="1" customWidth="1"/>
    <col min="9" max="10" width="51.6640625" style="125" customWidth="1"/>
    <col min="11" max="11" width="10.83203125" style="125" customWidth="1" outlineLevel="1"/>
    <col min="12" max="17" width="9.5" style="124" customWidth="1" outlineLevel="1"/>
    <col min="18" max="18" width="20.33203125" style="125" customWidth="1" outlineLevel="1"/>
    <col min="19" max="19" width="10.33203125" style="125" bestFit="1" customWidth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183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ht="21" customHeight="1" x14ac:dyDescent="0.15">
      <c r="A2" s="185">
        <v>1127</v>
      </c>
      <c r="B2" s="128" t="s">
        <v>184</v>
      </c>
      <c r="C2" s="187" t="s">
        <v>376</v>
      </c>
      <c r="D2" s="187" t="s">
        <v>367</v>
      </c>
      <c r="E2" s="130">
        <f t="shared" ref="E2" si="0">LEN(D2)</f>
        <v>54</v>
      </c>
      <c r="F2" s="62">
        <v>13</v>
      </c>
      <c r="G2" s="112">
        <v>7</v>
      </c>
      <c r="H2" s="131">
        <f>2001</f>
        <v>2001</v>
      </c>
      <c r="I2" s="188" t="s">
        <v>366</v>
      </c>
      <c r="J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真蒼導く対偶 ヘンペル</v>
      </c>
      <c r="K2" s="132">
        <f>IFERROR(VLOOKUP(A2,[1]characters!$A:$R,18),0)</f>
        <v>3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5">
        <v>1186</v>
      </c>
      <c r="B3" s="128" t="s">
        <v>184</v>
      </c>
      <c r="C3" s="187" t="s">
        <v>377</v>
      </c>
      <c r="D3" s="187" t="s">
        <v>359</v>
      </c>
      <c r="E3" s="130">
        <f t="shared" ref="E3" si="1">LEN(D3)</f>
        <v>60</v>
      </c>
      <c r="F3" s="62">
        <v>14</v>
      </c>
      <c r="G3" s="112">
        <v>7</v>
      </c>
      <c r="H3" s="131">
        <f>2001</f>
        <v>2001</v>
      </c>
      <c r="I3" s="188" t="s">
        <v>360</v>
      </c>
      <c r="J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超疾の最理者 フェルマー</v>
      </c>
      <c r="K3" s="132">
        <f>IFERROR(VLOOKUP(A3,[1]characters!$A:$R,18),0)</f>
        <v>3</v>
      </c>
      <c r="L3" s="133"/>
      <c r="M3" s="134"/>
      <c r="N3" s="134"/>
      <c r="O3" s="134"/>
      <c r="P3" s="134"/>
      <c r="Q3" s="134"/>
      <c r="R3" s="129"/>
      <c r="S3" s="135"/>
    </row>
    <row r="4" spans="1:19" ht="21" customHeight="1" x14ac:dyDescent="0.15">
      <c r="A4" s="185">
        <v>1182</v>
      </c>
      <c r="B4" s="128" t="s">
        <v>184</v>
      </c>
      <c r="C4" s="187" t="s">
        <v>378</v>
      </c>
      <c r="D4" s="187" t="s">
        <v>351</v>
      </c>
      <c r="E4" s="130">
        <f t="shared" ref="E4" si="2">LEN(D4)</f>
        <v>54</v>
      </c>
      <c r="F4" s="62">
        <v>13</v>
      </c>
      <c r="G4" s="112">
        <v>7</v>
      </c>
      <c r="H4" s="131">
        <f>2001</f>
        <v>2001</v>
      </c>
      <c r="I4" s="188" t="s">
        <v>348</v>
      </c>
      <c r="J4" s="52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黄金螺旋の閃鋼機 フィボナッチ</v>
      </c>
      <c r="K4" s="132">
        <f>IFERROR(VLOOKUP(A4,[1]characters!$A:$R,18),0)</f>
        <v>3</v>
      </c>
      <c r="L4" s="133"/>
      <c r="M4" s="134"/>
      <c r="N4" s="134"/>
      <c r="O4" s="134"/>
      <c r="P4" s="134"/>
      <c r="Q4" s="134"/>
      <c r="R4" s="129"/>
      <c r="S4" s="135"/>
    </row>
    <row r="5" spans="1:19" ht="21" customHeight="1" x14ac:dyDescent="0.15">
      <c r="A5" s="185">
        <v>1171</v>
      </c>
      <c r="B5" s="128" t="s">
        <v>184</v>
      </c>
      <c r="C5" s="187" t="s">
        <v>379</v>
      </c>
      <c r="D5" s="187" t="s">
        <v>420</v>
      </c>
      <c r="E5" s="130">
        <f t="shared" ref="E5" si="3">LEN(D5)</f>
        <v>60</v>
      </c>
      <c r="F5" s="62">
        <v>13</v>
      </c>
      <c r="G5" s="112">
        <v>7</v>
      </c>
      <c r="H5" s="131">
        <f>2001</f>
        <v>2001</v>
      </c>
      <c r="I5" s="188" t="s">
        <v>375</v>
      </c>
      <c r="J5" s="52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解匣する交率 ポアソン</v>
      </c>
      <c r="K5" s="132">
        <f>IFERROR(VLOOKUP(A5,[1]characters!$A:$R,18),0)</f>
        <v>3</v>
      </c>
      <c r="L5" s="133"/>
      <c r="M5" s="134"/>
      <c r="N5" s="134"/>
      <c r="O5" s="134"/>
      <c r="P5" s="134"/>
      <c r="Q5" s="134"/>
      <c r="R5" s="129"/>
      <c r="S5" s="135"/>
    </row>
    <row r="6" spans="1:19" ht="21" customHeight="1" x14ac:dyDescent="0.15">
      <c r="A6" s="185">
        <v>1172</v>
      </c>
      <c r="B6" s="128" t="s">
        <v>184</v>
      </c>
      <c r="C6" s="187" t="s">
        <v>380</v>
      </c>
      <c r="D6" s="187" t="s">
        <v>419</v>
      </c>
      <c r="E6" s="130">
        <f t="shared" ref="E6" si="4">LEN(D6)</f>
        <v>61</v>
      </c>
      <c r="F6" s="62">
        <v>13</v>
      </c>
      <c r="G6" s="112">
        <v>7</v>
      </c>
      <c r="H6" s="131">
        <f>2001</f>
        <v>2001</v>
      </c>
      <c r="I6" s="188" t="s">
        <v>371</v>
      </c>
      <c r="J6" s="52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極限解析の讃嬢 クロネッカー</v>
      </c>
      <c r="K6" s="132">
        <f>IFERROR(VLOOKUP(A6,[1]characters!$A:$R,18),0)</f>
        <v>3</v>
      </c>
      <c r="L6" s="133"/>
      <c r="M6" s="134"/>
      <c r="N6" s="134"/>
      <c r="O6" s="134"/>
      <c r="P6" s="134"/>
      <c r="Q6" s="134"/>
      <c r="R6" s="129"/>
      <c r="S6" s="135"/>
    </row>
    <row r="7" spans="1:19" ht="21" customHeight="1" x14ac:dyDescent="0.15">
      <c r="A7" s="185">
        <v>1128</v>
      </c>
      <c r="B7" s="128" t="s">
        <v>184</v>
      </c>
      <c r="C7" s="187" t="s">
        <v>381</v>
      </c>
      <c r="D7" s="187" t="s">
        <v>416</v>
      </c>
      <c r="E7" s="130">
        <f>LEN(D7)</f>
        <v>39</v>
      </c>
      <c r="F7" s="112">
        <v>13</v>
      </c>
      <c r="G7" s="112">
        <v>7</v>
      </c>
      <c r="H7" s="131">
        <f>2001</f>
        <v>2001</v>
      </c>
      <c r="I7" s="200" t="s">
        <v>374</v>
      </c>
      <c r="J7" s="52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宇宙天紡の星明 ハップル</v>
      </c>
      <c r="K7" s="132">
        <f>IFERROR(VLOOKUP(A7,[1]characters!$A:$R,18),0)</f>
        <v>3</v>
      </c>
      <c r="L7" s="133"/>
      <c r="M7" s="134"/>
      <c r="N7" s="134"/>
      <c r="O7" s="134"/>
      <c r="P7" s="134"/>
      <c r="Q7" s="134"/>
      <c r="R7" s="129"/>
      <c r="S7" s="135"/>
    </row>
    <row r="8" spans="1:19" ht="21" customHeight="1" x14ac:dyDescent="0.15">
      <c r="A8" s="185">
        <v>1173</v>
      </c>
      <c r="B8" s="128" t="s">
        <v>184</v>
      </c>
      <c r="C8" s="187" t="s">
        <v>382</v>
      </c>
      <c r="D8" s="187" t="s">
        <v>440</v>
      </c>
      <c r="E8" s="130">
        <f>LEN(D8)</f>
        <v>51</v>
      </c>
      <c r="F8" s="112">
        <v>9</v>
      </c>
      <c r="G8" s="112">
        <v>5</v>
      </c>
      <c r="H8" s="131">
        <f>2001</f>
        <v>2001</v>
      </c>
      <c r="I8" s="200" t="s">
        <v>439</v>
      </c>
      <c r="J8" s="52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愛を咲かせる春羽妖精 ファータ</v>
      </c>
      <c r="K8" s="132">
        <f>IFERROR(VLOOKUP(A8,[1]characters!$A:$R,18),0)</f>
        <v>3</v>
      </c>
      <c r="L8" s="133"/>
      <c r="M8" s="134"/>
      <c r="N8" s="134"/>
      <c r="O8" s="134"/>
      <c r="P8" s="134"/>
      <c r="Q8" s="134"/>
      <c r="R8" s="129"/>
      <c r="S8" s="135"/>
    </row>
    <row r="9" spans="1:19" ht="21" customHeight="1" x14ac:dyDescent="0.15">
      <c r="A9" s="185">
        <v>1176</v>
      </c>
      <c r="B9" s="128" t="s">
        <v>184</v>
      </c>
      <c r="C9" s="187" t="s">
        <v>383</v>
      </c>
      <c r="D9" s="203" t="s">
        <v>444</v>
      </c>
      <c r="E9" s="130">
        <f t="shared" ref="E9" si="5">LEN(D9)</f>
        <v>63</v>
      </c>
      <c r="F9" s="62">
        <v>14</v>
      </c>
      <c r="G9" s="112">
        <v>7</v>
      </c>
      <c r="H9" s="131">
        <f>2001</f>
        <v>2001</v>
      </c>
      <c r="I9" s="188" t="s">
        <v>441</v>
      </c>
      <c r="J9" s="52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夢二夢斬の遊猟 フロイト</v>
      </c>
      <c r="K9" s="132">
        <f>IFERROR(VLOOKUP(A9,[1]characters!$A:$R,18),0)</f>
        <v>3</v>
      </c>
      <c r="L9" s="133"/>
      <c r="M9" s="134"/>
      <c r="N9" s="134"/>
      <c r="O9" s="134"/>
      <c r="P9" s="134"/>
      <c r="Q9" s="134"/>
      <c r="R9" s="129"/>
      <c r="S9" s="135"/>
    </row>
    <row r="10" spans="1:19" ht="21" customHeight="1" x14ac:dyDescent="0.15">
      <c r="A10" s="185">
        <v>882</v>
      </c>
      <c r="B10" s="128" t="s">
        <v>184</v>
      </c>
      <c r="C10" s="187" t="s">
        <v>424</v>
      </c>
      <c r="D10" s="203" t="s">
        <v>451</v>
      </c>
      <c r="E10" s="130">
        <f t="shared" ref="E10" si="6">LEN(D10)</f>
        <v>58</v>
      </c>
      <c r="F10" s="62">
        <v>11</v>
      </c>
      <c r="G10" s="112">
        <v>7</v>
      </c>
      <c r="H10" s="131">
        <f>2001</f>
        <v>2001</v>
      </c>
      <c r="I10" s="188" t="s">
        <v>448</v>
      </c>
      <c r="J10" s="52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歪極する星壊 シュヴァルツシルト</v>
      </c>
      <c r="K10" s="132">
        <f>IFERROR(VLOOKUP(A10,[1]characters!$A:$R,18),0)</f>
        <v>3</v>
      </c>
      <c r="L10" s="133"/>
      <c r="M10" s="134"/>
      <c r="N10" s="134"/>
      <c r="O10" s="134"/>
      <c r="P10" s="134"/>
      <c r="Q10" s="134"/>
      <c r="R10" s="129"/>
      <c r="S10" s="135"/>
    </row>
    <row r="11" spans="1:19" ht="21" customHeight="1" x14ac:dyDescent="0.15">
      <c r="A11" s="185">
        <v>1108</v>
      </c>
      <c r="B11" s="128" t="s">
        <v>184</v>
      </c>
      <c r="C11" s="187" t="s">
        <v>431</v>
      </c>
      <c r="D11" s="203" t="s">
        <v>446</v>
      </c>
      <c r="E11" s="130">
        <f t="shared" ref="E11" si="7">LEN(D11)</f>
        <v>60</v>
      </c>
      <c r="F11" s="62">
        <v>13</v>
      </c>
      <c r="G11" s="112">
        <v>7</v>
      </c>
      <c r="H11" s="131">
        <f>2001</f>
        <v>2001</v>
      </c>
      <c r="I11" s="188" t="s">
        <v>445</v>
      </c>
      <c r="J11" s="52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交鏡の光波 フレネル</v>
      </c>
      <c r="K11" s="132">
        <f>IFERROR(VLOOKUP(A11,[1]characters!$A:$R,18),0)</f>
        <v>3</v>
      </c>
      <c r="L11" s="133"/>
      <c r="M11" s="134"/>
      <c r="N11" s="134"/>
      <c r="O11" s="134"/>
      <c r="P11" s="134"/>
      <c r="Q11" s="134"/>
      <c r="R11" s="129"/>
      <c r="S11" s="135"/>
    </row>
    <row r="12" spans="1:19" ht="21" customHeight="1" x14ac:dyDescent="0.15">
      <c r="A12" s="185">
        <v>1078</v>
      </c>
      <c r="B12" s="128" t="s">
        <v>184</v>
      </c>
      <c r="C12" s="187" t="s">
        <v>458</v>
      </c>
      <c r="D12" s="187" t="s">
        <v>457</v>
      </c>
      <c r="E12" s="130">
        <f t="shared" ref="E12" si="8">LEN(D12)</f>
        <v>64</v>
      </c>
      <c r="F12" s="62">
        <v>12</v>
      </c>
      <c r="G12" s="112">
        <v>7</v>
      </c>
      <c r="H12" s="131">
        <f>2001</f>
        <v>2001</v>
      </c>
      <c r="I12" s="188" t="s">
        <v>456</v>
      </c>
      <c r="J12" s="52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合奏の飛論理 パレート</v>
      </c>
      <c r="K12" s="132">
        <f>IFERROR(VLOOKUP(A12,[1]characters!$A:$R,18),0)</f>
        <v>3</v>
      </c>
      <c r="L12" s="133"/>
      <c r="M12" s="134"/>
      <c r="N12" s="134"/>
      <c r="O12" s="134"/>
      <c r="P12" s="134"/>
      <c r="Q12" s="134"/>
      <c r="R12" s="129"/>
      <c r="S12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3:E1048576">
    <cfRule type="cellIs" dxfId="75" priority="36" operator="greaterThan">
      <formula>41</formula>
    </cfRule>
  </conditionalFormatting>
  <conditionalFormatting sqref="E2">
    <cfRule type="cellIs" dxfId="74" priority="30" operator="greaterThan">
      <formula>41</formula>
    </cfRule>
  </conditionalFormatting>
  <conditionalFormatting sqref="E3">
    <cfRule type="cellIs" dxfId="73" priority="11" operator="greaterThan">
      <formula>41</formula>
    </cfRule>
  </conditionalFormatting>
  <conditionalFormatting sqref="E4">
    <cfRule type="cellIs" dxfId="72" priority="10" operator="greaterThan">
      <formula>41</formula>
    </cfRule>
  </conditionalFormatting>
  <conditionalFormatting sqref="E5">
    <cfRule type="cellIs" dxfId="71" priority="9" operator="greaterThan">
      <formula>41</formula>
    </cfRule>
  </conditionalFormatting>
  <conditionalFormatting sqref="E6">
    <cfRule type="cellIs" dxfId="70" priority="8" operator="greaterThan">
      <formula>41</formula>
    </cfRule>
  </conditionalFormatting>
  <conditionalFormatting sqref="E7">
    <cfRule type="cellIs" dxfId="69" priority="7" operator="greaterThan">
      <formula>41</formula>
    </cfRule>
  </conditionalFormatting>
  <conditionalFormatting sqref="E8">
    <cfRule type="cellIs" dxfId="68" priority="6" operator="greaterThan">
      <formula>41</formula>
    </cfRule>
  </conditionalFormatting>
  <conditionalFormatting sqref="E9">
    <cfRule type="cellIs" dxfId="67" priority="5" operator="greaterThan">
      <formula>41</formula>
    </cfRule>
  </conditionalFormatting>
  <conditionalFormatting sqref="E10">
    <cfRule type="cellIs" dxfId="66" priority="4" operator="greaterThan">
      <formula>41</formula>
    </cfRule>
  </conditionalFormatting>
  <conditionalFormatting sqref="E11">
    <cfRule type="cellIs" dxfId="65" priority="3" operator="greaterThan">
      <formula>41</formula>
    </cfRule>
  </conditionalFormatting>
  <conditionalFormatting sqref="E12">
    <cfRule type="cellIs" dxfId="6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2"/>
  <sheetViews>
    <sheetView showGridLines="0" zoomScale="120" zoomScaleNormal="120" zoomScalePageLayoutView="12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2" sqref="C12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23.83203125" style="126" customWidth="1"/>
    <col min="5" max="5" width="10.5" style="126" customWidth="1"/>
    <col min="6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117" t="s">
        <v>177</v>
      </c>
      <c r="G1" s="118" t="s">
        <v>183</v>
      </c>
      <c r="H1" s="117" t="s">
        <v>176</v>
      </c>
      <c r="I1" s="118" t="s">
        <v>175</v>
      </c>
      <c r="J1" s="122" t="s">
        <v>174</v>
      </c>
    </row>
    <row r="2" spans="1:19" ht="21" customHeight="1" x14ac:dyDescent="0.15">
      <c r="A2" s="185">
        <v>1127</v>
      </c>
      <c r="B2" s="128" t="s">
        <v>185</v>
      </c>
      <c r="C2" s="187" t="s">
        <v>384</v>
      </c>
      <c r="D2" s="187" t="s">
        <v>453</v>
      </c>
      <c r="E2" s="130">
        <f t="shared" ref="E2" si="0">LEN(D2)</f>
        <v>26</v>
      </c>
      <c r="F2" s="201" t="s">
        <v>452</v>
      </c>
      <c r="G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真蒼導く対偶 ヘンペル</v>
      </c>
      <c r="H2" s="131">
        <f>IFERROR(VLOOKUP(A2,[1]characters!$A:$R,18),0)</f>
        <v>3</v>
      </c>
      <c r="I2" s="131"/>
      <c r="J2" s="136"/>
      <c r="K2" s="132">
        <v>1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5">
        <v>1186</v>
      </c>
      <c r="B3" s="128" t="s">
        <v>185</v>
      </c>
      <c r="C3" s="187" t="s">
        <v>385</v>
      </c>
      <c r="D3" s="187" t="s">
        <v>357</v>
      </c>
      <c r="E3" s="130">
        <f t="shared" ref="E3" si="1">LEN(D3)</f>
        <v>16</v>
      </c>
      <c r="F3" s="189" t="s">
        <v>358</v>
      </c>
      <c r="G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超疾の最理者 フェルマー</v>
      </c>
      <c r="H3" s="131">
        <f>IFERROR(VLOOKUP(A3,[1]characters!$A:$R,18),0)</f>
        <v>3</v>
      </c>
      <c r="I3" s="131"/>
      <c r="J3" s="136"/>
      <c r="K3" s="132">
        <v>1</v>
      </c>
      <c r="L3" s="133"/>
      <c r="M3" s="134"/>
      <c r="N3" s="134"/>
      <c r="O3" s="134"/>
      <c r="P3" s="134"/>
      <c r="Q3" s="134"/>
      <c r="R3" s="129"/>
      <c r="S3" s="135"/>
    </row>
    <row r="4" spans="1:19" ht="21" customHeight="1" x14ac:dyDescent="0.15">
      <c r="A4" s="185">
        <v>1182</v>
      </c>
      <c r="B4" s="128" t="s">
        <v>185</v>
      </c>
      <c r="C4" s="187" t="s">
        <v>386</v>
      </c>
      <c r="D4" s="187" t="s">
        <v>350</v>
      </c>
      <c r="E4" s="130">
        <f t="shared" ref="E4" si="2">LEN(D4)</f>
        <v>31</v>
      </c>
      <c r="F4" s="197" t="s">
        <v>349</v>
      </c>
      <c r="G4" s="52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黄金螺旋の閃鋼機 フィボナッチ</v>
      </c>
      <c r="H4" s="131">
        <f>IFERROR(VLOOKUP(A4,[1]characters!$A:$R,18),0)</f>
        <v>3</v>
      </c>
      <c r="I4" s="131"/>
      <c r="J4" s="136"/>
      <c r="K4" s="132">
        <v>1</v>
      </c>
      <c r="L4" s="133"/>
      <c r="M4" s="134"/>
      <c r="N4" s="134"/>
      <c r="O4" s="134"/>
      <c r="P4" s="134"/>
      <c r="Q4" s="134"/>
      <c r="R4" s="129"/>
      <c r="S4" s="135"/>
    </row>
    <row r="5" spans="1:19" ht="21" customHeight="1" x14ac:dyDescent="0.15">
      <c r="A5" s="185">
        <v>1171</v>
      </c>
      <c r="B5" s="128" t="s">
        <v>185</v>
      </c>
      <c r="C5" s="187" t="s">
        <v>421</v>
      </c>
      <c r="D5" s="187" t="s">
        <v>369</v>
      </c>
      <c r="E5" s="130">
        <f t="shared" ref="E5" si="3">LEN(D5)</f>
        <v>16</v>
      </c>
      <c r="F5" s="197" t="s">
        <v>368</v>
      </c>
      <c r="G5" s="52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解匣する交率 ポアソン</v>
      </c>
      <c r="H5" s="131">
        <f>IFERROR(VLOOKUP(A5,[1]characters!$A:$R,18),0)</f>
        <v>3</v>
      </c>
      <c r="I5" s="131"/>
      <c r="J5" s="136"/>
      <c r="K5" s="132">
        <v>1</v>
      </c>
      <c r="L5" s="133"/>
      <c r="M5" s="134"/>
      <c r="N5" s="134"/>
      <c r="O5" s="134"/>
      <c r="P5" s="134"/>
      <c r="Q5" s="134"/>
      <c r="R5" s="129"/>
      <c r="S5" s="135"/>
    </row>
    <row r="6" spans="1:19" ht="21" customHeight="1" x14ac:dyDescent="0.15">
      <c r="A6" s="185">
        <v>1172</v>
      </c>
      <c r="B6" s="128" t="s">
        <v>185</v>
      </c>
      <c r="C6" s="187" t="s">
        <v>387</v>
      </c>
      <c r="D6" s="187" t="s">
        <v>418</v>
      </c>
      <c r="E6" s="130">
        <f t="shared" ref="E6:E9" si="4">LEN(D6)</f>
        <v>38</v>
      </c>
      <c r="F6" s="197" t="s">
        <v>370</v>
      </c>
      <c r="G6" s="52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極限解析の讃嬢 クロネッカー</v>
      </c>
      <c r="H6" s="131">
        <f>IFERROR(VLOOKUP(A6,[1]characters!$A:$R,18),0)</f>
        <v>3</v>
      </c>
      <c r="I6" s="131"/>
      <c r="J6" s="136"/>
      <c r="K6" s="132">
        <v>1</v>
      </c>
      <c r="L6" s="133"/>
      <c r="M6" s="134"/>
      <c r="N6" s="134"/>
      <c r="O6" s="134"/>
      <c r="P6" s="134"/>
      <c r="Q6" s="134"/>
      <c r="R6" s="129"/>
      <c r="S6" s="135"/>
    </row>
    <row r="7" spans="1:19" ht="21" customHeight="1" x14ac:dyDescent="0.15">
      <c r="A7" s="185">
        <v>1128</v>
      </c>
      <c r="B7" s="128" t="s">
        <v>184</v>
      </c>
      <c r="C7" s="187" t="s">
        <v>388</v>
      </c>
      <c r="D7" s="187" t="s">
        <v>423</v>
      </c>
      <c r="E7" s="130">
        <f t="shared" si="4"/>
        <v>36</v>
      </c>
      <c r="F7" s="62" t="s">
        <v>373</v>
      </c>
      <c r="G7" s="52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宇宙天紡の星明 ハップル</v>
      </c>
      <c r="H7" s="131">
        <f>IFERROR(VLOOKUP(A7,[1]characters!$A:$R,18),0)</f>
        <v>3</v>
      </c>
      <c r="I7" s="131"/>
      <c r="J7" s="136"/>
      <c r="K7" s="132">
        <v>1</v>
      </c>
      <c r="L7" s="133"/>
      <c r="M7" s="134"/>
      <c r="N7" s="134"/>
      <c r="O7" s="134"/>
      <c r="P7" s="134"/>
      <c r="Q7" s="134"/>
      <c r="R7" s="129"/>
      <c r="S7" s="135"/>
    </row>
    <row r="8" spans="1:19" ht="21" customHeight="1" x14ac:dyDescent="0.15">
      <c r="A8" s="185">
        <v>1173</v>
      </c>
      <c r="B8" s="128" t="s">
        <v>184</v>
      </c>
      <c r="C8" s="187" t="s">
        <v>389</v>
      </c>
      <c r="D8" s="187" t="s">
        <v>437</v>
      </c>
      <c r="E8" s="130">
        <f t="shared" si="4"/>
        <v>24</v>
      </c>
      <c r="F8" s="202" t="s">
        <v>438</v>
      </c>
      <c r="G8" s="52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愛を咲かせる春羽妖精 ファータ</v>
      </c>
      <c r="H8" s="131">
        <f>IFERROR(VLOOKUP(A8,[1]characters!$A:$R,18),0)</f>
        <v>3</v>
      </c>
      <c r="I8" s="131"/>
      <c r="J8" s="136"/>
      <c r="K8" s="132">
        <v>1</v>
      </c>
      <c r="L8" s="133"/>
      <c r="M8" s="134"/>
      <c r="N8" s="134"/>
      <c r="O8" s="134"/>
      <c r="P8" s="134"/>
      <c r="Q8" s="134"/>
      <c r="R8" s="129"/>
      <c r="S8" s="135"/>
    </row>
    <row r="9" spans="1:19" ht="21" customHeight="1" x14ac:dyDescent="0.15">
      <c r="A9" s="185">
        <v>1176</v>
      </c>
      <c r="B9" s="128" t="s">
        <v>184</v>
      </c>
      <c r="C9" s="187" t="s">
        <v>422</v>
      </c>
      <c r="D9" s="187" t="s">
        <v>417</v>
      </c>
      <c r="E9" s="130">
        <f t="shared" si="4"/>
        <v>20</v>
      </c>
      <c r="F9" s="197" t="s">
        <v>372</v>
      </c>
      <c r="G9" s="52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夢二夢斬の遊猟 フロイト</v>
      </c>
      <c r="H9" s="131">
        <f>IFERROR(VLOOKUP(A9,[1]characters!$A:$R,18),0)</f>
        <v>3</v>
      </c>
      <c r="I9" s="131"/>
      <c r="J9" s="136"/>
      <c r="K9" s="132">
        <v>1</v>
      </c>
      <c r="L9" s="133"/>
      <c r="M9" s="134"/>
      <c r="N9" s="134"/>
      <c r="O9" s="134"/>
      <c r="P9" s="134"/>
      <c r="Q9" s="134"/>
      <c r="R9" s="129"/>
      <c r="S9" s="135"/>
    </row>
    <row r="10" spans="1:19" ht="21" customHeight="1" x14ac:dyDescent="0.15">
      <c r="A10" s="185">
        <v>882</v>
      </c>
      <c r="B10" s="128" t="s">
        <v>184</v>
      </c>
      <c r="C10" s="187" t="s">
        <v>425</v>
      </c>
      <c r="D10" s="187" t="s">
        <v>449</v>
      </c>
      <c r="E10" s="130">
        <f t="shared" ref="E10" si="5">LEN(D10)</f>
        <v>9</v>
      </c>
      <c r="F10" s="197" t="s">
        <v>450</v>
      </c>
      <c r="G10" s="52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歪極する星壊 シュヴァルツシルト</v>
      </c>
      <c r="H10" s="131">
        <f>IFERROR(VLOOKUP(A10,[1]characters!$A:$R,18),0)</f>
        <v>3</v>
      </c>
      <c r="I10" s="131"/>
      <c r="J10" s="136"/>
      <c r="K10" s="132">
        <v>1</v>
      </c>
      <c r="L10" s="133"/>
      <c r="M10" s="134"/>
      <c r="N10" s="134"/>
      <c r="O10" s="134"/>
      <c r="P10" s="134"/>
      <c r="Q10" s="134"/>
      <c r="R10" s="129"/>
      <c r="S10" s="135"/>
    </row>
    <row r="11" spans="1:19" ht="21" customHeight="1" x14ac:dyDescent="0.15">
      <c r="A11" s="185">
        <v>1108</v>
      </c>
      <c r="B11" s="128" t="s">
        <v>184</v>
      </c>
      <c r="C11" s="203" t="s">
        <v>447</v>
      </c>
      <c r="D11" s="187" t="s">
        <v>442</v>
      </c>
      <c r="E11" s="130">
        <f t="shared" ref="E11" si="6">LEN(D11)</f>
        <v>9</v>
      </c>
      <c r="F11" s="197" t="s">
        <v>443</v>
      </c>
      <c r="G11" s="52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交鏡の光波 フレネル</v>
      </c>
      <c r="H11" s="131">
        <f>IFERROR(VLOOKUP(A11,[1]characters!$A:$R,18),0)</f>
        <v>3</v>
      </c>
      <c r="I11" s="131"/>
      <c r="J11" s="136"/>
      <c r="K11" s="132">
        <v>1</v>
      </c>
      <c r="L11" s="133"/>
      <c r="M11" s="134"/>
      <c r="N11" s="134"/>
      <c r="O11" s="134"/>
      <c r="P11" s="134"/>
      <c r="Q11" s="134"/>
      <c r="R11" s="129"/>
      <c r="S11" s="135"/>
    </row>
    <row r="12" spans="1:19" ht="21" customHeight="1" x14ac:dyDescent="0.15">
      <c r="A12" s="185">
        <v>1078</v>
      </c>
      <c r="B12" s="128" t="s">
        <v>184</v>
      </c>
      <c r="C12" s="187" t="s">
        <v>459</v>
      </c>
      <c r="D12" s="187" t="s">
        <v>455</v>
      </c>
      <c r="E12" s="130">
        <f t="shared" ref="E12" si="7">LEN(D12)</f>
        <v>33</v>
      </c>
      <c r="F12" s="197" t="s">
        <v>454</v>
      </c>
      <c r="G12" s="52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合奏の飛論理 パレート</v>
      </c>
      <c r="H12" s="131">
        <f>IFERROR(VLOOKUP(A12,[1]characters!$A:$R,18),0)</f>
        <v>3</v>
      </c>
      <c r="I12" s="131"/>
      <c r="J12" s="136"/>
      <c r="K12" s="132">
        <v>1</v>
      </c>
      <c r="L12" s="133"/>
      <c r="M12" s="134"/>
      <c r="N12" s="134"/>
      <c r="O12" s="134"/>
      <c r="P12" s="134"/>
      <c r="Q12" s="134"/>
      <c r="R12" s="129"/>
      <c r="S12" s="135"/>
    </row>
  </sheetData>
  <sheetProtection selectLockedCells="1" selectUnlockedCells="1"/>
  <autoFilter ref="A1:J1"/>
  <phoneticPr fontId="22"/>
  <conditionalFormatting sqref="E2">
    <cfRule type="cellIs" dxfId="63" priority="30" operator="greaterThan">
      <formula>41</formula>
    </cfRule>
  </conditionalFormatting>
  <conditionalFormatting sqref="E3">
    <cfRule type="cellIs" dxfId="62" priority="11" operator="greaterThan">
      <formula>41</formula>
    </cfRule>
  </conditionalFormatting>
  <conditionalFormatting sqref="E4">
    <cfRule type="cellIs" dxfId="61" priority="10" operator="greaterThan">
      <formula>41</formula>
    </cfRule>
  </conditionalFormatting>
  <conditionalFormatting sqref="E5">
    <cfRule type="cellIs" dxfId="60" priority="9" operator="greaterThan">
      <formula>41</formula>
    </cfRule>
  </conditionalFormatting>
  <conditionalFormatting sqref="E6">
    <cfRule type="cellIs" dxfId="59" priority="8" operator="greaterThan">
      <formula>41</formula>
    </cfRule>
  </conditionalFormatting>
  <conditionalFormatting sqref="E7">
    <cfRule type="cellIs" dxfId="58" priority="7" operator="greaterThan">
      <formula>41</formula>
    </cfRule>
  </conditionalFormatting>
  <conditionalFormatting sqref="E8">
    <cfRule type="cellIs" dxfId="57" priority="6" operator="greaterThan">
      <formula>41</formula>
    </cfRule>
  </conditionalFormatting>
  <conditionalFormatting sqref="E9">
    <cfRule type="cellIs" dxfId="56" priority="5" operator="greaterThan">
      <formula>41</formula>
    </cfRule>
  </conditionalFormatting>
  <conditionalFormatting sqref="E10">
    <cfRule type="cellIs" dxfId="55" priority="4" operator="greaterThan">
      <formula>41</formula>
    </cfRule>
  </conditionalFormatting>
  <conditionalFormatting sqref="E11">
    <cfRule type="cellIs" dxfId="54" priority="3" operator="greaterThan">
      <formula>41</formula>
    </cfRule>
  </conditionalFormatting>
  <conditionalFormatting sqref="E12">
    <cfRule type="cellIs" dxfId="5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6"/>
  <sheetViews>
    <sheetView topLeftCell="A32" zoomScale="110" workbookViewId="0">
      <selection activeCell="H56" sqref="H56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  <col min="8" max="8" width="26" customWidth="1"/>
  </cols>
  <sheetData>
    <row r="1" spans="1:8" x14ac:dyDescent="0.15">
      <c r="A1" s="109" t="s">
        <v>138</v>
      </c>
      <c r="B1" s="137" t="s">
        <v>186</v>
      </c>
      <c r="C1" s="109" t="s">
        <v>187</v>
      </c>
      <c r="D1" s="137" t="s">
        <v>338</v>
      </c>
      <c r="E1" s="137" t="s">
        <v>189</v>
      </c>
      <c r="F1" s="108" t="s">
        <v>141</v>
      </c>
      <c r="G1" s="109" t="s">
        <v>188</v>
      </c>
      <c r="H1" s="108" t="s">
        <v>339</v>
      </c>
    </row>
    <row r="2" spans="1:8" x14ac:dyDescent="0.15">
      <c r="A2" s="104">
        <v>1127</v>
      </c>
      <c r="B2" s="137" t="str">
        <f>VLOOKUP(A2,[1]characters!$A:$C,3,FALSE)</f>
        <v>真蒼導く対偶 ヘンペル</v>
      </c>
      <c r="C2" s="104" t="s">
        <v>190</v>
      </c>
      <c r="D2" s="137" t="str">
        <f t="shared" ref="D2" si="0">A2&amp;C2</f>
        <v>1127skill</v>
      </c>
      <c r="E2" s="137" t="str">
        <f>A2&amp;+(COUNTIF(A2:A$30,A2)-1)</f>
        <v>11274</v>
      </c>
      <c r="F2" s="104" t="s">
        <v>337</v>
      </c>
      <c r="G2" s="161" t="s">
        <v>191</v>
      </c>
      <c r="H2" s="161" t="s">
        <v>361</v>
      </c>
    </row>
    <row r="3" spans="1:8" x14ac:dyDescent="0.15">
      <c r="A3" s="104">
        <v>1127</v>
      </c>
      <c r="B3" s="137" t="str">
        <f>VLOOKUP(A3,[1]characters!$A:$C,3,FALSE)</f>
        <v>真蒼導く対偶 ヘンペル</v>
      </c>
      <c r="C3" s="104" t="s">
        <v>192</v>
      </c>
      <c r="D3" s="137" t="str">
        <f>A3&amp;C3</f>
        <v>1127cskill</v>
      </c>
      <c r="E3" s="137" t="str">
        <f>A3&amp;+(COUNTIF(A3:A$30,A3)-1)</f>
        <v>11273</v>
      </c>
      <c r="F3" s="104" t="s">
        <v>337</v>
      </c>
      <c r="G3" s="161" t="s">
        <v>191</v>
      </c>
      <c r="H3" s="161" t="s">
        <v>363</v>
      </c>
    </row>
    <row r="4" spans="1:8" x14ac:dyDescent="0.15">
      <c r="A4" s="104">
        <v>1127</v>
      </c>
      <c r="B4" s="137" t="str">
        <f>VLOOKUP(A4,[1]characters!$A:$C,3,FALSE)</f>
        <v>真蒼導く対偶 ヘンペル</v>
      </c>
      <c r="C4" s="104" t="s">
        <v>192</v>
      </c>
      <c r="D4" s="137" t="str">
        <f>A4&amp;C4</f>
        <v>1127cskill</v>
      </c>
      <c r="E4" s="137" t="str">
        <f>A4&amp;+(COUNTIF(A4:A$30,A4)-1)</f>
        <v>11272</v>
      </c>
      <c r="F4" s="104" t="s">
        <v>337</v>
      </c>
      <c r="G4" s="161" t="s">
        <v>191</v>
      </c>
      <c r="H4" s="161" t="s">
        <v>364</v>
      </c>
    </row>
    <row r="5" spans="1:8" x14ac:dyDescent="0.15">
      <c r="A5" s="104">
        <v>1127</v>
      </c>
      <c r="B5" s="137" t="str">
        <f>VLOOKUP(A5,[1]characters!$A:$C,3,FALSE)</f>
        <v>真蒼導く対偶 ヘンペル</v>
      </c>
      <c r="C5" s="104" t="s">
        <v>192</v>
      </c>
      <c r="D5" s="137" t="str">
        <f>A5&amp;C5</f>
        <v>1127cskill</v>
      </c>
      <c r="E5" s="137" t="str">
        <f>A5&amp;+(COUNTIF(A5:A$30,A5)-1)</f>
        <v>11271</v>
      </c>
      <c r="F5" s="104" t="s">
        <v>337</v>
      </c>
      <c r="G5" s="161" t="s">
        <v>191</v>
      </c>
      <c r="H5" s="161" t="s">
        <v>365</v>
      </c>
    </row>
    <row r="6" spans="1:8" x14ac:dyDescent="0.15">
      <c r="A6" s="104">
        <v>1127</v>
      </c>
      <c r="B6" s="137" t="str">
        <f>VLOOKUP(A6,[1]characters!$A:$C,3,FALSE)</f>
        <v>真蒼導く対偶 ヘンペル</v>
      </c>
      <c r="C6" s="104" t="s">
        <v>192</v>
      </c>
      <c r="D6" s="137" t="str">
        <f>A6&amp;C6</f>
        <v>1127cskill</v>
      </c>
      <c r="E6" s="137" t="str">
        <f>A6&amp;+(COUNTIF(A6:A$30,A6)-1)</f>
        <v>11270</v>
      </c>
      <c r="F6" s="104" t="s">
        <v>337</v>
      </c>
      <c r="G6" s="161" t="s">
        <v>191</v>
      </c>
      <c r="H6" s="161" t="s">
        <v>362</v>
      </c>
    </row>
    <row r="7" spans="1:8" x14ac:dyDescent="0.15">
      <c r="A7" s="104">
        <v>1186</v>
      </c>
      <c r="B7" s="137" t="str">
        <f>VLOOKUP(A7,[1]characters!$A:$C,3,FALSE)</f>
        <v>超疾の最理者 フェルマー</v>
      </c>
      <c r="C7" s="104" t="s">
        <v>190</v>
      </c>
      <c r="D7" s="137" t="str">
        <f t="shared" ref="D7" si="1">A7&amp;C7</f>
        <v>1186skill</v>
      </c>
      <c r="E7" s="137" t="str">
        <f>A7&amp;+(COUNTIF(A7:A$30,A7)-1)</f>
        <v>11864</v>
      </c>
      <c r="F7" s="104" t="s">
        <v>337</v>
      </c>
      <c r="G7" s="161" t="s">
        <v>343</v>
      </c>
      <c r="H7" s="161" t="s">
        <v>352</v>
      </c>
    </row>
    <row r="8" spans="1:8" x14ac:dyDescent="0.15">
      <c r="A8" s="104">
        <v>1186</v>
      </c>
      <c r="B8" s="137" t="str">
        <f>VLOOKUP(A8,[1]characters!$A:$C,3,FALSE)</f>
        <v>超疾の最理者 フェルマー</v>
      </c>
      <c r="C8" s="104" t="s">
        <v>192</v>
      </c>
      <c r="D8" s="137" t="str">
        <f>A8&amp;C8</f>
        <v>1186cskill</v>
      </c>
      <c r="E8" s="137" t="str">
        <f>A8&amp;+(COUNTIF(A8:A$30,A8)-1)</f>
        <v>11863</v>
      </c>
      <c r="F8" s="104" t="s">
        <v>337</v>
      </c>
      <c r="G8" s="161" t="s">
        <v>343</v>
      </c>
      <c r="H8" s="161" t="s">
        <v>353</v>
      </c>
    </row>
    <row r="9" spans="1:8" x14ac:dyDescent="0.15">
      <c r="A9" s="104">
        <v>1186</v>
      </c>
      <c r="B9" s="137" t="str">
        <f>VLOOKUP(A9,[1]characters!$A:$C,3,FALSE)</f>
        <v>超疾の最理者 フェルマー</v>
      </c>
      <c r="C9" s="104" t="s">
        <v>192</v>
      </c>
      <c r="D9" s="137" t="str">
        <f>A9&amp;C9</f>
        <v>1186cskill</v>
      </c>
      <c r="E9" s="137" t="str">
        <f>A9&amp;+(COUNTIF(A9:A$30,A9)-1)</f>
        <v>11862</v>
      </c>
      <c r="F9" s="104" t="s">
        <v>337</v>
      </c>
      <c r="G9" s="161" t="s">
        <v>343</v>
      </c>
      <c r="H9" s="161" t="s">
        <v>354</v>
      </c>
    </row>
    <row r="10" spans="1:8" x14ac:dyDescent="0.15">
      <c r="A10" s="104">
        <v>1186</v>
      </c>
      <c r="B10" s="137" t="str">
        <f>VLOOKUP(A10,[1]characters!$A:$C,3,FALSE)</f>
        <v>超疾の最理者 フェルマー</v>
      </c>
      <c r="C10" s="104" t="s">
        <v>192</v>
      </c>
      <c r="D10" s="137" t="str">
        <f>A10&amp;C10</f>
        <v>1186cskill</v>
      </c>
      <c r="E10" s="137" t="str">
        <f>A10&amp;+(COUNTIF(A10:A$30,A10)-1)</f>
        <v>11861</v>
      </c>
      <c r="F10" s="104" t="s">
        <v>337</v>
      </c>
      <c r="G10" s="161" t="s">
        <v>191</v>
      </c>
      <c r="H10" s="161" t="s">
        <v>355</v>
      </c>
    </row>
    <row r="11" spans="1:8" x14ac:dyDescent="0.15">
      <c r="A11" s="104">
        <v>1186</v>
      </c>
      <c r="B11" s="137" t="str">
        <f>VLOOKUP(A11,[1]characters!$A:$C,3,FALSE)</f>
        <v>超疾の最理者 フェルマー</v>
      </c>
      <c r="C11" s="104" t="s">
        <v>192</v>
      </c>
      <c r="D11" s="137" t="str">
        <f>A11&amp;C11</f>
        <v>1186cskill</v>
      </c>
      <c r="E11" s="137" t="str">
        <f>A11&amp;+(COUNTIF(A11:A$30,A11)-1)</f>
        <v>11860</v>
      </c>
      <c r="F11" s="104" t="s">
        <v>337</v>
      </c>
      <c r="G11" s="161" t="s">
        <v>343</v>
      </c>
      <c r="H11" s="161" t="s">
        <v>356</v>
      </c>
    </row>
    <row r="12" spans="1:8" x14ac:dyDescent="0.15">
      <c r="A12" s="104">
        <v>1182</v>
      </c>
      <c r="B12" s="137" t="str">
        <f>VLOOKUP(A12,[1]characters!$A:$C,3,FALSE)</f>
        <v>黄金螺旋の閃鋼機 フィボナッチ</v>
      </c>
      <c r="C12" s="104" t="s">
        <v>190</v>
      </c>
      <c r="D12" s="137" t="str">
        <f t="shared" ref="D12" si="2">A12&amp;C12</f>
        <v>1182skill</v>
      </c>
      <c r="E12" s="137" t="str">
        <f>A12&amp;+(COUNTIF(A12:A$30,A12)-1)</f>
        <v>11824</v>
      </c>
      <c r="F12" s="104" t="s">
        <v>337</v>
      </c>
      <c r="G12" s="161" t="s">
        <v>343</v>
      </c>
      <c r="H12" s="161" t="s">
        <v>342</v>
      </c>
    </row>
    <row r="13" spans="1:8" x14ac:dyDescent="0.15">
      <c r="A13" s="104">
        <v>1182</v>
      </c>
      <c r="B13" s="137" t="str">
        <f>VLOOKUP(A13,[1]characters!$A:$C,3,FALSE)</f>
        <v>黄金螺旋の閃鋼機 フィボナッチ</v>
      </c>
      <c r="C13" s="104" t="s">
        <v>192</v>
      </c>
      <c r="D13" s="137" t="str">
        <f>A13&amp;C13</f>
        <v>1182cskill</v>
      </c>
      <c r="E13" s="137" t="str">
        <f>A13&amp;+(COUNTIF(A13:A$30,A13)-1)</f>
        <v>11823</v>
      </c>
      <c r="F13" s="104" t="s">
        <v>337</v>
      </c>
      <c r="G13" s="161" t="s">
        <v>343</v>
      </c>
      <c r="H13" s="161" t="s">
        <v>344</v>
      </c>
    </row>
    <row r="14" spans="1:8" x14ac:dyDescent="0.15">
      <c r="A14" s="104">
        <v>1182</v>
      </c>
      <c r="B14" s="137" t="str">
        <f>VLOOKUP(A14,[1]characters!$A:$C,3,FALSE)</f>
        <v>黄金螺旋の閃鋼機 フィボナッチ</v>
      </c>
      <c r="C14" s="104" t="s">
        <v>192</v>
      </c>
      <c r="D14" s="137" t="str">
        <f>A14&amp;C14</f>
        <v>1182cskill</v>
      </c>
      <c r="E14" s="137" t="str">
        <f>A14&amp;+(COUNTIF(A14:A$30,A14)-1)</f>
        <v>11822</v>
      </c>
      <c r="F14" s="104" t="s">
        <v>337</v>
      </c>
      <c r="G14" s="161" t="s">
        <v>343</v>
      </c>
      <c r="H14" s="161" t="s">
        <v>345</v>
      </c>
    </row>
    <row r="15" spans="1:8" x14ac:dyDescent="0.15">
      <c r="A15" s="104">
        <v>1182</v>
      </c>
      <c r="B15" s="137" t="str">
        <f>VLOOKUP(A15,[1]characters!$A:$C,3,FALSE)</f>
        <v>黄金螺旋の閃鋼機 フィボナッチ</v>
      </c>
      <c r="C15" s="104" t="s">
        <v>192</v>
      </c>
      <c r="D15" s="137" t="str">
        <f>A15&amp;C15</f>
        <v>1182cskill</v>
      </c>
      <c r="E15" s="137" t="str">
        <f>A15&amp;+(COUNTIF(A15:A$30,A15)-1)</f>
        <v>11821</v>
      </c>
      <c r="F15" s="104" t="s">
        <v>337</v>
      </c>
      <c r="G15" s="161" t="s">
        <v>191</v>
      </c>
      <c r="H15" s="161" t="s">
        <v>346</v>
      </c>
    </row>
    <row r="16" spans="1:8" x14ac:dyDescent="0.15">
      <c r="A16" s="104">
        <v>1182</v>
      </c>
      <c r="B16" s="137" t="str">
        <f>VLOOKUP(A16,[1]characters!$A:$C,3,FALSE)</f>
        <v>黄金螺旋の閃鋼機 フィボナッチ</v>
      </c>
      <c r="C16" s="104" t="s">
        <v>192</v>
      </c>
      <c r="D16" s="137" t="str">
        <f>A16&amp;C16</f>
        <v>1182cskill</v>
      </c>
      <c r="E16" s="137" t="str">
        <f>A16&amp;+(COUNTIF(A16:A$30,A16)-1)</f>
        <v>11820</v>
      </c>
      <c r="F16" s="104" t="s">
        <v>337</v>
      </c>
      <c r="G16" s="161" t="s">
        <v>343</v>
      </c>
      <c r="H16" s="161" t="s">
        <v>347</v>
      </c>
    </row>
    <row r="17" spans="1:8" x14ac:dyDescent="0.15">
      <c r="A17" s="104">
        <v>1171</v>
      </c>
      <c r="B17" s="137" t="str">
        <f>VLOOKUP(A17,[1]characters!$A:$C,3,FALSE)</f>
        <v>解匣する交率 ポアソン</v>
      </c>
      <c r="C17" s="104" t="s">
        <v>190</v>
      </c>
      <c r="D17" s="137" t="str">
        <f t="shared" ref="D17" si="3">A17&amp;C17</f>
        <v>1171skill</v>
      </c>
      <c r="E17" s="137" t="str">
        <f>A17&amp;+(COUNTIF(A17:A$30,A17)-1)</f>
        <v>11714</v>
      </c>
      <c r="F17" s="104" t="s">
        <v>337</v>
      </c>
      <c r="G17" s="161" t="s">
        <v>191</v>
      </c>
      <c r="H17" s="161" t="s">
        <v>390</v>
      </c>
    </row>
    <row r="18" spans="1:8" x14ac:dyDescent="0.15">
      <c r="A18" s="104">
        <v>1171</v>
      </c>
      <c r="B18" s="137" t="str">
        <f>VLOOKUP(A18,[1]characters!$A:$C,3,FALSE)</f>
        <v>解匣する交率 ポアソン</v>
      </c>
      <c r="C18" s="104" t="s">
        <v>192</v>
      </c>
      <c r="D18" s="137" t="str">
        <f>A18&amp;C18</f>
        <v>1171cskill</v>
      </c>
      <c r="E18" s="137" t="str">
        <f>A18&amp;+(COUNTIF(A18:A$30,A18)-1)</f>
        <v>11713</v>
      </c>
      <c r="F18" s="104" t="s">
        <v>337</v>
      </c>
      <c r="G18" s="161" t="s">
        <v>191</v>
      </c>
      <c r="H18" s="161" t="s">
        <v>391</v>
      </c>
    </row>
    <row r="19" spans="1:8" x14ac:dyDescent="0.15">
      <c r="A19" s="104">
        <v>1171</v>
      </c>
      <c r="B19" s="137" t="str">
        <f>VLOOKUP(A19,[1]characters!$A:$C,3,FALSE)</f>
        <v>解匣する交率 ポアソン</v>
      </c>
      <c r="C19" s="104" t="s">
        <v>192</v>
      </c>
      <c r="D19" s="137" t="str">
        <f>A19&amp;C19</f>
        <v>1171cskill</v>
      </c>
      <c r="E19" s="137" t="str">
        <f>A19&amp;+(COUNTIF(A19:A$30,A19)-1)</f>
        <v>11712</v>
      </c>
      <c r="F19" s="104" t="s">
        <v>337</v>
      </c>
      <c r="G19" s="161" t="s">
        <v>191</v>
      </c>
      <c r="H19" s="161" t="s">
        <v>392</v>
      </c>
    </row>
    <row r="20" spans="1:8" x14ac:dyDescent="0.15">
      <c r="A20" s="104">
        <v>1171</v>
      </c>
      <c r="B20" s="137" t="str">
        <f>VLOOKUP(A20,[1]characters!$A:$C,3,FALSE)</f>
        <v>解匣する交率 ポアソン</v>
      </c>
      <c r="C20" s="104" t="s">
        <v>192</v>
      </c>
      <c r="D20" s="137" t="str">
        <f>A20&amp;C20</f>
        <v>1171cskill</v>
      </c>
      <c r="E20" s="137" t="str">
        <f>A20&amp;+(COUNTIF(A20:A$30,A20)-1)</f>
        <v>11711</v>
      </c>
      <c r="F20" s="104" t="s">
        <v>337</v>
      </c>
      <c r="G20" s="161" t="s">
        <v>191</v>
      </c>
      <c r="H20" s="161" t="s">
        <v>393</v>
      </c>
    </row>
    <row r="21" spans="1:8" x14ac:dyDescent="0.15">
      <c r="A21" s="104">
        <v>1171</v>
      </c>
      <c r="B21" s="137" t="str">
        <f>VLOOKUP(A21,[1]characters!$A:$C,3,FALSE)</f>
        <v>解匣する交率 ポアソン</v>
      </c>
      <c r="C21" s="104" t="s">
        <v>192</v>
      </c>
      <c r="D21" s="137" t="str">
        <f>A21&amp;C21</f>
        <v>1171cskill</v>
      </c>
      <c r="E21" s="137" t="str">
        <f>A21&amp;+(COUNTIF(A21:A$30,A21)-1)</f>
        <v>11710</v>
      </c>
      <c r="F21" s="104" t="s">
        <v>337</v>
      </c>
      <c r="G21" s="161" t="s">
        <v>191</v>
      </c>
      <c r="H21" s="161" t="s">
        <v>394</v>
      </c>
    </row>
    <row r="22" spans="1:8" x14ac:dyDescent="0.15">
      <c r="A22" s="104">
        <v>1172</v>
      </c>
      <c r="B22" s="137" t="str">
        <f>VLOOKUP(A22,[1]characters!$A:$C,3,FALSE)</f>
        <v>極限解析の讃嬢 クロネッカー</v>
      </c>
      <c r="C22" s="104" t="s">
        <v>190</v>
      </c>
      <c r="D22" s="137" t="str">
        <f t="shared" ref="D22" si="4">A22&amp;C22</f>
        <v>1172skill</v>
      </c>
      <c r="E22" s="137" t="str">
        <f>A22&amp;+(COUNTIF(A22:A$30,A22)-1)</f>
        <v>11724</v>
      </c>
      <c r="F22" s="104" t="s">
        <v>337</v>
      </c>
      <c r="G22" s="161" t="s">
        <v>395</v>
      </c>
      <c r="H22" s="161" t="s">
        <v>396</v>
      </c>
    </row>
    <row r="23" spans="1:8" x14ac:dyDescent="0.15">
      <c r="A23" s="104">
        <v>1172</v>
      </c>
      <c r="B23" s="137" t="str">
        <f>VLOOKUP(A23,[1]characters!$A:$C,3,FALSE)</f>
        <v>極限解析の讃嬢 クロネッカー</v>
      </c>
      <c r="C23" s="104" t="s">
        <v>192</v>
      </c>
      <c r="D23" s="137" t="str">
        <f>A23&amp;C23</f>
        <v>1172cskill</v>
      </c>
      <c r="E23" s="137" t="str">
        <f>A23&amp;+(COUNTIF(A23:A$30,A23)-1)</f>
        <v>11723</v>
      </c>
      <c r="F23" s="104" t="s">
        <v>337</v>
      </c>
      <c r="G23" s="161" t="s">
        <v>191</v>
      </c>
      <c r="H23" s="161" t="s">
        <v>397</v>
      </c>
    </row>
    <row r="24" spans="1:8" x14ac:dyDescent="0.15">
      <c r="A24" s="104">
        <v>1172</v>
      </c>
      <c r="B24" s="137" t="str">
        <f>VLOOKUP(A24,[1]characters!$A:$C,3,FALSE)</f>
        <v>極限解析の讃嬢 クロネッカー</v>
      </c>
      <c r="C24" s="104" t="s">
        <v>192</v>
      </c>
      <c r="D24" s="137" t="str">
        <f>A24&amp;C24</f>
        <v>1172cskill</v>
      </c>
      <c r="E24" s="137" t="str">
        <f>A24&amp;+(COUNTIF(A24:A$30,A24)-1)</f>
        <v>11722</v>
      </c>
      <c r="F24" s="104" t="s">
        <v>337</v>
      </c>
      <c r="G24" s="161" t="s">
        <v>191</v>
      </c>
      <c r="H24" s="161" t="s">
        <v>398</v>
      </c>
    </row>
    <row r="25" spans="1:8" x14ac:dyDescent="0.15">
      <c r="A25" s="104">
        <v>1172</v>
      </c>
      <c r="B25" s="137" t="str">
        <f>VLOOKUP(A25,[1]characters!$A:$C,3,FALSE)</f>
        <v>極限解析の讃嬢 クロネッカー</v>
      </c>
      <c r="C25" s="104" t="s">
        <v>192</v>
      </c>
      <c r="D25" s="137" t="str">
        <f>A25&amp;C25</f>
        <v>1172cskill</v>
      </c>
      <c r="E25" s="137" t="str">
        <f>A25&amp;+(COUNTIF(A25:A$30,A25)-1)</f>
        <v>11721</v>
      </c>
      <c r="F25" s="104" t="s">
        <v>337</v>
      </c>
      <c r="G25" s="161" t="s">
        <v>191</v>
      </c>
      <c r="H25" s="161" t="s">
        <v>399</v>
      </c>
    </row>
    <row r="26" spans="1:8" x14ac:dyDescent="0.15">
      <c r="A26" s="104">
        <v>1172</v>
      </c>
      <c r="B26" s="137" t="str">
        <f>VLOOKUP(A26,[1]characters!$A:$C,3,FALSE)</f>
        <v>極限解析の讃嬢 クロネッカー</v>
      </c>
      <c r="C26" s="104" t="s">
        <v>192</v>
      </c>
      <c r="D26" s="137" t="str">
        <f>A26&amp;C26</f>
        <v>1172cskill</v>
      </c>
      <c r="E26" s="137" t="str">
        <f>A26&amp;+(COUNTIF(A26:A$30,A26)-1)</f>
        <v>11720</v>
      </c>
      <c r="F26" s="104" t="s">
        <v>337</v>
      </c>
      <c r="G26" s="161" t="s">
        <v>191</v>
      </c>
      <c r="H26" s="161" t="s">
        <v>400</v>
      </c>
    </row>
    <row r="27" spans="1:8" x14ac:dyDescent="0.15">
      <c r="A27" s="104">
        <v>1128</v>
      </c>
      <c r="B27" s="137" t="str">
        <f>VLOOKUP(A27,[1]characters!$A:$C,3,FALSE)</f>
        <v>宇宙天紡の星明 ハップル</v>
      </c>
      <c r="C27" s="104" t="s">
        <v>190</v>
      </c>
      <c r="D27" s="137" t="str">
        <f t="shared" ref="D27:D37" si="5">A27&amp;C27</f>
        <v>1128skill</v>
      </c>
      <c r="E27" s="137" t="str">
        <f>A27&amp;+(COUNTIF(A27:A$42,A27)-1)</f>
        <v>11284</v>
      </c>
      <c r="F27" s="104" t="s">
        <v>184</v>
      </c>
      <c r="G27" s="161" t="s">
        <v>343</v>
      </c>
      <c r="H27" s="161" t="s">
        <v>401</v>
      </c>
    </row>
    <row r="28" spans="1:8" x14ac:dyDescent="0.15">
      <c r="A28" s="104">
        <v>1128</v>
      </c>
      <c r="B28" s="137" t="str">
        <f>VLOOKUP(A28,[1]characters!$A:$C,3,FALSE)</f>
        <v>宇宙天紡の星明 ハップル</v>
      </c>
      <c r="C28" s="104" t="s">
        <v>192</v>
      </c>
      <c r="D28" s="137" t="str">
        <f t="shared" si="5"/>
        <v>1128cskill</v>
      </c>
      <c r="E28" s="137" t="str">
        <f>A28&amp;+(COUNTIF(A28:A$42,A28)-1)</f>
        <v>11283</v>
      </c>
      <c r="F28" s="104" t="s">
        <v>184</v>
      </c>
      <c r="G28" s="161" t="s">
        <v>191</v>
      </c>
      <c r="H28" s="161" t="s">
        <v>402</v>
      </c>
    </row>
    <row r="29" spans="1:8" x14ac:dyDescent="0.15">
      <c r="A29" s="104">
        <v>1128</v>
      </c>
      <c r="B29" s="137" t="str">
        <f>VLOOKUP(A29,[1]characters!$A:$C,3,FALSE)</f>
        <v>宇宙天紡の星明 ハップル</v>
      </c>
      <c r="C29" s="104" t="s">
        <v>192</v>
      </c>
      <c r="D29" s="137" t="str">
        <f t="shared" si="5"/>
        <v>1128cskill</v>
      </c>
      <c r="E29" s="137" t="str">
        <f>A29&amp;+(COUNTIF(A29:A$42,A29)-1)</f>
        <v>11282</v>
      </c>
      <c r="F29" s="104" t="s">
        <v>184</v>
      </c>
      <c r="G29" s="161" t="s">
        <v>191</v>
      </c>
      <c r="H29" s="161" t="s">
        <v>403</v>
      </c>
    </row>
    <row r="30" spans="1:8" x14ac:dyDescent="0.15">
      <c r="A30" s="104">
        <v>1128</v>
      </c>
      <c r="B30" s="137" t="str">
        <f>VLOOKUP(A30,[1]characters!$A:$C,3,FALSE)</f>
        <v>宇宙天紡の星明 ハップル</v>
      </c>
      <c r="C30" s="104" t="s">
        <v>192</v>
      </c>
      <c r="D30" s="137" t="str">
        <f t="shared" si="5"/>
        <v>1128cskill</v>
      </c>
      <c r="E30" s="137" t="str">
        <f>A30&amp;+(COUNTIF(A30:A$42,A30)-1)</f>
        <v>11281</v>
      </c>
      <c r="F30" s="104" t="s">
        <v>184</v>
      </c>
      <c r="G30" s="161" t="s">
        <v>191</v>
      </c>
      <c r="H30" s="161" t="s">
        <v>404</v>
      </c>
    </row>
    <row r="31" spans="1:8" x14ac:dyDescent="0.15">
      <c r="A31" s="104">
        <v>1128</v>
      </c>
      <c r="B31" s="137" t="str">
        <f>VLOOKUP(A31,[1]characters!$A:$C,3,FALSE)</f>
        <v>宇宙天紡の星明 ハップル</v>
      </c>
      <c r="C31" s="104" t="s">
        <v>192</v>
      </c>
      <c r="D31" s="137" t="str">
        <f t="shared" si="5"/>
        <v>1128cskill</v>
      </c>
      <c r="E31" s="137" t="str">
        <f>A31&amp;+(COUNTIF(A31:A$42,A31)-1)</f>
        <v>11280</v>
      </c>
      <c r="F31" s="104" t="s">
        <v>184</v>
      </c>
      <c r="G31" s="161" t="s">
        <v>343</v>
      </c>
      <c r="H31" s="161" t="s">
        <v>405</v>
      </c>
    </row>
    <row r="32" spans="1:8" x14ac:dyDescent="0.15">
      <c r="A32" s="104">
        <v>1173</v>
      </c>
      <c r="B32" s="137" t="str">
        <f>VLOOKUP(A32,[1]characters!$A:$C,3,FALSE)</f>
        <v>愛を咲かせる春羽妖精 ファータ</v>
      </c>
      <c r="C32" s="104" t="s">
        <v>190</v>
      </c>
      <c r="D32" s="137" t="str">
        <f t="shared" si="5"/>
        <v>1173skill</v>
      </c>
      <c r="E32" s="137" t="str">
        <f>A32&amp;+(COUNTIF(A32:A$42,A32)-1)</f>
        <v>11734</v>
      </c>
      <c r="F32" s="104" t="s">
        <v>184</v>
      </c>
      <c r="G32" s="161" t="s">
        <v>191</v>
      </c>
      <c r="H32" s="161" t="s">
        <v>406</v>
      </c>
    </row>
    <row r="33" spans="1:8" x14ac:dyDescent="0.15">
      <c r="A33" s="104">
        <v>1173</v>
      </c>
      <c r="B33" s="137" t="str">
        <f>VLOOKUP(A33,[1]characters!$A:$C,3,FALSE)</f>
        <v>愛を咲かせる春羽妖精 ファータ</v>
      </c>
      <c r="C33" s="104" t="s">
        <v>192</v>
      </c>
      <c r="D33" s="137" t="str">
        <f t="shared" si="5"/>
        <v>1173cskill</v>
      </c>
      <c r="E33" s="137" t="str">
        <f>A33&amp;+(COUNTIF(A33:A$42,A33)-1)</f>
        <v>11733</v>
      </c>
      <c r="F33" s="104" t="s">
        <v>184</v>
      </c>
      <c r="G33" s="161" t="s">
        <v>395</v>
      </c>
      <c r="H33" s="161" t="s">
        <v>407</v>
      </c>
    </row>
    <row r="34" spans="1:8" x14ac:dyDescent="0.15">
      <c r="A34" s="104">
        <v>1173</v>
      </c>
      <c r="B34" s="137" t="str">
        <f>VLOOKUP(A34,[1]characters!$A:$C,3,FALSE)</f>
        <v>愛を咲かせる春羽妖精 ファータ</v>
      </c>
      <c r="C34" s="104" t="s">
        <v>192</v>
      </c>
      <c r="D34" s="137" t="str">
        <f t="shared" si="5"/>
        <v>1173cskill</v>
      </c>
      <c r="E34" s="137" t="str">
        <f>A34&amp;+(COUNTIF(A34:A$42,A34)-1)</f>
        <v>11732</v>
      </c>
      <c r="F34" s="104" t="s">
        <v>184</v>
      </c>
      <c r="G34" s="161" t="s">
        <v>191</v>
      </c>
      <c r="H34" s="161" t="s">
        <v>408</v>
      </c>
    </row>
    <row r="35" spans="1:8" x14ac:dyDescent="0.15">
      <c r="A35" s="104">
        <v>1173</v>
      </c>
      <c r="B35" s="137" t="str">
        <f>VLOOKUP(A35,[1]characters!$A:$C,3,FALSE)</f>
        <v>愛を咲かせる春羽妖精 ファータ</v>
      </c>
      <c r="C35" s="104" t="s">
        <v>192</v>
      </c>
      <c r="D35" s="137" t="str">
        <f t="shared" si="5"/>
        <v>1173cskill</v>
      </c>
      <c r="E35" s="137" t="str">
        <f>A35&amp;+(COUNTIF(A35:A$42,A35)-1)</f>
        <v>11731</v>
      </c>
      <c r="F35" s="104" t="s">
        <v>184</v>
      </c>
      <c r="G35" s="161" t="s">
        <v>395</v>
      </c>
      <c r="H35" s="161" t="s">
        <v>409</v>
      </c>
    </row>
    <row r="36" spans="1:8" x14ac:dyDescent="0.15">
      <c r="A36" s="104">
        <v>1173</v>
      </c>
      <c r="B36" s="137" t="str">
        <f>VLOOKUP(A36,[1]characters!$A:$C,3,FALSE)</f>
        <v>愛を咲かせる春羽妖精 ファータ</v>
      </c>
      <c r="C36" s="104" t="s">
        <v>192</v>
      </c>
      <c r="D36" s="137" t="str">
        <f t="shared" si="5"/>
        <v>1173cskill</v>
      </c>
      <c r="E36" s="137" t="str">
        <f>A36&amp;+(COUNTIF(A36:A$42,A36)-1)</f>
        <v>11730</v>
      </c>
      <c r="F36" s="104" t="s">
        <v>184</v>
      </c>
      <c r="G36" s="161" t="s">
        <v>191</v>
      </c>
      <c r="H36" s="161" t="s">
        <v>410</v>
      </c>
    </row>
    <row r="37" spans="1:8" x14ac:dyDescent="0.15">
      <c r="A37" s="104">
        <v>1176</v>
      </c>
      <c r="B37" s="137" t="str">
        <f>VLOOKUP(A37,[1]characters!$A:$C,3,FALSE)</f>
        <v>夢二夢斬の遊猟 フロイト</v>
      </c>
      <c r="C37" s="104" t="s">
        <v>190</v>
      </c>
      <c r="D37" s="137" t="str">
        <f t="shared" si="5"/>
        <v>1176skill</v>
      </c>
      <c r="E37" s="137" t="str">
        <f>A37&amp;+(COUNTIF(A$30:A37,A37)-1)</f>
        <v>11760</v>
      </c>
      <c r="F37" s="104" t="s">
        <v>337</v>
      </c>
      <c r="G37" s="161" t="s">
        <v>395</v>
      </c>
      <c r="H37" s="161" t="s">
        <v>411</v>
      </c>
    </row>
    <row r="38" spans="1:8" x14ac:dyDescent="0.15">
      <c r="A38" s="104">
        <v>1176</v>
      </c>
      <c r="B38" s="137" t="str">
        <f>VLOOKUP(A38,[1]characters!$A:$C,3,FALSE)</f>
        <v>夢二夢斬の遊猟 フロイト</v>
      </c>
      <c r="C38" s="104" t="s">
        <v>192</v>
      </c>
      <c r="D38" s="137" t="str">
        <f>A38&amp;C38</f>
        <v>1176cskill</v>
      </c>
      <c r="E38" s="137" t="str">
        <f>A38&amp;+(COUNTIF(A$30:A38,A38)-1)</f>
        <v>11761</v>
      </c>
      <c r="F38" s="104" t="s">
        <v>337</v>
      </c>
      <c r="G38" s="161" t="s">
        <v>191</v>
      </c>
      <c r="H38" s="161" t="s">
        <v>412</v>
      </c>
    </row>
    <row r="39" spans="1:8" x14ac:dyDescent="0.15">
      <c r="A39" s="104">
        <v>1176</v>
      </c>
      <c r="B39" s="137" t="str">
        <f>VLOOKUP(A39,[1]characters!$A:$C,3,FALSE)</f>
        <v>夢二夢斬の遊猟 フロイト</v>
      </c>
      <c r="C39" s="104" t="s">
        <v>192</v>
      </c>
      <c r="D39" s="137" t="str">
        <f>A39&amp;C39</f>
        <v>1176cskill</v>
      </c>
      <c r="E39" s="137" t="str">
        <f>A39&amp;+(COUNTIF(A$30:A39,A39)-1)</f>
        <v>11762</v>
      </c>
      <c r="F39" s="104" t="s">
        <v>337</v>
      </c>
      <c r="G39" s="161" t="s">
        <v>343</v>
      </c>
      <c r="H39" s="161" t="s">
        <v>413</v>
      </c>
    </row>
    <row r="40" spans="1:8" x14ac:dyDescent="0.15">
      <c r="A40" s="104">
        <v>1176</v>
      </c>
      <c r="B40" s="137" t="str">
        <f>VLOOKUP(A40,[1]characters!$A:$C,3,FALSE)</f>
        <v>夢二夢斬の遊猟 フロイト</v>
      </c>
      <c r="C40" s="104" t="s">
        <v>192</v>
      </c>
      <c r="D40" s="137" t="str">
        <f>A40&amp;C40</f>
        <v>1176cskill</v>
      </c>
      <c r="E40" s="137" t="str">
        <f>A40&amp;+(COUNTIF(A$30:A40,A40)-1)</f>
        <v>11763</v>
      </c>
      <c r="F40" s="104" t="s">
        <v>337</v>
      </c>
      <c r="G40" s="161" t="s">
        <v>343</v>
      </c>
      <c r="H40" s="161" t="s">
        <v>414</v>
      </c>
    </row>
    <row r="41" spans="1:8" x14ac:dyDescent="0.15">
      <c r="A41" s="104">
        <v>1176</v>
      </c>
      <c r="B41" s="137" t="str">
        <f>VLOOKUP(A41,[1]characters!$A:$C,3,FALSE)</f>
        <v>夢二夢斬の遊猟 フロイト</v>
      </c>
      <c r="C41" s="104" t="s">
        <v>192</v>
      </c>
      <c r="D41" s="137" t="str">
        <f>A41&amp;C41</f>
        <v>1176cskill</v>
      </c>
      <c r="E41" s="137" t="str">
        <f>A41&amp;+(COUNTIF(A$30:A41,A41)-1)</f>
        <v>11764</v>
      </c>
      <c r="F41" s="104" t="s">
        <v>337</v>
      </c>
      <c r="G41" s="161" t="s">
        <v>191</v>
      </c>
      <c r="H41" s="161" t="s">
        <v>415</v>
      </c>
    </row>
    <row r="42" spans="1:8" x14ac:dyDescent="0.15">
      <c r="A42" s="104">
        <v>882</v>
      </c>
      <c r="B42" s="137" t="str">
        <f>VLOOKUP(A42,[1]characters!$A:$C,3,FALSE)</f>
        <v>歪極する星壊 シュヴァルツシルト</v>
      </c>
      <c r="C42" s="104" t="s">
        <v>190</v>
      </c>
      <c r="D42" s="137" t="str">
        <f t="shared" ref="D42" si="6">A42&amp;C42</f>
        <v>882skill</v>
      </c>
      <c r="E42" s="137" t="str">
        <f>A42&amp;+(COUNTIF(A$30:A42,A42)-1)</f>
        <v>8820</v>
      </c>
      <c r="F42" s="104" t="s">
        <v>337</v>
      </c>
      <c r="G42" s="161" t="s">
        <v>191</v>
      </c>
      <c r="H42" s="161" t="s">
        <v>426</v>
      </c>
    </row>
    <row r="43" spans="1:8" x14ac:dyDescent="0.15">
      <c r="A43" s="104">
        <v>882</v>
      </c>
      <c r="B43" s="137" t="str">
        <f>VLOOKUP(A43,[1]characters!$A:$C,3,FALSE)</f>
        <v>歪極する星壊 シュヴァルツシルト</v>
      </c>
      <c r="C43" s="104" t="s">
        <v>192</v>
      </c>
      <c r="D43" s="137" t="str">
        <f>A43&amp;C43</f>
        <v>882cskill</v>
      </c>
      <c r="E43" s="137" t="str">
        <f>A43&amp;+(COUNTIF(A$30:A43,A43)-1)</f>
        <v>8821</v>
      </c>
      <c r="F43" s="104" t="s">
        <v>337</v>
      </c>
      <c r="G43" s="161" t="s">
        <v>191</v>
      </c>
      <c r="H43" s="161" t="s">
        <v>428</v>
      </c>
    </row>
    <row r="44" spans="1:8" x14ac:dyDescent="0.15">
      <c r="A44" s="104">
        <v>882</v>
      </c>
      <c r="B44" s="137" t="str">
        <f>VLOOKUP(A44,[1]characters!$A:$C,3,FALSE)</f>
        <v>歪極する星壊 シュヴァルツシルト</v>
      </c>
      <c r="C44" s="104" t="s">
        <v>192</v>
      </c>
      <c r="D44" s="137" t="str">
        <f>A44&amp;C44</f>
        <v>882cskill</v>
      </c>
      <c r="E44" s="137" t="str">
        <f>A44&amp;+(COUNTIF(A$30:A44,A44)-1)</f>
        <v>8822</v>
      </c>
      <c r="F44" s="104" t="s">
        <v>337</v>
      </c>
      <c r="G44" s="161" t="s">
        <v>191</v>
      </c>
      <c r="H44" s="161" t="s">
        <v>429</v>
      </c>
    </row>
    <row r="45" spans="1:8" x14ac:dyDescent="0.15">
      <c r="A45" s="104">
        <v>882</v>
      </c>
      <c r="B45" s="137" t="str">
        <f>VLOOKUP(A45,[1]characters!$A:$C,3,FALSE)</f>
        <v>歪極する星壊 シュヴァルツシルト</v>
      </c>
      <c r="C45" s="104" t="s">
        <v>192</v>
      </c>
      <c r="D45" s="137" t="str">
        <f>A45&amp;C45</f>
        <v>882cskill</v>
      </c>
      <c r="E45" s="137" t="str">
        <f>A45&amp;+(COUNTIF(A$30:A45,A45)-1)</f>
        <v>8823</v>
      </c>
      <c r="F45" s="104" t="s">
        <v>337</v>
      </c>
      <c r="G45" s="161" t="s">
        <v>191</v>
      </c>
      <c r="H45" s="161" t="s">
        <v>430</v>
      </c>
    </row>
    <row r="46" spans="1:8" x14ac:dyDescent="0.15">
      <c r="A46" s="104">
        <v>882</v>
      </c>
      <c r="B46" s="137" t="str">
        <f>VLOOKUP(A46,[1]characters!$A:$C,3,FALSE)</f>
        <v>歪極する星壊 シュヴァルツシルト</v>
      </c>
      <c r="C46" s="104" t="s">
        <v>192</v>
      </c>
      <c r="D46" s="137" t="str">
        <f>A46&amp;C46</f>
        <v>882cskill</v>
      </c>
      <c r="E46" s="137" t="str">
        <f>A46&amp;+(COUNTIF(A$30:A46,A46)-1)</f>
        <v>8824</v>
      </c>
      <c r="F46" s="104" t="s">
        <v>337</v>
      </c>
      <c r="G46" s="161" t="s">
        <v>395</v>
      </c>
      <c r="H46" s="161" t="s">
        <v>427</v>
      </c>
    </row>
    <row r="47" spans="1:8" x14ac:dyDescent="0.15">
      <c r="A47" s="104">
        <v>1108</v>
      </c>
      <c r="B47" s="137" t="str">
        <f>VLOOKUP(A47,[1]characters!$A:$C,3,FALSE)</f>
        <v>交鏡の光波 フレネル</v>
      </c>
      <c r="C47" s="104" t="s">
        <v>190</v>
      </c>
      <c r="D47" s="137" t="str">
        <f t="shared" ref="D47" si="7">A47&amp;C47</f>
        <v>1108skill</v>
      </c>
      <c r="E47" s="137" t="str">
        <f>A47&amp;+(COUNTIF(A$30:A47,A47)-1)</f>
        <v>11080</v>
      </c>
      <c r="F47" s="104" t="s">
        <v>184</v>
      </c>
      <c r="G47" s="161" t="s">
        <v>343</v>
      </c>
      <c r="H47" s="161" t="s">
        <v>432</v>
      </c>
    </row>
    <row r="48" spans="1:8" x14ac:dyDescent="0.15">
      <c r="A48" s="104">
        <v>1108</v>
      </c>
      <c r="B48" s="137" t="str">
        <f>VLOOKUP(A48,[1]characters!$A:$C,3,FALSE)</f>
        <v>交鏡の光波 フレネル</v>
      </c>
      <c r="C48" s="104" t="s">
        <v>192</v>
      </c>
      <c r="D48" s="137" t="str">
        <f>A48&amp;C48</f>
        <v>1108cskill</v>
      </c>
      <c r="E48" s="137" t="str">
        <f>A48&amp;+(COUNTIF(A$30:A48,A48)-1)</f>
        <v>11081</v>
      </c>
      <c r="F48" s="104" t="s">
        <v>184</v>
      </c>
      <c r="G48" s="161" t="s">
        <v>343</v>
      </c>
      <c r="H48" s="161" t="s">
        <v>434</v>
      </c>
    </row>
    <row r="49" spans="1:8" x14ac:dyDescent="0.15">
      <c r="A49" s="104">
        <v>1108</v>
      </c>
      <c r="B49" s="137" t="str">
        <f>VLOOKUP(A49,[1]characters!$A:$C,3,FALSE)</f>
        <v>交鏡の光波 フレネル</v>
      </c>
      <c r="C49" s="104" t="s">
        <v>192</v>
      </c>
      <c r="D49" s="137" t="str">
        <f>A49&amp;C49</f>
        <v>1108cskill</v>
      </c>
      <c r="E49" s="137" t="str">
        <f>A49&amp;+(COUNTIF(A$30:A49,A49)-1)</f>
        <v>11082</v>
      </c>
      <c r="F49" s="104" t="s">
        <v>184</v>
      </c>
      <c r="G49" s="161" t="s">
        <v>343</v>
      </c>
      <c r="H49" s="161" t="s">
        <v>435</v>
      </c>
    </row>
    <row r="50" spans="1:8" x14ac:dyDescent="0.15">
      <c r="A50" s="104">
        <v>1108</v>
      </c>
      <c r="B50" s="137" t="str">
        <f>VLOOKUP(A50,[1]characters!$A:$C,3,FALSE)</f>
        <v>交鏡の光波 フレネル</v>
      </c>
      <c r="C50" s="104" t="s">
        <v>192</v>
      </c>
      <c r="D50" s="137" t="str">
        <f>A50&amp;C50</f>
        <v>1108cskill</v>
      </c>
      <c r="E50" s="137" t="str">
        <f>A50&amp;+(COUNTIF(A$30:A50,A50)-1)</f>
        <v>11083</v>
      </c>
      <c r="F50" s="104" t="s">
        <v>184</v>
      </c>
      <c r="G50" s="161" t="s">
        <v>343</v>
      </c>
      <c r="H50" s="161" t="s">
        <v>436</v>
      </c>
    </row>
    <row r="51" spans="1:8" x14ac:dyDescent="0.15">
      <c r="A51" s="104">
        <v>1108</v>
      </c>
      <c r="B51" s="137" t="str">
        <f>VLOOKUP(A51,[1]characters!$A:$C,3,FALSE)</f>
        <v>交鏡の光波 フレネル</v>
      </c>
      <c r="C51" s="104" t="s">
        <v>192</v>
      </c>
      <c r="D51" s="137" t="str">
        <f>A51&amp;C51</f>
        <v>1108cskill</v>
      </c>
      <c r="E51" s="137" t="str">
        <f>A51&amp;+(COUNTIF(A$30:A51,A51)-1)</f>
        <v>11084</v>
      </c>
      <c r="F51" s="104" t="s">
        <v>184</v>
      </c>
      <c r="G51" s="161" t="s">
        <v>395</v>
      </c>
      <c r="H51" s="161" t="s">
        <v>433</v>
      </c>
    </row>
    <row r="52" spans="1:8" x14ac:dyDescent="0.15">
      <c r="A52" s="104">
        <v>1078</v>
      </c>
      <c r="B52" s="137" t="str">
        <f>VLOOKUP(A52,[1]characters!$A:$C,3,FALSE)</f>
        <v>合奏の飛論理 パレート</v>
      </c>
      <c r="C52" s="104" t="s">
        <v>190</v>
      </c>
      <c r="D52" s="137" t="str">
        <f t="shared" ref="D52" si="8">A52&amp;C52</f>
        <v>1078skill</v>
      </c>
      <c r="E52" s="137" t="str">
        <f>A52&amp;+(COUNTIF(A$30:A52,A52)-1)</f>
        <v>10780</v>
      </c>
      <c r="F52" s="104" t="s">
        <v>184</v>
      </c>
      <c r="G52" s="161" t="s">
        <v>191</v>
      </c>
      <c r="H52" s="161" t="s">
        <v>460</v>
      </c>
    </row>
    <row r="53" spans="1:8" x14ac:dyDescent="0.15">
      <c r="A53" s="104">
        <v>1078</v>
      </c>
      <c r="B53" s="137" t="str">
        <f>VLOOKUP(A53,[1]characters!$A:$C,3,FALSE)</f>
        <v>合奏の飛論理 パレート</v>
      </c>
      <c r="C53" s="104" t="s">
        <v>192</v>
      </c>
      <c r="D53" s="137" t="str">
        <f>A53&amp;C53</f>
        <v>1078cskill</v>
      </c>
      <c r="E53" s="137" t="str">
        <f>A53&amp;+(COUNTIF(A$30:A53,A53)-1)</f>
        <v>10781</v>
      </c>
      <c r="F53" s="104" t="s">
        <v>184</v>
      </c>
      <c r="G53" s="161" t="s">
        <v>395</v>
      </c>
      <c r="H53" s="161" t="s">
        <v>461</v>
      </c>
    </row>
    <row r="54" spans="1:8" x14ac:dyDescent="0.15">
      <c r="A54" s="104">
        <v>1078</v>
      </c>
      <c r="B54" s="137" t="str">
        <f>VLOOKUP(A54,[1]characters!$A:$C,3,FALSE)</f>
        <v>合奏の飛論理 パレート</v>
      </c>
      <c r="C54" s="104" t="s">
        <v>192</v>
      </c>
      <c r="D54" s="137" t="str">
        <f>A54&amp;C54</f>
        <v>1078cskill</v>
      </c>
      <c r="E54" s="137" t="str">
        <f>A54&amp;+(COUNTIF(A$30:A54,A54)-1)</f>
        <v>10782</v>
      </c>
      <c r="F54" s="104" t="s">
        <v>184</v>
      </c>
      <c r="G54" s="161" t="s">
        <v>395</v>
      </c>
      <c r="H54" s="161" t="s">
        <v>462</v>
      </c>
    </row>
    <row r="55" spans="1:8" x14ac:dyDescent="0.15">
      <c r="A55" s="104">
        <v>1078</v>
      </c>
      <c r="B55" s="137" t="str">
        <f>VLOOKUP(A55,[1]characters!$A:$C,3,FALSE)</f>
        <v>合奏の飛論理 パレート</v>
      </c>
      <c r="C55" s="104" t="s">
        <v>192</v>
      </c>
      <c r="D55" s="137" t="str">
        <f>A55&amp;C55</f>
        <v>1078cskill</v>
      </c>
      <c r="E55" s="137" t="str">
        <f>A55&amp;+(COUNTIF(A$30:A55,A55)-1)</f>
        <v>10783</v>
      </c>
      <c r="F55" s="104" t="s">
        <v>184</v>
      </c>
      <c r="G55" s="161" t="s">
        <v>395</v>
      </c>
      <c r="H55" s="161" t="s">
        <v>463</v>
      </c>
    </row>
    <row r="56" spans="1:8" x14ac:dyDescent="0.15">
      <c r="A56" s="104">
        <v>1078</v>
      </c>
      <c r="B56" s="137" t="str">
        <f>VLOOKUP(A56,[1]characters!$A:$C,3,FALSE)</f>
        <v>合奏の飛論理 パレート</v>
      </c>
      <c r="C56" s="104" t="s">
        <v>192</v>
      </c>
      <c r="D56" s="137" t="str">
        <f>A56&amp;C56</f>
        <v>1078cskill</v>
      </c>
      <c r="E56" s="137" t="str">
        <f>A56&amp;+(COUNTIF(A$30:A56,A56)-1)</f>
        <v>10784</v>
      </c>
      <c r="F56" s="104" t="s">
        <v>184</v>
      </c>
      <c r="G56" s="161" t="s">
        <v>395</v>
      </c>
      <c r="H56" s="161" t="s">
        <v>464</v>
      </c>
    </row>
  </sheetData>
  <phoneticPr fontId="22"/>
  <dataValidations count="2">
    <dataValidation type="list" allowBlank="1" showInputMessage="1" showErrorMessage="1" sqref="C2:C56">
      <formula1>"skill,cskill"</formula1>
    </dataValidation>
    <dataValidation type="list" allowBlank="1" showInputMessage="1" showErrorMessage="1" sqref="G2:G56">
      <formula1>"maru,giza,kumo"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2"/>
  <sheetViews>
    <sheetView showGridLines="0" workbookViewId="0">
      <pane xSplit="9" ySplit="1" topLeftCell="P11" activePane="bottomRight" state="frozen"/>
      <selection pane="topRight" activeCell="J1" sqref="J1"/>
      <selection pane="bottomLeft" activeCell="A3" sqref="A3"/>
      <selection pane="bottomRight" activeCell="P27" sqref="P27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6" t="s">
        <v>270</v>
      </c>
      <c r="B1" s="90" t="s">
        <v>271</v>
      </c>
      <c r="C1" s="81" t="s">
        <v>272</v>
      </c>
      <c r="D1" s="81" t="s">
        <v>273</v>
      </c>
      <c r="E1" s="81" t="s">
        <v>274</v>
      </c>
      <c r="F1" s="81" t="s">
        <v>275</v>
      </c>
      <c r="G1" s="81" t="s">
        <v>1</v>
      </c>
      <c r="H1" s="174" t="s">
        <v>19</v>
      </c>
      <c r="I1" s="81" t="s">
        <v>0</v>
      </c>
      <c r="J1" s="80" t="s">
        <v>276</v>
      </c>
      <c r="K1" s="81" t="s">
        <v>271</v>
      </c>
      <c r="L1" s="82" t="s">
        <v>49</v>
      </c>
      <c r="M1" s="82" t="s">
        <v>48</v>
      </c>
      <c r="N1" s="82" t="s">
        <v>277</v>
      </c>
      <c r="O1" s="82" t="s">
        <v>278</v>
      </c>
      <c r="P1" s="87" t="s">
        <v>279</v>
      </c>
      <c r="Q1" s="86" t="s">
        <v>280</v>
      </c>
      <c r="R1" s="75" t="s">
        <v>271</v>
      </c>
      <c r="S1" s="87" t="s">
        <v>281</v>
      </c>
      <c r="T1" s="75" t="s">
        <v>271</v>
      </c>
      <c r="U1" s="87" t="s">
        <v>282</v>
      </c>
    </row>
    <row r="2" spans="1:21" ht="21" customHeight="1" x14ac:dyDescent="0.15">
      <c r="A2" s="190">
        <v>488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直観の異論 ヘンペル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ガチャ:青フェス01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2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5" t="str">
        <f>VLOOKUP(Q2,[1]characters!$A:$AC,20)</f>
        <v>super</v>
      </c>
      <c r="Q2" s="186">
        <v>1127</v>
      </c>
      <c r="R2" s="57" t="str">
        <f ca="1">IF(Q2="NULL","",VLOOKUP($Q2,OFFSET([1]characters!$A$1,0,0,COUNTA([1]characters!$A:$A),MATCH(R$1,[1]characters!$1:$1,0)-MATCH($A$1,[1]characters!$1:$1,0)+1),MATCH(R$1,[1]characters!$1:$1,0)-MATCH($A$1,[1]characters!$1:$1,0)+1,FALSE))</f>
        <v>真蒼導く対偶 ヘンペル</v>
      </c>
      <c r="S2" s="5">
        <f t="shared" ref="S2:S29" ca="1" si="0">IF(ISNA(MATCH(A2,Q:Q,0)),A2,INDIRECT(ADDRESS(MATCH(A2,Q:Q,0),COLUMN())))</f>
        <v>488</v>
      </c>
      <c r="T2" s="57" t="str">
        <f ca="1">VLOOKUP($S2,OFFSET([1]characters!$A$1,0,0,COUNTA([1]characters!$A:$A),MATCH(T$1,[1]characters!$1:$1,0)-MATCH($A$1,[1]characters!$1:$1,0)+1),MATCH(T$1,[1]characters!$1:$1,0)-MATCH($A$1,[1]characters!$1:$1,0)+1,FALSE)</f>
        <v>直観の異論 ヘンペル</v>
      </c>
      <c r="U2" s="10">
        <f ca="1">IF(Q2="NULL","NULL",VLOOKUP(G2,[2]ビット!$A$2:$B$7,2))</f>
        <v>200000</v>
      </c>
    </row>
    <row r="3" spans="1:21" ht="21" customHeight="1" x14ac:dyDescent="0.15">
      <c r="A3" s="190">
        <v>800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蒼穹包む命題 ヘンペル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各属性相性良3・黄・R418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52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5" t="str">
        <f>VLOOKUP(Q3,[1]characters!$A:$AC,20)</f>
        <v>super</v>
      </c>
      <c r="Q3" s="186">
        <v>1127</v>
      </c>
      <c r="R3" s="57" t="str">
        <f ca="1">IF(Q3="NULL","",VLOOKUP($Q3,OFFSET([1]characters!$A$1,0,0,COUNTA([1]characters!$A:$A),MATCH(R$1,[1]characters!$1:$1,0)-MATCH($A$1,[1]characters!$1:$1,0)+1),MATCH(R$1,[1]characters!$1:$1,0)-MATCH($A$1,[1]characters!$1:$1,0)+1,FALSE))</f>
        <v>真蒼導く対偶 ヘンペル</v>
      </c>
      <c r="S3" s="5">
        <f t="shared" ca="1" si="0"/>
        <v>488</v>
      </c>
      <c r="T3" s="57" t="str">
        <f ca="1">VLOOKUP($S3,OFFSET([1]characters!$A$1,0,0,COUNTA([1]characters!$A:$A),MATCH(T$1,[1]characters!$1:$1,0)-MATCH($A$1,[1]characters!$1:$1,0)+1),MATCH(T$1,[1]characters!$1:$1,0)-MATCH($A$1,[1]characters!$1:$1,0)+1,FALSE)</f>
        <v>直観の異論 ヘンペル</v>
      </c>
      <c r="U3" s="10">
        <f ca="1">IF(Q3="NULL","NULL",VLOOKUP(G3,[2]ビット!$A$2:$B$7,2))</f>
        <v>200000</v>
      </c>
    </row>
    <row r="4" spans="1:21" ht="21" customHeight="1" x14ac:dyDescent="0.15">
      <c r="A4" s="190">
        <v>1127</v>
      </c>
      <c r="B4" s="52" t="str">
        <f ca="1">VLOOKUP($A4,OFFSET([1]characters!$A$1,0,0,COUNTA([1]characters!$A:$A),MATCH(B$1,[1]characters!$1:$1,0)-MATCH($A$1,[1]characters!$1:$1,0)+1),MATCH(B$1,[1]characters!$1:$1,0)-MATCH($A$1,[1]characters!$1:$1,0)+1,FALSE)</f>
        <v>真蒼導く対偶 ヘンペル</v>
      </c>
      <c r="C4" s="52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2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2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2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2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2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2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2" t="str">
        <f ca="1">VLOOKUP($A4,OFFSET([1]characters!$A$1,0,0,COUNTA([1]characters!$A:$A),MATCH(J$1,[1]characters!$1:$1,0)-MATCH($A$1,[1]characters!$1:$1,0)+1),MATCH(J$1,[1]characters!$1:$1,0)-MATCH($A$1,[1]characters!$1:$1,0)+1,FALSE)</f>
        <v>animal</v>
      </c>
      <c r="K4" s="5" t="str">
        <f ca="1">VLOOKUP(J4,[1]character_tribe_i18n!$A:$H,3,FALSE)</f>
        <v>アニマル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5" t="str">
        <f>VLOOKUP(Q4,[1]characters!$A:$AC,20)</f>
        <v>normal</v>
      </c>
      <c r="Q4" s="186">
        <v>800</v>
      </c>
      <c r="R4" s="57" t="str">
        <f ca="1">IF(Q4="NULL","",VLOOKUP($Q4,OFFSET([1]characters!$A$1,0,0,COUNTA([1]characters!$A:$A),MATCH(R$1,[1]characters!$1:$1,0)-MATCH($A$1,[1]characters!$1:$1,0)+1),MATCH(R$1,[1]characters!$1:$1,0)-MATCH($A$1,[1]characters!$1:$1,0)+1,FALSE))</f>
        <v>蒼穹包む命題 ヘンペル</v>
      </c>
      <c r="S4" s="5">
        <f t="shared" ca="1" si="0"/>
        <v>488</v>
      </c>
      <c r="T4" s="57" t="str">
        <f ca="1">VLOOKUP($S4,OFFSET([1]characters!$A$1,0,0,COUNTA([1]characters!$A:$A),MATCH(T$1,[1]characters!$1:$1,0)-MATCH($A$1,[1]characters!$1:$1,0)+1),MATCH(T$1,[1]characters!$1:$1,0)-MATCH($A$1,[1]characters!$1:$1,0)+1,FALSE)</f>
        <v>直観の異論 ヘンペル</v>
      </c>
      <c r="U4" s="10">
        <f ca="1">IF(Q4="NULL","NULL",VLOOKUP(G4,[2]ビット!$A$2:$B$7,2))</f>
        <v>200000</v>
      </c>
    </row>
    <row r="5" spans="1:21" ht="21" customHeight="1" x14ac:dyDescent="0.15">
      <c r="A5" s="190">
        <v>623</v>
      </c>
      <c r="B5" s="52" t="str">
        <f ca="1">VLOOKUP($A5,OFFSET([1]characters!$A$1,0,0,COUNTA([1]characters!$A:$A),MATCH(B$1,[1]characters!$1:$1,0)-MATCH($A$1,[1]characters!$1:$1,0)+1),MATCH(B$1,[1]characters!$1:$1,0)-MATCH($A$1,[1]characters!$1:$1,0)+1,FALSE)</f>
        <v>フェルマー</v>
      </c>
      <c r="C5" s="52" t="str">
        <f ca="1">VLOOKUP($A5,OFFSET([1]characters!$A$1,0,0,COUNTA([1]characters!$A:$A),MATCH(C$1,[1]characters!$1:$1,0)-MATCH($A$1,[1]characters!$1:$1,0)+1),MATCH(C$1,[1]characters!$1:$1,0)-MATCH($A$1,[1]characters!$1:$1,0)+1,FALSE)</f>
        <v>ガチャ:DL記念02</v>
      </c>
      <c r="D5" s="52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2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2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2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2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2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52" t="str">
        <f ca="1">VLOOKUP($A5,OFFSET([1]characters!$A$1,0,0,COUNTA([1]characters!$A:$A),MATCH(J$1,[1]characters!$1:$1,0)-MATCH($A$1,[1]characters!$1:$1,0)+1),MATCH(J$1,[1]characters!$1:$1,0)-MATCH($A$1,[1]characters!$1:$1,0)+1,FALSE)</f>
        <v>machine</v>
      </c>
      <c r="K5" s="5" t="str">
        <f ca="1">VLOOKUP(J5,[1]character_tribe_i18n!$A:$H,3,FALSE)</f>
        <v>マシン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5" t="str">
        <f>VLOOKUP(Q5,[1]characters!$A:$AC,20)</f>
        <v>super</v>
      </c>
      <c r="Q5" s="186">
        <v>1186</v>
      </c>
      <c r="R5" s="57" t="str">
        <f ca="1">IF(Q5="NULL","",VLOOKUP($Q5,OFFSET([1]characters!$A$1,0,0,COUNTA([1]characters!$A:$A),MATCH(R$1,[1]characters!$1:$1,0)-MATCH($A$1,[1]characters!$1:$1,0)+1),MATCH(R$1,[1]characters!$1:$1,0)-MATCH($A$1,[1]characters!$1:$1,0)+1,FALSE))</f>
        <v>超疾の最理者 フェルマー</v>
      </c>
      <c r="S5" s="5">
        <f t="shared" ca="1" si="0"/>
        <v>623</v>
      </c>
      <c r="T5" s="57" t="str">
        <f ca="1">VLOOKUP($S5,OFFSET([1]characters!$A$1,0,0,COUNTA([1]characters!$A:$A),MATCH(T$1,[1]characters!$1:$1,0)-MATCH($A$1,[1]characters!$1:$1,0)+1),MATCH(T$1,[1]characters!$1:$1,0)-MATCH($A$1,[1]characters!$1:$1,0)+1,FALSE)</f>
        <v>フェルマー</v>
      </c>
      <c r="U5" s="10">
        <f ca="1">IF(Q5="NULL","NULL",VLOOKUP(G5,[2]ビット!$A$2:$B$7,2))</f>
        <v>200000</v>
      </c>
    </row>
    <row r="6" spans="1:21" ht="21" customHeight="1" x14ac:dyDescent="0.15">
      <c r="A6" s="190">
        <v>624</v>
      </c>
      <c r="B6" s="52" t="str">
        <f ca="1">VLOOKUP($A6,OFFSET([1]characters!$A$1,0,0,COUNTA([1]characters!$A:$A),MATCH(B$1,[1]characters!$1:$1,0)-MATCH($A$1,[1]characters!$1:$1,0)+1),MATCH(B$1,[1]characters!$1:$1,0)-MATCH($A$1,[1]characters!$1:$1,0)+1,FALSE)</f>
        <v>挑発の尖駆者 フェルマー</v>
      </c>
      <c r="C6" s="52" t="str">
        <f ca="1">VLOOKUP($A6,OFFSET([1]characters!$A$1,0,0,COUNTA([1]characters!$A:$A),MATCH(C$1,[1]characters!$1:$1,0)-MATCH($A$1,[1]characters!$1:$1,0)+1),MATCH(C$1,[1]characters!$1:$1,0)-MATCH($A$1,[1]characters!$1:$1,0)+1,FALSE)</f>
        <v>ガチャ:DL記念02</v>
      </c>
      <c r="D6" s="52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2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2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2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2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2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52" t="str">
        <f ca="1">VLOOKUP($A6,OFFSET([1]characters!$A$1,0,0,COUNTA([1]characters!$A:$A),MATCH(J$1,[1]characters!$1:$1,0)-MATCH($A$1,[1]characters!$1:$1,0)+1),MATCH(J$1,[1]characters!$1:$1,0)-MATCH($A$1,[1]characters!$1:$1,0)+1,FALSE)</f>
        <v>machine</v>
      </c>
      <c r="K6" s="5" t="str">
        <f ca="1">VLOOKUP(J6,[1]character_tribe_i18n!$A:$H,3,FALSE)</f>
        <v>マシン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5" t="str">
        <f>VLOOKUP(Q6,[1]characters!$A:$AC,20)</f>
        <v>super</v>
      </c>
      <c r="Q6" s="186">
        <v>1186</v>
      </c>
      <c r="R6" s="57" t="str">
        <f ca="1">IF(Q6="NULL","",VLOOKUP($Q6,OFFSET([1]characters!$A$1,0,0,COUNTA([1]characters!$A:$A),MATCH(R$1,[1]characters!$1:$1,0)-MATCH($A$1,[1]characters!$1:$1,0)+1),MATCH(R$1,[1]characters!$1:$1,0)-MATCH($A$1,[1]characters!$1:$1,0)+1,FALSE))</f>
        <v>超疾の最理者 フェルマー</v>
      </c>
      <c r="S6" s="5">
        <f t="shared" ca="1" si="0"/>
        <v>623</v>
      </c>
      <c r="T6" s="57" t="str">
        <f ca="1">VLOOKUP($S6,OFFSET([1]characters!$A$1,0,0,COUNTA([1]characters!$A:$A),MATCH(T$1,[1]characters!$1:$1,0)-MATCH($A$1,[1]characters!$1:$1,0)+1),MATCH(T$1,[1]characters!$1:$1,0)-MATCH($A$1,[1]characters!$1:$1,0)+1,FALSE)</f>
        <v>フェルマー</v>
      </c>
      <c r="U6" s="10">
        <f ca="1">IF(Q6="NULL","NULL",VLOOKUP(G6,[2]ビット!$A$2:$B$7,2))</f>
        <v>200000</v>
      </c>
    </row>
    <row r="7" spans="1:21" ht="21" customHeight="1" x14ac:dyDescent="0.15">
      <c r="A7" s="190">
        <v>1186</v>
      </c>
      <c r="B7" s="52" t="str">
        <f ca="1">VLOOKUP($A7,OFFSET([1]characters!$A$1,0,0,COUNTA([1]characters!$A:$A),MATCH(B$1,[1]characters!$1:$1,0)-MATCH($A$1,[1]characters!$1:$1,0)+1),MATCH(B$1,[1]characters!$1:$1,0)-MATCH($A$1,[1]characters!$1:$1,0)+1,FALSE)</f>
        <v>超疾の最理者 フェルマー</v>
      </c>
      <c r="C7" s="52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2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2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2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2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2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2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52" t="str">
        <f ca="1">VLOOKUP($A7,OFFSET([1]characters!$A$1,0,0,COUNTA([1]characters!$A:$A),MATCH(J$1,[1]characters!$1:$1,0)-MATCH($A$1,[1]characters!$1:$1,0)+1),MATCH(J$1,[1]characters!$1:$1,0)-MATCH($A$1,[1]characters!$1:$1,0)+1,FALSE)</f>
        <v>machine</v>
      </c>
      <c r="K7" s="5" t="str">
        <f ca="1">VLOOKUP(J7,[1]character_tribe_i18n!$A:$H,3,FALSE)</f>
        <v>マシン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5" t="str">
        <f>VLOOKUP(Q7,[1]characters!$A:$AC,20)</f>
        <v>normal</v>
      </c>
      <c r="Q7" s="186">
        <v>624</v>
      </c>
      <c r="R7" s="57" t="str">
        <f ca="1">IF(Q7="NULL","",VLOOKUP($Q7,OFFSET([1]characters!$A$1,0,0,COUNTA([1]characters!$A:$A),MATCH(R$1,[1]characters!$1:$1,0)-MATCH($A$1,[1]characters!$1:$1,0)+1),MATCH(R$1,[1]characters!$1:$1,0)-MATCH($A$1,[1]characters!$1:$1,0)+1,FALSE))</f>
        <v>挑発の尖駆者 フェルマー</v>
      </c>
      <c r="S7" s="5">
        <f t="shared" ca="1" si="0"/>
        <v>623</v>
      </c>
      <c r="T7" s="57" t="str">
        <f ca="1">VLOOKUP($S7,OFFSET([1]characters!$A$1,0,0,COUNTA([1]characters!$A:$A),MATCH(T$1,[1]characters!$1:$1,0)-MATCH($A$1,[1]characters!$1:$1,0)+1),MATCH(T$1,[1]characters!$1:$1,0)-MATCH($A$1,[1]characters!$1:$1,0)+1,FALSE)</f>
        <v>フェルマー</v>
      </c>
      <c r="U7" s="10">
        <f ca="1">IF(Q7="NULL","NULL",VLOOKUP(G7,[2]ビット!$A$2:$B$7,2))</f>
        <v>200000</v>
      </c>
    </row>
    <row r="8" spans="1:21" ht="21" customHeight="1" x14ac:dyDescent="0.15">
      <c r="A8" s="190">
        <v>762</v>
      </c>
      <c r="B8" s="52" t="str">
        <f ca="1">VLOOKUP($A8,OFFSET([1]characters!$A$1,0,0,COUNTA([1]characters!$A:$A),MATCH(B$1,[1]characters!$1:$1,0)-MATCH($A$1,[1]characters!$1:$1,0)+1),MATCH(B$1,[1]characters!$1:$1,0)-MATCH($A$1,[1]characters!$1:$1,0)+1,FALSE)</f>
        <v>フィボナッチ</v>
      </c>
      <c r="C8" s="52" t="str">
        <f ca="1">VLOOKUP($A8,OFFSET([1]characters!$A$1,0,0,COUNTA([1]characters!$A:$A),MATCH(C$1,[1]characters!$1:$1,0)-MATCH($A$1,[1]characters!$1:$1,0)+1),MATCH(C$1,[1]characters!$1:$1,0)-MATCH($A$1,[1]characters!$1:$1,0)+1,FALSE)</f>
        <v>ガチャ:フィーバーフェス06</v>
      </c>
      <c r="D8" s="52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2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2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2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2" t="str">
        <f ca="1">VLOOKUP($A8,OFFSET([1]characters!$A$1,0,0,COUNTA([1]characters!$A:$A),MATCH(H$1,[1]characters!$1:$1,0)-MATCH($A$1,[1]characters!$1:$1,0)+1),MATCH(H$1,[1]characters!$1:$1,0)-MATCH($A$1,[1]characters!$1:$1,0)+1,FALSE)</f>
        <v>PremiumSSS</v>
      </c>
      <c r="I8" s="52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52" t="str">
        <f ca="1">VLOOKUP($A8,OFFSET([1]characters!$A$1,0,0,COUNTA([1]characters!$A:$A),MATCH(J$1,[1]characters!$1:$1,0)-MATCH($A$1,[1]characters!$1:$1,0)+1),MATCH(J$1,[1]characters!$1:$1,0)-MATCH($A$1,[1]characters!$1:$1,0)+1,FALSE)</f>
        <v>machine</v>
      </c>
      <c r="K8" s="5" t="str">
        <f ca="1">VLOOKUP(J8,[1]character_tribe_i18n!$A:$H,3,FALSE)</f>
        <v>マシン</v>
      </c>
      <c r="L8" s="10" t="e">
        <f>VLOOKUP(#REF!,[1]character_tribe_i18n!$A:$H,4,FALSE)</f>
        <v>#REF!</v>
      </c>
      <c r="M8" s="10" t="e">
        <f>VLOOKUP(#REF!,[1]character_tribe_i18n!$A:$H,5,FALSE)</f>
        <v>#REF!</v>
      </c>
      <c r="N8" s="10" t="e">
        <f>VLOOKUP(#REF!,[1]character_tribe_i18n!$A:$H,6,FALSE)</f>
        <v>#REF!</v>
      </c>
      <c r="O8" s="10" t="e">
        <f>VLOOKUP(#REF!,[1]character_tribe_i18n!$A:$H,7,FALSE)</f>
        <v>#REF!</v>
      </c>
      <c r="P8" s="175" t="str">
        <f>VLOOKUP(Q8,[1]characters!$A:$AC,20)</f>
        <v>super</v>
      </c>
      <c r="Q8" s="186">
        <v>1182</v>
      </c>
      <c r="R8" s="57" t="str">
        <f ca="1">IF(Q8="NULL","",VLOOKUP($Q8,OFFSET([1]characters!$A$1,0,0,COUNTA([1]characters!$A:$A),MATCH(R$1,[1]characters!$1:$1,0)-MATCH($A$1,[1]characters!$1:$1,0)+1),MATCH(R$1,[1]characters!$1:$1,0)-MATCH($A$1,[1]characters!$1:$1,0)+1,FALSE))</f>
        <v>黄金螺旋の閃鋼機 フィボナッチ</v>
      </c>
      <c r="S8" s="5">
        <f t="shared" ca="1" si="0"/>
        <v>762</v>
      </c>
      <c r="T8" s="57" t="str">
        <f ca="1">VLOOKUP($S8,OFFSET([1]characters!$A$1,0,0,COUNTA([1]characters!$A:$A),MATCH(T$1,[1]characters!$1:$1,0)-MATCH($A$1,[1]characters!$1:$1,0)+1),MATCH(T$1,[1]characters!$1:$1,0)-MATCH($A$1,[1]characters!$1:$1,0)+1,FALSE)</f>
        <v>フィボナッチ</v>
      </c>
      <c r="U8" s="10">
        <f ca="1">IF(Q8="NULL","NULL",VLOOKUP(G8,[2]ビット!$A$2:$B$7,2))</f>
        <v>200000</v>
      </c>
    </row>
    <row r="9" spans="1:21" ht="21" customHeight="1" x14ac:dyDescent="0.15">
      <c r="A9" s="190">
        <v>763</v>
      </c>
      <c r="B9" s="52" t="str">
        <f ca="1">VLOOKUP($A9,OFFSET([1]characters!$A$1,0,0,COUNTA([1]characters!$A:$A),MATCH(B$1,[1]characters!$1:$1,0)-MATCH($A$1,[1]characters!$1:$1,0)+1),MATCH(B$1,[1]characters!$1:$1,0)-MATCH($A$1,[1]characters!$1:$1,0)+1,FALSE)</f>
        <v>螺旋の皇魂比 フィボナッチ</v>
      </c>
      <c r="C9" s="52" t="str">
        <f ca="1">VLOOKUP($A9,OFFSET([1]characters!$A$1,0,0,COUNTA([1]characters!$A:$A),MATCH(C$1,[1]characters!$1:$1,0)-MATCH($A$1,[1]characters!$1:$1,0)+1),MATCH(C$1,[1]characters!$1:$1,0)-MATCH($A$1,[1]characters!$1:$1,0)+1,FALSE)</f>
        <v>ガチャ:フィーバーフェス06</v>
      </c>
      <c r="D9" s="52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2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2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2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2" t="str">
        <f ca="1">VLOOKUP($A9,OFFSET([1]characters!$A$1,0,0,COUNTA([1]characters!$A:$A),MATCH(H$1,[1]characters!$1:$1,0)-MATCH($A$1,[1]characters!$1:$1,0)+1),MATCH(H$1,[1]characters!$1:$1,0)-MATCH($A$1,[1]characters!$1:$1,0)+1,FALSE)</f>
        <v>PremiumSSS</v>
      </c>
      <c r="I9" s="52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52" t="str">
        <f ca="1">VLOOKUP($A9,OFFSET([1]characters!$A$1,0,0,COUNTA([1]characters!$A:$A),MATCH(J$1,[1]characters!$1:$1,0)-MATCH($A$1,[1]characters!$1:$1,0)+1),MATCH(J$1,[1]characters!$1:$1,0)-MATCH($A$1,[1]characters!$1:$1,0)+1,FALSE)</f>
        <v>machine</v>
      </c>
      <c r="K9" s="5" t="str">
        <f ca="1">VLOOKUP(J9,[1]character_tribe_i18n!$A:$H,3,FALSE)</f>
        <v>マシン</v>
      </c>
      <c r="L9" s="10" t="e">
        <f>VLOOKUP(#REF!,[1]character_tribe_i18n!$A:$H,4,FALSE)</f>
        <v>#REF!</v>
      </c>
      <c r="M9" s="10" t="e">
        <f>VLOOKUP(#REF!,[1]character_tribe_i18n!$A:$H,5,FALSE)</f>
        <v>#REF!</v>
      </c>
      <c r="N9" s="10" t="e">
        <f>VLOOKUP(#REF!,[1]character_tribe_i18n!$A:$H,6,FALSE)</f>
        <v>#REF!</v>
      </c>
      <c r="O9" s="10" t="e">
        <f>VLOOKUP(#REF!,[1]character_tribe_i18n!$A:$H,7,FALSE)</f>
        <v>#REF!</v>
      </c>
      <c r="P9" s="175" t="str">
        <f>VLOOKUP(Q9,[1]characters!$A:$AC,20)</f>
        <v>super</v>
      </c>
      <c r="Q9" s="186">
        <v>1182</v>
      </c>
      <c r="R9" s="57" t="str">
        <f ca="1">IF(Q9="NULL","",VLOOKUP($Q9,OFFSET([1]characters!$A$1,0,0,COUNTA([1]characters!$A:$A),MATCH(R$1,[1]characters!$1:$1,0)-MATCH($A$1,[1]characters!$1:$1,0)+1),MATCH(R$1,[1]characters!$1:$1,0)-MATCH($A$1,[1]characters!$1:$1,0)+1,FALSE))</f>
        <v>黄金螺旋の閃鋼機 フィボナッチ</v>
      </c>
      <c r="S9" s="5">
        <f t="shared" ca="1" si="0"/>
        <v>762</v>
      </c>
      <c r="T9" s="57" t="str">
        <f ca="1">VLOOKUP($S9,OFFSET([1]characters!$A$1,0,0,COUNTA([1]characters!$A:$A),MATCH(T$1,[1]characters!$1:$1,0)-MATCH($A$1,[1]characters!$1:$1,0)+1),MATCH(T$1,[1]characters!$1:$1,0)-MATCH($A$1,[1]characters!$1:$1,0)+1,FALSE)</f>
        <v>フィボナッチ</v>
      </c>
      <c r="U9" s="10">
        <f ca="1">IF(Q9="NULL","NULL",VLOOKUP(G9,[2]ビット!$A$2:$B$7,2))</f>
        <v>200000</v>
      </c>
    </row>
    <row r="10" spans="1:21" ht="21" customHeight="1" x14ac:dyDescent="0.15">
      <c r="A10" s="190">
        <v>1182</v>
      </c>
      <c r="B10" s="52" t="str">
        <f ca="1">VLOOKUP($A10,OFFSET([1]characters!$A$1,0,0,COUNTA([1]characters!$A:$A),MATCH(B$1,[1]characters!$1:$1,0)-MATCH($A$1,[1]characters!$1:$1,0)+1),MATCH(B$1,[1]characters!$1:$1,0)-MATCH($A$1,[1]characters!$1:$1,0)+1,FALSE)</f>
        <v>黄金螺旋の閃鋼機 フィボナッチ</v>
      </c>
      <c r="C10" s="52" t="str">
        <f ca="1">VLOOKUP($A10,OFFSET([1]characters!$A$1,0,0,COUNTA([1]characters!$A:$A),MATCH(C$1,[1]characters!$1:$1,0)-MATCH($A$1,[1]characters!$1:$1,0)+1),MATCH(C$1,[1]characters!$1:$1,0)-MATCH($A$1,[1]characters!$1:$1,0)+1,FALSE)</f>
        <v>超覚醒ハーシェル</v>
      </c>
      <c r="D10" s="52" t="str">
        <f ca="1">VLOOKUP($A10,OFFSET([1]characters!$A$1,0,0,COUNTA([1]characters!$A:$A),MATCH(D$1,[1]characters!$1:$1,0)-MATCH($A$1,[1]characters!$1:$1,0)+1),MATCH(D$1,[1]characters!$1:$1,0)-MATCH($A$1,[1]characters!$1:$1,0)+1,FALSE)</f>
        <v>アリス</v>
      </c>
      <c r="E10" s="52" t="str">
        <f ca="1">VLOOKUP($A10,OFFSET([1]characters!$A$1,0,0,COUNTA([1]characters!$A:$A),MATCH(E$1,[1]characters!$1:$1,0)-MATCH($A$1,[1]characters!$1:$1,0)+1),MATCH(E$1,[1]characters!$1:$1,0)-MATCH($A$1,[1]characters!$1:$1,0)+1,FALSE)</f>
        <v>世界観</v>
      </c>
      <c r="F10" s="52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2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2" t="str">
        <f ca="1">VLOOKUP($A10,OFFSET([1]characters!$A$1,0,0,COUNTA([1]characters!$A:$A),MATCH(H$1,[1]characters!$1:$1,0)-MATCH($A$1,[1]characters!$1:$1,0)+1),MATCH(H$1,[1]characters!$1:$1,0)-MATCH($A$1,[1]characters!$1:$1,0)+1,FALSE)</f>
        <v>PremiumSSS</v>
      </c>
      <c r="I10" s="52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52" t="str">
        <f ca="1">VLOOKUP($A10,OFFSET([1]characters!$A$1,0,0,COUNTA([1]characters!$A:$A),MATCH(J$1,[1]characters!$1:$1,0)-MATCH($A$1,[1]characters!$1:$1,0)+1),MATCH(J$1,[1]characters!$1:$1,0)-MATCH($A$1,[1]characters!$1:$1,0)+1,FALSE)</f>
        <v>none</v>
      </c>
      <c r="K10" s="5" t="str">
        <f ca="1">VLOOKUP(J10,[1]character_tribe_i18n!$A:$H,3,FALSE)</f>
        <v>種族なし</v>
      </c>
      <c r="L10" s="10" t="e">
        <f>VLOOKUP(#REF!,[1]character_tribe_i18n!$A:$H,4,FALSE)</f>
        <v>#REF!</v>
      </c>
      <c r="M10" s="10" t="e">
        <f>VLOOKUP(#REF!,[1]character_tribe_i18n!$A:$H,5,FALSE)</f>
        <v>#REF!</v>
      </c>
      <c r="N10" s="10" t="e">
        <f>VLOOKUP(#REF!,[1]character_tribe_i18n!$A:$H,6,FALSE)</f>
        <v>#REF!</v>
      </c>
      <c r="O10" s="10" t="e">
        <f>VLOOKUP(#REF!,[1]character_tribe_i18n!$A:$H,7,FALSE)</f>
        <v>#REF!</v>
      </c>
      <c r="P10" s="175" t="str">
        <f>VLOOKUP(Q10,[1]characters!$A:$AC,20)</f>
        <v>normal</v>
      </c>
      <c r="Q10" s="186">
        <v>763</v>
      </c>
      <c r="R10" s="57" t="str">
        <f ca="1">IF(Q10="NULL","",VLOOKUP($Q10,OFFSET([1]characters!$A$1,0,0,COUNTA([1]characters!$A:$A),MATCH(R$1,[1]characters!$1:$1,0)-MATCH($A$1,[1]characters!$1:$1,0)+1),MATCH(R$1,[1]characters!$1:$1,0)-MATCH($A$1,[1]characters!$1:$1,0)+1,FALSE))</f>
        <v>螺旋の皇魂比 フィボナッチ</v>
      </c>
      <c r="S10" s="5">
        <f t="shared" ca="1" si="0"/>
        <v>762</v>
      </c>
      <c r="T10" s="57" t="str">
        <f ca="1">VLOOKUP($S10,OFFSET([1]characters!$A$1,0,0,COUNTA([1]characters!$A:$A),MATCH(T$1,[1]characters!$1:$1,0)-MATCH($A$1,[1]characters!$1:$1,0)+1),MATCH(T$1,[1]characters!$1:$1,0)-MATCH($A$1,[1]characters!$1:$1,0)+1,FALSE)</f>
        <v>フィボナッチ</v>
      </c>
      <c r="U10" s="10">
        <f ca="1">IF(Q10="NULL","NULL",VLOOKUP(G10,[2]ビット!$A$2:$B$7,2))</f>
        <v>200000</v>
      </c>
    </row>
    <row r="11" spans="1:21" ht="21" customHeight="1" x14ac:dyDescent="0.15">
      <c r="A11" s="190">
        <v>750</v>
      </c>
      <c r="B11" s="52" t="str">
        <f ca="1">VLOOKUP($A11,OFFSET([1]characters!$A$1,0,0,COUNTA([1]characters!$A:$A),MATCH(B$1,[1]characters!$1:$1,0)-MATCH($A$1,[1]characters!$1:$1,0)+1),MATCH(B$1,[1]characters!$1:$1,0)-MATCH($A$1,[1]characters!$1:$1,0)+1,FALSE)</f>
        <v>ポアソン</v>
      </c>
      <c r="C11" s="52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各属性相性良3・黄・R493</v>
      </c>
      <c r="D11" s="52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2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2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2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2" t="str">
        <f ca="1">VLOOKUP($A11,OFFSET([1]characters!$A$1,0,0,COUNTA([1]characters!$A:$A),MATCH(H$1,[1]characters!$1:$1,0)-MATCH($A$1,[1]characters!$1:$1,0)+1),MATCH(H$1,[1]characters!$1:$1,0)-MATCH($A$1,[1]characters!$1:$1,0)+1,FALSE)</f>
        <v>PremiumSSS</v>
      </c>
      <c r="I11" s="52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52" t="str">
        <f ca="1">VLOOKUP($A11,OFFSET([1]characters!$A$1,0,0,COUNTA([1]characters!$A:$A),MATCH(J$1,[1]characters!$1:$1,0)-MATCH($A$1,[1]characters!$1:$1,0)+1),MATCH(J$1,[1]characters!$1:$1,0)-MATCH($A$1,[1]characters!$1:$1,0)+1,FALSE)</f>
        <v>unknown</v>
      </c>
      <c r="K11" s="5" t="str">
        <f ca="1">VLOOKUP(J11,[1]character_tribe_i18n!$A:$H,3,FALSE)</f>
        <v>Unknown</v>
      </c>
      <c r="L11" s="10" t="e">
        <f>VLOOKUP(#REF!,[1]character_tribe_i18n!$A:$H,4,FALSE)</f>
        <v>#REF!</v>
      </c>
      <c r="M11" s="10" t="e">
        <f>VLOOKUP(#REF!,[1]character_tribe_i18n!$A:$H,5,FALSE)</f>
        <v>#REF!</v>
      </c>
      <c r="N11" s="10" t="e">
        <f>VLOOKUP(#REF!,[1]character_tribe_i18n!$A:$H,6,FALSE)</f>
        <v>#REF!</v>
      </c>
      <c r="O11" s="10" t="e">
        <f>VLOOKUP(#REF!,[1]character_tribe_i18n!$A:$H,7,FALSE)</f>
        <v>#REF!</v>
      </c>
      <c r="P11" s="175" t="str">
        <f>VLOOKUP(Q11,[1]characters!$A:$AC,20)</f>
        <v>super</v>
      </c>
      <c r="Q11" s="186">
        <v>1171</v>
      </c>
      <c r="R11" s="57" t="str">
        <f ca="1">IF(Q11="NULL","",VLOOKUP($Q11,OFFSET([1]characters!$A$1,0,0,COUNTA([1]characters!$A:$A),MATCH(R$1,[1]characters!$1:$1,0)-MATCH($A$1,[1]characters!$1:$1,0)+1),MATCH(R$1,[1]characters!$1:$1,0)-MATCH($A$1,[1]characters!$1:$1,0)+1,FALSE))</f>
        <v>解匣する交率 ポアソン</v>
      </c>
      <c r="S11" s="5">
        <f t="shared" ca="1" si="0"/>
        <v>750</v>
      </c>
      <c r="T11" s="57" t="str">
        <f ca="1">VLOOKUP($S11,OFFSET([1]characters!$A$1,0,0,COUNTA([1]characters!$A:$A),MATCH(T$1,[1]characters!$1:$1,0)-MATCH($A$1,[1]characters!$1:$1,0)+1),MATCH(T$1,[1]characters!$1:$1,0)-MATCH($A$1,[1]characters!$1:$1,0)+1,FALSE)</f>
        <v>ポアソン</v>
      </c>
      <c r="U11" s="10">
        <f ca="1">IF(Q11="NULL","NULL",VLOOKUP(G11,[2]ビット!$A$2:$B$7,2))</f>
        <v>200000</v>
      </c>
    </row>
    <row r="12" spans="1:21" ht="21" customHeight="1" x14ac:dyDescent="0.15">
      <c r="A12" s="190">
        <v>751</v>
      </c>
      <c r="B12" s="52" t="str">
        <f ca="1">VLOOKUP($A12,OFFSET([1]characters!$A$1,0,0,COUNTA([1]characters!$A:$A),MATCH(B$1,[1]characters!$1:$1,0)-MATCH($A$1,[1]characters!$1:$1,0)+1),MATCH(B$1,[1]characters!$1:$1,0)-MATCH($A$1,[1]characters!$1:$1,0)+1,FALSE)</f>
        <v>交錯の旋匣 ポアソン</v>
      </c>
      <c r="C12" s="52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各属性相性良3・黄・R494</v>
      </c>
      <c r="D12" s="52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2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2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2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2" t="str">
        <f ca="1">VLOOKUP($A12,OFFSET([1]characters!$A$1,0,0,COUNTA([1]characters!$A:$A),MATCH(H$1,[1]characters!$1:$1,0)-MATCH($A$1,[1]characters!$1:$1,0)+1),MATCH(H$1,[1]characters!$1:$1,0)-MATCH($A$1,[1]characters!$1:$1,0)+1,FALSE)</f>
        <v>PremiumSSS</v>
      </c>
      <c r="I12" s="52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52" t="str">
        <f ca="1">VLOOKUP($A12,OFFSET([1]characters!$A$1,0,0,COUNTA([1]characters!$A:$A),MATCH(J$1,[1]characters!$1:$1,0)-MATCH($A$1,[1]characters!$1:$1,0)+1),MATCH(J$1,[1]characters!$1:$1,0)-MATCH($A$1,[1]characters!$1:$1,0)+1,FALSE)</f>
        <v>unknown</v>
      </c>
      <c r="K12" s="5" t="str">
        <f ca="1">VLOOKUP(J12,[1]character_tribe_i18n!$A:$H,3,FALSE)</f>
        <v>Unknown</v>
      </c>
      <c r="L12" s="10" t="e">
        <f>VLOOKUP(#REF!,[1]character_tribe_i18n!$A:$H,4,FALSE)</f>
        <v>#REF!</v>
      </c>
      <c r="M12" s="10" t="e">
        <f>VLOOKUP(#REF!,[1]character_tribe_i18n!$A:$H,5,FALSE)</f>
        <v>#REF!</v>
      </c>
      <c r="N12" s="10" t="e">
        <f>VLOOKUP(#REF!,[1]character_tribe_i18n!$A:$H,6,FALSE)</f>
        <v>#REF!</v>
      </c>
      <c r="O12" s="10" t="e">
        <f>VLOOKUP(#REF!,[1]character_tribe_i18n!$A:$H,7,FALSE)</f>
        <v>#REF!</v>
      </c>
      <c r="P12" s="175" t="str">
        <f>VLOOKUP(Q12,[1]characters!$A:$AC,20)</f>
        <v>super</v>
      </c>
      <c r="Q12" s="186">
        <v>1171</v>
      </c>
      <c r="R12" s="57" t="str">
        <f ca="1">IF(Q12="NULL","",VLOOKUP($Q12,OFFSET([1]characters!$A$1,0,0,COUNTA([1]characters!$A:$A),MATCH(R$1,[1]characters!$1:$1,0)-MATCH($A$1,[1]characters!$1:$1,0)+1),MATCH(R$1,[1]characters!$1:$1,0)-MATCH($A$1,[1]characters!$1:$1,0)+1,FALSE))</f>
        <v>解匣する交率 ポアソン</v>
      </c>
      <c r="S12" s="5">
        <f t="shared" ca="1" si="0"/>
        <v>750</v>
      </c>
      <c r="T12" s="57" t="str">
        <f ca="1">VLOOKUP($S12,OFFSET([1]characters!$A$1,0,0,COUNTA([1]characters!$A:$A),MATCH(T$1,[1]characters!$1:$1,0)-MATCH($A$1,[1]characters!$1:$1,0)+1),MATCH(T$1,[1]characters!$1:$1,0)-MATCH($A$1,[1]characters!$1:$1,0)+1,FALSE)</f>
        <v>ポアソン</v>
      </c>
      <c r="U12" s="10">
        <f ca="1">IF(Q12="NULL","NULL",VLOOKUP(G12,[2]ビット!$A$2:$B$7,2))</f>
        <v>200000</v>
      </c>
    </row>
    <row r="13" spans="1:21" ht="21" customHeight="1" x14ac:dyDescent="0.15">
      <c r="A13" s="190">
        <v>1171</v>
      </c>
      <c r="B13" s="52" t="str">
        <f ca="1">VLOOKUP($A13,OFFSET([1]characters!$A$1,0,0,COUNTA([1]characters!$A:$A),MATCH(B$1,[1]characters!$1:$1,0)-MATCH($A$1,[1]characters!$1:$1,0)+1),MATCH(B$1,[1]characters!$1:$1,0)-MATCH($A$1,[1]characters!$1:$1,0)+1,FALSE)</f>
        <v>解匣する交率 ポアソン</v>
      </c>
      <c r="C13" s="52" t="str">
        <f ca="1">VLOOKUP($A13,OFFSET([1]characters!$A$1,0,0,COUNTA([1]characters!$A:$A),MATCH(C$1,[1]characters!$1:$1,0)-MATCH($A$1,[1]characters!$1:$1,0)+1),MATCH(C$1,[1]characters!$1:$1,0)-MATCH($A$1,[1]characters!$1:$1,0)+1,FALSE)</f>
        <v>未定</v>
      </c>
      <c r="D13" s="52" t="str">
        <f ca="1">VLOOKUP($A13,OFFSET([1]characters!$A$1,0,0,COUNTA([1]characters!$A:$A),MATCH(D$1,[1]characters!$1:$1,0)-MATCH($A$1,[1]characters!$1:$1,0)+1),MATCH(D$1,[1]characters!$1:$1,0)-MATCH($A$1,[1]characters!$1:$1,0)+1,FALSE)</f>
        <v>アリス</v>
      </c>
      <c r="E13" s="52" t="str">
        <f ca="1">VLOOKUP($A13,OFFSET([1]characters!$A$1,0,0,COUNTA([1]characters!$A:$A),MATCH(E$1,[1]characters!$1:$1,0)-MATCH($A$1,[1]characters!$1:$1,0)+1),MATCH(E$1,[1]characters!$1:$1,0)-MATCH($A$1,[1]characters!$1:$1,0)+1,FALSE)</f>
        <v>世界観</v>
      </c>
      <c r="F13" s="52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2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2" t="str">
        <f ca="1">VLOOKUP($A13,OFFSET([1]characters!$A$1,0,0,COUNTA([1]characters!$A:$A),MATCH(H$1,[1]characters!$1:$1,0)-MATCH($A$1,[1]characters!$1:$1,0)+1),MATCH(H$1,[1]characters!$1:$1,0)-MATCH($A$1,[1]characters!$1:$1,0)+1,FALSE)</f>
        <v>PremiumSSS</v>
      </c>
      <c r="I13" s="52" t="str">
        <f ca="1">VLOOKUP($A13,OFFSET([1]characters!$A$1,0,0,COUNTA([1]characters!$A:$A),MATCH(I$1,[1]characters!$1:$1,0)-MATCH($A$1,[1]characters!$1:$1,0)+1),MATCH(I$1,[1]characters!$1:$1,0)-MATCH($A$1,[1]characters!$1:$1,0)+1,FALSE)</f>
        <v>green</v>
      </c>
      <c r="J13" s="52" t="str">
        <f ca="1">VLOOKUP($A13,OFFSET([1]characters!$A$1,0,0,COUNTA([1]characters!$A:$A),MATCH(J$1,[1]characters!$1:$1,0)-MATCH($A$1,[1]characters!$1:$1,0)+1),MATCH(J$1,[1]characters!$1:$1,0)-MATCH($A$1,[1]characters!$1:$1,0)+1,FALSE)</f>
        <v>none</v>
      </c>
      <c r="K13" s="5" t="str">
        <f ca="1">VLOOKUP(J13,[1]character_tribe_i18n!$A:$H,3,FALSE)</f>
        <v>種族なし</v>
      </c>
      <c r="L13" s="10" t="e">
        <f>VLOOKUP(#REF!,[1]character_tribe_i18n!$A:$H,4,FALSE)</f>
        <v>#REF!</v>
      </c>
      <c r="M13" s="10" t="e">
        <f>VLOOKUP(#REF!,[1]character_tribe_i18n!$A:$H,5,FALSE)</f>
        <v>#REF!</v>
      </c>
      <c r="N13" s="10" t="e">
        <f>VLOOKUP(#REF!,[1]character_tribe_i18n!$A:$H,6,FALSE)</f>
        <v>#REF!</v>
      </c>
      <c r="O13" s="10" t="e">
        <f>VLOOKUP(#REF!,[1]character_tribe_i18n!$A:$H,7,FALSE)</f>
        <v>#REF!</v>
      </c>
      <c r="P13" s="175" t="str">
        <f>VLOOKUP(Q13,[1]characters!$A:$AC,20)</f>
        <v>normal</v>
      </c>
      <c r="Q13" s="186">
        <v>751</v>
      </c>
      <c r="R13" s="57" t="str">
        <f ca="1">IF(Q13="NULL","",VLOOKUP($Q13,OFFSET([1]characters!$A$1,0,0,COUNTA([1]characters!$A:$A),MATCH(R$1,[1]characters!$1:$1,0)-MATCH($A$1,[1]characters!$1:$1,0)+1),MATCH(R$1,[1]characters!$1:$1,0)-MATCH($A$1,[1]characters!$1:$1,0)+1,FALSE))</f>
        <v>交錯の旋匣 ポアソン</v>
      </c>
      <c r="S13" s="5">
        <f t="shared" ca="1" si="0"/>
        <v>750</v>
      </c>
      <c r="T13" s="57" t="str">
        <f ca="1">VLOOKUP($S13,OFFSET([1]characters!$A$1,0,0,COUNTA([1]characters!$A:$A),MATCH(T$1,[1]characters!$1:$1,0)-MATCH($A$1,[1]characters!$1:$1,0)+1),MATCH(T$1,[1]characters!$1:$1,0)-MATCH($A$1,[1]characters!$1:$1,0)+1,FALSE)</f>
        <v>ポアソン</v>
      </c>
      <c r="U13" s="10">
        <f ca="1">IF(Q13="NULL","NULL",VLOOKUP(G13,[2]ビット!$A$2:$B$7,2))</f>
        <v>200000</v>
      </c>
    </row>
    <row r="14" spans="1:21" ht="21" customHeight="1" x14ac:dyDescent="0.15">
      <c r="A14" s="190">
        <v>760</v>
      </c>
      <c r="B14" s="52" t="str">
        <f ca="1">VLOOKUP($A14,OFFSET([1]characters!$A$1,0,0,COUNTA([1]characters!$A:$A),MATCH(B$1,[1]characters!$1:$1,0)-MATCH($A$1,[1]characters!$1:$1,0)+1),MATCH(B$1,[1]characters!$1:$1,0)-MATCH($A$1,[1]characters!$1:$1,0)+1,FALSE)</f>
        <v>限論顕現 クロネッカー</v>
      </c>
      <c r="C14" s="52" t="str">
        <f ca="1">VLOOKUP($A14,OFFSET([1]characters!$A$1,0,0,COUNTA([1]characters!$A:$A),MATCH(C$1,[1]characters!$1:$1,0)-MATCH($A$1,[1]characters!$1:$1,0)+1),MATCH(C$1,[1]characters!$1:$1,0)-MATCH($A$1,[1]characters!$1:$1,0)+1,FALSE)</f>
        <v>ガチャ:フィーバーフェス05</v>
      </c>
      <c r="D14" s="52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2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2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2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2" t="str">
        <f ca="1">VLOOKUP($A14,OFFSET([1]characters!$A$1,0,0,COUNTA([1]characters!$A:$A),MATCH(H$1,[1]characters!$1:$1,0)-MATCH($A$1,[1]characters!$1:$1,0)+1),MATCH(H$1,[1]characters!$1:$1,0)-MATCH($A$1,[1]characters!$1:$1,0)+1,FALSE)</f>
        <v>PremiumSSS</v>
      </c>
      <c r="I14" s="52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52" t="str">
        <f ca="1">VLOOKUP($A14,OFFSET([1]characters!$A$1,0,0,COUNTA([1]characters!$A:$A),MATCH(J$1,[1]characters!$1:$1,0)-MATCH($A$1,[1]characters!$1:$1,0)+1),MATCH(J$1,[1]characters!$1:$1,0)-MATCH($A$1,[1]characters!$1:$1,0)+1,FALSE)</f>
        <v>none</v>
      </c>
      <c r="K14" s="5" t="str">
        <f ca="1">VLOOKUP(J14,[1]character_tribe_i18n!$A:$H,3,FALSE)</f>
        <v>種族なし</v>
      </c>
      <c r="L14" s="10" t="e">
        <f>VLOOKUP(#REF!,[1]character_tribe_i18n!$A:$H,4,FALSE)</f>
        <v>#REF!</v>
      </c>
      <c r="M14" s="10" t="e">
        <f>VLOOKUP(#REF!,[1]character_tribe_i18n!$A:$H,5,FALSE)</f>
        <v>#REF!</v>
      </c>
      <c r="N14" s="10" t="e">
        <f>VLOOKUP(#REF!,[1]character_tribe_i18n!$A:$H,6,FALSE)</f>
        <v>#REF!</v>
      </c>
      <c r="O14" s="10" t="e">
        <f>VLOOKUP(#REF!,[1]character_tribe_i18n!$A:$H,7,FALSE)</f>
        <v>#REF!</v>
      </c>
      <c r="P14" s="175" t="str">
        <f>VLOOKUP(Q14,[1]characters!$A:$AC,20)</f>
        <v>super</v>
      </c>
      <c r="Q14" s="186">
        <v>1172</v>
      </c>
      <c r="R14" s="57" t="str">
        <f ca="1">IF(Q14="NULL","",VLOOKUP($Q14,OFFSET([1]characters!$A$1,0,0,COUNTA([1]characters!$A:$A),MATCH(R$1,[1]characters!$1:$1,0)-MATCH($A$1,[1]characters!$1:$1,0)+1),MATCH(R$1,[1]characters!$1:$1,0)-MATCH($A$1,[1]characters!$1:$1,0)+1,FALSE))</f>
        <v>極限解析の讃嬢 クロネッカー</v>
      </c>
      <c r="S14" s="5">
        <f t="shared" ca="1" si="0"/>
        <v>760</v>
      </c>
      <c r="T14" s="57" t="str">
        <f ca="1">VLOOKUP($S14,OFFSET([1]characters!$A$1,0,0,COUNTA([1]characters!$A:$A),MATCH(T$1,[1]characters!$1:$1,0)-MATCH($A$1,[1]characters!$1:$1,0)+1),MATCH(T$1,[1]characters!$1:$1,0)-MATCH($A$1,[1]characters!$1:$1,0)+1,FALSE)</f>
        <v>限論顕現 クロネッカー</v>
      </c>
      <c r="U14" s="10">
        <f ca="1">IF(Q14="NULL","NULL",VLOOKUP(G14,[2]ビット!$A$2:$B$7,2))</f>
        <v>200000</v>
      </c>
    </row>
    <row r="15" spans="1:21" ht="21" customHeight="1" x14ac:dyDescent="0.15">
      <c r="A15" s="190">
        <v>761</v>
      </c>
      <c r="B15" s="52" t="str">
        <f ca="1">VLOOKUP($A15,OFFSET([1]characters!$A$1,0,0,COUNTA([1]characters!$A:$A),MATCH(B$1,[1]characters!$1:$1,0)-MATCH($A$1,[1]characters!$1:$1,0)+1),MATCH(B$1,[1]characters!$1:$1,0)-MATCH($A$1,[1]characters!$1:$1,0)+1,FALSE)</f>
        <v>唯限の崇嬢 クロネッカー</v>
      </c>
      <c r="C15" s="52" t="str">
        <f ca="1">VLOOKUP($A15,OFFSET([1]characters!$A$1,0,0,COUNTA([1]characters!$A:$A),MATCH(C$1,[1]characters!$1:$1,0)-MATCH($A$1,[1]characters!$1:$1,0)+1),MATCH(C$1,[1]characters!$1:$1,0)-MATCH($A$1,[1]characters!$1:$1,0)+1,FALSE)</f>
        <v>ガチャ:フィーバーフェス05</v>
      </c>
      <c r="D15" s="52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2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2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2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2" t="str">
        <f ca="1">VLOOKUP($A15,OFFSET([1]characters!$A$1,0,0,COUNTA([1]characters!$A:$A),MATCH(H$1,[1]characters!$1:$1,0)-MATCH($A$1,[1]characters!$1:$1,0)+1),MATCH(H$1,[1]characters!$1:$1,0)-MATCH($A$1,[1]characters!$1:$1,0)+1,FALSE)</f>
        <v>PremiumSSS</v>
      </c>
      <c r="I15" s="52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52" t="str">
        <f ca="1">VLOOKUP($A15,OFFSET([1]characters!$A$1,0,0,COUNTA([1]characters!$A:$A),MATCH(J$1,[1]characters!$1:$1,0)-MATCH($A$1,[1]characters!$1:$1,0)+1),MATCH(J$1,[1]characters!$1:$1,0)-MATCH($A$1,[1]characters!$1:$1,0)+1,FALSE)</f>
        <v>none</v>
      </c>
      <c r="K15" s="5" t="str">
        <f ca="1">VLOOKUP(J15,[1]character_tribe_i18n!$A:$H,3,FALSE)</f>
        <v>種族なし</v>
      </c>
      <c r="L15" s="10" t="e">
        <f>VLOOKUP(#REF!,[1]character_tribe_i18n!$A:$H,4,FALSE)</f>
        <v>#REF!</v>
      </c>
      <c r="M15" s="10" t="e">
        <f>VLOOKUP(#REF!,[1]character_tribe_i18n!$A:$H,5,FALSE)</f>
        <v>#REF!</v>
      </c>
      <c r="N15" s="10" t="e">
        <f>VLOOKUP(#REF!,[1]character_tribe_i18n!$A:$H,6,FALSE)</f>
        <v>#REF!</v>
      </c>
      <c r="O15" s="10" t="e">
        <f>VLOOKUP(#REF!,[1]character_tribe_i18n!$A:$H,7,FALSE)</f>
        <v>#REF!</v>
      </c>
      <c r="P15" s="175" t="str">
        <f>VLOOKUP(Q15,[1]characters!$A:$AC,20)</f>
        <v>super</v>
      </c>
      <c r="Q15" s="186">
        <v>1172</v>
      </c>
      <c r="R15" s="57" t="str">
        <f ca="1">IF(Q15="NULL","",VLOOKUP($Q15,OFFSET([1]characters!$A$1,0,0,COUNTA([1]characters!$A:$A),MATCH(R$1,[1]characters!$1:$1,0)-MATCH($A$1,[1]characters!$1:$1,0)+1),MATCH(R$1,[1]characters!$1:$1,0)-MATCH($A$1,[1]characters!$1:$1,0)+1,FALSE))</f>
        <v>極限解析の讃嬢 クロネッカー</v>
      </c>
      <c r="S15" s="5">
        <f t="shared" ca="1" si="0"/>
        <v>760</v>
      </c>
      <c r="T15" s="57" t="str">
        <f ca="1">VLOOKUP($S15,OFFSET([1]characters!$A$1,0,0,COUNTA([1]characters!$A:$A),MATCH(T$1,[1]characters!$1:$1,0)-MATCH($A$1,[1]characters!$1:$1,0)+1),MATCH(T$1,[1]characters!$1:$1,0)-MATCH($A$1,[1]characters!$1:$1,0)+1,FALSE)</f>
        <v>限論顕現 クロネッカー</v>
      </c>
      <c r="U15" s="10">
        <f ca="1">IF(Q15="NULL","NULL",VLOOKUP(G15,[2]ビット!$A$2:$B$7,2))</f>
        <v>200000</v>
      </c>
    </row>
    <row r="16" spans="1:21" ht="21" customHeight="1" x14ac:dyDescent="0.15">
      <c r="A16" s="190">
        <v>1172</v>
      </c>
      <c r="B16" s="52" t="str">
        <f ca="1">VLOOKUP($A16,OFFSET([1]characters!$A$1,0,0,COUNTA([1]characters!$A:$A),MATCH(B$1,[1]characters!$1:$1,0)-MATCH($A$1,[1]characters!$1:$1,0)+1),MATCH(B$1,[1]characters!$1:$1,0)-MATCH($A$1,[1]characters!$1:$1,0)+1,FALSE)</f>
        <v>極限解析の讃嬢 クロネッカー</v>
      </c>
      <c r="C16" s="52" t="str">
        <f ca="1">VLOOKUP($A16,OFFSET([1]characters!$A$1,0,0,COUNTA([1]characters!$A:$A),MATCH(C$1,[1]characters!$1:$1,0)-MATCH($A$1,[1]characters!$1:$1,0)+1),MATCH(C$1,[1]characters!$1:$1,0)-MATCH($A$1,[1]characters!$1:$1,0)+1,FALSE)</f>
        <v>未定</v>
      </c>
      <c r="D16" s="52" t="str">
        <f ca="1">VLOOKUP($A16,OFFSET([1]characters!$A$1,0,0,COUNTA([1]characters!$A:$A),MATCH(D$1,[1]characters!$1:$1,0)-MATCH($A$1,[1]characters!$1:$1,0)+1),MATCH(D$1,[1]characters!$1:$1,0)-MATCH($A$1,[1]characters!$1:$1,0)+1,FALSE)</f>
        <v>アリス</v>
      </c>
      <c r="E16" s="52" t="str">
        <f ca="1">VLOOKUP($A16,OFFSET([1]characters!$A$1,0,0,COUNTA([1]characters!$A:$A),MATCH(E$1,[1]characters!$1:$1,0)-MATCH($A$1,[1]characters!$1:$1,0)+1),MATCH(E$1,[1]characters!$1:$1,0)-MATCH($A$1,[1]characters!$1:$1,0)+1,FALSE)</f>
        <v>世界観</v>
      </c>
      <c r="F16" s="52" t="str">
        <f ca="1">VLOOKUP($A16,OFFSET([1]characters!$A$1,0,0,COUNTA([1]characters!$A:$A),MATCH(F$1,[1]characters!$1:$1,0)-MATCH($A$1,[1]characters!$1:$1,0)+1),MATCH(F$1,[1]characters!$1:$1,0)-MATCH($A$1,[1]characters!$1:$1,0)+1,FALSE)</f>
        <v>不明</v>
      </c>
      <c r="G16" s="52">
        <f ca="1">VLOOKUP($A16,OFFSET([1]characters!$A$1,0,0,COUNTA([1]characters!$A:$A),MATCH(G$1,[1]characters!$1:$1,0)-MATCH($A$1,[1]characters!$1:$1,0)+1),MATCH(G$1,[1]characters!$1:$1,0)-MATCH($A$1,[1]characters!$1:$1,0)+1,FALSE)</f>
        <v>6</v>
      </c>
      <c r="H16" s="52" t="str">
        <f ca="1">VLOOKUP($A16,OFFSET([1]characters!$A$1,0,0,COUNTA([1]characters!$A:$A),MATCH(H$1,[1]characters!$1:$1,0)-MATCH($A$1,[1]characters!$1:$1,0)+1),MATCH(H$1,[1]characters!$1:$1,0)-MATCH($A$1,[1]characters!$1:$1,0)+1,FALSE)</f>
        <v>PremiumSSS</v>
      </c>
      <c r="I16" s="52" t="str">
        <f ca="1">VLOOKUP($A16,OFFSET([1]characters!$A$1,0,0,COUNTA([1]characters!$A:$A),MATCH(I$1,[1]characters!$1:$1,0)-MATCH($A$1,[1]characters!$1:$1,0)+1),MATCH(I$1,[1]characters!$1:$1,0)-MATCH($A$1,[1]characters!$1:$1,0)+1,FALSE)</f>
        <v>yellow</v>
      </c>
      <c r="J16" s="52" t="str">
        <f ca="1">VLOOKUP($A16,OFFSET([1]characters!$A$1,0,0,COUNTA([1]characters!$A:$A),MATCH(J$1,[1]characters!$1:$1,0)-MATCH($A$1,[1]characters!$1:$1,0)+1),MATCH(J$1,[1]characters!$1:$1,0)-MATCH($A$1,[1]characters!$1:$1,0)+1,FALSE)</f>
        <v>human</v>
      </c>
      <c r="K16" s="5" t="str">
        <f ca="1">VLOOKUP(J16,[1]character_tribe_i18n!$A:$H,3,FALSE)</f>
        <v>ヒューマン</v>
      </c>
      <c r="L16" s="10" t="e">
        <f>VLOOKUP(#REF!,[1]character_tribe_i18n!$A:$H,4,FALSE)</f>
        <v>#REF!</v>
      </c>
      <c r="M16" s="10" t="e">
        <f>VLOOKUP(#REF!,[1]character_tribe_i18n!$A:$H,5,FALSE)</f>
        <v>#REF!</v>
      </c>
      <c r="N16" s="10" t="e">
        <f>VLOOKUP(#REF!,[1]character_tribe_i18n!$A:$H,6,FALSE)</f>
        <v>#REF!</v>
      </c>
      <c r="O16" s="10" t="e">
        <f>VLOOKUP(#REF!,[1]character_tribe_i18n!$A:$H,7,FALSE)</f>
        <v>#REF!</v>
      </c>
      <c r="P16" s="175" t="str">
        <f>VLOOKUP(Q16,[1]characters!$A:$AC,20)</f>
        <v>normal</v>
      </c>
      <c r="Q16" s="186">
        <v>761</v>
      </c>
      <c r="R16" s="57" t="str">
        <f ca="1">IF(Q16="NULL","",VLOOKUP($Q16,OFFSET([1]characters!$A$1,0,0,COUNTA([1]characters!$A:$A),MATCH(R$1,[1]characters!$1:$1,0)-MATCH($A$1,[1]characters!$1:$1,0)+1),MATCH(R$1,[1]characters!$1:$1,0)-MATCH($A$1,[1]characters!$1:$1,0)+1,FALSE))</f>
        <v>唯限の崇嬢 クロネッカー</v>
      </c>
      <c r="S16" s="5">
        <f t="shared" ca="1" si="0"/>
        <v>760</v>
      </c>
      <c r="T16" s="57" t="str">
        <f ca="1">VLOOKUP($S16,OFFSET([1]characters!$A$1,0,0,COUNTA([1]characters!$A:$A),MATCH(T$1,[1]characters!$1:$1,0)-MATCH($A$1,[1]characters!$1:$1,0)+1),MATCH(T$1,[1]characters!$1:$1,0)-MATCH($A$1,[1]characters!$1:$1,0)+1,FALSE)</f>
        <v>限論顕現 クロネッカー</v>
      </c>
      <c r="U16" s="10">
        <f ca="1">IF(Q16="NULL","NULL",VLOOKUP(G16,[2]ビット!$A$2:$B$7,2))</f>
        <v>200000</v>
      </c>
    </row>
    <row r="17" spans="1:21" ht="21" customHeight="1" x14ac:dyDescent="0.15">
      <c r="A17" s="190">
        <v>489</v>
      </c>
      <c r="B17" s="52" t="str">
        <f ca="1">VLOOKUP($A17,OFFSET([1]characters!$A$1,0,0,COUNTA([1]characters!$A:$A),MATCH(B$1,[1]characters!$1:$1,0)-MATCH($A$1,[1]characters!$1:$1,0)+1),MATCH(B$1,[1]characters!$1:$1,0)-MATCH($A$1,[1]characters!$1:$1,0)+1,FALSE)</f>
        <v>宇宙の拡超 ハップル</v>
      </c>
      <c r="C17" s="52" t="str">
        <f ca="1">VLOOKUP($A17,OFFSET([1]characters!$A$1,0,0,COUNTA([1]characters!$A:$A),MATCH(C$1,[1]characters!$1:$1,0)-MATCH($A$1,[1]characters!$1:$1,0)+1),MATCH(C$1,[1]characters!$1:$1,0)-MATCH($A$1,[1]characters!$1:$1,0)+1,FALSE)</f>
        <v>ガチャ:黄フェス01</v>
      </c>
      <c r="D17" s="52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2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2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2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2" t="str">
        <f ca="1">VLOOKUP($A17,OFFSET([1]characters!$A$1,0,0,COUNTA([1]characters!$A:$A),MATCH(H$1,[1]characters!$1:$1,0)-MATCH($A$1,[1]characters!$1:$1,0)+1),MATCH(H$1,[1]characters!$1:$1,0)-MATCH($A$1,[1]characters!$1:$1,0)+1,FALSE)</f>
        <v>PremiumSSS</v>
      </c>
      <c r="I17" s="52" t="str">
        <f ca="1">VLOOKUP($A17,OFFSET([1]characters!$A$1,0,0,COUNTA([1]characters!$A:$A),MATCH(I$1,[1]characters!$1:$1,0)-MATCH($A$1,[1]characters!$1:$1,0)+1),MATCH(I$1,[1]characters!$1:$1,0)-MATCH($A$1,[1]characters!$1:$1,0)+1,FALSE)</f>
        <v>yellow</v>
      </c>
      <c r="J17" s="52" t="str">
        <f ca="1">VLOOKUP($A17,OFFSET([1]characters!$A$1,0,0,COUNTA([1]characters!$A:$A),MATCH(J$1,[1]characters!$1:$1,0)-MATCH($A$1,[1]characters!$1:$1,0)+1),MATCH(J$1,[1]characters!$1:$1,0)-MATCH($A$1,[1]characters!$1:$1,0)+1,FALSE)</f>
        <v>none</v>
      </c>
      <c r="K17" s="5" t="str">
        <f ca="1">VLOOKUP(J17,[1]character_tribe_i18n!$A:$H,3,FALSE)</f>
        <v>種族なし</v>
      </c>
      <c r="L17" s="10" t="e">
        <f>VLOOKUP(#REF!,[1]character_tribe_i18n!$A:$H,4,FALSE)</f>
        <v>#REF!</v>
      </c>
      <c r="M17" s="10" t="e">
        <f>VLOOKUP(#REF!,[1]character_tribe_i18n!$A:$H,5,FALSE)</f>
        <v>#REF!</v>
      </c>
      <c r="N17" s="10" t="e">
        <f>VLOOKUP(#REF!,[1]character_tribe_i18n!$A:$H,6,FALSE)</f>
        <v>#REF!</v>
      </c>
      <c r="O17" s="10" t="e">
        <f>VLOOKUP(#REF!,[1]character_tribe_i18n!$A:$H,7,FALSE)</f>
        <v>#REF!</v>
      </c>
      <c r="P17" s="175" t="str">
        <f>VLOOKUP(Q17,[1]characters!$A:$AC,20)</f>
        <v>super</v>
      </c>
      <c r="Q17" s="186">
        <v>1128</v>
      </c>
      <c r="R17" s="57" t="str">
        <f ca="1">IF(Q17="NULL","",VLOOKUP($Q17,OFFSET([1]characters!$A$1,0,0,COUNTA([1]characters!$A:$A),MATCH(R$1,[1]characters!$1:$1,0)-MATCH($A$1,[1]characters!$1:$1,0)+1),MATCH(R$1,[1]characters!$1:$1,0)-MATCH($A$1,[1]characters!$1:$1,0)+1,FALSE))</f>
        <v>宇宙天紡の星明 ハップル</v>
      </c>
      <c r="S17" s="5">
        <f t="shared" ca="1" si="0"/>
        <v>489</v>
      </c>
      <c r="T17" s="57" t="str">
        <f ca="1">VLOOKUP($S17,OFFSET([1]characters!$A$1,0,0,COUNTA([1]characters!$A:$A),MATCH(T$1,[1]characters!$1:$1,0)-MATCH($A$1,[1]characters!$1:$1,0)+1),MATCH(T$1,[1]characters!$1:$1,0)-MATCH($A$1,[1]characters!$1:$1,0)+1,FALSE)</f>
        <v>宇宙の拡超 ハップル</v>
      </c>
      <c r="U17" s="10">
        <f ca="1">IF(Q17="NULL","NULL",VLOOKUP(G17,[2]ビット!$A$2:$B$7,2))</f>
        <v>200000</v>
      </c>
    </row>
    <row r="18" spans="1:21" ht="21" customHeight="1" x14ac:dyDescent="0.15">
      <c r="A18" s="190">
        <v>1128</v>
      </c>
      <c r="B18" s="52" t="str">
        <f ca="1">VLOOKUP($A18,OFFSET([1]characters!$A$1,0,0,COUNTA([1]characters!$A:$A),MATCH(B$1,[1]characters!$1:$1,0)-MATCH($A$1,[1]characters!$1:$1,0)+1),MATCH(B$1,[1]characters!$1:$1,0)-MATCH($A$1,[1]characters!$1:$1,0)+1,FALSE)</f>
        <v>宇宙天紡の星明 ハップル</v>
      </c>
      <c r="C18" s="52" t="str">
        <f ca="1">VLOOKUP($A18,OFFSET([1]characters!$A$1,0,0,COUNTA([1]characters!$A:$A),MATCH(C$1,[1]characters!$1:$1,0)-MATCH($A$1,[1]characters!$1:$1,0)+1),MATCH(C$1,[1]characters!$1:$1,0)-MATCH($A$1,[1]characters!$1:$1,0)+1,FALSE)</f>
        <v>未定</v>
      </c>
      <c r="D18" s="52" t="str">
        <f ca="1">VLOOKUP($A18,OFFSET([1]characters!$A$1,0,0,COUNTA([1]characters!$A:$A),MATCH(D$1,[1]characters!$1:$1,0)-MATCH($A$1,[1]characters!$1:$1,0)+1),MATCH(D$1,[1]characters!$1:$1,0)-MATCH($A$1,[1]characters!$1:$1,0)+1,FALSE)</f>
        <v>アリス</v>
      </c>
      <c r="E18" s="52" t="str">
        <f ca="1">VLOOKUP($A18,OFFSET([1]characters!$A$1,0,0,COUNTA([1]characters!$A:$A),MATCH(E$1,[1]characters!$1:$1,0)-MATCH($A$1,[1]characters!$1:$1,0)+1),MATCH(E$1,[1]characters!$1:$1,0)-MATCH($A$1,[1]characters!$1:$1,0)+1,FALSE)</f>
        <v>世界観</v>
      </c>
      <c r="F18" s="52" t="str">
        <f ca="1">VLOOKUP($A18,OFFSET([1]characters!$A$1,0,0,COUNTA([1]characters!$A:$A),MATCH(F$1,[1]characters!$1:$1,0)-MATCH($A$1,[1]characters!$1:$1,0)+1),MATCH(F$1,[1]characters!$1:$1,0)-MATCH($A$1,[1]characters!$1:$1,0)+1,FALSE)</f>
        <v>不明</v>
      </c>
      <c r="G18" s="52">
        <f ca="1">VLOOKUP($A18,OFFSET([1]characters!$A$1,0,0,COUNTA([1]characters!$A:$A),MATCH(G$1,[1]characters!$1:$1,0)-MATCH($A$1,[1]characters!$1:$1,0)+1),MATCH(G$1,[1]characters!$1:$1,0)-MATCH($A$1,[1]characters!$1:$1,0)+1,FALSE)</f>
        <v>6</v>
      </c>
      <c r="H18" s="52" t="str">
        <f ca="1">VLOOKUP($A18,OFFSET([1]characters!$A$1,0,0,COUNTA([1]characters!$A:$A),MATCH(H$1,[1]characters!$1:$1,0)-MATCH($A$1,[1]characters!$1:$1,0)+1),MATCH(H$1,[1]characters!$1:$1,0)-MATCH($A$1,[1]characters!$1:$1,0)+1,FALSE)</f>
        <v>PremiumSSS</v>
      </c>
      <c r="I18" s="52" t="str">
        <f ca="1">VLOOKUP($A18,OFFSET([1]characters!$A$1,0,0,COUNTA([1]characters!$A:$A),MATCH(I$1,[1]characters!$1:$1,0)-MATCH($A$1,[1]characters!$1:$1,0)+1),MATCH(I$1,[1]characters!$1:$1,0)-MATCH($A$1,[1]characters!$1:$1,0)+1,FALSE)</f>
        <v>yellow</v>
      </c>
      <c r="J18" s="52" t="str">
        <f ca="1">VLOOKUP($A18,OFFSET([1]characters!$A$1,0,0,COUNTA([1]characters!$A:$A),MATCH(J$1,[1]characters!$1:$1,0)-MATCH($A$1,[1]characters!$1:$1,0)+1),MATCH(J$1,[1]characters!$1:$1,0)-MATCH($A$1,[1]characters!$1:$1,0)+1,FALSE)</f>
        <v>none</v>
      </c>
      <c r="K18" s="5" t="str">
        <f ca="1">VLOOKUP(J18,[1]character_tribe_i18n!$A:$H,3,FALSE)</f>
        <v>種族なし</v>
      </c>
      <c r="L18" s="10" t="e">
        <f>VLOOKUP(#REF!,[1]character_tribe_i18n!$A:$H,4,FALSE)</f>
        <v>#REF!</v>
      </c>
      <c r="M18" s="10" t="e">
        <f>VLOOKUP(#REF!,[1]character_tribe_i18n!$A:$H,5,FALSE)</f>
        <v>#REF!</v>
      </c>
      <c r="N18" s="10" t="e">
        <f>VLOOKUP(#REF!,[1]character_tribe_i18n!$A:$H,6,FALSE)</f>
        <v>#REF!</v>
      </c>
      <c r="O18" s="10" t="e">
        <f>VLOOKUP(#REF!,[1]character_tribe_i18n!$A:$H,7,FALSE)</f>
        <v>#REF!</v>
      </c>
      <c r="P18" s="175" t="str">
        <f>VLOOKUP(Q18,[1]characters!$A:$AC,20)</f>
        <v>normal</v>
      </c>
      <c r="Q18" s="186">
        <v>803</v>
      </c>
      <c r="R18" s="57" t="str">
        <f ca="1">IF(Q18="NULL","",VLOOKUP($Q18,OFFSET([1]characters!$A$1,0,0,COUNTA([1]characters!$A:$A),MATCH(R$1,[1]characters!$1:$1,0)-MATCH($A$1,[1]characters!$1:$1,0)+1),MATCH(R$1,[1]characters!$1:$1,0)-MATCH($A$1,[1]characters!$1:$1,0)+1,FALSE))</f>
        <v>大宇宙の膨超 ハップル</v>
      </c>
      <c r="S18" s="5">
        <f t="shared" ca="1" si="0"/>
        <v>489</v>
      </c>
      <c r="T18" s="57" t="str">
        <f ca="1">VLOOKUP($S18,OFFSET([1]characters!$A$1,0,0,COUNTA([1]characters!$A:$A),MATCH(T$1,[1]characters!$1:$1,0)-MATCH($A$1,[1]characters!$1:$1,0)+1),MATCH(T$1,[1]characters!$1:$1,0)-MATCH($A$1,[1]characters!$1:$1,0)+1,FALSE)</f>
        <v>宇宙の拡超 ハップル</v>
      </c>
      <c r="U18" s="10">
        <f ca="1">IF(Q18="NULL","NULL",VLOOKUP(G18,[2]ビット!$A$2:$B$7,2))</f>
        <v>200000</v>
      </c>
    </row>
    <row r="19" spans="1:21" ht="21" customHeight="1" x14ac:dyDescent="0.15">
      <c r="A19" s="190">
        <v>803</v>
      </c>
      <c r="B19" s="52" t="str">
        <f ca="1">VLOOKUP($A19,OFFSET([1]characters!$A$1,0,0,COUNTA([1]characters!$A:$A),MATCH(B$1,[1]characters!$1:$1,0)-MATCH($A$1,[1]characters!$1:$1,0)+1),MATCH(B$1,[1]characters!$1:$1,0)-MATCH($A$1,[1]characters!$1:$1,0)+1,FALSE)</f>
        <v>大宇宙の膨超 ハップル</v>
      </c>
      <c r="C19" s="52" t="str">
        <f ca="1">VLOOKUP($A19,OFFSET([1]characters!$A$1,0,0,COUNTA([1]characters!$A:$A),MATCH(C$1,[1]characters!$1:$1,0)-MATCH($A$1,[1]characters!$1:$1,0)+1),MATCH(C$1,[1]characters!$1:$1,0)-MATCH($A$1,[1]characters!$1:$1,0)+1,FALSE)</f>
        <v>各属性相性良3・黄・R421</v>
      </c>
      <c r="D19" s="52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2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2" t="str">
        <f ca="1">VLOOKUP($A19,OFFSET([1]characters!$A$1,0,0,COUNTA([1]characters!$A:$A),MATCH(F$1,[1]characters!$1:$1,0)-MATCH($A$1,[1]characters!$1:$1,0)+1),MATCH(F$1,[1]characters!$1:$1,0)-MATCH($A$1,[1]characters!$1:$1,0)+1,FALSE)</f>
        <v>男性</v>
      </c>
      <c r="G19" s="52">
        <f ca="1">VLOOKUP($A19,OFFSET([1]characters!$A$1,0,0,COUNTA([1]characters!$A:$A),MATCH(G$1,[1]characters!$1:$1,0)-MATCH($A$1,[1]characters!$1:$1,0)+1),MATCH(G$1,[1]characters!$1:$1,0)-MATCH($A$1,[1]characters!$1:$1,0)+1,FALSE)</f>
        <v>6</v>
      </c>
      <c r="H19" s="52" t="str">
        <f ca="1">VLOOKUP($A19,OFFSET([1]characters!$A$1,0,0,COUNTA([1]characters!$A:$A),MATCH(H$1,[1]characters!$1:$1,0)-MATCH($A$1,[1]characters!$1:$1,0)+1),MATCH(H$1,[1]characters!$1:$1,0)-MATCH($A$1,[1]characters!$1:$1,0)+1,FALSE)</f>
        <v>PremiumSSS</v>
      </c>
      <c r="I19" s="52" t="str">
        <f ca="1">VLOOKUP($A19,OFFSET([1]characters!$A$1,0,0,COUNTA([1]characters!$A:$A),MATCH(I$1,[1]characters!$1:$1,0)-MATCH($A$1,[1]characters!$1:$1,0)+1),MATCH(I$1,[1]characters!$1:$1,0)-MATCH($A$1,[1]characters!$1:$1,0)+1,FALSE)</f>
        <v>yellow</v>
      </c>
      <c r="J19" s="52" t="str">
        <f ca="1">VLOOKUP($A19,OFFSET([1]characters!$A$1,0,0,COUNTA([1]characters!$A:$A),MATCH(J$1,[1]characters!$1:$1,0)-MATCH($A$1,[1]characters!$1:$1,0)+1),MATCH(J$1,[1]characters!$1:$1,0)-MATCH($A$1,[1]characters!$1:$1,0)+1,FALSE)</f>
        <v>none</v>
      </c>
      <c r="K19" s="5" t="str">
        <f ca="1">VLOOKUP(J19,[1]character_tribe_i18n!$A:$H,3,FALSE)</f>
        <v>種族なし</v>
      </c>
      <c r="L19" s="10" t="e">
        <f>VLOOKUP(#REF!,[1]character_tribe_i18n!$A:$H,4,FALSE)</f>
        <v>#REF!</v>
      </c>
      <c r="M19" s="10" t="e">
        <f>VLOOKUP(#REF!,[1]character_tribe_i18n!$A:$H,5,FALSE)</f>
        <v>#REF!</v>
      </c>
      <c r="N19" s="10" t="e">
        <f>VLOOKUP(#REF!,[1]character_tribe_i18n!$A:$H,6,FALSE)</f>
        <v>#REF!</v>
      </c>
      <c r="O19" s="10" t="e">
        <f>VLOOKUP(#REF!,[1]character_tribe_i18n!$A:$H,7,FALSE)</f>
        <v>#REF!</v>
      </c>
      <c r="P19" s="175" t="str">
        <f>VLOOKUP(Q19,[1]characters!$A:$AC,20)</f>
        <v>super</v>
      </c>
      <c r="Q19" s="186">
        <v>1128</v>
      </c>
      <c r="R19" s="57" t="str">
        <f ca="1">IF(Q19="NULL","",VLOOKUP($Q19,OFFSET([1]characters!$A$1,0,0,COUNTA([1]characters!$A:$A),MATCH(R$1,[1]characters!$1:$1,0)-MATCH($A$1,[1]characters!$1:$1,0)+1),MATCH(R$1,[1]characters!$1:$1,0)-MATCH($A$1,[1]characters!$1:$1,0)+1,FALSE))</f>
        <v>宇宙天紡の星明 ハップル</v>
      </c>
      <c r="S19" s="5">
        <f t="shared" ca="1" si="0"/>
        <v>489</v>
      </c>
      <c r="T19" s="57" t="str">
        <f ca="1">VLOOKUP($S19,OFFSET([1]characters!$A$1,0,0,COUNTA([1]characters!$A:$A),MATCH(T$1,[1]characters!$1:$1,0)-MATCH($A$1,[1]characters!$1:$1,0)+1),MATCH(T$1,[1]characters!$1:$1,0)-MATCH($A$1,[1]characters!$1:$1,0)+1,FALSE)</f>
        <v>宇宙の拡超 ハップル</v>
      </c>
      <c r="U19" s="10">
        <f ca="1">IF(Q19="NULL","NULL",VLOOKUP(G19,[2]ビット!$A$2:$B$7,2))</f>
        <v>200000</v>
      </c>
    </row>
    <row r="20" spans="1:21" ht="21" customHeight="1" x14ac:dyDescent="0.15">
      <c r="A20" s="190">
        <v>478</v>
      </c>
      <c r="B20" s="52" t="str">
        <f ca="1">VLOOKUP($A20,OFFSET([1]characters!$A$1,0,0,COUNTA([1]characters!$A:$A),MATCH(B$1,[1]characters!$1:$1,0)-MATCH($A$1,[1]characters!$1:$1,0)+1),MATCH(B$1,[1]characters!$1:$1,0)-MATCH($A$1,[1]characters!$1:$1,0)+1,FALSE)</f>
        <v>時計仕掛けの愛羽妖精 ファータ</v>
      </c>
      <c r="C20" s="52" t="str">
        <f ca="1">VLOOKUP($A20,OFFSET([1]characters!$A$1,0,0,COUNTA([1]characters!$A:$A),MATCH(C$1,[1]characters!$1:$1,0)-MATCH($A$1,[1]characters!$1:$1,0)+1),MATCH(C$1,[1]characters!$1:$1,0)-MATCH($A$1,[1]characters!$1:$1,0)+1,FALSE)</f>
        <v>ガチャ:デッドマンズ</v>
      </c>
      <c r="D20" s="52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2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2" t="str">
        <f ca="1">VLOOKUP($A20,OFFSET([1]characters!$A$1,0,0,COUNTA([1]characters!$A:$A),MATCH(F$1,[1]characters!$1:$1,0)-MATCH($A$1,[1]characters!$1:$1,0)+1),MATCH(F$1,[1]characters!$1:$1,0)-MATCH($A$1,[1]characters!$1:$1,0)+1,FALSE)</f>
        <v>女性</v>
      </c>
      <c r="G20" s="52">
        <f ca="1">VLOOKUP($A20,OFFSET([1]characters!$A$1,0,0,COUNTA([1]characters!$A:$A),MATCH(G$1,[1]characters!$1:$1,0)-MATCH($A$1,[1]characters!$1:$1,0)+1),MATCH(G$1,[1]characters!$1:$1,0)-MATCH($A$1,[1]characters!$1:$1,0)+1,FALSE)</f>
        <v>5</v>
      </c>
      <c r="H20" s="52" t="str">
        <f ca="1">VLOOKUP($A20,OFFSET([1]characters!$A$1,0,0,COUNTA([1]characters!$A:$A),MATCH(H$1,[1]characters!$1:$1,0)-MATCH($A$1,[1]characters!$1:$1,0)+1),MATCH(H$1,[1]characters!$1:$1,0)-MATCH($A$1,[1]characters!$1:$1,0)+1,FALSE)</f>
        <v>PremiumS</v>
      </c>
      <c r="I20" s="52" t="str">
        <f ca="1">VLOOKUP($A20,OFFSET([1]characters!$A$1,0,0,COUNTA([1]characters!$A:$A),MATCH(I$1,[1]characters!$1:$1,0)-MATCH($A$1,[1]characters!$1:$1,0)+1),MATCH(I$1,[1]characters!$1:$1,0)-MATCH($A$1,[1]characters!$1:$1,0)+1,FALSE)</f>
        <v>green</v>
      </c>
      <c r="J20" s="52" t="str">
        <f ca="1">VLOOKUP($A20,OFFSET([1]characters!$A$1,0,0,COUNTA([1]characters!$A:$A),MATCH(J$1,[1]characters!$1:$1,0)-MATCH($A$1,[1]characters!$1:$1,0)+1),MATCH(J$1,[1]characters!$1:$1,0)-MATCH($A$1,[1]characters!$1:$1,0)+1,FALSE)</f>
        <v>none</v>
      </c>
      <c r="K20" s="5" t="str">
        <f ca="1">VLOOKUP(J20,[1]character_tribe_i18n!$A:$H,3,FALSE)</f>
        <v>種族なし</v>
      </c>
      <c r="L20" s="10" t="e">
        <f>VLOOKUP(#REF!,[1]character_tribe_i18n!$A:$H,4,FALSE)</f>
        <v>#REF!</v>
      </c>
      <c r="M20" s="10" t="e">
        <f>VLOOKUP(#REF!,[1]character_tribe_i18n!$A:$H,5,FALSE)</f>
        <v>#REF!</v>
      </c>
      <c r="N20" s="10" t="e">
        <f>VLOOKUP(#REF!,[1]character_tribe_i18n!$A:$H,6,FALSE)</f>
        <v>#REF!</v>
      </c>
      <c r="O20" s="10" t="e">
        <f>VLOOKUP(#REF!,[1]character_tribe_i18n!$A:$H,7,FALSE)</f>
        <v>#REF!</v>
      </c>
      <c r="P20" s="175" t="str">
        <f>VLOOKUP(Q20,[1]characters!$A:$AC,20)</f>
        <v>normal</v>
      </c>
      <c r="Q20" s="186">
        <v>1173</v>
      </c>
      <c r="R20" s="57" t="str">
        <f ca="1">IF(Q20="NULL","",VLOOKUP($Q20,OFFSET([1]characters!$A$1,0,0,COUNTA([1]characters!$A:$A),MATCH(R$1,[1]characters!$1:$1,0)-MATCH($A$1,[1]characters!$1:$1,0)+1),MATCH(R$1,[1]characters!$1:$1,0)-MATCH($A$1,[1]characters!$1:$1,0)+1,FALSE))</f>
        <v>愛を咲かせる春羽妖精 ファータ</v>
      </c>
      <c r="S20" s="5">
        <f t="shared" ca="1" si="0"/>
        <v>478</v>
      </c>
      <c r="T20" s="57" t="str">
        <f ca="1">VLOOKUP($S20,OFFSET([1]characters!$A$1,0,0,COUNTA([1]characters!$A:$A),MATCH(T$1,[1]characters!$1:$1,0)-MATCH($A$1,[1]characters!$1:$1,0)+1),MATCH(T$1,[1]characters!$1:$1,0)-MATCH($A$1,[1]characters!$1:$1,0)+1,FALSE)</f>
        <v>時計仕掛けの愛羽妖精 ファータ</v>
      </c>
      <c r="U20" s="10">
        <f ca="1">IF(Q20="NULL","NULL",VLOOKUP(G20,[2]ビット!$A$2:$B$7,2))</f>
        <v>200000</v>
      </c>
    </row>
    <row r="21" spans="1:21" ht="21" customHeight="1" x14ac:dyDescent="0.15">
      <c r="A21" s="190">
        <v>870</v>
      </c>
      <c r="B21" s="52" t="str">
        <f ca="1">VLOOKUP($A21,OFFSET([1]characters!$A$1,0,0,COUNTA([1]characters!$A:$A),MATCH(B$1,[1]characters!$1:$1,0)-MATCH($A$1,[1]characters!$1:$1,0)+1),MATCH(B$1,[1]characters!$1:$1,0)-MATCH($A$1,[1]characters!$1:$1,0)+1,FALSE)</f>
        <v>フロイト</v>
      </c>
      <c r="C21" s="52" t="str">
        <f ca="1">VLOOKUP($A21,OFFSET([1]characters!$A$1,0,0,COUNTA([1]characters!$A:$A),MATCH(C$1,[1]characters!$1:$1,0)-MATCH($A$1,[1]characters!$1:$1,0)+1),MATCH(C$1,[1]characters!$1:$1,0)-MATCH($A$1,[1]characters!$1:$1,0)+1,FALSE)</f>
        <v>各属性相性良3・黄・R478</v>
      </c>
      <c r="D21" s="52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2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2" t="str">
        <f ca="1">VLOOKUP($A21,OFFSET([1]characters!$A$1,0,0,COUNTA([1]characters!$A:$A),MATCH(F$1,[1]characters!$1:$1,0)-MATCH($A$1,[1]characters!$1:$1,0)+1),MATCH(F$1,[1]characters!$1:$1,0)-MATCH($A$1,[1]characters!$1:$1,0)+1,FALSE)</f>
        <v>男性</v>
      </c>
      <c r="G21" s="52">
        <f ca="1">VLOOKUP($A21,OFFSET([1]characters!$A$1,0,0,COUNTA([1]characters!$A:$A),MATCH(G$1,[1]characters!$1:$1,0)-MATCH($A$1,[1]characters!$1:$1,0)+1),MATCH(G$1,[1]characters!$1:$1,0)-MATCH($A$1,[1]characters!$1:$1,0)+1,FALSE)</f>
        <v>5</v>
      </c>
      <c r="H21" s="52" t="str">
        <f ca="1">VLOOKUP($A21,OFFSET([1]characters!$A$1,0,0,COUNTA([1]characters!$A:$A),MATCH(H$1,[1]characters!$1:$1,0)-MATCH($A$1,[1]characters!$1:$1,0)+1),MATCH(H$1,[1]characters!$1:$1,0)-MATCH($A$1,[1]characters!$1:$1,0)+1,FALSE)</f>
        <v>PremiumSSS</v>
      </c>
      <c r="I21" s="52" t="str">
        <f ca="1">VLOOKUP($A21,OFFSET([1]characters!$A$1,0,0,COUNTA([1]characters!$A:$A),MATCH(I$1,[1]characters!$1:$1,0)-MATCH($A$1,[1]characters!$1:$1,0)+1),MATCH(I$1,[1]characters!$1:$1,0)-MATCH($A$1,[1]characters!$1:$1,0)+1,FALSE)</f>
        <v>red</v>
      </c>
      <c r="J21" s="52" t="str">
        <f ca="1">VLOOKUP($A21,OFFSET([1]characters!$A$1,0,0,COUNTA([1]characters!$A:$A),MATCH(J$1,[1]characters!$1:$1,0)-MATCH($A$1,[1]characters!$1:$1,0)+1),MATCH(J$1,[1]characters!$1:$1,0)-MATCH($A$1,[1]characters!$1:$1,0)+1,FALSE)</f>
        <v>machine</v>
      </c>
      <c r="K21" s="5" t="str">
        <f ca="1">VLOOKUP(J21,[1]character_tribe_i18n!$A:$H,3,FALSE)</f>
        <v>マシン</v>
      </c>
      <c r="L21" s="10" t="e">
        <f>VLOOKUP(#REF!,[1]character_tribe_i18n!$A:$H,4,FALSE)</f>
        <v>#REF!</v>
      </c>
      <c r="M21" s="10" t="e">
        <f>VLOOKUP(#REF!,[1]character_tribe_i18n!$A:$H,5,FALSE)</f>
        <v>#REF!</v>
      </c>
      <c r="N21" s="10" t="e">
        <f>VLOOKUP(#REF!,[1]character_tribe_i18n!$A:$H,6,FALSE)</f>
        <v>#REF!</v>
      </c>
      <c r="O21" s="10" t="e">
        <f>VLOOKUP(#REF!,[1]character_tribe_i18n!$A:$H,7,FALSE)</f>
        <v>#REF!</v>
      </c>
      <c r="P21" s="175" t="str">
        <f>VLOOKUP(Q21,[1]characters!$A:$AC,20)</f>
        <v>super</v>
      </c>
      <c r="Q21" s="186">
        <v>1176</v>
      </c>
      <c r="R21" s="57" t="str">
        <f ca="1">IF(Q21="NULL","",VLOOKUP($Q21,OFFSET([1]characters!$A$1,0,0,COUNTA([1]characters!$A:$A),MATCH(R$1,[1]characters!$1:$1,0)-MATCH($A$1,[1]characters!$1:$1,0)+1),MATCH(R$1,[1]characters!$1:$1,0)-MATCH($A$1,[1]characters!$1:$1,0)+1,FALSE))</f>
        <v>夢二夢斬の遊猟 フロイト</v>
      </c>
      <c r="S21" s="5">
        <f t="shared" ca="1" si="0"/>
        <v>870</v>
      </c>
      <c r="T21" s="57" t="str">
        <f ca="1">VLOOKUP($S21,OFFSET([1]characters!$A$1,0,0,COUNTA([1]characters!$A:$A),MATCH(T$1,[1]characters!$1:$1,0)-MATCH($A$1,[1]characters!$1:$1,0)+1),MATCH(T$1,[1]characters!$1:$1,0)-MATCH($A$1,[1]characters!$1:$1,0)+1,FALSE)</f>
        <v>フロイト</v>
      </c>
      <c r="U21" s="10">
        <f ca="1">IF(Q21="NULL","NULL",VLOOKUP(G21,[2]ビット!$A$2:$B$7,2))</f>
        <v>200000</v>
      </c>
    </row>
    <row r="22" spans="1:21" ht="21" customHeight="1" x14ac:dyDescent="0.15">
      <c r="A22" s="190">
        <v>871</v>
      </c>
      <c r="B22" s="52" t="str">
        <f ca="1">VLOOKUP($A22,OFFSET([1]characters!$A$1,0,0,COUNTA([1]characters!$A:$A),MATCH(B$1,[1]characters!$1:$1,0)-MATCH($A$1,[1]characters!$1:$1,0)+1),MATCH(B$1,[1]characters!$1:$1,0)-MATCH($A$1,[1]characters!$1:$1,0)+1,FALSE)</f>
        <v>無我夢中の羊狩り フロイト</v>
      </c>
      <c r="C22" s="52" t="str">
        <f ca="1">VLOOKUP($A22,OFFSET([1]characters!$A$1,0,0,COUNTA([1]characters!$A:$A),MATCH(C$1,[1]characters!$1:$1,0)-MATCH($A$1,[1]characters!$1:$1,0)+1),MATCH(C$1,[1]characters!$1:$1,0)-MATCH($A$1,[1]characters!$1:$1,0)+1,FALSE)</f>
        <v>各属性相性良3・黄・R479</v>
      </c>
      <c r="D22" s="52" t="str">
        <f ca="1">VLOOKUP($A22,OFFSET([1]characters!$A$1,0,0,COUNTA([1]characters!$A:$A),MATCH(D$1,[1]characters!$1:$1,0)-MATCH($A$1,[1]characters!$1:$1,0)+1),MATCH(D$1,[1]characters!$1:$1,0)-MATCH($A$1,[1]characters!$1:$1,0)+1,FALSE)</f>
        <v>執行者</v>
      </c>
      <c r="E22" s="52" t="str">
        <f ca="1">VLOOKUP($A22,OFFSET([1]characters!$A$1,0,0,COUNTA([1]characters!$A:$A),MATCH(E$1,[1]characters!$1:$1,0)-MATCH($A$1,[1]characters!$1:$1,0)+1),MATCH(E$1,[1]characters!$1:$1,0)-MATCH($A$1,[1]characters!$1:$1,0)+1,FALSE)</f>
        <v>格好いい</v>
      </c>
      <c r="F22" s="52" t="str">
        <f ca="1">VLOOKUP($A22,OFFSET([1]characters!$A$1,0,0,COUNTA([1]characters!$A:$A),MATCH(F$1,[1]characters!$1:$1,0)-MATCH($A$1,[1]characters!$1:$1,0)+1),MATCH(F$1,[1]characters!$1:$1,0)-MATCH($A$1,[1]characters!$1:$1,0)+1,FALSE)</f>
        <v>男性</v>
      </c>
      <c r="G22" s="52">
        <f ca="1">VLOOKUP($A22,OFFSET([1]characters!$A$1,0,0,COUNTA([1]characters!$A:$A),MATCH(G$1,[1]characters!$1:$1,0)-MATCH($A$1,[1]characters!$1:$1,0)+1),MATCH(G$1,[1]characters!$1:$1,0)-MATCH($A$1,[1]characters!$1:$1,0)+1,FALSE)</f>
        <v>6</v>
      </c>
      <c r="H22" s="52" t="str">
        <f ca="1">VLOOKUP($A22,OFFSET([1]characters!$A$1,0,0,COUNTA([1]characters!$A:$A),MATCH(H$1,[1]characters!$1:$1,0)-MATCH($A$1,[1]characters!$1:$1,0)+1),MATCH(H$1,[1]characters!$1:$1,0)-MATCH($A$1,[1]characters!$1:$1,0)+1,FALSE)</f>
        <v>PremiumSSS</v>
      </c>
      <c r="I22" s="52" t="str">
        <f ca="1">VLOOKUP($A22,OFFSET([1]characters!$A$1,0,0,COUNTA([1]characters!$A:$A),MATCH(I$1,[1]characters!$1:$1,0)-MATCH($A$1,[1]characters!$1:$1,0)+1),MATCH(I$1,[1]characters!$1:$1,0)-MATCH($A$1,[1]characters!$1:$1,0)+1,FALSE)</f>
        <v>red</v>
      </c>
      <c r="J22" s="52" t="str">
        <f ca="1">VLOOKUP($A22,OFFSET([1]characters!$A$1,0,0,COUNTA([1]characters!$A:$A),MATCH(J$1,[1]characters!$1:$1,0)-MATCH($A$1,[1]characters!$1:$1,0)+1),MATCH(J$1,[1]characters!$1:$1,0)-MATCH($A$1,[1]characters!$1:$1,0)+1,FALSE)</f>
        <v>machine</v>
      </c>
      <c r="K22" s="5" t="str">
        <f ca="1">VLOOKUP(J22,[1]character_tribe_i18n!$A:$H,3,FALSE)</f>
        <v>マシン</v>
      </c>
      <c r="L22" s="10" t="e">
        <f>VLOOKUP(#REF!,[1]character_tribe_i18n!$A:$H,4,FALSE)</f>
        <v>#REF!</v>
      </c>
      <c r="M22" s="10" t="e">
        <f>VLOOKUP(#REF!,[1]character_tribe_i18n!$A:$H,5,FALSE)</f>
        <v>#REF!</v>
      </c>
      <c r="N22" s="10" t="e">
        <f>VLOOKUP(#REF!,[1]character_tribe_i18n!$A:$H,6,FALSE)</f>
        <v>#REF!</v>
      </c>
      <c r="O22" s="10" t="e">
        <f>VLOOKUP(#REF!,[1]character_tribe_i18n!$A:$H,7,FALSE)</f>
        <v>#REF!</v>
      </c>
      <c r="P22" s="175" t="str">
        <f>VLOOKUP(Q22,[1]characters!$A:$AC,20)</f>
        <v>super</v>
      </c>
      <c r="Q22" s="186">
        <v>1176</v>
      </c>
      <c r="R22" s="57" t="str">
        <f ca="1">IF(Q22="NULL","",VLOOKUP($Q22,OFFSET([1]characters!$A$1,0,0,COUNTA([1]characters!$A:$A),MATCH(R$1,[1]characters!$1:$1,0)-MATCH($A$1,[1]characters!$1:$1,0)+1),MATCH(R$1,[1]characters!$1:$1,0)-MATCH($A$1,[1]characters!$1:$1,0)+1,FALSE))</f>
        <v>夢二夢斬の遊猟 フロイト</v>
      </c>
      <c r="S22" s="5">
        <f t="shared" ca="1" si="0"/>
        <v>870</v>
      </c>
      <c r="T22" s="57" t="str">
        <f ca="1">VLOOKUP($S22,OFFSET([1]characters!$A$1,0,0,COUNTA([1]characters!$A:$A),MATCH(T$1,[1]characters!$1:$1,0)-MATCH($A$1,[1]characters!$1:$1,0)+1),MATCH(T$1,[1]characters!$1:$1,0)-MATCH($A$1,[1]characters!$1:$1,0)+1,FALSE)</f>
        <v>フロイト</v>
      </c>
      <c r="U22" s="10">
        <f ca="1">IF(Q22="NULL","NULL",VLOOKUP(G22,[2]ビット!$A$2:$B$7,2))</f>
        <v>200000</v>
      </c>
    </row>
    <row r="23" spans="1:21" ht="21" customHeight="1" x14ac:dyDescent="0.15">
      <c r="A23" s="190">
        <v>1176</v>
      </c>
      <c r="B23" s="52" t="str">
        <f ca="1">VLOOKUP($A23,OFFSET([1]characters!$A$1,0,0,COUNTA([1]characters!$A:$A),MATCH(B$1,[1]characters!$1:$1,0)-MATCH($A$1,[1]characters!$1:$1,0)+1),MATCH(B$1,[1]characters!$1:$1,0)-MATCH($A$1,[1]characters!$1:$1,0)+1,FALSE)</f>
        <v>夢二夢斬の遊猟 フロイト</v>
      </c>
      <c r="C23" s="52" t="str">
        <f ca="1">VLOOKUP($A23,OFFSET([1]characters!$A$1,0,0,COUNTA([1]characters!$A:$A),MATCH(C$1,[1]characters!$1:$1,0)-MATCH($A$1,[1]characters!$1:$1,0)+1),MATCH(C$1,[1]characters!$1:$1,0)-MATCH($A$1,[1]characters!$1:$1,0)+1,FALSE)</f>
        <v>未定</v>
      </c>
      <c r="D23" s="52" t="str">
        <f ca="1">VLOOKUP($A23,OFFSET([1]characters!$A$1,0,0,COUNTA([1]characters!$A:$A),MATCH(D$1,[1]characters!$1:$1,0)-MATCH($A$1,[1]characters!$1:$1,0)+1),MATCH(D$1,[1]characters!$1:$1,0)-MATCH($A$1,[1]characters!$1:$1,0)+1,FALSE)</f>
        <v>アリス</v>
      </c>
      <c r="E23" s="52" t="str">
        <f ca="1">VLOOKUP($A23,OFFSET([1]characters!$A$1,0,0,COUNTA([1]characters!$A:$A),MATCH(E$1,[1]characters!$1:$1,0)-MATCH($A$1,[1]characters!$1:$1,0)+1),MATCH(E$1,[1]characters!$1:$1,0)-MATCH($A$1,[1]characters!$1:$1,0)+1,FALSE)</f>
        <v>世界観</v>
      </c>
      <c r="F23" s="52" t="str">
        <f ca="1">VLOOKUP($A23,OFFSET([1]characters!$A$1,0,0,COUNTA([1]characters!$A:$A),MATCH(F$1,[1]characters!$1:$1,0)-MATCH($A$1,[1]characters!$1:$1,0)+1),MATCH(F$1,[1]characters!$1:$1,0)-MATCH($A$1,[1]characters!$1:$1,0)+1,FALSE)</f>
        <v>不明</v>
      </c>
      <c r="G23" s="52">
        <f ca="1">VLOOKUP($A23,OFFSET([1]characters!$A$1,0,0,COUNTA([1]characters!$A:$A),MATCH(G$1,[1]characters!$1:$1,0)-MATCH($A$1,[1]characters!$1:$1,0)+1),MATCH(G$1,[1]characters!$1:$1,0)-MATCH($A$1,[1]characters!$1:$1,0)+1,FALSE)</f>
        <v>6</v>
      </c>
      <c r="H23" s="52" t="str">
        <f ca="1">VLOOKUP($A23,OFFSET([1]characters!$A$1,0,0,COUNTA([1]characters!$A:$A),MATCH(H$1,[1]characters!$1:$1,0)-MATCH($A$1,[1]characters!$1:$1,0)+1),MATCH(H$1,[1]characters!$1:$1,0)-MATCH($A$1,[1]characters!$1:$1,0)+1,FALSE)</f>
        <v>PremiumSSS</v>
      </c>
      <c r="I23" s="52" t="str">
        <f ca="1">VLOOKUP($A23,OFFSET([1]characters!$A$1,0,0,COUNTA([1]characters!$A:$A),MATCH(I$1,[1]characters!$1:$1,0)-MATCH($A$1,[1]characters!$1:$1,0)+1),MATCH(I$1,[1]characters!$1:$1,0)-MATCH($A$1,[1]characters!$1:$1,0)+1,FALSE)</f>
        <v>red</v>
      </c>
      <c r="J23" s="52" t="str">
        <f ca="1">VLOOKUP($A23,OFFSET([1]characters!$A$1,0,0,COUNTA([1]characters!$A:$A),MATCH(J$1,[1]characters!$1:$1,0)-MATCH($A$1,[1]characters!$1:$1,0)+1),MATCH(J$1,[1]characters!$1:$1,0)-MATCH($A$1,[1]characters!$1:$1,0)+1,FALSE)</f>
        <v>machine</v>
      </c>
      <c r="K23" s="5" t="str">
        <f ca="1">VLOOKUP(J23,[1]character_tribe_i18n!$A:$H,3,FALSE)</f>
        <v>マシン</v>
      </c>
      <c r="L23" s="10" t="e">
        <f>VLOOKUP(#REF!,[1]character_tribe_i18n!$A:$H,4,FALSE)</f>
        <v>#REF!</v>
      </c>
      <c r="M23" s="10" t="e">
        <f>VLOOKUP(#REF!,[1]character_tribe_i18n!$A:$H,5,FALSE)</f>
        <v>#REF!</v>
      </c>
      <c r="N23" s="10" t="e">
        <f>VLOOKUP(#REF!,[1]character_tribe_i18n!$A:$H,6,FALSE)</f>
        <v>#REF!</v>
      </c>
      <c r="O23" s="10" t="e">
        <f>VLOOKUP(#REF!,[1]character_tribe_i18n!$A:$H,7,FALSE)</f>
        <v>#REF!</v>
      </c>
      <c r="P23" s="175" t="str">
        <f>VLOOKUP(Q23,[1]characters!$A:$AC,20)</f>
        <v>normal</v>
      </c>
      <c r="Q23" s="186">
        <v>871</v>
      </c>
      <c r="R23" s="57" t="str">
        <f ca="1">IF(Q23="NULL","",VLOOKUP($Q23,OFFSET([1]characters!$A$1,0,0,COUNTA([1]characters!$A:$A),MATCH(R$1,[1]characters!$1:$1,0)-MATCH($A$1,[1]characters!$1:$1,0)+1),MATCH(R$1,[1]characters!$1:$1,0)-MATCH($A$1,[1]characters!$1:$1,0)+1,FALSE))</f>
        <v>無我夢中の羊狩り フロイト</v>
      </c>
      <c r="S23" s="5">
        <f t="shared" ca="1" si="0"/>
        <v>870</v>
      </c>
      <c r="T23" s="57" t="str">
        <f ca="1">VLOOKUP($S23,OFFSET([1]characters!$A$1,0,0,COUNTA([1]characters!$A:$A),MATCH(T$1,[1]characters!$1:$1,0)-MATCH($A$1,[1]characters!$1:$1,0)+1),MATCH(T$1,[1]characters!$1:$1,0)-MATCH($A$1,[1]characters!$1:$1,0)+1,FALSE)</f>
        <v>フロイト</v>
      </c>
      <c r="U23" s="10">
        <f ca="1">IF(Q23="NULL","NULL",VLOOKUP(G23,[2]ビット!$A$2:$B$7,2))</f>
        <v>200000</v>
      </c>
    </row>
    <row r="24" spans="1:21" ht="21" customHeight="1" x14ac:dyDescent="0.15">
      <c r="A24" s="190">
        <v>872</v>
      </c>
      <c r="B24" s="52" t="str">
        <f ca="1">VLOOKUP($A24,OFFSET([1]characters!$A$1,0,0,COUNTA([1]characters!$A:$A),MATCH(B$1,[1]characters!$1:$1,0)-MATCH($A$1,[1]characters!$1:$1,0)+1),MATCH(B$1,[1]characters!$1:$1,0)-MATCH($A$1,[1]characters!$1:$1,0)+1,FALSE)</f>
        <v>シュヴァルツシルト</v>
      </c>
      <c r="C24" s="52" t="str">
        <f ca="1">VLOOKUP($A24,OFFSET([1]characters!$A$1,0,0,COUNTA([1]characters!$A:$A),MATCH(C$1,[1]characters!$1:$1,0)-MATCH($A$1,[1]characters!$1:$1,0)+1),MATCH(C$1,[1]characters!$1:$1,0)-MATCH($A$1,[1]characters!$1:$1,0)+1,FALSE)</f>
        <v>各属性相性良3・黄・R480</v>
      </c>
      <c r="D24" s="52" t="str">
        <f ca="1">VLOOKUP($A24,OFFSET([1]characters!$A$1,0,0,COUNTA([1]characters!$A:$A),MATCH(D$1,[1]characters!$1:$1,0)-MATCH($A$1,[1]characters!$1:$1,0)+1),MATCH(D$1,[1]characters!$1:$1,0)-MATCH($A$1,[1]characters!$1:$1,0)+1,FALSE)</f>
        <v>執行者</v>
      </c>
      <c r="E24" s="52" t="str">
        <f ca="1">VLOOKUP($A24,OFFSET([1]characters!$A$1,0,0,COUNTA([1]characters!$A:$A),MATCH(E$1,[1]characters!$1:$1,0)-MATCH($A$1,[1]characters!$1:$1,0)+1),MATCH(E$1,[1]characters!$1:$1,0)-MATCH($A$1,[1]characters!$1:$1,0)+1,FALSE)</f>
        <v>格好いい</v>
      </c>
      <c r="F24" s="52" t="str">
        <f ca="1">VLOOKUP($A24,OFFSET([1]characters!$A$1,0,0,COUNTA([1]characters!$A:$A),MATCH(F$1,[1]characters!$1:$1,0)-MATCH($A$1,[1]characters!$1:$1,0)+1),MATCH(F$1,[1]characters!$1:$1,0)-MATCH($A$1,[1]characters!$1:$1,0)+1,FALSE)</f>
        <v>男性</v>
      </c>
      <c r="G24" s="52">
        <f ca="1">VLOOKUP($A24,OFFSET([1]characters!$A$1,0,0,COUNTA([1]characters!$A:$A),MATCH(G$1,[1]characters!$1:$1,0)-MATCH($A$1,[1]characters!$1:$1,0)+1),MATCH(G$1,[1]characters!$1:$1,0)-MATCH($A$1,[1]characters!$1:$1,0)+1,FALSE)</f>
        <v>5</v>
      </c>
      <c r="H24" s="52" t="str">
        <f ca="1">VLOOKUP($A24,OFFSET([1]characters!$A$1,0,0,COUNTA([1]characters!$A:$A),MATCH(H$1,[1]characters!$1:$1,0)-MATCH($A$1,[1]characters!$1:$1,0)+1),MATCH(H$1,[1]characters!$1:$1,0)-MATCH($A$1,[1]characters!$1:$1,0)+1,FALSE)</f>
        <v>PremiumSSS</v>
      </c>
      <c r="I24" s="52" t="str">
        <f ca="1">VLOOKUP($A24,OFFSET([1]characters!$A$1,0,0,COUNTA([1]characters!$A:$A),MATCH(I$1,[1]characters!$1:$1,0)-MATCH($A$1,[1]characters!$1:$1,0)+1),MATCH(I$1,[1]characters!$1:$1,0)-MATCH($A$1,[1]characters!$1:$1,0)+1,FALSE)</f>
        <v>blue</v>
      </c>
      <c r="J24" s="52" t="str">
        <f ca="1">VLOOKUP($A24,OFFSET([1]characters!$A$1,0,0,COUNTA([1]characters!$A:$A),MATCH(J$1,[1]characters!$1:$1,0)-MATCH($A$1,[1]characters!$1:$1,0)+1),MATCH(J$1,[1]characters!$1:$1,0)-MATCH($A$1,[1]characters!$1:$1,0)+1,FALSE)</f>
        <v>unknown</v>
      </c>
      <c r="K24" s="5" t="str">
        <f ca="1">VLOOKUP(J24,[1]character_tribe_i18n!$A:$H,3,FALSE)</f>
        <v>Unknown</v>
      </c>
      <c r="L24" s="10" t="e">
        <f>VLOOKUP(#REF!,[1]character_tribe_i18n!$A:$H,4,FALSE)</f>
        <v>#REF!</v>
      </c>
      <c r="M24" s="10" t="e">
        <f>VLOOKUP(#REF!,[1]character_tribe_i18n!$A:$H,5,FALSE)</f>
        <v>#REF!</v>
      </c>
      <c r="N24" s="10" t="e">
        <f>VLOOKUP(#REF!,[1]character_tribe_i18n!$A:$H,6,FALSE)</f>
        <v>#REF!</v>
      </c>
      <c r="O24" s="10" t="e">
        <f>VLOOKUP(#REF!,[1]character_tribe_i18n!$A:$H,7,FALSE)</f>
        <v>#REF!</v>
      </c>
      <c r="P24" s="175" t="str">
        <f>VLOOKUP(Q24,[1]characters!$A:$AC,20)</f>
        <v>super</v>
      </c>
      <c r="Q24" s="186">
        <v>882</v>
      </c>
      <c r="R24" s="57" t="str">
        <f ca="1">IF(Q24="NULL","",VLOOKUP($Q24,OFFSET([1]characters!$A$1,0,0,COUNTA([1]characters!$A:$A),MATCH(R$1,[1]characters!$1:$1,0)-MATCH($A$1,[1]characters!$1:$1,0)+1),MATCH(R$1,[1]characters!$1:$1,0)-MATCH($A$1,[1]characters!$1:$1,0)+1,FALSE))</f>
        <v>歪極する星壊 シュヴァルツシルト</v>
      </c>
      <c r="S24" s="5">
        <f t="shared" ca="1" si="0"/>
        <v>872</v>
      </c>
      <c r="T24" s="57" t="str">
        <f ca="1">VLOOKUP($S24,OFFSET([1]characters!$A$1,0,0,COUNTA([1]characters!$A:$A),MATCH(T$1,[1]characters!$1:$1,0)-MATCH($A$1,[1]characters!$1:$1,0)+1),MATCH(T$1,[1]characters!$1:$1,0)-MATCH($A$1,[1]characters!$1:$1,0)+1,FALSE)</f>
        <v>シュヴァルツシルト</v>
      </c>
      <c r="U24" s="10">
        <f ca="1">IF(Q24="NULL","NULL",VLOOKUP(G24,[2]ビット!$A$2:$B$7,2))</f>
        <v>200000</v>
      </c>
    </row>
    <row r="25" spans="1:21" ht="21" customHeight="1" x14ac:dyDescent="0.15">
      <c r="A25" s="190">
        <v>873</v>
      </c>
      <c r="B25" s="52" t="str">
        <f ca="1">VLOOKUP($A25,OFFSET([1]characters!$A$1,0,0,COUNTA([1]characters!$A:$A),MATCH(B$1,[1]characters!$1:$1,0)-MATCH($A$1,[1]characters!$1:$1,0)+1),MATCH(B$1,[1]characters!$1:$1,0)-MATCH($A$1,[1]characters!$1:$1,0)+1,FALSE)</f>
        <v>時歪の特異天 シュヴァルツシルト</v>
      </c>
      <c r="C25" s="52" t="str">
        <f ca="1">VLOOKUP($A25,OFFSET([1]characters!$A$1,0,0,COUNTA([1]characters!$A:$A),MATCH(C$1,[1]characters!$1:$1,0)-MATCH($A$1,[1]characters!$1:$1,0)+1),MATCH(C$1,[1]characters!$1:$1,0)-MATCH($A$1,[1]characters!$1:$1,0)+1,FALSE)</f>
        <v>各属性相性良3・黄・R481</v>
      </c>
      <c r="D25" s="52" t="str">
        <f ca="1">VLOOKUP($A25,OFFSET([1]characters!$A$1,0,0,COUNTA([1]characters!$A:$A),MATCH(D$1,[1]characters!$1:$1,0)-MATCH($A$1,[1]characters!$1:$1,0)+1),MATCH(D$1,[1]characters!$1:$1,0)-MATCH($A$1,[1]characters!$1:$1,0)+1,FALSE)</f>
        <v>執行者</v>
      </c>
      <c r="E25" s="52" t="str">
        <f ca="1">VLOOKUP($A25,OFFSET([1]characters!$A$1,0,0,COUNTA([1]characters!$A:$A),MATCH(E$1,[1]characters!$1:$1,0)-MATCH($A$1,[1]characters!$1:$1,0)+1),MATCH(E$1,[1]characters!$1:$1,0)-MATCH($A$1,[1]characters!$1:$1,0)+1,FALSE)</f>
        <v>格好いい</v>
      </c>
      <c r="F25" s="52" t="str">
        <f ca="1">VLOOKUP($A25,OFFSET([1]characters!$A$1,0,0,COUNTA([1]characters!$A:$A),MATCH(F$1,[1]characters!$1:$1,0)-MATCH($A$1,[1]characters!$1:$1,0)+1),MATCH(F$1,[1]characters!$1:$1,0)-MATCH($A$1,[1]characters!$1:$1,0)+1,FALSE)</f>
        <v>男性</v>
      </c>
      <c r="G25" s="52">
        <f ca="1">VLOOKUP($A25,OFFSET([1]characters!$A$1,0,0,COUNTA([1]characters!$A:$A),MATCH(G$1,[1]characters!$1:$1,0)-MATCH($A$1,[1]characters!$1:$1,0)+1),MATCH(G$1,[1]characters!$1:$1,0)-MATCH($A$1,[1]characters!$1:$1,0)+1,FALSE)</f>
        <v>6</v>
      </c>
      <c r="H25" s="52" t="str">
        <f ca="1">VLOOKUP($A25,OFFSET([1]characters!$A$1,0,0,COUNTA([1]characters!$A:$A),MATCH(H$1,[1]characters!$1:$1,0)-MATCH($A$1,[1]characters!$1:$1,0)+1),MATCH(H$1,[1]characters!$1:$1,0)-MATCH($A$1,[1]characters!$1:$1,0)+1,FALSE)</f>
        <v>PremiumSSS</v>
      </c>
      <c r="I25" s="52" t="str">
        <f ca="1">VLOOKUP($A25,OFFSET([1]characters!$A$1,0,0,COUNTA([1]characters!$A:$A),MATCH(I$1,[1]characters!$1:$1,0)-MATCH($A$1,[1]characters!$1:$1,0)+1),MATCH(I$1,[1]characters!$1:$1,0)-MATCH($A$1,[1]characters!$1:$1,0)+1,FALSE)</f>
        <v>blue</v>
      </c>
      <c r="J25" s="52" t="str">
        <f ca="1">VLOOKUP($A25,OFFSET([1]characters!$A$1,0,0,COUNTA([1]characters!$A:$A),MATCH(J$1,[1]characters!$1:$1,0)-MATCH($A$1,[1]characters!$1:$1,0)+1),MATCH(J$1,[1]characters!$1:$1,0)-MATCH($A$1,[1]characters!$1:$1,0)+1,FALSE)</f>
        <v>unknown</v>
      </c>
      <c r="K25" s="5" t="str">
        <f ca="1">VLOOKUP(J25,[1]character_tribe_i18n!$A:$H,3,FALSE)</f>
        <v>Unknown</v>
      </c>
      <c r="L25" s="10" t="e">
        <f>VLOOKUP(#REF!,[1]character_tribe_i18n!$A:$H,4,FALSE)</f>
        <v>#REF!</v>
      </c>
      <c r="M25" s="10" t="e">
        <f>VLOOKUP(#REF!,[1]character_tribe_i18n!$A:$H,5,FALSE)</f>
        <v>#REF!</v>
      </c>
      <c r="N25" s="10" t="e">
        <f>VLOOKUP(#REF!,[1]character_tribe_i18n!$A:$H,6,FALSE)</f>
        <v>#REF!</v>
      </c>
      <c r="O25" s="10" t="e">
        <f>VLOOKUP(#REF!,[1]character_tribe_i18n!$A:$H,7,FALSE)</f>
        <v>#REF!</v>
      </c>
      <c r="P25" s="175" t="str">
        <f>VLOOKUP(Q25,[1]characters!$A:$AC,20)</f>
        <v>super</v>
      </c>
      <c r="Q25" s="186">
        <v>882</v>
      </c>
      <c r="R25" s="57" t="str">
        <f ca="1">IF(Q25="NULL","",VLOOKUP($Q25,OFFSET([1]characters!$A$1,0,0,COUNTA([1]characters!$A:$A),MATCH(R$1,[1]characters!$1:$1,0)-MATCH($A$1,[1]characters!$1:$1,0)+1),MATCH(R$1,[1]characters!$1:$1,0)-MATCH($A$1,[1]characters!$1:$1,0)+1,FALSE))</f>
        <v>歪極する星壊 シュヴァルツシルト</v>
      </c>
      <c r="S25" s="5">
        <f t="shared" ca="1" si="0"/>
        <v>872</v>
      </c>
      <c r="T25" s="57" t="str">
        <f ca="1">VLOOKUP($S25,OFFSET([1]characters!$A$1,0,0,COUNTA([1]characters!$A:$A),MATCH(T$1,[1]characters!$1:$1,0)-MATCH($A$1,[1]characters!$1:$1,0)+1),MATCH(T$1,[1]characters!$1:$1,0)-MATCH($A$1,[1]characters!$1:$1,0)+1,FALSE)</f>
        <v>シュヴァルツシルト</v>
      </c>
      <c r="U25" s="10">
        <f ca="1">IF(Q25="NULL","NULL",VLOOKUP(G25,[2]ビット!$A$2:$B$7,2))</f>
        <v>200000</v>
      </c>
    </row>
    <row r="26" spans="1:21" ht="21" customHeight="1" x14ac:dyDescent="0.15">
      <c r="A26" s="190">
        <v>882</v>
      </c>
      <c r="B26" s="52" t="str">
        <f ca="1">VLOOKUP($A26,OFFSET([1]characters!$A$1,0,0,COUNTA([1]characters!$A:$A),MATCH(B$1,[1]characters!$1:$1,0)-MATCH($A$1,[1]characters!$1:$1,0)+1),MATCH(B$1,[1]characters!$1:$1,0)-MATCH($A$1,[1]characters!$1:$1,0)+1,FALSE)</f>
        <v>歪極する星壊 シュヴァルツシルト</v>
      </c>
      <c r="C26" s="52" t="str">
        <f ca="1">VLOOKUP($A26,OFFSET([1]characters!$A$1,0,0,COUNTA([1]characters!$A:$A),MATCH(C$1,[1]characters!$1:$1,0)-MATCH($A$1,[1]characters!$1:$1,0)+1),MATCH(C$1,[1]characters!$1:$1,0)-MATCH($A$1,[1]characters!$1:$1,0)+1,FALSE)</f>
        <v>各属性相性良3・黄・R486</v>
      </c>
      <c r="D26" s="52" t="str">
        <f ca="1">VLOOKUP($A26,OFFSET([1]characters!$A$1,0,0,COUNTA([1]characters!$A:$A),MATCH(D$1,[1]characters!$1:$1,0)-MATCH($A$1,[1]characters!$1:$1,0)+1),MATCH(D$1,[1]characters!$1:$1,0)-MATCH($A$1,[1]characters!$1:$1,0)+1,FALSE)</f>
        <v>執行者</v>
      </c>
      <c r="E26" s="52" t="str">
        <f ca="1">VLOOKUP($A26,OFFSET([1]characters!$A$1,0,0,COUNTA([1]characters!$A:$A),MATCH(E$1,[1]characters!$1:$1,0)-MATCH($A$1,[1]characters!$1:$1,0)+1),MATCH(E$1,[1]characters!$1:$1,0)-MATCH($A$1,[1]characters!$1:$1,0)+1,FALSE)</f>
        <v>格好いい</v>
      </c>
      <c r="F26" s="52" t="str">
        <f ca="1">VLOOKUP($A26,OFFSET([1]characters!$A$1,0,0,COUNTA([1]characters!$A:$A),MATCH(F$1,[1]characters!$1:$1,0)-MATCH($A$1,[1]characters!$1:$1,0)+1),MATCH(F$1,[1]characters!$1:$1,0)-MATCH($A$1,[1]characters!$1:$1,0)+1,FALSE)</f>
        <v>男性</v>
      </c>
      <c r="G26" s="52">
        <f ca="1">VLOOKUP($A26,OFFSET([1]characters!$A$1,0,0,COUNTA([1]characters!$A:$A),MATCH(G$1,[1]characters!$1:$1,0)-MATCH($A$1,[1]characters!$1:$1,0)+1),MATCH(G$1,[1]characters!$1:$1,0)-MATCH($A$1,[1]characters!$1:$1,0)+1,FALSE)</f>
        <v>6</v>
      </c>
      <c r="H26" s="52" t="str">
        <f ca="1">VLOOKUP($A26,OFFSET([1]characters!$A$1,0,0,COUNTA([1]characters!$A:$A),MATCH(H$1,[1]characters!$1:$1,0)-MATCH($A$1,[1]characters!$1:$1,0)+1),MATCH(H$1,[1]characters!$1:$1,0)-MATCH($A$1,[1]characters!$1:$1,0)+1,FALSE)</f>
        <v>PremiumSSS</v>
      </c>
      <c r="I26" s="52" t="str">
        <f ca="1">VLOOKUP($A26,OFFSET([1]characters!$A$1,0,0,COUNTA([1]characters!$A:$A),MATCH(I$1,[1]characters!$1:$1,0)-MATCH($A$1,[1]characters!$1:$1,0)+1),MATCH(I$1,[1]characters!$1:$1,0)-MATCH($A$1,[1]characters!$1:$1,0)+1,FALSE)</f>
        <v>blue</v>
      </c>
      <c r="J26" s="52" t="str">
        <f ca="1">VLOOKUP($A26,OFFSET([1]characters!$A$1,0,0,COUNTA([1]characters!$A:$A),MATCH(J$1,[1]characters!$1:$1,0)-MATCH($A$1,[1]characters!$1:$1,0)+1),MATCH(J$1,[1]characters!$1:$1,0)-MATCH($A$1,[1]characters!$1:$1,0)+1,FALSE)</f>
        <v>human</v>
      </c>
      <c r="K26" s="5" t="str">
        <f ca="1">VLOOKUP(J26,[1]character_tribe_i18n!$A:$H,3,FALSE)</f>
        <v>ヒューマン</v>
      </c>
      <c r="L26" s="10" t="e">
        <f>VLOOKUP(#REF!,[1]character_tribe_i18n!$A:$H,4,FALSE)</f>
        <v>#REF!</v>
      </c>
      <c r="M26" s="10" t="e">
        <f>VLOOKUP(#REF!,[1]character_tribe_i18n!$A:$H,5,FALSE)</f>
        <v>#REF!</v>
      </c>
      <c r="N26" s="10" t="e">
        <f>VLOOKUP(#REF!,[1]character_tribe_i18n!$A:$H,6,FALSE)</f>
        <v>#REF!</v>
      </c>
      <c r="O26" s="10" t="e">
        <f>VLOOKUP(#REF!,[1]character_tribe_i18n!$A:$H,7,FALSE)</f>
        <v>#REF!</v>
      </c>
      <c r="P26" s="175" t="str">
        <f>VLOOKUP(Q26,[1]characters!$A:$AC,20)</f>
        <v>normal</v>
      </c>
      <c r="Q26" s="186">
        <v>873</v>
      </c>
      <c r="R26" s="57" t="str">
        <f ca="1">IF(Q26="NULL","",VLOOKUP($Q26,OFFSET([1]characters!$A$1,0,0,COUNTA([1]characters!$A:$A),MATCH(R$1,[1]characters!$1:$1,0)-MATCH($A$1,[1]characters!$1:$1,0)+1),MATCH(R$1,[1]characters!$1:$1,0)-MATCH($A$1,[1]characters!$1:$1,0)+1,FALSE))</f>
        <v>時歪の特異天 シュヴァルツシルト</v>
      </c>
      <c r="S26" s="5">
        <f t="shared" ca="1" si="0"/>
        <v>872</v>
      </c>
      <c r="T26" s="57" t="str">
        <f ca="1">VLOOKUP($S26,OFFSET([1]characters!$A$1,0,0,COUNTA([1]characters!$A:$A),MATCH(T$1,[1]characters!$1:$1,0)-MATCH($A$1,[1]characters!$1:$1,0)+1),MATCH(T$1,[1]characters!$1:$1,0)-MATCH($A$1,[1]characters!$1:$1,0)+1,FALSE)</f>
        <v>シュヴァルツシルト</v>
      </c>
      <c r="U26" s="10">
        <f ca="1">IF(Q26="NULL","NULL",VLOOKUP(G26,[2]ビット!$A$2:$B$7,2))</f>
        <v>200000</v>
      </c>
    </row>
    <row r="27" spans="1:21" ht="21" customHeight="1" x14ac:dyDescent="0.15">
      <c r="A27" s="190">
        <v>874</v>
      </c>
      <c r="B27" s="52" t="str">
        <f ca="1">VLOOKUP($A27,OFFSET([1]characters!$A$1,0,0,COUNTA([1]characters!$A:$A),MATCH(B$1,[1]characters!$1:$1,0)-MATCH($A$1,[1]characters!$1:$1,0)+1),MATCH(B$1,[1]characters!$1:$1,0)-MATCH($A$1,[1]characters!$1:$1,0)+1,FALSE)</f>
        <v>フレネル</v>
      </c>
      <c r="C27" s="52" t="str">
        <f ca="1">VLOOKUP($A27,OFFSET([1]characters!$A$1,0,0,COUNTA([1]characters!$A:$A),MATCH(C$1,[1]characters!$1:$1,0)-MATCH($A$1,[1]characters!$1:$1,0)+1),MATCH(C$1,[1]characters!$1:$1,0)-MATCH($A$1,[1]characters!$1:$1,0)+1,FALSE)</f>
        <v>各属性相性良3・黄・R482</v>
      </c>
      <c r="D27" s="52" t="str">
        <f ca="1">VLOOKUP($A27,OFFSET([1]characters!$A$1,0,0,COUNTA([1]characters!$A:$A),MATCH(D$1,[1]characters!$1:$1,0)-MATCH($A$1,[1]characters!$1:$1,0)+1),MATCH(D$1,[1]characters!$1:$1,0)-MATCH($A$1,[1]characters!$1:$1,0)+1,FALSE)</f>
        <v>執行者</v>
      </c>
      <c r="E27" s="52" t="str">
        <f ca="1">VLOOKUP($A27,OFFSET([1]characters!$A$1,0,0,COUNTA([1]characters!$A:$A),MATCH(E$1,[1]characters!$1:$1,0)-MATCH($A$1,[1]characters!$1:$1,0)+1),MATCH(E$1,[1]characters!$1:$1,0)-MATCH($A$1,[1]characters!$1:$1,0)+1,FALSE)</f>
        <v>格好いい</v>
      </c>
      <c r="F27" s="52" t="str">
        <f ca="1">VLOOKUP($A27,OFFSET([1]characters!$A$1,0,0,COUNTA([1]characters!$A:$A),MATCH(F$1,[1]characters!$1:$1,0)-MATCH($A$1,[1]characters!$1:$1,0)+1),MATCH(F$1,[1]characters!$1:$1,0)-MATCH($A$1,[1]characters!$1:$1,0)+1,FALSE)</f>
        <v>男性</v>
      </c>
      <c r="G27" s="52">
        <f ca="1">VLOOKUP($A27,OFFSET([1]characters!$A$1,0,0,COUNTA([1]characters!$A:$A),MATCH(G$1,[1]characters!$1:$1,0)-MATCH($A$1,[1]characters!$1:$1,0)+1),MATCH(G$1,[1]characters!$1:$1,0)-MATCH($A$1,[1]characters!$1:$1,0)+1,FALSE)</f>
        <v>5</v>
      </c>
      <c r="H27" s="52" t="str">
        <f ca="1">VLOOKUP($A27,OFFSET([1]characters!$A$1,0,0,COUNTA([1]characters!$A:$A),MATCH(H$1,[1]characters!$1:$1,0)-MATCH($A$1,[1]characters!$1:$1,0)+1),MATCH(H$1,[1]characters!$1:$1,0)-MATCH($A$1,[1]characters!$1:$1,0)+1,FALSE)</f>
        <v>PremiumSSS</v>
      </c>
      <c r="I27" s="52" t="str">
        <f ca="1">VLOOKUP($A27,OFFSET([1]characters!$A$1,0,0,COUNTA([1]characters!$A:$A),MATCH(I$1,[1]characters!$1:$1,0)-MATCH($A$1,[1]characters!$1:$1,0)+1),MATCH(I$1,[1]characters!$1:$1,0)-MATCH($A$1,[1]characters!$1:$1,0)+1,FALSE)</f>
        <v>yellow</v>
      </c>
      <c r="J27" s="52" t="str">
        <f ca="1">VLOOKUP($A27,OFFSET([1]characters!$A$1,0,0,COUNTA([1]characters!$A:$A),MATCH(J$1,[1]characters!$1:$1,0)-MATCH($A$1,[1]characters!$1:$1,0)+1),MATCH(J$1,[1]characters!$1:$1,0)-MATCH($A$1,[1]characters!$1:$1,0)+1,FALSE)</f>
        <v>machine</v>
      </c>
      <c r="K27" s="5" t="str">
        <f ca="1">VLOOKUP(J27,[1]character_tribe_i18n!$A:$H,3,FALSE)</f>
        <v>マシン</v>
      </c>
      <c r="L27" s="10" t="e">
        <f>VLOOKUP(#REF!,[1]character_tribe_i18n!$A:$H,4,FALSE)</f>
        <v>#REF!</v>
      </c>
      <c r="M27" s="10" t="e">
        <f>VLOOKUP(#REF!,[1]character_tribe_i18n!$A:$H,5,FALSE)</f>
        <v>#REF!</v>
      </c>
      <c r="N27" s="10" t="e">
        <f>VLOOKUP(#REF!,[1]character_tribe_i18n!$A:$H,6,FALSE)</f>
        <v>#REF!</v>
      </c>
      <c r="O27" s="10" t="e">
        <f>VLOOKUP(#REF!,[1]character_tribe_i18n!$A:$H,7,FALSE)</f>
        <v>#REF!</v>
      </c>
      <c r="P27" s="175" t="str">
        <f>VLOOKUP(Q27,[1]characters!$A:$AC,20)</f>
        <v>normal</v>
      </c>
      <c r="Q27" s="186">
        <v>1108</v>
      </c>
      <c r="R27" s="57" t="str">
        <f ca="1">IF(Q27="NULL","",VLOOKUP($Q27,OFFSET([1]characters!$A$1,0,0,COUNTA([1]characters!$A:$A),MATCH(R$1,[1]characters!$1:$1,0)-MATCH($A$1,[1]characters!$1:$1,0)+1),MATCH(R$1,[1]characters!$1:$1,0)-MATCH($A$1,[1]characters!$1:$1,0)+1,FALSE))</f>
        <v>交鏡の光波 フレネル</v>
      </c>
      <c r="S27" s="5">
        <f t="shared" ca="1" si="0"/>
        <v>874</v>
      </c>
      <c r="T27" s="57" t="str">
        <f ca="1">VLOOKUP($S27,OFFSET([1]characters!$A$1,0,0,COUNTA([1]characters!$A:$A),MATCH(T$1,[1]characters!$1:$1,0)-MATCH($A$1,[1]characters!$1:$1,0)+1),MATCH(T$1,[1]characters!$1:$1,0)-MATCH($A$1,[1]characters!$1:$1,0)+1,FALSE)</f>
        <v>フレネル</v>
      </c>
      <c r="U27" s="10">
        <f ca="1">IF(Q27="NULL","NULL",VLOOKUP(G27,[2]ビット!$A$2:$B$7,2))</f>
        <v>200000</v>
      </c>
    </row>
    <row r="28" spans="1:21" ht="21" customHeight="1" x14ac:dyDescent="0.15">
      <c r="A28" s="190">
        <v>875</v>
      </c>
      <c r="B28" s="52" t="str">
        <f ca="1">VLOOKUP($A28,OFFSET([1]characters!$A$1,0,0,COUNTA([1]characters!$A:$A),MATCH(B$1,[1]characters!$1:$1,0)-MATCH($A$1,[1]characters!$1:$1,0)+1),MATCH(B$1,[1]characters!$1:$1,0)-MATCH($A$1,[1]characters!$1:$1,0)+1,FALSE)</f>
        <v>覇導の光跡 フレネル</v>
      </c>
      <c r="C28" s="52" t="str">
        <f ca="1">VLOOKUP($A28,OFFSET([1]characters!$A$1,0,0,COUNTA([1]characters!$A:$A),MATCH(C$1,[1]characters!$1:$1,0)-MATCH($A$1,[1]characters!$1:$1,0)+1),MATCH(C$1,[1]characters!$1:$1,0)-MATCH($A$1,[1]characters!$1:$1,0)+1,FALSE)</f>
        <v>各属性相性良3・黄・R483</v>
      </c>
      <c r="D28" s="52" t="str">
        <f ca="1">VLOOKUP($A28,OFFSET([1]characters!$A$1,0,0,COUNTA([1]characters!$A:$A),MATCH(D$1,[1]characters!$1:$1,0)-MATCH($A$1,[1]characters!$1:$1,0)+1),MATCH(D$1,[1]characters!$1:$1,0)-MATCH($A$1,[1]characters!$1:$1,0)+1,FALSE)</f>
        <v>執行者</v>
      </c>
      <c r="E28" s="52" t="str">
        <f ca="1">VLOOKUP($A28,OFFSET([1]characters!$A$1,0,0,COUNTA([1]characters!$A:$A),MATCH(E$1,[1]characters!$1:$1,0)-MATCH($A$1,[1]characters!$1:$1,0)+1),MATCH(E$1,[1]characters!$1:$1,0)-MATCH($A$1,[1]characters!$1:$1,0)+1,FALSE)</f>
        <v>格好いい</v>
      </c>
      <c r="F28" s="52" t="str">
        <f ca="1">VLOOKUP($A28,OFFSET([1]characters!$A$1,0,0,COUNTA([1]characters!$A:$A),MATCH(F$1,[1]characters!$1:$1,0)-MATCH($A$1,[1]characters!$1:$1,0)+1),MATCH(F$1,[1]characters!$1:$1,0)-MATCH($A$1,[1]characters!$1:$1,0)+1,FALSE)</f>
        <v>男性</v>
      </c>
      <c r="G28" s="52">
        <f ca="1">VLOOKUP($A28,OFFSET([1]characters!$A$1,0,0,COUNTA([1]characters!$A:$A),MATCH(G$1,[1]characters!$1:$1,0)-MATCH($A$1,[1]characters!$1:$1,0)+1),MATCH(G$1,[1]characters!$1:$1,0)-MATCH($A$1,[1]characters!$1:$1,0)+1,FALSE)</f>
        <v>6</v>
      </c>
      <c r="H28" s="52" t="str">
        <f ca="1">VLOOKUP($A28,OFFSET([1]characters!$A$1,0,0,COUNTA([1]characters!$A:$A),MATCH(H$1,[1]characters!$1:$1,0)-MATCH($A$1,[1]characters!$1:$1,0)+1),MATCH(H$1,[1]characters!$1:$1,0)-MATCH($A$1,[1]characters!$1:$1,0)+1,FALSE)</f>
        <v>PremiumSSS</v>
      </c>
      <c r="I28" s="52" t="str">
        <f ca="1">VLOOKUP($A28,OFFSET([1]characters!$A$1,0,0,COUNTA([1]characters!$A:$A),MATCH(I$1,[1]characters!$1:$1,0)-MATCH($A$1,[1]characters!$1:$1,0)+1),MATCH(I$1,[1]characters!$1:$1,0)-MATCH($A$1,[1]characters!$1:$1,0)+1,FALSE)</f>
        <v>yellow</v>
      </c>
      <c r="J28" s="52" t="str">
        <f ca="1">VLOOKUP($A28,OFFSET([1]characters!$A$1,0,0,COUNTA([1]characters!$A:$A),MATCH(J$1,[1]characters!$1:$1,0)-MATCH($A$1,[1]characters!$1:$1,0)+1),MATCH(J$1,[1]characters!$1:$1,0)-MATCH($A$1,[1]characters!$1:$1,0)+1,FALSE)</f>
        <v>machine</v>
      </c>
      <c r="K28" s="5" t="str">
        <f ca="1">VLOOKUP(J28,[1]character_tribe_i18n!$A:$H,3,FALSE)</f>
        <v>マシン</v>
      </c>
      <c r="L28" s="10" t="e">
        <f>VLOOKUP(#REF!,[1]character_tribe_i18n!$A:$H,4,FALSE)</f>
        <v>#REF!</v>
      </c>
      <c r="M28" s="10" t="e">
        <f>VLOOKUP(#REF!,[1]character_tribe_i18n!$A:$H,5,FALSE)</f>
        <v>#REF!</v>
      </c>
      <c r="N28" s="10" t="e">
        <f>VLOOKUP(#REF!,[1]character_tribe_i18n!$A:$H,6,FALSE)</f>
        <v>#REF!</v>
      </c>
      <c r="O28" s="10" t="e">
        <f>VLOOKUP(#REF!,[1]character_tribe_i18n!$A:$H,7,FALSE)</f>
        <v>#REF!</v>
      </c>
      <c r="P28" s="175" t="str">
        <f>VLOOKUP(Q28,[1]characters!$A:$AC,20)</f>
        <v>normal</v>
      </c>
      <c r="Q28" s="186">
        <v>1108</v>
      </c>
      <c r="R28" s="57" t="str">
        <f ca="1">IF(Q28="NULL","",VLOOKUP($Q28,OFFSET([1]characters!$A$1,0,0,COUNTA([1]characters!$A:$A),MATCH(R$1,[1]characters!$1:$1,0)-MATCH($A$1,[1]characters!$1:$1,0)+1),MATCH(R$1,[1]characters!$1:$1,0)-MATCH($A$1,[1]characters!$1:$1,0)+1,FALSE))</f>
        <v>交鏡の光波 フレネル</v>
      </c>
      <c r="S28" s="5">
        <f t="shared" ca="1" si="0"/>
        <v>874</v>
      </c>
      <c r="T28" s="57" t="str">
        <f ca="1">VLOOKUP($S28,OFFSET([1]characters!$A$1,0,0,COUNTA([1]characters!$A:$A),MATCH(T$1,[1]characters!$1:$1,0)-MATCH($A$1,[1]characters!$1:$1,0)+1),MATCH(T$1,[1]characters!$1:$1,0)-MATCH($A$1,[1]characters!$1:$1,0)+1,FALSE)</f>
        <v>フレネル</v>
      </c>
      <c r="U28" s="10">
        <f ca="1">IF(Q28="NULL","NULL",VLOOKUP(G28,[2]ビット!$A$2:$B$7,2))</f>
        <v>200000</v>
      </c>
    </row>
    <row r="29" spans="1:21" ht="21" customHeight="1" x14ac:dyDescent="0.15">
      <c r="A29" s="190">
        <v>1108</v>
      </c>
      <c r="B29" s="52" t="str">
        <f ca="1">VLOOKUP($A29,OFFSET([1]characters!$A$1,0,0,COUNTA([1]characters!$A:$A),MATCH(B$1,[1]characters!$1:$1,0)-MATCH($A$1,[1]characters!$1:$1,0)+1),MATCH(B$1,[1]characters!$1:$1,0)-MATCH($A$1,[1]characters!$1:$1,0)+1,FALSE)</f>
        <v>交鏡の光波 フレネル</v>
      </c>
      <c r="C29" s="52" t="str">
        <f ca="1">VLOOKUP($A29,OFFSET([1]characters!$A$1,0,0,COUNTA([1]characters!$A:$A),MATCH(C$1,[1]characters!$1:$1,0)-MATCH($A$1,[1]characters!$1:$1,0)+1),MATCH(C$1,[1]characters!$1:$1,0)-MATCH($A$1,[1]characters!$1:$1,0)+1,FALSE)</f>
        <v>未定</v>
      </c>
      <c r="D29" s="52" t="str">
        <f ca="1">VLOOKUP($A29,OFFSET([1]characters!$A$1,0,0,COUNTA([1]characters!$A:$A),MATCH(D$1,[1]characters!$1:$1,0)-MATCH($A$1,[1]characters!$1:$1,0)+1),MATCH(D$1,[1]characters!$1:$1,0)-MATCH($A$1,[1]characters!$1:$1,0)+1,FALSE)</f>
        <v>アリス</v>
      </c>
      <c r="E29" s="52" t="str">
        <f ca="1">VLOOKUP($A29,OFFSET([1]characters!$A$1,0,0,COUNTA([1]characters!$A:$A),MATCH(E$1,[1]characters!$1:$1,0)-MATCH($A$1,[1]characters!$1:$1,0)+1),MATCH(E$1,[1]characters!$1:$1,0)-MATCH($A$1,[1]characters!$1:$1,0)+1,FALSE)</f>
        <v>世界観</v>
      </c>
      <c r="F29" s="52" t="str">
        <f ca="1">VLOOKUP($A29,OFFSET([1]characters!$A$1,0,0,COUNTA([1]characters!$A:$A),MATCH(F$1,[1]characters!$1:$1,0)-MATCH($A$1,[1]characters!$1:$1,0)+1),MATCH(F$1,[1]characters!$1:$1,0)-MATCH($A$1,[1]characters!$1:$1,0)+1,FALSE)</f>
        <v>不明</v>
      </c>
      <c r="G29" s="52">
        <f ca="1">VLOOKUP($A29,OFFSET([1]characters!$A$1,0,0,COUNTA([1]characters!$A:$A),MATCH(G$1,[1]characters!$1:$1,0)-MATCH($A$1,[1]characters!$1:$1,0)+1),MATCH(G$1,[1]characters!$1:$1,0)-MATCH($A$1,[1]characters!$1:$1,0)+1,FALSE)</f>
        <v>6</v>
      </c>
      <c r="H29" s="52" t="str">
        <f ca="1">VLOOKUP($A29,OFFSET([1]characters!$A$1,0,0,COUNTA([1]characters!$A:$A),MATCH(H$1,[1]characters!$1:$1,0)-MATCH($A$1,[1]characters!$1:$1,0)+1),MATCH(H$1,[1]characters!$1:$1,0)-MATCH($A$1,[1]characters!$1:$1,0)+1,FALSE)</f>
        <v>PremiumSSS</v>
      </c>
      <c r="I29" s="52" t="str">
        <f ca="1">VLOOKUP($A29,OFFSET([1]characters!$A$1,0,0,COUNTA([1]characters!$A:$A),MATCH(I$1,[1]characters!$1:$1,0)-MATCH($A$1,[1]characters!$1:$1,0)+1),MATCH(I$1,[1]characters!$1:$1,0)-MATCH($A$1,[1]characters!$1:$1,0)+1,FALSE)</f>
        <v>yellow</v>
      </c>
      <c r="J29" s="52" t="str">
        <f ca="1">VLOOKUP($A29,OFFSET([1]characters!$A$1,0,0,COUNTA([1]characters!$A:$A),MATCH(J$1,[1]characters!$1:$1,0)-MATCH($A$1,[1]characters!$1:$1,0)+1),MATCH(J$1,[1]characters!$1:$1,0)-MATCH($A$1,[1]characters!$1:$1,0)+1,FALSE)</f>
        <v>machine</v>
      </c>
      <c r="K29" s="5" t="str">
        <f ca="1">VLOOKUP(J29,[1]character_tribe_i18n!$A:$H,3,FALSE)</f>
        <v>マシン</v>
      </c>
      <c r="L29" s="10" t="e">
        <f>VLOOKUP(#REF!,[1]character_tribe_i18n!$A:$H,4,FALSE)</f>
        <v>#REF!</v>
      </c>
      <c r="M29" s="10" t="e">
        <f>VLOOKUP(#REF!,[1]character_tribe_i18n!$A:$H,5,FALSE)</f>
        <v>#REF!</v>
      </c>
      <c r="N29" s="10" t="e">
        <f>VLOOKUP(#REF!,[1]character_tribe_i18n!$A:$H,6,FALSE)</f>
        <v>#REF!</v>
      </c>
      <c r="O29" s="10" t="e">
        <f>VLOOKUP(#REF!,[1]character_tribe_i18n!$A:$H,7,FALSE)</f>
        <v>#REF!</v>
      </c>
      <c r="P29" s="175" t="str">
        <f>VLOOKUP(Q29,[1]characters!$A:$AC,20)</f>
        <v>normal</v>
      </c>
      <c r="Q29" s="186">
        <v>875</v>
      </c>
      <c r="R29" s="57" t="str">
        <f ca="1">IF(Q29="NULL","",VLOOKUP($Q29,OFFSET([1]characters!$A$1,0,0,COUNTA([1]characters!$A:$A),MATCH(R$1,[1]characters!$1:$1,0)-MATCH($A$1,[1]characters!$1:$1,0)+1),MATCH(R$1,[1]characters!$1:$1,0)-MATCH($A$1,[1]characters!$1:$1,0)+1,FALSE))</f>
        <v>覇導の光跡 フレネル</v>
      </c>
      <c r="S29" s="5">
        <f t="shared" ca="1" si="0"/>
        <v>874</v>
      </c>
      <c r="T29" s="57" t="str">
        <f ca="1">VLOOKUP($S29,OFFSET([1]characters!$A$1,0,0,COUNTA([1]characters!$A:$A),MATCH(T$1,[1]characters!$1:$1,0)-MATCH($A$1,[1]characters!$1:$1,0)+1),MATCH(T$1,[1]characters!$1:$1,0)-MATCH($A$1,[1]characters!$1:$1,0)+1,FALSE)</f>
        <v>フレネル</v>
      </c>
      <c r="U29" s="10">
        <f ca="1">IF(Q29="NULL","NULL",VLOOKUP(G29,[2]ビット!$A$2:$B$7,2))</f>
        <v>200000</v>
      </c>
    </row>
    <row r="30" spans="1:21" ht="21" customHeight="1" x14ac:dyDescent="0.15">
      <c r="A30" s="190">
        <v>1076</v>
      </c>
      <c r="B30" s="52" t="str">
        <f ca="1">VLOOKUP($A30,OFFSET([1]characters!$A$1,0,0,COUNTA([1]characters!$A:$A),MATCH(B$1,[1]characters!$1:$1,0)-MATCH($A$1,[1]characters!$1:$1,0)+1),MATCH(B$1,[1]characters!$1:$1,0)-MATCH($A$1,[1]characters!$1:$1,0)+1,FALSE)</f>
        <v>パレート</v>
      </c>
      <c r="C30" s="52" t="str">
        <f ca="1">VLOOKUP($A30,OFFSET([1]characters!$A$1,0,0,COUNTA([1]characters!$A:$A),MATCH(C$1,[1]characters!$1:$1,0)-MATCH($A$1,[1]characters!$1:$1,0)+1),MATCH(C$1,[1]characters!$1:$1,0)-MATCH($A$1,[1]characters!$1:$1,0)+1,FALSE)</f>
        <v>イザナミ_分岐</v>
      </c>
      <c r="D30" s="52" t="str">
        <f ca="1">VLOOKUP($A30,OFFSET([1]characters!$A$1,0,0,COUNTA([1]characters!$A:$A),MATCH(D$1,[1]characters!$1:$1,0)-MATCH($A$1,[1]characters!$1:$1,0)+1),MATCH(D$1,[1]characters!$1:$1,0)-MATCH($A$1,[1]characters!$1:$1,0)+1,FALSE)</f>
        <v>執行者</v>
      </c>
      <c r="E30" s="52" t="str">
        <f ca="1">VLOOKUP($A30,OFFSET([1]characters!$A$1,0,0,COUNTA([1]characters!$A:$A),MATCH(E$1,[1]characters!$1:$1,0)-MATCH($A$1,[1]characters!$1:$1,0)+1),MATCH(E$1,[1]characters!$1:$1,0)-MATCH($A$1,[1]characters!$1:$1,0)+1,FALSE)</f>
        <v>格好いい</v>
      </c>
      <c r="F30" s="52" t="str">
        <f ca="1">VLOOKUP($A30,OFFSET([1]characters!$A$1,0,0,COUNTA([1]characters!$A:$A),MATCH(F$1,[1]characters!$1:$1,0)-MATCH($A$1,[1]characters!$1:$1,0)+1),MATCH(F$1,[1]characters!$1:$1,0)-MATCH($A$1,[1]characters!$1:$1,0)+1,FALSE)</f>
        <v>男性</v>
      </c>
      <c r="G30" s="52">
        <f ca="1">VLOOKUP($A30,OFFSET([1]characters!$A$1,0,0,COUNTA([1]characters!$A:$A),MATCH(G$1,[1]characters!$1:$1,0)-MATCH($A$1,[1]characters!$1:$1,0)+1),MATCH(G$1,[1]characters!$1:$1,0)-MATCH($A$1,[1]characters!$1:$1,0)+1,FALSE)</f>
        <v>5</v>
      </c>
      <c r="H30" s="52" t="str">
        <f ca="1">VLOOKUP($A30,OFFSET([1]characters!$A$1,0,0,COUNTA([1]characters!$A:$A),MATCH(H$1,[1]characters!$1:$1,0)-MATCH($A$1,[1]characters!$1:$1,0)+1),MATCH(H$1,[1]characters!$1:$1,0)-MATCH($A$1,[1]characters!$1:$1,0)+1,FALSE)</f>
        <v>PremiumSSS</v>
      </c>
      <c r="I30" s="52" t="str">
        <f ca="1">VLOOKUP($A30,OFFSET([1]characters!$A$1,0,0,COUNTA([1]characters!$A:$A),MATCH(I$1,[1]characters!$1:$1,0)-MATCH($A$1,[1]characters!$1:$1,0)+1),MATCH(I$1,[1]characters!$1:$1,0)-MATCH($A$1,[1]characters!$1:$1,0)+1,FALSE)</f>
        <v>green</v>
      </c>
      <c r="J30" s="52" t="str">
        <f ca="1">VLOOKUP($A30,OFFSET([1]characters!$A$1,0,0,COUNTA([1]characters!$A:$A),MATCH(J$1,[1]characters!$1:$1,0)-MATCH($A$1,[1]characters!$1:$1,0)+1),MATCH(J$1,[1]characters!$1:$1,0)-MATCH($A$1,[1]characters!$1:$1,0)+1,FALSE)</f>
        <v>unknown</v>
      </c>
      <c r="K30" s="5" t="str">
        <f ca="1">VLOOKUP(J30,[1]character_tribe_i18n!$A:$H,3,FALSE)</f>
        <v>Unknown</v>
      </c>
      <c r="L30" s="10" t="e">
        <f>VLOOKUP(#REF!,[1]character_tribe_i18n!$A:$H,4,FALSE)</f>
        <v>#REF!</v>
      </c>
      <c r="M30" s="10" t="e">
        <f>VLOOKUP(#REF!,[1]character_tribe_i18n!$A:$H,5,FALSE)</f>
        <v>#REF!</v>
      </c>
      <c r="N30" s="10" t="e">
        <f>VLOOKUP(#REF!,[1]character_tribe_i18n!$A:$H,6,FALSE)</f>
        <v>#REF!</v>
      </c>
      <c r="O30" s="10" t="e">
        <f>VLOOKUP(#REF!,[1]character_tribe_i18n!$A:$H,7,FALSE)</f>
        <v>#REF!</v>
      </c>
      <c r="P30" s="175" t="str">
        <f>VLOOKUP(Q30,[1]characters!$A:$AC,20)</f>
        <v>super</v>
      </c>
      <c r="Q30" s="186">
        <v>1078</v>
      </c>
      <c r="R30" s="57" t="str">
        <f ca="1">IF(Q30="NULL","",VLOOKUP($Q30,OFFSET([1]characters!$A$1,0,0,COUNTA([1]characters!$A:$A),MATCH(R$1,[1]characters!$1:$1,0)-MATCH($A$1,[1]characters!$1:$1,0)+1),MATCH(R$1,[1]characters!$1:$1,0)-MATCH($A$1,[1]characters!$1:$1,0)+1,FALSE))</f>
        <v>合奏の飛論理 パレート</v>
      </c>
      <c r="S30" s="5">
        <f t="shared" ref="S30:S32" ca="1" si="1">IF(ISNA(MATCH(A30,Q:Q,0)),A30,INDIRECT(ADDRESS(MATCH(A30,Q:Q,0),COLUMN())))</f>
        <v>1076</v>
      </c>
      <c r="T30" s="57" t="str">
        <f ca="1">VLOOKUP($S30,OFFSET([1]characters!$A$1,0,0,COUNTA([1]characters!$A:$A),MATCH(T$1,[1]characters!$1:$1,0)-MATCH($A$1,[1]characters!$1:$1,0)+1),MATCH(T$1,[1]characters!$1:$1,0)-MATCH($A$1,[1]characters!$1:$1,0)+1,FALSE)</f>
        <v>パレート</v>
      </c>
      <c r="U30" s="10">
        <f ca="1">IF(Q30="NULL","NULL",VLOOKUP(G30,[2]ビット!$A$2:$B$7,2))</f>
        <v>200000</v>
      </c>
    </row>
    <row r="31" spans="1:21" ht="21" customHeight="1" x14ac:dyDescent="0.15">
      <c r="A31" s="190">
        <v>1077</v>
      </c>
      <c r="B31" s="52" t="str">
        <f ca="1">VLOOKUP($A31,OFFSET([1]characters!$A$1,0,0,COUNTA([1]characters!$A:$A),MATCH(B$1,[1]characters!$1:$1,0)-MATCH($A$1,[1]characters!$1:$1,0)+1),MATCH(B$1,[1]characters!$1:$1,0)-MATCH($A$1,[1]characters!$1:$1,0)+1,FALSE)</f>
        <v>彩適な幸詠隊 パレート</v>
      </c>
      <c r="C31" s="52" t="str">
        <f ca="1">VLOOKUP($A31,OFFSET([1]characters!$A$1,0,0,COUNTA([1]characters!$A:$A),MATCH(C$1,[1]characters!$1:$1,0)-MATCH($A$1,[1]characters!$1:$1,0)+1),MATCH(C$1,[1]characters!$1:$1,0)-MATCH($A$1,[1]characters!$1:$1,0)+1,FALSE)</f>
        <v>イザナミ_分岐</v>
      </c>
      <c r="D31" s="52" t="str">
        <f ca="1">VLOOKUP($A31,OFFSET([1]characters!$A$1,0,0,COUNTA([1]characters!$A:$A),MATCH(D$1,[1]characters!$1:$1,0)-MATCH($A$1,[1]characters!$1:$1,0)+1),MATCH(D$1,[1]characters!$1:$1,0)-MATCH($A$1,[1]characters!$1:$1,0)+1,FALSE)</f>
        <v>執行者</v>
      </c>
      <c r="E31" s="52" t="str">
        <f ca="1">VLOOKUP($A31,OFFSET([1]characters!$A$1,0,0,COUNTA([1]characters!$A:$A),MATCH(E$1,[1]characters!$1:$1,0)-MATCH($A$1,[1]characters!$1:$1,0)+1),MATCH(E$1,[1]characters!$1:$1,0)-MATCH($A$1,[1]characters!$1:$1,0)+1,FALSE)</f>
        <v>格好いい</v>
      </c>
      <c r="F31" s="52" t="str">
        <f ca="1">VLOOKUP($A31,OFFSET([1]characters!$A$1,0,0,COUNTA([1]characters!$A:$A),MATCH(F$1,[1]characters!$1:$1,0)-MATCH($A$1,[1]characters!$1:$1,0)+1),MATCH(F$1,[1]characters!$1:$1,0)-MATCH($A$1,[1]characters!$1:$1,0)+1,FALSE)</f>
        <v>男性</v>
      </c>
      <c r="G31" s="52">
        <f ca="1">VLOOKUP($A31,OFFSET([1]characters!$A$1,0,0,COUNTA([1]characters!$A:$A),MATCH(G$1,[1]characters!$1:$1,0)-MATCH($A$1,[1]characters!$1:$1,0)+1),MATCH(G$1,[1]characters!$1:$1,0)-MATCH($A$1,[1]characters!$1:$1,0)+1,FALSE)</f>
        <v>6</v>
      </c>
      <c r="H31" s="52" t="str">
        <f ca="1">VLOOKUP($A31,OFFSET([1]characters!$A$1,0,0,COUNTA([1]characters!$A:$A),MATCH(H$1,[1]characters!$1:$1,0)-MATCH($A$1,[1]characters!$1:$1,0)+1),MATCH(H$1,[1]characters!$1:$1,0)-MATCH($A$1,[1]characters!$1:$1,0)+1,FALSE)</f>
        <v>PremiumSSS</v>
      </c>
      <c r="I31" s="52" t="str">
        <f ca="1">VLOOKUP($A31,OFFSET([1]characters!$A$1,0,0,COUNTA([1]characters!$A:$A),MATCH(I$1,[1]characters!$1:$1,0)-MATCH($A$1,[1]characters!$1:$1,0)+1),MATCH(I$1,[1]characters!$1:$1,0)-MATCH($A$1,[1]characters!$1:$1,0)+1,FALSE)</f>
        <v>green</v>
      </c>
      <c r="J31" s="52" t="str">
        <f ca="1">VLOOKUP($A31,OFFSET([1]characters!$A$1,0,0,COUNTA([1]characters!$A:$A),MATCH(J$1,[1]characters!$1:$1,0)-MATCH($A$1,[1]characters!$1:$1,0)+1),MATCH(J$1,[1]characters!$1:$1,0)-MATCH($A$1,[1]characters!$1:$1,0)+1,FALSE)</f>
        <v>unknown</v>
      </c>
      <c r="K31" s="5" t="str">
        <f ca="1">VLOOKUP(J31,[1]character_tribe_i18n!$A:$H,3,FALSE)</f>
        <v>Unknown</v>
      </c>
      <c r="L31" s="10" t="e">
        <f>VLOOKUP(#REF!,[1]character_tribe_i18n!$A:$H,4,FALSE)</f>
        <v>#REF!</v>
      </c>
      <c r="M31" s="10" t="e">
        <f>VLOOKUP(#REF!,[1]character_tribe_i18n!$A:$H,5,FALSE)</f>
        <v>#REF!</v>
      </c>
      <c r="N31" s="10" t="e">
        <f>VLOOKUP(#REF!,[1]character_tribe_i18n!$A:$H,6,FALSE)</f>
        <v>#REF!</v>
      </c>
      <c r="O31" s="10" t="e">
        <f>VLOOKUP(#REF!,[1]character_tribe_i18n!$A:$H,7,FALSE)</f>
        <v>#REF!</v>
      </c>
      <c r="P31" s="175" t="str">
        <f>VLOOKUP(Q31,[1]characters!$A:$AC,20)</f>
        <v>super</v>
      </c>
      <c r="Q31" s="186">
        <v>1078</v>
      </c>
      <c r="R31" s="57" t="str">
        <f ca="1">IF(Q31="NULL","",VLOOKUP($Q31,OFFSET([1]characters!$A$1,0,0,COUNTA([1]characters!$A:$A),MATCH(R$1,[1]characters!$1:$1,0)-MATCH($A$1,[1]characters!$1:$1,0)+1),MATCH(R$1,[1]characters!$1:$1,0)-MATCH($A$1,[1]characters!$1:$1,0)+1,FALSE))</f>
        <v>合奏の飛論理 パレート</v>
      </c>
      <c r="S31" s="5">
        <f t="shared" ca="1" si="1"/>
        <v>1076</v>
      </c>
      <c r="T31" s="57" t="str">
        <f ca="1">VLOOKUP($S31,OFFSET([1]characters!$A$1,0,0,COUNTA([1]characters!$A:$A),MATCH(T$1,[1]characters!$1:$1,0)-MATCH($A$1,[1]characters!$1:$1,0)+1),MATCH(T$1,[1]characters!$1:$1,0)-MATCH($A$1,[1]characters!$1:$1,0)+1,FALSE)</f>
        <v>パレート</v>
      </c>
      <c r="U31" s="10">
        <f ca="1">IF(Q31="NULL","NULL",VLOOKUP(G31,[2]ビット!$A$2:$B$7,2))</f>
        <v>200000</v>
      </c>
    </row>
    <row r="32" spans="1:21" ht="21" customHeight="1" x14ac:dyDescent="0.15">
      <c r="A32" s="190">
        <v>1078</v>
      </c>
      <c r="B32" s="52" t="str">
        <f ca="1">VLOOKUP($A32,OFFSET([1]characters!$A$1,0,0,COUNTA([1]characters!$A:$A),MATCH(B$1,[1]characters!$1:$1,0)-MATCH($A$1,[1]characters!$1:$1,0)+1),MATCH(B$1,[1]characters!$1:$1,0)-MATCH($A$1,[1]characters!$1:$1,0)+1,FALSE)</f>
        <v>合奏の飛論理 パレート</v>
      </c>
      <c r="C32" s="52" t="str">
        <f ca="1">VLOOKUP($A32,OFFSET([1]characters!$A$1,0,0,COUNTA([1]characters!$A:$A),MATCH(C$1,[1]characters!$1:$1,0)-MATCH($A$1,[1]characters!$1:$1,0)+1),MATCH(C$1,[1]characters!$1:$1,0)-MATCH($A$1,[1]characters!$1:$1,0)+1,FALSE)</f>
        <v>イザナミ_分岐</v>
      </c>
      <c r="D32" s="52" t="str">
        <f ca="1">VLOOKUP($A32,OFFSET([1]characters!$A$1,0,0,COUNTA([1]characters!$A:$A),MATCH(D$1,[1]characters!$1:$1,0)-MATCH($A$1,[1]characters!$1:$1,0)+1),MATCH(D$1,[1]characters!$1:$1,0)-MATCH($A$1,[1]characters!$1:$1,0)+1,FALSE)</f>
        <v>執行者</v>
      </c>
      <c r="E32" s="52" t="str">
        <f ca="1">VLOOKUP($A32,OFFSET([1]characters!$A$1,0,0,COUNTA([1]characters!$A:$A),MATCH(E$1,[1]characters!$1:$1,0)-MATCH($A$1,[1]characters!$1:$1,0)+1),MATCH(E$1,[1]characters!$1:$1,0)-MATCH($A$1,[1]characters!$1:$1,0)+1,FALSE)</f>
        <v>格好いい</v>
      </c>
      <c r="F32" s="52" t="str">
        <f ca="1">VLOOKUP($A32,OFFSET([1]characters!$A$1,0,0,COUNTA([1]characters!$A:$A),MATCH(F$1,[1]characters!$1:$1,0)-MATCH($A$1,[1]characters!$1:$1,0)+1),MATCH(F$1,[1]characters!$1:$1,0)-MATCH($A$1,[1]characters!$1:$1,0)+1,FALSE)</f>
        <v>男性</v>
      </c>
      <c r="G32" s="52">
        <f ca="1">VLOOKUP($A32,OFFSET([1]characters!$A$1,0,0,COUNTA([1]characters!$A:$A),MATCH(G$1,[1]characters!$1:$1,0)-MATCH($A$1,[1]characters!$1:$1,0)+1),MATCH(G$1,[1]characters!$1:$1,0)-MATCH($A$1,[1]characters!$1:$1,0)+1,FALSE)</f>
        <v>6</v>
      </c>
      <c r="H32" s="52" t="str">
        <f ca="1">VLOOKUP($A32,OFFSET([1]characters!$A$1,0,0,COUNTA([1]characters!$A:$A),MATCH(H$1,[1]characters!$1:$1,0)-MATCH($A$1,[1]characters!$1:$1,0)+1),MATCH(H$1,[1]characters!$1:$1,0)-MATCH($A$1,[1]characters!$1:$1,0)+1,FALSE)</f>
        <v>PremiumSSS</v>
      </c>
      <c r="I32" s="52" t="str">
        <f ca="1">VLOOKUP($A32,OFFSET([1]characters!$A$1,0,0,COUNTA([1]characters!$A:$A),MATCH(I$1,[1]characters!$1:$1,0)-MATCH($A$1,[1]characters!$1:$1,0)+1),MATCH(I$1,[1]characters!$1:$1,0)-MATCH($A$1,[1]characters!$1:$1,0)+1,FALSE)</f>
        <v>green</v>
      </c>
      <c r="J32" s="52" t="str">
        <f ca="1">VLOOKUP($A32,OFFSET([1]characters!$A$1,0,0,COUNTA([1]characters!$A:$A),MATCH(J$1,[1]characters!$1:$1,0)-MATCH($A$1,[1]characters!$1:$1,0)+1),MATCH(J$1,[1]characters!$1:$1,0)-MATCH($A$1,[1]characters!$1:$1,0)+1,FALSE)</f>
        <v>fantasy</v>
      </c>
      <c r="K32" s="5" t="str">
        <f ca="1">VLOOKUP(J32,[1]character_tribe_i18n!$A:$H,3,FALSE)</f>
        <v>ファンタジー</v>
      </c>
      <c r="L32" s="10" t="e">
        <f>VLOOKUP(#REF!,[1]character_tribe_i18n!$A:$H,4,FALSE)</f>
        <v>#REF!</v>
      </c>
      <c r="M32" s="10" t="e">
        <f>VLOOKUP(#REF!,[1]character_tribe_i18n!$A:$H,5,FALSE)</f>
        <v>#REF!</v>
      </c>
      <c r="N32" s="10" t="e">
        <f>VLOOKUP(#REF!,[1]character_tribe_i18n!$A:$H,6,FALSE)</f>
        <v>#REF!</v>
      </c>
      <c r="O32" s="10" t="e">
        <f>VLOOKUP(#REF!,[1]character_tribe_i18n!$A:$H,7,FALSE)</f>
        <v>#REF!</v>
      </c>
      <c r="P32" s="175" t="str">
        <f>VLOOKUP(Q32,[1]characters!$A:$AC,20)</f>
        <v>normal</v>
      </c>
      <c r="Q32" s="186">
        <v>1077</v>
      </c>
      <c r="R32" s="57" t="str">
        <f ca="1">IF(Q32="NULL","",VLOOKUP($Q32,OFFSET([1]characters!$A$1,0,0,COUNTA([1]characters!$A:$A),MATCH(R$1,[1]characters!$1:$1,0)-MATCH($A$1,[1]characters!$1:$1,0)+1),MATCH(R$1,[1]characters!$1:$1,0)-MATCH($A$1,[1]characters!$1:$1,0)+1,FALSE))</f>
        <v>彩適な幸詠隊 パレート</v>
      </c>
      <c r="S32" s="5">
        <f t="shared" ca="1" si="1"/>
        <v>1076</v>
      </c>
      <c r="T32" s="57" t="str">
        <f ca="1">VLOOKUP($S32,OFFSET([1]characters!$A$1,0,0,COUNTA([1]characters!$A:$A),MATCH(T$1,[1]characters!$1:$1,0)-MATCH($A$1,[1]characters!$1:$1,0)+1),MATCH(T$1,[1]characters!$1:$1,0)-MATCH($A$1,[1]characters!$1:$1,0)+1,FALSE)</f>
        <v>パレート</v>
      </c>
      <c r="U32" s="10">
        <f ca="1">IF(Q32="NULL","NULL",VLOOKUP(G32,[2]ビット!$A$2:$B$7,2))</f>
        <v>200000</v>
      </c>
    </row>
  </sheetData>
  <autoFilter ref="A1:U2"/>
  <phoneticPr fontId="22"/>
  <conditionalFormatting sqref="W1:W2 W33:W1048576">
    <cfRule type="cellIs" dxfId="52" priority="45" operator="equal">
      <formula>"FALSE"</formula>
    </cfRule>
  </conditionalFormatting>
  <conditionalFormatting sqref="W3:W4">
    <cfRule type="cellIs" dxfId="51" priority="39" operator="equal">
      <formula>"FALSE"</formula>
    </cfRule>
  </conditionalFormatting>
  <conditionalFormatting sqref="W5">
    <cfRule type="cellIs" dxfId="50" priority="35" operator="equal">
      <formula>"FALSE"</formula>
    </cfRule>
  </conditionalFormatting>
  <conditionalFormatting sqref="W6:W7">
    <cfRule type="cellIs" dxfId="49" priority="34" operator="equal">
      <formula>"FALSE"</formula>
    </cfRule>
  </conditionalFormatting>
  <conditionalFormatting sqref="W9">
    <cfRule type="cellIs" dxfId="48" priority="31" operator="equal">
      <formula>"FALSE"</formula>
    </cfRule>
  </conditionalFormatting>
  <conditionalFormatting sqref="W10">
    <cfRule type="cellIs" dxfId="47" priority="30" operator="equal">
      <formula>"FALSE"</formula>
    </cfRule>
  </conditionalFormatting>
  <conditionalFormatting sqref="W8">
    <cfRule type="cellIs" dxfId="46" priority="29" operator="equal">
      <formula>"FALSE"</formula>
    </cfRule>
  </conditionalFormatting>
  <conditionalFormatting sqref="W12">
    <cfRule type="cellIs" dxfId="45" priority="28" operator="equal">
      <formula>"FALSE"</formula>
    </cfRule>
  </conditionalFormatting>
  <conditionalFormatting sqref="W13">
    <cfRule type="cellIs" dxfId="44" priority="27" operator="equal">
      <formula>"FALSE"</formula>
    </cfRule>
  </conditionalFormatting>
  <conditionalFormatting sqref="W11">
    <cfRule type="cellIs" dxfId="43" priority="26" operator="equal">
      <formula>"FALSE"</formula>
    </cfRule>
  </conditionalFormatting>
  <conditionalFormatting sqref="W15">
    <cfRule type="cellIs" dxfId="42" priority="25" operator="equal">
      <formula>"FALSE"</formula>
    </cfRule>
  </conditionalFormatting>
  <conditionalFormatting sqref="W16">
    <cfRule type="cellIs" dxfId="41" priority="24" operator="equal">
      <formula>"FALSE"</formula>
    </cfRule>
  </conditionalFormatting>
  <conditionalFormatting sqref="W14">
    <cfRule type="cellIs" dxfId="40" priority="23" operator="equal">
      <formula>"FALSE"</formula>
    </cfRule>
  </conditionalFormatting>
  <conditionalFormatting sqref="W17">
    <cfRule type="cellIs" dxfId="39" priority="22" operator="equal">
      <formula>"FALSE"</formula>
    </cfRule>
  </conditionalFormatting>
  <conditionalFormatting sqref="W18">
    <cfRule type="cellIs" dxfId="38" priority="21" operator="equal">
      <formula>"FALSE"</formula>
    </cfRule>
  </conditionalFormatting>
  <conditionalFormatting sqref="W19">
    <cfRule type="cellIs" dxfId="37" priority="20" operator="equal">
      <formula>"FALSE"</formula>
    </cfRule>
  </conditionalFormatting>
  <conditionalFormatting sqref="W20">
    <cfRule type="cellIs" dxfId="36" priority="19" operator="equal">
      <formula>"FALSE"</formula>
    </cfRule>
  </conditionalFormatting>
  <conditionalFormatting sqref="W22">
    <cfRule type="cellIs" dxfId="35" priority="18" operator="equal">
      <formula>"FALSE"</formula>
    </cfRule>
  </conditionalFormatting>
  <conditionalFormatting sqref="W23">
    <cfRule type="cellIs" dxfId="34" priority="17" operator="equal">
      <formula>"FALSE"</formula>
    </cfRule>
  </conditionalFormatting>
  <conditionalFormatting sqref="W21">
    <cfRule type="cellIs" dxfId="33" priority="16" operator="equal">
      <formula>"FALSE"</formula>
    </cfRule>
  </conditionalFormatting>
  <conditionalFormatting sqref="W24">
    <cfRule type="cellIs" dxfId="32" priority="15" operator="equal">
      <formula>"FALSE"</formula>
    </cfRule>
  </conditionalFormatting>
  <conditionalFormatting sqref="W25">
    <cfRule type="cellIs" dxfId="31" priority="14" operator="equal">
      <formula>"FALSE"</formula>
    </cfRule>
  </conditionalFormatting>
  <conditionalFormatting sqref="W26">
    <cfRule type="cellIs" dxfId="30" priority="13" operator="equal">
      <formula>"FALSE"</formula>
    </cfRule>
  </conditionalFormatting>
  <conditionalFormatting sqref="W27">
    <cfRule type="cellIs" dxfId="29" priority="12" operator="equal">
      <formula>"FALSE"</formula>
    </cfRule>
  </conditionalFormatting>
  <conditionalFormatting sqref="W28">
    <cfRule type="cellIs" dxfId="28" priority="11" operator="equal">
      <formula>"FALSE"</formula>
    </cfRule>
  </conditionalFormatting>
  <conditionalFormatting sqref="W29">
    <cfRule type="cellIs" dxfId="27" priority="10" operator="equal">
      <formula>"FALSE"</formula>
    </cfRule>
  </conditionalFormatting>
  <conditionalFormatting sqref="W31">
    <cfRule type="cellIs" dxfId="26" priority="3" operator="equal">
      <formula>"FALSE"</formula>
    </cfRule>
  </conditionalFormatting>
  <conditionalFormatting sqref="W32">
    <cfRule type="cellIs" dxfId="25" priority="2" operator="equal">
      <formula>"FALSE"</formula>
    </cfRule>
  </conditionalFormatting>
  <conditionalFormatting sqref="W30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85"/>
  <sheetViews>
    <sheetView showGridLines="0" workbookViewId="0">
      <pane ySplit="1" topLeftCell="A78" activePane="bottomLeft" state="frozen"/>
      <selection pane="bottomLeft" activeCell="J59" sqref="J59:J61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0" t="s">
        <v>99</v>
      </c>
      <c r="B1" s="38" t="s">
        <v>38</v>
      </c>
      <c r="C1" s="176" t="s">
        <v>283</v>
      </c>
      <c r="D1" s="18" t="s">
        <v>40</v>
      </c>
      <c r="E1" s="18" t="s">
        <v>42</v>
      </c>
      <c r="F1" s="18" t="s">
        <v>43</v>
      </c>
      <c r="G1" s="176" t="s">
        <v>284</v>
      </c>
      <c r="H1" s="18" t="s">
        <v>40</v>
      </c>
      <c r="I1" s="39" t="s">
        <v>36</v>
      </c>
      <c r="J1" s="18" t="s">
        <v>41</v>
      </c>
      <c r="K1" s="17" t="s">
        <v>37</v>
      </c>
      <c r="L1" s="178" t="s">
        <v>127</v>
      </c>
      <c r="M1" s="179" t="s">
        <v>286</v>
      </c>
    </row>
    <row r="2" spans="1:14" ht="21" customHeight="1" x14ac:dyDescent="0.15">
      <c r="A2" s="60" t="str">
        <f t="shared" ref="A2:A9" si="0">B2&amp;"_"&amp;I2</f>
        <v>488_314</v>
      </c>
      <c r="B2" s="194">
        <v>488</v>
      </c>
      <c r="C2" s="177">
        <f t="shared" ref="C2:C9" si="1">B2</f>
        <v>488</v>
      </c>
      <c r="D2" s="52" t="str">
        <f ca="1">VLOOKUP($C2,OFFSET([1]characters!$A$1,0,0,COUNTA([1]characters!$A:$A),MATCH(D$1,[1]characters!$1:$1,0)-MATCH($C$1,[1]characters!$1:$1,0)+1),MATCH(D$1,[1]characters!$1:$1,0)-MATCH($C$1,[1]characters!$1:$1,0)+1,FALSE)</f>
        <v>直観の異論 ヘンペル</v>
      </c>
      <c r="E2" s="52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2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4">
        <v>1127</v>
      </c>
      <c r="H2" s="52" t="str">
        <f ca="1">VLOOKUP($G2,OFFSET([1]characters!$A$1,0,0,COUNTA([1]characters!$A:$A),MATCH(H$1,[1]characters!$1:$1,0)-MATCH($C$1,[1]characters!$1:$1,0)+1),MATCH(H$1,[1]characters!$1:$1,0)-MATCH($C$1,[1]characters!$1:$1,0)+1,FALSE)</f>
        <v>真蒼導く対偶 ヘンペル</v>
      </c>
      <c r="I2" s="193">
        <v>314</v>
      </c>
      <c r="J2" s="52" t="str">
        <f ca="1">VLOOKUP($I2,OFFSET([1]characters!$A$1,0,0,COUNTA([1]characters!$A:$A),MATCH(J$1,[1]characters!$1:$1,0)-MATCH($C$1,[1]characters!$1:$1,0)+1),MATCH(J$1,[1]characters!$1:$1,0)-MATCH($C$1,[1]characters!$1:$1,0)+1,FALSE)</f>
        <v>ジャンヌ</v>
      </c>
      <c r="K2" s="191">
        <v>1</v>
      </c>
      <c r="L2" s="192">
        <v>1</v>
      </c>
      <c r="M2" s="192">
        <v>100</v>
      </c>
      <c r="N2" s="2" t="s">
        <v>285</v>
      </c>
    </row>
    <row r="3" spans="1:14" ht="21" customHeight="1" x14ac:dyDescent="0.15">
      <c r="A3" s="60" t="str">
        <f t="shared" si="0"/>
        <v>488_272</v>
      </c>
      <c r="B3" s="194">
        <v>488</v>
      </c>
      <c r="C3" s="177">
        <f t="shared" si="1"/>
        <v>488</v>
      </c>
      <c r="D3" s="52" t="str">
        <f ca="1">VLOOKUP($C3,OFFSET([1]characters!$A$1,0,0,COUNTA([1]characters!$A:$A),MATCH(D$1,[1]characters!$1:$1,0)-MATCH($C$1,[1]characters!$1:$1,0)+1),MATCH(D$1,[1]characters!$1:$1,0)-MATCH($C$1,[1]characters!$1:$1,0)+1,FALSE)</f>
        <v>直観の異論 ヘンペル</v>
      </c>
      <c r="E3" s="52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2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4">
        <v>1127</v>
      </c>
      <c r="H3" s="52" t="str">
        <f ca="1">VLOOKUP($G3,OFFSET([1]characters!$A$1,0,0,COUNTA([1]characters!$A:$A),MATCH(H$1,[1]characters!$1:$1,0)-MATCH($C$1,[1]characters!$1:$1,0)+1),MATCH(H$1,[1]characters!$1:$1,0)-MATCH($C$1,[1]characters!$1:$1,0)+1,FALSE)</f>
        <v>真蒼導く対偶 ヘンペル</v>
      </c>
      <c r="I3" s="193">
        <v>272</v>
      </c>
      <c r="J3" s="52" t="str">
        <f ca="1">VLOOKUP($I3,OFFSET([1]characters!$A$1,0,0,COUNTA([1]characters!$A:$A),MATCH(J$1,[1]characters!$1:$1,0)-MATCH($C$1,[1]characters!$1:$1,0)+1),MATCH(J$1,[1]characters!$1:$1,0)-MATCH($C$1,[1]characters!$1:$1,0)+1,FALSE)</f>
        <v>魔札のシルベール</v>
      </c>
      <c r="K3" s="191">
        <v>1</v>
      </c>
      <c r="L3" s="192">
        <v>3</v>
      </c>
      <c r="M3" s="192">
        <v>100</v>
      </c>
      <c r="N3" s="2" t="s">
        <v>285</v>
      </c>
    </row>
    <row r="4" spans="1:14" ht="21" customHeight="1" x14ac:dyDescent="0.15">
      <c r="A4" s="60" t="str">
        <f t="shared" si="0"/>
        <v>488_891</v>
      </c>
      <c r="B4" s="194">
        <v>488</v>
      </c>
      <c r="C4" s="177">
        <f t="shared" si="1"/>
        <v>488</v>
      </c>
      <c r="D4" s="52" t="str">
        <f ca="1">VLOOKUP($C4,OFFSET([1]characters!$A$1,0,0,COUNTA([1]characters!$A:$A),MATCH(D$1,[1]characters!$1:$1,0)-MATCH($C$1,[1]characters!$1:$1,0)+1),MATCH(D$1,[1]characters!$1:$1,0)-MATCH($C$1,[1]characters!$1:$1,0)+1,FALSE)</f>
        <v>直観の異論 ヘンペル</v>
      </c>
      <c r="E4" s="52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2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4">
        <v>1127</v>
      </c>
      <c r="H4" s="52" t="str">
        <f ca="1">VLOOKUP($G4,OFFSET([1]characters!$A$1,0,0,COUNTA([1]characters!$A:$A),MATCH(H$1,[1]characters!$1:$1,0)-MATCH($C$1,[1]characters!$1:$1,0)+1),MATCH(H$1,[1]characters!$1:$1,0)-MATCH($C$1,[1]characters!$1:$1,0)+1,FALSE)</f>
        <v>真蒼導く対偶 ヘンペル</v>
      </c>
      <c r="I4" s="193">
        <v>891</v>
      </c>
      <c r="J4" s="52" t="str">
        <f ca="1">VLOOKUP($I4,OFFSET([1]characters!$A$1,0,0,COUNTA([1]characters!$A:$A),MATCH(J$1,[1]characters!$1:$1,0)-MATCH($C$1,[1]characters!$1:$1,0)+1),MATCH(J$1,[1]characters!$1:$1,0)-MATCH($C$1,[1]characters!$1:$1,0)+1,FALSE)</f>
        <v>コルキス</v>
      </c>
      <c r="K4" s="191">
        <v>1</v>
      </c>
      <c r="L4" s="192">
        <v>3</v>
      </c>
      <c r="M4" s="192">
        <v>100</v>
      </c>
      <c r="N4" s="2" t="s">
        <v>285</v>
      </c>
    </row>
    <row r="5" spans="1:14" ht="21" customHeight="1" x14ac:dyDescent="0.15">
      <c r="A5" s="60" t="str">
        <f t="shared" si="0"/>
        <v>800_272</v>
      </c>
      <c r="B5" s="194">
        <v>800</v>
      </c>
      <c r="C5" s="177">
        <f t="shared" si="1"/>
        <v>800</v>
      </c>
      <c r="D5" s="52" t="str">
        <f ca="1">VLOOKUP($C5,OFFSET([1]characters!$A$1,0,0,COUNTA([1]characters!$A:$A),MATCH(D$1,[1]characters!$1:$1,0)-MATCH($C$1,[1]characters!$1:$1,0)+1),MATCH(D$1,[1]characters!$1:$1,0)-MATCH($C$1,[1]characters!$1:$1,0)+1,FALSE)</f>
        <v>蒼穹包む命題 ヘンペル</v>
      </c>
      <c r="E5" s="52">
        <f ca="1">VLOOKUP($C5,OFFSET([1]characters!$A$1,0,0,COUNTA([1]characters!$A:$A),MATCH(E$1,[1]characters!$1:$1,0)-MATCH($C$1,[1]characters!$1:$1,0)+1),MATCH(E$1,[1]characters!$1:$1,0)-MATCH($C$1,[1]characters!$1:$1,0)+1,FALSE)</f>
        <v>6</v>
      </c>
      <c r="F5" s="52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4">
        <v>1127</v>
      </c>
      <c r="H5" s="52" t="str">
        <f ca="1">VLOOKUP($G5,OFFSET([1]characters!$A$1,0,0,COUNTA([1]characters!$A:$A),MATCH(H$1,[1]characters!$1:$1,0)-MATCH($C$1,[1]characters!$1:$1,0)+1),MATCH(H$1,[1]characters!$1:$1,0)-MATCH($C$1,[1]characters!$1:$1,0)+1,FALSE)</f>
        <v>真蒼導く対偶 ヘンペル</v>
      </c>
      <c r="I5" s="193">
        <v>272</v>
      </c>
      <c r="J5" s="52" t="str">
        <f ca="1">VLOOKUP($I5,OFFSET([1]characters!$A$1,0,0,COUNTA([1]characters!$A:$A),MATCH(J$1,[1]characters!$1:$1,0)-MATCH($C$1,[1]characters!$1:$1,0)+1),MATCH(J$1,[1]characters!$1:$1,0)-MATCH($C$1,[1]characters!$1:$1,0)+1,FALSE)</f>
        <v>魔札のシルベール</v>
      </c>
      <c r="K5" s="191">
        <v>1</v>
      </c>
      <c r="L5" s="192">
        <v>2</v>
      </c>
      <c r="M5" s="192">
        <v>100</v>
      </c>
      <c r="N5" s="2" t="s">
        <v>285</v>
      </c>
    </row>
    <row r="6" spans="1:14" ht="21" customHeight="1" x14ac:dyDescent="0.15">
      <c r="A6" s="60" t="str">
        <f t="shared" si="0"/>
        <v>800_891</v>
      </c>
      <c r="B6" s="194">
        <v>800</v>
      </c>
      <c r="C6" s="177">
        <f t="shared" si="1"/>
        <v>800</v>
      </c>
      <c r="D6" s="52" t="str">
        <f ca="1">VLOOKUP($C6,OFFSET([1]characters!$A$1,0,0,COUNTA([1]characters!$A:$A),MATCH(D$1,[1]characters!$1:$1,0)-MATCH($C$1,[1]characters!$1:$1,0)+1),MATCH(D$1,[1]characters!$1:$1,0)-MATCH($C$1,[1]characters!$1:$1,0)+1,FALSE)</f>
        <v>蒼穹包む命題 ヘンペル</v>
      </c>
      <c r="E6" s="52">
        <f ca="1">VLOOKUP($C6,OFFSET([1]characters!$A$1,0,0,COUNTA([1]characters!$A:$A),MATCH(E$1,[1]characters!$1:$1,0)-MATCH($C$1,[1]characters!$1:$1,0)+1),MATCH(E$1,[1]characters!$1:$1,0)-MATCH($C$1,[1]characters!$1:$1,0)+1,FALSE)</f>
        <v>6</v>
      </c>
      <c r="F6" s="52" t="str">
        <f ca="1">VLOOKUP($C6,OFFSET([1]characters!$A$1,0,0,COUNTA([1]characters!$A:$A),MATCH(F$1,[1]characters!$1:$1,0)-MATCH($C$1,[1]characters!$1:$1,0)+1),MATCH(F$1,[1]characters!$1:$1,0)-MATCH($C$1,[1]characters!$1:$1,0)+1,FALSE)</f>
        <v>PremiumSSS</v>
      </c>
      <c r="G6" s="194">
        <v>1127</v>
      </c>
      <c r="H6" s="52" t="str">
        <f ca="1">VLOOKUP($G6,OFFSET([1]characters!$A$1,0,0,COUNTA([1]characters!$A:$A),MATCH(H$1,[1]characters!$1:$1,0)-MATCH($C$1,[1]characters!$1:$1,0)+1),MATCH(H$1,[1]characters!$1:$1,0)-MATCH($C$1,[1]characters!$1:$1,0)+1,FALSE)</f>
        <v>真蒼導く対偶 ヘンペル</v>
      </c>
      <c r="I6" s="193">
        <v>891</v>
      </c>
      <c r="J6" s="52" t="str">
        <f ca="1">VLOOKUP($I6,OFFSET([1]characters!$A$1,0,0,COUNTA([1]characters!$A:$A),MATCH(J$1,[1]characters!$1:$1,0)-MATCH($C$1,[1]characters!$1:$1,0)+1),MATCH(J$1,[1]characters!$1:$1,0)-MATCH($C$1,[1]characters!$1:$1,0)+1,FALSE)</f>
        <v>コルキス</v>
      </c>
      <c r="K6" s="191">
        <v>1</v>
      </c>
      <c r="L6" s="192">
        <v>2</v>
      </c>
      <c r="M6" s="192">
        <v>100</v>
      </c>
      <c r="N6" s="2" t="s">
        <v>285</v>
      </c>
    </row>
    <row r="7" spans="1:14" ht="21" customHeight="1" x14ac:dyDescent="0.15">
      <c r="A7" s="60" t="str">
        <f t="shared" si="0"/>
        <v>1127_110</v>
      </c>
      <c r="B7" s="194">
        <v>1127</v>
      </c>
      <c r="C7" s="177">
        <f t="shared" si="1"/>
        <v>1127</v>
      </c>
      <c r="D7" s="52" t="str">
        <f ca="1">VLOOKUP($C7,OFFSET([1]characters!$A$1,0,0,COUNTA([1]characters!$A:$A),MATCH(D$1,[1]characters!$1:$1,0)-MATCH($C$1,[1]characters!$1:$1,0)+1),MATCH(D$1,[1]characters!$1:$1,0)-MATCH($C$1,[1]characters!$1:$1,0)+1,FALSE)</f>
        <v>真蒼導く対偶 ヘンペル</v>
      </c>
      <c r="E7" s="52">
        <f ca="1">VLOOKUP($C7,OFFSET([1]characters!$A$1,0,0,COUNTA([1]characters!$A:$A),MATCH(E$1,[1]characters!$1:$1,0)-MATCH($C$1,[1]characters!$1:$1,0)+1),MATCH(E$1,[1]characters!$1:$1,0)-MATCH($C$1,[1]characters!$1:$1,0)+1,FALSE)</f>
        <v>6</v>
      </c>
      <c r="F7" s="52" t="str">
        <f ca="1">VLOOKUP($C7,OFFSET([1]characters!$A$1,0,0,COUNTA([1]characters!$A:$A),MATCH(F$1,[1]characters!$1:$1,0)-MATCH($C$1,[1]characters!$1:$1,0)+1),MATCH(F$1,[1]characters!$1:$1,0)-MATCH($C$1,[1]characters!$1:$1,0)+1,FALSE)</f>
        <v>PremiumSSS</v>
      </c>
      <c r="G7" s="194">
        <v>800</v>
      </c>
      <c r="H7" s="52" t="str">
        <f ca="1">VLOOKUP($G7,OFFSET([1]characters!$A$1,0,0,COUNTA([1]characters!$A:$A),MATCH(H$1,[1]characters!$1:$1,0)-MATCH($C$1,[1]characters!$1:$1,0)+1),MATCH(H$1,[1]characters!$1:$1,0)-MATCH($C$1,[1]characters!$1:$1,0)+1,FALSE)</f>
        <v>蒼穹包む命題 ヘンペル</v>
      </c>
      <c r="I7" s="193">
        <v>110</v>
      </c>
      <c r="J7" s="52" t="str">
        <f ca="1">VLOOKUP($I7,OFFSET([1]characters!$A$1,0,0,COUNTA([1]characters!$A:$A),MATCH(J$1,[1]characters!$1:$1,0)-MATCH($C$1,[1]characters!$1:$1,0)+1),MATCH(J$1,[1]characters!$1:$1,0)-MATCH($C$1,[1]characters!$1:$1,0)+1,FALSE)</f>
        <v>ブルーラビット</v>
      </c>
      <c r="K7" s="191">
        <v>1</v>
      </c>
      <c r="L7" s="192">
        <v>1</v>
      </c>
      <c r="M7" s="192">
        <v>10</v>
      </c>
      <c r="N7" s="2" t="s">
        <v>285</v>
      </c>
    </row>
    <row r="8" spans="1:14" ht="21" customHeight="1" x14ac:dyDescent="0.15">
      <c r="A8" s="60" t="str">
        <f t="shared" si="0"/>
        <v>1127_111</v>
      </c>
      <c r="B8" s="194">
        <v>1127</v>
      </c>
      <c r="C8" s="177">
        <f t="shared" si="1"/>
        <v>1127</v>
      </c>
      <c r="D8" s="52" t="str">
        <f ca="1">VLOOKUP($C8,OFFSET([1]characters!$A$1,0,0,COUNTA([1]characters!$A:$A),MATCH(D$1,[1]characters!$1:$1,0)-MATCH($C$1,[1]characters!$1:$1,0)+1),MATCH(D$1,[1]characters!$1:$1,0)-MATCH($C$1,[1]characters!$1:$1,0)+1,FALSE)</f>
        <v>真蒼導く対偶 ヘンペル</v>
      </c>
      <c r="E8" s="52">
        <f ca="1">VLOOKUP($C8,OFFSET([1]characters!$A$1,0,0,COUNTA([1]characters!$A:$A),MATCH(E$1,[1]characters!$1:$1,0)-MATCH($C$1,[1]characters!$1:$1,0)+1),MATCH(E$1,[1]characters!$1:$1,0)-MATCH($C$1,[1]characters!$1:$1,0)+1,FALSE)</f>
        <v>6</v>
      </c>
      <c r="F8" s="52" t="str">
        <f ca="1">VLOOKUP($C8,OFFSET([1]characters!$A$1,0,0,COUNTA([1]characters!$A:$A),MATCH(F$1,[1]characters!$1:$1,0)-MATCH($C$1,[1]characters!$1:$1,0)+1),MATCH(F$1,[1]characters!$1:$1,0)-MATCH($C$1,[1]characters!$1:$1,0)+1,FALSE)</f>
        <v>PremiumSSS</v>
      </c>
      <c r="G8" s="194">
        <v>800</v>
      </c>
      <c r="H8" s="52" t="str">
        <f ca="1">VLOOKUP($G8,OFFSET([1]characters!$A$1,0,0,COUNTA([1]characters!$A:$A),MATCH(H$1,[1]characters!$1:$1,0)-MATCH($C$1,[1]characters!$1:$1,0)+1),MATCH(H$1,[1]characters!$1:$1,0)-MATCH($C$1,[1]characters!$1:$1,0)+1,FALSE)</f>
        <v>蒼穹包む命題 ヘンペル</v>
      </c>
      <c r="I8" s="193">
        <v>111</v>
      </c>
      <c r="J8" s="52" t="str">
        <f ca="1">VLOOKUP($I8,OFFSET([1]characters!$A$1,0,0,COUNTA([1]characters!$A:$A),MATCH(J$1,[1]characters!$1:$1,0)-MATCH($C$1,[1]characters!$1:$1,0)+1),MATCH(J$1,[1]characters!$1:$1,0)-MATCH($C$1,[1]characters!$1:$1,0)+1,FALSE)</f>
        <v>ブルーキャタップ</v>
      </c>
      <c r="K8" s="191">
        <v>1</v>
      </c>
      <c r="L8" s="192">
        <v>1</v>
      </c>
      <c r="M8" s="192">
        <v>10</v>
      </c>
      <c r="N8" s="2" t="s">
        <v>285</v>
      </c>
    </row>
    <row r="9" spans="1:14" ht="21" customHeight="1" x14ac:dyDescent="0.15">
      <c r="A9" s="60" t="str">
        <f t="shared" si="0"/>
        <v>1127_112</v>
      </c>
      <c r="B9" s="194">
        <v>1127</v>
      </c>
      <c r="C9" s="177">
        <f t="shared" si="1"/>
        <v>1127</v>
      </c>
      <c r="D9" s="52" t="str">
        <f ca="1">VLOOKUP($C9,OFFSET([1]characters!$A$1,0,0,COUNTA([1]characters!$A:$A),MATCH(D$1,[1]characters!$1:$1,0)-MATCH($C$1,[1]characters!$1:$1,0)+1),MATCH(D$1,[1]characters!$1:$1,0)-MATCH($C$1,[1]characters!$1:$1,0)+1,FALSE)</f>
        <v>真蒼導く対偶 ヘンペル</v>
      </c>
      <c r="E9" s="52">
        <f ca="1">VLOOKUP($C9,OFFSET([1]characters!$A$1,0,0,COUNTA([1]characters!$A:$A),MATCH(E$1,[1]characters!$1:$1,0)-MATCH($C$1,[1]characters!$1:$1,0)+1),MATCH(E$1,[1]characters!$1:$1,0)-MATCH($C$1,[1]characters!$1:$1,0)+1,FALSE)</f>
        <v>6</v>
      </c>
      <c r="F9" s="52" t="str">
        <f ca="1">VLOOKUP($C9,OFFSET([1]characters!$A$1,0,0,COUNTA([1]characters!$A:$A),MATCH(F$1,[1]characters!$1:$1,0)-MATCH($C$1,[1]characters!$1:$1,0)+1),MATCH(F$1,[1]characters!$1:$1,0)-MATCH($C$1,[1]characters!$1:$1,0)+1,FALSE)</f>
        <v>PremiumSSS</v>
      </c>
      <c r="G9" s="194">
        <v>800</v>
      </c>
      <c r="H9" s="52" t="str">
        <f ca="1">VLOOKUP($G9,OFFSET([1]characters!$A$1,0,0,COUNTA([1]characters!$A:$A),MATCH(H$1,[1]characters!$1:$1,0)-MATCH($C$1,[1]characters!$1:$1,0)+1),MATCH(H$1,[1]characters!$1:$1,0)-MATCH($C$1,[1]characters!$1:$1,0)+1,FALSE)</f>
        <v>蒼穹包む命題 ヘンペル</v>
      </c>
      <c r="I9" s="193">
        <v>112</v>
      </c>
      <c r="J9" s="52" t="str">
        <f ca="1">VLOOKUP($I9,OFFSET([1]characters!$A$1,0,0,COUNTA([1]characters!$A:$A),MATCH(J$1,[1]characters!$1:$1,0)-MATCH($C$1,[1]characters!$1:$1,0)+1),MATCH(J$1,[1]characters!$1:$1,0)-MATCH($C$1,[1]characters!$1:$1,0)+1,FALSE)</f>
        <v>水のマッドハッター</v>
      </c>
      <c r="K9" s="191">
        <v>1</v>
      </c>
      <c r="L9" s="192">
        <v>1</v>
      </c>
      <c r="M9" s="192">
        <v>10</v>
      </c>
      <c r="N9" s="2" t="s">
        <v>285</v>
      </c>
    </row>
    <row r="10" spans="1:14" ht="21" customHeight="1" x14ac:dyDescent="0.15">
      <c r="A10" s="60" t="str">
        <f t="shared" ref="A10:A17" si="2">B10&amp;"_"&amp;I10</f>
        <v>623_1008</v>
      </c>
      <c r="B10" s="194">
        <v>623</v>
      </c>
      <c r="C10" s="177">
        <f t="shared" ref="C10:C17" si="3">B10</f>
        <v>623</v>
      </c>
      <c r="D10" s="52" t="str">
        <f ca="1">VLOOKUP($C10,OFFSET([1]characters!$A$1,0,0,COUNTA([1]characters!$A:$A),MATCH(D$1,[1]characters!$1:$1,0)-MATCH($C$1,[1]characters!$1:$1,0)+1),MATCH(D$1,[1]characters!$1:$1,0)-MATCH($C$1,[1]characters!$1:$1,0)+1,FALSE)</f>
        <v>フェルマー</v>
      </c>
      <c r="E10" s="52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2" t="str">
        <f ca="1">VLOOKUP($C10,OFFSET([1]characters!$A$1,0,0,COUNTA([1]characters!$A:$A),MATCH(F$1,[1]characters!$1:$1,0)-MATCH($C$1,[1]characters!$1:$1,0)+1),MATCH(F$1,[1]characters!$1:$1,0)-MATCH($C$1,[1]characters!$1:$1,0)+1,FALSE)</f>
        <v>PremiumSSS</v>
      </c>
      <c r="G10" s="194">
        <v>1186</v>
      </c>
      <c r="H10" s="52" t="str">
        <f ca="1">VLOOKUP($G10,OFFSET([1]characters!$A$1,0,0,COUNTA([1]characters!$A:$A),MATCH(H$1,[1]characters!$1:$1,0)-MATCH($C$1,[1]characters!$1:$1,0)+1),MATCH(H$1,[1]characters!$1:$1,0)-MATCH($C$1,[1]characters!$1:$1,0)+1,FALSE)</f>
        <v>超疾の最理者 フェルマー</v>
      </c>
      <c r="I10" s="193">
        <v>1008</v>
      </c>
      <c r="J10" s="52" t="str">
        <f ca="1">VLOOKUP($I10,OFFSET([1]characters!$A$1,0,0,COUNTA([1]characters!$A:$A),MATCH(J$1,[1]characters!$1:$1,0)-MATCH($C$1,[1]characters!$1:$1,0)+1),MATCH(J$1,[1]characters!$1:$1,0)-MATCH($C$1,[1]characters!$1:$1,0)+1,FALSE)</f>
        <v>オシリス</v>
      </c>
      <c r="K10" s="191">
        <v>1</v>
      </c>
      <c r="L10" s="192">
        <v>1</v>
      </c>
      <c r="M10" s="192">
        <v>100</v>
      </c>
      <c r="N10" s="2" t="s">
        <v>285</v>
      </c>
    </row>
    <row r="11" spans="1:14" ht="21" customHeight="1" x14ac:dyDescent="0.15">
      <c r="A11" s="60" t="str">
        <f t="shared" si="2"/>
        <v>623_284</v>
      </c>
      <c r="B11" s="194">
        <v>623</v>
      </c>
      <c r="C11" s="177">
        <f t="shared" si="3"/>
        <v>623</v>
      </c>
      <c r="D11" s="52" t="str">
        <f ca="1">VLOOKUP($C11,OFFSET([1]characters!$A$1,0,0,COUNTA([1]characters!$A:$A),MATCH(D$1,[1]characters!$1:$1,0)-MATCH($C$1,[1]characters!$1:$1,0)+1),MATCH(D$1,[1]characters!$1:$1,0)-MATCH($C$1,[1]characters!$1:$1,0)+1,FALSE)</f>
        <v>フェルマー</v>
      </c>
      <c r="E11" s="52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2" t="str">
        <f ca="1">VLOOKUP($C11,OFFSET([1]characters!$A$1,0,0,COUNTA([1]characters!$A:$A),MATCH(F$1,[1]characters!$1:$1,0)-MATCH($C$1,[1]characters!$1:$1,0)+1),MATCH(F$1,[1]characters!$1:$1,0)-MATCH($C$1,[1]characters!$1:$1,0)+1,FALSE)</f>
        <v>PremiumSSS</v>
      </c>
      <c r="G11" s="194">
        <v>1186</v>
      </c>
      <c r="H11" s="52" t="str">
        <f ca="1">VLOOKUP($G11,OFFSET([1]characters!$A$1,0,0,COUNTA([1]characters!$A:$A),MATCH(H$1,[1]characters!$1:$1,0)-MATCH($C$1,[1]characters!$1:$1,0)+1),MATCH(H$1,[1]characters!$1:$1,0)-MATCH($C$1,[1]characters!$1:$1,0)+1,FALSE)</f>
        <v>超疾の最理者 フェルマー</v>
      </c>
      <c r="I11" s="193">
        <v>284</v>
      </c>
      <c r="J11" s="52" t="str">
        <f ca="1">VLOOKUP($I11,OFFSET([1]characters!$A$1,0,0,COUNTA([1]characters!$A:$A),MATCH(J$1,[1]characters!$1:$1,0)-MATCH($C$1,[1]characters!$1:$1,0)+1),MATCH(J$1,[1]characters!$1:$1,0)-MATCH($C$1,[1]characters!$1:$1,0)+1,FALSE)</f>
        <v>フェルニゲシュ</v>
      </c>
      <c r="K11" s="191">
        <v>1</v>
      </c>
      <c r="L11" s="192">
        <v>3</v>
      </c>
      <c r="M11" s="192">
        <v>100</v>
      </c>
      <c r="N11" s="2" t="s">
        <v>285</v>
      </c>
    </row>
    <row r="12" spans="1:14" ht="21" customHeight="1" x14ac:dyDescent="0.15">
      <c r="A12" s="60" t="str">
        <f t="shared" si="2"/>
        <v>623_1024</v>
      </c>
      <c r="B12" s="194">
        <v>623</v>
      </c>
      <c r="C12" s="177">
        <f t="shared" si="3"/>
        <v>623</v>
      </c>
      <c r="D12" s="52" t="str">
        <f ca="1">VLOOKUP($C12,OFFSET([1]characters!$A$1,0,0,COUNTA([1]characters!$A:$A),MATCH(D$1,[1]characters!$1:$1,0)-MATCH($C$1,[1]characters!$1:$1,0)+1),MATCH(D$1,[1]characters!$1:$1,0)-MATCH($C$1,[1]characters!$1:$1,0)+1,FALSE)</f>
        <v>フェルマー</v>
      </c>
      <c r="E12" s="52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2" t="str">
        <f ca="1">VLOOKUP($C12,OFFSET([1]characters!$A$1,0,0,COUNTA([1]characters!$A:$A),MATCH(F$1,[1]characters!$1:$1,0)-MATCH($C$1,[1]characters!$1:$1,0)+1),MATCH(F$1,[1]characters!$1:$1,0)-MATCH($C$1,[1]characters!$1:$1,0)+1,FALSE)</f>
        <v>PremiumSSS</v>
      </c>
      <c r="G12" s="194">
        <v>1186</v>
      </c>
      <c r="H12" s="52" t="str">
        <f ca="1">VLOOKUP($G12,OFFSET([1]characters!$A$1,0,0,COUNTA([1]characters!$A:$A),MATCH(H$1,[1]characters!$1:$1,0)-MATCH($C$1,[1]characters!$1:$1,0)+1),MATCH(H$1,[1]characters!$1:$1,0)-MATCH($C$1,[1]characters!$1:$1,0)+1,FALSE)</f>
        <v>超疾の最理者 フェルマー</v>
      </c>
      <c r="I12" s="193">
        <v>1024</v>
      </c>
      <c r="J12" s="52" t="str">
        <f ca="1">VLOOKUP($I12,OFFSET([1]characters!$A$1,0,0,COUNTA([1]characters!$A:$A),MATCH(J$1,[1]characters!$1:$1,0)-MATCH($C$1,[1]characters!$1:$1,0)+1),MATCH(J$1,[1]characters!$1:$1,0)-MATCH($C$1,[1]characters!$1:$1,0)+1,FALSE)</f>
        <v>武蔵坊弁慶</v>
      </c>
      <c r="K12" s="191">
        <v>1</v>
      </c>
      <c r="L12" s="192">
        <v>3</v>
      </c>
      <c r="M12" s="192">
        <v>100</v>
      </c>
      <c r="N12" s="2" t="s">
        <v>285</v>
      </c>
    </row>
    <row r="13" spans="1:14" ht="21" customHeight="1" x14ac:dyDescent="0.15">
      <c r="A13" s="60" t="str">
        <f t="shared" si="2"/>
        <v>624_284</v>
      </c>
      <c r="B13" s="194">
        <v>624</v>
      </c>
      <c r="C13" s="177">
        <f t="shared" si="3"/>
        <v>624</v>
      </c>
      <c r="D13" s="52" t="str">
        <f ca="1">VLOOKUP($C13,OFFSET([1]characters!$A$1,0,0,COUNTA([1]characters!$A:$A),MATCH(D$1,[1]characters!$1:$1,0)-MATCH($C$1,[1]characters!$1:$1,0)+1),MATCH(D$1,[1]characters!$1:$1,0)-MATCH($C$1,[1]characters!$1:$1,0)+1,FALSE)</f>
        <v>挑発の尖駆者 フェルマー</v>
      </c>
      <c r="E13" s="52">
        <f ca="1">VLOOKUP($C13,OFFSET([1]characters!$A$1,0,0,COUNTA([1]characters!$A:$A),MATCH(E$1,[1]characters!$1:$1,0)-MATCH($C$1,[1]characters!$1:$1,0)+1),MATCH(E$1,[1]characters!$1:$1,0)-MATCH($C$1,[1]characters!$1:$1,0)+1,FALSE)</f>
        <v>6</v>
      </c>
      <c r="F13" s="52" t="str">
        <f ca="1">VLOOKUP($C13,OFFSET([1]characters!$A$1,0,0,COUNTA([1]characters!$A:$A),MATCH(F$1,[1]characters!$1:$1,0)-MATCH($C$1,[1]characters!$1:$1,0)+1),MATCH(F$1,[1]characters!$1:$1,0)-MATCH($C$1,[1]characters!$1:$1,0)+1,FALSE)</f>
        <v>PremiumSSS</v>
      </c>
      <c r="G13" s="194">
        <v>1186</v>
      </c>
      <c r="H13" s="52" t="str">
        <f ca="1">VLOOKUP($G13,OFFSET([1]characters!$A$1,0,0,COUNTA([1]characters!$A:$A),MATCH(H$1,[1]characters!$1:$1,0)-MATCH($C$1,[1]characters!$1:$1,0)+1),MATCH(H$1,[1]characters!$1:$1,0)-MATCH($C$1,[1]characters!$1:$1,0)+1,FALSE)</f>
        <v>超疾の最理者 フェルマー</v>
      </c>
      <c r="I13" s="193">
        <v>284</v>
      </c>
      <c r="J13" s="52" t="str">
        <f ca="1">VLOOKUP($I13,OFFSET([1]characters!$A$1,0,0,COUNTA([1]characters!$A:$A),MATCH(J$1,[1]characters!$1:$1,0)-MATCH($C$1,[1]characters!$1:$1,0)+1),MATCH(J$1,[1]characters!$1:$1,0)-MATCH($C$1,[1]characters!$1:$1,0)+1,FALSE)</f>
        <v>フェルニゲシュ</v>
      </c>
      <c r="K13" s="191">
        <v>1</v>
      </c>
      <c r="L13" s="192">
        <v>2</v>
      </c>
      <c r="M13" s="192">
        <v>100</v>
      </c>
      <c r="N13" s="2" t="s">
        <v>285</v>
      </c>
    </row>
    <row r="14" spans="1:14" ht="21" customHeight="1" x14ac:dyDescent="0.15">
      <c r="A14" s="60" t="str">
        <f t="shared" si="2"/>
        <v>624_1024</v>
      </c>
      <c r="B14" s="194">
        <v>624</v>
      </c>
      <c r="C14" s="177">
        <f t="shared" si="3"/>
        <v>624</v>
      </c>
      <c r="D14" s="52" t="str">
        <f ca="1">VLOOKUP($C14,OFFSET([1]characters!$A$1,0,0,COUNTA([1]characters!$A:$A),MATCH(D$1,[1]characters!$1:$1,0)-MATCH($C$1,[1]characters!$1:$1,0)+1),MATCH(D$1,[1]characters!$1:$1,0)-MATCH($C$1,[1]characters!$1:$1,0)+1,FALSE)</f>
        <v>挑発の尖駆者 フェルマー</v>
      </c>
      <c r="E14" s="52">
        <f ca="1">VLOOKUP($C14,OFFSET([1]characters!$A$1,0,0,COUNTA([1]characters!$A:$A),MATCH(E$1,[1]characters!$1:$1,0)-MATCH($C$1,[1]characters!$1:$1,0)+1),MATCH(E$1,[1]characters!$1:$1,0)-MATCH($C$1,[1]characters!$1:$1,0)+1,FALSE)</f>
        <v>6</v>
      </c>
      <c r="F14" s="52" t="str">
        <f ca="1">VLOOKUP($C14,OFFSET([1]characters!$A$1,0,0,COUNTA([1]characters!$A:$A),MATCH(F$1,[1]characters!$1:$1,0)-MATCH($C$1,[1]characters!$1:$1,0)+1),MATCH(F$1,[1]characters!$1:$1,0)-MATCH($C$1,[1]characters!$1:$1,0)+1,FALSE)</f>
        <v>PremiumSSS</v>
      </c>
      <c r="G14" s="194">
        <v>1186</v>
      </c>
      <c r="H14" s="52" t="str">
        <f ca="1">VLOOKUP($G14,OFFSET([1]characters!$A$1,0,0,COUNTA([1]characters!$A:$A),MATCH(H$1,[1]characters!$1:$1,0)-MATCH($C$1,[1]characters!$1:$1,0)+1),MATCH(H$1,[1]characters!$1:$1,0)-MATCH($C$1,[1]characters!$1:$1,0)+1,FALSE)</f>
        <v>超疾の最理者 フェルマー</v>
      </c>
      <c r="I14" s="193">
        <v>1024</v>
      </c>
      <c r="J14" s="52" t="str">
        <f ca="1">VLOOKUP($I14,OFFSET([1]characters!$A$1,0,0,COUNTA([1]characters!$A:$A),MATCH(J$1,[1]characters!$1:$1,0)-MATCH($C$1,[1]characters!$1:$1,0)+1),MATCH(J$1,[1]characters!$1:$1,0)-MATCH($C$1,[1]characters!$1:$1,0)+1,FALSE)</f>
        <v>武蔵坊弁慶</v>
      </c>
      <c r="K14" s="191">
        <v>1</v>
      </c>
      <c r="L14" s="192">
        <v>2</v>
      </c>
      <c r="M14" s="192">
        <v>100</v>
      </c>
      <c r="N14" s="2" t="s">
        <v>285</v>
      </c>
    </row>
    <row r="15" spans="1:14" ht="21" customHeight="1" x14ac:dyDescent="0.15">
      <c r="A15" s="60" t="str">
        <f t="shared" si="2"/>
        <v>1186_114</v>
      </c>
      <c r="B15" s="194">
        <v>1186</v>
      </c>
      <c r="C15" s="177">
        <f t="shared" si="3"/>
        <v>1186</v>
      </c>
      <c r="D15" s="52" t="str">
        <f ca="1">VLOOKUP($C15,OFFSET([1]characters!$A$1,0,0,COUNTA([1]characters!$A:$A),MATCH(D$1,[1]characters!$1:$1,0)-MATCH($C$1,[1]characters!$1:$1,0)+1),MATCH(D$1,[1]characters!$1:$1,0)-MATCH($C$1,[1]characters!$1:$1,0)+1,FALSE)</f>
        <v>超疾の最理者 フェルマー</v>
      </c>
      <c r="E15" s="52">
        <f ca="1">VLOOKUP($C15,OFFSET([1]characters!$A$1,0,0,COUNTA([1]characters!$A:$A),MATCH(E$1,[1]characters!$1:$1,0)-MATCH($C$1,[1]characters!$1:$1,0)+1),MATCH(E$1,[1]characters!$1:$1,0)-MATCH($C$1,[1]characters!$1:$1,0)+1,FALSE)</f>
        <v>6</v>
      </c>
      <c r="F15" s="52" t="str">
        <f ca="1">VLOOKUP($C15,OFFSET([1]characters!$A$1,0,0,COUNTA([1]characters!$A:$A),MATCH(F$1,[1]characters!$1:$1,0)-MATCH($C$1,[1]characters!$1:$1,0)+1),MATCH(F$1,[1]characters!$1:$1,0)-MATCH($C$1,[1]characters!$1:$1,0)+1,FALSE)</f>
        <v>PremiumSSS</v>
      </c>
      <c r="G15" s="194">
        <v>624</v>
      </c>
      <c r="H15" s="52" t="str">
        <f ca="1">VLOOKUP($G15,OFFSET([1]characters!$A$1,0,0,COUNTA([1]characters!$A:$A),MATCH(H$1,[1]characters!$1:$1,0)-MATCH($C$1,[1]characters!$1:$1,0)+1),MATCH(H$1,[1]characters!$1:$1,0)-MATCH($C$1,[1]characters!$1:$1,0)+1,FALSE)</f>
        <v>挑発の尖駆者 フェルマー</v>
      </c>
      <c r="I15" s="193">
        <v>114</v>
      </c>
      <c r="J15" s="52" t="str">
        <f ca="1">VLOOKUP($I15,OFFSET([1]characters!$A$1,0,0,COUNTA([1]characters!$A:$A),MATCH(J$1,[1]characters!$1:$1,0)-MATCH($C$1,[1]characters!$1:$1,0)+1),MATCH(J$1,[1]characters!$1:$1,0)-MATCH($C$1,[1]characters!$1:$1,0)+1,FALSE)</f>
        <v>イエローラビット</v>
      </c>
      <c r="K15" s="191">
        <v>1</v>
      </c>
      <c r="L15" s="192">
        <v>1</v>
      </c>
      <c r="M15" s="192">
        <v>10</v>
      </c>
      <c r="N15" s="2" t="s">
        <v>285</v>
      </c>
    </row>
    <row r="16" spans="1:14" ht="21" customHeight="1" x14ac:dyDescent="0.15">
      <c r="A16" s="60" t="str">
        <f t="shared" si="2"/>
        <v>1186_115</v>
      </c>
      <c r="B16" s="194">
        <v>1186</v>
      </c>
      <c r="C16" s="177">
        <f t="shared" si="3"/>
        <v>1186</v>
      </c>
      <c r="D16" s="52" t="str">
        <f ca="1">VLOOKUP($C16,OFFSET([1]characters!$A$1,0,0,COUNTA([1]characters!$A:$A),MATCH(D$1,[1]characters!$1:$1,0)-MATCH($C$1,[1]characters!$1:$1,0)+1),MATCH(D$1,[1]characters!$1:$1,0)-MATCH($C$1,[1]characters!$1:$1,0)+1,FALSE)</f>
        <v>超疾の最理者 フェルマー</v>
      </c>
      <c r="E16" s="52">
        <f ca="1">VLOOKUP($C16,OFFSET([1]characters!$A$1,0,0,COUNTA([1]characters!$A:$A),MATCH(E$1,[1]characters!$1:$1,0)-MATCH($C$1,[1]characters!$1:$1,0)+1),MATCH(E$1,[1]characters!$1:$1,0)-MATCH($C$1,[1]characters!$1:$1,0)+1,FALSE)</f>
        <v>6</v>
      </c>
      <c r="F16" s="52" t="str">
        <f ca="1">VLOOKUP($C16,OFFSET([1]characters!$A$1,0,0,COUNTA([1]characters!$A:$A),MATCH(F$1,[1]characters!$1:$1,0)-MATCH($C$1,[1]characters!$1:$1,0)+1),MATCH(F$1,[1]characters!$1:$1,0)-MATCH($C$1,[1]characters!$1:$1,0)+1,FALSE)</f>
        <v>PremiumSSS</v>
      </c>
      <c r="G16" s="194">
        <v>624</v>
      </c>
      <c r="H16" s="52" t="str">
        <f ca="1">VLOOKUP($G16,OFFSET([1]characters!$A$1,0,0,COUNTA([1]characters!$A:$A),MATCH(H$1,[1]characters!$1:$1,0)-MATCH($C$1,[1]characters!$1:$1,0)+1),MATCH(H$1,[1]characters!$1:$1,0)-MATCH($C$1,[1]characters!$1:$1,0)+1,FALSE)</f>
        <v>挑発の尖駆者 フェルマー</v>
      </c>
      <c r="I16" s="193">
        <v>115</v>
      </c>
      <c r="J16" s="52" t="str">
        <f ca="1">VLOOKUP($I16,OFFSET([1]characters!$A$1,0,0,COUNTA([1]characters!$A:$A),MATCH(J$1,[1]characters!$1:$1,0)-MATCH($C$1,[1]characters!$1:$1,0)+1),MATCH(J$1,[1]characters!$1:$1,0)-MATCH($C$1,[1]characters!$1:$1,0)+1,FALSE)</f>
        <v>イエローキャタップ</v>
      </c>
      <c r="K16" s="191">
        <v>1</v>
      </c>
      <c r="L16" s="192">
        <v>1</v>
      </c>
      <c r="M16" s="192">
        <v>10</v>
      </c>
      <c r="N16" s="2" t="s">
        <v>285</v>
      </c>
    </row>
    <row r="17" spans="1:14" ht="21" customHeight="1" x14ac:dyDescent="0.15">
      <c r="A17" s="60" t="str">
        <f t="shared" si="2"/>
        <v>1186_116</v>
      </c>
      <c r="B17" s="194">
        <v>1186</v>
      </c>
      <c r="C17" s="177">
        <f t="shared" si="3"/>
        <v>1186</v>
      </c>
      <c r="D17" s="52" t="str">
        <f ca="1">VLOOKUP($C17,OFFSET([1]characters!$A$1,0,0,COUNTA([1]characters!$A:$A),MATCH(D$1,[1]characters!$1:$1,0)-MATCH($C$1,[1]characters!$1:$1,0)+1),MATCH(D$1,[1]characters!$1:$1,0)-MATCH($C$1,[1]characters!$1:$1,0)+1,FALSE)</f>
        <v>超疾の最理者 フェルマー</v>
      </c>
      <c r="E17" s="52">
        <f ca="1">VLOOKUP($C17,OFFSET([1]characters!$A$1,0,0,COUNTA([1]characters!$A:$A),MATCH(E$1,[1]characters!$1:$1,0)-MATCH($C$1,[1]characters!$1:$1,0)+1),MATCH(E$1,[1]characters!$1:$1,0)-MATCH($C$1,[1]characters!$1:$1,0)+1,FALSE)</f>
        <v>6</v>
      </c>
      <c r="F17" s="52" t="str">
        <f ca="1">VLOOKUP($C17,OFFSET([1]characters!$A$1,0,0,COUNTA([1]characters!$A:$A),MATCH(F$1,[1]characters!$1:$1,0)-MATCH($C$1,[1]characters!$1:$1,0)+1),MATCH(F$1,[1]characters!$1:$1,0)-MATCH($C$1,[1]characters!$1:$1,0)+1,FALSE)</f>
        <v>PremiumSSS</v>
      </c>
      <c r="G17" s="194">
        <v>624</v>
      </c>
      <c r="H17" s="52" t="str">
        <f ca="1">VLOOKUP($G17,OFFSET([1]characters!$A$1,0,0,COUNTA([1]characters!$A:$A),MATCH(H$1,[1]characters!$1:$1,0)-MATCH($C$1,[1]characters!$1:$1,0)+1),MATCH(H$1,[1]characters!$1:$1,0)-MATCH($C$1,[1]characters!$1:$1,0)+1,FALSE)</f>
        <v>挑発の尖駆者 フェルマー</v>
      </c>
      <c r="I17" s="193">
        <v>116</v>
      </c>
      <c r="J17" s="52" t="str">
        <f ca="1">VLOOKUP($I17,OFFSET([1]characters!$A$1,0,0,COUNTA([1]characters!$A:$A),MATCH(J$1,[1]characters!$1:$1,0)-MATCH($C$1,[1]characters!$1:$1,0)+1),MATCH(J$1,[1]characters!$1:$1,0)-MATCH($C$1,[1]characters!$1:$1,0)+1,FALSE)</f>
        <v>雷のマッドハッター</v>
      </c>
      <c r="K17" s="191">
        <v>1</v>
      </c>
      <c r="L17" s="192">
        <v>1</v>
      </c>
      <c r="M17" s="192">
        <v>10</v>
      </c>
      <c r="N17" s="2" t="s">
        <v>285</v>
      </c>
    </row>
    <row r="18" spans="1:14" ht="21" customHeight="1" x14ac:dyDescent="0.15">
      <c r="A18" s="60" t="str">
        <f t="shared" ref="A18:A20" si="4">B18&amp;"_"&amp;I18</f>
        <v>762_642</v>
      </c>
      <c r="B18" s="194">
        <v>762</v>
      </c>
      <c r="C18" s="177">
        <f t="shared" ref="C18:C20" si="5">B18</f>
        <v>762</v>
      </c>
      <c r="D18" s="52" t="str">
        <f ca="1">VLOOKUP($C18,OFFSET([1]characters!$A$1,0,0,COUNTA([1]characters!$A:$A),MATCH(D$1,[1]characters!$1:$1,0)-MATCH($C$1,[1]characters!$1:$1,0)+1),MATCH(D$1,[1]characters!$1:$1,0)-MATCH($C$1,[1]characters!$1:$1,0)+1,FALSE)</f>
        <v>フィボナッチ</v>
      </c>
      <c r="E18" s="52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2" t="str">
        <f ca="1">VLOOKUP($C18,OFFSET([1]characters!$A$1,0,0,COUNTA([1]characters!$A:$A),MATCH(F$1,[1]characters!$1:$1,0)-MATCH($C$1,[1]characters!$1:$1,0)+1),MATCH(F$1,[1]characters!$1:$1,0)-MATCH($C$1,[1]characters!$1:$1,0)+1,FALSE)</f>
        <v>PremiumSSS</v>
      </c>
      <c r="G18" s="194">
        <v>1182</v>
      </c>
      <c r="H18" s="52" t="str">
        <f ca="1">VLOOKUP($G18,OFFSET([1]characters!$A$1,0,0,COUNTA([1]characters!$A:$A),MATCH(H$1,[1]characters!$1:$1,0)-MATCH($C$1,[1]characters!$1:$1,0)+1),MATCH(H$1,[1]characters!$1:$1,0)-MATCH($C$1,[1]characters!$1:$1,0)+1,FALSE)</f>
        <v>黄金螺旋の閃鋼機 フィボナッチ</v>
      </c>
      <c r="I18" s="193">
        <v>642</v>
      </c>
      <c r="J18" s="52" t="str">
        <f ca="1">VLOOKUP($I18,OFFSET([1]characters!$A$1,0,0,COUNTA([1]characters!$A:$A),MATCH(J$1,[1]characters!$1:$1,0)-MATCH($C$1,[1]characters!$1:$1,0)+1),MATCH(J$1,[1]characters!$1:$1,0)-MATCH($C$1,[1]characters!$1:$1,0)+1,FALSE)</f>
        <v>カーマ</v>
      </c>
      <c r="K18" s="191">
        <v>1</v>
      </c>
      <c r="L18" s="192">
        <v>1</v>
      </c>
      <c r="M18" s="192">
        <v>100</v>
      </c>
      <c r="N18" s="2" t="s">
        <v>285</v>
      </c>
    </row>
    <row r="19" spans="1:14" ht="21" customHeight="1" x14ac:dyDescent="0.15">
      <c r="A19" s="60" t="str">
        <f t="shared" si="4"/>
        <v>762_1061</v>
      </c>
      <c r="B19" s="194">
        <v>762</v>
      </c>
      <c r="C19" s="177">
        <f t="shared" si="5"/>
        <v>762</v>
      </c>
      <c r="D19" s="52" t="str">
        <f ca="1">VLOOKUP($C19,OFFSET([1]characters!$A$1,0,0,COUNTA([1]characters!$A:$A),MATCH(D$1,[1]characters!$1:$1,0)-MATCH($C$1,[1]characters!$1:$1,0)+1),MATCH(D$1,[1]characters!$1:$1,0)-MATCH($C$1,[1]characters!$1:$1,0)+1,FALSE)</f>
        <v>フィボナッチ</v>
      </c>
      <c r="E19" s="52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2" t="str">
        <f ca="1">VLOOKUP($C19,OFFSET([1]characters!$A$1,0,0,COUNTA([1]characters!$A:$A),MATCH(F$1,[1]characters!$1:$1,0)-MATCH($C$1,[1]characters!$1:$1,0)+1),MATCH(F$1,[1]characters!$1:$1,0)-MATCH($C$1,[1]characters!$1:$1,0)+1,FALSE)</f>
        <v>PremiumSSS</v>
      </c>
      <c r="G19" s="194">
        <v>1182</v>
      </c>
      <c r="H19" s="52" t="str">
        <f ca="1">VLOOKUP($G19,OFFSET([1]characters!$A$1,0,0,COUNTA([1]characters!$A:$A),MATCH(H$1,[1]characters!$1:$1,0)-MATCH($C$1,[1]characters!$1:$1,0)+1),MATCH(H$1,[1]characters!$1:$1,0)-MATCH($C$1,[1]characters!$1:$1,0)+1,FALSE)</f>
        <v>黄金螺旋の閃鋼機 フィボナッチ</v>
      </c>
      <c r="I19" s="193">
        <v>1061</v>
      </c>
      <c r="J19" s="52" t="str">
        <f ca="1">VLOOKUP($I19,OFFSET([1]characters!$A$1,0,0,COUNTA([1]characters!$A:$A),MATCH(J$1,[1]characters!$1:$1,0)-MATCH($C$1,[1]characters!$1:$1,0)+1),MATCH(J$1,[1]characters!$1:$1,0)-MATCH($C$1,[1]characters!$1:$1,0)+1,FALSE)</f>
        <v>フンババ</v>
      </c>
      <c r="K19" s="191">
        <v>1</v>
      </c>
      <c r="L19" s="192">
        <v>3</v>
      </c>
      <c r="M19" s="192">
        <v>100</v>
      </c>
      <c r="N19" s="2" t="s">
        <v>285</v>
      </c>
    </row>
    <row r="20" spans="1:14" ht="21" customHeight="1" x14ac:dyDescent="0.15">
      <c r="A20" s="60" t="str">
        <f t="shared" si="4"/>
        <v>762_656</v>
      </c>
      <c r="B20" s="194">
        <v>762</v>
      </c>
      <c r="C20" s="177">
        <f t="shared" si="5"/>
        <v>762</v>
      </c>
      <c r="D20" s="52" t="str">
        <f ca="1">VLOOKUP($C20,OFFSET([1]characters!$A$1,0,0,COUNTA([1]characters!$A:$A),MATCH(D$1,[1]characters!$1:$1,0)-MATCH($C$1,[1]characters!$1:$1,0)+1),MATCH(D$1,[1]characters!$1:$1,0)-MATCH($C$1,[1]characters!$1:$1,0)+1,FALSE)</f>
        <v>フィボナッチ</v>
      </c>
      <c r="E20" s="52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2" t="str">
        <f ca="1">VLOOKUP($C20,OFFSET([1]characters!$A$1,0,0,COUNTA([1]characters!$A:$A),MATCH(F$1,[1]characters!$1:$1,0)-MATCH($C$1,[1]characters!$1:$1,0)+1),MATCH(F$1,[1]characters!$1:$1,0)-MATCH($C$1,[1]characters!$1:$1,0)+1,FALSE)</f>
        <v>PremiumSSS</v>
      </c>
      <c r="G20" s="194">
        <v>1182</v>
      </c>
      <c r="H20" s="52" t="str">
        <f ca="1">VLOOKUP($G20,OFFSET([1]characters!$A$1,0,0,COUNTA([1]characters!$A:$A),MATCH(H$1,[1]characters!$1:$1,0)-MATCH($C$1,[1]characters!$1:$1,0)+1),MATCH(H$1,[1]characters!$1:$1,0)-MATCH($C$1,[1]characters!$1:$1,0)+1,FALSE)</f>
        <v>黄金螺旋の閃鋼機 フィボナッチ</v>
      </c>
      <c r="I20" s="193">
        <v>656</v>
      </c>
      <c r="J20" s="52" t="str">
        <f ca="1">VLOOKUP($I20,OFFSET([1]characters!$A$1,0,0,COUNTA([1]characters!$A:$A),MATCH(J$1,[1]characters!$1:$1,0)-MATCH($C$1,[1]characters!$1:$1,0)+1),MATCH(J$1,[1]characters!$1:$1,0)-MATCH($C$1,[1]characters!$1:$1,0)+1,FALSE)</f>
        <v>シヴァ</v>
      </c>
      <c r="K20" s="191">
        <v>1</v>
      </c>
      <c r="L20" s="192">
        <v>3</v>
      </c>
      <c r="M20" s="192">
        <v>100</v>
      </c>
      <c r="N20" s="2" t="s">
        <v>285</v>
      </c>
    </row>
    <row r="21" spans="1:14" ht="21" customHeight="1" x14ac:dyDescent="0.15">
      <c r="A21" s="60" t="str">
        <f t="shared" ref="A21:A23" si="6">B21&amp;"_"&amp;I21</f>
        <v>763_1061</v>
      </c>
      <c r="B21" s="194">
        <v>763</v>
      </c>
      <c r="C21" s="177">
        <f t="shared" ref="C21:C23" si="7">B21</f>
        <v>763</v>
      </c>
      <c r="D21" s="52" t="str">
        <f ca="1">VLOOKUP($C21,OFFSET([1]characters!$A$1,0,0,COUNTA([1]characters!$A:$A),MATCH(D$1,[1]characters!$1:$1,0)-MATCH($C$1,[1]characters!$1:$1,0)+1),MATCH(D$1,[1]characters!$1:$1,0)-MATCH($C$1,[1]characters!$1:$1,0)+1,FALSE)</f>
        <v>螺旋の皇魂比 フィボナッチ</v>
      </c>
      <c r="E21" s="52">
        <f ca="1">VLOOKUP($C21,OFFSET([1]characters!$A$1,0,0,COUNTA([1]characters!$A:$A),MATCH(E$1,[1]characters!$1:$1,0)-MATCH($C$1,[1]characters!$1:$1,0)+1),MATCH(E$1,[1]characters!$1:$1,0)-MATCH($C$1,[1]characters!$1:$1,0)+1,FALSE)</f>
        <v>6</v>
      </c>
      <c r="F21" s="52" t="str">
        <f ca="1">VLOOKUP($C21,OFFSET([1]characters!$A$1,0,0,COUNTA([1]characters!$A:$A),MATCH(F$1,[1]characters!$1:$1,0)-MATCH($C$1,[1]characters!$1:$1,0)+1),MATCH(F$1,[1]characters!$1:$1,0)-MATCH($C$1,[1]characters!$1:$1,0)+1,FALSE)</f>
        <v>PremiumSSS</v>
      </c>
      <c r="G21" s="194">
        <v>1182</v>
      </c>
      <c r="H21" s="52" t="str">
        <f ca="1">VLOOKUP($G21,OFFSET([1]characters!$A$1,0,0,COUNTA([1]characters!$A:$A),MATCH(H$1,[1]characters!$1:$1,0)-MATCH($C$1,[1]characters!$1:$1,0)+1),MATCH(H$1,[1]characters!$1:$1,0)-MATCH($C$1,[1]characters!$1:$1,0)+1,FALSE)</f>
        <v>黄金螺旋の閃鋼機 フィボナッチ</v>
      </c>
      <c r="I21" s="193">
        <v>1061</v>
      </c>
      <c r="J21" s="52" t="str">
        <f ca="1">VLOOKUP($I21,OFFSET([1]characters!$A$1,0,0,COUNTA([1]characters!$A:$A),MATCH(J$1,[1]characters!$1:$1,0)-MATCH($C$1,[1]characters!$1:$1,0)+1),MATCH(J$1,[1]characters!$1:$1,0)-MATCH($C$1,[1]characters!$1:$1,0)+1,FALSE)</f>
        <v>フンババ</v>
      </c>
      <c r="K21" s="191">
        <v>1</v>
      </c>
      <c r="L21" s="192">
        <v>2</v>
      </c>
      <c r="M21" s="192">
        <v>100</v>
      </c>
      <c r="N21" s="2" t="s">
        <v>285</v>
      </c>
    </row>
    <row r="22" spans="1:14" ht="21" customHeight="1" x14ac:dyDescent="0.15">
      <c r="A22" s="60" t="str">
        <f t="shared" si="6"/>
        <v>763_656</v>
      </c>
      <c r="B22" s="194">
        <v>763</v>
      </c>
      <c r="C22" s="177">
        <f t="shared" si="7"/>
        <v>763</v>
      </c>
      <c r="D22" s="52" t="str">
        <f ca="1">VLOOKUP($C22,OFFSET([1]characters!$A$1,0,0,COUNTA([1]characters!$A:$A),MATCH(D$1,[1]characters!$1:$1,0)-MATCH($C$1,[1]characters!$1:$1,0)+1),MATCH(D$1,[1]characters!$1:$1,0)-MATCH($C$1,[1]characters!$1:$1,0)+1,FALSE)</f>
        <v>螺旋の皇魂比 フィボナッチ</v>
      </c>
      <c r="E22" s="52">
        <f ca="1">VLOOKUP($C22,OFFSET([1]characters!$A$1,0,0,COUNTA([1]characters!$A:$A),MATCH(E$1,[1]characters!$1:$1,0)-MATCH($C$1,[1]characters!$1:$1,0)+1),MATCH(E$1,[1]characters!$1:$1,0)-MATCH($C$1,[1]characters!$1:$1,0)+1,FALSE)</f>
        <v>6</v>
      </c>
      <c r="F22" s="52" t="str">
        <f ca="1">VLOOKUP($C22,OFFSET([1]characters!$A$1,0,0,COUNTA([1]characters!$A:$A),MATCH(F$1,[1]characters!$1:$1,0)-MATCH($C$1,[1]characters!$1:$1,0)+1),MATCH(F$1,[1]characters!$1:$1,0)-MATCH($C$1,[1]characters!$1:$1,0)+1,FALSE)</f>
        <v>PremiumSSS</v>
      </c>
      <c r="G22" s="194">
        <v>1182</v>
      </c>
      <c r="H22" s="52" t="str">
        <f ca="1">VLOOKUP($G22,OFFSET([1]characters!$A$1,0,0,COUNTA([1]characters!$A:$A),MATCH(H$1,[1]characters!$1:$1,0)-MATCH($C$1,[1]characters!$1:$1,0)+1),MATCH(H$1,[1]characters!$1:$1,0)-MATCH($C$1,[1]characters!$1:$1,0)+1,FALSE)</f>
        <v>黄金螺旋の閃鋼機 フィボナッチ</v>
      </c>
      <c r="I22" s="193">
        <v>656</v>
      </c>
      <c r="J22" s="52" t="str">
        <f ca="1">VLOOKUP($I22,OFFSET([1]characters!$A$1,0,0,COUNTA([1]characters!$A:$A),MATCH(J$1,[1]characters!$1:$1,0)-MATCH($C$1,[1]characters!$1:$1,0)+1),MATCH(J$1,[1]characters!$1:$1,0)-MATCH($C$1,[1]characters!$1:$1,0)+1,FALSE)</f>
        <v>シヴァ</v>
      </c>
      <c r="K22" s="191">
        <v>1</v>
      </c>
      <c r="L22" s="192">
        <v>2</v>
      </c>
      <c r="M22" s="192">
        <v>100</v>
      </c>
      <c r="N22" s="2" t="s">
        <v>285</v>
      </c>
    </row>
    <row r="23" spans="1:14" ht="21" customHeight="1" x14ac:dyDescent="0.15">
      <c r="A23" s="60" t="str">
        <f t="shared" si="6"/>
        <v>1182_110</v>
      </c>
      <c r="B23" s="194">
        <v>1182</v>
      </c>
      <c r="C23" s="177">
        <f t="shared" si="7"/>
        <v>1182</v>
      </c>
      <c r="D23" s="52" t="str">
        <f ca="1">VLOOKUP($C23,OFFSET([1]characters!$A$1,0,0,COUNTA([1]characters!$A:$A),MATCH(D$1,[1]characters!$1:$1,0)-MATCH($C$1,[1]characters!$1:$1,0)+1),MATCH(D$1,[1]characters!$1:$1,0)-MATCH($C$1,[1]characters!$1:$1,0)+1,FALSE)</f>
        <v>黄金螺旋の閃鋼機 フィボナッチ</v>
      </c>
      <c r="E23" s="52">
        <f ca="1">VLOOKUP($C23,OFFSET([1]characters!$A$1,0,0,COUNTA([1]characters!$A:$A),MATCH(E$1,[1]characters!$1:$1,0)-MATCH($C$1,[1]characters!$1:$1,0)+1),MATCH(E$1,[1]characters!$1:$1,0)-MATCH($C$1,[1]characters!$1:$1,0)+1,FALSE)</f>
        <v>6</v>
      </c>
      <c r="F23" s="52" t="str">
        <f ca="1">VLOOKUP($C23,OFFSET([1]characters!$A$1,0,0,COUNTA([1]characters!$A:$A),MATCH(F$1,[1]characters!$1:$1,0)-MATCH($C$1,[1]characters!$1:$1,0)+1),MATCH(F$1,[1]characters!$1:$1,0)-MATCH($C$1,[1]characters!$1:$1,0)+1,FALSE)</f>
        <v>PremiumSSS</v>
      </c>
      <c r="G23" s="194">
        <v>763</v>
      </c>
      <c r="H23" s="52" t="str">
        <f ca="1">VLOOKUP($G23,OFFSET([1]characters!$A$1,0,0,COUNTA([1]characters!$A:$A),MATCH(H$1,[1]characters!$1:$1,0)-MATCH($C$1,[1]characters!$1:$1,0)+1),MATCH(H$1,[1]characters!$1:$1,0)-MATCH($C$1,[1]characters!$1:$1,0)+1,FALSE)</f>
        <v>螺旋の皇魂比 フィボナッチ</v>
      </c>
      <c r="I23" s="193">
        <v>110</v>
      </c>
      <c r="J23" s="52" t="str">
        <f ca="1">VLOOKUP($I23,OFFSET([1]characters!$A$1,0,0,COUNTA([1]characters!$A:$A),MATCH(J$1,[1]characters!$1:$1,0)-MATCH($C$1,[1]characters!$1:$1,0)+1),MATCH(J$1,[1]characters!$1:$1,0)-MATCH($C$1,[1]characters!$1:$1,0)+1,FALSE)</f>
        <v>ブルーラビット</v>
      </c>
      <c r="K23" s="191">
        <v>1</v>
      </c>
      <c r="L23" s="192">
        <v>1</v>
      </c>
      <c r="M23" s="192">
        <v>10</v>
      </c>
      <c r="N23" s="2" t="s">
        <v>285</v>
      </c>
    </row>
    <row r="24" spans="1:14" ht="21" customHeight="1" x14ac:dyDescent="0.15">
      <c r="A24" s="60" t="str">
        <f t="shared" ref="A24:A26" si="8">B24&amp;"_"&amp;I24</f>
        <v>1182_111</v>
      </c>
      <c r="B24" s="194">
        <v>1182</v>
      </c>
      <c r="C24" s="177">
        <f t="shared" ref="C24:C26" si="9">B24</f>
        <v>1182</v>
      </c>
      <c r="D24" s="52" t="str">
        <f ca="1">VLOOKUP($C24,OFFSET([1]characters!$A$1,0,0,COUNTA([1]characters!$A:$A),MATCH(D$1,[1]characters!$1:$1,0)-MATCH($C$1,[1]characters!$1:$1,0)+1),MATCH(D$1,[1]characters!$1:$1,0)-MATCH($C$1,[1]characters!$1:$1,0)+1,FALSE)</f>
        <v>黄金螺旋の閃鋼機 フィボナッチ</v>
      </c>
      <c r="E24" s="52">
        <f ca="1">VLOOKUP($C24,OFFSET([1]characters!$A$1,0,0,COUNTA([1]characters!$A:$A),MATCH(E$1,[1]characters!$1:$1,0)-MATCH($C$1,[1]characters!$1:$1,0)+1),MATCH(E$1,[1]characters!$1:$1,0)-MATCH($C$1,[1]characters!$1:$1,0)+1,FALSE)</f>
        <v>6</v>
      </c>
      <c r="F24" s="52" t="str">
        <f ca="1">VLOOKUP($C24,OFFSET([1]characters!$A$1,0,0,COUNTA([1]characters!$A:$A),MATCH(F$1,[1]characters!$1:$1,0)-MATCH($C$1,[1]characters!$1:$1,0)+1),MATCH(F$1,[1]characters!$1:$1,0)-MATCH($C$1,[1]characters!$1:$1,0)+1,FALSE)</f>
        <v>PremiumSSS</v>
      </c>
      <c r="G24" s="194">
        <v>763</v>
      </c>
      <c r="H24" s="52" t="str">
        <f ca="1">VLOOKUP($G24,OFFSET([1]characters!$A$1,0,0,COUNTA([1]characters!$A:$A),MATCH(H$1,[1]characters!$1:$1,0)-MATCH($C$1,[1]characters!$1:$1,0)+1),MATCH(H$1,[1]characters!$1:$1,0)-MATCH($C$1,[1]characters!$1:$1,0)+1,FALSE)</f>
        <v>螺旋の皇魂比 フィボナッチ</v>
      </c>
      <c r="I24" s="193">
        <v>111</v>
      </c>
      <c r="J24" s="52" t="str">
        <f ca="1">VLOOKUP($I24,OFFSET([1]characters!$A$1,0,0,COUNTA([1]characters!$A:$A),MATCH(J$1,[1]characters!$1:$1,0)-MATCH($C$1,[1]characters!$1:$1,0)+1),MATCH(J$1,[1]characters!$1:$1,0)-MATCH($C$1,[1]characters!$1:$1,0)+1,FALSE)</f>
        <v>ブルーキャタップ</v>
      </c>
      <c r="K24" s="191">
        <v>1</v>
      </c>
      <c r="L24" s="192">
        <v>1</v>
      </c>
      <c r="M24" s="192">
        <v>10</v>
      </c>
      <c r="N24" s="2" t="s">
        <v>285</v>
      </c>
    </row>
    <row r="25" spans="1:14" ht="21" customHeight="1" x14ac:dyDescent="0.15">
      <c r="A25" s="60" t="str">
        <f t="shared" si="8"/>
        <v>1182_112</v>
      </c>
      <c r="B25" s="194">
        <v>1182</v>
      </c>
      <c r="C25" s="177">
        <f t="shared" si="9"/>
        <v>1182</v>
      </c>
      <c r="D25" s="52" t="str">
        <f ca="1">VLOOKUP($C25,OFFSET([1]characters!$A$1,0,0,COUNTA([1]characters!$A:$A),MATCH(D$1,[1]characters!$1:$1,0)-MATCH($C$1,[1]characters!$1:$1,0)+1),MATCH(D$1,[1]characters!$1:$1,0)-MATCH($C$1,[1]characters!$1:$1,0)+1,FALSE)</f>
        <v>黄金螺旋の閃鋼機 フィボナッチ</v>
      </c>
      <c r="E25" s="52">
        <f ca="1">VLOOKUP($C25,OFFSET([1]characters!$A$1,0,0,COUNTA([1]characters!$A:$A),MATCH(E$1,[1]characters!$1:$1,0)-MATCH($C$1,[1]characters!$1:$1,0)+1),MATCH(E$1,[1]characters!$1:$1,0)-MATCH($C$1,[1]characters!$1:$1,0)+1,FALSE)</f>
        <v>6</v>
      </c>
      <c r="F25" s="52" t="str">
        <f ca="1">VLOOKUP($C25,OFFSET([1]characters!$A$1,0,0,COUNTA([1]characters!$A:$A),MATCH(F$1,[1]characters!$1:$1,0)-MATCH($C$1,[1]characters!$1:$1,0)+1),MATCH(F$1,[1]characters!$1:$1,0)-MATCH($C$1,[1]characters!$1:$1,0)+1,FALSE)</f>
        <v>PremiumSSS</v>
      </c>
      <c r="G25" s="194">
        <v>763</v>
      </c>
      <c r="H25" s="52" t="str">
        <f ca="1">VLOOKUP($G25,OFFSET([1]characters!$A$1,0,0,COUNTA([1]characters!$A:$A),MATCH(H$1,[1]characters!$1:$1,0)-MATCH($C$1,[1]characters!$1:$1,0)+1),MATCH(H$1,[1]characters!$1:$1,0)-MATCH($C$1,[1]characters!$1:$1,0)+1,FALSE)</f>
        <v>螺旋の皇魂比 フィボナッチ</v>
      </c>
      <c r="I25" s="193">
        <v>112</v>
      </c>
      <c r="J25" s="52" t="str">
        <f ca="1">VLOOKUP($I25,OFFSET([1]characters!$A$1,0,0,COUNTA([1]characters!$A:$A),MATCH(J$1,[1]characters!$1:$1,0)-MATCH($C$1,[1]characters!$1:$1,0)+1),MATCH(J$1,[1]characters!$1:$1,0)-MATCH($C$1,[1]characters!$1:$1,0)+1,FALSE)</f>
        <v>水のマッドハッター</v>
      </c>
      <c r="K25" s="191">
        <v>1</v>
      </c>
      <c r="L25" s="192">
        <v>1</v>
      </c>
      <c r="M25" s="192">
        <v>10</v>
      </c>
      <c r="N25" s="2" t="s">
        <v>285</v>
      </c>
    </row>
    <row r="26" spans="1:14" ht="21" customHeight="1" x14ac:dyDescent="0.15">
      <c r="A26" s="60" t="str">
        <f t="shared" si="8"/>
        <v>750_768</v>
      </c>
      <c r="B26" s="194">
        <v>750</v>
      </c>
      <c r="C26" s="177">
        <f t="shared" si="9"/>
        <v>750</v>
      </c>
      <c r="D26" s="52" t="str">
        <f ca="1">VLOOKUP($C26,OFFSET([1]characters!$A$1,0,0,COUNTA([1]characters!$A:$A),MATCH(D$1,[1]characters!$1:$1,0)-MATCH($C$1,[1]characters!$1:$1,0)+1),MATCH(D$1,[1]characters!$1:$1,0)-MATCH($C$1,[1]characters!$1:$1,0)+1,FALSE)</f>
        <v>ポアソン</v>
      </c>
      <c r="E26" s="52">
        <f ca="1">VLOOKUP($C26,OFFSET([1]characters!$A$1,0,0,COUNTA([1]characters!$A:$A),MATCH(E$1,[1]characters!$1:$1,0)-MATCH($C$1,[1]characters!$1:$1,0)+1),MATCH(E$1,[1]characters!$1:$1,0)-MATCH($C$1,[1]characters!$1:$1,0)+1,FALSE)</f>
        <v>5</v>
      </c>
      <c r="F26" s="52" t="str">
        <f ca="1">VLOOKUP($C26,OFFSET([1]characters!$A$1,0,0,COUNTA([1]characters!$A:$A),MATCH(F$1,[1]characters!$1:$1,0)-MATCH($C$1,[1]characters!$1:$1,0)+1),MATCH(F$1,[1]characters!$1:$1,0)-MATCH($C$1,[1]characters!$1:$1,0)+1,FALSE)</f>
        <v>PremiumSSS</v>
      </c>
      <c r="G26" s="194">
        <v>1171</v>
      </c>
      <c r="H26" s="52" t="str">
        <f ca="1">VLOOKUP($G26,OFFSET([1]characters!$A$1,0,0,COUNTA([1]characters!$A:$A),MATCH(H$1,[1]characters!$1:$1,0)-MATCH($C$1,[1]characters!$1:$1,0)+1),MATCH(H$1,[1]characters!$1:$1,0)-MATCH($C$1,[1]characters!$1:$1,0)+1,FALSE)</f>
        <v>解匣する交率 ポアソン</v>
      </c>
      <c r="I26" s="193">
        <v>768</v>
      </c>
      <c r="J26" s="52" t="str">
        <f ca="1">VLOOKUP($I26,OFFSET([1]characters!$A$1,0,0,COUNTA([1]characters!$A:$A),MATCH(J$1,[1]characters!$1:$1,0)-MATCH($C$1,[1]characters!$1:$1,0)+1),MATCH(J$1,[1]characters!$1:$1,0)-MATCH($C$1,[1]characters!$1:$1,0)+1,FALSE)</f>
        <v>ガレス</v>
      </c>
      <c r="K26" s="191">
        <v>1</v>
      </c>
      <c r="L26" s="192">
        <v>1</v>
      </c>
      <c r="M26" s="192">
        <v>100</v>
      </c>
      <c r="N26" s="2" t="s">
        <v>285</v>
      </c>
    </row>
    <row r="27" spans="1:14" ht="21" customHeight="1" x14ac:dyDescent="0.15">
      <c r="A27" s="60" t="str">
        <f t="shared" ref="A27:A28" si="10">B27&amp;"_"&amp;I27</f>
        <v>750_452</v>
      </c>
      <c r="B27" s="194">
        <v>750</v>
      </c>
      <c r="C27" s="177">
        <f t="shared" ref="C27:C28" si="11">B27</f>
        <v>750</v>
      </c>
      <c r="D27" s="52" t="str">
        <f ca="1">VLOOKUP($C27,OFFSET([1]characters!$A$1,0,0,COUNTA([1]characters!$A:$A),MATCH(D$1,[1]characters!$1:$1,0)-MATCH($C$1,[1]characters!$1:$1,0)+1),MATCH(D$1,[1]characters!$1:$1,0)-MATCH($C$1,[1]characters!$1:$1,0)+1,FALSE)</f>
        <v>ポアソン</v>
      </c>
      <c r="E27" s="52">
        <f ca="1">VLOOKUP($C27,OFFSET([1]characters!$A$1,0,0,COUNTA([1]characters!$A:$A),MATCH(E$1,[1]characters!$1:$1,0)-MATCH($C$1,[1]characters!$1:$1,0)+1),MATCH(E$1,[1]characters!$1:$1,0)-MATCH($C$1,[1]characters!$1:$1,0)+1,FALSE)</f>
        <v>5</v>
      </c>
      <c r="F27" s="52" t="str">
        <f ca="1">VLOOKUP($C27,OFFSET([1]characters!$A$1,0,0,COUNTA([1]characters!$A:$A),MATCH(F$1,[1]characters!$1:$1,0)-MATCH($C$1,[1]characters!$1:$1,0)+1),MATCH(F$1,[1]characters!$1:$1,0)-MATCH($C$1,[1]characters!$1:$1,0)+1,FALSE)</f>
        <v>PremiumSSS</v>
      </c>
      <c r="G27" s="194">
        <v>1171</v>
      </c>
      <c r="H27" s="52" t="str">
        <f ca="1">VLOOKUP($G27,OFFSET([1]characters!$A$1,0,0,COUNTA([1]characters!$A:$A),MATCH(H$1,[1]characters!$1:$1,0)-MATCH($C$1,[1]characters!$1:$1,0)+1),MATCH(H$1,[1]characters!$1:$1,0)-MATCH($C$1,[1]characters!$1:$1,0)+1,FALSE)</f>
        <v>解匣する交率 ポアソン</v>
      </c>
      <c r="I27" s="193">
        <v>452</v>
      </c>
      <c r="J27" s="52" t="str">
        <f ca="1">VLOOKUP($I27,OFFSET([1]characters!$A$1,0,0,COUNTA([1]characters!$A:$A),MATCH(J$1,[1]characters!$1:$1,0)-MATCH($C$1,[1]characters!$1:$1,0)+1),MATCH(J$1,[1]characters!$1:$1,0)-MATCH($C$1,[1]characters!$1:$1,0)+1,FALSE)</f>
        <v>猛狐 エゾ</v>
      </c>
      <c r="K27" s="191">
        <v>1</v>
      </c>
      <c r="L27" s="192">
        <v>3</v>
      </c>
      <c r="M27" s="192">
        <v>100</v>
      </c>
      <c r="N27" s="2" t="s">
        <v>285</v>
      </c>
    </row>
    <row r="28" spans="1:14" ht="21" customHeight="1" x14ac:dyDescent="0.15">
      <c r="A28" s="60" t="str">
        <f t="shared" si="10"/>
        <v>750_490</v>
      </c>
      <c r="B28" s="194">
        <v>750</v>
      </c>
      <c r="C28" s="177">
        <f t="shared" si="11"/>
        <v>750</v>
      </c>
      <c r="D28" s="52" t="str">
        <f ca="1">VLOOKUP($C28,OFFSET([1]characters!$A$1,0,0,COUNTA([1]characters!$A:$A),MATCH(D$1,[1]characters!$1:$1,0)-MATCH($C$1,[1]characters!$1:$1,0)+1),MATCH(D$1,[1]characters!$1:$1,0)-MATCH($C$1,[1]characters!$1:$1,0)+1,FALSE)</f>
        <v>ポアソン</v>
      </c>
      <c r="E28" s="52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2" t="str">
        <f ca="1">VLOOKUP($C28,OFFSET([1]characters!$A$1,0,0,COUNTA([1]characters!$A:$A),MATCH(F$1,[1]characters!$1:$1,0)-MATCH($C$1,[1]characters!$1:$1,0)+1),MATCH(F$1,[1]characters!$1:$1,0)-MATCH($C$1,[1]characters!$1:$1,0)+1,FALSE)</f>
        <v>PremiumSSS</v>
      </c>
      <c r="G28" s="194">
        <v>1171</v>
      </c>
      <c r="H28" s="52" t="str">
        <f ca="1">VLOOKUP($G28,OFFSET([1]characters!$A$1,0,0,COUNTA([1]characters!$A:$A),MATCH(H$1,[1]characters!$1:$1,0)-MATCH($C$1,[1]characters!$1:$1,0)+1),MATCH(H$1,[1]characters!$1:$1,0)-MATCH($C$1,[1]characters!$1:$1,0)+1,FALSE)</f>
        <v>解匣する交率 ポアソン</v>
      </c>
      <c r="I28" s="193">
        <v>490</v>
      </c>
      <c r="J28" s="52" t="str">
        <f ca="1">VLOOKUP($I28,OFFSET([1]characters!$A$1,0,0,COUNTA([1]characters!$A:$A),MATCH(J$1,[1]characters!$1:$1,0)-MATCH($C$1,[1]characters!$1:$1,0)+1),MATCH(J$1,[1]characters!$1:$1,0)-MATCH($C$1,[1]characters!$1:$1,0)+1,FALSE)</f>
        <v>グリム</v>
      </c>
      <c r="K28" s="191">
        <v>1</v>
      </c>
      <c r="L28" s="192">
        <v>3</v>
      </c>
      <c r="M28" s="192">
        <v>100</v>
      </c>
      <c r="N28" s="2" t="s">
        <v>285</v>
      </c>
    </row>
    <row r="29" spans="1:14" ht="21" customHeight="1" x14ac:dyDescent="0.15">
      <c r="A29" s="60" t="str">
        <f t="shared" ref="A29:A31" si="12">B29&amp;"_"&amp;I29</f>
        <v>751_452</v>
      </c>
      <c r="B29" s="194">
        <v>751</v>
      </c>
      <c r="C29" s="177">
        <f t="shared" ref="C29:C31" si="13">B29</f>
        <v>751</v>
      </c>
      <c r="D29" s="52" t="str">
        <f ca="1">VLOOKUP($C29,OFFSET([1]characters!$A$1,0,0,COUNTA([1]characters!$A:$A),MATCH(D$1,[1]characters!$1:$1,0)-MATCH($C$1,[1]characters!$1:$1,0)+1),MATCH(D$1,[1]characters!$1:$1,0)-MATCH($C$1,[1]characters!$1:$1,0)+1,FALSE)</f>
        <v>交錯の旋匣 ポアソン</v>
      </c>
      <c r="E29" s="52">
        <f ca="1">VLOOKUP($C29,OFFSET([1]characters!$A$1,0,0,COUNTA([1]characters!$A:$A),MATCH(E$1,[1]characters!$1:$1,0)-MATCH($C$1,[1]characters!$1:$1,0)+1),MATCH(E$1,[1]characters!$1:$1,0)-MATCH($C$1,[1]characters!$1:$1,0)+1,FALSE)</f>
        <v>6</v>
      </c>
      <c r="F29" s="52" t="str">
        <f ca="1">VLOOKUP($C29,OFFSET([1]characters!$A$1,0,0,COUNTA([1]characters!$A:$A),MATCH(F$1,[1]characters!$1:$1,0)-MATCH($C$1,[1]characters!$1:$1,0)+1),MATCH(F$1,[1]characters!$1:$1,0)-MATCH($C$1,[1]characters!$1:$1,0)+1,FALSE)</f>
        <v>PremiumSSS</v>
      </c>
      <c r="G29" s="194">
        <v>1171</v>
      </c>
      <c r="H29" s="52" t="str">
        <f ca="1">VLOOKUP($G29,OFFSET([1]characters!$A$1,0,0,COUNTA([1]characters!$A:$A),MATCH(H$1,[1]characters!$1:$1,0)-MATCH($C$1,[1]characters!$1:$1,0)+1),MATCH(H$1,[1]characters!$1:$1,0)-MATCH($C$1,[1]characters!$1:$1,0)+1,FALSE)</f>
        <v>解匣する交率 ポアソン</v>
      </c>
      <c r="I29" s="193">
        <v>452</v>
      </c>
      <c r="J29" s="52" t="str">
        <f ca="1">VLOOKUP($I29,OFFSET([1]characters!$A$1,0,0,COUNTA([1]characters!$A:$A),MATCH(J$1,[1]characters!$1:$1,0)-MATCH($C$1,[1]characters!$1:$1,0)+1),MATCH(J$1,[1]characters!$1:$1,0)-MATCH($C$1,[1]characters!$1:$1,0)+1,FALSE)</f>
        <v>猛狐 エゾ</v>
      </c>
      <c r="K29" s="191">
        <v>1</v>
      </c>
      <c r="L29" s="192">
        <v>2</v>
      </c>
      <c r="M29" s="192">
        <v>100</v>
      </c>
      <c r="N29" s="2" t="s">
        <v>285</v>
      </c>
    </row>
    <row r="30" spans="1:14" ht="21" customHeight="1" x14ac:dyDescent="0.15">
      <c r="A30" s="60" t="str">
        <f t="shared" si="12"/>
        <v>751_490</v>
      </c>
      <c r="B30" s="194">
        <v>751</v>
      </c>
      <c r="C30" s="177">
        <f t="shared" si="13"/>
        <v>751</v>
      </c>
      <c r="D30" s="52" t="str">
        <f ca="1">VLOOKUP($C30,OFFSET([1]characters!$A$1,0,0,COUNTA([1]characters!$A:$A),MATCH(D$1,[1]characters!$1:$1,0)-MATCH($C$1,[1]characters!$1:$1,0)+1),MATCH(D$1,[1]characters!$1:$1,0)-MATCH($C$1,[1]characters!$1:$1,0)+1,FALSE)</f>
        <v>交錯の旋匣 ポアソン</v>
      </c>
      <c r="E30" s="52">
        <f ca="1">VLOOKUP($C30,OFFSET([1]characters!$A$1,0,0,COUNTA([1]characters!$A:$A),MATCH(E$1,[1]characters!$1:$1,0)-MATCH($C$1,[1]characters!$1:$1,0)+1),MATCH(E$1,[1]characters!$1:$1,0)-MATCH($C$1,[1]characters!$1:$1,0)+1,FALSE)</f>
        <v>6</v>
      </c>
      <c r="F30" s="52" t="str">
        <f ca="1">VLOOKUP($C30,OFFSET([1]characters!$A$1,0,0,COUNTA([1]characters!$A:$A),MATCH(F$1,[1]characters!$1:$1,0)-MATCH($C$1,[1]characters!$1:$1,0)+1),MATCH(F$1,[1]characters!$1:$1,0)-MATCH($C$1,[1]characters!$1:$1,0)+1,FALSE)</f>
        <v>PremiumSSS</v>
      </c>
      <c r="G30" s="194">
        <v>1171</v>
      </c>
      <c r="H30" s="52" t="str">
        <f ca="1">VLOOKUP($G30,OFFSET([1]characters!$A$1,0,0,COUNTA([1]characters!$A:$A),MATCH(H$1,[1]characters!$1:$1,0)-MATCH($C$1,[1]characters!$1:$1,0)+1),MATCH(H$1,[1]characters!$1:$1,0)-MATCH($C$1,[1]characters!$1:$1,0)+1,FALSE)</f>
        <v>解匣する交率 ポアソン</v>
      </c>
      <c r="I30" s="193">
        <v>490</v>
      </c>
      <c r="J30" s="52" t="str">
        <f ca="1">VLOOKUP($I30,OFFSET([1]characters!$A$1,0,0,COUNTA([1]characters!$A:$A),MATCH(J$1,[1]characters!$1:$1,0)-MATCH($C$1,[1]characters!$1:$1,0)+1),MATCH(J$1,[1]characters!$1:$1,0)-MATCH($C$1,[1]characters!$1:$1,0)+1,FALSE)</f>
        <v>グリム</v>
      </c>
      <c r="K30" s="191">
        <v>1</v>
      </c>
      <c r="L30" s="192">
        <v>2</v>
      </c>
      <c r="M30" s="192">
        <v>100</v>
      </c>
      <c r="N30" s="2" t="s">
        <v>285</v>
      </c>
    </row>
    <row r="31" spans="1:14" ht="21" customHeight="1" x14ac:dyDescent="0.15">
      <c r="A31" s="60" t="str">
        <f t="shared" si="12"/>
        <v>1171_106</v>
      </c>
      <c r="B31" s="194">
        <v>1171</v>
      </c>
      <c r="C31" s="177">
        <f t="shared" si="13"/>
        <v>1171</v>
      </c>
      <c r="D31" s="52" t="str">
        <f ca="1">VLOOKUP($C31,OFFSET([1]characters!$A$1,0,0,COUNTA([1]characters!$A:$A),MATCH(D$1,[1]characters!$1:$1,0)-MATCH($C$1,[1]characters!$1:$1,0)+1),MATCH(D$1,[1]characters!$1:$1,0)-MATCH($C$1,[1]characters!$1:$1,0)+1,FALSE)</f>
        <v>解匣する交率 ポアソン</v>
      </c>
      <c r="E31" s="52">
        <f ca="1">VLOOKUP($C31,OFFSET([1]characters!$A$1,0,0,COUNTA([1]characters!$A:$A),MATCH(E$1,[1]characters!$1:$1,0)-MATCH($C$1,[1]characters!$1:$1,0)+1),MATCH(E$1,[1]characters!$1:$1,0)-MATCH($C$1,[1]characters!$1:$1,0)+1,FALSE)</f>
        <v>6</v>
      </c>
      <c r="F31" s="52" t="str">
        <f ca="1">VLOOKUP($C31,OFFSET([1]characters!$A$1,0,0,COUNTA([1]characters!$A:$A),MATCH(F$1,[1]characters!$1:$1,0)-MATCH($C$1,[1]characters!$1:$1,0)+1),MATCH(F$1,[1]characters!$1:$1,0)-MATCH($C$1,[1]characters!$1:$1,0)+1,FALSE)</f>
        <v>PremiumSSS</v>
      </c>
      <c r="G31" s="194">
        <v>751</v>
      </c>
      <c r="H31" s="52" t="str">
        <f ca="1">VLOOKUP($G31,OFFSET([1]characters!$A$1,0,0,COUNTA([1]characters!$A:$A),MATCH(H$1,[1]characters!$1:$1,0)-MATCH($C$1,[1]characters!$1:$1,0)+1),MATCH(H$1,[1]characters!$1:$1,0)-MATCH($C$1,[1]characters!$1:$1,0)+1,FALSE)</f>
        <v>交錯の旋匣 ポアソン</v>
      </c>
      <c r="I31" s="193">
        <v>106</v>
      </c>
      <c r="J31" s="52" t="str">
        <f ca="1">VLOOKUP($I31,OFFSET([1]characters!$A$1,0,0,COUNTA([1]characters!$A:$A),MATCH(J$1,[1]characters!$1:$1,0)-MATCH($C$1,[1]characters!$1:$1,0)+1),MATCH(J$1,[1]characters!$1:$1,0)-MATCH($C$1,[1]characters!$1:$1,0)+1,FALSE)</f>
        <v>グリーンラビット</v>
      </c>
      <c r="K31" s="191">
        <v>1</v>
      </c>
      <c r="L31" s="192">
        <v>1</v>
      </c>
      <c r="M31" s="192">
        <v>10</v>
      </c>
      <c r="N31" s="2" t="s">
        <v>285</v>
      </c>
    </row>
    <row r="32" spans="1:14" ht="21" customHeight="1" x14ac:dyDescent="0.15">
      <c r="A32" s="60" t="str">
        <f t="shared" ref="A32:A39" si="14">B32&amp;"_"&amp;I32</f>
        <v>1171_107</v>
      </c>
      <c r="B32" s="194">
        <v>1171</v>
      </c>
      <c r="C32" s="177">
        <f t="shared" ref="C32:C39" si="15">B32</f>
        <v>1171</v>
      </c>
      <c r="D32" s="52" t="str">
        <f ca="1">VLOOKUP($C32,OFFSET([1]characters!$A$1,0,0,COUNTA([1]characters!$A:$A),MATCH(D$1,[1]characters!$1:$1,0)-MATCH($C$1,[1]characters!$1:$1,0)+1),MATCH(D$1,[1]characters!$1:$1,0)-MATCH($C$1,[1]characters!$1:$1,0)+1,FALSE)</f>
        <v>解匣する交率 ポアソン</v>
      </c>
      <c r="E32" s="52">
        <f ca="1">VLOOKUP($C32,OFFSET([1]characters!$A$1,0,0,COUNTA([1]characters!$A:$A),MATCH(E$1,[1]characters!$1:$1,0)-MATCH($C$1,[1]characters!$1:$1,0)+1),MATCH(E$1,[1]characters!$1:$1,0)-MATCH($C$1,[1]characters!$1:$1,0)+1,FALSE)</f>
        <v>6</v>
      </c>
      <c r="F32" s="52" t="str">
        <f ca="1">VLOOKUP($C32,OFFSET([1]characters!$A$1,0,0,COUNTA([1]characters!$A:$A),MATCH(F$1,[1]characters!$1:$1,0)-MATCH($C$1,[1]characters!$1:$1,0)+1),MATCH(F$1,[1]characters!$1:$1,0)-MATCH($C$1,[1]characters!$1:$1,0)+1,FALSE)</f>
        <v>PremiumSSS</v>
      </c>
      <c r="G32" s="194">
        <v>751</v>
      </c>
      <c r="H32" s="52" t="str">
        <f ca="1">VLOOKUP($G32,OFFSET([1]characters!$A$1,0,0,COUNTA([1]characters!$A:$A),MATCH(H$1,[1]characters!$1:$1,0)-MATCH($C$1,[1]characters!$1:$1,0)+1),MATCH(H$1,[1]characters!$1:$1,0)-MATCH($C$1,[1]characters!$1:$1,0)+1,FALSE)</f>
        <v>交錯の旋匣 ポアソン</v>
      </c>
      <c r="I32" s="193">
        <v>107</v>
      </c>
      <c r="J32" s="52" t="str">
        <f ca="1">VLOOKUP($I32,OFFSET([1]characters!$A$1,0,0,COUNTA([1]characters!$A:$A),MATCH(J$1,[1]characters!$1:$1,0)-MATCH($C$1,[1]characters!$1:$1,0)+1),MATCH(J$1,[1]characters!$1:$1,0)-MATCH($C$1,[1]characters!$1:$1,0)+1,FALSE)</f>
        <v>グリーンキャタップ</v>
      </c>
      <c r="K32" s="191">
        <v>1</v>
      </c>
      <c r="L32" s="192">
        <v>1</v>
      </c>
      <c r="M32" s="192">
        <v>10</v>
      </c>
      <c r="N32" s="2" t="s">
        <v>285</v>
      </c>
    </row>
    <row r="33" spans="1:14" ht="21" customHeight="1" x14ac:dyDescent="0.15">
      <c r="A33" s="60" t="str">
        <f t="shared" si="14"/>
        <v>1171_108</v>
      </c>
      <c r="B33" s="194">
        <v>1171</v>
      </c>
      <c r="C33" s="177">
        <f t="shared" si="15"/>
        <v>1171</v>
      </c>
      <c r="D33" s="52" t="str">
        <f ca="1">VLOOKUP($C33,OFFSET([1]characters!$A$1,0,0,COUNTA([1]characters!$A:$A),MATCH(D$1,[1]characters!$1:$1,0)-MATCH($C$1,[1]characters!$1:$1,0)+1),MATCH(D$1,[1]characters!$1:$1,0)-MATCH($C$1,[1]characters!$1:$1,0)+1,FALSE)</f>
        <v>解匣する交率 ポアソン</v>
      </c>
      <c r="E33" s="52">
        <f ca="1">VLOOKUP($C33,OFFSET([1]characters!$A$1,0,0,COUNTA([1]characters!$A:$A),MATCH(E$1,[1]characters!$1:$1,0)-MATCH($C$1,[1]characters!$1:$1,0)+1),MATCH(E$1,[1]characters!$1:$1,0)-MATCH($C$1,[1]characters!$1:$1,0)+1,FALSE)</f>
        <v>6</v>
      </c>
      <c r="F33" s="52" t="str">
        <f ca="1">VLOOKUP($C33,OFFSET([1]characters!$A$1,0,0,COUNTA([1]characters!$A:$A),MATCH(F$1,[1]characters!$1:$1,0)-MATCH($C$1,[1]characters!$1:$1,0)+1),MATCH(F$1,[1]characters!$1:$1,0)-MATCH($C$1,[1]characters!$1:$1,0)+1,FALSE)</f>
        <v>PremiumSSS</v>
      </c>
      <c r="G33" s="194">
        <v>751</v>
      </c>
      <c r="H33" s="52" t="str">
        <f ca="1">VLOOKUP($G33,OFFSET([1]characters!$A$1,0,0,COUNTA([1]characters!$A:$A),MATCH(H$1,[1]characters!$1:$1,0)-MATCH($C$1,[1]characters!$1:$1,0)+1),MATCH(H$1,[1]characters!$1:$1,0)-MATCH($C$1,[1]characters!$1:$1,0)+1,FALSE)</f>
        <v>交錯の旋匣 ポアソン</v>
      </c>
      <c r="I33" s="193">
        <v>108</v>
      </c>
      <c r="J33" s="52" t="str">
        <f ca="1">VLOOKUP($I33,OFFSET([1]characters!$A$1,0,0,COUNTA([1]characters!$A:$A),MATCH(J$1,[1]characters!$1:$1,0)-MATCH($C$1,[1]characters!$1:$1,0)+1),MATCH(J$1,[1]characters!$1:$1,0)-MATCH($C$1,[1]characters!$1:$1,0)+1,FALSE)</f>
        <v>森のマッドハッター</v>
      </c>
      <c r="K33" s="191">
        <v>1</v>
      </c>
      <c r="L33" s="192">
        <v>1</v>
      </c>
      <c r="M33" s="192">
        <v>10</v>
      </c>
      <c r="N33" s="2" t="s">
        <v>285</v>
      </c>
    </row>
    <row r="34" spans="1:14" ht="21" customHeight="1" x14ac:dyDescent="0.15">
      <c r="A34" s="60" t="str">
        <f t="shared" si="14"/>
        <v>760_581</v>
      </c>
      <c r="B34" s="194">
        <v>760</v>
      </c>
      <c r="C34" s="177">
        <f t="shared" si="15"/>
        <v>760</v>
      </c>
      <c r="D34" s="52" t="str">
        <f ca="1">VLOOKUP($C34,OFFSET([1]characters!$A$1,0,0,COUNTA([1]characters!$A:$A),MATCH(D$1,[1]characters!$1:$1,0)-MATCH($C$1,[1]characters!$1:$1,0)+1),MATCH(D$1,[1]characters!$1:$1,0)-MATCH($C$1,[1]characters!$1:$1,0)+1,FALSE)</f>
        <v>限論顕現 クロネッカー</v>
      </c>
      <c r="E34" s="52">
        <f ca="1">VLOOKUP($C34,OFFSET([1]characters!$A$1,0,0,COUNTA([1]characters!$A:$A),MATCH(E$1,[1]characters!$1:$1,0)-MATCH($C$1,[1]characters!$1:$1,0)+1),MATCH(E$1,[1]characters!$1:$1,0)-MATCH($C$1,[1]characters!$1:$1,0)+1,FALSE)</f>
        <v>5</v>
      </c>
      <c r="F34" s="52" t="str">
        <f ca="1">VLOOKUP($C34,OFFSET([1]characters!$A$1,0,0,COUNTA([1]characters!$A:$A),MATCH(F$1,[1]characters!$1:$1,0)-MATCH($C$1,[1]characters!$1:$1,0)+1),MATCH(F$1,[1]characters!$1:$1,0)-MATCH($C$1,[1]characters!$1:$1,0)+1,FALSE)</f>
        <v>PremiumSSS</v>
      </c>
      <c r="G34" s="194">
        <v>1172</v>
      </c>
      <c r="H34" s="52" t="str">
        <f ca="1">VLOOKUP($G34,OFFSET([1]characters!$A$1,0,0,COUNTA([1]characters!$A:$A),MATCH(H$1,[1]characters!$1:$1,0)-MATCH($C$1,[1]characters!$1:$1,0)+1),MATCH(H$1,[1]characters!$1:$1,0)-MATCH($C$1,[1]characters!$1:$1,0)+1,FALSE)</f>
        <v>極限解析の讃嬢 クロネッカー</v>
      </c>
      <c r="I34" s="193">
        <v>581</v>
      </c>
      <c r="J34" s="52" t="str">
        <f ca="1">VLOOKUP($I34,OFFSET([1]characters!$A$1,0,0,COUNTA([1]characters!$A:$A),MATCH(J$1,[1]characters!$1:$1,0)-MATCH($C$1,[1]characters!$1:$1,0)+1),MATCH(J$1,[1]characters!$1:$1,0)-MATCH($C$1,[1]characters!$1:$1,0)+1,FALSE)</f>
        <v>フギンとムニン</v>
      </c>
      <c r="K34" s="191">
        <v>1</v>
      </c>
      <c r="L34" s="192">
        <v>1</v>
      </c>
      <c r="M34" s="192">
        <v>100</v>
      </c>
      <c r="N34" s="2" t="s">
        <v>285</v>
      </c>
    </row>
    <row r="35" spans="1:14" ht="21" customHeight="1" x14ac:dyDescent="0.15">
      <c r="A35" s="60" t="str">
        <f t="shared" si="14"/>
        <v>760_858</v>
      </c>
      <c r="B35" s="194">
        <v>760</v>
      </c>
      <c r="C35" s="177">
        <f t="shared" si="15"/>
        <v>760</v>
      </c>
      <c r="D35" s="52" t="str">
        <f ca="1">VLOOKUP($C35,OFFSET([1]characters!$A$1,0,0,COUNTA([1]characters!$A:$A),MATCH(D$1,[1]characters!$1:$1,0)-MATCH($C$1,[1]characters!$1:$1,0)+1),MATCH(D$1,[1]characters!$1:$1,0)-MATCH($C$1,[1]characters!$1:$1,0)+1,FALSE)</f>
        <v>限論顕現 クロネッカー</v>
      </c>
      <c r="E35" s="52">
        <f ca="1">VLOOKUP($C35,OFFSET([1]characters!$A$1,0,0,COUNTA([1]characters!$A:$A),MATCH(E$1,[1]characters!$1:$1,0)-MATCH($C$1,[1]characters!$1:$1,0)+1),MATCH(E$1,[1]characters!$1:$1,0)-MATCH($C$1,[1]characters!$1:$1,0)+1,FALSE)</f>
        <v>5</v>
      </c>
      <c r="F35" s="52" t="str">
        <f ca="1">VLOOKUP($C35,OFFSET([1]characters!$A$1,0,0,COUNTA([1]characters!$A:$A),MATCH(F$1,[1]characters!$1:$1,0)-MATCH($C$1,[1]characters!$1:$1,0)+1),MATCH(F$1,[1]characters!$1:$1,0)-MATCH($C$1,[1]characters!$1:$1,0)+1,FALSE)</f>
        <v>PremiumSSS</v>
      </c>
      <c r="G35" s="194">
        <v>1172</v>
      </c>
      <c r="H35" s="52" t="str">
        <f ca="1">VLOOKUP($G35,OFFSET([1]characters!$A$1,0,0,COUNTA([1]characters!$A:$A),MATCH(H$1,[1]characters!$1:$1,0)-MATCH($C$1,[1]characters!$1:$1,0)+1),MATCH(H$1,[1]characters!$1:$1,0)-MATCH($C$1,[1]characters!$1:$1,0)+1,FALSE)</f>
        <v>極限解析の讃嬢 クロネッカー</v>
      </c>
      <c r="I35" s="193">
        <v>858</v>
      </c>
      <c r="J35" s="52" t="str">
        <f ca="1">VLOOKUP($I35,OFFSET([1]characters!$A$1,0,0,COUNTA([1]characters!$A:$A),MATCH(J$1,[1]characters!$1:$1,0)-MATCH($C$1,[1]characters!$1:$1,0)+1),MATCH(J$1,[1]characters!$1:$1,0)-MATCH($C$1,[1]characters!$1:$1,0)+1,FALSE)</f>
        <v>Mr.ホエール</v>
      </c>
      <c r="K35" s="191">
        <v>1</v>
      </c>
      <c r="L35" s="192">
        <v>3</v>
      </c>
      <c r="M35" s="192">
        <v>100</v>
      </c>
      <c r="N35" s="2" t="s">
        <v>285</v>
      </c>
    </row>
    <row r="36" spans="1:14" ht="21" customHeight="1" x14ac:dyDescent="0.15">
      <c r="A36" s="60" t="str">
        <f t="shared" si="14"/>
        <v>760_1098</v>
      </c>
      <c r="B36" s="194">
        <v>760</v>
      </c>
      <c r="C36" s="177">
        <f t="shared" si="15"/>
        <v>760</v>
      </c>
      <c r="D36" s="52" t="str">
        <f ca="1">VLOOKUP($C36,OFFSET([1]characters!$A$1,0,0,COUNTA([1]characters!$A:$A),MATCH(D$1,[1]characters!$1:$1,0)-MATCH($C$1,[1]characters!$1:$1,0)+1),MATCH(D$1,[1]characters!$1:$1,0)-MATCH($C$1,[1]characters!$1:$1,0)+1,FALSE)</f>
        <v>限論顕現 クロネッカー</v>
      </c>
      <c r="E36" s="52">
        <f ca="1">VLOOKUP($C36,OFFSET([1]characters!$A$1,0,0,COUNTA([1]characters!$A:$A),MATCH(E$1,[1]characters!$1:$1,0)-MATCH($C$1,[1]characters!$1:$1,0)+1),MATCH(E$1,[1]characters!$1:$1,0)-MATCH($C$1,[1]characters!$1:$1,0)+1,FALSE)</f>
        <v>5</v>
      </c>
      <c r="F36" s="52" t="str">
        <f ca="1">VLOOKUP($C36,OFFSET([1]characters!$A$1,0,0,COUNTA([1]characters!$A:$A),MATCH(F$1,[1]characters!$1:$1,0)-MATCH($C$1,[1]characters!$1:$1,0)+1),MATCH(F$1,[1]characters!$1:$1,0)-MATCH($C$1,[1]characters!$1:$1,0)+1,FALSE)</f>
        <v>PremiumSSS</v>
      </c>
      <c r="G36" s="194">
        <v>1172</v>
      </c>
      <c r="H36" s="52" t="str">
        <f ca="1">VLOOKUP($G36,OFFSET([1]characters!$A$1,0,0,COUNTA([1]characters!$A:$A),MATCH(H$1,[1]characters!$1:$1,0)-MATCH($C$1,[1]characters!$1:$1,0)+1),MATCH(H$1,[1]characters!$1:$1,0)-MATCH($C$1,[1]characters!$1:$1,0)+1,FALSE)</f>
        <v>極限解析の讃嬢 クロネッカー</v>
      </c>
      <c r="I36" s="193">
        <v>1098</v>
      </c>
      <c r="J36" s="52" t="str">
        <f ca="1">VLOOKUP($I36,OFFSET([1]characters!$A$1,0,0,COUNTA([1]characters!$A:$A),MATCH(J$1,[1]characters!$1:$1,0)-MATCH($C$1,[1]characters!$1:$1,0)+1),MATCH(J$1,[1]characters!$1:$1,0)-MATCH($C$1,[1]characters!$1:$1,0)+1,FALSE)</f>
        <v>ルピカ</v>
      </c>
      <c r="K36" s="191">
        <v>1</v>
      </c>
      <c r="L36" s="192">
        <v>3</v>
      </c>
      <c r="M36" s="192">
        <v>100</v>
      </c>
      <c r="N36" s="2" t="s">
        <v>285</v>
      </c>
    </row>
    <row r="37" spans="1:14" ht="21" customHeight="1" x14ac:dyDescent="0.15">
      <c r="A37" s="60" t="str">
        <f t="shared" si="14"/>
        <v>761_858</v>
      </c>
      <c r="B37" s="194">
        <v>761</v>
      </c>
      <c r="C37" s="177">
        <f t="shared" si="15"/>
        <v>761</v>
      </c>
      <c r="D37" s="52" t="str">
        <f ca="1">VLOOKUP($C37,OFFSET([1]characters!$A$1,0,0,COUNTA([1]characters!$A:$A),MATCH(D$1,[1]characters!$1:$1,0)-MATCH($C$1,[1]characters!$1:$1,0)+1),MATCH(D$1,[1]characters!$1:$1,0)-MATCH($C$1,[1]characters!$1:$1,0)+1,FALSE)</f>
        <v>唯限の崇嬢 クロネッカー</v>
      </c>
      <c r="E37" s="52">
        <f ca="1">VLOOKUP($C37,OFFSET([1]characters!$A$1,0,0,COUNTA([1]characters!$A:$A),MATCH(E$1,[1]characters!$1:$1,0)-MATCH($C$1,[1]characters!$1:$1,0)+1),MATCH(E$1,[1]characters!$1:$1,0)-MATCH($C$1,[1]characters!$1:$1,0)+1,FALSE)</f>
        <v>6</v>
      </c>
      <c r="F37" s="52" t="str">
        <f ca="1">VLOOKUP($C37,OFFSET([1]characters!$A$1,0,0,COUNTA([1]characters!$A:$A),MATCH(F$1,[1]characters!$1:$1,0)-MATCH($C$1,[1]characters!$1:$1,0)+1),MATCH(F$1,[1]characters!$1:$1,0)-MATCH($C$1,[1]characters!$1:$1,0)+1,FALSE)</f>
        <v>PremiumSSS</v>
      </c>
      <c r="G37" s="194">
        <v>1172</v>
      </c>
      <c r="H37" s="52" t="str">
        <f ca="1">VLOOKUP($G37,OFFSET([1]characters!$A$1,0,0,COUNTA([1]characters!$A:$A),MATCH(H$1,[1]characters!$1:$1,0)-MATCH($C$1,[1]characters!$1:$1,0)+1),MATCH(H$1,[1]characters!$1:$1,0)-MATCH($C$1,[1]characters!$1:$1,0)+1,FALSE)</f>
        <v>極限解析の讃嬢 クロネッカー</v>
      </c>
      <c r="I37" s="193">
        <v>858</v>
      </c>
      <c r="J37" s="52" t="str">
        <f ca="1">VLOOKUP($I37,OFFSET([1]characters!$A$1,0,0,COUNTA([1]characters!$A:$A),MATCH(J$1,[1]characters!$1:$1,0)-MATCH($C$1,[1]characters!$1:$1,0)+1),MATCH(J$1,[1]characters!$1:$1,0)-MATCH($C$1,[1]characters!$1:$1,0)+1,FALSE)</f>
        <v>Mr.ホエール</v>
      </c>
      <c r="K37" s="191">
        <v>1</v>
      </c>
      <c r="L37" s="192">
        <v>2</v>
      </c>
      <c r="M37" s="192">
        <v>100</v>
      </c>
      <c r="N37" s="2" t="s">
        <v>285</v>
      </c>
    </row>
    <row r="38" spans="1:14" ht="21" customHeight="1" x14ac:dyDescent="0.15">
      <c r="A38" s="60" t="str">
        <f t="shared" si="14"/>
        <v>761_1098</v>
      </c>
      <c r="B38" s="194">
        <v>761</v>
      </c>
      <c r="C38" s="177">
        <f t="shared" si="15"/>
        <v>761</v>
      </c>
      <c r="D38" s="52" t="str">
        <f ca="1">VLOOKUP($C38,OFFSET([1]characters!$A$1,0,0,COUNTA([1]characters!$A:$A),MATCH(D$1,[1]characters!$1:$1,0)-MATCH($C$1,[1]characters!$1:$1,0)+1),MATCH(D$1,[1]characters!$1:$1,0)-MATCH($C$1,[1]characters!$1:$1,0)+1,FALSE)</f>
        <v>唯限の崇嬢 クロネッカー</v>
      </c>
      <c r="E38" s="52">
        <f ca="1">VLOOKUP($C38,OFFSET([1]characters!$A$1,0,0,COUNTA([1]characters!$A:$A),MATCH(E$1,[1]characters!$1:$1,0)-MATCH($C$1,[1]characters!$1:$1,0)+1),MATCH(E$1,[1]characters!$1:$1,0)-MATCH($C$1,[1]characters!$1:$1,0)+1,FALSE)</f>
        <v>6</v>
      </c>
      <c r="F38" s="52" t="str">
        <f ca="1">VLOOKUP($C38,OFFSET([1]characters!$A$1,0,0,COUNTA([1]characters!$A:$A),MATCH(F$1,[1]characters!$1:$1,0)-MATCH($C$1,[1]characters!$1:$1,0)+1),MATCH(F$1,[1]characters!$1:$1,0)-MATCH($C$1,[1]characters!$1:$1,0)+1,FALSE)</f>
        <v>PremiumSSS</v>
      </c>
      <c r="G38" s="194">
        <v>1172</v>
      </c>
      <c r="H38" s="52" t="str">
        <f ca="1">VLOOKUP($G38,OFFSET([1]characters!$A$1,0,0,COUNTA([1]characters!$A:$A),MATCH(H$1,[1]characters!$1:$1,0)-MATCH($C$1,[1]characters!$1:$1,0)+1),MATCH(H$1,[1]characters!$1:$1,0)-MATCH($C$1,[1]characters!$1:$1,0)+1,FALSE)</f>
        <v>極限解析の讃嬢 クロネッカー</v>
      </c>
      <c r="I38" s="193">
        <v>1098</v>
      </c>
      <c r="J38" s="52" t="str">
        <f ca="1">VLOOKUP($I38,OFFSET([1]characters!$A$1,0,0,COUNTA([1]characters!$A:$A),MATCH(J$1,[1]characters!$1:$1,0)-MATCH($C$1,[1]characters!$1:$1,0)+1),MATCH(J$1,[1]characters!$1:$1,0)-MATCH($C$1,[1]characters!$1:$1,0)+1,FALSE)</f>
        <v>ルピカ</v>
      </c>
      <c r="K38" s="191">
        <v>1</v>
      </c>
      <c r="L38" s="192">
        <v>2</v>
      </c>
      <c r="M38" s="192">
        <v>100</v>
      </c>
      <c r="N38" s="2" t="s">
        <v>285</v>
      </c>
    </row>
    <row r="39" spans="1:14" ht="21" customHeight="1" x14ac:dyDescent="0.15">
      <c r="A39" s="60" t="str">
        <f t="shared" si="14"/>
        <v>1172_114</v>
      </c>
      <c r="B39" s="194">
        <v>1172</v>
      </c>
      <c r="C39" s="177">
        <f t="shared" si="15"/>
        <v>1172</v>
      </c>
      <c r="D39" s="52" t="str">
        <f ca="1">VLOOKUP($C39,OFFSET([1]characters!$A$1,0,0,COUNTA([1]characters!$A:$A),MATCH(D$1,[1]characters!$1:$1,0)-MATCH($C$1,[1]characters!$1:$1,0)+1),MATCH(D$1,[1]characters!$1:$1,0)-MATCH($C$1,[1]characters!$1:$1,0)+1,FALSE)</f>
        <v>極限解析の讃嬢 クロネッカー</v>
      </c>
      <c r="E39" s="52">
        <f ca="1">VLOOKUP($C39,OFFSET([1]characters!$A$1,0,0,COUNTA([1]characters!$A:$A),MATCH(E$1,[1]characters!$1:$1,0)-MATCH($C$1,[1]characters!$1:$1,0)+1),MATCH(E$1,[1]characters!$1:$1,0)-MATCH($C$1,[1]characters!$1:$1,0)+1,FALSE)</f>
        <v>6</v>
      </c>
      <c r="F39" s="52" t="str">
        <f ca="1">VLOOKUP($C39,OFFSET([1]characters!$A$1,0,0,COUNTA([1]characters!$A:$A),MATCH(F$1,[1]characters!$1:$1,0)-MATCH($C$1,[1]characters!$1:$1,0)+1),MATCH(F$1,[1]characters!$1:$1,0)-MATCH($C$1,[1]characters!$1:$1,0)+1,FALSE)</f>
        <v>PremiumSSS</v>
      </c>
      <c r="G39" s="194">
        <v>761</v>
      </c>
      <c r="H39" s="52" t="str">
        <f ca="1">VLOOKUP($G39,OFFSET([1]characters!$A$1,0,0,COUNTA([1]characters!$A:$A),MATCH(H$1,[1]characters!$1:$1,0)-MATCH($C$1,[1]characters!$1:$1,0)+1),MATCH(H$1,[1]characters!$1:$1,0)-MATCH($C$1,[1]characters!$1:$1,0)+1,FALSE)</f>
        <v>唯限の崇嬢 クロネッカー</v>
      </c>
      <c r="I39" s="193">
        <v>114</v>
      </c>
      <c r="J39" s="52" t="str">
        <f ca="1">VLOOKUP($I39,OFFSET([1]characters!$A$1,0,0,COUNTA([1]characters!$A:$A),MATCH(J$1,[1]characters!$1:$1,0)-MATCH($C$1,[1]characters!$1:$1,0)+1),MATCH(J$1,[1]characters!$1:$1,0)-MATCH($C$1,[1]characters!$1:$1,0)+1,FALSE)</f>
        <v>イエローラビット</v>
      </c>
      <c r="K39" s="191">
        <v>1</v>
      </c>
      <c r="L39" s="192">
        <v>1</v>
      </c>
      <c r="M39" s="192">
        <v>10</v>
      </c>
      <c r="N39" s="2" t="s">
        <v>285</v>
      </c>
    </row>
    <row r="40" spans="1:14" ht="21" customHeight="1" x14ac:dyDescent="0.15">
      <c r="A40" s="60" t="str">
        <f t="shared" ref="A40:A61" si="16">B40&amp;"_"&amp;I40</f>
        <v>1172_115</v>
      </c>
      <c r="B40" s="194">
        <v>1172</v>
      </c>
      <c r="C40" s="177">
        <f t="shared" ref="C40:C61" si="17">B40</f>
        <v>1172</v>
      </c>
      <c r="D40" s="52" t="str">
        <f ca="1">VLOOKUP($C40,OFFSET([1]characters!$A$1,0,0,COUNTA([1]characters!$A:$A),MATCH(D$1,[1]characters!$1:$1,0)-MATCH($C$1,[1]characters!$1:$1,0)+1),MATCH(D$1,[1]characters!$1:$1,0)-MATCH($C$1,[1]characters!$1:$1,0)+1,FALSE)</f>
        <v>極限解析の讃嬢 クロネッカー</v>
      </c>
      <c r="E40" s="52">
        <f ca="1">VLOOKUP($C40,OFFSET([1]characters!$A$1,0,0,COUNTA([1]characters!$A:$A),MATCH(E$1,[1]characters!$1:$1,0)-MATCH($C$1,[1]characters!$1:$1,0)+1),MATCH(E$1,[1]characters!$1:$1,0)-MATCH($C$1,[1]characters!$1:$1,0)+1,FALSE)</f>
        <v>6</v>
      </c>
      <c r="F40" s="52" t="str">
        <f ca="1">VLOOKUP($C40,OFFSET([1]characters!$A$1,0,0,COUNTA([1]characters!$A:$A),MATCH(F$1,[1]characters!$1:$1,0)-MATCH($C$1,[1]characters!$1:$1,0)+1),MATCH(F$1,[1]characters!$1:$1,0)-MATCH($C$1,[1]characters!$1:$1,0)+1,FALSE)</f>
        <v>PremiumSSS</v>
      </c>
      <c r="G40" s="194">
        <v>761</v>
      </c>
      <c r="H40" s="52" t="str">
        <f ca="1">VLOOKUP($G40,OFFSET([1]characters!$A$1,0,0,COUNTA([1]characters!$A:$A),MATCH(H$1,[1]characters!$1:$1,0)-MATCH($C$1,[1]characters!$1:$1,0)+1),MATCH(H$1,[1]characters!$1:$1,0)-MATCH($C$1,[1]characters!$1:$1,0)+1,FALSE)</f>
        <v>唯限の崇嬢 クロネッカー</v>
      </c>
      <c r="I40" s="193">
        <v>115</v>
      </c>
      <c r="J40" s="52" t="str">
        <f ca="1">VLOOKUP($I40,OFFSET([1]characters!$A$1,0,0,COUNTA([1]characters!$A:$A),MATCH(J$1,[1]characters!$1:$1,0)-MATCH($C$1,[1]characters!$1:$1,0)+1),MATCH(J$1,[1]characters!$1:$1,0)-MATCH($C$1,[1]characters!$1:$1,0)+1,FALSE)</f>
        <v>イエローキャタップ</v>
      </c>
      <c r="K40" s="191">
        <v>1</v>
      </c>
      <c r="L40" s="192">
        <v>1</v>
      </c>
      <c r="M40" s="192">
        <v>10</v>
      </c>
      <c r="N40" s="2" t="s">
        <v>285</v>
      </c>
    </row>
    <row r="41" spans="1:14" ht="21" customHeight="1" x14ac:dyDescent="0.15">
      <c r="A41" s="60" t="str">
        <f t="shared" si="16"/>
        <v>1172_116</v>
      </c>
      <c r="B41" s="194">
        <v>1172</v>
      </c>
      <c r="C41" s="177">
        <f t="shared" si="17"/>
        <v>1172</v>
      </c>
      <c r="D41" s="52" t="str">
        <f ca="1">VLOOKUP($C41,OFFSET([1]characters!$A$1,0,0,COUNTA([1]characters!$A:$A),MATCH(D$1,[1]characters!$1:$1,0)-MATCH($C$1,[1]characters!$1:$1,0)+1),MATCH(D$1,[1]characters!$1:$1,0)-MATCH($C$1,[1]characters!$1:$1,0)+1,FALSE)</f>
        <v>極限解析の讃嬢 クロネッカー</v>
      </c>
      <c r="E41" s="52">
        <f ca="1">VLOOKUP($C41,OFFSET([1]characters!$A$1,0,0,COUNTA([1]characters!$A:$A),MATCH(E$1,[1]characters!$1:$1,0)-MATCH($C$1,[1]characters!$1:$1,0)+1),MATCH(E$1,[1]characters!$1:$1,0)-MATCH($C$1,[1]characters!$1:$1,0)+1,FALSE)</f>
        <v>6</v>
      </c>
      <c r="F41" s="52" t="str">
        <f ca="1">VLOOKUP($C41,OFFSET([1]characters!$A$1,0,0,COUNTA([1]characters!$A:$A),MATCH(F$1,[1]characters!$1:$1,0)-MATCH($C$1,[1]characters!$1:$1,0)+1),MATCH(F$1,[1]characters!$1:$1,0)-MATCH($C$1,[1]characters!$1:$1,0)+1,FALSE)</f>
        <v>PremiumSSS</v>
      </c>
      <c r="G41" s="194">
        <v>761</v>
      </c>
      <c r="H41" s="52" t="str">
        <f ca="1">VLOOKUP($G41,OFFSET([1]characters!$A$1,0,0,COUNTA([1]characters!$A:$A),MATCH(H$1,[1]characters!$1:$1,0)-MATCH($C$1,[1]characters!$1:$1,0)+1),MATCH(H$1,[1]characters!$1:$1,0)-MATCH($C$1,[1]characters!$1:$1,0)+1,FALSE)</f>
        <v>唯限の崇嬢 クロネッカー</v>
      </c>
      <c r="I41" s="193">
        <v>116</v>
      </c>
      <c r="J41" s="52" t="str">
        <f ca="1">VLOOKUP($I41,OFFSET([1]characters!$A$1,0,0,COUNTA([1]characters!$A:$A),MATCH(J$1,[1]characters!$1:$1,0)-MATCH($C$1,[1]characters!$1:$1,0)+1),MATCH(J$1,[1]characters!$1:$1,0)-MATCH($C$1,[1]characters!$1:$1,0)+1,FALSE)</f>
        <v>雷のマッドハッター</v>
      </c>
      <c r="K41" s="191">
        <v>1</v>
      </c>
      <c r="L41" s="192">
        <v>1</v>
      </c>
      <c r="M41" s="192">
        <v>10</v>
      </c>
      <c r="N41" s="2" t="s">
        <v>285</v>
      </c>
    </row>
    <row r="42" spans="1:14" ht="21" customHeight="1" x14ac:dyDescent="0.15">
      <c r="A42" s="60" t="str">
        <f t="shared" si="16"/>
        <v>489_1008</v>
      </c>
      <c r="B42" s="194">
        <v>489</v>
      </c>
      <c r="C42" s="177">
        <f t="shared" si="17"/>
        <v>489</v>
      </c>
      <c r="D42" s="52" t="str">
        <f ca="1">VLOOKUP($C42,OFFSET([1]characters!$A$1,0,0,COUNTA([1]characters!$A:$A),MATCH(D$1,[1]characters!$1:$1,0)-MATCH($C$1,[1]characters!$1:$1,0)+1),MATCH(D$1,[1]characters!$1:$1,0)-MATCH($C$1,[1]characters!$1:$1,0)+1,FALSE)</f>
        <v>宇宙の拡超 ハップル</v>
      </c>
      <c r="E42" s="52">
        <f ca="1">VLOOKUP($C42,OFFSET([1]characters!$A$1,0,0,COUNTA([1]characters!$A:$A),MATCH(E$1,[1]characters!$1:$1,0)-MATCH($C$1,[1]characters!$1:$1,0)+1),MATCH(E$1,[1]characters!$1:$1,0)-MATCH($C$1,[1]characters!$1:$1,0)+1,FALSE)</f>
        <v>5</v>
      </c>
      <c r="F42" s="52" t="str">
        <f ca="1">VLOOKUP($C42,OFFSET([1]characters!$A$1,0,0,COUNTA([1]characters!$A:$A),MATCH(F$1,[1]characters!$1:$1,0)-MATCH($C$1,[1]characters!$1:$1,0)+1),MATCH(F$1,[1]characters!$1:$1,0)-MATCH($C$1,[1]characters!$1:$1,0)+1,FALSE)</f>
        <v>PremiumSSS</v>
      </c>
      <c r="G42" s="194">
        <v>1128</v>
      </c>
      <c r="H42" s="52" t="str">
        <f ca="1">VLOOKUP($G42,OFFSET([1]characters!$A$1,0,0,COUNTA([1]characters!$A:$A),MATCH(H$1,[1]characters!$1:$1,0)-MATCH($C$1,[1]characters!$1:$1,0)+1),MATCH(H$1,[1]characters!$1:$1,0)-MATCH($C$1,[1]characters!$1:$1,0)+1,FALSE)</f>
        <v>宇宙天紡の星明 ハップル</v>
      </c>
      <c r="I42" s="193">
        <v>1008</v>
      </c>
      <c r="J42" s="52" t="str">
        <f ca="1">VLOOKUP($I42,OFFSET([1]characters!$A$1,0,0,COUNTA([1]characters!$A:$A),MATCH(J$1,[1]characters!$1:$1,0)-MATCH($C$1,[1]characters!$1:$1,0)+1),MATCH(J$1,[1]characters!$1:$1,0)-MATCH($C$1,[1]characters!$1:$1,0)+1,FALSE)</f>
        <v>オシリス</v>
      </c>
      <c r="K42" s="191">
        <v>1</v>
      </c>
      <c r="L42" s="191">
        <v>1</v>
      </c>
      <c r="M42" s="192">
        <v>100</v>
      </c>
      <c r="N42" s="2" t="s">
        <v>340</v>
      </c>
    </row>
    <row r="43" spans="1:14" ht="21" customHeight="1" x14ac:dyDescent="0.15">
      <c r="A43" s="60" t="str">
        <f t="shared" si="16"/>
        <v>489_650</v>
      </c>
      <c r="B43" s="194">
        <v>489</v>
      </c>
      <c r="C43" s="177">
        <f t="shared" si="17"/>
        <v>489</v>
      </c>
      <c r="D43" s="52" t="str">
        <f ca="1">VLOOKUP($C43,OFFSET([1]characters!$A$1,0,0,COUNTA([1]characters!$A:$A),MATCH(D$1,[1]characters!$1:$1,0)-MATCH($C$1,[1]characters!$1:$1,0)+1),MATCH(D$1,[1]characters!$1:$1,0)-MATCH($C$1,[1]characters!$1:$1,0)+1,FALSE)</f>
        <v>宇宙の拡超 ハップル</v>
      </c>
      <c r="E43" s="52">
        <f ca="1">VLOOKUP($C43,OFFSET([1]characters!$A$1,0,0,COUNTA([1]characters!$A:$A),MATCH(E$1,[1]characters!$1:$1,0)-MATCH($C$1,[1]characters!$1:$1,0)+1),MATCH(E$1,[1]characters!$1:$1,0)-MATCH($C$1,[1]characters!$1:$1,0)+1,FALSE)</f>
        <v>5</v>
      </c>
      <c r="F43" s="52" t="str">
        <f ca="1">VLOOKUP($C43,OFFSET([1]characters!$A$1,0,0,COUNTA([1]characters!$A:$A),MATCH(F$1,[1]characters!$1:$1,0)-MATCH($C$1,[1]characters!$1:$1,0)+1),MATCH(F$1,[1]characters!$1:$1,0)-MATCH($C$1,[1]characters!$1:$1,0)+1,FALSE)</f>
        <v>PremiumSSS</v>
      </c>
      <c r="G43" s="194">
        <v>1128</v>
      </c>
      <c r="H43" s="52" t="str">
        <f ca="1">VLOOKUP($G43,OFFSET([1]characters!$A$1,0,0,COUNTA([1]characters!$A:$A),MATCH(H$1,[1]characters!$1:$1,0)-MATCH($C$1,[1]characters!$1:$1,0)+1),MATCH(H$1,[1]characters!$1:$1,0)-MATCH($C$1,[1]characters!$1:$1,0)+1,FALSE)</f>
        <v>宇宙天紡の星明 ハップル</v>
      </c>
      <c r="I43" s="193">
        <v>650</v>
      </c>
      <c r="J43" s="52" t="str">
        <f ca="1">VLOOKUP($I43,OFFSET([1]characters!$A$1,0,0,COUNTA([1]characters!$A:$A),MATCH(J$1,[1]characters!$1:$1,0)-MATCH($C$1,[1]characters!$1:$1,0)+1),MATCH(J$1,[1]characters!$1:$1,0)-MATCH($C$1,[1]characters!$1:$1,0)+1,FALSE)</f>
        <v>土蜘蛛 ユウヤ</v>
      </c>
      <c r="K43" s="191">
        <v>1</v>
      </c>
      <c r="L43" s="191">
        <v>3</v>
      </c>
      <c r="M43" s="192">
        <v>100</v>
      </c>
      <c r="N43" s="2" t="s">
        <v>340</v>
      </c>
    </row>
    <row r="44" spans="1:14" ht="21" customHeight="1" x14ac:dyDescent="0.15">
      <c r="A44" s="60" t="str">
        <f t="shared" si="16"/>
        <v>489_1098</v>
      </c>
      <c r="B44" s="194">
        <v>489</v>
      </c>
      <c r="C44" s="177">
        <f t="shared" si="17"/>
        <v>489</v>
      </c>
      <c r="D44" s="52" t="str">
        <f ca="1">VLOOKUP($C44,OFFSET([1]characters!$A$1,0,0,COUNTA([1]characters!$A:$A),MATCH(D$1,[1]characters!$1:$1,0)-MATCH($C$1,[1]characters!$1:$1,0)+1),MATCH(D$1,[1]characters!$1:$1,0)-MATCH($C$1,[1]characters!$1:$1,0)+1,FALSE)</f>
        <v>宇宙の拡超 ハップル</v>
      </c>
      <c r="E44" s="52">
        <f ca="1">VLOOKUP($C44,OFFSET([1]characters!$A$1,0,0,COUNTA([1]characters!$A:$A),MATCH(E$1,[1]characters!$1:$1,0)-MATCH($C$1,[1]characters!$1:$1,0)+1),MATCH(E$1,[1]characters!$1:$1,0)-MATCH($C$1,[1]characters!$1:$1,0)+1,FALSE)</f>
        <v>5</v>
      </c>
      <c r="F44" s="52" t="str">
        <f ca="1">VLOOKUP($C44,OFFSET([1]characters!$A$1,0,0,COUNTA([1]characters!$A:$A),MATCH(F$1,[1]characters!$1:$1,0)-MATCH($C$1,[1]characters!$1:$1,0)+1),MATCH(F$1,[1]characters!$1:$1,0)-MATCH($C$1,[1]characters!$1:$1,0)+1,FALSE)</f>
        <v>PremiumSSS</v>
      </c>
      <c r="G44" s="194">
        <v>1128</v>
      </c>
      <c r="H44" s="52" t="str">
        <f ca="1">VLOOKUP($G44,OFFSET([1]characters!$A$1,0,0,COUNTA([1]characters!$A:$A),MATCH(H$1,[1]characters!$1:$1,0)-MATCH($C$1,[1]characters!$1:$1,0)+1),MATCH(H$1,[1]characters!$1:$1,0)-MATCH($C$1,[1]characters!$1:$1,0)+1,FALSE)</f>
        <v>宇宙天紡の星明 ハップル</v>
      </c>
      <c r="I44" s="193">
        <v>1098</v>
      </c>
      <c r="J44" s="52" t="str">
        <f ca="1">VLOOKUP($I44,OFFSET([1]characters!$A$1,0,0,COUNTA([1]characters!$A:$A),MATCH(J$1,[1]characters!$1:$1,0)-MATCH($C$1,[1]characters!$1:$1,0)+1),MATCH(J$1,[1]characters!$1:$1,0)-MATCH($C$1,[1]characters!$1:$1,0)+1,FALSE)</f>
        <v>ルピカ</v>
      </c>
      <c r="K44" s="191">
        <v>1</v>
      </c>
      <c r="L44" s="191">
        <v>3</v>
      </c>
      <c r="M44" s="192">
        <v>100</v>
      </c>
      <c r="N44" s="2" t="s">
        <v>340</v>
      </c>
    </row>
    <row r="45" spans="1:14" ht="21" customHeight="1" x14ac:dyDescent="0.15">
      <c r="A45" s="60" t="str">
        <f t="shared" si="16"/>
        <v>803_650</v>
      </c>
      <c r="B45" s="194">
        <v>803</v>
      </c>
      <c r="C45" s="177">
        <f t="shared" si="17"/>
        <v>803</v>
      </c>
      <c r="D45" s="52" t="str">
        <f ca="1">VLOOKUP($C45,OFFSET([1]characters!$A$1,0,0,COUNTA([1]characters!$A:$A),MATCH(D$1,[1]characters!$1:$1,0)-MATCH($C$1,[1]characters!$1:$1,0)+1),MATCH(D$1,[1]characters!$1:$1,0)-MATCH($C$1,[1]characters!$1:$1,0)+1,FALSE)</f>
        <v>大宇宙の膨超 ハップル</v>
      </c>
      <c r="E45" s="52">
        <f ca="1">VLOOKUP($C45,OFFSET([1]characters!$A$1,0,0,COUNTA([1]characters!$A:$A),MATCH(E$1,[1]characters!$1:$1,0)-MATCH($C$1,[1]characters!$1:$1,0)+1),MATCH(E$1,[1]characters!$1:$1,0)-MATCH($C$1,[1]characters!$1:$1,0)+1,FALSE)</f>
        <v>6</v>
      </c>
      <c r="F45" s="52" t="str">
        <f ca="1">VLOOKUP($C45,OFFSET([1]characters!$A$1,0,0,COUNTA([1]characters!$A:$A),MATCH(F$1,[1]characters!$1:$1,0)-MATCH($C$1,[1]characters!$1:$1,0)+1),MATCH(F$1,[1]characters!$1:$1,0)-MATCH($C$1,[1]characters!$1:$1,0)+1,FALSE)</f>
        <v>PremiumSSS</v>
      </c>
      <c r="G45" s="194">
        <v>1128</v>
      </c>
      <c r="H45" s="52" t="str">
        <f ca="1">VLOOKUP($G45,OFFSET([1]characters!$A$1,0,0,COUNTA([1]characters!$A:$A),MATCH(H$1,[1]characters!$1:$1,0)-MATCH($C$1,[1]characters!$1:$1,0)+1),MATCH(H$1,[1]characters!$1:$1,0)-MATCH($C$1,[1]characters!$1:$1,0)+1,FALSE)</f>
        <v>宇宙天紡の星明 ハップル</v>
      </c>
      <c r="I45" s="193">
        <v>650</v>
      </c>
      <c r="J45" s="52" t="str">
        <f ca="1">VLOOKUP($I45,OFFSET([1]characters!$A$1,0,0,COUNTA([1]characters!$A:$A),MATCH(J$1,[1]characters!$1:$1,0)-MATCH($C$1,[1]characters!$1:$1,0)+1),MATCH(J$1,[1]characters!$1:$1,0)-MATCH($C$1,[1]characters!$1:$1,0)+1,FALSE)</f>
        <v>土蜘蛛 ユウヤ</v>
      </c>
      <c r="K45" s="191">
        <v>1</v>
      </c>
      <c r="L45" s="191">
        <v>2</v>
      </c>
      <c r="M45" s="192">
        <v>100</v>
      </c>
      <c r="N45" s="2" t="s">
        <v>340</v>
      </c>
    </row>
    <row r="46" spans="1:14" ht="21" customHeight="1" x14ac:dyDescent="0.15">
      <c r="A46" s="60" t="str">
        <f t="shared" si="16"/>
        <v>803_1098</v>
      </c>
      <c r="B46" s="194">
        <v>803</v>
      </c>
      <c r="C46" s="177">
        <f t="shared" si="17"/>
        <v>803</v>
      </c>
      <c r="D46" s="52" t="str">
        <f ca="1">VLOOKUP($C46,OFFSET([1]characters!$A$1,0,0,COUNTA([1]characters!$A:$A),MATCH(D$1,[1]characters!$1:$1,0)-MATCH($C$1,[1]characters!$1:$1,0)+1),MATCH(D$1,[1]characters!$1:$1,0)-MATCH($C$1,[1]characters!$1:$1,0)+1,FALSE)</f>
        <v>大宇宙の膨超 ハップル</v>
      </c>
      <c r="E46" s="52">
        <f ca="1">VLOOKUP($C46,OFFSET([1]characters!$A$1,0,0,COUNTA([1]characters!$A:$A),MATCH(E$1,[1]characters!$1:$1,0)-MATCH($C$1,[1]characters!$1:$1,0)+1),MATCH(E$1,[1]characters!$1:$1,0)-MATCH($C$1,[1]characters!$1:$1,0)+1,FALSE)</f>
        <v>6</v>
      </c>
      <c r="F46" s="52" t="str">
        <f ca="1">VLOOKUP($C46,OFFSET([1]characters!$A$1,0,0,COUNTA([1]characters!$A:$A),MATCH(F$1,[1]characters!$1:$1,0)-MATCH($C$1,[1]characters!$1:$1,0)+1),MATCH(F$1,[1]characters!$1:$1,0)-MATCH($C$1,[1]characters!$1:$1,0)+1,FALSE)</f>
        <v>PremiumSSS</v>
      </c>
      <c r="G46" s="194">
        <v>1128</v>
      </c>
      <c r="H46" s="52" t="str">
        <f ca="1">VLOOKUP($G46,OFFSET([1]characters!$A$1,0,0,COUNTA([1]characters!$A:$A),MATCH(H$1,[1]characters!$1:$1,0)-MATCH($C$1,[1]characters!$1:$1,0)+1),MATCH(H$1,[1]characters!$1:$1,0)-MATCH($C$1,[1]characters!$1:$1,0)+1,FALSE)</f>
        <v>宇宙天紡の星明 ハップル</v>
      </c>
      <c r="I46" s="193">
        <v>1098</v>
      </c>
      <c r="J46" s="52" t="str">
        <f ca="1">VLOOKUP($I46,OFFSET([1]characters!$A$1,0,0,COUNTA([1]characters!$A:$A),MATCH(J$1,[1]characters!$1:$1,0)-MATCH($C$1,[1]characters!$1:$1,0)+1),MATCH(J$1,[1]characters!$1:$1,0)-MATCH($C$1,[1]characters!$1:$1,0)+1,FALSE)</f>
        <v>ルピカ</v>
      </c>
      <c r="K46" s="191">
        <v>1</v>
      </c>
      <c r="L46" s="191">
        <v>2</v>
      </c>
      <c r="M46" s="192">
        <v>100</v>
      </c>
      <c r="N46" s="2" t="s">
        <v>340</v>
      </c>
    </row>
    <row r="47" spans="1:14" ht="21" customHeight="1" x14ac:dyDescent="0.15">
      <c r="A47" s="60" t="str">
        <f t="shared" si="16"/>
        <v>1128_114</v>
      </c>
      <c r="B47" s="194">
        <v>1128</v>
      </c>
      <c r="C47" s="177">
        <f t="shared" si="17"/>
        <v>1128</v>
      </c>
      <c r="D47" s="52" t="str">
        <f ca="1">VLOOKUP($C47,OFFSET([1]characters!$A$1,0,0,COUNTA([1]characters!$A:$A),MATCH(D$1,[1]characters!$1:$1,0)-MATCH($C$1,[1]characters!$1:$1,0)+1),MATCH(D$1,[1]characters!$1:$1,0)-MATCH($C$1,[1]characters!$1:$1,0)+1,FALSE)</f>
        <v>宇宙天紡の星明 ハップル</v>
      </c>
      <c r="E47" s="52">
        <f ca="1">VLOOKUP($C47,OFFSET([1]characters!$A$1,0,0,COUNTA([1]characters!$A:$A),MATCH(E$1,[1]characters!$1:$1,0)-MATCH($C$1,[1]characters!$1:$1,0)+1),MATCH(E$1,[1]characters!$1:$1,0)-MATCH($C$1,[1]characters!$1:$1,0)+1,FALSE)</f>
        <v>6</v>
      </c>
      <c r="F47" s="52" t="str">
        <f ca="1">VLOOKUP($C47,OFFSET([1]characters!$A$1,0,0,COUNTA([1]characters!$A:$A),MATCH(F$1,[1]characters!$1:$1,0)-MATCH($C$1,[1]characters!$1:$1,0)+1),MATCH(F$1,[1]characters!$1:$1,0)-MATCH($C$1,[1]characters!$1:$1,0)+1,FALSE)</f>
        <v>PremiumSSS</v>
      </c>
      <c r="G47" s="194">
        <v>803</v>
      </c>
      <c r="H47" s="52" t="str">
        <f ca="1">VLOOKUP($G47,OFFSET([1]characters!$A$1,0,0,COUNTA([1]characters!$A:$A),MATCH(H$1,[1]characters!$1:$1,0)-MATCH($C$1,[1]characters!$1:$1,0)+1),MATCH(H$1,[1]characters!$1:$1,0)-MATCH($C$1,[1]characters!$1:$1,0)+1,FALSE)</f>
        <v>大宇宙の膨超 ハップル</v>
      </c>
      <c r="I47" s="193">
        <v>114</v>
      </c>
      <c r="J47" s="52" t="str">
        <f ca="1">VLOOKUP($I47,OFFSET([1]characters!$A$1,0,0,COUNTA([1]characters!$A:$A),MATCH(J$1,[1]characters!$1:$1,0)-MATCH($C$1,[1]characters!$1:$1,0)+1),MATCH(J$1,[1]characters!$1:$1,0)-MATCH($C$1,[1]characters!$1:$1,0)+1,FALSE)</f>
        <v>イエローラビット</v>
      </c>
      <c r="K47" s="191">
        <v>1</v>
      </c>
      <c r="L47" s="191">
        <v>1</v>
      </c>
      <c r="M47" s="192">
        <v>10</v>
      </c>
      <c r="N47" s="2" t="s">
        <v>340</v>
      </c>
    </row>
    <row r="48" spans="1:14" ht="21" customHeight="1" x14ac:dyDescent="0.15">
      <c r="A48" s="60" t="str">
        <f t="shared" si="16"/>
        <v>1128_115</v>
      </c>
      <c r="B48" s="194">
        <v>1128</v>
      </c>
      <c r="C48" s="177">
        <f t="shared" si="17"/>
        <v>1128</v>
      </c>
      <c r="D48" s="52" t="str">
        <f ca="1">VLOOKUP($C48,OFFSET([1]characters!$A$1,0,0,COUNTA([1]characters!$A:$A),MATCH(D$1,[1]characters!$1:$1,0)-MATCH($C$1,[1]characters!$1:$1,0)+1),MATCH(D$1,[1]characters!$1:$1,0)-MATCH($C$1,[1]characters!$1:$1,0)+1,FALSE)</f>
        <v>宇宙天紡の星明 ハップル</v>
      </c>
      <c r="E48" s="52">
        <f ca="1">VLOOKUP($C48,OFFSET([1]characters!$A$1,0,0,COUNTA([1]characters!$A:$A),MATCH(E$1,[1]characters!$1:$1,0)-MATCH($C$1,[1]characters!$1:$1,0)+1),MATCH(E$1,[1]characters!$1:$1,0)-MATCH($C$1,[1]characters!$1:$1,0)+1,FALSE)</f>
        <v>6</v>
      </c>
      <c r="F48" s="52" t="str">
        <f ca="1">VLOOKUP($C48,OFFSET([1]characters!$A$1,0,0,COUNTA([1]characters!$A:$A),MATCH(F$1,[1]characters!$1:$1,0)-MATCH($C$1,[1]characters!$1:$1,0)+1),MATCH(F$1,[1]characters!$1:$1,0)-MATCH($C$1,[1]characters!$1:$1,0)+1,FALSE)</f>
        <v>PremiumSSS</v>
      </c>
      <c r="G48" s="194">
        <v>803</v>
      </c>
      <c r="H48" s="52" t="str">
        <f ca="1">VLOOKUP($G48,OFFSET([1]characters!$A$1,0,0,COUNTA([1]characters!$A:$A),MATCH(H$1,[1]characters!$1:$1,0)-MATCH($C$1,[1]characters!$1:$1,0)+1),MATCH(H$1,[1]characters!$1:$1,0)-MATCH($C$1,[1]characters!$1:$1,0)+1,FALSE)</f>
        <v>大宇宙の膨超 ハップル</v>
      </c>
      <c r="I48" s="193">
        <v>115</v>
      </c>
      <c r="J48" s="52" t="str">
        <f ca="1">VLOOKUP($I48,OFFSET([1]characters!$A$1,0,0,COUNTA([1]characters!$A:$A),MATCH(J$1,[1]characters!$1:$1,0)-MATCH($C$1,[1]characters!$1:$1,0)+1),MATCH(J$1,[1]characters!$1:$1,0)-MATCH($C$1,[1]characters!$1:$1,0)+1,FALSE)</f>
        <v>イエローキャタップ</v>
      </c>
      <c r="K48" s="191">
        <v>1</v>
      </c>
      <c r="L48" s="191">
        <v>1</v>
      </c>
      <c r="M48" s="192">
        <v>10</v>
      </c>
      <c r="N48" s="2" t="s">
        <v>340</v>
      </c>
    </row>
    <row r="49" spans="1:14" ht="21" customHeight="1" x14ac:dyDescent="0.15">
      <c r="A49" s="60" t="str">
        <f t="shared" si="16"/>
        <v>1128_116</v>
      </c>
      <c r="B49" s="194">
        <v>1128</v>
      </c>
      <c r="C49" s="177">
        <f t="shared" si="17"/>
        <v>1128</v>
      </c>
      <c r="D49" s="52" t="str">
        <f ca="1">VLOOKUP($C49,OFFSET([1]characters!$A$1,0,0,COUNTA([1]characters!$A:$A),MATCH(D$1,[1]characters!$1:$1,0)-MATCH($C$1,[1]characters!$1:$1,0)+1),MATCH(D$1,[1]characters!$1:$1,0)-MATCH($C$1,[1]characters!$1:$1,0)+1,FALSE)</f>
        <v>宇宙天紡の星明 ハップル</v>
      </c>
      <c r="E49" s="52">
        <f ca="1">VLOOKUP($C49,OFFSET([1]characters!$A$1,0,0,COUNTA([1]characters!$A:$A),MATCH(E$1,[1]characters!$1:$1,0)-MATCH($C$1,[1]characters!$1:$1,0)+1),MATCH(E$1,[1]characters!$1:$1,0)-MATCH($C$1,[1]characters!$1:$1,0)+1,FALSE)</f>
        <v>6</v>
      </c>
      <c r="F49" s="52" t="str">
        <f ca="1">VLOOKUP($C49,OFFSET([1]characters!$A$1,0,0,COUNTA([1]characters!$A:$A),MATCH(F$1,[1]characters!$1:$1,0)-MATCH($C$1,[1]characters!$1:$1,0)+1),MATCH(F$1,[1]characters!$1:$1,0)-MATCH($C$1,[1]characters!$1:$1,0)+1,FALSE)</f>
        <v>PremiumSSS</v>
      </c>
      <c r="G49" s="194">
        <v>803</v>
      </c>
      <c r="H49" s="52" t="str">
        <f ca="1">VLOOKUP($G49,OFFSET([1]characters!$A$1,0,0,COUNTA([1]characters!$A:$A),MATCH(H$1,[1]characters!$1:$1,0)-MATCH($C$1,[1]characters!$1:$1,0)+1),MATCH(H$1,[1]characters!$1:$1,0)-MATCH($C$1,[1]characters!$1:$1,0)+1,FALSE)</f>
        <v>大宇宙の膨超 ハップル</v>
      </c>
      <c r="I49" s="193">
        <v>116</v>
      </c>
      <c r="J49" s="52" t="str">
        <f ca="1">VLOOKUP($I49,OFFSET([1]characters!$A$1,0,0,COUNTA([1]characters!$A:$A),MATCH(J$1,[1]characters!$1:$1,0)-MATCH($C$1,[1]characters!$1:$1,0)+1),MATCH(J$1,[1]characters!$1:$1,0)-MATCH($C$1,[1]characters!$1:$1,0)+1,FALSE)</f>
        <v>雷のマッドハッター</v>
      </c>
      <c r="K49" s="191">
        <v>1</v>
      </c>
      <c r="L49" s="191">
        <v>1</v>
      </c>
      <c r="M49" s="192">
        <v>10</v>
      </c>
      <c r="N49" s="2" t="s">
        <v>340</v>
      </c>
    </row>
    <row r="50" spans="1:14" ht="21" customHeight="1" x14ac:dyDescent="0.15">
      <c r="A50" s="60" t="str">
        <f t="shared" si="16"/>
        <v>478_106</v>
      </c>
      <c r="B50" s="194">
        <v>478</v>
      </c>
      <c r="C50" s="177">
        <f t="shared" si="17"/>
        <v>478</v>
      </c>
      <c r="D50" s="52" t="str">
        <f ca="1">VLOOKUP($C50,OFFSET([1]characters!$A$1,0,0,COUNTA([1]characters!$A:$A),MATCH(D$1,[1]characters!$1:$1,0)-MATCH($C$1,[1]characters!$1:$1,0)+1),MATCH(D$1,[1]characters!$1:$1,0)-MATCH($C$1,[1]characters!$1:$1,0)+1,FALSE)</f>
        <v>時計仕掛けの愛羽妖精 ファータ</v>
      </c>
      <c r="E50" s="52">
        <f ca="1">VLOOKUP($C50,OFFSET([1]characters!$A$1,0,0,COUNTA([1]characters!$A:$A),MATCH(E$1,[1]characters!$1:$1,0)-MATCH($C$1,[1]characters!$1:$1,0)+1),MATCH(E$1,[1]characters!$1:$1,0)-MATCH($C$1,[1]characters!$1:$1,0)+1,FALSE)</f>
        <v>5</v>
      </c>
      <c r="F50" s="52" t="str">
        <f ca="1">VLOOKUP($C50,OFFSET([1]characters!$A$1,0,0,COUNTA([1]characters!$A:$A),MATCH(F$1,[1]characters!$1:$1,0)-MATCH($C$1,[1]characters!$1:$1,0)+1),MATCH(F$1,[1]characters!$1:$1,0)-MATCH($C$1,[1]characters!$1:$1,0)+1,FALSE)</f>
        <v>PremiumS</v>
      </c>
      <c r="G50" s="194">
        <v>1173</v>
      </c>
      <c r="H50" s="52" t="str">
        <f ca="1">VLOOKUP($G50,OFFSET([1]characters!$A$1,0,0,COUNTA([1]characters!$A:$A),MATCH(H$1,[1]characters!$1:$1,0)-MATCH($C$1,[1]characters!$1:$1,0)+1),MATCH(H$1,[1]characters!$1:$1,0)-MATCH($C$1,[1]characters!$1:$1,0)+1,FALSE)</f>
        <v>愛を咲かせる春羽妖精 ファータ</v>
      </c>
      <c r="I50" s="193">
        <v>106</v>
      </c>
      <c r="J50" s="52" t="str">
        <f ca="1">VLOOKUP($I50,OFFSET([1]characters!$A$1,0,0,COUNTA([1]characters!$A:$A),MATCH(J$1,[1]characters!$1:$1,0)-MATCH($C$1,[1]characters!$1:$1,0)+1),MATCH(J$1,[1]characters!$1:$1,0)-MATCH($C$1,[1]characters!$1:$1,0)+1,FALSE)</f>
        <v>グリーンラビット</v>
      </c>
      <c r="K50" s="191">
        <v>1</v>
      </c>
      <c r="L50" s="191">
        <v>1</v>
      </c>
      <c r="M50" s="192">
        <v>10</v>
      </c>
      <c r="N50" s="2" t="s">
        <v>340</v>
      </c>
    </row>
    <row r="51" spans="1:14" ht="21" customHeight="1" x14ac:dyDescent="0.15">
      <c r="A51" s="60" t="str">
        <f t="shared" si="16"/>
        <v>478_107</v>
      </c>
      <c r="B51" s="194">
        <v>478</v>
      </c>
      <c r="C51" s="177">
        <f t="shared" si="17"/>
        <v>478</v>
      </c>
      <c r="D51" s="52" t="str">
        <f ca="1">VLOOKUP($C51,OFFSET([1]characters!$A$1,0,0,COUNTA([1]characters!$A:$A),MATCH(D$1,[1]characters!$1:$1,0)-MATCH($C$1,[1]characters!$1:$1,0)+1),MATCH(D$1,[1]characters!$1:$1,0)-MATCH($C$1,[1]characters!$1:$1,0)+1,FALSE)</f>
        <v>時計仕掛けの愛羽妖精 ファータ</v>
      </c>
      <c r="E51" s="52">
        <f ca="1">VLOOKUP($C51,OFFSET([1]characters!$A$1,0,0,COUNTA([1]characters!$A:$A),MATCH(E$1,[1]characters!$1:$1,0)-MATCH($C$1,[1]characters!$1:$1,0)+1),MATCH(E$1,[1]characters!$1:$1,0)-MATCH($C$1,[1]characters!$1:$1,0)+1,FALSE)</f>
        <v>5</v>
      </c>
      <c r="F51" s="52" t="str">
        <f ca="1">VLOOKUP($C51,OFFSET([1]characters!$A$1,0,0,COUNTA([1]characters!$A:$A),MATCH(F$1,[1]characters!$1:$1,0)-MATCH($C$1,[1]characters!$1:$1,0)+1),MATCH(F$1,[1]characters!$1:$1,0)-MATCH($C$1,[1]characters!$1:$1,0)+1,FALSE)</f>
        <v>PremiumS</v>
      </c>
      <c r="G51" s="194">
        <v>1173</v>
      </c>
      <c r="H51" s="52" t="str">
        <f ca="1">VLOOKUP($G51,OFFSET([1]characters!$A$1,0,0,COUNTA([1]characters!$A:$A),MATCH(H$1,[1]characters!$1:$1,0)-MATCH($C$1,[1]characters!$1:$1,0)+1),MATCH(H$1,[1]characters!$1:$1,0)-MATCH($C$1,[1]characters!$1:$1,0)+1,FALSE)</f>
        <v>愛を咲かせる春羽妖精 ファータ</v>
      </c>
      <c r="I51" s="193">
        <v>107</v>
      </c>
      <c r="J51" s="52" t="str">
        <f ca="1">VLOOKUP($I51,OFFSET([1]characters!$A$1,0,0,COUNTA([1]characters!$A:$A),MATCH(J$1,[1]characters!$1:$1,0)-MATCH($C$1,[1]characters!$1:$1,0)+1),MATCH(J$1,[1]characters!$1:$1,0)-MATCH($C$1,[1]characters!$1:$1,0)+1,FALSE)</f>
        <v>グリーンキャタップ</v>
      </c>
      <c r="K51" s="191">
        <v>1</v>
      </c>
      <c r="L51" s="191">
        <v>1</v>
      </c>
      <c r="M51" s="192">
        <v>10</v>
      </c>
      <c r="N51" s="2" t="s">
        <v>340</v>
      </c>
    </row>
    <row r="52" spans="1:14" ht="21" customHeight="1" x14ac:dyDescent="0.15">
      <c r="A52" s="60" t="str">
        <f t="shared" si="16"/>
        <v>478_108</v>
      </c>
      <c r="B52" s="194">
        <v>478</v>
      </c>
      <c r="C52" s="177">
        <f t="shared" si="17"/>
        <v>478</v>
      </c>
      <c r="D52" s="52" t="str">
        <f ca="1">VLOOKUP($C52,OFFSET([1]characters!$A$1,0,0,COUNTA([1]characters!$A:$A),MATCH(D$1,[1]characters!$1:$1,0)-MATCH($C$1,[1]characters!$1:$1,0)+1),MATCH(D$1,[1]characters!$1:$1,0)-MATCH($C$1,[1]characters!$1:$1,0)+1,FALSE)</f>
        <v>時計仕掛けの愛羽妖精 ファータ</v>
      </c>
      <c r="E52" s="52">
        <f ca="1">VLOOKUP($C52,OFFSET([1]characters!$A$1,0,0,COUNTA([1]characters!$A:$A),MATCH(E$1,[1]characters!$1:$1,0)-MATCH($C$1,[1]characters!$1:$1,0)+1),MATCH(E$1,[1]characters!$1:$1,0)-MATCH($C$1,[1]characters!$1:$1,0)+1,FALSE)</f>
        <v>5</v>
      </c>
      <c r="F52" s="52" t="str">
        <f ca="1">VLOOKUP($C52,OFFSET([1]characters!$A$1,0,0,COUNTA([1]characters!$A:$A),MATCH(F$1,[1]characters!$1:$1,0)-MATCH($C$1,[1]characters!$1:$1,0)+1),MATCH(F$1,[1]characters!$1:$1,0)-MATCH($C$1,[1]characters!$1:$1,0)+1,FALSE)</f>
        <v>PremiumS</v>
      </c>
      <c r="G52" s="194">
        <v>1173</v>
      </c>
      <c r="H52" s="52" t="str">
        <f ca="1">VLOOKUP($G52,OFFSET([1]characters!$A$1,0,0,COUNTA([1]characters!$A:$A),MATCH(H$1,[1]characters!$1:$1,0)-MATCH($C$1,[1]characters!$1:$1,0)+1),MATCH(H$1,[1]characters!$1:$1,0)-MATCH($C$1,[1]characters!$1:$1,0)+1,FALSE)</f>
        <v>愛を咲かせる春羽妖精 ファータ</v>
      </c>
      <c r="I52" s="193">
        <v>108</v>
      </c>
      <c r="J52" s="52" t="str">
        <f ca="1">VLOOKUP($I52,OFFSET([1]characters!$A$1,0,0,COUNTA([1]characters!$A:$A),MATCH(J$1,[1]characters!$1:$1,0)-MATCH($C$1,[1]characters!$1:$1,0)+1),MATCH(J$1,[1]characters!$1:$1,0)-MATCH($C$1,[1]characters!$1:$1,0)+1,FALSE)</f>
        <v>森のマッドハッター</v>
      </c>
      <c r="K52" s="191">
        <v>1</v>
      </c>
      <c r="L52" s="191">
        <v>1</v>
      </c>
      <c r="M52" s="192">
        <v>10</v>
      </c>
      <c r="N52" s="2" t="s">
        <v>340</v>
      </c>
    </row>
    <row r="53" spans="1:14" ht="21" customHeight="1" x14ac:dyDescent="0.15">
      <c r="A53" s="60" t="str">
        <f t="shared" si="16"/>
        <v>478_837</v>
      </c>
      <c r="B53" s="194">
        <v>478</v>
      </c>
      <c r="C53" s="177">
        <f t="shared" si="17"/>
        <v>478</v>
      </c>
      <c r="D53" s="52" t="str">
        <f ca="1">VLOOKUP($C53,OFFSET([1]characters!$A$1,0,0,COUNTA([1]characters!$A:$A),MATCH(D$1,[1]characters!$1:$1,0)-MATCH($C$1,[1]characters!$1:$1,0)+1),MATCH(D$1,[1]characters!$1:$1,0)-MATCH($C$1,[1]characters!$1:$1,0)+1,FALSE)</f>
        <v>時計仕掛けの愛羽妖精 ファータ</v>
      </c>
      <c r="E53" s="52">
        <f ca="1">VLOOKUP($C53,OFFSET([1]characters!$A$1,0,0,COUNTA([1]characters!$A:$A),MATCH(E$1,[1]characters!$1:$1,0)-MATCH($C$1,[1]characters!$1:$1,0)+1),MATCH(E$1,[1]characters!$1:$1,0)-MATCH($C$1,[1]characters!$1:$1,0)+1,FALSE)</f>
        <v>5</v>
      </c>
      <c r="F53" s="52" t="str">
        <f ca="1">VLOOKUP($C53,OFFSET([1]characters!$A$1,0,0,COUNTA([1]characters!$A:$A),MATCH(F$1,[1]characters!$1:$1,0)-MATCH($C$1,[1]characters!$1:$1,0)+1),MATCH(F$1,[1]characters!$1:$1,0)-MATCH($C$1,[1]characters!$1:$1,0)+1,FALSE)</f>
        <v>PremiumS</v>
      </c>
      <c r="G53" s="194">
        <v>1173</v>
      </c>
      <c r="H53" s="52" t="str">
        <f ca="1">VLOOKUP($G53,OFFSET([1]characters!$A$1,0,0,COUNTA([1]characters!$A:$A),MATCH(H$1,[1]characters!$1:$1,0)-MATCH($C$1,[1]characters!$1:$1,0)+1),MATCH(H$1,[1]characters!$1:$1,0)-MATCH($C$1,[1]characters!$1:$1,0)+1,FALSE)</f>
        <v>愛を咲かせる春羽妖精 ファータ</v>
      </c>
      <c r="I53" s="193">
        <v>837</v>
      </c>
      <c r="J53" s="52" t="str">
        <f ca="1">VLOOKUP($I53,OFFSET([1]characters!$A$1,0,0,COUNTA([1]characters!$A:$A),MATCH(J$1,[1]characters!$1:$1,0)-MATCH($C$1,[1]characters!$1:$1,0)+1),MATCH(J$1,[1]characters!$1:$1,0)-MATCH($C$1,[1]characters!$1:$1,0)+1,FALSE)</f>
        <v>リトルハンプティ</v>
      </c>
      <c r="K53" s="191">
        <v>1</v>
      </c>
      <c r="L53" s="191">
        <v>1</v>
      </c>
      <c r="M53" s="192">
        <v>1000</v>
      </c>
      <c r="N53" s="2" t="s">
        <v>340</v>
      </c>
    </row>
    <row r="54" spans="1:14" ht="21" customHeight="1" x14ac:dyDescent="0.15">
      <c r="A54" s="60" t="str">
        <f t="shared" si="16"/>
        <v>870_472</v>
      </c>
      <c r="B54" s="194">
        <v>870</v>
      </c>
      <c r="C54" s="177">
        <f t="shared" si="17"/>
        <v>870</v>
      </c>
      <c r="D54" s="52" t="str">
        <f ca="1">VLOOKUP($C54,OFFSET([1]characters!$A$1,0,0,COUNTA([1]characters!$A:$A),MATCH(D$1,[1]characters!$1:$1,0)-MATCH($C$1,[1]characters!$1:$1,0)+1),MATCH(D$1,[1]characters!$1:$1,0)-MATCH($C$1,[1]characters!$1:$1,0)+1,FALSE)</f>
        <v>フロイト</v>
      </c>
      <c r="E54" s="52">
        <f ca="1">VLOOKUP($C54,OFFSET([1]characters!$A$1,0,0,COUNTA([1]characters!$A:$A),MATCH(E$1,[1]characters!$1:$1,0)-MATCH($C$1,[1]characters!$1:$1,0)+1),MATCH(E$1,[1]characters!$1:$1,0)-MATCH($C$1,[1]characters!$1:$1,0)+1,FALSE)</f>
        <v>5</v>
      </c>
      <c r="F54" s="52" t="str">
        <f ca="1">VLOOKUP($C54,OFFSET([1]characters!$A$1,0,0,COUNTA([1]characters!$A:$A),MATCH(F$1,[1]characters!$1:$1,0)-MATCH($C$1,[1]characters!$1:$1,0)+1),MATCH(F$1,[1]characters!$1:$1,0)-MATCH($C$1,[1]characters!$1:$1,0)+1,FALSE)</f>
        <v>PremiumSSS</v>
      </c>
      <c r="G54" s="194">
        <v>1176</v>
      </c>
      <c r="H54" s="52" t="str">
        <f ca="1">VLOOKUP($G54,OFFSET([1]characters!$A$1,0,0,COUNTA([1]characters!$A:$A),MATCH(H$1,[1]characters!$1:$1,0)-MATCH($C$1,[1]characters!$1:$1,0)+1),MATCH(H$1,[1]characters!$1:$1,0)-MATCH($C$1,[1]characters!$1:$1,0)+1,FALSE)</f>
        <v>夢二夢斬の遊猟 フロイト</v>
      </c>
      <c r="I54" s="193">
        <v>472</v>
      </c>
      <c r="J54" s="52" t="str">
        <f ca="1">VLOOKUP($I54,OFFSET([1]characters!$A$1,0,0,COUNTA([1]characters!$A:$A),MATCH(J$1,[1]characters!$1:$1,0)-MATCH($C$1,[1]characters!$1:$1,0)+1),MATCH(J$1,[1]characters!$1:$1,0)-MATCH($C$1,[1]characters!$1:$1,0)+1,FALSE)</f>
        <v>アーサー</v>
      </c>
      <c r="K54" s="191">
        <v>1</v>
      </c>
      <c r="L54" s="192">
        <v>1</v>
      </c>
      <c r="M54" s="192">
        <v>100</v>
      </c>
      <c r="N54" s="2" t="s">
        <v>285</v>
      </c>
    </row>
    <row r="55" spans="1:14" ht="21" customHeight="1" x14ac:dyDescent="0.15">
      <c r="A55" s="60" t="str">
        <f t="shared" si="16"/>
        <v>870_278</v>
      </c>
      <c r="B55" s="194">
        <v>870</v>
      </c>
      <c r="C55" s="177">
        <f t="shared" si="17"/>
        <v>870</v>
      </c>
      <c r="D55" s="52" t="str">
        <f ca="1">VLOOKUP($C55,OFFSET([1]characters!$A$1,0,0,COUNTA([1]characters!$A:$A),MATCH(D$1,[1]characters!$1:$1,0)-MATCH($C$1,[1]characters!$1:$1,0)+1),MATCH(D$1,[1]characters!$1:$1,0)-MATCH($C$1,[1]characters!$1:$1,0)+1,FALSE)</f>
        <v>フロイト</v>
      </c>
      <c r="E55" s="52">
        <f ca="1">VLOOKUP($C55,OFFSET([1]characters!$A$1,0,0,COUNTA([1]characters!$A:$A),MATCH(E$1,[1]characters!$1:$1,0)-MATCH($C$1,[1]characters!$1:$1,0)+1),MATCH(E$1,[1]characters!$1:$1,0)-MATCH($C$1,[1]characters!$1:$1,0)+1,FALSE)</f>
        <v>5</v>
      </c>
      <c r="F55" s="52" t="str">
        <f ca="1">VLOOKUP($C55,OFFSET([1]characters!$A$1,0,0,COUNTA([1]characters!$A:$A),MATCH(F$1,[1]characters!$1:$1,0)-MATCH($C$1,[1]characters!$1:$1,0)+1),MATCH(F$1,[1]characters!$1:$1,0)-MATCH($C$1,[1]characters!$1:$1,0)+1,FALSE)</f>
        <v>PremiumSSS</v>
      </c>
      <c r="G55" s="194">
        <v>1176</v>
      </c>
      <c r="H55" s="52" t="str">
        <f ca="1">VLOOKUP($G55,OFFSET([1]characters!$A$1,0,0,COUNTA([1]characters!$A:$A),MATCH(H$1,[1]characters!$1:$1,0)-MATCH($C$1,[1]characters!$1:$1,0)+1),MATCH(H$1,[1]characters!$1:$1,0)-MATCH($C$1,[1]characters!$1:$1,0)+1,FALSE)</f>
        <v>夢二夢斬の遊猟 フロイト</v>
      </c>
      <c r="I55" s="193">
        <v>278</v>
      </c>
      <c r="J55" s="52" t="str">
        <f ca="1">VLOOKUP($I55,OFFSET([1]characters!$A$1,0,0,COUNTA([1]characters!$A:$A),MATCH(J$1,[1]characters!$1:$1,0)-MATCH($C$1,[1]characters!$1:$1,0)+1),MATCH(J$1,[1]characters!$1:$1,0)-MATCH($C$1,[1]characters!$1:$1,0)+1,FALSE)</f>
        <v>アマテラス</v>
      </c>
      <c r="K55" s="191">
        <v>1</v>
      </c>
      <c r="L55" s="192">
        <v>3</v>
      </c>
      <c r="M55" s="192">
        <v>100</v>
      </c>
      <c r="N55" s="2" t="s">
        <v>285</v>
      </c>
    </row>
    <row r="56" spans="1:14" ht="21" customHeight="1" x14ac:dyDescent="0.15">
      <c r="A56" s="60" t="str">
        <f t="shared" si="16"/>
        <v>870_840</v>
      </c>
      <c r="B56" s="194">
        <v>870</v>
      </c>
      <c r="C56" s="177">
        <f t="shared" si="17"/>
        <v>870</v>
      </c>
      <c r="D56" s="52" t="str">
        <f ca="1">VLOOKUP($C56,OFFSET([1]characters!$A$1,0,0,COUNTA([1]characters!$A:$A),MATCH(D$1,[1]characters!$1:$1,0)-MATCH($C$1,[1]characters!$1:$1,0)+1),MATCH(D$1,[1]characters!$1:$1,0)-MATCH($C$1,[1]characters!$1:$1,0)+1,FALSE)</f>
        <v>フロイト</v>
      </c>
      <c r="E56" s="52">
        <f ca="1">VLOOKUP($C56,OFFSET([1]characters!$A$1,0,0,COUNTA([1]characters!$A:$A),MATCH(E$1,[1]characters!$1:$1,0)-MATCH($C$1,[1]characters!$1:$1,0)+1),MATCH(E$1,[1]characters!$1:$1,0)-MATCH($C$1,[1]characters!$1:$1,0)+1,FALSE)</f>
        <v>5</v>
      </c>
      <c r="F56" s="52" t="str">
        <f ca="1">VLOOKUP($C56,OFFSET([1]characters!$A$1,0,0,COUNTA([1]characters!$A:$A),MATCH(F$1,[1]characters!$1:$1,0)-MATCH($C$1,[1]characters!$1:$1,0)+1),MATCH(F$1,[1]characters!$1:$1,0)-MATCH($C$1,[1]characters!$1:$1,0)+1,FALSE)</f>
        <v>PremiumSSS</v>
      </c>
      <c r="G56" s="194">
        <v>1176</v>
      </c>
      <c r="H56" s="52" t="str">
        <f ca="1">VLOOKUP($G56,OFFSET([1]characters!$A$1,0,0,COUNTA([1]characters!$A:$A),MATCH(H$1,[1]characters!$1:$1,0)-MATCH($C$1,[1]characters!$1:$1,0)+1),MATCH(H$1,[1]characters!$1:$1,0)-MATCH($C$1,[1]characters!$1:$1,0)+1,FALSE)</f>
        <v>夢二夢斬の遊猟 フロイト</v>
      </c>
      <c r="I56" s="193">
        <v>840</v>
      </c>
      <c r="J56" s="52" t="str">
        <f ca="1">VLOOKUP($I56,OFFSET([1]characters!$A$1,0,0,COUNTA([1]characters!$A:$A),MATCH(J$1,[1]characters!$1:$1,0)-MATCH($C$1,[1]characters!$1:$1,0)+1),MATCH(J$1,[1]characters!$1:$1,0)-MATCH($C$1,[1]characters!$1:$1,0)+1,FALSE)</f>
        <v>フェニックス</v>
      </c>
      <c r="K56" s="191">
        <v>1</v>
      </c>
      <c r="L56" s="192">
        <v>3</v>
      </c>
      <c r="M56" s="192">
        <v>100</v>
      </c>
      <c r="N56" s="2" t="s">
        <v>285</v>
      </c>
    </row>
    <row r="57" spans="1:14" ht="21" customHeight="1" x14ac:dyDescent="0.15">
      <c r="A57" s="60" t="str">
        <f t="shared" si="16"/>
        <v>871_278</v>
      </c>
      <c r="B57" s="194">
        <v>871</v>
      </c>
      <c r="C57" s="177">
        <f t="shared" si="17"/>
        <v>871</v>
      </c>
      <c r="D57" s="52" t="str">
        <f ca="1">VLOOKUP($C57,OFFSET([1]characters!$A$1,0,0,COUNTA([1]characters!$A:$A),MATCH(D$1,[1]characters!$1:$1,0)-MATCH($C$1,[1]characters!$1:$1,0)+1),MATCH(D$1,[1]characters!$1:$1,0)-MATCH($C$1,[1]characters!$1:$1,0)+1,FALSE)</f>
        <v>無我夢中の羊狩り フロイト</v>
      </c>
      <c r="E57" s="52">
        <f ca="1">VLOOKUP($C57,OFFSET([1]characters!$A$1,0,0,COUNTA([1]characters!$A:$A),MATCH(E$1,[1]characters!$1:$1,0)-MATCH($C$1,[1]characters!$1:$1,0)+1),MATCH(E$1,[1]characters!$1:$1,0)-MATCH($C$1,[1]characters!$1:$1,0)+1,FALSE)</f>
        <v>6</v>
      </c>
      <c r="F57" s="52" t="str">
        <f ca="1">VLOOKUP($C57,OFFSET([1]characters!$A$1,0,0,COUNTA([1]characters!$A:$A),MATCH(F$1,[1]characters!$1:$1,0)-MATCH($C$1,[1]characters!$1:$1,0)+1),MATCH(F$1,[1]characters!$1:$1,0)-MATCH($C$1,[1]characters!$1:$1,0)+1,FALSE)</f>
        <v>PremiumSSS</v>
      </c>
      <c r="G57" s="194">
        <v>1176</v>
      </c>
      <c r="H57" s="52" t="str">
        <f ca="1">VLOOKUP($G57,OFFSET([1]characters!$A$1,0,0,COUNTA([1]characters!$A:$A),MATCH(H$1,[1]characters!$1:$1,0)-MATCH($C$1,[1]characters!$1:$1,0)+1),MATCH(H$1,[1]characters!$1:$1,0)-MATCH($C$1,[1]characters!$1:$1,0)+1,FALSE)</f>
        <v>夢二夢斬の遊猟 フロイト</v>
      </c>
      <c r="I57" s="193">
        <v>278</v>
      </c>
      <c r="J57" s="52" t="str">
        <f ca="1">VLOOKUP($I57,OFFSET([1]characters!$A$1,0,0,COUNTA([1]characters!$A:$A),MATCH(J$1,[1]characters!$1:$1,0)-MATCH($C$1,[1]characters!$1:$1,0)+1),MATCH(J$1,[1]characters!$1:$1,0)-MATCH($C$1,[1]characters!$1:$1,0)+1,FALSE)</f>
        <v>アマテラス</v>
      </c>
      <c r="K57" s="191">
        <v>1</v>
      </c>
      <c r="L57" s="192">
        <v>2</v>
      </c>
      <c r="M57" s="192">
        <v>100</v>
      </c>
      <c r="N57" s="2" t="s">
        <v>285</v>
      </c>
    </row>
    <row r="58" spans="1:14" ht="21" customHeight="1" x14ac:dyDescent="0.15">
      <c r="A58" s="60" t="str">
        <f t="shared" si="16"/>
        <v>871_840</v>
      </c>
      <c r="B58" s="194">
        <v>871</v>
      </c>
      <c r="C58" s="177">
        <f t="shared" si="17"/>
        <v>871</v>
      </c>
      <c r="D58" s="52" t="str">
        <f ca="1">VLOOKUP($C58,OFFSET([1]characters!$A$1,0,0,COUNTA([1]characters!$A:$A),MATCH(D$1,[1]characters!$1:$1,0)-MATCH($C$1,[1]characters!$1:$1,0)+1),MATCH(D$1,[1]characters!$1:$1,0)-MATCH($C$1,[1]characters!$1:$1,0)+1,FALSE)</f>
        <v>無我夢中の羊狩り フロイト</v>
      </c>
      <c r="E58" s="52">
        <f ca="1">VLOOKUP($C58,OFFSET([1]characters!$A$1,0,0,COUNTA([1]characters!$A:$A),MATCH(E$1,[1]characters!$1:$1,0)-MATCH($C$1,[1]characters!$1:$1,0)+1),MATCH(E$1,[1]characters!$1:$1,0)-MATCH($C$1,[1]characters!$1:$1,0)+1,FALSE)</f>
        <v>6</v>
      </c>
      <c r="F58" s="52" t="str">
        <f ca="1">VLOOKUP($C58,OFFSET([1]characters!$A$1,0,0,COUNTA([1]characters!$A:$A),MATCH(F$1,[1]characters!$1:$1,0)-MATCH($C$1,[1]characters!$1:$1,0)+1),MATCH(F$1,[1]characters!$1:$1,0)-MATCH($C$1,[1]characters!$1:$1,0)+1,FALSE)</f>
        <v>PremiumSSS</v>
      </c>
      <c r="G58" s="194">
        <v>1176</v>
      </c>
      <c r="H58" s="52" t="str">
        <f ca="1">VLOOKUP($G58,OFFSET([1]characters!$A$1,0,0,COUNTA([1]characters!$A:$A),MATCH(H$1,[1]characters!$1:$1,0)-MATCH($C$1,[1]characters!$1:$1,0)+1),MATCH(H$1,[1]characters!$1:$1,0)-MATCH($C$1,[1]characters!$1:$1,0)+1,FALSE)</f>
        <v>夢二夢斬の遊猟 フロイト</v>
      </c>
      <c r="I58" s="193">
        <v>840</v>
      </c>
      <c r="J58" s="52" t="str">
        <f ca="1">VLOOKUP($I58,OFFSET([1]characters!$A$1,0,0,COUNTA([1]characters!$A:$A),MATCH(J$1,[1]characters!$1:$1,0)-MATCH($C$1,[1]characters!$1:$1,0)+1),MATCH(J$1,[1]characters!$1:$1,0)-MATCH($C$1,[1]characters!$1:$1,0)+1,FALSE)</f>
        <v>フェニックス</v>
      </c>
      <c r="K58" s="191">
        <v>1</v>
      </c>
      <c r="L58" s="192">
        <v>2</v>
      </c>
      <c r="M58" s="192">
        <v>100</v>
      </c>
      <c r="N58" s="2" t="s">
        <v>285</v>
      </c>
    </row>
    <row r="59" spans="1:14" ht="21" customHeight="1" x14ac:dyDescent="0.15">
      <c r="A59" s="60" t="str">
        <f t="shared" si="16"/>
        <v>1176_102</v>
      </c>
      <c r="B59" s="194">
        <v>1176</v>
      </c>
      <c r="C59" s="177">
        <f t="shared" si="17"/>
        <v>1176</v>
      </c>
      <c r="D59" s="52" t="str">
        <f ca="1">VLOOKUP($C59,OFFSET([1]characters!$A$1,0,0,COUNTA([1]characters!$A:$A),MATCH(D$1,[1]characters!$1:$1,0)-MATCH($C$1,[1]characters!$1:$1,0)+1),MATCH(D$1,[1]characters!$1:$1,0)-MATCH($C$1,[1]characters!$1:$1,0)+1,FALSE)</f>
        <v>夢二夢斬の遊猟 フロイト</v>
      </c>
      <c r="E59" s="52">
        <f ca="1">VLOOKUP($C59,OFFSET([1]characters!$A$1,0,0,COUNTA([1]characters!$A:$A),MATCH(E$1,[1]characters!$1:$1,0)-MATCH($C$1,[1]characters!$1:$1,0)+1),MATCH(E$1,[1]characters!$1:$1,0)-MATCH($C$1,[1]characters!$1:$1,0)+1,FALSE)</f>
        <v>6</v>
      </c>
      <c r="F59" s="52" t="str">
        <f ca="1">VLOOKUP($C59,OFFSET([1]characters!$A$1,0,0,COUNTA([1]characters!$A:$A),MATCH(F$1,[1]characters!$1:$1,0)-MATCH($C$1,[1]characters!$1:$1,0)+1),MATCH(F$1,[1]characters!$1:$1,0)-MATCH($C$1,[1]characters!$1:$1,0)+1,FALSE)</f>
        <v>PremiumSSS</v>
      </c>
      <c r="G59" s="194">
        <v>871</v>
      </c>
      <c r="H59" s="52" t="str">
        <f ca="1">VLOOKUP($G59,OFFSET([1]characters!$A$1,0,0,COUNTA([1]characters!$A:$A),MATCH(H$1,[1]characters!$1:$1,0)-MATCH($C$1,[1]characters!$1:$1,0)+1),MATCH(H$1,[1]characters!$1:$1,0)-MATCH($C$1,[1]characters!$1:$1,0)+1,FALSE)</f>
        <v>無我夢中の羊狩り フロイト</v>
      </c>
      <c r="I59" s="193">
        <v>102</v>
      </c>
      <c r="J59" s="52" t="str">
        <f ca="1">VLOOKUP($I59,OFFSET([1]characters!$A$1,0,0,COUNTA([1]characters!$A:$A),MATCH(J$1,[1]characters!$1:$1,0)-MATCH($C$1,[1]characters!$1:$1,0)+1),MATCH(J$1,[1]characters!$1:$1,0)-MATCH($C$1,[1]characters!$1:$1,0)+1,FALSE)</f>
        <v>レッドラビット</v>
      </c>
      <c r="K59" s="191">
        <v>1</v>
      </c>
      <c r="L59" s="192">
        <v>1</v>
      </c>
      <c r="M59" s="192">
        <v>10</v>
      </c>
      <c r="N59" s="2" t="s">
        <v>285</v>
      </c>
    </row>
    <row r="60" spans="1:14" ht="21" customHeight="1" x14ac:dyDescent="0.15">
      <c r="A60" s="60" t="str">
        <f t="shared" si="16"/>
        <v>1176_103</v>
      </c>
      <c r="B60" s="194">
        <v>1176</v>
      </c>
      <c r="C60" s="177">
        <f t="shared" si="17"/>
        <v>1176</v>
      </c>
      <c r="D60" s="52" t="str">
        <f ca="1">VLOOKUP($C60,OFFSET([1]characters!$A$1,0,0,COUNTA([1]characters!$A:$A),MATCH(D$1,[1]characters!$1:$1,0)-MATCH($C$1,[1]characters!$1:$1,0)+1),MATCH(D$1,[1]characters!$1:$1,0)-MATCH($C$1,[1]characters!$1:$1,0)+1,FALSE)</f>
        <v>夢二夢斬の遊猟 フロイト</v>
      </c>
      <c r="E60" s="52">
        <f ca="1">VLOOKUP($C60,OFFSET([1]characters!$A$1,0,0,COUNTA([1]characters!$A:$A),MATCH(E$1,[1]characters!$1:$1,0)-MATCH($C$1,[1]characters!$1:$1,0)+1),MATCH(E$1,[1]characters!$1:$1,0)-MATCH($C$1,[1]characters!$1:$1,0)+1,FALSE)</f>
        <v>6</v>
      </c>
      <c r="F60" s="52" t="str">
        <f ca="1">VLOOKUP($C60,OFFSET([1]characters!$A$1,0,0,COUNTA([1]characters!$A:$A),MATCH(F$1,[1]characters!$1:$1,0)-MATCH($C$1,[1]characters!$1:$1,0)+1),MATCH(F$1,[1]characters!$1:$1,0)-MATCH($C$1,[1]characters!$1:$1,0)+1,FALSE)</f>
        <v>PremiumSSS</v>
      </c>
      <c r="G60" s="194">
        <v>871</v>
      </c>
      <c r="H60" s="52" t="str">
        <f ca="1">VLOOKUP($G60,OFFSET([1]characters!$A$1,0,0,COUNTA([1]characters!$A:$A),MATCH(H$1,[1]characters!$1:$1,0)-MATCH($C$1,[1]characters!$1:$1,0)+1),MATCH(H$1,[1]characters!$1:$1,0)-MATCH($C$1,[1]characters!$1:$1,0)+1,FALSE)</f>
        <v>無我夢中の羊狩り フロイト</v>
      </c>
      <c r="I60" s="193">
        <v>103</v>
      </c>
      <c r="J60" s="52" t="str">
        <f ca="1">VLOOKUP($I60,OFFSET([1]characters!$A$1,0,0,COUNTA([1]characters!$A:$A),MATCH(J$1,[1]characters!$1:$1,0)-MATCH($C$1,[1]characters!$1:$1,0)+1),MATCH(J$1,[1]characters!$1:$1,0)-MATCH($C$1,[1]characters!$1:$1,0)+1,FALSE)</f>
        <v>レッドキャタップ</v>
      </c>
      <c r="K60" s="191">
        <v>1</v>
      </c>
      <c r="L60" s="192">
        <v>1</v>
      </c>
      <c r="M60" s="192">
        <v>10</v>
      </c>
      <c r="N60" s="2" t="s">
        <v>285</v>
      </c>
    </row>
    <row r="61" spans="1:14" ht="21" customHeight="1" x14ac:dyDescent="0.15">
      <c r="A61" s="60" t="str">
        <f t="shared" si="16"/>
        <v>1176_104</v>
      </c>
      <c r="B61" s="194">
        <v>1176</v>
      </c>
      <c r="C61" s="177">
        <f t="shared" si="17"/>
        <v>1176</v>
      </c>
      <c r="D61" s="52" t="str">
        <f ca="1">VLOOKUP($C61,OFFSET([1]characters!$A$1,0,0,COUNTA([1]characters!$A:$A),MATCH(D$1,[1]characters!$1:$1,0)-MATCH($C$1,[1]characters!$1:$1,0)+1),MATCH(D$1,[1]characters!$1:$1,0)-MATCH($C$1,[1]characters!$1:$1,0)+1,FALSE)</f>
        <v>夢二夢斬の遊猟 フロイト</v>
      </c>
      <c r="E61" s="52">
        <f ca="1">VLOOKUP($C61,OFFSET([1]characters!$A$1,0,0,COUNTA([1]characters!$A:$A),MATCH(E$1,[1]characters!$1:$1,0)-MATCH($C$1,[1]characters!$1:$1,0)+1),MATCH(E$1,[1]characters!$1:$1,0)-MATCH($C$1,[1]characters!$1:$1,0)+1,FALSE)</f>
        <v>6</v>
      </c>
      <c r="F61" s="52" t="str">
        <f ca="1">VLOOKUP($C61,OFFSET([1]characters!$A$1,0,0,COUNTA([1]characters!$A:$A),MATCH(F$1,[1]characters!$1:$1,0)-MATCH($C$1,[1]characters!$1:$1,0)+1),MATCH(F$1,[1]characters!$1:$1,0)-MATCH($C$1,[1]characters!$1:$1,0)+1,FALSE)</f>
        <v>PremiumSSS</v>
      </c>
      <c r="G61" s="194">
        <v>871</v>
      </c>
      <c r="H61" s="52" t="str">
        <f ca="1">VLOOKUP($G61,OFFSET([1]characters!$A$1,0,0,COUNTA([1]characters!$A:$A),MATCH(H$1,[1]characters!$1:$1,0)-MATCH($C$1,[1]characters!$1:$1,0)+1),MATCH(H$1,[1]characters!$1:$1,0)-MATCH($C$1,[1]characters!$1:$1,0)+1,FALSE)</f>
        <v>無我夢中の羊狩り フロイト</v>
      </c>
      <c r="I61" s="193">
        <v>104</v>
      </c>
      <c r="J61" s="52" t="str">
        <f ca="1">VLOOKUP($I61,OFFSET([1]characters!$A$1,0,0,COUNTA([1]characters!$A:$A),MATCH(J$1,[1]characters!$1:$1,0)-MATCH($C$1,[1]characters!$1:$1,0)+1),MATCH(J$1,[1]characters!$1:$1,0)-MATCH($C$1,[1]characters!$1:$1,0)+1,FALSE)</f>
        <v>炎のマッドハッター</v>
      </c>
      <c r="K61" s="191">
        <v>1</v>
      </c>
      <c r="L61" s="192">
        <v>1</v>
      </c>
      <c r="M61" s="192">
        <v>10</v>
      </c>
      <c r="N61" s="2" t="s">
        <v>285</v>
      </c>
    </row>
    <row r="62" spans="1:14" ht="21" customHeight="1" x14ac:dyDescent="0.15">
      <c r="A62" s="60" t="str">
        <f t="shared" ref="A62:A64" si="18">B62&amp;"_"&amp;I62</f>
        <v>872_278</v>
      </c>
      <c r="B62" s="194">
        <v>872</v>
      </c>
      <c r="C62" s="177">
        <f t="shared" ref="C62:C64" si="19">B62</f>
        <v>872</v>
      </c>
      <c r="D62" s="52" t="str">
        <f ca="1">VLOOKUP($C62,OFFSET([1]characters!$A$1,0,0,COUNTA([1]characters!$A:$A),MATCH(D$1,[1]characters!$1:$1,0)-MATCH($C$1,[1]characters!$1:$1,0)+1),MATCH(D$1,[1]characters!$1:$1,0)-MATCH($C$1,[1]characters!$1:$1,0)+1,FALSE)</f>
        <v>シュヴァルツシルト</v>
      </c>
      <c r="E62" s="52">
        <f ca="1">VLOOKUP($C62,OFFSET([1]characters!$A$1,0,0,COUNTA([1]characters!$A:$A),MATCH(E$1,[1]characters!$1:$1,0)-MATCH($C$1,[1]characters!$1:$1,0)+1),MATCH(E$1,[1]characters!$1:$1,0)-MATCH($C$1,[1]characters!$1:$1,0)+1,FALSE)</f>
        <v>5</v>
      </c>
      <c r="F62" s="52" t="str">
        <f ca="1">VLOOKUP($C62,OFFSET([1]characters!$A$1,0,0,COUNTA([1]characters!$A:$A),MATCH(F$1,[1]characters!$1:$1,0)-MATCH($C$1,[1]characters!$1:$1,0)+1),MATCH(F$1,[1]characters!$1:$1,0)-MATCH($C$1,[1]characters!$1:$1,0)+1,FALSE)</f>
        <v>PremiumSSS</v>
      </c>
      <c r="G62" s="194">
        <v>882</v>
      </c>
      <c r="H62" s="52" t="str">
        <f ca="1">VLOOKUP($G62,OFFSET([1]characters!$A$1,0,0,COUNTA([1]characters!$A:$A),MATCH(H$1,[1]characters!$1:$1,0)-MATCH($C$1,[1]characters!$1:$1,0)+1),MATCH(H$1,[1]characters!$1:$1,0)-MATCH($C$1,[1]characters!$1:$1,0)+1,FALSE)</f>
        <v>歪極する星壊 シュヴァルツシルト</v>
      </c>
      <c r="I62" s="193">
        <v>278</v>
      </c>
      <c r="J62" s="52" t="str">
        <f ca="1">VLOOKUP($I62,OFFSET([1]characters!$A$1,0,0,COUNTA([1]characters!$A:$A),MATCH(J$1,[1]characters!$1:$1,0)-MATCH($C$1,[1]characters!$1:$1,0)+1),MATCH(J$1,[1]characters!$1:$1,0)-MATCH($C$1,[1]characters!$1:$1,0)+1,FALSE)</f>
        <v>アマテラス</v>
      </c>
      <c r="K62" s="191">
        <v>1</v>
      </c>
      <c r="L62" s="192">
        <v>1</v>
      </c>
      <c r="M62" s="192">
        <v>100</v>
      </c>
      <c r="N62" s="2" t="s">
        <v>285</v>
      </c>
    </row>
    <row r="63" spans="1:14" ht="21" customHeight="1" x14ac:dyDescent="0.15">
      <c r="A63" s="60" t="str">
        <f t="shared" si="18"/>
        <v>872_860</v>
      </c>
      <c r="B63" s="194">
        <v>872</v>
      </c>
      <c r="C63" s="177">
        <f t="shared" si="19"/>
        <v>872</v>
      </c>
      <c r="D63" s="52" t="str">
        <f ca="1">VLOOKUP($C63,OFFSET([1]characters!$A$1,0,0,COUNTA([1]characters!$A:$A),MATCH(D$1,[1]characters!$1:$1,0)-MATCH($C$1,[1]characters!$1:$1,0)+1),MATCH(D$1,[1]characters!$1:$1,0)-MATCH($C$1,[1]characters!$1:$1,0)+1,FALSE)</f>
        <v>シュヴァルツシルト</v>
      </c>
      <c r="E63" s="52">
        <f ca="1">VLOOKUP($C63,OFFSET([1]characters!$A$1,0,0,COUNTA([1]characters!$A:$A),MATCH(E$1,[1]characters!$1:$1,0)-MATCH($C$1,[1]characters!$1:$1,0)+1),MATCH(E$1,[1]characters!$1:$1,0)-MATCH($C$1,[1]characters!$1:$1,0)+1,FALSE)</f>
        <v>5</v>
      </c>
      <c r="F63" s="52" t="str">
        <f ca="1">VLOOKUP($C63,OFFSET([1]characters!$A$1,0,0,COUNTA([1]characters!$A:$A),MATCH(F$1,[1]characters!$1:$1,0)-MATCH($C$1,[1]characters!$1:$1,0)+1),MATCH(F$1,[1]characters!$1:$1,0)-MATCH($C$1,[1]characters!$1:$1,0)+1,FALSE)</f>
        <v>PremiumSSS</v>
      </c>
      <c r="G63" s="194">
        <v>882</v>
      </c>
      <c r="H63" s="52" t="str">
        <f ca="1">VLOOKUP($G63,OFFSET([1]characters!$A$1,0,0,COUNTA([1]characters!$A:$A),MATCH(H$1,[1]characters!$1:$1,0)-MATCH($C$1,[1]characters!$1:$1,0)+1),MATCH(H$1,[1]characters!$1:$1,0)-MATCH($C$1,[1]characters!$1:$1,0)+1,FALSE)</f>
        <v>歪極する星壊 シュヴァルツシルト</v>
      </c>
      <c r="I63" s="193">
        <v>860</v>
      </c>
      <c r="J63" s="52" t="str">
        <f ca="1">VLOOKUP($I63,OFFSET([1]characters!$A$1,0,0,COUNTA([1]characters!$A:$A),MATCH(J$1,[1]characters!$1:$1,0)-MATCH($C$1,[1]characters!$1:$1,0)+1),MATCH(J$1,[1]characters!$1:$1,0)-MATCH($C$1,[1]characters!$1:$1,0)+1,FALSE)</f>
        <v>叶望の幻燈 ジーナ</v>
      </c>
      <c r="K63" s="191">
        <v>1</v>
      </c>
      <c r="L63" s="192">
        <v>3</v>
      </c>
      <c r="M63" s="192">
        <v>100</v>
      </c>
      <c r="N63" s="2" t="s">
        <v>285</v>
      </c>
    </row>
    <row r="64" spans="1:14" ht="21" customHeight="1" x14ac:dyDescent="0.15">
      <c r="A64" s="60" t="str">
        <f t="shared" si="18"/>
        <v>872_290</v>
      </c>
      <c r="B64" s="194">
        <v>872</v>
      </c>
      <c r="C64" s="177">
        <f t="shared" si="19"/>
        <v>872</v>
      </c>
      <c r="D64" s="52" t="str">
        <f ca="1">VLOOKUP($C64,OFFSET([1]characters!$A$1,0,0,COUNTA([1]characters!$A:$A),MATCH(D$1,[1]characters!$1:$1,0)-MATCH($C$1,[1]characters!$1:$1,0)+1),MATCH(D$1,[1]characters!$1:$1,0)-MATCH($C$1,[1]characters!$1:$1,0)+1,FALSE)</f>
        <v>シュヴァルツシルト</v>
      </c>
      <c r="E64" s="52">
        <f ca="1">VLOOKUP($C64,OFFSET([1]characters!$A$1,0,0,COUNTA([1]characters!$A:$A),MATCH(E$1,[1]characters!$1:$1,0)-MATCH($C$1,[1]characters!$1:$1,0)+1),MATCH(E$1,[1]characters!$1:$1,0)-MATCH($C$1,[1]characters!$1:$1,0)+1,FALSE)</f>
        <v>5</v>
      </c>
      <c r="F64" s="52" t="str">
        <f ca="1">VLOOKUP($C64,OFFSET([1]characters!$A$1,0,0,COUNTA([1]characters!$A:$A),MATCH(F$1,[1]characters!$1:$1,0)-MATCH($C$1,[1]characters!$1:$1,0)+1),MATCH(F$1,[1]characters!$1:$1,0)-MATCH($C$1,[1]characters!$1:$1,0)+1,FALSE)</f>
        <v>PremiumSSS</v>
      </c>
      <c r="G64" s="194">
        <v>882</v>
      </c>
      <c r="H64" s="52" t="str">
        <f ca="1">VLOOKUP($G64,OFFSET([1]characters!$A$1,0,0,COUNTA([1]characters!$A:$A),MATCH(H$1,[1]characters!$1:$1,0)-MATCH($C$1,[1]characters!$1:$1,0)+1),MATCH(H$1,[1]characters!$1:$1,0)-MATCH($C$1,[1]characters!$1:$1,0)+1,FALSE)</f>
        <v>歪極する星壊 シュヴァルツシルト</v>
      </c>
      <c r="I64" s="193">
        <v>290</v>
      </c>
      <c r="J64" s="52" t="str">
        <f ca="1">VLOOKUP($I64,OFFSET([1]characters!$A$1,0,0,COUNTA([1]characters!$A:$A),MATCH(J$1,[1]characters!$1:$1,0)-MATCH($C$1,[1]characters!$1:$1,0)+1),MATCH(J$1,[1]characters!$1:$1,0)-MATCH($C$1,[1]characters!$1:$1,0)+1,FALSE)</f>
        <v>ウィッチ・オクトパス</v>
      </c>
      <c r="K64" s="191">
        <v>1</v>
      </c>
      <c r="L64" s="192">
        <v>3</v>
      </c>
      <c r="M64" s="192">
        <v>100</v>
      </c>
      <c r="N64" s="2" t="s">
        <v>285</v>
      </c>
    </row>
    <row r="65" spans="1:14" ht="21" customHeight="1" x14ac:dyDescent="0.15">
      <c r="A65" s="60" t="str">
        <f t="shared" ref="A65:A72" si="20">B65&amp;"_"&amp;I65</f>
        <v>873_860</v>
      </c>
      <c r="B65" s="194">
        <v>873</v>
      </c>
      <c r="C65" s="177">
        <f t="shared" ref="C65:C72" si="21">B65</f>
        <v>873</v>
      </c>
      <c r="D65" s="52" t="str">
        <f ca="1">VLOOKUP($C65,OFFSET([1]characters!$A$1,0,0,COUNTA([1]characters!$A:$A),MATCH(D$1,[1]characters!$1:$1,0)-MATCH($C$1,[1]characters!$1:$1,0)+1),MATCH(D$1,[1]characters!$1:$1,0)-MATCH($C$1,[1]characters!$1:$1,0)+1,FALSE)</f>
        <v>時歪の特異天 シュヴァルツシルト</v>
      </c>
      <c r="E65" s="52">
        <f ca="1">VLOOKUP($C65,OFFSET([1]characters!$A$1,0,0,COUNTA([1]characters!$A:$A),MATCH(E$1,[1]characters!$1:$1,0)-MATCH($C$1,[1]characters!$1:$1,0)+1),MATCH(E$1,[1]characters!$1:$1,0)-MATCH($C$1,[1]characters!$1:$1,0)+1,FALSE)</f>
        <v>6</v>
      </c>
      <c r="F65" s="52" t="str">
        <f ca="1">VLOOKUP($C65,OFFSET([1]characters!$A$1,0,0,COUNTA([1]characters!$A:$A),MATCH(F$1,[1]characters!$1:$1,0)-MATCH($C$1,[1]characters!$1:$1,0)+1),MATCH(F$1,[1]characters!$1:$1,0)-MATCH($C$1,[1]characters!$1:$1,0)+1,FALSE)</f>
        <v>PremiumSSS</v>
      </c>
      <c r="G65" s="194">
        <v>882</v>
      </c>
      <c r="H65" s="52" t="str">
        <f ca="1">VLOOKUP($G65,OFFSET([1]characters!$A$1,0,0,COUNTA([1]characters!$A:$A),MATCH(H$1,[1]characters!$1:$1,0)-MATCH($C$1,[1]characters!$1:$1,0)+1),MATCH(H$1,[1]characters!$1:$1,0)-MATCH($C$1,[1]characters!$1:$1,0)+1,FALSE)</f>
        <v>歪極する星壊 シュヴァルツシルト</v>
      </c>
      <c r="I65" s="193">
        <v>860</v>
      </c>
      <c r="J65" s="52" t="str">
        <f ca="1">VLOOKUP($I65,OFFSET([1]characters!$A$1,0,0,COUNTA([1]characters!$A:$A),MATCH(J$1,[1]characters!$1:$1,0)-MATCH($C$1,[1]characters!$1:$1,0)+1),MATCH(J$1,[1]characters!$1:$1,0)-MATCH($C$1,[1]characters!$1:$1,0)+1,FALSE)</f>
        <v>叶望の幻燈 ジーナ</v>
      </c>
      <c r="K65" s="191">
        <v>1</v>
      </c>
      <c r="L65" s="192">
        <v>2</v>
      </c>
      <c r="M65" s="192">
        <v>100</v>
      </c>
      <c r="N65" s="2" t="s">
        <v>285</v>
      </c>
    </row>
    <row r="66" spans="1:14" ht="21" customHeight="1" x14ac:dyDescent="0.15">
      <c r="A66" s="60" t="str">
        <f t="shared" si="20"/>
        <v>873_290</v>
      </c>
      <c r="B66" s="194">
        <v>873</v>
      </c>
      <c r="C66" s="177">
        <f t="shared" si="21"/>
        <v>873</v>
      </c>
      <c r="D66" s="52" t="str">
        <f ca="1">VLOOKUP($C66,OFFSET([1]characters!$A$1,0,0,COUNTA([1]characters!$A:$A),MATCH(D$1,[1]characters!$1:$1,0)-MATCH($C$1,[1]characters!$1:$1,0)+1),MATCH(D$1,[1]characters!$1:$1,0)-MATCH($C$1,[1]characters!$1:$1,0)+1,FALSE)</f>
        <v>時歪の特異天 シュヴァルツシルト</v>
      </c>
      <c r="E66" s="52">
        <f ca="1">VLOOKUP($C66,OFFSET([1]characters!$A$1,0,0,COUNTA([1]characters!$A:$A),MATCH(E$1,[1]characters!$1:$1,0)-MATCH($C$1,[1]characters!$1:$1,0)+1),MATCH(E$1,[1]characters!$1:$1,0)-MATCH($C$1,[1]characters!$1:$1,0)+1,FALSE)</f>
        <v>6</v>
      </c>
      <c r="F66" s="52" t="str">
        <f ca="1">VLOOKUP($C66,OFFSET([1]characters!$A$1,0,0,COUNTA([1]characters!$A:$A),MATCH(F$1,[1]characters!$1:$1,0)-MATCH($C$1,[1]characters!$1:$1,0)+1),MATCH(F$1,[1]characters!$1:$1,0)-MATCH($C$1,[1]characters!$1:$1,0)+1,FALSE)</f>
        <v>PremiumSSS</v>
      </c>
      <c r="G66" s="194">
        <v>882</v>
      </c>
      <c r="H66" s="52" t="str">
        <f ca="1">VLOOKUP($G66,OFFSET([1]characters!$A$1,0,0,COUNTA([1]characters!$A:$A),MATCH(H$1,[1]characters!$1:$1,0)-MATCH($C$1,[1]characters!$1:$1,0)+1),MATCH(H$1,[1]characters!$1:$1,0)-MATCH($C$1,[1]characters!$1:$1,0)+1,FALSE)</f>
        <v>歪極する星壊 シュヴァルツシルト</v>
      </c>
      <c r="I66" s="193">
        <v>290</v>
      </c>
      <c r="J66" s="52" t="str">
        <f ca="1">VLOOKUP($I66,OFFSET([1]characters!$A$1,0,0,COUNTA([1]characters!$A:$A),MATCH(J$1,[1]characters!$1:$1,0)-MATCH($C$1,[1]characters!$1:$1,0)+1),MATCH(J$1,[1]characters!$1:$1,0)-MATCH($C$1,[1]characters!$1:$1,0)+1,FALSE)</f>
        <v>ウィッチ・オクトパス</v>
      </c>
      <c r="K66" s="191">
        <v>1</v>
      </c>
      <c r="L66" s="192">
        <v>2</v>
      </c>
      <c r="M66" s="192">
        <v>100</v>
      </c>
      <c r="N66" s="2" t="s">
        <v>285</v>
      </c>
    </row>
    <row r="67" spans="1:14" ht="21" customHeight="1" x14ac:dyDescent="0.15">
      <c r="A67" s="60" t="str">
        <f t="shared" si="20"/>
        <v>882_110</v>
      </c>
      <c r="B67" s="194">
        <v>882</v>
      </c>
      <c r="C67" s="177">
        <f t="shared" si="21"/>
        <v>882</v>
      </c>
      <c r="D67" s="52" t="str">
        <f ca="1">VLOOKUP($C67,OFFSET([1]characters!$A$1,0,0,COUNTA([1]characters!$A:$A),MATCH(D$1,[1]characters!$1:$1,0)-MATCH($C$1,[1]characters!$1:$1,0)+1),MATCH(D$1,[1]characters!$1:$1,0)-MATCH($C$1,[1]characters!$1:$1,0)+1,FALSE)</f>
        <v>歪極する星壊 シュヴァルツシルト</v>
      </c>
      <c r="E67" s="52">
        <f ca="1">VLOOKUP($C67,OFFSET([1]characters!$A$1,0,0,COUNTA([1]characters!$A:$A),MATCH(E$1,[1]characters!$1:$1,0)-MATCH($C$1,[1]characters!$1:$1,0)+1),MATCH(E$1,[1]characters!$1:$1,0)-MATCH($C$1,[1]characters!$1:$1,0)+1,FALSE)</f>
        <v>6</v>
      </c>
      <c r="F67" s="52" t="str">
        <f ca="1">VLOOKUP($C67,OFFSET([1]characters!$A$1,0,0,COUNTA([1]characters!$A:$A),MATCH(F$1,[1]characters!$1:$1,0)-MATCH($C$1,[1]characters!$1:$1,0)+1),MATCH(F$1,[1]characters!$1:$1,0)-MATCH($C$1,[1]characters!$1:$1,0)+1,FALSE)</f>
        <v>PremiumSSS</v>
      </c>
      <c r="G67" s="194">
        <v>873</v>
      </c>
      <c r="H67" s="52" t="str">
        <f ca="1">VLOOKUP($G67,OFFSET([1]characters!$A$1,0,0,COUNTA([1]characters!$A:$A),MATCH(H$1,[1]characters!$1:$1,0)-MATCH($C$1,[1]characters!$1:$1,0)+1),MATCH(H$1,[1]characters!$1:$1,0)-MATCH($C$1,[1]characters!$1:$1,0)+1,FALSE)</f>
        <v>時歪の特異天 シュヴァルツシルト</v>
      </c>
      <c r="I67" s="193">
        <v>110</v>
      </c>
      <c r="J67" s="52" t="str">
        <f ca="1">VLOOKUP($I67,OFFSET([1]characters!$A$1,0,0,COUNTA([1]characters!$A:$A),MATCH(J$1,[1]characters!$1:$1,0)-MATCH($C$1,[1]characters!$1:$1,0)+1),MATCH(J$1,[1]characters!$1:$1,0)-MATCH($C$1,[1]characters!$1:$1,0)+1,FALSE)</f>
        <v>ブルーラビット</v>
      </c>
      <c r="K67" s="191">
        <v>1</v>
      </c>
      <c r="L67" s="192">
        <v>1</v>
      </c>
      <c r="M67" s="192">
        <v>10</v>
      </c>
      <c r="N67" s="2" t="s">
        <v>285</v>
      </c>
    </row>
    <row r="68" spans="1:14" ht="21" customHeight="1" x14ac:dyDescent="0.15">
      <c r="A68" s="60" t="str">
        <f t="shared" si="20"/>
        <v>882_111</v>
      </c>
      <c r="B68" s="194">
        <v>882</v>
      </c>
      <c r="C68" s="177">
        <f t="shared" si="21"/>
        <v>882</v>
      </c>
      <c r="D68" s="52" t="str">
        <f ca="1">VLOOKUP($C68,OFFSET([1]characters!$A$1,0,0,COUNTA([1]characters!$A:$A),MATCH(D$1,[1]characters!$1:$1,0)-MATCH($C$1,[1]characters!$1:$1,0)+1),MATCH(D$1,[1]characters!$1:$1,0)-MATCH($C$1,[1]characters!$1:$1,0)+1,FALSE)</f>
        <v>歪極する星壊 シュヴァルツシルト</v>
      </c>
      <c r="E68" s="52">
        <f ca="1">VLOOKUP($C68,OFFSET([1]characters!$A$1,0,0,COUNTA([1]characters!$A:$A),MATCH(E$1,[1]characters!$1:$1,0)-MATCH($C$1,[1]characters!$1:$1,0)+1),MATCH(E$1,[1]characters!$1:$1,0)-MATCH($C$1,[1]characters!$1:$1,0)+1,FALSE)</f>
        <v>6</v>
      </c>
      <c r="F68" s="52" t="str">
        <f ca="1">VLOOKUP($C68,OFFSET([1]characters!$A$1,0,0,COUNTA([1]characters!$A:$A),MATCH(F$1,[1]characters!$1:$1,0)-MATCH($C$1,[1]characters!$1:$1,0)+1),MATCH(F$1,[1]characters!$1:$1,0)-MATCH($C$1,[1]characters!$1:$1,0)+1,FALSE)</f>
        <v>PremiumSSS</v>
      </c>
      <c r="G68" s="194">
        <v>873</v>
      </c>
      <c r="H68" s="52" t="str">
        <f ca="1">VLOOKUP($G68,OFFSET([1]characters!$A$1,0,0,COUNTA([1]characters!$A:$A),MATCH(H$1,[1]characters!$1:$1,0)-MATCH($C$1,[1]characters!$1:$1,0)+1),MATCH(H$1,[1]characters!$1:$1,0)-MATCH($C$1,[1]characters!$1:$1,0)+1,FALSE)</f>
        <v>時歪の特異天 シュヴァルツシルト</v>
      </c>
      <c r="I68" s="193">
        <v>111</v>
      </c>
      <c r="J68" s="52" t="str">
        <f ca="1">VLOOKUP($I68,OFFSET([1]characters!$A$1,0,0,COUNTA([1]characters!$A:$A),MATCH(J$1,[1]characters!$1:$1,0)-MATCH($C$1,[1]characters!$1:$1,0)+1),MATCH(J$1,[1]characters!$1:$1,0)-MATCH($C$1,[1]characters!$1:$1,0)+1,FALSE)</f>
        <v>ブルーキャタップ</v>
      </c>
      <c r="K68" s="191">
        <v>1</v>
      </c>
      <c r="L68" s="192">
        <v>1</v>
      </c>
      <c r="M68" s="192">
        <v>10</v>
      </c>
      <c r="N68" s="2" t="s">
        <v>285</v>
      </c>
    </row>
    <row r="69" spans="1:14" ht="21" customHeight="1" x14ac:dyDescent="0.15">
      <c r="A69" s="60" t="str">
        <f t="shared" si="20"/>
        <v>882_358</v>
      </c>
      <c r="B69" s="194">
        <v>882</v>
      </c>
      <c r="C69" s="177">
        <f t="shared" si="21"/>
        <v>882</v>
      </c>
      <c r="D69" s="52" t="str">
        <f ca="1">VLOOKUP($C69,OFFSET([1]characters!$A$1,0,0,COUNTA([1]characters!$A:$A),MATCH(D$1,[1]characters!$1:$1,0)-MATCH($C$1,[1]characters!$1:$1,0)+1),MATCH(D$1,[1]characters!$1:$1,0)-MATCH($C$1,[1]characters!$1:$1,0)+1,FALSE)</f>
        <v>歪極する星壊 シュヴァルツシルト</v>
      </c>
      <c r="E69" s="52">
        <f ca="1">VLOOKUP($C69,OFFSET([1]characters!$A$1,0,0,COUNTA([1]characters!$A:$A),MATCH(E$1,[1]characters!$1:$1,0)-MATCH($C$1,[1]characters!$1:$1,0)+1),MATCH(E$1,[1]characters!$1:$1,0)-MATCH($C$1,[1]characters!$1:$1,0)+1,FALSE)</f>
        <v>6</v>
      </c>
      <c r="F69" s="52" t="str">
        <f ca="1">VLOOKUP($C69,OFFSET([1]characters!$A$1,0,0,COUNTA([1]characters!$A:$A),MATCH(F$1,[1]characters!$1:$1,0)-MATCH($C$1,[1]characters!$1:$1,0)+1),MATCH(F$1,[1]characters!$1:$1,0)-MATCH($C$1,[1]characters!$1:$1,0)+1,FALSE)</f>
        <v>PremiumSSS</v>
      </c>
      <c r="G69" s="194">
        <v>873</v>
      </c>
      <c r="H69" s="52" t="str">
        <f ca="1">VLOOKUP($G69,OFFSET([1]characters!$A$1,0,0,COUNTA([1]characters!$A:$A),MATCH(H$1,[1]characters!$1:$1,0)-MATCH($C$1,[1]characters!$1:$1,0)+1),MATCH(H$1,[1]characters!$1:$1,0)-MATCH($C$1,[1]characters!$1:$1,0)+1,FALSE)</f>
        <v>時歪の特異天 シュヴァルツシルト</v>
      </c>
      <c r="I69" s="193">
        <v>358</v>
      </c>
      <c r="J69" s="52" t="str">
        <f ca="1">VLOOKUP($I69,OFFSET([1]characters!$A$1,0,0,COUNTA([1]characters!$A:$A),MATCH(J$1,[1]characters!$1:$1,0)-MATCH($C$1,[1]characters!$1:$1,0)+1),MATCH(J$1,[1]characters!$1:$1,0)-MATCH($C$1,[1]characters!$1:$1,0)+1,FALSE)</f>
        <v>深淵の代用ウミガメ</v>
      </c>
      <c r="K69" s="191">
        <v>1</v>
      </c>
      <c r="L69" s="192">
        <v>1</v>
      </c>
      <c r="M69" s="192">
        <v>10</v>
      </c>
      <c r="N69" s="2" t="s">
        <v>285</v>
      </c>
    </row>
    <row r="70" spans="1:14" ht="21" customHeight="1" x14ac:dyDescent="0.15">
      <c r="A70" s="60" t="str">
        <f t="shared" si="20"/>
        <v>874_426</v>
      </c>
      <c r="B70" s="194">
        <v>874</v>
      </c>
      <c r="C70" s="177">
        <f t="shared" si="21"/>
        <v>874</v>
      </c>
      <c r="D70" s="52" t="str">
        <f ca="1">VLOOKUP($C70,OFFSET([1]characters!$A$1,0,0,COUNTA([1]characters!$A:$A),MATCH(D$1,[1]characters!$1:$1,0)-MATCH($C$1,[1]characters!$1:$1,0)+1),MATCH(D$1,[1]characters!$1:$1,0)-MATCH($C$1,[1]characters!$1:$1,0)+1,FALSE)</f>
        <v>フレネル</v>
      </c>
      <c r="E70" s="52">
        <f ca="1">VLOOKUP($C70,OFFSET([1]characters!$A$1,0,0,COUNTA([1]characters!$A:$A),MATCH(E$1,[1]characters!$1:$1,0)-MATCH($C$1,[1]characters!$1:$1,0)+1),MATCH(E$1,[1]characters!$1:$1,0)-MATCH($C$1,[1]characters!$1:$1,0)+1,FALSE)</f>
        <v>5</v>
      </c>
      <c r="F70" s="52" t="str">
        <f ca="1">VLOOKUP($C70,OFFSET([1]characters!$A$1,0,0,COUNTA([1]characters!$A:$A),MATCH(F$1,[1]characters!$1:$1,0)-MATCH($C$1,[1]characters!$1:$1,0)+1),MATCH(F$1,[1]characters!$1:$1,0)-MATCH($C$1,[1]characters!$1:$1,0)+1,FALSE)</f>
        <v>PremiumSSS</v>
      </c>
      <c r="G70" s="194">
        <v>1108</v>
      </c>
      <c r="H70" s="52" t="str">
        <f ca="1">VLOOKUP($G70,OFFSET([1]characters!$A$1,0,0,COUNTA([1]characters!$A:$A),MATCH(H$1,[1]characters!$1:$1,0)-MATCH($C$1,[1]characters!$1:$1,0)+1),MATCH(H$1,[1]characters!$1:$1,0)-MATCH($C$1,[1]characters!$1:$1,0)+1,FALSE)</f>
        <v>交鏡の光波 フレネル</v>
      </c>
      <c r="I70" s="193">
        <v>426</v>
      </c>
      <c r="J70" s="52" t="str">
        <f ca="1">VLOOKUP($I70,OFFSET([1]characters!$A$1,0,0,COUNTA([1]characters!$A:$A),MATCH(J$1,[1]characters!$1:$1,0)-MATCH($C$1,[1]characters!$1:$1,0)+1),MATCH(J$1,[1]characters!$1:$1,0)-MATCH($C$1,[1]characters!$1:$1,0)+1,FALSE)</f>
        <v>宮本武蔵</v>
      </c>
      <c r="K70" s="191">
        <v>1</v>
      </c>
      <c r="L70" s="192">
        <v>1</v>
      </c>
      <c r="M70" s="192">
        <v>100</v>
      </c>
      <c r="N70" s="2" t="s">
        <v>285</v>
      </c>
    </row>
    <row r="71" spans="1:14" ht="21" customHeight="1" x14ac:dyDescent="0.15">
      <c r="A71" s="60" t="str">
        <f t="shared" si="20"/>
        <v>874_508</v>
      </c>
      <c r="B71" s="194">
        <v>874</v>
      </c>
      <c r="C71" s="177">
        <f t="shared" si="21"/>
        <v>874</v>
      </c>
      <c r="D71" s="52" t="str">
        <f ca="1">VLOOKUP($C71,OFFSET([1]characters!$A$1,0,0,COUNTA([1]characters!$A:$A),MATCH(D$1,[1]characters!$1:$1,0)-MATCH($C$1,[1]characters!$1:$1,0)+1),MATCH(D$1,[1]characters!$1:$1,0)-MATCH($C$1,[1]characters!$1:$1,0)+1,FALSE)</f>
        <v>フレネル</v>
      </c>
      <c r="E71" s="52">
        <f ca="1">VLOOKUP($C71,OFFSET([1]characters!$A$1,0,0,COUNTA([1]characters!$A:$A),MATCH(E$1,[1]characters!$1:$1,0)-MATCH($C$1,[1]characters!$1:$1,0)+1),MATCH(E$1,[1]characters!$1:$1,0)-MATCH($C$1,[1]characters!$1:$1,0)+1,FALSE)</f>
        <v>5</v>
      </c>
      <c r="F71" s="52" t="str">
        <f ca="1">VLOOKUP($C71,OFFSET([1]characters!$A$1,0,0,COUNTA([1]characters!$A:$A),MATCH(F$1,[1]characters!$1:$1,0)-MATCH($C$1,[1]characters!$1:$1,0)+1),MATCH(F$1,[1]characters!$1:$1,0)-MATCH($C$1,[1]characters!$1:$1,0)+1,FALSE)</f>
        <v>PremiumSSS</v>
      </c>
      <c r="G71" s="194">
        <v>1108</v>
      </c>
      <c r="H71" s="52" t="str">
        <f ca="1">VLOOKUP($G71,OFFSET([1]characters!$A$1,0,0,COUNTA([1]characters!$A:$A),MATCH(H$1,[1]characters!$1:$1,0)-MATCH($C$1,[1]characters!$1:$1,0)+1),MATCH(H$1,[1]characters!$1:$1,0)-MATCH($C$1,[1]characters!$1:$1,0)+1,FALSE)</f>
        <v>交鏡の光波 フレネル</v>
      </c>
      <c r="I71" s="193">
        <v>508</v>
      </c>
      <c r="J71" s="52" t="str">
        <f ca="1">VLOOKUP($I71,OFFSET([1]characters!$A$1,0,0,COUNTA([1]characters!$A:$A),MATCH(J$1,[1]characters!$1:$1,0)-MATCH($C$1,[1]characters!$1:$1,0)+1),MATCH(J$1,[1]characters!$1:$1,0)-MATCH($C$1,[1]characters!$1:$1,0)+1,FALSE)</f>
        <v>Gスター・チルドレン</v>
      </c>
      <c r="K71" s="191">
        <v>1</v>
      </c>
      <c r="L71" s="192">
        <v>3</v>
      </c>
      <c r="M71" s="192">
        <v>100</v>
      </c>
      <c r="N71" s="2" t="s">
        <v>285</v>
      </c>
    </row>
    <row r="72" spans="1:14" ht="21" customHeight="1" x14ac:dyDescent="0.15">
      <c r="A72" s="60" t="str">
        <f t="shared" si="20"/>
        <v>874_274</v>
      </c>
      <c r="B72" s="194">
        <v>874</v>
      </c>
      <c r="C72" s="177">
        <f t="shared" si="21"/>
        <v>874</v>
      </c>
      <c r="D72" s="52" t="str">
        <f ca="1">VLOOKUP($C72,OFFSET([1]characters!$A$1,0,0,COUNTA([1]characters!$A:$A),MATCH(D$1,[1]characters!$1:$1,0)-MATCH($C$1,[1]characters!$1:$1,0)+1),MATCH(D$1,[1]characters!$1:$1,0)-MATCH($C$1,[1]characters!$1:$1,0)+1,FALSE)</f>
        <v>フレネル</v>
      </c>
      <c r="E72" s="52">
        <f ca="1">VLOOKUP($C72,OFFSET([1]characters!$A$1,0,0,COUNTA([1]characters!$A:$A),MATCH(E$1,[1]characters!$1:$1,0)-MATCH($C$1,[1]characters!$1:$1,0)+1),MATCH(E$1,[1]characters!$1:$1,0)-MATCH($C$1,[1]characters!$1:$1,0)+1,FALSE)</f>
        <v>5</v>
      </c>
      <c r="F72" s="52" t="str">
        <f ca="1">VLOOKUP($C72,OFFSET([1]characters!$A$1,0,0,COUNTA([1]characters!$A:$A),MATCH(F$1,[1]characters!$1:$1,0)-MATCH($C$1,[1]characters!$1:$1,0)+1),MATCH(F$1,[1]characters!$1:$1,0)-MATCH($C$1,[1]characters!$1:$1,0)+1,FALSE)</f>
        <v>PremiumSSS</v>
      </c>
      <c r="G72" s="194">
        <v>1108</v>
      </c>
      <c r="H72" s="52" t="str">
        <f ca="1">VLOOKUP($G72,OFFSET([1]characters!$A$1,0,0,COUNTA([1]characters!$A:$A),MATCH(H$1,[1]characters!$1:$1,0)-MATCH($C$1,[1]characters!$1:$1,0)+1),MATCH(H$1,[1]characters!$1:$1,0)-MATCH($C$1,[1]characters!$1:$1,0)+1,FALSE)</f>
        <v>交鏡の光波 フレネル</v>
      </c>
      <c r="I72" s="193">
        <v>274</v>
      </c>
      <c r="J72" s="52" t="str">
        <f ca="1">VLOOKUP($I72,OFFSET([1]characters!$A$1,0,0,COUNTA([1]characters!$A:$A),MATCH(J$1,[1]characters!$1:$1,0)-MATCH($C$1,[1]characters!$1:$1,0)+1),MATCH(J$1,[1]characters!$1:$1,0)-MATCH($C$1,[1]characters!$1:$1,0)+1,FALSE)</f>
        <v>砕棒のガエル</v>
      </c>
      <c r="K72" s="191">
        <v>1</v>
      </c>
      <c r="L72" s="192">
        <v>3</v>
      </c>
      <c r="M72" s="192">
        <v>100</v>
      </c>
      <c r="N72" s="2" t="s">
        <v>285</v>
      </c>
    </row>
    <row r="73" spans="1:14" ht="21" customHeight="1" x14ac:dyDescent="0.15">
      <c r="A73" s="60" t="str">
        <f t="shared" ref="A73:A85" si="22">B73&amp;"_"&amp;I73</f>
        <v>875_508</v>
      </c>
      <c r="B73" s="194">
        <v>875</v>
      </c>
      <c r="C73" s="177">
        <f t="shared" ref="C73:C85" si="23">B73</f>
        <v>875</v>
      </c>
      <c r="D73" s="52" t="str">
        <f ca="1">VLOOKUP($C73,OFFSET([1]characters!$A$1,0,0,COUNTA([1]characters!$A:$A),MATCH(D$1,[1]characters!$1:$1,0)-MATCH($C$1,[1]characters!$1:$1,0)+1),MATCH(D$1,[1]characters!$1:$1,0)-MATCH($C$1,[1]characters!$1:$1,0)+1,FALSE)</f>
        <v>覇導の光跡 フレネル</v>
      </c>
      <c r="E73" s="52">
        <f ca="1">VLOOKUP($C73,OFFSET([1]characters!$A$1,0,0,COUNTA([1]characters!$A:$A),MATCH(E$1,[1]characters!$1:$1,0)-MATCH($C$1,[1]characters!$1:$1,0)+1),MATCH(E$1,[1]characters!$1:$1,0)-MATCH($C$1,[1]characters!$1:$1,0)+1,FALSE)</f>
        <v>6</v>
      </c>
      <c r="F73" s="52" t="str">
        <f ca="1">VLOOKUP($C73,OFFSET([1]characters!$A$1,0,0,COUNTA([1]characters!$A:$A),MATCH(F$1,[1]characters!$1:$1,0)-MATCH($C$1,[1]characters!$1:$1,0)+1),MATCH(F$1,[1]characters!$1:$1,0)-MATCH($C$1,[1]characters!$1:$1,0)+1,FALSE)</f>
        <v>PremiumSSS</v>
      </c>
      <c r="G73" s="194">
        <v>1108</v>
      </c>
      <c r="H73" s="52" t="str">
        <f ca="1">VLOOKUP($G73,OFFSET([1]characters!$A$1,0,0,COUNTA([1]characters!$A:$A),MATCH(H$1,[1]characters!$1:$1,0)-MATCH($C$1,[1]characters!$1:$1,0)+1),MATCH(H$1,[1]characters!$1:$1,0)-MATCH($C$1,[1]characters!$1:$1,0)+1,FALSE)</f>
        <v>交鏡の光波 フレネル</v>
      </c>
      <c r="I73" s="193">
        <v>508</v>
      </c>
      <c r="J73" s="52" t="str">
        <f ca="1">VLOOKUP($I73,OFFSET([1]characters!$A$1,0,0,COUNTA([1]characters!$A:$A),MATCH(J$1,[1]characters!$1:$1,0)-MATCH($C$1,[1]characters!$1:$1,0)+1),MATCH(J$1,[1]characters!$1:$1,0)-MATCH($C$1,[1]characters!$1:$1,0)+1,FALSE)</f>
        <v>Gスター・チルドレン</v>
      </c>
      <c r="K73" s="191">
        <v>1</v>
      </c>
      <c r="L73" s="192">
        <v>2</v>
      </c>
      <c r="M73" s="192">
        <v>100</v>
      </c>
      <c r="N73" s="2" t="s">
        <v>285</v>
      </c>
    </row>
    <row r="74" spans="1:14" ht="21" customHeight="1" x14ac:dyDescent="0.15">
      <c r="A74" s="60" t="str">
        <f t="shared" si="22"/>
        <v>875_274</v>
      </c>
      <c r="B74" s="194">
        <v>875</v>
      </c>
      <c r="C74" s="177">
        <f t="shared" si="23"/>
        <v>875</v>
      </c>
      <c r="D74" s="52" t="str">
        <f ca="1">VLOOKUP($C74,OFFSET([1]characters!$A$1,0,0,COUNTA([1]characters!$A:$A),MATCH(D$1,[1]characters!$1:$1,0)-MATCH($C$1,[1]characters!$1:$1,0)+1),MATCH(D$1,[1]characters!$1:$1,0)-MATCH($C$1,[1]characters!$1:$1,0)+1,FALSE)</f>
        <v>覇導の光跡 フレネル</v>
      </c>
      <c r="E74" s="52">
        <f ca="1">VLOOKUP($C74,OFFSET([1]characters!$A$1,0,0,COUNTA([1]characters!$A:$A),MATCH(E$1,[1]characters!$1:$1,0)-MATCH($C$1,[1]characters!$1:$1,0)+1),MATCH(E$1,[1]characters!$1:$1,0)-MATCH($C$1,[1]characters!$1:$1,0)+1,FALSE)</f>
        <v>6</v>
      </c>
      <c r="F74" s="52" t="str">
        <f ca="1">VLOOKUP($C74,OFFSET([1]characters!$A$1,0,0,COUNTA([1]characters!$A:$A),MATCH(F$1,[1]characters!$1:$1,0)-MATCH($C$1,[1]characters!$1:$1,0)+1),MATCH(F$1,[1]characters!$1:$1,0)-MATCH($C$1,[1]characters!$1:$1,0)+1,FALSE)</f>
        <v>PremiumSSS</v>
      </c>
      <c r="G74" s="194">
        <v>1108</v>
      </c>
      <c r="H74" s="52" t="str">
        <f ca="1">VLOOKUP($G74,OFFSET([1]characters!$A$1,0,0,COUNTA([1]characters!$A:$A),MATCH(H$1,[1]characters!$1:$1,0)-MATCH($C$1,[1]characters!$1:$1,0)+1),MATCH(H$1,[1]characters!$1:$1,0)-MATCH($C$1,[1]characters!$1:$1,0)+1,FALSE)</f>
        <v>交鏡の光波 フレネル</v>
      </c>
      <c r="I74" s="193">
        <v>274</v>
      </c>
      <c r="J74" s="52" t="str">
        <f ca="1">VLOOKUP($I74,OFFSET([1]characters!$A$1,0,0,COUNTA([1]characters!$A:$A),MATCH(J$1,[1]characters!$1:$1,0)-MATCH($C$1,[1]characters!$1:$1,0)+1),MATCH(J$1,[1]characters!$1:$1,0)-MATCH($C$1,[1]characters!$1:$1,0)+1,FALSE)</f>
        <v>砕棒のガエル</v>
      </c>
      <c r="K74" s="191">
        <v>1</v>
      </c>
      <c r="L74" s="192">
        <v>2</v>
      </c>
      <c r="M74" s="192">
        <v>100</v>
      </c>
      <c r="N74" s="2" t="s">
        <v>285</v>
      </c>
    </row>
    <row r="75" spans="1:14" ht="21" customHeight="1" x14ac:dyDescent="0.15">
      <c r="A75" s="60" t="str">
        <f t="shared" si="22"/>
        <v>1108_114</v>
      </c>
      <c r="B75" s="194">
        <v>1108</v>
      </c>
      <c r="C75" s="177">
        <f t="shared" si="23"/>
        <v>1108</v>
      </c>
      <c r="D75" s="52" t="str">
        <f ca="1">VLOOKUP($C75,OFFSET([1]characters!$A$1,0,0,COUNTA([1]characters!$A:$A),MATCH(D$1,[1]characters!$1:$1,0)-MATCH($C$1,[1]characters!$1:$1,0)+1),MATCH(D$1,[1]characters!$1:$1,0)-MATCH($C$1,[1]characters!$1:$1,0)+1,FALSE)</f>
        <v>交鏡の光波 フレネル</v>
      </c>
      <c r="E75" s="52">
        <f ca="1">VLOOKUP($C75,OFFSET([1]characters!$A$1,0,0,COUNTA([1]characters!$A:$A),MATCH(E$1,[1]characters!$1:$1,0)-MATCH($C$1,[1]characters!$1:$1,0)+1),MATCH(E$1,[1]characters!$1:$1,0)-MATCH($C$1,[1]characters!$1:$1,0)+1,FALSE)</f>
        <v>6</v>
      </c>
      <c r="F75" s="52" t="str">
        <f ca="1">VLOOKUP($C75,OFFSET([1]characters!$A$1,0,0,COUNTA([1]characters!$A:$A),MATCH(F$1,[1]characters!$1:$1,0)-MATCH($C$1,[1]characters!$1:$1,0)+1),MATCH(F$1,[1]characters!$1:$1,0)-MATCH($C$1,[1]characters!$1:$1,0)+1,FALSE)</f>
        <v>PremiumSSS</v>
      </c>
      <c r="G75" s="194">
        <v>875</v>
      </c>
      <c r="H75" s="52" t="str">
        <f ca="1">VLOOKUP($G75,OFFSET([1]characters!$A$1,0,0,COUNTA([1]characters!$A:$A),MATCH(H$1,[1]characters!$1:$1,0)-MATCH($C$1,[1]characters!$1:$1,0)+1),MATCH(H$1,[1]characters!$1:$1,0)-MATCH($C$1,[1]characters!$1:$1,0)+1,FALSE)</f>
        <v>覇導の光跡 フレネル</v>
      </c>
      <c r="I75" s="193">
        <v>114</v>
      </c>
      <c r="J75" s="52" t="str">
        <f ca="1">VLOOKUP($I75,OFFSET([1]characters!$A$1,0,0,COUNTA([1]characters!$A:$A),MATCH(J$1,[1]characters!$1:$1,0)-MATCH($C$1,[1]characters!$1:$1,0)+1),MATCH(J$1,[1]characters!$1:$1,0)-MATCH($C$1,[1]characters!$1:$1,0)+1,FALSE)</f>
        <v>イエローラビット</v>
      </c>
      <c r="K75" s="191">
        <v>1</v>
      </c>
      <c r="L75" s="192">
        <v>1</v>
      </c>
      <c r="M75" s="192">
        <v>10</v>
      </c>
      <c r="N75" s="2" t="s">
        <v>285</v>
      </c>
    </row>
    <row r="76" spans="1:14" ht="21" customHeight="1" x14ac:dyDescent="0.15">
      <c r="A76" s="60" t="str">
        <f t="shared" si="22"/>
        <v>1108_115</v>
      </c>
      <c r="B76" s="194">
        <v>1108</v>
      </c>
      <c r="C76" s="177">
        <f t="shared" si="23"/>
        <v>1108</v>
      </c>
      <c r="D76" s="52" t="str">
        <f ca="1">VLOOKUP($C76,OFFSET([1]characters!$A$1,0,0,COUNTA([1]characters!$A:$A),MATCH(D$1,[1]characters!$1:$1,0)-MATCH($C$1,[1]characters!$1:$1,0)+1),MATCH(D$1,[1]characters!$1:$1,0)-MATCH($C$1,[1]characters!$1:$1,0)+1,FALSE)</f>
        <v>交鏡の光波 フレネル</v>
      </c>
      <c r="E76" s="52">
        <f ca="1">VLOOKUP($C76,OFFSET([1]characters!$A$1,0,0,COUNTA([1]characters!$A:$A),MATCH(E$1,[1]characters!$1:$1,0)-MATCH($C$1,[1]characters!$1:$1,0)+1),MATCH(E$1,[1]characters!$1:$1,0)-MATCH($C$1,[1]characters!$1:$1,0)+1,FALSE)</f>
        <v>6</v>
      </c>
      <c r="F76" s="52" t="str">
        <f ca="1">VLOOKUP($C76,OFFSET([1]characters!$A$1,0,0,COUNTA([1]characters!$A:$A),MATCH(F$1,[1]characters!$1:$1,0)-MATCH($C$1,[1]characters!$1:$1,0)+1),MATCH(F$1,[1]characters!$1:$1,0)-MATCH($C$1,[1]characters!$1:$1,0)+1,FALSE)</f>
        <v>PremiumSSS</v>
      </c>
      <c r="G76" s="194">
        <v>875</v>
      </c>
      <c r="H76" s="52" t="str">
        <f ca="1">VLOOKUP($G76,OFFSET([1]characters!$A$1,0,0,COUNTA([1]characters!$A:$A),MATCH(H$1,[1]characters!$1:$1,0)-MATCH($C$1,[1]characters!$1:$1,0)+1),MATCH(H$1,[1]characters!$1:$1,0)-MATCH($C$1,[1]characters!$1:$1,0)+1,FALSE)</f>
        <v>覇導の光跡 フレネル</v>
      </c>
      <c r="I76" s="193">
        <v>115</v>
      </c>
      <c r="J76" s="52" t="str">
        <f ca="1">VLOOKUP($I76,OFFSET([1]characters!$A$1,0,0,COUNTA([1]characters!$A:$A),MATCH(J$1,[1]characters!$1:$1,0)-MATCH($C$1,[1]characters!$1:$1,0)+1),MATCH(J$1,[1]characters!$1:$1,0)-MATCH($C$1,[1]characters!$1:$1,0)+1,FALSE)</f>
        <v>イエローキャタップ</v>
      </c>
      <c r="K76" s="191">
        <v>1</v>
      </c>
      <c r="L76" s="192">
        <v>1</v>
      </c>
      <c r="M76" s="192">
        <v>10</v>
      </c>
      <c r="N76" s="2" t="s">
        <v>285</v>
      </c>
    </row>
    <row r="77" spans="1:14" ht="21" customHeight="1" x14ac:dyDescent="0.15">
      <c r="A77" s="60" t="str">
        <f t="shared" si="22"/>
        <v>1108_359</v>
      </c>
      <c r="B77" s="194">
        <v>1108</v>
      </c>
      <c r="C77" s="177">
        <f t="shared" si="23"/>
        <v>1108</v>
      </c>
      <c r="D77" s="52" t="str">
        <f ca="1">VLOOKUP($C77,OFFSET([1]characters!$A$1,0,0,COUNTA([1]characters!$A:$A),MATCH(D$1,[1]characters!$1:$1,0)-MATCH($C$1,[1]characters!$1:$1,0)+1),MATCH(D$1,[1]characters!$1:$1,0)-MATCH($C$1,[1]characters!$1:$1,0)+1,FALSE)</f>
        <v>交鏡の光波 フレネル</v>
      </c>
      <c r="E77" s="52">
        <f ca="1">VLOOKUP($C77,OFFSET([1]characters!$A$1,0,0,COUNTA([1]characters!$A:$A),MATCH(E$1,[1]characters!$1:$1,0)-MATCH($C$1,[1]characters!$1:$1,0)+1),MATCH(E$1,[1]characters!$1:$1,0)-MATCH($C$1,[1]characters!$1:$1,0)+1,FALSE)</f>
        <v>6</v>
      </c>
      <c r="F77" s="52" t="str">
        <f ca="1">VLOOKUP($C77,OFFSET([1]characters!$A$1,0,0,COUNTA([1]characters!$A:$A),MATCH(F$1,[1]characters!$1:$1,0)-MATCH($C$1,[1]characters!$1:$1,0)+1),MATCH(F$1,[1]characters!$1:$1,0)-MATCH($C$1,[1]characters!$1:$1,0)+1,FALSE)</f>
        <v>PremiumSSS</v>
      </c>
      <c r="G77" s="194">
        <v>875</v>
      </c>
      <c r="H77" s="52" t="str">
        <f ca="1">VLOOKUP($G77,OFFSET([1]characters!$A$1,0,0,COUNTA([1]characters!$A:$A),MATCH(H$1,[1]characters!$1:$1,0)-MATCH($C$1,[1]characters!$1:$1,0)+1),MATCH(H$1,[1]characters!$1:$1,0)-MATCH($C$1,[1]characters!$1:$1,0)+1,FALSE)</f>
        <v>覇導の光跡 フレネル</v>
      </c>
      <c r="I77" s="193">
        <v>359</v>
      </c>
      <c r="J77" s="52" t="str">
        <f ca="1">VLOOKUP($I77,OFFSET([1]characters!$A$1,0,0,COUNTA([1]characters!$A:$A),MATCH(J$1,[1]characters!$1:$1,0)-MATCH($C$1,[1]characters!$1:$1,0)+1),MATCH(J$1,[1]characters!$1:$1,0)-MATCH($C$1,[1]characters!$1:$1,0)+1,FALSE)</f>
        <v>醒電の眠りネズミ</v>
      </c>
      <c r="K77" s="191">
        <v>1</v>
      </c>
      <c r="L77" s="192">
        <v>1</v>
      </c>
      <c r="M77" s="192">
        <v>10</v>
      </c>
      <c r="N77" s="2" t="s">
        <v>285</v>
      </c>
    </row>
    <row r="78" spans="1:14" ht="21" customHeight="1" x14ac:dyDescent="0.15">
      <c r="A78" s="60" t="str">
        <f t="shared" si="22"/>
        <v>1076_1326</v>
      </c>
      <c r="B78" s="194">
        <v>1076</v>
      </c>
      <c r="C78" s="177">
        <f t="shared" si="23"/>
        <v>1076</v>
      </c>
      <c r="D78" s="52" t="str">
        <f ca="1">VLOOKUP($C78,OFFSET([1]characters!$A$1,0,0,COUNTA([1]characters!$A:$A),MATCH(D$1,[1]characters!$1:$1,0)-MATCH($C$1,[1]characters!$1:$1,0)+1),MATCH(D$1,[1]characters!$1:$1,0)-MATCH($C$1,[1]characters!$1:$1,0)+1,FALSE)</f>
        <v>パレート</v>
      </c>
      <c r="E78" s="52">
        <f ca="1">VLOOKUP($C78,OFFSET([1]characters!$A$1,0,0,COUNTA([1]characters!$A:$A),MATCH(E$1,[1]characters!$1:$1,0)-MATCH($C$1,[1]characters!$1:$1,0)+1),MATCH(E$1,[1]characters!$1:$1,0)-MATCH($C$1,[1]characters!$1:$1,0)+1,FALSE)</f>
        <v>5</v>
      </c>
      <c r="F78" s="52" t="str">
        <f ca="1">VLOOKUP($C78,OFFSET([1]characters!$A$1,0,0,COUNTA([1]characters!$A:$A),MATCH(F$1,[1]characters!$1:$1,0)-MATCH($C$1,[1]characters!$1:$1,0)+1),MATCH(F$1,[1]characters!$1:$1,0)-MATCH($C$1,[1]characters!$1:$1,0)+1,FALSE)</f>
        <v>PremiumSSS</v>
      </c>
      <c r="G78" s="194">
        <v>1078</v>
      </c>
      <c r="H78" s="52" t="str">
        <f ca="1">VLOOKUP($G78,OFFSET([1]characters!$A$1,0,0,COUNTA([1]characters!$A:$A),MATCH(H$1,[1]characters!$1:$1,0)-MATCH($C$1,[1]characters!$1:$1,0)+1),MATCH(H$1,[1]characters!$1:$1,0)-MATCH($C$1,[1]characters!$1:$1,0)+1,FALSE)</f>
        <v>合奏の飛論理 パレート</v>
      </c>
      <c r="I78" s="193">
        <v>1326</v>
      </c>
      <c r="J78" s="52" t="str">
        <f ca="1">VLOOKUP($I78,OFFSET([1]characters!$A$1,0,0,COUNTA([1]characters!$A:$A),MATCH(J$1,[1]characters!$1:$1,0)-MATCH($C$1,[1]characters!$1:$1,0)+1),MATCH(J$1,[1]characters!$1:$1,0)-MATCH($C$1,[1]characters!$1:$1,0)+1,FALSE)</f>
        <v>ワカヒルメ</v>
      </c>
      <c r="K78" s="191">
        <v>1</v>
      </c>
      <c r="L78" s="192">
        <v>1</v>
      </c>
      <c r="M78" s="192">
        <v>100</v>
      </c>
      <c r="N78" s="2" t="s">
        <v>285</v>
      </c>
    </row>
    <row r="79" spans="1:14" ht="21" customHeight="1" x14ac:dyDescent="0.15">
      <c r="A79" s="60" t="str">
        <f t="shared" si="22"/>
        <v>1076_579</v>
      </c>
      <c r="B79" s="194">
        <v>1076</v>
      </c>
      <c r="C79" s="177">
        <f t="shared" si="23"/>
        <v>1076</v>
      </c>
      <c r="D79" s="52" t="str">
        <f ca="1">VLOOKUP($C79,OFFSET([1]characters!$A$1,0,0,COUNTA([1]characters!$A:$A),MATCH(D$1,[1]characters!$1:$1,0)-MATCH($C$1,[1]characters!$1:$1,0)+1),MATCH(D$1,[1]characters!$1:$1,0)-MATCH($C$1,[1]characters!$1:$1,0)+1,FALSE)</f>
        <v>パレート</v>
      </c>
      <c r="E79" s="52">
        <f ca="1">VLOOKUP($C79,OFFSET([1]characters!$A$1,0,0,COUNTA([1]characters!$A:$A),MATCH(E$1,[1]characters!$1:$1,0)-MATCH($C$1,[1]characters!$1:$1,0)+1),MATCH(E$1,[1]characters!$1:$1,0)-MATCH($C$1,[1]characters!$1:$1,0)+1,FALSE)</f>
        <v>5</v>
      </c>
      <c r="F79" s="52" t="str">
        <f ca="1">VLOOKUP($C79,OFFSET([1]characters!$A$1,0,0,COUNTA([1]characters!$A:$A),MATCH(F$1,[1]characters!$1:$1,0)-MATCH($C$1,[1]characters!$1:$1,0)+1),MATCH(F$1,[1]characters!$1:$1,0)-MATCH($C$1,[1]characters!$1:$1,0)+1,FALSE)</f>
        <v>PremiumSSS</v>
      </c>
      <c r="G79" s="194">
        <v>1078</v>
      </c>
      <c r="H79" s="52" t="str">
        <f ca="1">VLOOKUP($G79,OFFSET([1]characters!$A$1,0,0,COUNTA([1]characters!$A:$A),MATCH(H$1,[1]characters!$1:$1,0)-MATCH($C$1,[1]characters!$1:$1,0)+1),MATCH(H$1,[1]characters!$1:$1,0)-MATCH($C$1,[1]characters!$1:$1,0)+1,FALSE)</f>
        <v>合奏の飛論理 パレート</v>
      </c>
      <c r="I79" s="193">
        <v>579</v>
      </c>
      <c r="J79" s="52" t="str">
        <f ca="1">VLOOKUP($I79,OFFSET([1]characters!$A$1,0,0,COUNTA([1]characters!$A:$A),MATCH(J$1,[1]characters!$1:$1,0)-MATCH($C$1,[1]characters!$1:$1,0)+1),MATCH(J$1,[1]characters!$1:$1,0)-MATCH($C$1,[1]characters!$1:$1,0)+1,FALSE)</f>
        <v>オーズ</v>
      </c>
      <c r="K79" s="191">
        <v>1</v>
      </c>
      <c r="L79" s="192">
        <v>3</v>
      </c>
      <c r="M79" s="192">
        <v>100</v>
      </c>
      <c r="N79" s="2" t="s">
        <v>285</v>
      </c>
    </row>
    <row r="80" spans="1:14" ht="21" customHeight="1" x14ac:dyDescent="0.15">
      <c r="A80" s="60" t="str">
        <f t="shared" si="22"/>
        <v>1076_1204</v>
      </c>
      <c r="B80" s="194">
        <v>1076</v>
      </c>
      <c r="C80" s="177">
        <f t="shared" si="23"/>
        <v>1076</v>
      </c>
      <c r="D80" s="52" t="str">
        <f ca="1">VLOOKUP($C80,OFFSET([1]characters!$A$1,0,0,COUNTA([1]characters!$A:$A),MATCH(D$1,[1]characters!$1:$1,0)-MATCH($C$1,[1]characters!$1:$1,0)+1),MATCH(D$1,[1]characters!$1:$1,0)-MATCH($C$1,[1]characters!$1:$1,0)+1,FALSE)</f>
        <v>パレート</v>
      </c>
      <c r="E80" s="52">
        <f ca="1">VLOOKUP($C80,OFFSET([1]characters!$A$1,0,0,COUNTA([1]characters!$A:$A),MATCH(E$1,[1]characters!$1:$1,0)-MATCH($C$1,[1]characters!$1:$1,0)+1),MATCH(E$1,[1]characters!$1:$1,0)-MATCH($C$1,[1]characters!$1:$1,0)+1,FALSE)</f>
        <v>5</v>
      </c>
      <c r="F80" s="52" t="str">
        <f ca="1">VLOOKUP($C80,OFFSET([1]characters!$A$1,0,0,COUNTA([1]characters!$A:$A),MATCH(F$1,[1]characters!$1:$1,0)-MATCH($C$1,[1]characters!$1:$1,0)+1),MATCH(F$1,[1]characters!$1:$1,0)-MATCH($C$1,[1]characters!$1:$1,0)+1,FALSE)</f>
        <v>PremiumSSS</v>
      </c>
      <c r="G80" s="194">
        <v>1078</v>
      </c>
      <c r="H80" s="52" t="str">
        <f ca="1">VLOOKUP($G80,OFFSET([1]characters!$A$1,0,0,COUNTA([1]characters!$A:$A),MATCH(H$1,[1]characters!$1:$1,0)-MATCH($C$1,[1]characters!$1:$1,0)+1),MATCH(H$1,[1]characters!$1:$1,0)-MATCH($C$1,[1]characters!$1:$1,0)+1,FALSE)</f>
        <v>合奏の飛論理 パレート</v>
      </c>
      <c r="I80" s="193">
        <v>1204</v>
      </c>
      <c r="J80" s="52" t="str">
        <f ca="1">VLOOKUP($I80,OFFSET([1]characters!$A$1,0,0,COUNTA([1]characters!$A:$A),MATCH(J$1,[1]characters!$1:$1,0)-MATCH($C$1,[1]characters!$1:$1,0)+1),MATCH(J$1,[1]characters!$1:$1,0)-MATCH($C$1,[1]characters!$1:$1,0)+1,FALSE)</f>
        <v>デルピュネー</v>
      </c>
      <c r="K80" s="191">
        <v>1</v>
      </c>
      <c r="L80" s="192">
        <v>3</v>
      </c>
      <c r="M80" s="192">
        <v>100</v>
      </c>
      <c r="N80" s="2" t="s">
        <v>285</v>
      </c>
    </row>
    <row r="81" spans="1:14" ht="21" customHeight="1" x14ac:dyDescent="0.15">
      <c r="A81" s="60" t="str">
        <f t="shared" si="22"/>
        <v>1077_579</v>
      </c>
      <c r="B81" s="194">
        <v>1077</v>
      </c>
      <c r="C81" s="177">
        <f t="shared" si="23"/>
        <v>1077</v>
      </c>
      <c r="D81" s="52" t="str">
        <f ca="1">VLOOKUP($C81,OFFSET([1]characters!$A$1,0,0,COUNTA([1]characters!$A:$A),MATCH(D$1,[1]characters!$1:$1,0)-MATCH($C$1,[1]characters!$1:$1,0)+1),MATCH(D$1,[1]characters!$1:$1,0)-MATCH($C$1,[1]characters!$1:$1,0)+1,FALSE)</f>
        <v>彩適な幸詠隊 パレート</v>
      </c>
      <c r="E81" s="52">
        <f ca="1">VLOOKUP($C81,OFFSET([1]characters!$A$1,0,0,COUNTA([1]characters!$A:$A),MATCH(E$1,[1]characters!$1:$1,0)-MATCH($C$1,[1]characters!$1:$1,0)+1),MATCH(E$1,[1]characters!$1:$1,0)-MATCH($C$1,[1]characters!$1:$1,0)+1,FALSE)</f>
        <v>6</v>
      </c>
      <c r="F81" s="52" t="str">
        <f ca="1">VLOOKUP($C81,OFFSET([1]characters!$A$1,0,0,COUNTA([1]characters!$A:$A),MATCH(F$1,[1]characters!$1:$1,0)-MATCH($C$1,[1]characters!$1:$1,0)+1),MATCH(F$1,[1]characters!$1:$1,0)-MATCH($C$1,[1]characters!$1:$1,0)+1,FALSE)</f>
        <v>PremiumSSS</v>
      </c>
      <c r="G81" s="194">
        <v>1078</v>
      </c>
      <c r="H81" s="52" t="str">
        <f ca="1">VLOOKUP($G81,OFFSET([1]characters!$A$1,0,0,COUNTA([1]characters!$A:$A),MATCH(H$1,[1]characters!$1:$1,0)-MATCH($C$1,[1]characters!$1:$1,0)+1),MATCH(H$1,[1]characters!$1:$1,0)-MATCH($C$1,[1]characters!$1:$1,0)+1,FALSE)</f>
        <v>合奏の飛論理 パレート</v>
      </c>
      <c r="I81" s="193">
        <v>579</v>
      </c>
      <c r="J81" s="52" t="str">
        <f ca="1">VLOOKUP($I81,OFFSET([1]characters!$A$1,0,0,COUNTA([1]characters!$A:$A),MATCH(J$1,[1]characters!$1:$1,0)-MATCH($C$1,[1]characters!$1:$1,0)+1),MATCH(J$1,[1]characters!$1:$1,0)-MATCH($C$1,[1]characters!$1:$1,0)+1,FALSE)</f>
        <v>オーズ</v>
      </c>
      <c r="K81" s="191">
        <v>1</v>
      </c>
      <c r="L81" s="192">
        <v>2</v>
      </c>
      <c r="M81" s="192">
        <v>100</v>
      </c>
      <c r="N81" s="2" t="s">
        <v>285</v>
      </c>
    </row>
    <row r="82" spans="1:14" ht="21" customHeight="1" x14ac:dyDescent="0.15">
      <c r="A82" s="60" t="str">
        <f t="shared" si="22"/>
        <v>1077_1204</v>
      </c>
      <c r="B82" s="194">
        <v>1077</v>
      </c>
      <c r="C82" s="177">
        <f t="shared" si="23"/>
        <v>1077</v>
      </c>
      <c r="D82" s="52" t="str">
        <f ca="1">VLOOKUP($C82,OFFSET([1]characters!$A$1,0,0,COUNTA([1]characters!$A:$A),MATCH(D$1,[1]characters!$1:$1,0)-MATCH($C$1,[1]characters!$1:$1,0)+1),MATCH(D$1,[1]characters!$1:$1,0)-MATCH($C$1,[1]characters!$1:$1,0)+1,FALSE)</f>
        <v>彩適な幸詠隊 パレート</v>
      </c>
      <c r="E82" s="52">
        <f ca="1">VLOOKUP($C82,OFFSET([1]characters!$A$1,0,0,COUNTA([1]characters!$A:$A),MATCH(E$1,[1]characters!$1:$1,0)-MATCH($C$1,[1]characters!$1:$1,0)+1),MATCH(E$1,[1]characters!$1:$1,0)-MATCH($C$1,[1]characters!$1:$1,0)+1,FALSE)</f>
        <v>6</v>
      </c>
      <c r="F82" s="52" t="str">
        <f ca="1">VLOOKUP($C82,OFFSET([1]characters!$A$1,0,0,COUNTA([1]characters!$A:$A),MATCH(F$1,[1]characters!$1:$1,0)-MATCH($C$1,[1]characters!$1:$1,0)+1),MATCH(F$1,[1]characters!$1:$1,0)-MATCH($C$1,[1]characters!$1:$1,0)+1,FALSE)</f>
        <v>PremiumSSS</v>
      </c>
      <c r="G82" s="194">
        <v>1078</v>
      </c>
      <c r="H82" s="52" t="str">
        <f ca="1">VLOOKUP($G82,OFFSET([1]characters!$A$1,0,0,COUNTA([1]characters!$A:$A),MATCH(H$1,[1]characters!$1:$1,0)-MATCH($C$1,[1]characters!$1:$1,0)+1),MATCH(H$1,[1]characters!$1:$1,0)-MATCH($C$1,[1]characters!$1:$1,0)+1,FALSE)</f>
        <v>合奏の飛論理 パレート</v>
      </c>
      <c r="I82" s="193">
        <v>1204</v>
      </c>
      <c r="J82" s="52" t="str">
        <f ca="1">VLOOKUP($I82,OFFSET([1]characters!$A$1,0,0,COUNTA([1]characters!$A:$A),MATCH(J$1,[1]characters!$1:$1,0)-MATCH($C$1,[1]characters!$1:$1,0)+1),MATCH(J$1,[1]characters!$1:$1,0)-MATCH($C$1,[1]characters!$1:$1,0)+1,FALSE)</f>
        <v>デルピュネー</v>
      </c>
      <c r="K82" s="191">
        <v>1</v>
      </c>
      <c r="L82" s="192">
        <v>2</v>
      </c>
      <c r="M82" s="192">
        <v>100</v>
      </c>
      <c r="N82" s="2" t="s">
        <v>285</v>
      </c>
    </row>
    <row r="83" spans="1:14" ht="21" customHeight="1" x14ac:dyDescent="0.15">
      <c r="A83" s="60" t="str">
        <f t="shared" si="22"/>
        <v>1078_106</v>
      </c>
      <c r="B83" s="194">
        <v>1078</v>
      </c>
      <c r="C83" s="177">
        <f t="shared" si="23"/>
        <v>1078</v>
      </c>
      <c r="D83" s="52" t="str">
        <f ca="1">VLOOKUP($C83,OFFSET([1]characters!$A$1,0,0,COUNTA([1]characters!$A:$A),MATCH(D$1,[1]characters!$1:$1,0)-MATCH($C$1,[1]characters!$1:$1,0)+1),MATCH(D$1,[1]characters!$1:$1,0)-MATCH($C$1,[1]characters!$1:$1,0)+1,FALSE)</f>
        <v>合奏の飛論理 パレート</v>
      </c>
      <c r="E83" s="52">
        <f ca="1">VLOOKUP($C83,OFFSET([1]characters!$A$1,0,0,COUNTA([1]characters!$A:$A),MATCH(E$1,[1]characters!$1:$1,0)-MATCH($C$1,[1]characters!$1:$1,0)+1),MATCH(E$1,[1]characters!$1:$1,0)-MATCH($C$1,[1]characters!$1:$1,0)+1,FALSE)</f>
        <v>6</v>
      </c>
      <c r="F83" s="52" t="str">
        <f ca="1">VLOOKUP($C83,OFFSET([1]characters!$A$1,0,0,COUNTA([1]characters!$A:$A),MATCH(F$1,[1]characters!$1:$1,0)-MATCH($C$1,[1]characters!$1:$1,0)+1),MATCH(F$1,[1]characters!$1:$1,0)-MATCH($C$1,[1]characters!$1:$1,0)+1,FALSE)</f>
        <v>PremiumSSS</v>
      </c>
      <c r="G83" s="194">
        <v>1077</v>
      </c>
      <c r="H83" s="52" t="str">
        <f ca="1">VLOOKUP($G83,OFFSET([1]characters!$A$1,0,0,COUNTA([1]characters!$A:$A),MATCH(H$1,[1]characters!$1:$1,0)-MATCH($C$1,[1]characters!$1:$1,0)+1),MATCH(H$1,[1]characters!$1:$1,0)-MATCH($C$1,[1]characters!$1:$1,0)+1,FALSE)</f>
        <v>彩適な幸詠隊 パレート</v>
      </c>
      <c r="I83" s="193">
        <v>106</v>
      </c>
      <c r="J83" s="52" t="str">
        <f ca="1">VLOOKUP($I83,OFFSET([1]characters!$A$1,0,0,COUNTA([1]characters!$A:$A),MATCH(J$1,[1]characters!$1:$1,0)-MATCH($C$1,[1]characters!$1:$1,0)+1),MATCH(J$1,[1]characters!$1:$1,0)-MATCH($C$1,[1]characters!$1:$1,0)+1,FALSE)</f>
        <v>グリーンラビット</v>
      </c>
      <c r="K83" s="191">
        <v>1</v>
      </c>
      <c r="L83" s="192">
        <v>1</v>
      </c>
      <c r="M83" s="192">
        <v>10</v>
      </c>
      <c r="N83" s="2" t="s">
        <v>285</v>
      </c>
    </row>
    <row r="84" spans="1:14" ht="21" customHeight="1" x14ac:dyDescent="0.15">
      <c r="A84" s="60" t="str">
        <f t="shared" si="22"/>
        <v>1078_107</v>
      </c>
      <c r="B84" s="194">
        <v>1078</v>
      </c>
      <c r="C84" s="177">
        <f t="shared" si="23"/>
        <v>1078</v>
      </c>
      <c r="D84" s="52" t="str">
        <f ca="1">VLOOKUP($C84,OFFSET([1]characters!$A$1,0,0,COUNTA([1]characters!$A:$A),MATCH(D$1,[1]characters!$1:$1,0)-MATCH($C$1,[1]characters!$1:$1,0)+1),MATCH(D$1,[1]characters!$1:$1,0)-MATCH($C$1,[1]characters!$1:$1,0)+1,FALSE)</f>
        <v>合奏の飛論理 パレート</v>
      </c>
      <c r="E84" s="52">
        <f ca="1">VLOOKUP($C84,OFFSET([1]characters!$A$1,0,0,COUNTA([1]characters!$A:$A),MATCH(E$1,[1]characters!$1:$1,0)-MATCH($C$1,[1]characters!$1:$1,0)+1),MATCH(E$1,[1]characters!$1:$1,0)-MATCH($C$1,[1]characters!$1:$1,0)+1,FALSE)</f>
        <v>6</v>
      </c>
      <c r="F84" s="52" t="str">
        <f ca="1">VLOOKUP($C84,OFFSET([1]characters!$A$1,0,0,COUNTA([1]characters!$A:$A),MATCH(F$1,[1]characters!$1:$1,0)-MATCH($C$1,[1]characters!$1:$1,0)+1),MATCH(F$1,[1]characters!$1:$1,0)-MATCH($C$1,[1]characters!$1:$1,0)+1,FALSE)</f>
        <v>PremiumSSS</v>
      </c>
      <c r="G84" s="194">
        <v>1077</v>
      </c>
      <c r="H84" s="52" t="str">
        <f ca="1">VLOOKUP($G84,OFFSET([1]characters!$A$1,0,0,COUNTA([1]characters!$A:$A),MATCH(H$1,[1]characters!$1:$1,0)-MATCH($C$1,[1]characters!$1:$1,0)+1),MATCH(H$1,[1]characters!$1:$1,0)-MATCH($C$1,[1]characters!$1:$1,0)+1,FALSE)</f>
        <v>彩適な幸詠隊 パレート</v>
      </c>
      <c r="I84" s="193">
        <v>107</v>
      </c>
      <c r="J84" s="52" t="str">
        <f ca="1">VLOOKUP($I84,OFFSET([1]characters!$A$1,0,0,COUNTA([1]characters!$A:$A),MATCH(J$1,[1]characters!$1:$1,0)-MATCH($C$1,[1]characters!$1:$1,0)+1),MATCH(J$1,[1]characters!$1:$1,0)-MATCH($C$1,[1]characters!$1:$1,0)+1,FALSE)</f>
        <v>グリーンキャタップ</v>
      </c>
      <c r="K84" s="191">
        <v>1</v>
      </c>
      <c r="L84" s="192">
        <v>1</v>
      </c>
      <c r="M84" s="192">
        <v>10</v>
      </c>
      <c r="N84" s="2" t="s">
        <v>285</v>
      </c>
    </row>
    <row r="85" spans="1:14" ht="21" customHeight="1" x14ac:dyDescent="0.15">
      <c r="A85" s="60" t="str">
        <f t="shared" si="22"/>
        <v>1078_108</v>
      </c>
      <c r="B85" s="194">
        <v>1078</v>
      </c>
      <c r="C85" s="177">
        <f t="shared" si="23"/>
        <v>1078</v>
      </c>
      <c r="D85" s="52" t="str">
        <f ca="1">VLOOKUP($C85,OFFSET([1]characters!$A$1,0,0,COUNTA([1]characters!$A:$A),MATCH(D$1,[1]characters!$1:$1,0)-MATCH($C$1,[1]characters!$1:$1,0)+1),MATCH(D$1,[1]characters!$1:$1,0)-MATCH($C$1,[1]characters!$1:$1,0)+1,FALSE)</f>
        <v>合奏の飛論理 パレート</v>
      </c>
      <c r="E85" s="52">
        <f ca="1">VLOOKUP($C85,OFFSET([1]characters!$A$1,0,0,COUNTA([1]characters!$A:$A),MATCH(E$1,[1]characters!$1:$1,0)-MATCH($C$1,[1]characters!$1:$1,0)+1),MATCH(E$1,[1]characters!$1:$1,0)-MATCH($C$1,[1]characters!$1:$1,0)+1,FALSE)</f>
        <v>6</v>
      </c>
      <c r="F85" s="52" t="str">
        <f ca="1">VLOOKUP($C85,OFFSET([1]characters!$A$1,0,0,COUNTA([1]characters!$A:$A),MATCH(F$1,[1]characters!$1:$1,0)-MATCH($C$1,[1]characters!$1:$1,0)+1),MATCH(F$1,[1]characters!$1:$1,0)-MATCH($C$1,[1]characters!$1:$1,0)+1,FALSE)</f>
        <v>PremiumSSS</v>
      </c>
      <c r="G85" s="194">
        <v>1077</v>
      </c>
      <c r="H85" s="52" t="str">
        <f ca="1">VLOOKUP($G85,OFFSET([1]characters!$A$1,0,0,COUNTA([1]characters!$A:$A),MATCH(H$1,[1]characters!$1:$1,0)-MATCH($C$1,[1]characters!$1:$1,0)+1),MATCH(H$1,[1]characters!$1:$1,0)-MATCH($C$1,[1]characters!$1:$1,0)+1,FALSE)</f>
        <v>彩適な幸詠隊 パレート</v>
      </c>
      <c r="I85" s="193">
        <v>108</v>
      </c>
      <c r="J85" s="52" t="str">
        <f ca="1">VLOOKUP($I85,OFFSET([1]characters!$A$1,0,0,COUNTA([1]characters!$A:$A),MATCH(J$1,[1]characters!$1:$1,0)-MATCH($C$1,[1]characters!$1:$1,0)+1),MATCH(J$1,[1]characters!$1:$1,0)-MATCH($C$1,[1]characters!$1:$1,0)+1,FALSE)</f>
        <v>森のマッドハッター</v>
      </c>
      <c r="K85" s="191">
        <v>1</v>
      </c>
      <c r="L85" s="192">
        <v>1</v>
      </c>
      <c r="M85" s="192">
        <v>10</v>
      </c>
      <c r="N85" s="2" t="s">
        <v>285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A4" sqref="A4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297</v>
      </c>
      <c r="B1" s="114" t="s">
        <v>298</v>
      </c>
      <c r="C1" s="115" t="s">
        <v>299</v>
      </c>
      <c r="D1" s="116" t="s">
        <v>300</v>
      </c>
      <c r="E1" s="116" t="s">
        <v>301</v>
      </c>
      <c r="F1" s="116" t="s">
        <v>302</v>
      </c>
      <c r="G1" s="116" t="s">
        <v>303</v>
      </c>
      <c r="H1" s="116" t="s">
        <v>304</v>
      </c>
      <c r="I1" s="172" t="s">
        <v>305</v>
      </c>
      <c r="J1" s="167" t="s">
        <v>306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2"/>
  <sheetViews>
    <sheetView workbookViewId="0">
      <selection activeCell="D22" sqref="D22"/>
    </sheetView>
  </sheetViews>
  <sheetFormatPr baseColWidth="12" defaultRowHeight="15" x14ac:dyDescent="0.15"/>
  <cols>
    <col min="2" max="2" width="23.5" customWidth="1"/>
    <col min="5" max="5" width="22.6640625" customWidth="1"/>
    <col min="6" max="6" width="58.5" customWidth="1"/>
  </cols>
  <sheetData>
    <row r="1" spans="1:8" s="21" customFormat="1" ht="21" customHeight="1" x14ac:dyDescent="0.15">
      <c r="A1" s="166" t="s">
        <v>138</v>
      </c>
      <c r="B1" s="169" t="s">
        <v>262</v>
      </c>
      <c r="C1" s="114" t="s">
        <v>263</v>
      </c>
      <c r="D1" s="114" t="s">
        <v>264</v>
      </c>
      <c r="E1" s="170" t="s">
        <v>265</v>
      </c>
      <c r="F1" s="170" t="s">
        <v>266</v>
      </c>
      <c r="G1" s="117" t="s">
        <v>267</v>
      </c>
      <c r="H1" s="166" t="s">
        <v>268</v>
      </c>
    </row>
    <row r="2" spans="1:8" s="4" customFormat="1" ht="21" customHeight="1" x14ac:dyDescent="0.15">
      <c r="A2" s="168">
        <v>1127</v>
      </c>
      <c r="B2" s="171" t="str">
        <f>VLOOKUP(A2,[1]characters!$A:$C,3)</f>
        <v>真蒼導く対偶 ヘンペル</v>
      </c>
      <c r="C2" s="195">
        <v>1</v>
      </c>
      <c r="D2" s="195">
        <v>109</v>
      </c>
      <c r="E2" s="172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2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3" t="s">
        <v>269</v>
      </c>
      <c r="H2" s="196" t="s">
        <v>312</v>
      </c>
    </row>
    <row r="3" spans="1:8" s="4" customFormat="1" ht="21" customHeight="1" x14ac:dyDescent="0.15">
      <c r="A3" s="168">
        <v>1127</v>
      </c>
      <c r="B3" s="171" t="str">
        <f>VLOOKUP(A3,[1]characters!$A:$C,3)</f>
        <v>真蒼導く対偶 ヘンペル</v>
      </c>
      <c r="C3" s="195">
        <v>2</v>
      </c>
      <c r="D3" s="195">
        <v>200</v>
      </c>
      <c r="E3" s="172" t="str">
        <f>IF(ISERROR(VLOOKUP(D3,[3]abilities!A:D,3,FALSE))=FALSE,VLOOKUP(D3,[3]abilities!A:D,3),IF(ISERROR(VLOOKUP(D3,abilities!A:D,3,FALSE))=FALSE,VLOOKUP(D3,abilities!A:D,3),"なし"))</f>
        <v>ウィルス無効</v>
      </c>
      <c r="F3" s="172" t="str">
        <f>IF(ISERROR(VLOOKUP(D3,[3]abilities!A:D,4,FALSE))=FALSE,VLOOKUP(D3,[3]abilities!A:D,4),IF(ISERROR(VLOOKUP(D3,abilities!A:D,4,FALSE))=FALSE,VLOOKUP(D3,abilities!A:D,4),"なし"))</f>
        <v>自身にかかるウィルスを無効化する</v>
      </c>
      <c r="G3" s="173" t="s">
        <v>269</v>
      </c>
      <c r="H3" s="196" t="s">
        <v>312</v>
      </c>
    </row>
    <row r="4" spans="1:8" s="4" customFormat="1" ht="21" customHeight="1" x14ac:dyDescent="0.15">
      <c r="A4" s="168">
        <v>1186</v>
      </c>
      <c r="B4" s="171" t="str">
        <f>VLOOKUP(A4,[1]characters!$A:$C,3)</f>
        <v>超疾の最理者 フェルマー</v>
      </c>
      <c r="C4" s="195">
        <v>1</v>
      </c>
      <c r="D4" s="195">
        <v>200</v>
      </c>
      <c r="E4" s="172" t="str">
        <f>IF(ISERROR(VLOOKUP(D4,[3]abilities!A:D,3,FALSE))=FALSE,VLOOKUP(D4,[3]abilities!A:D,3),IF(ISERROR(VLOOKUP(D4,abilities!A:D,3,FALSE))=FALSE,VLOOKUP(D4,abilities!A:D,3),"なし"))</f>
        <v>ウィルス無効</v>
      </c>
      <c r="F4" s="172" t="str">
        <f>IF(ISERROR(VLOOKUP(D4,[3]abilities!A:D,4,FALSE))=FALSE,VLOOKUP(D4,[3]abilities!A:D,4),IF(ISERROR(VLOOKUP(D4,abilities!A:D,4,FALSE))=FALSE,VLOOKUP(D4,abilities!A:D,4),"なし"))</f>
        <v>自身にかかるウィルスを無効化する</v>
      </c>
      <c r="G4" s="173" t="s">
        <v>269</v>
      </c>
      <c r="H4" s="196" t="s">
        <v>312</v>
      </c>
    </row>
    <row r="5" spans="1:8" s="4" customFormat="1" ht="21" customHeight="1" x14ac:dyDescent="0.15">
      <c r="A5" s="168">
        <v>1186</v>
      </c>
      <c r="B5" s="171" t="str">
        <f>VLOOKUP(A5,[1]characters!$A:$C,3)</f>
        <v>超疾の最理者 フェルマー</v>
      </c>
      <c r="C5" s="195">
        <v>2</v>
      </c>
      <c r="D5" s="195">
        <v>109</v>
      </c>
      <c r="E5" s="172" t="str">
        <f>IF(ISERROR(VLOOKUP(D5,[3]abilities!A:D,3,FALSE))=FALSE,VLOOKUP(D5,[3]abilities!A:D,3),IF(ISERROR(VLOOKUP(D5,abilities!A:D,3,FALSE))=FALSE,VLOOKUP(D5,abilities!A:D,3),"なし"))</f>
        <v>ダメージパネルブレイク</v>
      </c>
      <c r="F5" s="172" t="str">
        <f>IF(ISERROR(VLOOKUP(D5,[3]abilities!A:D,4,FALSE))=FALSE,VLOOKUP(D5,[3]abilities!A:D,4),IF(ISERROR(VLOOKUP(D5,abilities!A:D,4,FALSE))=FALSE,VLOOKUP(D5,abilities!A:D,4),"なし"))</f>
        <v>自身が先頭の時、ダメージを受けずにダメージパネルを破壊できる</v>
      </c>
      <c r="G5" s="173" t="s">
        <v>269</v>
      </c>
      <c r="H5" s="196" t="s">
        <v>312</v>
      </c>
    </row>
    <row r="6" spans="1:8" s="4" customFormat="1" ht="21" customHeight="1" x14ac:dyDescent="0.15">
      <c r="A6" s="168">
        <v>1182</v>
      </c>
      <c r="B6" s="171" t="str">
        <f>VLOOKUP(A6,[1]characters!$A:$C,3)</f>
        <v>黄金螺旋の閃鋼機 フィボナッチ</v>
      </c>
      <c r="C6" s="195">
        <v>1</v>
      </c>
      <c r="D6" s="195">
        <v>103</v>
      </c>
      <c r="E6" s="172" t="str">
        <f>IF(ISERROR(VLOOKUP(D6,[3]abilities!A:D,3,FALSE))=FALSE,VLOOKUP(D6,[3]abilities!A:D,3),IF(ISERROR(VLOOKUP(D6,abilities!A:D,3,FALSE))=FALSE,VLOOKUP(D6,abilities!A:D,3),"なし"))</f>
        <v>お邪魔ブレイク</v>
      </c>
      <c r="F6" s="172" t="str">
        <f>IF(ISERROR(VLOOKUP(D6,[3]abilities!A:D,4,FALSE))=FALSE,VLOOKUP(D6,[3]abilities!A:D,4),IF(ISERROR(VLOOKUP(D6,abilities!A:D,4,FALSE))=FALSE,VLOOKUP(D6,abilities!A:D,4),"なし"))</f>
        <v>自身が先頭の時、お邪魔パネルを破壊できる</v>
      </c>
      <c r="G6" s="173" t="s">
        <v>269</v>
      </c>
      <c r="H6" s="196" t="s">
        <v>312</v>
      </c>
    </row>
    <row r="7" spans="1:8" s="4" customFormat="1" ht="21" customHeight="1" x14ac:dyDescent="0.15">
      <c r="A7" s="168">
        <v>1182</v>
      </c>
      <c r="B7" s="171" t="str">
        <f>VLOOKUP(A7,[1]characters!$A:$C,3)</f>
        <v>黄金螺旋の閃鋼機 フィボナッチ</v>
      </c>
      <c r="C7" s="195">
        <v>2</v>
      </c>
      <c r="D7" s="195">
        <v>200</v>
      </c>
      <c r="E7" s="172" t="str">
        <f>IF(ISERROR(VLOOKUP(D7,[3]abilities!A:D,3,FALSE))=FALSE,VLOOKUP(D7,[3]abilities!A:D,3),IF(ISERROR(VLOOKUP(D7,abilities!A:D,3,FALSE))=FALSE,VLOOKUP(D7,abilities!A:D,3),"なし"))</f>
        <v>ウィルス無効</v>
      </c>
      <c r="F7" s="172" t="str">
        <f>IF(ISERROR(VLOOKUP(D7,[3]abilities!A:D,4,FALSE))=FALSE,VLOOKUP(D7,[3]abilities!A:D,4),IF(ISERROR(VLOOKUP(D7,abilities!A:D,4,FALSE))=FALSE,VLOOKUP(D7,abilities!A:D,4),"なし"))</f>
        <v>自身にかかるウィルスを無効化する</v>
      </c>
      <c r="G7" s="173" t="s">
        <v>269</v>
      </c>
      <c r="H7" s="196" t="s">
        <v>312</v>
      </c>
    </row>
    <row r="8" spans="1:8" s="4" customFormat="1" ht="21" customHeight="1" x14ac:dyDescent="0.15">
      <c r="A8" s="168">
        <v>1172</v>
      </c>
      <c r="B8" s="171" t="str">
        <f>VLOOKUP(A8,[1]characters!$A:$C,3)</f>
        <v>極限解析の讃嬢 クロネッカー</v>
      </c>
      <c r="C8" s="195">
        <v>1</v>
      </c>
      <c r="D8" s="195">
        <v>103</v>
      </c>
      <c r="E8" s="172" t="str">
        <f>IF(ISERROR(VLOOKUP(D8,[3]abilities!A:D,3,FALSE))=FALSE,VLOOKUP(D8,[3]abilities!A:D,3),IF(ISERROR(VLOOKUP(D8,abilities!A:D,3,FALSE))=FALSE,VLOOKUP(D8,abilities!A:D,3),"なし"))</f>
        <v>お邪魔ブレイク</v>
      </c>
      <c r="F8" s="172" t="str">
        <f>IF(ISERROR(VLOOKUP(D8,[3]abilities!A:D,4,FALSE))=FALSE,VLOOKUP(D8,[3]abilities!A:D,4),IF(ISERROR(VLOOKUP(D8,abilities!A:D,4,FALSE))=FALSE,VLOOKUP(D8,abilities!A:D,4),"なし"))</f>
        <v>自身が先頭の時、お邪魔パネルを破壊できる</v>
      </c>
      <c r="G8" s="173" t="s">
        <v>269</v>
      </c>
      <c r="H8" s="196" t="s">
        <v>312</v>
      </c>
    </row>
    <row r="9" spans="1:8" s="4" customFormat="1" ht="21" customHeight="1" x14ac:dyDescent="0.15">
      <c r="A9" s="168">
        <v>1172</v>
      </c>
      <c r="B9" s="171" t="str">
        <f>VLOOKUP(A9,[1]characters!$A:$C,3)</f>
        <v>極限解析の讃嬢 クロネッカー</v>
      </c>
      <c r="C9" s="195">
        <v>2</v>
      </c>
      <c r="D9" s="195">
        <v>2501</v>
      </c>
      <c r="E9" s="172" t="str">
        <f>IF(ISERROR(VLOOKUP(D9,[3]abilities!A:D,3,FALSE))=FALSE,VLOOKUP(D9,[3]abilities!A:D,3),IF(ISERROR(VLOOKUP(D9,abilities!A:D,3,FALSE))=FALSE,VLOOKUP(D9,abilities!A:D,3),"なし"))</f>
        <v>黄パネルドロップ</v>
      </c>
      <c r="F9" s="172" t="str">
        <f>IF(ISERROR(VLOOKUP(D9,[3]abilities!A:D,4,FALSE))=FALSE,VLOOKUP(D9,[3]abilities!A:D,4),IF(ISERROR(VLOOKUP(D9,abilities!A:D,4,FALSE))=FALSE,VLOOKUP(D9,abilities!A:D,4),"なし"))</f>
        <v>自身が先頭の時、青パネルを確率で黄パネルに変換しドロップ</v>
      </c>
      <c r="G9" s="173" t="s">
        <v>269</v>
      </c>
      <c r="H9" s="196" t="s">
        <v>312</v>
      </c>
    </row>
    <row r="10" spans="1:8" s="4" customFormat="1" ht="21" customHeight="1" x14ac:dyDescent="0.15">
      <c r="A10" s="168">
        <v>1128</v>
      </c>
      <c r="B10" s="171" t="str">
        <f>VLOOKUP(A10,[1]characters!$A:$C,3)</f>
        <v>宇宙天紡の星明 ハップル</v>
      </c>
      <c r="C10" s="195">
        <v>1</v>
      </c>
      <c r="D10" s="195">
        <v>109</v>
      </c>
      <c r="E10" s="172" t="str">
        <f>IF(ISERROR(VLOOKUP(D10,[3]abilities!A:D,3,FALSE))=FALSE,VLOOKUP(D10,[3]abilities!A:D,3),IF(ISERROR(VLOOKUP(D10,[4]abilities!A:D,3,FALSE))=FALSE,VLOOKUP(D10,[4]abilities!A:D,3),"なし"))</f>
        <v>ダメージパネルブレイク</v>
      </c>
      <c r="F10" s="172" t="str">
        <f>IF(ISERROR(VLOOKUP(D10,[3]abilities!A:D,4,FALSE))=FALSE,VLOOKUP(D10,[3]abilities!A:D,4),IF(ISERROR(VLOOKUP(D10,[4]abilities!A:D,4,FALSE))=FALSE,VLOOKUP(D10,[4]abilities!A:D,4),"なし"))</f>
        <v>自身が先頭の時、ダメージを受けずにダメージパネルを破壊できる</v>
      </c>
      <c r="G10" s="173" t="s">
        <v>269</v>
      </c>
      <c r="H10" s="196" t="s">
        <v>341</v>
      </c>
    </row>
    <row r="11" spans="1:8" s="4" customFormat="1" ht="21" customHeight="1" x14ac:dyDescent="0.15">
      <c r="A11" s="168">
        <v>1128</v>
      </c>
      <c r="B11" s="171" t="str">
        <f>VLOOKUP(A11,[1]characters!$A:$C,3)</f>
        <v>宇宙天紡の星明 ハップル</v>
      </c>
      <c r="C11" s="195">
        <v>2</v>
      </c>
      <c r="D11" s="195">
        <v>809</v>
      </c>
      <c r="E11" s="172" t="str">
        <f>IF(ISERROR(VLOOKUP(D11,[3]abilities!A:D,3,FALSE))=FALSE,VLOOKUP(D11,[3]abilities!A:D,3),IF(ISERROR(VLOOKUP(D11,[4]abilities!A:D,3,FALSE))=FALSE,VLOOKUP(D11,[4]abilities!A:D,3),"なし"))</f>
        <v>パネルブレイク40 攻撃力UP</v>
      </c>
      <c r="F11" s="172" t="str">
        <f>IF(ISERROR(VLOOKUP(D11,[3]abilities!A:D,4,FALSE))=FALSE,VLOOKUP(D11,[3]abilities!A:D,4),IF(ISERROR(VLOOKUP(D11,[4]abilities!A:D,4,FALSE))=FALSE,VLOOKUP(D11,[4]abilities!A:D,4),"なし"))</f>
        <v>自身が先頭の時、1ターンの間に合計40個以上パネルを破壊した場合に攻撃力UP</v>
      </c>
      <c r="G11" s="173" t="s">
        <v>269</v>
      </c>
      <c r="H11" s="196" t="s">
        <v>341</v>
      </c>
    </row>
    <row r="12" spans="1:8" s="4" customFormat="1" ht="21" customHeight="1" x14ac:dyDescent="0.15">
      <c r="A12" s="168">
        <v>1173</v>
      </c>
      <c r="B12" s="171" t="str">
        <f>VLOOKUP(A12,[1]characters!$A:$C,3)</f>
        <v>愛を咲かせる春羽妖精 ファータ</v>
      </c>
      <c r="C12" s="195">
        <v>1</v>
      </c>
      <c r="D12" s="195">
        <v>109</v>
      </c>
      <c r="E12" s="172" t="str">
        <f>IF(ISERROR(VLOOKUP(D12,[3]abilities!A:D,3,FALSE))=FALSE,VLOOKUP(D12,[3]abilities!A:D,3),IF(ISERROR(VLOOKUP(D12,[4]abilities!A:D,3,FALSE))=FALSE,VLOOKUP(D12,[4]abilities!A:D,3),"なし"))</f>
        <v>ダメージパネルブレイク</v>
      </c>
      <c r="F12" s="172" t="str">
        <f>IF(ISERROR(VLOOKUP(D12,[3]abilities!A:D,4,FALSE))=FALSE,VLOOKUP(D12,[3]abilities!A:D,4),IF(ISERROR(VLOOKUP(D12,[4]abilities!A:D,4,FALSE))=FALSE,VLOOKUP(D12,[4]abilities!A:D,4),"なし"))</f>
        <v>自身が先頭の時、ダメージを受けずにダメージパネルを破壊できる</v>
      </c>
      <c r="G12" s="173" t="s">
        <v>269</v>
      </c>
      <c r="H12" s="196" t="s">
        <v>341</v>
      </c>
    </row>
    <row r="13" spans="1:8" s="4" customFormat="1" ht="21" customHeight="1" x14ac:dyDescent="0.15">
      <c r="A13" s="168">
        <v>1176</v>
      </c>
      <c r="B13" s="171" t="str">
        <f>VLOOKUP(A13,[1]characters!$A:$C,3)</f>
        <v>夢二夢斬の遊猟 フロイト</v>
      </c>
      <c r="C13" s="195">
        <v>1</v>
      </c>
      <c r="D13" s="195">
        <v>109</v>
      </c>
      <c r="E13" s="172" t="str">
        <f>IF(ISERROR(VLOOKUP(D13,[3]abilities!A:D,3,FALSE))=FALSE,VLOOKUP(D13,[3]abilities!A:D,3),IF(ISERROR(VLOOKUP(D13,abilities!A:D,3,FALSE))=FALSE,VLOOKUP(D13,abilities!A:D,3),"なし"))</f>
        <v>ダメージパネルブレイク</v>
      </c>
      <c r="F13" s="172" t="str">
        <f>IF(ISERROR(VLOOKUP(D13,[3]abilities!A:D,4,FALSE))=FALSE,VLOOKUP(D13,[3]abilities!A:D,4),IF(ISERROR(VLOOKUP(D13,abilities!A:D,4,FALSE))=FALSE,VLOOKUP(D13,abilities!A:D,4),"なし"))</f>
        <v>自身が先頭の時、ダメージを受けずにダメージパネルを破壊できる</v>
      </c>
      <c r="G13" s="173" t="s">
        <v>269</v>
      </c>
      <c r="H13" s="196" t="s">
        <v>312</v>
      </c>
    </row>
    <row r="14" spans="1:8" s="4" customFormat="1" ht="21" customHeight="1" x14ac:dyDescent="0.15">
      <c r="A14" s="168">
        <v>1176</v>
      </c>
      <c r="B14" s="171" t="str">
        <f>VLOOKUP(A14,[1]characters!$A:$C,3)</f>
        <v>夢二夢斬の遊猟 フロイト</v>
      </c>
      <c r="C14" s="195">
        <v>2</v>
      </c>
      <c r="D14" s="195">
        <v>2000</v>
      </c>
      <c r="E14" s="172" t="str">
        <f>IF(ISERROR(VLOOKUP(D14,[3]abilities!A:D,3,FALSE))=FALSE,VLOOKUP(D14,[3]abilities!A:D,3),IF(ISERROR(VLOOKUP(D14,abilities!A:D,3,FALSE))=FALSE,VLOOKUP(D14,abilities!A:D,3),"なし"))</f>
        <v>赤パネル出現率UP</v>
      </c>
      <c r="F14" s="172" t="str">
        <f>IF(ISERROR(VLOOKUP(D14,[3]abilities!A:D,4,FALSE))=FALSE,VLOOKUP(D14,[3]abilities!A:D,4),IF(ISERROR(VLOOKUP(D14,abilities!A:D,4,FALSE))=FALSE,VLOOKUP(D14,abilities!A:D,4),"なし"))</f>
        <v>自身が先頭の時、赤パネルの出現率UP</v>
      </c>
      <c r="G14" s="173" t="s">
        <v>269</v>
      </c>
      <c r="H14" s="196" t="s">
        <v>312</v>
      </c>
    </row>
    <row r="15" spans="1:8" s="4" customFormat="1" ht="21" customHeight="1" x14ac:dyDescent="0.15">
      <c r="A15" s="168">
        <v>882</v>
      </c>
      <c r="B15" s="171" t="str">
        <f>VLOOKUP(A15,[1]characters!$A:$C,3)</f>
        <v>歪極する星壊 シュヴァルツシルト</v>
      </c>
      <c r="C15" s="195">
        <v>1</v>
      </c>
      <c r="D15" s="195">
        <v>103</v>
      </c>
      <c r="E15" s="172" t="str">
        <f>IF(ISERROR(VLOOKUP(D15,[3]abilities!A:D,3,FALSE))=FALSE,VLOOKUP(D15,[3]abilities!A:D,3),IF(ISERROR(VLOOKUP(D15,abilities!A:D,3,FALSE))=FALSE,VLOOKUP(D15,abilities!A:D,3),"なし"))</f>
        <v>お邪魔ブレイク</v>
      </c>
      <c r="F15" s="172" t="str">
        <f>IF(ISERROR(VLOOKUP(D15,[3]abilities!A:D,4,FALSE))=FALSE,VLOOKUP(D15,[3]abilities!A:D,4),IF(ISERROR(VLOOKUP(D15,abilities!A:D,4,FALSE))=FALSE,VLOOKUP(D15,abilities!A:D,4),"なし"))</f>
        <v>自身が先頭の時、お邪魔パネルを破壊できる</v>
      </c>
      <c r="G15" s="173" t="s">
        <v>269</v>
      </c>
      <c r="H15" s="196" t="s">
        <v>312</v>
      </c>
    </row>
    <row r="16" spans="1:8" s="4" customFormat="1" ht="21" customHeight="1" x14ac:dyDescent="0.15">
      <c r="A16" s="168">
        <v>882</v>
      </c>
      <c r="B16" s="171" t="str">
        <f>VLOOKUP(A16,[1]characters!$A:$C,3)</f>
        <v>歪極する星壊 シュヴァルツシルト</v>
      </c>
      <c r="C16" s="195">
        <v>2</v>
      </c>
      <c r="D16" s="195">
        <v>1800</v>
      </c>
      <c r="E16" s="172" t="str">
        <f>IF(ISERROR(VLOOKUP(D16,[3]abilities!A:D,3,FALSE))=FALSE,VLOOKUP(D16,[3]abilities!A:D,3),IF(ISERROR(VLOOKUP(D16,abilities!A:D,3,FALSE))=FALSE,VLOOKUP(D16,abilities!A:D,3),"なし"))</f>
        <v>フィーバー強化</v>
      </c>
      <c r="F16" s="172" t="str">
        <f>IF(ISERROR(VLOOKUP(D16,[3]abilities!A:D,4,FALSE))=FALSE,VLOOKUP(D16,[3]abilities!A:D,4),IF(ISERROR(VLOOKUP(D16,abilities!A:D,4,FALSE))=FALSE,VLOOKUP(D16,abilities!A:D,4),"なし"))</f>
        <v>フィーバー時自身の攻撃力、回復力を特大UP</v>
      </c>
      <c r="G16" s="173" t="s">
        <v>269</v>
      </c>
      <c r="H16" s="196" t="s">
        <v>312</v>
      </c>
    </row>
    <row r="17" spans="1:8" s="4" customFormat="1" ht="21" customHeight="1" x14ac:dyDescent="0.15">
      <c r="A17" s="168">
        <v>1171</v>
      </c>
      <c r="B17" s="171" t="str">
        <f>VLOOKUP(A17,[1]characters!$A:$C,3)</f>
        <v>解匣する交率 ポアソン</v>
      </c>
      <c r="C17" s="195">
        <v>1</v>
      </c>
      <c r="D17" s="195">
        <v>103</v>
      </c>
      <c r="E17" s="172" t="str">
        <f>IF(ISERROR(VLOOKUP(D17,[3]abilities!A:D,3,FALSE))=FALSE,VLOOKUP(D17,[3]abilities!A:D,3),IF(ISERROR(VLOOKUP(D17,abilities!A:D,3,FALSE))=FALSE,VLOOKUP(D17,abilities!A:D,3),"なし"))</f>
        <v>お邪魔ブレイク</v>
      </c>
      <c r="F17" s="172" t="str">
        <f>IF(ISERROR(VLOOKUP(D17,[3]abilities!A:D,4,FALSE))=FALSE,VLOOKUP(D17,[3]abilities!A:D,4),IF(ISERROR(VLOOKUP(D17,abilities!A:D,4,FALSE))=FALSE,VLOOKUP(D17,abilities!A:D,4),"なし"))</f>
        <v>自身が先頭の時、お邪魔パネルを破壊できる</v>
      </c>
      <c r="G17" s="173" t="s">
        <v>269</v>
      </c>
      <c r="H17" s="196" t="s">
        <v>312</v>
      </c>
    </row>
    <row r="18" spans="1:8" s="4" customFormat="1" ht="21" customHeight="1" x14ac:dyDescent="0.15">
      <c r="A18" s="168">
        <v>1171</v>
      </c>
      <c r="B18" s="171" t="str">
        <f>VLOOKUP(A18,[1]characters!$A:$C,3)</f>
        <v>解匣する交率 ポアソン</v>
      </c>
      <c r="C18" s="195">
        <v>2</v>
      </c>
      <c r="D18" s="195">
        <v>204</v>
      </c>
      <c r="E18" s="172" t="str">
        <f>IF(ISERROR(VLOOKUP(D18,[3]abilities!A:D,3,FALSE))=FALSE,VLOOKUP(D18,[3]abilities!A:D,3),IF(ISERROR(VLOOKUP(D18,abilities!A:D,3,FALSE))=FALSE,VLOOKUP(D18,abilities!A:D,3),"なし"))</f>
        <v>爆風強化</v>
      </c>
      <c r="F18" s="172" t="str">
        <f>IF(ISERROR(VLOOKUP(D18,[3]abilities!A:D,4,FALSE))=FALSE,VLOOKUP(D18,[3]abilities!A:D,4),IF(ISERROR(VLOOKUP(D18,abilities!A:D,4,FALSE))=FALSE,VLOOKUP(D18,abilities!A:D,4),"なし"))</f>
        <v>自身が先頭の時、ボムの爆風を強化する</v>
      </c>
      <c r="G18" s="173" t="s">
        <v>269</v>
      </c>
      <c r="H18" s="196" t="s">
        <v>312</v>
      </c>
    </row>
    <row r="19" spans="1:8" s="4" customFormat="1" ht="21" customHeight="1" x14ac:dyDescent="0.15">
      <c r="A19" s="168">
        <v>1108</v>
      </c>
      <c r="B19" s="171" t="str">
        <f>VLOOKUP(A19,[1]characters!$A:$C,3)</f>
        <v>交鏡の光波 フレネル</v>
      </c>
      <c r="C19" s="195">
        <v>1</v>
      </c>
      <c r="D19" s="195">
        <v>103</v>
      </c>
      <c r="E19" s="172" t="str">
        <f>IF(ISERROR(VLOOKUP(D19,[3]abilities!A:D,3,FALSE))=FALSE,VLOOKUP(D19,[3]abilities!A:D,3),IF(ISERROR(VLOOKUP(D19,abilities!A:D,3,FALSE))=FALSE,VLOOKUP(D19,abilities!A:D,3),"なし"))</f>
        <v>お邪魔ブレイク</v>
      </c>
      <c r="F19" s="172" t="str">
        <f>IF(ISERROR(VLOOKUP(D19,[3]abilities!A:D,4,FALSE))=FALSE,VLOOKUP(D19,[3]abilities!A:D,4),IF(ISERROR(VLOOKUP(D19,abilities!A:D,4,FALSE))=FALSE,VLOOKUP(D19,abilities!A:D,4),"なし"))</f>
        <v>自身が先頭の時、お邪魔パネルを破壊できる</v>
      </c>
      <c r="G19" s="173" t="s">
        <v>269</v>
      </c>
      <c r="H19" s="196" t="s">
        <v>312</v>
      </c>
    </row>
    <row r="20" spans="1:8" s="4" customFormat="1" ht="21" customHeight="1" x14ac:dyDescent="0.15">
      <c r="A20" s="168">
        <v>1108</v>
      </c>
      <c r="B20" s="171" t="str">
        <f>VLOOKUP(A20,[1]characters!$A:$C,3)</f>
        <v>交鏡の光波 フレネル</v>
      </c>
      <c r="C20" s="195">
        <v>2</v>
      </c>
      <c r="D20" s="195">
        <v>907</v>
      </c>
      <c r="E20" s="172" t="str">
        <f>IF(ISERROR(VLOOKUP(D20,[3]abilities!A:D,3,FALSE))=FALSE,VLOOKUP(D20,[3]abilities!A:D,3),IF(ISERROR(VLOOKUP(D20,abilities!A:D,3,FALSE))=FALSE,VLOOKUP(D20,abilities!A:D,3),"なし"))</f>
        <v>チェイン14 攻撃力UP</v>
      </c>
      <c r="F20" s="172" t="str">
        <f>IF(ISERROR(VLOOKUP(D20,[3]abilities!A:D,4,FALSE))=FALSE,VLOOKUP(D20,[3]abilities!A:D,4),IF(ISERROR(VLOOKUP(D20,abilities!A:D,4,FALSE))=FALSE,VLOOKUP(D20,abilities!A:D,4),"なし"))</f>
        <v>自身が先頭の時、1タップで14個以上パネルを繋げた場合に攻撃力UP</v>
      </c>
      <c r="G20" s="173" t="s">
        <v>269</v>
      </c>
      <c r="H20" s="196" t="s">
        <v>312</v>
      </c>
    </row>
    <row r="21" spans="1:8" s="4" customFormat="1" ht="21" customHeight="1" x14ac:dyDescent="0.15">
      <c r="A21" s="168">
        <v>1078</v>
      </c>
      <c r="B21" s="171" t="str">
        <f>VLOOKUP(A21,[1]characters!$A:$C,3)</f>
        <v>合奏の飛論理 パレート</v>
      </c>
      <c r="C21" s="195">
        <v>1</v>
      </c>
      <c r="D21" s="195">
        <v>109</v>
      </c>
      <c r="E21" s="172" t="str">
        <f>IF(ISERROR(VLOOKUP(D21,[3]abilities!A:D,3,FALSE))=FALSE,VLOOKUP(D21,[3]abilities!A:D,3),IF(ISERROR(VLOOKUP(D21,abilities!A:D,3,FALSE))=FALSE,VLOOKUP(D21,abilities!A:D,3),"なし"))</f>
        <v>ダメージパネルブレイク</v>
      </c>
      <c r="F21" s="172" t="str">
        <f>IF(ISERROR(VLOOKUP(D21,[3]abilities!A:D,4,FALSE))=FALSE,VLOOKUP(D21,[3]abilities!A:D,4),IF(ISERROR(VLOOKUP(D21,abilities!A:D,4,FALSE))=FALSE,VLOOKUP(D21,abilities!A:D,4),"なし"))</f>
        <v>自身が先頭の時、ダメージを受けずにダメージパネルを破壊できる</v>
      </c>
      <c r="G21" s="173" t="s">
        <v>269</v>
      </c>
      <c r="H21" s="196" t="s">
        <v>312</v>
      </c>
    </row>
    <row r="22" spans="1:8" s="4" customFormat="1" ht="21" customHeight="1" x14ac:dyDescent="0.15">
      <c r="A22" s="168">
        <v>1078</v>
      </c>
      <c r="B22" s="171" t="str">
        <f>VLOOKUP(A22,[1]characters!$A:$C,3)</f>
        <v>合奏の飛論理 パレート</v>
      </c>
      <c r="C22" s="195">
        <v>2</v>
      </c>
      <c r="D22" s="195">
        <v>3000</v>
      </c>
      <c r="E22" s="172" t="str">
        <f>IF(ISERROR(VLOOKUP(D22,[3]abilities!A:D,3,FALSE))=FALSE,VLOOKUP(D22,[3]abilities!A:D,3),IF(ISERROR(VLOOKUP(D22,abilities!A:D,3,FALSE))=FALSE,VLOOKUP(D22,abilities!A:D,3),"なし"))</f>
        <v>フィーバー40 攻撃力UP</v>
      </c>
      <c r="F22" s="172" t="str">
        <f>IF(ISERROR(VLOOKUP(D22,[3]abilities!A:D,4,FALSE))=FALSE,VLOOKUP(D22,[3]abilities!A:D,4),IF(ISERROR(VLOOKUP(D22,abilities!A:D,4,FALSE))=FALSE,VLOOKUP(D22,abilities!A:D,4),"なし"))</f>
        <v>フィーバーゲージが40％以上の時、自身の攻撃力UP</v>
      </c>
      <c r="G22" s="173" t="s">
        <v>269</v>
      </c>
      <c r="H22" s="196" t="s">
        <v>312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D9" sqref="D9"/>
    </sheetView>
  </sheetViews>
  <sheetFormatPr baseColWidth="12" defaultRowHeight="15" x14ac:dyDescent="0.15"/>
  <sheetData>
    <row r="1" spans="1:2" x14ac:dyDescent="0.15">
      <c r="A1" t="s">
        <v>315</v>
      </c>
      <c r="B1" t="s">
        <v>316</v>
      </c>
    </row>
    <row r="2" spans="1:2" x14ac:dyDescent="0.15">
      <c r="A2" t="s">
        <v>317</v>
      </c>
      <c r="B2">
        <v>1</v>
      </c>
    </row>
    <row r="3" spans="1:2" x14ac:dyDescent="0.15">
      <c r="A3" t="s">
        <v>318</v>
      </c>
      <c r="B3">
        <v>1</v>
      </c>
    </row>
    <row r="4" spans="1:2" x14ac:dyDescent="0.15">
      <c r="A4" t="s">
        <v>319</v>
      </c>
      <c r="B4">
        <v>1</v>
      </c>
    </row>
    <row r="5" spans="1:2" x14ac:dyDescent="0.15">
      <c r="A5" t="s">
        <v>320</v>
      </c>
      <c r="B5">
        <v>1</v>
      </c>
    </row>
    <row r="6" spans="1:2" x14ac:dyDescent="0.15">
      <c r="A6" t="s">
        <v>321</v>
      </c>
      <c r="B6">
        <v>1</v>
      </c>
    </row>
    <row r="7" spans="1:2" x14ac:dyDescent="0.15">
      <c r="A7" t="s">
        <v>322</v>
      </c>
      <c r="B7">
        <v>1</v>
      </c>
    </row>
    <row r="8" spans="1:2" x14ac:dyDescent="0.15">
      <c r="A8" t="s">
        <v>323</v>
      </c>
      <c r="B8">
        <v>1</v>
      </c>
    </row>
    <row r="9" spans="1:2" x14ac:dyDescent="0.15">
      <c r="A9" t="s">
        <v>324</v>
      </c>
      <c r="B9">
        <v>1</v>
      </c>
    </row>
    <row r="10" spans="1:2" x14ac:dyDescent="0.15">
      <c r="A10" t="s">
        <v>325</v>
      </c>
      <c r="B10">
        <v>1</v>
      </c>
    </row>
    <row r="11" spans="1:2" x14ac:dyDescent="0.15">
      <c r="A11" t="s">
        <v>326</v>
      </c>
      <c r="B11">
        <v>1</v>
      </c>
    </row>
    <row r="12" spans="1:2" x14ac:dyDescent="0.15">
      <c r="A12" t="s">
        <v>327</v>
      </c>
      <c r="B12">
        <v>1</v>
      </c>
    </row>
    <row r="13" spans="1:2" x14ac:dyDescent="0.15">
      <c r="A13" t="s">
        <v>328</v>
      </c>
      <c r="B13">
        <v>0</v>
      </c>
    </row>
    <row r="14" spans="1:2" x14ac:dyDescent="0.15">
      <c r="A14" t="s">
        <v>329</v>
      </c>
      <c r="B14">
        <v>500</v>
      </c>
    </row>
    <row r="15" spans="1:2" x14ac:dyDescent="0.15">
      <c r="A15" t="s">
        <v>330</v>
      </c>
      <c r="B15">
        <v>600</v>
      </c>
    </row>
    <row r="16" spans="1:2" x14ac:dyDescent="0.15">
      <c r="A16" t="s">
        <v>331</v>
      </c>
      <c r="B16">
        <v>700</v>
      </c>
    </row>
    <row r="17" spans="1:2" x14ac:dyDescent="0.15">
      <c r="A17" t="s">
        <v>332</v>
      </c>
      <c r="B17">
        <v>5500</v>
      </c>
    </row>
    <row r="18" spans="1:2" x14ac:dyDescent="0.15">
      <c r="A18" t="s">
        <v>333</v>
      </c>
      <c r="B18">
        <v>6000</v>
      </c>
    </row>
    <row r="19" spans="1:2" x14ac:dyDescent="0.15">
      <c r="A19" t="s">
        <v>334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K15" sqref="K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228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229</v>
      </c>
      <c r="B2" s="141"/>
      <c r="C2" s="142"/>
      <c r="D2" s="143" t="s">
        <v>230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231</v>
      </c>
      <c r="B3" s="144"/>
      <c r="C3" s="145"/>
      <c r="D3" s="146" t="s">
        <v>230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232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233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234</v>
      </c>
      <c r="B6" s="154"/>
      <c r="C6" s="155"/>
      <c r="D6" s="26">
        <v>7</v>
      </c>
      <c r="E6" s="26">
        <v>16</v>
      </c>
      <c r="F6" s="64" t="s">
        <v>11</v>
      </c>
      <c r="G6" s="64" t="s">
        <v>11</v>
      </c>
      <c r="H6" s="155"/>
      <c r="I6" s="155"/>
    </row>
    <row r="7" spans="1:9" ht="21" customHeight="1" x14ac:dyDescent="0.15">
      <c r="A7" s="69" t="s">
        <v>235</v>
      </c>
      <c r="B7" s="42" t="s">
        <v>11</v>
      </c>
      <c r="C7" s="42" t="s">
        <v>11</v>
      </c>
      <c r="D7" s="36" t="s">
        <v>230</v>
      </c>
      <c r="E7" s="36" t="s">
        <v>230</v>
      </c>
      <c r="F7" s="36" t="s">
        <v>230</v>
      </c>
      <c r="G7" s="36" t="s">
        <v>230</v>
      </c>
      <c r="H7" s="36" t="s">
        <v>230</v>
      </c>
      <c r="I7" s="36" t="s">
        <v>230</v>
      </c>
    </row>
    <row r="8" spans="1:9" ht="21" customHeight="1" x14ac:dyDescent="0.15">
      <c r="A8" s="70" t="s">
        <v>236</v>
      </c>
      <c r="B8" s="42" t="s">
        <v>11</v>
      </c>
      <c r="C8" s="42" t="s">
        <v>11</v>
      </c>
      <c r="D8" s="36" t="s">
        <v>230</v>
      </c>
      <c r="E8" s="36">
        <v>30</v>
      </c>
      <c r="F8" s="36">
        <v>40</v>
      </c>
      <c r="G8" s="36">
        <f>15+F8</f>
        <v>55</v>
      </c>
      <c r="H8" s="36" t="s">
        <v>230</v>
      </c>
      <c r="I8" s="36" t="s">
        <v>230</v>
      </c>
    </row>
    <row r="9" spans="1:9" s="41" customFormat="1" ht="21" customHeight="1" x14ac:dyDescent="0.15">
      <c r="A9" s="71" t="s">
        <v>307</v>
      </c>
      <c r="B9" s="26" t="s">
        <v>11</v>
      </c>
      <c r="C9" s="26" t="s">
        <v>11</v>
      </c>
      <c r="D9" s="101" t="s">
        <v>109</v>
      </c>
      <c r="E9" s="101" t="s">
        <v>109</v>
      </c>
      <c r="F9" s="101">
        <v>38</v>
      </c>
      <c r="G9" s="36">
        <f>15+F9</f>
        <v>53</v>
      </c>
      <c r="H9" s="101" t="s">
        <v>109</v>
      </c>
      <c r="I9" s="101" t="s">
        <v>109</v>
      </c>
    </row>
    <row r="10" spans="1:9" s="41" customFormat="1" ht="21" customHeight="1" x14ac:dyDescent="0.15">
      <c r="A10" s="71" t="s">
        <v>237</v>
      </c>
      <c r="B10" s="26" t="s">
        <v>11</v>
      </c>
      <c r="C10" s="26" t="s">
        <v>11</v>
      </c>
      <c r="D10" s="101" t="s">
        <v>230</v>
      </c>
      <c r="E10" s="101">
        <v>25</v>
      </c>
      <c r="F10" s="101">
        <v>35</v>
      </c>
      <c r="G10" s="36">
        <f t="shared" ref="G10:G11" si="1">15+F10</f>
        <v>50</v>
      </c>
      <c r="H10" s="101" t="s">
        <v>230</v>
      </c>
      <c r="I10" s="101" t="s">
        <v>230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4" t="s">
        <v>11</v>
      </c>
      <c r="I11" s="64" t="s">
        <v>11</v>
      </c>
    </row>
    <row r="12" spans="1:9" ht="21" customHeight="1" x14ac:dyDescent="0.15">
      <c r="A12" s="71" t="s">
        <v>238</v>
      </c>
      <c r="B12" s="64" t="s">
        <v>11</v>
      </c>
      <c r="C12" s="64" t="s">
        <v>11</v>
      </c>
      <c r="D12" s="26">
        <v>9</v>
      </c>
      <c r="E12" s="26">
        <v>18</v>
      </c>
      <c r="F12" s="26">
        <v>28</v>
      </c>
      <c r="G12" s="36">
        <v>38</v>
      </c>
      <c r="H12" s="64" t="s">
        <v>11</v>
      </c>
      <c r="I12" s="64" t="s">
        <v>11</v>
      </c>
    </row>
    <row r="13" spans="1:9" ht="21" customHeight="1" x14ac:dyDescent="0.15">
      <c r="A13" s="71" t="s">
        <v>239</v>
      </c>
      <c r="B13" s="64" t="s">
        <v>11</v>
      </c>
      <c r="C13" s="64" t="s">
        <v>11</v>
      </c>
      <c r="D13" s="26">
        <v>7</v>
      </c>
      <c r="E13" s="26">
        <v>16</v>
      </c>
      <c r="F13" s="182">
        <v>26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100" t="s">
        <v>240</v>
      </c>
      <c r="B14" s="64" t="s">
        <v>11</v>
      </c>
      <c r="C14" s="64" t="s">
        <v>11</v>
      </c>
      <c r="D14" s="26">
        <v>8</v>
      </c>
      <c r="E14" s="26">
        <v>17</v>
      </c>
      <c r="F14" s="26">
        <v>26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241</v>
      </c>
      <c r="B15" s="64" t="s">
        <v>11</v>
      </c>
      <c r="C15" s="64" t="s">
        <v>11</v>
      </c>
      <c r="D15" s="26">
        <v>8</v>
      </c>
      <c r="E15" s="26">
        <v>17</v>
      </c>
      <c r="F15" s="26">
        <v>26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242</v>
      </c>
      <c r="B16" s="64" t="s">
        <v>11</v>
      </c>
      <c r="C16" s="64" t="s">
        <v>11</v>
      </c>
      <c r="D16" s="26">
        <v>6</v>
      </c>
      <c r="E16" s="26">
        <v>14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243</v>
      </c>
      <c r="B17" s="64" t="s">
        <v>11</v>
      </c>
      <c r="C17" s="26">
        <v>4</v>
      </c>
      <c r="D17" s="26">
        <v>6</v>
      </c>
      <c r="E17" s="26">
        <v>14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</v>
      </c>
      <c r="C18" s="26">
        <v>4</v>
      </c>
      <c r="D18" s="26">
        <v>6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9">
        <v>1</v>
      </c>
      <c r="C19" s="29">
        <v>2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244</v>
      </c>
      <c r="B20" s="24">
        <v>1</v>
      </c>
      <c r="C20" s="24">
        <v>1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245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229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231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225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233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234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9" t="s">
        <v>201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70" t="s">
        <v>236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1" t="s">
        <v>308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1" t="s">
        <v>237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1" t="s">
        <v>9</v>
      </c>
      <c r="B11" s="66" t="s">
        <v>109</v>
      </c>
      <c r="C11" s="66" t="s">
        <v>109</v>
      </c>
      <c r="D11" s="34">
        <v>40</v>
      </c>
      <c r="E11" s="34">
        <v>60</v>
      </c>
      <c r="F11" s="34">
        <v>80</v>
      </c>
      <c r="G11" s="37">
        <v>99</v>
      </c>
      <c r="H11" s="66" t="s">
        <v>109</v>
      </c>
      <c r="I11" s="66" t="s">
        <v>109</v>
      </c>
    </row>
    <row r="12" spans="1:9" ht="21" customHeight="1" x14ac:dyDescent="0.15">
      <c r="A12" s="71" t="s">
        <v>204</v>
      </c>
      <c r="B12" s="66" t="s">
        <v>109</v>
      </c>
      <c r="C12" s="66" t="s">
        <v>109</v>
      </c>
      <c r="D12" s="34">
        <v>40</v>
      </c>
      <c r="E12" s="34">
        <v>60</v>
      </c>
      <c r="F12" s="34">
        <v>80</v>
      </c>
      <c r="G12" s="61">
        <v>99</v>
      </c>
      <c r="H12" s="66" t="s">
        <v>109</v>
      </c>
      <c r="I12" s="66" t="s">
        <v>109</v>
      </c>
    </row>
    <row r="13" spans="1:9" ht="21" customHeight="1" x14ac:dyDescent="0.15">
      <c r="A13" s="71" t="s">
        <v>200</v>
      </c>
      <c r="B13" s="66" t="s">
        <v>109</v>
      </c>
      <c r="C13" s="66" t="s">
        <v>109</v>
      </c>
      <c r="D13" s="34">
        <v>40</v>
      </c>
      <c r="E13" s="34">
        <v>60</v>
      </c>
      <c r="F13" s="183">
        <v>80</v>
      </c>
      <c r="G13" s="66" t="s">
        <v>109</v>
      </c>
      <c r="H13" s="66" t="s">
        <v>109</v>
      </c>
      <c r="I13" s="66" t="s">
        <v>109</v>
      </c>
    </row>
    <row r="14" spans="1:9" ht="21" customHeight="1" x14ac:dyDescent="0.15">
      <c r="A14" s="100" t="s">
        <v>240</v>
      </c>
      <c r="B14" s="66" t="s">
        <v>109</v>
      </c>
      <c r="C14" s="66" t="s">
        <v>109</v>
      </c>
      <c r="D14" s="34">
        <v>40</v>
      </c>
      <c r="E14" s="34">
        <v>60</v>
      </c>
      <c r="F14" s="34">
        <v>80</v>
      </c>
      <c r="G14" s="66" t="s">
        <v>109</v>
      </c>
      <c r="H14" s="66" t="s">
        <v>109</v>
      </c>
      <c r="I14" s="66" t="s">
        <v>109</v>
      </c>
    </row>
    <row r="15" spans="1:9" ht="21" customHeight="1" x14ac:dyDescent="0.15">
      <c r="A15" s="71" t="s">
        <v>241</v>
      </c>
      <c r="B15" s="66" t="s">
        <v>109</v>
      </c>
      <c r="C15" s="66" t="s">
        <v>109</v>
      </c>
      <c r="D15" s="34">
        <v>40</v>
      </c>
      <c r="E15" s="34">
        <v>60</v>
      </c>
      <c r="F15" s="34">
        <v>80</v>
      </c>
      <c r="G15" s="66" t="s">
        <v>109</v>
      </c>
      <c r="H15" s="66" t="s">
        <v>109</v>
      </c>
      <c r="I15" s="66" t="s">
        <v>109</v>
      </c>
    </row>
    <row r="16" spans="1:9" ht="21" customHeight="1" x14ac:dyDescent="0.15">
      <c r="A16" s="71" t="s">
        <v>105</v>
      </c>
      <c r="B16" s="66" t="s">
        <v>109</v>
      </c>
      <c r="C16" s="34">
        <v>30</v>
      </c>
      <c r="D16" s="34">
        <v>40</v>
      </c>
      <c r="E16" s="34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243</v>
      </c>
      <c r="B17" s="66" t="s">
        <v>109</v>
      </c>
      <c r="C17" s="34">
        <v>30</v>
      </c>
      <c r="D17" s="34">
        <v>40</v>
      </c>
      <c r="E17" s="34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34">
        <v>15</v>
      </c>
      <c r="C18" s="34">
        <v>30</v>
      </c>
      <c r="D18" s="34">
        <v>40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34">
        <v>15</v>
      </c>
      <c r="C19" s="34">
        <v>30</v>
      </c>
      <c r="D19" s="34">
        <v>40</v>
      </c>
      <c r="E19" s="66" t="s">
        <v>210</v>
      </c>
      <c r="F19" s="66" t="s">
        <v>210</v>
      </c>
      <c r="G19" s="66" t="s">
        <v>210</v>
      </c>
      <c r="H19" s="66" t="s">
        <v>210</v>
      </c>
      <c r="I19" s="66" t="s">
        <v>210</v>
      </c>
    </row>
    <row r="20" spans="1:9" ht="21" customHeight="1" x14ac:dyDescent="0.15">
      <c r="A20" s="73" t="s">
        <v>244</v>
      </c>
      <c r="B20" s="34">
        <v>10</v>
      </c>
      <c r="C20" s="34">
        <v>20</v>
      </c>
      <c r="D20" s="66" t="s">
        <v>210</v>
      </c>
      <c r="E20" s="66" t="s">
        <v>210</v>
      </c>
      <c r="F20" s="66" t="s">
        <v>210</v>
      </c>
      <c r="G20" s="66" t="s">
        <v>210</v>
      </c>
      <c r="H20" s="66" t="s">
        <v>210</v>
      </c>
      <c r="I20" s="66" t="s">
        <v>210</v>
      </c>
    </row>
    <row r="21" spans="1:9" ht="21" customHeight="1" x14ac:dyDescent="0.15">
      <c r="A21" s="35" t="s">
        <v>245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229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246</v>
      </c>
      <c r="H2" s="142"/>
      <c r="I2" s="142"/>
    </row>
    <row r="3" spans="1:11" s="4" customFormat="1" ht="21" customHeight="1" x14ac:dyDescent="0.15">
      <c r="A3" s="140" t="s">
        <v>231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224</v>
      </c>
      <c r="H3" s="145"/>
      <c r="I3" s="145"/>
    </row>
    <row r="4" spans="1:11" s="4" customFormat="1" ht="21" customHeight="1" x14ac:dyDescent="0.15">
      <c r="A4" s="140" t="s">
        <v>225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224</v>
      </c>
      <c r="H4" s="148"/>
      <c r="I4" s="148"/>
    </row>
    <row r="5" spans="1:11" s="4" customFormat="1" ht="21" customHeight="1" x14ac:dyDescent="0.15">
      <c r="A5" s="159" t="s">
        <v>233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214</v>
      </c>
      <c r="H5" s="155"/>
      <c r="I5" s="155"/>
    </row>
    <row r="6" spans="1:11" s="4" customFormat="1" ht="21" customHeight="1" x14ac:dyDescent="0.15">
      <c r="A6" s="159" t="s">
        <v>234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9" t="s">
        <v>201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70" t="s">
        <v>236</v>
      </c>
      <c r="B8" s="37" t="s">
        <v>109</v>
      </c>
      <c r="C8" s="37" t="s">
        <v>109</v>
      </c>
      <c r="D8" s="37" t="s">
        <v>211</v>
      </c>
      <c r="E8" s="47" t="s">
        <v>115</v>
      </c>
      <c r="F8" s="47" t="s">
        <v>115</v>
      </c>
      <c r="G8" s="47" t="s">
        <v>212</v>
      </c>
      <c r="H8" s="37" t="s">
        <v>211</v>
      </c>
      <c r="I8" s="37" t="s">
        <v>109</v>
      </c>
    </row>
    <row r="9" spans="1:11" s="41" customFormat="1" ht="21" customHeight="1" x14ac:dyDescent="0.15">
      <c r="A9" s="71" t="s">
        <v>307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1" t="s">
        <v>237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213</v>
      </c>
      <c r="I10" s="61" t="s">
        <v>213</v>
      </c>
    </row>
    <row r="11" spans="1:11" ht="21" customHeight="1" x14ac:dyDescent="0.15">
      <c r="A11" s="71" t="s">
        <v>9</v>
      </c>
      <c r="B11" s="66" t="s">
        <v>109</v>
      </c>
      <c r="C11" s="66" t="s">
        <v>109</v>
      </c>
      <c r="D11" s="47" t="s">
        <v>59</v>
      </c>
      <c r="E11" s="47" t="s">
        <v>59</v>
      </c>
      <c r="F11" s="47" t="s">
        <v>59</v>
      </c>
      <c r="G11" s="47" t="s">
        <v>214</v>
      </c>
      <c r="H11" s="66" t="s">
        <v>213</v>
      </c>
      <c r="I11" s="66" t="s">
        <v>213</v>
      </c>
      <c r="K11" s="25" t="s">
        <v>12</v>
      </c>
    </row>
    <row r="12" spans="1:11" ht="21" customHeight="1" x14ac:dyDescent="0.15">
      <c r="A12" s="71" t="s">
        <v>204</v>
      </c>
      <c r="B12" s="66" t="s">
        <v>109</v>
      </c>
      <c r="C12" s="66" t="s">
        <v>109</v>
      </c>
      <c r="D12" s="48" t="s">
        <v>59</v>
      </c>
      <c r="E12" s="48" t="s">
        <v>59</v>
      </c>
      <c r="F12" s="48" t="s">
        <v>59</v>
      </c>
      <c r="G12" s="47" t="s">
        <v>214</v>
      </c>
      <c r="H12" s="66" t="s">
        <v>213</v>
      </c>
      <c r="I12" s="66" t="s">
        <v>213</v>
      </c>
      <c r="K12" s="27" t="s">
        <v>13</v>
      </c>
    </row>
    <row r="13" spans="1:11" ht="21" customHeight="1" x14ac:dyDescent="0.15">
      <c r="A13" s="71" t="s">
        <v>200</v>
      </c>
      <c r="B13" s="66" t="s">
        <v>109</v>
      </c>
      <c r="C13" s="66" t="s">
        <v>109</v>
      </c>
      <c r="D13" s="49" t="s">
        <v>60</v>
      </c>
      <c r="E13" s="49" t="s">
        <v>60</v>
      </c>
      <c r="F13" s="184" t="s">
        <v>59</v>
      </c>
      <c r="G13" s="66" t="s">
        <v>109</v>
      </c>
      <c r="H13" s="66" t="s">
        <v>109</v>
      </c>
      <c r="I13" s="66" t="s">
        <v>109</v>
      </c>
      <c r="K13" s="67" t="s">
        <v>35</v>
      </c>
    </row>
    <row r="14" spans="1:11" ht="21" customHeight="1" x14ac:dyDescent="0.15">
      <c r="A14" s="100" t="s">
        <v>240</v>
      </c>
      <c r="B14" s="66" t="s">
        <v>109</v>
      </c>
      <c r="C14" s="66" t="s">
        <v>109</v>
      </c>
      <c r="D14" s="50" t="s">
        <v>59</v>
      </c>
      <c r="E14" s="50" t="s">
        <v>59</v>
      </c>
      <c r="F14" s="50" t="s">
        <v>59</v>
      </c>
      <c r="G14" s="66" t="s">
        <v>109</v>
      </c>
      <c r="H14" s="66" t="s">
        <v>109</v>
      </c>
      <c r="I14" s="66" t="s">
        <v>109</v>
      </c>
      <c r="K14" s="68"/>
    </row>
    <row r="15" spans="1:11" ht="21" customHeight="1" x14ac:dyDescent="0.15">
      <c r="A15" s="71" t="s">
        <v>241</v>
      </c>
      <c r="B15" s="66" t="s">
        <v>109</v>
      </c>
      <c r="C15" s="66" t="s">
        <v>109</v>
      </c>
      <c r="D15" s="50" t="s">
        <v>59</v>
      </c>
      <c r="E15" s="50" t="s">
        <v>59</v>
      </c>
      <c r="F15" s="50" t="s">
        <v>59</v>
      </c>
      <c r="G15" s="66" t="s">
        <v>109</v>
      </c>
      <c r="H15" s="66" t="s">
        <v>109</v>
      </c>
      <c r="I15" s="66" t="s">
        <v>109</v>
      </c>
    </row>
    <row r="16" spans="1:11" ht="21" customHeight="1" x14ac:dyDescent="0.15">
      <c r="A16" s="71" t="s">
        <v>105</v>
      </c>
      <c r="B16" s="66" t="s">
        <v>109</v>
      </c>
      <c r="C16" s="66" t="s">
        <v>109</v>
      </c>
      <c r="D16" s="50" t="s">
        <v>60</v>
      </c>
      <c r="E16" s="50" t="s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243</v>
      </c>
      <c r="B17" s="66" t="s">
        <v>109</v>
      </c>
      <c r="C17" s="50" t="s">
        <v>60</v>
      </c>
      <c r="D17" s="50" t="s">
        <v>60</v>
      </c>
      <c r="E17" s="50" t="s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51" t="s">
        <v>61</v>
      </c>
      <c r="C18" s="51" t="s">
        <v>61</v>
      </c>
      <c r="D18" s="51" t="s">
        <v>61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46" t="s">
        <v>62</v>
      </c>
      <c r="C19" s="46" t="s">
        <v>62</v>
      </c>
      <c r="D19" s="66" t="s">
        <v>109</v>
      </c>
      <c r="E19" s="66" t="s">
        <v>109</v>
      </c>
      <c r="F19" s="66" t="s">
        <v>109</v>
      </c>
      <c r="G19" s="66" t="s">
        <v>109</v>
      </c>
      <c r="H19" s="66" t="s">
        <v>109</v>
      </c>
      <c r="I19" s="66" t="s">
        <v>109</v>
      </c>
    </row>
    <row r="20" spans="1:9" ht="21" customHeight="1" x14ac:dyDescent="0.15">
      <c r="A20" s="73" t="s">
        <v>244</v>
      </c>
      <c r="B20" s="48" t="s">
        <v>63</v>
      </c>
      <c r="C20" s="48" t="s">
        <v>63</v>
      </c>
      <c r="D20" s="66" t="s">
        <v>109</v>
      </c>
      <c r="E20" s="66" t="s">
        <v>109</v>
      </c>
      <c r="F20" s="66" t="s">
        <v>109</v>
      </c>
      <c r="G20" s="66" t="s">
        <v>109</v>
      </c>
      <c r="H20" s="66" t="s">
        <v>109</v>
      </c>
      <c r="I20" s="66" t="s">
        <v>109</v>
      </c>
    </row>
    <row r="21" spans="1:9" ht="21" customHeight="1" x14ac:dyDescent="0.15">
      <c r="A21" s="35" t="s">
        <v>245</v>
      </c>
      <c r="B21" s="74" t="s">
        <v>47</v>
      </c>
      <c r="C21" s="74" t="s">
        <v>47</v>
      </c>
      <c r="D21" s="74" t="s">
        <v>47</v>
      </c>
      <c r="E21" s="74" t="s">
        <v>47</v>
      </c>
      <c r="F21" s="74" t="s">
        <v>47</v>
      </c>
      <c r="G21" s="74" t="s">
        <v>47</v>
      </c>
      <c r="H21" s="74" t="s">
        <v>47</v>
      </c>
      <c r="I21" s="74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222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223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225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226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227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9" t="s">
        <v>201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70" t="s">
        <v>202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81" t="s">
        <v>309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1" t="s">
        <v>203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4" t="s">
        <v>11</v>
      </c>
      <c r="I11" s="64" t="s">
        <v>11</v>
      </c>
    </row>
    <row r="12" spans="1:9" ht="21" customHeight="1" x14ac:dyDescent="0.15">
      <c r="A12" s="71" t="s">
        <v>204</v>
      </c>
      <c r="B12" s="64" t="s">
        <v>11</v>
      </c>
      <c r="C12" s="64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4" t="s">
        <v>11</v>
      </c>
      <c r="I12" s="64" t="s">
        <v>11</v>
      </c>
    </row>
    <row r="13" spans="1:9" ht="21" customHeight="1" x14ac:dyDescent="0.15">
      <c r="A13" s="71" t="s">
        <v>106</v>
      </c>
      <c r="B13" s="64" t="s">
        <v>11</v>
      </c>
      <c r="C13" s="64" t="s">
        <v>11</v>
      </c>
      <c r="D13" s="26">
        <v>4800</v>
      </c>
      <c r="E13" s="26">
        <v>6600</v>
      </c>
      <c r="F13" s="182">
        <v>9000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205</v>
      </c>
      <c r="B14" s="64" t="s">
        <v>11</v>
      </c>
      <c r="C14" s="64" t="s">
        <v>11</v>
      </c>
      <c r="D14" s="64" t="s">
        <v>11</v>
      </c>
      <c r="E14" s="26">
        <v>6300</v>
      </c>
      <c r="F14" s="64" t="s">
        <v>11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206</v>
      </c>
      <c r="B15" s="64" t="s">
        <v>11</v>
      </c>
      <c r="C15" s="64" t="s">
        <v>11</v>
      </c>
      <c r="D15" s="26">
        <v>4600</v>
      </c>
      <c r="E15" s="26">
        <v>5800</v>
      </c>
      <c r="F15" s="26">
        <v>7600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105</v>
      </c>
      <c r="B16" s="64" t="s">
        <v>11</v>
      </c>
      <c r="C16" s="64" t="s">
        <v>11</v>
      </c>
      <c r="D16" s="26">
        <v>4400</v>
      </c>
      <c r="E16" s="26">
        <v>5600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207</v>
      </c>
      <c r="B17" s="64" t="s">
        <v>11</v>
      </c>
      <c r="C17" s="26">
        <v>3000</v>
      </c>
      <c r="D17" s="26">
        <v>4200</v>
      </c>
      <c r="E17" s="26">
        <v>5400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2000</v>
      </c>
      <c r="C18" s="26">
        <v>2800</v>
      </c>
      <c r="D18" s="26">
        <v>4000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6">
        <v>1750</v>
      </c>
      <c r="C19" s="26">
        <v>2550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208</v>
      </c>
      <c r="B20" s="26">
        <v>1500</v>
      </c>
      <c r="C20" s="26">
        <v>2300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209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193</v>
      </c>
      <c r="B2" s="11">
        <v>591</v>
      </c>
    </row>
    <row r="3" spans="1:4" x14ac:dyDescent="0.15">
      <c r="A3" t="s">
        <v>194</v>
      </c>
      <c r="B3" s="127">
        <v>592</v>
      </c>
    </row>
    <row r="4" spans="1:4" x14ac:dyDescent="0.15">
      <c r="A4" t="s">
        <v>195</v>
      </c>
      <c r="B4" s="127">
        <v>593</v>
      </c>
    </row>
    <row r="7" spans="1:4" x14ac:dyDescent="0.15">
      <c r="A7" t="s">
        <v>196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215</v>
      </c>
    </row>
    <row r="13" spans="1:4" x14ac:dyDescent="0.15">
      <c r="B13" t="s">
        <v>219</v>
      </c>
      <c r="C13" t="s">
        <v>220</v>
      </c>
      <c r="D13" t="s">
        <v>221</v>
      </c>
    </row>
    <row r="14" spans="1:4" x14ac:dyDescent="0.15">
      <c r="A14" t="s">
        <v>217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218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216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197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198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199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2017-06-06T07:26:36Z</dcterms:modified>
</cp:coreProperties>
</file>