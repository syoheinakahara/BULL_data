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1"/>
  </bookViews>
  <sheets>
    <sheet name="確率の考え方" sheetId="110" r:id="rId1"/>
    <sheet name="Sheet1" sheetId="107" r:id="rId2"/>
    <sheet name="output" sheetId="103" r:id="rId3"/>
    <sheet name="input_358010" sheetId="157" r:id="rId4"/>
    <sheet name="tables_358010" sheetId="158" r:id="rId5"/>
    <sheet name="input_358100" sheetId="153" r:id="rId6"/>
    <sheet name="tables_358100" sheetId="154" r:id="rId7"/>
    <sheet name="tables_settle_358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tables_358010!$A$1:$V$283</definedName>
    <definedName name="_xlnm._FilterDatabase" localSheetId="6" hidden="1">tables_358100!$A$1:$V$283</definedName>
    <definedName name="_xlnm._FilterDatabase" localSheetId="7" hidden="1">tables_settle_358100!$A$1:$V$99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I277" i="154"/>
  <c r="D277" i="154"/>
  <c r="J277" i="154"/>
  <c r="E277" i="154"/>
  <c r="C277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8" i="153"/>
  <c r="B28" i="153"/>
  <c r="E29" i="153"/>
  <c r="B29" i="153"/>
  <c r="E6" i="153"/>
  <c r="E21" i="153"/>
  <c r="B21" i="153"/>
  <c r="B23" i="153"/>
  <c r="G23" i="153"/>
  <c r="E23" i="153"/>
  <c r="H23" i="153"/>
  <c r="O277" i="154"/>
  <c r="B6" i="157"/>
  <c r="B5" i="157"/>
  <c r="N4" i="157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F5" i="157"/>
  <c r="F6" i="157"/>
  <c r="A36" i="157"/>
  <c r="R4" i="157"/>
  <c r="O286" i="158"/>
  <c r="A2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5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N5" i="157"/>
  <c r="R5" i="157"/>
  <c r="O284" i="158"/>
  <c r="N3" i="157"/>
  <c r="R3" i="157"/>
  <c r="O285" i="158"/>
  <c r="P286" i="158"/>
  <c r="N286" i="158"/>
  <c r="M286" i="158"/>
  <c r="L286" i="158"/>
  <c r="K286" i="158"/>
  <c r="H286" i="158"/>
  <c r="A286" i="158"/>
  <c r="P285" i="158"/>
  <c r="N285" i="158"/>
  <c r="M285" i="158"/>
  <c r="L285" i="158"/>
  <c r="K285" i="158"/>
  <c r="H285" i="158"/>
  <c r="A285" i="158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G31" i="157"/>
  <c r="E31" i="157"/>
  <c r="H31" i="157"/>
  <c r="I31" i="157"/>
  <c r="J31" i="157"/>
  <c r="F31" i="157"/>
  <c r="D31" i="157"/>
  <c r="G30" i="157"/>
  <c r="E30" i="157"/>
  <c r="H30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R8" i="157"/>
  <c r="P8" i="157"/>
  <c r="O8" i="157"/>
  <c r="M8" i="157"/>
  <c r="V7" i="157"/>
  <c r="R7" i="157"/>
  <c r="P7" i="157"/>
  <c r="O7" i="157"/>
  <c r="M7" i="157"/>
  <c r="V6" i="157"/>
  <c r="R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F7" i="156"/>
  <c r="F8" i="156"/>
  <c r="F9" i="156"/>
  <c r="F10" i="156"/>
  <c r="F11" i="156"/>
  <c r="F12" i="156"/>
  <c r="F13" i="156"/>
  <c r="F14" i="156"/>
  <c r="F15" i="156"/>
  <c r="F16" i="156"/>
  <c r="F17" i="156"/>
  <c r="F18" i="156"/>
  <c r="F19" i="156"/>
  <c r="F20" i="156"/>
  <c r="F21" i="156"/>
  <c r="F22" i="156"/>
  <c r="F23" i="156"/>
  <c r="F24" i="156"/>
  <c r="F25" i="156"/>
  <c r="F26" i="156"/>
  <c r="F27" i="156"/>
  <c r="F28" i="156"/>
  <c r="F29" i="156"/>
  <c r="F30" i="156"/>
  <c r="F31" i="156"/>
  <c r="F32" i="156"/>
  <c r="F33" i="156"/>
  <c r="F34" i="156"/>
  <c r="F35" i="156"/>
  <c r="F36" i="156"/>
  <c r="F37" i="156"/>
  <c r="F38" i="156"/>
  <c r="F39" i="156"/>
  <c r="F40" i="156"/>
  <c r="F41" i="156"/>
  <c r="F42" i="156"/>
  <c r="F43" i="156"/>
  <c r="F44" i="156"/>
  <c r="F45" i="156"/>
  <c r="F46" i="156"/>
  <c r="F47" i="156"/>
  <c r="F48" i="156"/>
  <c r="F49" i="156"/>
  <c r="F50" i="156"/>
  <c r="F51" i="156"/>
  <c r="F52" i="156"/>
  <c r="F53" i="156"/>
  <c r="F54" i="156"/>
  <c r="F55" i="156"/>
  <c r="F56" i="156"/>
  <c r="F57" i="156"/>
  <c r="F58" i="156"/>
  <c r="F59" i="156"/>
  <c r="F60" i="156"/>
  <c r="F61" i="156"/>
  <c r="F62" i="156"/>
  <c r="F63" i="156"/>
  <c r="F64" i="156"/>
  <c r="F65" i="156"/>
  <c r="F66" i="156"/>
  <c r="F67" i="156"/>
  <c r="F68" i="156"/>
  <c r="F69" i="156"/>
  <c r="F70" i="156"/>
  <c r="F71" i="156"/>
  <c r="F72" i="156"/>
  <c r="F73" i="156"/>
  <c r="F74" i="156"/>
  <c r="F75" i="156"/>
  <c r="F76" i="156"/>
  <c r="F77" i="156"/>
  <c r="F78" i="156"/>
  <c r="F79" i="156"/>
  <c r="F80" i="156"/>
  <c r="F81" i="156"/>
  <c r="F82" i="156"/>
  <c r="F83" i="156"/>
  <c r="F84" i="156"/>
  <c r="F85" i="156"/>
  <c r="F86" i="156"/>
  <c r="F87" i="156"/>
  <c r="F88" i="156"/>
  <c r="F89" i="156"/>
  <c r="F90" i="156"/>
  <c r="F91" i="156"/>
  <c r="F92" i="156"/>
  <c r="F93" i="156"/>
  <c r="F94" i="156"/>
  <c r="F95" i="156"/>
  <c r="F96" i="156"/>
  <c r="F97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O95" i="156"/>
  <c r="O94" i="156"/>
  <c r="O93" i="156"/>
  <c r="O92" i="156"/>
  <c r="O89" i="156"/>
  <c r="O88" i="156"/>
  <c r="O83" i="156"/>
  <c r="O82" i="156"/>
  <c r="O79" i="156"/>
  <c r="O78" i="156"/>
  <c r="O77" i="156"/>
  <c r="O76" i="156"/>
  <c r="O73" i="156"/>
  <c r="O71" i="156"/>
  <c r="O70" i="156"/>
  <c r="O68" i="156"/>
  <c r="O67" i="156"/>
  <c r="O64" i="156"/>
  <c r="O61" i="156"/>
  <c r="O59" i="156"/>
  <c r="O57" i="156"/>
  <c r="O54" i="156"/>
  <c r="O52" i="156"/>
  <c r="O51" i="156"/>
  <c r="O48" i="156"/>
  <c r="O46" i="156"/>
  <c r="O44" i="156"/>
  <c r="O43" i="156"/>
  <c r="O41" i="156"/>
  <c r="O38" i="156"/>
  <c r="O33" i="156"/>
  <c r="O32" i="156"/>
  <c r="O31" i="156"/>
  <c r="O30" i="156"/>
  <c r="O29" i="156"/>
  <c r="O28" i="156"/>
  <c r="O27" i="156"/>
  <c r="O26" i="156"/>
  <c r="O24" i="156"/>
  <c r="O23" i="156"/>
  <c r="O22" i="156"/>
  <c r="O21" i="156"/>
  <c r="O20" i="156"/>
  <c r="O19" i="156"/>
  <c r="O18" i="156"/>
  <c r="O17" i="156"/>
  <c r="O16" i="156"/>
  <c r="O15" i="156"/>
  <c r="O14" i="156"/>
  <c r="O13" i="156"/>
  <c r="O12" i="156"/>
  <c r="O11" i="156"/>
  <c r="O10" i="156"/>
  <c r="O9" i="156"/>
  <c r="O8" i="156"/>
  <c r="O7" i="156"/>
  <c r="O6" i="156"/>
  <c r="O5" i="156"/>
  <c r="O99" i="156"/>
  <c r="O98" i="156"/>
  <c r="I99" i="156"/>
  <c r="D99" i="156"/>
  <c r="J99" i="156"/>
  <c r="E99" i="156"/>
  <c r="F99" i="156"/>
  <c r="C99" i="156"/>
  <c r="H99" i="156"/>
  <c r="K99" i="156"/>
  <c r="L99" i="156"/>
  <c r="M99" i="156"/>
  <c r="N99" i="156"/>
  <c r="O2" i="156"/>
  <c r="O3" i="156"/>
  <c r="O4" i="156"/>
  <c r="O25" i="156"/>
  <c r="O34" i="156"/>
  <c r="O35" i="156"/>
  <c r="O36" i="156"/>
  <c r="O37" i="156"/>
  <c r="O39" i="156"/>
  <c r="O40" i="156"/>
  <c r="O42" i="156"/>
  <c r="O45" i="156"/>
  <c r="O47" i="156"/>
  <c r="O49" i="156"/>
  <c r="O50" i="156"/>
  <c r="O53" i="156"/>
  <c r="O55" i="156"/>
  <c r="O56" i="156"/>
  <c r="O58" i="156"/>
  <c r="O60" i="156"/>
  <c r="O62" i="156"/>
  <c r="O63" i="156"/>
  <c r="O65" i="156"/>
  <c r="O66" i="156"/>
  <c r="O69" i="156"/>
  <c r="O72" i="156"/>
  <c r="O74" i="156"/>
  <c r="O75" i="156"/>
  <c r="O80" i="156"/>
  <c r="O81" i="156"/>
  <c r="O84" i="156"/>
  <c r="O85" i="156"/>
  <c r="O86" i="156"/>
  <c r="O87" i="156"/>
  <c r="O90" i="156"/>
  <c r="O91" i="156"/>
  <c r="O96" i="156"/>
  <c r="O97" i="156"/>
  <c r="P99" i="156"/>
  <c r="N5" i="153"/>
  <c r="N4" i="153"/>
  <c r="N3" i="153"/>
  <c r="B30" i="153"/>
  <c r="A285" i="154"/>
  <c r="F285" i="154"/>
  <c r="H285" i="154"/>
  <c r="K285" i="154"/>
  <c r="L285" i="154"/>
  <c r="M285" i="154"/>
  <c r="N285" i="154"/>
  <c r="F286" i="154"/>
  <c r="G30" i="153"/>
  <c r="E30" i="153"/>
  <c r="H30" i="153"/>
  <c r="R3" i="153"/>
  <c r="O285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8" i="154"/>
  <c r="O279" i="154"/>
  <c r="O280" i="154"/>
  <c r="O281" i="154"/>
  <c r="O282" i="154"/>
  <c r="O283" i="154"/>
  <c r="G31" i="153"/>
  <c r="E31" i="153"/>
  <c r="H31" i="153"/>
  <c r="R5" i="153"/>
  <c r="O284" i="154"/>
  <c r="R4" i="153"/>
  <c r="O286" i="154"/>
  <c r="P285" i="154"/>
  <c r="A286" i="154"/>
  <c r="H286" i="154"/>
  <c r="K286" i="154"/>
  <c r="L286" i="154"/>
  <c r="M286" i="154"/>
  <c r="N286" i="154"/>
  <c r="P286" i="154"/>
  <c r="B10" i="153"/>
  <c r="I98" i="156"/>
  <c r="D98" i="156"/>
  <c r="J98" i="156"/>
  <c r="E98" i="156"/>
  <c r="F98" i="156"/>
  <c r="C98" i="156"/>
  <c r="H98" i="156"/>
  <c r="K98" i="156"/>
  <c r="L98" i="156"/>
  <c r="M98" i="156"/>
  <c r="N98" i="156"/>
  <c r="P98" i="156"/>
  <c r="A284" i="154"/>
  <c r="F284" i="154"/>
  <c r="H284" i="154"/>
  <c r="K284" i="154"/>
  <c r="L284" i="154"/>
  <c r="M284" i="154"/>
  <c r="N28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P284" i="154"/>
  <c r="J27" i="156"/>
  <c r="E27" i="156"/>
  <c r="C27" i="156"/>
  <c r="H27" i="156"/>
  <c r="K27" i="156"/>
  <c r="L27" i="156"/>
  <c r="M27" i="156"/>
  <c r="N27" i="156"/>
  <c r="P27" i="156"/>
  <c r="J28" i="156"/>
  <c r="E28" i="156"/>
  <c r="C28" i="156"/>
  <c r="H28" i="156"/>
  <c r="K28" i="156"/>
  <c r="L28" i="156"/>
  <c r="M28" i="156"/>
  <c r="N28" i="156"/>
  <c r="P28" i="156"/>
  <c r="J29" i="156"/>
  <c r="E29" i="156"/>
  <c r="C29" i="156"/>
  <c r="H29" i="156"/>
  <c r="K29" i="156"/>
  <c r="L29" i="156"/>
  <c r="M29" i="156"/>
  <c r="N29" i="156"/>
  <c r="P29" i="156"/>
  <c r="J30" i="156"/>
  <c r="E30" i="156"/>
  <c r="C30" i="156"/>
  <c r="H30" i="156"/>
  <c r="K30" i="156"/>
  <c r="L30" i="156"/>
  <c r="M30" i="156"/>
  <c r="N30" i="156"/>
  <c r="P30" i="156"/>
  <c r="J31" i="156"/>
  <c r="E31" i="156"/>
  <c r="C31" i="156"/>
  <c r="H31" i="156"/>
  <c r="K31" i="156"/>
  <c r="L31" i="156"/>
  <c r="M31" i="156"/>
  <c r="N31" i="156"/>
  <c r="P31" i="156"/>
  <c r="J32" i="156"/>
  <c r="E32" i="156"/>
  <c r="C32" i="156"/>
  <c r="H32" i="156"/>
  <c r="K32" i="156"/>
  <c r="L32" i="156"/>
  <c r="M32" i="156"/>
  <c r="N32" i="156"/>
  <c r="P32" i="156"/>
  <c r="J33" i="156"/>
  <c r="E33" i="156"/>
  <c r="C33" i="156"/>
  <c r="H33" i="156"/>
  <c r="K33" i="156"/>
  <c r="L33" i="156"/>
  <c r="M33" i="156"/>
  <c r="N33" i="156"/>
  <c r="P33" i="156"/>
  <c r="J34" i="156"/>
  <c r="E34" i="156"/>
  <c r="C34" i="156"/>
  <c r="H34" i="156"/>
  <c r="K34" i="156"/>
  <c r="L34" i="156"/>
  <c r="M34" i="156"/>
  <c r="N34" i="156"/>
  <c r="P34" i="156"/>
  <c r="J35" i="156"/>
  <c r="E35" i="156"/>
  <c r="C35" i="156"/>
  <c r="H35" i="156"/>
  <c r="K35" i="156"/>
  <c r="L35" i="156"/>
  <c r="M35" i="156"/>
  <c r="N35" i="156"/>
  <c r="P35" i="156"/>
  <c r="J36" i="156"/>
  <c r="E36" i="156"/>
  <c r="C36" i="156"/>
  <c r="H36" i="156"/>
  <c r="K36" i="156"/>
  <c r="L36" i="156"/>
  <c r="M36" i="156"/>
  <c r="N36" i="156"/>
  <c r="P36" i="156"/>
  <c r="J37" i="156"/>
  <c r="E37" i="156"/>
  <c r="C37" i="156"/>
  <c r="H37" i="156"/>
  <c r="K37" i="156"/>
  <c r="L37" i="156"/>
  <c r="M37" i="156"/>
  <c r="N37" i="156"/>
  <c r="P37" i="156"/>
  <c r="J38" i="156"/>
  <c r="E38" i="156"/>
  <c r="C38" i="156"/>
  <c r="H38" i="156"/>
  <c r="K38" i="156"/>
  <c r="L38" i="156"/>
  <c r="M38" i="156"/>
  <c r="N38" i="156"/>
  <c r="P38" i="156"/>
  <c r="J39" i="156"/>
  <c r="E39" i="156"/>
  <c r="C39" i="156"/>
  <c r="H39" i="156"/>
  <c r="K39" i="156"/>
  <c r="L39" i="156"/>
  <c r="M39" i="156"/>
  <c r="N39" i="156"/>
  <c r="P39" i="156"/>
  <c r="J40" i="156"/>
  <c r="E40" i="156"/>
  <c r="C40" i="156"/>
  <c r="H40" i="156"/>
  <c r="K40" i="156"/>
  <c r="L40" i="156"/>
  <c r="M40" i="156"/>
  <c r="N40" i="156"/>
  <c r="P40" i="156"/>
  <c r="J41" i="156"/>
  <c r="E41" i="156"/>
  <c r="C41" i="156"/>
  <c r="H41" i="156"/>
  <c r="K41" i="156"/>
  <c r="L41" i="156"/>
  <c r="M41" i="156"/>
  <c r="N41" i="156"/>
  <c r="P41" i="156"/>
  <c r="J42" i="156"/>
  <c r="E42" i="156"/>
  <c r="C42" i="156"/>
  <c r="H42" i="156"/>
  <c r="K42" i="156"/>
  <c r="L42" i="156"/>
  <c r="M42" i="156"/>
  <c r="N42" i="156"/>
  <c r="P42" i="156"/>
  <c r="J43" i="156"/>
  <c r="E43" i="156"/>
  <c r="C43" i="156"/>
  <c r="H43" i="156"/>
  <c r="K43" i="156"/>
  <c r="L43" i="156"/>
  <c r="M43" i="156"/>
  <c r="N43" i="156"/>
  <c r="P43" i="156"/>
  <c r="J44" i="156"/>
  <c r="E44" i="156"/>
  <c r="C44" i="156"/>
  <c r="H44" i="156"/>
  <c r="K44" i="156"/>
  <c r="L44" i="156"/>
  <c r="M44" i="156"/>
  <c r="N44" i="156"/>
  <c r="P44" i="156"/>
  <c r="J45" i="156"/>
  <c r="E45" i="156"/>
  <c r="C45" i="156"/>
  <c r="H45" i="156"/>
  <c r="K45" i="156"/>
  <c r="L45" i="156"/>
  <c r="M45" i="156"/>
  <c r="N45" i="156"/>
  <c r="P45" i="156"/>
  <c r="J46" i="156"/>
  <c r="E46" i="156"/>
  <c r="C46" i="156"/>
  <c r="H46" i="156"/>
  <c r="K46" i="156"/>
  <c r="L46" i="156"/>
  <c r="M46" i="156"/>
  <c r="N46" i="156"/>
  <c r="P46" i="156"/>
  <c r="J47" i="156"/>
  <c r="E47" i="156"/>
  <c r="C47" i="156"/>
  <c r="H47" i="156"/>
  <c r="K47" i="156"/>
  <c r="L47" i="156"/>
  <c r="M47" i="156"/>
  <c r="N47" i="156"/>
  <c r="P47" i="156"/>
  <c r="J48" i="156"/>
  <c r="E48" i="156"/>
  <c r="C48" i="156"/>
  <c r="H48" i="156"/>
  <c r="K48" i="156"/>
  <c r="L48" i="156"/>
  <c r="M48" i="156"/>
  <c r="N48" i="156"/>
  <c r="P48" i="156"/>
  <c r="J49" i="156"/>
  <c r="E49" i="156"/>
  <c r="C49" i="156"/>
  <c r="H49" i="156"/>
  <c r="K49" i="156"/>
  <c r="L49" i="156"/>
  <c r="M49" i="156"/>
  <c r="N49" i="156"/>
  <c r="P49" i="156"/>
  <c r="J50" i="156"/>
  <c r="E50" i="156"/>
  <c r="C50" i="156"/>
  <c r="H50" i="156"/>
  <c r="K50" i="156"/>
  <c r="L50" i="156"/>
  <c r="M50" i="156"/>
  <c r="N50" i="156"/>
  <c r="P50" i="156"/>
  <c r="J51" i="156"/>
  <c r="E51" i="156"/>
  <c r="C51" i="156"/>
  <c r="H51" i="156"/>
  <c r="K51" i="156"/>
  <c r="L51" i="156"/>
  <c r="M51" i="156"/>
  <c r="N51" i="156"/>
  <c r="P51" i="156"/>
  <c r="J52" i="156"/>
  <c r="E52" i="156"/>
  <c r="C52" i="156"/>
  <c r="H52" i="156"/>
  <c r="K52" i="156"/>
  <c r="L52" i="156"/>
  <c r="M52" i="156"/>
  <c r="N52" i="156"/>
  <c r="P52" i="156"/>
  <c r="J53" i="156"/>
  <c r="E53" i="156"/>
  <c r="C53" i="156"/>
  <c r="H53" i="156"/>
  <c r="K53" i="156"/>
  <c r="L53" i="156"/>
  <c r="M53" i="156"/>
  <c r="N53" i="156"/>
  <c r="P53" i="156"/>
  <c r="J54" i="156"/>
  <c r="E54" i="156"/>
  <c r="C54" i="156"/>
  <c r="H54" i="156"/>
  <c r="K54" i="156"/>
  <c r="L54" i="156"/>
  <c r="M54" i="156"/>
  <c r="N54" i="156"/>
  <c r="P54" i="156"/>
  <c r="J55" i="156"/>
  <c r="E55" i="156"/>
  <c r="C55" i="156"/>
  <c r="H55" i="156"/>
  <c r="K55" i="156"/>
  <c r="L55" i="156"/>
  <c r="M55" i="156"/>
  <c r="N55" i="156"/>
  <c r="P55" i="156"/>
  <c r="J56" i="156"/>
  <c r="E56" i="156"/>
  <c r="C56" i="156"/>
  <c r="H56" i="156"/>
  <c r="K56" i="156"/>
  <c r="L56" i="156"/>
  <c r="M56" i="156"/>
  <c r="N56" i="156"/>
  <c r="P56" i="156"/>
  <c r="J57" i="156"/>
  <c r="E57" i="156"/>
  <c r="C57" i="156"/>
  <c r="H57" i="156"/>
  <c r="K57" i="156"/>
  <c r="L57" i="156"/>
  <c r="M57" i="156"/>
  <c r="N57" i="156"/>
  <c r="P57" i="156"/>
  <c r="J58" i="156"/>
  <c r="E58" i="156"/>
  <c r="C58" i="156"/>
  <c r="H58" i="156"/>
  <c r="K58" i="156"/>
  <c r="L58" i="156"/>
  <c r="M58" i="156"/>
  <c r="N58" i="156"/>
  <c r="P58" i="156"/>
  <c r="J59" i="156"/>
  <c r="E59" i="156"/>
  <c r="C59" i="156"/>
  <c r="H59" i="156"/>
  <c r="K59" i="156"/>
  <c r="L59" i="156"/>
  <c r="M59" i="156"/>
  <c r="N59" i="156"/>
  <c r="P59" i="156"/>
  <c r="J60" i="156"/>
  <c r="E60" i="156"/>
  <c r="C60" i="156"/>
  <c r="H60" i="156"/>
  <c r="K60" i="156"/>
  <c r="L60" i="156"/>
  <c r="M60" i="156"/>
  <c r="N60" i="156"/>
  <c r="P60" i="156"/>
  <c r="J61" i="156"/>
  <c r="E61" i="156"/>
  <c r="C61" i="156"/>
  <c r="H61" i="156"/>
  <c r="K61" i="156"/>
  <c r="L61" i="156"/>
  <c r="M61" i="156"/>
  <c r="N61" i="156"/>
  <c r="P61" i="156"/>
  <c r="J62" i="156"/>
  <c r="E62" i="156"/>
  <c r="C62" i="156"/>
  <c r="H62" i="156"/>
  <c r="K62" i="156"/>
  <c r="L62" i="156"/>
  <c r="M62" i="156"/>
  <c r="N62" i="156"/>
  <c r="P62" i="156"/>
  <c r="J63" i="156"/>
  <c r="E63" i="156"/>
  <c r="C63" i="156"/>
  <c r="H63" i="156"/>
  <c r="K63" i="156"/>
  <c r="L63" i="156"/>
  <c r="M63" i="156"/>
  <c r="N63" i="156"/>
  <c r="P63" i="156"/>
  <c r="J64" i="156"/>
  <c r="E64" i="156"/>
  <c r="C64" i="156"/>
  <c r="H64" i="156"/>
  <c r="K64" i="156"/>
  <c r="L64" i="156"/>
  <c r="M64" i="156"/>
  <c r="N64" i="156"/>
  <c r="P64" i="156"/>
  <c r="J65" i="156"/>
  <c r="E65" i="156"/>
  <c r="C65" i="156"/>
  <c r="H65" i="156"/>
  <c r="K65" i="156"/>
  <c r="L65" i="156"/>
  <c r="M65" i="156"/>
  <c r="N65" i="156"/>
  <c r="P65" i="156"/>
  <c r="J66" i="156"/>
  <c r="E66" i="156"/>
  <c r="C66" i="156"/>
  <c r="H66" i="156"/>
  <c r="K66" i="156"/>
  <c r="L66" i="156"/>
  <c r="M66" i="156"/>
  <c r="N66" i="156"/>
  <c r="P66" i="156"/>
  <c r="J67" i="156"/>
  <c r="E67" i="156"/>
  <c r="C67" i="156"/>
  <c r="H67" i="156"/>
  <c r="K67" i="156"/>
  <c r="L67" i="156"/>
  <c r="M67" i="156"/>
  <c r="N67" i="156"/>
  <c r="P67" i="156"/>
  <c r="J68" i="156"/>
  <c r="E68" i="156"/>
  <c r="C68" i="156"/>
  <c r="H68" i="156"/>
  <c r="K68" i="156"/>
  <c r="L68" i="156"/>
  <c r="M68" i="156"/>
  <c r="N68" i="156"/>
  <c r="P68" i="156"/>
  <c r="J69" i="156"/>
  <c r="E69" i="156"/>
  <c r="C69" i="156"/>
  <c r="H69" i="156"/>
  <c r="K69" i="156"/>
  <c r="L69" i="156"/>
  <c r="M69" i="156"/>
  <c r="N69" i="156"/>
  <c r="P69" i="156"/>
  <c r="J70" i="156"/>
  <c r="E70" i="156"/>
  <c r="C70" i="156"/>
  <c r="H70" i="156"/>
  <c r="K70" i="156"/>
  <c r="L70" i="156"/>
  <c r="M70" i="156"/>
  <c r="N70" i="156"/>
  <c r="P70" i="156"/>
  <c r="J71" i="156"/>
  <c r="E71" i="156"/>
  <c r="C71" i="156"/>
  <c r="H71" i="156"/>
  <c r="K71" i="156"/>
  <c r="L71" i="156"/>
  <c r="M71" i="156"/>
  <c r="N71" i="156"/>
  <c r="P71" i="156"/>
  <c r="J72" i="156"/>
  <c r="E72" i="156"/>
  <c r="C72" i="156"/>
  <c r="H72" i="156"/>
  <c r="K72" i="156"/>
  <c r="L72" i="156"/>
  <c r="M72" i="156"/>
  <c r="N72" i="156"/>
  <c r="P72" i="156"/>
  <c r="J73" i="156"/>
  <c r="E73" i="156"/>
  <c r="C73" i="156"/>
  <c r="H73" i="156"/>
  <c r="K73" i="156"/>
  <c r="L73" i="156"/>
  <c r="M73" i="156"/>
  <c r="N73" i="156"/>
  <c r="P73" i="156"/>
  <c r="J74" i="156"/>
  <c r="E74" i="156"/>
  <c r="C74" i="156"/>
  <c r="H74" i="156"/>
  <c r="K74" i="156"/>
  <c r="L74" i="156"/>
  <c r="M74" i="156"/>
  <c r="N74" i="156"/>
  <c r="P74" i="156"/>
  <c r="J75" i="156"/>
  <c r="E75" i="156"/>
  <c r="C75" i="156"/>
  <c r="H75" i="156"/>
  <c r="K75" i="156"/>
  <c r="L75" i="156"/>
  <c r="M75" i="156"/>
  <c r="N75" i="156"/>
  <c r="P75" i="156"/>
  <c r="J76" i="156"/>
  <c r="E76" i="156"/>
  <c r="C76" i="156"/>
  <c r="H76" i="156"/>
  <c r="K76" i="156"/>
  <c r="L76" i="156"/>
  <c r="M76" i="156"/>
  <c r="N76" i="156"/>
  <c r="P76" i="156"/>
  <c r="J77" i="156"/>
  <c r="E77" i="156"/>
  <c r="C77" i="156"/>
  <c r="H77" i="156"/>
  <c r="K77" i="156"/>
  <c r="L77" i="156"/>
  <c r="M77" i="156"/>
  <c r="N77" i="156"/>
  <c r="P77" i="156"/>
  <c r="J78" i="156"/>
  <c r="E78" i="156"/>
  <c r="C78" i="156"/>
  <c r="H78" i="156"/>
  <c r="K78" i="156"/>
  <c r="L78" i="156"/>
  <c r="M78" i="156"/>
  <c r="N78" i="156"/>
  <c r="P78" i="156"/>
  <c r="J79" i="156"/>
  <c r="E79" i="156"/>
  <c r="C79" i="156"/>
  <c r="H79" i="156"/>
  <c r="K79" i="156"/>
  <c r="L79" i="156"/>
  <c r="M79" i="156"/>
  <c r="N79" i="156"/>
  <c r="P79" i="156"/>
  <c r="J80" i="156"/>
  <c r="E80" i="156"/>
  <c r="C80" i="156"/>
  <c r="H80" i="156"/>
  <c r="K80" i="156"/>
  <c r="L80" i="156"/>
  <c r="M80" i="156"/>
  <c r="N80" i="156"/>
  <c r="P80" i="156"/>
  <c r="J81" i="156"/>
  <c r="E81" i="156"/>
  <c r="C81" i="156"/>
  <c r="H81" i="156"/>
  <c r="K81" i="156"/>
  <c r="L81" i="156"/>
  <c r="M81" i="156"/>
  <c r="N81" i="156"/>
  <c r="P81" i="156"/>
  <c r="J82" i="156"/>
  <c r="E82" i="156"/>
  <c r="C82" i="156"/>
  <c r="H82" i="156"/>
  <c r="K82" i="156"/>
  <c r="L82" i="156"/>
  <c r="M82" i="156"/>
  <c r="N82" i="156"/>
  <c r="P82" i="156"/>
  <c r="J83" i="156"/>
  <c r="E83" i="156"/>
  <c r="C83" i="156"/>
  <c r="H83" i="156"/>
  <c r="K83" i="156"/>
  <c r="L83" i="156"/>
  <c r="M83" i="156"/>
  <c r="N83" i="156"/>
  <c r="P83" i="156"/>
  <c r="J84" i="156"/>
  <c r="E84" i="156"/>
  <c r="C84" i="156"/>
  <c r="H84" i="156"/>
  <c r="K84" i="156"/>
  <c r="L84" i="156"/>
  <c r="M84" i="156"/>
  <c r="N84" i="156"/>
  <c r="P84" i="156"/>
  <c r="J85" i="156"/>
  <c r="E85" i="156"/>
  <c r="C85" i="156"/>
  <c r="H85" i="156"/>
  <c r="K85" i="156"/>
  <c r="L85" i="156"/>
  <c r="M85" i="156"/>
  <c r="N85" i="156"/>
  <c r="P85" i="156"/>
  <c r="J86" i="156"/>
  <c r="E86" i="156"/>
  <c r="C86" i="156"/>
  <c r="H86" i="156"/>
  <c r="K86" i="156"/>
  <c r="L86" i="156"/>
  <c r="M86" i="156"/>
  <c r="N86" i="156"/>
  <c r="P86" i="156"/>
  <c r="J87" i="156"/>
  <c r="E87" i="156"/>
  <c r="C87" i="156"/>
  <c r="H87" i="156"/>
  <c r="K87" i="156"/>
  <c r="L87" i="156"/>
  <c r="M87" i="156"/>
  <c r="N87" i="156"/>
  <c r="P87" i="156"/>
  <c r="J88" i="156"/>
  <c r="E88" i="156"/>
  <c r="C88" i="156"/>
  <c r="H88" i="156"/>
  <c r="K88" i="156"/>
  <c r="L88" i="156"/>
  <c r="M88" i="156"/>
  <c r="N88" i="156"/>
  <c r="P88" i="156"/>
  <c r="J89" i="156"/>
  <c r="E89" i="156"/>
  <c r="C89" i="156"/>
  <c r="H89" i="156"/>
  <c r="K89" i="156"/>
  <c r="L89" i="156"/>
  <c r="M89" i="156"/>
  <c r="N89" i="156"/>
  <c r="P89" i="156"/>
  <c r="J90" i="156"/>
  <c r="E90" i="156"/>
  <c r="C90" i="156"/>
  <c r="H90" i="156"/>
  <c r="K90" i="156"/>
  <c r="L90" i="156"/>
  <c r="M90" i="156"/>
  <c r="N90" i="156"/>
  <c r="P90" i="156"/>
  <c r="J91" i="156"/>
  <c r="E91" i="156"/>
  <c r="C91" i="156"/>
  <c r="H91" i="156"/>
  <c r="K91" i="156"/>
  <c r="L91" i="156"/>
  <c r="M91" i="156"/>
  <c r="N91" i="156"/>
  <c r="P91" i="156"/>
  <c r="J92" i="156"/>
  <c r="E92" i="156"/>
  <c r="C92" i="156"/>
  <c r="H92" i="156"/>
  <c r="K92" i="156"/>
  <c r="L92" i="156"/>
  <c r="M92" i="156"/>
  <c r="N92" i="156"/>
  <c r="P92" i="156"/>
  <c r="J93" i="156"/>
  <c r="E93" i="156"/>
  <c r="C93" i="156"/>
  <c r="H93" i="156"/>
  <c r="K93" i="156"/>
  <c r="L93" i="156"/>
  <c r="M93" i="156"/>
  <c r="N93" i="156"/>
  <c r="P93" i="156"/>
  <c r="J94" i="156"/>
  <c r="E94" i="156"/>
  <c r="C94" i="156"/>
  <c r="H94" i="156"/>
  <c r="K94" i="156"/>
  <c r="L94" i="156"/>
  <c r="M94" i="156"/>
  <c r="N94" i="156"/>
  <c r="P94" i="156"/>
  <c r="J95" i="156"/>
  <c r="E95" i="156"/>
  <c r="C95" i="156"/>
  <c r="H95" i="156"/>
  <c r="K95" i="156"/>
  <c r="L95" i="156"/>
  <c r="M95" i="156"/>
  <c r="N95" i="156"/>
  <c r="P95" i="156"/>
  <c r="J96" i="156"/>
  <c r="E96" i="156"/>
  <c r="C96" i="156"/>
  <c r="H96" i="156"/>
  <c r="K96" i="156"/>
  <c r="L96" i="156"/>
  <c r="M96" i="156"/>
  <c r="N96" i="156"/>
  <c r="P96" i="156"/>
  <c r="J97" i="156"/>
  <c r="E97" i="156"/>
  <c r="C97" i="156"/>
  <c r="H97" i="156"/>
  <c r="K97" i="156"/>
  <c r="L97" i="156"/>
  <c r="M97" i="156"/>
  <c r="N97" i="156"/>
  <c r="P97" i="156"/>
  <c r="C5" i="103"/>
  <c r="E5" i="103"/>
  <c r="C6" i="103"/>
  <c r="E6" i="103"/>
  <c r="C2" i="103"/>
  <c r="E2" i="103"/>
  <c r="J26" i="156"/>
  <c r="E26" i="156"/>
  <c r="C26" i="156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J7" i="156"/>
  <c r="E7" i="156"/>
  <c r="C7" i="156"/>
  <c r="J8" i="156"/>
  <c r="E8" i="156"/>
  <c r="C8" i="156"/>
  <c r="J9" i="156"/>
  <c r="E9" i="156"/>
  <c r="C9" i="156"/>
  <c r="J10" i="156"/>
  <c r="E10" i="156"/>
  <c r="C10" i="156"/>
  <c r="J11" i="156"/>
  <c r="E11" i="156"/>
  <c r="C11" i="156"/>
  <c r="J12" i="156"/>
  <c r="E12" i="156"/>
  <c r="C12" i="156"/>
  <c r="J13" i="156"/>
  <c r="E13" i="156"/>
  <c r="C13" i="156"/>
  <c r="J14" i="156"/>
  <c r="E14" i="156"/>
  <c r="C14" i="156"/>
  <c r="J15" i="156"/>
  <c r="E15" i="156"/>
  <c r="C15" i="156"/>
  <c r="J16" i="156"/>
  <c r="E16" i="156"/>
  <c r="C16" i="156"/>
  <c r="J17" i="156"/>
  <c r="E17" i="156"/>
  <c r="C17" i="156"/>
  <c r="J18" i="156"/>
  <c r="E18" i="156"/>
  <c r="C18" i="156"/>
  <c r="J19" i="156"/>
  <c r="E19" i="156"/>
  <c r="C19" i="156"/>
  <c r="J20" i="156"/>
  <c r="E20" i="156"/>
  <c r="C20" i="156"/>
  <c r="J21" i="156"/>
  <c r="E21" i="156"/>
  <c r="C21" i="156"/>
  <c r="J22" i="156"/>
  <c r="E22" i="156"/>
  <c r="C22" i="156"/>
  <c r="J23" i="156"/>
  <c r="E23" i="156"/>
  <c r="C23" i="156"/>
  <c r="J24" i="156"/>
  <c r="E24" i="156"/>
  <c r="C24" i="156"/>
  <c r="J25" i="156"/>
  <c r="E25" i="156"/>
  <c r="C25" i="156"/>
  <c r="P26" i="156"/>
  <c r="N26" i="156"/>
  <c r="M26" i="156"/>
  <c r="L26" i="156"/>
  <c r="K26" i="156"/>
  <c r="H26" i="156"/>
  <c r="P25" i="156"/>
  <c r="N25" i="156"/>
  <c r="M25" i="156"/>
  <c r="L25" i="156"/>
  <c r="K25" i="156"/>
  <c r="H25" i="156"/>
  <c r="P24" i="156"/>
  <c r="N24" i="156"/>
  <c r="M24" i="156"/>
  <c r="L24" i="156"/>
  <c r="K24" i="156"/>
  <c r="H24" i="156"/>
  <c r="P23" i="156"/>
  <c r="N23" i="156"/>
  <c r="M23" i="156"/>
  <c r="L23" i="156"/>
  <c r="K23" i="156"/>
  <c r="H23" i="156"/>
  <c r="P22" i="156"/>
  <c r="N22" i="156"/>
  <c r="M22" i="156"/>
  <c r="L22" i="156"/>
  <c r="K22" i="156"/>
  <c r="H22" i="156"/>
  <c r="P21" i="156"/>
  <c r="N21" i="156"/>
  <c r="M21" i="156"/>
  <c r="L21" i="156"/>
  <c r="K21" i="156"/>
  <c r="H21" i="156"/>
  <c r="P20" i="156"/>
  <c r="N20" i="156"/>
  <c r="M20" i="156"/>
  <c r="L20" i="156"/>
  <c r="K20" i="156"/>
  <c r="H20" i="156"/>
  <c r="P19" i="156"/>
  <c r="N19" i="156"/>
  <c r="M19" i="156"/>
  <c r="L19" i="156"/>
  <c r="K19" i="156"/>
  <c r="H19" i="156"/>
  <c r="P18" i="156"/>
  <c r="N18" i="156"/>
  <c r="M18" i="156"/>
  <c r="L18" i="156"/>
  <c r="K18" i="156"/>
  <c r="H18" i="156"/>
  <c r="P17" i="156"/>
  <c r="N17" i="156"/>
  <c r="M17" i="156"/>
  <c r="L17" i="156"/>
  <c r="K17" i="156"/>
  <c r="H17" i="156"/>
  <c r="P16" i="156"/>
  <c r="N16" i="156"/>
  <c r="M16" i="156"/>
  <c r="L16" i="156"/>
  <c r="K16" i="156"/>
  <c r="H16" i="156"/>
  <c r="P15" i="156"/>
  <c r="N15" i="156"/>
  <c r="M15" i="156"/>
  <c r="L15" i="156"/>
  <c r="K15" i="156"/>
  <c r="H15" i="156"/>
  <c r="P14" i="156"/>
  <c r="N14" i="156"/>
  <c r="M14" i="156"/>
  <c r="L14" i="156"/>
  <c r="K14" i="156"/>
  <c r="H14" i="156"/>
  <c r="P13" i="156"/>
  <c r="N13" i="156"/>
  <c r="M13" i="156"/>
  <c r="L13" i="156"/>
  <c r="K13" i="156"/>
  <c r="H13" i="156"/>
  <c r="P12" i="156"/>
  <c r="N12" i="156"/>
  <c r="M12" i="156"/>
  <c r="L12" i="156"/>
  <c r="K12" i="156"/>
  <c r="H12" i="156"/>
  <c r="P11" i="156"/>
  <c r="N11" i="156"/>
  <c r="M11" i="156"/>
  <c r="L11" i="156"/>
  <c r="K11" i="156"/>
  <c r="H11" i="156"/>
  <c r="P10" i="156"/>
  <c r="N10" i="156"/>
  <c r="M10" i="156"/>
  <c r="L10" i="156"/>
  <c r="K10" i="156"/>
  <c r="H10" i="156"/>
  <c r="P9" i="156"/>
  <c r="N9" i="156"/>
  <c r="M9" i="156"/>
  <c r="L9" i="156"/>
  <c r="K9" i="156"/>
  <c r="H9" i="156"/>
  <c r="P8" i="156"/>
  <c r="N8" i="156"/>
  <c r="M8" i="156"/>
  <c r="L8" i="156"/>
  <c r="K8" i="156"/>
  <c r="H8" i="156"/>
  <c r="P7" i="156"/>
  <c r="N7" i="156"/>
  <c r="M7" i="156"/>
  <c r="L7" i="156"/>
  <c r="K7" i="156"/>
  <c r="H7" i="156"/>
  <c r="P6" i="156"/>
  <c r="N6" i="156"/>
  <c r="M6" i="156"/>
  <c r="L6" i="156"/>
  <c r="K6" i="156"/>
  <c r="H6" i="156"/>
  <c r="P5" i="156"/>
  <c r="N5" i="156"/>
  <c r="M5" i="156"/>
  <c r="L5" i="156"/>
  <c r="K5" i="156"/>
  <c r="H5" i="156"/>
  <c r="P4" i="156"/>
  <c r="N4" i="156"/>
  <c r="M4" i="156"/>
  <c r="L4" i="156"/>
  <c r="K4" i="156"/>
  <c r="H4" i="156"/>
  <c r="P3" i="156"/>
  <c r="N3" i="156"/>
  <c r="M3" i="156"/>
  <c r="L3" i="156"/>
  <c r="K3" i="156"/>
  <c r="H3" i="156"/>
  <c r="P2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<sst xmlns="http://schemas.openxmlformats.org/spreadsheetml/2006/main" count="645" uniqueCount="267">
  <si>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</si>
  <si>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</si>
  <si>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</si>
  <si>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</si>
  <si>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</si>
  <si>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</si>
  <si>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</si>
  <si>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</si>
  <si>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</si>
  <si>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</si>
  <si>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</si>
  <si>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</si>
  <si>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</si>
  <si>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</si>
  <si>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</si>
  <si>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</si>
  <si>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</si>
  <si>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</si>
  <si>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</si>
  <si>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</si>
  <si>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</si>
  <si>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</si>
  <si>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</si>
  <si>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</si>
  <si>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</si>
  <si>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</si>
  <si>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</si>
  <si>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</si>
  <si>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</si>
  <si>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</si>
  <si>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</si>
  <si>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</si>
  <si>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</si>
  <si>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</si>
  <si>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</si>
  <si>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</si>
  <si>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</si>
  <si>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</si>
  <si>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</si>
  <si>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</si>
  <si>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</si>
  <si>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</si>
  <si>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</si>
  <si>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</si>
  <si>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</si>
  <si>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</si>
  <si>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</si>
  <si>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</si>
  <si>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</si>
  <si>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</si>
  <si>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</si>
  <si>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</si>
  <si>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</si>
  <si>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</si>
  <si>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</si>
  <si>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</si>
  <si>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</si>
  <si>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</si>
  <si>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</si>
  <si>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</si>
  <si>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</si>
  <si>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</si>
  <si>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</si>
  <si>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</si>
  <si>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</si>
  <si>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</si>
  <si>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</si>
  <si>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</si>
  <si>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</si>
  <si>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</si>
  <si>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</si>
  <si>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</si>
  <si>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</si>
  <si>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</si>
  <si>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</si>
  <si>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</si>
  <si>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</si>
  <si>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</si>
  <si>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</si>
  <si>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</si>
  <si>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</si>
  <si>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</si>
  <si>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</si>
  <si>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</si>
  <si>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</si>
  <si>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</si>
  <si>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</si>
  <si>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</si>
  <si>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</si>
  <si>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</si>
  <si>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</si>
  <si>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</si>
  <si>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</si>
  <si>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</si>
  <si>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</si>
  <si>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</si>
  <si>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</si>
  <si>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</si>
  <si>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</si>
  <si>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</si>
  <si>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</si>
  <si>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</si>
  <si>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</si>
  <si>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</si>
  <si>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</si>
  <si>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</si>
  <si>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</si>
  <si>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</si>
  <si>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</si>
  <si>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</si>
  <si>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</si>
  <si>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</si>
  <si>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</si>
  <si>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</si>
  <si>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</si>
  <si>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</si>
  <si>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</si>
  <si>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</si>
  <si>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</si>
  <si>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</si>
  <si>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</si>
  <si>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</si>
  <si>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</si>
  <si>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</si>
  <si>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</si>
  <si>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</si>
  <si>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</si>
  <si>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</si>
  <si>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</si>
  <si>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</si>
  <si>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</si>
  <si>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</si>
  <si>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</si>
  <si>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</si>
  <si>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</si>
  <si>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</si>
  <si>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</si>
  <si>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</si>
  <si>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</si>
  <si>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</si>
  <si>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</si>
  <si>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</si>
  <si>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</si>
  <si>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</si>
  <si>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</si>
  <si>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</si>
  <si>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</si>
  <si>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</si>
  <si>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</si>
  <si>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</si>
  <si>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</si>
  <si>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</si>
  <si>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</si>
  <si>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</si>
  <si>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</si>
  <si>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</si>
  <si>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</si>
  <si>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</si>
  <si>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</si>
  <si>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</si>
  <si>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</si>
  <si>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</si>
  <si>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</si>
  <si>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</si>
  <si>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</si>
  <si>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</si>
  <si>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</si>
  <si>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</si>
  <si>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</si>
  <si>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</si>
  <si>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</si>
  <si>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</si>
  <si>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</si>
  <si>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</si>
  <si>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</si>
  <si>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</si>
  <si>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</si>
  <si>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</si>
  <si>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</si>
  <si>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</si>
  <si>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</si>
  <si>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</si>
  <si>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</si>
  <si>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</si>
  <si>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</si>
  <si>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</si>
  <si>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</si>
  <si>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</si>
  <si>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</si>
  <si>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</si>
  <si>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</si>
  <si>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</si>
  <si>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</si>
  <si>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</si>
  <si>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</si>
  <si>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</si>
  <si>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</si>
  <si>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</si>
  <si>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</si>
  <si>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</si>
  <si>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</si>
  <si>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</si>
  <si>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</si>
  <si>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</si>
  <si>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</si>
  <si>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</si>
  <si>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</si>
  <si>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</si>
  <si>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</si>
  <si>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</si>
  <si>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</si>
  <si>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</si>
  <si>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</si>
  <si>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</si>
  <si>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ステップアップ確率</t>
    <rPh sb="7" eb="9">
      <t>カクリツ</t>
    </rPh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</si>
  <si>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</si>
  <si>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</si>
  <si>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</si>
  <si>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</si>
  <si>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</si>
  <si>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</si>
  <si>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</si>
  <si>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</si>
  <si>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</si>
  <si>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</si>
  <si>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</si>
  <si>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</si>
  <si>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</si>
  <si>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</si>
  <si>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</si>
  <si>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</si>
  <si>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</si>
  <si>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</si>
  <si>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</si>
  <si>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</si>
  <si>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</si>
  <si>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</si>
  <si>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</si>
  <si>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</si>
  <si>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</si>
  <si>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</si>
  <si>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</si>
  <si>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unit</t>
    <phoneticPr fontId="20"/>
  </si>
  <si>
    <t>PremiumSSS4R3less</t>
    <phoneticPr fontId="20"/>
  </si>
  <si>
    <t>PremiumSSS5R3less</t>
    <phoneticPr fontId="20"/>
  </si>
  <si>
    <t>unit</t>
    <phoneticPr fontId="20"/>
  </si>
  <si>
    <t>秘術の果実x3</t>
    <phoneticPr fontId="20"/>
  </si>
  <si>
    <t>秘術の果実</t>
    <phoneticPr fontId="20"/>
  </si>
  <si>
    <t>tables_358104</t>
    <phoneticPr fontId="20"/>
  </si>
  <si>
    <t>tables_358105</t>
    <phoneticPr fontId="20"/>
  </si>
  <si>
    <t>tables_358100</t>
    <phoneticPr fontId="20"/>
  </si>
  <si>
    <t>400万DL突破記念ガチャ特典</t>
    <rPh sb="13" eb="15">
      <t>トクテン</t>
    </rPh>
    <phoneticPr fontId="20"/>
  </si>
  <si>
    <t>358104</t>
    <phoneticPr fontId="20"/>
  </si>
  <si>
    <t>3581041</t>
    <phoneticPr fontId="20"/>
  </si>
  <si>
    <t>3581051</t>
    <phoneticPr fontId="20"/>
  </si>
  <si>
    <t>STEP4特典として
秘術の果実1体をプレゼント！</t>
    <phoneticPr fontId="20"/>
  </si>
  <si>
    <t>STEP5特典として
秘術の果実3体をプレゼント！</t>
    <phoneticPr fontId="20"/>
  </si>
  <si>
    <t>358105</t>
    <phoneticPr fontId="20"/>
  </si>
  <si>
    <t>tables_358100</t>
    <phoneticPr fontId="20"/>
  </si>
  <si>
    <t>tables_358010</t>
    <phoneticPr fontId="20"/>
  </si>
  <si>
    <t>tables_settle_358100</t>
    <phoneticPr fontId="20"/>
  </si>
  <si>
    <t>skip</t>
    <phoneticPr fontId="20"/>
  </si>
  <si>
    <t>skip</t>
    <phoneticPr fontId="20"/>
  </si>
  <si>
    <t>フェス確率になる？</t>
    <phoneticPr fontId="20"/>
  </si>
  <si>
    <t>old</t>
    <phoneticPr fontId="20"/>
  </si>
  <si>
    <t>old</t>
    <phoneticPr fontId="20"/>
  </si>
  <si>
    <t>358100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</si>
</sst>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25" fillId="0" borderId="1" xfId="2" quotePrefix="1" applyFont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5" t="s">
        <v>216</v>
      </c>
      <c r="K40" s="85" t="s">
        <v>190</v>
      </c>
      <c r="M40" s="85" t="s">
        <v>241</v>
      </c>
    </row>
    <row r="41" spans="1:13" x14ac:dyDescent="0.15">
      <c r="J41" s="85" t="s">
        <v>217</v>
      </c>
      <c r="K41" s="85" t="s">
        <v>218</v>
      </c>
      <c r="M41" s="66" t="s">
        <v>185</v>
      </c>
    </row>
    <row r="42" spans="1:13" x14ac:dyDescent="0.15">
      <c r="J42" s="85" t="s">
        <v>219</v>
      </c>
      <c r="K42" s="85" t="s">
        <v>220</v>
      </c>
    </row>
    <row r="43" spans="1:13" x14ac:dyDescent="0.15">
      <c r="J43" s="85" t="s">
        <v>221</v>
      </c>
      <c r="K43" s="85" t="s">
        <v>222</v>
      </c>
    </row>
    <row r="44" spans="1:13" x14ac:dyDescent="0.15">
      <c r="J44" s="85" t="s">
        <v>223</v>
      </c>
      <c r="K44" s="85" t="s">
        <v>224</v>
      </c>
    </row>
    <row r="45" spans="1:13" x14ac:dyDescent="0.15">
      <c r="J45" s="85" t="s">
        <v>225</v>
      </c>
      <c r="K45" s="85" t="s">
        <v>226</v>
      </c>
    </row>
    <row r="46" spans="1:13" x14ac:dyDescent="0.15">
      <c r="J46" s="85" t="s">
        <v>227</v>
      </c>
      <c r="K46" s="85" t="s">
        <v>228</v>
      </c>
    </row>
    <row r="47" spans="1:13" x14ac:dyDescent="0.15">
      <c r="J47" s="85" t="s">
        <v>229</v>
      </c>
      <c r="K47" s="85" t="s">
        <v>233</v>
      </c>
    </row>
    <row r="48" spans="1:13" x14ac:dyDescent="0.15">
      <c r="J48" s="85" t="s">
        <v>230</v>
      </c>
      <c r="K48" s="85" t="s">
        <v>234</v>
      </c>
    </row>
    <row r="49" spans="10:11" x14ac:dyDescent="0.15">
      <c r="J49" s="85" t="s">
        <v>231</v>
      </c>
      <c r="K49" s="85" t="s">
        <v>235</v>
      </c>
    </row>
    <row r="50" spans="10:11" x14ac:dyDescent="0.15">
      <c r="J50" s="85" t="s">
        <v>232</v>
      </c>
      <c r="K50" s="85" t="s">
        <v>236</v>
      </c>
    </row>
    <row r="51" spans="10:11" x14ac:dyDescent="0.15">
      <c r="J51" s="85" t="s">
        <v>238</v>
      </c>
      <c r="K51" s="85" t="s">
        <v>237</v>
      </c>
    </row>
    <row r="52" spans="10:11" x14ac:dyDescent="0.15">
      <c r="J52" s="85" t="s">
        <v>239</v>
      </c>
      <c r="K52" s="85" t="s">
        <v>240</v>
      </c>
    </row>
    <row r="53" spans="10:11" x14ac:dyDescent="0.15">
      <c r="J53" s="8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tabSelected="1"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264</v>
      </c>
      <c r="B2" s="61" t="s">
        <v>110</v>
      </c>
      <c r="C2" s="50" t="str">
        <f t="shared" ref="C2" si="0">RIGHT(F2,6)</f>
        <v>358100</v>
      </c>
      <c r="D2" s="19" t="s">
        <v>45</v>
      </c>
      <c r="E2" s="17" t="str">
        <f t="shared" ref="E2" si="1">B2&amp;C2&amp;D2</f>
        <v>gacha_select_tables_358100.tmp</v>
      </c>
      <c r="F2" s="92" t="s">
        <v>258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262</v>
      </c>
      <c r="B3" s="61" t="s">
        <v>110</v>
      </c>
      <c r="C3" s="50" t="str">
        <f t="shared" ref="C3:C7" si="2">RIGHT(F3,6)</f>
        <v>358010</v>
      </c>
      <c r="D3" s="19" t="s">
        <v>45</v>
      </c>
      <c r="E3" s="17" t="str">
        <f t="shared" ref="E3:E10" si="3">B3&amp;C3&amp;D3</f>
        <v>gacha_select_tables_358010.tmp</v>
      </c>
      <c r="F3" s="92" t="s">
        <v>259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265</v>
      </c>
      <c r="B4" s="78" t="s">
        <v>213</v>
      </c>
      <c r="C4" s="50" t="str">
        <f t="shared" si="2"/>
        <v>358100</v>
      </c>
      <c r="D4" s="19" t="s">
        <v>45</v>
      </c>
      <c r="E4" s="17" t="str">
        <f t="shared" ref="E4:E7" si="4">B4&amp;C4&amp;D4</f>
        <v>gacha_settle_tables_358100.tmp</v>
      </c>
      <c r="F4" s="92" t="s">
        <v>260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261</v>
      </c>
      <c r="B5" s="61" t="s">
        <v>110</v>
      </c>
      <c r="C5" s="50" t="str">
        <f t="shared" si="2"/>
        <v>358104</v>
      </c>
      <c r="D5" s="19" t="s">
        <v>45</v>
      </c>
      <c r="E5" s="17" t="str">
        <f t="shared" si="4"/>
        <v>gacha_select_tables_358104.tmp</v>
      </c>
      <c r="F5" s="90" t="s">
        <v>248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261</v>
      </c>
      <c r="B6" s="61" t="s">
        <v>110</v>
      </c>
      <c r="C6" s="50" t="str">
        <f t="shared" ref="C6" si="5">RIGHT(F6,6)</f>
        <v>358105</v>
      </c>
      <c r="D6" s="19" t="s">
        <v>45</v>
      </c>
      <c r="E6" s="17" t="str">
        <f t="shared" ref="E6" si="6">B6&amp;C6&amp;D6</f>
        <v>gacha_select_tables_358105.tmp</v>
      </c>
      <c r="F6" s="90" t="s">
        <v>249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261</v>
      </c>
      <c r="B7" s="61" t="s">
        <v>110</v>
      </c>
      <c r="C7" s="50" t="str">
        <f t="shared" si="2"/>
        <v>358100</v>
      </c>
      <c r="D7" s="19" t="s">
        <v>45</v>
      </c>
      <c r="E7" s="17" t="str">
        <f t="shared" si="4"/>
        <v>gacha_select_tables_358100.tmp</v>
      </c>
      <c r="F7" s="90" t="s">
        <v>250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261</v>
      </c>
      <c r="B8" s="27" t="s">
        <v>50</v>
      </c>
      <c r="C8" s="32">
        <v>358</v>
      </c>
      <c r="D8" s="19" t="s">
        <v>46</v>
      </c>
      <c r="E8" s="17" t="str">
        <f t="shared" si="3"/>
        <v>gacha_bonus_tables_358.tmp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261</v>
      </c>
      <c r="B9" s="19" t="s">
        <v>48</v>
      </c>
      <c r="C9" s="32">
        <v>358</v>
      </c>
      <c r="D9" s="19" t="s">
        <v>46</v>
      </c>
      <c r="E9" s="17" t="str">
        <f t="shared" si="3"/>
        <v>gifts_tmp_358.tmp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1" t="s">
        <v>261</v>
      </c>
      <c r="B10" s="19" t="s">
        <v>49</v>
      </c>
      <c r="C10" s="32">
        <v>358</v>
      </c>
      <c r="D10" s="19" t="s">
        <v>46</v>
      </c>
      <c r="E10" s="17" t="str">
        <f t="shared" si="3"/>
        <v>gifts_i18n_358.tmp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C11" sqref="C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358010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619</v>
      </c>
      <c r="M3" s="37" t="str">
        <f>VLOOKUP(L3,[1]characters!$A:$C,3,FALSE)</f>
        <v>メビウス</v>
      </c>
      <c r="N3" s="63">
        <f>0.005*0.1</f>
        <v>5.0000000000000001E-4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VLOOKUP(L3,tables_358010!B:C,2,FALSE)</f>
        <v>PremiumSSS4R3less</v>
      </c>
      <c r="R3" s="62">
        <f t="shared" ref="R3:R20" si="1">N3*A$36</f>
        <v>2964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620</v>
      </c>
      <c r="M4" s="37" t="str">
        <f>VLOOKUP(L4,[1]characters!$A:$C,3,FALSE)</f>
        <v>奇跡の調和 メビウス</v>
      </c>
      <c r="N4" s="63">
        <f>0.005*0.9</f>
        <v>4.5000000000000005E-3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VLOOKUP(L4,tables_358010!B:C,2,FALSE)</f>
        <v>PremiumSSS5R3less</v>
      </c>
      <c r="R4" s="62">
        <f t="shared" si="1"/>
        <v>26676.000000000004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7.894736842105263E-4</v>
      </c>
      <c r="F5">
        <f>(COUNTIF(tables_358010!C:C,input_358010!A26)+COUNTIF(tables_358010!C:C,input_358010!A28)+COUNTIF(tables_358010!C:C,input_358010!A29))</f>
        <v>38</v>
      </c>
      <c r="H5" s="86">
        <v>0</v>
      </c>
      <c r="I5" s="31">
        <v>0</v>
      </c>
      <c r="L5" s="60">
        <v>623</v>
      </c>
      <c r="M5" s="37" t="str">
        <f>VLOOKUP(L5,[1]characters!$A:$C,3,FALSE)</f>
        <v>未踏の轍跡 フェルマー</v>
      </c>
      <c r="N5" s="63">
        <f>0.005</f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VLOOKUP(L5,tables_358010!B:C,2,FALSE)</f>
        <v>PremiumSSS5R3less</v>
      </c>
      <c r="R5" s="62">
        <f t="shared" si="1"/>
        <v>29640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7">
        <f>(B10-H6)/(F6-I6)</f>
        <v>1.2307692307692308E-2</v>
      </c>
      <c r="F6">
        <f>(COUNTIF(tables_358010!C:C,input_358010!A18)+COUNTIF(tables_358010!C:C,input_358010!A20)+COUNTIF(tables_358010!C:C,input_358010!A22))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0.96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0.03</v>
      </c>
      <c r="C11" t="s">
        <v>214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0.17842105263157895</v>
      </c>
      <c r="C17" s="87">
        <f t="shared" ref="C17:C31" si="2">SUMIF(Q:Q,A17,N:N)</f>
        <v>0</v>
      </c>
      <c r="D17" s="75">
        <f t="shared" ref="D17:D32" si="3">B17-C17</f>
        <v>0.17842105263157895</v>
      </c>
      <c r="E17">
        <f>COUNTIF(tables_358010!C:C,input_358010!A17)-COUNTIF(Q:Q,A17)</f>
        <v>20</v>
      </c>
      <c r="F17" s="43">
        <f>IFERROR(B17/E17,0)</f>
        <v>8.9210526315789476E-3</v>
      </c>
      <c r="G17">
        <f t="shared" ref="G17:G31" si="4">A$36*B17</f>
        <v>1057680</v>
      </c>
      <c r="H17">
        <f t="shared" ref="H17:H31" si="5">IFERROR(ROUND(G17/E17,5),0)</f>
        <v>52884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6.7732793522267215E-2</v>
      </c>
      <c r="C18" s="87">
        <f t="shared" si="2"/>
        <v>0</v>
      </c>
      <c r="D18" s="75">
        <f t="shared" si="3"/>
        <v>6.7732793522267215E-2</v>
      </c>
      <c r="E18">
        <f>COUNTIF(tables_358010!C:C,input_358010!A18)-COUNTIF(Q:Q,A18)</f>
        <v>20</v>
      </c>
      <c r="F18" s="43">
        <f>IFERROR(B18/E18,0)</f>
        <v>3.3866396761133609E-3</v>
      </c>
      <c r="G18">
        <f t="shared" si="4"/>
        <v>401520.00000000006</v>
      </c>
      <c r="H18">
        <f t="shared" si="5"/>
        <v>20076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0.32</v>
      </c>
      <c r="C19" s="87">
        <f t="shared" si="2"/>
        <v>0</v>
      </c>
      <c r="D19" s="75">
        <f t="shared" si="3"/>
        <v>0.32</v>
      </c>
      <c r="E19">
        <f>COUNTIF(tables_358010!C:C,input_358010!A19)-COUNTIF(Q:Q,A19)</f>
        <v>52</v>
      </c>
      <c r="F19" s="43">
        <f t="shared" ref="F19:F31" si="8">IFERROR(B19/E19,0)</f>
        <v>6.1538461538461538E-3</v>
      </c>
      <c r="G19">
        <f t="shared" si="4"/>
        <v>1896960</v>
      </c>
      <c r="H19">
        <f t="shared" si="5"/>
        <v>36480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0.28800000000000003</v>
      </c>
      <c r="C20" s="87">
        <f t="shared" si="2"/>
        <v>0</v>
      </c>
      <c r="D20" s="75">
        <f t="shared" si="3"/>
        <v>0.28800000000000003</v>
      </c>
      <c r="E20">
        <f>COUNTIF(tables_358010!C:C,input_358010!A20)-COUNTIF(Q:Q,A20)</f>
        <v>52</v>
      </c>
      <c r="F20" s="43">
        <f t="shared" si="8"/>
        <v>5.538461538461539E-3</v>
      </c>
      <c r="G20">
        <f t="shared" si="4"/>
        <v>1707264.0000000002</v>
      </c>
      <c r="H20">
        <f t="shared" si="5"/>
        <v>32832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3.2000000000000001E-2</v>
      </c>
      <c r="C21" s="87">
        <f t="shared" si="2"/>
        <v>0</v>
      </c>
      <c r="D21" s="75">
        <f t="shared" si="3"/>
        <v>3.2000000000000001E-2</v>
      </c>
      <c r="E21">
        <f>COUNTIF(tables_358010!C:C,input_358010!A21)-COUNTIF(Q:Q,A21)</f>
        <v>52</v>
      </c>
      <c r="F21" s="43">
        <f t="shared" si="8"/>
        <v>6.1538461538461541E-4</v>
      </c>
      <c r="G21">
        <f t="shared" si="4"/>
        <v>189696</v>
      </c>
      <c r="H21">
        <f t="shared" si="5"/>
        <v>3648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6.1846153846153835E-2</v>
      </c>
      <c r="C22" s="87">
        <f t="shared" si="2"/>
        <v>0</v>
      </c>
      <c r="D22" s="75">
        <f t="shared" si="3"/>
        <v>6.1846153846153835E-2</v>
      </c>
      <c r="E22">
        <f>COUNTIF(tables_358010!C:C,input_358010!A22)-COUNTIF(Q:Q,A22)</f>
        <v>6</v>
      </c>
      <c r="F22" s="43">
        <f t="shared" si="8"/>
        <v>1.0307692307692306E-2</v>
      </c>
      <c r="G22">
        <f t="shared" si="4"/>
        <v>366623.99999999994</v>
      </c>
      <c r="H22">
        <f t="shared" si="5"/>
        <v>61104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1.2000000000000004E-2</v>
      </c>
      <c r="C23" s="87">
        <f t="shared" si="2"/>
        <v>0</v>
      </c>
      <c r="D23" s="75">
        <f t="shared" si="3"/>
        <v>1.2000000000000004E-2</v>
      </c>
      <c r="E23">
        <f>COUNTIF(tables_358010!C:C,input_358010!A23)-COUNTIF(Q:Q,A23)</f>
        <v>6</v>
      </c>
      <c r="F23" s="43">
        <f t="shared" si="8"/>
        <v>2.0000000000000005E-3</v>
      </c>
      <c r="G23">
        <f t="shared" si="4"/>
        <v>71136.000000000029</v>
      </c>
      <c r="H23">
        <f t="shared" si="5"/>
        <v>11856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1.5789473684210526E-3</v>
      </c>
      <c r="C24" s="87">
        <f t="shared" si="2"/>
        <v>0</v>
      </c>
      <c r="D24" s="75">
        <f t="shared" si="3"/>
        <v>1.5789473684210526E-3</v>
      </c>
      <c r="E24">
        <f>COUNTIF(tables_358010!C:C,input_358010!A24)-COUNTIF(Q:Q,A24)</f>
        <v>4</v>
      </c>
      <c r="F24" s="43">
        <f t="shared" si="8"/>
        <v>3.9473684210526315E-4</v>
      </c>
      <c r="G24">
        <f t="shared" si="4"/>
        <v>9360</v>
      </c>
      <c r="H24">
        <f t="shared" si="5"/>
        <v>2340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1.4210526315789475E-3</v>
      </c>
      <c r="C25" s="87">
        <f t="shared" si="2"/>
        <v>0</v>
      </c>
      <c r="D25" s="75">
        <f t="shared" si="3"/>
        <v>1.4210526315789475E-3</v>
      </c>
      <c r="E25">
        <f>COUNTIF(tables_358010!C:C,input_358010!A25)-COUNTIF(Q:Q,A25)</f>
        <v>4</v>
      </c>
      <c r="F25" s="43">
        <f t="shared" si="8"/>
        <v>3.5526315789473687E-4</v>
      </c>
      <c r="G25">
        <f t="shared" si="4"/>
        <v>8424</v>
      </c>
      <c r="H25">
        <f t="shared" si="5"/>
        <v>2106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COUNTIF(tables_358010!C:C,input_358010!A26)-COUNTIF(Q:Q,A26)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COUNTIF(tables_358010!C:C,input_358010!A27)-COUNTIF(Q:Q,A27)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COUNTIF(tables_358010!C:C,input_358010!A28)-COUNTIF(Q:Q,A28)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COUNTIF(tables_358010!C:C,input_358010!A29)-COUNTIF(Q:Q,A29)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243</v>
      </c>
      <c r="B30" s="56">
        <f>0</f>
        <v>0</v>
      </c>
      <c r="C30" s="87">
        <f t="shared" si="2"/>
        <v>5.0000000000000001E-4</v>
      </c>
      <c r="D30" s="75">
        <f t="shared" si="3"/>
        <v>-5.0000000000000001E-4</v>
      </c>
      <c r="E30">
        <f>COUNTIF(tables_358010!C:C,input_358010!A30)-COUNTIF(Q:Q,A30)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244</v>
      </c>
      <c r="B31" s="56">
        <v>0</v>
      </c>
      <c r="C31" s="87">
        <f t="shared" si="2"/>
        <v>9.5000000000000015E-3</v>
      </c>
      <c r="D31" s="75">
        <f t="shared" si="3"/>
        <v>-9.5000000000000015E-3</v>
      </c>
      <c r="E31">
        <f>COUNTIF(tables_358010!C:C,input_358010!A31)-COUNTIF(Q:Q,A31)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0.99000000000000021</v>
      </c>
      <c r="C32" s="41">
        <f>SUM(C19:C31)</f>
        <v>1.0000000000000002E-2</v>
      </c>
      <c r="D32" s="42">
        <f t="shared" si="3"/>
        <v>0.9800000000000002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SUMIF(tables_358010!C:C,input_358010!A40,tables_358010!O:O)</f>
        <v>1896960</v>
      </c>
      <c r="C40" s="54">
        <f t="shared" ref="C40:C46" ca="1" si="9">B40/B$47</f>
        <v>0.48330683624801274</v>
      </c>
      <c r="E40">
        <v>3</v>
      </c>
      <c r="F40">
        <f ca="1">SUMIF(tables_358010!J:J,input_358010!E40,tables_358010!O:O)</f>
        <v>2964000</v>
      </c>
      <c r="G40">
        <f ca="1">F40/A36</f>
        <v>0.5</v>
      </c>
    </row>
    <row r="41" spans="1:7" x14ac:dyDescent="0.15">
      <c r="A41" s="33" t="s">
        <v>104</v>
      </c>
      <c r="B41">
        <f ca="1">SUMIF(tables_358010!C:C,input_358010!A41,tables_358010!O:O)</f>
        <v>1707264</v>
      </c>
      <c r="C41" s="54">
        <f t="shared" ca="1" si="9"/>
        <v>0.43497615262321143</v>
      </c>
      <c r="E41">
        <v>4</v>
      </c>
      <c r="F41">
        <f ca="1">SUMIF(tables_358010!J:J,input_358010!E41,tables_358010!O:O)</f>
        <v>2611284</v>
      </c>
      <c r="G41">
        <f ca="1">F41/A36</f>
        <v>0.4405</v>
      </c>
    </row>
    <row r="42" spans="1:7" x14ac:dyDescent="0.15">
      <c r="A42" s="33" t="s">
        <v>106</v>
      </c>
      <c r="B42">
        <f ca="1">SUMIF(tables_358010!C:C,input_358010!A42,tables_358010!O:O)</f>
        <v>124488</v>
      </c>
      <c r="C42" s="54">
        <f t="shared" ca="1" si="9"/>
        <v>3.1717011128775834E-2</v>
      </c>
      <c r="E42">
        <v>5</v>
      </c>
      <c r="F42">
        <f ca="1">SUMIF(tables_358010!J:J,input_358010!E42,tables_358010!O:O)</f>
        <v>352716</v>
      </c>
      <c r="G42">
        <f ca="1">F42/A36</f>
        <v>5.9499999999999997E-2</v>
      </c>
    </row>
    <row r="43" spans="1:7" x14ac:dyDescent="0.15">
      <c r="A43" s="33" t="s">
        <v>109</v>
      </c>
      <c r="B43">
        <f>SUMIF(tables_358010!C:C,input_358010!A43,tables_358010!O:O)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SUMIF(tables_358010!C:C,input_358010!A44,tables_358010!O:O)</f>
        <v>189696</v>
      </c>
      <c r="C44" s="54">
        <f t="shared" ca="1" si="9"/>
        <v>4.8330683624801273E-2</v>
      </c>
      <c r="E44" t="s">
        <v>54</v>
      </c>
      <c r="F44" s="55"/>
    </row>
    <row r="45" spans="1:7" x14ac:dyDescent="0.15">
      <c r="A45" s="33" t="s">
        <v>107</v>
      </c>
      <c r="B45">
        <f ca="1">SUMIF(tables_358010!C:C,input_358010!A45,tables_358010!O:O)</f>
        <v>6552</v>
      </c>
      <c r="C45" s="54">
        <f t="shared" ca="1" si="9"/>
        <v>1.6693163751987281E-3</v>
      </c>
      <c r="E45" t="s">
        <v>204</v>
      </c>
      <c r="F45" s="55">
        <f ca="1">SUMIF(tables_358010!I:I,input_358010!E45,tables_358010!P:P)</f>
        <v>0.24438663967611324</v>
      </c>
    </row>
    <row r="46" spans="1:7" x14ac:dyDescent="0.15">
      <c r="A46" s="33" t="s">
        <v>108</v>
      </c>
      <c r="B46">
        <f>SUMIF(tables_358010!C:C,input_358010!A46,tables_358010!O:O)</f>
        <v>0</v>
      </c>
      <c r="C46" s="54">
        <f t="shared" ca="1" si="9"/>
        <v>0</v>
      </c>
      <c r="E46" t="s">
        <v>205</v>
      </c>
      <c r="F46" s="55">
        <f ca="1">SUMIF(tables_358010!I:I,input_358010!E46,tables_358010!P:P)</f>
        <v>0.21159919028340088</v>
      </c>
    </row>
    <row r="47" spans="1:7" x14ac:dyDescent="0.15">
      <c r="A47" s="39" t="s">
        <v>59</v>
      </c>
      <c r="B47">
        <f ca="1">SUM(B40:B46)</f>
        <v>3924960</v>
      </c>
      <c r="C47" s="55">
        <f ca="1">SUM(C40:C46)</f>
        <v>1</v>
      </c>
      <c r="E47" t="s">
        <v>206</v>
      </c>
      <c r="F47" s="55">
        <f ca="1">SUMIF(tables_358010!I:I,input_358010!E47,tables_358010!P:P)</f>
        <v>0.50540485829959592</v>
      </c>
    </row>
    <row r="48" spans="1:7" x14ac:dyDescent="0.15">
      <c r="E48" t="s">
        <v>207</v>
      </c>
      <c r="F48" s="55">
        <f ca="1">SUMIF(tables_358010!I:I,input_358010!E48,tables_358010!P:P)</f>
        <v>2.6842105263157921E-2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6"/>
  <sheetViews>
    <sheetView showGridLines="0" zoomScale="75" zoomScaleNormal="75" zoomScalePageLayoutView="75" workbookViewId="0">
      <pane ySplit="1" topLeftCell="A261" activePane="bottomLeft" state="frozen"/>
      <selection activeCell="H276" sqref="H276"/>
      <selection pane="bottomLeft" activeCell="E287" sqref="E2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input_358010!A$2</f>
        <v>358010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IFERROR(VLOOKUP(B2,input_358010!L:R,7,FALSE),VLOOKUP(tables_358010!C2,input_358010!A:H,8,FALSE))</f>
        <v>52884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input_358010!A$2</f>
        <v>358010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IFERROR(VLOOKUP(B3,input_358010!L:R,7,FALSE),VLOOKUP(tables_358010!C3,input_358010!A:H,8,FALSE))</f>
        <v>20076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input_358010!A$2</f>
        <v>358010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IFERROR(VLOOKUP(B4,input_358010!L:R,7,FALSE),VLOOKUP(tables_358010!C4,input_358010!A:H,8,FALSE))</f>
        <v>52884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input_358010!A$2</f>
        <v>358010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IFERROR(VLOOKUP(B5,input_358010!L:R,7,FALSE),VLOOKUP(tables_358010!C5,input_358010!A:H,8,FALSE))</f>
        <v>20076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input_358010!A$2</f>
        <v>358010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IFERROR(VLOOKUP(B6,input_358010!L:R,7,FALSE),VLOOKUP(tables_358010!C6,input_358010!A:H,8,FALSE))</f>
        <v>52884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input_358010!A$2</f>
        <v>358010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IFERROR(VLOOKUP(B7,input_358010!L:R,7,FALSE),VLOOKUP(tables_358010!C7,input_358010!A:H,8,FALSE))</f>
        <v>20076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input_358010!A$2</f>
        <v>358010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IFERROR(VLOOKUP(B8,input_358010!L:R,7,FALSE),VLOOKUP(tables_358010!C8,input_358010!A:H,8,FALSE))</f>
        <v>52884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input_358010!A$2</f>
        <v>358010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IFERROR(VLOOKUP(B9,input_358010!L:R,7,FALSE),VLOOKUP(tables_358010!C9,input_358010!A:H,8,FALSE))</f>
        <v>20076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input_358010!A$2</f>
        <v>358010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IFERROR(VLOOKUP(B10,input_358010!L:R,7,FALSE),VLOOKUP(tables_358010!C10,input_358010!A:H,8,FALSE))</f>
        <v>52884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input_358010!A$2</f>
        <v>358010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IFERROR(VLOOKUP(B11,input_358010!L:R,7,FALSE),VLOOKUP(tables_358010!C11,input_358010!A:H,8,FALSE))</f>
        <v>20076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input_358010!A$2</f>
        <v>358010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IFERROR(VLOOKUP(B12,input_358010!L:R,7,FALSE),VLOOKUP(tables_358010!C12,input_358010!A:H,8,FALSE))</f>
        <v>52884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input_358010!A$2</f>
        <v>358010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IFERROR(VLOOKUP(B13,input_358010!L:R,7,FALSE),VLOOKUP(tables_358010!C13,input_358010!A:H,8,FALSE))</f>
        <v>20076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input_358010!A$2</f>
        <v>358010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IFERROR(VLOOKUP(B14,input_358010!L:R,7,FALSE),VLOOKUP(tables_358010!C14,input_358010!A:H,8,FALSE))</f>
        <v>52884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input_358010!A$2</f>
        <v>358010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IFERROR(VLOOKUP(B15,input_358010!L:R,7,FALSE),VLOOKUP(tables_358010!C15,input_358010!A:H,8,FALSE))</f>
        <v>20076</v>
      </c>
      <c r="P15" s="46">
        <f t="shared" ref="P15:P78" ca="1" si="2">O15/SUM(O:O)</f>
        <v>3.3866396761133605E-3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input_358010!A$2</f>
        <v>358010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IFERROR(VLOOKUP(B16,input_358010!L:R,7,FALSE),VLOOKUP(tables_358010!C16,input_358010!A:H,8,FALSE))</f>
        <v>52884</v>
      </c>
      <c r="P16" s="46">
        <f t="shared" ca="1" si="2"/>
        <v>8.9210526315789476E-3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input_358010!A$2</f>
        <v>358010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IFERROR(VLOOKUP(B17,input_358010!L:R,7,FALSE),VLOOKUP(tables_358010!C17,input_358010!A:H,8,FALSE))</f>
        <v>20076</v>
      </c>
      <c r="P17" s="46">
        <f t="shared" ca="1" si="2"/>
        <v>3.3866396761133605E-3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input_358010!A$2</f>
        <v>358010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IFERROR(VLOOKUP(B18,input_358010!L:R,7,FALSE),VLOOKUP(tables_358010!C18,input_358010!A:H,8,FALSE))</f>
        <v>52884</v>
      </c>
      <c r="P18" s="46">
        <f t="shared" ca="1" si="2"/>
        <v>8.9210526315789476E-3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input_358010!A$2</f>
        <v>358010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IFERROR(VLOOKUP(B19,input_358010!L:R,7,FALSE),VLOOKUP(tables_358010!C19,input_358010!A:H,8,FALSE))</f>
        <v>20076</v>
      </c>
      <c r="P19" s="46">
        <f t="shared" ca="1" si="2"/>
        <v>3.3866396761133605E-3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input_358010!A$2</f>
        <v>358010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IFERROR(VLOOKUP(B20,input_358010!L:R,7,FALSE),VLOOKUP(tables_358010!C20,input_358010!A:H,8,FALSE))</f>
        <v>52884</v>
      </c>
      <c r="P20" s="46">
        <f t="shared" ca="1" si="2"/>
        <v>8.9210526315789476E-3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input_358010!A$2</f>
        <v>358010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IFERROR(VLOOKUP(B21,input_358010!L:R,7,FALSE),VLOOKUP(tables_358010!C21,input_358010!A:H,8,FALSE))</f>
        <v>20076</v>
      </c>
      <c r="P21" s="46">
        <f t="shared" ca="1" si="2"/>
        <v>3.3866396761133605E-3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input_358010!A$2</f>
        <v>358010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IFERROR(VLOOKUP(B22,input_358010!L:R,7,FALSE),VLOOKUP(tables_358010!C22,input_358010!A:H,8,FALSE))</f>
        <v>52884</v>
      </c>
      <c r="P22" s="46">
        <f t="shared" ca="1" si="2"/>
        <v>8.9210526315789476E-3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input_358010!A$2</f>
        <v>358010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IFERROR(VLOOKUP(B23,input_358010!L:R,7,FALSE),VLOOKUP(tables_358010!C23,input_358010!A:H,8,FALSE))</f>
        <v>20076</v>
      </c>
      <c r="P23" s="46">
        <f t="shared" ca="1" si="2"/>
        <v>3.3866396761133605E-3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input_358010!A$2</f>
        <v>358010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IFERROR(VLOOKUP(B24,input_358010!L:R,7,FALSE),VLOOKUP(tables_358010!C24,input_358010!A:H,8,FALSE))</f>
        <v>52884</v>
      </c>
      <c r="P24" s="46">
        <f t="shared" ca="1" si="2"/>
        <v>8.9210526315789476E-3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input_358010!A$2</f>
        <v>358010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IFERROR(VLOOKUP(B25,input_358010!L:R,7,FALSE),VLOOKUP(tables_358010!C25,input_358010!A:H,8,FALSE))</f>
        <v>20076</v>
      </c>
      <c r="P25" s="46">
        <f t="shared" ca="1" si="2"/>
        <v>3.3866396761133605E-3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input_358010!A$2</f>
        <v>358010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IFERROR(VLOOKUP(B26,input_358010!L:R,7,FALSE),VLOOKUP(tables_358010!C26,input_358010!A:H,8,FALSE))</f>
        <v>52884</v>
      </c>
      <c r="P26" s="46">
        <f t="shared" ca="1" si="2"/>
        <v>8.9210526315789476E-3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input_358010!A$2</f>
        <v>358010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IFERROR(VLOOKUP(B27,input_358010!L:R,7,FALSE),VLOOKUP(tables_358010!C27,input_358010!A:H,8,FALSE))</f>
        <v>20076</v>
      </c>
      <c r="P27" s="46">
        <f t="shared" ca="1" si="2"/>
        <v>3.3866396761133605E-3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input_358010!A$2</f>
        <v>358010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IFERROR(VLOOKUP(B28,input_358010!L:R,7,FALSE),VLOOKUP(tables_358010!C28,input_358010!A:H,8,FALSE))</f>
        <v>52884</v>
      </c>
      <c r="P28" s="46">
        <f t="shared" ca="1" si="2"/>
        <v>8.9210526315789476E-3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input_358010!A$2</f>
        <v>358010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IFERROR(VLOOKUP(B29,input_358010!L:R,7,FALSE),VLOOKUP(tables_358010!C29,input_358010!A:H,8,FALSE))</f>
        <v>20076</v>
      </c>
      <c r="P29" s="46">
        <f t="shared" ca="1" si="2"/>
        <v>3.3866396761133605E-3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input_358010!A$2</f>
        <v>358010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IFERROR(VLOOKUP(B30,input_358010!L:R,7,FALSE),VLOOKUP(tables_358010!C30,input_358010!A:H,8,FALSE))</f>
        <v>52884</v>
      </c>
      <c r="P30" s="46">
        <f t="shared" ca="1" si="2"/>
        <v>8.9210526315789476E-3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input_358010!A$2</f>
        <v>358010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IFERROR(VLOOKUP(B31,input_358010!L:R,7,FALSE),VLOOKUP(tables_358010!C31,input_358010!A:H,8,FALSE))</f>
        <v>20076</v>
      </c>
      <c r="P31" s="46">
        <f t="shared" ca="1" si="2"/>
        <v>3.3866396761133605E-3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input_358010!A$2</f>
        <v>358010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IFERROR(VLOOKUP(B32,input_358010!L:R,7,FALSE),VLOOKUP(tables_358010!C32,input_358010!A:H,8,FALSE))</f>
        <v>52884</v>
      </c>
      <c r="P32" s="46">
        <f t="shared" ca="1" si="2"/>
        <v>8.9210526315789476E-3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input_358010!A$2</f>
        <v>358010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IFERROR(VLOOKUP(B33,input_358010!L:R,7,FALSE),VLOOKUP(tables_358010!C33,input_358010!A:H,8,FALSE))</f>
        <v>20076</v>
      </c>
      <c r="P33" s="46">
        <f t="shared" ca="1" si="2"/>
        <v>3.3866396761133605E-3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input_358010!A$2</f>
        <v>358010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IFERROR(VLOOKUP(B34,input_358010!L:R,7,FALSE),VLOOKUP(tables_358010!C34,input_358010!A:H,8,FALSE))</f>
        <v>52884</v>
      </c>
      <c r="P34" s="46">
        <f t="shared" ca="1" si="2"/>
        <v>8.9210526315789476E-3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input_358010!A$2</f>
        <v>358010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IFERROR(VLOOKUP(B35,input_358010!L:R,7,FALSE),VLOOKUP(tables_358010!C35,input_358010!A:H,8,FALSE))</f>
        <v>20076</v>
      </c>
      <c r="P35" s="46">
        <f t="shared" ca="1" si="2"/>
        <v>3.3866396761133605E-3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input_358010!A$2</f>
        <v>358010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IFERROR(VLOOKUP(B36,input_358010!L:R,7,FALSE),VLOOKUP(tables_358010!C36,input_358010!A:H,8,FALSE))</f>
        <v>52884</v>
      </c>
      <c r="P36" s="46">
        <f t="shared" ca="1" si="2"/>
        <v>8.9210526315789476E-3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input_358010!A$2</f>
        <v>358010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IFERROR(VLOOKUP(B37,input_358010!L:R,7,FALSE),VLOOKUP(tables_358010!C37,input_358010!A:H,8,FALSE))</f>
        <v>20076</v>
      </c>
      <c r="P37" s="46">
        <f t="shared" ca="1" si="2"/>
        <v>3.3866396761133605E-3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input_358010!A$2</f>
        <v>358010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IFERROR(VLOOKUP(B38,input_358010!L:R,7,FALSE),VLOOKUP(tables_358010!C38,input_358010!A:H,8,FALSE))</f>
        <v>52884</v>
      </c>
      <c r="P38" s="46">
        <f t="shared" ca="1" si="2"/>
        <v>8.9210526315789476E-3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input_358010!A$2</f>
        <v>358010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IFERROR(VLOOKUP(B39,input_358010!L:R,7,FALSE),VLOOKUP(tables_358010!C39,input_358010!A:H,8,FALSE))</f>
        <v>20076</v>
      </c>
      <c r="P39" s="46">
        <f t="shared" ca="1" si="2"/>
        <v>3.3866396761133605E-3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input_358010!A$2</f>
        <v>358010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IFERROR(VLOOKUP(B40,input_358010!L:R,7,FALSE),VLOOKUP(tables_358010!C40,input_358010!A:H,8,FALSE))</f>
        <v>52884</v>
      </c>
      <c r="P40" s="46">
        <f t="shared" ca="1" si="2"/>
        <v>8.9210526315789476E-3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input_358010!A$2</f>
        <v>358010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IFERROR(VLOOKUP(B41,input_358010!L:R,7,FALSE),VLOOKUP(tables_358010!C41,input_358010!A:H,8,FALSE))</f>
        <v>20076</v>
      </c>
      <c r="P41" s="46">
        <f t="shared" ca="1" si="2"/>
        <v>3.3866396761133605E-3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input_358010!A$2</f>
        <v>358010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IFERROR(VLOOKUP(B42,input_358010!L:R,7,FALSE),VLOOKUP(tables_358010!C42,input_358010!A:H,8,FALSE))</f>
        <v>2340</v>
      </c>
      <c r="P42" s="46">
        <f t="shared" ca="1" si="2"/>
        <v>3.9473684210526315E-4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input_358010!A$2</f>
        <v>358010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IFERROR(VLOOKUP(B43,input_358010!L:R,7,FALSE),VLOOKUP(tables_358010!C43,input_358010!A:H,8,FALSE))</f>
        <v>2106</v>
      </c>
      <c r="P43" s="46">
        <f t="shared" ca="1" si="2"/>
        <v>3.5526315789473687E-4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input_358010!A$2</f>
        <v>358010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IFERROR(VLOOKUP(B44,input_358010!L:R,7,FALSE),VLOOKUP(tables_358010!C44,input_358010!A:H,8,FALSE))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input_358010!A$2</f>
        <v>358010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IFERROR(VLOOKUP(B45,input_358010!L:R,7,FALSE),VLOOKUP(tables_358010!C45,input_358010!A:H,8,FALSE))</f>
        <v>2340</v>
      </c>
      <c r="P45" s="46">
        <f t="shared" ca="1" si="2"/>
        <v>3.9473684210526315E-4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input_358010!A$2</f>
        <v>358010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IFERROR(VLOOKUP(B46,input_358010!L:R,7,FALSE),VLOOKUP(tables_358010!C46,input_358010!A:H,8,FALSE))</f>
        <v>2106</v>
      </c>
      <c r="P46" s="46">
        <f t="shared" ca="1" si="2"/>
        <v>3.5526315789473687E-4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input_358010!A$2</f>
        <v>358010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IFERROR(VLOOKUP(B47,input_358010!L:R,7,FALSE),VLOOKUP(tables_358010!C47,input_358010!A:H,8,FALSE))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input_358010!A$2</f>
        <v>358010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IFERROR(VLOOKUP(B48,input_358010!L:R,7,FALSE),VLOOKUP(tables_358010!C48,input_358010!A:H,8,FALSE))</f>
        <v>2340</v>
      </c>
      <c r="P48" s="46">
        <f t="shared" ca="1" si="2"/>
        <v>3.9473684210526315E-4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input_358010!A$2</f>
        <v>358010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IFERROR(VLOOKUP(B49,input_358010!L:R,7,FALSE),VLOOKUP(tables_358010!C49,input_358010!A:H,8,FALSE))</f>
        <v>2106</v>
      </c>
      <c r="P49" s="46">
        <f t="shared" ca="1" si="2"/>
        <v>3.5526315789473687E-4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input_358010!A$2</f>
        <v>358010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IFERROR(VLOOKUP(B50,input_358010!L:R,7,FALSE),VLOOKUP(tables_358010!C50,input_358010!A:H,8,FALSE))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input_358010!A$2</f>
        <v>358010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IFERROR(VLOOKUP(B51,input_358010!L:R,7,FALSE),VLOOKUP(tables_358010!C51,input_358010!A:H,8,FALSE))</f>
        <v>36480</v>
      </c>
      <c r="P51" s="46">
        <f t="shared" ca="1" si="2"/>
        <v>6.1538461538461538E-3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input_358010!A$2</f>
        <v>358010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IFERROR(VLOOKUP(B52,input_358010!L:R,7,FALSE),VLOOKUP(tables_358010!C52,input_358010!A:H,8,FALSE))</f>
        <v>32832</v>
      </c>
      <c r="P52" s="46">
        <f t="shared" ca="1" si="2"/>
        <v>5.5384615384615381E-3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input_358010!A$2</f>
        <v>358010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IFERROR(VLOOKUP(B53,input_358010!L:R,7,FALSE),VLOOKUP(tables_358010!C53,input_358010!A:H,8,FALSE))</f>
        <v>3648</v>
      </c>
      <c r="P53" s="46">
        <f t="shared" ca="1" si="2"/>
        <v>6.1538461538461541E-4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input_358010!A$2</f>
        <v>358010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IFERROR(VLOOKUP(B54,input_358010!L:R,7,FALSE),VLOOKUP(tables_358010!C54,input_358010!A:H,8,FALSE))</f>
        <v>36480</v>
      </c>
      <c r="P54" s="46">
        <f t="shared" ca="1" si="2"/>
        <v>6.1538461538461538E-3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input_358010!A$2</f>
        <v>358010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IFERROR(VLOOKUP(B55,input_358010!L:R,7,FALSE),VLOOKUP(tables_358010!C55,input_358010!A:H,8,FALSE))</f>
        <v>32832</v>
      </c>
      <c r="P55" s="46">
        <f t="shared" ca="1" si="2"/>
        <v>5.5384615384615381E-3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input_358010!A$2</f>
        <v>358010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IFERROR(VLOOKUP(B56,input_358010!L:R,7,FALSE),VLOOKUP(tables_358010!C56,input_358010!A:H,8,FALSE))</f>
        <v>3648</v>
      </c>
      <c r="P56" s="46">
        <f t="shared" ca="1" si="2"/>
        <v>6.1538461538461541E-4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input_358010!A$2</f>
        <v>358010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IFERROR(VLOOKUP(B57,input_358010!L:R,7,FALSE),VLOOKUP(tables_358010!C57,input_358010!A:H,8,FALSE))</f>
        <v>36480</v>
      </c>
      <c r="P57" s="46">
        <f t="shared" ca="1" si="2"/>
        <v>6.1538461538461538E-3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input_358010!A$2</f>
        <v>358010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IFERROR(VLOOKUP(B58,input_358010!L:R,7,FALSE),VLOOKUP(tables_358010!C58,input_358010!A:H,8,FALSE))</f>
        <v>32832</v>
      </c>
      <c r="P58" s="46">
        <f t="shared" ca="1" si="2"/>
        <v>5.5384615384615381E-3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input_358010!A$2</f>
        <v>358010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IFERROR(VLOOKUP(B59,input_358010!L:R,7,FALSE),VLOOKUP(tables_358010!C59,input_358010!A:H,8,FALSE))</f>
        <v>3648</v>
      </c>
      <c r="P59" s="46">
        <f t="shared" ca="1" si="2"/>
        <v>6.1538461538461541E-4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input_358010!A$2</f>
        <v>358010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IFERROR(VLOOKUP(B60,input_358010!L:R,7,FALSE),VLOOKUP(tables_358010!C60,input_358010!A:H,8,FALSE))</f>
        <v>36480</v>
      </c>
      <c r="P60" s="46">
        <f t="shared" ca="1" si="2"/>
        <v>6.1538461538461538E-3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input_358010!A$2</f>
        <v>358010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IFERROR(VLOOKUP(B61,input_358010!L:R,7,FALSE),VLOOKUP(tables_358010!C61,input_358010!A:H,8,FALSE))</f>
        <v>32832</v>
      </c>
      <c r="P61" s="46">
        <f t="shared" ca="1" si="2"/>
        <v>5.5384615384615381E-3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input_358010!A$2</f>
        <v>358010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IFERROR(VLOOKUP(B62,input_358010!L:R,7,FALSE),VLOOKUP(tables_358010!C62,input_358010!A:H,8,FALSE))</f>
        <v>3648</v>
      </c>
      <c r="P62" s="46">
        <f t="shared" ca="1" si="2"/>
        <v>6.1538461538461541E-4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input_358010!A$2</f>
        <v>358010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IFERROR(VLOOKUP(B63,input_358010!L:R,7,FALSE),VLOOKUP(tables_358010!C63,input_358010!A:H,8,FALSE))</f>
        <v>36480</v>
      </c>
      <c r="P63" s="46">
        <f t="shared" ca="1" si="2"/>
        <v>6.1538461538461538E-3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input_358010!A$2</f>
        <v>358010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IFERROR(VLOOKUP(B64,input_358010!L:R,7,FALSE),VLOOKUP(tables_358010!C64,input_358010!A:H,8,FALSE))</f>
        <v>32832</v>
      </c>
      <c r="P64" s="46">
        <f t="shared" ca="1" si="2"/>
        <v>5.5384615384615381E-3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input_358010!A$2</f>
        <v>358010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IFERROR(VLOOKUP(B65,input_358010!L:R,7,FALSE),VLOOKUP(tables_358010!C65,input_358010!A:H,8,FALSE))</f>
        <v>3648</v>
      </c>
      <c r="P65" s="46">
        <f t="shared" ca="1" si="2"/>
        <v>6.1538461538461541E-4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input_358010!A$2</f>
        <v>358010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IFERROR(VLOOKUP(B66,input_358010!L:R,7,FALSE),VLOOKUP(tables_358010!C66,input_358010!A:H,8,FALSE))</f>
        <v>36480</v>
      </c>
      <c r="P66" s="46">
        <f t="shared" ca="1" si="2"/>
        <v>6.1538461538461538E-3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input_358010!A$2</f>
        <v>358010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IFERROR(VLOOKUP(B67,input_358010!L:R,7,FALSE),VLOOKUP(tables_358010!C67,input_358010!A:H,8,FALSE))</f>
        <v>32832</v>
      </c>
      <c r="P67" s="46">
        <f t="shared" ca="1" si="2"/>
        <v>5.5384615384615381E-3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input_358010!A$2</f>
        <v>358010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IFERROR(VLOOKUP(B68,input_358010!L:R,7,FALSE),VLOOKUP(tables_358010!C68,input_358010!A:H,8,FALSE))</f>
        <v>3648</v>
      </c>
      <c r="P68" s="46">
        <f t="shared" ca="1" si="2"/>
        <v>6.1538461538461541E-4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input_358010!A$2</f>
        <v>358010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IFERROR(VLOOKUP(B69,input_358010!L:R,7,FALSE),VLOOKUP(tables_358010!C69,input_358010!A:H,8,FALSE))</f>
        <v>36480</v>
      </c>
      <c r="P69" s="46">
        <f t="shared" ca="1" si="2"/>
        <v>6.1538461538461538E-3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input_358010!A$2</f>
        <v>358010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IFERROR(VLOOKUP(B70,input_358010!L:R,7,FALSE),VLOOKUP(tables_358010!C70,input_358010!A:H,8,FALSE))</f>
        <v>32832</v>
      </c>
      <c r="P70" s="46">
        <f t="shared" ca="1" si="2"/>
        <v>5.5384615384615381E-3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input_358010!A$2</f>
        <v>358010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IFERROR(VLOOKUP(B71,input_358010!L:R,7,FALSE),VLOOKUP(tables_358010!C71,input_358010!A:H,8,FALSE))</f>
        <v>3648</v>
      </c>
      <c r="P71" s="46">
        <f t="shared" ca="1" si="2"/>
        <v>6.1538461538461541E-4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input_358010!A$2</f>
        <v>358010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IFERROR(VLOOKUP(B72,input_358010!L:R,7,FALSE),VLOOKUP(tables_358010!C72,input_358010!A:H,8,FALSE))</f>
        <v>36480</v>
      </c>
      <c r="P72" s="46">
        <f t="shared" ca="1" si="2"/>
        <v>6.1538461538461538E-3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input_358010!A$2</f>
        <v>358010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IFERROR(VLOOKUP(B73,input_358010!L:R,7,FALSE),VLOOKUP(tables_358010!C73,input_358010!A:H,8,FALSE))</f>
        <v>32832</v>
      </c>
      <c r="P73" s="46">
        <f t="shared" ca="1" si="2"/>
        <v>5.5384615384615381E-3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input_358010!A$2</f>
        <v>358010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IFERROR(VLOOKUP(B74,input_358010!L:R,7,FALSE),VLOOKUP(tables_358010!C74,input_358010!A:H,8,FALSE))</f>
        <v>3648</v>
      </c>
      <c r="P74" s="46">
        <f t="shared" ca="1" si="2"/>
        <v>6.1538461538461541E-4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input_358010!A$2</f>
        <v>358010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IFERROR(VLOOKUP(B75,input_358010!L:R,7,FALSE),VLOOKUP(tables_358010!C75,input_358010!A:H,8,FALSE))</f>
        <v>36480</v>
      </c>
      <c r="P75" s="46">
        <f t="shared" ca="1" si="2"/>
        <v>6.1538461538461538E-3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input_358010!A$2</f>
        <v>358010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IFERROR(VLOOKUP(B76,input_358010!L:R,7,FALSE),VLOOKUP(tables_358010!C76,input_358010!A:H,8,FALSE))</f>
        <v>32832</v>
      </c>
      <c r="P76" s="46">
        <f t="shared" ca="1" si="2"/>
        <v>5.5384615384615381E-3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input_358010!A$2</f>
        <v>358010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IFERROR(VLOOKUP(B77,input_358010!L:R,7,FALSE),VLOOKUP(tables_358010!C77,input_358010!A:H,8,FALSE))</f>
        <v>3648</v>
      </c>
      <c r="P77" s="46">
        <f t="shared" ca="1" si="2"/>
        <v>6.1538461538461541E-4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input_358010!A$2</f>
        <v>358010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IFERROR(VLOOKUP(B78,input_358010!L:R,7,FALSE),VLOOKUP(tables_358010!C78,input_358010!A:H,8,FALSE))</f>
        <v>36480</v>
      </c>
      <c r="P78" s="46">
        <f t="shared" ca="1" si="2"/>
        <v>6.1538461538461538E-3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input_358010!A$2</f>
        <v>358010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IFERROR(VLOOKUP(B79,input_358010!L:R,7,FALSE),VLOOKUP(tables_358010!C79,input_358010!A:H,8,FALSE))</f>
        <v>32832</v>
      </c>
      <c r="P79" s="46">
        <f t="shared" ref="P79:P142" ca="1" si="5">O79/SUM(O:O)</f>
        <v>5.5384615384615381E-3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input_358010!A$2</f>
        <v>358010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IFERROR(VLOOKUP(B80,input_358010!L:R,7,FALSE),VLOOKUP(tables_358010!C80,input_358010!A:H,8,FALSE))</f>
        <v>3648</v>
      </c>
      <c r="P80" s="46">
        <f t="shared" ca="1" si="5"/>
        <v>6.1538461538461541E-4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input_358010!A$2</f>
        <v>358010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IFERROR(VLOOKUP(B81,input_358010!L:R,7,FALSE),VLOOKUP(tables_358010!C81,input_358010!A:H,8,FALSE))</f>
        <v>36480</v>
      </c>
      <c r="P81" s="46">
        <f t="shared" ca="1" si="5"/>
        <v>6.1538461538461538E-3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input_358010!A$2</f>
        <v>358010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IFERROR(VLOOKUP(B82,input_358010!L:R,7,FALSE),VLOOKUP(tables_358010!C82,input_358010!A:H,8,FALSE))</f>
        <v>32832</v>
      </c>
      <c r="P82" s="46">
        <f t="shared" ca="1" si="5"/>
        <v>5.5384615384615381E-3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input_358010!A$2</f>
        <v>358010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IFERROR(VLOOKUP(B83,input_358010!L:R,7,FALSE),VLOOKUP(tables_358010!C83,input_358010!A:H,8,FALSE))</f>
        <v>3648</v>
      </c>
      <c r="P83" s="46">
        <f t="shared" ca="1" si="5"/>
        <v>6.1538461538461541E-4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input_358010!A$2</f>
        <v>358010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IFERROR(VLOOKUP(B84,input_358010!L:R,7,FALSE),VLOOKUP(tables_358010!C84,input_358010!A:H,8,FALSE))</f>
        <v>36480</v>
      </c>
      <c r="P84" s="46">
        <f t="shared" ca="1" si="5"/>
        <v>6.1538461538461538E-3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input_358010!A$2</f>
        <v>358010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IFERROR(VLOOKUP(B85,input_358010!L:R,7,FALSE),VLOOKUP(tables_358010!C85,input_358010!A:H,8,FALSE))</f>
        <v>32832</v>
      </c>
      <c r="P85" s="46">
        <f t="shared" ca="1" si="5"/>
        <v>5.5384615384615381E-3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input_358010!A$2</f>
        <v>358010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IFERROR(VLOOKUP(B86,input_358010!L:R,7,FALSE),VLOOKUP(tables_358010!C86,input_358010!A:H,8,FALSE))</f>
        <v>3648</v>
      </c>
      <c r="P86" s="46">
        <f t="shared" ca="1" si="5"/>
        <v>6.1538461538461541E-4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input_358010!A$2</f>
        <v>358010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IFERROR(VLOOKUP(B87,input_358010!L:R,7,FALSE),VLOOKUP(tables_358010!C87,input_358010!A:H,8,FALSE))</f>
        <v>36480</v>
      </c>
      <c r="P87" s="46">
        <f t="shared" ca="1" si="5"/>
        <v>6.1538461538461538E-3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input_358010!A$2</f>
        <v>358010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IFERROR(VLOOKUP(B88,input_358010!L:R,7,FALSE),VLOOKUP(tables_358010!C88,input_358010!A:H,8,FALSE))</f>
        <v>32832</v>
      </c>
      <c r="P88" s="46">
        <f t="shared" ca="1" si="5"/>
        <v>5.5384615384615381E-3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input_358010!A$2</f>
        <v>358010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IFERROR(VLOOKUP(B89,input_358010!L:R,7,FALSE),VLOOKUP(tables_358010!C89,input_358010!A:H,8,FALSE))</f>
        <v>3648</v>
      </c>
      <c r="P89" s="46">
        <f t="shared" ca="1" si="5"/>
        <v>6.1538461538461541E-4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input_358010!A$2</f>
        <v>358010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IFERROR(VLOOKUP(B90,input_358010!L:R,7,FALSE),VLOOKUP(tables_358010!C90,input_358010!A:H,8,FALSE))</f>
        <v>36480</v>
      </c>
      <c r="P90" s="46">
        <f t="shared" ca="1" si="5"/>
        <v>6.1538461538461538E-3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input_358010!A$2</f>
        <v>358010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IFERROR(VLOOKUP(B91,input_358010!L:R,7,FALSE),VLOOKUP(tables_358010!C91,input_358010!A:H,8,FALSE))</f>
        <v>32832</v>
      </c>
      <c r="P91" s="46">
        <f t="shared" ca="1" si="5"/>
        <v>5.5384615384615381E-3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input_358010!A$2</f>
        <v>358010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IFERROR(VLOOKUP(B92,input_358010!L:R,7,FALSE),VLOOKUP(tables_358010!C92,input_358010!A:H,8,FALSE))</f>
        <v>3648</v>
      </c>
      <c r="P92" s="46">
        <f t="shared" ca="1" si="5"/>
        <v>6.1538461538461541E-4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input_358010!A$2</f>
        <v>358010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IFERROR(VLOOKUP(B93,input_358010!L:R,7,FALSE),VLOOKUP(tables_358010!C93,input_358010!A:H,8,FALSE))</f>
        <v>36480</v>
      </c>
      <c r="P93" s="46">
        <f t="shared" ca="1" si="5"/>
        <v>6.1538461538461538E-3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input_358010!A$2</f>
        <v>358010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IFERROR(VLOOKUP(B94,input_358010!L:R,7,FALSE),VLOOKUP(tables_358010!C94,input_358010!A:H,8,FALSE))</f>
        <v>32832</v>
      </c>
      <c r="P94" s="46">
        <f t="shared" ca="1" si="5"/>
        <v>5.5384615384615381E-3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input_358010!A$2</f>
        <v>358010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IFERROR(VLOOKUP(B95,input_358010!L:R,7,FALSE),VLOOKUP(tables_358010!C95,input_358010!A:H,8,FALSE))</f>
        <v>3648</v>
      </c>
      <c r="P95" s="46">
        <f t="shared" ca="1" si="5"/>
        <v>6.1538461538461541E-4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input_358010!A$2</f>
        <v>358010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IFERROR(VLOOKUP(B96,input_358010!L:R,7,FALSE),VLOOKUP(tables_358010!C96,input_358010!A:H,8,FALSE))</f>
        <v>36480</v>
      </c>
      <c r="P96" s="46">
        <f t="shared" ca="1" si="5"/>
        <v>6.1538461538461538E-3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input_358010!A$2</f>
        <v>358010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IFERROR(VLOOKUP(B97,input_358010!L:R,7,FALSE),VLOOKUP(tables_358010!C97,input_358010!A:H,8,FALSE))</f>
        <v>32832</v>
      </c>
      <c r="P97" s="46">
        <f t="shared" ca="1" si="5"/>
        <v>5.5384615384615381E-3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input_358010!A$2</f>
        <v>358010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IFERROR(VLOOKUP(B98,input_358010!L:R,7,FALSE),VLOOKUP(tables_358010!C98,input_358010!A:H,8,FALSE))</f>
        <v>3648</v>
      </c>
      <c r="P98" s="46">
        <f t="shared" ca="1" si="5"/>
        <v>6.1538461538461541E-4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input_358010!A$2</f>
        <v>358010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IFERROR(VLOOKUP(B99,input_358010!L:R,7,FALSE),VLOOKUP(tables_358010!C99,input_358010!A:H,8,FALSE))</f>
        <v>36480</v>
      </c>
      <c r="P99" s="46">
        <f t="shared" ca="1" si="5"/>
        <v>6.1538461538461538E-3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input_358010!A$2</f>
        <v>358010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IFERROR(VLOOKUP(B100,input_358010!L:R,7,FALSE),VLOOKUP(tables_358010!C100,input_358010!A:H,8,FALSE))</f>
        <v>32832</v>
      </c>
      <c r="P100" s="46">
        <f t="shared" ca="1" si="5"/>
        <v>5.5384615384615381E-3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input_358010!A$2</f>
        <v>358010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IFERROR(VLOOKUP(B101,input_358010!L:R,7,FALSE),VLOOKUP(tables_358010!C101,input_358010!A:H,8,FALSE))</f>
        <v>3648</v>
      </c>
      <c r="P101" s="46">
        <f t="shared" ca="1" si="5"/>
        <v>6.1538461538461541E-4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input_358010!A$2</f>
        <v>358010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IFERROR(VLOOKUP(B102,input_358010!L:R,7,FALSE),VLOOKUP(tables_358010!C102,input_358010!A:H,8,FALSE))</f>
        <v>36480</v>
      </c>
      <c r="P102" s="46">
        <f t="shared" ca="1" si="5"/>
        <v>6.1538461538461538E-3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input_358010!A$2</f>
        <v>358010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IFERROR(VLOOKUP(B103,input_358010!L:R,7,FALSE),VLOOKUP(tables_358010!C103,input_358010!A:H,8,FALSE))</f>
        <v>32832</v>
      </c>
      <c r="P103" s="46">
        <f t="shared" ca="1" si="5"/>
        <v>5.5384615384615381E-3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input_358010!A$2</f>
        <v>358010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IFERROR(VLOOKUP(B104,input_358010!L:R,7,FALSE),VLOOKUP(tables_358010!C104,input_358010!A:H,8,FALSE))</f>
        <v>3648</v>
      </c>
      <c r="P104" s="46">
        <f t="shared" ca="1" si="5"/>
        <v>6.1538461538461541E-4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input_358010!A$2</f>
        <v>358010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IFERROR(VLOOKUP(B105,input_358010!L:R,7,FALSE),VLOOKUP(tables_358010!C105,input_358010!A:H,8,FALSE))</f>
        <v>36480</v>
      </c>
      <c r="P105" s="46">
        <f t="shared" ca="1" si="5"/>
        <v>6.1538461538461538E-3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input_358010!A$2</f>
        <v>358010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IFERROR(VLOOKUP(B106,input_358010!L:R,7,FALSE),VLOOKUP(tables_358010!C106,input_358010!A:H,8,FALSE))</f>
        <v>32832</v>
      </c>
      <c r="P106" s="46">
        <f t="shared" ca="1" si="5"/>
        <v>5.5384615384615381E-3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input_358010!A$2</f>
        <v>358010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IFERROR(VLOOKUP(B107,input_358010!L:R,7,FALSE),VLOOKUP(tables_358010!C107,input_358010!A:H,8,FALSE))</f>
        <v>3648</v>
      </c>
      <c r="P107" s="46">
        <f t="shared" ca="1" si="5"/>
        <v>6.1538461538461541E-4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input_358010!A$2</f>
        <v>358010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IFERROR(VLOOKUP(B108,input_358010!L:R,7,FALSE),VLOOKUP(tables_358010!C108,input_358010!A:H,8,FALSE))</f>
        <v>36480</v>
      </c>
      <c r="P108" s="46">
        <f t="shared" ca="1" si="5"/>
        <v>6.1538461538461538E-3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input_358010!A$2</f>
        <v>358010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IFERROR(VLOOKUP(B109,input_358010!L:R,7,FALSE),VLOOKUP(tables_358010!C109,input_358010!A:H,8,FALSE))</f>
        <v>32832</v>
      </c>
      <c r="P109" s="46">
        <f t="shared" ca="1" si="5"/>
        <v>5.5384615384615381E-3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input_358010!A$2</f>
        <v>358010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IFERROR(VLOOKUP(B110,input_358010!L:R,7,FALSE),VLOOKUP(tables_358010!C110,input_358010!A:H,8,FALSE))</f>
        <v>3648</v>
      </c>
      <c r="P110" s="46">
        <f t="shared" ca="1" si="5"/>
        <v>6.1538461538461541E-4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input_358010!A$2</f>
        <v>358010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IFERROR(VLOOKUP(B111,input_358010!L:R,7,FALSE),VLOOKUP(tables_358010!C111,input_358010!A:H,8,FALSE))</f>
        <v>2340</v>
      </c>
      <c r="P111" s="46">
        <f t="shared" ca="1" si="5"/>
        <v>3.9473684210526315E-4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input_358010!A$2</f>
        <v>358010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IFERROR(VLOOKUP(B112,input_358010!L:R,7,FALSE),VLOOKUP(tables_358010!C112,input_358010!A:H,8,FALSE))</f>
        <v>2106</v>
      </c>
      <c r="P112" s="46">
        <f t="shared" ca="1" si="5"/>
        <v>3.5526315789473687E-4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input_358010!A$2</f>
        <v>358010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IFERROR(VLOOKUP(B113,input_358010!L:R,7,FALSE),VLOOKUP(tables_358010!C113,input_358010!A:H,8,FALSE))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input_358010!A$2</f>
        <v>358010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IFERROR(VLOOKUP(B114,input_358010!L:R,7,FALSE),VLOOKUP(tables_358010!C114,input_358010!A:H,8,FALSE))</f>
        <v>36480</v>
      </c>
      <c r="P114" s="46">
        <f t="shared" ca="1" si="5"/>
        <v>6.1538461538461538E-3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input_358010!A$2</f>
        <v>358010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IFERROR(VLOOKUP(B115,input_358010!L:R,7,FALSE),VLOOKUP(tables_358010!C115,input_358010!A:H,8,FALSE))</f>
        <v>32832</v>
      </c>
      <c r="P115" s="46">
        <f t="shared" ca="1" si="5"/>
        <v>5.5384615384615381E-3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input_358010!A$2</f>
        <v>358010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IFERROR(VLOOKUP(B116,input_358010!L:R,7,FALSE),VLOOKUP(tables_358010!C116,input_358010!A:H,8,FALSE))</f>
        <v>3648</v>
      </c>
      <c r="P116" s="46">
        <f t="shared" ca="1" si="5"/>
        <v>6.1538461538461541E-4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input_358010!A$2</f>
        <v>358010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IFERROR(VLOOKUP(B117,input_358010!L:R,7,FALSE),VLOOKUP(tables_358010!C117,input_358010!A:H,8,FALSE))</f>
        <v>36480</v>
      </c>
      <c r="P117" s="46">
        <f t="shared" ca="1" si="5"/>
        <v>6.1538461538461538E-3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input_358010!A$2</f>
        <v>358010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IFERROR(VLOOKUP(B118,input_358010!L:R,7,FALSE),VLOOKUP(tables_358010!C118,input_358010!A:H,8,FALSE))</f>
        <v>32832</v>
      </c>
      <c r="P118" s="46">
        <f t="shared" ca="1" si="5"/>
        <v>5.5384615384615381E-3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input_358010!A$2</f>
        <v>358010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IFERROR(VLOOKUP(B119,input_358010!L:R,7,FALSE),VLOOKUP(tables_358010!C119,input_358010!A:H,8,FALSE))</f>
        <v>3648</v>
      </c>
      <c r="P119" s="46">
        <f t="shared" ca="1" si="5"/>
        <v>6.1538461538461541E-4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input_358010!A$2</f>
        <v>358010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IFERROR(VLOOKUP(B120,input_358010!L:R,7,FALSE),VLOOKUP(tables_358010!C120,input_358010!A:H,8,FALSE))</f>
        <v>36480</v>
      </c>
      <c r="P120" s="46">
        <f t="shared" ca="1" si="5"/>
        <v>6.1538461538461538E-3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input_358010!A$2</f>
        <v>358010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IFERROR(VLOOKUP(B121,input_358010!L:R,7,FALSE),VLOOKUP(tables_358010!C121,input_358010!A:H,8,FALSE))</f>
        <v>32832</v>
      </c>
      <c r="P121" s="46">
        <f t="shared" ca="1" si="5"/>
        <v>5.5384615384615381E-3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input_358010!A$2</f>
        <v>358010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IFERROR(VLOOKUP(B122,input_358010!L:R,7,FALSE),VLOOKUP(tables_358010!C122,input_358010!A:H,8,FALSE))</f>
        <v>3648</v>
      </c>
      <c r="P122" s="46">
        <f t="shared" ca="1" si="5"/>
        <v>6.1538461538461541E-4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input_358010!A$2</f>
        <v>358010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IFERROR(VLOOKUP(B123,input_358010!L:R,7,FALSE),VLOOKUP(tables_358010!C123,input_358010!A:H,8,FALSE))</f>
        <v>36480</v>
      </c>
      <c r="P123" s="46">
        <f t="shared" ca="1" si="5"/>
        <v>6.1538461538461538E-3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input_358010!A$2</f>
        <v>358010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IFERROR(VLOOKUP(B124,input_358010!L:R,7,FALSE),VLOOKUP(tables_358010!C124,input_358010!A:H,8,FALSE))</f>
        <v>32832</v>
      </c>
      <c r="P124" s="46">
        <f t="shared" ca="1" si="5"/>
        <v>5.5384615384615381E-3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input_358010!A$2</f>
        <v>358010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IFERROR(VLOOKUP(B125,input_358010!L:R,7,FALSE),VLOOKUP(tables_358010!C125,input_358010!A:H,8,FALSE))</f>
        <v>3648</v>
      </c>
      <c r="P125" s="46">
        <f t="shared" ca="1" si="5"/>
        <v>6.1538461538461541E-4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input_358010!A$2</f>
        <v>358010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IFERROR(VLOOKUP(B126,input_358010!L:R,7,FALSE),VLOOKUP(tables_358010!C126,input_358010!A:H,8,FALSE))</f>
        <v>36480</v>
      </c>
      <c r="P126" s="46">
        <f t="shared" ca="1" si="5"/>
        <v>6.1538461538461538E-3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input_358010!A$2</f>
        <v>358010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IFERROR(VLOOKUP(B127,input_358010!L:R,7,FALSE),VLOOKUP(tables_358010!C127,input_358010!A:H,8,FALSE))</f>
        <v>32832</v>
      </c>
      <c r="P127" s="46">
        <f t="shared" ca="1" si="5"/>
        <v>5.5384615384615381E-3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input_358010!A$2</f>
        <v>358010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IFERROR(VLOOKUP(B128,input_358010!L:R,7,FALSE),VLOOKUP(tables_358010!C128,input_358010!A:H,8,FALSE))</f>
        <v>3648</v>
      </c>
      <c r="P128" s="46">
        <f t="shared" ca="1" si="5"/>
        <v>6.1538461538461541E-4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input_358010!A$2</f>
        <v>358010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IFERROR(VLOOKUP(B129,input_358010!L:R,7,FALSE),VLOOKUP(tables_358010!C129,input_358010!A:H,8,FALSE))</f>
        <v>36480</v>
      </c>
      <c r="P129" s="46">
        <f t="shared" ca="1" si="5"/>
        <v>6.1538461538461538E-3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input_358010!A$2</f>
        <v>358010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IFERROR(VLOOKUP(B130,input_358010!L:R,7,FALSE),VLOOKUP(tables_358010!C130,input_358010!A:H,8,FALSE))</f>
        <v>32832</v>
      </c>
      <c r="P130" s="46">
        <f t="shared" ca="1" si="5"/>
        <v>5.5384615384615381E-3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input_358010!A$2</f>
        <v>358010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IFERROR(VLOOKUP(B131,input_358010!L:R,7,FALSE),VLOOKUP(tables_358010!C131,input_358010!A:H,8,FALSE))</f>
        <v>3648</v>
      </c>
      <c r="P131" s="46">
        <f t="shared" ca="1" si="5"/>
        <v>6.1538461538461541E-4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input_358010!A$2</f>
        <v>358010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IFERROR(VLOOKUP(B132,input_358010!L:R,7,FALSE),VLOOKUP(tables_358010!C132,input_358010!A:H,8,FALSE))</f>
        <v>36480</v>
      </c>
      <c r="P132" s="46">
        <f t="shared" ca="1" si="5"/>
        <v>6.1538461538461538E-3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input_358010!A$2</f>
        <v>358010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IFERROR(VLOOKUP(B133,input_358010!L:R,7,FALSE),VLOOKUP(tables_358010!C133,input_358010!A:H,8,FALSE))</f>
        <v>32832</v>
      </c>
      <c r="P133" s="46">
        <f t="shared" ca="1" si="5"/>
        <v>5.5384615384615381E-3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input_358010!A$2</f>
        <v>358010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IFERROR(VLOOKUP(B134,input_358010!L:R,7,FALSE),VLOOKUP(tables_358010!C134,input_358010!A:H,8,FALSE))</f>
        <v>3648</v>
      </c>
      <c r="P134" s="46">
        <f t="shared" ca="1" si="5"/>
        <v>6.1538461538461541E-4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input_358010!A$2</f>
        <v>358010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IFERROR(VLOOKUP(B135,input_358010!L:R,7,FALSE),VLOOKUP(tables_358010!C135,input_358010!A:H,8,FALSE))</f>
        <v>36480</v>
      </c>
      <c r="P135" s="46">
        <f t="shared" ca="1" si="5"/>
        <v>6.1538461538461538E-3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input_358010!A$2</f>
        <v>358010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IFERROR(VLOOKUP(B136,input_358010!L:R,7,FALSE),VLOOKUP(tables_358010!C136,input_358010!A:H,8,FALSE))</f>
        <v>32832</v>
      </c>
      <c r="P136" s="46">
        <f t="shared" ca="1" si="5"/>
        <v>5.5384615384615381E-3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input_358010!A$2</f>
        <v>358010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IFERROR(VLOOKUP(B137,input_358010!L:R,7,FALSE),VLOOKUP(tables_358010!C137,input_358010!A:H,8,FALSE))</f>
        <v>3648</v>
      </c>
      <c r="P137" s="46">
        <f t="shared" ca="1" si="5"/>
        <v>6.1538461538461541E-4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input_358010!A$2</f>
        <v>358010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IFERROR(VLOOKUP(B138,input_358010!L:R,7,FALSE),VLOOKUP(tables_358010!C138,input_358010!A:H,8,FALSE))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input_358010!A$2</f>
        <v>358010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IFERROR(VLOOKUP(B139,input_358010!L:R,7,FALSE),VLOOKUP(tables_358010!C139,input_358010!A:H,8,FALSE))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input_358010!A$2</f>
        <v>358010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IFERROR(VLOOKUP(B140,input_358010!L:R,7,FALSE),VLOOKUP(tables_358010!C140,input_358010!A:H,8,FALSE))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input_358010!A$2</f>
        <v>358010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IFERROR(VLOOKUP(B141,input_358010!L:R,7,FALSE),VLOOKUP(tables_358010!C141,input_358010!A:H,8,FALSE))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input_358010!A$2</f>
        <v>358010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IFERROR(VLOOKUP(B142,input_358010!L:R,7,FALSE),VLOOKUP(tables_358010!C142,input_358010!A:H,8,FALSE))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input_358010!A$2</f>
        <v>358010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IFERROR(VLOOKUP(B143,input_358010!L:R,7,FALSE),VLOOKUP(tables_358010!C143,input_358010!A:H,8,FALSE))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input_358010!A$2</f>
        <v>358010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IFERROR(VLOOKUP(B144,input_358010!L:R,7,FALSE),VLOOKUP(tables_358010!C144,input_358010!A:H,8,FALSE))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input_358010!A$2</f>
        <v>358010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IFERROR(VLOOKUP(B145,input_358010!L:R,7,FALSE),VLOOKUP(tables_358010!C145,input_358010!A:H,8,FALSE))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input_358010!A$2</f>
        <v>358010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IFERROR(VLOOKUP(B146,input_358010!L:R,7,FALSE),VLOOKUP(tables_358010!C146,input_358010!A:H,8,FALSE))</f>
        <v>36480</v>
      </c>
      <c r="P146" s="46">
        <f t="shared" ca="1" si="8"/>
        <v>6.1538461538461538E-3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input_358010!A$2</f>
        <v>358010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IFERROR(VLOOKUP(B147,input_358010!L:R,7,FALSE),VLOOKUP(tables_358010!C147,input_358010!A:H,8,FALSE))</f>
        <v>32832</v>
      </c>
      <c r="P147" s="46">
        <f t="shared" ca="1" si="8"/>
        <v>5.5384615384615381E-3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input_358010!A$2</f>
        <v>358010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IFERROR(VLOOKUP(B148,input_358010!L:R,7,FALSE),VLOOKUP(tables_358010!C148,input_358010!A:H,8,FALSE))</f>
        <v>3648</v>
      </c>
      <c r="P148" s="46">
        <f t="shared" ca="1" si="8"/>
        <v>6.1538461538461541E-4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input_358010!A$2</f>
        <v>358010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IFERROR(VLOOKUP(B149,input_358010!L:R,7,FALSE),VLOOKUP(tables_358010!C149,input_358010!A:H,8,FALSE))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input_358010!A$2</f>
        <v>358010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IFERROR(VLOOKUP(B150,input_358010!L:R,7,FALSE),VLOOKUP(tables_358010!C150,input_358010!A:H,8,FALSE))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input_358010!A$2</f>
        <v>358010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IFERROR(VLOOKUP(B151,input_358010!L:R,7,FALSE),VLOOKUP(tables_358010!C151,input_358010!A:H,8,FALSE))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input_358010!A$2</f>
        <v>358010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IFERROR(VLOOKUP(B152,input_358010!L:R,7,FALSE),VLOOKUP(tables_358010!C152,input_358010!A:H,8,FALSE))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input_358010!A$2</f>
        <v>358010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IFERROR(VLOOKUP(B153,input_358010!L:R,7,FALSE),VLOOKUP(tables_358010!C153,input_358010!A:H,8,FALSE))</f>
        <v>36480</v>
      </c>
      <c r="P153" s="46">
        <f t="shared" ca="1" si="8"/>
        <v>6.1538461538461538E-3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input_358010!A$2</f>
        <v>358010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IFERROR(VLOOKUP(B154,input_358010!L:R,7,FALSE),VLOOKUP(tables_358010!C154,input_358010!A:H,8,FALSE))</f>
        <v>32832</v>
      </c>
      <c r="P154" s="46">
        <f t="shared" ca="1" si="8"/>
        <v>5.5384615384615381E-3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input_358010!A$2</f>
        <v>358010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IFERROR(VLOOKUP(B155,input_358010!L:R,7,FALSE),VLOOKUP(tables_358010!C155,input_358010!A:H,8,FALSE))</f>
        <v>3648</v>
      </c>
      <c r="P155" s="46">
        <f t="shared" ca="1" si="8"/>
        <v>6.1538461538461541E-4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input_358010!A$2</f>
        <v>358010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IFERROR(VLOOKUP(B156,input_358010!L:R,7,FALSE),VLOOKUP(tables_358010!C156,input_358010!A:H,8,FALSE))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input_358010!A$2</f>
        <v>358010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IFERROR(VLOOKUP(B157,input_358010!L:R,7,FALSE),VLOOKUP(tables_358010!C157,input_358010!A:H,8,FALSE))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input_358010!A$2</f>
        <v>358010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IFERROR(VLOOKUP(B158,input_358010!L:R,7,FALSE),VLOOKUP(tables_358010!C158,input_358010!A:H,8,FALSE))</f>
        <v>36480</v>
      </c>
      <c r="P158" s="46">
        <f t="shared" ca="1" si="8"/>
        <v>6.1538461538461538E-3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input_358010!A$2</f>
        <v>358010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IFERROR(VLOOKUP(B159,input_358010!L:R,7,FALSE),VLOOKUP(tables_358010!C159,input_358010!A:H,8,FALSE))</f>
        <v>32832</v>
      </c>
      <c r="P159" s="46">
        <f t="shared" ca="1" si="8"/>
        <v>5.5384615384615381E-3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input_358010!A$2</f>
        <v>358010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IFERROR(VLOOKUP(B160,input_358010!L:R,7,FALSE),VLOOKUP(tables_358010!C160,input_358010!A:H,8,FALSE))</f>
        <v>3648</v>
      </c>
      <c r="P160" s="46">
        <f t="shared" ca="1" si="8"/>
        <v>6.1538461538461541E-4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input_358010!A$2</f>
        <v>358010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IFERROR(VLOOKUP(B161,input_358010!L:R,7,FALSE),VLOOKUP(tables_358010!C161,input_358010!A:H,8,FALSE))</f>
        <v>36480</v>
      </c>
      <c r="P161" s="46">
        <f t="shared" ca="1" si="8"/>
        <v>6.1538461538461538E-3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input_358010!A$2</f>
        <v>358010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IFERROR(VLOOKUP(B162,input_358010!L:R,7,FALSE),VLOOKUP(tables_358010!C162,input_358010!A:H,8,FALSE))</f>
        <v>32832</v>
      </c>
      <c r="P162" s="46">
        <f t="shared" ca="1" si="8"/>
        <v>5.5384615384615381E-3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input_358010!A$2</f>
        <v>358010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IFERROR(VLOOKUP(B163,input_358010!L:R,7,FALSE),VLOOKUP(tables_358010!C163,input_358010!A:H,8,FALSE))</f>
        <v>3648</v>
      </c>
      <c r="P163" s="46">
        <f t="shared" ca="1" si="8"/>
        <v>6.1538461538461541E-4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input_358010!A$2</f>
        <v>358010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IFERROR(VLOOKUP(B164,input_358010!L:R,7,FALSE),VLOOKUP(tables_358010!C164,input_358010!A:H,8,FALSE))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input_358010!A$2</f>
        <v>358010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IFERROR(VLOOKUP(B165,input_358010!L:R,7,FALSE),VLOOKUP(tables_358010!C165,input_358010!A:H,8,FALSE))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input_358010!A$2</f>
        <v>358010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IFERROR(VLOOKUP(B166,input_358010!L:R,7,FALSE),VLOOKUP(tables_358010!C166,input_358010!A:H,8,FALSE))</f>
        <v>36480</v>
      </c>
      <c r="P166" s="46">
        <f t="shared" ca="1" si="8"/>
        <v>6.1538461538461538E-3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input_358010!A$2</f>
        <v>358010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IFERROR(VLOOKUP(B167,input_358010!L:R,7,FALSE),VLOOKUP(tables_358010!C167,input_358010!A:H,8,FALSE))</f>
        <v>32832</v>
      </c>
      <c r="P167" s="46">
        <f t="shared" ca="1" si="8"/>
        <v>5.5384615384615381E-3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input_358010!A$2</f>
        <v>358010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IFERROR(VLOOKUP(B168,input_358010!L:R,7,FALSE),VLOOKUP(tables_358010!C168,input_358010!A:H,8,FALSE))</f>
        <v>3648</v>
      </c>
      <c r="P168" s="46">
        <f t="shared" ca="1" si="8"/>
        <v>6.1538461538461541E-4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input_358010!A$2</f>
        <v>358010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IFERROR(VLOOKUP(B169,input_358010!L:R,7,FALSE),VLOOKUP(tables_358010!C169,input_358010!A:H,8,FALSE))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input_358010!A$2</f>
        <v>358010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IFERROR(VLOOKUP(B170,input_358010!L:R,7,FALSE),VLOOKUP(tables_358010!C170,input_358010!A:H,8,FALSE))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input_358010!A$2</f>
        <v>358010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IFERROR(VLOOKUP(B171,input_358010!L:R,7,FALSE),VLOOKUP(tables_358010!C171,input_358010!A:H,8,FALSE))</f>
        <v>36480</v>
      </c>
      <c r="P171" s="46">
        <f t="shared" ca="1" si="8"/>
        <v>6.1538461538461538E-3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input_358010!A$2</f>
        <v>358010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IFERROR(VLOOKUP(B172,input_358010!L:R,7,FALSE),VLOOKUP(tables_358010!C172,input_358010!A:H,8,FALSE))</f>
        <v>32832</v>
      </c>
      <c r="P172" s="46">
        <f t="shared" ca="1" si="8"/>
        <v>5.5384615384615381E-3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input_358010!A$2</f>
        <v>358010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IFERROR(VLOOKUP(B173,input_358010!L:R,7,FALSE),VLOOKUP(tables_358010!C173,input_358010!A:H,8,FALSE))</f>
        <v>3648</v>
      </c>
      <c r="P173" s="46">
        <f t="shared" ca="1" si="8"/>
        <v>6.1538461538461541E-4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input_358010!A$2</f>
        <v>358010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IFERROR(VLOOKUP(B174,input_358010!L:R,7,FALSE),VLOOKUP(tables_358010!C174,input_358010!A:H,8,FALSE))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input_358010!A$2</f>
        <v>358010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IFERROR(VLOOKUP(B175,input_358010!L:R,7,FALSE),VLOOKUP(tables_358010!C175,input_358010!A:H,8,FALSE))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input_358010!A$2</f>
        <v>358010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IFERROR(VLOOKUP(B176,input_358010!L:R,7,FALSE),VLOOKUP(tables_358010!C176,input_358010!A:H,8,FALSE))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input_358010!A$2</f>
        <v>358010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IFERROR(VLOOKUP(B177,input_358010!L:R,7,FALSE),VLOOKUP(tables_358010!C177,input_358010!A:H,8,FALSE))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input_358010!A$2</f>
        <v>358010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IFERROR(VLOOKUP(B178,input_358010!L:R,7,FALSE),VLOOKUP(tables_358010!C178,input_358010!A:H,8,FALSE))</f>
        <v>36480</v>
      </c>
      <c r="P178" s="46">
        <f t="shared" ca="1" si="8"/>
        <v>6.1538461538461538E-3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input_358010!A$2</f>
        <v>358010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IFERROR(VLOOKUP(B179,input_358010!L:R,7,FALSE),VLOOKUP(tables_358010!C179,input_358010!A:H,8,FALSE))</f>
        <v>32832</v>
      </c>
      <c r="P179" s="46">
        <f t="shared" ca="1" si="8"/>
        <v>5.5384615384615381E-3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input_358010!A$2</f>
        <v>358010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IFERROR(VLOOKUP(B180,input_358010!L:R,7,FALSE),VLOOKUP(tables_358010!C180,input_358010!A:H,8,FALSE))</f>
        <v>3648</v>
      </c>
      <c r="P180" s="46">
        <f t="shared" ca="1" si="8"/>
        <v>6.1538461538461541E-4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input_358010!A$2</f>
        <v>358010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IFERROR(VLOOKUP(B181,input_358010!L:R,7,FALSE),VLOOKUP(tables_358010!C181,input_358010!A:H,8,FALSE))</f>
        <v>36480</v>
      </c>
      <c r="P181" s="46">
        <f t="shared" ca="1" si="8"/>
        <v>6.1538461538461538E-3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input_358010!A$2</f>
        <v>358010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IFERROR(VLOOKUP(B182,input_358010!L:R,7,FALSE),VLOOKUP(tables_358010!C182,input_358010!A:H,8,FALSE))</f>
        <v>32832</v>
      </c>
      <c r="P182" s="46">
        <f t="shared" ca="1" si="8"/>
        <v>5.5384615384615381E-3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input_358010!A$2</f>
        <v>358010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IFERROR(VLOOKUP(B183,input_358010!L:R,7,FALSE),VLOOKUP(tables_358010!C183,input_358010!A:H,8,FALSE))</f>
        <v>3648</v>
      </c>
      <c r="P183" s="46">
        <f t="shared" ca="1" si="8"/>
        <v>6.1538461538461541E-4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input_358010!A$2</f>
        <v>358010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IFERROR(VLOOKUP(B184,input_358010!L:R,7,FALSE),VLOOKUP(tables_358010!C184,input_358010!A:H,8,FALSE))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input_358010!A$2</f>
        <v>358010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IFERROR(VLOOKUP(B185,input_358010!L:R,7,FALSE),VLOOKUP(tables_358010!C185,input_358010!A:H,8,FALSE))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input_358010!A$2</f>
        <v>358010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IFERROR(VLOOKUP(B186,input_358010!L:R,7,FALSE),VLOOKUP(tables_358010!C186,input_358010!A:H,8,FALSE))</f>
        <v>36480</v>
      </c>
      <c r="P186" s="46">
        <f t="shared" ca="1" si="8"/>
        <v>6.1538461538461538E-3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input_358010!A$2</f>
        <v>358010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IFERROR(VLOOKUP(B187,input_358010!L:R,7,FALSE),VLOOKUP(tables_358010!C187,input_358010!A:H,8,FALSE))</f>
        <v>32832</v>
      </c>
      <c r="P187" s="46">
        <f t="shared" ca="1" si="8"/>
        <v>5.5384615384615381E-3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input_358010!A$2</f>
        <v>358010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IFERROR(VLOOKUP(B188,input_358010!L:R,7,FALSE),VLOOKUP(tables_358010!C188,input_358010!A:H,8,FALSE))</f>
        <v>3648</v>
      </c>
      <c r="P188" s="46">
        <f t="shared" ca="1" si="8"/>
        <v>6.1538461538461541E-4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input_358010!A$2</f>
        <v>358010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IFERROR(VLOOKUP(B189,input_358010!L:R,7,FALSE),VLOOKUP(tables_358010!C189,input_358010!A:H,8,FALSE))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input_358010!A$2</f>
        <v>358010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IFERROR(VLOOKUP(B190,input_358010!L:R,7,FALSE),VLOOKUP(tables_358010!C190,input_358010!A:H,8,FALSE))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input_358010!A$2</f>
        <v>358010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IFERROR(VLOOKUP(B191,input_358010!L:R,7,FALSE),VLOOKUP(tables_358010!C191,input_358010!A:H,8,FALSE))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input_358010!A$2</f>
        <v>358010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IFERROR(VLOOKUP(B192,input_358010!L:R,7,FALSE),VLOOKUP(tables_358010!C192,input_358010!A:H,8,FALSE))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input_358010!A$2</f>
        <v>358010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IFERROR(VLOOKUP(B193,input_358010!L:R,7,FALSE),VLOOKUP(tables_358010!C193,input_358010!A:H,8,FALSE))</f>
        <v>36480</v>
      </c>
      <c r="P193" s="46">
        <f t="shared" ca="1" si="8"/>
        <v>6.1538461538461538E-3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input_358010!A$2</f>
        <v>358010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IFERROR(VLOOKUP(B194,input_358010!L:R,7,FALSE),VLOOKUP(tables_358010!C194,input_358010!A:H,8,FALSE))</f>
        <v>32832</v>
      </c>
      <c r="P194" s="46">
        <f t="shared" ca="1" si="8"/>
        <v>5.5384615384615381E-3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input_358010!A$2</f>
        <v>358010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IFERROR(VLOOKUP(B195,input_358010!L:R,7,FALSE),VLOOKUP(tables_358010!C195,input_358010!A:H,8,FALSE))</f>
        <v>3648</v>
      </c>
      <c r="P195" s="46">
        <f t="shared" ca="1" si="8"/>
        <v>6.1538461538461541E-4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input_358010!A$2</f>
        <v>358010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IFERROR(VLOOKUP(B196,input_358010!L:R,7,FALSE),VLOOKUP(tables_358010!C196,input_358010!A:H,8,FALSE))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input_358010!A$2</f>
        <v>358010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IFERROR(VLOOKUP(B197,input_358010!L:R,7,FALSE),VLOOKUP(tables_358010!C197,input_358010!A:H,8,FALSE))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input_358010!A$2</f>
        <v>358010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IFERROR(VLOOKUP(B198,input_358010!L:R,7,FALSE),VLOOKUP(tables_358010!C198,input_358010!A:H,8,FALSE))</f>
        <v>36480</v>
      </c>
      <c r="P198" s="46">
        <f t="shared" ca="1" si="8"/>
        <v>6.1538461538461538E-3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input_358010!A$2</f>
        <v>358010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IFERROR(VLOOKUP(B199,input_358010!L:R,7,FALSE),VLOOKUP(tables_358010!C199,input_358010!A:H,8,FALSE))</f>
        <v>32832</v>
      </c>
      <c r="P199" s="46">
        <f t="shared" ca="1" si="8"/>
        <v>5.5384615384615381E-3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input_358010!A$2</f>
        <v>358010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IFERROR(VLOOKUP(B200,input_358010!L:R,7,FALSE),VLOOKUP(tables_358010!C200,input_358010!A:H,8,FALSE))</f>
        <v>3648</v>
      </c>
      <c r="P200" s="46">
        <f t="shared" ca="1" si="8"/>
        <v>6.1538461538461541E-4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input_358010!A$2</f>
        <v>358010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IFERROR(VLOOKUP(B201,input_358010!L:R,7,FALSE),VLOOKUP(tables_358010!C201,input_358010!A:H,8,FALSE))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input_358010!A$2</f>
        <v>358010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IFERROR(VLOOKUP(B202,input_358010!L:R,7,FALSE),VLOOKUP(tables_358010!C202,input_358010!A:H,8,FALSE))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input_358010!A$2</f>
        <v>358010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IFERROR(VLOOKUP(B203,input_358010!L:R,7,FALSE),VLOOKUP(tables_358010!C203,input_358010!A:H,8,FALSE))</f>
        <v>36480</v>
      </c>
      <c r="P203" s="46">
        <f t="shared" ca="1" si="8"/>
        <v>6.1538461538461538E-3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input_358010!A$2</f>
        <v>358010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IFERROR(VLOOKUP(B204,input_358010!L:R,7,FALSE),VLOOKUP(tables_358010!C204,input_358010!A:H,8,FALSE))</f>
        <v>32832</v>
      </c>
      <c r="P204" s="46">
        <f t="shared" ca="1" si="8"/>
        <v>5.5384615384615381E-3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input_358010!A$2</f>
        <v>358010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IFERROR(VLOOKUP(B205,input_358010!L:R,7,FALSE),VLOOKUP(tables_358010!C205,input_358010!A:H,8,FALSE))</f>
        <v>3648</v>
      </c>
      <c r="P205" s="46">
        <f t="shared" ca="1" si="8"/>
        <v>6.1538461538461541E-4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input_358010!A$2</f>
        <v>358010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IFERROR(VLOOKUP(B206,input_358010!L:R,7,FALSE),VLOOKUP(tables_358010!C206,input_358010!A:H,8,FALSE))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input_358010!A$2</f>
        <v>358010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IFERROR(VLOOKUP(B207,input_358010!L:R,7,FALSE),VLOOKUP(tables_358010!C207,input_358010!A:H,8,FALSE))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input_358010!A$2</f>
        <v>358010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IFERROR(VLOOKUP(B208,input_358010!L:R,7,FALSE),VLOOKUP(tables_358010!C208,input_358010!A:H,8,FALSE))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input_358010!A$2</f>
        <v>358010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IFERROR(VLOOKUP(B209,input_358010!L:R,7,FALSE),VLOOKUP(tables_358010!C209,input_358010!A:H,8,FALSE))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input_358010!A$2</f>
        <v>358010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IFERROR(VLOOKUP(B210,input_358010!L:R,7,FALSE),VLOOKUP(tables_358010!C210,input_358010!A:H,8,FALSE))</f>
        <v>36480</v>
      </c>
      <c r="P210" s="46">
        <f t="shared" ca="1" si="11"/>
        <v>6.1538461538461538E-3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input_358010!A$2</f>
        <v>358010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IFERROR(VLOOKUP(B211,input_358010!L:R,7,FALSE),VLOOKUP(tables_358010!C211,input_358010!A:H,8,FALSE))</f>
        <v>32832</v>
      </c>
      <c r="P211" s="46">
        <f t="shared" ca="1" si="11"/>
        <v>5.5384615384615381E-3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input_358010!A$2</f>
        <v>358010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IFERROR(VLOOKUP(B212,input_358010!L:R,7,FALSE),VLOOKUP(tables_358010!C212,input_358010!A:H,8,FALSE))</f>
        <v>3648</v>
      </c>
      <c r="P212" s="46">
        <f t="shared" ca="1" si="11"/>
        <v>6.1538461538461541E-4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input_358010!A$2</f>
        <v>358010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IFERROR(VLOOKUP(B213,input_358010!L:R,7,FALSE),VLOOKUP(tables_358010!C213,input_358010!A:H,8,FALSE))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input_358010!A$2</f>
        <v>358010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IFERROR(VLOOKUP(B214,input_358010!L:R,7,FALSE),VLOOKUP(tables_358010!C214,input_358010!A:H,8,FALSE))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input_358010!A$2</f>
        <v>358010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IFERROR(VLOOKUP(B215,input_358010!L:R,7,FALSE),VLOOKUP(tables_358010!C215,input_358010!A:H,8,FALSE))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input_358010!A$2</f>
        <v>358010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IFERROR(VLOOKUP(B216,input_358010!L:R,7,FALSE),VLOOKUP(tables_358010!C216,input_358010!A:H,8,FALSE))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input_358010!A$2</f>
        <v>358010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IFERROR(VLOOKUP(B217,input_358010!L:R,7,FALSE),VLOOKUP(tables_358010!C217,input_358010!A:H,8,FALSE))</f>
        <v>36480</v>
      </c>
      <c r="P217" s="46">
        <f t="shared" ca="1" si="11"/>
        <v>6.1538461538461538E-3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input_358010!A$2</f>
        <v>358010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IFERROR(VLOOKUP(B218,input_358010!L:R,7,FALSE),VLOOKUP(tables_358010!C218,input_358010!A:H,8,FALSE))</f>
        <v>32832</v>
      </c>
      <c r="P218" s="46">
        <f t="shared" ca="1" si="11"/>
        <v>5.5384615384615381E-3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input_358010!A$2</f>
        <v>358010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IFERROR(VLOOKUP(B219,input_358010!L:R,7,FALSE),VLOOKUP(tables_358010!C219,input_358010!A:H,8,FALSE))</f>
        <v>3648</v>
      </c>
      <c r="P219" s="46">
        <f t="shared" ca="1" si="11"/>
        <v>6.1538461538461541E-4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input_358010!A$2</f>
        <v>358010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IFERROR(VLOOKUP(B220,input_358010!L:R,7,FALSE),VLOOKUP(tables_358010!C220,input_358010!A:H,8,FALSE))</f>
        <v>36480</v>
      </c>
      <c r="P220" s="46">
        <f t="shared" ca="1" si="11"/>
        <v>6.1538461538461538E-3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input_358010!A$2</f>
        <v>358010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IFERROR(VLOOKUP(B221,input_358010!L:R,7,FALSE),VLOOKUP(tables_358010!C221,input_358010!A:H,8,FALSE))</f>
        <v>32832</v>
      </c>
      <c r="P221" s="46">
        <f t="shared" ca="1" si="11"/>
        <v>5.5384615384615381E-3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input_358010!A$2</f>
        <v>358010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IFERROR(VLOOKUP(B222,input_358010!L:R,7,FALSE),VLOOKUP(tables_358010!C222,input_358010!A:H,8,FALSE))</f>
        <v>3648</v>
      </c>
      <c r="P222" s="46">
        <f t="shared" ca="1" si="11"/>
        <v>6.1538461538461541E-4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input_358010!A$2</f>
        <v>358010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IFERROR(VLOOKUP(B223,input_358010!L:R,7,FALSE),VLOOKUP(tables_358010!C223,input_358010!A:H,8,FALSE))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input_358010!A$2</f>
        <v>358010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IFERROR(VLOOKUP(B224,input_358010!L:R,7,FALSE),VLOOKUP(tables_358010!C224,input_358010!A:H,8,FALSE))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input_358010!A$2</f>
        <v>358010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IFERROR(VLOOKUP(B225,input_358010!L:R,7,FALSE),VLOOKUP(tables_358010!C225,input_358010!A:H,8,FALSE))</f>
        <v>36480</v>
      </c>
      <c r="P225" s="46">
        <f t="shared" ca="1" si="11"/>
        <v>6.1538461538461538E-3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input_358010!A$2</f>
        <v>358010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IFERROR(VLOOKUP(B226,input_358010!L:R,7,FALSE),VLOOKUP(tables_358010!C226,input_358010!A:H,8,FALSE))</f>
        <v>32832</v>
      </c>
      <c r="P226" s="46">
        <f t="shared" ca="1" si="11"/>
        <v>5.5384615384615381E-3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input_358010!A$2</f>
        <v>358010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IFERROR(VLOOKUP(B227,input_358010!L:R,7,FALSE),VLOOKUP(tables_358010!C227,input_358010!A:H,8,FALSE))</f>
        <v>3648</v>
      </c>
      <c r="P227" s="46">
        <f t="shared" ca="1" si="11"/>
        <v>6.1538461538461541E-4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input_358010!A$2</f>
        <v>358010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IFERROR(VLOOKUP(B228,input_358010!L:R,7,FALSE),VLOOKUP(tables_358010!C228,input_358010!A:H,8,FALSE))</f>
        <v>36480</v>
      </c>
      <c r="P228" s="46">
        <f t="shared" ca="1" si="11"/>
        <v>6.1538461538461538E-3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input_358010!A$2</f>
        <v>358010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IFERROR(VLOOKUP(B229,input_358010!L:R,7,FALSE),VLOOKUP(tables_358010!C229,input_358010!A:H,8,FALSE))</f>
        <v>32832</v>
      </c>
      <c r="P229" s="46">
        <f t="shared" ca="1" si="11"/>
        <v>5.5384615384615381E-3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input_358010!A$2</f>
        <v>358010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IFERROR(VLOOKUP(B230,input_358010!L:R,7,FALSE),VLOOKUP(tables_358010!C230,input_358010!A:H,8,FALSE))</f>
        <v>3648</v>
      </c>
      <c r="P230" s="46">
        <f t="shared" ca="1" si="11"/>
        <v>6.1538461538461541E-4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input_358010!A$2</f>
        <v>358010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IFERROR(VLOOKUP(B231,input_358010!L:R,7,FALSE),VLOOKUP(tables_358010!C231,input_358010!A:H,8,FALSE))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input_358010!A$2</f>
        <v>358010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IFERROR(VLOOKUP(B232,input_358010!L:R,7,FALSE),VLOOKUP(tables_358010!C232,input_358010!A:H,8,FALSE))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input_358010!A$2</f>
        <v>358010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IFERROR(VLOOKUP(B233,input_358010!L:R,7,FALSE),VLOOKUP(tables_358010!C233,input_358010!A:H,8,FALSE))</f>
        <v>36480</v>
      </c>
      <c r="P233" s="46">
        <f t="shared" ca="1" si="11"/>
        <v>6.1538461538461538E-3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input_358010!A$2</f>
        <v>358010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IFERROR(VLOOKUP(B234,input_358010!L:R,7,FALSE),VLOOKUP(tables_358010!C234,input_358010!A:H,8,FALSE))</f>
        <v>32832</v>
      </c>
      <c r="P234" s="46">
        <f t="shared" ca="1" si="11"/>
        <v>5.5384615384615381E-3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input_358010!A$2</f>
        <v>358010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IFERROR(VLOOKUP(B235,input_358010!L:R,7,FALSE),VLOOKUP(tables_358010!C235,input_358010!A:H,8,FALSE))</f>
        <v>3648</v>
      </c>
      <c r="P235" s="46">
        <f t="shared" ca="1" si="11"/>
        <v>6.1538461538461541E-4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input_358010!A$2</f>
        <v>358010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IFERROR(VLOOKUP(B236,input_358010!L:R,7,FALSE),VLOOKUP(tables_358010!C236,input_358010!A:H,8,FALSE))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input_358010!A$2</f>
        <v>358010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IFERROR(VLOOKUP(B237,input_358010!L:R,7,FALSE),VLOOKUP(tables_358010!C237,input_358010!A:H,8,FALSE))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input_358010!A$2</f>
        <v>358010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IFERROR(VLOOKUP(B238,input_358010!L:R,7,FALSE),VLOOKUP(tables_358010!C238,input_358010!A:H,8,FALSE))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input_358010!A$2</f>
        <v>358010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IFERROR(VLOOKUP(B239,input_358010!L:R,7,FALSE),VLOOKUP(tables_358010!C239,input_358010!A:H,8,FALSE))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input_358010!A$2</f>
        <v>358010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IFERROR(VLOOKUP(B240,input_358010!L:R,7,FALSE),VLOOKUP(tables_358010!C240,input_358010!A:H,8,FALSE))</f>
        <v>36480</v>
      </c>
      <c r="P240" s="46">
        <f t="shared" ca="1" si="11"/>
        <v>6.1538461538461538E-3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input_358010!A$2</f>
        <v>358010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IFERROR(VLOOKUP(B241,input_358010!L:R,7,FALSE),VLOOKUP(tables_358010!C241,input_358010!A:H,8,FALSE))</f>
        <v>32832</v>
      </c>
      <c r="P241" s="46">
        <f t="shared" ca="1" si="11"/>
        <v>5.5384615384615381E-3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input_358010!A$2</f>
        <v>358010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IFERROR(VLOOKUP(B242,input_358010!L:R,7,FALSE),VLOOKUP(tables_358010!C242,input_358010!A:H,8,FALSE))</f>
        <v>3648</v>
      </c>
      <c r="P242" s="46">
        <f t="shared" ca="1" si="11"/>
        <v>6.1538461538461541E-4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input_358010!A$2</f>
        <v>358010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IFERROR(VLOOKUP(B243,input_358010!L:R,7,FALSE),VLOOKUP(tables_358010!C243,input_358010!A:H,8,FALSE))</f>
        <v>36480</v>
      </c>
      <c r="P243" s="46">
        <f t="shared" ca="1" si="11"/>
        <v>6.1538461538461538E-3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input_358010!A$2</f>
        <v>358010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IFERROR(VLOOKUP(B244,input_358010!L:R,7,FALSE),VLOOKUP(tables_358010!C244,input_358010!A:H,8,FALSE))</f>
        <v>32832</v>
      </c>
      <c r="P244" s="46">
        <f t="shared" ca="1" si="11"/>
        <v>5.5384615384615381E-3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input_358010!A$2</f>
        <v>358010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IFERROR(VLOOKUP(B245,input_358010!L:R,7,FALSE),VLOOKUP(tables_358010!C245,input_358010!A:H,8,FALSE))</f>
        <v>3648</v>
      </c>
      <c r="P245" s="46">
        <f t="shared" ca="1" si="11"/>
        <v>6.1538461538461541E-4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input_358010!A$2</f>
        <v>358010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IFERROR(VLOOKUP(B246,input_358010!L:R,7,FALSE),VLOOKUP(tables_358010!C246,input_358010!A:H,8,FALSE))</f>
        <v>36480</v>
      </c>
      <c r="P246" s="46">
        <f t="shared" ca="1" si="11"/>
        <v>6.1538461538461538E-3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input_358010!A$2</f>
        <v>358010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IFERROR(VLOOKUP(B247,input_358010!L:R,7,FALSE),VLOOKUP(tables_358010!C247,input_358010!A:H,8,FALSE))</f>
        <v>32832</v>
      </c>
      <c r="P247" s="46">
        <f t="shared" ca="1" si="11"/>
        <v>5.5384615384615381E-3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input_358010!A$2</f>
        <v>358010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IFERROR(VLOOKUP(B248,input_358010!L:R,7,FALSE),VLOOKUP(tables_358010!C248,input_358010!A:H,8,FALSE))</f>
        <v>3648</v>
      </c>
      <c r="P248" s="46">
        <f t="shared" ca="1" si="11"/>
        <v>6.1538461538461541E-4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input_358010!A$2</f>
        <v>358010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IFERROR(VLOOKUP(B249,input_358010!L:R,7,FALSE),VLOOKUP(tables_358010!C249,input_358010!A:H,8,FALSE))</f>
        <v>36480</v>
      </c>
      <c r="P249" s="46">
        <f t="shared" ca="1" si="11"/>
        <v>6.1538461538461538E-3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input_358010!A$2</f>
        <v>358010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IFERROR(VLOOKUP(B250,input_358010!L:R,7,FALSE),VLOOKUP(tables_358010!C250,input_358010!A:H,8,FALSE))</f>
        <v>32832</v>
      </c>
      <c r="P250" s="46">
        <f t="shared" ca="1" si="11"/>
        <v>5.5384615384615381E-3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input_358010!A$2</f>
        <v>358010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IFERROR(VLOOKUP(B251,input_358010!L:R,7,FALSE),VLOOKUP(tables_358010!C251,input_358010!A:H,8,FALSE))</f>
        <v>3648</v>
      </c>
      <c r="P251" s="46">
        <f t="shared" ca="1" si="11"/>
        <v>6.1538461538461541E-4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input_358010!A$2</f>
        <v>358010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IFERROR(VLOOKUP(B252,input_358010!L:R,7,FALSE),VLOOKUP(tables_358010!C252,input_358010!A:H,8,FALSE))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input_358010!A$2</f>
        <v>358010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IFERROR(VLOOKUP(B253,input_358010!L:R,7,FALSE),VLOOKUP(tables_358010!C253,input_358010!A:H,8,FALSE))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input_358010!A$2</f>
        <v>358010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IFERROR(VLOOKUP(B254,input_358010!L:R,7,FALSE),VLOOKUP(tables_358010!C254,input_358010!A:H,8,FALSE))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input_358010!A$2</f>
        <v>358010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IFERROR(VLOOKUP(B255,input_358010!L:R,7,FALSE),VLOOKUP(tables_358010!C255,input_358010!A:H,8,FALSE))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input_358010!A$2</f>
        <v>358010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IFERROR(VLOOKUP(B256,input_358010!L:R,7,FALSE),VLOOKUP(tables_358010!C256,input_358010!A:H,8,FALSE))</f>
        <v>61104</v>
      </c>
      <c r="P256" s="46">
        <f t="shared" ca="1" si="11"/>
        <v>1.0307692307692308E-2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input_358010!A$2</f>
        <v>358010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IFERROR(VLOOKUP(B257,input_358010!L:R,7,FALSE),VLOOKUP(tables_358010!C257,input_358010!A:H,8,FALSE))</f>
        <v>11856</v>
      </c>
      <c r="P257" s="46">
        <f t="shared" ca="1" si="11"/>
        <v>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input_358010!A$2</f>
        <v>358010</v>
      </c>
      <c r="B258" s="60">
        <v>730</v>
      </c>
      <c r="C258" s="7" t="str">
        <f t="shared" ref="C258:C286" si="12">D258&amp;J258&amp;E258&amp;F258&amp;G258</f>
        <v>Premium4R3less</v>
      </c>
      <c r="D258" s="7" t="str">
        <f t="shared" ref="D258:D286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IFERROR(VLOOKUP(B258,input_358010!L:R,7,FALSE),VLOOKUP(tables_358010!C258,input_358010!A:H,8,FALSE))</f>
        <v>61104</v>
      </c>
      <c r="P258" s="46">
        <f t="shared" ca="1" si="11"/>
        <v>1.0307692307692308E-2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input_358010!A$2</f>
        <v>358010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IFERROR(VLOOKUP(B259,input_358010!L:R,7,FALSE),VLOOKUP(tables_358010!C259,input_358010!A:H,8,FALSE))</f>
        <v>11856</v>
      </c>
      <c r="P259" s="46">
        <f t="shared" ca="1" si="11"/>
        <v>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input_358010!A$2</f>
        <v>358010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IFERROR(VLOOKUP(B260,input_358010!L:R,7,FALSE),VLOOKUP(tables_358010!C260,input_358010!A:H,8,FALSE))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input_358010!A$2</f>
        <v>358010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IFERROR(VLOOKUP(B261,input_358010!L:R,7,FALSE),VLOOKUP(tables_358010!C261,input_358010!A:H,8,FALSE))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input_358010!A$2</f>
        <v>358010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IFERROR(VLOOKUP(B262,input_358010!L:R,7,FALSE),VLOOKUP(tables_358010!C262,input_358010!A:H,8,FALSE))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input_358010!A$2</f>
        <v>358010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IFERROR(VLOOKUP(B263,input_358010!L:R,7,FALSE),VLOOKUP(tables_358010!C263,input_358010!A:H,8,FALSE))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input_358010!A$2</f>
        <v>358010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IFERROR(VLOOKUP(B264,input_358010!L:R,7,FALSE),VLOOKUP(tables_358010!C264,input_358010!A:H,8,FALSE))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input_358010!A$2</f>
        <v>358010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IFERROR(VLOOKUP(B265,input_358010!L:R,7,FALSE),VLOOKUP(tables_358010!C265,input_358010!A:H,8,FALSE))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input_358010!A$2</f>
        <v>358010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IFERROR(VLOOKUP(B266,input_358010!L:R,7,FALSE),VLOOKUP(tables_358010!C266,input_358010!A:H,8,FALSE))</f>
        <v>36480</v>
      </c>
      <c r="P266" s="46">
        <f t="shared" ca="1" si="11"/>
        <v>6.1538461538461538E-3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input_358010!A$2</f>
        <v>358010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IFERROR(VLOOKUP(B267,input_358010!L:R,7,FALSE),VLOOKUP(tables_358010!C267,input_358010!A:H,8,FALSE))</f>
        <v>32832</v>
      </c>
      <c r="P267" s="46">
        <f t="shared" ca="1" si="11"/>
        <v>5.5384615384615381E-3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input_358010!A$2</f>
        <v>358010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IFERROR(VLOOKUP(B268,input_358010!L:R,7,FALSE),VLOOKUP(tables_358010!C268,input_358010!A:H,8,FALSE))</f>
        <v>3648</v>
      </c>
      <c r="P268" s="46">
        <f t="shared" ca="1" si="11"/>
        <v>6.1538461538461541E-4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input_358010!A$2</f>
        <v>358010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IFERROR(VLOOKUP(B269,input_358010!L:R,7,FALSE),VLOOKUP(tables_358010!C269,input_358010!A:H,8,FALSE))</f>
        <v>36480</v>
      </c>
      <c r="P269" s="46">
        <f t="shared" ca="1" si="11"/>
        <v>6.1538461538461538E-3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input_358010!A$2</f>
        <v>358010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IFERROR(VLOOKUP(B270,input_358010!L:R,7,FALSE),VLOOKUP(tables_358010!C270,input_358010!A:H,8,FALSE))</f>
        <v>32832</v>
      </c>
      <c r="P270" s="46">
        <f t="shared" ca="1" si="11"/>
        <v>5.5384615384615381E-3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input_358010!A$2</f>
        <v>358010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IFERROR(VLOOKUP(B271,input_358010!L:R,7,FALSE),VLOOKUP(tables_358010!C271,input_358010!A:H,8,FALSE))</f>
        <v>3648</v>
      </c>
      <c r="P271" s="46">
        <f t="shared" ref="P271:P286" ca="1" si="14">O271/SUM(O:O)</f>
        <v>6.1538461538461541E-4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input_358010!A$2</f>
        <v>358010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IFERROR(VLOOKUP(B272,input_358010!L:R,7,FALSE),VLOOKUP(tables_358010!C272,input_358010!A:H,8,FALSE))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input_358010!A$2</f>
        <v>358010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IFERROR(VLOOKUP(B273,input_358010!L:R,7,FALSE),VLOOKUP(tables_358010!C273,input_358010!A:H,8,FALSE))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input_358010!A$2</f>
        <v>358010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IFERROR(VLOOKUP(B274,input_358010!L:R,7,FALSE),VLOOKUP(tables_358010!C274,input_358010!A:H,8,FALSE))</f>
        <v>61104</v>
      </c>
      <c r="P274" s="46">
        <f t="shared" ca="1" si="14"/>
        <v>1.0307692307692308E-2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input_358010!A$2</f>
        <v>358010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IFERROR(VLOOKUP(B275,input_358010!L:R,7,FALSE),VLOOKUP(tables_358010!C275,input_358010!A:H,8,FALSE))</f>
        <v>11856</v>
      </c>
      <c r="P275" s="46">
        <f t="shared" ca="1" si="14"/>
        <v>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input_358010!A$2</f>
        <v>358010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IFERROR(VLOOKUP(B276,input_358010!L:R,7,FALSE),VLOOKUP(tables_358010!C276,input_358010!A:H,8,FALSE))</f>
        <v>61104</v>
      </c>
      <c r="P276" s="46">
        <f t="shared" ca="1" si="14"/>
        <v>1.0307692307692308E-2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input_358010!A$2</f>
        <v>358010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IFERROR(VLOOKUP(B277,input_358010!L:R,7,FALSE),VLOOKUP(tables_358010!C277,input_358010!A:H,8,FALSE))</f>
        <v>11856</v>
      </c>
      <c r="P277" s="46">
        <f t="shared" ca="1" si="14"/>
        <v>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input_358010!A$2</f>
        <v>358010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IFERROR(VLOOKUP(B278,input_358010!L:R,7,FALSE),VLOOKUP(tables_358010!C278,input_358010!A:H,8,FALSE))</f>
        <v>61104</v>
      </c>
      <c r="P278" s="46">
        <f t="shared" ca="1" si="14"/>
        <v>1.0307692307692308E-2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input_358010!A$2</f>
        <v>358010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IFERROR(VLOOKUP(B279,input_358010!L:R,7,FALSE),VLOOKUP(tables_358010!C279,input_358010!A:H,8,FALSE))</f>
        <v>11856</v>
      </c>
      <c r="P279" s="46">
        <f t="shared" ca="1" si="14"/>
        <v>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input_358010!A$2</f>
        <v>358010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IFERROR(VLOOKUP(B280,input_358010!L:R,7,FALSE),VLOOKUP(tables_358010!C280,input_358010!A:H,8,FALSE))</f>
        <v>61104</v>
      </c>
      <c r="P280" s="46">
        <f t="shared" ca="1" si="14"/>
        <v>1.0307692307692308E-2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input_358010!A$2</f>
        <v>358010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IFERROR(VLOOKUP(B281,input_358010!L:R,7,FALSE),VLOOKUP(tables_358010!C281,input_358010!A:H,8,FALSE))</f>
        <v>11856</v>
      </c>
      <c r="P281" s="46">
        <f t="shared" ca="1" si="14"/>
        <v>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input_358010!A$2</f>
        <v>358010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IFERROR(VLOOKUP(B282,input_358010!L:R,7,FALSE),VLOOKUP(tables_358010!C282,input_358010!A:H,8,FALSE))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input_358010!A$2</f>
        <v>358010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IFERROR(VLOOKUP(B283,input_358010!L:R,7,FALSE),VLOOKUP(tables_358010!C283,input_358010!A:H,8,FALSE))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input_358010!A$2</f>
        <v>358010</v>
      </c>
      <c r="B284" s="83">
        <v>623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>IFERROR(VLOOKUP(B284,input_358010!L:R,7,FALSE),VLOOKUP(tables_358010!C284,input_358010!A:H,8,FALSE))</f>
        <v>29640</v>
      </c>
      <c r="P284" s="46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input_358010!A$2</f>
        <v>358010</v>
      </c>
      <c r="B285" s="83">
        <v>619</v>
      </c>
      <c r="C285" s="7" t="str">
        <f t="shared" si="12"/>
        <v>PremiumSSS4R3less</v>
      </c>
      <c r="D285" s="7" t="str">
        <f t="shared" si="13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7" t="str">
        <f>VLOOKUP(B285,[1]characters!$A:$C,3,FALSE)</f>
        <v>メビウス</v>
      </c>
      <c r="I285" s="7" t="str">
        <f>VLOOKUP(B285,[1]characters!$A:$J,10,FALSE)</f>
        <v>PremiumSSS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5">
        <f>IFERROR(VLOOKUP(B285,input_358010!L:R,7,FALSE),VLOOKUP(tables_358010!C285,input_358010!A:H,8,FALSE))</f>
        <v>2964</v>
      </c>
      <c r="P285" s="46">
        <f t="shared" ca="1" si="14"/>
        <v>5.0000000000000001E-4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input_358010!A$2</f>
        <v>358010</v>
      </c>
      <c r="B286" s="83">
        <v>620</v>
      </c>
      <c r="C286" s="7" t="str">
        <f t="shared" si="12"/>
        <v>PremiumSSS5R3less</v>
      </c>
      <c r="D286" s="7" t="str">
        <f t="shared" si="13"/>
        <v>PremiumSSS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奇跡の調和 メビウス</v>
      </c>
      <c r="I286" s="7" t="str">
        <f>VLOOKUP(B286,[1]characters!$A:$J,10,FALSE)</f>
        <v>PremiumSSS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human</v>
      </c>
      <c r="N286" s="7" t="str">
        <f>VLOOKUP(B286,[1]characters!$A:$G,7,FALSE)</f>
        <v>女性</v>
      </c>
      <c r="O286" s="45">
        <f>IFERROR(VLOOKUP(B286,input_358010!L:R,7,FALSE),VLOOKUP(tables_358010!C286,input_358010!A:H,8,FALSE))</f>
        <v>26676.000000000004</v>
      </c>
      <c r="P286" s="46">
        <f t="shared" ca="1" si="14"/>
        <v>4.5000000000000005E-3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</sheetData>
  <autoFilter ref="A1:V28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32" sqref="B3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358100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619</v>
      </c>
      <c r="M3" s="37" t="str">
        <f>VLOOKUP(L3,[1]characters!$A:$C,3,FALSE)</f>
        <v>メビウス</v>
      </c>
      <c r="N3" s="63">
        <f>0.005*0.1</f>
        <v>5.0000000000000001E-4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VLOOKUP(L3,tables_358100!B:C,2,FALSE)</f>
        <v>PremiumSSS4R3less</v>
      </c>
      <c r="R3" s="62">
        <f t="shared" ref="R3:R20" si="1">N3*A$36</f>
        <v>2964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620</v>
      </c>
      <c r="M4" s="37" t="str">
        <f>VLOOKUP(L4,[1]characters!$A:$C,3,FALSE)</f>
        <v>奇跡の調和 メビウス</v>
      </c>
      <c r="N4" s="63">
        <f>0.005*0.9</f>
        <v>4.5000000000000005E-3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VLOOKUP(L4,tables_358100!B:C,2,FALSE)</f>
        <v>PremiumSSS5R3less</v>
      </c>
      <c r="R4" s="62">
        <f t="shared" si="1"/>
        <v>26676.000000000004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7.894736842105263E-4</v>
      </c>
      <c r="F5">
        <f>(COUNTIF(tables_358100!C:C,input_358100!A26)+COUNTIF(tables_358100!C:C,input_358100!A28)+COUNTIF(tables_358100!C:C,input_358100!A29))</f>
        <v>38</v>
      </c>
      <c r="H5" s="86">
        <v>0</v>
      </c>
      <c r="I5" s="31">
        <v>0</v>
      </c>
      <c r="L5" s="60">
        <v>623</v>
      </c>
      <c r="M5" s="37" t="str">
        <f>VLOOKUP(L5,[1]characters!$A:$C,3,FALSE)</f>
        <v>未踏の轍跡 フェルマー</v>
      </c>
      <c r="N5" s="63">
        <f>0.005</f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VLOOKUP(L5,tables_358100!B:C,2,FALSE)</f>
        <v>PremiumSSS5R3less</v>
      </c>
      <c r="R5" s="62">
        <f t="shared" si="1"/>
        <v>29640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7">
        <f>(B10-H6)/(F6-I6)</f>
        <v>1.2307692307692308E-2</v>
      </c>
      <c r="F6">
        <f>(COUNTIF(tables_358100!C:C,input_358100!A18)+COUNTIF(tables_358100!C:C,input_358100!A20)+COUNTIF(tables_358100!C:C,input_358100!A22))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0.96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0.03</v>
      </c>
      <c r="C11" t="s">
        <v>263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COUNTIF(tables_358100!C:C,input_358100!A17)-COUNTIF(Q:Q,A17)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0.24615384615384617</v>
      </c>
      <c r="C18" s="87">
        <f t="shared" si="2"/>
        <v>0</v>
      </c>
      <c r="D18" s="75">
        <f t="shared" si="3"/>
        <v>0.24615384615384617</v>
      </c>
      <c r="E18">
        <f>COUNTIF(tables_358100!C:C,input_358100!A18)-COUNTIF(Q:Q,A18)</f>
        <v>20</v>
      </c>
      <c r="F18" s="43">
        <f>IFERROR(B18/E18,0)</f>
        <v>1.2307692307692308E-2</v>
      </c>
      <c r="G18">
        <f t="shared" si="4"/>
        <v>1459200</v>
      </c>
      <c r="H18">
        <f t="shared" si="5"/>
        <v>72960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COUNTIF(tables_358100!C:C,input_358100!A19)-COUNTIF(Q:Q,A19)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0.60799999999999998</v>
      </c>
      <c r="C20" s="87">
        <f t="shared" si="2"/>
        <v>0</v>
      </c>
      <c r="D20" s="75">
        <f t="shared" si="3"/>
        <v>0.60799999999999998</v>
      </c>
      <c r="E20">
        <f>COUNTIF(tables_358100!C:C,input_358100!A20)-COUNTIF(Q:Q,A20)</f>
        <v>52</v>
      </c>
      <c r="F20" s="43">
        <f t="shared" si="8"/>
        <v>1.1692307692307693E-2</v>
      </c>
      <c r="G20">
        <f t="shared" si="4"/>
        <v>3604224</v>
      </c>
      <c r="H20">
        <f t="shared" si="5"/>
        <v>69312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3.2000000000000001E-2</v>
      </c>
      <c r="C21" s="87">
        <f t="shared" si="2"/>
        <v>0</v>
      </c>
      <c r="D21" s="75">
        <f t="shared" si="3"/>
        <v>3.2000000000000001E-2</v>
      </c>
      <c r="E21">
        <f>COUNTIF(tables_358100!C:C,input_358100!A21)-COUNTIF(Q:Q,A21)</f>
        <v>52</v>
      </c>
      <c r="F21" s="43">
        <f t="shared" si="8"/>
        <v>6.1538461538461541E-4</v>
      </c>
      <c r="G21">
        <f t="shared" si="4"/>
        <v>189696</v>
      </c>
      <c r="H21">
        <f t="shared" si="5"/>
        <v>3648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6.1846153846153835E-2</v>
      </c>
      <c r="C22" s="87">
        <f t="shared" si="2"/>
        <v>0</v>
      </c>
      <c r="D22" s="75">
        <f t="shared" si="3"/>
        <v>6.1846153846153835E-2</v>
      </c>
      <c r="E22">
        <f>COUNTIF(tables_358100!C:C,input_358100!A22)-COUNTIF(Q:Q,A22)</f>
        <v>6</v>
      </c>
      <c r="F22" s="43">
        <f t="shared" si="8"/>
        <v>1.0307692307692306E-2</v>
      </c>
      <c r="G22">
        <f t="shared" si="4"/>
        <v>366623.99999999994</v>
      </c>
      <c r="H22">
        <f t="shared" si="5"/>
        <v>61104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1.2000000000000004E-2</v>
      </c>
      <c r="C23" s="87">
        <f t="shared" si="2"/>
        <v>0</v>
      </c>
      <c r="D23" s="75">
        <f t="shared" si="3"/>
        <v>1.2000000000000004E-2</v>
      </c>
      <c r="E23">
        <f>COUNTIF(tables_358100!C:C,input_358100!A23)-COUNTIF(Q:Q,A23)</f>
        <v>6</v>
      </c>
      <c r="F23" s="43">
        <f t="shared" si="8"/>
        <v>2.0000000000000005E-3</v>
      </c>
      <c r="G23">
        <f t="shared" si="4"/>
        <v>71136.000000000029</v>
      </c>
      <c r="H23">
        <f t="shared" si="5"/>
        <v>11856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COUNTIF(tables_358100!C:C,input_358100!A24)-COUNTIF(Q:Q,A24)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2.9999999999999996E-3</v>
      </c>
      <c r="C25" s="87">
        <f t="shared" si="2"/>
        <v>0</v>
      </c>
      <c r="D25" s="75">
        <f t="shared" si="3"/>
        <v>2.9999999999999996E-3</v>
      </c>
      <c r="E25">
        <f>COUNTIF(tables_358100!C:C,input_358100!A25)-COUNTIF(Q:Q,A25)</f>
        <v>4</v>
      </c>
      <c r="F25" s="43">
        <f t="shared" si="8"/>
        <v>7.4999999999999991E-4</v>
      </c>
      <c r="G25">
        <f t="shared" si="4"/>
        <v>17783.999999999996</v>
      </c>
      <c r="H25">
        <f t="shared" si="5"/>
        <v>4446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COUNTIF(tables_358100!C:C,input_358100!A26)-COUNTIF(Q:Q,A26)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COUNTIF(tables_358100!C:C,input_358100!A27)-COUNTIF(Q:Q,A27)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COUNTIF(tables_358100!C:C,input_358100!A28)-COUNTIF(Q:Q,A28)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COUNTIF(tables_358100!C:C,input_358100!A29)-COUNTIF(Q:Q,A29)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243</v>
      </c>
      <c r="B30" s="56">
        <f>0</f>
        <v>0</v>
      </c>
      <c r="C30" s="87">
        <f t="shared" si="2"/>
        <v>5.0000000000000001E-4</v>
      </c>
      <c r="D30" s="75">
        <f t="shared" si="3"/>
        <v>-5.0000000000000001E-4</v>
      </c>
      <c r="E30">
        <f>COUNTIF(tables_358100!C:C,input_358100!A30)-COUNTIF(Q:Q,A30)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244</v>
      </c>
      <c r="B31" s="56">
        <v>0</v>
      </c>
      <c r="C31" s="87">
        <f t="shared" si="2"/>
        <v>9.5000000000000015E-3</v>
      </c>
      <c r="D31" s="75">
        <f t="shared" si="3"/>
        <v>-9.5000000000000015E-3</v>
      </c>
      <c r="E31">
        <f>COUNTIF(tables_358100!C:C,input_358100!A31)-COUNTIF(Q:Q,A31)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1.0000000000000002E-2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SUMIF(tables_358100!C:C,input_358100!A40,tables_358100!O:O)</f>
        <v>0</v>
      </c>
      <c r="C40" s="54">
        <f t="shared" ref="C40:C46" ca="1" si="9">B40/B$47</f>
        <v>0</v>
      </c>
      <c r="E40">
        <v>3</v>
      </c>
      <c r="F40">
        <f ca="1">SUMIF(tables_358100!J:J,input_358100!E40,tables_358100!O:O)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SUMIF(tables_358100!C:C,input_358100!A41,tables_358100!O:O)</f>
        <v>3604224</v>
      </c>
      <c r="C41" s="54">
        <f t="shared" ca="1" si="9"/>
        <v>0.91828298887122417</v>
      </c>
      <c r="E41">
        <v>4</v>
      </c>
      <c r="F41">
        <f ca="1">SUMIF(tables_358100!J:J,input_358100!E41,tables_358100!O:O)</f>
        <v>5575284</v>
      </c>
      <c r="G41">
        <f ca="1">F41/A36</f>
        <v>0.9405</v>
      </c>
    </row>
    <row r="42" spans="1:7" x14ac:dyDescent="0.15">
      <c r="A42" s="33" t="s">
        <v>106</v>
      </c>
      <c r="B42">
        <f ca="1">SUMIF(tables_358100!C:C,input_358100!A42,tables_358100!O:O)</f>
        <v>124488</v>
      </c>
      <c r="C42" s="54">
        <f t="shared" ca="1" si="9"/>
        <v>3.1717011128775834E-2</v>
      </c>
      <c r="E42">
        <v>5</v>
      </c>
      <c r="F42">
        <f ca="1">SUMIF(tables_358100!J:J,input_358100!E42,tables_358100!O:O)</f>
        <v>352716</v>
      </c>
      <c r="G42">
        <f ca="1">F42/A36</f>
        <v>5.9499999999999997E-2</v>
      </c>
    </row>
    <row r="43" spans="1:7" x14ac:dyDescent="0.15">
      <c r="A43" s="33" t="s">
        <v>109</v>
      </c>
      <c r="B43">
        <f>SUMIF(tables_358100!C:C,input_358100!A43,tables_358100!O:O)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SUMIF(tables_358100!C:C,input_358100!A44,tables_358100!O:O)</f>
        <v>189696</v>
      </c>
      <c r="C44" s="54">
        <f t="shared" ca="1" si="9"/>
        <v>4.8330683624801273E-2</v>
      </c>
      <c r="E44" t="s">
        <v>54</v>
      </c>
      <c r="F44" s="55"/>
    </row>
    <row r="45" spans="1:7" x14ac:dyDescent="0.15">
      <c r="A45" s="33" t="s">
        <v>107</v>
      </c>
      <c r="B45">
        <f ca="1">SUMIF(tables_358100!C:C,input_358100!A45,tables_358100!O:O)</f>
        <v>6552</v>
      </c>
      <c r="C45" s="54">
        <f t="shared" ca="1" si="9"/>
        <v>1.6693163751987281E-3</v>
      </c>
      <c r="E45" t="s">
        <v>204</v>
      </c>
      <c r="F45" s="55">
        <f ca="1">SUMIF(tables_358100!I:I,input_358100!E45,tables_358100!P:P)</f>
        <v>0.25330769230769223</v>
      </c>
    </row>
    <row r="46" spans="1:7" x14ac:dyDescent="0.15">
      <c r="A46" s="33" t="s">
        <v>108</v>
      </c>
      <c r="B46">
        <f>SUMIF(tables_358100!C:C,input_358100!A46,tables_358100!O:O)</f>
        <v>0</v>
      </c>
      <c r="C46" s="54">
        <f t="shared" ca="1" si="9"/>
        <v>0</v>
      </c>
      <c r="E46" t="s">
        <v>205</v>
      </c>
      <c r="F46" s="55">
        <f ca="1">SUMIF(tables_358100!I:I,input_358100!E46,tables_358100!P:P)</f>
        <v>0.21159919028340096</v>
      </c>
    </row>
    <row r="47" spans="1:7" x14ac:dyDescent="0.15">
      <c r="A47" s="39" t="s">
        <v>59</v>
      </c>
      <c r="B47">
        <f ca="1">SUM(B40:B46)</f>
        <v>3924960</v>
      </c>
      <c r="C47" s="55">
        <f ca="1">SUM(C40:C46)</f>
        <v>1</v>
      </c>
      <c r="E47" t="s">
        <v>206</v>
      </c>
      <c r="F47" s="55">
        <f ca="1">SUMIF(tables_358100!I:I,input_358100!E47,tables_358100!P:P)</f>
        <v>0.50540485829959514</v>
      </c>
    </row>
    <row r="48" spans="1:7" x14ac:dyDescent="0.15">
      <c r="E48" t="s">
        <v>207</v>
      </c>
      <c r="F48" s="55">
        <f ca="1">SUMIF(tables_358100!I:I,input_358100!E48,tables_358100!P:P)</f>
        <v>2.6842105263157921E-2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6"/>
  <sheetViews>
    <sheetView showGridLines="0" zoomScale="75" zoomScaleNormal="75" zoomScalePageLayoutView="75" workbookViewId="0">
      <pane ySplit="1" topLeftCell="A261" activePane="bottomLeft" state="frozen"/>
      <selection activeCell="D34" sqref="D34"/>
      <selection pane="bottomLeft" activeCell="O278" sqref="O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input_358100!A$2</f>
        <v>358100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IFERROR(VLOOKUP(B2,input_358100!L:R,7,FALSE),VLOOKUP(tables_358100!C2,input_358100!A:H,8,FALSE))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input_358100!A$2</f>
        <v>358100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IFERROR(VLOOKUP(B3,input_358100!L:R,7,FALSE),VLOOKUP(tables_358100!C3,input_358100!A:H,8,FALSE))</f>
        <v>72960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input_358100!A$2</f>
        <v>358100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IFERROR(VLOOKUP(B4,input_358100!L:R,7,FALSE),VLOOKUP(tables_358100!C4,input_358100!A:H,8,FALSE))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input_358100!A$2</f>
        <v>358100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IFERROR(VLOOKUP(B5,input_358100!L:R,7,FALSE),VLOOKUP(tables_358100!C5,input_358100!A:H,8,FALSE))</f>
        <v>72960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input_358100!A$2</f>
        <v>358100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IFERROR(VLOOKUP(B6,input_358100!L:R,7,FALSE),VLOOKUP(tables_358100!C6,input_358100!A:H,8,FALSE))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input_358100!A$2</f>
        <v>358100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IFERROR(VLOOKUP(B7,input_358100!L:R,7,FALSE),VLOOKUP(tables_358100!C7,input_358100!A:H,8,FALSE))</f>
        <v>72960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input_358100!A$2</f>
        <v>358100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IFERROR(VLOOKUP(B8,input_358100!L:R,7,FALSE),VLOOKUP(tables_358100!C8,input_358100!A:H,8,FALSE))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input_358100!A$2</f>
        <v>358100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IFERROR(VLOOKUP(B9,input_358100!L:R,7,FALSE),VLOOKUP(tables_358100!C9,input_358100!A:H,8,FALSE))</f>
        <v>72960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input_358100!A$2</f>
        <v>358100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IFERROR(VLOOKUP(B10,input_358100!L:R,7,FALSE),VLOOKUP(tables_358100!C10,input_358100!A:H,8,FALSE))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input_358100!A$2</f>
        <v>358100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IFERROR(VLOOKUP(B11,input_358100!L:R,7,FALSE),VLOOKUP(tables_358100!C11,input_358100!A:H,8,FALSE))</f>
        <v>72960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input_358100!A$2</f>
        <v>358100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IFERROR(VLOOKUP(B12,input_358100!L:R,7,FALSE),VLOOKUP(tables_358100!C12,input_358100!A:H,8,FALSE))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input_358100!A$2</f>
        <v>358100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IFERROR(VLOOKUP(B13,input_358100!L:R,7,FALSE),VLOOKUP(tables_358100!C13,input_358100!A:H,8,FALSE))</f>
        <v>72960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input_358100!A$2</f>
        <v>358100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IFERROR(VLOOKUP(B14,input_358100!L:R,7,FALSE),VLOOKUP(tables_358100!C14,input_358100!A:H,8,FALSE))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input_358100!A$2</f>
        <v>358100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IFERROR(VLOOKUP(B15,input_358100!L:R,7,FALSE),VLOOKUP(tables_358100!C15,input_358100!A:H,8,FALSE))</f>
        <v>72960</v>
      </c>
      <c r="P15" s="46">
        <f t="shared" ref="P15:P78" ca="1" si="2">O15/SUM(O:O)</f>
        <v>1.2307692307692308E-2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input_358100!A$2</f>
        <v>358100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IFERROR(VLOOKUP(B16,input_358100!L:R,7,FALSE),VLOOKUP(tables_358100!C16,input_358100!A:H,8,FALSE))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input_358100!A$2</f>
        <v>358100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IFERROR(VLOOKUP(B17,input_358100!L:R,7,FALSE),VLOOKUP(tables_358100!C17,input_358100!A:H,8,FALSE))</f>
        <v>72960</v>
      </c>
      <c r="P17" s="46">
        <f t="shared" ca="1" si="2"/>
        <v>1.2307692307692308E-2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input_358100!A$2</f>
        <v>358100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IFERROR(VLOOKUP(B18,input_358100!L:R,7,FALSE),VLOOKUP(tables_358100!C18,input_358100!A:H,8,FALSE))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input_358100!A$2</f>
        <v>358100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IFERROR(VLOOKUP(B19,input_358100!L:R,7,FALSE),VLOOKUP(tables_358100!C19,input_358100!A:H,8,FALSE))</f>
        <v>72960</v>
      </c>
      <c r="P19" s="46">
        <f t="shared" ca="1" si="2"/>
        <v>1.2307692307692308E-2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input_358100!A$2</f>
        <v>358100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IFERROR(VLOOKUP(B20,input_358100!L:R,7,FALSE),VLOOKUP(tables_358100!C20,input_358100!A:H,8,FALSE))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input_358100!A$2</f>
        <v>358100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IFERROR(VLOOKUP(B21,input_358100!L:R,7,FALSE),VLOOKUP(tables_358100!C21,input_358100!A:H,8,FALSE))</f>
        <v>72960</v>
      </c>
      <c r="P21" s="46">
        <f t="shared" ca="1" si="2"/>
        <v>1.2307692307692308E-2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input_358100!A$2</f>
        <v>358100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IFERROR(VLOOKUP(B22,input_358100!L:R,7,FALSE),VLOOKUP(tables_358100!C22,input_358100!A:H,8,FALSE))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input_358100!A$2</f>
        <v>358100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IFERROR(VLOOKUP(B23,input_358100!L:R,7,FALSE),VLOOKUP(tables_358100!C23,input_358100!A:H,8,FALSE))</f>
        <v>72960</v>
      </c>
      <c r="P23" s="46">
        <f t="shared" ca="1" si="2"/>
        <v>1.2307692307692308E-2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input_358100!A$2</f>
        <v>358100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IFERROR(VLOOKUP(B24,input_358100!L:R,7,FALSE),VLOOKUP(tables_358100!C24,input_358100!A:H,8,FALSE))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input_358100!A$2</f>
        <v>358100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IFERROR(VLOOKUP(B25,input_358100!L:R,7,FALSE),VLOOKUP(tables_358100!C25,input_358100!A:H,8,FALSE))</f>
        <v>72960</v>
      </c>
      <c r="P25" s="46">
        <f t="shared" ca="1" si="2"/>
        <v>1.2307692307692308E-2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input_358100!A$2</f>
        <v>358100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IFERROR(VLOOKUP(B26,input_358100!L:R,7,FALSE),VLOOKUP(tables_358100!C26,input_358100!A:H,8,FALSE))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input_358100!A$2</f>
        <v>358100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IFERROR(VLOOKUP(B27,input_358100!L:R,7,FALSE),VLOOKUP(tables_358100!C27,input_358100!A:H,8,FALSE))</f>
        <v>72960</v>
      </c>
      <c r="P27" s="46">
        <f t="shared" ca="1" si="2"/>
        <v>1.2307692307692308E-2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input_358100!A$2</f>
        <v>358100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IFERROR(VLOOKUP(B28,input_358100!L:R,7,FALSE),VLOOKUP(tables_358100!C28,input_358100!A:H,8,FALSE))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input_358100!A$2</f>
        <v>358100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IFERROR(VLOOKUP(B29,input_358100!L:R,7,FALSE),VLOOKUP(tables_358100!C29,input_358100!A:H,8,FALSE))</f>
        <v>72960</v>
      </c>
      <c r="P29" s="46">
        <f t="shared" ca="1" si="2"/>
        <v>1.2307692307692308E-2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input_358100!A$2</f>
        <v>358100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IFERROR(VLOOKUP(B30,input_358100!L:R,7,FALSE),VLOOKUP(tables_358100!C30,input_358100!A:H,8,FALSE))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input_358100!A$2</f>
        <v>358100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IFERROR(VLOOKUP(B31,input_358100!L:R,7,FALSE),VLOOKUP(tables_358100!C31,input_358100!A:H,8,FALSE))</f>
        <v>72960</v>
      </c>
      <c r="P31" s="46">
        <f t="shared" ca="1" si="2"/>
        <v>1.2307692307692308E-2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input_358100!A$2</f>
        <v>358100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IFERROR(VLOOKUP(B32,input_358100!L:R,7,FALSE),VLOOKUP(tables_358100!C32,input_358100!A:H,8,FALSE))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input_358100!A$2</f>
        <v>358100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IFERROR(VLOOKUP(B33,input_358100!L:R,7,FALSE),VLOOKUP(tables_358100!C33,input_358100!A:H,8,FALSE))</f>
        <v>72960</v>
      </c>
      <c r="P33" s="46">
        <f t="shared" ca="1" si="2"/>
        <v>1.2307692307692308E-2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input_358100!A$2</f>
        <v>358100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IFERROR(VLOOKUP(B34,input_358100!L:R,7,FALSE),VLOOKUP(tables_358100!C34,input_358100!A:H,8,FALSE))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input_358100!A$2</f>
        <v>358100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IFERROR(VLOOKUP(B35,input_358100!L:R,7,FALSE),VLOOKUP(tables_358100!C35,input_358100!A:H,8,FALSE))</f>
        <v>72960</v>
      </c>
      <c r="P35" s="46">
        <f t="shared" ca="1" si="2"/>
        <v>1.2307692307692308E-2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input_358100!A$2</f>
        <v>358100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IFERROR(VLOOKUP(B36,input_358100!L:R,7,FALSE),VLOOKUP(tables_358100!C36,input_358100!A:H,8,FALSE))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input_358100!A$2</f>
        <v>358100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IFERROR(VLOOKUP(B37,input_358100!L:R,7,FALSE),VLOOKUP(tables_358100!C37,input_358100!A:H,8,FALSE))</f>
        <v>72960</v>
      </c>
      <c r="P37" s="46">
        <f t="shared" ca="1" si="2"/>
        <v>1.2307692307692308E-2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input_358100!A$2</f>
        <v>358100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IFERROR(VLOOKUP(B38,input_358100!L:R,7,FALSE),VLOOKUP(tables_358100!C38,input_358100!A:H,8,FALSE))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input_358100!A$2</f>
        <v>358100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IFERROR(VLOOKUP(B39,input_358100!L:R,7,FALSE),VLOOKUP(tables_358100!C39,input_358100!A:H,8,FALSE))</f>
        <v>72960</v>
      </c>
      <c r="P39" s="46">
        <f t="shared" ca="1" si="2"/>
        <v>1.2307692307692308E-2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input_358100!A$2</f>
        <v>358100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IFERROR(VLOOKUP(B40,input_358100!L:R,7,FALSE),VLOOKUP(tables_358100!C40,input_358100!A:H,8,FALSE))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input_358100!A$2</f>
        <v>358100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IFERROR(VLOOKUP(B41,input_358100!L:R,7,FALSE),VLOOKUP(tables_358100!C41,input_358100!A:H,8,FALSE))</f>
        <v>72960</v>
      </c>
      <c r="P41" s="46">
        <f t="shared" ca="1" si="2"/>
        <v>1.2307692307692308E-2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input_358100!A$2</f>
        <v>358100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IFERROR(VLOOKUP(B42,input_358100!L:R,7,FALSE),VLOOKUP(tables_358100!C42,input_358100!A:H,8,FALSE))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input_358100!A$2</f>
        <v>358100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IFERROR(VLOOKUP(B43,input_358100!L:R,7,FALSE),VLOOKUP(tables_358100!C43,input_358100!A:H,8,FALSE))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input_358100!A$2</f>
        <v>358100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IFERROR(VLOOKUP(B44,input_358100!L:R,7,FALSE),VLOOKUP(tables_358100!C44,input_358100!A:H,8,FALSE))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input_358100!A$2</f>
        <v>358100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IFERROR(VLOOKUP(B45,input_358100!L:R,7,FALSE),VLOOKUP(tables_358100!C45,input_358100!A:H,8,FALSE))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input_358100!A$2</f>
        <v>358100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IFERROR(VLOOKUP(B46,input_358100!L:R,7,FALSE),VLOOKUP(tables_358100!C46,input_358100!A:H,8,FALSE))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input_358100!A$2</f>
        <v>358100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IFERROR(VLOOKUP(B47,input_358100!L:R,7,FALSE),VLOOKUP(tables_358100!C47,input_358100!A:H,8,FALSE))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input_358100!A$2</f>
        <v>358100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IFERROR(VLOOKUP(B48,input_358100!L:R,7,FALSE),VLOOKUP(tables_358100!C48,input_358100!A:H,8,FALSE))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input_358100!A$2</f>
        <v>358100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IFERROR(VLOOKUP(B49,input_358100!L:R,7,FALSE),VLOOKUP(tables_358100!C49,input_358100!A:H,8,FALSE))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input_358100!A$2</f>
        <v>358100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IFERROR(VLOOKUP(B50,input_358100!L:R,7,FALSE),VLOOKUP(tables_358100!C50,input_358100!A:H,8,FALSE))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input_358100!A$2</f>
        <v>358100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IFERROR(VLOOKUP(B51,input_358100!L:R,7,FALSE),VLOOKUP(tables_358100!C51,input_358100!A:H,8,FALSE))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input_358100!A$2</f>
        <v>358100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IFERROR(VLOOKUP(B52,input_358100!L:R,7,FALSE),VLOOKUP(tables_358100!C52,input_358100!A:H,8,FALSE))</f>
        <v>69312</v>
      </c>
      <c r="P52" s="46">
        <f t="shared" ca="1" si="2"/>
        <v>1.1692307692307693E-2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input_358100!A$2</f>
        <v>358100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IFERROR(VLOOKUP(B53,input_358100!L:R,7,FALSE),VLOOKUP(tables_358100!C53,input_358100!A:H,8,FALSE))</f>
        <v>3648</v>
      </c>
      <c r="P53" s="46">
        <f t="shared" ca="1" si="2"/>
        <v>6.1538461538461541E-4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input_358100!A$2</f>
        <v>358100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IFERROR(VLOOKUP(B54,input_358100!L:R,7,FALSE),VLOOKUP(tables_358100!C54,input_358100!A:H,8,FALSE))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input_358100!A$2</f>
        <v>358100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IFERROR(VLOOKUP(B55,input_358100!L:R,7,FALSE),VLOOKUP(tables_358100!C55,input_358100!A:H,8,FALSE))</f>
        <v>69312</v>
      </c>
      <c r="P55" s="46">
        <f t="shared" ca="1" si="2"/>
        <v>1.1692307692307693E-2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input_358100!A$2</f>
        <v>358100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IFERROR(VLOOKUP(B56,input_358100!L:R,7,FALSE),VLOOKUP(tables_358100!C56,input_358100!A:H,8,FALSE))</f>
        <v>3648</v>
      </c>
      <c r="P56" s="46">
        <f t="shared" ca="1" si="2"/>
        <v>6.1538461538461541E-4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input_358100!A$2</f>
        <v>358100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IFERROR(VLOOKUP(B57,input_358100!L:R,7,FALSE),VLOOKUP(tables_358100!C57,input_358100!A:H,8,FALSE))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input_358100!A$2</f>
        <v>358100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IFERROR(VLOOKUP(B58,input_358100!L:R,7,FALSE),VLOOKUP(tables_358100!C58,input_358100!A:H,8,FALSE))</f>
        <v>69312</v>
      </c>
      <c r="P58" s="46">
        <f t="shared" ca="1" si="2"/>
        <v>1.1692307692307693E-2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input_358100!A$2</f>
        <v>358100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IFERROR(VLOOKUP(B59,input_358100!L:R,7,FALSE),VLOOKUP(tables_358100!C59,input_358100!A:H,8,FALSE))</f>
        <v>3648</v>
      </c>
      <c r="P59" s="46">
        <f t="shared" ca="1" si="2"/>
        <v>6.1538461538461541E-4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input_358100!A$2</f>
        <v>358100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IFERROR(VLOOKUP(B60,input_358100!L:R,7,FALSE),VLOOKUP(tables_358100!C60,input_358100!A:H,8,FALSE))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input_358100!A$2</f>
        <v>358100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IFERROR(VLOOKUP(B61,input_358100!L:R,7,FALSE),VLOOKUP(tables_358100!C61,input_358100!A:H,8,FALSE))</f>
        <v>69312</v>
      </c>
      <c r="P61" s="46">
        <f t="shared" ca="1" si="2"/>
        <v>1.1692307692307693E-2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input_358100!A$2</f>
        <v>358100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IFERROR(VLOOKUP(B62,input_358100!L:R,7,FALSE),VLOOKUP(tables_358100!C62,input_358100!A:H,8,FALSE))</f>
        <v>3648</v>
      </c>
      <c r="P62" s="46">
        <f t="shared" ca="1" si="2"/>
        <v>6.1538461538461541E-4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input_358100!A$2</f>
        <v>358100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IFERROR(VLOOKUP(B63,input_358100!L:R,7,FALSE),VLOOKUP(tables_358100!C63,input_358100!A:H,8,FALSE))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input_358100!A$2</f>
        <v>358100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IFERROR(VLOOKUP(B64,input_358100!L:R,7,FALSE),VLOOKUP(tables_358100!C64,input_358100!A:H,8,FALSE))</f>
        <v>69312</v>
      </c>
      <c r="P64" s="46">
        <f t="shared" ca="1" si="2"/>
        <v>1.1692307692307693E-2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input_358100!A$2</f>
        <v>358100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IFERROR(VLOOKUP(B65,input_358100!L:R,7,FALSE),VLOOKUP(tables_358100!C65,input_358100!A:H,8,FALSE))</f>
        <v>3648</v>
      </c>
      <c r="P65" s="46">
        <f t="shared" ca="1" si="2"/>
        <v>6.1538461538461541E-4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input_358100!A$2</f>
        <v>358100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IFERROR(VLOOKUP(B66,input_358100!L:R,7,FALSE),VLOOKUP(tables_358100!C66,input_358100!A:H,8,FALSE))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input_358100!A$2</f>
        <v>358100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IFERROR(VLOOKUP(B67,input_358100!L:R,7,FALSE),VLOOKUP(tables_358100!C67,input_358100!A:H,8,FALSE))</f>
        <v>69312</v>
      </c>
      <c r="P67" s="46">
        <f t="shared" ca="1" si="2"/>
        <v>1.1692307692307693E-2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input_358100!A$2</f>
        <v>358100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IFERROR(VLOOKUP(B68,input_358100!L:R,7,FALSE),VLOOKUP(tables_358100!C68,input_358100!A:H,8,FALSE))</f>
        <v>3648</v>
      </c>
      <c r="P68" s="46">
        <f t="shared" ca="1" si="2"/>
        <v>6.1538461538461541E-4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input_358100!A$2</f>
        <v>358100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IFERROR(VLOOKUP(B69,input_358100!L:R,7,FALSE),VLOOKUP(tables_358100!C69,input_358100!A:H,8,FALSE))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input_358100!A$2</f>
        <v>358100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IFERROR(VLOOKUP(B70,input_358100!L:R,7,FALSE),VLOOKUP(tables_358100!C70,input_358100!A:H,8,FALSE))</f>
        <v>69312</v>
      </c>
      <c r="P70" s="46">
        <f t="shared" ca="1" si="2"/>
        <v>1.1692307692307693E-2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input_358100!A$2</f>
        <v>358100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IFERROR(VLOOKUP(B71,input_358100!L:R,7,FALSE),VLOOKUP(tables_358100!C71,input_358100!A:H,8,FALSE))</f>
        <v>3648</v>
      </c>
      <c r="P71" s="46">
        <f t="shared" ca="1" si="2"/>
        <v>6.1538461538461541E-4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input_358100!A$2</f>
        <v>358100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IFERROR(VLOOKUP(B72,input_358100!L:R,7,FALSE),VLOOKUP(tables_358100!C72,input_358100!A:H,8,FALSE))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input_358100!A$2</f>
        <v>358100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IFERROR(VLOOKUP(B73,input_358100!L:R,7,FALSE),VLOOKUP(tables_358100!C73,input_358100!A:H,8,FALSE))</f>
        <v>69312</v>
      </c>
      <c r="P73" s="46">
        <f t="shared" ca="1" si="2"/>
        <v>1.1692307692307693E-2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input_358100!A$2</f>
        <v>358100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IFERROR(VLOOKUP(B74,input_358100!L:R,7,FALSE),VLOOKUP(tables_358100!C74,input_358100!A:H,8,FALSE))</f>
        <v>3648</v>
      </c>
      <c r="P74" s="46">
        <f t="shared" ca="1" si="2"/>
        <v>6.1538461538461541E-4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input_358100!A$2</f>
        <v>358100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IFERROR(VLOOKUP(B75,input_358100!L:R,7,FALSE),VLOOKUP(tables_358100!C75,input_358100!A:H,8,FALSE))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input_358100!A$2</f>
        <v>358100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IFERROR(VLOOKUP(B76,input_358100!L:R,7,FALSE),VLOOKUP(tables_358100!C76,input_358100!A:H,8,FALSE))</f>
        <v>69312</v>
      </c>
      <c r="P76" s="46">
        <f t="shared" ca="1" si="2"/>
        <v>1.1692307692307693E-2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input_358100!A$2</f>
        <v>358100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IFERROR(VLOOKUP(B77,input_358100!L:R,7,FALSE),VLOOKUP(tables_358100!C77,input_358100!A:H,8,FALSE))</f>
        <v>3648</v>
      </c>
      <c r="P77" s="46">
        <f t="shared" ca="1" si="2"/>
        <v>6.1538461538461541E-4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input_358100!A$2</f>
        <v>358100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IFERROR(VLOOKUP(B78,input_358100!L:R,7,FALSE),VLOOKUP(tables_358100!C78,input_358100!A:H,8,FALSE))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input_358100!A$2</f>
        <v>358100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IFERROR(VLOOKUP(B79,input_358100!L:R,7,FALSE),VLOOKUP(tables_358100!C79,input_358100!A:H,8,FALSE))</f>
        <v>69312</v>
      </c>
      <c r="P79" s="46">
        <f t="shared" ref="P79:P142" ca="1" si="5">O79/SUM(O:O)</f>
        <v>1.1692307692307693E-2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input_358100!A$2</f>
        <v>358100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IFERROR(VLOOKUP(B80,input_358100!L:R,7,FALSE),VLOOKUP(tables_358100!C80,input_358100!A:H,8,FALSE))</f>
        <v>3648</v>
      </c>
      <c r="P80" s="46">
        <f t="shared" ca="1" si="5"/>
        <v>6.1538461538461541E-4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input_358100!A$2</f>
        <v>358100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IFERROR(VLOOKUP(B81,input_358100!L:R,7,FALSE),VLOOKUP(tables_358100!C81,input_358100!A:H,8,FALSE))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input_358100!A$2</f>
        <v>358100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IFERROR(VLOOKUP(B82,input_358100!L:R,7,FALSE),VLOOKUP(tables_358100!C82,input_358100!A:H,8,FALSE))</f>
        <v>69312</v>
      </c>
      <c r="P82" s="46">
        <f t="shared" ca="1" si="5"/>
        <v>1.1692307692307693E-2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input_358100!A$2</f>
        <v>358100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IFERROR(VLOOKUP(B83,input_358100!L:R,7,FALSE),VLOOKUP(tables_358100!C83,input_358100!A:H,8,FALSE))</f>
        <v>3648</v>
      </c>
      <c r="P83" s="46">
        <f t="shared" ca="1" si="5"/>
        <v>6.1538461538461541E-4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input_358100!A$2</f>
        <v>358100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IFERROR(VLOOKUP(B84,input_358100!L:R,7,FALSE),VLOOKUP(tables_358100!C84,input_358100!A:H,8,FALSE))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input_358100!A$2</f>
        <v>358100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IFERROR(VLOOKUP(B85,input_358100!L:R,7,FALSE),VLOOKUP(tables_358100!C85,input_358100!A:H,8,FALSE))</f>
        <v>69312</v>
      </c>
      <c r="P85" s="46">
        <f t="shared" ca="1" si="5"/>
        <v>1.1692307692307693E-2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input_358100!A$2</f>
        <v>358100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IFERROR(VLOOKUP(B86,input_358100!L:R,7,FALSE),VLOOKUP(tables_358100!C86,input_358100!A:H,8,FALSE))</f>
        <v>3648</v>
      </c>
      <c r="P86" s="46">
        <f t="shared" ca="1" si="5"/>
        <v>6.1538461538461541E-4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input_358100!A$2</f>
        <v>358100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IFERROR(VLOOKUP(B87,input_358100!L:R,7,FALSE),VLOOKUP(tables_358100!C87,input_358100!A:H,8,FALSE))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input_358100!A$2</f>
        <v>358100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IFERROR(VLOOKUP(B88,input_358100!L:R,7,FALSE),VLOOKUP(tables_358100!C88,input_358100!A:H,8,FALSE))</f>
        <v>69312</v>
      </c>
      <c r="P88" s="46">
        <f t="shared" ca="1" si="5"/>
        <v>1.1692307692307693E-2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input_358100!A$2</f>
        <v>358100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IFERROR(VLOOKUP(B89,input_358100!L:R,7,FALSE),VLOOKUP(tables_358100!C89,input_358100!A:H,8,FALSE))</f>
        <v>3648</v>
      </c>
      <c r="P89" s="46">
        <f t="shared" ca="1" si="5"/>
        <v>6.1538461538461541E-4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input_358100!A$2</f>
        <v>358100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IFERROR(VLOOKUP(B90,input_358100!L:R,7,FALSE),VLOOKUP(tables_358100!C90,input_358100!A:H,8,FALSE))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input_358100!A$2</f>
        <v>358100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IFERROR(VLOOKUP(B91,input_358100!L:R,7,FALSE),VLOOKUP(tables_358100!C91,input_358100!A:H,8,FALSE))</f>
        <v>69312</v>
      </c>
      <c r="P91" s="46">
        <f t="shared" ca="1" si="5"/>
        <v>1.1692307692307693E-2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input_358100!A$2</f>
        <v>358100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IFERROR(VLOOKUP(B92,input_358100!L:R,7,FALSE),VLOOKUP(tables_358100!C92,input_358100!A:H,8,FALSE))</f>
        <v>3648</v>
      </c>
      <c r="P92" s="46">
        <f t="shared" ca="1" si="5"/>
        <v>6.1538461538461541E-4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input_358100!A$2</f>
        <v>358100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IFERROR(VLOOKUP(B93,input_358100!L:R,7,FALSE),VLOOKUP(tables_358100!C93,input_358100!A:H,8,FALSE))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input_358100!A$2</f>
        <v>358100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IFERROR(VLOOKUP(B94,input_358100!L:R,7,FALSE),VLOOKUP(tables_358100!C94,input_358100!A:H,8,FALSE))</f>
        <v>69312</v>
      </c>
      <c r="P94" s="46">
        <f t="shared" ca="1" si="5"/>
        <v>1.1692307692307693E-2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input_358100!A$2</f>
        <v>358100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IFERROR(VLOOKUP(B95,input_358100!L:R,7,FALSE),VLOOKUP(tables_358100!C95,input_358100!A:H,8,FALSE))</f>
        <v>3648</v>
      </c>
      <c r="P95" s="46">
        <f t="shared" ca="1" si="5"/>
        <v>6.1538461538461541E-4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input_358100!A$2</f>
        <v>358100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IFERROR(VLOOKUP(B96,input_358100!L:R,7,FALSE),VLOOKUP(tables_358100!C96,input_358100!A:H,8,FALSE))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input_358100!A$2</f>
        <v>358100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IFERROR(VLOOKUP(B97,input_358100!L:R,7,FALSE),VLOOKUP(tables_358100!C97,input_358100!A:H,8,FALSE))</f>
        <v>69312</v>
      </c>
      <c r="P97" s="46">
        <f t="shared" ca="1" si="5"/>
        <v>1.1692307692307693E-2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input_358100!A$2</f>
        <v>358100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IFERROR(VLOOKUP(B98,input_358100!L:R,7,FALSE),VLOOKUP(tables_358100!C98,input_358100!A:H,8,FALSE))</f>
        <v>3648</v>
      </c>
      <c r="P98" s="46">
        <f t="shared" ca="1" si="5"/>
        <v>6.1538461538461541E-4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input_358100!A$2</f>
        <v>358100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IFERROR(VLOOKUP(B99,input_358100!L:R,7,FALSE),VLOOKUP(tables_358100!C99,input_358100!A:H,8,FALSE))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input_358100!A$2</f>
        <v>358100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IFERROR(VLOOKUP(B100,input_358100!L:R,7,FALSE),VLOOKUP(tables_358100!C100,input_358100!A:H,8,FALSE))</f>
        <v>69312</v>
      </c>
      <c r="P100" s="46">
        <f t="shared" ca="1" si="5"/>
        <v>1.1692307692307693E-2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input_358100!A$2</f>
        <v>358100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IFERROR(VLOOKUP(B101,input_358100!L:R,7,FALSE),VLOOKUP(tables_358100!C101,input_358100!A:H,8,FALSE))</f>
        <v>3648</v>
      </c>
      <c r="P101" s="46">
        <f t="shared" ca="1" si="5"/>
        <v>6.1538461538461541E-4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input_358100!A$2</f>
        <v>358100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IFERROR(VLOOKUP(B102,input_358100!L:R,7,FALSE),VLOOKUP(tables_358100!C102,input_358100!A:H,8,FALSE))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input_358100!A$2</f>
        <v>358100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IFERROR(VLOOKUP(B103,input_358100!L:R,7,FALSE),VLOOKUP(tables_358100!C103,input_358100!A:H,8,FALSE))</f>
        <v>69312</v>
      </c>
      <c r="P103" s="46">
        <f t="shared" ca="1" si="5"/>
        <v>1.1692307692307693E-2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input_358100!A$2</f>
        <v>358100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IFERROR(VLOOKUP(B104,input_358100!L:R,7,FALSE),VLOOKUP(tables_358100!C104,input_358100!A:H,8,FALSE))</f>
        <v>3648</v>
      </c>
      <c r="P104" s="46">
        <f t="shared" ca="1" si="5"/>
        <v>6.1538461538461541E-4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input_358100!A$2</f>
        <v>358100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IFERROR(VLOOKUP(B105,input_358100!L:R,7,FALSE),VLOOKUP(tables_358100!C105,input_358100!A:H,8,FALSE))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input_358100!A$2</f>
        <v>358100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IFERROR(VLOOKUP(B106,input_358100!L:R,7,FALSE),VLOOKUP(tables_358100!C106,input_358100!A:H,8,FALSE))</f>
        <v>69312</v>
      </c>
      <c r="P106" s="46">
        <f t="shared" ca="1" si="5"/>
        <v>1.1692307692307693E-2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input_358100!A$2</f>
        <v>358100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IFERROR(VLOOKUP(B107,input_358100!L:R,7,FALSE),VLOOKUP(tables_358100!C107,input_358100!A:H,8,FALSE))</f>
        <v>3648</v>
      </c>
      <c r="P107" s="46">
        <f t="shared" ca="1" si="5"/>
        <v>6.1538461538461541E-4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input_358100!A$2</f>
        <v>358100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IFERROR(VLOOKUP(B108,input_358100!L:R,7,FALSE),VLOOKUP(tables_358100!C108,input_358100!A:H,8,FALSE))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input_358100!A$2</f>
        <v>358100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IFERROR(VLOOKUP(B109,input_358100!L:R,7,FALSE),VLOOKUP(tables_358100!C109,input_358100!A:H,8,FALSE))</f>
        <v>69312</v>
      </c>
      <c r="P109" s="46">
        <f t="shared" ca="1" si="5"/>
        <v>1.1692307692307693E-2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input_358100!A$2</f>
        <v>358100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IFERROR(VLOOKUP(B110,input_358100!L:R,7,FALSE),VLOOKUP(tables_358100!C110,input_358100!A:H,8,FALSE))</f>
        <v>3648</v>
      </c>
      <c r="P110" s="46">
        <f t="shared" ca="1" si="5"/>
        <v>6.1538461538461541E-4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input_358100!A$2</f>
        <v>358100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IFERROR(VLOOKUP(B111,input_358100!L:R,7,FALSE),VLOOKUP(tables_358100!C111,input_358100!A:H,8,FALSE))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input_358100!A$2</f>
        <v>358100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IFERROR(VLOOKUP(B112,input_358100!L:R,7,FALSE),VLOOKUP(tables_358100!C112,input_358100!A:H,8,FALSE))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input_358100!A$2</f>
        <v>358100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IFERROR(VLOOKUP(B113,input_358100!L:R,7,FALSE),VLOOKUP(tables_358100!C113,input_358100!A:H,8,FALSE))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input_358100!A$2</f>
        <v>358100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IFERROR(VLOOKUP(B114,input_358100!L:R,7,FALSE),VLOOKUP(tables_358100!C114,input_358100!A:H,8,FALSE))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input_358100!A$2</f>
        <v>358100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IFERROR(VLOOKUP(B115,input_358100!L:R,7,FALSE),VLOOKUP(tables_358100!C115,input_358100!A:H,8,FALSE))</f>
        <v>69312</v>
      </c>
      <c r="P115" s="46">
        <f t="shared" ca="1" si="5"/>
        <v>1.1692307692307693E-2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input_358100!A$2</f>
        <v>358100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IFERROR(VLOOKUP(B116,input_358100!L:R,7,FALSE),VLOOKUP(tables_358100!C116,input_358100!A:H,8,FALSE))</f>
        <v>3648</v>
      </c>
      <c r="P116" s="46">
        <f t="shared" ca="1" si="5"/>
        <v>6.1538461538461541E-4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input_358100!A$2</f>
        <v>358100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IFERROR(VLOOKUP(B117,input_358100!L:R,7,FALSE),VLOOKUP(tables_358100!C117,input_358100!A:H,8,FALSE))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input_358100!A$2</f>
        <v>358100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IFERROR(VLOOKUP(B118,input_358100!L:R,7,FALSE),VLOOKUP(tables_358100!C118,input_358100!A:H,8,FALSE))</f>
        <v>69312</v>
      </c>
      <c r="P118" s="46">
        <f t="shared" ca="1" si="5"/>
        <v>1.1692307692307693E-2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input_358100!A$2</f>
        <v>358100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IFERROR(VLOOKUP(B119,input_358100!L:R,7,FALSE),VLOOKUP(tables_358100!C119,input_358100!A:H,8,FALSE))</f>
        <v>3648</v>
      </c>
      <c r="P119" s="46">
        <f t="shared" ca="1" si="5"/>
        <v>6.1538461538461541E-4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input_358100!A$2</f>
        <v>358100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IFERROR(VLOOKUP(B120,input_358100!L:R,7,FALSE),VLOOKUP(tables_358100!C120,input_358100!A:H,8,FALSE))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input_358100!A$2</f>
        <v>358100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IFERROR(VLOOKUP(B121,input_358100!L:R,7,FALSE),VLOOKUP(tables_358100!C121,input_358100!A:H,8,FALSE))</f>
        <v>69312</v>
      </c>
      <c r="P121" s="46">
        <f t="shared" ca="1" si="5"/>
        <v>1.1692307692307693E-2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input_358100!A$2</f>
        <v>358100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IFERROR(VLOOKUP(B122,input_358100!L:R,7,FALSE),VLOOKUP(tables_358100!C122,input_358100!A:H,8,FALSE))</f>
        <v>3648</v>
      </c>
      <c r="P122" s="46">
        <f t="shared" ca="1" si="5"/>
        <v>6.1538461538461541E-4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input_358100!A$2</f>
        <v>358100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IFERROR(VLOOKUP(B123,input_358100!L:R,7,FALSE),VLOOKUP(tables_358100!C123,input_358100!A:H,8,FALSE))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input_358100!A$2</f>
        <v>358100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IFERROR(VLOOKUP(B124,input_358100!L:R,7,FALSE),VLOOKUP(tables_358100!C124,input_358100!A:H,8,FALSE))</f>
        <v>69312</v>
      </c>
      <c r="P124" s="46">
        <f t="shared" ca="1" si="5"/>
        <v>1.1692307692307693E-2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input_358100!A$2</f>
        <v>358100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IFERROR(VLOOKUP(B125,input_358100!L:R,7,FALSE),VLOOKUP(tables_358100!C125,input_358100!A:H,8,FALSE))</f>
        <v>3648</v>
      </c>
      <c r="P125" s="46">
        <f t="shared" ca="1" si="5"/>
        <v>6.1538461538461541E-4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input_358100!A$2</f>
        <v>358100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IFERROR(VLOOKUP(B126,input_358100!L:R,7,FALSE),VLOOKUP(tables_358100!C126,input_358100!A:H,8,FALSE))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input_358100!A$2</f>
        <v>358100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IFERROR(VLOOKUP(B127,input_358100!L:R,7,FALSE),VLOOKUP(tables_358100!C127,input_358100!A:H,8,FALSE))</f>
        <v>69312</v>
      </c>
      <c r="P127" s="46">
        <f t="shared" ca="1" si="5"/>
        <v>1.1692307692307693E-2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input_358100!A$2</f>
        <v>358100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IFERROR(VLOOKUP(B128,input_358100!L:R,7,FALSE),VLOOKUP(tables_358100!C128,input_358100!A:H,8,FALSE))</f>
        <v>3648</v>
      </c>
      <c r="P128" s="46">
        <f t="shared" ca="1" si="5"/>
        <v>6.1538461538461541E-4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input_358100!A$2</f>
        <v>358100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IFERROR(VLOOKUP(B129,input_358100!L:R,7,FALSE),VLOOKUP(tables_358100!C129,input_358100!A:H,8,FALSE))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input_358100!A$2</f>
        <v>358100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IFERROR(VLOOKUP(B130,input_358100!L:R,7,FALSE),VLOOKUP(tables_358100!C130,input_358100!A:H,8,FALSE))</f>
        <v>69312</v>
      </c>
      <c r="P130" s="46">
        <f t="shared" ca="1" si="5"/>
        <v>1.1692307692307693E-2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input_358100!A$2</f>
        <v>358100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IFERROR(VLOOKUP(B131,input_358100!L:R,7,FALSE),VLOOKUP(tables_358100!C131,input_358100!A:H,8,FALSE))</f>
        <v>3648</v>
      </c>
      <c r="P131" s="46">
        <f t="shared" ca="1" si="5"/>
        <v>6.1538461538461541E-4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input_358100!A$2</f>
        <v>358100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IFERROR(VLOOKUP(B132,input_358100!L:R,7,FALSE),VLOOKUP(tables_358100!C132,input_358100!A:H,8,FALSE))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input_358100!A$2</f>
        <v>358100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IFERROR(VLOOKUP(B133,input_358100!L:R,7,FALSE),VLOOKUP(tables_358100!C133,input_358100!A:H,8,FALSE))</f>
        <v>69312</v>
      </c>
      <c r="P133" s="46">
        <f t="shared" ca="1" si="5"/>
        <v>1.1692307692307693E-2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input_358100!A$2</f>
        <v>358100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IFERROR(VLOOKUP(B134,input_358100!L:R,7,FALSE),VLOOKUP(tables_358100!C134,input_358100!A:H,8,FALSE))</f>
        <v>3648</v>
      </c>
      <c r="P134" s="46">
        <f t="shared" ca="1" si="5"/>
        <v>6.1538461538461541E-4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input_358100!A$2</f>
        <v>358100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IFERROR(VLOOKUP(B135,input_358100!L:R,7,FALSE),VLOOKUP(tables_358100!C135,input_358100!A:H,8,FALSE))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input_358100!A$2</f>
        <v>358100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IFERROR(VLOOKUP(B136,input_358100!L:R,7,FALSE),VLOOKUP(tables_358100!C136,input_358100!A:H,8,FALSE))</f>
        <v>69312</v>
      </c>
      <c r="P136" s="46">
        <f t="shared" ca="1" si="5"/>
        <v>1.1692307692307693E-2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input_358100!A$2</f>
        <v>358100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IFERROR(VLOOKUP(B137,input_358100!L:R,7,FALSE),VLOOKUP(tables_358100!C137,input_358100!A:H,8,FALSE))</f>
        <v>3648</v>
      </c>
      <c r="P137" s="46">
        <f t="shared" ca="1" si="5"/>
        <v>6.1538461538461541E-4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input_358100!A$2</f>
        <v>358100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IFERROR(VLOOKUP(B138,input_358100!L:R,7,FALSE),VLOOKUP(tables_358100!C138,input_358100!A:H,8,FALSE))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input_358100!A$2</f>
        <v>358100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IFERROR(VLOOKUP(B139,input_358100!L:R,7,FALSE),VLOOKUP(tables_358100!C139,input_358100!A:H,8,FALSE))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input_358100!A$2</f>
        <v>358100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IFERROR(VLOOKUP(B140,input_358100!L:R,7,FALSE),VLOOKUP(tables_358100!C140,input_358100!A:H,8,FALSE))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input_358100!A$2</f>
        <v>358100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IFERROR(VLOOKUP(B141,input_358100!L:R,7,FALSE),VLOOKUP(tables_358100!C141,input_358100!A:H,8,FALSE))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input_358100!A$2</f>
        <v>358100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IFERROR(VLOOKUP(B142,input_358100!L:R,7,FALSE),VLOOKUP(tables_358100!C142,input_358100!A:H,8,FALSE))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input_358100!A$2</f>
        <v>358100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IFERROR(VLOOKUP(B143,input_358100!L:R,7,FALSE),VLOOKUP(tables_358100!C143,input_358100!A:H,8,FALSE))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input_358100!A$2</f>
        <v>358100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IFERROR(VLOOKUP(B144,input_358100!L:R,7,FALSE),VLOOKUP(tables_358100!C144,input_358100!A:H,8,FALSE))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input_358100!A$2</f>
        <v>358100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IFERROR(VLOOKUP(B145,input_358100!L:R,7,FALSE),VLOOKUP(tables_358100!C145,input_358100!A:H,8,FALSE))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input_358100!A$2</f>
        <v>358100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IFERROR(VLOOKUP(B146,input_358100!L:R,7,FALSE),VLOOKUP(tables_358100!C146,input_358100!A:H,8,FALSE))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input_358100!A$2</f>
        <v>358100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IFERROR(VLOOKUP(B147,input_358100!L:R,7,FALSE),VLOOKUP(tables_358100!C147,input_358100!A:H,8,FALSE))</f>
        <v>69312</v>
      </c>
      <c r="P147" s="46">
        <f t="shared" ca="1" si="8"/>
        <v>1.1692307692307693E-2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input_358100!A$2</f>
        <v>358100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IFERROR(VLOOKUP(B148,input_358100!L:R,7,FALSE),VLOOKUP(tables_358100!C148,input_358100!A:H,8,FALSE))</f>
        <v>3648</v>
      </c>
      <c r="P148" s="46">
        <f t="shared" ca="1" si="8"/>
        <v>6.1538461538461541E-4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input_358100!A$2</f>
        <v>358100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IFERROR(VLOOKUP(B149,input_358100!L:R,7,FALSE),VLOOKUP(tables_358100!C149,input_358100!A:H,8,FALSE))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input_358100!A$2</f>
        <v>358100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IFERROR(VLOOKUP(B150,input_358100!L:R,7,FALSE),VLOOKUP(tables_358100!C150,input_358100!A:H,8,FALSE))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input_358100!A$2</f>
        <v>358100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IFERROR(VLOOKUP(B151,input_358100!L:R,7,FALSE),VLOOKUP(tables_358100!C151,input_358100!A:H,8,FALSE))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input_358100!A$2</f>
        <v>358100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IFERROR(VLOOKUP(B152,input_358100!L:R,7,FALSE),VLOOKUP(tables_358100!C152,input_358100!A:H,8,FALSE))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input_358100!A$2</f>
        <v>358100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IFERROR(VLOOKUP(B153,input_358100!L:R,7,FALSE),VLOOKUP(tables_358100!C153,input_358100!A:H,8,FALSE))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input_358100!A$2</f>
        <v>358100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IFERROR(VLOOKUP(B154,input_358100!L:R,7,FALSE),VLOOKUP(tables_358100!C154,input_358100!A:H,8,FALSE))</f>
        <v>69312</v>
      </c>
      <c r="P154" s="46">
        <f t="shared" ca="1" si="8"/>
        <v>1.1692307692307693E-2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input_358100!A$2</f>
        <v>358100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IFERROR(VLOOKUP(B155,input_358100!L:R,7,FALSE),VLOOKUP(tables_358100!C155,input_358100!A:H,8,FALSE))</f>
        <v>3648</v>
      </c>
      <c r="P155" s="46">
        <f t="shared" ca="1" si="8"/>
        <v>6.1538461538461541E-4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input_358100!A$2</f>
        <v>358100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IFERROR(VLOOKUP(B156,input_358100!L:R,7,FALSE),VLOOKUP(tables_358100!C156,input_358100!A:H,8,FALSE))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input_358100!A$2</f>
        <v>358100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IFERROR(VLOOKUP(B157,input_358100!L:R,7,FALSE),VLOOKUP(tables_358100!C157,input_358100!A:H,8,FALSE))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input_358100!A$2</f>
        <v>358100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IFERROR(VLOOKUP(B158,input_358100!L:R,7,FALSE),VLOOKUP(tables_358100!C158,input_358100!A:H,8,FALSE))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input_358100!A$2</f>
        <v>358100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IFERROR(VLOOKUP(B159,input_358100!L:R,7,FALSE),VLOOKUP(tables_358100!C159,input_358100!A:H,8,FALSE))</f>
        <v>69312</v>
      </c>
      <c r="P159" s="46">
        <f t="shared" ca="1" si="8"/>
        <v>1.1692307692307693E-2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input_358100!A$2</f>
        <v>358100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IFERROR(VLOOKUP(B160,input_358100!L:R,7,FALSE),VLOOKUP(tables_358100!C160,input_358100!A:H,8,FALSE))</f>
        <v>3648</v>
      </c>
      <c r="P160" s="46">
        <f t="shared" ca="1" si="8"/>
        <v>6.1538461538461541E-4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input_358100!A$2</f>
        <v>358100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IFERROR(VLOOKUP(B161,input_358100!L:R,7,FALSE),VLOOKUP(tables_358100!C161,input_358100!A:H,8,FALSE))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input_358100!A$2</f>
        <v>358100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IFERROR(VLOOKUP(B162,input_358100!L:R,7,FALSE),VLOOKUP(tables_358100!C162,input_358100!A:H,8,FALSE))</f>
        <v>69312</v>
      </c>
      <c r="P162" s="46">
        <f t="shared" ca="1" si="8"/>
        <v>1.1692307692307693E-2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input_358100!A$2</f>
        <v>358100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IFERROR(VLOOKUP(B163,input_358100!L:R,7,FALSE),VLOOKUP(tables_358100!C163,input_358100!A:H,8,FALSE))</f>
        <v>3648</v>
      </c>
      <c r="P163" s="46">
        <f t="shared" ca="1" si="8"/>
        <v>6.1538461538461541E-4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input_358100!A$2</f>
        <v>358100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IFERROR(VLOOKUP(B164,input_358100!L:R,7,FALSE),VLOOKUP(tables_358100!C164,input_358100!A:H,8,FALSE))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input_358100!A$2</f>
        <v>358100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IFERROR(VLOOKUP(B165,input_358100!L:R,7,FALSE),VLOOKUP(tables_358100!C165,input_358100!A:H,8,FALSE))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input_358100!A$2</f>
        <v>358100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IFERROR(VLOOKUP(B166,input_358100!L:R,7,FALSE),VLOOKUP(tables_358100!C166,input_358100!A:H,8,FALSE))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input_358100!A$2</f>
        <v>358100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IFERROR(VLOOKUP(B167,input_358100!L:R,7,FALSE),VLOOKUP(tables_358100!C167,input_358100!A:H,8,FALSE))</f>
        <v>69312</v>
      </c>
      <c r="P167" s="46">
        <f t="shared" ca="1" si="8"/>
        <v>1.1692307692307693E-2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input_358100!A$2</f>
        <v>358100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IFERROR(VLOOKUP(B168,input_358100!L:R,7,FALSE),VLOOKUP(tables_358100!C168,input_358100!A:H,8,FALSE))</f>
        <v>3648</v>
      </c>
      <c r="P168" s="46">
        <f t="shared" ca="1" si="8"/>
        <v>6.1538461538461541E-4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input_358100!A$2</f>
        <v>358100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IFERROR(VLOOKUP(B169,input_358100!L:R,7,FALSE),VLOOKUP(tables_358100!C169,input_358100!A:H,8,FALSE))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input_358100!A$2</f>
        <v>358100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IFERROR(VLOOKUP(B170,input_358100!L:R,7,FALSE),VLOOKUP(tables_358100!C170,input_358100!A:H,8,FALSE))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input_358100!A$2</f>
        <v>358100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IFERROR(VLOOKUP(B171,input_358100!L:R,7,FALSE),VLOOKUP(tables_358100!C171,input_358100!A:H,8,FALSE))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input_358100!A$2</f>
        <v>358100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IFERROR(VLOOKUP(B172,input_358100!L:R,7,FALSE),VLOOKUP(tables_358100!C172,input_358100!A:H,8,FALSE))</f>
        <v>69312</v>
      </c>
      <c r="P172" s="46">
        <f t="shared" ca="1" si="8"/>
        <v>1.1692307692307693E-2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input_358100!A$2</f>
        <v>358100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IFERROR(VLOOKUP(B173,input_358100!L:R,7,FALSE),VLOOKUP(tables_358100!C173,input_358100!A:H,8,FALSE))</f>
        <v>3648</v>
      </c>
      <c r="P173" s="46">
        <f t="shared" ca="1" si="8"/>
        <v>6.1538461538461541E-4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input_358100!A$2</f>
        <v>358100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IFERROR(VLOOKUP(B174,input_358100!L:R,7,FALSE),VLOOKUP(tables_358100!C174,input_358100!A:H,8,FALSE))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input_358100!A$2</f>
        <v>358100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IFERROR(VLOOKUP(B175,input_358100!L:R,7,FALSE),VLOOKUP(tables_358100!C175,input_358100!A:H,8,FALSE))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input_358100!A$2</f>
        <v>358100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IFERROR(VLOOKUP(B176,input_358100!L:R,7,FALSE),VLOOKUP(tables_358100!C176,input_358100!A:H,8,FALSE))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input_358100!A$2</f>
        <v>358100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IFERROR(VLOOKUP(B177,input_358100!L:R,7,FALSE),VLOOKUP(tables_358100!C177,input_358100!A:H,8,FALSE))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input_358100!A$2</f>
        <v>358100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IFERROR(VLOOKUP(B178,input_358100!L:R,7,FALSE),VLOOKUP(tables_358100!C178,input_358100!A:H,8,FALSE))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input_358100!A$2</f>
        <v>358100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IFERROR(VLOOKUP(B179,input_358100!L:R,7,FALSE),VLOOKUP(tables_358100!C179,input_358100!A:H,8,FALSE))</f>
        <v>69312</v>
      </c>
      <c r="P179" s="46">
        <f t="shared" ca="1" si="8"/>
        <v>1.1692307692307693E-2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input_358100!A$2</f>
        <v>358100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IFERROR(VLOOKUP(B180,input_358100!L:R,7,FALSE),VLOOKUP(tables_358100!C180,input_358100!A:H,8,FALSE))</f>
        <v>3648</v>
      </c>
      <c r="P180" s="46">
        <f t="shared" ca="1" si="8"/>
        <v>6.1538461538461541E-4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input_358100!A$2</f>
        <v>358100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IFERROR(VLOOKUP(B181,input_358100!L:R,7,FALSE),VLOOKUP(tables_358100!C181,input_358100!A:H,8,FALSE))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input_358100!A$2</f>
        <v>358100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IFERROR(VLOOKUP(B182,input_358100!L:R,7,FALSE),VLOOKUP(tables_358100!C182,input_358100!A:H,8,FALSE))</f>
        <v>69312</v>
      </c>
      <c r="P182" s="46">
        <f t="shared" ca="1" si="8"/>
        <v>1.1692307692307693E-2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input_358100!A$2</f>
        <v>358100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IFERROR(VLOOKUP(B183,input_358100!L:R,7,FALSE),VLOOKUP(tables_358100!C183,input_358100!A:H,8,FALSE))</f>
        <v>3648</v>
      </c>
      <c r="P183" s="46">
        <f t="shared" ca="1" si="8"/>
        <v>6.1538461538461541E-4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input_358100!A$2</f>
        <v>358100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IFERROR(VLOOKUP(B184,input_358100!L:R,7,FALSE),VLOOKUP(tables_358100!C184,input_358100!A:H,8,FALSE))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input_358100!A$2</f>
        <v>358100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IFERROR(VLOOKUP(B185,input_358100!L:R,7,FALSE),VLOOKUP(tables_358100!C185,input_358100!A:H,8,FALSE))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input_358100!A$2</f>
        <v>358100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IFERROR(VLOOKUP(B186,input_358100!L:R,7,FALSE),VLOOKUP(tables_358100!C186,input_358100!A:H,8,FALSE))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input_358100!A$2</f>
        <v>358100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IFERROR(VLOOKUP(B187,input_358100!L:R,7,FALSE),VLOOKUP(tables_358100!C187,input_358100!A:H,8,FALSE))</f>
        <v>69312</v>
      </c>
      <c r="P187" s="46">
        <f t="shared" ca="1" si="8"/>
        <v>1.1692307692307693E-2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input_358100!A$2</f>
        <v>358100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IFERROR(VLOOKUP(B188,input_358100!L:R,7,FALSE),VLOOKUP(tables_358100!C188,input_358100!A:H,8,FALSE))</f>
        <v>3648</v>
      </c>
      <c r="P188" s="46">
        <f t="shared" ca="1" si="8"/>
        <v>6.1538461538461541E-4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input_358100!A$2</f>
        <v>358100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IFERROR(VLOOKUP(B189,input_358100!L:R,7,FALSE),VLOOKUP(tables_358100!C189,input_358100!A:H,8,FALSE))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input_358100!A$2</f>
        <v>358100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IFERROR(VLOOKUP(B190,input_358100!L:R,7,FALSE),VLOOKUP(tables_358100!C190,input_358100!A:H,8,FALSE))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input_358100!A$2</f>
        <v>358100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IFERROR(VLOOKUP(B191,input_358100!L:R,7,FALSE),VLOOKUP(tables_358100!C191,input_358100!A:H,8,FALSE))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input_358100!A$2</f>
        <v>358100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IFERROR(VLOOKUP(B192,input_358100!L:R,7,FALSE),VLOOKUP(tables_358100!C192,input_358100!A:H,8,FALSE))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input_358100!A$2</f>
        <v>358100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IFERROR(VLOOKUP(B193,input_358100!L:R,7,FALSE),VLOOKUP(tables_358100!C193,input_358100!A:H,8,FALSE))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input_358100!A$2</f>
        <v>358100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IFERROR(VLOOKUP(B194,input_358100!L:R,7,FALSE),VLOOKUP(tables_358100!C194,input_358100!A:H,8,FALSE))</f>
        <v>69312</v>
      </c>
      <c r="P194" s="46">
        <f t="shared" ca="1" si="8"/>
        <v>1.1692307692307693E-2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input_358100!A$2</f>
        <v>358100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IFERROR(VLOOKUP(B195,input_358100!L:R,7,FALSE),VLOOKUP(tables_358100!C195,input_358100!A:H,8,FALSE))</f>
        <v>3648</v>
      </c>
      <c r="P195" s="46">
        <f t="shared" ca="1" si="8"/>
        <v>6.1538461538461541E-4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input_358100!A$2</f>
        <v>358100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IFERROR(VLOOKUP(B196,input_358100!L:R,7,FALSE),VLOOKUP(tables_358100!C196,input_358100!A:H,8,FALSE))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input_358100!A$2</f>
        <v>358100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IFERROR(VLOOKUP(B197,input_358100!L:R,7,FALSE),VLOOKUP(tables_358100!C197,input_358100!A:H,8,FALSE))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input_358100!A$2</f>
        <v>358100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IFERROR(VLOOKUP(B198,input_358100!L:R,7,FALSE),VLOOKUP(tables_358100!C198,input_358100!A:H,8,FALSE))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input_358100!A$2</f>
        <v>358100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IFERROR(VLOOKUP(B199,input_358100!L:R,7,FALSE),VLOOKUP(tables_358100!C199,input_358100!A:H,8,FALSE))</f>
        <v>69312</v>
      </c>
      <c r="P199" s="46">
        <f t="shared" ca="1" si="8"/>
        <v>1.1692307692307693E-2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input_358100!A$2</f>
        <v>358100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IFERROR(VLOOKUP(B200,input_358100!L:R,7,FALSE),VLOOKUP(tables_358100!C200,input_358100!A:H,8,FALSE))</f>
        <v>3648</v>
      </c>
      <c r="P200" s="46">
        <f t="shared" ca="1" si="8"/>
        <v>6.1538461538461541E-4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input_358100!A$2</f>
        <v>358100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IFERROR(VLOOKUP(B201,input_358100!L:R,7,FALSE),VLOOKUP(tables_358100!C201,input_358100!A:H,8,FALSE))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input_358100!A$2</f>
        <v>358100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IFERROR(VLOOKUP(B202,input_358100!L:R,7,FALSE),VLOOKUP(tables_358100!C202,input_358100!A:H,8,FALSE))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input_358100!A$2</f>
        <v>358100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IFERROR(VLOOKUP(B203,input_358100!L:R,7,FALSE),VLOOKUP(tables_358100!C203,input_358100!A:H,8,FALSE))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input_358100!A$2</f>
        <v>358100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IFERROR(VLOOKUP(B204,input_358100!L:R,7,FALSE),VLOOKUP(tables_358100!C204,input_358100!A:H,8,FALSE))</f>
        <v>69312</v>
      </c>
      <c r="P204" s="46">
        <f t="shared" ca="1" si="8"/>
        <v>1.1692307692307693E-2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input_358100!A$2</f>
        <v>358100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IFERROR(VLOOKUP(B205,input_358100!L:R,7,FALSE),VLOOKUP(tables_358100!C205,input_358100!A:H,8,FALSE))</f>
        <v>3648</v>
      </c>
      <c r="P205" s="46">
        <f t="shared" ca="1" si="8"/>
        <v>6.1538461538461541E-4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input_358100!A$2</f>
        <v>358100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IFERROR(VLOOKUP(B206,input_358100!L:R,7,FALSE),VLOOKUP(tables_358100!C206,input_358100!A:H,8,FALSE))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input_358100!A$2</f>
        <v>358100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IFERROR(VLOOKUP(B207,input_358100!L:R,7,FALSE),VLOOKUP(tables_358100!C207,input_358100!A:H,8,FALSE))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input_358100!A$2</f>
        <v>358100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IFERROR(VLOOKUP(B208,input_358100!L:R,7,FALSE),VLOOKUP(tables_358100!C208,input_358100!A:H,8,FALSE))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input_358100!A$2</f>
        <v>358100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IFERROR(VLOOKUP(B209,input_358100!L:R,7,FALSE),VLOOKUP(tables_358100!C209,input_358100!A:H,8,FALSE))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input_358100!A$2</f>
        <v>358100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IFERROR(VLOOKUP(B210,input_358100!L:R,7,FALSE),VLOOKUP(tables_358100!C210,input_358100!A:H,8,FALSE))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input_358100!A$2</f>
        <v>358100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IFERROR(VLOOKUP(B211,input_358100!L:R,7,FALSE),VLOOKUP(tables_358100!C211,input_358100!A:H,8,FALSE))</f>
        <v>69312</v>
      </c>
      <c r="P211" s="46">
        <f t="shared" ca="1" si="11"/>
        <v>1.1692307692307693E-2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input_358100!A$2</f>
        <v>358100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IFERROR(VLOOKUP(B212,input_358100!L:R,7,FALSE),VLOOKUP(tables_358100!C212,input_358100!A:H,8,FALSE))</f>
        <v>3648</v>
      </c>
      <c r="P212" s="46">
        <f t="shared" ca="1" si="11"/>
        <v>6.1538461538461541E-4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input_358100!A$2</f>
        <v>358100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IFERROR(VLOOKUP(B213,input_358100!L:R,7,FALSE),VLOOKUP(tables_358100!C213,input_358100!A:H,8,FALSE))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input_358100!A$2</f>
        <v>358100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IFERROR(VLOOKUP(B214,input_358100!L:R,7,FALSE),VLOOKUP(tables_358100!C214,input_358100!A:H,8,FALSE))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input_358100!A$2</f>
        <v>358100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IFERROR(VLOOKUP(B215,input_358100!L:R,7,FALSE),VLOOKUP(tables_358100!C215,input_358100!A:H,8,FALSE))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input_358100!A$2</f>
        <v>358100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IFERROR(VLOOKUP(B216,input_358100!L:R,7,FALSE),VLOOKUP(tables_358100!C216,input_358100!A:H,8,FALSE))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input_358100!A$2</f>
        <v>358100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IFERROR(VLOOKUP(B217,input_358100!L:R,7,FALSE),VLOOKUP(tables_358100!C217,input_358100!A:H,8,FALSE))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input_358100!A$2</f>
        <v>358100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IFERROR(VLOOKUP(B218,input_358100!L:R,7,FALSE),VLOOKUP(tables_358100!C218,input_358100!A:H,8,FALSE))</f>
        <v>69312</v>
      </c>
      <c r="P218" s="46">
        <f t="shared" ca="1" si="11"/>
        <v>1.1692307692307693E-2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input_358100!A$2</f>
        <v>358100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IFERROR(VLOOKUP(B219,input_358100!L:R,7,FALSE),VLOOKUP(tables_358100!C219,input_358100!A:H,8,FALSE))</f>
        <v>3648</v>
      </c>
      <c r="P219" s="46">
        <f t="shared" ca="1" si="11"/>
        <v>6.1538461538461541E-4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input_358100!A$2</f>
        <v>358100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IFERROR(VLOOKUP(B220,input_358100!L:R,7,FALSE),VLOOKUP(tables_358100!C220,input_358100!A:H,8,FALSE))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input_358100!A$2</f>
        <v>358100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IFERROR(VLOOKUP(B221,input_358100!L:R,7,FALSE),VLOOKUP(tables_358100!C221,input_358100!A:H,8,FALSE))</f>
        <v>69312</v>
      </c>
      <c r="P221" s="46">
        <f t="shared" ca="1" si="11"/>
        <v>1.1692307692307693E-2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input_358100!A$2</f>
        <v>358100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IFERROR(VLOOKUP(B222,input_358100!L:R,7,FALSE),VLOOKUP(tables_358100!C222,input_358100!A:H,8,FALSE))</f>
        <v>3648</v>
      </c>
      <c r="P222" s="46">
        <f t="shared" ca="1" si="11"/>
        <v>6.1538461538461541E-4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input_358100!A$2</f>
        <v>358100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IFERROR(VLOOKUP(B223,input_358100!L:R,7,FALSE),VLOOKUP(tables_358100!C223,input_358100!A:H,8,FALSE))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input_358100!A$2</f>
        <v>358100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IFERROR(VLOOKUP(B224,input_358100!L:R,7,FALSE),VLOOKUP(tables_358100!C224,input_358100!A:H,8,FALSE))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input_358100!A$2</f>
        <v>358100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IFERROR(VLOOKUP(B225,input_358100!L:R,7,FALSE),VLOOKUP(tables_358100!C225,input_358100!A:H,8,FALSE))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input_358100!A$2</f>
        <v>358100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IFERROR(VLOOKUP(B226,input_358100!L:R,7,FALSE),VLOOKUP(tables_358100!C226,input_358100!A:H,8,FALSE))</f>
        <v>69312</v>
      </c>
      <c r="P226" s="46">
        <f t="shared" ca="1" si="11"/>
        <v>1.1692307692307693E-2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input_358100!A$2</f>
        <v>358100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IFERROR(VLOOKUP(B227,input_358100!L:R,7,FALSE),VLOOKUP(tables_358100!C227,input_358100!A:H,8,FALSE))</f>
        <v>3648</v>
      </c>
      <c r="P227" s="46">
        <f t="shared" ca="1" si="11"/>
        <v>6.1538461538461541E-4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input_358100!A$2</f>
        <v>358100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IFERROR(VLOOKUP(B228,input_358100!L:R,7,FALSE),VLOOKUP(tables_358100!C228,input_358100!A:H,8,FALSE))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input_358100!A$2</f>
        <v>358100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IFERROR(VLOOKUP(B229,input_358100!L:R,7,FALSE),VLOOKUP(tables_358100!C229,input_358100!A:H,8,FALSE))</f>
        <v>69312</v>
      </c>
      <c r="P229" s="46">
        <f t="shared" ca="1" si="11"/>
        <v>1.1692307692307693E-2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input_358100!A$2</f>
        <v>358100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IFERROR(VLOOKUP(B230,input_358100!L:R,7,FALSE),VLOOKUP(tables_358100!C230,input_358100!A:H,8,FALSE))</f>
        <v>3648</v>
      </c>
      <c r="P230" s="46">
        <f t="shared" ca="1" si="11"/>
        <v>6.1538461538461541E-4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input_358100!A$2</f>
        <v>358100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IFERROR(VLOOKUP(B231,input_358100!L:R,7,FALSE),VLOOKUP(tables_358100!C231,input_358100!A:H,8,FALSE))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input_358100!A$2</f>
        <v>358100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IFERROR(VLOOKUP(B232,input_358100!L:R,7,FALSE),VLOOKUP(tables_358100!C232,input_358100!A:H,8,FALSE))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input_358100!A$2</f>
        <v>358100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IFERROR(VLOOKUP(B233,input_358100!L:R,7,FALSE),VLOOKUP(tables_358100!C233,input_358100!A:H,8,FALSE))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input_358100!A$2</f>
        <v>358100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IFERROR(VLOOKUP(B234,input_358100!L:R,7,FALSE),VLOOKUP(tables_358100!C234,input_358100!A:H,8,FALSE))</f>
        <v>69312</v>
      </c>
      <c r="P234" s="46">
        <f t="shared" ca="1" si="11"/>
        <v>1.1692307692307693E-2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input_358100!A$2</f>
        <v>358100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IFERROR(VLOOKUP(B235,input_358100!L:R,7,FALSE),VLOOKUP(tables_358100!C235,input_358100!A:H,8,FALSE))</f>
        <v>3648</v>
      </c>
      <c r="P235" s="46">
        <f t="shared" ca="1" si="11"/>
        <v>6.1538461538461541E-4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input_358100!A$2</f>
        <v>358100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IFERROR(VLOOKUP(B236,input_358100!L:R,7,FALSE),VLOOKUP(tables_358100!C236,input_358100!A:H,8,FALSE))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input_358100!A$2</f>
        <v>358100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IFERROR(VLOOKUP(B237,input_358100!L:R,7,FALSE),VLOOKUP(tables_358100!C237,input_358100!A:H,8,FALSE))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input_358100!A$2</f>
        <v>358100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IFERROR(VLOOKUP(B238,input_358100!L:R,7,FALSE),VLOOKUP(tables_358100!C238,input_358100!A:H,8,FALSE))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input_358100!A$2</f>
        <v>358100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IFERROR(VLOOKUP(B239,input_358100!L:R,7,FALSE),VLOOKUP(tables_358100!C239,input_358100!A:H,8,FALSE))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input_358100!A$2</f>
        <v>358100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IFERROR(VLOOKUP(B240,input_358100!L:R,7,FALSE),VLOOKUP(tables_358100!C240,input_358100!A:H,8,FALSE))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input_358100!A$2</f>
        <v>358100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IFERROR(VLOOKUP(B241,input_358100!L:R,7,FALSE),VLOOKUP(tables_358100!C241,input_358100!A:H,8,FALSE))</f>
        <v>69312</v>
      </c>
      <c r="P241" s="46">
        <f t="shared" ca="1" si="11"/>
        <v>1.1692307692307693E-2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input_358100!A$2</f>
        <v>358100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IFERROR(VLOOKUP(B242,input_358100!L:R,7,FALSE),VLOOKUP(tables_358100!C242,input_358100!A:H,8,FALSE))</f>
        <v>3648</v>
      </c>
      <c r="P242" s="46">
        <f t="shared" ca="1" si="11"/>
        <v>6.1538461538461541E-4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input_358100!A$2</f>
        <v>358100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IFERROR(VLOOKUP(B243,input_358100!L:R,7,FALSE),VLOOKUP(tables_358100!C243,input_358100!A:H,8,FALSE))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input_358100!A$2</f>
        <v>358100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IFERROR(VLOOKUP(B244,input_358100!L:R,7,FALSE),VLOOKUP(tables_358100!C244,input_358100!A:H,8,FALSE))</f>
        <v>69312</v>
      </c>
      <c r="P244" s="46">
        <f t="shared" ca="1" si="11"/>
        <v>1.1692307692307693E-2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input_358100!A$2</f>
        <v>358100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IFERROR(VLOOKUP(B245,input_358100!L:R,7,FALSE),VLOOKUP(tables_358100!C245,input_358100!A:H,8,FALSE))</f>
        <v>3648</v>
      </c>
      <c r="P245" s="46">
        <f t="shared" ca="1" si="11"/>
        <v>6.1538461538461541E-4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input_358100!A$2</f>
        <v>358100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IFERROR(VLOOKUP(B246,input_358100!L:R,7,FALSE),VLOOKUP(tables_358100!C246,input_358100!A:H,8,FALSE))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input_358100!A$2</f>
        <v>358100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IFERROR(VLOOKUP(B247,input_358100!L:R,7,FALSE),VLOOKUP(tables_358100!C247,input_358100!A:H,8,FALSE))</f>
        <v>69312</v>
      </c>
      <c r="P247" s="46">
        <f t="shared" ca="1" si="11"/>
        <v>1.1692307692307693E-2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input_358100!A$2</f>
        <v>358100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IFERROR(VLOOKUP(B248,input_358100!L:R,7,FALSE),VLOOKUP(tables_358100!C248,input_358100!A:H,8,FALSE))</f>
        <v>3648</v>
      </c>
      <c r="P248" s="46">
        <f t="shared" ca="1" si="11"/>
        <v>6.1538461538461541E-4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input_358100!A$2</f>
        <v>358100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IFERROR(VLOOKUP(B249,input_358100!L:R,7,FALSE),VLOOKUP(tables_358100!C249,input_358100!A:H,8,FALSE))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input_358100!A$2</f>
        <v>358100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IFERROR(VLOOKUP(B250,input_358100!L:R,7,FALSE),VLOOKUP(tables_358100!C250,input_358100!A:H,8,FALSE))</f>
        <v>69312</v>
      </c>
      <c r="P250" s="46">
        <f t="shared" ca="1" si="11"/>
        <v>1.1692307692307693E-2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input_358100!A$2</f>
        <v>358100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IFERROR(VLOOKUP(B251,input_358100!L:R,7,FALSE),VLOOKUP(tables_358100!C251,input_358100!A:H,8,FALSE))</f>
        <v>3648</v>
      </c>
      <c r="P251" s="46">
        <f t="shared" ca="1" si="11"/>
        <v>6.1538461538461541E-4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input_358100!A$2</f>
        <v>358100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IFERROR(VLOOKUP(B252,input_358100!L:R,7,FALSE),VLOOKUP(tables_358100!C252,input_358100!A:H,8,FALSE))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input_358100!A$2</f>
        <v>358100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IFERROR(VLOOKUP(B253,input_358100!L:R,7,FALSE),VLOOKUP(tables_358100!C253,input_358100!A:H,8,FALSE))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input_358100!A$2</f>
        <v>358100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IFERROR(VLOOKUP(B254,input_358100!L:R,7,FALSE),VLOOKUP(tables_358100!C254,input_358100!A:H,8,FALSE))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input_358100!A$2</f>
        <v>358100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IFERROR(VLOOKUP(B255,input_358100!L:R,7,FALSE),VLOOKUP(tables_358100!C255,input_358100!A:H,8,FALSE))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input_358100!A$2</f>
        <v>358100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IFERROR(VLOOKUP(B256,input_358100!L:R,7,FALSE),VLOOKUP(tables_358100!C256,input_358100!A:H,8,FALSE))</f>
        <v>61104</v>
      </c>
      <c r="P256" s="46">
        <f t="shared" ca="1" si="11"/>
        <v>1.0307692307692308E-2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input_358100!A$2</f>
        <v>358100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IFERROR(VLOOKUP(B257,input_358100!L:R,7,FALSE),VLOOKUP(tables_358100!C257,input_358100!A:H,8,FALSE))</f>
        <v>11856</v>
      </c>
      <c r="P257" s="46">
        <f t="shared" ca="1" si="11"/>
        <v>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input_358100!A$2</f>
        <v>358100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IFERROR(VLOOKUP(B258,input_358100!L:R,7,FALSE),VLOOKUP(tables_358100!C258,input_358100!A:H,8,FALSE))</f>
        <v>61104</v>
      </c>
      <c r="P258" s="46">
        <f t="shared" ca="1" si="11"/>
        <v>1.0307692307692308E-2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input_358100!A$2</f>
        <v>358100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IFERROR(VLOOKUP(B259,input_358100!L:R,7,FALSE),VLOOKUP(tables_358100!C259,input_358100!A:H,8,FALSE))</f>
        <v>11856</v>
      </c>
      <c r="P259" s="46">
        <f t="shared" ca="1" si="11"/>
        <v>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input_358100!A$2</f>
        <v>358100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IFERROR(VLOOKUP(B260,input_358100!L:R,7,FALSE),VLOOKUP(tables_358100!C260,input_358100!A:H,8,FALSE))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input_358100!A$2</f>
        <v>358100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IFERROR(VLOOKUP(B261,input_358100!L:R,7,FALSE),VLOOKUP(tables_358100!C261,input_358100!A:H,8,FALSE))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input_358100!A$2</f>
        <v>358100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IFERROR(VLOOKUP(B262,input_358100!L:R,7,FALSE),VLOOKUP(tables_358100!C262,input_358100!A:H,8,FALSE))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input_358100!A$2</f>
        <v>358100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IFERROR(VLOOKUP(B263,input_358100!L:R,7,FALSE),VLOOKUP(tables_358100!C263,input_358100!A:H,8,FALSE))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input_358100!A$2</f>
        <v>358100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IFERROR(VLOOKUP(B264,input_358100!L:R,7,FALSE),VLOOKUP(tables_358100!C264,input_358100!A:H,8,FALSE))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input_358100!A$2</f>
        <v>358100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IFERROR(VLOOKUP(B265,input_358100!L:R,7,FALSE),VLOOKUP(tables_358100!C265,input_358100!A:H,8,FALSE))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input_358100!A$2</f>
        <v>358100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IFERROR(VLOOKUP(B266,input_358100!L:R,7,FALSE),VLOOKUP(tables_358100!C266,input_358100!A:H,8,FALSE))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input_358100!A$2</f>
        <v>358100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IFERROR(VLOOKUP(B267,input_358100!L:R,7,FALSE),VLOOKUP(tables_358100!C267,input_358100!A:H,8,FALSE))</f>
        <v>69312</v>
      </c>
      <c r="P267" s="46">
        <f t="shared" ca="1" si="11"/>
        <v>1.1692307692307693E-2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input_358100!A$2</f>
        <v>358100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IFERROR(VLOOKUP(B268,input_358100!L:R,7,FALSE),VLOOKUP(tables_358100!C268,input_358100!A:H,8,FALSE))</f>
        <v>3648</v>
      </c>
      <c r="P268" s="46">
        <f t="shared" ca="1" si="11"/>
        <v>6.1538461538461541E-4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input_358100!A$2</f>
        <v>358100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IFERROR(VLOOKUP(B269,input_358100!L:R,7,FALSE),VLOOKUP(tables_358100!C269,input_358100!A:H,8,FALSE))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input_358100!A$2</f>
        <v>358100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IFERROR(VLOOKUP(B270,input_358100!L:R,7,FALSE),VLOOKUP(tables_358100!C270,input_358100!A:H,8,FALSE))</f>
        <v>69312</v>
      </c>
      <c r="P270" s="46">
        <f t="shared" ca="1" si="11"/>
        <v>1.1692307692307693E-2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input_358100!A$2</f>
        <v>358100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IFERROR(VLOOKUP(B271,input_358100!L:R,7,FALSE),VLOOKUP(tables_358100!C271,input_358100!A:H,8,FALSE))</f>
        <v>3648</v>
      </c>
      <c r="P271" s="46">
        <f t="shared" ref="P271:P286" ca="1" si="14">O271/SUM(O:O)</f>
        <v>6.1538461538461541E-4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input_358100!A$2</f>
        <v>358100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IFERROR(VLOOKUP(B272,input_358100!L:R,7,FALSE),VLOOKUP(tables_358100!C272,input_358100!A:H,8,FALSE))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input_358100!A$2</f>
        <v>358100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IFERROR(VLOOKUP(B273,input_358100!L:R,7,FALSE),VLOOKUP(tables_358100!C273,input_358100!A:H,8,FALSE))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input_358100!A$2</f>
        <v>358100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IFERROR(VLOOKUP(B274,input_358100!L:R,7,FALSE),VLOOKUP(tables_358100!C274,input_358100!A:H,8,FALSE))</f>
        <v>61104</v>
      </c>
      <c r="P274" s="46">
        <f t="shared" ca="1" si="14"/>
        <v>1.0307692307692308E-2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input_358100!A$2</f>
        <v>358100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IFERROR(VLOOKUP(B275,input_358100!L:R,7,FALSE),VLOOKUP(tables_358100!C275,input_358100!A:H,8,FALSE))</f>
        <v>11856</v>
      </c>
      <c r="P275" s="46">
        <f t="shared" ca="1" si="14"/>
        <v>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input_358100!A$2</f>
        <v>358100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IFERROR(VLOOKUP(B276,input_358100!L:R,7,FALSE),VLOOKUP(tables_358100!C276,input_358100!A:H,8,FALSE))</f>
        <v>61104</v>
      </c>
      <c r="P276" s="46">
        <f t="shared" ca="1" si="14"/>
        <v>1.0307692307692308E-2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input_358100!A$2</f>
        <v>358100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IFERROR(VLOOKUP(B277,input_358100!L:R,7,FALSE),VLOOKUP(tables_358100!C277,input_358100!A:H,8,FALSE))</f>
        <v>11856</v>
      </c>
      <c r="P277" s="46">
        <f t="shared" ca="1" si="14"/>
        <v>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input_358100!A$2</f>
        <v>358100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IFERROR(VLOOKUP(B278,input_358100!L:R,7,FALSE),VLOOKUP(tables_358100!C278,input_358100!A:H,8,FALSE))</f>
        <v>61104</v>
      </c>
      <c r="P278" s="46">
        <f t="shared" ca="1" si="14"/>
        <v>1.0307692307692308E-2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input_358100!A$2</f>
        <v>358100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IFERROR(VLOOKUP(B279,input_358100!L:R,7,FALSE),VLOOKUP(tables_358100!C279,input_358100!A:H,8,FALSE))</f>
        <v>11856</v>
      </c>
      <c r="P279" s="46">
        <f t="shared" ca="1" si="14"/>
        <v>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input_358100!A$2</f>
        <v>358100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IFERROR(VLOOKUP(B280,input_358100!L:R,7,FALSE),VLOOKUP(tables_358100!C280,input_358100!A:H,8,FALSE))</f>
        <v>61104</v>
      </c>
      <c r="P280" s="46">
        <f t="shared" ca="1" si="14"/>
        <v>1.0307692307692308E-2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input_358100!A$2</f>
        <v>358100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IFERROR(VLOOKUP(B281,input_358100!L:R,7,FALSE),VLOOKUP(tables_358100!C281,input_358100!A:H,8,FALSE))</f>
        <v>11856</v>
      </c>
      <c r="P281" s="46">
        <f t="shared" ca="1" si="14"/>
        <v>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input_358100!A$2</f>
        <v>358100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IFERROR(VLOOKUP(B282,input_358100!L:R,7,FALSE),VLOOKUP(tables_358100!C282,input_358100!A:H,8,FALSE))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input_358100!A$2</f>
        <v>358100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IFERROR(VLOOKUP(B283,input_358100!L:R,7,FALSE),VLOOKUP(tables_358100!C283,input_358100!A:H,8,FALSE))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input_358100!A$2</f>
        <v>358100</v>
      </c>
      <c r="B284" s="83">
        <v>623</v>
      </c>
      <c r="C284" s="7" t="str">
        <f t="shared" ref="C284" si="15">D284&amp;J284&amp;E284&amp;F284&amp;G284</f>
        <v>PremiumSSS5R3less</v>
      </c>
      <c r="D284" s="7" t="str">
        <f t="shared" ref="D284" si="16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>IFERROR(VLOOKUP(B284,input_358100!L:R,7,FALSE),VLOOKUP(tables_358100!C284,input_358100!A:H,8,FALSE))</f>
        <v>29640</v>
      </c>
      <c r="P284" s="46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input_358100!A$2</f>
        <v>358100</v>
      </c>
      <c r="B285" s="83">
        <v>619</v>
      </c>
      <c r="C285" s="7" t="str">
        <f t="shared" ref="C285:C286" si="17">D285&amp;J285&amp;E285&amp;F285&amp;G285</f>
        <v>PremiumSSS4R3less</v>
      </c>
      <c r="D285" s="7" t="str">
        <f t="shared" ref="D285:D286" si="18">IF(I285="PremiumSS",I285,IF(I285="PremiumSSS",I285,IF(I285="PremiumW",I285,"Premium")))</f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7" t="str">
        <f>VLOOKUP(B285,[1]characters!$A:$C,3,FALSE)</f>
        <v>メビウス</v>
      </c>
      <c r="I285" s="7" t="str">
        <f>VLOOKUP(B285,[1]characters!$A:$J,10,FALSE)</f>
        <v>PremiumSSS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5">
        <f>IFERROR(VLOOKUP(B285,input_358100!L:R,7,FALSE),VLOOKUP(tables_358100!C285,input_358100!A:H,8,FALSE))</f>
        <v>2964</v>
      </c>
      <c r="P285" s="46">
        <f t="shared" ca="1" si="14"/>
        <v>5.0000000000000001E-4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input_358100!A$2</f>
        <v>358100</v>
      </c>
      <c r="B286" s="83">
        <v>620</v>
      </c>
      <c r="C286" s="7" t="str">
        <f t="shared" si="17"/>
        <v>PremiumSSS5R3less</v>
      </c>
      <c r="D286" s="7" t="str">
        <f t="shared" si="18"/>
        <v>PremiumSSS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奇跡の調和 メビウス</v>
      </c>
      <c r="I286" s="7" t="str">
        <f>VLOOKUP(B286,[1]characters!$A:$J,10,FALSE)</f>
        <v>PremiumSSS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human</v>
      </c>
      <c r="N286" s="7" t="str">
        <f>VLOOKUP(B286,[1]characters!$A:$G,7,FALSE)</f>
        <v>女性</v>
      </c>
      <c r="O286" s="45">
        <f>IFERROR(VLOOKUP(B286,input_358100!L:R,7,FALSE),VLOOKUP(tables_358100!C286,input_358100!A:H,8,FALSE))</f>
        <v>26676.000000000004</v>
      </c>
      <c r="P286" s="46">
        <f t="shared" ca="1" si="14"/>
        <v>4.5000000000000005E-3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</sheetData>
  <autoFilter ref="A1:V28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H84" sqref="H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9" t="s">
        <v>266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ROUND(100000*0.03/(COUNTIF(F$2:F$97,"=R6release")+COUNTIF(D$2:D$97,"=PremiumSS")),0)</f>
        <v>79</v>
      </c>
      <c r="P2" s="46">
        <f t="shared" ref="P2:P33" si="2">O2/SUM(O:O)</f>
        <v>7.900632050564045E-4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9" t="s">
        <v>266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ROUND(100000*0.03/(COUNTIF(F$2:F$97,"=R6release")+COUNTIF(D$2:D$97,"=PremiumSS")),0)</f>
        <v>79</v>
      </c>
      <c r="P3" s="46">
        <f t="shared" si="2"/>
        <v>7.900632050564045E-4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9" t="s">
        <v>266</v>
      </c>
      <c r="B4" s="6">
        <v>174</v>
      </c>
      <c r="C4" s="7" t="str">
        <f t="shared" ref="C4:C8" si="3">D4&amp;J4&amp;E4&amp;F4&amp;G4</f>
        <v>Premium5R6release</v>
      </c>
      <c r="D4" s="7" t="str">
        <f t="shared" ref="D4:D8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ROUND(100000*0.03/(COUNTIF(F$2:F$97,"=R6release")+COUNTIF(D$2:D$97,"=PremiumSS")),0)</f>
        <v>79</v>
      </c>
      <c r="P4" s="46">
        <f t="shared" si="2"/>
        <v>7.900632050564045E-4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9" t="s">
        <v>266</v>
      </c>
      <c r="B5" s="6">
        <v>177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>ROUND(100000*(1-0.03-0.01)/COUNTIFS(F$2:F$97,"&lt;&gt;R6release",D$2:D$97,"&lt;&gt;PremiumSS",D$2:D$97,"&lt;&gt;PremiumSSS"),0)</f>
        <v>1655</v>
      </c>
      <c r="P5" s="46">
        <f t="shared" si="2"/>
        <v>1.6551324105928474E-2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9" t="s">
        <v>266</v>
      </c>
      <c r="B6" s="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ref="O6:O24" si="5">ROUND(100000*(1-0.03-0.01)/COUNTIFS(F$2:F$97,"&lt;&gt;R6release",D$2:D$97,"&lt;&gt;PremiumSS",D$2:D$97,"&lt;&gt;PremiumSSS"),0)</f>
        <v>1655</v>
      </c>
      <c r="P6" s="46">
        <f t="shared" si="2"/>
        <v>1.6551324105928474E-2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9" t="s">
        <v>266</v>
      </c>
      <c r="B7" s="6">
        <v>183</v>
      </c>
      <c r="C7" s="7" t="str">
        <f t="shared" si="3"/>
        <v>Premium5</v>
      </c>
      <c r="D7" s="7" t="str">
        <f t="shared" si="4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5"/>
        <v>1655</v>
      </c>
      <c r="P7" s="46">
        <f t="shared" si="2"/>
        <v>1.6551324105928474E-2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9" t="s">
        <v>266</v>
      </c>
      <c r="B8" s="8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5"/>
        <v>1655</v>
      </c>
      <c r="P8" s="46">
        <f t="shared" si="2"/>
        <v>1.6551324105928474E-2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9" t="s">
        <v>266</v>
      </c>
      <c r="B9" s="8">
        <v>189</v>
      </c>
      <c r="C9" s="7" t="str">
        <f t="shared" ref="C9:C15" si="6">D9&amp;J9&amp;E9&amp;F9&amp;G9</f>
        <v>Premium5</v>
      </c>
      <c r="D9" s="7" t="str">
        <f t="shared" ref="D9:D15" si="7">IF(I9="PremiumSS",I9,IF(I9="PremiumSSS",I9,IF(I9="PremiumW",I9,"Premium")))</f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5"/>
        <v>1655</v>
      </c>
      <c r="P9" s="46">
        <f t="shared" si="2"/>
        <v>1.6551324105928474E-2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s="12" customFormat="1" ht="21" customHeight="1" thickBot="1" x14ac:dyDescent="0.2">
      <c r="A10" s="89" t="s">
        <v>266</v>
      </c>
      <c r="B10" s="6">
        <v>192</v>
      </c>
      <c r="C10" s="7" t="str">
        <f t="shared" si="6"/>
        <v>Premium5</v>
      </c>
      <c r="D10" s="7" t="str">
        <f t="shared" si="7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5"/>
        <v>1655</v>
      </c>
      <c r="P10" s="46">
        <f t="shared" si="2"/>
        <v>1.6551324105928474E-2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9" t="s">
        <v>266</v>
      </c>
      <c r="B11" s="6">
        <v>195</v>
      </c>
      <c r="C11" s="7" t="str">
        <f t="shared" si="6"/>
        <v>Premium5</v>
      </c>
      <c r="D11" s="7" t="str">
        <f t="shared" si="7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5"/>
        <v>1655</v>
      </c>
      <c r="P11" s="46">
        <f t="shared" si="2"/>
        <v>1.6551324105928474E-2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9" t="s">
        <v>266</v>
      </c>
      <c r="B12" s="6">
        <v>198</v>
      </c>
      <c r="C12" s="7" t="str">
        <f t="shared" si="6"/>
        <v>Premium5</v>
      </c>
      <c r="D12" s="7" t="str">
        <f t="shared" si="7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5"/>
        <v>1655</v>
      </c>
      <c r="P12" s="46">
        <f t="shared" si="2"/>
        <v>1.6551324105928474E-2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9" t="s">
        <v>266</v>
      </c>
      <c r="B13" s="5">
        <v>201</v>
      </c>
      <c r="C13" s="7" t="str">
        <f t="shared" si="6"/>
        <v>Premium5</v>
      </c>
      <c r="D13" s="7" t="str">
        <f t="shared" si="7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5"/>
        <v>1655</v>
      </c>
      <c r="P13" s="46">
        <f t="shared" si="2"/>
        <v>1.6551324105928474E-2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9" t="s">
        <v>266</v>
      </c>
      <c r="B14" s="5">
        <v>204</v>
      </c>
      <c r="C14" s="7" t="str">
        <f t="shared" si="6"/>
        <v>Premium5</v>
      </c>
      <c r="D14" s="7" t="str">
        <f t="shared" si="7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5"/>
        <v>1655</v>
      </c>
      <c r="P14" s="46">
        <f t="shared" si="2"/>
        <v>1.6551324105928474E-2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9" t="s">
        <v>266</v>
      </c>
      <c r="B15" s="5">
        <v>207</v>
      </c>
      <c r="C15" s="7" t="str">
        <f t="shared" si="6"/>
        <v>Premium5</v>
      </c>
      <c r="D15" s="7" t="str">
        <f t="shared" si="7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5"/>
        <v>1655</v>
      </c>
      <c r="P15" s="46">
        <f t="shared" si="2"/>
        <v>1.6551324105928474E-2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9" t="s">
        <v>266</v>
      </c>
      <c r="B16" s="5">
        <v>210</v>
      </c>
      <c r="C16" s="7" t="str">
        <f t="shared" ref="C16:C21" si="8">D16&amp;J16&amp;E16&amp;F16&amp;G16</f>
        <v>Premium5</v>
      </c>
      <c r="D16" s="7" t="str">
        <f t="shared" ref="D16:D21" si="9">IF(I16="PremiumSS",I16,IF(I16="PremiumSSS",I16,IF(I16="PremiumW",I16,"Premium")))</f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5"/>
        <v>1655</v>
      </c>
      <c r="P16" s="46">
        <f t="shared" si="2"/>
        <v>1.6551324105928474E-2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9" t="s">
        <v>266</v>
      </c>
      <c r="B17" s="5">
        <v>213</v>
      </c>
      <c r="C17" s="7" t="str">
        <f t="shared" si="8"/>
        <v>Premium5</v>
      </c>
      <c r="D17" s="7" t="str">
        <f t="shared" si="9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5"/>
        <v>1655</v>
      </c>
      <c r="P17" s="46">
        <f t="shared" si="2"/>
        <v>1.6551324105928474E-2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9" t="s">
        <v>266</v>
      </c>
      <c r="B18" s="5">
        <v>216</v>
      </c>
      <c r="C18" s="7" t="str">
        <f t="shared" si="8"/>
        <v>Premium5</v>
      </c>
      <c r="D18" s="7" t="str">
        <f t="shared" si="9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5"/>
        <v>1655</v>
      </c>
      <c r="P18" s="46">
        <f t="shared" si="2"/>
        <v>1.6551324105928474E-2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9" t="s">
        <v>266</v>
      </c>
      <c r="B19" s="5">
        <v>219</v>
      </c>
      <c r="C19" s="7" t="str">
        <f t="shared" si="8"/>
        <v>Premium5</v>
      </c>
      <c r="D19" s="7" t="str">
        <f t="shared" si="9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5"/>
        <v>1655</v>
      </c>
      <c r="P19" s="46">
        <f t="shared" si="2"/>
        <v>1.6551324105928474E-2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9" t="s">
        <v>266</v>
      </c>
      <c r="B20" s="5">
        <v>222</v>
      </c>
      <c r="C20" s="7" t="str">
        <f t="shared" si="8"/>
        <v>Premium5</v>
      </c>
      <c r="D20" s="7" t="str">
        <f t="shared" si="9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5"/>
        <v>1655</v>
      </c>
      <c r="P20" s="46">
        <f t="shared" si="2"/>
        <v>1.6551324105928474E-2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9" t="s">
        <v>266</v>
      </c>
      <c r="B21" s="5">
        <v>225</v>
      </c>
      <c r="C21" s="7" t="str">
        <f t="shared" si="8"/>
        <v>Premium5</v>
      </c>
      <c r="D21" s="7" t="str">
        <f t="shared" si="9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5"/>
        <v>1655</v>
      </c>
      <c r="P21" s="46">
        <f t="shared" si="2"/>
        <v>1.6551324105928474E-2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9" t="s">
        <v>266</v>
      </c>
      <c r="B22" s="5">
        <v>228</v>
      </c>
      <c r="C22" s="7" t="str">
        <f t="shared" ref="C22:C26" si="10">D22&amp;J22&amp;E22&amp;F22&amp;G22</f>
        <v>Premium5</v>
      </c>
      <c r="D22" s="7" t="str">
        <f t="shared" ref="D22:D26" si="11">IF(I22="PremiumSS",I22,IF(I22="PremiumSSS",I22,IF(I22="PremiumW",I22,"Premium")))</f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5"/>
        <v>1655</v>
      </c>
      <c r="P22" s="46">
        <f t="shared" si="2"/>
        <v>1.6551324105928474E-2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9" t="s">
        <v>266</v>
      </c>
      <c r="B23" s="5">
        <v>231</v>
      </c>
      <c r="C23" s="7" t="str">
        <f t="shared" si="10"/>
        <v>Premium5</v>
      </c>
      <c r="D23" s="7" t="str">
        <f t="shared" si="11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5"/>
        <v>1655</v>
      </c>
      <c r="P23" s="46">
        <f t="shared" si="2"/>
        <v>1.6551324105928474E-2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9" t="s">
        <v>266</v>
      </c>
      <c r="B24" s="5">
        <v>234</v>
      </c>
      <c r="C24" s="7" t="str">
        <f t="shared" si="10"/>
        <v>Premium5</v>
      </c>
      <c r="D24" s="7" t="str">
        <f t="shared" si="11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5"/>
        <v>1655</v>
      </c>
      <c r="P24" s="46">
        <f t="shared" si="2"/>
        <v>1.6551324105928474E-2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9" t="s">
        <v>266</v>
      </c>
      <c r="B25" s="5">
        <v>237</v>
      </c>
      <c r="C25" s="7" t="str">
        <f t="shared" si="10"/>
        <v>Premium5R6release</v>
      </c>
      <c r="D25" s="7" t="str">
        <f t="shared" si="11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>ROUND(100000*0.03/(COUNTIF(F$2:F$97,"=R6release")+COUNTIF(D$2:D$97,"=PremiumSS")),0)</f>
        <v>79</v>
      </c>
      <c r="P25" s="46">
        <f t="shared" si="2"/>
        <v>7.900632050564045E-4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9" t="s">
        <v>266</v>
      </c>
      <c r="B26" s="5">
        <v>240</v>
      </c>
      <c r="C26" s="7" t="str">
        <f t="shared" si="10"/>
        <v>Premium5</v>
      </c>
      <c r="D26" s="7" t="str">
        <f t="shared" si="11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ref="O26:O33" si="12">ROUND(100000*(1-0.03-0.01)/COUNTIFS(F$2:F$97,"&lt;&gt;R6release",D$2:D$97,"&lt;&gt;PremiumSS",D$2:D$97,"&lt;&gt;PremiumSSS"),0)</f>
        <v>1655</v>
      </c>
      <c r="P26" s="46">
        <f t="shared" si="2"/>
        <v>1.6551324105928474E-2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9" t="s">
        <v>266</v>
      </c>
      <c r="B27" s="5">
        <v>243</v>
      </c>
      <c r="C27" s="7" t="str">
        <f t="shared" ref="C27:C90" si="13">D27&amp;J27&amp;E27&amp;F27&amp;G27</f>
        <v>Premium5</v>
      </c>
      <c r="D27" s="7" t="str">
        <f t="shared" ref="D27:D90" si="14">IF(I27="PremiumSS",I27,IF(I27="PremiumSSS",I27,IF(I27="PremiumW",I27,"Premium")))</f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12"/>
        <v>1655</v>
      </c>
      <c r="P27" s="46">
        <f t="shared" si="2"/>
        <v>1.6551324105928474E-2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9" t="s">
        <v>266</v>
      </c>
      <c r="B28" s="5">
        <v>246</v>
      </c>
      <c r="C28" s="7" t="str">
        <f t="shared" si="13"/>
        <v>Premium5</v>
      </c>
      <c r="D28" s="7" t="str">
        <f t="shared" si="14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12"/>
        <v>1655</v>
      </c>
      <c r="P28" s="46">
        <f t="shared" si="2"/>
        <v>1.6551324105928474E-2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9" t="s">
        <v>266</v>
      </c>
      <c r="B29" s="6">
        <v>249</v>
      </c>
      <c r="C29" s="7" t="str">
        <f t="shared" si="13"/>
        <v>Premium5</v>
      </c>
      <c r="D29" s="7" t="str">
        <f t="shared" si="14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12"/>
        <v>1655</v>
      </c>
      <c r="P29" s="46">
        <f t="shared" si="2"/>
        <v>1.6551324105928474E-2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9" t="s">
        <v>266</v>
      </c>
      <c r="B30" s="6">
        <v>252</v>
      </c>
      <c r="C30" s="7" t="str">
        <f t="shared" si="13"/>
        <v>Premium5</v>
      </c>
      <c r="D30" s="7" t="str">
        <f t="shared" si="14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12"/>
        <v>1655</v>
      </c>
      <c r="P30" s="46">
        <f t="shared" si="2"/>
        <v>1.6551324105928474E-2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9" t="s">
        <v>266</v>
      </c>
      <c r="B31" s="6">
        <v>255</v>
      </c>
      <c r="C31" s="7" t="str">
        <f t="shared" si="13"/>
        <v>Premium5</v>
      </c>
      <c r="D31" s="7" t="str">
        <f t="shared" si="14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12"/>
        <v>1655</v>
      </c>
      <c r="P31" s="46">
        <f t="shared" si="2"/>
        <v>1.6551324105928474E-2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9" t="s">
        <v>266</v>
      </c>
      <c r="B32" s="6">
        <v>258</v>
      </c>
      <c r="C32" s="7" t="str">
        <f t="shared" si="13"/>
        <v>Premium5</v>
      </c>
      <c r="D32" s="7" t="str">
        <f t="shared" si="14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12"/>
        <v>1655</v>
      </c>
      <c r="P32" s="46">
        <f t="shared" si="2"/>
        <v>1.6551324105928474E-2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9" t="s">
        <v>266</v>
      </c>
      <c r="B33" s="8">
        <v>261</v>
      </c>
      <c r="C33" s="7" t="str">
        <f t="shared" si="13"/>
        <v>Premium5</v>
      </c>
      <c r="D33" s="7" t="str">
        <f t="shared" si="14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12"/>
        <v>1655</v>
      </c>
      <c r="P33" s="46">
        <f t="shared" si="2"/>
        <v>1.6551324105928474E-2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9" t="s">
        <v>266</v>
      </c>
      <c r="B34" s="6">
        <v>321</v>
      </c>
      <c r="C34" s="7" t="str">
        <f t="shared" si="13"/>
        <v>PremiumSS5</v>
      </c>
      <c r="D34" s="7" t="str">
        <f t="shared" si="14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>ROUND(100000*0.03/(COUNTIF(F$2:F$97,"=R6release")+COUNTIF(D$2:D$97,"=PremiumSS")),0)</f>
        <v>79</v>
      </c>
      <c r="P34" s="46">
        <f t="shared" ref="P34:P65" si="15">O34/SUM(O:O)</f>
        <v>7.900632050564045E-4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9" t="s">
        <v>266</v>
      </c>
      <c r="B35" s="6">
        <v>323</v>
      </c>
      <c r="C35" s="7" t="str">
        <f t="shared" si="13"/>
        <v>PremiumSS5</v>
      </c>
      <c r="D35" s="7" t="str">
        <f t="shared" si="14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ROUND(100000*0.03/(COUNTIF(F$2:F$97,"=R6release")+COUNTIF(D$2:D$97,"=PremiumSS")),0)</f>
        <v>79</v>
      </c>
      <c r="P35" s="46">
        <f t="shared" si="15"/>
        <v>7.900632050564045E-4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9" t="s">
        <v>266</v>
      </c>
      <c r="B36" s="6">
        <v>325</v>
      </c>
      <c r="C36" s="7" t="str">
        <f t="shared" si="13"/>
        <v>PremiumSS5</v>
      </c>
      <c r="D36" s="7" t="str">
        <f t="shared" si="14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ROUND(100000*0.03/(COUNTIF(F$2:F$97,"=R6release")+COUNTIF(D$2:D$97,"=PremiumSS")),0)</f>
        <v>79</v>
      </c>
      <c r="P36" s="46">
        <f t="shared" si="15"/>
        <v>7.900632050564045E-4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9" t="s">
        <v>266</v>
      </c>
      <c r="B37" s="6">
        <v>327</v>
      </c>
      <c r="C37" s="7" t="str">
        <f t="shared" si="13"/>
        <v>PremiumSS5</v>
      </c>
      <c r="D37" s="7" t="str">
        <f t="shared" si="14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ROUND(100000*0.03/(COUNTIF(F$2:F$97,"=R6release")+COUNTIF(D$2:D$97,"=PremiumSS")),0)</f>
        <v>79</v>
      </c>
      <c r="P37" s="46">
        <f t="shared" si="15"/>
        <v>7.900632050564045E-4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9" t="s">
        <v>266</v>
      </c>
      <c r="B38" s="6">
        <v>382</v>
      </c>
      <c r="C38" s="7" t="str">
        <f t="shared" si="13"/>
        <v>Premium5</v>
      </c>
      <c r="D38" s="7" t="str">
        <f t="shared" si="14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>ROUND(100000*(1-0.03-0.01)/COUNTIFS(F$2:F$97,"&lt;&gt;R6release",D$2:D$97,"&lt;&gt;PremiumSS",D$2:D$97,"&lt;&gt;PremiumSSS"),0)</f>
        <v>1655</v>
      </c>
      <c r="P38" s="46">
        <f t="shared" si="15"/>
        <v>1.6551324105928474E-2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9" t="s">
        <v>266</v>
      </c>
      <c r="B39" s="6">
        <v>384</v>
      </c>
      <c r="C39" s="7" t="str">
        <f t="shared" si="13"/>
        <v>PremiumSS5</v>
      </c>
      <c r="D39" s="7" t="str">
        <f t="shared" si="14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>ROUND(100000*0.03/(COUNTIF(F$2:F$97,"=R6release")+COUNTIF(D$2:D$97,"=PremiumSS")),0)</f>
        <v>79</v>
      </c>
      <c r="P39" s="46">
        <f t="shared" si="15"/>
        <v>7.900632050564045E-4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9" t="s">
        <v>266</v>
      </c>
      <c r="B40" s="6">
        <v>386</v>
      </c>
      <c r="C40" s="7" t="str">
        <f t="shared" si="13"/>
        <v>PremiumSS5</v>
      </c>
      <c r="D40" s="7" t="str">
        <f t="shared" si="14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>ROUND(100000*0.03/(COUNTIF(F$2:F$97,"=R6release")+COUNTIF(D$2:D$97,"=PremiumSS")),0)</f>
        <v>79</v>
      </c>
      <c r="P40" s="46">
        <f t="shared" si="15"/>
        <v>7.900632050564045E-4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9" t="s">
        <v>266</v>
      </c>
      <c r="B41" s="6">
        <v>389</v>
      </c>
      <c r="C41" s="7" t="str">
        <f t="shared" si="13"/>
        <v>Premium5</v>
      </c>
      <c r="D41" s="7" t="str">
        <f t="shared" si="14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>ROUND(100000*(1-0.03-0.01)/COUNTIFS(F$2:F$97,"&lt;&gt;R6release",D$2:D$97,"&lt;&gt;PremiumSS",D$2:D$97,"&lt;&gt;PremiumSSS"),0)</f>
        <v>1655</v>
      </c>
      <c r="P41" s="46">
        <f t="shared" si="15"/>
        <v>1.6551324105928474E-2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9" t="s">
        <v>266</v>
      </c>
      <c r="B42" s="6">
        <v>391</v>
      </c>
      <c r="C42" s="7" t="str">
        <f t="shared" si="13"/>
        <v>PremiumSS5</v>
      </c>
      <c r="D42" s="7" t="str">
        <f t="shared" si="14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>ROUND(100000*0.03/(COUNTIF(F$2:F$97,"=R6release")+COUNTIF(D$2:D$97,"=PremiumSS")),0)</f>
        <v>79</v>
      </c>
      <c r="P42" s="46">
        <f t="shared" si="15"/>
        <v>7.900632050564045E-4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9" t="s">
        <v>266</v>
      </c>
      <c r="B43" s="6">
        <v>394</v>
      </c>
      <c r="C43" s="7" t="str">
        <f t="shared" si="13"/>
        <v>Premium5</v>
      </c>
      <c r="D43" s="7" t="str">
        <f t="shared" si="14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ref="O43:O44" si="16">ROUND(100000*(1-0.03-0.01)/COUNTIFS(F$2:F$97,"&lt;&gt;R6release",D$2:D$97,"&lt;&gt;PremiumSS",D$2:D$97,"&lt;&gt;PremiumSSS"),0)</f>
        <v>1655</v>
      </c>
      <c r="P43" s="46">
        <f t="shared" si="15"/>
        <v>1.6551324105928474E-2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9" t="s">
        <v>266</v>
      </c>
      <c r="B44" s="6">
        <v>397</v>
      </c>
      <c r="C44" s="7" t="str">
        <f t="shared" si="13"/>
        <v>Premium5</v>
      </c>
      <c r="D44" s="7" t="str">
        <f t="shared" si="14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16"/>
        <v>1655</v>
      </c>
      <c r="P44" s="46">
        <f t="shared" si="15"/>
        <v>1.6551324105928474E-2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9" t="s">
        <v>266</v>
      </c>
      <c r="B45" s="6">
        <v>399</v>
      </c>
      <c r="C45" s="7" t="str">
        <f t="shared" si="13"/>
        <v>PremiumSS5</v>
      </c>
      <c r="D45" s="7" t="str">
        <f t="shared" si="14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>ROUND(100000*0.03/(COUNTIF(F$2:F$97,"=R6release")+COUNTIF(D$2:D$97,"=PremiumSS")),0)</f>
        <v>79</v>
      </c>
      <c r="P45" s="46">
        <f t="shared" si="15"/>
        <v>7.900632050564045E-4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9" t="s">
        <v>266</v>
      </c>
      <c r="B46" s="6">
        <v>402</v>
      </c>
      <c r="C46" s="7" t="str">
        <f t="shared" si="13"/>
        <v>Premium5</v>
      </c>
      <c r="D46" s="7" t="str">
        <f t="shared" si="14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>ROUND(100000*(1-0.03-0.01)/COUNTIFS(F$2:F$97,"&lt;&gt;R6release",D$2:D$97,"&lt;&gt;PremiumSS",D$2:D$97,"&lt;&gt;PremiumSSS"),0)</f>
        <v>1655</v>
      </c>
      <c r="P46" s="46">
        <f t="shared" si="15"/>
        <v>1.6551324105928474E-2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9" t="s">
        <v>266</v>
      </c>
      <c r="B47" s="6">
        <v>404</v>
      </c>
      <c r="C47" s="7" t="str">
        <f t="shared" si="13"/>
        <v>PremiumSS5</v>
      </c>
      <c r="D47" s="7" t="str">
        <f t="shared" si="14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>ROUND(100000*0.03/(COUNTIF(F$2:F$97,"=R6release")+COUNTIF(D$2:D$97,"=PremiumSS")),0)</f>
        <v>79</v>
      </c>
      <c r="P47" s="46">
        <f t="shared" si="15"/>
        <v>7.900632050564045E-4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9" t="s">
        <v>266</v>
      </c>
      <c r="B48" s="6">
        <v>407</v>
      </c>
      <c r="C48" s="7" t="str">
        <f t="shared" si="13"/>
        <v>Premium5</v>
      </c>
      <c r="D48" s="7" t="str">
        <f t="shared" si="14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>ROUND(100000*(1-0.03-0.01)/COUNTIFS(F$2:F$97,"&lt;&gt;R6release",D$2:D$97,"&lt;&gt;PremiumSS",D$2:D$97,"&lt;&gt;PremiumSSS"),0)</f>
        <v>1655</v>
      </c>
      <c r="P48" s="46">
        <f t="shared" si="15"/>
        <v>1.6551324105928474E-2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9" t="s">
        <v>266</v>
      </c>
      <c r="B49" s="6">
        <v>409</v>
      </c>
      <c r="C49" s="7" t="str">
        <f t="shared" si="13"/>
        <v>PremiumSS5</v>
      </c>
      <c r="D49" s="7" t="str">
        <f t="shared" si="14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>ROUND(100000*0.03/(COUNTIF(F$2:F$97,"=R6release")+COUNTIF(D$2:D$97,"=PremiumSS")),0)</f>
        <v>79</v>
      </c>
      <c r="P49" s="46">
        <f t="shared" si="15"/>
        <v>7.900632050564045E-4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9" t="s">
        <v>266</v>
      </c>
      <c r="B50" s="6">
        <v>435</v>
      </c>
      <c r="C50" s="7" t="str">
        <f t="shared" si="13"/>
        <v>PremiumSS5</v>
      </c>
      <c r="D50" s="7" t="str">
        <f t="shared" si="14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>ROUND(100000*0.03/(COUNTIF(F$2:F$97,"=R6release")+COUNTIF(D$2:D$97,"=PremiumSS")),0)</f>
        <v>79</v>
      </c>
      <c r="P50" s="46">
        <f t="shared" si="15"/>
        <v>7.900632050564045E-4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9" t="s">
        <v>266</v>
      </c>
      <c r="B51" s="6">
        <v>438</v>
      </c>
      <c r="C51" s="7" t="str">
        <f t="shared" si="13"/>
        <v>Premium5</v>
      </c>
      <c r="D51" s="7" t="str">
        <f t="shared" si="14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ref="O51:O52" si="17">ROUND(100000*(1-0.03-0.01)/COUNTIFS(F$2:F$97,"&lt;&gt;R6release",D$2:D$97,"&lt;&gt;PremiumSS",D$2:D$97,"&lt;&gt;PremiumSSS"),0)</f>
        <v>1655</v>
      </c>
      <c r="P51" s="46">
        <f t="shared" si="15"/>
        <v>1.6551324105928474E-2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9" t="s">
        <v>266</v>
      </c>
      <c r="B52" s="6">
        <v>441</v>
      </c>
      <c r="C52" s="7" t="str">
        <f t="shared" si="13"/>
        <v>Premium5</v>
      </c>
      <c r="D52" s="7" t="str">
        <f t="shared" si="14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17"/>
        <v>1655</v>
      </c>
      <c r="P52" s="46">
        <f t="shared" si="15"/>
        <v>1.6551324105928474E-2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9" t="s">
        <v>266</v>
      </c>
      <c r="B53" s="6">
        <v>443</v>
      </c>
      <c r="C53" s="7" t="str">
        <f t="shared" si="13"/>
        <v>PremiumSS5</v>
      </c>
      <c r="D53" s="7" t="str">
        <f t="shared" si="14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>ROUND(100000*0.03/(COUNTIF(F$2:F$97,"=R6release")+COUNTIF(D$2:D$97,"=PremiumSS")),0)</f>
        <v>79</v>
      </c>
      <c r="P53" s="46">
        <f t="shared" si="15"/>
        <v>7.900632050564045E-4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9" t="s">
        <v>266</v>
      </c>
      <c r="B54" s="8">
        <v>464</v>
      </c>
      <c r="C54" s="7" t="str">
        <f t="shared" si="13"/>
        <v>Premium5</v>
      </c>
      <c r="D54" s="7" t="str">
        <f t="shared" si="14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>ROUND(100000*(1-0.03-0.01)/COUNTIFS(F$2:F$97,"&lt;&gt;R6release",D$2:D$97,"&lt;&gt;PremiumSS",D$2:D$97,"&lt;&gt;PremiumSSS"),0)</f>
        <v>1655</v>
      </c>
      <c r="P54" s="46">
        <f t="shared" si="15"/>
        <v>1.6551324105928474E-2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9" t="s">
        <v>266</v>
      </c>
      <c r="B55" s="6">
        <v>466</v>
      </c>
      <c r="C55" s="7" t="str">
        <f t="shared" si="13"/>
        <v>PremiumSS5</v>
      </c>
      <c r="D55" s="7" t="str">
        <f t="shared" si="14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>ROUND(100000*0.03/(COUNTIF(F$2:F$97,"=R6release")+COUNTIF(D$2:D$97,"=PremiumSS")),0)</f>
        <v>79</v>
      </c>
      <c r="P55" s="46">
        <f t="shared" si="15"/>
        <v>7.900632050564045E-4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9" t="s">
        <v>266</v>
      </c>
      <c r="B56" s="6">
        <v>468</v>
      </c>
      <c r="C56" s="7" t="str">
        <f t="shared" si="13"/>
        <v>PremiumSS5</v>
      </c>
      <c r="D56" s="7" t="str">
        <f t="shared" si="14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>ROUND(100000*0.03/(COUNTIF(F$2:F$97,"=R6release")+COUNTIF(D$2:D$97,"=PremiumSS")),0)</f>
        <v>79</v>
      </c>
      <c r="P56" s="46">
        <f t="shared" si="15"/>
        <v>7.900632050564045E-4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9" t="s">
        <v>266</v>
      </c>
      <c r="B57" s="6">
        <v>471</v>
      </c>
      <c r="C57" s="7" t="str">
        <f t="shared" si="13"/>
        <v>Premium5</v>
      </c>
      <c r="D57" s="7" t="str">
        <f t="shared" si="14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>ROUND(100000*(1-0.03-0.01)/COUNTIFS(F$2:F$97,"&lt;&gt;R6release",D$2:D$97,"&lt;&gt;PremiumSS",D$2:D$97,"&lt;&gt;PremiumSSS"),0)</f>
        <v>1655</v>
      </c>
      <c r="P57" s="46">
        <f t="shared" si="15"/>
        <v>1.6551324105928474E-2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9" t="s">
        <v>266</v>
      </c>
      <c r="B58" s="6">
        <v>475</v>
      </c>
      <c r="C58" s="7" t="str">
        <f t="shared" si="13"/>
        <v>PremiumSS5</v>
      </c>
      <c r="D58" s="7" t="str">
        <f t="shared" si="14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>ROUND(100000*0.03/(COUNTIF(F$2:F$97,"=R6release")+COUNTIF(D$2:D$97,"=PremiumSS")),0)</f>
        <v>79</v>
      </c>
      <c r="P58" s="46">
        <f t="shared" si="15"/>
        <v>7.900632050564045E-4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9" t="s">
        <v>266</v>
      </c>
      <c r="B59" s="6">
        <v>478</v>
      </c>
      <c r="C59" s="7" t="str">
        <f t="shared" si="13"/>
        <v>Premium5</v>
      </c>
      <c r="D59" s="7" t="str">
        <f t="shared" si="14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>ROUND(100000*(1-0.03-0.01)/COUNTIFS(F$2:F$97,"&lt;&gt;R6release",D$2:D$97,"&lt;&gt;PremiumSS",D$2:D$97,"&lt;&gt;PremiumSSS"),0)</f>
        <v>1655</v>
      </c>
      <c r="P59" s="46">
        <f t="shared" si="15"/>
        <v>1.6551324105928474E-2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9" t="s">
        <v>266</v>
      </c>
      <c r="B60" s="6">
        <v>480</v>
      </c>
      <c r="C60" s="7" t="str">
        <f t="shared" si="13"/>
        <v>PremiumSS5</v>
      </c>
      <c r="D60" s="7" t="str">
        <f t="shared" si="14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>ROUND(100000*0.03/(COUNTIF(F$2:F$97,"=R6release")+COUNTIF(D$2:D$97,"=PremiumSS")),0)</f>
        <v>79</v>
      </c>
      <c r="P60" s="46">
        <f t="shared" si="15"/>
        <v>7.900632050564045E-4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9" t="s">
        <v>266</v>
      </c>
      <c r="B61" s="6">
        <v>483</v>
      </c>
      <c r="C61" s="7" t="str">
        <f t="shared" si="13"/>
        <v>Premium5</v>
      </c>
      <c r="D61" s="7" t="str">
        <f t="shared" si="14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>ROUND(100000*(1-0.03-0.01)/COUNTIFS(F$2:F$97,"&lt;&gt;R6release",D$2:D$97,"&lt;&gt;PremiumSS",D$2:D$97,"&lt;&gt;PremiumSSS"),0)</f>
        <v>1655</v>
      </c>
      <c r="P61" s="46">
        <f t="shared" si="15"/>
        <v>1.6551324105928474E-2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9" t="s">
        <v>266</v>
      </c>
      <c r="B62" s="6">
        <v>493</v>
      </c>
      <c r="C62" s="7" t="str">
        <f t="shared" si="13"/>
        <v>PremiumSS5</v>
      </c>
      <c r="D62" s="7" t="str">
        <f t="shared" si="14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>ROUND(100000*0.03/(COUNTIF(F$2:F$97,"=R6release")+COUNTIF(D$2:D$97,"=PremiumSS")),0)</f>
        <v>79</v>
      </c>
      <c r="P62" s="46">
        <f t="shared" si="15"/>
        <v>7.900632050564045E-4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9" t="s">
        <v>266</v>
      </c>
      <c r="B63" s="6">
        <v>495</v>
      </c>
      <c r="C63" s="7" t="str">
        <f t="shared" si="13"/>
        <v>PremiumSS5</v>
      </c>
      <c r="D63" s="7" t="str">
        <f t="shared" si="14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>ROUND(100000*0.03/(COUNTIF(F$2:F$97,"=R6release")+COUNTIF(D$2:D$97,"=PremiumSS")),0)</f>
        <v>79</v>
      </c>
      <c r="P63" s="46">
        <f t="shared" si="15"/>
        <v>7.900632050564045E-4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9" t="s">
        <v>266</v>
      </c>
      <c r="B64" s="6">
        <v>498</v>
      </c>
      <c r="C64" s="7" t="str">
        <f t="shared" si="13"/>
        <v>Premium5</v>
      </c>
      <c r="D64" s="7" t="str">
        <f t="shared" si="14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>ROUND(100000*(1-0.03-0.01)/COUNTIFS(F$2:F$97,"&lt;&gt;R6release",D$2:D$97,"&lt;&gt;PremiumSS",D$2:D$97,"&lt;&gt;PremiumSSS"),0)</f>
        <v>1655</v>
      </c>
      <c r="P64" s="46">
        <f t="shared" si="15"/>
        <v>1.6551324105928474E-2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9" t="s">
        <v>266</v>
      </c>
      <c r="B65" s="6">
        <v>500</v>
      </c>
      <c r="C65" s="7" t="str">
        <f t="shared" si="13"/>
        <v>PremiumSS5</v>
      </c>
      <c r="D65" s="7" t="str">
        <f t="shared" si="14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>ROUND(100000*0.03/(COUNTIF(F$2:F$97,"=R6release")+COUNTIF(D$2:D$97,"=PremiumSS")),0)</f>
        <v>79</v>
      </c>
      <c r="P65" s="46">
        <f t="shared" si="15"/>
        <v>7.900632050564045E-4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9" t="s">
        <v>266</v>
      </c>
      <c r="B66" s="6">
        <v>587</v>
      </c>
      <c r="C66" s="7" t="str">
        <f t="shared" si="13"/>
        <v>PremiumSS5</v>
      </c>
      <c r="D66" s="7" t="str">
        <f t="shared" si="14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>ROUND(100000*0.03/(COUNTIF(F$2:F$97,"=R6release")+COUNTIF(D$2:D$97,"=PremiumSS")),0)</f>
        <v>79</v>
      </c>
      <c r="P66" s="46">
        <f t="shared" ref="P66:P97" si="18">O66/SUM(O:O)</f>
        <v>7.900632050564045E-4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9" t="s">
        <v>266</v>
      </c>
      <c r="B67" s="6">
        <v>590</v>
      </c>
      <c r="C67" s="7" t="str">
        <f t="shared" si="13"/>
        <v>Premium5</v>
      </c>
      <c r="D67" s="7" t="str">
        <f t="shared" si="1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ref="O67:O68" si="19">ROUND(100000*(1-0.03-0.01)/COUNTIFS(F$2:F$97,"&lt;&gt;R6release",D$2:D$97,"&lt;&gt;PremiumSS",D$2:D$97,"&lt;&gt;PremiumSSS"),0)</f>
        <v>1655</v>
      </c>
      <c r="P67" s="46">
        <f t="shared" si="18"/>
        <v>1.6551324105928474E-2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9" t="s">
        <v>266</v>
      </c>
      <c r="B68" s="6">
        <v>593</v>
      </c>
      <c r="C68" s="7" t="str">
        <f t="shared" si="13"/>
        <v>Premium5</v>
      </c>
      <c r="D68" s="7" t="str">
        <f t="shared" si="1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19"/>
        <v>1655</v>
      </c>
      <c r="P68" s="46">
        <f t="shared" si="18"/>
        <v>1.6551324105928474E-2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9" t="s">
        <v>266</v>
      </c>
      <c r="B69" s="6">
        <v>595</v>
      </c>
      <c r="C69" s="7" t="str">
        <f t="shared" si="13"/>
        <v>PremiumSS5</v>
      </c>
      <c r="D69" s="7" t="str">
        <f t="shared" si="14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>ROUND(100000*0.03/(COUNTIF(F$2:F$97,"=R6release")+COUNTIF(D$2:D$97,"=PremiumSS")),0)</f>
        <v>79</v>
      </c>
      <c r="P69" s="46">
        <f t="shared" si="18"/>
        <v>7.900632050564045E-4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9" t="s">
        <v>266</v>
      </c>
      <c r="B70" s="6">
        <v>598</v>
      </c>
      <c r="C70" s="7" t="str">
        <f t="shared" si="13"/>
        <v>Premium5</v>
      </c>
      <c r="D70" s="7" t="str">
        <f t="shared" si="1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ref="O70:O71" si="20">ROUND(100000*(1-0.03-0.01)/COUNTIFS(F$2:F$97,"&lt;&gt;R6release",D$2:D$97,"&lt;&gt;PremiumSS",D$2:D$97,"&lt;&gt;PremiumSSS"),0)</f>
        <v>1655</v>
      </c>
      <c r="P70" s="46">
        <f t="shared" si="18"/>
        <v>1.6551324105928474E-2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9" t="s">
        <v>266</v>
      </c>
      <c r="B71" s="6">
        <v>601</v>
      </c>
      <c r="C71" s="7" t="str">
        <f t="shared" si="13"/>
        <v>Premium5</v>
      </c>
      <c r="D71" s="7" t="str">
        <f t="shared" si="1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20"/>
        <v>1655</v>
      </c>
      <c r="P71" s="46">
        <f t="shared" si="18"/>
        <v>1.6551324105928474E-2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9" t="s">
        <v>266</v>
      </c>
      <c r="B72" s="6">
        <v>603</v>
      </c>
      <c r="C72" s="7" t="str">
        <f t="shared" si="13"/>
        <v>PremiumSS5</v>
      </c>
      <c r="D72" s="7" t="str">
        <f t="shared" si="14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>ROUND(100000*0.03/(COUNTIF(F$2:F$97,"=R6release")+COUNTIF(D$2:D$97,"=PremiumSS")),0)</f>
        <v>79</v>
      </c>
      <c r="P72" s="46">
        <f t="shared" si="18"/>
        <v>7.900632050564045E-4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9" t="s">
        <v>266</v>
      </c>
      <c r="B73" s="6">
        <v>606</v>
      </c>
      <c r="C73" s="7" t="str">
        <f t="shared" si="13"/>
        <v>Premium5</v>
      </c>
      <c r="D73" s="7" t="str">
        <f t="shared" si="1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>ROUND(100000*(1-0.03-0.01)/COUNTIFS(F$2:F$97,"&lt;&gt;R6release",D$2:D$97,"&lt;&gt;PremiumSS",D$2:D$97,"&lt;&gt;PremiumSSS"),0)</f>
        <v>1655</v>
      </c>
      <c r="P73" s="46">
        <f t="shared" si="18"/>
        <v>1.6551324105928474E-2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9" t="s">
        <v>266</v>
      </c>
      <c r="B74" s="6">
        <v>659</v>
      </c>
      <c r="C74" s="7" t="str">
        <f t="shared" si="13"/>
        <v>PremiumSS5</v>
      </c>
      <c r="D74" s="7" t="str">
        <f t="shared" si="14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>ROUND(100000*0.03/(COUNTIF(F$2:F$97,"=R6release")+COUNTIF(D$2:D$97,"=PremiumSS")),0)</f>
        <v>79</v>
      </c>
      <c r="P74" s="46">
        <f t="shared" si="18"/>
        <v>7.900632050564045E-4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9" t="s">
        <v>266</v>
      </c>
      <c r="B75" s="6">
        <v>661</v>
      </c>
      <c r="C75" s="7" t="str">
        <f t="shared" si="13"/>
        <v>PremiumSS5</v>
      </c>
      <c r="D75" s="7" t="str">
        <f t="shared" si="14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>ROUND(100000*0.03/(COUNTIF(F$2:F$97,"=R6release")+COUNTIF(D$2:D$97,"=PremiumSS")),0)</f>
        <v>79</v>
      </c>
      <c r="P75" s="46">
        <f t="shared" si="18"/>
        <v>7.900632050564045E-4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9" t="s">
        <v>266</v>
      </c>
      <c r="B76" s="6">
        <v>664</v>
      </c>
      <c r="C76" s="7" t="str">
        <f t="shared" si="13"/>
        <v>Premium5</v>
      </c>
      <c r="D76" s="7" t="str">
        <f t="shared" si="1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ref="O76:O79" si="21">ROUND(100000*(1-0.03-0.01)/COUNTIFS(F$2:F$97,"&lt;&gt;R6release",D$2:D$97,"&lt;&gt;PremiumSS",D$2:D$97,"&lt;&gt;PremiumSSS"),0)</f>
        <v>1655</v>
      </c>
      <c r="P76" s="46">
        <f t="shared" si="18"/>
        <v>1.6551324105928474E-2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9" t="s">
        <v>266</v>
      </c>
      <c r="B77" s="6">
        <v>667</v>
      </c>
      <c r="C77" s="7" t="str">
        <f t="shared" si="13"/>
        <v>Premium5</v>
      </c>
      <c r="D77" s="7" t="str">
        <f t="shared" si="1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21"/>
        <v>1655</v>
      </c>
      <c r="P77" s="46">
        <f t="shared" si="18"/>
        <v>1.6551324105928474E-2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9" t="s">
        <v>266</v>
      </c>
      <c r="B78" s="60">
        <v>670</v>
      </c>
      <c r="C78" s="7" t="str">
        <f t="shared" si="13"/>
        <v>Premium5</v>
      </c>
      <c r="D78" s="7" t="str">
        <f t="shared" si="1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21"/>
        <v>1655</v>
      </c>
      <c r="P78" s="46">
        <f t="shared" si="18"/>
        <v>1.6551324105928474E-2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9" t="s">
        <v>266</v>
      </c>
      <c r="B79" s="60">
        <v>673</v>
      </c>
      <c r="C79" s="7" t="str">
        <f t="shared" si="13"/>
        <v>Premium5</v>
      </c>
      <c r="D79" s="7" t="str">
        <f t="shared" si="1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21"/>
        <v>1655</v>
      </c>
      <c r="P79" s="46">
        <f t="shared" si="18"/>
        <v>1.6551324105928474E-2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9" t="s">
        <v>266</v>
      </c>
      <c r="B80" s="60">
        <v>675</v>
      </c>
      <c r="C80" s="7" t="str">
        <f t="shared" si="13"/>
        <v>PremiumSS5</v>
      </c>
      <c r="D80" s="7" t="str">
        <f t="shared" si="14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>ROUND(100000*0.03/(COUNTIF(F$2:F$97,"=R6release")+COUNTIF(D$2:D$97,"=PremiumSS")),0)</f>
        <v>79</v>
      </c>
      <c r="P80" s="46">
        <f t="shared" si="18"/>
        <v>7.900632050564045E-4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9" t="s">
        <v>266</v>
      </c>
      <c r="B81" s="60">
        <v>677</v>
      </c>
      <c r="C81" s="7" t="str">
        <f t="shared" si="13"/>
        <v>PremiumSS5</v>
      </c>
      <c r="D81" s="7" t="str">
        <f t="shared" si="14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ROUND(100000*0.03/(COUNTIF(F$2:F$97,"=R6release")+COUNTIF(D$2:D$97,"=PremiumSS")),0)</f>
        <v>79</v>
      </c>
      <c r="P81" s="46">
        <f t="shared" si="18"/>
        <v>7.900632050564045E-4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9" t="s">
        <v>266</v>
      </c>
      <c r="B82" s="60">
        <v>729</v>
      </c>
      <c r="C82" s="7" t="str">
        <f t="shared" si="13"/>
        <v>Premium5R3less</v>
      </c>
      <c r="D82" s="7" t="str">
        <f t="shared" si="14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ref="O82:O83" si="22">ROUND(100000*(1-0.03-0.01)/COUNTIFS(F$2:F$97,"&lt;&gt;R6release",D$2:D$97,"&lt;&gt;PremiumSS",D$2:D$97,"&lt;&gt;PremiumSSS"),0)</f>
        <v>1655</v>
      </c>
      <c r="P82" s="46">
        <f t="shared" si="18"/>
        <v>1.6551324105928474E-2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9" t="s">
        <v>266</v>
      </c>
      <c r="B83" s="60">
        <v>731</v>
      </c>
      <c r="C83" s="7" t="str">
        <f t="shared" si="13"/>
        <v>Premium5R3less</v>
      </c>
      <c r="D83" s="7" t="str">
        <f t="shared" si="14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 t="shared" si="22"/>
        <v>1655</v>
      </c>
      <c r="P83" s="46">
        <f t="shared" si="18"/>
        <v>1.6551324105928474E-2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9" t="s">
        <v>266</v>
      </c>
      <c r="B84" s="60">
        <v>732</v>
      </c>
      <c r="C84" s="7" t="str">
        <f t="shared" si="13"/>
        <v>PremiumSS5R5only</v>
      </c>
      <c r="D84" s="7" t="str">
        <f t="shared" si="14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>ROUND(100000*0.03/(COUNTIF(F$2:F$97,"=R6release")+COUNTIF(D$2:D$97,"=PremiumSS")),0)</f>
        <v>79</v>
      </c>
      <c r="P84" s="46">
        <f t="shared" si="18"/>
        <v>7.900632050564045E-4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9" t="s">
        <v>266</v>
      </c>
      <c r="B85" s="60">
        <v>734</v>
      </c>
      <c r="C85" s="7" t="str">
        <f t="shared" si="13"/>
        <v>PremiumSS5R5only</v>
      </c>
      <c r="D85" s="7" t="str">
        <f t="shared" si="14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>ROUND(100000*0.03/(COUNTIF(F$2:F$97,"=R6release")+COUNTIF(D$2:D$97,"=PremiumSS")),0)</f>
        <v>79</v>
      </c>
      <c r="P85" s="46">
        <f t="shared" si="18"/>
        <v>7.900632050564045E-4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9" t="s">
        <v>266</v>
      </c>
      <c r="B86" s="60">
        <v>771</v>
      </c>
      <c r="C86" s="7" t="str">
        <f t="shared" si="13"/>
        <v>PremiumSS5</v>
      </c>
      <c r="D86" s="7" t="str">
        <f t="shared" si="14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>ROUND(100000*0.03/(COUNTIF(F$2:F$97,"=R6release")+COUNTIF(D$2:D$97,"=PremiumSS")),0)</f>
        <v>79</v>
      </c>
      <c r="P86" s="46">
        <f t="shared" si="18"/>
        <v>7.900632050564045E-4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9" t="s">
        <v>266</v>
      </c>
      <c r="B87" s="60">
        <v>773</v>
      </c>
      <c r="C87" s="7" t="str">
        <f t="shared" si="13"/>
        <v>PremiumSS5</v>
      </c>
      <c r="D87" s="7" t="str">
        <f t="shared" si="14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>ROUND(100000*0.03/(COUNTIF(F$2:F$97,"=R6release")+COUNTIF(D$2:D$97,"=PremiumSS")),0)</f>
        <v>79</v>
      </c>
      <c r="P87" s="46">
        <f t="shared" si="18"/>
        <v>7.900632050564045E-4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9" t="s">
        <v>266</v>
      </c>
      <c r="B88" s="60">
        <v>776</v>
      </c>
      <c r="C88" s="7" t="str">
        <f t="shared" si="13"/>
        <v>Premium5</v>
      </c>
      <c r="D88" s="7" t="str">
        <f t="shared" si="1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ref="O88:O89" si="23">ROUND(100000*(1-0.03-0.01)/COUNTIFS(F$2:F$97,"&lt;&gt;R6release",D$2:D$97,"&lt;&gt;PremiumSS",D$2:D$97,"&lt;&gt;PremiumSSS"),0)</f>
        <v>1655</v>
      </c>
      <c r="P88" s="46">
        <f t="shared" si="18"/>
        <v>1.6551324105928474E-2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9" t="s">
        <v>266</v>
      </c>
      <c r="B89" s="60">
        <v>779</v>
      </c>
      <c r="C89" s="7" t="str">
        <f t="shared" si="13"/>
        <v>Premium5</v>
      </c>
      <c r="D89" s="7" t="str">
        <f t="shared" si="1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23"/>
        <v>1655</v>
      </c>
      <c r="P89" s="46">
        <f t="shared" si="18"/>
        <v>1.6551324105928474E-2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9" t="s">
        <v>266</v>
      </c>
      <c r="B90" s="83">
        <v>848</v>
      </c>
      <c r="C90" s="7" t="str">
        <f t="shared" si="13"/>
        <v>PremiumSS5R5only</v>
      </c>
      <c r="D90" s="7" t="str">
        <f t="shared" si="14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>ROUND(100000*0.03/(COUNTIF(F$2:F$97,"=R6release")+COUNTIF(D$2:D$97,"=PremiumSS")),0)</f>
        <v>79</v>
      </c>
      <c r="P90" s="46">
        <f t="shared" si="18"/>
        <v>7.900632050564045E-4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9" t="s">
        <v>266</v>
      </c>
      <c r="B91" s="83">
        <v>850</v>
      </c>
      <c r="C91" s="7" t="str">
        <f t="shared" ref="C91:C97" si="24">D91&amp;J91&amp;E91&amp;F91&amp;G91</f>
        <v>PremiumSS5R5only</v>
      </c>
      <c r="D91" s="7" t="str">
        <f t="shared" ref="D91:D97" si="25">IF(I91="PremiumSS",I91,IF(I91="PremiumSSS",I91,IF(I91="PremiumW",I91,"Premium")))</f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>ROUND(100000*0.03/(COUNTIF(F$2:F$97,"=R6release")+COUNTIF(D$2:D$97,"=PremiumSS")),0)</f>
        <v>79</v>
      </c>
      <c r="P91" s="46">
        <f t="shared" si="18"/>
        <v>7.900632050564045E-4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9" t="s">
        <v>266</v>
      </c>
      <c r="B92" s="83">
        <v>853</v>
      </c>
      <c r="C92" s="7" t="str">
        <f t="shared" si="24"/>
        <v>Premium5R3less</v>
      </c>
      <c r="D92" s="7" t="str">
        <f t="shared" si="25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ref="O92:O95" si="26">ROUND(100000*(1-0.03-0.01)/COUNTIFS(F$2:F$97,"&lt;&gt;R6release",D$2:D$97,"&lt;&gt;PremiumSS",D$2:D$97,"&lt;&gt;PremiumSSS"),0)</f>
        <v>1655</v>
      </c>
      <c r="P92" s="46">
        <f t="shared" si="18"/>
        <v>1.6551324105928474E-2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9" t="s">
        <v>266</v>
      </c>
      <c r="B93" s="83">
        <v>855</v>
      </c>
      <c r="C93" s="7" t="str">
        <f t="shared" si="24"/>
        <v>Premium5R3less</v>
      </c>
      <c r="D93" s="7" t="str">
        <f t="shared" si="25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26"/>
        <v>1655</v>
      </c>
      <c r="P93" s="46">
        <f t="shared" si="18"/>
        <v>1.6551324105928474E-2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9" t="s">
        <v>266</v>
      </c>
      <c r="B94" s="83">
        <v>863</v>
      </c>
      <c r="C94" s="7" t="str">
        <f t="shared" si="24"/>
        <v>Premium5R3less</v>
      </c>
      <c r="D94" s="7" t="str">
        <f t="shared" si="25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26"/>
        <v>1655</v>
      </c>
      <c r="P94" s="46">
        <f t="shared" si="18"/>
        <v>1.6551324105928474E-2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9" t="s">
        <v>266</v>
      </c>
      <c r="B95" s="83">
        <v>865</v>
      </c>
      <c r="C95" s="7" t="str">
        <f t="shared" si="24"/>
        <v>Premium5R3less</v>
      </c>
      <c r="D95" s="7" t="str">
        <f t="shared" si="25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 t="shared" si="26"/>
        <v>1655</v>
      </c>
      <c r="P95" s="46">
        <f t="shared" si="18"/>
        <v>1.6551324105928474E-2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9" t="s">
        <v>266</v>
      </c>
      <c r="B96" s="83">
        <v>866</v>
      </c>
      <c r="C96" s="7" t="str">
        <f t="shared" si="24"/>
        <v>PremiumSS5R5only</v>
      </c>
      <c r="D96" s="7" t="str">
        <f t="shared" si="25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>ROUND(100000*0.03/(COUNTIF(F$2:F$97,"=R6release")+COUNTIF(D$2:D$97,"=PremiumSS")),0)</f>
        <v>79</v>
      </c>
      <c r="P96" s="46">
        <f t="shared" si="18"/>
        <v>7.900632050564045E-4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9" t="s">
        <v>266</v>
      </c>
      <c r="B97" s="83">
        <v>868</v>
      </c>
      <c r="C97" s="7" t="str">
        <f t="shared" si="24"/>
        <v>PremiumSS5R5only</v>
      </c>
      <c r="D97" s="7" t="str">
        <f t="shared" si="25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>ROUND(100000*0.03/(COUNTIF(F$2:F$97,"=R6release")+COUNTIF(D$2:D$97,"=PremiumSS")),0)</f>
        <v>79</v>
      </c>
      <c r="P97" s="46">
        <f t="shared" si="18"/>
        <v>7.900632050564045E-4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9" t="s">
        <v>266</v>
      </c>
      <c r="B98" s="83">
        <v>623</v>
      </c>
      <c r="C98" s="7" t="str">
        <f t="shared" ref="C98" si="27">D98&amp;J98&amp;E98&amp;F98&amp;G98</f>
        <v>PremiumSSS5R3less</v>
      </c>
      <c r="D98" s="7" t="str">
        <f t="shared" ref="D98" si="28">IF(I98="PremiumSS",I98,IF(I98="PremiumSSS",I98,IF(I98="PremiumW",I98,"Premium")))</f>
        <v>PremiumSSS</v>
      </c>
      <c r="E98" s="7" t="str">
        <f>IF(COUNTIF('R6追加前'!A:A,B98)=0,IF(I98="PremiumSS","R5only","R3less"),"")</f>
        <v>R3less</v>
      </c>
      <c r="F98" s="7" t="str">
        <f>IF(COUNTIF('R6開放'!A:A,B98)&gt;0,"R6release","")</f>
        <v/>
      </c>
      <c r="G98" s="7"/>
      <c r="H98" s="7" t="str">
        <f>VLOOKUP(B98,[1]characters!$A:$C,3,FALSE)</f>
        <v>未踏の轍跡 フェルマー</v>
      </c>
      <c r="I98" s="7" t="str">
        <f>VLOOKUP(B98,[1]characters!$A:$J,10,FALSE)</f>
        <v>PremiumSSS</v>
      </c>
      <c r="J98" s="7">
        <f>VLOOKUP(B98,[1]characters!$A:$I,9,FALSE)</f>
        <v>5</v>
      </c>
      <c r="K98" s="7" t="str">
        <f>VLOOKUP(B98,[1]characters!$A:$H,8,FALSE)</f>
        <v>yellow</v>
      </c>
      <c r="L98" s="7" t="str">
        <f>VLOOKUP(B98,[1]characters!$A:$K,11,FALSE)</f>
        <v>attack</v>
      </c>
      <c r="M98" s="7" t="str">
        <f>VLOOKUP(B98,[1]characters!$A:$M,13,FALSE)</f>
        <v>academia</v>
      </c>
      <c r="N98" s="7" t="str">
        <f>VLOOKUP(B98,[1]characters!$A:$G,7,FALSE)</f>
        <v>女性</v>
      </c>
      <c r="O98" s="45">
        <f>100000*0.005</f>
        <v>500</v>
      </c>
      <c r="P98" s="46">
        <f t="shared" ref="P98" si="29">O98/SUM(O:O)</f>
        <v>5.0004000320025598E-3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89" t="s">
        <v>266</v>
      </c>
      <c r="B99" s="83">
        <v>620</v>
      </c>
      <c r="C99" s="7" t="str">
        <f t="shared" ref="C99" si="30">D99&amp;J99&amp;E99&amp;F99&amp;G99</f>
        <v>PremiumSSS5R3less</v>
      </c>
      <c r="D99" s="7" t="str">
        <f t="shared" ref="D99" si="31">IF(I99="PremiumSS",I99,IF(I99="PremiumSSS",I99,IF(I99="PremiumW",I99,"Premium")))</f>
        <v>PremiumSSS</v>
      </c>
      <c r="E99" s="7" t="str">
        <f>IF(COUNTIF('R6追加前'!A:A,B99)=0,IF(I99="PremiumSS","R5only","R3less"),"")</f>
        <v>R3less</v>
      </c>
      <c r="F99" s="7" t="str">
        <f>IF(COUNTIF('R6開放'!A:A,B99)&gt;0,"R6release","")</f>
        <v/>
      </c>
      <c r="G99" s="7"/>
      <c r="H99" s="7" t="str">
        <f>VLOOKUP(B99,[1]characters!$A:$C,3,FALSE)</f>
        <v>奇跡の調和 メビウス</v>
      </c>
      <c r="I99" s="7" t="str">
        <f>VLOOKUP(B99,[1]characters!$A:$J,10,FALSE)</f>
        <v>PremiumSSS</v>
      </c>
      <c r="J99" s="7">
        <f>VLOOKUP(B99,[1]characters!$A:$I,9,FALSE)</f>
        <v>5</v>
      </c>
      <c r="K99" s="7" t="str">
        <f>VLOOKUP(B99,[1]characters!$A:$H,8,FALSE)</f>
        <v>blue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女性</v>
      </c>
      <c r="O99" s="45">
        <f>100000*0.005</f>
        <v>500</v>
      </c>
      <c r="P99" s="46">
        <f t="shared" ref="P99" si="32">O99/SUM(O:O)</f>
        <v>5.0004000320025598E-3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</sheetData>
  <autoFilter ref="A1:V9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20" sqref="H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252</v>
      </c>
      <c r="B2" s="80" t="s">
        <v>253</v>
      </c>
      <c r="C2" s="81" t="s">
        <v>245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215</v>
      </c>
      <c r="O2" s="81" t="s">
        <v>247</v>
      </c>
      <c r="P2" s="81" t="s">
        <v>251</v>
      </c>
      <c r="Q2" s="82" t="s">
        <v>255</v>
      </c>
    </row>
    <row r="3" spans="1:17" ht="21" customHeight="1" x14ac:dyDescent="0.15">
      <c r="A3" s="80" t="s">
        <v>257</v>
      </c>
      <c r="B3" s="80" t="s">
        <v>254</v>
      </c>
      <c r="C3" s="1" t="s">
        <v>242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215</v>
      </c>
      <c r="O3" s="81" t="s">
        <v>246</v>
      </c>
      <c r="P3" s="81" t="s">
        <v>251</v>
      </c>
      <c r="Q3" s="82" t="s">
        <v>256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input_358010</vt:lpstr>
      <vt:lpstr>tables_358010</vt:lpstr>
      <vt:lpstr>input_358100</vt:lpstr>
      <vt:lpstr>tables_358100</vt:lpstr>
      <vt:lpstr>tables_settle_358100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2016-06-16T03:52:43Z</dcterms:modified>
</cp:coreProperties>
</file>