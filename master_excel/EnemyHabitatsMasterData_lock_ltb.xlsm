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1940" yWindow="2100" windowWidth="25600" windowHeight="16060" tabRatio="775" activeTab="1"/>
  </bookViews>
  <sheets>
    <sheet name="output" sheetId="7" r:id="rId1"/>
    <sheet name="floors" sheetId="2" r:id="rId2"/>
    <sheet name="enemy_habitats" sheetId="1" r:id="rId3"/>
    <sheet name="enemy_habitat_S" sheetId="8" r:id="rId4"/>
    <sheet name="調整用" sheetId="12" r:id="rId5"/>
    <sheet name="enemy_skill_sets" sheetId="9" r:id="rId6"/>
    <sheet name="enemy_skills" sheetId="10" r:id="rId7"/>
    <sheet name="enemy_skill_triggers" sheetId="11" r:id="rId8"/>
    <sheet name="bugbonuses" sheetId="13" r:id="rId9"/>
    <sheet name="stage_hints" sheetId="14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enemy_habitats!$B$1:$AH$1</definedName>
    <definedName name="_xlnm._FilterDatabase" localSheetId="5" hidden="1">enemy_skill_sets!$A$1:$S$1</definedName>
    <definedName name="_xlnm._FilterDatabase" localSheetId="7" hidden="1">enemy_skill_triggers!$A$1:$G$1</definedName>
    <definedName name="_xlnm._FilterDatabase" localSheetId="6" hidden="1">enemy_skills!$A$1:$I$1</definedName>
    <definedName name="_xlnm._FilterDatabase" localSheetId="9" hidden="1">stage_hints!$C$1:$N$1</definedName>
    <definedName name="Excel_BuiltIn__FilterDatabase_6_1" localSheetId="5">[1]unit_skills!#REF!</definedName>
    <definedName name="Excel_BuiltIn__FilterDatabase_6_1" localSheetId="7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0" i="1" l="1"/>
  <c r="AD20" i="1"/>
  <c r="AG20" i="1"/>
  <c r="AE20" i="1"/>
  <c r="AC20" i="1"/>
  <c r="W20" i="1"/>
  <c r="V20" i="1"/>
  <c r="Q20" i="1"/>
  <c r="P20" i="1"/>
  <c r="O20" i="1"/>
  <c r="N20" i="1"/>
  <c r="M20" i="1"/>
  <c r="H20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J20" i="1"/>
  <c r="I20" i="1"/>
  <c r="D20" i="1"/>
  <c r="F20" i="1"/>
  <c r="E20" i="1"/>
  <c r="A20" i="1"/>
  <c r="AB19" i="1"/>
  <c r="AD19" i="1"/>
  <c r="AG19" i="1"/>
  <c r="AE19" i="1"/>
  <c r="AC19" i="1"/>
  <c r="AA19" i="1"/>
  <c r="W19" i="1"/>
  <c r="V19" i="1"/>
  <c r="U19" i="1"/>
  <c r="T19" i="1"/>
  <c r="S19" i="1"/>
  <c r="Q19" i="1"/>
  <c r="P19" i="1"/>
  <c r="O19" i="1"/>
  <c r="N19" i="1"/>
  <c r="M19" i="1"/>
  <c r="H19" i="1"/>
  <c r="J19" i="1"/>
  <c r="I19" i="1"/>
  <c r="D19" i="1"/>
  <c r="F19" i="1"/>
  <c r="E19" i="1"/>
  <c r="A19" i="1"/>
  <c r="AB6" i="1"/>
  <c r="AD6" i="1"/>
  <c r="AG6" i="1"/>
  <c r="AE6" i="1"/>
  <c r="AC6" i="1"/>
  <c r="W6" i="1"/>
  <c r="V6" i="1"/>
  <c r="Q6" i="1"/>
  <c r="P6" i="1"/>
  <c r="O6" i="1"/>
  <c r="N6" i="1"/>
  <c r="M6" i="1"/>
  <c r="H6" i="1"/>
  <c r="J6" i="1"/>
  <c r="I6" i="1"/>
  <c r="D6" i="1"/>
  <c r="F6" i="1"/>
  <c r="E6" i="1"/>
  <c r="A6" i="1"/>
  <c r="P7" i="14"/>
  <c r="J7" i="14"/>
  <c r="K7" i="14"/>
  <c r="H7" i="14"/>
  <c r="G7" i="14"/>
  <c r="E7" i="14"/>
  <c r="D7" i="14"/>
  <c r="A7" i="14"/>
  <c r="P5" i="14"/>
  <c r="J5" i="14"/>
  <c r="K5" i="14"/>
  <c r="H5" i="14"/>
  <c r="G5" i="14"/>
  <c r="E5" i="14"/>
  <c r="D5" i="14"/>
  <c r="A5" i="14"/>
  <c r="P6" i="14"/>
  <c r="J6" i="14"/>
  <c r="K6" i="14"/>
  <c r="H6" i="14"/>
  <c r="G6" i="14"/>
  <c r="E6" i="14"/>
  <c r="D6" i="14"/>
  <c r="A6" i="14"/>
  <c r="C13" i="13"/>
  <c r="D13" i="13"/>
  <c r="C12" i="13"/>
  <c r="D12" i="13"/>
  <c r="C11" i="13"/>
  <c r="D11" i="13"/>
  <c r="C10" i="13"/>
  <c r="D10" i="13"/>
  <c r="C9" i="13"/>
  <c r="D9" i="13"/>
  <c r="C8" i="13"/>
  <c r="D8" i="13"/>
  <c r="E13" i="9"/>
  <c r="V41" i="1"/>
  <c r="E12" i="9"/>
  <c r="V40" i="1"/>
  <c r="E11" i="9"/>
  <c r="V39" i="1"/>
  <c r="E10" i="9"/>
  <c r="V34" i="1"/>
  <c r="E9" i="9"/>
  <c r="V33" i="1"/>
  <c r="E8" i="9"/>
  <c r="V32" i="1"/>
  <c r="E7" i="9"/>
  <c r="V27" i="1"/>
  <c r="E6" i="9"/>
  <c r="V26" i="1"/>
  <c r="E5" i="9"/>
  <c r="V25" i="1"/>
  <c r="K2" i="11"/>
  <c r="P13" i="9"/>
  <c r="J2" i="11"/>
  <c r="O13" i="9"/>
  <c r="N13" i="9"/>
  <c r="M13" i="9"/>
  <c r="L13" i="9"/>
  <c r="K13" i="9"/>
  <c r="J13" i="9"/>
  <c r="I13" i="9"/>
  <c r="H13" i="9"/>
  <c r="G13" i="9"/>
  <c r="D13" i="9"/>
  <c r="A13" i="9"/>
  <c r="P12" i="9"/>
  <c r="O12" i="9"/>
  <c r="N12" i="9"/>
  <c r="M12" i="9"/>
  <c r="L12" i="9"/>
  <c r="K12" i="9"/>
  <c r="J12" i="9"/>
  <c r="I12" i="9"/>
  <c r="H12" i="9"/>
  <c r="G12" i="9"/>
  <c r="D12" i="9"/>
  <c r="A12" i="9"/>
  <c r="P11" i="9"/>
  <c r="O11" i="9"/>
  <c r="N11" i="9"/>
  <c r="M11" i="9"/>
  <c r="L11" i="9"/>
  <c r="K11" i="9"/>
  <c r="J11" i="9"/>
  <c r="I11" i="9"/>
  <c r="H11" i="9"/>
  <c r="G11" i="9"/>
  <c r="D11" i="9"/>
  <c r="A11" i="9"/>
  <c r="P10" i="9"/>
  <c r="O10" i="9"/>
  <c r="N10" i="9"/>
  <c r="M10" i="9"/>
  <c r="L10" i="9"/>
  <c r="K10" i="9"/>
  <c r="J10" i="9"/>
  <c r="I10" i="9"/>
  <c r="H10" i="9"/>
  <c r="G10" i="9"/>
  <c r="D10" i="9"/>
  <c r="A10" i="9"/>
  <c r="P9" i="9"/>
  <c r="O9" i="9"/>
  <c r="N9" i="9"/>
  <c r="M9" i="9"/>
  <c r="L9" i="9"/>
  <c r="K9" i="9"/>
  <c r="J9" i="9"/>
  <c r="I9" i="9"/>
  <c r="H9" i="9"/>
  <c r="G9" i="9"/>
  <c r="D9" i="9"/>
  <c r="A9" i="9"/>
  <c r="P8" i="9"/>
  <c r="O8" i="9"/>
  <c r="N8" i="9"/>
  <c r="M8" i="9"/>
  <c r="L8" i="9"/>
  <c r="K8" i="9"/>
  <c r="J8" i="9"/>
  <c r="I8" i="9"/>
  <c r="H8" i="9"/>
  <c r="G8" i="9"/>
  <c r="D8" i="9"/>
  <c r="A8" i="9"/>
  <c r="P7" i="9"/>
  <c r="O7" i="9"/>
  <c r="N7" i="9"/>
  <c r="M7" i="9"/>
  <c r="L7" i="9"/>
  <c r="K7" i="9"/>
  <c r="J7" i="9"/>
  <c r="I7" i="9"/>
  <c r="H7" i="9"/>
  <c r="G7" i="9"/>
  <c r="D7" i="9"/>
  <c r="A7" i="9"/>
  <c r="P6" i="9"/>
  <c r="O6" i="9"/>
  <c r="N6" i="9"/>
  <c r="M6" i="9"/>
  <c r="L6" i="9"/>
  <c r="K6" i="9"/>
  <c r="J6" i="9"/>
  <c r="I6" i="9"/>
  <c r="H6" i="9"/>
  <c r="G6" i="9"/>
  <c r="D6" i="9"/>
  <c r="A6" i="9"/>
  <c r="P5" i="9"/>
  <c r="O5" i="9"/>
  <c r="N5" i="9"/>
  <c r="M5" i="9"/>
  <c r="L5" i="9"/>
  <c r="K5" i="9"/>
  <c r="J5" i="9"/>
  <c r="I5" i="9"/>
  <c r="H5" i="9"/>
  <c r="G5" i="9"/>
  <c r="D5" i="9"/>
  <c r="A5" i="9"/>
  <c r="AA37" i="1"/>
  <c r="AA35" i="1"/>
  <c r="AA30" i="1"/>
  <c r="AA28" i="1"/>
  <c r="AB41" i="1"/>
  <c r="AD41" i="1"/>
  <c r="AG41" i="1"/>
  <c r="AE41" i="1"/>
  <c r="AC41" i="1"/>
  <c r="U41" i="1"/>
  <c r="T41" i="1"/>
  <c r="J7" i="12"/>
  <c r="S41" i="1"/>
  <c r="Q41" i="1"/>
  <c r="P41" i="1"/>
  <c r="O41" i="1"/>
  <c r="N41" i="1"/>
  <c r="M41" i="1"/>
  <c r="H41" i="1"/>
  <c r="J41" i="1"/>
  <c r="I41" i="1"/>
  <c r="D41" i="1"/>
  <c r="F41" i="1"/>
  <c r="E41" i="1"/>
  <c r="A41" i="1"/>
  <c r="AB40" i="1"/>
  <c r="AD40" i="1"/>
  <c r="AG40" i="1"/>
  <c r="AE40" i="1"/>
  <c r="AC40" i="1"/>
  <c r="U40" i="1"/>
  <c r="T40" i="1"/>
  <c r="J6" i="12"/>
  <c r="S40" i="1"/>
  <c r="Q40" i="1"/>
  <c r="P40" i="1"/>
  <c r="O40" i="1"/>
  <c r="N40" i="1"/>
  <c r="M40" i="1"/>
  <c r="H40" i="1"/>
  <c r="J40" i="1"/>
  <c r="I40" i="1"/>
  <c r="D40" i="1"/>
  <c r="F40" i="1"/>
  <c r="E40" i="1"/>
  <c r="A40" i="1"/>
  <c r="AB39" i="1"/>
  <c r="AD39" i="1"/>
  <c r="AG39" i="1"/>
  <c r="AE39" i="1"/>
  <c r="AC39" i="1"/>
  <c r="U39" i="1"/>
  <c r="T39" i="1"/>
  <c r="S39" i="1"/>
  <c r="Q39" i="1"/>
  <c r="P39" i="1"/>
  <c r="O39" i="1"/>
  <c r="N39" i="1"/>
  <c r="M39" i="1"/>
  <c r="H39" i="1"/>
  <c r="J39" i="1"/>
  <c r="I39" i="1"/>
  <c r="D39" i="1"/>
  <c r="F39" i="1"/>
  <c r="E39" i="1"/>
  <c r="A39" i="1"/>
  <c r="AB38" i="1"/>
  <c r="AD38" i="1"/>
  <c r="AG38" i="1"/>
  <c r="AE38" i="1"/>
  <c r="AC38" i="1"/>
  <c r="W38" i="1"/>
  <c r="V38" i="1"/>
  <c r="U38" i="1"/>
  <c r="T38" i="1"/>
  <c r="S38" i="1"/>
  <c r="Q38" i="1"/>
  <c r="P38" i="1"/>
  <c r="O38" i="1"/>
  <c r="N38" i="1"/>
  <c r="M38" i="1"/>
  <c r="H38" i="1"/>
  <c r="J38" i="1"/>
  <c r="I38" i="1"/>
  <c r="D38" i="1"/>
  <c r="F38" i="1"/>
  <c r="E38" i="1"/>
  <c r="A38" i="1"/>
  <c r="AB37" i="1"/>
  <c r="AD37" i="1"/>
  <c r="AG37" i="1"/>
  <c r="AE37" i="1"/>
  <c r="AC37" i="1"/>
  <c r="W37" i="1"/>
  <c r="V37" i="1"/>
  <c r="U37" i="1"/>
  <c r="T37" i="1"/>
  <c r="S37" i="1"/>
  <c r="Q37" i="1"/>
  <c r="P37" i="1"/>
  <c r="O37" i="1"/>
  <c r="N37" i="1"/>
  <c r="M37" i="1"/>
  <c r="H37" i="1"/>
  <c r="J37" i="1"/>
  <c r="I37" i="1"/>
  <c r="D37" i="1"/>
  <c r="F37" i="1"/>
  <c r="E37" i="1"/>
  <c r="A37" i="1"/>
  <c r="AB36" i="1"/>
  <c r="AD36" i="1"/>
  <c r="AG36" i="1"/>
  <c r="AE36" i="1"/>
  <c r="AC36" i="1"/>
  <c r="W36" i="1"/>
  <c r="V36" i="1"/>
  <c r="U36" i="1"/>
  <c r="T36" i="1"/>
  <c r="S36" i="1"/>
  <c r="Q36" i="1"/>
  <c r="P36" i="1"/>
  <c r="O36" i="1"/>
  <c r="N36" i="1"/>
  <c r="M36" i="1"/>
  <c r="H36" i="1"/>
  <c r="J36" i="1"/>
  <c r="I36" i="1"/>
  <c r="D36" i="1"/>
  <c r="F36" i="1"/>
  <c r="E36" i="1"/>
  <c r="A36" i="1"/>
  <c r="AB35" i="1"/>
  <c r="AD35" i="1"/>
  <c r="AG35" i="1"/>
  <c r="AE35" i="1"/>
  <c r="AC35" i="1"/>
  <c r="W35" i="1"/>
  <c r="V35" i="1"/>
  <c r="U35" i="1"/>
  <c r="T35" i="1"/>
  <c r="S35" i="1"/>
  <c r="Q35" i="1"/>
  <c r="P35" i="1"/>
  <c r="O35" i="1"/>
  <c r="N35" i="1"/>
  <c r="M35" i="1"/>
  <c r="H35" i="1"/>
  <c r="J35" i="1"/>
  <c r="I35" i="1"/>
  <c r="D35" i="1"/>
  <c r="F35" i="1"/>
  <c r="E35" i="1"/>
  <c r="A35" i="1"/>
  <c r="AB34" i="1"/>
  <c r="AD34" i="1"/>
  <c r="AG34" i="1"/>
  <c r="AE34" i="1"/>
  <c r="AC34" i="1"/>
  <c r="U34" i="1"/>
  <c r="T34" i="1"/>
  <c r="J10" i="12"/>
  <c r="S34" i="1"/>
  <c r="Q34" i="1"/>
  <c r="P34" i="1"/>
  <c r="O34" i="1"/>
  <c r="N34" i="1"/>
  <c r="M34" i="1"/>
  <c r="H34" i="1"/>
  <c r="J34" i="1"/>
  <c r="I34" i="1"/>
  <c r="D34" i="1"/>
  <c r="F34" i="1"/>
  <c r="E34" i="1"/>
  <c r="A34" i="1"/>
  <c r="AB33" i="1"/>
  <c r="AD33" i="1"/>
  <c r="AG33" i="1"/>
  <c r="AE33" i="1"/>
  <c r="AC33" i="1"/>
  <c r="U33" i="1"/>
  <c r="T33" i="1"/>
  <c r="J9" i="12"/>
  <c r="S33" i="1"/>
  <c r="Q33" i="1"/>
  <c r="P33" i="1"/>
  <c r="O33" i="1"/>
  <c r="N33" i="1"/>
  <c r="M33" i="1"/>
  <c r="H33" i="1"/>
  <c r="J33" i="1"/>
  <c r="I33" i="1"/>
  <c r="D33" i="1"/>
  <c r="F33" i="1"/>
  <c r="E33" i="1"/>
  <c r="A33" i="1"/>
  <c r="AB32" i="1"/>
  <c r="AD32" i="1"/>
  <c r="AG32" i="1"/>
  <c r="AE32" i="1"/>
  <c r="AC32" i="1"/>
  <c r="U32" i="1"/>
  <c r="T32" i="1"/>
  <c r="S32" i="1"/>
  <c r="Q32" i="1"/>
  <c r="P32" i="1"/>
  <c r="O32" i="1"/>
  <c r="N32" i="1"/>
  <c r="M32" i="1"/>
  <c r="H32" i="1"/>
  <c r="J32" i="1"/>
  <c r="I32" i="1"/>
  <c r="D32" i="1"/>
  <c r="F32" i="1"/>
  <c r="E32" i="1"/>
  <c r="A32" i="1"/>
  <c r="AB31" i="1"/>
  <c r="AD31" i="1"/>
  <c r="AG31" i="1"/>
  <c r="AE31" i="1"/>
  <c r="AC31" i="1"/>
  <c r="W31" i="1"/>
  <c r="V31" i="1"/>
  <c r="U31" i="1"/>
  <c r="T31" i="1"/>
  <c r="S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W30" i="1"/>
  <c r="V30" i="1"/>
  <c r="U30" i="1"/>
  <c r="T30" i="1"/>
  <c r="S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W29" i="1"/>
  <c r="V29" i="1"/>
  <c r="U29" i="1"/>
  <c r="T29" i="1"/>
  <c r="S29" i="1"/>
  <c r="Q29" i="1"/>
  <c r="P29" i="1"/>
  <c r="O29" i="1"/>
  <c r="N29" i="1"/>
  <c r="M29" i="1"/>
  <c r="H29" i="1"/>
  <c r="J29" i="1"/>
  <c r="I29" i="1"/>
  <c r="D29" i="1"/>
  <c r="F29" i="1"/>
  <c r="E29" i="1"/>
  <c r="A29" i="1"/>
  <c r="AB28" i="1"/>
  <c r="AD28" i="1"/>
  <c r="AG28" i="1"/>
  <c r="AE28" i="1"/>
  <c r="AC28" i="1"/>
  <c r="W28" i="1"/>
  <c r="V28" i="1"/>
  <c r="U28" i="1"/>
  <c r="T28" i="1"/>
  <c r="S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U27" i="1"/>
  <c r="T27" i="1"/>
  <c r="J4" i="12"/>
  <c r="S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U26" i="1"/>
  <c r="T26" i="1"/>
  <c r="J3" i="12"/>
  <c r="S26" i="1"/>
  <c r="Q26" i="1"/>
  <c r="P26" i="1"/>
  <c r="O26" i="1"/>
  <c r="N26" i="1"/>
  <c r="M26" i="1"/>
  <c r="H26" i="1"/>
  <c r="J26" i="1"/>
  <c r="I26" i="1"/>
  <c r="D26" i="1"/>
  <c r="F26" i="1"/>
  <c r="E26" i="1"/>
  <c r="A26" i="1"/>
  <c r="AB25" i="1"/>
  <c r="AD25" i="1"/>
  <c r="AG25" i="1"/>
  <c r="AE25" i="1"/>
  <c r="AC25" i="1"/>
  <c r="U25" i="1"/>
  <c r="T25" i="1"/>
  <c r="S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W24" i="1"/>
  <c r="V24" i="1"/>
  <c r="U24" i="1"/>
  <c r="T24" i="1"/>
  <c r="S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AA23" i="1"/>
  <c r="W23" i="1"/>
  <c r="V23" i="1"/>
  <c r="U23" i="1"/>
  <c r="T23" i="1"/>
  <c r="S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W22" i="1"/>
  <c r="V22" i="1"/>
  <c r="U22" i="1"/>
  <c r="T22" i="1"/>
  <c r="S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W21" i="1"/>
  <c r="V21" i="1"/>
  <c r="U21" i="1"/>
  <c r="T21" i="1"/>
  <c r="S21" i="1"/>
  <c r="Q21" i="1"/>
  <c r="P21" i="1"/>
  <c r="O21" i="1"/>
  <c r="N21" i="1"/>
  <c r="M21" i="1"/>
  <c r="H21" i="1"/>
  <c r="J21" i="1"/>
  <c r="I21" i="1"/>
  <c r="D21" i="1"/>
  <c r="F21" i="1"/>
  <c r="E21" i="1"/>
  <c r="A21" i="1"/>
  <c r="H15" i="2"/>
  <c r="E15" i="2"/>
  <c r="D15" i="2"/>
  <c r="H2" i="1"/>
  <c r="H3" i="1"/>
  <c r="H4" i="1"/>
  <c r="H5" i="1"/>
  <c r="H7" i="1"/>
  <c r="H8" i="1"/>
  <c r="H9" i="1"/>
  <c r="H10" i="1"/>
  <c r="H11" i="1"/>
  <c r="H12" i="1"/>
  <c r="H13" i="1"/>
  <c r="H14" i="1"/>
  <c r="H15" i="1"/>
  <c r="H16" i="1"/>
  <c r="H17" i="1"/>
  <c r="H18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N9" i="14"/>
  <c r="M9" i="14"/>
  <c r="N8" i="14"/>
  <c r="M8" i="14"/>
  <c r="P10" i="14"/>
  <c r="J10" i="14"/>
  <c r="K10" i="14"/>
  <c r="H10" i="14"/>
  <c r="G10" i="14"/>
  <c r="E10" i="14"/>
  <c r="D10" i="14"/>
  <c r="A10" i="14"/>
  <c r="P9" i="14"/>
  <c r="J9" i="14"/>
  <c r="K9" i="14"/>
  <c r="H9" i="14"/>
  <c r="G9" i="14"/>
  <c r="E9" i="14"/>
  <c r="D9" i="14"/>
  <c r="A9" i="14"/>
  <c r="P8" i="14"/>
  <c r="J8" i="14"/>
  <c r="K8" i="14"/>
  <c r="H8" i="14"/>
  <c r="G8" i="14"/>
  <c r="E8" i="14"/>
  <c r="D8" i="14"/>
  <c r="A8" i="14"/>
  <c r="C19" i="13"/>
  <c r="C18" i="13"/>
  <c r="C17" i="13"/>
  <c r="C16" i="13"/>
  <c r="C15" i="13"/>
  <c r="C14" i="13"/>
  <c r="AB60" i="1"/>
  <c r="AD60" i="1"/>
  <c r="AG60" i="1"/>
  <c r="AE60" i="1"/>
  <c r="AC60" i="1"/>
  <c r="AA60" i="1"/>
  <c r="E4" i="9"/>
  <c r="V60" i="1"/>
  <c r="U60" i="1"/>
  <c r="T60" i="1"/>
  <c r="S60" i="1"/>
  <c r="Q60" i="1"/>
  <c r="P60" i="1"/>
  <c r="O60" i="1"/>
  <c r="N60" i="1"/>
  <c r="M60" i="1"/>
  <c r="J60" i="1"/>
  <c r="I60" i="1"/>
  <c r="D60" i="1"/>
  <c r="F60" i="1"/>
  <c r="E60" i="1"/>
  <c r="A60" i="1"/>
  <c r="AB59" i="1"/>
  <c r="AD59" i="1"/>
  <c r="AG59" i="1"/>
  <c r="AE59" i="1"/>
  <c r="AC59" i="1"/>
  <c r="AA59" i="1"/>
  <c r="E3" i="9"/>
  <c r="V59" i="1"/>
  <c r="U59" i="1"/>
  <c r="T59" i="1"/>
  <c r="S59" i="1"/>
  <c r="Q59" i="1"/>
  <c r="P59" i="1"/>
  <c r="O59" i="1"/>
  <c r="N59" i="1"/>
  <c r="M59" i="1"/>
  <c r="J59" i="1"/>
  <c r="I59" i="1"/>
  <c r="D59" i="1"/>
  <c r="F59" i="1"/>
  <c r="E59" i="1"/>
  <c r="A59" i="1"/>
  <c r="AB58" i="1"/>
  <c r="AD58" i="1"/>
  <c r="AG58" i="1"/>
  <c r="AE58" i="1"/>
  <c r="AC58" i="1"/>
  <c r="AA58" i="1"/>
  <c r="E2" i="9"/>
  <c r="V58" i="1"/>
  <c r="U58" i="1"/>
  <c r="T58" i="1"/>
  <c r="S58" i="1"/>
  <c r="Q58" i="1"/>
  <c r="P58" i="1"/>
  <c r="O58" i="1"/>
  <c r="N58" i="1"/>
  <c r="M58" i="1"/>
  <c r="J58" i="1"/>
  <c r="I58" i="1"/>
  <c r="D58" i="1"/>
  <c r="F58" i="1"/>
  <c r="E58" i="1"/>
  <c r="A58" i="1"/>
  <c r="AB57" i="1"/>
  <c r="AD57" i="1"/>
  <c r="AG57" i="1"/>
  <c r="AE57" i="1"/>
  <c r="AC57" i="1"/>
  <c r="AA57" i="1"/>
  <c r="W57" i="1"/>
  <c r="V57" i="1"/>
  <c r="U57" i="1"/>
  <c r="T57" i="1"/>
  <c r="S57" i="1"/>
  <c r="Q57" i="1"/>
  <c r="P57" i="1"/>
  <c r="O57" i="1"/>
  <c r="N57" i="1"/>
  <c r="M57" i="1"/>
  <c r="J57" i="1"/>
  <c r="I57" i="1"/>
  <c r="D57" i="1"/>
  <c r="F57" i="1"/>
  <c r="E57" i="1"/>
  <c r="A57" i="1"/>
  <c r="AB56" i="1"/>
  <c r="AD56" i="1"/>
  <c r="AG56" i="1"/>
  <c r="AE56" i="1"/>
  <c r="AC56" i="1"/>
  <c r="AA56" i="1"/>
  <c r="W56" i="1"/>
  <c r="V56" i="1"/>
  <c r="U56" i="1"/>
  <c r="T56" i="1"/>
  <c r="S56" i="1"/>
  <c r="Q56" i="1"/>
  <c r="P56" i="1"/>
  <c r="O56" i="1"/>
  <c r="N56" i="1"/>
  <c r="M56" i="1"/>
  <c r="J56" i="1"/>
  <c r="I56" i="1"/>
  <c r="D56" i="1"/>
  <c r="F56" i="1"/>
  <c r="E56" i="1"/>
  <c r="A56" i="1"/>
  <c r="AB55" i="1"/>
  <c r="AD55" i="1"/>
  <c r="AG55" i="1"/>
  <c r="AE55" i="1"/>
  <c r="AC55" i="1"/>
  <c r="AA55" i="1"/>
  <c r="W55" i="1"/>
  <c r="V55" i="1"/>
  <c r="U55" i="1"/>
  <c r="T55" i="1"/>
  <c r="S55" i="1"/>
  <c r="Q55" i="1"/>
  <c r="P55" i="1"/>
  <c r="O55" i="1"/>
  <c r="N55" i="1"/>
  <c r="M55" i="1"/>
  <c r="J55" i="1"/>
  <c r="I55" i="1"/>
  <c r="D55" i="1"/>
  <c r="F55" i="1"/>
  <c r="E55" i="1"/>
  <c r="A55" i="1"/>
  <c r="AB54" i="1"/>
  <c r="AD54" i="1"/>
  <c r="AG54" i="1"/>
  <c r="AE54" i="1"/>
  <c r="AC54" i="1"/>
  <c r="AA54" i="1"/>
  <c r="V54" i="1"/>
  <c r="U54" i="1"/>
  <c r="T54" i="1"/>
  <c r="S54" i="1"/>
  <c r="Q54" i="1"/>
  <c r="P54" i="1"/>
  <c r="O54" i="1"/>
  <c r="N54" i="1"/>
  <c r="M54" i="1"/>
  <c r="J54" i="1"/>
  <c r="I54" i="1"/>
  <c r="D54" i="1"/>
  <c r="F54" i="1"/>
  <c r="E54" i="1"/>
  <c r="A54" i="1"/>
  <c r="AB53" i="1"/>
  <c r="AD53" i="1"/>
  <c r="AG53" i="1"/>
  <c r="AE53" i="1"/>
  <c r="AC53" i="1"/>
  <c r="AA53" i="1"/>
  <c r="W53" i="1"/>
  <c r="V53" i="1"/>
  <c r="U53" i="1"/>
  <c r="T53" i="1"/>
  <c r="S53" i="1"/>
  <c r="Q53" i="1"/>
  <c r="P53" i="1"/>
  <c r="O53" i="1"/>
  <c r="N53" i="1"/>
  <c r="M53" i="1"/>
  <c r="J53" i="1"/>
  <c r="I53" i="1"/>
  <c r="D53" i="1"/>
  <c r="F53" i="1"/>
  <c r="E53" i="1"/>
  <c r="A53" i="1"/>
  <c r="AB52" i="1"/>
  <c r="AD52" i="1"/>
  <c r="AG52" i="1"/>
  <c r="AE52" i="1"/>
  <c r="AC52" i="1"/>
  <c r="AA52" i="1"/>
  <c r="W52" i="1"/>
  <c r="V52" i="1"/>
  <c r="U52" i="1"/>
  <c r="T52" i="1"/>
  <c r="S52" i="1"/>
  <c r="Q52" i="1"/>
  <c r="P52" i="1"/>
  <c r="O52" i="1"/>
  <c r="N52" i="1"/>
  <c r="M52" i="1"/>
  <c r="J52" i="1"/>
  <c r="I52" i="1"/>
  <c r="D52" i="1"/>
  <c r="F52" i="1"/>
  <c r="E52" i="1"/>
  <c r="A52" i="1"/>
  <c r="AB51" i="1"/>
  <c r="AD51" i="1"/>
  <c r="AG51" i="1"/>
  <c r="AE51" i="1"/>
  <c r="AC51" i="1"/>
  <c r="AA51" i="1"/>
  <c r="V51" i="1"/>
  <c r="U51" i="1"/>
  <c r="T51" i="1"/>
  <c r="S51" i="1"/>
  <c r="Q51" i="1"/>
  <c r="P51" i="1"/>
  <c r="O51" i="1"/>
  <c r="N51" i="1"/>
  <c r="M51" i="1"/>
  <c r="J51" i="1"/>
  <c r="I51" i="1"/>
  <c r="D51" i="1"/>
  <c r="F51" i="1"/>
  <c r="E51" i="1"/>
  <c r="A51" i="1"/>
  <c r="AB50" i="1"/>
  <c r="AD50" i="1"/>
  <c r="AG50" i="1"/>
  <c r="AE50" i="1"/>
  <c r="AC50" i="1"/>
  <c r="AA50" i="1"/>
  <c r="W50" i="1"/>
  <c r="V50" i="1"/>
  <c r="U50" i="1"/>
  <c r="T50" i="1"/>
  <c r="S50" i="1"/>
  <c r="Q50" i="1"/>
  <c r="P50" i="1"/>
  <c r="O50" i="1"/>
  <c r="N50" i="1"/>
  <c r="M50" i="1"/>
  <c r="J50" i="1"/>
  <c r="I50" i="1"/>
  <c r="D50" i="1"/>
  <c r="F50" i="1"/>
  <c r="E50" i="1"/>
  <c r="A50" i="1"/>
  <c r="AB49" i="1"/>
  <c r="AD49" i="1"/>
  <c r="AG49" i="1"/>
  <c r="AE49" i="1"/>
  <c r="AC49" i="1"/>
  <c r="AA49" i="1"/>
  <c r="W49" i="1"/>
  <c r="V49" i="1"/>
  <c r="U49" i="1"/>
  <c r="T49" i="1"/>
  <c r="S49" i="1"/>
  <c r="Q49" i="1"/>
  <c r="P49" i="1"/>
  <c r="O49" i="1"/>
  <c r="N49" i="1"/>
  <c r="M49" i="1"/>
  <c r="J49" i="1"/>
  <c r="I49" i="1"/>
  <c r="D49" i="1"/>
  <c r="F49" i="1"/>
  <c r="E49" i="1"/>
  <c r="A49" i="1"/>
  <c r="AB48" i="1"/>
  <c r="AD48" i="1"/>
  <c r="AG48" i="1"/>
  <c r="AE48" i="1"/>
  <c r="AC48" i="1"/>
  <c r="AA48" i="1"/>
  <c r="V48" i="1"/>
  <c r="U48" i="1"/>
  <c r="T48" i="1"/>
  <c r="S48" i="1"/>
  <c r="Q48" i="1"/>
  <c r="P48" i="1"/>
  <c r="O48" i="1"/>
  <c r="N48" i="1"/>
  <c r="M48" i="1"/>
  <c r="J48" i="1"/>
  <c r="I48" i="1"/>
  <c r="D48" i="1"/>
  <c r="F48" i="1"/>
  <c r="E48" i="1"/>
  <c r="A48" i="1"/>
  <c r="AB47" i="1"/>
  <c r="AD47" i="1"/>
  <c r="AG47" i="1"/>
  <c r="AE47" i="1"/>
  <c r="AC47" i="1"/>
  <c r="AA47" i="1"/>
  <c r="W47" i="1"/>
  <c r="V47" i="1"/>
  <c r="U47" i="1"/>
  <c r="T47" i="1"/>
  <c r="S47" i="1"/>
  <c r="Q47" i="1"/>
  <c r="P47" i="1"/>
  <c r="O47" i="1"/>
  <c r="N47" i="1"/>
  <c r="M47" i="1"/>
  <c r="J47" i="1"/>
  <c r="I47" i="1"/>
  <c r="D47" i="1"/>
  <c r="F47" i="1"/>
  <c r="E47" i="1"/>
  <c r="A47" i="1"/>
  <c r="AB46" i="1"/>
  <c r="AD46" i="1"/>
  <c r="AG46" i="1"/>
  <c r="AE46" i="1"/>
  <c r="AC46" i="1"/>
  <c r="AA46" i="1"/>
  <c r="W46" i="1"/>
  <c r="V46" i="1"/>
  <c r="U46" i="1"/>
  <c r="T46" i="1"/>
  <c r="S46" i="1"/>
  <c r="Q46" i="1"/>
  <c r="P46" i="1"/>
  <c r="O46" i="1"/>
  <c r="N46" i="1"/>
  <c r="M46" i="1"/>
  <c r="J46" i="1"/>
  <c r="I46" i="1"/>
  <c r="D46" i="1"/>
  <c r="F46" i="1"/>
  <c r="E46" i="1"/>
  <c r="A46" i="1"/>
  <c r="AB45" i="1"/>
  <c r="AD45" i="1"/>
  <c r="AG45" i="1"/>
  <c r="AE45" i="1"/>
  <c r="AC45" i="1"/>
  <c r="AA45" i="1"/>
  <c r="W45" i="1"/>
  <c r="V45" i="1"/>
  <c r="U45" i="1"/>
  <c r="T45" i="1"/>
  <c r="S45" i="1"/>
  <c r="Q45" i="1"/>
  <c r="P45" i="1"/>
  <c r="O45" i="1"/>
  <c r="N45" i="1"/>
  <c r="M45" i="1"/>
  <c r="J45" i="1"/>
  <c r="I45" i="1"/>
  <c r="D45" i="1"/>
  <c r="F45" i="1"/>
  <c r="E45" i="1"/>
  <c r="A45" i="1"/>
  <c r="AB44" i="1"/>
  <c r="AD44" i="1"/>
  <c r="AG44" i="1"/>
  <c r="AE44" i="1"/>
  <c r="AC44" i="1"/>
  <c r="AA44" i="1"/>
  <c r="W44" i="1"/>
  <c r="V44" i="1"/>
  <c r="U44" i="1"/>
  <c r="T44" i="1"/>
  <c r="S44" i="1"/>
  <c r="Q44" i="1"/>
  <c r="P44" i="1"/>
  <c r="O44" i="1"/>
  <c r="N44" i="1"/>
  <c r="M44" i="1"/>
  <c r="J44" i="1"/>
  <c r="I44" i="1"/>
  <c r="D44" i="1"/>
  <c r="F44" i="1"/>
  <c r="E44" i="1"/>
  <c r="A44" i="1"/>
  <c r="AB43" i="1"/>
  <c r="AD43" i="1"/>
  <c r="AG43" i="1"/>
  <c r="AE43" i="1"/>
  <c r="AC43" i="1"/>
  <c r="AA43" i="1"/>
  <c r="W43" i="1"/>
  <c r="V43" i="1"/>
  <c r="U43" i="1"/>
  <c r="T43" i="1"/>
  <c r="S43" i="1"/>
  <c r="Q43" i="1"/>
  <c r="P43" i="1"/>
  <c r="O43" i="1"/>
  <c r="N43" i="1"/>
  <c r="M43" i="1"/>
  <c r="J43" i="1"/>
  <c r="I43" i="1"/>
  <c r="D43" i="1"/>
  <c r="F43" i="1"/>
  <c r="E43" i="1"/>
  <c r="A43" i="1"/>
  <c r="AB42" i="1"/>
  <c r="AD42" i="1"/>
  <c r="AG42" i="1"/>
  <c r="AE42" i="1"/>
  <c r="AC42" i="1"/>
  <c r="AA42" i="1"/>
  <c r="W42" i="1"/>
  <c r="V42" i="1"/>
  <c r="U42" i="1"/>
  <c r="T42" i="1"/>
  <c r="S42" i="1"/>
  <c r="Q42" i="1"/>
  <c r="P42" i="1"/>
  <c r="O42" i="1"/>
  <c r="N42" i="1"/>
  <c r="M42" i="1"/>
  <c r="J42" i="1"/>
  <c r="I42" i="1"/>
  <c r="D42" i="1"/>
  <c r="F42" i="1"/>
  <c r="E42" i="1"/>
  <c r="A42" i="1"/>
  <c r="H20" i="2"/>
  <c r="E20" i="2"/>
  <c r="D20" i="2"/>
  <c r="B20" i="2"/>
  <c r="H19" i="2"/>
  <c r="E19" i="2"/>
  <c r="D19" i="2"/>
  <c r="B19" i="2"/>
  <c r="H18" i="2"/>
  <c r="E18" i="2"/>
  <c r="D18" i="2"/>
  <c r="B18" i="2"/>
  <c r="H17" i="2"/>
  <c r="E17" i="2"/>
  <c r="D17" i="2"/>
  <c r="B17" i="2"/>
  <c r="H16" i="2"/>
  <c r="E16" i="2"/>
  <c r="D16" i="2"/>
  <c r="B16" i="2"/>
  <c r="P4" i="14"/>
  <c r="J4" i="14"/>
  <c r="K4" i="14"/>
  <c r="H4" i="14"/>
  <c r="G4" i="14"/>
  <c r="E4" i="14"/>
  <c r="D4" i="14"/>
  <c r="A4" i="14"/>
  <c r="P3" i="14"/>
  <c r="J3" i="14"/>
  <c r="K3" i="14"/>
  <c r="H3" i="14"/>
  <c r="G3" i="14"/>
  <c r="E3" i="14"/>
  <c r="D3" i="14"/>
  <c r="A3" i="14"/>
  <c r="P2" i="14"/>
  <c r="J2" i="14"/>
  <c r="K2" i="14"/>
  <c r="H2" i="14"/>
  <c r="G2" i="14"/>
  <c r="E2" i="14"/>
  <c r="D2" i="14"/>
  <c r="A2" i="14"/>
  <c r="C7" i="13"/>
  <c r="D7" i="13"/>
  <c r="C6" i="13"/>
  <c r="D6" i="13"/>
  <c r="C5" i="13"/>
  <c r="D5" i="13"/>
  <c r="C4" i="13"/>
  <c r="D4" i="13"/>
  <c r="V15" i="1"/>
  <c r="V12" i="1"/>
  <c r="W14" i="1"/>
  <c r="V14" i="1"/>
  <c r="W13" i="1"/>
  <c r="V13" i="1"/>
  <c r="W11" i="1"/>
  <c r="V11" i="1"/>
  <c r="W8" i="1"/>
  <c r="V8" i="1"/>
  <c r="V9" i="1"/>
  <c r="P4" i="9"/>
  <c r="O4" i="9"/>
  <c r="N4" i="9"/>
  <c r="M4" i="9"/>
  <c r="L4" i="9"/>
  <c r="K4" i="9"/>
  <c r="J4" i="9"/>
  <c r="I4" i="9"/>
  <c r="H4" i="9"/>
  <c r="G4" i="9"/>
  <c r="D4" i="9"/>
  <c r="A4" i="9"/>
  <c r="P3" i="9"/>
  <c r="O3" i="9"/>
  <c r="N3" i="9"/>
  <c r="M3" i="9"/>
  <c r="L3" i="9"/>
  <c r="K3" i="9"/>
  <c r="J3" i="9"/>
  <c r="I3" i="9"/>
  <c r="H3" i="9"/>
  <c r="G3" i="9"/>
  <c r="D3" i="9"/>
  <c r="A3" i="9"/>
  <c r="AA18" i="1"/>
  <c r="AA17" i="1"/>
  <c r="AA16" i="1"/>
  <c r="AA15" i="1"/>
  <c r="AA14" i="1"/>
  <c r="AA13" i="1"/>
  <c r="AA12" i="1"/>
  <c r="AA11" i="1"/>
  <c r="AA10" i="1"/>
  <c r="AA9" i="1"/>
  <c r="AA8" i="1"/>
  <c r="AA7" i="1"/>
  <c r="AA5" i="1"/>
  <c r="AA4" i="1"/>
  <c r="AA3" i="1"/>
  <c r="AA2" i="1"/>
  <c r="U18" i="1"/>
  <c r="T18" i="1"/>
  <c r="S18" i="1"/>
  <c r="U17" i="1"/>
  <c r="T17" i="1"/>
  <c r="S17" i="1"/>
  <c r="U16" i="1"/>
  <c r="T16" i="1"/>
  <c r="S16" i="1"/>
  <c r="U15" i="1"/>
  <c r="T15" i="1"/>
  <c r="S15" i="1"/>
  <c r="U14" i="1"/>
  <c r="T14" i="1"/>
  <c r="S14" i="1"/>
  <c r="U13" i="1"/>
  <c r="T13" i="1"/>
  <c r="S13" i="1"/>
  <c r="U12" i="1"/>
  <c r="T12" i="1"/>
  <c r="S12" i="1"/>
  <c r="U11" i="1"/>
  <c r="T11" i="1"/>
  <c r="S11" i="1"/>
  <c r="U10" i="1"/>
  <c r="T10" i="1"/>
  <c r="S10" i="1"/>
  <c r="U9" i="1"/>
  <c r="T9" i="1"/>
  <c r="S9" i="1"/>
  <c r="U8" i="1"/>
  <c r="T8" i="1"/>
  <c r="S8" i="1"/>
  <c r="U7" i="1"/>
  <c r="T7" i="1"/>
  <c r="S7" i="1"/>
  <c r="U5" i="1"/>
  <c r="T5" i="1"/>
  <c r="S5" i="1"/>
  <c r="U4" i="1"/>
  <c r="T4" i="1"/>
  <c r="S4" i="1"/>
  <c r="U3" i="1"/>
  <c r="T3" i="1"/>
  <c r="S3" i="1"/>
  <c r="U2" i="1"/>
  <c r="T2" i="1"/>
  <c r="S2" i="1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N5" i="12"/>
  <c r="O4" i="12"/>
  <c r="N4" i="12"/>
  <c r="O3" i="12"/>
  <c r="N3" i="12"/>
  <c r="O2" i="12"/>
  <c r="N2" i="12"/>
  <c r="P2" i="12"/>
  <c r="P11" i="12"/>
  <c r="P10" i="12"/>
  <c r="P9" i="12"/>
  <c r="P8" i="12"/>
  <c r="P7" i="12"/>
  <c r="P6" i="12"/>
  <c r="P5" i="12"/>
  <c r="AB5" i="1"/>
  <c r="AD5" i="1"/>
  <c r="AG5" i="1"/>
  <c r="AE5" i="1"/>
  <c r="AC5" i="1"/>
  <c r="W5" i="1"/>
  <c r="V5" i="1"/>
  <c r="Q5" i="1"/>
  <c r="P5" i="1"/>
  <c r="O5" i="1"/>
  <c r="N5" i="1"/>
  <c r="M5" i="1"/>
  <c r="J5" i="1"/>
  <c r="I5" i="1"/>
  <c r="D5" i="1"/>
  <c r="F5" i="1"/>
  <c r="E5" i="1"/>
  <c r="A5" i="1"/>
  <c r="AB15" i="1"/>
  <c r="AD15" i="1"/>
  <c r="AG15" i="1"/>
  <c r="AE15" i="1"/>
  <c r="AC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Q13" i="1"/>
  <c r="P13" i="1"/>
  <c r="O13" i="1"/>
  <c r="N13" i="1"/>
  <c r="M13" i="1"/>
  <c r="J13" i="1"/>
  <c r="I13" i="1"/>
  <c r="D13" i="1"/>
  <c r="F13" i="1"/>
  <c r="E13" i="1"/>
  <c r="A13" i="1"/>
  <c r="AB9" i="1"/>
  <c r="AD9" i="1"/>
  <c r="AG9" i="1"/>
  <c r="AE9" i="1"/>
  <c r="AC9" i="1"/>
  <c r="Q9" i="1"/>
  <c r="P9" i="1"/>
  <c r="O9" i="1"/>
  <c r="N9" i="1"/>
  <c r="M9" i="1"/>
  <c r="J9" i="1"/>
  <c r="I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W7" i="1"/>
  <c r="V7" i="1"/>
  <c r="Q7" i="1"/>
  <c r="P7" i="1"/>
  <c r="O7" i="1"/>
  <c r="N7" i="1"/>
  <c r="M7" i="1"/>
  <c r="J7" i="1"/>
  <c r="I7" i="1"/>
  <c r="D7" i="1"/>
  <c r="F7" i="1"/>
  <c r="E7" i="1"/>
  <c r="A7" i="1"/>
  <c r="AB10" i="1"/>
  <c r="AD10" i="1"/>
  <c r="AG10" i="1"/>
  <c r="AE10" i="1"/>
  <c r="AC10" i="1"/>
  <c r="W10" i="1"/>
  <c r="V10" i="1"/>
  <c r="Q10" i="1"/>
  <c r="P10" i="1"/>
  <c r="O10" i="1"/>
  <c r="N10" i="1"/>
  <c r="M10" i="1"/>
  <c r="J10" i="1"/>
  <c r="I10" i="1"/>
  <c r="D10" i="1"/>
  <c r="F10" i="1"/>
  <c r="E10" i="1"/>
  <c r="A10" i="1"/>
  <c r="H6" i="2"/>
  <c r="E6" i="2"/>
  <c r="D6" i="2"/>
  <c r="B6" i="2"/>
  <c r="AB18" i="1"/>
  <c r="AD18" i="1"/>
  <c r="AG18" i="1"/>
  <c r="AE18" i="1"/>
  <c r="AC18" i="1"/>
  <c r="W18" i="1"/>
  <c r="V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W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W16" i="1"/>
  <c r="V16" i="1"/>
  <c r="Q16" i="1"/>
  <c r="P16" i="1"/>
  <c r="O16" i="1"/>
  <c r="N16" i="1"/>
  <c r="M16" i="1"/>
  <c r="J16" i="1"/>
  <c r="I16" i="1"/>
  <c r="D16" i="1"/>
  <c r="F16" i="1"/>
  <c r="E16" i="1"/>
  <c r="A16" i="1"/>
  <c r="AB3" i="1"/>
  <c r="AD3" i="1"/>
  <c r="AG3" i="1"/>
  <c r="AE3" i="1"/>
  <c r="AC3" i="1"/>
  <c r="W3" i="1"/>
  <c r="V3" i="1"/>
  <c r="Q3" i="1"/>
  <c r="P3" i="1"/>
  <c r="O3" i="1"/>
  <c r="N3" i="1"/>
  <c r="M3" i="1"/>
  <c r="J3" i="1"/>
  <c r="I3" i="1"/>
  <c r="D3" i="1"/>
  <c r="F3" i="1"/>
  <c r="E3" i="1"/>
  <c r="A3" i="1"/>
  <c r="AB2" i="1"/>
  <c r="AD2" i="1"/>
  <c r="AG2" i="1"/>
  <c r="AE2" i="1"/>
  <c r="AC2" i="1"/>
  <c r="W2" i="1"/>
  <c r="V2" i="1"/>
  <c r="Q2" i="1"/>
  <c r="P2" i="1"/>
  <c r="O2" i="1"/>
  <c r="N2" i="1"/>
  <c r="M2" i="1"/>
  <c r="J2" i="1"/>
  <c r="I2" i="1"/>
  <c r="D2" i="1"/>
  <c r="F2" i="1"/>
  <c r="E2" i="1"/>
  <c r="A2" i="1"/>
  <c r="AB4" i="1"/>
  <c r="AD4" i="1"/>
  <c r="AG4" i="1"/>
  <c r="AE4" i="1"/>
  <c r="AC4" i="1"/>
  <c r="W4" i="1"/>
  <c r="V4" i="1"/>
  <c r="Q4" i="1"/>
  <c r="P4" i="1"/>
  <c r="O4" i="1"/>
  <c r="N4" i="1"/>
  <c r="M4" i="1"/>
  <c r="J4" i="1"/>
  <c r="I4" i="1"/>
  <c r="D4" i="1"/>
  <c r="F4" i="1"/>
  <c r="E4" i="1"/>
  <c r="A4" i="1"/>
  <c r="H5" i="2"/>
  <c r="E5" i="2"/>
  <c r="D5" i="2"/>
  <c r="B5" i="2"/>
  <c r="H4" i="2"/>
  <c r="E4" i="2"/>
  <c r="D4" i="2"/>
  <c r="B4" i="2"/>
  <c r="AB12" i="1"/>
  <c r="AD12" i="1"/>
  <c r="AG12" i="1"/>
  <c r="AE12" i="1"/>
  <c r="AC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Q11" i="1"/>
  <c r="P11" i="1"/>
  <c r="O11" i="1"/>
  <c r="N11" i="1"/>
  <c r="M11" i="1"/>
  <c r="J11" i="1"/>
  <c r="I11" i="1"/>
  <c r="D11" i="1"/>
  <c r="F11" i="1"/>
  <c r="E11" i="1"/>
  <c r="A11" i="1"/>
  <c r="C3" i="13"/>
  <c r="D3" i="13"/>
  <c r="C11" i="7"/>
  <c r="E11" i="7"/>
  <c r="C10" i="7"/>
  <c r="E10" i="7"/>
  <c r="C9" i="7"/>
  <c r="E9" i="7"/>
  <c r="C2" i="13"/>
  <c r="D2" i="13"/>
  <c r="C3" i="7"/>
  <c r="C4" i="7"/>
  <c r="C5" i="7"/>
  <c r="C6" i="7"/>
  <c r="C7" i="7"/>
  <c r="C8" i="7"/>
  <c r="P4" i="12"/>
  <c r="P3" i="12"/>
  <c r="Y5" i="8"/>
  <c r="X5" i="8"/>
  <c r="R5" i="8"/>
  <c r="Q5" i="8"/>
  <c r="P5" i="8"/>
  <c r="O5" i="8"/>
  <c r="N5" i="8"/>
  <c r="H5" i="8"/>
  <c r="J5" i="8"/>
  <c r="I5" i="8"/>
  <c r="D5" i="8"/>
  <c r="F5" i="8"/>
  <c r="E5" i="8"/>
  <c r="A5" i="8"/>
  <c r="O2" i="9"/>
  <c r="P2" i="9"/>
  <c r="N2" i="9"/>
  <c r="M2" i="9"/>
  <c r="L2" i="9"/>
  <c r="K2" i="9"/>
  <c r="J2" i="9"/>
  <c r="I2" i="9"/>
  <c r="H2" i="9"/>
  <c r="G2" i="9"/>
  <c r="D2" i="9"/>
  <c r="X4" i="8"/>
  <c r="X3" i="8"/>
  <c r="X2" i="8"/>
  <c r="R4" i="8"/>
  <c r="Q4" i="8"/>
  <c r="P4" i="8"/>
  <c r="O4" i="8"/>
  <c r="N4" i="8"/>
  <c r="H4" i="8"/>
  <c r="J4" i="8"/>
  <c r="I4" i="8"/>
  <c r="D4" i="8"/>
  <c r="F4" i="8"/>
  <c r="E4" i="8"/>
  <c r="A4" i="8"/>
  <c r="R3" i="8"/>
  <c r="Q3" i="8"/>
  <c r="P3" i="8"/>
  <c r="O3" i="8"/>
  <c r="N3" i="8"/>
  <c r="H3" i="8"/>
  <c r="J3" i="8"/>
  <c r="I3" i="8"/>
  <c r="D3" i="8"/>
  <c r="F3" i="8"/>
  <c r="E3" i="8"/>
  <c r="A3" i="8"/>
  <c r="H3" i="2"/>
  <c r="E3" i="2"/>
  <c r="D3" i="2"/>
  <c r="B3" i="2"/>
  <c r="H2" i="2"/>
  <c r="E2" i="2"/>
  <c r="D2" i="2"/>
  <c r="B2" i="2"/>
  <c r="H2" i="8"/>
  <c r="J2" i="8"/>
  <c r="I2" i="8"/>
  <c r="E2" i="8"/>
  <c r="D2" i="8"/>
  <c r="F2" i="8"/>
  <c r="P2" i="8"/>
  <c r="R2" i="8"/>
  <c r="Q2" i="8"/>
  <c r="O2" i="8"/>
  <c r="N2" i="8"/>
  <c r="A2" i="9"/>
  <c r="A2" i="8"/>
  <c r="E8" i="7"/>
  <c r="E7" i="7"/>
  <c r="E6" i="7"/>
  <c r="E5" i="7"/>
  <c r="E4" i="7"/>
  <c r="E3" i="7"/>
  <c r="E2" i="7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P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K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<sst xmlns="http://schemas.openxmlformats.org/spreadsheetml/2006/main" count="538" uniqueCount="250">
  <si>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</si>
  <si>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</si>
  <si>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</si>
  <si>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</si>
  <si>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</si>
  <si>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</si>
  <si>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</si>
  <si>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</si>
  <si>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</si>
  <si>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</si>
  <si>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</si>
  <si>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</si>
  <si>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</si>
  <si>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</si>
  <si>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</si>
  <si>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</si>
  <si>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</si>
  <si>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</si>
  <si>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</si>
  <si>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</si>
  <si>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</si>
  <si>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</si>
  <si>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</si>
  <si>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</si>
  <si>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</si>
  <si>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</si>
  <si>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</si>
  <si>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</si>
  <si>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</si>
  <si>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</si>
  <si>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</si>
  <si>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</si>
  <si>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</si>
  <si>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</si>
  <si>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</si>
  <si>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</si>
  <si>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</si>
  <si>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</si>
  <si>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</si>
  <si>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</si>
  <si>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</si>
  <si>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</si>
  <si>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</si>
  <si>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</si>
  <si>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</si>
  <si>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</si>
  <si>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drop_label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</si>
  <si>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</si>
  <si>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</si>
  <si>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</si>
  <si>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</si>
  <si>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</si>
  <si>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</si>
  <si>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出力flg</t>
    <rPh sb="0" eb="2">
      <t>シュツリョク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</si>
  <si>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</si>
  <si>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</si>
  <si>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</si>
  <si>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</si>
  <si>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</si>
  <si>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</si>
  <si>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floors_</t>
    <phoneticPr fontId="4"/>
  </si>
  <si>
    <t>.tmp</t>
    <phoneticPr fontId="4"/>
  </si>
  <si>
    <t>floors</t>
    <phoneticPr fontId="4"/>
  </si>
  <si>
    <t>enemy_habitats_</t>
    <phoneticPr fontId="4"/>
  </si>
  <si>
    <t>enemy_habitats</t>
    <phoneticPr fontId="4"/>
  </si>
  <si>
    <t>seq_no</t>
    <phoneticPr fontId="4"/>
  </si>
  <si>
    <t>enemy_habitat_S_</t>
    <phoneticPr fontId="4"/>
  </si>
  <si>
    <t>enemy_habitat_S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</si>
  <si>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</si>
  <si>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</si>
  <si>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</si>
  <si>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</si>
  <si>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skill_set_id</t>
    <phoneticPr fontId="4"/>
  </si>
  <si>
    <t>enemy_skill_sets_</t>
    <phoneticPr fontId="4"/>
  </si>
  <si>
    <t>.tmp</t>
    <phoneticPr fontId="4"/>
  </si>
  <si>
    <t>enemy_skill_sets</t>
    <phoneticPr fontId="4"/>
  </si>
  <si>
    <t>skill_id</t>
  </si>
  <si>
    <t>skill_trigger_id</t>
  </si>
  <si>
    <t>enemy_skills_tmp_</t>
    <phoneticPr fontId="4"/>
  </si>
  <si>
    <t>.tmp</t>
    <phoneticPr fontId="4"/>
  </si>
  <si>
    <t>enemy_skills</t>
    <phoneticPr fontId="4"/>
  </si>
  <si>
    <t>enemy_skill_id</t>
  </si>
  <si>
    <t>effect_param</t>
    <phoneticPr fontId="4"/>
  </si>
  <si>
    <t>valid_flg</t>
  </si>
  <si>
    <t>enemy_skills_i18n_</t>
    <phoneticPr fontId="4"/>
  </si>
  <si>
    <t>.tmp</t>
    <phoneticPr fontId="4"/>
  </si>
  <si>
    <t>enemy_skills</t>
    <phoneticPr fontId="4"/>
  </si>
  <si>
    <t>language</t>
  </si>
  <si>
    <t>name</t>
  </si>
  <si>
    <t>comment</t>
  </si>
  <si>
    <t>enemy_skill_triggers_</t>
    <phoneticPr fontId="4"/>
  </si>
  <si>
    <t>.tmp</t>
    <phoneticPr fontId="4"/>
  </si>
  <si>
    <t>enemy_skill_triggers</t>
    <phoneticPr fontId="4"/>
  </si>
  <si>
    <t>first_time</t>
  </si>
  <si>
    <t>invoke_rate</t>
  </si>
  <si>
    <t>hp_threshold</t>
  </si>
  <si>
    <t>hp_termination</t>
    <phoneticPr fontId="4"/>
  </si>
  <si>
    <t>invoke_times</t>
  </si>
  <si>
    <t>invoke_weight</t>
    <phoneticPr fontId="4"/>
  </si>
  <si>
    <t>every_time_count</t>
    <phoneticPr fontId="4"/>
  </si>
  <si>
    <t>neighbor_dead_id</t>
    <phoneticPr fontId="4"/>
  </si>
  <si>
    <t>priority</t>
    <phoneticPr fontId="4"/>
  </si>
  <si>
    <t>temp_habitats</t>
    <phoneticPr fontId="4"/>
  </si>
  <si>
    <t>temp_stage</t>
    <phoneticPr fontId="4"/>
  </si>
  <si>
    <t>name</t>
    <phoneticPr fontId="4"/>
  </si>
  <si>
    <t>name</t>
    <phoneticPr fontId="4"/>
  </si>
  <si>
    <t>floor_id</t>
    <phoneticPr fontId="4"/>
  </si>
  <si>
    <t>temp_floor</t>
    <phoneticPr fontId="4"/>
  </si>
  <si>
    <t>seq_no</t>
    <phoneticPr fontId="4"/>
  </si>
  <si>
    <t>state_no</t>
    <phoneticPr fontId="4"/>
  </si>
  <si>
    <t>color</t>
    <phoneticPr fontId="4"/>
  </si>
  <si>
    <t>drop_label</t>
    <phoneticPr fontId="4"/>
  </si>
  <si>
    <t>character_main_tribe_id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</si>
  <si>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</si>
  <si>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</si>
  <si>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</si>
  <si>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</si>
  <si>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</si>
  <si>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</si>
  <si>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</si>
  <si>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</si>
  <si>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</si>
  <si>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</si>
  <si>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</si>
  <si>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</si>
  <si>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neighbor_dead_id</t>
    <phoneticPr fontId="4"/>
  </si>
  <si>
    <t>invoke_weight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</si>
  <si>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</si>
  <si>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</si>
  <si>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</si>
  <si>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effect_param</t>
    <phoneticPr fontId="4"/>
  </si>
  <si>
    <t>language</t>
    <phoneticPr fontId="4"/>
  </si>
  <si>
    <t>name</t>
    <phoneticPr fontId="6"/>
  </si>
  <si>
    <t>comment</t>
    <phoneticPr fontId="6"/>
  </si>
  <si>
    <t>ja</t>
    <phoneticPr fontId="4"/>
  </si>
  <si>
    <t>skill_trigger_id</t>
    <phoneticPr fontId="6"/>
  </si>
  <si>
    <t>first_time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</si>
  <si>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</si>
  <si>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</si>
  <si>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</si>
  <si>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</si>
  <si>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invoke_weight</t>
    <phoneticPr fontId="4"/>
  </si>
  <si>
    <t>null</t>
    <phoneticPr fontId="4"/>
  </si>
  <si>
    <t>seq_no</t>
    <phoneticPr fontId="4"/>
  </si>
  <si>
    <t>null</t>
    <phoneticPr fontId="4"/>
  </si>
  <si>
    <t>吉澤</t>
    <rPh sb="0" eb="2">
      <t>ヨシザワ</t>
    </rPh>
    <phoneticPr fontId="4"/>
  </si>
  <si>
    <t>null</t>
    <phoneticPr fontId="4"/>
  </si>
  <si>
    <t>name</t>
    <phoneticPr fontId="4"/>
  </si>
  <si>
    <t>Lv.</t>
    <phoneticPr fontId="4"/>
  </si>
  <si>
    <t>HP</t>
    <phoneticPr fontId="4"/>
  </si>
  <si>
    <t>Attack</t>
    <phoneticPr fontId="4"/>
  </si>
  <si>
    <t>Defense</t>
    <phoneticPr fontId="4"/>
  </si>
  <si>
    <t>Speed</t>
    <phoneticPr fontId="4"/>
  </si>
  <si>
    <t>[effect:nothing]</t>
    <phoneticPr fontId="4"/>
  </si>
  <si>
    <t>quest_id</t>
    <phoneticPr fontId="4"/>
  </si>
  <si>
    <t>stage_id</t>
    <phoneticPr fontId="4"/>
  </si>
  <si>
    <t>temp_stage</t>
    <phoneticPr fontId="6"/>
  </si>
  <si>
    <t>stage_target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</si>
  <si>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</si>
  <si>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</si>
  <si>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</si>
  <si>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</si>
  <si>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skill_level</t>
    <phoneticPr fontId="4"/>
  </si>
  <si>
    <t>weight</t>
    <phoneticPr fontId="4"/>
  </si>
  <si>
    <t>definite_start_date</t>
    <phoneticPr fontId="4"/>
  </si>
  <si>
    <t>definite_end_date</t>
    <phoneticPr fontId="4"/>
  </si>
  <si>
    <t>unit</t>
  </si>
  <si>
    <t>2015-03-27 00:00:00</t>
  </si>
  <si>
    <t>2970-01-01 09:00:00</t>
  </si>
  <si>
    <t>temp_id</t>
    <phoneticPr fontId="4"/>
  </si>
  <si>
    <t>hint_type</t>
    <phoneticPr fontId="4"/>
  </si>
  <si>
    <t>quest_id</t>
    <phoneticPr fontId="4"/>
  </si>
  <si>
    <t>name</t>
    <phoneticPr fontId="4"/>
  </si>
  <si>
    <t>stage_id</t>
    <phoneticPr fontId="4"/>
  </si>
  <si>
    <t>name</t>
    <phoneticPr fontId="4"/>
  </si>
  <si>
    <t>floor_id</t>
    <phoneticPr fontId="4"/>
  </si>
  <si>
    <t>tmp_hint_id</t>
    <phoneticPr fontId="4"/>
  </si>
  <si>
    <t>hint_id</t>
    <phoneticPr fontId="4"/>
  </si>
  <si>
    <t>language</t>
    <phoneticPr fontId="4"/>
  </si>
  <si>
    <t>title</t>
    <phoneticPr fontId="4"/>
  </si>
  <si>
    <t>hint</t>
    <phoneticPr fontId="4"/>
  </si>
  <si>
    <t>filename</t>
    <phoneticPr fontId="4"/>
  </si>
  <si>
    <t>complete</t>
  </si>
  <si>
    <t>stage_bug_bonuses_</t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</si>
  <si>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</si>
  <si>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bugbonuses</t>
    <phoneticPr fontId="4"/>
  </si>
  <si>
    <t>stage_id</t>
    <phoneticPr fontId="4"/>
  </si>
  <si>
    <t>stage_target</t>
    <phoneticPr fontId="4"/>
  </si>
  <si>
    <t>bonus_id</t>
    <phoneticPr fontId="4"/>
  </si>
  <si>
    <t>bonus_type</t>
    <phoneticPr fontId="4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</si>
  <si>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4"/>
  </si>
  <si>
    <t>stage_hints</t>
  </si>
  <si>
    <t>hint_id</t>
    <phoneticPr fontId="4"/>
  </si>
  <si>
    <t>floor_id</t>
    <phoneticPr fontId="4"/>
  </si>
  <si>
    <t>hint_type</t>
    <phoneticPr fontId="4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</si>
  <si>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</si>
  <si>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</si>
  <si>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hint_id</t>
    <phoneticPr fontId="4"/>
  </si>
  <si>
    <t>language</t>
    <phoneticPr fontId="4"/>
  </si>
  <si>
    <t>hint</t>
    <phoneticPr fontId="4"/>
  </si>
  <si>
    <t>filename</t>
  </si>
  <si>
    <t>title</t>
    <phoneticPr fontId="4"/>
  </si>
  <si>
    <t>skip</t>
    <phoneticPr fontId="4"/>
  </si>
  <si>
    <t>lockltb</t>
    <phoneticPr fontId="4"/>
  </si>
  <si>
    <t>old</t>
    <phoneticPr fontId="4"/>
  </si>
  <si>
    <t>果実</t>
    <rPh sb="0" eb="2">
      <t>カジツ</t>
    </rPh>
    <phoneticPr fontId="4"/>
  </si>
  <si>
    <t>メガ果実</t>
    <rPh sb="2" eb="4">
      <t>カジツ</t>
    </rPh>
    <phoneticPr fontId="4"/>
  </si>
  <si>
    <t>ギガ果実</t>
    <rPh sb="2" eb="4">
      <t>カジツ</t>
    </rPh>
    <phoneticPr fontId="4"/>
  </si>
  <si>
    <t>攻め</t>
    <rPh sb="0" eb="1">
      <t>セ</t>
    </rPh>
    <phoneticPr fontId="4"/>
  </si>
  <si>
    <t>生命</t>
    <rPh sb="0" eb="2">
      <t>セイメイ</t>
    </rPh>
    <phoneticPr fontId="4"/>
  </si>
  <si>
    <t>癒し</t>
    <rPh sb="0" eb="1">
      <t>イヤ</t>
    </rPh>
    <phoneticPr fontId="4"/>
  </si>
  <si>
    <t>秘術</t>
    <rPh sb="0" eb="2">
      <t>ヒジュツ</t>
    </rPh>
    <phoneticPr fontId="4"/>
  </si>
  <si>
    <t>character_id</t>
    <phoneticPr fontId="4"/>
  </si>
  <si>
    <t>タイプ</t>
    <phoneticPr fontId="4"/>
  </si>
  <si>
    <t>名前</t>
    <rPh sb="0" eb="2">
      <t>ナマエ</t>
    </rPh>
    <phoneticPr fontId="4"/>
  </si>
  <si>
    <t>speed</t>
    <phoneticPr fontId="4"/>
  </si>
  <si>
    <t>ギガ癒しの果実が あらわれた！</t>
    <rPh sb="2" eb="3">
      <t>イヤ</t>
    </rPh>
    <rPh sb="5" eb="7">
      <t>カジツ</t>
    </rPh>
    <phoneticPr fontId="4"/>
  </si>
  <si>
    <t>ギガ体力の果実が あらわれた！</t>
    <rPh sb="2" eb="4">
      <t>タイリョク</t>
    </rPh>
    <rPh sb="5" eb="7">
      <t>カジツ</t>
    </rPh>
    <phoneticPr fontId="4"/>
  </si>
  <si>
    <t>ギガ攻めの果実が あらわれた！</t>
    <rPh sb="2" eb="3">
      <t>セ</t>
    </rPh>
    <rPh sb="5" eb="7">
      <t>カジツ</t>
    </rPh>
    <phoneticPr fontId="4"/>
  </si>
  <si>
    <t>オレたちゃ やるぜー！</t>
    <phoneticPr fontId="4"/>
  </si>
  <si>
    <t>ja</t>
    <phoneticPr fontId="4"/>
  </si>
  <si>
    <t>NULL</t>
    <phoneticPr fontId="4"/>
  </si>
  <si>
    <t>ja</t>
    <phoneticPr fontId="4"/>
  </si>
  <si>
    <t>NULL</t>
    <phoneticPr fontId="4"/>
  </si>
  <si>
    <t>１２３４５６７８９０１２３４５６７８９０</t>
    <phoneticPr fontId="4"/>
  </si>
  <si>
    <t>１２３４５６７８９０１２３４５６７８９０</t>
    <phoneticPr fontId="4"/>
  </si>
  <si>
    <t>限界突破の兄弟姉妹</t>
    <rPh sb="0" eb="4">
      <t>ゲンカイトッパ</t>
    </rPh>
    <rPh sb="5" eb="9">
      <t>キョウダイシマイ</t>
    </rPh>
    <phoneticPr fontId="4"/>
  </si>
  <si>
    <t>果実の種類は…？</t>
    <rPh sb="0" eb="2">
      <t>カジツ</t>
    </rPh>
    <rPh sb="3" eb="5">
      <t>シュルイ</t>
    </rPh>
    <phoneticPr fontId="4"/>
  </si>
  <si>
    <t>LINEマルチのロッククエスト</t>
    <phoneticPr fontId="4"/>
  </si>
  <si>
    <t>いつでも遊べるロッククエストは
LINEマルチの場合 1日3回プレイできます
マルチプレイに参加する場合
回数制限はありません</t>
    <rPh sb="4" eb="5">
      <t>アソ</t>
    </rPh>
    <rPh sb="24" eb="26">
      <t>バアイ</t>
    </rPh>
    <rPh sb="28" eb="29">
      <t>ニチ</t>
    </rPh>
    <rPh sb="30" eb="31">
      <t>カイ</t>
    </rPh>
    <rPh sb="47" eb="49">
      <t>サンカ</t>
    </rPh>
    <rPh sb="51" eb="53">
      <t>バアイ</t>
    </rPh>
    <rPh sb="54" eb="56">
      <t>カイスウ</t>
    </rPh>
    <rPh sb="56" eb="58">
      <t>カイスウセイゲン</t>
    </rPh>
    <phoneticPr fontId="4"/>
  </si>
  <si>
    <t>この5兄弟の中に ナシがいるらしいよ…</t>
    <rPh sb="3" eb="5">
      <t>キョウダイ</t>
    </rPh>
    <rPh sb="6" eb="7">
      <t>ナカ</t>
    </rPh>
    <phoneticPr fontId="4"/>
  </si>
  <si>
    <t>multionly</t>
    <phoneticPr fontId="4"/>
  </si>
  <si>
    <t>5姉妹まるごと 失恋しちゃった (ﾉД`)</t>
    <rPh sb="1" eb="3">
      <t>シマイ</t>
    </rPh>
    <rPh sb="8" eb="10">
      <t>シツレン</t>
    </rPh>
    <phoneticPr fontId="4"/>
  </si>
  <si>
    <t>ひとりっ子ばかりと考えられていた
限界突破の果実たちに
兄弟姉妹がいることがわかりました</t>
    <rPh sb="4" eb="5">
      <t>コ</t>
    </rPh>
    <rPh sb="9" eb="10">
      <t>カンガ</t>
    </rPh>
    <rPh sb="17" eb="21">
      <t>ゲンカイトッパ</t>
    </rPh>
    <rPh sb="22" eb="24">
      <t>カジツ</t>
    </rPh>
    <rPh sb="28" eb="32">
      <t>キョウダイシマイ</t>
    </rPh>
    <phoneticPr fontId="4"/>
  </si>
  <si>
    <t>その見た目から
リンゴに分類されていた果実たち
匿名の告白から 新事実が発覚したとか</t>
    <rPh sb="2" eb="3">
      <t>ミ</t>
    </rPh>
    <rPh sb="4" eb="5">
      <t>メ</t>
    </rPh>
    <rPh sb="12" eb="14">
      <t>ブンルイ</t>
    </rPh>
    <rPh sb="19" eb="21">
      <t>カジツ</t>
    </rPh>
    <rPh sb="25" eb="27">
      <t>トクメイ</t>
    </rPh>
    <rPh sb="28" eb="30">
      <t>コクハク</t>
    </rPh>
    <rPh sb="33" eb="36">
      <t>シンジジツ</t>
    </rPh>
    <rPh sb="37" eb="39">
      <t>ハッカク</t>
    </rPh>
    <phoneticPr fontId="4"/>
  </si>
  <si>
    <t>攻撃は</t>
    <rPh sb="0" eb="2">
      <t>コウゲキハ</t>
    </rPh>
    <phoneticPr fontId="4"/>
  </si>
  <si>
    <t>…</t>
    <phoneticPr fontId="4"/>
  </si>
  <si>
    <t>最大の</t>
    <rPh sb="0" eb="2">
      <t>サイダイノ</t>
    </rPh>
    <phoneticPr fontId="4"/>
  </si>
  <si>
    <t>防御だぜっ！</t>
    <rPh sb="0" eb="2">
      <t>ボウギョダゼ</t>
    </rPh>
    <phoneticPr fontId="4"/>
  </si>
  <si>
    <t>癒やされるのよ★</t>
    <rPh sb="0" eb="1">
      <t>イヤサレルノデス</t>
    </rPh>
    <phoneticPr fontId="4"/>
  </si>
  <si>
    <t>どうせ…</t>
    <phoneticPr fontId="4"/>
  </si>
  <si>
    <t>冷やかしで…</t>
    <rPh sb="0" eb="1">
      <t>ヒヤカシデ</t>
    </rPh>
    <phoneticPr fontId="4"/>
  </si>
  <si>
    <t>来たんでしょ…</t>
    <rPh sb="0" eb="1">
      <t>キタダケデショ</t>
    </rPh>
    <phoneticPr fontId="4"/>
  </si>
  <si>
    <t>[effect:enemy_message, val1:0.77, val2:0],[effect:fix_speed, target:myself, turn:1]</t>
  </si>
  <si>
    <t>[effect:enemy_message, val1:0.77, val2:0],[effect:fix_speed, target:myself, turn:2]</t>
  </si>
  <si>
    <t>[effect:enemy_message, val1:0.77, val2:0],[effect:fix_speed, target:myself, turn:3]</t>
  </si>
  <si>
    <t>好きな時間に ロッククエスト</t>
    <phoneticPr fontId="4"/>
  </si>
  <si>
    <t>真の癒しは</t>
    <rPh sb="2" eb="3">
      <t>イヤシトハ</t>
    </rPh>
    <phoneticPr fontId="4"/>
  </si>
  <si>
    <t>癒やし手まで</t>
    <rPh sb="0" eb="1">
      <t>イヤスホウモ</t>
    </rPh>
    <phoneticPr fontId="4"/>
  </si>
  <si>
    <t>いつでも遊べるロッククエストは
1日に5回まで プレイできます</t>
    <rPh sb="4" eb="5">
      <t>アソ</t>
    </rPh>
    <rPh sb="17" eb="18">
      <t>ニチ</t>
    </rPh>
    <rPh sb="20" eb="21">
      <t>カイ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</si>
</sst>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000000"/>
      <name val="Arial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indexed="2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652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>
      <alignment vertical="center"/>
    </xf>
    <xf numFmtId="0" fontId="16" fillId="0" borderId="0"/>
    <xf numFmtId="38" fontId="17" fillId="0" borderId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1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  <xf numFmtId="0" fontId="31" fillId="18" borderId="12" applyNumberFormat="0" applyAlignment="0" applyProtection="0"/>
    <xf numFmtId="0" fontId="32" fillId="19" borderId="0" applyNumberFormat="0" applyBorder="0" applyAlignment="0" applyProtection="0"/>
    <xf numFmtId="0" fontId="33" fillId="20" borderId="13" applyNumberFormat="0" applyAlignment="0" applyProtection="0"/>
    <xf numFmtId="0" fontId="34" fillId="0" borderId="0" applyNumberFormat="0" applyFill="0" applyBorder="0" applyAlignment="0" applyProtection="0"/>
    <xf numFmtId="0" fontId="35" fillId="21" borderId="0" applyNumberFormat="0" applyBorder="0" applyAlignment="0" applyProtection="0"/>
    <xf numFmtId="0" fontId="36" fillId="22" borderId="14" applyNumberFormat="0" applyAlignment="0" applyProtection="0"/>
    <xf numFmtId="0" fontId="37" fillId="0" borderId="0" applyNumberFormat="0" applyFill="0" applyBorder="0" applyAlignment="0" applyProtection="0"/>
    <xf numFmtId="0" fontId="38" fillId="0" borderId="15" applyNumberFormat="0" applyFill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0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3" borderId="0" applyNumberFormat="0" applyBorder="0" applyAlignment="0" applyProtection="0"/>
    <xf numFmtId="0" fontId="41" fillId="20" borderId="0" applyNumberFormat="0" applyBorder="0" applyAlignment="0" applyProtection="0"/>
    <xf numFmtId="0" fontId="41" fillId="24" borderId="0" applyNumberFormat="0" applyBorder="0" applyAlignment="0" applyProtection="0"/>
    <xf numFmtId="0" fontId="41" fillId="18" borderId="0" applyNumberFormat="0" applyBorder="0" applyAlignment="0" applyProtection="0"/>
    <xf numFmtId="0" fontId="41" fillId="20" borderId="0" applyNumberFormat="0" applyBorder="0" applyAlignment="0" applyProtection="0"/>
    <xf numFmtId="0" fontId="41" fillId="25" borderId="0" applyNumberFormat="0" applyBorder="0" applyAlignment="0" applyProtection="0"/>
    <xf numFmtId="0" fontId="41" fillId="23" borderId="0" applyNumberFormat="0" applyBorder="0" applyAlignment="0" applyProtection="0"/>
    <xf numFmtId="0" fontId="41" fillId="20" borderId="0" applyNumberFormat="0" applyBorder="0" applyAlignment="0" applyProtection="0"/>
    <xf numFmtId="0" fontId="41" fillId="26" borderId="0" applyNumberFormat="0" applyBorder="0" applyAlignment="0" applyProtection="0"/>
    <xf numFmtId="0" fontId="41" fillId="19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0" borderId="0" applyNumberFormat="0" applyBorder="0" applyAlignment="0" applyProtection="0"/>
    <xf numFmtId="0" fontId="42" fillId="27" borderId="0" applyNumberFormat="0" applyBorder="0" applyAlignment="0" applyProtection="0"/>
    <xf numFmtId="0" fontId="42" fillId="19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7" borderId="0" applyNumberFormat="0" applyBorder="0" applyAlignment="0" applyProtection="0"/>
    <xf numFmtId="0" fontId="42" fillId="28" borderId="0" applyNumberFormat="0" applyBorder="0" applyAlignment="0" applyProtection="0"/>
    <xf numFmtId="0" fontId="42" fillId="23" borderId="0" applyNumberFormat="0" applyBorder="0" applyAlignment="0" applyProtection="0"/>
    <xf numFmtId="0" fontId="42" fillId="29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3" fillId="30" borderId="0" applyNumberFormat="0" applyBorder="0" applyAlignment="0" applyProtection="0"/>
    <xf numFmtId="0" fontId="32" fillId="19" borderId="0" applyNumberFormat="0" applyBorder="0" applyAlignment="0" applyProtection="0"/>
    <xf numFmtId="0" fontId="44" fillId="0" borderId="18" applyNumberFormat="0" applyFill="0" applyAlignment="0" applyProtection="0"/>
    <xf numFmtId="0" fontId="45" fillId="20" borderId="19" applyNumberFormat="0" applyAlignment="0" applyProtection="0"/>
    <xf numFmtId="0" fontId="45" fillId="31" borderId="19" applyNumberFormat="0" applyAlignment="0" applyProtection="0"/>
    <xf numFmtId="0" fontId="33" fillId="19" borderId="13" applyNumberFormat="0" applyAlignment="0" applyProtection="0"/>
    <xf numFmtId="0" fontId="46" fillId="0" borderId="20" applyNumberFormat="0" applyFill="0" applyAlignment="0" applyProtection="0"/>
    <xf numFmtId="0" fontId="47" fillId="31" borderId="1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1" applyNumberFormat="0" applyFill="0" applyAlignment="0" applyProtection="0"/>
    <xf numFmtId="0" fontId="1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2" fillId="8" borderId="7" xfId="530" applyFont="1" applyFill="1" applyBorder="1" applyAlignment="1"/>
    <xf numFmtId="0" fontId="12" fillId="8" borderId="7" xfId="0" applyFont="1" applyFill="1" applyBorder="1"/>
    <xf numFmtId="0" fontId="0" fillId="8" borderId="7" xfId="0" applyFill="1" applyBorder="1"/>
    <xf numFmtId="0" fontId="14" fillId="0" borderId="7" xfId="530" applyBorder="1" applyAlignment="1"/>
    <xf numFmtId="0" fontId="0" fillId="0" borderId="7" xfId="0" applyBorder="1"/>
    <xf numFmtId="0" fontId="0" fillId="6" borderId="7" xfId="0" applyFill="1" applyBorder="1"/>
    <xf numFmtId="0" fontId="15" fillId="9" borderId="7" xfId="0" applyFont="1" applyFill="1" applyBorder="1"/>
    <xf numFmtId="0" fontId="11" fillId="7" borderId="0" xfId="0" applyFont="1" applyFill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24" fillId="6" borderId="7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7" xfId="0" applyFont="1" applyFill="1" applyBorder="1" applyAlignment="1">
      <alignment vertical="center"/>
    </xf>
    <xf numFmtId="0" fontId="24" fillId="3" borderId="7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10" fillId="6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0" fontId="24" fillId="13" borderId="7" xfId="0" applyFont="1" applyFill="1" applyBorder="1" applyAlignment="1">
      <alignment vertical="center"/>
    </xf>
    <xf numFmtId="0" fontId="24" fillId="13" borderId="7" xfId="0" applyFont="1" applyFill="1" applyBorder="1" applyAlignment="1">
      <alignment horizontal="left" vertical="center"/>
    </xf>
    <xf numFmtId="0" fontId="24" fillId="13" borderId="7" xfId="0" applyFont="1" applyFill="1" applyBorder="1" applyAlignment="1">
      <alignment horizontal="left" vertical="center" wrapText="1"/>
    </xf>
    <xf numFmtId="14" fontId="24" fillId="13" borderId="7" xfId="0" applyNumberFormat="1" applyFont="1" applyFill="1" applyBorder="1" applyAlignment="1">
      <alignment horizontal="left" vertical="center"/>
    </xf>
    <xf numFmtId="0" fontId="24" fillId="13" borderId="0" xfId="0" applyFont="1" applyFill="1" applyAlignment="1">
      <alignment vertical="center"/>
    </xf>
    <xf numFmtId="0" fontId="5" fillId="14" borderId="3" xfId="0" applyFont="1" applyFill="1" applyBorder="1" applyAlignment="1">
      <alignment vertical="center"/>
    </xf>
    <xf numFmtId="176" fontId="3" fillId="13" borderId="3" xfId="0" applyNumberFormat="1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24" fillId="6" borderId="7" xfId="1268" applyFont="1" applyFill="1" applyBorder="1" applyAlignment="1">
      <alignment horizontal="left"/>
    </xf>
    <xf numFmtId="0" fontId="13" fillId="7" borderId="0" xfId="1268" applyFont="1" applyFill="1" applyAlignment="1">
      <alignment horizontal="center" vertical="center"/>
    </xf>
    <xf numFmtId="0" fontId="24" fillId="3" borderId="7" xfId="1268" applyFont="1" applyFill="1" applyBorder="1" applyAlignment="1">
      <alignment horizontal="left"/>
    </xf>
    <xf numFmtId="0" fontId="0" fillId="6" borderId="7" xfId="1269" applyFont="1" applyFill="1" applyBorder="1"/>
    <xf numFmtId="0" fontId="0" fillId="3" borderId="7" xfId="0" applyFill="1" applyBorder="1"/>
    <xf numFmtId="0" fontId="0" fillId="0" borderId="7" xfId="0" applyFill="1" applyBorder="1"/>
    <xf numFmtId="0" fontId="12" fillId="7" borderId="0" xfId="0" applyFont="1" applyFill="1" applyAlignment="1">
      <alignment horizontal="center"/>
    </xf>
    <xf numFmtId="0" fontId="26" fillId="6" borderId="7" xfId="0" applyFont="1" applyFill="1" applyBorder="1" applyAlignment="1">
      <alignment horizontal="center"/>
    </xf>
    <xf numFmtId="0" fontId="24" fillId="6" borderId="7" xfId="0" applyFont="1" applyFill="1" applyBorder="1" applyAlignment="1">
      <alignment horizontal="center"/>
    </xf>
    <xf numFmtId="0" fontId="24" fillId="3" borderId="7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6" borderId="7" xfId="0" applyFont="1" applyFill="1" applyBorder="1" applyAlignment="1">
      <alignment horizontal="center"/>
    </xf>
    <xf numFmtId="0" fontId="24" fillId="17" borderId="7" xfId="0" applyFont="1" applyFill="1" applyBorder="1" applyAlignment="1">
      <alignment horizontal="center"/>
    </xf>
    <xf numFmtId="56" fontId="24" fillId="17" borderId="7" xfId="0" applyNumberFormat="1" applyFont="1" applyFill="1" applyBorder="1" applyAlignment="1">
      <alignment horizontal="center"/>
    </xf>
    <xf numFmtId="0" fontId="0" fillId="17" borderId="7" xfId="0" applyFill="1" applyBorder="1"/>
    <xf numFmtId="0" fontId="12" fillId="7" borderId="0" xfId="0" applyFont="1" applyFill="1"/>
    <xf numFmtId="0" fontId="26" fillId="0" borderId="7" xfId="0" applyFont="1" applyFill="1" applyBorder="1"/>
    <xf numFmtId="0" fontId="28" fillId="3" borderId="11" xfId="0" applyFont="1" applyFill="1" applyBorder="1" applyAlignment="1">
      <alignment vertical="center"/>
    </xf>
    <xf numFmtId="0" fontId="29" fillId="0" borderId="7" xfId="0" applyFont="1" applyFill="1" applyBorder="1"/>
    <xf numFmtId="0" fontId="28" fillId="0" borderId="11" xfId="0" applyFont="1" applyFill="1" applyBorder="1" applyAlignment="1">
      <alignment vertical="center"/>
    </xf>
    <xf numFmtId="0" fontId="29" fillId="15" borderId="7" xfId="0" applyFont="1" applyFill="1" applyBorder="1"/>
    <xf numFmtId="0" fontId="29" fillId="16" borderId="7" xfId="0" applyFont="1" applyFill="1" applyBorder="1"/>
    <xf numFmtId="0" fontId="26" fillId="0" borderId="0" xfId="0" applyFont="1" applyFill="1"/>
    <xf numFmtId="0" fontId="0" fillId="0" borderId="7" xfId="1269" applyFont="1" applyBorder="1"/>
    <xf numFmtId="0" fontId="1" fillId="8" borderId="7" xfId="1269" applyFill="1" applyBorder="1"/>
    <xf numFmtId="0" fontId="1" fillId="0" borderId="7" xfId="1269" applyBorder="1"/>
    <xf numFmtId="56" fontId="24" fillId="6" borderId="7" xfId="0" applyNumberFormat="1" applyFont="1" applyFill="1" applyBorder="1" applyAlignment="1">
      <alignment horizontal="center"/>
    </xf>
    <xf numFmtId="0" fontId="1" fillId="0" borderId="0" xfId="1269"/>
    <xf numFmtId="49" fontId="0" fillId="0" borderId="7" xfId="0" applyNumberFormat="1" applyFill="1" applyBorder="1"/>
    <xf numFmtId="0" fontId="1" fillId="6" borderId="7" xfId="1269" applyFill="1" applyBorder="1"/>
    <xf numFmtId="49" fontId="30" fillId="0" borderId="7" xfId="0" applyNumberFormat="1" applyFont="1" applyFill="1" applyBorder="1" applyAlignment="1">
      <alignment wrapText="1"/>
    </xf>
    <xf numFmtId="49" fontId="0" fillId="0" borderId="0" xfId="0" applyNumberFormat="1"/>
    <xf numFmtId="176" fontId="3" fillId="32" borderId="3" xfId="0" applyNumberFormat="1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5" fillId="33" borderId="3" xfId="0" applyFont="1" applyFill="1" applyBorder="1" applyAlignment="1">
      <alignment vertical="center"/>
    </xf>
    <xf numFmtId="0" fontId="50" fillId="32" borderId="7" xfId="0" applyFont="1" applyFill="1" applyBorder="1"/>
    <xf numFmtId="0" fontId="50" fillId="13" borderId="7" xfId="0" applyFont="1" applyFill="1" applyBorder="1"/>
    <xf numFmtId="0" fontId="27" fillId="13" borderId="7" xfId="0" applyFont="1" applyFill="1" applyBorder="1"/>
    <xf numFmtId="0" fontId="27" fillId="32" borderId="7" xfId="0" applyFont="1" applyFill="1" applyBorder="1"/>
    <xf numFmtId="0" fontId="3" fillId="32" borderId="1" xfId="0" applyFont="1" applyFill="1" applyBorder="1" applyAlignment="1">
      <alignment vertical="center"/>
    </xf>
    <xf numFmtId="0" fontId="3" fillId="13" borderId="1" xfId="0" applyFont="1" applyFill="1" applyBorder="1" applyAlignment="1">
      <alignment vertical="center"/>
    </xf>
    <xf numFmtId="49" fontId="30" fillId="3" borderId="7" xfId="0" applyNumberFormat="1" applyFont="1" applyFill="1" applyBorder="1" applyAlignment="1">
      <alignment wrapText="1"/>
    </xf>
  </cellXfs>
  <cellStyles count="1652">
    <cellStyle name="20% - ANZg1" xfId="1282"/>
    <cellStyle name="20% - ANZg2" xfId="1283"/>
    <cellStyle name="20% - ANZg3" xfId="1284"/>
    <cellStyle name="20% - ANZg4" xfId="1285"/>
    <cellStyle name="20% - ANZg5" xfId="1286"/>
    <cellStyle name="20% - ANZg6" xfId="1287"/>
    <cellStyle name="40% - ANZg1" xfId="1288"/>
    <cellStyle name="40% - ANZg2" xfId="1289"/>
    <cellStyle name="40% - ANZg3" xfId="1290"/>
    <cellStyle name="40% - ANZg4" xfId="1291"/>
    <cellStyle name="40% - ANZg5" xfId="1292"/>
    <cellStyle name="40% - ANZg6" xfId="1293"/>
    <cellStyle name="60% - ANZg1" xfId="1294"/>
    <cellStyle name="60% - ANZg2" xfId="1295"/>
    <cellStyle name="60% - ANZg3" xfId="1296"/>
    <cellStyle name="60% - ANZg4" xfId="1297"/>
    <cellStyle name="60% - ANZg5" xfId="1298"/>
    <cellStyle name="60% - ANZg6" xfId="1299"/>
    <cellStyle name="Excel Built-in Normal" xfId="531"/>
    <cellStyle name="^Cg" xfId="1277"/>
    <cellStyle name="`FbN Z" xfId="1276"/>
    <cellStyle name="ANZg 1" xfId="1301"/>
    <cellStyle name="ANZg 2" xfId="1302"/>
    <cellStyle name="ANZg 3" xfId="1303"/>
    <cellStyle name="ANZg 4" xfId="1304"/>
    <cellStyle name="ANZg 5" xfId="1305"/>
    <cellStyle name="ANZg 6" xfId="1306"/>
    <cellStyle name="" xfId="1271"/>
    <cellStyle name="N Z" xfId="1309"/>
    <cellStyle name="_" xfId="1272"/>
    <cellStyle name="«¢" xfId="1275"/>
    <cellStyle name="vZ" xfId="1314"/>
    <cellStyle name="x÷" xfId="1316"/>
    <cellStyle name="x¶" xfId="1315"/>
    <cellStyle name="ýo_ 1" xfId="1317"/>
    <cellStyle name="©oµ 1" xfId="1278"/>
    <cellStyle name="©oµ 2" xfId="1279"/>
    <cellStyle name="©oµ 3" xfId="1280"/>
    <cellStyle name="©oµ 4" xfId="1281"/>
    <cellStyle name="v" xfId="1313"/>
    <cellStyle name="o_" xfId="1310"/>
    <cellStyle name="oÍ" xfId="1311"/>
    <cellStyle name="__÷" xfId="1274"/>
    <cellStyle name="à¾¶" xfId="1300"/>
    <cellStyle name="__" xfId="1273"/>
    <cellStyle name="üÍ" xfId="1312"/>
    <cellStyle name="Ê" xfId="1308"/>
    <cellStyle name="Ç¢" xfId="1307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桁区切り 2" xfId="532"/>
    <cellStyle name="桁区切り 2 2" xfId="1270"/>
    <cellStyle name="標準" xfId="0" builtinId="0"/>
    <cellStyle name="標準 2" xfId="535"/>
    <cellStyle name="標準 2 2" xfId="536"/>
    <cellStyle name="標準 3" xfId="530"/>
    <cellStyle name="標準 4" xfId="11"/>
    <cellStyle name="標準 4 2" xfId="1268"/>
    <cellStyle name="標準 5" xfId="1318"/>
    <cellStyle name="標準 5 2" xfId="1319"/>
    <cellStyle name="標準 6" xfId="1269"/>
    <cellStyle name="無題1" xfId="53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赤字強調" xfId="534"/>
    <cellStyle name="青字強調" xfId="53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</row>
        <row r="331">
          <cell r="A331">
            <v>330</v>
          </cell>
          <cell r="B331" t="str">
            <v>Usagi-chan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</row>
        <row r="449">
          <cell r="A449">
            <v>448</v>
          </cell>
          <cell r="B449" t="str">
            <v>浮上する夢想学士 シャルル</v>
          </cell>
          <cell r="C449">
            <v>6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heal</v>
          </cell>
          <cell r="I449" t="str">
            <v>回復タイプ</v>
          </cell>
          <cell r="J449">
            <v>0.8</v>
          </cell>
          <cell r="K449">
            <v>0.78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</row>
        <row r="637">
          <cell r="A637">
            <v>636</v>
          </cell>
          <cell r="B637" t="str">
            <v>ローズR3(旧)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queen</v>
          </cell>
          <cell r="N637" t="str">
            <v>QUEEN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</row>
        <row r="638">
          <cell r="A638">
            <v>637</v>
          </cell>
          <cell r="B638" t="str">
            <v>ローズR4(旧)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queen</v>
          </cell>
          <cell r="N638" t="str">
            <v>QUEEN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</row>
        <row r="639">
          <cell r="A639">
            <v>638</v>
          </cell>
          <cell r="B639" t="str">
            <v>神さま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</row>
        <row r="642">
          <cell r="A642">
            <v>641</v>
          </cell>
          <cell r="B642" t="str">
            <v>砦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technical</v>
          </cell>
          <cell r="I1239" t="str">
            <v>テクニカルタイプ</v>
          </cell>
          <cell r="J1239">
            <v>0.9</v>
          </cell>
          <cell r="K1239">
            <v>0.9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technical</v>
          </cell>
          <cell r="I1240" t="str">
            <v>テクニカルタイプ</v>
          </cell>
          <cell r="J1240">
            <v>0.9</v>
          </cell>
          <cell r="K1240">
            <v>0.9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</row>
        <row r="1269">
          <cell r="A1269">
            <v>1268</v>
          </cell>
          <cell r="B1269" t="str">
            <v>ローズ</v>
          </cell>
          <cell r="C1269">
            <v>5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</row>
        <row r="1270">
          <cell r="A1270">
            <v>1269</v>
          </cell>
          <cell r="B1270" t="str">
            <v>エルフラムの女王 ローズ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</row>
        <row r="1272">
          <cell r="A1272">
            <v>1271</v>
          </cell>
          <cell r="B1272" t="str">
            <v>ローズ(旧)</v>
          </cell>
          <cell r="C1272">
            <v>5</v>
          </cell>
          <cell r="D1272" t="str">
            <v>red</v>
          </cell>
          <cell r="E1272">
            <v>1</v>
          </cell>
          <cell r="F1272">
            <v>1.02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queen</v>
          </cell>
          <cell r="N1272" t="str">
            <v>QUEEN</v>
          </cell>
          <cell r="O1272">
            <v>1</v>
          </cell>
          <cell r="P1272">
            <v>1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</row>
        <row r="1273">
          <cell r="A1273">
            <v>1272</v>
          </cell>
          <cell r="B1273" t="str">
            <v>エルフラムの女王 ローズ(旧)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queen</v>
          </cell>
          <cell r="N1273" t="str">
            <v>QUEEN</v>
          </cell>
          <cell r="O1273">
            <v>1</v>
          </cell>
          <cell r="P1273">
            <v>1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</row>
        <row r="1336">
          <cell r="A1336">
            <v>1375</v>
          </cell>
          <cell r="B1336" t="str">
            <v>ジキル&amp;ハイド</v>
          </cell>
          <cell r="C1336">
            <v>5</v>
          </cell>
          <cell r="D1336" t="str">
            <v>red</v>
          </cell>
          <cell r="E1336">
            <v>1</v>
          </cell>
          <cell r="F1336">
            <v>1.02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</row>
        <row r="1337">
          <cell r="A1337">
            <v>1376</v>
          </cell>
          <cell r="B1337" t="str">
            <v>剥離性異常衝動 ジキル＆ハイド</v>
          </cell>
          <cell r="C1337">
            <v>6</v>
          </cell>
          <cell r="D1337" t="str">
            <v>red</v>
          </cell>
          <cell r="E1337">
            <v>1</v>
          </cell>
          <cell r="F1337">
            <v>1.02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</row>
        <row r="1338">
          <cell r="A1338">
            <v>1379</v>
          </cell>
          <cell r="B1338" t="str">
            <v>アンデルセン</v>
          </cell>
          <cell r="C1338">
            <v>5</v>
          </cell>
          <cell r="D1338" t="str">
            <v>blue</v>
          </cell>
          <cell r="E1338">
            <v>1</v>
          </cell>
          <cell r="F1338">
            <v>0.98</v>
          </cell>
          <cell r="G1338">
            <v>1</v>
          </cell>
          <cell r="H1338" t="str">
            <v>technical</v>
          </cell>
          <cell r="I1338" t="str">
            <v>テクニカルタイプ</v>
          </cell>
          <cell r="J1338">
            <v>0.9</v>
          </cell>
          <cell r="K1338">
            <v>0.9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</row>
        <row r="1339">
          <cell r="A1339">
            <v>1380</v>
          </cell>
          <cell r="B1339" t="str">
            <v>詩線上の導話 アンデルセン</v>
          </cell>
          <cell r="C1339">
            <v>6</v>
          </cell>
          <cell r="D1339" t="str">
            <v>blue</v>
          </cell>
          <cell r="E1339">
            <v>1</v>
          </cell>
          <cell r="F1339">
            <v>0.98</v>
          </cell>
          <cell r="G1339">
            <v>1</v>
          </cell>
          <cell r="H1339" t="str">
            <v>technical</v>
          </cell>
          <cell r="I1339" t="str">
            <v>テクニカルタイプ</v>
          </cell>
          <cell r="J1339">
            <v>0.9</v>
          </cell>
          <cell r="K1339">
            <v>0.9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</row>
        <row r="1340">
          <cell r="A1340">
            <v>1407</v>
          </cell>
          <cell r="B1340" t="str">
            <v>グリム・ザ・ダンディ</v>
          </cell>
          <cell r="C1340">
            <v>5</v>
          </cell>
          <cell r="D1340" t="str">
            <v>yellow</v>
          </cell>
          <cell r="E1340">
            <v>0.98</v>
          </cell>
          <cell r="F1340">
            <v>1.01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human</v>
          </cell>
          <cell r="N1340" t="str">
            <v>ヒューマン</v>
          </cell>
          <cell r="O1340">
            <v>0.94</v>
          </cell>
          <cell r="P1340">
            <v>0.99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</row>
        <row r="1341">
          <cell r="A1341">
            <v>1408</v>
          </cell>
          <cell r="B1341" t="str">
            <v>爽愛の求魂 グリム・ザ・ダンディ</v>
          </cell>
          <cell r="C1341">
            <v>6</v>
          </cell>
          <cell r="D1341" t="str">
            <v>yellow</v>
          </cell>
          <cell r="E1341">
            <v>0.98</v>
          </cell>
          <cell r="F1341">
            <v>1.01</v>
          </cell>
          <cell r="G1341">
            <v>1</v>
          </cell>
          <cell r="H1341" t="str">
            <v>balance</v>
          </cell>
          <cell r="I1341" t="str">
            <v>バランスタイプ</v>
          </cell>
          <cell r="J1341">
            <v>1</v>
          </cell>
          <cell r="K1341">
            <v>1</v>
          </cell>
          <cell r="L1341">
            <v>1</v>
          </cell>
          <cell r="M1341" t="str">
            <v>human</v>
          </cell>
          <cell r="N1341" t="str">
            <v>ヒューマン</v>
          </cell>
          <cell r="O1341">
            <v>0.94</v>
          </cell>
          <cell r="P1341">
            <v>0.99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</row>
        <row r="1342">
          <cell r="A1342">
            <v>1409</v>
          </cell>
          <cell r="B1342" t="str">
            <v>マシロ</v>
          </cell>
          <cell r="C1342">
            <v>5</v>
          </cell>
          <cell r="D1342" t="str">
            <v>green</v>
          </cell>
          <cell r="E1342">
            <v>1.02</v>
          </cell>
          <cell r="F1342">
            <v>0.98</v>
          </cell>
          <cell r="G1342">
            <v>1</v>
          </cell>
          <cell r="H1342" t="str">
            <v>heal</v>
          </cell>
          <cell r="I1342" t="str">
            <v>回復タイプ</v>
          </cell>
          <cell r="J1342">
            <v>0.8</v>
          </cell>
          <cell r="K1342">
            <v>0.78</v>
          </cell>
          <cell r="L1342">
            <v>1</v>
          </cell>
          <cell r="M1342" t="str">
            <v>human</v>
          </cell>
          <cell r="N1342" t="str">
            <v>ヒューマン</v>
          </cell>
          <cell r="O1342">
            <v>0.94</v>
          </cell>
          <cell r="P1342">
            <v>0.99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</row>
        <row r="1343">
          <cell r="A1343">
            <v>1410</v>
          </cell>
          <cell r="B1343" t="str">
            <v>浮遊する白恋 マシロ</v>
          </cell>
          <cell r="C1343">
            <v>6</v>
          </cell>
          <cell r="D1343" t="str">
            <v>green</v>
          </cell>
          <cell r="E1343">
            <v>1.02</v>
          </cell>
          <cell r="F1343">
            <v>0.98</v>
          </cell>
          <cell r="G1343">
            <v>1</v>
          </cell>
          <cell r="H1343" t="str">
            <v>heal</v>
          </cell>
          <cell r="I1343" t="str">
            <v>回復タイプ</v>
          </cell>
          <cell r="J1343">
            <v>0.8</v>
          </cell>
          <cell r="K1343">
            <v>0.78</v>
          </cell>
          <cell r="L1343">
            <v>1</v>
          </cell>
          <cell r="M1343" t="str">
            <v>human</v>
          </cell>
          <cell r="N1343" t="str">
            <v>ヒューマン</v>
          </cell>
          <cell r="O1343">
            <v>0.94</v>
          </cell>
          <cell r="P1343">
            <v>0.99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</row>
        <row r="1344">
          <cell r="A1344">
            <v>1431</v>
          </cell>
          <cell r="B1344" t="str">
            <v>センコ</v>
          </cell>
          <cell r="C1344">
            <v>5</v>
          </cell>
          <cell r="D1344" t="str">
            <v>yellow</v>
          </cell>
          <cell r="E1344">
            <v>0.98</v>
          </cell>
          <cell r="F1344">
            <v>1.01</v>
          </cell>
          <cell r="G1344">
            <v>1</v>
          </cell>
          <cell r="H1344" t="str">
            <v>hp</v>
          </cell>
          <cell r="I1344" t="str">
            <v>体力タイプ</v>
          </cell>
          <cell r="J1344">
            <v>1.45</v>
          </cell>
          <cell r="K1344">
            <v>0.85</v>
          </cell>
          <cell r="L1344">
            <v>1</v>
          </cell>
          <cell r="M1344" t="str">
            <v>god</v>
          </cell>
          <cell r="N1344" t="str">
            <v>ゴッド</v>
          </cell>
          <cell r="O1344">
            <v>0.96</v>
          </cell>
          <cell r="P1344">
            <v>1.02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</row>
        <row r="1345">
          <cell r="A1345">
            <v>1432</v>
          </cell>
          <cell r="B1345" t="str">
            <v>華宴の千年狐 センコ</v>
          </cell>
          <cell r="C1345">
            <v>6</v>
          </cell>
          <cell r="D1345" t="str">
            <v>yellow</v>
          </cell>
          <cell r="E1345">
            <v>0.98</v>
          </cell>
          <cell r="F1345">
            <v>1.01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</row>
        <row r="1346">
          <cell r="A1346">
            <v>1466</v>
          </cell>
          <cell r="B1346" t="str">
            <v>sapphire01</v>
          </cell>
          <cell r="C1346">
            <v>5</v>
          </cell>
          <cell r="D1346" t="str">
            <v>blue</v>
          </cell>
          <cell r="E1346">
            <v>1</v>
          </cell>
          <cell r="F1346">
            <v>0.98</v>
          </cell>
          <cell r="G1346">
            <v>1</v>
          </cell>
          <cell r="H1346" t="str">
            <v>attack</v>
          </cell>
          <cell r="I1346" t="str">
            <v>攻撃タイプ</v>
          </cell>
          <cell r="J1346">
            <v>1</v>
          </cell>
          <cell r="K1346">
            <v>1.33</v>
          </cell>
          <cell r="L1346">
            <v>1</v>
          </cell>
          <cell r="M1346" t="str">
            <v>human</v>
          </cell>
          <cell r="N1346" t="str">
            <v>ヒューマン</v>
          </cell>
          <cell r="O1346">
            <v>0.94</v>
          </cell>
          <cell r="P1346">
            <v>0.99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</row>
        <row r="1347">
          <cell r="A1347">
            <v>1467</v>
          </cell>
          <cell r="B1347" t="str">
            <v>sapphire02</v>
          </cell>
          <cell r="C1347">
            <v>6</v>
          </cell>
          <cell r="D1347" t="str">
            <v>blue</v>
          </cell>
          <cell r="E1347">
            <v>1</v>
          </cell>
          <cell r="F1347">
            <v>0.98</v>
          </cell>
          <cell r="G1347">
            <v>1</v>
          </cell>
          <cell r="H1347" t="str">
            <v>attack</v>
          </cell>
          <cell r="I1347" t="str">
            <v>攻撃タイプ</v>
          </cell>
          <cell r="J1347">
            <v>1</v>
          </cell>
          <cell r="K1347">
            <v>1.33</v>
          </cell>
          <cell r="L1347">
            <v>1</v>
          </cell>
          <cell r="M1347" t="str">
            <v>human</v>
          </cell>
          <cell r="N1347" t="str">
            <v>ヒューマン</v>
          </cell>
          <cell r="O1347">
            <v>0.94</v>
          </cell>
          <cell r="P1347">
            <v>0.99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</row>
        <row r="1348">
          <cell r="A1348">
            <v>1468</v>
          </cell>
          <cell r="B1348" t="str">
            <v>emerald01</v>
          </cell>
          <cell r="C1348">
            <v>5</v>
          </cell>
          <cell r="D1348" t="str">
            <v>green</v>
          </cell>
          <cell r="E1348">
            <v>1.02</v>
          </cell>
          <cell r="F1348">
            <v>0.98</v>
          </cell>
          <cell r="G1348">
            <v>1</v>
          </cell>
          <cell r="H1348" t="str">
            <v>attack</v>
          </cell>
          <cell r="I1348" t="str">
            <v>攻撃タイプ</v>
          </cell>
          <cell r="J1348">
            <v>1</v>
          </cell>
          <cell r="K1348">
            <v>1.33</v>
          </cell>
          <cell r="L1348">
            <v>1</v>
          </cell>
          <cell r="M1348" t="str">
            <v>unknown</v>
          </cell>
          <cell r="N1348" t="str">
            <v>Unknown</v>
          </cell>
          <cell r="O1348">
            <v>1</v>
          </cell>
          <cell r="P1348">
            <v>1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</row>
        <row r="1349">
          <cell r="A1349">
            <v>1469</v>
          </cell>
          <cell r="B1349" t="str">
            <v>aquamarine01</v>
          </cell>
          <cell r="C1349">
            <v>5</v>
          </cell>
          <cell r="D1349" t="str">
            <v>yellow</v>
          </cell>
          <cell r="E1349">
            <v>0.98</v>
          </cell>
          <cell r="F1349">
            <v>1.01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unknown</v>
          </cell>
          <cell r="N1349" t="str">
            <v>Unknown</v>
          </cell>
          <cell r="O1349">
            <v>1</v>
          </cell>
          <cell r="P1349">
            <v>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</row>
        <row r="1350">
          <cell r="A1350">
            <v>1470</v>
          </cell>
          <cell r="B1350" t="str">
            <v>amethyst01</v>
          </cell>
          <cell r="C1350">
            <v>5</v>
          </cell>
          <cell r="D1350" t="str">
            <v>red</v>
          </cell>
          <cell r="E1350">
            <v>1</v>
          </cell>
          <cell r="F1350">
            <v>1.02</v>
          </cell>
          <cell r="G1350">
            <v>1</v>
          </cell>
          <cell r="H1350" t="str">
            <v>balance</v>
          </cell>
          <cell r="I1350" t="str">
            <v>バランスタイプ</v>
          </cell>
          <cell r="J1350">
            <v>1</v>
          </cell>
          <cell r="K1350">
            <v>1</v>
          </cell>
          <cell r="L1350">
            <v>1</v>
          </cell>
          <cell r="M1350" t="str">
            <v>unknown</v>
          </cell>
          <cell r="N1350" t="str">
            <v>Unknown</v>
          </cell>
          <cell r="O1350">
            <v>1</v>
          </cell>
          <cell r="P1350">
            <v>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</row>
        <row r="1351">
          <cell r="A1351">
            <v>1471</v>
          </cell>
          <cell r="B1351" t="str">
            <v>エイプリルアーサー</v>
          </cell>
          <cell r="C1351">
            <v>6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balance</v>
          </cell>
          <cell r="I1351" t="str">
            <v>バランスタイプ</v>
          </cell>
          <cell r="J1351">
            <v>1</v>
          </cell>
          <cell r="K1351">
            <v>1</v>
          </cell>
          <cell r="L1351">
            <v>1</v>
          </cell>
          <cell r="M1351" t="str">
            <v>unknown</v>
          </cell>
          <cell r="N1351" t="str">
            <v>Unknown</v>
          </cell>
          <cell r="O1351">
            <v>1</v>
          </cell>
          <cell r="P1351">
            <v>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</row>
        <row r="1352">
          <cell r="A1352">
            <v>1495</v>
          </cell>
          <cell r="B1352" t="str">
            <v>桜乱の武奏術 牛若丸</v>
          </cell>
          <cell r="C1352">
            <v>6</v>
          </cell>
          <cell r="D1352" t="str">
            <v>yellow</v>
          </cell>
          <cell r="E1352">
            <v>0.98</v>
          </cell>
          <cell r="F1352">
            <v>1.01</v>
          </cell>
          <cell r="G1352">
            <v>1</v>
          </cell>
          <cell r="H1352" t="str">
            <v>balance</v>
          </cell>
          <cell r="I1352" t="str">
            <v>バランスタイプ</v>
          </cell>
          <cell r="J1352">
            <v>1</v>
          </cell>
          <cell r="K1352">
            <v>1</v>
          </cell>
          <cell r="L1352">
            <v>1</v>
          </cell>
          <cell r="M1352" t="str">
            <v>samurai</v>
          </cell>
          <cell r="N1352" t="str">
            <v>サムライ</v>
          </cell>
          <cell r="O1352">
            <v>1</v>
          </cell>
          <cell r="P1352">
            <v>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</row>
        <row r="1353">
          <cell r="A1353">
            <v>1496</v>
          </cell>
          <cell r="B1353" t="str">
            <v>晴眼桜花一文字 沖田総司</v>
          </cell>
          <cell r="C1353">
            <v>6</v>
          </cell>
          <cell r="D1353" t="str">
            <v>green</v>
          </cell>
          <cell r="E1353">
            <v>1.02</v>
          </cell>
          <cell r="F1353">
            <v>0.98</v>
          </cell>
          <cell r="G1353">
            <v>1</v>
          </cell>
          <cell r="H1353" t="str">
            <v>hp</v>
          </cell>
          <cell r="I1353" t="str">
            <v>体力タイプ</v>
          </cell>
          <cell r="J1353">
            <v>1.45</v>
          </cell>
          <cell r="K1353">
            <v>0.85</v>
          </cell>
          <cell r="L1353">
            <v>1</v>
          </cell>
          <cell r="M1353" t="str">
            <v>samurai</v>
          </cell>
          <cell r="N1353" t="str">
            <v>サムライ</v>
          </cell>
          <cell r="O1353">
            <v>1</v>
          </cell>
          <cell r="P1353">
            <v>1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</row>
        <row r="1354">
          <cell r="A1354">
            <v>1497</v>
          </cell>
          <cell r="B1354" t="str">
            <v>ヨシノ</v>
          </cell>
          <cell r="C1354">
            <v>5</v>
          </cell>
          <cell r="D1354" t="str">
            <v>blue</v>
          </cell>
          <cell r="E1354">
            <v>1</v>
          </cell>
          <cell r="F1354">
            <v>0.98</v>
          </cell>
          <cell r="G1354">
            <v>1</v>
          </cell>
          <cell r="H1354" t="str">
            <v>technical</v>
          </cell>
          <cell r="I1354" t="str">
            <v>テクニカルタイプ</v>
          </cell>
          <cell r="J1354">
            <v>0.9</v>
          </cell>
          <cell r="K1354">
            <v>0.9</v>
          </cell>
          <cell r="L1354">
            <v>1</v>
          </cell>
          <cell r="M1354" t="str">
            <v>human</v>
          </cell>
          <cell r="N1354" t="str">
            <v>ヒューマン</v>
          </cell>
          <cell r="O1354">
            <v>0.94</v>
          </cell>
          <cell r="P1354">
            <v>0.99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</row>
        <row r="1355">
          <cell r="A1355">
            <v>1498</v>
          </cell>
          <cell r="B1355" t="str">
            <v>咲誇る夢見草 ヨシノ</v>
          </cell>
          <cell r="C1355">
            <v>6</v>
          </cell>
          <cell r="D1355" t="str">
            <v>blue</v>
          </cell>
          <cell r="E1355">
            <v>1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human</v>
          </cell>
          <cell r="N1355" t="str">
            <v>ヒューマン</v>
          </cell>
          <cell r="O1355">
            <v>0.94</v>
          </cell>
          <cell r="P1355">
            <v>0.99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</row>
        <row r="1356">
          <cell r="A1356">
            <v>1499</v>
          </cell>
          <cell r="B1356" t="str">
            <v>コノハナサクヤ</v>
          </cell>
          <cell r="C1356">
            <v>5</v>
          </cell>
          <cell r="D1356" t="str">
            <v>yellow</v>
          </cell>
          <cell r="E1356">
            <v>0.98</v>
          </cell>
          <cell r="F1356">
            <v>1.01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god</v>
          </cell>
          <cell r="N1356" t="str">
            <v>ゴッド</v>
          </cell>
          <cell r="O1356">
            <v>0.96</v>
          </cell>
          <cell r="P1356">
            <v>1.02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</row>
        <row r="1357">
          <cell r="A1357">
            <v>1500</v>
          </cell>
          <cell r="B1357" t="str">
            <v>櫻歌する開華 コノハナサクヤ</v>
          </cell>
          <cell r="C1357">
            <v>6</v>
          </cell>
          <cell r="D1357" t="str">
            <v>yellow</v>
          </cell>
          <cell r="E1357">
            <v>0.98</v>
          </cell>
          <cell r="F1357">
            <v>1.01</v>
          </cell>
          <cell r="G1357">
            <v>1</v>
          </cell>
          <cell r="H1357" t="str">
            <v>technical</v>
          </cell>
          <cell r="I1357" t="str">
            <v>テクニカルタイプ</v>
          </cell>
          <cell r="J1357">
            <v>0.9</v>
          </cell>
          <cell r="K1357">
            <v>0.9</v>
          </cell>
          <cell r="L1357">
            <v>1</v>
          </cell>
          <cell r="M1357" t="str">
            <v>god</v>
          </cell>
          <cell r="N1357" t="str">
            <v>ゴッド</v>
          </cell>
          <cell r="O1357">
            <v>0.96</v>
          </cell>
          <cell r="P1357">
            <v>1.02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</row>
        <row r="1358">
          <cell r="A1358">
            <v>1501</v>
          </cell>
          <cell r="B1358" t="str">
            <v>晴舞台の桜舞 ドガ</v>
          </cell>
          <cell r="C1358">
            <v>6</v>
          </cell>
          <cell r="D1358" t="str">
            <v>blue</v>
          </cell>
          <cell r="E1358">
            <v>1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animal</v>
          </cell>
          <cell r="N1358" t="str">
            <v>アニマル</v>
          </cell>
          <cell r="O1358">
            <v>1</v>
          </cell>
          <cell r="P1358">
            <v>1.1000000000000001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</row>
        <row r="1359">
          <cell r="A1359">
            <v>1502</v>
          </cell>
          <cell r="B1359" t="str">
            <v>打咲かす桜花灯 トリスタン</v>
          </cell>
          <cell r="C1359">
            <v>5</v>
          </cell>
          <cell r="D1359" t="str">
            <v>red</v>
          </cell>
          <cell r="E1359">
            <v>1</v>
          </cell>
          <cell r="F1359">
            <v>1.02</v>
          </cell>
          <cell r="G1359">
            <v>1</v>
          </cell>
          <cell r="H1359" t="str">
            <v>attack</v>
          </cell>
          <cell r="I1359" t="str">
            <v>攻撃タイプ</v>
          </cell>
          <cell r="J1359">
            <v>1</v>
          </cell>
          <cell r="K1359">
            <v>1.33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</row>
        <row r="1360">
          <cell r="A1360">
            <v>1503</v>
          </cell>
          <cell r="B1360" t="str">
            <v>春纏う蛇撫子 ヨルムンガンド</v>
          </cell>
          <cell r="C1360">
            <v>5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dragon</v>
          </cell>
          <cell r="N1360" t="str">
            <v>ドラゴン</v>
          </cell>
          <cell r="O1360">
            <v>1.1499999999999999</v>
          </cell>
          <cell r="P1360">
            <v>1.1000000000000001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</row>
        <row r="1361">
          <cell r="A1361">
            <v>1504</v>
          </cell>
          <cell r="B1361" t="str">
            <v>ネコ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balance</v>
          </cell>
          <cell r="I1361" t="str">
            <v>バランスタイプ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</row>
        <row r="1362">
          <cell r="A1362">
            <v>1505</v>
          </cell>
          <cell r="B1362" t="str">
            <v>タンクネコ</v>
          </cell>
          <cell r="C1362">
            <v>1</v>
          </cell>
          <cell r="D1362" t="str">
            <v>green</v>
          </cell>
          <cell r="E1362">
            <v>1.02</v>
          </cell>
          <cell r="F1362">
            <v>0.98</v>
          </cell>
          <cell r="G1362">
            <v>1</v>
          </cell>
          <cell r="H1362" t="str">
            <v>hp</v>
          </cell>
          <cell r="I1362" t="str">
            <v>体力タイプ</v>
          </cell>
          <cell r="J1362">
            <v>1.45</v>
          </cell>
          <cell r="K1362">
            <v>0.85</v>
          </cell>
          <cell r="L1362">
            <v>1</v>
          </cell>
          <cell r="M1362" t="str">
            <v>unknown</v>
          </cell>
          <cell r="N1362" t="str">
            <v>Unknown</v>
          </cell>
          <cell r="O1362">
            <v>1</v>
          </cell>
          <cell r="P1362">
            <v>1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</row>
        <row r="1363">
          <cell r="A1363">
            <v>1506</v>
          </cell>
          <cell r="B1363" t="str">
            <v>バトルネコ</v>
          </cell>
          <cell r="C1363">
            <v>2</v>
          </cell>
          <cell r="D1363" t="str">
            <v>yellow</v>
          </cell>
          <cell r="E1363">
            <v>0.98</v>
          </cell>
          <cell r="F1363">
            <v>1.01</v>
          </cell>
          <cell r="G1363">
            <v>1</v>
          </cell>
          <cell r="H1363" t="str">
            <v>attack</v>
          </cell>
          <cell r="I1363" t="str">
            <v>攻撃タイプ</v>
          </cell>
          <cell r="J1363">
            <v>1</v>
          </cell>
          <cell r="K1363">
            <v>1.33</v>
          </cell>
          <cell r="L1363">
            <v>1</v>
          </cell>
          <cell r="M1363" t="str">
            <v>unknown</v>
          </cell>
          <cell r="N1363" t="str">
            <v>Unknown</v>
          </cell>
          <cell r="O1363">
            <v>1</v>
          </cell>
          <cell r="P1363">
            <v>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</row>
        <row r="1364">
          <cell r="A1364">
            <v>1507</v>
          </cell>
          <cell r="B1364" t="str">
            <v>キモネコ</v>
          </cell>
          <cell r="C1364">
            <v>3</v>
          </cell>
          <cell r="D1364" t="str">
            <v>blue</v>
          </cell>
          <cell r="E1364">
            <v>1</v>
          </cell>
          <cell r="F1364">
            <v>0.98</v>
          </cell>
          <cell r="G1364">
            <v>1</v>
          </cell>
          <cell r="H1364" t="str">
            <v>technical</v>
          </cell>
          <cell r="I1364" t="str">
            <v>テクニカルタイプ</v>
          </cell>
          <cell r="J1364">
            <v>0.9</v>
          </cell>
          <cell r="K1364">
            <v>0.9</v>
          </cell>
          <cell r="L1364">
            <v>1</v>
          </cell>
          <cell r="M1364" t="str">
            <v>unknown</v>
          </cell>
          <cell r="N1364" t="str">
            <v>Unknown</v>
          </cell>
          <cell r="O1364">
            <v>1</v>
          </cell>
          <cell r="P1364">
            <v>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</row>
        <row r="1365">
          <cell r="A1365">
            <v>1508</v>
          </cell>
          <cell r="B1365" t="str">
            <v>ネコノトリ</v>
          </cell>
          <cell r="C1365">
            <v>4</v>
          </cell>
          <cell r="D1365" t="str">
            <v>red</v>
          </cell>
          <cell r="E1365">
            <v>1</v>
          </cell>
          <cell r="F1365">
            <v>1.02</v>
          </cell>
          <cell r="G1365">
            <v>1</v>
          </cell>
          <cell r="H1365" t="str">
            <v>balance</v>
          </cell>
          <cell r="I1365" t="str">
            <v>バランスタイプ</v>
          </cell>
          <cell r="J1365">
            <v>1</v>
          </cell>
          <cell r="K1365">
            <v>1</v>
          </cell>
          <cell r="L1365">
            <v>1</v>
          </cell>
          <cell r="M1365" t="str">
            <v>unknown</v>
          </cell>
          <cell r="N1365" t="str">
            <v>Unknown</v>
          </cell>
          <cell r="O1365">
            <v>1</v>
          </cell>
          <cell r="P1365">
            <v>1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</row>
        <row r="1366">
          <cell r="A1366">
            <v>1509</v>
          </cell>
          <cell r="B1366" t="str">
            <v>巨神ネコ</v>
          </cell>
          <cell r="C1366">
            <v>5</v>
          </cell>
          <cell r="D1366" t="str">
            <v>green</v>
          </cell>
          <cell r="E1366">
            <v>1.02</v>
          </cell>
          <cell r="F1366">
            <v>0.98</v>
          </cell>
          <cell r="G1366">
            <v>1</v>
          </cell>
          <cell r="H1366" t="str">
            <v>hp</v>
          </cell>
          <cell r="I1366" t="str">
            <v>体力タイプ</v>
          </cell>
          <cell r="J1366">
            <v>1.45</v>
          </cell>
          <cell r="K1366">
            <v>0.85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</row>
        <row r="1367">
          <cell r="A1367">
            <v>1510</v>
          </cell>
          <cell r="B1367" t="str">
            <v>ネコヴァルキリー</v>
          </cell>
          <cell r="C1367">
            <v>4</v>
          </cell>
          <cell r="D1367" t="str">
            <v>yellow</v>
          </cell>
          <cell r="E1367">
            <v>0.98</v>
          </cell>
          <cell r="F1367">
            <v>1.01</v>
          </cell>
          <cell r="G1367">
            <v>1</v>
          </cell>
          <cell r="H1367" t="str">
            <v>balance</v>
          </cell>
          <cell r="I1367" t="str">
            <v>バランスタイプ</v>
          </cell>
          <cell r="J1367">
            <v>1</v>
          </cell>
          <cell r="K1367">
            <v>1</v>
          </cell>
          <cell r="L1367">
            <v>1</v>
          </cell>
          <cell r="M1367" t="str">
            <v>god</v>
          </cell>
          <cell r="N1367" t="str">
            <v>ゴッド</v>
          </cell>
          <cell r="O1367">
            <v>0.96</v>
          </cell>
          <cell r="P1367">
            <v>1.02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</row>
        <row r="1368">
          <cell r="A1368">
            <v>1511</v>
          </cell>
          <cell r="B1368" t="str">
            <v>ネコヴァルキリー･真</v>
          </cell>
          <cell r="C1368">
            <v>5</v>
          </cell>
          <cell r="D1368" t="str">
            <v>yellow</v>
          </cell>
          <cell r="E1368">
            <v>0.98</v>
          </cell>
          <cell r="F1368">
            <v>1.01</v>
          </cell>
          <cell r="G1368">
            <v>1</v>
          </cell>
          <cell r="H1368" t="str">
            <v>balance</v>
          </cell>
          <cell r="I1368" t="str">
            <v>バランスタイプ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</row>
        <row r="1369">
          <cell r="A1369">
            <v>1512</v>
          </cell>
          <cell r="B1369" t="str">
            <v>ネコヴァルキリー･聖</v>
          </cell>
          <cell r="C1369">
            <v>6</v>
          </cell>
          <cell r="D1369" t="str">
            <v>yellow</v>
          </cell>
          <cell r="E1369">
            <v>0.98</v>
          </cell>
          <cell r="F1369">
            <v>1.01</v>
          </cell>
          <cell r="G1369">
            <v>1</v>
          </cell>
          <cell r="H1369" t="str">
            <v>balance</v>
          </cell>
          <cell r="I1369" t="str">
            <v>バランスタイプ</v>
          </cell>
          <cell r="J1369">
            <v>1</v>
          </cell>
          <cell r="K1369">
            <v>1</v>
          </cell>
          <cell r="L1369">
            <v>1</v>
          </cell>
          <cell r="M1369" t="str">
            <v>god</v>
          </cell>
          <cell r="N1369" t="str">
            <v>ゴッド</v>
          </cell>
          <cell r="O1369">
            <v>0.96</v>
          </cell>
          <cell r="P1369">
            <v>1.02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</row>
        <row r="1370">
          <cell r="A1370">
            <v>1523</v>
          </cell>
          <cell r="B1370" t="str">
            <v>ネコムート</v>
          </cell>
          <cell r="C1370">
            <v>5</v>
          </cell>
          <cell r="D1370" t="str">
            <v>blue</v>
          </cell>
          <cell r="E1370">
            <v>1</v>
          </cell>
          <cell r="F1370">
            <v>0.98</v>
          </cell>
          <cell r="G1370">
            <v>1</v>
          </cell>
          <cell r="H1370" t="str">
            <v>technical</v>
          </cell>
          <cell r="I1370" t="str">
            <v>テクニカルタイプ</v>
          </cell>
          <cell r="J1370">
            <v>0.9</v>
          </cell>
          <cell r="K1370">
            <v>0.9</v>
          </cell>
          <cell r="L1370">
            <v>1</v>
          </cell>
          <cell r="M1370" t="str">
            <v>animal</v>
          </cell>
          <cell r="N1370" t="str">
            <v>アニマル</v>
          </cell>
          <cell r="O1370">
            <v>1</v>
          </cell>
          <cell r="P1370">
            <v>1.1000000000000001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</row>
        <row r="1371">
          <cell r="A1371">
            <v>1524</v>
          </cell>
          <cell r="B1371" t="str">
            <v>狂乱のネコムート</v>
          </cell>
          <cell r="C1371">
            <v>6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technical</v>
          </cell>
          <cell r="I1371" t="str">
            <v>テクニカルタイプ</v>
          </cell>
          <cell r="J1371">
            <v>0.9</v>
          </cell>
          <cell r="K1371">
            <v>0.9</v>
          </cell>
          <cell r="L1371">
            <v>1</v>
          </cell>
          <cell r="M1371" t="str">
            <v>animal</v>
          </cell>
          <cell r="N1371" t="str">
            <v>アニマル</v>
          </cell>
          <cell r="O1371">
            <v>1</v>
          </cell>
          <cell r="P1371">
            <v>1.1000000000000001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</row>
        <row r="1372">
          <cell r="A1372">
            <v>1525</v>
          </cell>
          <cell r="B1372" t="str">
            <v>狂乱のネコ</v>
          </cell>
          <cell r="C1372">
            <v>5</v>
          </cell>
          <cell r="D1372" t="str">
            <v>red</v>
          </cell>
          <cell r="E1372">
            <v>1</v>
          </cell>
          <cell r="F1372">
            <v>1.02</v>
          </cell>
          <cell r="G1372">
            <v>1</v>
          </cell>
          <cell r="H1372" t="str">
            <v>attack</v>
          </cell>
          <cell r="I1372" t="str">
            <v>攻撃タイプ</v>
          </cell>
          <cell r="J1372">
            <v>1</v>
          </cell>
          <cell r="K1372">
            <v>1.33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</row>
        <row r="1373">
          <cell r="A1373">
            <v>1526</v>
          </cell>
          <cell r="B1373" t="str">
            <v>狂乱のネコビルダー</v>
          </cell>
          <cell r="C1373">
            <v>6</v>
          </cell>
          <cell r="D1373" t="str">
            <v>red</v>
          </cell>
          <cell r="E1373">
            <v>1</v>
          </cell>
          <cell r="F1373">
            <v>1.02</v>
          </cell>
          <cell r="G1373">
            <v>1</v>
          </cell>
          <cell r="H1373" t="str">
            <v>attack</v>
          </cell>
          <cell r="I1373" t="str">
            <v>攻撃タイプ</v>
          </cell>
          <cell r="J1373">
            <v>1</v>
          </cell>
          <cell r="K1373">
            <v>1.33</v>
          </cell>
          <cell r="L1373">
            <v>1</v>
          </cell>
          <cell r="M1373" t="str">
            <v>animal</v>
          </cell>
          <cell r="N1373" t="str">
            <v>アニマル</v>
          </cell>
          <cell r="O1373">
            <v>1</v>
          </cell>
          <cell r="P1373">
            <v>1.1000000000000001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</row>
        <row r="1374">
          <cell r="A1374">
            <v>5001</v>
          </cell>
          <cell r="B1374" t="str">
            <v>ガルーダ</v>
          </cell>
          <cell r="C1374">
            <v>5</v>
          </cell>
          <cell r="D1374" t="str">
            <v>red</v>
          </cell>
          <cell r="E1374">
            <v>1</v>
          </cell>
          <cell r="F1374">
            <v>1.02</v>
          </cell>
          <cell r="G1374">
            <v>1</v>
          </cell>
          <cell r="H1374" t="str">
            <v>attack</v>
          </cell>
          <cell r="I1374" t="str">
            <v>攻撃タイプ</v>
          </cell>
          <cell r="J1374">
            <v>1</v>
          </cell>
          <cell r="K1374">
            <v>1.33</v>
          </cell>
          <cell r="L1374">
            <v>1</v>
          </cell>
          <cell r="M1374" t="str">
            <v>god</v>
          </cell>
          <cell r="N1374" t="str">
            <v>ゴッド</v>
          </cell>
          <cell r="O1374">
            <v>0.96</v>
          </cell>
          <cell r="P1374">
            <v>1.02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</row>
        <row r="1375">
          <cell r="A1375">
            <v>5002</v>
          </cell>
          <cell r="B1375" t="str">
            <v>ガルーダ★６</v>
          </cell>
          <cell r="C1375">
            <v>6</v>
          </cell>
          <cell r="D1375" t="str">
            <v>red</v>
          </cell>
          <cell r="E1375">
            <v>1</v>
          </cell>
          <cell r="F1375">
            <v>1.02</v>
          </cell>
          <cell r="G1375">
            <v>1</v>
          </cell>
          <cell r="H1375" t="str">
            <v>attack</v>
          </cell>
          <cell r="I1375" t="str">
            <v>攻撃タイプ</v>
          </cell>
          <cell r="J1375">
            <v>1</v>
          </cell>
          <cell r="K1375">
            <v>1.33</v>
          </cell>
          <cell r="L1375">
            <v>1</v>
          </cell>
          <cell r="M1375" t="str">
            <v>god</v>
          </cell>
          <cell r="N1375" t="str">
            <v>ゴッド</v>
          </cell>
          <cell r="O1375">
            <v>0.96</v>
          </cell>
          <cell r="P1375">
            <v>1.02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</row>
        <row r="1376">
          <cell r="A1376">
            <v>5003</v>
          </cell>
          <cell r="B1376" t="str">
            <v>ナーガ</v>
          </cell>
          <cell r="C1376">
            <v>5</v>
          </cell>
          <cell r="D1376" t="str">
            <v>green</v>
          </cell>
          <cell r="E1376">
            <v>1.02</v>
          </cell>
          <cell r="F1376">
            <v>0.98</v>
          </cell>
          <cell r="G1376">
            <v>1</v>
          </cell>
          <cell r="H1376" t="str">
            <v>technical</v>
          </cell>
          <cell r="I1376" t="str">
            <v>テクニカルタイプ</v>
          </cell>
          <cell r="J1376">
            <v>0.9</v>
          </cell>
          <cell r="K1376">
            <v>0.9</v>
          </cell>
          <cell r="L1376">
            <v>1</v>
          </cell>
          <cell r="M1376" t="str">
            <v>animal</v>
          </cell>
          <cell r="N1376" t="str">
            <v>アニマル</v>
          </cell>
          <cell r="O1376">
            <v>1</v>
          </cell>
          <cell r="P1376">
            <v>1.1000000000000001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</row>
        <row r="1377">
          <cell r="A1377">
            <v>5004</v>
          </cell>
          <cell r="B1377" t="str">
            <v>ナーガ★６</v>
          </cell>
          <cell r="C1377">
            <v>6</v>
          </cell>
          <cell r="D1377" t="str">
            <v>green</v>
          </cell>
          <cell r="E1377">
            <v>1.02</v>
          </cell>
          <cell r="F1377">
            <v>0.98</v>
          </cell>
          <cell r="G1377">
            <v>1</v>
          </cell>
          <cell r="H1377" t="str">
            <v>technical</v>
          </cell>
          <cell r="I1377" t="str">
            <v>テクニカルタイプ</v>
          </cell>
          <cell r="J1377">
            <v>0.9</v>
          </cell>
          <cell r="K1377">
            <v>0.9</v>
          </cell>
          <cell r="L1377">
            <v>1</v>
          </cell>
          <cell r="M1377" t="str">
            <v>animal</v>
          </cell>
          <cell r="N1377" t="str">
            <v>アニマル</v>
          </cell>
          <cell r="O1377">
            <v>1</v>
          </cell>
          <cell r="P1377">
            <v>1.1000000000000001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</row>
        <row r="1378">
          <cell r="A1378">
            <v>5005</v>
          </cell>
          <cell r="B1378" t="str">
            <v>カーミラ</v>
          </cell>
          <cell r="C1378">
            <v>5</v>
          </cell>
          <cell r="D1378" t="str">
            <v>green</v>
          </cell>
          <cell r="E1378">
            <v>1.02</v>
          </cell>
          <cell r="F1378">
            <v>0.98</v>
          </cell>
          <cell r="G1378">
            <v>1</v>
          </cell>
          <cell r="H1378" t="str">
            <v>balance</v>
          </cell>
          <cell r="I1378" t="str">
            <v>バランスタイプ</v>
          </cell>
          <cell r="J1378">
            <v>1</v>
          </cell>
          <cell r="K1378">
            <v>1</v>
          </cell>
          <cell r="L1378">
            <v>1</v>
          </cell>
          <cell r="M1378" t="str">
            <v>demon</v>
          </cell>
          <cell r="N1378" t="str">
            <v>デーモン</v>
          </cell>
          <cell r="O1378">
            <v>1</v>
          </cell>
          <cell r="P1378">
            <v>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</row>
        <row r="1379">
          <cell r="A1379">
            <v>5006</v>
          </cell>
          <cell r="B1379" t="str">
            <v>カーミラ★６</v>
          </cell>
          <cell r="C1379">
            <v>6</v>
          </cell>
          <cell r="D1379" t="str">
            <v>green</v>
          </cell>
          <cell r="E1379">
            <v>1.02</v>
          </cell>
          <cell r="F1379">
            <v>0.98</v>
          </cell>
          <cell r="G1379">
            <v>1</v>
          </cell>
          <cell r="H1379" t="str">
            <v>balance</v>
          </cell>
          <cell r="I1379" t="str">
            <v>バランスタイプ</v>
          </cell>
          <cell r="J1379">
            <v>1</v>
          </cell>
          <cell r="K1379">
            <v>1</v>
          </cell>
          <cell r="L1379">
            <v>1</v>
          </cell>
          <cell r="M1379" t="str">
            <v>demon</v>
          </cell>
          <cell r="N1379" t="str">
            <v>デーモン</v>
          </cell>
          <cell r="O1379">
            <v>1</v>
          </cell>
          <cell r="P1379">
            <v>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</row>
        <row r="1380">
          <cell r="A1380">
            <v>5007</v>
          </cell>
          <cell r="B1380" t="str">
            <v>ヘルシング</v>
          </cell>
          <cell r="C1380">
            <v>5</v>
          </cell>
          <cell r="D1380" t="str">
            <v>yellow</v>
          </cell>
          <cell r="E1380">
            <v>0.98</v>
          </cell>
          <cell r="F1380">
            <v>1.01</v>
          </cell>
          <cell r="G1380">
            <v>1</v>
          </cell>
          <cell r="H1380" t="str">
            <v>technical</v>
          </cell>
          <cell r="I1380" t="str">
            <v>テクニカルタイプ</v>
          </cell>
          <cell r="J1380">
            <v>0.9</v>
          </cell>
          <cell r="K1380">
            <v>0.9</v>
          </cell>
          <cell r="L1380">
            <v>1</v>
          </cell>
          <cell r="M1380" t="str">
            <v>human</v>
          </cell>
          <cell r="N1380" t="str">
            <v>ヒューマン</v>
          </cell>
          <cell r="O1380">
            <v>0.94</v>
          </cell>
          <cell r="P1380">
            <v>0.99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</row>
        <row r="1381">
          <cell r="A1381">
            <v>5008</v>
          </cell>
          <cell r="B1381" t="str">
            <v>ヘルシング★６</v>
          </cell>
          <cell r="C1381">
            <v>6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technical</v>
          </cell>
          <cell r="I1381" t="str">
            <v>テクニカルタイプ</v>
          </cell>
          <cell r="J1381">
            <v>0.9</v>
          </cell>
          <cell r="K1381">
            <v>0.9</v>
          </cell>
          <cell r="L1381">
            <v>1</v>
          </cell>
          <cell r="M1381" t="str">
            <v>human</v>
          </cell>
          <cell r="N1381" t="str">
            <v>ヒューマン</v>
          </cell>
          <cell r="O1381">
            <v>0.94</v>
          </cell>
          <cell r="P1381">
            <v>0.99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</row>
        <row r="1382">
          <cell r="A1382">
            <v>6001</v>
          </cell>
          <cell r="B1382" t="str">
            <v>ジェリー</v>
          </cell>
          <cell r="C1382">
            <v>1</v>
          </cell>
          <cell r="D1382" t="str">
            <v>red</v>
          </cell>
          <cell r="E1382">
            <v>1</v>
          </cell>
          <cell r="F1382">
            <v>1.02</v>
          </cell>
          <cell r="G1382">
            <v>1</v>
          </cell>
          <cell r="H1382" t="str">
            <v>ra</v>
          </cell>
          <cell r="I1382" t="str">
            <v>ラグランジュチャレンジ</v>
          </cell>
          <cell r="J1382">
            <v>1</v>
          </cell>
          <cell r="K1382">
            <v>1</v>
          </cell>
          <cell r="L1382">
            <v>1</v>
          </cell>
          <cell r="M1382" t="str">
            <v>unknown</v>
          </cell>
          <cell r="N1382" t="str">
            <v>Unknown</v>
          </cell>
          <cell r="O1382">
            <v>1</v>
          </cell>
          <cell r="P1382">
            <v>1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</row>
        <row r="1383">
          <cell r="A1383">
            <v>6002</v>
          </cell>
          <cell r="B1383" t="str">
            <v>ヨシタカ</v>
          </cell>
          <cell r="C1383">
            <v>2</v>
          </cell>
          <cell r="D1383" t="str">
            <v>red</v>
          </cell>
          <cell r="E1383">
            <v>1</v>
          </cell>
          <cell r="F1383">
            <v>1.02</v>
          </cell>
          <cell r="G1383">
            <v>1</v>
          </cell>
          <cell r="H1383" t="str">
            <v>ra</v>
          </cell>
          <cell r="I1383" t="str">
            <v>ラグランジュチャレンジ</v>
          </cell>
          <cell r="J1383">
            <v>1</v>
          </cell>
          <cell r="K1383">
            <v>1</v>
          </cell>
          <cell r="L1383">
            <v>1</v>
          </cell>
          <cell r="M1383" t="str">
            <v>human</v>
          </cell>
          <cell r="N1383" t="str">
            <v>ヒューマン</v>
          </cell>
          <cell r="O1383">
            <v>0.94</v>
          </cell>
          <cell r="P1383">
            <v>0.99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</row>
        <row r="1384">
          <cell r="A1384">
            <v>6003</v>
          </cell>
          <cell r="B1384" t="str">
            <v>朱雀</v>
          </cell>
          <cell r="C1384">
            <v>3</v>
          </cell>
          <cell r="D1384" t="str">
            <v>red</v>
          </cell>
          <cell r="E1384">
            <v>1</v>
          </cell>
          <cell r="F1384">
            <v>1.02</v>
          </cell>
          <cell r="G1384">
            <v>1</v>
          </cell>
          <cell r="H1384" t="str">
            <v>ra</v>
          </cell>
          <cell r="I1384" t="str">
            <v>ラグランジュチャレンジ</v>
          </cell>
          <cell r="J1384">
            <v>1</v>
          </cell>
          <cell r="K1384">
            <v>1</v>
          </cell>
          <cell r="L1384">
            <v>1</v>
          </cell>
          <cell r="M1384" t="str">
            <v>animal</v>
          </cell>
          <cell r="N1384" t="str">
            <v>アニマル</v>
          </cell>
          <cell r="O1384">
            <v>1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</row>
        <row r="1385">
          <cell r="A1385">
            <v>6004</v>
          </cell>
          <cell r="B1385" t="str">
            <v>ブレット</v>
          </cell>
          <cell r="C1385">
            <v>1</v>
          </cell>
          <cell r="D1385" t="str">
            <v>red</v>
          </cell>
          <cell r="E1385">
            <v>1</v>
          </cell>
          <cell r="F1385">
            <v>1.02</v>
          </cell>
          <cell r="G1385">
            <v>1</v>
          </cell>
          <cell r="H1385" t="str">
            <v>ra</v>
          </cell>
          <cell r="I1385" t="str">
            <v>ラグランジュチャレンジ</v>
          </cell>
          <cell r="J1385">
            <v>1</v>
          </cell>
          <cell r="K1385">
            <v>1</v>
          </cell>
          <cell r="L1385">
            <v>1</v>
          </cell>
          <cell r="M1385" t="str">
            <v>animal</v>
          </cell>
          <cell r="N1385" t="str">
            <v>アニマル</v>
          </cell>
          <cell r="O1385">
            <v>1</v>
          </cell>
          <cell r="P1385">
            <v>1.1000000000000001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</row>
        <row r="1386">
          <cell r="A1386">
            <v>6005</v>
          </cell>
          <cell r="B1386" t="str">
            <v>孤神 テティス</v>
          </cell>
          <cell r="C1386">
            <v>4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ra</v>
          </cell>
          <cell r="I1386" t="str">
            <v>ラグランジュチャレンジ</v>
          </cell>
          <cell r="J1386">
            <v>1</v>
          </cell>
          <cell r="K1386">
            <v>1</v>
          </cell>
          <cell r="L1386">
            <v>1</v>
          </cell>
          <cell r="M1386" t="str">
            <v>god</v>
          </cell>
          <cell r="N1386" t="str">
            <v>ゴッド</v>
          </cell>
          <cell r="O1386">
            <v>0.96</v>
          </cell>
          <cell r="P1386">
            <v>1.02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</row>
        <row r="1387">
          <cell r="A1387">
            <v>6006</v>
          </cell>
          <cell r="B1387" t="str">
            <v>海底の孤高神 テティス</v>
          </cell>
          <cell r="C1387">
            <v>5</v>
          </cell>
          <cell r="D1387" t="str">
            <v>blue</v>
          </cell>
          <cell r="E1387">
            <v>1</v>
          </cell>
          <cell r="F1387">
            <v>0.98</v>
          </cell>
          <cell r="G1387">
            <v>1</v>
          </cell>
          <cell r="H1387" t="str">
            <v>ra</v>
          </cell>
          <cell r="I1387" t="str">
            <v>ラグランジュチャレンジ</v>
          </cell>
          <cell r="J1387">
            <v>1</v>
          </cell>
          <cell r="K1387">
            <v>1</v>
          </cell>
          <cell r="L1387">
            <v>1</v>
          </cell>
          <cell r="M1387" t="str">
            <v>god</v>
          </cell>
          <cell r="N1387" t="str">
            <v>ゴッド</v>
          </cell>
          <cell r="O1387">
            <v>0.96</v>
          </cell>
          <cell r="P1387">
            <v>1.02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</row>
        <row r="1388">
          <cell r="A1388">
            <v>6007</v>
          </cell>
          <cell r="B1388" t="str">
            <v>番犬 ケルベロス</v>
          </cell>
          <cell r="C1388">
            <v>4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ra</v>
          </cell>
          <cell r="I1388" t="str">
            <v>ラグランジュチャレンジ</v>
          </cell>
          <cell r="J1388">
            <v>1</v>
          </cell>
          <cell r="K1388">
            <v>1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</row>
        <row r="1389">
          <cell r="A1389">
            <v>6008</v>
          </cell>
          <cell r="B1389" t="str">
            <v>焔神 プロメテウス</v>
          </cell>
          <cell r="C1389">
            <v>4</v>
          </cell>
          <cell r="D1389" t="str">
            <v>red</v>
          </cell>
          <cell r="E1389">
            <v>1</v>
          </cell>
          <cell r="F1389">
            <v>1.02</v>
          </cell>
          <cell r="G1389">
            <v>1</v>
          </cell>
          <cell r="H1389" t="str">
            <v>ra</v>
          </cell>
          <cell r="I1389" t="str">
            <v>ラグランジュチャレンジ</v>
          </cell>
          <cell r="J1389">
            <v>1</v>
          </cell>
          <cell r="K1389">
            <v>1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</row>
        <row r="1390">
          <cell r="A1390">
            <v>6009</v>
          </cell>
          <cell r="B1390" t="str">
            <v>超越自我 ラグランジュ</v>
          </cell>
          <cell r="C1390">
            <v>5</v>
          </cell>
          <cell r="D1390" t="str">
            <v>red</v>
          </cell>
          <cell r="E1390">
            <v>1</v>
          </cell>
          <cell r="F1390">
            <v>1.02</v>
          </cell>
          <cell r="G1390">
            <v>1</v>
          </cell>
          <cell r="H1390" t="str">
            <v>ra</v>
          </cell>
          <cell r="I1390" t="str">
            <v>ラグランジュチャレンジ</v>
          </cell>
          <cell r="J1390">
            <v>1</v>
          </cell>
          <cell r="K1390">
            <v>1</v>
          </cell>
          <cell r="L1390">
            <v>1</v>
          </cell>
          <cell r="M1390" t="str">
            <v>human</v>
          </cell>
          <cell r="N1390" t="str">
            <v>ヒューマン</v>
          </cell>
          <cell r="O1390">
            <v>0.94</v>
          </cell>
          <cell r="P1390">
            <v>0.99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</row>
        <row r="1391">
          <cell r="A1391">
            <v>6010</v>
          </cell>
          <cell r="B1391" t="str">
            <v>超越凌駕 ラグランジュ</v>
          </cell>
          <cell r="C1391">
            <v>6</v>
          </cell>
          <cell r="D1391" t="str">
            <v>red</v>
          </cell>
          <cell r="E1391">
            <v>1</v>
          </cell>
          <cell r="F1391">
            <v>1.02</v>
          </cell>
          <cell r="G1391">
            <v>1</v>
          </cell>
          <cell r="H1391" t="str">
            <v>ra</v>
          </cell>
          <cell r="I1391" t="str">
            <v>ラグランジュチャレンジ</v>
          </cell>
          <cell r="J1391">
            <v>1</v>
          </cell>
          <cell r="K1391">
            <v>1</v>
          </cell>
          <cell r="L1391">
            <v>1</v>
          </cell>
          <cell r="M1391" t="str">
            <v>human</v>
          </cell>
          <cell r="N1391" t="str">
            <v>ヒューマン</v>
          </cell>
          <cell r="O1391">
            <v>0.94</v>
          </cell>
          <cell r="P1391">
            <v>0.99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</row>
        <row r="1392">
          <cell r="A1392">
            <v>6011</v>
          </cell>
          <cell r="B1392" t="str">
            <v>パトドッグリーダー ポチ</v>
          </cell>
          <cell r="C1392">
            <v>2</v>
          </cell>
          <cell r="D1392" t="str">
            <v>blue</v>
          </cell>
          <cell r="E1392">
            <v>1</v>
          </cell>
          <cell r="F1392">
            <v>0.98</v>
          </cell>
          <cell r="G1392">
            <v>1</v>
          </cell>
          <cell r="H1392" t="str">
            <v>ra002</v>
          </cell>
          <cell r="I1392" t="str">
            <v>ユークリッドチャレンジ</v>
          </cell>
          <cell r="J1392">
            <v>1</v>
          </cell>
          <cell r="K1392">
            <v>1</v>
          </cell>
          <cell r="L1392">
            <v>1</v>
          </cell>
          <cell r="M1392" t="str">
            <v>unknown</v>
          </cell>
          <cell r="N1392" t="str">
            <v>Unknown</v>
          </cell>
          <cell r="O1392">
            <v>1</v>
          </cell>
          <cell r="P1392">
            <v>1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</row>
        <row r="1393">
          <cell r="A1393">
            <v>6012</v>
          </cell>
          <cell r="B1393" t="str">
            <v>ミミ</v>
          </cell>
          <cell r="C1393">
            <v>1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ra002</v>
          </cell>
          <cell r="I1393" t="str">
            <v>ユークリッドチャレンジ</v>
          </cell>
          <cell r="J1393">
            <v>1</v>
          </cell>
          <cell r="K1393">
            <v>1</v>
          </cell>
          <cell r="L1393">
            <v>1</v>
          </cell>
          <cell r="M1393" t="str">
            <v>animal</v>
          </cell>
          <cell r="N1393" t="str">
            <v>アニマル</v>
          </cell>
          <cell r="O1393">
            <v>1</v>
          </cell>
          <cell r="P1393">
            <v>1.1000000000000001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</row>
        <row r="1394">
          <cell r="A1394">
            <v>6013</v>
          </cell>
          <cell r="B1394" t="str">
            <v>護衛機人 スケアクロウ</v>
          </cell>
          <cell r="C1394">
            <v>2</v>
          </cell>
          <cell r="D1394" t="str">
            <v>blue</v>
          </cell>
          <cell r="E1394">
            <v>1</v>
          </cell>
          <cell r="F1394">
            <v>0.98</v>
          </cell>
          <cell r="G1394">
            <v>1</v>
          </cell>
          <cell r="H1394" t="str">
            <v>ra002</v>
          </cell>
          <cell r="I1394" t="str">
            <v>ユークリッドチャレンジ</v>
          </cell>
          <cell r="J1394">
            <v>1</v>
          </cell>
          <cell r="K1394">
            <v>1</v>
          </cell>
          <cell r="L1394">
            <v>1</v>
          </cell>
          <cell r="M1394" t="str">
            <v>machine</v>
          </cell>
          <cell r="N1394" t="str">
            <v>マシン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</row>
        <row r="1395">
          <cell r="A1395">
            <v>6014</v>
          </cell>
          <cell r="B1395" t="str">
            <v>月下の人狼 ローレンス</v>
          </cell>
          <cell r="C1395">
            <v>4</v>
          </cell>
          <cell r="D1395" t="str">
            <v>blue</v>
          </cell>
          <cell r="E1395">
            <v>1</v>
          </cell>
          <cell r="F1395">
            <v>0.98</v>
          </cell>
          <cell r="G1395">
            <v>1</v>
          </cell>
          <cell r="H1395" t="str">
            <v>ra002</v>
          </cell>
          <cell r="I1395" t="str">
            <v>ユークリッドチャレンジ</v>
          </cell>
          <cell r="J1395">
            <v>1</v>
          </cell>
          <cell r="K1395">
            <v>1</v>
          </cell>
          <cell r="L1395">
            <v>1</v>
          </cell>
          <cell r="M1395" t="str">
            <v>animal</v>
          </cell>
          <cell r="N1395" t="str">
            <v>アニマル</v>
          </cell>
          <cell r="O1395">
            <v>1</v>
          </cell>
          <cell r="P1395">
            <v>1.1000000000000001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</row>
        <row r="1396">
          <cell r="A1396">
            <v>6015</v>
          </cell>
          <cell r="B1396" t="str">
            <v>フレイヤ</v>
          </cell>
          <cell r="C1396">
            <v>4</v>
          </cell>
          <cell r="D1396" t="str">
            <v>blue</v>
          </cell>
          <cell r="E1396">
            <v>1</v>
          </cell>
          <cell r="F1396">
            <v>0.98</v>
          </cell>
          <cell r="G1396">
            <v>1</v>
          </cell>
          <cell r="H1396" t="str">
            <v>ra002</v>
          </cell>
          <cell r="I1396" t="str">
            <v>ユークリッドチャレンジ</v>
          </cell>
          <cell r="J1396">
            <v>1</v>
          </cell>
          <cell r="K1396">
            <v>1</v>
          </cell>
          <cell r="L1396">
            <v>1</v>
          </cell>
          <cell r="M1396" t="str">
            <v>animal</v>
          </cell>
          <cell r="N1396" t="str">
            <v>アニマル</v>
          </cell>
          <cell r="O1396">
            <v>1</v>
          </cell>
          <cell r="P1396">
            <v>1.1000000000000001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</row>
        <row r="1397">
          <cell r="A1397">
            <v>6016</v>
          </cell>
          <cell r="B1397" t="str">
            <v>根原論理 ユークリッド</v>
          </cell>
          <cell r="C1397">
            <v>5</v>
          </cell>
          <cell r="D1397" t="str">
            <v>blue</v>
          </cell>
          <cell r="E1397">
            <v>1</v>
          </cell>
          <cell r="F1397">
            <v>0.98</v>
          </cell>
          <cell r="G1397">
            <v>1</v>
          </cell>
          <cell r="H1397" t="str">
            <v>ra002</v>
          </cell>
          <cell r="I1397" t="str">
            <v>ユークリッドチャレンジ</v>
          </cell>
          <cell r="J1397">
            <v>1</v>
          </cell>
          <cell r="K1397">
            <v>1</v>
          </cell>
          <cell r="L1397">
            <v>1</v>
          </cell>
          <cell r="M1397" t="str">
            <v>human</v>
          </cell>
          <cell r="N1397" t="str">
            <v>ヒューマン</v>
          </cell>
          <cell r="O1397">
            <v>0.94</v>
          </cell>
          <cell r="P1397">
            <v>0.99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</row>
        <row r="1398">
          <cell r="A1398">
            <v>6017</v>
          </cell>
          <cell r="B1398" t="str">
            <v>不朽の極論 ユークリッド</v>
          </cell>
          <cell r="C1398">
            <v>6</v>
          </cell>
          <cell r="D1398" t="str">
            <v>blue</v>
          </cell>
          <cell r="E1398">
            <v>1</v>
          </cell>
          <cell r="F1398">
            <v>0.98</v>
          </cell>
          <cell r="G1398">
            <v>1</v>
          </cell>
          <cell r="H1398" t="str">
            <v>ra002</v>
          </cell>
          <cell r="I1398" t="str">
            <v>ユークリッドチャレンジ</v>
          </cell>
          <cell r="J1398">
            <v>1</v>
          </cell>
          <cell r="K1398">
            <v>1</v>
          </cell>
          <cell r="L1398">
            <v>1</v>
          </cell>
          <cell r="M1398" t="str">
            <v>human</v>
          </cell>
          <cell r="N1398" t="str">
            <v>ヒューマン</v>
          </cell>
          <cell r="O1398">
            <v>0.94</v>
          </cell>
          <cell r="P1398">
            <v>0.99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</row>
        <row r="1399">
          <cell r="A1399">
            <v>6018</v>
          </cell>
          <cell r="B1399" t="str">
            <v>ハヅル</v>
          </cell>
          <cell r="C1399">
            <v>4</v>
          </cell>
          <cell r="D1399" t="str">
            <v>red</v>
          </cell>
          <cell r="E1399">
            <v>1</v>
          </cell>
          <cell r="F1399">
            <v>1.02</v>
          </cell>
          <cell r="G1399">
            <v>1</v>
          </cell>
          <cell r="H1399" t="str">
            <v>ra002</v>
          </cell>
          <cell r="I1399" t="str">
            <v>ユークリッドチャレンジ</v>
          </cell>
          <cell r="J1399">
            <v>1</v>
          </cell>
          <cell r="K1399">
            <v>1</v>
          </cell>
          <cell r="L1399">
            <v>1</v>
          </cell>
          <cell r="M1399" t="str">
            <v>animal</v>
          </cell>
          <cell r="N1399" t="str">
            <v>アニマル</v>
          </cell>
          <cell r="O1399">
            <v>1</v>
          </cell>
          <cell r="P1399">
            <v>1.1000000000000001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</row>
        <row r="1400">
          <cell r="A1400">
            <v>6019</v>
          </cell>
          <cell r="B1400" t="str">
            <v>天織羽鶴 ハヅル</v>
          </cell>
          <cell r="C1400">
            <v>5</v>
          </cell>
          <cell r="D1400" t="str">
            <v>red</v>
          </cell>
          <cell r="E1400">
            <v>1</v>
          </cell>
          <cell r="F1400">
            <v>1.02</v>
          </cell>
          <cell r="G1400">
            <v>1</v>
          </cell>
          <cell r="H1400" t="str">
            <v>ra002</v>
          </cell>
          <cell r="I1400" t="str">
            <v>ユークリッドチャレンジ</v>
          </cell>
          <cell r="J1400">
            <v>1</v>
          </cell>
          <cell r="K1400">
            <v>1</v>
          </cell>
          <cell r="L1400">
            <v>1</v>
          </cell>
          <cell r="M1400" t="str">
            <v>animal</v>
          </cell>
          <cell r="N1400" t="str">
            <v>アニマル</v>
          </cell>
          <cell r="O1400">
            <v>1</v>
          </cell>
          <cell r="P1400">
            <v>1.1000000000000001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</row>
        <row r="1401">
          <cell r="A1401">
            <v>6020</v>
          </cell>
          <cell r="B1401" t="str">
            <v>ミズチ</v>
          </cell>
          <cell r="C1401">
            <v>4</v>
          </cell>
          <cell r="D1401" t="str">
            <v>blue</v>
          </cell>
          <cell r="E1401">
            <v>1</v>
          </cell>
          <cell r="F1401">
            <v>0.98</v>
          </cell>
          <cell r="G1401">
            <v>1</v>
          </cell>
          <cell r="H1401" t="str">
            <v>ra002</v>
          </cell>
          <cell r="I1401" t="str">
            <v>ユークリッドチャレンジ</v>
          </cell>
          <cell r="J1401">
            <v>1</v>
          </cell>
          <cell r="K1401">
            <v>1</v>
          </cell>
          <cell r="L1401">
            <v>1</v>
          </cell>
          <cell r="M1401" t="str">
            <v>dragon</v>
          </cell>
          <cell r="N1401" t="str">
            <v>ドラゴン</v>
          </cell>
          <cell r="O1401">
            <v>1.1499999999999999</v>
          </cell>
          <cell r="P1401">
            <v>1.1000000000000001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</row>
        <row r="1402">
          <cell r="A1402">
            <v>8001</v>
          </cell>
          <cell r="B1402" t="str">
            <v>媽祖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attack</v>
          </cell>
          <cell r="I1402" t="str">
            <v>攻撃タイプ</v>
          </cell>
          <cell r="J1402">
            <v>1</v>
          </cell>
          <cell r="K1402">
            <v>1.33</v>
          </cell>
          <cell r="L1402">
            <v>1</v>
          </cell>
          <cell r="M1402" t="str">
            <v>god</v>
          </cell>
          <cell r="N1402" t="str">
            <v>ゴッド</v>
          </cell>
          <cell r="O1402">
            <v>0.96</v>
          </cell>
          <cell r="P1402">
            <v>1.02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</row>
        <row r="1403">
          <cell r="A1403">
            <v>8002</v>
          </cell>
          <cell r="B1403" t="str">
            <v>宣導する天海妃 媽祖</v>
          </cell>
          <cell r="C1403">
            <v>6</v>
          </cell>
          <cell r="D1403" t="str">
            <v>yellow</v>
          </cell>
          <cell r="E1403">
            <v>0.98</v>
          </cell>
          <cell r="F1403">
            <v>1.01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god</v>
          </cell>
          <cell r="N1403" t="str">
            <v>ゴッド</v>
          </cell>
          <cell r="O1403">
            <v>0.96</v>
          </cell>
          <cell r="P1403">
            <v>1.02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</row>
        <row r="1404">
          <cell r="A1404">
            <v>8003</v>
          </cell>
          <cell r="B1404" t="str">
            <v>蛟龍</v>
          </cell>
          <cell r="C1404">
            <v>5</v>
          </cell>
          <cell r="D1404" t="str">
            <v>blue</v>
          </cell>
          <cell r="E1404">
            <v>1</v>
          </cell>
          <cell r="F1404">
            <v>0.98</v>
          </cell>
          <cell r="G1404">
            <v>1</v>
          </cell>
          <cell r="H1404" t="str">
            <v>hp</v>
          </cell>
          <cell r="I1404" t="str">
            <v>体力タイプ</v>
          </cell>
          <cell r="J1404">
            <v>1.45</v>
          </cell>
          <cell r="K1404">
            <v>0.85</v>
          </cell>
          <cell r="L1404">
            <v>1</v>
          </cell>
          <cell r="M1404" t="str">
            <v>dragon</v>
          </cell>
          <cell r="N1404" t="str">
            <v>ドラゴン</v>
          </cell>
          <cell r="O1404">
            <v>1.1499999999999999</v>
          </cell>
          <cell r="P1404">
            <v>1.1000000000000001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</row>
        <row r="1405">
          <cell r="A1405">
            <v>8004</v>
          </cell>
          <cell r="B1405" t="str">
            <v>呼嵐の蒼棲龍 蛟龍</v>
          </cell>
          <cell r="C1405">
            <v>6</v>
          </cell>
          <cell r="D1405" t="str">
            <v>blue</v>
          </cell>
          <cell r="E1405">
            <v>1</v>
          </cell>
          <cell r="F1405">
            <v>0.98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dragon</v>
          </cell>
          <cell r="N1405" t="str">
            <v>ドラゴン</v>
          </cell>
          <cell r="O1405">
            <v>1.1499999999999999</v>
          </cell>
          <cell r="P1405">
            <v>1.1000000000000001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</row>
        <row r="1406">
          <cell r="A1406">
            <v>8005</v>
          </cell>
          <cell r="B1406" t="str">
            <v>三蔵法師</v>
          </cell>
          <cell r="C1406">
            <v>5</v>
          </cell>
          <cell r="D1406" t="str">
            <v>blue</v>
          </cell>
          <cell r="E1406">
            <v>1</v>
          </cell>
          <cell r="F1406">
            <v>0.98</v>
          </cell>
          <cell r="G1406">
            <v>1</v>
          </cell>
          <cell r="H1406" t="str">
            <v>balance</v>
          </cell>
          <cell r="I1406" t="str">
            <v>バランスタイプ</v>
          </cell>
          <cell r="J1406">
            <v>1</v>
          </cell>
          <cell r="K1406">
            <v>1</v>
          </cell>
          <cell r="L1406">
            <v>1</v>
          </cell>
          <cell r="M1406" t="str">
            <v>human</v>
          </cell>
          <cell r="N1406" t="str">
            <v>ヒューマン</v>
          </cell>
          <cell r="O1406">
            <v>0.94</v>
          </cell>
          <cell r="P1406">
            <v>0.99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</row>
        <row r="1407">
          <cell r="A1407">
            <v>8006</v>
          </cell>
          <cell r="B1407" t="str">
            <v>慈戒の呪封使 三蔵法師</v>
          </cell>
          <cell r="C1407">
            <v>6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balance</v>
          </cell>
          <cell r="I1407" t="str">
            <v>バランスタイプ</v>
          </cell>
          <cell r="J1407">
            <v>1</v>
          </cell>
          <cell r="K1407">
            <v>1</v>
          </cell>
          <cell r="L1407">
            <v>1</v>
          </cell>
          <cell r="M1407" t="str">
            <v>human</v>
          </cell>
          <cell r="N1407" t="str">
            <v>ヒューマン</v>
          </cell>
          <cell r="O1407">
            <v>0.94</v>
          </cell>
          <cell r="P1407">
            <v>0.99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</row>
        <row r="1408">
          <cell r="A1408">
            <v>8007</v>
          </cell>
          <cell r="B1408" t="str">
            <v>孫悟空</v>
          </cell>
          <cell r="C1408">
            <v>5</v>
          </cell>
          <cell r="D1408" t="str">
            <v>red</v>
          </cell>
          <cell r="E1408">
            <v>1</v>
          </cell>
          <cell r="F1408">
            <v>1.02</v>
          </cell>
          <cell r="G1408">
            <v>1</v>
          </cell>
          <cell r="H1408" t="str">
            <v>attack</v>
          </cell>
          <cell r="I1408" t="str">
            <v>攻撃タイプ</v>
          </cell>
          <cell r="J1408">
            <v>1</v>
          </cell>
          <cell r="K1408">
            <v>1.33</v>
          </cell>
          <cell r="L1408">
            <v>1</v>
          </cell>
          <cell r="M1408" t="str">
            <v>animal</v>
          </cell>
          <cell r="N1408" t="str">
            <v>アニマル</v>
          </cell>
          <cell r="O1408">
            <v>1</v>
          </cell>
          <cell r="P1408">
            <v>1.1000000000000001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</row>
        <row r="1409">
          <cell r="A1409">
            <v>8008</v>
          </cell>
          <cell r="B1409" t="str">
            <v>花果の天猿仙人 孫悟空</v>
          </cell>
          <cell r="C1409">
            <v>6</v>
          </cell>
          <cell r="D1409" t="str">
            <v>red</v>
          </cell>
          <cell r="E1409">
            <v>1</v>
          </cell>
          <cell r="F1409">
            <v>1.02</v>
          </cell>
          <cell r="G1409">
            <v>1</v>
          </cell>
          <cell r="H1409" t="str">
            <v>attack</v>
          </cell>
          <cell r="I1409" t="str">
            <v>攻撃タイプ</v>
          </cell>
          <cell r="J1409">
            <v>1</v>
          </cell>
          <cell r="K1409">
            <v>1.33</v>
          </cell>
          <cell r="L1409">
            <v>1</v>
          </cell>
          <cell r="M1409" t="str">
            <v>animal</v>
          </cell>
          <cell r="N1409" t="str">
            <v>アニマル</v>
          </cell>
          <cell r="O1409">
            <v>1</v>
          </cell>
          <cell r="P1409">
            <v>1.1000000000000001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</row>
        <row r="1410">
          <cell r="A1410">
            <v>8009</v>
          </cell>
          <cell r="B1410" t="str">
            <v>西王娘娘</v>
          </cell>
          <cell r="C1410">
            <v>5</v>
          </cell>
          <cell r="D1410" t="str">
            <v>green</v>
          </cell>
          <cell r="E1410">
            <v>1.02</v>
          </cell>
          <cell r="F1410">
            <v>0.98</v>
          </cell>
          <cell r="G1410">
            <v>1</v>
          </cell>
          <cell r="H1410" t="str">
            <v>attack</v>
          </cell>
          <cell r="I1410" t="str">
            <v>攻撃タイプ</v>
          </cell>
          <cell r="J1410">
            <v>1</v>
          </cell>
          <cell r="K1410">
            <v>1.33</v>
          </cell>
          <cell r="L1410">
            <v>1</v>
          </cell>
          <cell r="M1410" t="str">
            <v>god</v>
          </cell>
          <cell r="N1410" t="str">
            <v>ゴッド</v>
          </cell>
          <cell r="O1410">
            <v>0.96</v>
          </cell>
          <cell r="P1410">
            <v>1.02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</row>
        <row r="1411">
          <cell r="A1411">
            <v>8010</v>
          </cell>
          <cell r="B1411" t="str">
            <v>極楽瑶池の聖母 西王娘娘</v>
          </cell>
          <cell r="C1411">
            <v>6</v>
          </cell>
          <cell r="D1411" t="str">
            <v>green</v>
          </cell>
          <cell r="E1411">
            <v>1.02</v>
          </cell>
          <cell r="F1411">
            <v>0.98</v>
          </cell>
          <cell r="G1411">
            <v>1</v>
          </cell>
          <cell r="H1411" t="str">
            <v>attack</v>
          </cell>
          <cell r="I1411" t="str">
            <v>攻撃タイプ</v>
          </cell>
          <cell r="J1411">
            <v>1</v>
          </cell>
          <cell r="K1411">
            <v>1.33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</row>
        <row r="1412">
          <cell r="A1412">
            <v>8011</v>
          </cell>
          <cell r="B1412" t="str">
            <v>月下老人</v>
          </cell>
          <cell r="C1412">
            <v>5</v>
          </cell>
          <cell r="D1412" t="str">
            <v>yellow</v>
          </cell>
          <cell r="E1412">
            <v>0.98</v>
          </cell>
          <cell r="F1412">
            <v>1.01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</row>
        <row r="1413">
          <cell r="A1413">
            <v>8012</v>
          </cell>
          <cell r="B1413" t="str">
            <v>破戀斬る縁剣 月下老人</v>
          </cell>
          <cell r="C1413">
            <v>6</v>
          </cell>
          <cell r="D1413" t="str">
            <v>yellow</v>
          </cell>
          <cell r="E1413">
            <v>0.98</v>
          </cell>
          <cell r="F1413">
            <v>1.01</v>
          </cell>
          <cell r="G1413">
            <v>1</v>
          </cell>
          <cell r="H1413" t="str">
            <v>balance</v>
          </cell>
          <cell r="I1413" t="str">
            <v>バランスタイプ</v>
          </cell>
          <cell r="J1413">
            <v>1</v>
          </cell>
          <cell r="K1413">
            <v>1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</row>
        <row r="1414">
          <cell r="A1414">
            <v>8013</v>
          </cell>
          <cell r="B1414" t="str">
            <v>初音ミクV3</v>
          </cell>
          <cell r="C1414">
            <v>4</v>
          </cell>
          <cell r="D1414" t="str">
            <v>yellow</v>
          </cell>
          <cell r="E1414">
            <v>0.98</v>
          </cell>
          <cell r="F1414">
            <v>1.01</v>
          </cell>
          <cell r="G1414">
            <v>1</v>
          </cell>
          <cell r="H1414" t="str">
            <v>balance</v>
          </cell>
          <cell r="I1414" t="str">
            <v>バランスタイプ</v>
          </cell>
          <cell r="J1414">
            <v>1</v>
          </cell>
          <cell r="K1414">
            <v>1</v>
          </cell>
          <cell r="L1414">
            <v>1</v>
          </cell>
          <cell r="M1414" t="str">
            <v>unknown</v>
          </cell>
          <cell r="N1414" t="str">
            <v>Unknown</v>
          </cell>
          <cell r="O1414">
            <v>1</v>
          </cell>
          <cell r="P1414">
            <v>1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</row>
        <row r="1415">
          <cell r="A1415">
            <v>8014</v>
          </cell>
          <cell r="B1415" t="str">
            <v>初音ミクV3</v>
          </cell>
          <cell r="C1415">
            <v>5</v>
          </cell>
          <cell r="D1415" t="str">
            <v>yellow</v>
          </cell>
          <cell r="E1415">
            <v>0.98</v>
          </cell>
          <cell r="F1415">
            <v>1.01</v>
          </cell>
          <cell r="G1415">
            <v>1</v>
          </cell>
          <cell r="H1415" t="str">
            <v>balance</v>
          </cell>
          <cell r="I1415" t="str">
            <v>バランスタイプ</v>
          </cell>
          <cell r="J1415">
            <v>1</v>
          </cell>
          <cell r="K1415">
            <v>1</v>
          </cell>
          <cell r="L1415">
            <v>1</v>
          </cell>
          <cell r="M1415" t="str">
            <v>unknown</v>
          </cell>
          <cell r="N1415" t="str">
            <v>Unknown</v>
          </cell>
          <cell r="O1415">
            <v>1</v>
          </cell>
          <cell r="P1415">
            <v>1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</row>
        <row r="1416">
          <cell r="A1416">
            <v>8015</v>
          </cell>
          <cell r="B1416" t="str">
            <v>初音ミク・アペンド</v>
          </cell>
          <cell r="C1416">
            <v>4</v>
          </cell>
          <cell r="D1416" t="str">
            <v>green</v>
          </cell>
          <cell r="E1416">
            <v>1.02</v>
          </cell>
          <cell r="F1416">
            <v>0.98</v>
          </cell>
          <cell r="G1416">
            <v>1</v>
          </cell>
          <cell r="H1416" t="str">
            <v>technical</v>
          </cell>
          <cell r="I1416" t="str">
            <v>テクニカルタイプ</v>
          </cell>
          <cell r="J1416">
            <v>0.9</v>
          </cell>
          <cell r="K1416">
            <v>0.9</v>
          </cell>
          <cell r="L1416">
            <v>1</v>
          </cell>
          <cell r="M1416" t="str">
            <v>unknown</v>
          </cell>
          <cell r="N1416" t="str">
            <v>Unknown</v>
          </cell>
          <cell r="O1416">
            <v>1</v>
          </cell>
          <cell r="P1416">
            <v>1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</row>
        <row r="1417">
          <cell r="A1417">
            <v>8016</v>
          </cell>
          <cell r="B1417" t="str">
            <v>初音ミク・アペンド</v>
          </cell>
          <cell r="C1417">
            <v>5</v>
          </cell>
          <cell r="D1417" t="str">
            <v>green</v>
          </cell>
          <cell r="E1417">
            <v>1.02</v>
          </cell>
          <cell r="F1417">
            <v>0.98</v>
          </cell>
          <cell r="G1417">
            <v>1</v>
          </cell>
          <cell r="H1417" t="str">
            <v>technical</v>
          </cell>
          <cell r="I1417" t="str">
            <v>テクニカルタイプ</v>
          </cell>
          <cell r="J1417">
            <v>0.9</v>
          </cell>
          <cell r="K1417">
            <v>0.9</v>
          </cell>
          <cell r="L1417">
            <v>1</v>
          </cell>
          <cell r="M1417" t="str">
            <v>unknown</v>
          </cell>
          <cell r="N1417" t="str">
            <v>Unknown</v>
          </cell>
          <cell r="O1417">
            <v>1</v>
          </cell>
          <cell r="P1417">
            <v>1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</row>
        <row r="1418">
          <cell r="A1418">
            <v>8017</v>
          </cell>
          <cell r="B1418" t="str">
            <v>初音ミク</v>
          </cell>
          <cell r="C1418">
            <v>4</v>
          </cell>
          <cell r="D1418" t="str">
            <v>green</v>
          </cell>
          <cell r="E1418">
            <v>1.02</v>
          </cell>
          <cell r="F1418">
            <v>0.98</v>
          </cell>
          <cell r="G1418">
            <v>1</v>
          </cell>
          <cell r="H1418" t="str">
            <v>balance</v>
          </cell>
          <cell r="I1418" t="str">
            <v>バランスタイプ</v>
          </cell>
          <cell r="J1418">
            <v>1</v>
          </cell>
          <cell r="K1418">
            <v>1</v>
          </cell>
          <cell r="L1418">
            <v>1</v>
          </cell>
          <cell r="M1418" t="str">
            <v>unknown</v>
          </cell>
          <cell r="N1418" t="str">
            <v>Unknown</v>
          </cell>
          <cell r="O1418">
            <v>1</v>
          </cell>
          <cell r="P1418">
            <v>1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</row>
        <row r="1419">
          <cell r="A1419">
            <v>8018</v>
          </cell>
          <cell r="B1419" t="str">
            <v>初音ミク</v>
          </cell>
          <cell r="C1419">
            <v>5</v>
          </cell>
          <cell r="D1419" t="str">
            <v>green</v>
          </cell>
          <cell r="E1419">
            <v>1.02</v>
          </cell>
          <cell r="F1419">
            <v>0.98</v>
          </cell>
          <cell r="G1419">
            <v>1</v>
          </cell>
          <cell r="H1419" t="str">
            <v>balance</v>
          </cell>
          <cell r="I1419" t="str">
            <v>バランスタイプ</v>
          </cell>
          <cell r="J1419">
            <v>1</v>
          </cell>
          <cell r="K1419">
            <v>1</v>
          </cell>
          <cell r="L1419">
            <v>1</v>
          </cell>
          <cell r="M1419" t="str">
            <v>unknown</v>
          </cell>
          <cell r="N1419" t="str">
            <v>Unknown</v>
          </cell>
          <cell r="O1419">
            <v>1</v>
          </cell>
          <cell r="P1419">
            <v>1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</row>
        <row r="1420">
          <cell r="A1420">
            <v>8019</v>
          </cell>
          <cell r="B1420" t="str">
            <v>鏡音リン</v>
          </cell>
          <cell r="C1420">
            <v>4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balance</v>
          </cell>
          <cell r="I1420" t="str">
            <v>バランスタイプ</v>
          </cell>
          <cell r="J1420">
            <v>1</v>
          </cell>
          <cell r="K1420">
            <v>1</v>
          </cell>
          <cell r="L1420">
            <v>1</v>
          </cell>
          <cell r="M1420" t="str">
            <v>unknown</v>
          </cell>
          <cell r="N1420" t="str">
            <v>Unknown</v>
          </cell>
          <cell r="O1420">
            <v>1</v>
          </cell>
          <cell r="P1420">
            <v>1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</row>
        <row r="1421">
          <cell r="A1421">
            <v>8020</v>
          </cell>
          <cell r="B1421" t="str">
            <v>鏡音リン</v>
          </cell>
          <cell r="C1421">
            <v>5</v>
          </cell>
          <cell r="D1421" t="str">
            <v>yellow</v>
          </cell>
          <cell r="E1421">
            <v>0.98</v>
          </cell>
          <cell r="F1421">
            <v>1.01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unknown</v>
          </cell>
          <cell r="N1421" t="str">
            <v>Unknown</v>
          </cell>
          <cell r="O1421">
            <v>1</v>
          </cell>
          <cell r="P1421">
            <v>1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</row>
        <row r="1422">
          <cell r="A1422">
            <v>8021</v>
          </cell>
          <cell r="B1422" t="str">
            <v>鏡音レン</v>
          </cell>
          <cell r="C1422">
            <v>4</v>
          </cell>
          <cell r="D1422" t="str">
            <v>yellow</v>
          </cell>
          <cell r="E1422">
            <v>0.98</v>
          </cell>
          <cell r="F1422">
            <v>1.01</v>
          </cell>
          <cell r="G1422">
            <v>1</v>
          </cell>
          <cell r="H1422" t="str">
            <v>heal</v>
          </cell>
          <cell r="I1422" t="str">
            <v>回復タイプ</v>
          </cell>
          <cell r="J1422">
            <v>0.8</v>
          </cell>
          <cell r="K1422">
            <v>0.78</v>
          </cell>
          <cell r="L1422">
            <v>1</v>
          </cell>
          <cell r="M1422" t="str">
            <v>unknown</v>
          </cell>
          <cell r="N1422" t="str">
            <v>Unknown</v>
          </cell>
          <cell r="O1422">
            <v>1</v>
          </cell>
          <cell r="P1422">
            <v>1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</row>
        <row r="1423">
          <cell r="A1423">
            <v>8022</v>
          </cell>
          <cell r="B1423" t="str">
            <v>鏡音レン</v>
          </cell>
          <cell r="C1423">
            <v>5</v>
          </cell>
          <cell r="D1423" t="str">
            <v>yellow</v>
          </cell>
          <cell r="E1423">
            <v>0.98</v>
          </cell>
          <cell r="F1423">
            <v>1.01</v>
          </cell>
          <cell r="G1423">
            <v>1</v>
          </cell>
          <cell r="H1423" t="str">
            <v>heal</v>
          </cell>
          <cell r="I1423" t="str">
            <v>回復タイプ</v>
          </cell>
          <cell r="J1423">
            <v>0.8</v>
          </cell>
          <cell r="K1423">
            <v>0.78</v>
          </cell>
          <cell r="L1423">
            <v>1</v>
          </cell>
          <cell r="M1423" t="str">
            <v>unknown</v>
          </cell>
          <cell r="N1423" t="str">
            <v>Unknown</v>
          </cell>
          <cell r="O1423">
            <v>1</v>
          </cell>
          <cell r="P1423">
            <v>1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</row>
        <row r="1424">
          <cell r="A1424">
            <v>8023</v>
          </cell>
          <cell r="B1424" t="str">
            <v>巡音ルカ</v>
          </cell>
          <cell r="C1424">
            <v>3</v>
          </cell>
          <cell r="D1424" t="str">
            <v>red</v>
          </cell>
          <cell r="E1424">
            <v>1</v>
          </cell>
          <cell r="F1424">
            <v>1.02</v>
          </cell>
          <cell r="G1424">
            <v>1</v>
          </cell>
          <cell r="H1424" t="str">
            <v>attack</v>
          </cell>
          <cell r="I1424" t="str">
            <v>攻撃タイプ</v>
          </cell>
          <cell r="J1424">
            <v>1</v>
          </cell>
          <cell r="K1424">
            <v>1.33</v>
          </cell>
          <cell r="L1424">
            <v>1</v>
          </cell>
          <cell r="M1424" t="str">
            <v>unknown</v>
          </cell>
          <cell r="N1424" t="str">
            <v>Unknown</v>
          </cell>
          <cell r="O1424">
            <v>1</v>
          </cell>
          <cell r="P1424">
            <v>1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</row>
        <row r="1425">
          <cell r="A1425">
            <v>8024</v>
          </cell>
          <cell r="B1425" t="str">
            <v>巡音ルカ</v>
          </cell>
          <cell r="C1425">
            <v>4</v>
          </cell>
          <cell r="D1425" t="str">
            <v>red</v>
          </cell>
          <cell r="E1425">
            <v>1</v>
          </cell>
          <cell r="F1425">
            <v>1.02</v>
          </cell>
          <cell r="G1425">
            <v>1</v>
          </cell>
          <cell r="H1425" t="str">
            <v>attack</v>
          </cell>
          <cell r="I1425" t="str">
            <v>攻撃タイプ</v>
          </cell>
          <cell r="J1425">
            <v>1</v>
          </cell>
          <cell r="K1425">
            <v>1.33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</row>
        <row r="1426">
          <cell r="A1426">
            <v>8025</v>
          </cell>
          <cell r="B1426" t="str">
            <v>MEIKO</v>
          </cell>
          <cell r="C1426">
            <v>3</v>
          </cell>
          <cell r="D1426" t="str">
            <v>red</v>
          </cell>
          <cell r="E1426">
            <v>1</v>
          </cell>
          <cell r="F1426">
            <v>1.02</v>
          </cell>
          <cell r="G1426">
            <v>1</v>
          </cell>
          <cell r="H1426" t="str">
            <v>hp</v>
          </cell>
          <cell r="I1426" t="str">
            <v>体力タイプ</v>
          </cell>
          <cell r="J1426">
            <v>1.45</v>
          </cell>
          <cell r="K1426">
            <v>0.85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</row>
        <row r="1427">
          <cell r="A1427">
            <v>8026</v>
          </cell>
          <cell r="B1427" t="str">
            <v>MEIKO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hp</v>
          </cell>
          <cell r="I1427" t="str">
            <v>体力タイプ</v>
          </cell>
          <cell r="J1427">
            <v>1.45</v>
          </cell>
          <cell r="K1427">
            <v>0.85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</row>
        <row r="1428">
          <cell r="A1428">
            <v>8027</v>
          </cell>
          <cell r="B1428" t="str">
            <v>KAITO</v>
          </cell>
          <cell r="C1428">
            <v>3</v>
          </cell>
          <cell r="D1428" t="str">
            <v>blue</v>
          </cell>
          <cell r="E1428">
            <v>1</v>
          </cell>
          <cell r="F1428">
            <v>0.98</v>
          </cell>
          <cell r="G1428">
            <v>1</v>
          </cell>
          <cell r="H1428" t="str">
            <v>technical</v>
          </cell>
          <cell r="I1428" t="str">
            <v>テクニカルタイプ</v>
          </cell>
          <cell r="J1428">
            <v>0.9</v>
          </cell>
          <cell r="K1428">
            <v>0.9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</row>
        <row r="1429">
          <cell r="A1429">
            <v>8028</v>
          </cell>
          <cell r="B1429" t="str">
            <v>KAITO</v>
          </cell>
          <cell r="C1429">
            <v>4</v>
          </cell>
          <cell r="D1429" t="str">
            <v>blue</v>
          </cell>
          <cell r="E1429">
            <v>1</v>
          </cell>
          <cell r="F1429">
            <v>0.98</v>
          </cell>
          <cell r="G1429">
            <v>1</v>
          </cell>
          <cell r="H1429" t="str">
            <v>technical</v>
          </cell>
          <cell r="I1429" t="str">
            <v>テクニカルタイプ</v>
          </cell>
          <cell r="J1429">
            <v>0.9</v>
          </cell>
          <cell r="K1429">
            <v>0.9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</row>
        <row r="1430">
          <cell r="A1430">
            <v>8029</v>
          </cell>
          <cell r="B1430" t="str">
            <v>Expoミク</v>
          </cell>
          <cell r="C1430">
            <v>4</v>
          </cell>
          <cell r="D1430" t="str">
            <v>blue</v>
          </cell>
          <cell r="E1430">
            <v>1</v>
          </cell>
          <cell r="F1430">
            <v>0.98</v>
          </cell>
          <cell r="G1430">
            <v>1</v>
          </cell>
          <cell r="H1430" t="str">
            <v>heal</v>
          </cell>
          <cell r="I1430" t="str">
            <v>回復タイプ</v>
          </cell>
          <cell r="J1430">
            <v>0.8</v>
          </cell>
          <cell r="K1430">
            <v>0.78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</row>
        <row r="1431">
          <cell r="A1431">
            <v>8030</v>
          </cell>
          <cell r="B1431" t="str">
            <v>Expoミク</v>
          </cell>
          <cell r="C1431">
            <v>5</v>
          </cell>
          <cell r="D1431" t="str">
            <v>blue</v>
          </cell>
          <cell r="E1431">
            <v>1</v>
          </cell>
          <cell r="F1431">
            <v>0.98</v>
          </cell>
          <cell r="G1431">
            <v>1</v>
          </cell>
          <cell r="H1431" t="str">
            <v>heal</v>
          </cell>
          <cell r="I1431" t="str">
            <v>回復タイプ</v>
          </cell>
          <cell r="J1431">
            <v>0.8</v>
          </cell>
          <cell r="K1431">
            <v>0.78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</row>
        <row r="1432">
          <cell r="A1432">
            <v>8031</v>
          </cell>
          <cell r="B1432" t="str">
            <v>閻羅王</v>
          </cell>
          <cell r="C1432">
            <v>5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balance</v>
          </cell>
          <cell r="I1432" t="str">
            <v>バランスタイプ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god</v>
          </cell>
          <cell r="N1432" t="str">
            <v>ゴッド</v>
          </cell>
          <cell r="O1432">
            <v>0.96</v>
          </cell>
          <cell r="P1432">
            <v>1.02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</row>
        <row r="1433">
          <cell r="A1433">
            <v>8032</v>
          </cell>
          <cell r="B1433" t="str">
            <v>六道輪廻の絶獄 閻羅王</v>
          </cell>
          <cell r="C1433">
            <v>6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god</v>
          </cell>
          <cell r="N1433" t="str">
            <v>ゴッド</v>
          </cell>
          <cell r="O1433">
            <v>0.96</v>
          </cell>
          <cell r="P1433">
            <v>1.02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</row>
        <row r="1434">
          <cell r="A1434">
            <v>8033</v>
          </cell>
          <cell r="B1434" t="str">
            <v>牛頭馬面</v>
          </cell>
          <cell r="C1434">
            <v>5</v>
          </cell>
          <cell r="D1434" t="str">
            <v>green</v>
          </cell>
          <cell r="E1434">
            <v>1.02</v>
          </cell>
          <cell r="F1434">
            <v>0.98</v>
          </cell>
          <cell r="G1434">
            <v>1</v>
          </cell>
          <cell r="H1434" t="str">
            <v>attack</v>
          </cell>
          <cell r="I1434" t="str">
            <v>攻撃タイプ</v>
          </cell>
          <cell r="J1434">
            <v>1</v>
          </cell>
          <cell r="K1434">
            <v>1.33</v>
          </cell>
          <cell r="L1434">
            <v>1</v>
          </cell>
          <cell r="M1434" t="str">
            <v>god</v>
          </cell>
          <cell r="N1434" t="str">
            <v>ゴッド</v>
          </cell>
          <cell r="O1434">
            <v>0.96</v>
          </cell>
          <cell r="P1434">
            <v>1.02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</row>
        <row r="1435">
          <cell r="A1435">
            <v>8034</v>
          </cell>
          <cell r="B1435" t="str">
            <v>冥府狩る魂使 牛頭馬面</v>
          </cell>
          <cell r="C1435">
            <v>6</v>
          </cell>
          <cell r="D1435" t="str">
            <v>green</v>
          </cell>
          <cell r="E1435">
            <v>1.02</v>
          </cell>
          <cell r="F1435">
            <v>0.98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1.33</v>
          </cell>
          <cell r="L1435">
            <v>1</v>
          </cell>
          <cell r="M1435" t="str">
            <v>god</v>
          </cell>
          <cell r="N1435" t="str">
            <v>ゴッド</v>
          </cell>
          <cell r="O1435">
            <v>0.96</v>
          </cell>
          <cell r="P1435">
            <v>1.02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</row>
        <row r="1436">
          <cell r="A1436">
            <v>8035</v>
          </cell>
          <cell r="B1436" t="str">
            <v>飛衛</v>
          </cell>
          <cell r="C1436">
            <v>5</v>
          </cell>
          <cell r="D1436" t="str">
            <v>blue</v>
          </cell>
          <cell r="E1436">
            <v>1</v>
          </cell>
          <cell r="F1436">
            <v>0.98</v>
          </cell>
          <cell r="G1436">
            <v>1</v>
          </cell>
          <cell r="H1436" t="str">
            <v>heal</v>
          </cell>
          <cell r="I1436" t="str">
            <v>回復タイプ</v>
          </cell>
          <cell r="J1436">
            <v>0.8</v>
          </cell>
          <cell r="K1436">
            <v>0.78</v>
          </cell>
          <cell r="L1436">
            <v>1</v>
          </cell>
          <cell r="M1436" t="str">
            <v>human</v>
          </cell>
          <cell r="N1436" t="str">
            <v>ヒューマン</v>
          </cell>
          <cell r="O1436">
            <v>0.94</v>
          </cell>
          <cell r="P1436">
            <v>0.99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</row>
        <row r="1437">
          <cell r="A1437">
            <v>8036</v>
          </cell>
          <cell r="B1437" t="str">
            <v>レア６飛衛</v>
          </cell>
          <cell r="C1437">
            <v>6</v>
          </cell>
          <cell r="D1437" t="str">
            <v>blue</v>
          </cell>
          <cell r="E1437">
            <v>1</v>
          </cell>
          <cell r="F1437">
            <v>0.98</v>
          </cell>
          <cell r="G1437">
            <v>1</v>
          </cell>
          <cell r="H1437" t="str">
            <v>heal</v>
          </cell>
          <cell r="I1437" t="str">
            <v>回復タイプ</v>
          </cell>
          <cell r="J1437">
            <v>0.8</v>
          </cell>
          <cell r="K1437">
            <v>0.78</v>
          </cell>
          <cell r="L1437">
            <v>1</v>
          </cell>
          <cell r="M1437" t="str">
            <v>human</v>
          </cell>
          <cell r="N1437" t="str">
            <v>ヒューマン</v>
          </cell>
          <cell r="O1437">
            <v>0.94</v>
          </cell>
          <cell r="P1437">
            <v>0.99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</row>
        <row r="1438">
          <cell r="A1438">
            <v>8037</v>
          </cell>
          <cell r="B1438" t="str">
            <v>紀昌</v>
          </cell>
          <cell r="C1438">
            <v>5</v>
          </cell>
          <cell r="D1438" t="str">
            <v>red</v>
          </cell>
          <cell r="E1438">
            <v>1</v>
          </cell>
          <cell r="F1438">
            <v>1.02</v>
          </cell>
          <cell r="G1438">
            <v>1</v>
          </cell>
          <cell r="H1438" t="str">
            <v>attack</v>
          </cell>
          <cell r="I1438" t="str">
            <v>攻撃タイプ</v>
          </cell>
          <cell r="J1438">
            <v>1</v>
          </cell>
          <cell r="K1438">
            <v>1.33</v>
          </cell>
          <cell r="L1438">
            <v>1</v>
          </cell>
          <cell r="M1438" t="str">
            <v>human</v>
          </cell>
          <cell r="N1438" t="str">
            <v>ヒューマン</v>
          </cell>
          <cell r="O1438">
            <v>0.94</v>
          </cell>
          <cell r="P1438">
            <v>0.99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</row>
        <row r="1439">
          <cell r="A1439">
            <v>8038</v>
          </cell>
          <cell r="B1439" t="str">
            <v>レア６紀昌</v>
          </cell>
          <cell r="C1439">
            <v>6</v>
          </cell>
          <cell r="D1439" t="str">
            <v>red</v>
          </cell>
          <cell r="E1439">
            <v>1</v>
          </cell>
          <cell r="F1439">
            <v>1.02</v>
          </cell>
          <cell r="G1439">
            <v>1</v>
          </cell>
          <cell r="H1439" t="str">
            <v>attack</v>
          </cell>
          <cell r="I1439" t="str">
            <v>攻撃タイプ</v>
          </cell>
          <cell r="J1439">
            <v>1</v>
          </cell>
          <cell r="K1439">
            <v>1.33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</row>
        <row r="1440">
          <cell r="A1440">
            <v>8039</v>
          </cell>
          <cell r="B1440" t="str">
            <v>何仙姑</v>
          </cell>
          <cell r="C1440">
            <v>5</v>
          </cell>
          <cell r="D1440" t="str">
            <v>yellow</v>
          </cell>
          <cell r="E1440">
            <v>0.98</v>
          </cell>
          <cell r="F1440">
            <v>1.01</v>
          </cell>
          <cell r="G1440">
            <v>1</v>
          </cell>
          <cell r="H1440" t="str">
            <v>hp</v>
          </cell>
          <cell r="I1440" t="str">
            <v>体力タイプ</v>
          </cell>
          <cell r="J1440">
            <v>1.45</v>
          </cell>
          <cell r="K1440">
            <v>0.85</v>
          </cell>
          <cell r="L1440">
            <v>1</v>
          </cell>
          <cell r="M1440" t="str">
            <v>god</v>
          </cell>
          <cell r="N1440" t="str">
            <v>ゴッド</v>
          </cell>
          <cell r="O1440">
            <v>0.96</v>
          </cell>
          <cell r="P1440">
            <v>1.02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</row>
        <row r="1441">
          <cell r="A1441">
            <v>8040</v>
          </cell>
          <cell r="B1441" t="str">
            <v>レア６何仙姑</v>
          </cell>
          <cell r="C1441">
            <v>6</v>
          </cell>
          <cell r="D1441" t="str">
            <v>yellow</v>
          </cell>
          <cell r="E1441">
            <v>0.98</v>
          </cell>
          <cell r="F1441">
            <v>1.01</v>
          </cell>
          <cell r="G1441">
            <v>1</v>
          </cell>
          <cell r="H1441" t="str">
            <v>hp</v>
          </cell>
          <cell r="I1441" t="str">
            <v>体力タイプ</v>
          </cell>
          <cell r="J1441">
            <v>1.45</v>
          </cell>
          <cell r="K1441">
            <v>0.85</v>
          </cell>
          <cell r="L1441">
            <v>1</v>
          </cell>
          <cell r="M1441" t="str">
            <v>god</v>
          </cell>
          <cell r="N1441" t="str">
            <v>ゴッド</v>
          </cell>
          <cell r="O1441">
            <v>0.96</v>
          </cell>
          <cell r="P1441">
            <v>1.02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</row>
        <row r="1442">
          <cell r="A1442">
            <v>8041</v>
          </cell>
          <cell r="B1442" t="str">
            <v>藍采和</v>
          </cell>
          <cell r="C1442">
            <v>5</v>
          </cell>
          <cell r="D1442" t="str">
            <v>blue</v>
          </cell>
          <cell r="E1442">
            <v>1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god</v>
          </cell>
          <cell r="N1442" t="str">
            <v>ゴッド</v>
          </cell>
          <cell r="O1442">
            <v>0.96</v>
          </cell>
          <cell r="P1442">
            <v>1.02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</row>
        <row r="1443">
          <cell r="A1443">
            <v>8042</v>
          </cell>
          <cell r="B1443" t="str">
            <v>レア６藍采和</v>
          </cell>
          <cell r="C1443">
            <v>6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balance</v>
          </cell>
          <cell r="I1443" t="str">
            <v>バランスタイプ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god</v>
          </cell>
          <cell r="N1443" t="str">
            <v>ゴッド</v>
          </cell>
          <cell r="O1443">
            <v>0.96</v>
          </cell>
          <cell r="P1443">
            <v>1.02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</row>
        <row r="1444">
          <cell r="A1444">
            <v>8043</v>
          </cell>
          <cell r="B1444" t="str">
            <v>サンリオキャラ大集合+アザゼル</v>
          </cell>
          <cell r="C1444">
            <v>5</v>
          </cell>
          <cell r="D1444" t="str">
            <v>green</v>
          </cell>
          <cell r="E1444">
            <v>1.02</v>
          </cell>
          <cell r="F1444">
            <v>0.98</v>
          </cell>
          <cell r="G1444">
            <v>1</v>
          </cell>
          <cell r="H1444" t="str">
            <v>technical</v>
          </cell>
          <cell r="I1444" t="str">
            <v>テクニカルタイプ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god</v>
          </cell>
          <cell r="N1444" t="str">
            <v>ゴッド</v>
          </cell>
          <cell r="O1444">
            <v>0.96</v>
          </cell>
          <cell r="P1444">
            <v>1.02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</row>
        <row r="1445">
          <cell r="A1445">
            <v>8044</v>
          </cell>
          <cell r="B1445" t="str">
            <v>サンリオキャラ大集合+アザゼル</v>
          </cell>
          <cell r="C1445">
            <v>6</v>
          </cell>
          <cell r="D1445" t="str">
            <v>green</v>
          </cell>
          <cell r="E1445">
            <v>1.02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god</v>
          </cell>
          <cell r="N1445" t="str">
            <v>ゴッド</v>
          </cell>
          <cell r="O1445">
            <v>0.96</v>
          </cell>
          <cell r="P1445">
            <v>1.02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</row>
        <row r="1446">
          <cell r="A1446">
            <v>8045</v>
          </cell>
          <cell r="B1446" t="str">
            <v>ニムダ_サンリオキャラ混じり</v>
          </cell>
          <cell r="C1446">
            <v>4</v>
          </cell>
          <cell r="D1446" t="str">
            <v>yellow</v>
          </cell>
          <cell r="E1446">
            <v>0.98</v>
          </cell>
          <cell r="F1446">
            <v>1.01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</row>
        <row r="1447">
          <cell r="A1447">
            <v>8046</v>
          </cell>
          <cell r="B1447" t="str">
            <v>ニムダ_サンリオキャラ混じり</v>
          </cell>
          <cell r="C1447">
            <v>5</v>
          </cell>
          <cell r="D1447" t="str">
            <v>yellow</v>
          </cell>
          <cell r="E1447">
            <v>0.98</v>
          </cell>
          <cell r="F1447">
            <v>1.01</v>
          </cell>
          <cell r="G1447">
            <v>1</v>
          </cell>
          <cell r="H1447" t="str">
            <v>technical</v>
          </cell>
          <cell r="I1447" t="str">
            <v>テクニカルタイプ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</row>
        <row r="1448">
          <cell r="A1448">
            <v>8047</v>
          </cell>
          <cell r="B1448" t="str">
            <v>ハローキティ</v>
          </cell>
          <cell r="C1448">
            <v>4</v>
          </cell>
          <cell r="D1448" t="str">
            <v>red</v>
          </cell>
          <cell r="E1448">
            <v>1</v>
          </cell>
          <cell r="F1448">
            <v>1.02</v>
          </cell>
          <cell r="G1448">
            <v>1</v>
          </cell>
          <cell r="H1448" t="str">
            <v>balance</v>
          </cell>
          <cell r="I1448" t="str">
            <v>バランスタイプ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</row>
        <row r="1449">
          <cell r="A1449">
            <v>8048</v>
          </cell>
          <cell r="B1449" t="str">
            <v>ハローキティ</v>
          </cell>
          <cell r="C1449">
            <v>5</v>
          </cell>
          <cell r="D1449" t="str">
            <v>red</v>
          </cell>
          <cell r="E1449">
            <v>1</v>
          </cell>
          <cell r="F1449">
            <v>1.02</v>
          </cell>
          <cell r="G1449">
            <v>1</v>
          </cell>
          <cell r="H1449" t="str">
            <v>balance</v>
          </cell>
          <cell r="I1449" t="str">
            <v>バランスタイプ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</row>
        <row r="1450">
          <cell r="A1450">
            <v>8049</v>
          </cell>
          <cell r="B1450" t="str">
            <v>KIRIMIちゃん</v>
          </cell>
          <cell r="C1450">
            <v>4</v>
          </cell>
          <cell r="D1450" t="str">
            <v>red</v>
          </cell>
          <cell r="E1450">
            <v>1</v>
          </cell>
          <cell r="F1450">
            <v>1.02</v>
          </cell>
          <cell r="G1450">
            <v>1</v>
          </cell>
          <cell r="H1450" t="str">
            <v>hp</v>
          </cell>
          <cell r="I1450" t="str">
            <v>体力タイプ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</row>
        <row r="1451">
          <cell r="A1451">
            <v>8050</v>
          </cell>
          <cell r="B1451" t="str">
            <v>KIRIMIちゃん</v>
          </cell>
          <cell r="C1451">
            <v>5</v>
          </cell>
          <cell r="D1451" t="str">
            <v>red</v>
          </cell>
          <cell r="E1451">
            <v>1</v>
          </cell>
          <cell r="F1451">
            <v>1.02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</row>
        <row r="1452">
          <cell r="A1452">
            <v>8051</v>
          </cell>
          <cell r="B1452" t="str">
            <v>ハローキティのリボン</v>
          </cell>
          <cell r="C1452">
            <v>5</v>
          </cell>
          <cell r="D1452" t="str">
            <v>red</v>
          </cell>
          <cell r="E1452">
            <v>1</v>
          </cell>
          <cell r="F1452">
            <v>1.02</v>
          </cell>
          <cell r="G1452">
            <v>1</v>
          </cell>
          <cell r="H1452" t="str">
            <v>evolution</v>
          </cell>
          <cell r="I1452" t="str">
            <v>覚醒素材タイプ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</row>
        <row r="1453">
          <cell r="A1453">
            <v>8052</v>
          </cell>
          <cell r="B1453" t="str">
            <v>ママの作ったアップルパイ</v>
          </cell>
          <cell r="C1453">
            <v>4</v>
          </cell>
          <cell r="D1453" t="str">
            <v>red</v>
          </cell>
          <cell r="E1453">
            <v>1</v>
          </cell>
          <cell r="F1453">
            <v>1.02</v>
          </cell>
          <cell r="G1453">
            <v>1</v>
          </cell>
          <cell r="H1453" t="str">
            <v>evolution</v>
          </cell>
          <cell r="I1453" t="str">
            <v>覚醒素材タイプ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</row>
        <row r="1454">
          <cell r="A1454">
            <v>8053</v>
          </cell>
          <cell r="B1454" t="str">
            <v>D.R.T.H__キティコスプレ</v>
          </cell>
          <cell r="C1454">
            <v>5</v>
          </cell>
          <cell r="D1454" t="str">
            <v>red</v>
          </cell>
          <cell r="E1454">
            <v>1</v>
          </cell>
          <cell r="F1454">
            <v>1.02</v>
          </cell>
          <cell r="G1454">
            <v>1</v>
          </cell>
          <cell r="H1454" t="str">
            <v>balance</v>
          </cell>
          <cell r="I1454" t="str">
            <v>バランスタイプ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human</v>
          </cell>
          <cell r="N1454" t="str">
            <v>ヒューマン</v>
          </cell>
          <cell r="O1454">
            <v>0.94</v>
          </cell>
          <cell r="P1454">
            <v>0.99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</row>
        <row r="1455">
          <cell r="A1455">
            <v>8054</v>
          </cell>
          <cell r="B1455" t="str">
            <v>D.R.T.H__キティコスプレ</v>
          </cell>
          <cell r="C1455">
            <v>6</v>
          </cell>
          <cell r="D1455" t="str">
            <v>red</v>
          </cell>
          <cell r="E1455">
            <v>1</v>
          </cell>
          <cell r="F1455">
            <v>1.02</v>
          </cell>
          <cell r="G1455">
            <v>1</v>
          </cell>
          <cell r="H1455" t="str">
            <v>balance</v>
          </cell>
          <cell r="I1455" t="str">
            <v>バランスタイプ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human</v>
          </cell>
          <cell r="N1455" t="str">
            <v>ヒューマン</v>
          </cell>
          <cell r="O1455">
            <v>0.94</v>
          </cell>
          <cell r="P1455">
            <v>0.99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</row>
        <row r="1456">
          <cell r="A1456">
            <v>8055</v>
          </cell>
          <cell r="B1456" t="str">
            <v>マイメロディ</v>
          </cell>
          <cell r="C1456">
            <v>4</v>
          </cell>
          <cell r="D1456" t="str">
            <v>red</v>
          </cell>
          <cell r="E1456">
            <v>1</v>
          </cell>
          <cell r="F1456">
            <v>1.02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</row>
        <row r="1457">
          <cell r="A1457">
            <v>8056</v>
          </cell>
          <cell r="B1457" t="str">
            <v>マイメロディ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attack</v>
          </cell>
          <cell r="I1457" t="str">
            <v>攻撃タイプ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</row>
        <row r="1458">
          <cell r="A1458">
            <v>8057</v>
          </cell>
          <cell r="B1458" t="str">
            <v>ニーベルゲン_シナモロールコスプレ</v>
          </cell>
          <cell r="C1458">
            <v>4</v>
          </cell>
          <cell r="D1458" t="str">
            <v>green</v>
          </cell>
          <cell r="E1458">
            <v>1.02</v>
          </cell>
          <cell r="F1458">
            <v>0.98</v>
          </cell>
          <cell r="G1458">
            <v>1</v>
          </cell>
          <cell r="H1458" t="str">
            <v>balance</v>
          </cell>
          <cell r="I1458" t="str">
            <v>バランスタイプ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</row>
        <row r="1459">
          <cell r="A1459">
            <v>8058</v>
          </cell>
          <cell r="B1459" t="str">
            <v>ニーベルゲン_シナモロールコスプレ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</row>
        <row r="1460">
          <cell r="A1460">
            <v>8059</v>
          </cell>
          <cell r="B1460" t="str">
            <v>カカシ_マイメロディコスプレ</v>
          </cell>
          <cell r="C1460">
            <v>4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technical</v>
          </cell>
          <cell r="I1460" t="str">
            <v>テクニカルタイプ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human</v>
          </cell>
          <cell r="N1460" t="str">
            <v>ヒューマン</v>
          </cell>
          <cell r="O1460">
            <v>0.94</v>
          </cell>
          <cell r="P1460">
            <v>0.99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</row>
        <row r="1461">
          <cell r="A1461">
            <v>8060</v>
          </cell>
          <cell r="B1461" t="str">
            <v>カカシ_マイメロディコスプレ</v>
          </cell>
          <cell r="C1461">
            <v>5</v>
          </cell>
          <cell r="D1461" t="str">
            <v>green</v>
          </cell>
          <cell r="E1461">
            <v>1.02</v>
          </cell>
          <cell r="F1461">
            <v>0.98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human</v>
          </cell>
          <cell r="N1461" t="str">
            <v>ヒューマン</v>
          </cell>
          <cell r="O1461">
            <v>0.94</v>
          </cell>
          <cell r="P1461">
            <v>0.99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</row>
        <row r="1462">
          <cell r="A1462">
            <v>8061</v>
          </cell>
          <cell r="B1462" t="str">
            <v>ケロケロけろっぴ</v>
          </cell>
          <cell r="C1462">
            <v>3</v>
          </cell>
          <cell r="D1462" t="str">
            <v>green</v>
          </cell>
          <cell r="E1462">
            <v>1.02</v>
          </cell>
          <cell r="F1462">
            <v>0.98</v>
          </cell>
          <cell r="G1462">
            <v>1</v>
          </cell>
          <cell r="H1462" t="str">
            <v>balance</v>
          </cell>
          <cell r="I1462" t="str">
            <v>バランスタイプ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</row>
        <row r="1463">
          <cell r="A1463">
            <v>8062</v>
          </cell>
          <cell r="B1463" t="str">
            <v>ケロケロけろっぴ</v>
          </cell>
          <cell r="C1463">
            <v>4</v>
          </cell>
          <cell r="D1463" t="str">
            <v>green</v>
          </cell>
          <cell r="E1463">
            <v>1.02</v>
          </cell>
          <cell r="F1463">
            <v>0.98</v>
          </cell>
          <cell r="G1463">
            <v>1</v>
          </cell>
          <cell r="H1463" t="str">
            <v>balance</v>
          </cell>
          <cell r="I1463" t="str">
            <v>バランスタイプ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</row>
        <row r="1464">
          <cell r="A1464">
            <v>8063</v>
          </cell>
          <cell r="B1464" t="str">
            <v>モルドレッド_ポムポムプリンコスプレ</v>
          </cell>
          <cell r="C1464">
            <v>5</v>
          </cell>
          <cell r="D1464" t="str">
            <v>blue</v>
          </cell>
          <cell r="E1464">
            <v>1</v>
          </cell>
          <cell r="F1464">
            <v>0.98</v>
          </cell>
          <cell r="G1464">
            <v>1</v>
          </cell>
          <cell r="H1464" t="str">
            <v>heal</v>
          </cell>
          <cell r="I1464" t="str">
            <v>回復タイプ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human</v>
          </cell>
          <cell r="N1464" t="str">
            <v>ヒューマン</v>
          </cell>
          <cell r="O1464">
            <v>0.94</v>
          </cell>
          <cell r="P1464">
            <v>0.99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</row>
        <row r="1465">
          <cell r="A1465">
            <v>8064</v>
          </cell>
          <cell r="B1465" t="str">
            <v>モルドレッド_ポムポムプリンコスプレ</v>
          </cell>
          <cell r="C1465">
            <v>6</v>
          </cell>
          <cell r="D1465" t="str">
            <v>blue</v>
          </cell>
          <cell r="E1465">
            <v>1</v>
          </cell>
          <cell r="F1465">
            <v>0.98</v>
          </cell>
          <cell r="G1465">
            <v>1</v>
          </cell>
          <cell r="H1465" t="str">
            <v>heal</v>
          </cell>
          <cell r="I1465" t="str">
            <v>回復タイプ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human</v>
          </cell>
          <cell r="N1465" t="str">
            <v>ヒューマン</v>
          </cell>
          <cell r="O1465">
            <v>0.94</v>
          </cell>
          <cell r="P1465">
            <v>0.99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</row>
        <row r="1466">
          <cell r="A1466">
            <v>8065</v>
          </cell>
          <cell r="B1466" t="str">
            <v>クロミ</v>
          </cell>
          <cell r="C1466">
            <v>3</v>
          </cell>
          <cell r="D1466" t="str">
            <v>blue</v>
          </cell>
          <cell r="E1466">
            <v>1</v>
          </cell>
          <cell r="F1466">
            <v>0.98</v>
          </cell>
          <cell r="G1466">
            <v>1</v>
          </cell>
          <cell r="H1466" t="str">
            <v>technical</v>
          </cell>
          <cell r="I1466" t="str">
            <v>テクニカルタイプ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</row>
        <row r="1467">
          <cell r="A1467">
            <v>8066</v>
          </cell>
          <cell r="B1467" t="str">
            <v>クロミ</v>
          </cell>
          <cell r="C1467">
            <v>4</v>
          </cell>
          <cell r="D1467" t="str">
            <v>blue</v>
          </cell>
          <cell r="E1467">
            <v>1</v>
          </cell>
          <cell r="F1467">
            <v>0.98</v>
          </cell>
          <cell r="G1467">
            <v>1</v>
          </cell>
          <cell r="H1467" t="str">
            <v>technical</v>
          </cell>
          <cell r="I1467" t="str">
            <v>テクニカルタイプ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</row>
        <row r="1468">
          <cell r="A1468">
            <v>8067</v>
          </cell>
          <cell r="B1468" t="str">
            <v>バッドばつ丸</v>
          </cell>
          <cell r="C1468">
            <v>3</v>
          </cell>
          <cell r="D1468" t="str">
            <v>blue</v>
          </cell>
          <cell r="E1468">
            <v>1</v>
          </cell>
          <cell r="F1468">
            <v>0.98</v>
          </cell>
          <cell r="G1468">
            <v>1</v>
          </cell>
          <cell r="H1468" t="str">
            <v>attack</v>
          </cell>
          <cell r="I1468" t="str">
            <v>攻撃タイプ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</row>
        <row r="1469">
          <cell r="A1469">
            <v>8068</v>
          </cell>
          <cell r="B1469" t="str">
            <v>バッドばつ丸</v>
          </cell>
          <cell r="C1469">
            <v>4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attack</v>
          </cell>
          <cell r="I1469" t="str">
            <v>攻撃タイプ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</row>
        <row r="1470">
          <cell r="A1470">
            <v>8069</v>
          </cell>
          <cell r="B1470" t="str">
            <v>シナモロール</v>
          </cell>
          <cell r="C1470">
            <v>4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heal</v>
          </cell>
          <cell r="I1470" t="str">
            <v>回復タイプ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</row>
        <row r="1471">
          <cell r="A1471">
            <v>8070</v>
          </cell>
          <cell r="B1471" t="str">
            <v>シナモロール</v>
          </cell>
          <cell r="C1471">
            <v>5</v>
          </cell>
          <cell r="D1471" t="str">
            <v>yellow</v>
          </cell>
          <cell r="E1471">
            <v>0.98</v>
          </cell>
          <cell r="F1471">
            <v>1.01</v>
          </cell>
          <cell r="G1471">
            <v>1</v>
          </cell>
          <cell r="H1471" t="str">
            <v>heal</v>
          </cell>
          <cell r="I1471" t="str">
            <v>回復タイプ</v>
          </cell>
          <cell r="J1471">
            <v>1</v>
          </cell>
          <cell r="K1471">
            <v>1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</row>
        <row r="1472">
          <cell r="A1472">
            <v>8071</v>
          </cell>
          <cell r="B1472" t="str">
            <v>ポムポムプリン</v>
          </cell>
          <cell r="C1472">
            <v>3</v>
          </cell>
          <cell r="D1472" t="str">
            <v>yellow</v>
          </cell>
          <cell r="E1472">
            <v>0.98</v>
          </cell>
          <cell r="F1472">
            <v>1.01</v>
          </cell>
          <cell r="G1472">
            <v>1</v>
          </cell>
          <cell r="H1472" t="str">
            <v>hp</v>
          </cell>
          <cell r="I1472" t="str">
            <v>体力タイプ</v>
          </cell>
          <cell r="J1472">
            <v>1</v>
          </cell>
          <cell r="K1472">
            <v>1</v>
          </cell>
          <cell r="L1472">
            <v>1</v>
          </cell>
          <cell r="M1472" t="str">
            <v>unknown</v>
          </cell>
          <cell r="N1472" t="str">
            <v>Unknown</v>
          </cell>
          <cell r="O1472">
            <v>1</v>
          </cell>
          <cell r="P1472">
            <v>1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</row>
        <row r="1473">
          <cell r="A1473">
            <v>8072</v>
          </cell>
          <cell r="B1473" t="str">
            <v>ポムポムプリン</v>
          </cell>
          <cell r="C1473">
            <v>4</v>
          </cell>
          <cell r="D1473" t="str">
            <v>yellow</v>
          </cell>
          <cell r="E1473">
            <v>0.98</v>
          </cell>
          <cell r="F1473">
            <v>1.01</v>
          </cell>
          <cell r="G1473">
            <v>1</v>
          </cell>
          <cell r="H1473" t="str">
            <v>hp</v>
          </cell>
          <cell r="I1473" t="str">
            <v>体力タイプ</v>
          </cell>
          <cell r="J1473">
            <v>1</v>
          </cell>
          <cell r="K1473">
            <v>1</v>
          </cell>
          <cell r="L1473">
            <v>1</v>
          </cell>
          <cell r="M1473" t="str">
            <v>unknown</v>
          </cell>
          <cell r="N1473" t="str">
            <v>Unknown</v>
          </cell>
          <cell r="O1473">
            <v>1</v>
          </cell>
          <cell r="P1473">
            <v>1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</row>
        <row r="1474">
          <cell r="A1474">
            <v>8073</v>
          </cell>
          <cell r="B1474" t="str">
            <v>星海祈る天光妃 媽祖</v>
          </cell>
          <cell r="C1474">
            <v>6</v>
          </cell>
          <cell r="D1474" t="str">
            <v>yellow</v>
          </cell>
          <cell r="E1474">
            <v>0.98</v>
          </cell>
          <cell r="F1474">
            <v>1.01</v>
          </cell>
          <cell r="G1474">
            <v>1</v>
          </cell>
          <cell r="H1474" t="str">
            <v>attack</v>
          </cell>
          <cell r="I1474" t="str">
            <v>攻撃タイプ</v>
          </cell>
          <cell r="J1474">
            <v>1</v>
          </cell>
          <cell r="K1474">
            <v>1</v>
          </cell>
          <cell r="L1474">
            <v>1</v>
          </cell>
          <cell r="M1474" t="str">
            <v>unknown</v>
          </cell>
          <cell r="N1474" t="str">
            <v>Unknown</v>
          </cell>
          <cell r="O1474">
            <v>1</v>
          </cell>
          <cell r="P1474">
            <v>1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</row>
        <row r="1475">
          <cell r="A1475">
            <v>8074</v>
          </cell>
          <cell r="B1475" t="str">
            <v>海戀の絶龍姫 蛟龍</v>
          </cell>
          <cell r="C1475">
            <v>6</v>
          </cell>
          <cell r="D1475" t="str">
            <v>blue</v>
          </cell>
          <cell r="E1475">
            <v>1</v>
          </cell>
          <cell r="F1475">
            <v>0.98</v>
          </cell>
          <cell r="G1475">
            <v>1</v>
          </cell>
          <cell r="H1475" t="str">
            <v>hp</v>
          </cell>
          <cell r="I1475" t="str">
            <v>体力タイプ</v>
          </cell>
          <cell r="J1475">
            <v>1</v>
          </cell>
          <cell r="K1475">
            <v>1</v>
          </cell>
          <cell r="L1475">
            <v>1</v>
          </cell>
          <cell r="M1475" t="str">
            <v>unknown</v>
          </cell>
          <cell r="N1475" t="str">
            <v>Unknown</v>
          </cell>
          <cell r="O1475">
            <v>1</v>
          </cell>
          <cell r="P1475">
            <v>1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</row>
        <row r="1476">
          <cell r="A1476">
            <v>8077</v>
          </cell>
          <cell r="B1476" t="str">
            <v>鄭成功</v>
          </cell>
          <cell r="C1476">
            <v>5</v>
          </cell>
          <cell r="D1476" t="str">
            <v>blue</v>
          </cell>
          <cell r="E1476">
            <v>1</v>
          </cell>
          <cell r="F1476">
            <v>0.98</v>
          </cell>
          <cell r="G1476">
            <v>1</v>
          </cell>
          <cell r="H1476" t="str">
            <v>attack</v>
          </cell>
          <cell r="I1476" t="str">
            <v>攻撃タイプ</v>
          </cell>
          <cell r="J1476">
            <v>1</v>
          </cell>
          <cell r="K1476">
            <v>1</v>
          </cell>
          <cell r="L1476">
            <v>1</v>
          </cell>
          <cell r="M1476" t="str">
            <v>unknown</v>
          </cell>
          <cell r="N1476" t="str">
            <v>Unknown</v>
          </cell>
          <cell r="O1476">
            <v>1</v>
          </cell>
          <cell r="P1476">
            <v>1</v>
          </cell>
          <cell r="Q1476">
            <v>1</v>
          </cell>
          <cell r="R1476" t="str">
            <v>Boss</v>
          </cell>
          <cell r="S1476">
            <v>5</v>
          </cell>
          <cell r="T1476">
            <v>1.3</v>
          </cell>
          <cell r="U1476">
            <v>0.8</v>
          </cell>
          <cell r="V1476">
            <v>3</v>
          </cell>
        </row>
        <row r="1477">
          <cell r="A1477">
            <v>8078</v>
          </cell>
          <cell r="B1477" t="str">
            <v>レア６鄭成功</v>
          </cell>
          <cell r="C1477">
            <v>6</v>
          </cell>
          <cell r="D1477" t="str">
            <v>blue</v>
          </cell>
          <cell r="E1477">
            <v>1</v>
          </cell>
          <cell r="F1477">
            <v>0.98</v>
          </cell>
          <cell r="G1477">
            <v>1</v>
          </cell>
          <cell r="H1477" t="str">
            <v>attack</v>
          </cell>
          <cell r="I1477" t="str">
            <v>攻撃タイプ</v>
          </cell>
          <cell r="J1477">
            <v>1</v>
          </cell>
          <cell r="K1477">
            <v>1</v>
          </cell>
          <cell r="L1477">
            <v>1</v>
          </cell>
          <cell r="M1477" t="str">
            <v>unknown</v>
          </cell>
          <cell r="N1477" t="str">
            <v>Unknown</v>
          </cell>
          <cell r="O1477">
            <v>1</v>
          </cell>
          <cell r="P1477">
            <v>1</v>
          </cell>
          <cell r="Q1477">
            <v>1</v>
          </cell>
          <cell r="R1477" t="str">
            <v>Boss</v>
          </cell>
          <cell r="S1477">
            <v>5</v>
          </cell>
          <cell r="T1477">
            <v>1.3</v>
          </cell>
          <cell r="U1477">
            <v>0.8</v>
          </cell>
          <cell r="V1477">
            <v>3</v>
          </cell>
        </row>
        <row r="1478">
          <cell r="A1478">
            <v>8079</v>
          </cell>
          <cell r="B1478" t="str">
            <v>赤鬼</v>
          </cell>
          <cell r="C1478">
            <v>5</v>
          </cell>
          <cell r="D1478" t="str">
            <v>red</v>
          </cell>
          <cell r="E1478">
            <v>1</v>
          </cell>
          <cell r="F1478">
            <v>1.02</v>
          </cell>
          <cell r="G1478">
            <v>1</v>
          </cell>
          <cell r="H1478" t="str">
            <v>hp</v>
          </cell>
          <cell r="I1478" t="str">
            <v>体力タイプ</v>
          </cell>
          <cell r="J1478">
            <v>1</v>
          </cell>
          <cell r="K1478">
            <v>1</v>
          </cell>
          <cell r="L1478">
            <v>1</v>
          </cell>
          <cell r="M1478" t="str">
            <v>unknown</v>
          </cell>
          <cell r="N1478" t="str">
            <v>Unknown</v>
          </cell>
          <cell r="O1478">
            <v>1</v>
          </cell>
          <cell r="P1478">
            <v>1</v>
          </cell>
          <cell r="Q1478">
            <v>1</v>
          </cell>
          <cell r="R1478" t="str">
            <v>Boss</v>
          </cell>
          <cell r="S1478">
            <v>5</v>
          </cell>
          <cell r="T1478">
            <v>1.3</v>
          </cell>
          <cell r="U1478">
            <v>0.8</v>
          </cell>
          <cell r="V1478">
            <v>3</v>
          </cell>
        </row>
        <row r="1479">
          <cell r="A1479">
            <v>8080</v>
          </cell>
          <cell r="B1479" t="str">
            <v>レア６赤鬼</v>
          </cell>
          <cell r="C1479">
            <v>6</v>
          </cell>
          <cell r="D1479" t="str">
            <v>red</v>
          </cell>
          <cell r="E1479">
            <v>1</v>
          </cell>
          <cell r="F1479">
            <v>1.02</v>
          </cell>
          <cell r="G1479">
            <v>1</v>
          </cell>
          <cell r="H1479" t="str">
            <v>hp</v>
          </cell>
          <cell r="I1479" t="str">
            <v>体力タイプ</v>
          </cell>
          <cell r="J1479">
            <v>1</v>
          </cell>
          <cell r="K1479">
            <v>1</v>
          </cell>
          <cell r="L1479">
            <v>1</v>
          </cell>
          <cell r="M1479" t="str">
            <v>unknown</v>
          </cell>
          <cell r="N1479" t="str">
            <v>Unknown</v>
          </cell>
          <cell r="O1479">
            <v>1</v>
          </cell>
          <cell r="P1479">
            <v>1</v>
          </cell>
          <cell r="Q1479">
            <v>1</v>
          </cell>
          <cell r="R1479" t="str">
            <v>Boss</v>
          </cell>
          <cell r="S1479">
            <v>5</v>
          </cell>
          <cell r="T1479">
            <v>1.3</v>
          </cell>
          <cell r="U1479">
            <v>0.8</v>
          </cell>
          <cell r="V1479">
            <v>3</v>
          </cell>
        </row>
        <row r="1480">
          <cell r="A1480">
            <v>8081</v>
          </cell>
          <cell r="B1480" t="str">
            <v>関羽</v>
          </cell>
          <cell r="C1480">
            <v>5</v>
          </cell>
          <cell r="D1480" t="str">
            <v>green</v>
          </cell>
          <cell r="E1480">
            <v>1.02</v>
          </cell>
          <cell r="F1480">
            <v>0.98</v>
          </cell>
          <cell r="G1480">
            <v>1</v>
          </cell>
          <cell r="H1480" t="str">
            <v>balance</v>
          </cell>
          <cell r="I1480" t="str">
            <v>バランスタイプ</v>
          </cell>
          <cell r="J1480">
            <v>1</v>
          </cell>
          <cell r="K1480">
            <v>1</v>
          </cell>
          <cell r="L1480">
            <v>1</v>
          </cell>
          <cell r="M1480" t="str">
            <v>unknown</v>
          </cell>
          <cell r="N1480" t="str">
            <v>Unknown</v>
          </cell>
          <cell r="O1480">
            <v>1</v>
          </cell>
          <cell r="P1480">
            <v>1</v>
          </cell>
          <cell r="Q1480">
            <v>1</v>
          </cell>
          <cell r="R1480" t="str">
            <v>Boss</v>
          </cell>
          <cell r="S1480">
            <v>5</v>
          </cell>
          <cell r="T1480">
            <v>1.3</v>
          </cell>
          <cell r="U1480">
            <v>0.8</v>
          </cell>
          <cell r="V1480">
            <v>3</v>
          </cell>
        </row>
        <row r="1481">
          <cell r="A1481">
            <v>8082</v>
          </cell>
          <cell r="B1481" t="str">
            <v>★６関羽</v>
          </cell>
          <cell r="C1481">
            <v>6</v>
          </cell>
          <cell r="D1481" t="str">
            <v>green</v>
          </cell>
          <cell r="E1481">
            <v>1.02</v>
          </cell>
          <cell r="F1481">
            <v>0.98</v>
          </cell>
          <cell r="G1481">
            <v>1</v>
          </cell>
          <cell r="H1481" t="str">
            <v>balance</v>
          </cell>
          <cell r="I1481" t="str">
            <v>バランスタイプ</v>
          </cell>
          <cell r="J1481">
            <v>1</v>
          </cell>
          <cell r="K1481">
            <v>1</v>
          </cell>
          <cell r="L1481">
            <v>1</v>
          </cell>
          <cell r="M1481" t="str">
            <v>unknown</v>
          </cell>
          <cell r="N1481" t="str">
            <v>Unknown</v>
          </cell>
          <cell r="O1481">
            <v>1</v>
          </cell>
          <cell r="P1481">
            <v>1</v>
          </cell>
          <cell r="Q1481">
            <v>1</v>
          </cell>
          <cell r="R1481" t="str">
            <v>Boss</v>
          </cell>
          <cell r="S1481">
            <v>5</v>
          </cell>
          <cell r="T1481">
            <v>1.3</v>
          </cell>
          <cell r="U1481">
            <v>0.8</v>
          </cell>
          <cell r="V1481">
            <v>3</v>
          </cell>
        </row>
        <row r="1482">
          <cell r="A1482">
            <v>8083</v>
          </cell>
          <cell r="B1482" t="str">
            <v>曹操</v>
          </cell>
          <cell r="C1482">
            <v>5</v>
          </cell>
          <cell r="D1482" t="str">
            <v>yellow</v>
          </cell>
          <cell r="E1482">
            <v>0.98</v>
          </cell>
          <cell r="F1482">
            <v>1.01</v>
          </cell>
          <cell r="G1482">
            <v>1</v>
          </cell>
          <cell r="H1482" t="str">
            <v>technical</v>
          </cell>
          <cell r="I1482" t="str">
            <v>テクニカルタイプ</v>
          </cell>
          <cell r="J1482">
            <v>1</v>
          </cell>
          <cell r="K1482">
            <v>1</v>
          </cell>
          <cell r="L1482">
            <v>1</v>
          </cell>
          <cell r="M1482" t="str">
            <v>unknown</v>
          </cell>
          <cell r="N1482" t="str">
            <v>Unknown</v>
          </cell>
          <cell r="O1482">
            <v>1</v>
          </cell>
          <cell r="P1482">
            <v>1</v>
          </cell>
          <cell r="Q1482">
            <v>1</v>
          </cell>
          <cell r="R1482" t="str">
            <v>Boss</v>
          </cell>
          <cell r="S1482">
            <v>5</v>
          </cell>
          <cell r="T1482">
            <v>1.3</v>
          </cell>
          <cell r="U1482">
            <v>0.8</v>
          </cell>
          <cell r="V1482">
            <v>3</v>
          </cell>
        </row>
        <row r="1483">
          <cell r="A1483">
            <v>8084</v>
          </cell>
          <cell r="B1483" t="str">
            <v>★６曹操</v>
          </cell>
          <cell r="C1483">
            <v>6</v>
          </cell>
          <cell r="D1483" t="str">
            <v>yellow</v>
          </cell>
          <cell r="E1483">
            <v>0.98</v>
          </cell>
          <cell r="F1483">
            <v>1.01</v>
          </cell>
          <cell r="G1483">
            <v>1</v>
          </cell>
          <cell r="H1483" t="str">
            <v>technical</v>
          </cell>
          <cell r="I1483" t="str">
            <v>テクニカルタイプ</v>
          </cell>
          <cell r="J1483">
            <v>1</v>
          </cell>
          <cell r="K1483">
            <v>1</v>
          </cell>
          <cell r="L1483">
            <v>1</v>
          </cell>
          <cell r="M1483" t="str">
            <v>unknown</v>
          </cell>
          <cell r="N1483" t="str">
            <v>Unknown</v>
          </cell>
          <cell r="O1483">
            <v>1</v>
          </cell>
          <cell r="P1483">
            <v>1</v>
          </cell>
          <cell r="Q1483">
            <v>1</v>
          </cell>
          <cell r="R1483" t="str">
            <v>Boss</v>
          </cell>
          <cell r="S1483">
            <v>5</v>
          </cell>
          <cell r="T1483">
            <v>1.3</v>
          </cell>
          <cell r="U1483">
            <v>0.8</v>
          </cell>
          <cell r="V1483">
            <v>3</v>
          </cell>
        </row>
        <row r="1484">
          <cell r="A1484">
            <v>8087</v>
          </cell>
          <cell r="B1484" t="str">
            <v>財神</v>
          </cell>
          <cell r="C1484">
            <v>5</v>
          </cell>
          <cell r="D1484" t="str">
            <v>red</v>
          </cell>
          <cell r="E1484">
            <v>1</v>
          </cell>
          <cell r="F1484">
            <v>1.02</v>
          </cell>
          <cell r="G1484">
            <v>1</v>
          </cell>
          <cell r="H1484" t="str">
            <v>technical</v>
          </cell>
          <cell r="I1484" t="str">
            <v>テクニカルタイプ</v>
          </cell>
          <cell r="J1484">
            <v>1</v>
          </cell>
          <cell r="K1484">
            <v>1</v>
          </cell>
          <cell r="L1484">
            <v>1</v>
          </cell>
          <cell r="M1484" t="str">
            <v>unknown</v>
          </cell>
          <cell r="N1484" t="str">
            <v>Unknown</v>
          </cell>
          <cell r="O1484">
            <v>1</v>
          </cell>
          <cell r="P1484">
            <v>1</v>
          </cell>
          <cell r="Q1484">
            <v>1</v>
          </cell>
          <cell r="R1484" t="str">
            <v>Boss</v>
          </cell>
          <cell r="S1484">
            <v>5</v>
          </cell>
          <cell r="T1484">
            <v>1.3</v>
          </cell>
          <cell r="U1484">
            <v>0.8</v>
          </cell>
          <cell r="V1484">
            <v>3</v>
          </cell>
        </row>
        <row r="1485">
          <cell r="A1485">
            <v>8088</v>
          </cell>
          <cell r="B1485" t="str">
            <v>★６財神</v>
          </cell>
          <cell r="C1485">
            <v>6</v>
          </cell>
          <cell r="D1485" t="str">
            <v>red</v>
          </cell>
          <cell r="E1485">
            <v>1</v>
          </cell>
          <cell r="F1485">
            <v>1.02</v>
          </cell>
          <cell r="G1485">
            <v>1</v>
          </cell>
          <cell r="H1485" t="str">
            <v>technical</v>
          </cell>
          <cell r="I1485" t="str">
            <v>テクニカルタイプ</v>
          </cell>
          <cell r="J1485">
            <v>1</v>
          </cell>
          <cell r="K1485">
            <v>1</v>
          </cell>
          <cell r="L1485">
            <v>1</v>
          </cell>
          <cell r="M1485" t="str">
            <v>unknown</v>
          </cell>
          <cell r="N1485" t="str">
            <v>Unknown</v>
          </cell>
          <cell r="O1485">
            <v>1</v>
          </cell>
          <cell r="P1485">
            <v>1</v>
          </cell>
          <cell r="Q1485">
            <v>1</v>
          </cell>
          <cell r="R1485" t="str">
            <v>Boss</v>
          </cell>
          <cell r="S1485">
            <v>5</v>
          </cell>
          <cell r="T1485">
            <v>1.3</v>
          </cell>
          <cell r="U1485">
            <v>0.8</v>
          </cell>
          <cell r="V1485">
            <v>3</v>
          </cell>
        </row>
        <row r="1486">
          <cell r="A1486">
            <v>8089</v>
          </cell>
          <cell r="B1486" t="str">
            <v>年獣</v>
          </cell>
          <cell r="C1486">
            <v>5</v>
          </cell>
          <cell r="D1486" t="str">
            <v>green</v>
          </cell>
          <cell r="E1486">
            <v>1.02</v>
          </cell>
          <cell r="F1486">
            <v>0.98</v>
          </cell>
          <cell r="G1486">
            <v>1</v>
          </cell>
          <cell r="H1486" t="str">
            <v>attack</v>
          </cell>
          <cell r="I1486" t="str">
            <v>攻撃タイプ</v>
          </cell>
          <cell r="J1486">
            <v>1</v>
          </cell>
          <cell r="K1486">
            <v>1</v>
          </cell>
          <cell r="L1486">
            <v>1</v>
          </cell>
          <cell r="M1486" t="str">
            <v>unknown</v>
          </cell>
          <cell r="N1486" t="str">
            <v>Unknown</v>
          </cell>
          <cell r="O1486">
            <v>1</v>
          </cell>
          <cell r="P1486">
            <v>1</v>
          </cell>
          <cell r="Q1486">
            <v>1</v>
          </cell>
          <cell r="R1486" t="str">
            <v>Boss</v>
          </cell>
          <cell r="S1486">
            <v>5</v>
          </cell>
          <cell r="T1486">
            <v>1.3</v>
          </cell>
          <cell r="U1486">
            <v>0.8</v>
          </cell>
          <cell r="V1486">
            <v>3</v>
          </cell>
        </row>
        <row r="1487">
          <cell r="A1487">
            <v>8090</v>
          </cell>
          <cell r="B1487" t="str">
            <v>★６年獣</v>
          </cell>
          <cell r="C1487">
            <v>6</v>
          </cell>
          <cell r="D1487" t="str">
            <v>green</v>
          </cell>
          <cell r="E1487">
            <v>1.02</v>
          </cell>
          <cell r="F1487">
            <v>0.98</v>
          </cell>
          <cell r="G1487">
            <v>1</v>
          </cell>
          <cell r="H1487" t="str">
            <v>attack</v>
          </cell>
          <cell r="I1487" t="str">
            <v>攻撃タイプ</v>
          </cell>
          <cell r="J1487">
            <v>1</v>
          </cell>
          <cell r="K1487">
            <v>1</v>
          </cell>
          <cell r="L1487">
            <v>1</v>
          </cell>
          <cell r="M1487" t="str">
            <v>unknown</v>
          </cell>
          <cell r="N1487" t="str">
            <v>Unknown</v>
          </cell>
          <cell r="O1487">
            <v>1</v>
          </cell>
          <cell r="P1487">
            <v>1</v>
          </cell>
          <cell r="Q1487">
            <v>1</v>
          </cell>
          <cell r="R1487" t="str">
            <v>Boss</v>
          </cell>
          <cell r="S1487">
            <v>5</v>
          </cell>
          <cell r="T1487">
            <v>1.3</v>
          </cell>
          <cell r="U1487">
            <v>0.8</v>
          </cell>
          <cell r="V1487">
            <v>3</v>
          </cell>
        </row>
        <row r="1488">
          <cell r="A1488">
            <v>8095</v>
          </cell>
          <cell r="B1488" t="str">
            <v>バハムートダック赤</v>
          </cell>
          <cell r="C1488">
            <v>6</v>
          </cell>
          <cell r="D1488" t="str">
            <v>red</v>
          </cell>
          <cell r="E1488">
            <v>1</v>
          </cell>
          <cell r="F1488">
            <v>1.02</v>
          </cell>
          <cell r="G1488">
            <v>1</v>
          </cell>
          <cell r="H1488" t="str">
            <v>exp</v>
          </cell>
          <cell r="I1488" t="str">
            <v>強化素材タイプ</v>
          </cell>
          <cell r="J1488">
            <v>1</v>
          </cell>
          <cell r="K1488">
            <v>1</v>
          </cell>
          <cell r="L1488">
            <v>1</v>
          </cell>
          <cell r="M1488" t="str">
            <v>unknown</v>
          </cell>
          <cell r="N1488" t="str">
            <v>Unknown</v>
          </cell>
          <cell r="O1488">
            <v>1</v>
          </cell>
          <cell r="P1488">
            <v>1</v>
          </cell>
          <cell r="Q1488">
            <v>1</v>
          </cell>
          <cell r="R1488" t="str">
            <v>Boss</v>
          </cell>
          <cell r="S1488">
            <v>5</v>
          </cell>
          <cell r="T1488">
            <v>1.3</v>
          </cell>
          <cell r="U1488">
            <v>0.8</v>
          </cell>
          <cell r="V1488">
            <v>3</v>
          </cell>
        </row>
        <row r="1489">
          <cell r="A1489">
            <v>8096</v>
          </cell>
          <cell r="B1489" t="str">
            <v>バハムートダック緑</v>
          </cell>
          <cell r="C1489">
            <v>6</v>
          </cell>
          <cell r="D1489" t="str">
            <v>green</v>
          </cell>
          <cell r="E1489">
            <v>1.02</v>
          </cell>
          <cell r="F1489">
            <v>0.98</v>
          </cell>
          <cell r="G1489">
            <v>1</v>
          </cell>
          <cell r="H1489" t="str">
            <v>exp</v>
          </cell>
          <cell r="I1489" t="str">
            <v>強化素材タイプ</v>
          </cell>
          <cell r="J1489">
            <v>1</v>
          </cell>
          <cell r="K1489">
            <v>1</v>
          </cell>
          <cell r="L1489">
            <v>1</v>
          </cell>
          <cell r="M1489" t="str">
            <v>unknown</v>
          </cell>
          <cell r="N1489" t="str">
            <v>Unknown</v>
          </cell>
          <cell r="O1489">
            <v>1</v>
          </cell>
          <cell r="P1489">
            <v>1</v>
          </cell>
          <cell r="Q1489">
            <v>1</v>
          </cell>
          <cell r="R1489" t="str">
            <v>Boss</v>
          </cell>
          <cell r="S1489">
            <v>5</v>
          </cell>
          <cell r="T1489">
            <v>1.3</v>
          </cell>
          <cell r="U1489">
            <v>0.8</v>
          </cell>
          <cell r="V1489">
            <v>3</v>
          </cell>
        </row>
        <row r="1490">
          <cell r="A1490">
            <v>8097</v>
          </cell>
          <cell r="B1490" t="str">
            <v>バハムートダック青</v>
          </cell>
          <cell r="C1490">
            <v>6</v>
          </cell>
          <cell r="D1490" t="str">
            <v>blue</v>
          </cell>
          <cell r="E1490">
            <v>1</v>
          </cell>
          <cell r="F1490">
            <v>0.98</v>
          </cell>
          <cell r="G1490">
            <v>1</v>
          </cell>
          <cell r="H1490" t="str">
            <v>exp</v>
          </cell>
          <cell r="I1490" t="str">
            <v>強化素材タイプ</v>
          </cell>
          <cell r="J1490">
            <v>1</v>
          </cell>
          <cell r="K1490">
            <v>1</v>
          </cell>
          <cell r="L1490">
            <v>1</v>
          </cell>
          <cell r="M1490" t="str">
            <v>unknown</v>
          </cell>
          <cell r="N1490" t="str">
            <v>Unknown</v>
          </cell>
          <cell r="O1490">
            <v>1</v>
          </cell>
          <cell r="P1490">
            <v>1</v>
          </cell>
          <cell r="Q1490">
            <v>1</v>
          </cell>
          <cell r="R1490" t="str">
            <v>Boss</v>
          </cell>
          <cell r="S1490">
            <v>5</v>
          </cell>
          <cell r="T1490">
            <v>1.3</v>
          </cell>
          <cell r="U1490">
            <v>0.8</v>
          </cell>
          <cell r="V1490">
            <v>3</v>
          </cell>
        </row>
        <row r="1491">
          <cell r="A1491">
            <v>8098</v>
          </cell>
          <cell r="B1491" t="str">
            <v>バハムートダック黄</v>
          </cell>
          <cell r="C1491">
            <v>6</v>
          </cell>
          <cell r="D1491" t="str">
            <v>yellow</v>
          </cell>
          <cell r="E1491">
            <v>0.98</v>
          </cell>
          <cell r="F1491">
            <v>1.01</v>
          </cell>
          <cell r="G1491">
            <v>1</v>
          </cell>
          <cell r="H1491" t="str">
            <v>exp</v>
          </cell>
          <cell r="I1491" t="str">
            <v>強化素材タイプ</v>
          </cell>
          <cell r="J1491">
            <v>1</v>
          </cell>
          <cell r="K1491">
            <v>1</v>
          </cell>
          <cell r="L1491">
            <v>1</v>
          </cell>
          <cell r="M1491" t="str">
            <v>unknown</v>
          </cell>
          <cell r="N1491" t="str">
            <v>Unknown</v>
          </cell>
          <cell r="O1491">
            <v>1</v>
          </cell>
          <cell r="P1491">
            <v>1</v>
          </cell>
          <cell r="Q1491">
            <v>1</v>
          </cell>
          <cell r="R1491" t="str">
            <v>Boss</v>
          </cell>
          <cell r="S1491">
            <v>5</v>
          </cell>
          <cell r="T1491">
            <v>1.3</v>
          </cell>
          <cell r="U1491">
            <v>0.8</v>
          </cell>
          <cell r="V1491">
            <v>3</v>
          </cell>
        </row>
        <row r="1492">
          <cell r="A1492">
            <v>8099</v>
          </cell>
          <cell r="B1492" t="str">
            <v>韓湘子</v>
          </cell>
          <cell r="C1492">
            <v>5</v>
          </cell>
          <cell r="D1492" t="str">
            <v>green</v>
          </cell>
          <cell r="E1492">
            <v>1.02</v>
          </cell>
          <cell r="F1492">
            <v>0.98</v>
          </cell>
          <cell r="G1492">
            <v>1</v>
          </cell>
          <cell r="H1492" t="str">
            <v>balance</v>
          </cell>
          <cell r="I1492" t="str">
            <v>バランスタイプ</v>
          </cell>
          <cell r="J1492">
            <v>1</v>
          </cell>
          <cell r="K1492">
            <v>1</v>
          </cell>
          <cell r="L1492">
            <v>1</v>
          </cell>
          <cell r="M1492" t="str">
            <v>god</v>
          </cell>
          <cell r="N1492" t="str">
            <v>ゴッド</v>
          </cell>
          <cell r="O1492">
            <v>0.96</v>
          </cell>
          <cell r="P1492">
            <v>1.02</v>
          </cell>
          <cell r="Q1492">
            <v>1</v>
          </cell>
          <cell r="R1492" t="str">
            <v>Boss</v>
          </cell>
          <cell r="S1492">
            <v>5</v>
          </cell>
          <cell r="T1492">
            <v>1.3</v>
          </cell>
          <cell r="U1492">
            <v>0.8</v>
          </cell>
          <cell r="V1492">
            <v>3</v>
          </cell>
        </row>
        <row r="1493">
          <cell r="A1493">
            <v>8100</v>
          </cell>
          <cell r="B1493" t="str">
            <v>韓湘子★６</v>
          </cell>
          <cell r="C1493">
            <v>6</v>
          </cell>
          <cell r="D1493" t="str">
            <v>green</v>
          </cell>
          <cell r="E1493">
            <v>1.02</v>
          </cell>
          <cell r="F1493">
            <v>0.98</v>
          </cell>
          <cell r="G1493">
            <v>1</v>
          </cell>
          <cell r="H1493" t="str">
            <v>balance</v>
          </cell>
          <cell r="I1493" t="str">
            <v>バランスタイプ</v>
          </cell>
          <cell r="J1493">
            <v>1</v>
          </cell>
          <cell r="K1493">
            <v>1</v>
          </cell>
          <cell r="L1493">
            <v>1</v>
          </cell>
          <cell r="M1493" t="str">
            <v>god</v>
          </cell>
          <cell r="N1493" t="str">
            <v>ゴッド</v>
          </cell>
          <cell r="O1493">
            <v>0.96</v>
          </cell>
          <cell r="P1493">
            <v>1.02</v>
          </cell>
          <cell r="Q1493">
            <v>1</v>
          </cell>
          <cell r="R1493" t="str">
            <v>Boss</v>
          </cell>
          <cell r="S1493">
            <v>5</v>
          </cell>
          <cell r="T1493">
            <v>1.3</v>
          </cell>
          <cell r="U1493">
            <v>0.8</v>
          </cell>
          <cell r="V1493">
            <v>3</v>
          </cell>
        </row>
        <row r="1494">
          <cell r="A1494">
            <v>8101</v>
          </cell>
          <cell r="B1494" t="str">
            <v>張果老</v>
          </cell>
          <cell r="C1494">
            <v>5</v>
          </cell>
          <cell r="D1494" t="str">
            <v>yellow</v>
          </cell>
          <cell r="E1494">
            <v>0.98</v>
          </cell>
          <cell r="F1494">
            <v>1.01</v>
          </cell>
          <cell r="G1494">
            <v>1</v>
          </cell>
          <cell r="H1494" t="str">
            <v>attack</v>
          </cell>
          <cell r="I1494" t="str">
            <v>攻撃タイプ</v>
          </cell>
          <cell r="J1494">
            <v>1</v>
          </cell>
          <cell r="K1494">
            <v>1.33</v>
          </cell>
          <cell r="L1494">
            <v>1</v>
          </cell>
          <cell r="M1494" t="str">
            <v>god</v>
          </cell>
          <cell r="N1494" t="str">
            <v>ゴッド</v>
          </cell>
          <cell r="O1494">
            <v>0.96</v>
          </cell>
          <cell r="P1494">
            <v>1.02</v>
          </cell>
          <cell r="Q1494">
            <v>1</v>
          </cell>
          <cell r="R1494" t="str">
            <v>Boss</v>
          </cell>
          <cell r="S1494">
            <v>5</v>
          </cell>
          <cell r="T1494">
            <v>1.3</v>
          </cell>
          <cell r="U1494">
            <v>0.8</v>
          </cell>
          <cell r="V1494">
            <v>3</v>
          </cell>
        </row>
        <row r="1495">
          <cell r="A1495">
            <v>8102</v>
          </cell>
          <cell r="B1495" t="str">
            <v>張果老★６</v>
          </cell>
          <cell r="C1495">
            <v>6</v>
          </cell>
          <cell r="D1495" t="str">
            <v>yellow</v>
          </cell>
          <cell r="E1495">
            <v>0.98</v>
          </cell>
          <cell r="F1495">
            <v>1.01</v>
          </cell>
          <cell r="G1495">
            <v>1</v>
          </cell>
          <cell r="H1495" t="str">
            <v>attack</v>
          </cell>
          <cell r="I1495" t="str">
            <v>攻撃タイプ</v>
          </cell>
          <cell r="J1495">
            <v>1</v>
          </cell>
          <cell r="K1495">
            <v>1.33</v>
          </cell>
          <cell r="L1495">
            <v>1</v>
          </cell>
          <cell r="M1495" t="str">
            <v>god</v>
          </cell>
          <cell r="N1495" t="str">
            <v>ゴッド</v>
          </cell>
          <cell r="O1495">
            <v>0.96</v>
          </cell>
          <cell r="P1495">
            <v>1.02</v>
          </cell>
          <cell r="Q1495">
            <v>1</v>
          </cell>
          <cell r="R1495" t="str">
            <v>Boss</v>
          </cell>
          <cell r="S1495">
            <v>5</v>
          </cell>
          <cell r="T1495">
            <v>1.3</v>
          </cell>
          <cell r="U1495">
            <v>0.8</v>
          </cell>
          <cell r="V1495">
            <v>3</v>
          </cell>
        </row>
        <row r="1496">
          <cell r="A1496">
            <v>9001</v>
          </cell>
          <cell r="B1496" t="str">
            <v>春香</v>
          </cell>
          <cell r="C1496">
            <v>5</v>
          </cell>
          <cell r="D1496" t="str">
            <v>red</v>
          </cell>
          <cell r="E1496">
            <v>1</v>
          </cell>
          <cell r="F1496">
            <v>1.02</v>
          </cell>
          <cell r="G1496">
            <v>1</v>
          </cell>
          <cell r="H1496" t="str">
            <v>attack</v>
          </cell>
          <cell r="I1496" t="str">
            <v>攻撃タイプ</v>
          </cell>
          <cell r="J1496">
            <v>1</v>
          </cell>
          <cell r="K1496">
            <v>1.33</v>
          </cell>
          <cell r="L1496">
            <v>1</v>
          </cell>
          <cell r="M1496" t="str">
            <v>human</v>
          </cell>
          <cell r="N1496" t="str">
            <v>ヒューマン</v>
          </cell>
          <cell r="O1496">
            <v>0.94</v>
          </cell>
          <cell r="P1496">
            <v>0.99</v>
          </cell>
          <cell r="Q1496">
            <v>1</v>
          </cell>
          <cell r="R1496" t="str">
            <v>Boss</v>
          </cell>
          <cell r="S1496">
            <v>5</v>
          </cell>
          <cell r="T1496">
            <v>1.3</v>
          </cell>
          <cell r="U1496">
            <v>0.8</v>
          </cell>
          <cell r="V1496">
            <v>3</v>
          </cell>
        </row>
        <row r="1497">
          <cell r="A1497">
            <v>9002</v>
          </cell>
          <cell r="B1497" t="str">
            <v>春香★６</v>
          </cell>
          <cell r="C1497">
            <v>6</v>
          </cell>
          <cell r="D1497" t="str">
            <v>red</v>
          </cell>
          <cell r="E1497">
            <v>1</v>
          </cell>
          <cell r="F1497">
            <v>1.02</v>
          </cell>
          <cell r="G1497">
            <v>1</v>
          </cell>
          <cell r="H1497" t="str">
            <v>attack</v>
          </cell>
          <cell r="I1497" t="str">
            <v>攻撃タイプ</v>
          </cell>
          <cell r="J1497">
            <v>1</v>
          </cell>
          <cell r="K1497">
            <v>1.33</v>
          </cell>
          <cell r="L1497">
            <v>1</v>
          </cell>
          <cell r="M1497" t="str">
            <v>human</v>
          </cell>
          <cell r="N1497" t="str">
            <v>ヒューマン</v>
          </cell>
          <cell r="O1497">
            <v>0.94</v>
          </cell>
          <cell r="P1497">
            <v>0.99</v>
          </cell>
          <cell r="Q1497">
            <v>1</v>
          </cell>
          <cell r="R1497" t="str">
            <v>Boss</v>
          </cell>
          <cell r="S1497">
            <v>5</v>
          </cell>
          <cell r="T1497">
            <v>1.3</v>
          </cell>
          <cell r="U1497">
            <v>0.8</v>
          </cell>
          <cell r="V1497">
            <v>3</v>
          </cell>
        </row>
        <row r="1498">
          <cell r="A1498">
            <v>9003</v>
          </cell>
          <cell r="B1498" t="str">
            <v>夢龍</v>
          </cell>
          <cell r="C1498">
            <v>5</v>
          </cell>
          <cell r="D1498" t="str">
            <v>green</v>
          </cell>
          <cell r="E1498">
            <v>1.02</v>
          </cell>
          <cell r="F1498">
            <v>0.98</v>
          </cell>
          <cell r="G1498">
            <v>1</v>
          </cell>
          <cell r="H1498" t="str">
            <v>heal</v>
          </cell>
          <cell r="I1498" t="str">
            <v>回復タイプ</v>
          </cell>
          <cell r="J1498">
            <v>0.8</v>
          </cell>
          <cell r="K1498">
            <v>0.78</v>
          </cell>
          <cell r="L1498">
            <v>1</v>
          </cell>
          <cell r="M1498" t="str">
            <v>dragon</v>
          </cell>
          <cell r="N1498" t="str">
            <v>ドラゴン</v>
          </cell>
          <cell r="O1498">
            <v>1.1499999999999999</v>
          </cell>
          <cell r="P1498">
            <v>1.1000000000000001</v>
          </cell>
          <cell r="Q1498">
            <v>1</v>
          </cell>
          <cell r="R1498" t="str">
            <v>Boss</v>
          </cell>
          <cell r="S1498">
            <v>5</v>
          </cell>
          <cell r="T1498">
            <v>1.3</v>
          </cell>
          <cell r="U1498">
            <v>0.8</v>
          </cell>
          <cell r="V1498">
            <v>3</v>
          </cell>
        </row>
        <row r="1499">
          <cell r="A1499">
            <v>9004</v>
          </cell>
          <cell r="B1499" t="str">
            <v>夢龍★６</v>
          </cell>
          <cell r="C1499">
            <v>6</v>
          </cell>
          <cell r="D1499" t="str">
            <v>green</v>
          </cell>
          <cell r="E1499">
            <v>1.02</v>
          </cell>
          <cell r="F1499">
            <v>0.98</v>
          </cell>
          <cell r="G1499">
            <v>1</v>
          </cell>
          <cell r="H1499" t="str">
            <v>heal</v>
          </cell>
          <cell r="I1499" t="str">
            <v>回復タイプ</v>
          </cell>
          <cell r="J1499">
            <v>0.8</v>
          </cell>
          <cell r="K1499">
            <v>0.78</v>
          </cell>
          <cell r="L1499">
            <v>1</v>
          </cell>
          <cell r="M1499" t="str">
            <v>dragon</v>
          </cell>
          <cell r="N1499" t="str">
            <v>ドラゴン</v>
          </cell>
          <cell r="O1499">
            <v>1.1499999999999999</v>
          </cell>
          <cell r="P1499">
            <v>1.1000000000000001</v>
          </cell>
          <cell r="Q1499">
            <v>1</v>
          </cell>
          <cell r="R1499" t="str">
            <v>Boss</v>
          </cell>
          <cell r="S1499">
            <v>5</v>
          </cell>
          <cell r="T1499">
            <v>1.3</v>
          </cell>
          <cell r="U1499">
            <v>0.8</v>
          </cell>
          <cell r="V1499">
            <v>3</v>
          </cell>
        </row>
        <row r="1500">
          <cell r="A1500">
            <v>9005</v>
          </cell>
          <cell r="B1500" t="str">
            <v>降臨</v>
          </cell>
          <cell r="C1500">
            <v>5</v>
          </cell>
          <cell r="D1500" t="str">
            <v>blue</v>
          </cell>
          <cell r="E1500">
            <v>1</v>
          </cell>
          <cell r="F1500">
            <v>0.98</v>
          </cell>
          <cell r="G1500">
            <v>1</v>
          </cell>
          <cell r="H1500" t="str">
            <v>hp</v>
          </cell>
          <cell r="I1500" t="str">
            <v>体力タイプ</v>
          </cell>
          <cell r="J1500">
            <v>1.45</v>
          </cell>
          <cell r="K1500">
            <v>0.85</v>
          </cell>
          <cell r="L1500">
            <v>1</v>
          </cell>
          <cell r="M1500" t="str">
            <v>demon</v>
          </cell>
          <cell r="N1500" t="str">
            <v>デーモン</v>
          </cell>
          <cell r="O1500">
            <v>1</v>
          </cell>
          <cell r="P1500">
            <v>1</v>
          </cell>
          <cell r="Q1500">
            <v>1</v>
          </cell>
          <cell r="R1500" t="str">
            <v>Boss</v>
          </cell>
          <cell r="S1500">
            <v>5</v>
          </cell>
          <cell r="T1500">
            <v>1.3</v>
          </cell>
          <cell r="U1500">
            <v>0.8</v>
          </cell>
          <cell r="V1500">
            <v>3</v>
          </cell>
        </row>
        <row r="1501">
          <cell r="A1501">
            <v>9006</v>
          </cell>
          <cell r="B1501" t="str">
            <v>降臨★６</v>
          </cell>
          <cell r="C1501">
            <v>6</v>
          </cell>
          <cell r="D1501" t="str">
            <v>blue</v>
          </cell>
          <cell r="E1501">
            <v>1</v>
          </cell>
          <cell r="F1501">
            <v>0.98</v>
          </cell>
          <cell r="G1501">
            <v>1</v>
          </cell>
          <cell r="H1501" t="str">
            <v>hp</v>
          </cell>
          <cell r="I1501" t="str">
            <v>体力タイプ</v>
          </cell>
          <cell r="J1501">
            <v>1.45</v>
          </cell>
          <cell r="K1501">
            <v>0.85</v>
          </cell>
          <cell r="L1501">
            <v>1</v>
          </cell>
          <cell r="M1501" t="str">
            <v>demon</v>
          </cell>
          <cell r="N1501" t="str">
            <v>デーモン</v>
          </cell>
          <cell r="O1501">
            <v>1</v>
          </cell>
          <cell r="P1501">
            <v>1</v>
          </cell>
          <cell r="Q1501">
            <v>1</v>
          </cell>
          <cell r="R1501" t="str">
            <v>Boss</v>
          </cell>
          <cell r="S1501">
            <v>5</v>
          </cell>
          <cell r="T1501">
            <v>1.3</v>
          </cell>
          <cell r="U1501">
            <v>0.8</v>
          </cell>
          <cell r="V1501">
            <v>3</v>
          </cell>
        </row>
        <row r="1502">
          <cell r="A1502">
            <v>9007</v>
          </cell>
          <cell r="B1502" t="str">
            <v>田禹治</v>
          </cell>
          <cell r="C1502">
            <v>5</v>
          </cell>
          <cell r="D1502" t="str">
            <v>red</v>
          </cell>
          <cell r="E1502">
            <v>1</v>
          </cell>
          <cell r="F1502">
            <v>1.02</v>
          </cell>
          <cell r="G1502">
            <v>1</v>
          </cell>
          <cell r="H1502" t="str">
            <v>technical</v>
          </cell>
          <cell r="I1502" t="str">
            <v>テクニカルタイプ</v>
          </cell>
          <cell r="J1502">
            <v>0.9</v>
          </cell>
          <cell r="K1502">
            <v>0.9</v>
          </cell>
          <cell r="L1502">
            <v>1</v>
          </cell>
          <cell r="M1502" t="str">
            <v>hero</v>
          </cell>
          <cell r="N1502" t="str">
            <v>ヒーロー</v>
          </cell>
          <cell r="O1502">
            <v>1</v>
          </cell>
          <cell r="P1502">
            <v>1</v>
          </cell>
          <cell r="Q1502">
            <v>1</v>
          </cell>
          <cell r="R1502" t="str">
            <v>Boss</v>
          </cell>
          <cell r="S1502">
            <v>5</v>
          </cell>
          <cell r="T1502">
            <v>1.3</v>
          </cell>
          <cell r="U1502">
            <v>0.8</v>
          </cell>
          <cell r="V1502">
            <v>3</v>
          </cell>
        </row>
        <row r="1503">
          <cell r="A1503">
            <v>9008</v>
          </cell>
          <cell r="B1503" t="str">
            <v>田禹治★６</v>
          </cell>
          <cell r="C1503">
            <v>6</v>
          </cell>
          <cell r="D1503" t="str">
            <v>red</v>
          </cell>
          <cell r="E1503">
            <v>1</v>
          </cell>
          <cell r="F1503">
            <v>1.02</v>
          </cell>
          <cell r="G1503">
            <v>1</v>
          </cell>
          <cell r="H1503" t="str">
            <v>technical</v>
          </cell>
          <cell r="I1503" t="str">
            <v>テクニカルタイプ</v>
          </cell>
          <cell r="J1503">
            <v>0.9</v>
          </cell>
          <cell r="K1503">
            <v>0.9</v>
          </cell>
          <cell r="L1503">
            <v>1</v>
          </cell>
          <cell r="M1503" t="str">
            <v>hero</v>
          </cell>
          <cell r="N1503" t="str">
            <v>ヒーロー</v>
          </cell>
          <cell r="O1503">
            <v>1</v>
          </cell>
          <cell r="P1503">
            <v>1</v>
          </cell>
          <cell r="Q1503">
            <v>1</v>
          </cell>
          <cell r="R1503" t="str">
            <v>Boss</v>
          </cell>
          <cell r="S1503">
            <v>5</v>
          </cell>
          <cell r="T1503">
            <v>1.3</v>
          </cell>
          <cell r="U1503">
            <v>0.8</v>
          </cell>
          <cell r="V1503">
            <v>3</v>
          </cell>
        </row>
        <row r="1504">
          <cell r="A1504">
            <v>10101</v>
          </cell>
          <cell r="B1504" t="str">
            <v>Usagi-kun</v>
          </cell>
          <cell r="C1504">
            <v>6</v>
          </cell>
          <cell r="D1504" t="str">
            <v>blue</v>
          </cell>
          <cell r="E1504">
            <v>1</v>
          </cell>
          <cell r="F1504">
            <v>0.98</v>
          </cell>
          <cell r="G1504">
            <v>1</v>
          </cell>
          <cell r="H1504" t="str">
            <v>balance</v>
          </cell>
          <cell r="I1504" t="str">
            <v>バランスタイプ</v>
          </cell>
          <cell r="J1504">
            <v>1</v>
          </cell>
          <cell r="K1504">
            <v>1</v>
          </cell>
          <cell r="L1504">
            <v>1</v>
          </cell>
          <cell r="M1504" t="str">
            <v>unknown</v>
          </cell>
          <cell r="N1504" t="str">
            <v>Unknown</v>
          </cell>
          <cell r="O1504">
            <v>1</v>
          </cell>
          <cell r="P1504">
            <v>1</v>
          </cell>
          <cell r="Q1504">
            <v>1</v>
          </cell>
          <cell r="R1504" t="str">
            <v>Boss</v>
          </cell>
          <cell r="S1504">
            <v>5</v>
          </cell>
          <cell r="T1504">
            <v>1.3</v>
          </cell>
          <cell r="U1504">
            <v>0.8</v>
          </cell>
          <cell r="V1504">
            <v>3</v>
          </cell>
        </row>
        <row r="1505">
          <cell r="A1505">
            <v>10102</v>
          </cell>
          <cell r="B1505" t="str">
            <v>ローズ</v>
          </cell>
          <cell r="C1505">
            <v>3</v>
          </cell>
          <cell r="D1505" t="str">
            <v>red</v>
          </cell>
          <cell r="E1505">
            <v>1</v>
          </cell>
          <cell r="F1505">
            <v>1.02</v>
          </cell>
          <cell r="G1505">
            <v>1</v>
          </cell>
          <cell r="H1505" t="str">
            <v>attack</v>
          </cell>
          <cell r="I1505" t="str">
            <v>攻撃タイプ</v>
          </cell>
          <cell r="J1505">
            <v>1</v>
          </cell>
          <cell r="K1505">
            <v>1.33</v>
          </cell>
          <cell r="L1505">
            <v>1</v>
          </cell>
          <cell r="M1505" t="str">
            <v>queen</v>
          </cell>
          <cell r="N1505" t="str">
            <v>QUEEN</v>
          </cell>
          <cell r="O1505">
            <v>1</v>
          </cell>
          <cell r="P1505">
            <v>1</v>
          </cell>
          <cell r="Q1505">
            <v>1</v>
          </cell>
          <cell r="R1505" t="str">
            <v>Boss</v>
          </cell>
          <cell r="S1505">
            <v>5</v>
          </cell>
          <cell r="T1505">
            <v>1.3</v>
          </cell>
          <cell r="U1505">
            <v>0.8</v>
          </cell>
          <cell r="V1505">
            <v>3</v>
          </cell>
        </row>
        <row r="1506">
          <cell r="A1506">
            <v>10103</v>
          </cell>
          <cell r="B1506" t="str">
            <v>ローズ</v>
          </cell>
          <cell r="C1506">
            <v>4</v>
          </cell>
          <cell r="D1506" t="str">
            <v>red</v>
          </cell>
          <cell r="E1506">
            <v>1</v>
          </cell>
          <cell r="F1506">
            <v>1.02</v>
          </cell>
          <cell r="G1506">
            <v>1</v>
          </cell>
          <cell r="H1506" t="str">
            <v>attack</v>
          </cell>
          <cell r="I1506" t="str">
            <v>攻撃タイプ</v>
          </cell>
          <cell r="J1506">
            <v>1</v>
          </cell>
          <cell r="K1506">
            <v>1.33</v>
          </cell>
          <cell r="L1506">
            <v>1</v>
          </cell>
          <cell r="M1506" t="str">
            <v>queen</v>
          </cell>
          <cell r="N1506" t="str">
            <v>QUEEN</v>
          </cell>
          <cell r="O1506">
            <v>1</v>
          </cell>
          <cell r="P1506">
            <v>1</v>
          </cell>
          <cell r="Q1506">
            <v>1</v>
          </cell>
          <cell r="R1506" t="str">
            <v>Boss</v>
          </cell>
          <cell r="S1506">
            <v>5</v>
          </cell>
          <cell r="T1506">
            <v>1.3</v>
          </cell>
          <cell r="U1506">
            <v>0.8</v>
          </cell>
          <cell r="V1506">
            <v>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11"/>
  <sheetViews>
    <sheetView zoomScale="75" zoomScaleNormal="75" zoomScalePageLayoutView="75" workbookViewId="0">
      <selection activeCell="B4" sqref="B4"/>
    </sheetView>
  </sheetViews>
  <sheetFormatPr baseColWidth="12" defaultRowHeight="15" x14ac:dyDescent="0.15"/>
  <cols>
    <col min="2" max="2" width="18.1640625" bestFit="1" customWidth="1"/>
    <col min="5" max="5" width="29.33203125" bestFit="1" customWidth="1"/>
    <col min="6" max="6" width="22.1640625" bestFit="1" customWidth="1"/>
  </cols>
  <sheetData>
    <row r="1" spans="1:29" x14ac:dyDescent="0.15">
      <c r="A1" s="30" t="s">
        <v>53</v>
      </c>
      <c r="B1" s="31" t="s">
        <v>54</v>
      </c>
      <c r="C1" s="31" t="s">
        <v>55</v>
      </c>
      <c r="D1" s="31" t="s">
        <v>56</v>
      </c>
      <c r="E1" s="31" t="s">
        <v>57</v>
      </c>
      <c r="F1" s="31" t="s">
        <v>58</v>
      </c>
      <c r="G1" s="31" t="s">
        <v>59</v>
      </c>
      <c r="H1" s="31"/>
      <c r="I1" s="31"/>
      <c r="J1" s="31"/>
      <c r="K1" s="31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29" x14ac:dyDescent="0.15">
      <c r="A2" s="33" t="s">
        <v>204</v>
      </c>
      <c r="B2" s="34" t="s">
        <v>60</v>
      </c>
      <c r="C2" s="34" t="s">
        <v>203</v>
      </c>
      <c r="D2" s="34" t="s">
        <v>61</v>
      </c>
      <c r="E2" s="32" t="str">
        <f>B2&amp;C2&amp;D2</f>
        <v>floors_lockltb.tmp</v>
      </c>
      <c r="F2" s="34" t="s">
        <v>62</v>
      </c>
      <c r="G2" s="35" t="s">
        <v>0</v>
      </c>
      <c r="H2" s="35" t="s">
        <v>1</v>
      </c>
      <c r="I2" s="35" t="s">
        <v>13</v>
      </c>
      <c r="J2" s="35" t="s">
        <v>14</v>
      </c>
      <c r="K2" s="35" t="s">
        <v>15</v>
      </c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</row>
    <row r="3" spans="1:29" x14ac:dyDescent="0.15">
      <c r="A3" s="33" t="s">
        <v>204</v>
      </c>
      <c r="B3" s="34" t="s">
        <v>63</v>
      </c>
      <c r="C3" s="34" t="str">
        <f>C2</f>
        <v>lockltb</v>
      </c>
      <c r="D3" s="34" t="s">
        <v>61</v>
      </c>
      <c r="E3" s="32" t="str">
        <f>B3&amp;C3&amp;D3</f>
        <v>enemy_habitats_lockltb.tmp</v>
      </c>
      <c r="F3" s="34" t="s">
        <v>64</v>
      </c>
      <c r="G3" s="35" t="s">
        <v>0</v>
      </c>
      <c r="H3" s="35" t="s">
        <v>1</v>
      </c>
      <c r="I3" s="35" t="s">
        <v>13</v>
      </c>
      <c r="J3" s="35" t="s">
        <v>2</v>
      </c>
      <c r="K3" s="35" t="s">
        <v>3</v>
      </c>
      <c r="L3" s="35" t="s">
        <v>50</v>
      </c>
      <c r="M3" s="35" t="s">
        <v>51</v>
      </c>
      <c r="N3" s="35" t="s">
        <v>52</v>
      </c>
      <c r="O3" s="35" t="s">
        <v>22</v>
      </c>
      <c r="P3" s="35" t="s">
        <v>5</v>
      </c>
      <c r="Q3" s="35" t="s">
        <v>6</v>
      </c>
      <c r="R3" s="35" t="s">
        <v>7</v>
      </c>
      <c r="S3" s="35" t="s">
        <v>8</v>
      </c>
      <c r="T3" s="35" t="s">
        <v>9</v>
      </c>
      <c r="U3" s="35" t="s">
        <v>10</v>
      </c>
      <c r="V3" s="35" t="s">
        <v>11</v>
      </c>
      <c r="W3" s="35" t="s">
        <v>12</v>
      </c>
      <c r="X3" s="35" t="s">
        <v>36</v>
      </c>
      <c r="Y3" s="35" t="s">
        <v>38</v>
      </c>
      <c r="Z3" s="35" t="s">
        <v>40</v>
      </c>
      <c r="AA3" s="35" t="s">
        <v>42</v>
      </c>
      <c r="AB3" s="35" t="s">
        <v>44</v>
      </c>
      <c r="AC3" s="35" t="s">
        <v>65</v>
      </c>
    </row>
    <row r="4" spans="1:29" x14ac:dyDescent="0.15">
      <c r="A4" s="33" t="s">
        <v>202</v>
      </c>
      <c r="B4" s="34" t="s">
        <v>66</v>
      </c>
      <c r="C4" s="34" t="str">
        <f t="shared" ref="C4:C8" si="0">C3</f>
        <v>lockltb</v>
      </c>
      <c r="D4" s="34" t="s">
        <v>61</v>
      </c>
      <c r="E4" s="32" t="str">
        <f>B4&amp;C4&amp;D4</f>
        <v>enemy_habitat_S_lockltb.tmp</v>
      </c>
      <c r="F4" s="34" t="s">
        <v>67</v>
      </c>
      <c r="G4" s="35" t="s">
        <v>0</v>
      </c>
      <c r="H4" s="35" t="s">
        <v>1</v>
      </c>
      <c r="I4" s="35" t="s">
        <v>13</v>
      </c>
      <c r="J4" s="35" t="s">
        <v>65</v>
      </c>
      <c r="K4" s="35" t="s">
        <v>68</v>
      </c>
      <c r="L4" s="35" t="s">
        <v>69</v>
      </c>
      <c r="M4" s="35" t="s">
        <v>70</v>
      </c>
      <c r="N4" s="35" t="s">
        <v>71</v>
      </c>
      <c r="O4" s="35" t="s">
        <v>72</v>
      </c>
      <c r="P4" s="35" t="s">
        <v>47</v>
      </c>
      <c r="Q4" s="35" t="s">
        <v>48</v>
      </c>
      <c r="R4" s="35" t="s">
        <v>49</v>
      </c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 x14ac:dyDescent="0.15">
      <c r="A5" s="33" t="s">
        <v>204</v>
      </c>
      <c r="B5" s="34" t="s">
        <v>73</v>
      </c>
      <c r="C5" s="34" t="str">
        <f t="shared" si="0"/>
        <v>lockltb</v>
      </c>
      <c r="D5" s="34" t="s">
        <v>74</v>
      </c>
      <c r="E5" s="32" t="str">
        <f>B5&amp;C5&amp;D5</f>
        <v>enemy_skill_sets_lockltb.tmp</v>
      </c>
      <c r="F5" s="34" t="s">
        <v>75</v>
      </c>
      <c r="G5" s="36" t="s">
        <v>22</v>
      </c>
      <c r="H5" s="36" t="s">
        <v>76</v>
      </c>
      <c r="I5" s="36" t="s">
        <v>77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29" x14ac:dyDescent="0.15">
      <c r="A6" s="33" t="s">
        <v>204</v>
      </c>
      <c r="B6" s="34" t="s">
        <v>78</v>
      </c>
      <c r="C6" s="34" t="str">
        <f t="shared" si="0"/>
        <v>lockltb</v>
      </c>
      <c r="D6" s="34" t="s">
        <v>79</v>
      </c>
      <c r="E6" s="32" t="str">
        <f t="shared" ref="E6:E11" si="1">B6&amp;C6&amp;D6</f>
        <v>enemy_skills_tmp_lockltb.tmp</v>
      </c>
      <c r="F6" s="34" t="s">
        <v>80</v>
      </c>
      <c r="G6" s="35" t="s">
        <v>81</v>
      </c>
      <c r="H6" s="35" t="s">
        <v>82</v>
      </c>
      <c r="I6" s="35" t="s">
        <v>83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</row>
    <row r="7" spans="1:29" x14ac:dyDescent="0.15">
      <c r="A7" s="33" t="s">
        <v>204</v>
      </c>
      <c r="B7" s="34" t="s">
        <v>84</v>
      </c>
      <c r="C7" s="34" t="str">
        <f t="shared" si="0"/>
        <v>lockltb</v>
      </c>
      <c r="D7" s="34" t="s">
        <v>85</v>
      </c>
      <c r="E7" s="32" t="str">
        <f>B7&amp;C7&amp;D7</f>
        <v>enemy_skills_i18n_lockltb.tmp</v>
      </c>
      <c r="F7" s="34" t="s">
        <v>86</v>
      </c>
      <c r="G7" s="35" t="s">
        <v>81</v>
      </c>
      <c r="H7" s="35" t="s">
        <v>87</v>
      </c>
      <c r="I7" s="35" t="s">
        <v>88</v>
      </c>
      <c r="J7" s="35" t="s">
        <v>89</v>
      </c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29" x14ac:dyDescent="0.15">
      <c r="A8" s="33" t="s">
        <v>204</v>
      </c>
      <c r="B8" s="34" t="s">
        <v>90</v>
      </c>
      <c r="C8" s="34" t="str">
        <f t="shared" si="0"/>
        <v>lockltb</v>
      </c>
      <c r="D8" s="34" t="s">
        <v>91</v>
      </c>
      <c r="E8" s="32" t="str">
        <f t="shared" si="1"/>
        <v>enemy_skill_triggers_lockltb.tmp</v>
      </c>
      <c r="F8" s="34" t="s">
        <v>92</v>
      </c>
      <c r="G8" s="35" t="s">
        <v>77</v>
      </c>
      <c r="H8" s="35" t="s">
        <v>93</v>
      </c>
      <c r="I8" s="35" t="s">
        <v>94</v>
      </c>
      <c r="J8" s="35" t="s">
        <v>95</v>
      </c>
      <c r="K8" s="35" t="s">
        <v>96</v>
      </c>
      <c r="L8" s="35" t="s">
        <v>97</v>
      </c>
      <c r="M8" s="35" t="s">
        <v>98</v>
      </c>
      <c r="N8" s="35" t="s">
        <v>99</v>
      </c>
      <c r="O8" s="35" t="s">
        <v>100</v>
      </c>
      <c r="P8" s="35" t="s">
        <v>101</v>
      </c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</row>
    <row r="9" spans="1:29" x14ac:dyDescent="0.15">
      <c r="A9" s="33" t="s">
        <v>204</v>
      </c>
      <c r="B9" s="90" t="s">
        <v>183</v>
      </c>
      <c r="C9" s="95" t="str">
        <f t="shared" ref="C9:C11" si="2">C$2</f>
        <v>lockltb</v>
      </c>
      <c r="D9" s="90" t="s">
        <v>184</v>
      </c>
      <c r="E9" s="91" t="str">
        <f t="shared" si="1"/>
        <v>stage_bug_bonuses_lockltb.tmp</v>
      </c>
      <c r="F9" s="90" t="s">
        <v>185</v>
      </c>
      <c r="G9" s="67" t="s">
        <v>154</v>
      </c>
      <c r="H9" s="67" t="s">
        <v>186</v>
      </c>
      <c r="I9" s="67" t="s">
        <v>187</v>
      </c>
      <c r="J9" s="70" t="s">
        <v>188</v>
      </c>
      <c r="K9" s="67" t="s">
        <v>189</v>
      </c>
      <c r="L9" s="67" t="s">
        <v>160</v>
      </c>
      <c r="M9" s="67" t="s">
        <v>161</v>
      </c>
      <c r="N9" s="67" t="s">
        <v>70</v>
      </c>
      <c r="O9" s="67" t="s">
        <v>162</v>
      </c>
      <c r="P9" s="67" t="s">
        <v>37</v>
      </c>
      <c r="Q9" s="67" t="s">
        <v>39</v>
      </c>
      <c r="R9" s="67" t="s">
        <v>41</v>
      </c>
      <c r="S9" s="67" t="s">
        <v>43</v>
      </c>
      <c r="T9" s="67" t="s">
        <v>45</v>
      </c>
      <c r="U9" s="67" t="s">
        <v>163</v>
      </c>
      <c r="V9" s="67" t="s">
        <v>164</v>
      </c>
      <c r="W9" s="67" t="s">
        <v>165</v>
      </c>
    </row>
    <row r="10" spans="1:29" s="94" customFormat="1" x14ac:dyDescent="0.15">
      <c r="A10" s="33" t="s">
        <v>204</v>
      </c>
      <c r="B10" s="90" t="s">
        <v>190</v>
      </c>
      <c r="C10" s="95" t="str">
        <f t="shared" si="2"/>
        <v>lockltb</v>
      </c>
      <c r="D10" s="90" t="s">
        <v>184</v>
      </c>
      <c r="E10" s="91" t="str">
        <f t="shared" si="1"/>
        <v>stage_hints_data_lockltb.tmp</v>
      </c>
      <c r="F10" s="92" t="s">
        <v>191</v>
      </c>
      <c r="G10" s="75" t="s">
        <v>154</v>
      </c>
      <c r="H10" s="75" t="s">
        <v>186</v>
      </c>
      <c r="I10" s="93" t="s">
        <v>192</v>
      </c>
      <c r="J10" s="70" t="s">
        <v>193</v>
      </c>
      <c r="K10" s="70" t="s">
        <v>194</v>
      </c>
    </row>
    <row r="11" spans="1:29" s="94" customFormat="1" x14ac:dyDescent="0.15">
      <c r="A11" s="33" t="s">
        <v>204</v>
      </c>
      <c r="B11" s="90" t="s">
        <v>195</v>
      </c>
      <c r="C11" s="95" t="str">
        <f t="shared" si="2"/>
        <v>lockltb</v>
      </c>
      <c r="D11" s="90" t="s">
        <v>196</v>
      </c>
      <c r="E11" s="91" t="str">
        <f t="shared" si="1"/>
        <v>stage_hints_i18n_lockltb.tmp</v>
      </c>
      <c r="F11" s="92" t="s">
        <v>191</v>
      </c>
      <c r="G11" s="93" t="s">
        <v>197</v>
      </c>
      <c r="H11" s="67" t="s">
        <v>198</v>
      </c>
      <c r="I11" s="75" t="s">
        <v>199</v>
      </c>
      <c r="J11" s="96" t="s">
        <v>200</v>
      </c>
      <c r="K11" s="70" t="s">
        <v>201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0"/>
  <sheetViews>
    <sheetView showGridLines="0" tabSelected="1" zoomScale="75" zoomScaleNormal="75" zoomScalePageLayoutView="75" workbookViewId="0">
      <pane ySplit="1" topLeftCell="A2" activePane="bottomLeft" state="frozen"/>
      <selection activeCell="V2" sqref="V2:X34"/>
      <selection pane="bottomLeft" activeCell="J6" sqref="J6"/>
    </sheetView>
  </sheetViews>
  <sheetFormatPr baseColWidth="12" defaultColWidth="13" defaultRowHeight="21" customHeight="1" outlineLevelCol="1" x14ac:dyDescent="0.15"/>
  <cols>
    <col min="1" max="1" width="8.83203125" style="23" bestFit="1" customWidth="1"/>
    <col min="2" max="2" width="5" style="23" bestFit="1" customWidth="1"/>
    <col min="3" max="3" width="7.1640625" style="4" bestFit="1" customWidth="1"/>
    <col min="4" max="4" width="21.6640625" style="4" bestFit="1" customWidth="1" outlineLevel="1"/>
    <col min="5" max="5" width="11.33203125" style="4" bestFit="1" customWidth="1" outlineLevel="1"/>
    <col min="6" max="6" width="7" style="4" bestFit="1" customWidth="1"/>
    <col min="7" max="7" width="9.33203125" style="23" bestFit="1" customWidth="1" outlineLevel="1"/>
    <col min="8" max="8" width="34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29</v>
      </c>
      <c r="B1" s="17" t="s">
        <v>35</v>
      </c>
      <c r="C1" s="1" t="s">
        <v>0</v>
      </c>
      <c r="D1" s="2" t="s">
        <v>18</v>
      </c>
      <c r="E1" s="16" t="s">
        <v>32</v>
      </c>
      <c r="F1" s="1" t="s">
        <v>1</v>
      </c>
      <c r="G1" s="26" t="s">
        <v>31</v>
      </c>
      <c r="H1" s="16" t="s">
        <v>33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" si="0">G2&amp;"-"&amp;I2</f>
        <v>14003_1-1</v>
      </c>
      <c r="B2" s="17" t="str">
        <f>IF(COUNTIF(enemy_habitats!$H:$H,A2),"OK","NG")</f>
        <v>OK</v>
      </c>
      <c r="C2" s="107">
        <v>14003</v>
      </c>
      <c r="D2" s="12" t="str">
        <f ca="1">VLOOKUP($C2,OFFSET([2]quests!$A$1,0,0,COUNTA([2]quests!$A:$A),MATCH(D$1,[2]quests!$1:$1,0)-MATCH($C$1,[2]quests!$1:$1,0)+1),MATCH(D$1,[2]quests!$1:$1,0)-MATCH($C$1,[2]quests!$1:$1,0)+1,FALSE)</f>
        <v>【ロック】限界突破/ソロ</v>
      </c>
      <c r="E2" s="22" t="str">
        <f ca="1">VLOOKUP($C2,OFFSET([2]quests!$A$1,0,0,COUNTA([2]quests!$A:$A),MATCH(E$1,[2]quests!$1:$1,0)-MATCH($C$1,[2]quests!$1:$1,0)+1),MATCH(E$1,[2]quests!$1:$1,0)-MATCH($C$1,[2]quests!$1:$1,0)+1,FALSE)</f>
        <v>【ロック】限界突破/ソロ</v>
      </c>
      <c r="F2" s="25">
        <v>1</v>
      </c>
      <c r="G2" s="26" t="str">
        <f t="shared" ref="G2" si="1">C2&amp;"_"&amp;F2</f>
        <v>14003_1</v>
      </c>
      <c r="H2" s="16" t="str">
        <f ca="1">VLOOKUP($G2,OFFSET([2]stages!$A$1,0,0,COUNTA([2]stages!$A:$A),MATCH(H$1,[2]stages!$2:$2,0)-MATCH($G$1,[2]stages!$2:$2,0)+1),MATCH(H$1,[2]stages!$2:$2,0)-MATCH($G$1,[2]stages!$2:$2,0)+1,FALSE)</f>
        <v>【超級】果実の楽園（ハートなし）</v>
      </c>
      <c r="I2" s="25">
        <v>1</v>
      </c>
      <c r="J2" s="13">
        <v>60</v>
      </c>
      <c r="K2" s="13">
        <v>60</v>
      </c>
    </row>
    <row r="3" spans="1:11" ht="21" customHeight="1" x14ac:dyDescent="0.15">
      <c r="A3" s="17" t="str">
        <f t="shared" ref="A3" si="2">G3&amp;"-"&amp;I3</f>
        <v>14003_1-2</v>
      </c>
      <c r="B3" s="17" t="str">
        <f>IF(COUNTIF(enemy_habitats!$H:$H,A3),"OK","NG")</f>
        <v>OK</v>
      </c>
      <c r="C3" s="107">
        <v>14003</v>
      </c>
      <c r="D3" s="12" t="str">
        <f ca="1">VLOOKUP($C3,OFFSET([2]quests!$A$1,0,0,COUNTA([2]quests!$A:$A),MATCH(D$1,[2]quests!$1:$1,0)-MATCH($C$1,[2]quests!$1:$1,0)+1),MATCH(D$1,[2]quests!$1:$1,0)-MATCH($C$1,[2]quests!$1:$1,0)+1,FALSE)</f>
        <v>【ロック】限界突破/ソロ</v>
      </c>
      <c r="E3" s="22" t="str">
        <f ca="1">VLOOKUP($C3,OFFSET([2]quests!$A$1,0,0,COUNTA([2]quests!$A:$A),MATCH(E$1,[2]quests!$1:$1,0)-MATCH($C$1,[2]quests!$1:$1,0)+1),MATCH(E$1,[2]quests!$1:$1,0)-MATCH($C$1,[2]quests!$1:$1,0)+1,FALSE)</f>
        <v>【ロック】限界突破/ソロ</v>
      </c>
      <c r="F3" s="25">
        <v>1</v>
      </c>
      <c r="G3" s="26" t="str">
        <f t="shared" ref="G3" si="3">C3&amp;"_"&amp;F3</f>
        <v>14003_1</v>
      </c>
      <c r="H3" s="16" t="str">
        <f ca="1">VLOOKUP($G3,OFFSET([2]stages!$A$1,0,0,COUNTA([2]stages!$A:$A),MATCH(H$1,[2]stages!$2:$2,0)-MATCH($G$1,[2]stages!$2:$2,0)+1),MATCH(H$1,[2]stages!$2:$2,0)-MATCH($G$1,[2]stages!$2:$2,0)+1,FALSE)</f>
        <v>【超級】果実の楽園（ハートなし）</v>
      </c>
      <c r="I3" s="25">
        <v>2</v>
      </c>
      <c r="J3" s="13">
        <v>59</v>
      </c>
      <c r="K3" s="13">
        <v>60</v>
      </c>
    </row>
    <row r="4" spans="1:11" ht="21" customHeight="1" x14ac:dyDescent="0.15">
      <c r="A4" s="17" t="str">
        <f t="shared" ref="A4" si="4">G4&amp;"-"&amp;I4</f>
        <v>14003_1-3</v>
      </c>
      <c r="B4" s="17" t="str">
        <f>IF(COUNTIF(enemy_habitats!$H:$H,A4),"OK","NG")</f>
        <v>OK</v>
      </c>
      <c r="C4" s="107">
        <v>14003</v>
      </c>
      <c r="D4" s="12" t="str">
        <f ca="1">VLOOKUP($C4,OFFSET([2]quests!$A$1,0,0,COUNTA([2]quests!$A:$A),MATCH(D$1,[2]quests!$1:$1,0)-MATCH($C$1,[2]quests!$1:$1,0)+1),MATCH(D$1,[2]quests!$1:$1,0)-MATCH($C$1,[2]quests!$1:$1,0)+1,FALSE)</f>
        <v>【ロック】限界突破/ソロ</v>
      </c>
      <c r="E4" s="22" t="str">
        <f ca="1">VLOOKUP($C4,OFFSET([2]quests!$A$1,0,0,COUNTA([2]quests!$A:$A),MATCH(E$1,[2]quests!$1:$1,0)-MATCH($C$1,[2]quests!$1:$1,0)+1),MATCH(E$1,[2]quests!$1:$1,0)-MATCH($C$1,[2]quests!$1:$1,0)+1,FALSE)</f>
        <v>【ロック】限界突破/ソロ</v>
      </c>
      <c r="F4" s="25">
        <v>1</v>
      </c>
      <c r="G4" s="26" t="str">
        <f t="shared" ref="G4" si="5">C4&amp;"_"&amp;F4</f>
        <v>14003_1</v>
      </c>
      <c r="H4" s="16" t="str">
        <f ca="1">VLOOKUP($G4,OFFSET([2]stages!$A$1,0,0,COUNTA([2]stages!$A:$A),MATCH(H$1,[2]stages!$2:$2,0)-MATCH($G$1,[2]stages!$2:$2,0)+1),MATCH(H$1,[2]stages!$2:$2,0)-MATCH($G$1,[2]stages!$2:$2,0)+1,FALSE)</f>
        <v>【超級】果実の楽園（ハートなし）</v>
      </c>
      <c r="I4" s="25">
        <v>3</v>
      </c>
      <c r="J4" s="13">
        <v>59</v>
      </c>
      <c r="K4" s="13">
        <v>60</v>
      </c>
    </row>
    <row r="5" spans="1:11" ht="21" customHeight="1" x14ac:dyDescent="0.15">
      <c r="A5" s="17" t="str">
        <f t="shared" ref="A5:A18" si="6">G5&amp;"-"&amp;I5</f>
        <v>14003_1-4</v>
      </c>
      <c r="B5" s="17" t="str">
        <f>IF(COUNTIF(enemy_habitats!$H:$H,A5),"OK","NG")</f>
        <v>OK</v>
      </c>
      <c r="C5" s="107">
        <v>14003</v>
      </c>
      <c r="D5" s="12" t="str">
        <f ca="1">VLOOKUP($C5,OFFSET([2]quests!$A$1,0,0,COUNTA([2]quests!$A:$A),MATCH(D$1,[2]quests!$1:$1,0)-MATCH($C$1,[2]quests!$1:$1,0)+1),MATCH(D$1,[2]quests!$1:$1,0)-MATCH($C$1,[2]quests!$1:$1,0)+1,FALSE)</f>
        <v>【ロック】限界突破/ソロ</v>
      </c>
      <c r="E5" s="22" t="str">
        <f ca="1">VLOOKUP($C5,OFFSET([2]quests!$A$1,0,0,COUNTA([2]quests!$A:$A),MATCH(E$1,[2]quests!$1:$1,0)-MATCH($C$1,[2]quests!$1:$1,0)+1),MATCH(E$1,[2]quests!$1:$1,0)-MATCH($C$1,[2]quests!$1:$1,0)+1,FALSE)</f>
        <v>【ロック】限界突破/ソロ</v>
      </c>
      <c r="F5" s="25">
        <v>1</v>
      </c>
      <c r="G5" s="26" t="str">
        <f t="shared" ref="G5:G18" si="7">C5&amp;"_"&amp;F5</f>
        <v>14003_1</v>
      </c>
      <c r="H5" s="16" t="str">
        <f ca="1">VLOOKUP($G5,OFFSET([2]stages!$A$1,0,0,COUNTA([2]stages!$A:$A),MATCH(H$1,[2]stages!$2:$2,0)-MATCH($G$1,[2]stages!$2:$2,0)+1),MATCH(H$1,[2]stages!$2:$2,0)-MATCH($G$1,[2]stages!$2:$2,0)+1,FALSE)</f>
        <v>【超級】果実の楽園（ハートなし）</v>
      </c>
      <c r="I5" s="25">
        <v>4</v>
      </c>
      <c r="J5" s="13">
        <v>59</v>
      </c>
      <c r="K5" s="13">
        <v>60</v>
      </c>
    </row>
    <row r="6" spans="1:11" ht="21" customHeight="1" x14ac:dyDescent="0.15">
      <c r="A6" s="17" t="str">
        <f t="shared" si="6"/>
        <v>14003_1-5</v>
      </c>
      <c r="B6" s="17" t="str">
        <f>IF(COUNTIF(enemy_habitats!$H:$H,A6),"OK","NG")</f>
        <v>OK</v>
      </c>
      <c r="C6" s="107">
        <v>14003</v>
      </c>
      <c r="D6" s="12" t="str">
        <f ca="1">VLOOKUP($C6,OFFSET([2]quests!$A$1,0,0,COUNTA([2]quests!$A:$A),MATCH(D$1,[2]quests!$1:$1,0)-MATCH($C$1,[2]quests!$1:$1,0)+1),MATCH(D$1,[2]quests!$1:$1,0)-MATCH($C$1,[2]quests!$1:$1,0)+1,FALSE)</f>
        <v>【ロック】限界突破/ソロ</v>
      </c>
      <c r="E6" s="22" t="str">
        <f ca="1">VLOOKUP($C6,OFFSET([2]quests!$A$1,0,0,COUNTA([2]quests!$A:$A),MATCH(E$1,[2]quests!$1:$1,0)-MATCH($C$1,[2]quests!$1:$1,0)+1),MATCH(E$1,[2]quests!$1:$1,0)-MATCH($C$1,[2]quests!$1:$1,0)+1,FALSE)</f>
        <v>【ロック】限界突破/ソロ</v>
      </c>
      <c r="F6" s="25">
        <v>1</v>
      </c>
      <c r="G6" s="26" t="str">
        <f t="shared" si="7"/>
        <v>14003_1</v>
      </c>
      <c r="H6" s="16" t="str">
        <f ca="1">VLOOKUP($G6,OFFSET([2]stages!$A$1,0,0,COUNTA([2]stages!$A:$A),MATCH(H$1,[2]stages!$2:$2,0)-MATCH($G$1,[2]stages!$2:$2,0)+1),MATCH(H$1,[2]stages!$2:$2,0)-MATCH($G$1,[2]stages!$2:$2,0)+1,FALSE)</f>
        <v>【超級】果実の楽園（ハートなし）</v>
      </c>
      <c r="I6" s="25">
        <v>5</v>
      </c>
      <c r="J6" s="13">
        <v>60</v>
      </c>
      <c r="K6" s="13">
        <v>60</v>
      </c>
    </row>
    <row r="7" spans="1:11" ht="21" customHeight="1" x14ac:dyDescent="0.15">
      <c r="A7" s="17" t="str">
        <f t="shared" ref="A7" si="8">G7&amp;"-"&amp;I7</f>
        <v>14003_2-1</v>
      </c>
      <c r="B7" s="17" t="str">
        <f>IF(COUNTIF(enemy_habitats!$H:$H,A7),"OK","NG")</f>
        <v>OK</v>
      </c>
      <c r="C7" s="107">
        <v>14003</v>
      </c>
      <c r="D7" s="12" t="str">
        <f ca="1">VLOOKUP($C7,OFFSET([2]quests!$A$1,0,0,COUNTA([2]quests!$A:$A),MATCH(D$1,[2]quests!$1:$1,0)-MATCH($C$1,[2]quests!$1:$1,0)+1),MATCH(D$1,[2]quests!$1:$1,0)-MATCH($C$1,[2]quests!$1:$1,0)+1,FALSE)</f>
        <v>【ロック】限界突破/ソロ</v>
      </c>
      <c r="E7" s="22" t="str">
        <f ca="1">VLOOKUP($C7,OFFSET([2]quests!$A$1,0,0,COUNTA([2]quests!$A:$A),MATCH(E$1,[2]quests!$1:$1,0)-MATCH($C$1,[2]quests!$1:$1,0)+1),MATCH(E$1,[2]quests!$1:$1,0)-MATCH($C$1,[2]quests!$1:$1,0)+1,FALSE)</f>
        <v>【ロック】限界突破/ソロ</v>
      </c>
      <c r="F7" s="25">
        <v>2</v>
      </c>
      <c r="G7" s="26" t="str">
        <f t="shared" ref="G7" si="9">C7&amp;"_"&amp;F7</f>
        <v>14003_2</v>
      </c>
      <c r="H7" s="16" t="str">
        <f ca="1">VLOOKUP($G7,OFFSET([2]stages!$A$1,0,0,COUNTA([2]stages!$A:$A),MATCH(H$1,[2]stages!$2:$2,0)-MATCH($G$1,[2]stages!$2:$2,0)+1),MATCH(H$1,[2]stages!$2:$2,0)-MATCH($G$1,[2]stages!$2:$2,0)+1,FALSE)</f>
        <v>【超級】攻めの極意（ハートなし）</v>
      </c>
      <c r="I7" s="25">
        <v>1</v>
      </c>
      <c r="J7" s="13">
        <v>60</v>
      </c>
      <c r="K7" s="13">
        <v>60</v>
      </c>
    </row>
    <row r="8" spans="1:11" ht="21" customHeight="1" x14ac:dyDescent="0.15">
      <c r="A8" s="17" t="str">
        <f t="shared" ref="A8" si="10">G8&amp;"-"&amp;I8</f>
        <v>14003_2-2</v>
      </c>
      <c r="B8" s="17" t="str">
        <f>IF(COUNTIF(enemy_habitats!$H:$H,A8),"OK","NG")</f>
        <v>OK</v>
      </c>
      <c r="C8" s="107">
        <v>14003</v>
      </c>
      <c r="D8" s="12" t="str">
        <f ca="1">VLOOKUP($C8,OFFSET([2]quests!$A$1,0,0,COUNTA([2]quests!$A:$A),MATCH(D$1,[2]quests!$1:$1,0)-MATCH($C$1,[2]quests!$1:$1,0)+1),MATCH(D$1,[2]quests!$1:$1,0)-MATCH($C$1,[2]quests!$1:$1,0)+1,FALSE)</f>
        <v>【ロック】限界突破/ソロ</v>
      </c>
      <c r="E8" s="22" t="str">
        <f ca="1">VLOOKUP($C8,OFFSET([2]quests!$A$1,0,0,COUNTA([2]quests!$A:$A),MATCH(E$1,[2]quests!$1:$1,0)-MATCH($C$1,[2]quests!$1:$1,0)+1),MATCH(E$1,[2]quests!$1:$1,0)-MATCH($C$1,[2]quests!$1:$1,0)+1,FALSE)</f>
        <v>【ロック】限界突破/ソロ</v>
      </c>
      <c r="F8" s="25">
        <v>2</v>
      </c>
      <c r="G8" s="26" t="str">
        <f t="shared" ref="G8" si="11">C8&amp;"_"&amp;F8</f>
        <v>14003_2</v>
      </c>
      <c r="H8" s="16" t="str">
        <f ca="1">VLOOKUP($G8,OFFSET([2]stages!$A$1,0,0,COUNTA([2]stages!$A:$A),MATCH(H$1,[2]stages!$2:$2,0)-MATCH($G$1,[2]stages!$2:$2,0)+1),MATCH(H$1,[2]stages!$2:$2,0)-MATCH($G$1,[2]stages!$2:$2,0)+1,FALSE)</f>
        <v>【超級】攻めの極意（ハートなし）</v>
      </c>
      <c r="I8" s="25">
        <v>2</v>
      </c>
      <c r="J8" s="13">
        <v>60</v>
      </c>
      <c r="K8" s="13">
        <v>60</v>
      </c>
    </row>
    <row r="9" spans="1:11" ht="21" customHeight="1" x14ac:dyDescent="0.15">
      <c r="A9" s="17" t="str">
        <f t="shared" ref="A9:A11" si="12">G9&amp;"-"&amp;I9</f>
        <v>14003_2-3</v>
      </c>
      <c r="B9" s="17" t="str">
        <f>IF(COUNTIF(enemy_habitats!$H:$H,A9),"OK","NG")</f>
        <v>OK</v>
      </c>
      <c r="C9" s="107">
        <v>14003</v>
      </c>
      <c r="D9" s="12" t="str">
        <f ca="1">VLOOKUP($C9,OFFSET([2]quests!$A$1,0,0,COUNTA([2]quests!$A:$A),MATCH(D$1,[2]quests!$1:$1,0)-MATCH($C$1,[2]quests!$1:$1,0)+1),MATCH(D$1,[2]quests!$1:$1,0)-MATCH($C$1,[2]quests!$1:$1,0)+1,FALSE)</f>
        <v>【ロック】限界突破/ソロ</v>
      </c>
      <c r="E9" s="22" t="str">
        <f ca="1">VLOOKUP($C9,OFFSET([2]quests!$A$1,0,0,COUNTA([2]quests!$A:$A),MATCH(E$1,[2]quests!$1:$1,0)-MATCH($C$1,[2]quests!$1:$1,0)+1),MATCH(E$1,[2]quests!$1:$1,0)-MATCH($C$1,[2]quests!$1:$1,0)+1,FALSE)</f>
        <v>【ロック】限界突破/ソロ</v>
      </c>
      <c r="F9" s="25">
        <v>2</v>
      </c>
      <c r="G9" s="26" t="str">
        <f t="shared" ref="G9:G11" si="13">C9&amp;"_"&amp;F9</f>
        <v>14003_2</v>
      </c>
      <c r="H9" s="16" t="str">
        <f ca="1">VLOOKUP($G9,OFFSET([2]stages!$A$1,0,0,COUNTA([2]stages!$A:$A),MATCH(H$1,[2]stages!$2:$2,0)-MATCH($G$1,[2]stages!$2:$2,0)+1),MATCH(H$1,[2]stages!$2:$2,0)-MATCH($G$1,[2]stages!$2:$2,0)+1,FALSE)</f>
        <v>【超級】攻めの極意（ハートなし）</v>
      </c>
      <c r="I9" s="25">
        <v>3</v>
      </c>
      <c r="J9" s="13">
        <v>60</v>
      </c>
      <c r="K9" s="13">
        <v>60</v>
      </c>
    </row>
    <row r="10" spans="1:11" ht="21" customHeight="1" x14ac:dyDescent="0.15">
      <c r="A10" s="17" t="str">
        <f t="shared" si="12"/>
        <v>14003_3-1</v>
      </c>
      <c r="B10" s="17" t="str">
        <f>IF(COUNTIF(enemy_habitats!$H:$H,A10),"OK","NG")</f>
        <v>OK</v>
      </c>
      <c r="C10" s="107">
        <v>14003</v>
      </c>
      <c r="D10" s="12" t="str">
        <f ca="1">VLOOKUP($C10,OFFSET([2]quests!$A$1,0,0,COUNTA([2]quests!$A:$A),MATCH(D$1,[2]quests!$1:$1,0)-MATCH($C$1,[2]quests!$1:$1,0)+1),MATCH(D$1,[2]quests!$1:$1,0)-MATCH($C$1,[2]quests!$1:$1,0)+1,FALSE)</f>
        <v>【ロック】限界突破/ソロ</v>
      </c>
      <c r="E10" s="22" t="str">
        <f ca="1">VLOOKUP($C10,OFFSET([2]quests!$A$1,0,0,COUNTA([2]quests!$A:$A),MATCH(E$1,[2]quests!$1:$1,0)-MATCH($C$1,[2]quests!$1:$1,0)+1),MATCH(E$1,[2]quests!$1:$1,0)-MATCH($C$1,[2]quests!$1:$1,0)+1,FALSE)</f>
        <v>【ロック】限界突破/ソロ</v>
      </c>
      <c r="F10" s="25">
        <v>3</v>
      </c>
      <c r="G10" s="26" t="str">
        <f t="shared" si="13"/>
        <v>14003_3</v>
      </c>
      <c r="H10" s="16" t="str">
        <f ca="1">VLOOKUP($G10,OFFSET([2]stages!$A$1,0,0,COUNTA([2]stages!$A:$A),MATCH(H$1,[2]stages!$2:$2,0)-MATCH($G$1,[2]stages!$2:$2,0)+1),MATCH(H$1,[2]stages!$2:$2,0)-MATCH($G$1,[2]stages!$2:$2,0)+1,FALSE)</f>
        <v>【超級】癒しの極意（ハートなし）</v>
      </c>
      <c r="I10" s="25">
        <v>1</v>
      </c>
      <c r="J10" s="13">
        <v>60</v>
      </c>
      <c r="K10" s="13">
        <v>60</v>
      </c>
    </row>
    <row r="11" spans="1:11" ht="21" customHeight="1" x14ac:dyDescent="0.15">
      <c r="A11" s="17" t="str">
        <f t="shared" si="12"/>
        <v>14003_3-2</v>
      </c>
      <c r="B11" s="17" t="str">
        <f>IF(COUNTIF(enemy_habitats!$H:$H,A11),"OK","NG")</f>
        <v>OK</v>
      </c>
      <c r="C11" s="107">
        <v>14003</v>
      </c>
      <c r="D11" s="12" t="str">
        <f ca="1">VLOOKUP($C11,OFFSET([2]quests!$A$1,0,0,COUNTA([2]quests!$A:$A),MATCH(D$1,[2]quests!$1:$1,0)-MATCH($C$1,[2]quests!$1:$1,0)+1),MATCH(D$1,[2]quests!$1:$1,0)-MATCH($C$1,[2]quests!$1:$1,0)+1,FALSE)</f>
        <v>【ロック】限界突破/ソロ</v>
      </c>
      <c r="E11" s="22" t="str">
        <f ca="1">VLOOKUP($C11,OFFSET([2]quests!$A$1,0,0,COUNTA([2]quests!$A:$A),MATCH(E$1,[2]quests!$1:$1,0)-MATCH($C$1,[2]quests!$1:$1,0)+1),MATCH(E$1,[2]quests!$1:$1,0)-MATCH($C$1,[2]quests!$1:$1,0)+1,FALSE)</f>
        <v>【ロック】限界突破/ソロ</v>
      </c>
      <c r="F11" s="25">
        <v>3</v>
      </c>
      <c r="G11" s="26" t="str">
        <f t="shared" si="13"/>
        <v>14003_3</v>
      </c>
      <c r="H11" s="16" t="str">
        <f ca="1">VLOOKUP($G11,OFFSET([2]stages!$A$1,0,0,COUNTA([2]stages!$A:$A),MATCH(H$1,[2]stages!$2:$2,0)-MATCH($G$1,[2]stages!$2:$2,0)+1),MATCH(H$1,[2]stages!$2:$2,0)-MATCH($G$1,[2]stages!$2:$2,0)+1,FALSE)</f>
        <v>【超級】癒しの極意（ハートなし）</v>
      </c>
      <c r="I11" s="25">
        <v>2</v>
      </c>
      <c r="J11" s="13">
        <v>60</v>
      </c>
      <c r="K11" s="13">
        <v>60</v>
      </c>
    </row>
    <row r="12" spans="1:11" ht="21" customHeight="1" x14ac:dyDescent="0.15">
      <c r="A12" s="17" t="str">
        <f t="shared" ref="A12:A14" si="14">G12&amp;"-"&amp;I12</f>
        <v>14003_3-3</v>
      </c>
      <c r="B12" s="17" t="str">
        <f>IF(COUNTIF(enemy_habitats!$H:$H,A12),"OK","NG")</f>
        <v>OK</v>
      </c>
      <c r="C12" s="107">
        <v>14003</v>
      </c>
      <c r="D12" s="12" t="str">
        <f ca="1">VLOOKUP($C12,OFFSET([2]quests!$A$1,0,0,COUNTA([2]quests!$A:$A),MATCH(D$1,[2]quests!$1:$1,0)-MATCH($C$1,[2]quests!$1:$1,0)+1),MATCH(D$1,[2]quests!$1:$1,0)-MATCH($C$1,[2]quests!$1:$1,0)+1,FALSE)</f>
        <v>【ロック】限界突破/ソロ</v>
      </c>
      <c r="E12" s="22" t="str">
        <f ca="1">VLOOKUP($C12,OFFSET([2]quests!$A$1,0,0,COUNTA([2]quests!$A:$A),MATCH(E$1,[2]quests!$1:$1,0)-MATCH($C$1,[2]quests!$1:$1,0)+1),MATCH(E$1,[2]quests!$1:$1,0)-MATCH($C$1,[2]quests!$1:$1,0)+1,FALSE)</f>
        <v>【ロック】限界突破/ソロ</v>
      </c>
      <c r="F12" s="25">
        <v>3</v>
      </c>
      <c r="G12" s="26" t="str">
        <f t="shared" ref="G12:G14" si="15">C12&amp;"_"&amp;F12</f>
        <v>14003_3</v>
      </c>
      <c r="H12" s="16" t="str">
        <f ca="1">VLOOKUP($G12,OFFSET([2]stages!$A$1,0,0,COUNTA([2]stages!$A:$A),MATCH(H$1,[2]stages!$2:$2,0)-MATCH($G$1,[2]stages!$2:$2,0)+1),MATCH(H$1,[2]stages!$2:$2,0)-MATCH($G$1,[2]stages!$2:$2,0)+1,FALSE)</f>
        <v>【超級】癒しの極意（ハートなし）</v>
      </c>
      <c r="I12" s="25">
        <v>3</v>
      </c>
      <c r="J12" s="13">
        <v>60</v>
      </c>
      <c r="K12" s="13">
        <v>60</v>
      </c>
    </row>
    <row r="13" spans="1:11" ht="21" customHeight="1" x14ac:dyDescent="0.15">
      <c r="A13" s="17" t="str">
        <f t="shared" si="14"/>
        <v>14003_4-1</v>
      </c>
      <c r="B13" s="17" t="str">
        <f>IF(COUNTIF(enemy_habitats!$H:$H,A13),"OK","NG")</f>
        <v>OK</v>
      </c>
      <c r="C13" s="107">
        <v>14003</v>
      </c>
      <c r="D13" s="12" t="str">
        <f ca="1">VLOOKUP($C13,OFFSET([2]quests!$A$1,0,0,COUNTA([2]quests!$A:$A),MATCH(D$1,[2]quests!$1:$1,0)-MATCH($C$1,[2]quests!$1:$1,0)+1),MATCH(D$1,[2]quests!$1:$1,0)-MATCH($C$1,[2]quests!$1:$1,0)+1,FALSE)</f>
        <v>【ロック】限界突破/ソロ</v>
      </c>
      <c r="E13" s="22" t="str">
        <f ca="1">VLOOKUP($C13,OFFSET([2]quests!$A$1,0,0,COUNTA([2]quests!$A:$A),MATCH(E$1,[2]quests!$1:$1,0)-MATCH($C$1,[2]quests!$1:$1,0)+1),MATCH(E$1,[2]quests!$1:$1,0)-MATCH($C$1,[2]quests!$1:$1,0)+1,FALSE)</f>
        <v>【ロック】限界突破/ソロ</v>
      </c>
      <c r="F13" s="25">
        <v>4</v>
      </c>
      <c r="G13" s="26" t="str">
        <f t="shared" si="15"/>
        <v>14003_4</v>
      </c>
      <c r="H13" s="16" t="str">
        <f ca="1">VLOOKUP($G13,OFFSET([2]stages!$A$1,0,0,COUNTA([2]stages!$A:$A),MATCH(H$1,[2]stages!$2:$2,0)-MATCH($G$1,[2]stages!$2:$2,0)+1),MATCH(H$1,[2]stages!$2:$2,0)-MATCH($G$1,[2]stages!$2:$2,0)+1,FALSE)</f>
        <v>【超級】生命の極意（ハートなし）</v>
      </c>
      <c r="I13" s="25">
        <v>1</v>
      </c>
      <c r="J13" s="13">
        <v>60</v>
      </c>
      <c r="K13" s="13">
        <v>60</v>
      </c>
    </row>
    <row r="14" spans="1:11" ht="21" customHeight="1" x14ac:dyDescent="0.15">
      <c r="A14" s="17" t="str">
        <f t="shared" si="14"/>
        <v>14003_4-2</v>
      </c>
      <c r="B14" s="17" t="str">
        <f>IF(COUNTIF(enemy_habitats!$H:$H,A14),"OK","NG")</f>
        <v>OK</v>
      </c>
      <c r="C14" s="107">
        <v>14003</v>
      </c>
      <c r="D14" s="12" t="str">
        <f ca="1">VLOOKUP($C14,OFFSET([2]quests!$A$1,0,0,COUNTA([2]quests!$A:$A),MATCH(D$1,[2]quests!$1:$1,0)-MATCH($C$1,[2]quests!$1:$1,0)+1),MATCH(D$1,[2]quests!$1:$1,0)-MATCH($C$1,[2]quests!$1:$1,0)+1,FALSE)</f>
        <v>【ロック】限界突破/ソロ</v>
      </c>
      <c r="E14" s="22" t="str">
        <f ca="1">VLOOKUP($C14,OFFSET([2]quests!$A$1,0,0,COUNTA([2]quests!$A:$A),MATCH(E$1,[2]quests!$1:$1,0)-MATCH($C$1,[2]quests!$1:$1,0)+1),MATCH(E$1,[2]quests!$1:$1,0)-MATCH($C$1,[2]quests!$1:$1,0)+1,FALSE)</f>
        <v>【ロック】限界突破/ソロ</v>
      </c>
      <c r="F14" s="25">
        <v>4</v>
      </c>
      <c r="G14" s="26" t="str">
        <f t="shared" si="15"/>
        <v>14003_4</v>
      </c>
      <c r="H14" s="16" t="str">
        <f ca="1">VLOOKUP($G14,OFFSET([2]stages!$A$1,0,0,COUNTA([2]stages!$A:$A),MATCH(H$1,[2]stages!$2:$2,0)-MATCH($G$1,[2]stages!$2:$2,0)+1),MATCH(H$1,[2]stages!$2:$2,0)-MATCH($G$1,[2]stages!$2:$2,0)+1,FALSE)</f>
        <v>【超級】生命の極意（ハートなし）</v>
      </c>
      <c r="I14" s="25">
        <v>2</v>
      </c>
      <c r="J14" s="13">
        <v>60</v>
      </c>
      <c r="K14" s="13">
        <v>60</v>
      </c>
    </row>
    <row r="15" spans="1:11" ht="21" customHeight="1" x14ac:dyDescent="0.15">
      <c r="A15" s="17" t="str">
        <f t="shared" ref="A15" si="16">G15&amp;"-"&amp;I15</f>
        <v>14003_4-3</v>
      </c>
      <c r="B15" s="17" t="str">
        <f>IF(COUNTIF(enemy_habitats!$H:$H,A15),"OK","NG")</f>
        <v>OK</v>
      </c>
      <c r="C15" s="107">
        <v>14003</v>
      </c>
      <c r="D15" s="12" t="str">
        <f ca="1">VLOOKUP($C15,OFFSET([2]quests!$A$1,0,0,COUNTA([2]quests!$A:$A),MATCH(D$1,[2]quests!$1:$1,0)-MATCH($C$1,[2]quests!$1:$1,0)+1),MATCH(D$1,[2]quests!$1:$1,0)-MATCH($C$1,[2]quests!$1:$1,0)+1,FALSE)</f>
        <v>【ロック】限界突破/ソロ</v>
      </c>
      <c r="E15" s="22" t="str">
        <f ca="1">VLOOKUP($C15,OFFSET([2]quests!$A$1,0,0,COUNTA([2]quests!$A:$A),MATCH(E$1,[2]quests!$1:$1,0)-MATCH($C$1,[2]quests!$1:$1,0)+1),MATCH(E$1,[2]quests!$1:$1,0)-MATCH($C$1,[2]quests!$1:$1,0)+1,FALSE)</f>
        <v>【ロック】限界突破/ソロ</v>
      </c>
      <c r="F15" s="25">
        <v>4</v>
      </c>
      <c r="G15" s="26" t="str">
        <f t="shared" ref="G15" si="17">C15&amp;"_"&amp;F15</f>
        <v>14003_4</v>
      </c>
      <c r="H15" s="16" t="str">
        <f ca="1">VLOOKUP($G15,OFFSET([2]stages!$A$1,0,0,COUNTA([2]stages!$A:$A),MATCH(H$1,[2]stages!$2:$2,0)-MATCH($G$1,[2]stages!$2:$2,0)+1),MATCH(H$1,[2]stages!$2:$2,0)-MATCH($G$1,[2]stages!$2:$2,0)+1,FALSE)</f>
        <v>【超級】生命の極意（ハートなし）</v>
      </c>
      <c r="I15" s="25">
        <v>3</v>
      </c>
      <c r="J15" s="13">
        <v>60</v>
      </c>
      <c r="K15" s="13">
        <v>60</v>
      </c>
    </row>
    <row r="16" spans="1:11" ht="21" customHeight="1" x14ac:dyDescent="0.15">
      <c r="A16" s="17" t="str">
        <f t="shared" si="6"/>
        <v>14006_1-1</v>
      </c>
      <c r="B16" s="17" t="str">
        <f>IF(COUNTIF(enemy_habitats!$H:$H,A16),"OK","NG")</f>
        <v>OK</v>
      </c>
      <c r="C16" s="106">
        <v>14006</v>
      </c>
      <c r="D16" s="12" t="str">
        <f ca="1">VLOOKUP($C16,OFFSET([2]quests!$A$1,0,0,COUNTA([2]quests!$A:$A),MATCH(D$1,[2]quests!$1:$1,0)-MATCH($C$1,[2]quests!$1:$1,0)+1),MATCH(D$1,[2]quests!$1:$1,0)-MATCH($C$1,[2]quests!$1:$1,0)+1,FALSE)</f>
        <v>【ロック】限界突破/LINEマルチ</v>
      </c>
      <c r="E16" s="22" t="str">
        <f ca="1">VLOOKUP($C16,OFFSET([2]quests!$A$1,0,0,COUNTA([2]quests!$A:$A),MATCH(E$1,[2]quests!$1:$1,0)-MATCH($C$1,[2]quests!$1:$1,0)+1),MATCH(E$1,[2]quests!$1:$1,0)-MATCH($C$1,[2]quests!$1:$1,0)+1,FALSE)</f>
        <v>【ロック】限界突破/LINEマルチ</v>
      </c>
      <c r="F16" s="25">
        <v>1</v>
      </c>
      <c r="G16" s="26" t="str">
        <f t="shared" si="7"/>
        <v>14006_1</v>
      </c>
      <c r="H16" s="16" t="str">
        <f ca="1">VLOOKUP($G16,OFFSET([2]stages!$A$1,0,0,COUNTA([2]stages!$A:$A),MATCH(H$1,[2]stages!$2:$2,0)-MATCH($G$1,[2]stages!$2:$2,0)+1),MATCH(H$1,[2]stages!$2:$2,0)-MATCH($G$1,[2]stages!$2:$2,0)+1,FALSE)</f>
        <v>【超級】果実の楽園（ハートなし）</v>
      </c>
      <c r="I16" s="25">
        <v>1</v>
      </c>
      <c r="J16" s="13">
        <v>60</v>
      </c>
      <c r="K16" s="13">
        <v>60</v>
      </c>
    </row>
    <row r="17" spans="1:11" ht="21" customHeight="1" x14ac:dyDescent="0.15">
      <c r="A17" s="17" t="str">
        <f t="shared" si="6"/>
        <v>14006_1-2</v>
      </c>
      <c r="B17" s="17" t="str">
        <f>IF(COUNTIF(enemy_habitats!$H:$H,A17),"OK","NG")</f>
        <v>OK</v>
      </c>
      <c r="C17" s="106">
        <v>14006</v>
      </c>
      <c r="D17" s="12" t="str">
        <f ca="1">VLOOKUP($C17,OFFSET([2]quests!$A$1,0,0,COUNTA([2]quests!$A:$A),MATCH(D$1,[2]quests!$1:$1,0)-MATCH($C$1,[2]quests!$1:$1,0)+1),MATCH(D$1,[2]quests!$1:$1,0)-MATCH($C$1,[2]quests!$1:$1,0)+1,FALSE)</f>
        <v>【ロック】限界突破/LINEマルチ</v>
      </c>
      <c r="E17" s="22" t="str">
        <f ca="1">VLOOKUP($C17,OFFSET([2]quests!$A$1,0,0,COUNTA([2]quests!$A:$A),MATCH(E$1,[2]quests!$1:$1,0)-MATCH($C$1,[2]quests!$1:$1,0)+1),MATCH(E$1,[2]quests!$1:$1,0)-MATCH($C$1,[2]quests!$1:$1,0)+1,FALSE)</f>
        <v>【ロック】限界突破/LINEマルチ</v>
      </c>
      <c r="F17" s="25">
        <v>1</v>
      </c>
      <c r="G17" s="26" t="str">
        <f t="shared" si="7"/>
        <v>14006_1</v>
      </c>
      <c r="H17" s="16" t="str">
        <f ca="1">VLOOKUP($G17,OFFSET([2]stages!$A$1,0,0,COUNTA([2]stages!$A:$A),MATCH(H$1,[2]stages!$2:$2,0)-MATCH($G$1,[2]stages!$2:$2,0)+1),MATCH(H$1,[2]stages!$2:$2,0)-MATCH($G$1,[2]stages!$2:$2,0)+1,FALSE)</f>
        <v>【超級】果実の楽園（ハートなし）</v>
      </c>
      <c r="I17" s="25">
        <v>2</v>
      </c>
      <c r="J17" s="13">
        <v>59</v>
      </c>
      <c r="K17" s="13">
        <v>60</v>
      </c>
    </row>
    <row r="18" spans="1:11" ht="21" customHeight="1" x14ac:dyDescent="0.15">
      <c r="A18" s="17" t="str">
        <f t="shared" si="6"/>
        <v>14006_1-3</v>
      </c>
      <c r="B18" s="17" t="str">
        <f>IF(COUNTIF(enemy_habitats!$H:$H,A18),"OK","NG")</f>
        <v>OK</v>
      </c>
      <c r="C18" s="106">
        <v>14006</v>
      </c>
      <c r="D18" s="12" t="str">
        <f ca="1">VLOOKUP($C18,OFFSET([2]quests!$A$1,0,0,COUNTA([2]quests!$A:$A),MATCH(D$1,[2]quests!$1:$1,0)-MATCH($C$1,[2]quests!$1:$1,0)+1),MATCH(D$1,[2]quests!$1:$1,0)-MATCH($C$1,[2]quests!$1:$1,0)+1,FALSE)</f>
        <v>【ロック】限界突破/LINEマルチ</v>
      </c>
      <c r="E18" s="22" t="str">
        <f ca="1">VLOOKUP($C18,OFFSET([2]quests!$A$1,0,0,COUNTA([2]quests!$A:$A),MATCH(E$1,[2]quests!$1:$1,0)-MATCH($C$1,[2]quests!$1:$1,0)+1),MATCH(E$1,[2]quests!$1:$1,0)-MATCH($C$1,[2]quests!$1:$1,0)+1,FALSE)</f>
        <v>【ロック】限界突破/LINEマルチ</v>
      </c>
      <c r="F18" s="25">
        <v>1</v>
      </c>
      <c r="G18" s="26" t="str">
        <f t="shared" si="7"/>
        <v>14006_1</v>
      </c>
      <c r="H18" s="16" t="str">
        <f ca="1">VLOOKUP($G18,OFFSET([2]stages!$A$1,0,0,COUNTA([2]stages!$A:$A),MATCH(H$1,[2]stages!$2:$2,0)-MATCH($G$1,[2]stages!$2:$2,0)+1),MATCH(H$1,[2]stages!$2:$2,0)-MATCH($G$1,[2]stages!$2:$2,0)+1,FALSE)</f>
        <v>【超級】果実の楽園（ハートなし）</v>
      </c>
      <c r="I18" s="25">
        <v>3</v>
      </c>
      <c r="J18" s="13">
        <v>59</v>
      </c>
      <c r="K18" s="13">
        <v>60</v>
      </c>
    </row>
    <row r="19" spans="1:11" ht="21" customHeight="1" x14ac:dyDescent="0.15">
      <c r="A19" s="17" t="str">
        <f t="shared" ref="A19:A20" si="18">G19&amp;"-"&amp;I19</f>
        <v>14006_1-4</v>
      </c>
      <c r="B19" s="17" t="str">
        <f>IF(COUNTIF(enemy_habitats!$H:$H,A19),"OK","NG")</f>
        <v>OK</v>
      </c>
      <c r="C19" s="106">
        <v>14006</v>
      </c>
      <c r="D19" s="12" t="str">
        <f ca="1">VLOOKUP($C19,OFFSET([2]quests!$A$1,0,0,COUNTA([2]quests!$A:$A),MATCH(D$1,[2]quests!$1:$1,0)-MATCH($C$1,[2]quests!$1:$1,0)+1),MATCH(D$1,[2]quests!$1:$1,0)-MATCH($C$1,[2]quests!$1:$1,0)+1,FALSE)</f>
        <v>【ロック】限界突破/LINEマルチ</v>
      </c>
      <c r="E19" s="22" t="str">
        <f ca="1">VLOOKUP($C19,OFFSET([2]quests!$A$1,0,0,COUNTA([2]quests!$A:$A),MATCH(E$1,[2]quests!$1:$1,0)-MATCH($C$1,[2]quests!$1:$1,0)+1),MATCH(E$1,[2]quests!$1:$1,0)-MATCH($C$1,[2]quests!$1:$1,0)+1,FALSE)</f>
        <v>【ロック】限界突破/LINEマルチ</v>
      </c>
      <c r="F19" s="25">
        <v>1</v>
      </c>
      <c r="G19" s="26" t="str">
        <f t="shared" ref="G19:G20" si="19">C19&amp;"_"&amp;F19</f>
        <v>14006_1</v>
      </c>
      <c r="H19" s="16" t="str">
        <f ca="1">VLOOKUP($G19,OFFSET([2]stages!$A$1,0,0,COUNTA([2]stages!$A:$A),MATCH(H$1,[2]stages!$2:$2,0)-MATCH($G$1,[2]stages!$2:$2,0)+1),MATCH(H$1,[2]stages!$2:$2,0)-MATCH($G$1,[2]stages!$2:$2,0)+1,FALSE)</f>
        <v>【超級】果実の楽園（ハートなし）</v>
      </c>
      <c r="I19" s="25">
        <v>4</v>
      </c>
      <c r="J19" s="13">
        <v>59</v>
      </c>
      <c r="K19" s="13">
        <v>60</v>
      </c>
    </row>
    <row r="20" spans="1:11" ht="21" customHeight="1" x14ac:dyDescent="0.15">
      <c r="A20" s="17" t="str">
        <f t="shared" si="18"/>
        <v>14006_1-5</v>
      </c>
      <c r="B20" s="17" t="str">
        <f>IF(COUNTIF(enemy_habitats!$H:$H,A20),"OK","NG")</f>
        <v>OK</v>
      </c>
      <c r="C20" s="106">
        <v>14006</v>
      </c>
      <c r="D20" s="12" t="str">
        <f ca="1">VLOOKUP($C20,OFFSET([2]quests!$A$1,0,0,COUNTA([2]quests!$A:$A),MATCH(D$1,[2]quests!$1:$1,0)-MATCH($C$1,[2]quests!$1:$1,0)+1),MATCH(D$1,[2]quests!$1:$1,0)-MATCH($C$1,[2]quests!$1:$1,0)+1,FALSE)</f>
        <v>【ロック】限界突破/LINEマルチ</v>
      </c>
      <c r="E20" s="22" t="str">
        <f ca="1">VLOOKUP($C20,OFFSET([2]quests!$A$1,0,0,COUNTA([2]quests!$A:$A),MATCH(E$1,[2]quests!$1:$1,0)-MATCH($C$1,[2]quests!$1:$1,0)+1),MATCH(E$1,[2]quests!$1:$1,0)-MATCH($C$1,[2]quests!$1:$1,0)+1,FALSE)</f>
        <v>【ロック】限界突破/LINEマルチ</v>
      </c>
      <c r="F20" s="25">
        <v>1</v>
      </c>
      <c r="G20" s="26" t="str">
        <f t="shared" si="19"/>
        <v>14006_1</v>
      </c>
      <c r="H20" s="16" t="str">
        <f ca="1">VLOOKUP($G20,OFFSET([2]stages!$A$1,0,0,COUNTA([2]stages!$A:$A),MATCH(H$1,[2]stages!$2:$2,0)-MATCH($G$1,[2]stages!$2:$2,0)+1),MATCH(H$1,[2]stages!$2:$2,0)-MATCH($G$1,[2]stages!$2:$2,0)+1,FALSE)</f>
        <v>【超級】果実の楽園（ハートなし）</v>
      </c>
      <c r="I20" s="25">
        <v>5</v>
      </c>
      <c r="J20" s="13">
        <v>40</v>
      </c>
      <c r="K20" s="13">
        <v>40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60"/>
  <sheetViews>
    <sheetView showGridLines="0" zoomScale="75" zoomScaleNormal="75" zoomScalePageLayoutView="75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Z3" sqref="Z3"/>
    </sheetView>
  </sheetViews>
  <sheetFormatPr baseColWidth="12" defaultColWidth="13" defaultRowHeight="21" customHeight="1" outlineLevelCol="1" x14ac:dyDescent="0.15"/>
  <cols>
    <col min="1" max="1" width="12.5" style="23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6" width="15.6640625" style="4" hidden="1" customWidth="1" outlineLevel="1"/>
    <col min="7" max="7" width="11.83203125" style="4" bestFit="1" customWidth="1"/>
    <col min="8" max="8" width="11.83203125" style="4" customWidth="1" outlineLevel="1"/>
    <col min="9" max="10" width="12.33203125" style="4" customWidth="1" outlineLevel="1"/>
    <col min="11" max="11" width="13" style="4"/>
    <col min="12" max="12" width="15.33203125" style="10" bestFit="1" customWidth="1"/>
    <col min="13" max="13" width="17.6640625" style="4" customWidth="1"/>
    <col min="14" max="14" width="10.33203125" style="4" customWidth="1" outlineLevel="1"/>
    <col min="15" max="15" width="13.6640625" style="4" customWidth="1" outlineLevel="1"/>
    <col min="16" max="16" width="24.6640625" style="4" customWidth="1" outlineLevel="1"/>
    <col min="17" max="17" width="11.6640625" style="4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14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39" ht="21" customHeight="1" x14ac:dyDescent="0.15">
      <c r="A1" s="17" t="s">
        <v>28</v>
      </c>
      <c r="B1" s="1" t="s">
        <v>0</v>
      </c>
      <c r="C1" s="1" t="s">
        <v>1</v>
      </c>
      <c r="D1" s="16" t="s">
        <v>27</v>
      </c>
      <c r="E1" s="2" t="s">
        <v>20</v>
      </c>
      <c r="F1" s="2" t="s">
        <v>20</v>
      </c>
      <c r="G1" s="1" t="s">
        <v>19</v>
      </c>
      <c r="H1" s="16" t="s">
        <v>34</v>
      </c>
      <c r="I1" s="38" t="s">
        <v>14</v>
      </c>
      <c r="J1" s="38" t="s">
        <v>15</v>
      </c>
      <c r="K1" s="1" t="s">
        <v>143</v>
      </c>
      <c r="L1" s="1" t="s">
        <v>2</v>
      </c>
      <c r="M1" s="19" t="s">
        <v>21</v>
      </c>
      <c r="N1" s="16" t="s">
        <v>23</v>
      </c>
      <c r="O1" s="16" t="s">
        <v>46</v>
      </c>
      <c r="P1" s="21" t="s">
        <v>25</v>
      </c>
      <c r="Q1" s="2" t="s">
        <v>24</v>
      </c>
      <c r="R1" s="1" t="s">
        <v>3</v>
      </c>
      <c r="S1" s="28" t="s">
        <v>47</v>
      </c>
      <c r="T1" s="28" t="s">
        <v>48</v>
      </c>
      <c r="U1" s="28" t="s">
        <v>49</v>
      </c>
      <c r="V1" s="16" t="s">
        <v>30</v>
      </c>
      <c r="W1" s="1" t="s">
        <v>4</v>
      </c>
      <c r="X1" s="1" t="s">
        <v>5</v>
      </c>
      <c r="Y1" s="1" t="s">
        <v>6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26</v>
      </c>
      <c r="AF1" s="3" t="s">
        <v>10</v>
      </c>
      <c r="AG1" s="1" t="s">
        <v>11</v>
      </c>
      <c r="AH1" s="1" t="s">
        <v>12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45</v>
      </c>
    </row>
    <row r="2" spans="1:39" ht="21" customHeight="1" x14ac:dyDescent="0.15">
      <c r="A2" s="17" t="str">
        <f ca="1">B2&amp;"_"&amp;C2&amp;"-"&amp;G2&amp;"/"&amp;L2&amp;"&lt;lv"&amp;R2&amp;"&gt;s"&amp;AA2</f>
        <v>14003_1-1/121&lt;lv32&gt;s1</v>
      </c>
      <c r="B2" s="64">
        <v>14003</v>
      </c>
      <c r="C2" s="66">
        <v>1</v>
      </c>
      <c r="D2" s="66" t="str">
        <f>B2&amp;"_"&amp;C2</f>
        <v>14003_1</v>
      </c>
      <c r="E2" s="63" t="str">
        <f ca="1">VLOOKUP($B2,OFFSET([2]quests!$A$1,0,0,COUNTA([2]quests!$A:$A),MATCH(E$1,[2]quests!$1:$1,0)-MATCH($B$1,[2]quests!$1:$1,0)+1),MATCH(E$1,[2]quests!$1:$1,0)-MATCH($B$1,[2]quests!$1:$1,0)+1,FALSE)</f>
        <v>【ロック】限界突破/ソロ</v>
      </c>
      <c r="F2" s="63" t="str">
        <f ca="1">VLOOKUP($D2,OFFSET([2]stages!$A$1,0,0,COUNTA([2]stages!$A:$A),MATCH(F$1,[2]stages!$2:$2,0)-MATCH($D$1,[2]stages!$2:$2,0)+1),MATCH(F$1,[2]stages!$2:$2,0)-MATCH($D$1,[2]stages!$2:$2,0)+1,FALSE)</f>
        <v>【超級】果実の楽園（ハートなし）</v>
      </c>
      <c r="G2" s="66">
        <v>1</v>
      </c>
      <c r="H2" s="16" t="str">
        <f>B2&amp;"_"&amp;C2&amp;"-"&amp;G2</f>
        <v>14003_1-1</v>
      </c>
      <c r="I2" s="5">
        <f ca="1">VLOOKUP($H2,OFFSET(floors!$A$1,0,0,COUNTA(floors!$A:$A),MATCH(I$1,floors!$1:$1,0)-MATCH($H$1,floors!$1:$1,0)+1),MATCH(I$1,floors!$1:$1,0)-MATCH($H$1,floors!$1:$1,0)+1,FALSE)</f>
        <v>60</v>
      </c>
      <c r="J2" s="5">
        <f ca="1">VLOOKUP($H2,OFFSET(floors!$A$1,0,0,COUNTA(floors!$A:$A),MATCH(J$1,floors!$1:$1,0)-MATCH($H$1,floors!$1:$1,0)+1),MATCH(J$1,floors!$1:$1,0)-MATCH($H$1,floors!$1:$1,0)+1,FALSE)</f>
        <v>60</v>
      </c>
      <c r="K2" s="8" t="s">
        <v>142</v>
      </c>
      <c r="L2" s="24">
        <v>121</v>
      </c>
      <c r="M2" s="20" t="str">
        <f ca="1">VLOOKUP($L2,OFFSET([3]enemies!$A$1,0,0,COUNTA([3]enemies!$A:$A),MATCH(M$1,[3]enemies!$1:$1,0)-MATCH($L$1,[3]enemies!$1:$1,0)+1),MATCH(M$1,[3]enemies!$1:$1,0)-MATCH($L$1,[3]enemies!$1:$1,0)+1,FALSE)</f>
        <v>攻めの果実</v>
      </c>
      <c r="N2" s="20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20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2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20">
        <f ca="1">VLOOKUP($L2,OFFSET([3]enemies!$A$1,0,0,COUNTA([3]enemies!$A:$A),MATCH(Q$1,[3]enemies!$1:$1,0)-MATCH($L$1,[3]enemies!$1:$1,0)+1),MATCH(Q$1,[3]enemies!$1:$1,0)-MATCH($L$1,[3]enemies!$1:$1,0)+1,FALSE)</f>
        <v>20</v>
      </c>
      <c r="R2" s="6">
        <v>32</v>
      </c>
      <c r="S2" s="5">
        <f ca="1">VLOOKUP($L2,OFFSET(調整用!$C$1,0,0,COUNTA(調整用!$C:$C),MATCH(S$1,調整用!$1:$1,0)-MATCH($L$1,調整用!$1:$1,0)+1),MATCH(S$1,調整用!$1:$1,0)-MATCH($L$1,調整用!$1:$1,0)+1,FALSE)</f>
        <v>0.5</v>
      </c>
      <c r="T2" s="5">
        <f ca="1">VLOOKUP($L2,OFFSET(調整用!$C$1,0,0,COUNTA(調整用!$C:$C),MATCH(T$1,調整用!$1:$1,0)-MATCH($L$1,調整用!$1:$1,0)+1),MATCH(T$1,調整用!$1:$1,0)-MATCH($L$1,調整用!$1:$1,0)+1,FALSE)</f>
        <v>1</v>
      </c>
      <c r="U2" s="5">
        <f ca="1">VLOOKUP($L2,OFFSET(調整用!$C$1,0,0,COUNTA(調整用!$C:$C),MATCH(U$1,調整用!$1:$1,0)-MATCH($L$1,調整用!$1:$1,0)+1),MATCH(U$1,調整用!$1:$1,0)-MATCH($L$1,調整用!$1:$1,0)+1,FALSE)</f>
        <v>0</v>
      </c>
      <c r="V2" s="5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5">
        <f ca="1">VLOOKUP($L2,OFFSET([3]enemies!$A$1,0,0,COUNTA([3]enemies!$A:$A),MATCH(W$1,[3]enemies!$1:$1,0)-MATCH($L$1,[3]enemies!$1:$1,0)+1),MATCH(W$1,[3]enemies!$1:$1,0)-MATCH($L$1,[3]enemies!$1:$1,0)+1,FALSE)</f>
        <v>0</v>
      </c>
      <c r="X2" s="7">
        <v>0</v>
      </c>
      <c r="Y2" s="7">
        <v>100</v>
      </c>
      <c r="Z2" s="7">
        <v>0</v>
      </c>
      <c r="AA2" s="5">
        <f ca="1">VLOOKUP($L2,OFFSET(調整用!$C$1,0,0,COUNTA(調整用!$C:$C),MATCH(AA$1,調整用!$1:$1,0)-MATCH($L$1,調整用!$1:$1,0)+1),MATCH(AA$1,調整用!$1:$1,0)-MATCH($L$1,調整用!$1:$1,0)+1,FALSE)</f>
        <v>1</v>
      </c>
      <c r="AB2" s="2">
        <f>L2</f>
        <v>121</v>
      </c>
      <c r="AC2" s="5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2" s="5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5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8">
        <v>1</v>
      </c>
      <c r="AG2" s="27">
        <f ca="1">AD2</f>
        <v>3</v>
      </c>
      <c r="AH2" s="9">
        <v>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</row>
    <row r="3" spans="1:39" ht="21" customHeight="1" x14ac:dyDescent="0.15">
      <c r="A3" s="17" t="str">
        <f ca="1">B3&amp;"_"&amp;C3&amp;"-"&amp;G3&amp;"/"&amp;L3&amp;"&lt;lv"&amp;R3&amp;"&gt;s"&amp;AA3</f>
        <v>14003_1-1/122&lt;lv32&gt;s2</v>
      </c>
      <c r="B3" s="64">
        <v>14003</v>
      </c>
      <c r="C3" s="66">
        <v>1</v>
      </c>
      <c r="D3" s="66" t="str">
        <f>B3&amp;"_"&amp;C3</f>
        <v>14003_1</v>
      </c>
      <c r="E3" s="63" t="str">
        <f ca="1">VLOOKUP($B3,OFFSET([2]quests!$A$1,0,0,COUNTA([2]quests!$A:$A),MATCH(E$1,[2]quests!$1:$1,0)-MATCH($B$1,[2]quests!$1:$1,0)+1),MATCH(E$1,[2]quests!$1:$1,0)-MATCH($B$1,[2]quests!$1:$1,0)+1,FALSE)</f>
        <v>【ロック】限界突破/ソロ</v>
      </c>
      <c r="F3" s="63" t="str">
        <f ca="1">VLOOKUP($D3,OFFSET([2]stages!$A$1,0,0,COUNTA([2]stages!$A:$A),MATCH(F$1,[2]stages!$2:$2,0)-MATCH($D$1,[2]stages!$2:$2,0)+1),MATCH(F$1,[2]stages!$2:$2,0)-MATCH($D$1,[2]stages!$2:$2,0)+1,FALSE)</f>
        <v>【超級】果実の楽園（ハートなし）</v>
      </c>
      <c r="G3" s="66">
        <v>1</v>
      </c>
      <c r="H3" s="16" t="str">
        <f>B3&amp;"_"&amp;C3&amp;"-"&amp;G3</f>
        <v>14003_1-1</v>
      </c>
      <c r="I3" s="5">
        <f ca="1">VLOOKUP($H3,OFFSET(floors!$A$1,0,0,COUNTA(floors!$A:$A),MATCH(I$1,floors!$1:$1,0)-MATCH($H$1,floors!$1:$1,0)+1),MATCH(I$1,floors!$1:$1,0)-MATCH($H$1,floors!$1:$1,0)+1,FALSE)</f>
        <v>60</v>
      </c>
      <c r="J3" s="5">
        <f ca="1">VLOOKUP($H3,OFFSET(floors!$A$1,0,0,COUNTA(floors!$A:$A),MATCH(J$1,floors!$1:$1,0)-MATCH($H$1,floors!$1:$1,0)+1),MATCH(J$1,floors!$1:$1,0)-MATCH($H$1,floors!$1:$1,0)+1,FALSE)</f>
        <v>60</v>
      </c>
      <c r="K3" s="8" t="s">
        <v>142</v>
      </c>
      <c r="L3" s="24">
        <v>122</v>
      </c>
      <c r="M3" s="20" t="str">
        <f ca="1">VLOOKUP($L3,OFFSET([3]enemies!$A$1,0,0,COUNTA([3]enemies!$A:$A),MATCH(M$1,[3]enemies!$1:$1,0)-MATCH($L$1,[3]enemies!$1:$1,0)+1),MATCH(M$1,[3]enemies!$1:$1,0)-MATCH($L$1,[3]enemies!$1:$1,0)+1,FALSE)</f>
        <v>生命の果実</v>
      </c>
      <c r="N3" s="20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20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20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20">
        <f ca="1">VLOOKUP($L3,OFFSET([3]enemies!$A$1,0,0,COUNTA([3]enemies!$A:$A),MATCH(Q$1,[3]enemies!$1:$1,0)-MATCH($L$1,[3]enemies!$1:$1,0)+1),MATCH(Q$1,[3]enemies!$1:$1,0)-MATCH($L$1,[3]enemies!$1:$1,0)+1,FALSE)</f>
        <v>20</v>
      </c>
      <c r="R3" s="6">
        <v>32</v>
      </c>
      <c r="S3" s="5">
        <f ca="1">VLOOKUP($L3,OFFSET(調整用!$C$1,0,0,COUNTA(調整用!$C:$C),MATCH(S$1,調整用!$1:$1,0)-MATCH($L$1,調整用!$1:$1,0)+1),MATCH(S$1,調整用!$1:$1,0)-MATCH($L$1,調整用!$1:$1,0)+1,FALSE)</f>
        <v>0.5</v>
      </c>
      <c r="T3" s="5">
        <f ca="1">VLOOKUP($L3,OFFSET(調整用!$C$1,0,0,COUNTA(調整用!$C:$C),MATCH(T$1,調整用!$1:$1,0)-MATCH($L$1,調整用!$1:$1,0)+1),MATCH(T$1,調整用!$1:$1,0)-MATCH($L$1,調整用!$1:$1,0)+1,FALSE)</f>
        <v>0.7</v>
      </c>
      <c r="U3" s="5">
        <f ca="1">VLOOKUP($L3,OFFSET(調整用!$C$1,0,0,COUNTA(調整用!$C:$C),MATCH(U$1,調整用!$1:$1,0)-MATCH($L$1,調整用!$1:$1,0)+1),MATCH(U$1,調整用!$1:$1,0)-MATCH($L$1,調整用!$1:$1,0)+1,FALSE)</f>
        <v>0</v>
      </c>
      <c r="V3" s="5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5">
        <f ca="1">VLOOKUP($L3,OFFSET([3]enemies!$A$1,0,0,COUNTA([3]enemies!$A:$A),MATCH(W$1,[3]enemies!$1:$1,0)-MATCH($L$1,[3]enemies!$1:$1,0)+1),MATCH(W$1,[3]enemies!$1:$1,0)-MATCH($L$1,[3]enemies!$1:$1,0)+1,FALSE)</f>
        <v>0</v>
      </c>
      <c r="X3" s="7">
        <v>0</v>
      </c>
      <c r="Y3" s="7">
        <v>100</v>
      </c>
      <c r="Z3" s="7">
        <v>0</v>
      </c>
      <c r="AA3" s="5">
        <f ca="1">VLOOKUP($L3,OFFSET(調整用!$C$1,0,0,COUNTA(調整用!$C:$C),MATCH(AA$1,調整用!$1:$1,0)-MATCH($L$1,調整用!$1:$1,0)+1),MATCH(AA$1,調整用!$1:$1,0)-MATCH($L$1,調整用!$1:$1,0)+1,FALSE)</f>
        <v>2</v>
      </c>
      <c r="AB3" s="2">
        <f>L3</f>
        <v>122</v>
      </c>
      <c r="AC3" s="5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3" s="5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5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8">
        <v>1</v>
      </c>
      <c r="AG3" s="27">
        <f ca="1">AD3</f>
        <v>3</v>
      </c>
      <c r="AH3" s="9">
        <v>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</row>
    <row r="4" spans="1:39" ht="21" customHeight="1" x14ac:dyDescent="0.15">
      <c r="A4" s="17" t="str">
        <f ca="1">B4&amp;"_"&amp;C4&amp;"-"&amp;G4&amp;"/"&amp;L4&amp;"&lt;lv"&amp;R4&amp;"&gt;s"&amp;AA4</f>
        <v>14003_1-1/123&lt;lv32&gt;s3</v>
      </c>
      <c r="B4" s="64">
        <v>14003</v>
      </c>
      <c r="C4" s="66">
        <v>1</v>
      </c>
      <c r="D4" s="66" t="str">
        <f>B4&amp;"_"&amp;C4</f>
        <v>14003_1</v>
      </c>
      <c r="E4" s="63" t="str">
        <f ca="1">VLOOKUP($B4,OFFSET([2]quests!$A$1,0,0,COUNTA([2]quests!$A:$A),MATCH(E$1,[2]quests!$1:$1,0)-MATCH($B$1,[2]quests!$1:$1,0)+1),MATCH(E$1,[2]quests!$1:$1,0)-MATCH($B$1,[2]quests!$1:$1,0)+1,FALSE)</f>
        <v>【ロック】限界突破/ソロ</v>
      </c>
      <c r="F4" s="63" t="str">
        <f ca="1">VLOOKUP($D4,OFFSET([2]stages!$A$1,0,0,COUNTA([2]stages!$A:$A),MATCH(F$1,[2]stages!$2:$2,0)-MATCH($D$1,[2]stages!$2:$2,0)+1),MATCH(F$1,[2]stages!$2:$2,0)-MATCH($D$1,[2]stages!$2:$2,0)+1,FALSE)</f>
        <v>【超級】果実の楽園（ハートなし）</v>
      </c>
      <c r="G4" s="66">
        <v>1</v>
      </c>
      <c r="H4" s="16" t="str">
        <f>B4&amp;"_"&amp;C4&amp;"-"&amp;G4</f>
        <v>14003_1-1</v>
      </c>
      <c r="I4" s="5">
        <f ca="1">VLOOKUP($H4,OFFSET(floors!$A$1,0,0,COUNTA(floors!$A:$A),MATCH(I$1,floors!$1:$1,0)-MATCH($H$1,floors!$1:$1,0)+1),MATCH(I$1,floors!$1:$1,0)-MATCH($H$1,floors!$1:$1,0)+1,FALSE)</f>
        <v>60</v>
      </c>
      <c r="J4" s="5">
        <f ca="1">VLOOKUP($H4,OFFSET(floors!$A$1,0,0,COUNTA(floors!$A:$A),MATCH(J$1,floors!$1:$1,0)-MATCH($H$1,floors!$1:$1,0)+1),MATCH(J$1,floors!$1:$1,0)-MATCH($H$1,floors!$1:$1,0)+1,FALSE)</f>
        <v>60</v>
      </c>
      <c r="K4" s="8" t="s">
        <v>142</v>
      </c>
      <c r="L4" s="24">
        <v>123</v>
      </c>
      <c r="M4" s="20" t="str">
        <f ca="1">VLOOKUP($L4,OFFSET([3]enemies!$A$1,0,0,COUNTA([3]enemies!$A:$A),MATCH(M$1,[3]enemies!$1:$1,0)-MATCH($L$1,[3]enemies!$1:$1,0)+1),MATCH(M$1,[3]enemies!$1:$1,0)-MATCH($L$1,[3]enemies!$1:$1,0)+1,FALSE)</f>
        <v>癒しの果実</v>
      </c>
      <c r="N4" s="20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20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20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20">
        <f ca="1">VLOOKUP($L4,OFFSET([3]enemies!$A$1,0,0,COUNTA([3]enemies!$A:$A),MATCH(Q$1,[3]enemies!$1:$1,0)-MATCH($L$1,[3]enemies!$1:$1,0)+1),MATCH(Q$1,[3]enemies!$1:$1,0)-MATCH($L$1,[3]enemies!$1:$1,0)+1,FALSE)</f>
        <v>20</v>
      </c>
      <c r="R4" s="6">
        <v>32</v>
      </c>
      <c r="S4" s="5">
        <f ca="1">VLOOKUP($L4,OFFSET(調整用!$C$1,0,0,COUNTA(調整用!$C:$C),MATCH(S$1,調整用!$1:$1,0)-MATCH($L$1,調整用!$1:$1,0)+1),MATCH(S$1,調整用!$1:$1,0)-MATCH($L$1,調整用!$1:$1,0)+1,FALSE)</f>
        <v>0.5</v>
      </c>
      <c r="T4" s="5">
        <f ca="1">VLOOKUP($L4,OFFSET(調整用!$C$1,0,0,COUNTA(調整用!$C:$C),MATCH(T$1,調整用!$1:$1,0)-MATCH($L$1,調整用!$1:$1,0)+1),MATCH(T$1,調整用!$1:$1,0)-MATCH($L$1,調整用!$1:$1,0)+1,FALSE)</f>
        <v>1</v>
      </c>
      <c r="U4" s="5">
        <f ca="1">VLOOKUP($L4,OFFSET(調整用!$C$1,0,0,COUNTA(調整用!$C:$C),MATCH(U$1,調整用!$1:$1,0)-MATCH($L$1,調整用!$1:$1,0)+1),MATCH(U$1,調整用!$1:$1,0)-MATCH($L$1,調整用!$1:$1,0)+1,FALSE)</f>
        <v>0</v>
      </c>
      <c r="V4" s="5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5">
        <f ca="1">VLOOKUP($L4,OFFSET([3]enemies!$A$1,0,0,COUNTA([3]enemies!$A:$A),MATCH(W$1,[3]enemies!$1:$1,0)-MATCH($L$1,[3]enemies!$1:$1,0)+1),MATCH(W$1,[3]enemies!$1:$1,0)-MATCH($L$1,[3]enemies!$1:$1,0)+1,FALSE)</f>
        <v>0</v>
      </c>
      <c r="X4" s="7">
        <v>0</v>
      </c>
      <c r="Y4" s="7">
        <v>100</v>
      </c>
      <c r="Z4" s="7">
        <v>0</v>
      </c>
      <c r="AA4" s="5">
        <f ca="1">VLOOKUP($L4,OFFSET(調整用!$C$1,0,0,COUNTA(調整用!$C:$C),MATCH(AA$1,調整用!$1:$1,0)-MATCH($L$1,調整用!$1:$1,0)+1),MATCH(AA$1,調整用!$1:$1,0)-MATCH($L$1,調整用!$1:$1,0)+1,FALSE)</f>
        <v>3</v>
      </c>
      <c r="AB4" s="2">
        <f>L4</f>
        <v>123</v>
      </c>
      <c r="AC4" s="5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4" s="5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5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8">
        <v>1</v>
      </c>
      <c r="AG4" s="27">
        <f ca="1">AD4</f>
        <v>3</v>
      </c>
      <c r="AH4" s="9">
        <v>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</row>
    <row r="5" spans="1:39" ht="21" customHeight="1" x14ac:dyDescent="0.15">
      <c r="A5" s="17" t="str">
        <f ca="1">B5&amp;"_"&amp;C5&amp;"-"&amp;G5&amp;"/"&amp;L5&amp;"&lt;lv"&amp;R5&amp;"&gt;s"&amp;AA5</f>
        <v>14003_1-1/125&lt;lv32&gt;s1</v>
      </c>
      <c r="B5" s="64">
        <v>14003</v>
      </c>
      <c r="C5" s="66">
        <v>1</v>
      </c>
      <c r="D5" s="66" t="str">
        <f>B5&amp;"_"&amp;C5</f>
        <v>14003_1</v>
      </c>
      <c r="E5" s="63" t="str">
        <f ca="1">VLOOKUP($B5,OFFSET([2]quests!$A$1,0,0,COUNTA([2]quests!$A:$A),MATCH(E$1,[2]quests!$1:$1,0)-MATCH($B$1,[2]quests!$1:$1,0)+1),MATCH(E$1,[2]quests!$1:$1,0)-MATCH($B$1,[2]quests!$1:$1,0)+1,FALSE)</f>
        <v>【ロック】限界突破/ソロ</v>
      </c>
      <c r="F5" s="63" t="str">
        <f ca="1">VLOOKUP($D5,OFFSET([2]stages!$A$1,0,0,COUNTA([2]stages!$A:$A),MATCH(F$1,[2]stages!$2:$2,0)-MATCH($D$1,[2]stages!$2:$2,0)+1),MATCH(F$1,[2]stages!$2:$2,0)-MATCH($D$1,[2]stages!$2:$2,0)+1,FALSE)</f>
        <v>【超級】果実の楽園（ハートなし）</v>
      </c>
      <c r="G5" s="66">
        <v>1</v>
      </c>
      <c r="H5" s="16" t="str">
        <f>B5&amp;"_"&amp;C5&amp;"-"&amp;G5</f>
        <v>14003_1-1</v>
      </c>
      <c r="I5" s="5">
        <f ca="1">VLOOKUP($H5,OFFSET(floors!$A$1,0,0,COUNTA(floors!$A:$A),MATCH(I$1,floors!$1:$1,0)-MATCH($H$1,floors!$1:$1,0)+1),MATCH(I$1,floors!$1:$1,0)-MATCH($H$1,floors!$1:$1,0)+1,FALSE)</f>
        <v>60</v>
      </c>
      <c r="J5" s="5">
        <f ca="1">VLOOKUP($H5,OFFSET(floors!$A$1,0,0,COUNTA(floors!$A:$A),MATCH(J$1,floors!$1:$1,0)-MATCH($H$1,floors!$1:$1,0)+1),MATCH(J$1,floors!$1:$1,0)-MATCH($H$1,floors!$1:$1,0)+1,FALSE)</f>
        <v>60</v>
      </c>
      <c r="K5" s="8" t="s">
        <v>142</v>
      </c>
      <c r="L5" s="24">
        <v>125</v>
      </c>
      <c r="M5" s="20" t="str">
        <f ca="1">VLOOKUP($L5,OFFSET([3]enemies!$A$1,0,0,COUNTA([3]enemies!$A:$A),MATCH(M$1,[3]enemies!$1:$1,0)-MATCH($L$1,[3]enemies!$1:$1,0)+1),MATCH(M$1,[3]enemies!$1:$1,0)-MATCH($L$1,[3]enemies!$1:$1,0)+1,FALSE)</f>
        <v>秘術の果実</v>
      </c>
      <c r="N5" s="20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20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2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20">
        <f ca="1">VLOOKUP($L5,OFFSET([3]enemies!$A$1,0,0,COUNTA([3]enemies!$A:$A),MATCH(Q$1,[3]enemies!$1:$1,0)-MATCH($L$1,[3]enemies!$1:$1,0)+1),MATCH(Q$1,[3]enemies!$1:$1,0)-MATCH($L$1,[3]enemies!$1:$1,0)+1,FALSE)</f>
        <v>20</v>
      </c>
      <c r="R5" s="6">
        <v>32</v>
      </c>
      <c r="S5" s="5">
        <f ca="1">VLOOKUP($L5,OFFSET(調整用!$C$1,0,0,COUNTA(調整用!$C:$C),MATCH(S$1,調整用!$1:$1,0)-MATCH($L$1,調整用!$1:$1,0)+1),MATCH(S$1,調整用!$1:$1,0)-MATCH($L$1,調整用!$1:$1,0)+1,FALSE)</f>
        <v>0.4</v>
      </c>
      <c r="T5" s="5">
        <f ca="1">VLOOKUP($L5,OFFSET(調整用!$C$1,0,0,COUNTA(調整用!$C:$C),MATCH(T$1,調整用!$1:$1,0)-MATCH($L$1,調整用!$1:$1,0)+1),MATCH(T$1,調整用!$1:$1,0)-MATCH($L$1,調整用!$1:$1,0)+1,FALSE)</f>
        <v>0.8</v>
      </c>
      <c r="U5" s="5">
        <f ca="1">VLOOKUP($L5,OFFSET(調整用!$C$1,0,0,COUNTA(調整用!$C:$C),MATCH(U$1,調整用!$1:$1,0)-MATCH($L$1,調整用!$1:$1,0)+1),MATCH(U$1,調整用!$1:$1,0)-MATCH($L$1,調整用!$1:$1,0)+1,FALSE)</f>
        <v>0</v>
      </c>
      <c r="V5" s="5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5">
        <f ca="1">VLOOKUP($L5,OFFSET([3]enemies!$A$1,0,0,COUNTA([3]enemies!$A:$A),MATCH(W$1,[3]enemies!$1:$1,0)-MATCH($L$1,[3]enemies!$1:$1,0)+1),MATCH(W$1,[3]enemies!$1:$1,0)-MATCH($L$1,[3]enemies!$1:$1,0)+1,FALSE)</f>
        <v>0</v>
      </c>
      <c r="X5" s="7">
        <v>0</v>
      </c>
      <c r="Y5" s="7">
        <v>90</v>
      </c>
      <c r="Z5" s="7">
        <v>1</v>
      </c>
      <c r="AA5" s="5">
        <f ca="1">VLOOKUP($L5,OFFSET(調整用!$C$1,0,0,COUNTA(調整用!$C:$C),MATCH(AA$1,調整用!$1:$1,0)-MATCH($L$1,調整用!$1:$1,0)+1),MATCH(AA$1,調整用!$1:$1,0)-MATCH($L$1,調整用!$1:$1,0)+1,FALSE)</f>
        <v>1</v>
      </c>
      <c r="AB5" s="2">
        <f>L5</f>
        <v>125</v>
      </c>
      <c r="AC5" s="5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秘術の果実</v>
      </c>
      <c r="AD5" s="5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5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8">
        <v>1</v>
      </c>
      <c r="AG5" s="27">
        <f ca="1">AD5</f>
        <v>3</v>
      </c>
      <c r="AH5" s="9">
        <v>100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</row>
    <row r="6" spans="1:39" ht="21" customHeight="1" x14ac:dyDescent="0.15">
      <c r="A6" s="17" t="str">
        <f>B6&amp;"_"&amp;C6&amp;"-"&amp;G6&amp;"/"&amp;L6&amp;"&lt;lv"&amp;R6&amp;"&gt;s"&amp;AA6</f>
        <v>14003_1-1/610&lt;lv32&gt;s1</v>
      </c>
      <c r="B6" s="64">
        <v>14003</v>
      </c>
      <c r="C6" s="66">
        <v>1</v>
      </c>
      <c r="D6" s="66" t="str">
        <f>B6&amp;"_"&amp;C6</f>
        <v>14003_1</v>
      </c>
      <c r="E6" s="63" t="str">
        <f ca="1">VLOOKUP($B6,OFFSET([2]quests!$A$1,0,0,COUNTA([2]quests!$A:$A),MATCH(E$1,[2]quests!$1:$1,0)-MATCH($B$1,[2]quests!$1:$1,0)+1),MATCH(E$1,[2]quests!$1:$1,0)-MATCH($B$1,[2]quests!$1:$1,0)+1,FALSE)</f>
        <v>【ロック】限界突破/ソロ</v>
      </c>
      <c r="F6" s="63" t="str">
        <f ca="1">VLOOKUP($D6,OFFSET([2]stages!$A$1,0,0,COUNTA([2]stages!$A:$A),MATCH(F$1,[2]stages!$2:$2,0)-MATCH($D$1,[2]stages!$2:$2,0)+1),MATCH(F$1,[2]stages!$2:$2,0)-MATCH($D$1,[2]stages!$2:$2,0)+1,FALSE)</f>
        <v>【超級】果実の楽園（ハートなし）</v>
      </c>
      <c r="G6" s="66">
        <v>1</v>
      </c>
      <c r="H6" s="16" t="str">
        <f>B6&amp;"_"&amp;C6&amp;"-"&amp;G6</f>
        <v>14003_1-1</v>
      </c>
      <c r="I6" s="5">
        <f ca="1">VLOOKUP($H6,OFFSET(floors!$A$1,0,0,COUNTA(floors!$A:$A),MATCH(I$1,floors!$1:$1,0)-MATCH($H$1,floors!$1:$1,0)+1),MATCH(I$1,floors!$1:$1,0)-MATCH($H$1,floors!$1:$1,0)+1,FALSE)</f>
        <v>60</v>
      </c>
      <c r="J6" s="5">
        <f ca="1">VLOOKUP($H6,OFFSET(floors!$A$1,0,0,COUNTA(floors!$A:$A),MATCH(J$1,floors!$1:$1,0)-MATCH($H$1,floors!$1:$1,0)+1),MATCH(J$1,floors!$1:$1,0)-MATCH($H$1,floors!$1:$1,0)+1,FALSE)</f>
        <v>60</v>
      </c>
      <c r="K6" s="8" t="s">
        <v>142</v>
      </c>
      <c r="L6" s="24">
        <v>610</v>
      </c>
      <c r="M6" s="20" t="str">
        <f ca="1">VLOOKUP($L6,OFFSET([3]enemies!$A$1,0,0,COUNTA([3]enemies!$A:$A),MATCH(M$1,[3]enemies!$1:$1,0)-MATCH($L$1,[3]enemies!$1:$1,0)+1),MATCH(M$1,[3]enemies!$1:$1,0)-MATCH($L$1,[3]enemies!$1:$1,0)+1,FALSE)</f>
        <v>メガ秘術の果実</v>
      </c>
      <c r="N6" s="20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20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20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20">
        <f ca="1">VLOOKUP($L6,OFFSET([3]enemies!$A$1,0,0,COUNTA([3]enemies!$A:$A),MATCH(Q$1,[3]enemies!$1:$1,0)-MATCH($L$1,[3]enemies!$1:$1,0)+1),MATCH(Q$1,[3]enemies!$1:$1,0)-MATCH($L$1,[3]enemies!$1:$1,0)+1,FALSE)</f>
        <v>20</v>
      </c>
      <c r="R6" s="6">
        <v>32</v>
      </c>
      <c r="S6" s="57">
        <v>0.4</v>
      </c>
      <c r="T6" s="57">
        <v>0.8</v>
      </c>
      <c r="U6" s="57">
        <v>0</v>
      </c>
      <c r="V6" s="5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5">
        <f ca="1">VLOOKUP($L6,OFFSET([3]enemies!$A$1,0,0,COUNTA([3]enemies!$A:$A),MATCH(W$1,[3]enemies!$1:$1,0)-MATCH($L$1,[3]enemies!$1:$1,0)+1),MATCH(W$1,[3]enemies!$1:$1,0)-MATCH($L$1,[3]enemies!$1:$1,0)+1,FALSE)</f>
        <v>0</v>
      </c>
      <c r="X6" s="7">
        <v>0</v>
      </c>
      <c r="Y6" s="7">
        <v>10</v>
      </c>
      <c r="Z6" s="7">
        <v>1</v>
      </c>
      <c r="AA6" s="57">
        <v>1</v>
      </c>
      <c r="AB6" s="2">
        <f>L6</f>
        <v>610</v>
      </c>
      <c r="AC6" s="5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メガ秘術の果実</v>
      </c>
      <c r="AD6" s="5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5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8">
        <v>1</v>
      </c>
      <c r="AG6" s="27">
        <f ca="1">AD6</f>
        <v>4</v>
      </c>
      <c r="AH6" s="9">
        <v>100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</row>
    <row r="7" spans="1:39" ht="21" customHeight="1" x14ac:dyDescent="0.15">
      <c r="A7" s="17" t="str">
        <f ca="1">B7&amp;"_"&amp;C7&amp;"-"&amp;G7&amp;"/"&amp;L7&amp;"&lt;lv"&amp;R7&amp;"&gt;s"&amp;AA7</f>
        <v>14003_1-2/122&lt;lv32&gt;s2</v>
      </c>
      <c r="B7" s="64">
        <v>14003</v>
      </c>
      <c r="C7" s="66">
        <v>1</v>
      </c>
      <c r="D7" s="66" t="str">
        <f>B7&amp;"_"&amp;C7</f>
        <v>14003_1</v>
      </c>
      <c r="E7" s="63" t="str">
        <f ca="1">VLOOKUP($B7,OFFSET([2]quests!$A$1,0,0,COUNTA([2]quests!$A:$A),MATCH(E$1,[2]quests!$1:$1,0)-MATCH($B$1,[2]quests!$1:$1,0)+1),MATCH(E$1,[2]quests!$1:$1,0)-MATCH($B$1,[2]quests!$1:$1,0)+1,FALSE)</f>
        <v>【ロック】限界突破/ソロ</v>
      </c>
      <c r="F7" s="63" t="str">
        <f ca="1">VLOOKUP($D7,OFFSET([2]stages!$A$1,0,0,COUNTA([2]stages!$A:$A),MATCH(F$1,[2]stages!$2:$2,0)-MATCH($D$1,[2]stages!$2:$2,0)+1),MATCH(F$1,[2]stages!$2:$2,0)-MATCH($D$1,[2]stages!$2:$2,0)+1,FALSE)</f>
        <v>【超級】果実の楽園（ハートなし）</v>
      </c>
      <c r="G7" s="66">
        <v>2</v>
      </c>
      <c r="H7" s="16" t="str">
        <f>B7&amp;"_"&amp;C7&amp;"-"&amp;G7</f>
        <v>14003_1-2</v>
      </c>
      <c r="I7" s="5">
        <f ca="1">VLOOKUP($H7,OFFSET(floors!$A$1,0,0,COUNTA(floors!$A:$A),MATCH(I$1,floors!$1:$1,0)-MATCH($H$1,floors!$1:$1,0)+1),MATCH(I$1,floors!$1:$1,0)-MATCH($H$1,floors!$1:$1,0)+1,FALSE)</f>
        <v>59</v>
      </c>
      <c r="J7" s="5">
        <f ca="1">VLOOKUP($H7,OFFSET(floors!$A$1,0,0,COUNTA(floors!$A:$A),MATCH(J$1,floors!$1:$1,0)-MATCH($H$1,floors!$1:$1,0)+1),MATCH(J$1,floors!$1:$1,0)-MATCH($H$1,floors!$1:$1,0)+1,FALSE)</f>
        <v>60</v>
      </c>
      <c r="K7" s="8" t="s">
        <v>142</v>
      </c>
      <c r="L7" s="24">
        <v>122</v>
      </c>
      <c r="M7" s="20" t="str">
        <f ca="1">VLOOKUP($L7,OFFSET([3]enemies!$A$1,0,0,COUNTA([3]enemies!$A:$A),MATCH(M$1,[3]enemies!$1:$1,0)-MATCH($L$1,[3]enemies!$1:$1,0)+1),MATCH(M$1,[3]enemies!$1:$1,0)-MATCH($L$1,[3]enemies!$1:$1,0)+1,FALSE)</f>
        <v>生命の果実</v>
      </c>
      <c r="N7" s="20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20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20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20">
        <f ca="1">VLOOKUP($L7,OFFSET([3]enemies!$A$1,0,0,COUNTA([3]enemies!$A:$A),MATCH(Q$1,[3]enemies!$1:$1,0)-MATCH($L$1,[3]enemies!$1:$1,0)+1),MATCH(Q$1,[3]enemies!$1:$1,0)-MATCH($L$1,[3]enemies!$1:$1,0)+1,FALSE)</f>
        <v>20</v>
      </c>
      <c r="R7" s="6">
        <v>32</v>
      </c>
      <c r="S7" s="5">
        <f ca="1">VLOOKUP($L7,OFFSET(調整用!$C$1,0,0,COUNTA(調整用!$C:$C),MATCH(S$1,調整用!$1:$1,0)-MATCH($L$1,調整用!$1:$1,0)+1),MATCH(S$1,調整用!$1:$1,0)-MATCH($L$1,調整用!$1:$1,0)+1,FALSE)</f>
        <v>0.5</v>
      </c>
      <c r="T7" s="5">
        <f ca="1">VLOOKUP($L7,OFFSET(調整用!$C$1,0,0,COUNTA(調整用!$C:$C),MATCH(T$1,調整用!$1:$1,0)-MATCH($L$1,調整用!$1:$1,0)+1),MATCH(T$1,調整用!$1:$1,0)-MATCH($L$1,調整用!$1:$1,0)+1,FALSE)</f>
        <v>0.7</v>
      </c>
      <c r="U7" s="5">
        <f ca="1">VLOOKUP($L7,OFFSET(調整用!$C$1,0,0,COUNTA(調整用!$C:$C),MATCH(U$1,調整用!$1:$1,0)-MATCH($L$1,調整用!$1:$1,0)+1),MATCH(U$1,調整用!$1:$1,0)-MATCH($L$1,調整用!$1:$1,0)+1,FALSE)</f>
        <v>0</v>
      </c>
      <c r="V7" s="5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5">
        <f ca="1">VLOOKUP($L7,OFFSET([3]enemies!$A$1,0,0,COUNTA([3]enemies!$A:$A),MATCH(W$1,[3]enemies!$1:$1,0)-MATCH($L$1,[3]enemies!$1:$1,0)+1),MATCH(W$1,[3]enemies!$1:$1,0)-MATCH($L$1,[3]enemies!$1:$1,0)+1,FALSE)</f>
        <v>0</v>
      </c>
      <c r="X7" s="7">
        <v>0</v>
      </c>
      <c r="Y7" s="7">
        <v>100</v>
      </c>
      <c r="Z7" s="7">
        <v>0</v>
      </c>
      <c r="AA7" s="5">
        <f ca="1">VLOOKUP($L7,OFFSET(調整用!$C$1,0,0,COUNTA(調整用!$C:$C),MATCH(AA$1,調整用!$1:$1,0)-MATCH($L$1,調整用!$1:$1,0)+1),MATCH(AA$1,調整用!$1:$1,0)-MATCH($L$1,調整用!$1:$1,0)+1,FALSE)</f>
        <v>2</v>
      </c>
      <c r="AB7" s="2">
        <f>L7</f>
        <v>122</v>
      </c>
      <c r="AC7" s="5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7" s="5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5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8">
        <v>1</v>
      </c>
      <c r="AG7" s="27">
        <f ca="1">AD7</f>
        <v>3</v>
      </c>
      <c r="AH7" s="9">
        <v>30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</row>
    <row r="8" spans="1:39" ht="21" customHeight="1" x14ac:dyDescent="0.15">
      <c r="A8" s="17" t="str">
        <f t="shared" ref="A8:A9" ca="1" si="0">B8&amp;"_"&amp;C8&amp;"-"&amp;G8&amp;"/"&amp;L8&amp;"&lt;lv"&amp;R8&amp;"&gt;s"&amp;AA8</f>
        <v>14003_1-2/608&lt;lv32&gt;s2</v>
      </c>
      <c r="B8" s="64">
        <v>14003</v>
      </c>
      <c r="C8" s="66">
        <v>1</v>
      </c>
      <c r="D8" s="66" t="str">
        <f t="shared" ref="D8:D9" si="1">B8&amp;"_"&amp;C8</f>
        <v>14003_1</v>
      </c>
      <c r="E8" s="63" t="str">
        <f ca="1">VLOOKUP($B8,OFFSET([2]quests!$A$1,0,0,COUNTA([2]quests!$A:$A),MATCH(E$1,[2]quests!$1:$1,0)-MATCH($B$1,[2]quests!$1:$1,0)+1),MATCH(E$1,[2]quests!$1:$1,0)-MATCH($B$1,[2]quests!$1:$1,0)+1,FALSE)</f>
        <v>【ロック】限界突破/ソロ</v>
      </c>
      <c r="F8" s="63" t="str">
        <f ca="1">VLOOKUP($D8,OFFSET([2]stages!$A$1,0,0,COUNTA([2]stages!$A:$A),MATCH(F$1,[2]stages!$2:$2,0)-MATCH($D$1,[2]stages!$2:$2,0)+1),MATCH(F$1,[2]stages!$2:$2,0)-MATCH($D$1,[2]stages!$2:$2,0)+1,FALSE)</f>
        <v>【超級】果実の楽園（ハートなし）</v>
      </c>
      <c r="G8" s="66">
        <v>2</v>
      </c>
      <c r="H8" s="16" t="str">
        <f t="shared" ref="H8:H9" si="2">B8&amp;"_"&amp;C8&amp;"-"&amp;G8</f>
        <v>14003_1-2</v>
      </c>
      <c r="I8" s="5">
        <f ca="1">VLOOKUP($H8,OFFSET(floors!$A$1,0,0,COUNTA(floors!$A:$A),MATCH(I$1,floors!$1:$1,0)-MATCH($H$1,floors!$1:$1,0)+1),MATCH(I$1,floors!$1:$1,0)-MATCH($H$1,floors!$1:$1,0)+1,FALSE)</f>
        <v>59</v>
      </c>
      <c r="J8" s="5">
        <f ca="1">VLOOKUP($H8,OFFSET(floors!$A$1,0,0,COUNTA(floors!$A:$A),MATCH(J$1,floors!$1:$1,0)-MATCH($H$1,floors!$1:$1,0)+1),MATCH(J$1,floors!$1:$1,0)-MATCH($H$1,floors!$1:$1,0)+1,FALSE)</f>
        <v>60</v>
      </c>
      <c r="K8" s="8" t="s">
        <v>142</v>
      </c>
      <c r="L8" s="24">
        <v>608</v>
      </c>
      <c r="M8" s="20" t="str">
        <f ca="1">VLOOKUP($L8,OFFSET([3]enemies!$A$1,0,0,COUNTA([3]enemies!$A:$A),MATCH(M$1,[3]enemies!$1:$1,0)-MATCH($L$1,[3]enemies!$1:$1,0)+1),MATCH(M$1,[3]enemies!$1:$1,0)-MATCH($L$1,[3]enemies!$1:$1,0)+1,FALSE)</f>
        <v>メガ生命の果実</v>
      </c>
      <c r="N8" s="20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20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2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20">
        <f ca="1">VLOOKUP($L8,OFFSET([3]enemies!$A$1,0,0,COUNTA([3]enemies!$A:$A),MATCH(Q$1,[3]enemies!$1:$1,0)-MATCH($L$1,[3]enemies!$1:$1,0)+1),MATCH(Q$1,[3]enemies!$1:$1,0)-MATCH($L$1,[3]enemies!$1:$1,0)+1,FALSE)</f>
        <v>20</v>
      </c>
      <c r="R8" s="6">
        <v>32</v>
      </c>
      <c r="S8" s="5">
        <f ca="1">VLOOKUP($L8,OFFSET(調整用!$C$1,0,0,COUNTA(調整用!$C:$C),MATCH(S$1,調整用!$1:$1,0)-MATCH($L$1,調整用!$1:$1,0)+1),MATCH(S$1,調整用!$1:$1,0)-MATCH($L$1,調整用!$1:$1,0)+1,FALSE)</f>
        <v>1</v>
      </c>
      <c r="T8" s="5">
        <f ca="1">VLOOKUP($L8,OFFSET(調整用!$C$1,0,0,COUNTA(調整用!$C:$C),MATCH(T$1,調整用!$1:$1,0)-MATCH($L$1,調整用!$1:$1,0)+1),MATCH(T$1,調整用!$1:$1,0)-MATCH($L$1,調整用!$1:$1,0)+1,FALSE)</f>
        <v>0.9</v>
      </c>
      <c r="U8" s="5">
        <f ca="1">VLOOKUP($L8,OFFSET(調整用!$C$1,0,0,COUNTA(調整用!$C:$C),MATCH(U$1,調整用!$1:$1,0)-MATCH($L$1,調整用!$1:$1,0)+1),MATCH(U$1,調整用!$1:$1,0)-MATCH($L$1,調整用!$1:$1,0)+1,FALSE)</f>
        <v>0</v>
      </c>
      <c r="V8" s="5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5">
        <f ca="1">VLOOKUP($L8,OFFSET([3]enemies!$A$1,0,0,COUNTA([3]enemies!$A:$A),MATCH(W$1,[3]enemies!$1:$1,0)-MATCH($L$1,[3]enemies!$1:$1,0)+1),MATCH(W$1,[3]enemies!$1:$1,0)-MATCH($L$1,[3]enemies!$1:$1,0)+1,FALSE)</f>
        <v>0</v>
      </c>
      <c r="X8" s="7">
        <v>0</v>
      </c>
      <c r="Y8" s="7">
        <v>90</v>
      </c>
      <c r="Z8" s="7">
        <v>1</v>
      </c>
      <c r="AA8" s="5">
        <f ca="1">VLOOKUP($L8,OFFSET(調整用!$C$1,0,0,COUNTA(調整用!$C:$C),MATCH(AA$1,調整用!$1:$1,0)-MATCH($L$1,調整用!$1:$1,0)+1),MATCH(AA$1,調整用!$1:$1,0)-MATCH($L$1,調整用!$1:$1,0)+1,FALSE)</f>
        <v>2</v>
      </c>
      <c r="AB8" s="2">
        <f t="shared" ref="AB8:AB9" si="3">L8</f>
        <v>608</v>
      </c>
      <c r="AC8" s="5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8" s="5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5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8">
        <v>1</v>
      </c>
      <c r="AG8" s="27">
        <f t="shared" ref="AG8:AG9" ca="1" si="4">AD8</f>
        <v>4</v>
      </c>
      <c r="AH8" s="9">
        <v>100</v>
      </c>
      <c r="AI8" s="8">
        <v>0</v>
      </c>
      <c r="AJ8" s="8">
        <v>0</v>
      </c>
      <c r="AK8" s="8">
        <v>0</v>
      </c>
      <c r="AL8" s="8">
        <v>0</v>
      </c>
      <c r="AM8" s="8">
        <v>1</v>
      </c>
    </row>
    <row r="9" spans="1:39" ht="21" customHeight="1" x14ac:dyDescent="0.15">
      <c r="A9" s="17" t="str">
        <f t="shared" ca="1" si="0"/>
        <v>14003_1-2/612&lt;lv32&gt;s2</v>
      </c>
      <c r="B9" s="64">
        <v>14003</v>
      </c>
      <c r="C9" s="66">
        <v>1</v>
      </c>
      <c r="D9" s="66" t="str">
        <f t="shared" si="1"/>
        <v>14003_1</v>
      </c>
      <c r="E9" s="63" t="str">
        <f ca="1">VLOOKUP($B9,OFFSET([2]quests!$A$1,0,0,COUNTA([2]quests!$A:$A),MATCH(E$1,[2]quests!$1:$1,0)-MATCH($B$1,[2]quests!$1:$1,0)+1),MATCH(E$1,[2]quests!$1:$1,0)-MATCH($B$1,[2]quests!$1:$1,0)+1,FALSE)</f>
        <v>【ロック】限界突破/ソロ</v>
      </c>
      <c r="F9" s="63" t="str">
        <f ca="1">VLOOKUP($D9,OFFSET([2]stages!$A$1,0,0,COUNTA([2]stages!$A:$A),MATCH(F$1,[2]stages!$2:$2,0)-MATCH($D$1,[2]stages!$2:$2,0)+1),MATCH(F$1,[2]stages!$2:$2,0)-MATCH($D$1,[2]stages!$2:$2,0)+1,FALSE)</f>
        <v>【超級】果実の楽園（ハートなし）</v>
      </c>
      <c r="G9" s="66">
        <v>2</v>
      </c>
      <c r="H9" s="16" t="str">
        <f t="shared" si="2"/>
        <v>14003_1-2</v>
      </c>
      <c r="I9" s="5">
        <f ca="1">VLOOKUP($H9,OFFSET(floors!$A$1,0,0,COUNTA(floors!$A:$A),MATCH(I$1,floors!$1:$1,0)-MATCH($H$1,floors!$1:$1,0)+1),MATCH(I$1,floors!$1:$1,0)-MATCH($H$1,floors!$1:$1,0)+1,FALSE)</f>
        <v>59</v>
      </c>
      <c r="J9" s="5">
        <f ca="1">VLOOKUP($H9,OFFSET(floors!$A$1,0,0,COUNTA(floors!$A:$A),MATCH(J$1,floors!$1:$1,0)-MATCH($H$1,floors!$1:$1,0)+1),MATCH(J$1,floors!$1:$1,0)-MATCH($H$1,floors!$1:$1,0)+1,FALSE)</f>
        <v>60</v>
      </c>
      <c r="K9" s="8" t="s">
        <v>142</v>
      </c>
      <c r="L9" s="24">
        <v>612</v>
      </c>
      <c r="M9" s="20" t="str">
        <f ca="1">VLOOKUP($L9,OFFSET([3]enemies!$A$1,0,0,COUNTA([3]enemies!$A:$A),MATCH(M$1,[3]enemies!$1:$1,0)-MATCH($L$1,[3]enemies!$1:$1,0)+1),MATCH(M$1,[3]enemies!$1:$1,0)-MATCH($L$1,[3]enemies!$1:$1,0)+1,FALSE)</f>
        <v>ギガ生命の果実</v>
      </c>
      <c r="N9" s="20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20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20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20">
        <f ca="1">VLOOKUP($L9,OFFSET([3]enemies!$A$1,0,0,COUNTA([3]enemies!$A:$A),MATCH(Q$1,[3]enemies!$1:$1,0)-MATCH($L$1,[3]enemies!$1:$1,0)+1),MATCH(Q$1,[3]enemies!$1:$1,0)-MATCH($L$1,[3]enemies!$1:$1,0)+1,FALSE)</f>
        <v>20</v>
      </c>
      <c r="R9" s="6">
        <v>32</v>
      </c>
      <c r="S9" s="5">
        <f ca="1">VLOOKUP($L9,OFFSET(調整用!$C$1,0,0,COUNTA(調整用!$C:$C),MATCH(S$1,調整用!$1:$1,0)-MATCH($L$1,調整用!$1:$1,0)+1),MATCH(S$1,調整用!$1:$1,0)-MATCH($L$1,調整用!$1:$1,0)+1,FALSE)</f>
        <v>1.5</v>
      </c>
      <c r="T9" s="5">
        <f ca="1">VLOOKUP($L9,OFFSET(調整用!$C$1,0,0,COUNTA(調整用!$C:$C),MATCH(T$1,調整用!$1:$1,0)-MATCH($L$1,調整用!$1:$1,0)+1),MATCH(T$1,調整用!$1:$1,0)-MATCH($L$1,調整用!$1:$1,0)+1,FALSE)</f>
        <v>1</v>
      </c>
      <c r="U9" s="5">
        <f ca="1">VLOOKUP($L9,OFFSET(調整用!$C$1,0,0,COUNTA(調整用!$C:$C),MATCH(U$1,調整用!$1:$1,0)-MATCH($L$1,調整用!$1:$1,0)+1),MATCH(U$1,調整用!$1:$1,0)-MATCH($L$1,調整用!$1:$1,0)+1,FALSE)</f>
        <v>0</v>
      </c>
      <c r="V9" s="5" t="str">
        <f ca="1">VLOOKUP($W9,OFFSET(enemy_skill_sets!$B$1,0,0,COUNTA(enemy_skill_sets!$B:$B),MATCH(M$1,enemy_skill_sets!$1:$1,0)-MATCH($W$1,enemy_skill_sets!$1:$1,0)+2),MATCH(M$1,enemy_skill_sets!$1:$1,0)-MATCH($W$1,enemy_skill_sets!$1:$1,0)+2,FALSE)</f>
        <v>ギガ体力の果実が あらわれた！</v>
      </c>
      <c r="W9" s="57">
        <v>14002612</v>
      </c>
      <c r="X9" s="7">
        <v>0</v>
      </c>
      <c r="Y9" s="7">
        <v>10</v>
      </c>
      <c r="Z9" s="7">
        <v>1</v>
      </c>
      <c r="AA9" s="5">
        <f ca="1">VLOOKUP($L9,OFFSET(調整用!$C$1,0,0,COUNTA(調整用!$C:$C),MATCH(AA$1,調整用!$1:$1,0)-MATCH($L$1,調整用!$1:$1,0)+1),MATCH(AA$1,調整用!$1:$1,0)-MATCH($L$1,調整用!$1:$1,0)+1,FALSE)</f>
        <v>2</v>
      </c>
      <c r="AB9" s="2">
        <f t="shared" si="3"/>
        <v>612</v>
      </c>
      <c r="AC9" s="5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ギガ生命の果実</v>
      </c>
      <c r="AD9" s="5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5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8">
        <v>1</v>
      </c>
      <c r="AG9" s="27">
        <f t="shared" ca="1" si="4"/>
        <v>5</v>
      </c>
      <c r="AH9" s="9">
        <v>100</v>
      </c>
      <c r="AI9" s="8">
        <v>0</v>
      </c>
      <c r="AJ9" s="8">
        <v>0</v>
      </c>
      <c r="AK9" s="8">
        <v>0</v>
      </c>
      <c r="AL9" s="8">
        <v>0</v>
      </c>
      <c r="AM9" s="8">
        <v>1</v>
      </c>
    </row>
    <row r="10" spans="1:39" ht="21" customHeight="1" x14ac:dyDescent="0.15">
      <c r="A10" s="17" t="str">
        <f ca="1">B10&amp;"_"&amp;C10&amp;"-"&amp;G10&amp;"/"&amp;L10&amp;"&lt;lv"&amp;R10&amp;"&gt;s"&amp;AA10</f>
        <v>14003_1-3/123&lt;lv32&gt;s3</v>
      </c>
      <c r="B10" s="64">
        <v>14003</v>
      </c>
      <c r="C10" s="66">
        <v>1</v>
      </c>
      <c r="D10" s="66" t="str">
        <f>B10&amp;"_"&amp;C10</f>
        <v>14003_1</v>
      </c>
      <c r="E10" s="63" t="str">
        <f ca="1">VLOOKUP($B10,OFFSET([2]quests!$A$1,0,0,COUNTA([2]quests!$A:$A),MATCH(E$1,[2]quests!$1:$1,0)-MATCH($B$1,[2]quests!$1:$1,0)+1),MATCH(E$1,[2]quests!$1:$1,0)-MATCH($B$1,[2]quests!$1:$1,0)+1,FALSE)</f>
        <v>【ロック】限界突破/ソロ</v>
      </c>
      <c r="F10" s="63" t="str">
        <f ca="1">VLOOKUP($D10,OFFSET([2]stages!$A$1,0,0,COUNTA([2]stages!$A:$A),MATCH(F$1,[2]stages!$2:$2,0)-MATCH($D$1,[2]stages!$2:$2,0)+1),MATCH(F$1,[2]stages!$2:$2,0)-MATCH($D$1,[2]stages!$2:$2,0)+1,FALSE)</f>
        <v>【超級】果実の楽園（ハートなし）</v>
      </c>
      <c r="G10" s="66">
        <v>3</v>
      </c>
      <c r="H10" s="16" t="str">
        <f>B10&amp;"_"&amp;C10&amp;"-"&amp;G10</f>
        <v>14003_1-3</v>
      </c>
      <c r="I10" s="5">
        <f ca="1">VLOOKUP($H10,OFFSET(floors!$A$1,0,0,COUNTA(floors!$A:$A),MATCH(I$1,floors!$1:$1,0)-MATCH($H$1,floors!$1:$1,0)+1),MATCH(I$1,floors!$1:$1,0)-MATCH($H$1,floors!$1:$1,0)+1,FALSE)</f>
        <v>59</v>
      </c>
      <c r="J10" s="5">
        <f ca="1">VLOOKUP($H10,OFFSET(floors!$A$1,0,0,COUNTA(floors!$A:$A),MATCH(J$1,floors!$1:$1,0)-MATCH($H$1,floors!$1:$1,0)+1),MATCH(J$1,floors!$1:$1,0)-MATCH($H$1,floors!$1:$1,0)+1,FALSE)</f>
        <v>60</v>
      </c>
      <c r="K10" s="8" t="s">
        <v>142</v>
      </c>
      <c r="L10" s="24">
        <v>123</v>
      </c>
      <c r="M10" s="20" t="str">
        <f ca="1">VLOOKUP($L10,OFFSET([3]enemies!$A$1,0,0,COUNTA([3]enemies!$A:$A),MATCH(M$1,[3]enemies!$1:$1,0)-MATCH($L$1,[3]enemies!$1:$1,0)+1),MATCH(M$1,[3]enemies!$1:$1,0)-MATCH($L$1,[3]enemies!$1:$1,0)+1,FALSE)</f>
        <v>癒しの果実</v>
      </c>
      <c r="N10" s="20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20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2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20">
        <f ca="1">VLOOKUP($L10,OFFSET([3]enemies!$A$1,0,0,COUNTA([3]enemies!$A:$A),MATCH(Q$1,[3]enemies!$1:$1,0)-MATCH($L$1,[3]enemies!$1:$1,0)+1),MATCH(Q$1,[3]enemies!$1:$1,0)-MATCH($L$1,[3]enemies!$1:$1,0)+1,FALSE)</f>
        <v>20</v>
      </c>
      <c r="R10" s="6">
        <v>32</v>
      </c>
      <c r="S10" s="5">
        <f ca="1">VLOOKUP($L10,OFFSET(調整用!$C$1,0,0,COUNTA(調整用!$C:$C),MATCH(S$1,調整用!$1:$1,0)-MATCH($L$1,調整用!$1:$1,0)+1),MATCH(S$1,調整用!$1:$1,0)-MATCH($L$1,調整用!$1:$1,0)+1,FALSE)</f>
        <v>0.5</v>
      </c>
      <c r="T10" s="5">
        <f ca="1">VLOOKUP($L10,OFFSET(調整用!$C$1,0,0,COUNTA(調整用!$C:$C),MATCH(T$1,調整用!$1:$1,0)-MATCH($L$1,調整用!$1:$1,0)+1),MATCH(T$1,調整用!$1:$1,0)-MATCH($L$1,調整用!$1:$1,0)+1,FALSE)</f>
        <v>1</v>
      </c>
      <c r="U10" s="5">
        <f ca="1">VLOOKUP($L10,OFFSET(調整用!$C$1,0,0,COUNTA(調整用!$C:$C),MATCH(U$1,調整用!$1:$1,0)-MATCH($L$1,調整用!$1:$1,0)+1),MATCH(U$1,調整用!$1:$1,0)-MATCH($L$1,調整用!$1:$1,0)+1,FALSE)</f>
        <v>0</v>
      </c>
      <c r="V10" s="5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5">
        <f ca="1">VLOOKUP($L10,OFFSET([3]enemies!$A$1,0,0,COUNTA([3]enemies!$A:$A),MATCH(W$1,[3]enemies!$1:$1,0)-MATCH($L$1,[3]enemies!$1:$1,0)+1),MATCH(W$1,[3]enemies!$1:$1,0)-MATCH($L$1,[3]enemies!$1:$1,0)+1,FALSE)</f>
        <v>0</v>
      </c>
      <c r="X10" s="7">
        <v>0</v>
      </c>
      <c r="Y10" s="7">
        <v>100</v>
      </c>
      <c r="Z10" s="7">
        <v>0</v>
      </c>
      <c r="AA10" s="5">
        <f ca="1">VLOOKUP($L10,OFFSET(調整用!$C$1,0,0,COUNTA(調整用!$C:$C),MATCH(AA$1,調整用!$1:$1,0)-MATCH($L$1,調整用!$1:$1,0)+1),MATCH(AA$1,調整用!$1:$1,0)-MATCH($L$1,調整用!$1:$1,0)+1,FALSE)</f>
        <v>3</v>
      </c>
      <c r="AB10" s="2">
        <f>L10</f>
        <v>123</v>
      </c>
      <c r="AC10" s="5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10" s="5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5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8">
        <v>1</v>
      </c>
      <c r="AG10" s="27">
        <f ca="1">AD10</f>
        <v>3</v>
      </c>
      <c r="AH10" s="9">
        <v>30</v>
      </c>
      <c r="AI10" s="8">
        <v>0</v>
      </c>
      <c r="AJ10" s="8">
        <v>0</v>
      </c>
      <c r="AK10" s="8">
        <v>0</v>
      </c>
      <c r="AL10" s="8">
        <v>0</v>
      </c>
      <c r="AM10" s="8">
        <v>1</v>
      </c>
    </row>
    <row r="11" spans="1:39" ht="21" customHeight="1" x14ac:dyDescent="0.15">
      <c r="A11" s="17" t="str">
        <f t="shared" ref="A11:A12" ca="1" si="5">B11&amp;"_"&amp;C11&amp;"-"&amp;G11&amp;"/"&amp;L11&amp;"&lt;lv"&amp;R11&amp;"&gt;s"&amp;AA11</f>
        <v>14003_1-3/609&lt;lv32&gt;s3</v>
      </c>
      <c r="B11" s="64">
        <v>14003</v>
      </c>
      <c r="C11" s="66">
        <v>1</v>
      </c>
      <c r="D11" s="66" t="str">
        <f t="shared" ref="D11:D12" si="6">B11&amp;"_"&amp;C11</f>
        <v>14003_1</v>
      </c>
      <c r="E11" s="63" t="str">
        <f ca="1">VLOOKUP($B11,OFFSET([2]quests!$A$1,0,0,COUNTA([2]quests!$A:$A),MATCH(E$1,[2]quests!$1:$1,0)-MATCH($B$1,[2]quests!$1:$1,0)+1),MATCH(E$1,[2]quests!$1:$1,0)-MATCH($B$1,[2]quests!$1:$1,0)+1,FALSE)</f>
        <v>【ロック】限界突破/ソロ</v>
      </c>
      <c r="F11" s="63" t="str">
        <f ca="1">VLOOKUP($D11,OFFSET([2]stages!$A$1,0,0,COUNTA([2]stages!$A:$A),MATCH(F$1,[2]stages!$2:$2,0)-MATCH($D$1,[2]stages!$2:$2,0)+1),MATCH(F$1,[2]stages!$2:$2,0)-MATCH($D$1,[2]stages!$2:$2,0)+1,FALSE)</f>
        <v>【超級】果実の楽園（ハートなし）</v>
      </c>
      <c r="G11" s="66">
        <v>3</v>
      </c>
      <c r="H11" s="16" t="str">
        <f t="shared" ref="H11:H12" si="7">B11&amp;"_"&amp;C11&amp;"-"&amp;G11</f>
        <v>14003_1-3</v>
      </c>
      <c r="I11" s="5">
        <f ca="1">VLOOKUP($H11,OFFSET(floors!$A$1,0,0,COUNTA(floors!$A:$A),MATCH(I$1,floors!$1:$1,0)-MATCH($H$1,floors!$1:$1,0)+1),MATCH(I$1,floors!$1:$1,0)-MATCH($H$1,floors!$1:$1,0)+1,FALSE)</f>
        <v>59</v>
      </c>
      <c r="J11" s="5">
        <f ca="1">VLOOKUP($H11,OFFSET(floors!$A$1,0,0,COUNTA(floors!$A:$A),MATCH(J$1,floors!$1:$1,0)-MATCH($H$1,floors!$1:$1,0)+1),MATCH(J$1,floors!$1:$1,0)-MATCH($H$1,floors!$1:$1,0)+1,FALSE)</f>
        <v>60</v>
      </c>
      <c r="K11" s="8" t="s">
        <v>142</v>
      </c>
      <c r="L11" s="24">
        <v>609</v>
      </c>
      <c r="M11" s="20" t="str">
        <f ca="1">VLOOKUP($L11,OFFSET([3]enemies!$A$1,0,0,COUNTA([3]enemies!$A:$A),MATCH(M$1,[3]enemies!$1:$1,0)-MATCH($L$1,[3]enemies!$1:$1,0)+1),MATCH(M$1,[3]enemies!$1:$1,0)-MATCH($L$1,[3]enemies!$1:$1,0)+1,FALSE)</f>
        <v>メガ癒しの果実</v>
      </c>
      <c r="N11" s="20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20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20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20">
        <f ca="1">VLOOKUP($L11,OFFSET([3]enemies!$A$1,0,0,COUNTA([3]enemies!$A:$A),MATCH(Q$1,[3]enemies!$1:$1,0)-MATCH($L$1,[3]enemies!$1:$1,0)+1),MATCH(Q$1,[3]enemies!$1:$1,0)-MATCH($L$1,[3]enemies!$1:$1,0)+1,FALSE)</f>
        <v>20</v>
      </c>
      <c r="R11" s="6">
        <v>32</v>
      </c>
      <c r="S11" s="5">
        <f ca="1">VLOOKUP($L11,OFFSET(調整用!$C$1,0,0,COUNTA(調整用!$C:$C),MATCH(S$1,調整用!$1:$1,0)-MATCH($L$1,調整用!$1:$1,0)+1),MATCH(S$1,調整用!$1:$1,0)-MATCH($L$1,調整用!$1:$1,0)+1,FALSE)</f>
        <v>1</v>
      </c>
      <c r="T11" s="5">
        <f ca="1">VLOOKUP($L11,OFFSET(調整用!$C$1,0,0,COUNTA(調整用!$C:$C),MATCH(T$1,調整用!$1:$1,0)-MATCH($L$1,調整用!$1:$1,0)+1),MATCH(T$1,調整用!$1:$1,0)-MATCH($L$1,調整用!$1:$1,0)+1,FALSE)</f>
        <v>1</v>
      </c>
      <c r="U11" s="5">
        <f ca="1">VLOOKUP($L11,OFFSET(調整用!$C$1,0,0,COUNTA(調整用!$C:$C),MATCH(U$1,調整用!$1:$1,0)-MATCH($L$1,調整用!$1:$1,0)+1),MATCH(U$1,調整用!$1:$1,0)-MATCH($L$1,調整用!$1:$1,0)+1,FALSE)</f>
        <v>0</v>
      </c>
      <c r="V11" s="5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5">
        <f ca="1">VLOOKUP($L11,OFFSET([3]enemies!$A$1,0,0,COUNTA([3]enemies!$A:$A),MATCH(W$1,[3]enemies!$1:$1,0)-MATCH($L$1,[3]enemies!$1:$1,0)+1),MATCH(W$1,[3]enemies!$1:$1,0)-MATCH($L$1,[3]enemies!$1:$1,0)+1,FALSE)</f>
        <v>0</v>
      </c>
      <c r="X11" s="7">
        <v>0</v>
      </c>
      <c r="Y11" s="7">
        <v>90</v>
      </c>
      <c r="Z11" s="7">
        <v>1</v>
      </c>
      <c r="AA11" s="5">
        <f ca="1">VLOOKUP($L11,OFFSET(調整用!$C$1,0,0,COUNTA(調整用!$C:$C),MATCH(AA$1,調整用!$1:$1,0)-MATCH($L$1,調整用!$1:$1,0)+1),MATCH(AA$1,調整用!$1:$1,0)-MATCH($L$1,調整用!$1:$1,0)+1,FALSE)</f>
        <v>3</v>
      </c>
      <c r="AB11" s="2">
        <f t="shared" ref="AB11:AB12" si="8">L11</f>
        <v>609</v>
      </c>
      <c r="AC11" s="5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11" s="5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5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8">
        <v>1</v>
      </c>
      <c r="AG11" s="27">
        <f t="shared" ref="AG11:AG12" ca="1" si="9">AD11</f>
        <v>4</v>
      </c>
      <c r="AH11" s="9">
        <v>100</v>
      </c>
      <c r="AI11" s="8">
        <v>0</v>
      </c>
      <c r="AJ11" s="8">
        <v>0</v>
      </c>
      <c r="AK11" s="8">
        <v>0</v>
      </c>
      <c r="AL11" s="8">
        <v>0</v>
      </c>
      <c r="AM11" s="8">
        <v>1</v>
      </c>
    </row>
    <row r="12" spans="1:39" ht="21" customHeight="1" x14ac:dyDescent="0.15">
      <c r="A12" s="17" t="str">
        <f t="shared" ca="1" si="5"/>
        <v>14003_1-3/613&lt;lv32&gt;s3</v>
      </c>
      <c r="B12" s="64">
        <v>14003</v>
      </c>
      <c r="C12" s="66">
        <v>1</v>
      </c>
      <c r="D12" s="66" t="str">
        <f t="shared" si="6"/>
        <v>14003_1</v>
      </c>
      <c r="E12" s="63" t="str">
        <f ca="1">VLOOKUP($B12,OFFSET([2]quests!$A$1,0,0,COUNTA([2]quests!$A:$A),MATCH(E$1,[2]quests!$1:$1,0)-MATCH($B$1,[2]quests!$1:$1,0)+1),MATCH(E$1,[2]quests!$1:$1,0)-MATCH($B$1,[2]quests!$1:$1,0)+1,FALSE)</f>
        <v>【ロック】限界突破/ソロ</v>
      </c>
      <c r="F12" s="63" t="str">
        <f ca="1">VLOOKUP($D12,OFFSET([2]stages!$A$1,0,0,COUNTA([2]stages!$A:$A),MATCH(F$1,[2]stages!$2:$2,0)-MATCH($D$1,[2]stages!$2:$2,0)+1),MATCH(F$1,[2]stages!$2:$2,0)-MATCH($D$1,[2]stages!$2:$2,0)+1,FALSE)</f>
        <v>【超級】果実の楽園（ハートなし）</v>
      </c>
      <c r="G12" s="66">
        <v>3</v>
      </c>
      <c r="H12" s="16" t="str">
        <f t="shared" si="7"/>
        <v>14003_1-3</v>
      </c>
      <c r="I12" s="5">
        <f ca="1">VLOOKUP($H12,OFFSET(floors!$A$1,0,0,COUNTA(floors!$A:$A),MATCH(I$1,floors!$1:$1,0)-MATCH($H$1,floors!$1:$1,0)+1),MATCH(I$1,floors!$1:$1,0)-MATCH($H$1,floors!$1:$1,0)+1,FALSE)</f>
        <v>59</v>
      </c>
      <c r="J12" s="5">
        <f ca="1">VLOOKUP($H12,OFFSET(floors!$A$1,0,0,COUNTA(floors!$A:$A),MATCH(J$1,floors!$1:$1,0)-MATCH($H$1,floors!$1:$1,0)+1),MATCH(J$1,floors!$1:$1,0)-MATCH($H$1,floors!$1:$1,0)+1,FALSE)</f>
        <v>60</v>
      </c>
      <c r="K12" s="8" t="s">
        <v>142</v>
      </c>
      <c r="L12" s="24">
        <v>613</v>
      </c>
      <c r="M12" s="20" t="str">
        <f ca="1">VLOOKUP($L12,OFFSET([3]enemies!$A$1,0,0,COUNTA([3]enemies!$A:$A),MATCH(M$1,[3]enemies!$1:$1,0)-MATCH($L$1,[3]enemies!$1:$1,0)+1),MATCH(M$1,[3]enemies!$1:$1,0)-MATCH($L$1,[3]enemies!$1:$1,0)+1,FALSE)</f>
        <v>ギガ癒しの果実</v>
      </c>
      <c r="N12" s="20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20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20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20">
        <f ca="1">VLOOKUP($L12,OFFSET([3]enemies!$A$1,0,0,COUNTA([3]enemies!$A:$A),MATCH(Q$1,[3]enemies!$1:$1,0)-MATCH($L$1,[3]enemies!$1:$1,0)+1),MATCH(Q$1,[3]enemies!$1:$1,0)-MATCH($L$1,[3]enemies!$1:$1,0)+1,FALSE)</f>
        <v>20</v>
      </c>
      <c r="R12" s="6">
        <v>32</v>
      </c>
      <c r="S12" s="5">
        <f ca="1">VLOOKUP($L12,OFFSET(調整用!$C$1,0,0,COUNTA(調整用!$C:$C),MATCH(S$1,調整用!$1:$1,0)-MATCH($L$1,調整用!$1:$1,0)+1),MATCH(S$1,調整用!$1:$1,0)-MATCH($L$1,調整用!$1:$1,0)+1,FALSE)</f>
        <v>1.5</v>
      </c>
      <c r="T12" s="5">
        <f ca="1">VLOOKUP($L12,OFFSET(調整用!$C$1,0,0,COUNTA(調整用!$C:$C),MATCH(T$1,調整用!$1:$1,0)-MATCH($L$1,調整用!$1:$1,0)+1),MATCH(T$1,調整用!$1:$1,0)-MATCH($L$1,調整用!$1:$1,0)+1,FALSE)</f>
        <v>1.1000000000000001</v>
      </c>
      <c r="U12" s="5">
        <f ca="1">VLOOKUP($L12,OFFSET(調整用!$C$1,0,0,COUNTA(調整用!$C:$C),MATCH(U$1,調整用!$1:$1,0)-MATCH($L$1,調整用!$1:$1,0)+1),MATCH(U$1,調整用!$1:$1,0)-MATCH($L$1,調整用!$1:$1,0)+1,FALSE)</f>
        <v>0</v>
      </c>
      <c r="V12" s="5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ギガ癒しの果実が あらわれた！</v>
      </c>
      <c r="W12" s="57">
        <v>14002613</v>
      </c>
      <c r="X12" s="7">
        <v>0</v>
      </c>
      <c r="Y12" s="7">
        <v>10</v>
      </c>
      <c r="Z12" s="7">
        <v>1</v>
      </c>
      <c r="AA12" s="5">
        <f ca="1">VLOOKUP($L12,OFFSET(調整用!$C$1,0,0,COUNTA(調整用!$C:$C),MATCH(AA$1,調整用!$1:$1,0)-MATCH($L$1,調整用!$1:$1,0)+1),MATCH(AA$1,調整用!$1:$1,0)-MATCH($L$1,調整用!$1:$1,0)+1,FALSE)</f>
        <v>3</v>
      </c>
      <c r="AB12" s="2">
        <f t="shared" si="8"/>
        <v>613</v>
      </c>
      <c r="AC12" s="5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ギガ癒しの果実</v>
      </c>
      <c r="AD12" s="5">
        <f ca="1">VLOOKUP($AB12,OFFSET([4]characters!$A$1,0,0,COUNTA([4]characters!$A:$A),MATCH(AD$1,[4]characters!$1:$1,0)-MATCH("character_id",[4]characters!$1:$1,0)+1),MATCH(AD$1,[4]characters!$1:$1,0)-MATCH("character_id",[4]characters!$1:$1,0)+1,FALSE)</f>
        <v>5</v>
      </c>
      <c r="AE12" s="5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" s="8">
        <v>1</v>
      </c>
      <c r="AG12" s="27">
        <f t="shared" ca="1" si="9"/>
        <v>5</v>
      </c>
      <c r="AH12" s="9">
        <v>100</v>
      </c>
      <c r="AI12" s="8">
        <v>0</v>
      </c>
      <c r="AJ12" s="8">
        <v>0</v>
      </c>
      <c r="AK12" s="8">
        <v>0</v>
      </c>
      <c r="AL12" s="8">
        <v>0</v>
      </c>
      <c r="AM12" s="8">
        <v>1</v>
      </c>
    </row>
    <row r="13" spans="1:39" ht="21" customHeight="1" x14ac:dyDescent="0.15">
      <c r="A13" s="17" t="str">
        <f ca="1">B13&amp;"_"&amp;C13&amp;"-"&amp;G13&amp;"/"&amp;L13&amp;"&lt;lv"&amp;R13&amp;"&gt;s"&amp;AA13</f>
        <v>14003_1-4/121&lt;lv32&gt;s1</v>
      </c>
      <c r="B13" s="64">
        <v>14003</v>
      </c>
      <c r="C13" s="66">
        <v>1</v>
      </c>
      <c r="D13" s="66" t="str">
        <f>B13&amp;"_"&amp;C13</f>
        <v>14003_1</v>
      </c>
      <c r="E13" s="63" t="str">
        <f ca="1">VLOOKUP($B13,OFFSET([2]quests!$A$1,0,0,COUNTA([2]quests!$A:$A),MATCH(E$1,[2]quests!$1:$1,0)-MATCH($B$1,[2]quests!$1:$1,0)+1),MATCH(E$1,[2]quests!$1:$1,0)-MATCH($B$1,[2]quests!$1:$1,0)+1,FALSE)</f>
        <v>【ロック】限界突破/ソロ</v>
      </c>
      <c r="F13" s="63" t="str">
        <f ca="1">VLOOKUP($D13,OFFSET([2]stages!$A$1,0,0,COUNTA([2]stages!$A:$A),MATCH(F$1,[2]stages!$2:$2,0)-MATCH($D$1,[2]stages!$2:$2,0)+1),MATCH(F$1,[2]stages!$2:$2,0)-MATCH($D$1,[2]stages!$2:$2,0)+1,FALSE)</f>
        <v>【超級】果実の楽園（ハートなし）</v>
      </c>
      <c r="G13" s="66">
        <v>4</v>
      </c>
      <c r="H13" s="16" t="str">
        <f>B13&amp;"_"&amp;C13&amp;"-"&amp;G13</f>
        <v>14003_1-4</v>
      </c>
      <c r="I13" s="5">
        <f ca="1">VLOOKUP($H13,OFFSET(floors!$A$1,0,0,COUNTA(floors!$A:$A),MATCH(I$1,floors!$1:$1,0)-MATCH($H$1,floors!$1:$1,0)+1),MATCH(I$1,floors!$1:$1,0)-MATCH($H$1,floors!$1:$1,0)+1,FALSE)</f>
        <v>59</v>
      </c>
      <c r="J13" s="5">
        <f ca="1">VLOOKUP($H13,OFFSET(floors!$A$1,0,0,COUNTA(floors!$A:$A),MATCH(J$1,floors!$1:$1,0)-MATCH($H$1,floors!$1:$1,0)+1),MATCH(J$1,floors!$1:$1,0)-MATCH($H$1,floors!$1:$1,0)+1,FALSE)</f>
        <v>60</v>
      </c>
      <c r="K13" s="8" t="s">
        <v>142</v>
      </c>
      <c r="L13" s="24">
        <v>121</v>
      </c>
      <c r="M13" s="20" t="str">
        <f ca="1">VLOOKUP($L13,OFFSET([3]enemies!$A$1,0,0,COUNTA([3]enemies!$A:$A),MATCH(M$1,[3]enemies!$1:$1,0)-MATCH($L$1,[3]enemies!$1:$1,0)+1),MATCH(M$1,[3]enemies!$1:$1,0)-MATCH($L$1,[3]enemies!$1:$1,0)+1,FALSE)</f>
        <v>攻めの果実</v>
      </c>
      <c r="N13" s="20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20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20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20">
        <f ca="1">VLOOKUP($L13,OFFSET([3]enemies!$A$1,0,0,COUNTA([3]enemies!$A:$A),MATCH(Q$1,[3]enemies!$1:$1,0)-MATCH($L$1,[3]enemies!$1:$1,0)+1),MATCH(Q$1,[3]enemies!$1:$1,0)-MATCH($L$1,[3]enemies!$1:$1,0)+1,FALSE)</f>
        <v>20</v>
      </c>
      <c r="R13" s="6">
        <v>32</v>
      </c>
      <c r="S13" s="5">
        <f ca="1">VLOOKUP($L13,OFFSET(調整用!$C$1,0,0,COUNTA(調整用!$C:$C),MATCH(S$1,調整用!$1:$1,0)-MATCH($L$1,調整用!$1:$1,0)+1),MATCH(S$1,調整用!$1:$1,0)-MATCH($L$1,調整用!$1:$1,0)+1,FALSE)</f>
        <v>0.5</v>
      </c>
      <c r="T13" s="5">
        <f ca="1">VLOOKUP($L13,OFFSET(調整用!$C$1,0,0,COUNTA(調整用!$C:$C),MATCH(T$1,調整用!$1:$1,0)-MATCH($L$1,調整用!$1:$1,0)+1),MATCH(T$1,調整用!$1:$1,0)-MATCH($L$1,調整用!$1:$1,0)+1,FALSE)</f>
        <v>1</v>
      </c>
      <c r="U13" s="5">
        <f ca="1">VLOOKUP($L13,OFFSET(調整用!$C$1,0,0,COUNTA(調整用!$C:$C),MATCH(U$1,調整用!$1:$1,0)-MATCH($L$1,調整用!$1:$1,0)+1),MATCH(U$1,調整用!$1:$1,0)-MATCH($L$1,調整用!$1:$1,0)+1,FALSE)</f>
        <v>0</v>
      </c>
      <c r="V13" s="5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5">
        <f ca="1">VLOOKUP($L13,OFFSET([3]enemies!$A$1,0,0,COUNTA([3]enemies!$A:$A),MATCH(W$1,[3]enemies!$1:$1,0)-MATCH($L$1,[3]enemies!$1:$1,0)+1),MATCH(W$1,[3]enemies!$1:$1,0)-MATCH($L$1,[3]enemies!$1:$1,0)+1,FALSE)</f>
        <v>0</v>
      </c>
      <c r="X13" s="7">
        <v>0</v>
      </c>
      <c r="Y13" s="7">
        <v>100</v>
      </c>
      <c r="Z13" s="7">
        <v>0</v>
      </c>
      <c r="AA13" s="5">
        <f ca="1">VLOOKUP($L13,OFFSET(調整用!$C$1,0,0,COUNTA(調整用!$C:$C),MATCH(AA$1,調整用!$1:$1,0)-MATCH($L$1,調整用!$1:$1,0)+1),MATCH(AA$1,調整用!$1:$1,0)-MATCH($L$1,調整用!$1:$1,0)+1,FALSE)</f>
        <v>1</v>
      </c>
      <c r="AB13" s="2">
        <f>L13</f>
        <v>121</v>
      </c>
      <c r="AC13" s="5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13" s="5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5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" s="8">
        <v>1</v>
      </c>
      <c r="AG13" s="27">
        <f ca="1">AD13</f>
        <v>3</v>
      </c>
      <c r="AH13" s="9">
        <v>30</v>
      </c>
      <c r="AI13" s="8">
        <v>0</v>
      </c>
      <c r="AJ13" s="8">
        <v>0</v>
      </c>
      <c r="AK13" s="8">
        <v>0</v>
      </c>
      <c r="AL13" s="8">
        <v>0</v>
      </c>
      <c r="AM13" s="8">
        <v>1</v>
      </c>
    </row>
    <row r="14" spans="1:39" ht="21" customHeight="1" x14ac:dyDescent="0.15">
      <c r="A14" s="17" t="str">
        <f t="shared" ref="A14:A15" ca="1" si="10">B14&amp;"_"&amp;C14&amp;"-"&amp;G14&amp;"/"&amp;L14&amp;"&lt;lv"&amp;R14&amp;"&gt;s"&amp;AA14</f>
        <v>14003_1-4/607&lt;lv32&gt;s1</v>
      </c>
      <c r="B14" s="64">
        <v>14003</v>
      </c>
      <c r="C14" s="66">
        <v>1</v>
      </c>
      <c r="D14" s="66" t="str">
        <f t="shared" ref="D14:D15" si="11">B14&amp;"_"&amp;C14</f>
        <v>14003_1</v>
      </c>
      <c r="E14" s="63" t="str">
        <f ca="1">VLOOKUP($B14,OFFSET([2]quests!$A$1,0,0,COUNTA([2]quests!$A:$A),MATCH(E$1,[2]quests!$1:$1,0)-MATCH($B$1,[2]quests!$1:$1,0)+1),MATCH(E$1,[2]quests!$1:$1,0)-MATCH($B$1,[2]quests!$1:$1,0)+1,FALSE)</f>
        <v>【ロック】限界突破/ソロ</v>
      </c>
      <c r="F14" s="63" t="str">
        <f ca="1">VLOOKUP($D14,OFFSET([2]stages!$A$1,0,0,COUNTA([2]stages!$A:$A),MATCH(F$1,[2]stages!$2:$2,0)-MATCH($D$1,[2]stages!$2:$2,0)+1),MATCH(F$1,[2]stages!$2:$2,0)-MATCH($D$1,[2]stages!$2:$2,0)+1,FALSE)</f>
        <v>【超級】果実の楽園（ハートなし）</v>
      </c>
      <c r="G14" s="66">
        <v>4</v>
      </c>
      <c r="H14" s="16" t="str">
        <f t="shared" ref="H14:H15" si="12">B14&amp;"_"&amp;C14&amp;"-"&amp;G14</f>
        <v>14003_1-4</v>
      </c>
      <c r="I14" s="5">
        <f ca="1">VLOOKUP($H14,OFFSET(floors!$A$1,0,0,COUNTA(floors!$A:$A),MATCH(I$1,floors!$1:$1,0)-MATCH($H$1,floors!$1:$1,0)+1),MATCH(I$1,floors!$1:$1,0)-MATCH($H$1,floors!$1:$1,0)+1,FALSE)</f>
        <v>59</v>
      </c>
      <c r="J14" s="5">
        <f ca="1">VLOOKUP($H14,OFFSET(floors!$A$1,0,0,COUNTA(floors!$A:$A),MATCH(J$1,floors!$1:$1,0)-MATCH($H$1,floors!$1:$1,0)+1),MATCH(J$1,floors!$1:$1,0)-MATCH($H$1,floors!$1:$1,0)+1,FALSE)</f>
        <v>60</v>
      </c>
      <c r="K14" s="8" t="s">
        <v>142</v>
      </c>
      <c r="L14" s="24">
        <v>607</v>
      </c>
      <c r="M14" s="20" t="str">
        <f ca="1">VLOOKUP($L14,OFFSET([3]enemies!$A$1,0,0,COUNTA([3]enemies!$A:$A),MATCH(M$1,[3]enemies!$1:$1,0)-MATCH($L$1,[3]enemies!$1:$1,0)+1),MATCH(M$1,[3]enemies!$1:$1,0)-MATCH($L$1,[3]enemies!$1:$1,0)+1,FALSE)</f>
        <v>メガ攻めの果実</v>
      </c>
      <c r="N14" s="20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20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20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20">
        <f ca="1">VLOOKUP($L14,OFFSET([3]enemies!$A$1,0,0,COUNTA([3]enemies!$A:$A),MATCH(Q$1,[3]enemies!$1:$1,0)-MATCH($L$1,[3]enemies!$1:$1,0)+1),MATCH(Q$1,[3]enemies!$1:$1,0)-MATCH($L$1,[3]enemies!$1:$1,0)+1,FALSE)</f>
        <v>20</v>
      </c>
      <c r="R14" s="6">
        <v>32</v>
      </c>
      <c r="S14" s="5">
        <f ca="1">VLOOKUP($L14,OFFSET(調整用!$C$1,0,0,COUNTA(調整用!$C:$C),MATCH(S$1,調整用!$1:$1,0)-MATCH($L$1,調整用!$1:$1,0)+1),MATCH(S$1,調整用!$1:$1,0)-MATCH($L$1,調整用!$1:$1,0)+1,FALSE)</f>
        <v>1</v>
      </c>
      <c r="T14" s="5">
        <f ca="1">VLOOKUP($L14,OFFSET(調整用!$C$1,0,0,COUNTA(調整用!$C:$C),MATCH(T$1,調整用!$1:$1,0)-MATCH($L$1,調整用!$1:$1,0)+1),MATCH(T$1,調整用!$1:$1,0)-MATCH($L$1,調整用!$1:$1,0)+1,FALSE)</f>
        <v>0.7</v>
      </c>
      <c r="U14" s="5">
        <f ca="1">VLOOKUP($L14,OFFSET(調整用!$C$1,0,0,COUNTA(調整用!$C:$C),MATCH(U$1,調整用!$1:$1,0)-MATCH($L$1,調整用!$1:$1,0)+1),MATCH(U$1,調整用!$1:$1,0)-MATCH($L$1,調整用!$1:$1,0)+1,FALSE)</f>
        <v>0</v>
      </c>
      <c r="V14" s="5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5">
        <f ca="1">VLOOKUP($L14,OFFSET([3]enemies!$A$1,0,0,COUNTA([3]enemies!$A:$A),MATCH(W$1,[3]enemies!$1:$1,0)-MATCH($L$1,[3]enemies!$1:$1,0)+1),MATCH(W$1,[3]enemies!$1:$1,0)-MATCH($L$1,[3]enemies!$1:$1,0)+1,FALSE)</f>
        <v>0</v>
      </c>
      <c r="X14" s="7">
        <v>0</v>
      </c>
      <c r="Y14" s="7">
        <v>90</v>
      </c>
      <c r="Z14" s="7">
        <v>1</v>
      </c>
      <c r="AA14" s="5">
        <f ca="1">VLOOKUP($L14,OFFSET(調整用!$C$1,0,0,COUNTA(調整用!$C:$C),MATCH(AA$1,調整用!$1:$1,0)-MATCH($L$1,調整用!$1:$1,0)+1),MATCH(AA$1,調整用!$1:$1,0)-MATCH($L$1,調整用!$1:$1,0)+1,FALSE)</f>
        <v>1</v>
      </c>
      <c r="AB14" s="2">
        <f t="shared" ref="AB14:AB15" si="13">L14</f>
        <v>607</v>
      </c>
      <c r="AC14" s="5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14" s="5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5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8">
        <v>1</v>
      </c>
      <c r="AG14" s="27">
        <f t="shared" ref="AG14:AG15" ca="1" si="14">AD14</f>
        <v>4</v>
      </c>
      <c r="AH14" s="9">
        <v>100</v>
      </c>
      <c r="AI14" s="8">
        <v>0</v>
      </c>
      <c r="AJ14" s="8">
        <v>0</v>
      </c>
      <c r="AK14" s="8">
        <v>0</v>
      </c>
      <c r="AL14" s="8">
        <v>0</v>
      </c>
      <c r="AM14" s="8">
        <v>1</v>
      </c>
    </row>
    <row r="15" spans="1:39" ht="21" customHeight="1" x14ac:dyDescent="0.15">
      <c r="A15" s="17" t="str">
        <f t="shared" ca="1" si="10"/>
        <v>14003_1-4/611&lt;lv32&gt;s1</v>
      </c>
      <c r="B15" s="64">
        <v>14003</v>
      </c>
      <c r="C15" s="66">
        <v>1</v>
      </c>
      <c r="D15" s="66" t="str">
        <f t="shared" si="11"/>
        <v>14003_1</v>
      </c>
      <c r="E15" s="63" t="str">
        <f ca="1">VLOOKUP($B15,OFFSET([2]quests!$A$1,0,0,COUNTA([2]quests!$A:$A),MATCH(E$1,[2]quests!$1:$1,0)-MATCH($B$1,[2]quests!$1:$1,0)+1),MATCH(E$1,[2]quests!$1:$1,0)-MATCH($B$1,[2]quests!$1:$1,0)+1,FALSE)</f>
        <v>【ロック】限界突破/ソロ</v>
      </c>
      <c r="F15" s="63" t="str">
        <f ca="1">VLOOKUP($D15,OFFSET([2]stages!$A$1,0,0,COUNTA([2]stages!$A:$A),MATCH(F$1,[2]stages!$2:$2,0)-MATCH($D$1,[2]stages!$2:$2,0)+1),MATCH(F$1,[2]stages!$2:$2,0)-MATCH($D$1,[2]stages!$2:$2,0)+1,FALSE)</f>
        <v>【超級】果実の楽園（ハートなし）</v>
      </c>
      <c r="G15" s="66">
        <v>4</v>
      </c>
      <c r="H15" s="16" t="str">
        <f t="shared" si="12"/>
        <v>14003_1-4</v>
      </c>
      <c r="I15" s="5">
        <f ca="1">VLOOKUP($H15,OFFSET(floors!$A$1,0,0,COUNTA(floors!$A:$A),MATCH(I$1,floors!$1:$1,0)-MATCH($H$1,floors!$1:$1,0)+1),MATCH(I$1,floors!$1:$1,0)-MATCH($H$1,floors!$1:$1,0)+1,FALSE)</f>
        <v>59</v>
      </c>
      <c r="J15" s="5">
        <f ca="1">VLOOKUP($H15,OFFSET(floors!$A$1,0,0,COUNTA(floors!$A:$A),MATCH(J$1,floors!$1:$1,0)-MATCH($H$1,floors!$1:$1,0)+1),MATCH(J$1,floors!$1:$1,0)-MATCH($H$1,floors!$1:$1,0)+1,FALSE)</f>
        <v>60</v>
      </c>
      <c r="K15" s="8" t="s">
        <v>142</v>
      </c>
      <c r="L15" s="24">
        <v>611</v>
      </c>
      <c r="M15" s="20" t="str">
        <f ca="1">VLOOKUP($L15,OFFSET([3]enemies!$A$1,0,0,COUNTA([3]enemies!$A:$A),MATCH(M$1,[3]enemies!$1:$1,0)-MATCH($L$1,[3]enemies!$1:$1,0)+1),MATCH(M$1,[3]enemies!$1:$1,0)-MATCH($L$1,[3]enemies!$1:$1,0)+1,FALSE)</f>
        <v>ギガ攻めの果実</v>
      </c>
      <c r="N15" s="20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20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20">
        <f ca="1">VLOOKUP($L15,OFFSET([3]enemies!$A$1,0,0,COUNTA([3]enemies!$A:$A),MATCH(Q$1,[3]enemies!$1:$1,0)-MATCH($L$1,[3]enemies!$1:$1,0)+1),MATCH(Q$1,[3]enemies!$1:$1,0)-MATCH($L$1,[3]enemies!$1:$1,0)+1,FALSE)</f>
        <v>20</v>
      </c>
      <c r="R15" s="6">
        <v>32</v>
      </c>
      <c r="S15" s="5">
        <f ca="1">VLOOKUP($L15,OFFSET(調整用!$C$1,0,0,COUNTA(調整用!$C:$C),MATCH(S$1,調整用!$1:$1,0)-MATCH($L$1,調整用!$1:$1,0)+1),MATCH(S$1,調整用!$1:$1,0)-MATCH($L$1,調整用!$1:$1,0)+1,FALSE)</f>
        <v>1.5</v>
      </c>
      <c r="T15" s="5">
        <f ca="1">VLOOKUP($L15,OFFSET(調整用!$C$1,0,0,COUNTA(調整用!$C:$C),MATCH(T$1,調整用!$1:$1,0)-MATCH($L$1,調整用!$1:$1,0)+1),MATCH(T$1,調整用!$1:$1,0)-MATCH($L$1,調整用!$1:$1,0)+1,FALSE)</f>
        <v>0.8</v>
      </c>
      <c r="U15" s="5">
        <f ca="1">VLOOKUP($L15,OFFSET(調整用!$C$1,0,0,COUNTA(調整用!$C:$C),MATCH(U$1,調整用!$1:$1,0)-MATCH($L$1,調整用!$1:$1,0)+1),MATCH(U$1,調整用!$1:$1,0)-MATCH($L$1,調整用!$1:$1,0)+1,FALSE)</f>
        <v>0</v>
      </c>
      <c r="V15" s="5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ギガ攻めの果実が あらわれた！</v>
      </c>
      <c r="W15" s="57">
        <v>14002611</v>
      </c>
      <c r="X15" s="7">
        <v>0</v>
      </c>
      <c r="Y15" s="7">
        <v>10</v>
      </c>
      <c r="Z15" s="7">
        <v>1</v>
      </c>
      <c r="AA15" s="5">
        <f ca="1">VLOOKUP($L15,OFFSET(調整用!$C$1,0,0,COUNTA(調整用!$C:$C),MATCH(AA$1,調整用!$1:$1,0)-MATCH($L$1,調整用!$1:$1,0)+1),MATCH(AA$1,調整用!$1:$1,0)-MATCH($L$1,調整用!$1:$1,0)+1,FALSE)</f>
        <v>1</v>
      </c>
      <c r="AB15" s="2">
        <f t="shared" si="13"/>
        <v>611</v>
      </c>
      <c r="AC15" s="5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ギガ攻めの果実</v>
      </c>
      <c r="AD15" s="5">
        <f ca="1">VLOOKUP($AB15,OFFSET([4]characters!$A$1,0,0,COUNTA([4]characters!$A:$A),MATCH(AD$1,[4]characters!$1:$1,0)-MATCH("character_id",[4]characters!$1:$1,0)+1),MATCH(AD$1,[4]characters!$1:$1,0)-MATCH("character_id",[4]characters!$1:$1,0)+1,FALSE)</f>
        <v>5</v>
      </c>
      <c r="AE15" s="5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8">
        <v>1</v>
      </c>
      <c r="AG15" s="27">
        <f t="shared" ca="1" si="14"/>
        <v>5</v>
      </c>
      <c r="AH15" s="9">
        <v>100</v>
      </c>
      <c r="AI15" s="8">
        <v>0</v>
      </c>
      <c r="AJ15" s="8">
        <v>0</v>
      </c>
      <c r="AK15" s="8">
        <v>0</v>
      </c>
      <c r="AL15" s="8">
        <v>0</v>
      </c>
      <c r="AM15" s="8">
        <v>1</v>
      </c>
    </row>
    <row r="16" spans="1:39" ht="21" customHeight="1" x14ac:dyDescent="0.15">
      <c r="A16" s="17" t="str">
        <f t="shared" ref="A16" ca="1" si="15">B16&amp;"_"&amp;C16&amp;"-"&amp;G16&amp;"/"&amp;L16&amp;"&lt;lv"&amp;R16&amp;"&gt;s"&amp;AA16</f>
        <v>14003_1-5/607&lt;lv32&gt;s1</v>
      </c>
      <c r="B16" s="64">
        <v>14003</v>
      </c>
      <c r="C16" s="66">
        <v>1</v>
      </c>
      <c r="D16" s="66" t="str">
        <f t="shared" ref="D16" si="16">B16&amp;"_"&amp;C16</f>
        <v>14003_1</v>
      </c>
      <c r="E16" s="63" t="str">
        <f ca="1">VLOOKUP($B16,OFFSET([2]quests!$A$1,0,0,COUNTA([2]quests!$A:$A),MATCH(E$1,[2]quests!$1:$1,0)-MATCH($B$1,[2]quests!$1:$1,0)+1),MATCH(E$1,[2]quests!$1:$1,0)-MATCH($B$1,[2]quests!$1:$1,0)+1,FALSE)</f>
        <v>【ロック】限界突破/ソロ</v>
      </c>
      <c r="F16" s="63" t="str">
        <f ca="1">VLOOKUP($D16,OFFSET([2]stages!$A$1,0,0,COUNTA([2]stages!$A:$A),MATCH(F$1,[2]stages!$2:$2,0)-MATCH($D$1,[2]stages!$2:$2,0)+1),MATCH(F$1,[2]stages!$2:$2,0)-MATCH($D$1,[2]stages!$2:$2,0)+1,FALSE)</f>
        <v>【超級】果実の楽園（ハートなし）</v>
      </c>
      <c r="G16" s="66">
        <v>5</v>
      </c>
      <c r="H16" s="16" t="str">
        <f t="shared" ref="H16" si="17">B16&amp;"_"&amp;C16&amp;"-"&amp;G16</f>
        <v>14003_1-5</v>
      </c>
      <c r="I16" s="5">
        <f ca="1">VLOOKUP($H16,OFFSET(floors!$A$1,0,0,COUNTA(floors!$A:$A),MATCH(I$1,floors!$1:$1,0)-MATCH($H$1,floors!$1:$1,0)+1),MATCH(I$1,floors!$1:$1,0)-MATCH($H$1,floors!$1:$1,0)+1,FALSE)</f>
        <v>40</v>
      </c>
      <c r="J16" s="5">
        <f ca="1">VLOOKUP($H16,OFFSET(floors!$A$1,0,0,COUNTA(floors!$A:$A),MATCH(J$1,floors!$1:$1,0)-MATCH($H$1,floors!$1:$1,0)+1),MATCH(J$1,floors!$1:$1,0)-MATCH($H$1,floors!$1:$1,0)+1,FALSE)</f>
        <v>40</v>
      </c>
      <c r="K16" s="8" t="s">
        <v>142</v>
      </c>
      <c r="L16" s="24">
        <v>607</v>
      </c>
      <c r="M16" s="20" t="str">
        <f ca="1">VLOOKUP($L16,OFFSET([3]enemies!$A$1,0,0,COUNTA([3]enemies!$A:$A),MATCH(M$1,[3]enemies!$1:$1,0)-MATCH($L$1,[3]enemies!$1:$1,0)+1),MATCH(M$1,[3]enemies!$1:$1,0)-MATCH($L$1,[3]enemies!$1:$1,0)+1,FALSE)</f>
        <v>メガ攻めの果実</v>
      </c>
      <c r="N16" s="20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20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20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20">
        <f ca="1">VLOOKUP($L16,OFFSET([3]enemies!$A$1,0,0,COUNTA([3]enemies!$A:$A),MATCH(Q$1,[3]enemies!$1:$1,0)-MATCH($L$1,[3]enemies!$1:$1,0)+1),MATCH(Q$1,[3]enemies!$1:$1,0)-MATCH($L$1,[3]enemies!$1:$1,0)+1,FALSE)</f>
        <v>20</v>
      </c>
      <c r="R16" s="6">
        <v>32</v>
      </c>
      <c r="S16" s="5">
        <f ca="1">VLOOKUP($L16,OFFSET(調整用!$C$1,0,0,COUNTA(調整用!$C:$C),MATCH(S$1,調整用!$1:$1,0)-MATCH($L$1,調整用!$1:$1,0)+1),MATCH(S$1,調整用!$1:$1,0)-MATCH($L$1,調整用!$1:$1,0)+1,FALSE)</f>
        <v>1</v>
      </c>
      <c r="T16" s="5">
        <f ca="1">VLOOKUP($L16,OFFSET(調整用!$C$1,0,0,COUNTA(調整用!$C:$C),MATCH(T$1,調整用!$1:$1,0)-MATCH($L$1,調整用!$1:$1,0)+1),MATCH(T$1,調整用!$1:$1,0)-MATCH($L$1,調整用!$1:$1,0)+1,FALSE)</f>
        <v>0.7</v>
      </c>
      <c r="U16" s="5">
        <f ca="1">VLOOKUP($L16,OFFSET(調整用!$C$1,0,0,COUNTA(調整用!$C:$C),MATCH(U$1,調整用!$1:$1,0)-MATCH($L$1,調整用!$1:$1,0)+1),MATCH(U$1,調整用!$1:$1,0)-MATCH($L$1,調整用!$1:$1,0)+1,FALSE)</f>
        <v>0</v>
      </c>
      <c r="V16" s="5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5">
        <f ca="1">VLOOKUP($L16,OFFSET([3]enemies!$A$1,0,0,COUNTA([3]enemies!$A:$A),MATCH(W$1,[3]enemies!$1:$1,0)-MATCH($L$1,[3]enemies!$1:$1,0)+1),MATCH(W$1,[3]enemies!$1:$1,0)-MATCH($L$1,[3]enemies!$1:$1,0)+1,FALSE)</f>
        <v>0</v>
      </c>
      <c r="X16" s="7">
        <v>0</v>
      </c>
      <c r="Y16" s="7">
        <v>100</v>
      </c>
      <c r="Z16" s="7">
        <v>0</v>
      </c>
      <c r="AA16" s="5">
        <f ca="1">VLOOKUP($L16,OFFSET(調整用!$C$1,0,0,COUNTA(調整用!$C:$C),MATCH(AA$1,調整用!$1:$1,0)-MATCH($L$1,調整用!$1:$1,0)+1),MATCH(AA$1,調整用!$1:$1,0)-MATCH($L$1,調整用!$1:$1,0)+1,FALSE)</f>
        <v>1</v>
      </c>
      <c r="AB16" s="2">
        <f t="shared" ref="AB16" si="18">L16</f>
        <v>607</v>
      </c>
      <c r="AC16" s="5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16" s="5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5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8">
        <v>1</v>
      </c>
      <c r="AG16" s="27">
        <f t="shared" ref="AG16" ca="1" si="19">AD16</f>
        <v>4</v>
      </c>
      <c r="AH16" s="9">
        <v>0</v>
      </c>
      <c r="AI16" s="8">
        <v>0</v>
      </c>
      <c r="AJ16" s="8">
        <v>0</v>
      </c>
      <c r="AK16" s="8">
        <v>0</v>
      </c>
      <c r="AL16" s="8">
        <v>0</v>
      </c>
      <c r="AM16" s="8">
        <v>1</v>
      </c>
    </row>
    <row r="17" spans="1:39" ht="21" customHeight="1" x14ac:dyDescent="0.15">
      <c r="A17" s="17" t="str">
        <f ca="1">B17&amp;"_"&amp;C17&amp;"-"&amp;G17&amp;"/"&amp;L17&amp;"&lt;lv"&amp;R17&amp;"&gt;s"&amp;AA17</f>
        <v>14003_1-5/608&lt;lv32&gt;s2</v>
      </c>
      <c r="B17" s="64">
        <v>14003</v>
      </c>
      <c r="C17" s="66">
        <v>1</v>
      </c>
      <c r="D17" s="66" t="str">
        <f>B17&amp;"_"&amp;C17</f>
        <v>14003_1</v>
      </c>
      <c r="E17" s="63" t="str">
        <f ca="1">VLOOKUP($B17,OFFSET([2]quests!$A$1,0,0,COUNTA([2]quests!$A:$A),MATCH(E$1,[2]quests!$1:$1,0)-MATCH($B$1,[2]quests!$1:$1,0)+1),MATCH(E$1,[2]quests!$1:$1,0)-MATCH($B$1,[2]quests!$1:$1,0)+1,FALSE)</f>
        <v>【ロック】限界突破/ソロ</v>
      </c>
      <c r="F17" s="63" t="str">
        <f ca="1">VLOOKUP($D17,OFFSET([2]stages!$A$1,0,0,COUNTA([2]stages!$A:$A),MATCH(F$1,[2]stages!$2:$2,0)-MATCH($D$1,[2]stages!$2:$2,0)+1),MATCH(F$1,[2]stages!$2:$2,0)-MATCH($D$1,[2]stages!$2:$2,0)+1,FALSE)</f>
        <v>【超級】果実の楽園（ハートなし）</v>
      </c>
      <c r="G17" s="66">
        <v>5</v>
      </c>
      <c r="H17" s="16" t="str">
        <f>B17&amp;"_"&amp;C17&amp;"-"&amp;G17</f>
        <v>14003_1-5</v>
      </c>
      <c r="I17" s="5">
        <f ca="1">VLOOKUP($H17,OFFSET(floors!$A$1,0,0,COUNTA(floors!$A:$A),MATCH(I$1,floors!$1:$1,0)-MATCH($H$1,floors!$1:$1,0)+1),MATCH(I$1,floors!$1:$1,0)-MATCH($H$1,floors!$1:$1,0)+1,FALSE)</f>
        <v>40</v>
      </c>
      <c r="J17" s="5">
        <f ca="1">VLOOKUP($H17,OFFSET(floors!$A$1,0,0,COUNTA(floors!$A:$A),MATCH(J$1,floors!$1:$1,0)-MATCH($H$1,floors!$1:$1,0)+1),MATCH(J$1,floors!$1:$1,0)-MATCH($H$1,floors!$1:$1,0)+1,FALSE)</f>
        <v>40</v>
      </c>
      <c r="K17" s="8" t="s">
        <v>142</v>
      </c>
      <c r="L17" s="24">
        <v>608</v>
      </c>
      <c r="M17" s="20" t="str">
        <f ca="1">VLOOKUP($L17,OFFSET([3]enemies!$A$1,0,0,COUNTA([3]enemies!$A:$A),MATCH(M$1,[3]enemies!$1:$1,0)-MATCH($L$1,[3]enemies!$1:$1,0)+1),MATCH(M$1,[3]enemies!$1:$1,0)-MATCH($L$1,[3]enemies!$1:$1,0)+1,FALSE)</f>
        <v>メガ生命の果実</v>
      </c>
      <c r="N17" s="20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20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20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20">
        <f ca="1">VLOOKUP($L17,OFFSET([3]enemies!$A$1,0,0,COUNTA([3]enemies!$A:$A),MATCH(Q$1,[3]enemies!$1:$1,0)-MATCH($L$1,[3]enemies!$1:$1,0)+1),MATCH(Q$1,[3]enemies!$1:$1,0)-MATCH($L$1,[3]enemies!$1:$1,0)+1,FALSE)</f>
        <v>20</v>
      </c>
      <c r="R17" s="6">
        <v>32</v>
      </c>
      <c r="S17" s="5">
        <f ca="1">VLOOKUP($L17,OFFSET(調整用!$C$1,0,0,COUNTA(調整用!$C:$C),MATCH(S$1,調整用!$1:$1,0)-MATCH($L$1,調整用!$1:$1,0)+1),MATCH(S$1,調整用!$1:$1,0)-MATCH($L$1,調整用!$1:$1,0)+1,FALSE)</f>
        <v>1</v>
      </c>
      <c r="T17" s="5">
        <f ca="1">VLOOKUP($L17,OFFSET(調整用!$C$1,0,0,COUNTA(調整用!$C:$C),MATCH(T$1,調整用!$1:$1,0)-MATCH($L$1,調整用!$1:$1,0)+1),MATCH(T$1,調整用!$1:$1,0)-MATCH($L$1,調整用!$1:$1,0)+1,FALSE)</f>
        <v>0.9</v>
      </c>
      <c r="U17" s="5">
        <f ca="1">VLOOKUP($L17,OFFSET(調整用!$C$1,0,0,COUNTA(調整用!$C:$C),MATCH(U$1,調整用!$1:$1,0)-MATCH($L$1,調整用!$1:$1,0)+1),MATCH(U$1,調整用!$1:$1,0)-MATCH($L$1,調整用!$1:$1,0)+1,FALSE)</f>
        <v>0</v>
      </c>
      <c r="V17" s="5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5">
        <f ca="1">VLOOKUP($L17,OFFSET([3]enemies!$A$1,0,0,COUNTA([3]enemies!$A:$A),MATCH(W$1,[3]enemies!$1:$1,0)-MATCH($L$1,[3]enemies!$1:$1,0)+1),MATCH(W$1,[3]enemies!$1:$1,0)-MATCH($L$1,[3]enemies!$1:$1,0)+1,FALSE)</f>
        <v>0</v>
      </c>
      <c r="X17" s="7">
        <v>0</v>
      </c>
      <c r="Y17" s="7">
        <v>100</v>
      </c>
      <c r="Z17" s="7">
        <v>0</v>
      </c>
      <c r="AA17" s="5">
        <f ca="1">VLOOKUP($L17,OFFSET(調整用!$C$1,0,0,COUNTA(調整用!$C:$C),MATCH(AA$1,調整用!$1:$1,0)-MATCH($L$1,調整用!$1:$1,0)+1),MATCH(AA$1,調整用!$1:$1,0)-MATCH($L$1,調整用!$1:$1,0)+1,FALSE)</f>
        <v>2</v>
      </c>
      <c r="AB17" s="2">
        <f>L17</f>
        <v>608</v>
      </c>
      <c r="AC17" s="5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17" s="5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5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" s="8">
        <v>1</v>
      </c>
      <c r="AG17" s="27">
        <f ca="1">AD17</f>
        <v>4</v>
      </c>
      <c r="AH17" s="9">
        <v>0</v>
      </c>
      <c r="AI17" s="8">
        <v>0</v>
      </c>
      <c r="AJ17" s="8">
        <v>0</v>
      </c>
      <c r="AK17" s="8">
        <v>0</v>
      </c>
      <c r="AL17" s="8">
        <v>0</v>
      </c>
      <c r="AM17" s="8">
        <v>1</v>
      </c>
    </row>
    <row r="18" spans="1:39" ht="21" customHeight="1" x14ac:dyDescent="0.15">
      <c r="A18" s="17" t="str">
        <f t="shared" ref="A18" ca="1" si="20">B18&amp;"_"&amp;C18&amp;"-"&amp;G18&amp;"/"&amp;L18&amp;"&lt;lv"&amp;R18&amp;"&gt;s"&amp;AA18</f>
        <v>14003_1-5/609&lt;lv32&gt;s3</v>
      </c>
      <c r="B18" s="64">
        <v>14003</v>
      </c>
      <c r="C18" s="66">
        <v>1</v>
      </c>
      <c r="D18" s="66" t="str">
        <f t="shared" ref="D18" si="21">B18&amp;"_"&amp;C18</f>
        <v>14003_1</v>
      </c>
      <c r="E18" s="63" t="str">
        <f ca="1">VLOOKUP($B18,OFFSET([2]quests!$A$1,0,0,COUNTA([2]quests!$A:$A),MATCH(E$1,[2]quests!$1:$1,0)-MATCH($B$1,[2]quests!$1:$1,0)+1),MATCH(E$1,[2]quests!$1:$1,0)-MATCH($B$1,[2]quests!$1:$1,0)+1,FALSE)</f>
        <v>【ロック】限界突破/ソロ</v>
      </c>
      <c r="F18" s="63" t="str">
        <f ca="1">VLOOKUP($D18,OFFSET([2]stages!$A$1,0,0,COUNTA([2]stages!$A:$A),MATCH(F$1,[2]stages!$2:$2,0)-MATCH($D$1,[2]stages!$2:$2,0)+1),MATCH(F$1,[2]stages!$2:$2,0)-MATCH($D$1,[2]stages!$2:$2,0)+1,FALSE)</f>
        <v>【超級】果実の楽園（ハートなし）</v>
      </c>
      <c r="G18" s="66">
        <v>5</v>
      </c>
      <c r="H18" s="16" t="str">
        <f t="shared" ref="H18" si="22">B18&amp;"_"&amp;C18&amp;"-"&amp;G18</f>
        <v>14003_1-5</v>
      </c>
      <c r="I18" s="5">
        <f ca="1">VLOOKUP($H18,OFFSET(floors!$A$1,0,0,COUNTA(floors!$A:$A),MATCH(I$1,floors!$1:$1,0)-MATCH($H$1,floors!$1:$1,0)+1),MATCH(I$1,floors!$1:$1,0)-MATCH($H$1,floors!$1:$1,0)+1,FALSE)</f>
        <v>40</v>
      </c>
      <c r="J18" s="5">
        <f ca="1">VLOOKUP($H18,OFFSET(floors!$A$1,0,0,COUNTA(floors!$A:$A),MATCH(J$1,floors!$1:$1,0)-MATCH($H$1,floors!$1:$1,0)+1),MATCH(J$1,floors!$1:$1,0)-MATCH($H$1,floors!$1:$1,0)+1,FALSE)</f>
        <v>40</v>
      </c>
      <c r="K18" s="8" t="s">
        <v>142</v>
      </c>
      <c r="L18" s="24">
        <v>609</v>
      </c>
      <c r="M18" s="20" t="str">
        <f ca="1">VLOOKUP($L18,OFFSET([3]enemies!$A$1,0,0,COUNTA([3]enemies!$A:$A),MATCH(M$1,[3]enemies!$1:$1,0)-MATCH($L$1,[3]enemies!$1:$1,0)+1),MATCH(M$1,[3]enemies!$1:$1,0)-MATCH($L$1,[3]enemies!$1:$1,0)+1,FALSE)</f>
        <v>メガ癒しの果実</v>
      </c>
      <c r="N18" s="20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20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20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20">
        <f ca="1">VLOOKUP($L18,OFFSET([3]enemies!$A$1,0,0,COUNTA([3]enemies!$A:$A),MATCH(Q$1,[3]enemies!$1:$1,0)-MATCH($L$1,[3]enemies!$1:$1,0)+1),MATCH(Q$1,[3]enemies!$1:$1,0)-MATCH($L$1,[3]enemies!$1:$1,0)+1,FALSE)</f>
        <v>20</v>
      </c>
      <c r="R18" s="6">
        <v>32</v>
      </c>
      <c r="S18" s="5">
        <f ca="1">VLOOKUP($L18,OFFSET(調整用!$C$1,0,0,COUNTA(調整用!$C:$C),MATCH(S$1,調整用!$1:$1,0)-MATCH($L$1,調整用!$1:$1,0)+1),MATCH(S$1,調整用!$1:$1,0)-MATCH($L$1,調整用!$1:$1,0)+1,FALSE)</f>
        <v>1</v>
      </c>
      <c r="T18" s="5">
        <f ca="1">VLOOKUP($L18,OFFSET(調整用!$C$1,0,0,COUNTA(調整用!$C:$C),MATCH(T$1,調整用!$1:$1,0)-MATCH($L$1,調整用!$1:$1,0)+1),MATCH(T$1,調整用!$1:$1,0)-MATCH($L$1,調整用!$1:$1,0)+1,FALSE)</f>
        <v>1</v>
      </c>
      <c r="U18" s="5">
        <f ca="1">VLOOKUP($L18,OFFSET(調整用!$C$1,0,0,COUNTA(調整用!$C:$C),MATCH(U$1,調整用!$1:$1,0)-MATCH($L$1,調整用!$1:$1,0)+1),MATCH(U$1,調整用!$1:$1,0)-MATCH($L$1,調整用!$1:$1,0)+1,FALSE)</f>
        <v>0</v>
      </c>
      <c r="V18" s="5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5">
        <f ca="1">VLOOKUP($L18,OFFSET([3]enemies!$A$1,0,0,COUNTA([3]enemies!$A:$A),MATCH(W$1,[3]enemies!$1:$1,0)-MATCH($L$1,[3]enemies!$1:$1,0)+1),MATCH(W$1,[3]enemies!$1:$1,0)-MATCH($L$1,[3]enemies!$1:$1,0)+1,FALSE)</f>
        <v>0</v>
      </c>
      <c r="X18" s="7">
        <v>0</v>
      </c>
      <c r="Y18" s="7">
        <v>100</v>
      </c>
      <c r="Z18" s="7">
        <v>0</v>
      </c>
      <c r="AA18" s="5">
        <f ca="1">VLOOKUP($L18,OFFSET(調整用!$C$1,0,0,COUNTA(調整用!$C:$C),MATCH(AA$1,調整用!$1:$1,0)-MATCH($L$1,調整用!$1:$1,0)+1),MATCH(AA$1,調整用!$1:$1,0)-MATCH($L$1,調整用!$1:$1,0)+1,FALSE)</f>
        <v>3</v>
      </c>
      <c r="AB18" s="2">
        <f t="shared" ref="AB18" si="23">L18</f>
        <v>609</v>
      </c>
      <c r="AC18" s="5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18" s="5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5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" s="8">
        <v>1</v>
      </c>
      <c r="AG18" s="27">
        <f t="shared" ref="AG18" ca="1" si="24">AD18</f>
        <v>4</v>
      </c>
      <c r="AH18" s="9">
        <v>0</v>
      </c>
      <c r="AI18" s="8">
        <v>0</v>
      </c>
      <c r="AJ18" s="8">
        <v>0</v>
      </c>
      <c r="AK18" s="8">
        <v>0</v>
      </c>
      <c r="AL18" s="8">
        <v>0</v>
      </c>
      <c r="AM18" s="8">
        <v>1</v>
      </c>
    </row>
    <row r="19" spans="1:39" ht="21" customHeight="1" x14ac:dyDescent="0.15">
      <c r="A19" s="17" t="str">
        <f ca="1">B19&amp;"_"&amp;C19&amp;"-"&amp;G19&amp;"/"&amp;L19&amp;"&lt;lv"&amp;R19&amp;"&gt;s"&amp;AA19</f>
        <v>14003_1-5/125&lt;lv32&gt;s1</v>
      </c>
      <c r="B19" s="64">
        <v>14003</v>
      </c>
      <c r="C19" s="66">
        <v>1</v>
      </c>
      <c r="D19" s="66" t="str">
        <f>B19&amp;"_"&amp;C19</f>
        <v>14003_1</v>
      </c>
      <c r="E19" s="63" t="str">
        <f ca="1">VLOOKUP($B19,OFFSET([2]quests!$A$1,0,0,COUNTA([2]quests!$A:$A),MATCH(E$1,[2]quests!$1:$1,0)-MATCH($B$1,[2]quests!$1:$1,0)+1),MATCH(E$1,[2]quests!$1:$1,0)-MATCH($B$1,[2]quests!$1:$1,0)+1,FALSE)</f>
        <v>【ロック】限界突破/ソロ</v>
      </c>
      <c r="F19" s="63" t="str">
        <f ca="1">VLOOKUP($D19,OFFSET([2]stages!$A$1,0,0,COUNTA([2]stages!$A:$A),MATCH(F$1,[2]stages!$2:$2,0)-MATCH($D$1,[2]stages!$2:$2,0)+1),MATCH(F$1,[2]stages!$2:$2,0)-MATCH($D$1,[2]stages!$2:$2,0)+1,FALSE)</f>
        <v>【超級】果実の楽園（ハートなし）</v>
      </c>
      <c r="G19" s="66">
        <v>5</v>
      </c>
      <c r="H19" s="16" t="str">
        <f>B19&amp;"_"&amp;C19&amp;"-"&amp;G19</f>
        <v>14003_1-5</v>
      </c>
      <c r="I19" s="5">
        <f ca="1">VLOOKUP($H19,OFFSET(floors!$A$1,0,0,COUNTA(floors!$A:$A),MATCH(I$1,floors!$1:$1,0)-MATCH($H$1,floors!$1:$1,0)+1),MATCH(I$1,floors!$1:$1,0)-MATCH($H$1,floors!$1:$1,0)+1,FALSE)</f>
        <v>40</v>
      </c>
      <c r="J19" s="5">
        <f ca="1">VLOOKUP($H19,OFFSET(floors!$A$1,0,0,COUNTA(floors!$A:$A),MATCH(J$1,floors!$1:$1,0)-MATCH($H$1,floors!$1:$1,0)+1),MATCH(J$1,floors!$1:$1,0)-MATCH($H$1,floors!$1:$1,0)+1,FALSE)</f>
        <v>40</v>
      </c>
      <c r="K19" s="8" t="s">
        <v>142</v>
      </c>
      <c r="L19" s="24">
        <v>125</v>
      </c>
      <c r="M19" s="20" t="str">
        <f ca="1">VLOOKUP($L19,OFFSET([3]enemies!$A$1,0,0,COUNTA([3]enemies!$A:$A),MATCH(M$1,[3]enemies!$1:$1,0)-MATCH($L$1,[3]enemies!$1:$1,0)+1),MATCH(M$1,[3]enemies!$1:$1,0)-MATCH($L$1,[3]enemies!$1:$1,0)+1,FALSE)</f>
        <v>秘術の果実</v>
      </c>
      <c r="N19" s="20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20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20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20">
        <f ca="1">VLOOKUP($L19,OFFSET([3]enemies!$A$1,0,0,COUNTA([3]enemies!$A:$A),MATCH(Q$1,[3]enemies!$1:$1,0)-MATCH($L$1,[3]enemies!$1:$1,0)+1),MATCH(Q$1,[3]enemies!$1:$1,0)-MATCH($L$1,[3]enemies!$1:$1,0)+1,FALSE)</f>
        <v>20</v>
      </c>
      <c r="R19" s="6">
        <v>32</v>
      </c>
      <c r="S19" s="5">
        <f ca="1">VLOOKUP($L19,OFFSET(調整用!$C$1,0,0,COUNTA(調整用!$C:$C),MATCH(S$1,調整用!$1:$1,0)-MATCH($L$1,調整用!$1:$1,0)+1),MATCH(S$1,調整用!$1:$1,0)-MATCH($L$1,調整用!$1:$1,0)+1,FALSE)</f>
        <v>0.4</v>
      </c>
      <c r="T19" s="5">
        <f ca="1">VLOOKUP($L19,OFFSET(調整用!$C$1,0,0,COUNTA(調整用!$C:$C),MATCH(T$1,調整用!$1:$1,0)-MATCH($L$1,調整用!$1:$1,0)+1),MATCH(T$1,調整用!$1:$1,0)-MATCH($L$1,調整用!$1:$1,0)+1,FALSE)</f>
        <v>0.8</v>
      </c>
      <c r="U19" s="5">
        <f ca="1">VLOOKUP($L19,OFFSET(調整用!$C$1,0,0,COUNTA(調整用!$C:$C),MATCH(U$1,調整用!$1:$1,0)-MATCH($L$1,調整用!$1:$1,0)+1),MATCH(U$1,調整用!$1:$1,0)-MATCH($L$1,調整用!$1:$1,0)+1,FALSE)</f>
        <v>0</v>
      </c>
      <c r="V19" s="5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" s="5">
        <f ca="1">VLOOKUP($L19,OFFSET([3]enemies!$A$1,0,0,COUNTA([3]enemies!$A:$A),MATCH(W$1,[3]enemies!$1:$1,0)-MATCH($L$1,[3]enemies!$1:$1,0)+1),MATCH(W$1,[3]enemies!$1:$1,0)-MATCH($L$1,[3]enemies!$1:$1,0)+1,FALSE)</f>
        <v>0</v>
      </c>
      <c r="X19" s="7">
        <v>0</v>
      </c>
      <c r="Y19" s="7">
        <v>60</v>
      </c>
      <c r="Z19" s="7">
        <v>1</v>
      </c>
      <c r="AA19" s="5">
        <f ca="1">VLOOKUP($L19,OFFSET(調整用!$C$1,0,0,COUNTA(調整用!$C:$C),MATCH(AA$1,調整用!$1:$1,0)-MATCH($L$1,調整用!$1:$1,0)+1),MATCH(AA$1,調整用!$1:$1,0)-MATCH($L$1,調整用!$1:$1,0)+1,FALSE)</f>
        <v>1</v>
      </c>
      <c r="AB19" s="2">
        <f>L19</f>
        <v>125</v>
      </c>
      <c r="AC19" s="5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秘術の果実</v>
      </c>
      <c r="AD19" s="5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5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8">
        <v>1</v>
      </c>
      <c r="AG19" s="27">
        <f ca="1">AD19</f>
        <v>3</v>
      </c>
      <c r="AH19" s="9">
        <v>100</v>
      </c>
      <c r="AI19" s="8">
        <v>0</v>
      </c>
      <c r="AJ19" s="8">
        <v>0</v>
      </c>
      <c r="AK19" s="8">
        <v>0</v>
      </c>
      <c r="AL19" s="8">
        <v>0</v>
      </c>
      <c r="AM19" s="8">
        <v>1</v>
      </c>
    </row>
    <row r="20" spans="1:39" ht="21" customHeight="1" x14ac:dyDescent="0.15">
      <c r="A20" s="17" t="str">
        <f>B20&amp;"_"&amp;C20&amp;"-"&amp;G20&amp;"/"&amp;L20&amp;"&lt;lv"&amp;R20&amp;"&gt;s"&amp;AA20</f>
        <v>14003_1-5/610&lt;lv32&gt;s1</v>
      </c>
      <c r="B20" s="64">
        <v>14003</v>
      </c>
      <c r="C20" s="66">
        <v>1</v>
      </c>
      <c r="D20" s="66" t="str">
        <f>B20&amp;"_"&amp;C20</f>
        <v>14003_1</v>
      </c>
      <c r="E20" s="63" t="str">
        <f ca="1">VLOOKUP($B20,OFFSET([2]quests!$A$1,0,0,COUNTA([2]quests!$A:$A),MATCH(E$1,[2]quests!$1:$1,0)-MATCH($B$1,[2]quests!$1:$1,0)+1),MATCH(E$1,[2]quests!$1:$1,0)-MATCH($B$1,[2]quests!$1:$1,0)+1,FALSE)</f>
        <v>【ロック】限界突破/ソロ</v>
      </c>
      <c r="F20" s="63" t="str">
        <f ca="1">VLOOKUP($D20,OFFSET([2]stages!$A$1,0,0,COUNTA([2]stages!$A:$A),MATCH(F$1,[2]stages!$2:$2,0)-MATCH($D$1,[2]stages!$2:$2,0)+1),MATCH(F$1,[2]stages!$2:$2,0)-MATCH($D$1,[2]stages!$2:$2,0)+1,FALSE)</f>
        <v>【超級】果実の楽園（ハートなし）</v>
      </c>
      <c r="G20" s="66">
        <v>5</v>
      </c>
      <c r="H20" s="16" t="str">
        <f>B20&amp;"_"&amp;C20&amp;"-"&amp;G20</f>
        <v>14003_1-5</v>
      </c>
      <c r="I20" s="5">
        <f ca="1">VLOOKUP($H20,OFFSET(floors!$A$1,0,0,COUNTA(floors!$A:$A),MATCH(I$1,floors!$1:$1,0)-MATCH($H$1,floors!$1:$1,0)+1),MATCH(I$1,floors!$1:$1,0)-MATCH($H$1,floors!$1:$1,0)+1,FALSE)</f>
        <v>40</v>
      </c>
      <c r="J20" s="5">
        <f ca="1">VLOOKUP($H20,OFFSET(floors!$A$1,0,0,COUNTA(floors!$A:$A),MATCH(J$1,floors!$1:$1,0)-MATCH($H$1,floors!$1:$1,0)+1),MATCH(J$1,floors!$1:$1,0)-MATCH($H$1,floors!$1:$1,0)+1,FALSE)</f>
        <v>40</v>
      </c>
      <c r="K20" s="8" t="s">
        <v>142</v>
      </c>
      <c r="L20" s="24">
        <v>610</v>
      </c>
      <c r="M20" s="20" t="str">
        <f ca="1">VLOOKUP($L20,OFFSET([3]enemies!$A$1,0,0,COUNTA([3]enemies!$A:$A),MATCH(M$1,[3]enemies!$1:$1,0)-MATCH($L$1,[3]enemies!$1:$1,0)+1),MATCH(M$1,[3]enemies!$1:$1,0)-MATCH($L$1,[3]enemies!$1:$1,0)+1,FALSE)</f>
        <v>メガ秘術の果実</v>
      </c>
      <c r="N20" s="20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20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20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20">
        <f ca="1">VLOOKUP($L20,OFFSET([3]enemies!$A$1,0,0,COUNTA([3]enemies!$A:$A),MATCH(Q$1,[3]enemies!$1:$1,0)-MATCH($L$1,[3]enemies!$1:$1,0)+1),MATCH(Q$1,[3]enemies!$1:$1,0)-MATCH($L$1,[3]enemies!$1:$1,0)+1,FALSE)</f>
        <v>20</v>
      </c>
      <c r="R20" s="6">
        <v>32</v>
      </c>
      <c r="S20" s="57">
        <v>0.4</v>
      </c>
      <c r="T20" s="57">
        <v>0.8</v>
      </c>
      <c r="U20" s="57">
        <v>0</v>
      </c>
      <c r="V20" s="5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5">
        <f ca="1">VLOOKUP($L20,OFFSET([3]enemies!$A$1,0,0,COUNTA([3]enemies!$A:$A),MATCH(W$1,[3]enemies!$1:$1,0)-MATCH($L$1,[3]enemies!$1:$1,0)+1),MATCH(W$1,[3]enemies!$1:$1,0)-MATCH($L$1,[3]enemies!$1:$1,0)+1,FALSE)</f>
        <v>0</v>
      </c>
      <c r="X20" s="7">
        <v>0</v>
      </c>
      <c r="Y20" s="7">
        <v>40</v>
      </c>
      <c r="Z20" s="7">
        <v>1</v>
      </c>
      <c r="AA20" s="57">
        <v>1</v>
      </c>
      <c r="AB20" s="2">
        <f>L20</f>
        <v>610</v>
      </c>
      <c r="AC20" s="5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メガ秘術の果実</v>
      </c>
      <c r="AD20" s="5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5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8">
        <v>1</v>
      </c>
      <c r="AG20" s="27">
        <f ca="1">AD20</f>
        <v>4</v>
      </c>
      <c r="AH20" s="9">
        <v>100</v>
      </c>
      <c r="AI20" s="8">
        <v>0</v>
      </c>
      <c r="AJ20" s="8">
        <v>0</v>
      </c>
      <c r="AK20" s="8">
        <v>0</v>
      </c>
      <c r="AL20" s="8">
        <v>0</v>
      </c>
      <c r="AM20" s="8">
        <v>1</v>
      </c>
    </row>
    <row r="21" spans="1:39" ht="21" customHeight="1" x14ac:dyDescent="0.15">
      <c r="A21" s="17" t="str">
        <f t="shared" ref="A21:A46" ca="1" si="25">B21&amp;"_"&amp;C21&amp;"-"&amp;G21&amp;"/"&amp;L21&amp;"&lt;lv"&amp;R21&amp;"&gt;s"&amp;AA21</f>
        <v>14003_2-1/121&lt;lv32&gt;s1</v>
      </c>
      <c r="B21" s="64">
        <v>14003</v>
      </c>
      <c r="C21" s="66">
        <v>2</v>
      </c>
      <c r="D21" s="66" t="str">
        <f t="shared" ref="D21:D46" si="26">B21&amp;"_"&amp;C21</f>
        <v>14003_2</v>
      </c>
      <c r="E21" s="63" t="str">
        <f ca="1">VLOOKUP($B21,OFFSET([2]quests!$A$1,0,0,COUNTA([2]quests!$A:$A),MATCH(E$1,[2]quests!$1:$1,0)-MATCH($B$1,[2]quests!$1:$1,0)+1),MATCH(E$1,[2]quests!$1:$1,0)-MATCH($B$1,[2]quests!$1:$1,0)+1,FALSE)</f>
        <v>【ロック】限界突破/ソロ</v>
      </c>
      <c r="F21" s="63" t="str">
        <f ca="1">VLOOKUP($D21,OFFSET([2]stages!$A$1,0,0,COUNTA([2]stages!$A:$A),MATCH(F$1,[2]stages!$2:$2,0)-MATCH($D$1,[2]stages!$2:$2,0)+1),MATCH(F$1,[2]stages!$2:$2,0)-MATCH($D$1,[2]stages!$2:$2,0)+1,FALSE)</f>
        <v>【超級】攻めの極意（ハートなし）</v>
      </c>
      <c r="G21" s="66">
        <v>1</v>
      </c>
      <c r="H21" s="16" t="str">
        <f t="shared" ref="H21:H46" si="27">B21&amp;"_"&amp;C21&amp;"-"&amp;G21</f>
        <v>14003_2-1</v>
      </c>
      <c r="I21" s="5">
        <f ca="1">VLOOKUP($H21,OFFSET(floors!$A$1,0,0,COUNTA(floors!$A:$A),MATCH(I$1,floors!$1:$1,0)-MATCH($H$1,floors!$1:$1,0)+1),MATCH(I$1,floors!$1:$1,0)-MATCH($H$1,floors!$1:$1,0)+1,FALSE)</f>
        <v>60</v>
      </c>
      <c r="J21" s="5">
        <f ca="1">VLOOKUP($H21,OFFSET(floors!$A$1,0,0,COUNTA(floors!$A:$A),MATCH(J$1,floors!$1:$1,0)-MATCH($H$1,floors!$1:$1,0)+1),MATCH(J$1,floors!$1:$1,0)-MATCH($H$1,floors!$1:$1,0)+1,FALSE)</f>
        <v>60</v>
      </c>
      <c r="K21" s="8" t="s">
        <v>142</v>
      </c>
      <c r="L21" s="24">
        <v>121</v>
      </c>
      <c r="M21" s="20" t="str">
        <f ca="1">VLOOKUP($L21,OFFSET([3]enemies!$A$1,0,0,COUNTA([3]enemies!$A:$A),MATCH(M$1,[3]enemies!$1:$1,0)-MATCH($L$1,[3]enemies!$1:$1,0)+1),MATCH(M$1,[3]enemies!$1:$1,0)-MATCH($L$1,[3]enemies!$1:$1,0)+1,FALSE)</f>
        <v>攻めの果実</v>
      </c>
      <c r="N21" s="20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20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20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20">
        <f ca="1">VLOOKUP($L21,OFFSET([3]enemies!$A$1,0,0,COUNTA([3]enemies!$A:$A),MATCH(Q$1,[3]enemies!$1:$1,0)-MATCH($L$1,[3]enemies!$1:$1,0)+1),MATCH(Q$1,[3]enemies!$1:$1,0)-MATCH($L$1,[3]enemies!$1:$1,0)+1,FALSE)</f>
        <v>20</v>
      </c>
      <c r="R21" s="6">
        <v>32</v>
      </c>
      <c r="S21" s="5">
        <f ca="1">VLOOKUP($L21,OFFSET(調整用!$C$1,0,0,COUNTA(調整用!$C:$C),MATCH(S$1,調整用!$1:$1,0)-MATCH($L$1,調整用!$1:$1,0)+1),MATCH(S$1,調整用!$1:$1,0)-MATCH($L$1,調整用!$1:$1,0)+1,FALSE)</f>
        <v>0.5</v>
      </c>
      <c r="T21" s="5">
        <f ca="1">VLOOKUP($L21,OFFSET(調整用!$C$1,0,0,COUNTA(調整用!$C:$C),MATCH(T$1,調整用!$1:$1,0)-MATCH($L$1,調整用!$1:$1,0)+1),MATCH(T$1,調整用!$1:$1,0)-MATCH($L$1,調整用!$1:$1,0)+1,FALSE)</f>
        <v>1</v>
      </c>
      <c r="U21" s="5">
        <f ca="1">VLOOKUP($L21,OFFSET(調整用!$C$1,0,0,COUNTA(調整用!$C:$C),MATCH(U$1,調整用!$1:$1,0)-MATCH($L$1,調整用!$1:$1,0)+1),MATCH(U$1,調整用!$1:$1,0)-MATCH($L$1,調整用!$1:$1,0)+1,FALSE)</f>
        <v>0</v>
      </c>
      <c r="V21" s="5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5">
        <f ca="1">VLOOKUP($L21,OFFSET([3]enemies!$A$1,0,0,COUNTA([3]enemies!$A:$A),MATCH(W$1,[3]enemies!$1:$1,0)-MATCH($L$1,[3]enemies!$1:$1,0)+1),MATCH(W$1,[3]enemies!$1:$1,0)-MATCH($L$1,[3]enemies!$1:$1,0)+1,FALSE)</f>
        <v>0</v>
      </c>
      <c r="X21" s="7">
        <v>0</v>
      </c>
      <c r="Y21" s="7">
        <v>100</v>
      </c>
      <c r="Z21" s="7">
        <v>0</v>
      </c>
      <c r="AA21" s="57">
        <f ca="1">VLOOKUP($L21,OFFSET(調整用!$C$1,0,0,COUNTA(調整用!$C:$C),MATCH(AA$1,調整用!$1:$1,0)-MATCH($L$1,調整用!$1:$1,0)+1),MATCH(AA$1,調整用!$1:$1,0)-MATCH($L$1,調整用!$1:$1,0)+1,FALSE)</f>
        <v>1</v>
      </c>
      <c r="AB21" s="2">
        <f t="shared" ref="AB21:AB46" si="28">L21</f>
        <v>121</v>
      </c>
      <c r="AC21" s="5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21" s="5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5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8">
        <v>1</v>
      </c>
      <c r="AG21" s="27">
        <f t="shared" ref="AG21:AG46" ca="1" si="29">AD21</f>
        <v>3</v>
      </c>
      <c r="AH21" s="9">
        <v>0</v>
      </c>
      <c r="AI21" s="8">
        <v>0</v>
      </c>
      <c r="AJ21" s="8">
        <v>0</v>
      </c>
      <c r="AK21" s="8">
        <v>0</v>
      </c>
      <c r="AL21" s="8">
        <v>0</v>
      </c>
      <c r="AM21" s="8">
        <v>1</v>
      </c>
    </row>
    <row r="22" spans="1:39" ht="21" customHeight="1" x14ac:dyDescent="0.15">
      <c r="A22" s="17" t="str">
        <f t="shared" si="25"/>
        <v>14003_2-1/125&lt;lv32&gt;s2</v>
      </c>
      <c r="B22" s="64">
        <v>14003</v>
      </c>
      <c r="C22" s="66">
        <v>2</v>
      </c>
      <c r="D22" s="66" t="str">
        <f t="shared" si="26"/>
        <v>14003_2</v>
      </c>
      <c r="E22" s="63" t="str">
        <f ca="1">VLOOKUP($B22,OFFSET([2]quests!$A$1,0,0,COUNTA([2]quests!$A:$A),MATCH(E$1,[2]quests!$1:$1,0)-MATCH($B$1,[2]quests!$1:$1,0)+1),MATCH(E$1,[2]quests!$1:$1,0)-MATCH($B$1,[2]quests!$1:$1,0)+1,FALSE)</f>
        <v>【ロック】限界突破/ソロ</v>
      </c>
      <c r="F22" s="63" t="str">
        <f ca="1">VLOOKUP($D22,OFFSET([2]stages!$A$1,0,0,COUNTA([2]stages!$A:$A),MATCH(F$1,[2]stages!$2:$2,0)-MATCH($D$1,[2]stages!$2:$2,0)+1),MATCH(F$1,[2]stages!$2:$2,0)-MATCH($D$1,[2]stages!$2:$2,0)+1,FALSE)</f>
        <v>【超級】攻めの極意（ハートなし）</v>
      </c>
      <c r="G22" s="66">
        <v>1</v>
      </c>
      <c r="H22" s="16" t="str">
        <f t="shared" si="27"/>
        <v>14003_2-1</v>
      </c>
      <c r="I22" s="5">
        <f ca="1">VLOOKUP($H22,OFFSET(floors!$A$1,0,0,COUNTA(floors!$A:$A),MATCH(I$1,floors!$1:$1,0)-MATCH($H$1,floors!$1:$1,0)+1),MATCH(I$1,floors!$1:$1,0)-MATCH($H$1,floors!$1:$1,0)+1,FALSE)</f>
        <v>60</v>
      </c>
      <c r="J22" s="5">
        <f ca="1">VLOOKUP($H22,OFFSET(floors!$A$1,0,0,COUNTA(floors!$A:$A),MATCH(J$1,floors!$1:$1,0)-MATCH($H$1,floors!$1:$1,0)+1),MATCH(J$1,floors!$1:$1,0)-MATCH($H$1,floors!$1:$1,0)+1,FALSE)</f>
        <v>60</v>
      </c>
      <c r="K22" s="8" t="s">
        <v>142</v>
      </c>
      <c r="L22" s="24">
        <v>125</v>
      </c>
      <c r="M22" s="20" t="str">
        <f ca="1">VLOOKUP($L22,OFFSET([3]enemies!$A$1,0,0,COUNTA([3]enemies!$A:$A),MATCH(M$1,[3]enemies!$1:$1,0)-MATCH($L$1,[3]enemies!$1:$1,0)+1),MATCH(M$1,[3]enemies!$1:$1,0)-MATCH($L$1,[3]enemies!$1:$1,0)+1,FALSE)</f>
        <v>秘術の果実</v>
      </c>
      <c r="N22" s="20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20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20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20">
        <f ca="1">VLOOKUP($L22,OFFSET([3]enemies!$A$1,0,0,COUNTA([3]enemies!$A:$A),MATCH(Q$1,[3]enemies!$1:$1,0)-MATCH($L$1,[3]enemies!$1:$1,0)+1),MATCH(Q$1,[3]enemies!$1:$1,0)-MATCH($L$1,[3]enemies!$1:$1,0)+1,FALSE)</f>
        <v>20</v>
      </c>
      <c r="R22" s="6">
        <v>32</v>
      </c>
      <c r="S22" s="5">
        <f ca="1">VLOOKUP($L22,OFFSET(調整用!$C$1,0,0,COUNTA(調整用!$C:$C),MATCH(S$1,調整用!$1:$1,0)-MATCH($L$1,調整用!$1:$1,0)+1),MATCH(S$1,調整用!$1:$1,0)-MATCH($L$1,調整用!$1:$1,0)+1,FALSE)</f>
        <v>0.4</v>
      </c>
      <c r="T22" s="5">
        <f ca="1">VLOOKUP($L22,OFFSET(調整用!$C$1,0,0,COUNTA(調整用!$C:$C),MATCH(T$1,調整用!$1:$1,0)-MATCH($L$1,調整用!$1:$1,0)+1),MATCH(T$1,調整用!$1:$1,0)-MATCH($L$1,調整用!$1:$1,0)+1,FALSE)</f>
        <v>0.8</v>
      </c>
      <c r="U22" s="5">
        <f ca="1">VLOOKUP($L22,OFFSET(調整用!$C$1,0,0,COUNTA(調整用!$C:$C),MATCH(U$1,調整用!$1:$1,0)-MATCH($L$1,調整用!$1:$1,0)+1),MATCH(U$1,調整用!$1:$1,0)-MATCH($L$1,調整用!$1:$1,0)+1,FALSE)</f>
        <v>0</v>
      </c>
      <c r="V22" s="5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5">
        <f ca="1">VLOOKUP($L22,OFFSET([3]enemies!$A$1,0,0,COUNTA([3]enemies!$A:$A),MATCH(W$1,[3]enemies!$1:$1,0)-MATCH($L$1,[3]enemies!$1:$1,0)+1),MATCH(W$1,[3]enemies!$1:$1,0)-MATCH($L$1,[3]enemies!$1:$1,0)+1,FALSE)</f>
        <v>0</v>
      </c>
      <c r="X22" s="7">
        <v>1</v>
      </c>
      <c r="Y22" s="7">
        <v>0</v>
      </c>
      <c r="Z22" s="7">
        <v>1</v>
      </c>
      <c r="AA22" s="57">
        <v>2</v>
      </c>
      <c r="AB22" s="2">
        <f t="shared" si="28"/>
        <v>125</v>
      </c>
      <c r="AC22" s="5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秘術の果実</v>
      </c>
      <c r="AD22" s="5">
        <f ca="1">VLOOKUP($AB22,OFFSET([4]characters!$A$1,0,0,COUNTA([4]characters!$A:$A),MATCH(AD$1,[4]characters!$1:$1,0)-MATCH("character_id",[4]characters!$1:$1,0)+1),MATCH(AD$1,[4]characters!$1:$1,0)-MATCH("character_id",[4]characters!$1:$1,0)+1,FALSE)</f>
        <v>3</v>
      </c>
      <c r="AE22" s="5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8">
        <v>1</v>
      </c>
      <c r="AG22" s="27">
        <f t="shared" ca="1" si="29"/>
        <v>3</v>
      </c>
      <c r="AH22" s="9">
        <v>100</v>
      </c>
      <c r="AI22" s="8">
        <v>0</v>
      </c>
      <c r="AJ22" s="8">
        <v>0</v>
      </c>
      <c r="AK22" s="8">
        <v>0</v>
      </c>
      <c r="AL22" s="8">
        <v>0</v>
      </c>
      <c r="AM22" s="8">
        <v>1</v>
      </c>
    </row>
    <row r="23" spans="1:39" ht="21" customHeight="1" x14ac:dyDescent="0.15">
      <c r="A23" s="17" t="str">
        <f t="shared" ca="1" si="25"/>
        <v>14003_2-2/121&lt;lv32&gt;s1</v>
      </c>
      <c r="B23" s="64">
        <v>14003</v>
      </c>
      <c r="C23" s="66">
        <v>2</v>
      </c>
      <c r="D23" s="66" t="str">
        <f t="shared" si="26"/>
        <v>14003_2</v>
      </c>
      <c r="E23" s="63" t="str">
        <f ca="1">VLOOKUP($B23,OFFSET([2]quests!$A$1,0,0,COUNTA([2]quests!$A:$A),MATCH(E$1,[2]quests!$1:$1,0)-MATCH($B$1,[2]quests!$1:$1,0)+1),MATCH(E$1,[2]quests!$1:$1,0)-MATCH($B$1,[2]quests!$1:$1,0)+1,FALSE)</f>
        <v>【ロック】限界突破/ソロ</v>
      </c>
      <c r="F23" s="63" t="str">
        <f ca="1">VLOOKUP($D23,OFFSET([2]stages!$A$1,0,0,COUNTA([2]stages!$A:$A),MATCH(F$1,[2]stages!$2:$2,0)-MATCH($D$1,[2]stages!$2:$2,0)+1),MATCH(F$1,[2]stages!$2:$2,0)-MATCH($D$1,[2]stages!$2:$2,0)+1,FALSE)</f>
        <v>【超級】攻めの極意（ハートなし）</v>
      </c>
      <c r="G23" s="66">
        <v>2</v>
      </c>
      <c r="H23" s="16" t="str">
        <f t="shared" si="27"/>
        <v>14003_2-2</v>
      </c>
      <c r="I23" s="5">
        <f ca="1">VLOOKUP($H23,OFFSET(floors!$A$1,0,0,COUNTA(floors!$A:$A),MATCH(I$1,floors!$1:$1,0)-MATCH($H$1,floors!$1:$1,0)+1),MATCH(I$1,floors!$1:$1,0)-MATCH($H$1,floors!$1:$1,0)+1,FALSE)</f>
        <v>60</v>
      </c>
      <c r="J23" s="5">
        <f ca="1">VLOOKUP($H23,OFFSET(floors!$A$1,0,0,COUNTA(floors!$A:$A),MATCH(J$1,floors!$1:$1,0)-MATCH($H$1,floors!$1:$1,0)+1),MATCH(J$1,floors!$1:$1,0)-MATCH($H$1,floors!$1:$1,0)+1,FALSE)</f>
        <v>60</v>
      </c>
      <c r="K23" s="8" t="s">
        <v>142</v>
      </c>
      <c r="L23" s="24">
        <v>121</v>
      </c>
      <c r="M23" s="20" t="str">
        <f ca="1">VLOOKUP($L23,OFFSET([3]enemies!$A$1,0,0,COUNTA([3]enemies!$A:$A),MATCH(M$1,[3]enemies!$1:$1,0)-MATCH($L$1,[3]enemies!$1:$1,0)+1),MATCH(M$1,[3]enemies!$1:$1,0)-MATCH($L$1,[3]enemies!$1:$1,0)+1,FALSE)</f>
        <v>攻めの果実</v>
      </c>
      <c r="N23" s="20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20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20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20">
        <f ca="1">VLOOKUP($L23,OFFSET([3]enemies!$A$1,0,0,COUNTA([3]enemies!$A:$A),MATCH(Q$1,[3]enemies!$1:$1,0)-MATCH($L$1,[3]enemies!$1:$1,0)+1),MATCH(Q$1,[3]enemies!$1:$1,0)-MATCH($L$1,[3]enemies!$1:$1,0)+1,FALSE)</f>
        <v>20</v>
      </c>
      <c r="R23" s="6">
        <v>32</v>
      </c>
      <c r="S23" s="5">
        <f ca="1">VLOOKUP($L23,OFFSET(調整用!$C$1,0,0,COUNTA(調整用!$C:$C),MATCH(S$1,調整用!$1:$1,0)-MATCH($L$1,調整用!$1:$1,0)+1),MATCH(S$1,調整用!$1:$1,0)-MATCH($L$1,調整用!$1:$1,0)+1,FALSE)</f>
        <v>0.5</v>
      </c>
      <c r="T23" s="5">
        <f ca="1">VLOOKUP($L23,OFFSET(調整用!$C$1,0,0,COUNTA(調整用!$C:$C),MATCH(T$1,調整用!$1:$1,0)-MATCH($L$1,調整用!$1:$1,0)+1),MATCH(T$1,調整用!$1:$1,0)-MATCH($L$1,調整用!$1:$1,0)+1,FALSE)</f>
        <v>1</v>
      </c>
      <c r="U23" s="5">
        <f ca="1">VLOOKUP($L23,OFFSET(調整用!$C$1,0,0,COUNTA(調整用!$C:$C),MATCH(U$1,調整用!$1:$1,0)-MATCH($L$1,調整用!$1:$1,0)+1),MATCH(U$1,調整用!$1:$1,0)-MATCH($L$1,調整用!$1:$1,0)+1,FALSE)</f>
        <v>0</v>
      </c>
      <c r="V23" s="5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5">
        <f ca="1">VLOOKUP($L23,OFFSET([3]enemies!$A$1,0,0,COUNTA([3]enemies!$A:$A),MATCH(W$1,[3]enemies!$1:$1,0)-MATCH($L$1,[3]enemies!$1:$1,0)+1),MATCH(W$1,[3]enemies!$1:$1,0)-MATCH($L$1,[3]enemies!$1:$1,0)+1,FALSE)</f>
        <v>0</v>
      </c>
      <c r="X23" s="7">
        <v>0</v>
      </c>
      <c r="Y23" s="7">
        <v>100</v>
      </c>
      <c r="Z23" s="7">
        <v>0</v>
      </c>
      <c r="AA23" s="57">
        <f ca="1">VLOOKUP($L23,OFFSET(調整用!$C$1,0,0,COUNTA(調整用!$C:$C),MATCH(AA$1,調整用!$1:$1,0)-MATCH($L$1,調整用!$1:$1,0)+1),MATCH(AA$1,調整用!$1:$1,0)-MATCH($L$1,調整用!$1:$1,0)+1,FALSE)</f>
        <v>1</v>
      </c>
      <c r="AB23" s="2">
        <f t="shared" si="28"/>
        <v>121</v>
      </c>
      <c r="AC23" s="5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23" s="5">
        <f ca="1">VLOOKUP($AB23,OFFSET([4]characters!$A$1,0,0,COUNTA([4]characters!$A:$A),MATCH(AD$1,[4]characters!$1:$1,0)-MATCH("character_id",[4]characters!$1:$1,0)+1),MATCH(AD$1,[4]characters!$1:$1,0)-MATCH("character_id",[4]characters!$1:$1,0)+1,FALSE)</f>
        <v>3</v>
      </c>
      <c r="AE23" s="5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8">
        <v>1</v>
      </c>
      <c r="AG23" s="27">
        <f t="shared" ca="1" si="29"/>
        <v>3</v>
      </c>
      <c r="AH23" s="9">
        <v>0</v>
      </c>
      <c r="AI23" s="8">
        <v>0</v>
      </c>
      <c r="AJ23" s="8">
        <v>0</v>
      </c>
      <c r="AK23" s="8">
        <v>0</v>
      </c>
      <c r="AL23" s="8">
        <v>0</v>
      </c>
      <c r="AM23" s="8">
        <v>1</v>
      </c>
    </row>
    <row r="24" spans="1:39" ht="21" customHeight="1" x14ac:dyDescent="0.15">
      <c r="A24" s="17" t="str">
        <f t="shared" si="25"/>
        <v>14003_2-2/607&lt;lv32&gt;s2</v>
      </c>
      <c r="B24" s="64">
        <v>14003</v>
      </c>
      <c r="C24" s="66">
        <v>2</v>
      </c>
      <c r="D24" s="66" t="str">
        <f t="shared" si="26"/>
        <v>14003_2</v>
      </c>
      <c r="E24" s="63" t="str">
        <f ca="1">VLOOKUP($B24,OFFSET([2]quests!$A$1,0,0,COUNTA([2]quests!$A:$A),MATCH(E$1,[2]quests!$1:$1,0)-MATCH($B$1,[2]quests!$1:$1,0)+1),MATCH(E$1,[2]quests!$1:$1,0)-MATCH($B$1,[2]quests!$1:$1,0)+1,FALSE)</f>
        <v>【ロック】限界突破/ソロ</v>
      </c>
      <c r="F24" s="63" t="str">
        <f ca="1">VLOOKUP($D24,OFFSET([2]stages!$A$1,0,0,COUNTA([2]stages!$A:$A),MATCH(F$1,[2]stages!$2:$2,0)-MATCH($D$1,[2]stages!$2:$2,0)+1),MATCH(F$1,[2]stages!$2:$2,0)-MATCH($D$1,[2]stages!$2:$2,0)+1,FALSE)</f>
        <v>【超級】攻めの極意（ハートなし）</v>
      </c>
      <c r="G24" s="66">
        <v>2</v>
      </c>
      <c r="H24" s="16" t="str">
        <f t="shared" si="27"/>
        <v>14003_2-2</v>
      </c>
      <c r="I24" s="5">
        <f ca="1">VLOOKUP($H24,OFFSET(floors!$A$1,0,0,COUNTA(floors!$A:$A),MATCH(I$1,floors!$1:$1,0)-MATCH($H$1,floors!$1:$1,0)+1),MATCH(I$1,floors!$1:$1,0)-MATCH($H$1,floors!$1:$1,0)+1,FALSE)</f>
        <v>60</v>
      </c>
      <c r="J24" s="5">
        <f ca="1">VLOOKUP($H24,OFFSET(floors!$A$1,0,0,COUNTA(floors!$A:$A),MATCH(J$1,floors!$1:$1,0)-MATCH($H$1,floors!$1:$1,0)+1),MATCH(J$1,floors!$1:$1,0)-MATCH($H$1,floors!$1:$1,0)+1,FALSE)</f>
        <v>60</v>
      </c>
      <c r="K24" s="8" t="s">
        <v>142</v>
      </c>
      <c r="L24" s="24">
        <v>607</v>
      </c>
      <c r="M24" s="20" t="str">
        <f ca="1">VLOOKUP($L24,OFFSET([3]enemies!$A$1,0,0,COUNTA([3]enemies!$A:$A),MATCH(M$1,[3]enemies!$1:$1,0)-MATCH($L$1,[3]enemies!$1:$1,0)+1),MATCH(M$1,[3]enemies!$1:$1,0)-MATCH($L$1,[3]enemies!$1:$1,0)+1,FALSE)</f>
        <v>メガ攻めの果実</v>
      </c>
      <c r="N24" s="20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20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20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20">
        <f ca="1">VLOOKUP($L24,OFFSET([3]enemies!$A$1,0,0,COUNTA([3]enemies!$A:$A),MATCH(Q$1,[3]enemies!$1:$1,0)-MATCH($L$1,[3]enemies!$1:$1,0)+1),MATCH(Q$1,[3]enemies!$1:$1,0)-MATCH($L$1,[3]enemies!$1:$1,0)+1,FALSE)</f>
        <v>20</v>
      </c>
      <c r="R24" s="6">
        <v>32</v>
      </c>
      <c r="S24" s="5">
        <f ca="1">VLOOKUP($L24,OFFSET(調整用!$C$1,0,0,COUNTA(調整用!$C:$C),MATCH(S$1,調整用!$1:$1,0)-MATCH($L$1,調整用!$1:$1,0)+1),MATCH(S$1,調整用!$1:$1,0)-MATCH($L$1,調整用!$1:$1,0)+1,FALSE)</f>
        <v>1</v>
      </c>
      <c r="T24" s="5">
        <f ca="1">VLOOKUP($L24,OFFSET(調整用!$C$1,0,0,COUNTA(調整用!$C:$C),MATCH(T$1,調整用!$1:$1,0)-MATCH($L$1,調整用!$1:$1,0)+1),MATCH(T$1,調整用!$1:$1,0)-MATCH($L$1,調整用!$1:$1,0)+1,FALSE)</f>
        <v>0.7</v>
      </c>
      <c r="U24" s="5">
        <f ca="1">VLOOKUP($L24,OFFSET(調整用!$C$1,0,0,COUNTA(調整用!$C:$C),MATCH(U$1,調整用!$1:$1,0)-MATCH($L$1,調整用!$1:$1,0)+1),MATCH(U$1,調整用!$1:$1,0)-MATCH($L$1,調整用!$1:$1,0)+1,FALSE)</f>
        <v>0</v>
      </c>
      <c r="V24" s="5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" s="5">
        <f ca="1">VLOOKUP($L24,OFFSET([3]enemies!$A$1,0,0,COUNTA([3]enemies!$A:$A),MATCH(W$1,[3]enemies!$1:$1,0)-MATCH($L$1,[3]enemies!$1:$1,0)+1),MATCH(W$1,[3]enemies!$1:$1,0)-MATCH($L$1,[3]enemies!$1:$1,0)+1,FALSE)</f>
        <v>0</v>
      </c>
      <c r="X24" s="7">
        <v>1</v>
      </c>
      <c r="Y24" s="7">
        <v>0</v>
      </c>
      <c r="Z24" s="7">
        <v>1</v>
      </c>
      <c r="AA24" s="57">
        <v>2</v>
      </c>
      <c r="AB24" s="2">
        <f t="shared" si="28"/>
        <v>607</v>
      </c>
      <c r="AC24" s="5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24" s="5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5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8">
        <v>1</v>
      </c>
      <c r="AG24" s="27">
        <f t="shared" ca="1" si="29"/>
        <v>4</v>
      </c>
      <c r="AH24" s="9">
        <v>100</v>
      </c>
      <c r="AI24" s="8">
        <v>0</v>
      </c>
      <c r="AJ24" s="8">
        <v>0</v>
      </c>
      <c r="AK24" s="8">
        <v>0</v>
      </c>
      <c r="AL24" s="8">
        <v>0</v>
      </c>
      <c r="AM24" s="8">
        <v>1</v>
      </c>
    </row>
    <row r="25" spans="1:39" ht="21" customHeight="1" x14ac:dyDescent="0.15">
      <c r="A25" s="17" t="str">
        <f t="shared" si="25"/>
        <v>14003_2-3/121&lt;lv32&gt;s1</v>
      </c>
      <c r="B25" s="64">
        <v>14003</v>
      </c>
      <c r="C25" s="66">
        <v>2</v>
      </c>
      <c r="D25" s="66" t="str">
        <f t="shared" si="26"/>
        <v>14003_2</v>
      </c>
      <c r="E25" s="63" t="str">
        <f ca="1">VLOOKUP($B25,OFFSET([2]quests!$A$1,0,0,COUNTA([2]quests!$A:$A),MATCH(E$1,[2]quests!$1:$1,0)-MATCH($B$1,[2]quests!$1:$1,0)+1),MATCH(E$1,[2]quests!$1:$1,0)-MATCH($B$1,[2]quests!$1:$1,0)+1,FALSE)</f>
        <v>【ロック】限界突破/ソロ</v>
      </c>
      <c r="F25" s="63" t="str">
        <f ca="1">VLOOKUP($D25,OFFSET([2]stages!$A$1,0,0,COUNTA([2]stages!$A:$A),MATCH(F$1,[2]stages!$2:$2,0)-MATCH($D$1,[2]stages!$2:$2,0)+1),MATCH(F$1,[2]stages!$2:$2,0)-MATCH($D$1,[2]stages!$2:$2,0)+1,FALSE)</f>
        <v>【超級】攻めの極意（ハートなし）</v>
      </c>
      <c r="G25" s="66">
        <v>3</v>
      </c>
      <c r="H25" s="16" t="str">
        <f t="shared" si="27"/>
        <v>14003_2-3</v>
      </c>
      <c r="I25" s="5">
        <f ca="1">VLOOKUP($H25,OFFSET(floors!$A$1,0,0,COUNTA(floors!$A:$A),MATCH(I$1,floors!$1:$1,0)-MATCH($H$1,floors!$1:$1,0)+1),MATCH(I$1,floors!$1:$1,0)-MATCH($H$1,floors!$1:$1,0)+1,FALSE)</f>
        <v>60</v>
      </c>
      <c r="J25" s="5">
        <f ca="1">VLOOKUP($H25,OFFSET(floors!$A$1,0,0,COUNTA(floors!$A:$A),MATCH(J$1,floors!$1:$1,0)-MATCH($H$1,floors!$1:$1,0)+1),MATCH(J$1,floors!$1:$1,0)-MATCH($H$1,floors!$1:$1,0)+1,FALSE)</f>
        <v>60</v>
      </c>
      <c r="K25" s="8" t="s">
        <v>142</v>
      </c>
      <c r="L25" s="24">
        <v>121</v>
      </c>
      <c r="M25" s="20" t="str">
        <f ca="1">VLOOKUP($L25,OFFSET([3]enemies!$A$1,0,0,COUNTA([3]enemies!$A:$A),MATCH(M$1,[3]enemies!$1:$1,0)-MATCH($L$1,[3]enemies!$1:$1,0)+1),MATCH(M$1,[3]enemies!$1:$1,0)-MATCH($L$1,[3]enemies!$1:$1,0)+1,FALSE)</f>
        <v>攻めの果実</v>
      </c>
      <c r="N25" s="20" t="str">
        <f ca="1">VLOOKUP($L25,OFFSET([3]enemies!$A$1,0,0,COUNTA([3]enemies!$A:$A),MATCH(N$1,[3]enemies!$1:$1,0)-MATCH($L$1,[3]enemies!$1:$1,0)+1),MATCH(N$1,[3]enemies!$1:$1,0)-MATCH($L$1,[3]enemies!$1:$1,0)+1,FALSE)</f>
        <v>red</v>
      </c>
      <c r="O25" s="20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20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20">
        <f ca="1">VLOOKUP($L25,OFFSET([3]enemies!$A$1,0,0,COUNTA([3]enemies!$A:$A),MATCH(Q$1,[3]enemies!$1:$1,0)-MATCH($L$1,[3]enemies!$1:$1,0)+1),MATCH(Q$1,[3]enemies!$1:$1,0)-MATCH($L$1,[3]enemies!$1:$1,0)+1,FALSE)</f>
        <v>20</v>
      </c>
      <c r="R25" s="6">
        <v>32</v>
      </c>
      <c r="S25" s="5">
        <f ca="1">VLOOKUP($L25,OFFSET(調整用!$C$1,0,0,COUNTA(調整用!$C:$C),MATCH(S$1,調整用!$1:$1,0)-MATCH($L$1,調整用!$1:$1,0)+1),MATCH(S$1,調整用!$1:$1,0)-MATCH($L$1,調整用!$1:$1,0)+1,FALSE)</f>
        <v>0.5</v>
      </c>
      <c r="T25" s="5">
        <f ca="1">VLOOKUP($L25,OFFSET(調整用!$C$1,0,0,COUNTA(調整用!$C:$C),MATCH(T$1,調整用!$1:$1,0)-MATCH($L$1,調整用!$1:$1,0)+1),MATCH(T$1,調整用!$1:$1,0)-MATCH($L$1,調整用!$1:$1,0)+1,FALSE)</f>
        <v>1</v>
      </c>
      <c r="U25" s="5">
        <f ca="1">VLOOKUP($L25,OFFSET(調整用!$C$1,0,0,COUNTA(調整用!$C:$C),MATCH(U$1,調整用!$1:$1,0)-MATCH($L$1,調整用!$1:$1,0)+1),MATCH(U$1,調整用!$1:$1,0)-MATCH($L$1,調整用!$1:$1,0)+1,FALSE)</f>
        <v>0</v>
      </c>
      <c r="V25" s="5" t="str">
        <f ca="1">VLOOKUP($W25,OFFSET(enemy_skill_sets!$B$1,0,0,COUNTA(enemy_skill_sets!$B:$B),MATCH(M$1,enemy_skill_sets!$1:$1,0)-MATCH($W$1,enemy_skill_sets!$1:$1,0)+2),MATCH(M$1,enemy_skill_sets!$1:$1,0)-MATCH($W$1,enemy_skill_sets!$1:$1,0)+2,FALSE)</f>
        <v>…</v>
      </c>
      <c r="W25" s="58">
        <v>14003230</v>
      </c>
      <c r="X25" s="7">
        <v>1</v>
      </c>
      <c r="Y25" s="7">
        <v>0</v>
      </c>
      <c r="Z25" s="7">
        <v>2</v>
      </c>
      <c r="AA25" s="57">
        <v>1</v>
      </c>
      <c r="AB25" s="2">
        <f t="shared" si="28"/>
        <v>121</v>
      </c>
      <c r="AC25" s="5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25" s="5">
        <f ca="1">VLOOKUP($AB25,OFFSET([4]characters!$A$1,0,0,COUNTA([4]characters!$A:$A),MATCH(AD$1,[4]characters!$1:$1,0)-MATCH("character_id",[4]characters!$1:$1,0)+1),MATCH(AD$1,[4]characters!$1:$1,0)-MATCH("character_id",[4]characters!$1:$1,0)+1,FALSE)</f>
        <v>3</v>
      </c>
      <c r="AE25" s="5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8">
        <v>1</v>
      </c>
      <c r="AG25" s="27">
        <f t="shared" ca="1" si="29"/>
        <v>3</v>
      </c>
      <c r="AH25" s="9">
        <v>0</v>
      </c>
      <c r="AI25" s="8">
        <v>0</v>
      </c>
      <c r="AJ25" s="8">
        <v>0</v>
      </c>
      <c r="AK25" s="8">
        <v>0</v>
      </c>
      <c r="AL25" s="8">
        <v>0</v>
      </c>
      <c r="AM25" s="8">
        <v>1</v>
      </c>
    </row>
    <row r="26" spans="1:39" ht="21" customHeight="1" x14ac:dyDescent="0.15">
      <c r="A26" s="17" t="str">
        <f t="shared" si="25"/>
        <v>14003_2-3/607&lt;lv32&gt;s2</v>
      </c>
      <c r="B26" s="64">
        <v>14003</v>
      </c>
      <c r="C26" s="66">
        <v>2</v>
      </c>
      <c r="D26" s="66" t="str">
        <f t="shared" si="26"/>
        <v>14003_2</v>
      </c>
      <c r="E26" s="63" t="str">
        <f ca="1">VLOOKUP($B26,OFFSET([2]quests!$A$1,0,0,COUNTA([2]quests!$A:$A),MATCH(E$1,[2]quests!$1:$1,0)-MATCH($B$1,[2]quests!$1:$1,0)+1),MATCH(E$1,[2]quests!$1:$1,0)-MATCH($B$1,[2]quests!$1:$1,0)+1,FALSE)</f>
        <v>【ロック】限界突破/ソロ</v>
      </c>
      <c r="F26" s="63" t="str">
        <f ca="1">VLOOKUP($D26,OFFSET([2]stages!$A$1,0,0,COUNTA([2]stages!$A:$A),MATCH(F$1,[2]stages!$2:$2,0)-MATCH($D$1,[2]stages!$2:$2,0)+1),MATCH(F$1,[2]stages!$2:$2,0)-MATCH($D$1,[2]stages!$2:$2,0)+1,FALSE)</f>
        <v>【超級】攻めの極意（ハートなし）</v>
      </c>
      <c r="G26" s="66">
        <v>3</v>
      </c>
      <c r="H26" s="16" t="str">
        <f t="shared" si="27"/>
        <v>14003_2-3</v>
      </c>
      <c r="I26" s="5">
        <f ca="1">VLOOKUP($H26,OFFSET(floors!$A$1,0,0,COUNTA(floors!$A:$A),MATCH(I$1,floors!$1:$1,0)-MATCH($H$1,floors!$1:$1,0)+1),MATCH(I$1,floors!$1:$1,0)-MATCH($H$1,floors!$1:$1,0)+1,FALSE)</f>
        <v>60</v>
      </c>
      <c r="J26" s="5">
        <f ca="1">VLOOKUP($H26,OFFSET(floors!$A$1,0,0,COUNTA(floors!$A:$A),MATCH(J$1,floors!$1:$1,0)-MATCH($H$1,floors!$1:$1,0)+1),MATCH(J$1,floors!$1:$1,0)-MATCH($H$1,floors!$1:$1,0)+1,FALSE)</f>
        <v>60</v>
      </c>
      <c r="K26" s="8" t="s">
        <v>142</v>
      </c>
      <c r="L26" s="24">
        <v>607</v>
      </c>
      <c r="M26" s="20" t="str">
        <f ca="1">VLOOKUP($L26,OFFSET([3]enemies!$A$1,0,0,COUNTA([3]enemies!$A:$A),MATCH(M$1,[3]enemies!$1:$1,0)-MATCH($L$1,[3]enemies!$1:$1,0)+1),MATCH(M$1,[3]enemies!$1:$1,0)-MATCH($L$1,[3]enemies!$1:$1,0)+1,FALSE)</f>
        <v>メガ攻めの果実</v>
      </c>
      <c r="N26" s="20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20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20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20">
        <f ca="1">VLOOKUP($L26,OFFSET([3]enemies!$A$1,0,0,COUNTA([3]enemies!$A:$A),MATCH(Q$1,[3]enemies!$1:$1,0)-MATCH($L$1,[3]enemies!$1:$1,0)+1),MATCH(Q$1,[3]enemies!$1:$1,0)-MATCH($L$1,[3]enemies!$1:$1,0)+1,FALSE)</f>
        <v>20</v>
      </c>
      <c r="R26" s="6">
        <v>32</v>
      </c>
      <c r="S26" s="5">
        <f ca="1">VLOOKUP($L26,OFFSET(調整用!$C$1,0,0,COUNTA(調整用!$C:$C),MATCH(S$1,調整用!$1:$1,0)-MATCH($L$1,調整用!$1:$1,0)+1),MATCH(S$1,調整用!$1:$1,0)-MATCH($L$1,調整用!$1:$1,0)+1,FALSE)</f>
        <v>1</v>
      </c>
      <c r="T26" s="5">
        <f ca="1">VLOOKUP($L26,OFFSET(調整用!$C$1,0,0,COUNTA(調整用!$C:$C),MATCH(T$1,調整用!$1:$1,0)-MATCH($L$1,調整用!$1:$1,0)+1),MATCH(T$1,調整用!$1:$1,0)-MATCH($L$1,調整用!$1:$1,0)+1,FALSE)</f>
        <v>0.7</v>
      </c>
      <c r="U26" s="5">
        <f ca="1">VLOOKUP($L26,OFFSET(調整用!$C$1,0,0,COUNTA(調整用!$C:$C),MATCH(U$1,調整用!$1:$1,0)-MATCH($L$1,調整用!$1:$1,0)+1),MATCH(U$1,調整用!$1:$1,0)-MATCH($L$1,調整用!$1:$1,0)+1,FALSE)</f>
        <v>0</v>
      </c>
      <c r="V26" s="5" t="str">
        <f ca="1">VLOOKUP($W26,OFFSET(enemy_skill_sets!$B$1,0,0,COUNTA(enemy_skill_sets!$B:$B),MATCH(M$1,enemy_skill_sets!$1:$1,0)-MATCH($W$1,enemy_skill_sets!$1:$1,0)+2),MATCH(M$1,enemy_skill_sets!$1:$1,0)-MATCH($W$1,enemy_skill_sets!$1:$1,0)+2,FALSE)</f>
        <v>…</v>
      </c>
      <c r="W26" s="58">
        <v>14003231</v>
      </c>
      <c r="X26" s="7">
        <v>1</v>
      </c>
      <c r="Y26" s="7">
        <v>0</v>
      </c>
      <c r="Z26" s="7">
        <v>1</v>
      </c>
      <c r="AA26" s="57">
        <v>2</v>
      </c>
      <c r="AB26" s="2">
        <f t="shared" si="28"/>
        <v>607</v>
      </c>
      <c r="AC26" s="5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26" s="5">
        <f ca="1">VLOOKUP($AB26,OFFSET([4]characters!$A$1,0,0,COUNTA([4]characters!$A:$A),MATCH(AD$1,[4]characters!$1:$1,0)-MATCH("character_id",[4]characters!$1:$1,0)+1),MATCH(AD$1,[4]characters!$1:$1,0)-MATCH("character_id",[4]characters!$1:$1,0)+1,FALSE)</f>
        <v>4</v>
      </c>
      <c r="AE26" s="5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8">
        <v>1</v>
      </c>
      <c r="AG26" s="27">
        <f t="shared" ca="1" si="29"/>
        <v>4</v>
      </c>
      <c r="AH26" s="9">
        <v>0</v>
      </c>
      <c r="AI26" s="8">
        <v>0</v>
      </c>
      <c r="AJ26" s="8">
        <v>0</v>
      </c>
      <c r="AK26" s="8">
        <v>0</v>
      </c>
      <c r="AL26" s="8">
        <v>0</v>
      </c>
      <c r="AM26" s="8">
        <v>1</v>
      </c>
    </row>
    <row r="27" spans="1:39" ht="21" customHeight="1" x14ac:dyDescent="0.15">
      <c r="A27" s="17" t="str">
        <f t="shared" si="25"/>
        <v>14003_2-3/611&lt;lv32&gt;s3</v>
      </c>
      <c r="B27" s="64">
        <v>14003</v>
      </c>
      <c r="C27" s="66">
        <v>2</v>
      </c>
      <c r="D27" s="66" t="str">
        <f t="shared" si="26"/>
        <v>14003_2</v>
      </c>
      <c r="E27" s="63" t="str">
        <f ca="1">VLOOKUP($B27,OFFSET([2]quests!$A$1,0,0,COUNTA([2]quests!$A:$A),MATCH(E$1,[2]quests!$1:$1,0)-MATCH($B$1,[2]quests!$1:$1,0)+1),MATCH(E$1,[2]quests!$1:$1,0)-MATCH($B$1,[2]quests!$1:$1,0)+1,FALSE)</f>
        <v>【ロック】限界突破/ソロ</v>
      </c>
      <c r="F27" s="63" t="str">
        <f ca="1">VLOOKUP($D27,OFFSET([2]stages!$A$1,0,0,COUNTA([2]stages!$A:$A),MATCH(F$1,[2]stages!$2:$2,0)-MATCH($D$1,[2]stages!$2:$2,0)+1),MATCH(F$1,[2]stages!$2:$2,0)-MATCH($D$1,[2]stages!$2:$2,0)+1,FALSE)</f>
        <v>【超級】攻めの極意（ハートなし）</v>
      </c>
      <c r="G27" s="66">
        <v>3</v>
      </c>
      <c r="H27" s="16" t="str">
        <f t="shared" si="27"/>
        <v>14003_2-3</v>
      </c>
      <c r="I27" s="5">
        <f ca="1">VLOOKUP($H27,OFFSET(floors!$A$1,0,0,COUNTA(floors!$A:$A),MATCH(I$1,floors!$1:$1,0)-MATCH($H$1,floors!$1:$1,0)+1),MATCH(I$1,floors!$1:$1,0)-MATCH($H$1,floors!$1:$1,0)+1,FALSE)</f>
        <v>60</v>
      </c>
      <c r="J27" s="5">
        <f ca="1">VLOOKUP($H27,OFFSET(floors!$A$1,0,0,COUNTA(floors!$A:$A),MATCH(J$1,floors!$1:$1,0)-MATCH($H$1,floors!$1:$1,0)+1),MATCH(J$1,floors!$1:$1,0)-MATCH($H$1,floors!$1:$1,0)+1,FALSE)</f>
        <v>60</v>
      </c>
      <c r="K27" s="8" t="s">
        <v>142</v>
      </c>
      <c r="L27" s="24">
        <v>611</v>
      </c>
      <c r="M27" s="20" t="str">
        <f ca="1">VLOOKUP($L27,OFFSET([3]enemies!$A$1,0,0,COUNTA([3]enemies!$A:$A),MATCH(M$1,[3]enemies!$1:$1,0)-MATCH($L$1,[3]enemies!$1:$1,0)+1),MATCH(M$1,[3]enemies!$1:$1,0)-MATCH($L$1,[3]enemies!$1:$1,0)+1,FALSE)</f>
        <v>ギガ攻めの果実</v>
      </c>
      <c r="N27" s="20" t="str">
        <f ca="1">VLOOKUP($L27,OFFSET([3]enemies!$A$1,0,0,COUNTA([3]enemies!$A:$A),MATCH(N$1,[3]enemies!$1:$1,0)-MATCH($L$1,[3]enemies!$1:$1,0)+1),MATCH(N$1,[3]enemies!$1:$1,0)-MATCH($L$1,[3]enemies!$1:$1,0)+1,FALSE)</f>
        <v>red</v>
      </c>
      <c r="O27" s="20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20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20">
        <f ca="1">VLOOKUP($L27,OFFSET([3]enemies!$A$1,0,0,COUNTA([3]enemies!$A:$A),MATCH(Q$1,[3]enemies!$1:$1,0)-MATCH($L$1,[3]enemies!$1:$1,0)+1),MATCH(Q$1,[3]enemies!$1:$1,0)-MATCH($L$1,[3]enemies!$1:$1,0)+1,FALSE)</f>
        <v>20</v>
      </c>
      <c r="R27" s="6">
        <v>32</v>
      </c>
      <c r="S27" s="5">
        <f ca="1">VLOOKUP($L27,OFFSET(調整用!$C$1,0,0,COUNTA(調整用!$C:$C),MATCH(S$1,調整用!$1:$1,0)-MATCH($L$1,調整用!$1:$1,0)+1),MATCH(S$1,調整用!$1:$1,0)-MATCH($L$1,調整用!$1:$1,0)+1,FALSE)</f>
        <v>1.5</v>
      </c>
      <c r="T27" s="5">
        <f ca="1">VLOOKUP($L27,OFFSET(調整用!$C$1,0,0,COUNTA(調整用!$C:$C),MATCH(T$1,調整用!$1:$1,0)-MATCH($L$1,調整用!$1:$1,0)+1),MATCH(T$1,調整用!$1:$1,0)-MATCH($L$1,調整用!$1:$1,0)+1,FALSE)</f>
        <v>0.8</v>
      </c>
      <c r="U27" s="5">
        <f ca="1">VLOOKUP($L27,OFFSET(調整用!$C$1,0,0,COUNTA(調整用!$C:$C),MATCH(U$1,調整用!$1:$1,0)-MATCH($L$1,調整用!$1:$1,0)+1),MATCH(U$1,調整用!$1:$1,0)-MATCH($L$1,調整用!$1:$1,0)+1,FALSE)</f>
        <v>0</v>
      </c>
      <c r="V27" s="5" t="str">
        <f ca="1">VLOOKUP($W27,OFFSET(enemy_skill_sets!$B$1,0,0,COUNTA(enemy_skill_sets!$B:$B),MATCH(M$1,enemy_skill_sets!$1:$1,0)-MATCH($W$1,enemy_skill_sets!$1:$1,0)+2),MATCH(M$1,enemy_skill_sets!$1:$1,0)-MATCH($W$1,enemy_skill_sets!$1:$1,0)+2,FALSE)</f>
        <v>…</v>
      </c>
      <c r="W27" s="58">
        <v>14003232</v>
      </c>
      <c r="X27" s="7">
        <v>1</v>
      </c>
      <c r="Y27" s="7">
        <v>0</v>
      </c>
      <c r="Z27" s="7">
        <v>0</v>
      </c>
      <c r="AA27" s="57">
        <v>3</v>
      </c>
      <c r="AB27" s="2">
        <f t="shared" si="28"/>
        <v>611</v>
      </c>
      <c r="AC27" s="5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ギガ攻めの果実</v>
      </c>
      <c r="AD27" s="5">
        <f ca="1">VLOOKUP($AB27,OFFSET([4]characters!$A$1,0,0,COUNTA([4]characters!$A:$A),MATCH(AD$1,[4]characters!$1:$1,0)-MATCH("character_id",[4]characters!$1:$1,0)+1),MATCH(AD$1,[4]characters!$1:$1,0)-MATCH("character_id",[4]characters!$1:$1,0)+1,FALSE)</f>
        <v>5</v>
      </c>
      <c r="AE27" s="5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8">
        <v>1</v>
      </c>
      <c r="AG27" s="27">
        <f t="shared" ca="1" si="29"/>
        <v>5</v>
      </c>
      <c r="AH27" s="9">
        <v>100</v>
      </c>
      <c r="AI27" s="8">
        <v>0</v>
      </c>
      <c r="AJ27" s="8">
        <v>0</v>
      </c>
      <c r="AK27" s="8">
        <v>0</v>
      </c>
      <c r="AL27" s="8">
        <v>0</v>
      </c>
      <c r="AM27" s="8">
        <v>1</v>
      </c>
    </row>
    <row r="28" spans="1:39" ht="21" customHeight="1" x14ac:dyDescent="0.15">
      <c r="A28" s="17" t="str">
        <f t="shared" ca="1" si="25"/>
        <v>14003_3-1/123&lt;lv32&gt;s3</v>
      </c>
      <c r="B28" s="64">
        <v>14003</v>
      </c>
      <c r="C28" s="66">
        <v>3</v>
      </c>
      <c r="D28" s="66" t="str">
        <f t="shared" si="26"/>
        <v>14003_3</v>
      </c>
      <c r="E28" s="63" t="str">
        <f ca="1">VLOOKUP($B28,OFFSET([2]quests!$A$1,0,0,COUNTA([2]quests!$A:$A),MATCH(E$1,[2]quests!$1:$1,0)-MATCH($B$1,[2]quests!$1:$1,0)+1),MATCH(E$1,[2]quests!$1:$1,0)-MATCH($B$1,[2]quests!$1:$1,0)+1,FALSE)</f>
        <v>【ロック】限界突破/ソロ</v>
      </c>
      <c r="F28" s="63" t="str">
        <f ca="1">VLOOKUP($D28,OFFSET([2]stages!$A$1,0,0,COUNTA([2]stages!$A:$A),MATCH(F$1,[2]stages!$2:$2,0)-MATCH($D$1,[2]stages!$2:$2,0)+1),MATCH(F$1,[2]stages!$2:$2,0)-MATCH($D$1,[2]stages!$2:$2,0)+1,FALSE)</f>
        <v>【超級】癒しの極意（ハートなし）</v>
      </c>
      <c r="G28" s="66">
        <v>1</v>
      </c>
      <c r="H28" s="16" t="str">
        <f t="shared" si="27"/>
        <v>14003_3-1</v>
      </c>
      <c r="I28" s="5">
        <f ca="1">VLOOKUP($H28,OFFSET(floors!$A$1,0,0,COUNTA(floors!$A:$A),MATCH(I$1,floors!$1:$1,0)-MATCH($H$1,floors!$1:$1,0)+1),MATCH(I$1,floors!$1:$1,0)-MATCH($H$1,floors!$1:$1,0)+1,FALSE)</f>
        <v>60</v>
      </c>
      <c r="J28" s="5">
        <f ca="1">VLOOKUP($H28,OFFSET(floors!$A$1,0,0,COUNTA(floors!$A:$A),MATCH(J$1,floors!$1:$1,0)-MATCH($H$1,floors!$1:$1,0)+1),MATCH(J$1,floors!$1:$1,0)-MATCH($H$1,floors!$1:$1,0)+1,FALSE)</f>
        <v>60</v>
      </c>
      <c r="K28" s="8" t="s">
        <v>142</v>
      </c>
      <c r="L28" s="24">
        <v>123</v>
      </c>
      <c r="M28" s="20" t="str">
        <f ca="1">VLOOKUP($L28,OFFSET([3]enemies!$A$1,0,0,COUNTA([3]enemies!$A:$A),MATCH(M$1,[3]enemies!$1:$1,0)-MATCH($L$1,[3]enemies!$1:$1,0)+1),MATCH(M$1,[3]enemies!$1:$1,0)-MATCH($L$1,[3]enemies!$1:$1,0)+1,FALSE)</f>
        <v>癒しの果実</v>
      </c>
      <c r="N28" s="20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20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20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20">
        <f ca="1">VLOOKUP($L28,OFFSET([3]enemies!$A$1,0,0,COUNTA([3]enemies!$A:$A),MATCH(Q$1,[3]enemies!$1:$1,0)-MATCH($L$1,[3]enemies!$1:$1,0)+1),MATCH(Q$1,[3]enemies!$1:$1,0)-MATCH($L$1,[3]enemies!$1:$1,0)+1,FALSE)</f>
        <v>20</v>
      </c>
      <c r="R28" s="6">
        <v>32</v>
      </c>
      <c r="S28" s="5">
        <f ca="1">VLOOKUP($L28,OFFSET(調整用!$C$1,0,0,COUNTA(調整用!$C:$C),MATCH(S$1,調整用!$1:$1,0)-MATCH($L$1,調整用!$1:$1,0)+1),MATCH(S$1,調整用!$1:$1,0)-MATCH($L$1,調整用!$1:$1,0)+1,FALSE)</f>
        <v>0.5</v>
      </c>
      <c r="T28" s="5">
        <f ca="1">VLOOKUP($L28,OFFSET(調整用!$C$1,0,0,COUNTA(調整用!$C:$C),MATCH(T$1,調整用!$1:$1,0)-MATCH($L$1,調整用!$1:$1,0)+1),MATCH(T$1,調整用!$1:$1,0)-MATCH($L$1,調整用!$1:$1,0)+1,FALSE)</f>
        <v>1</v>
      </c>
      <c r="U28" s="5">
        <f ca="1">VLOOKUP($L28,OFFSET(調整用!$C$1,0,0,COUNTA(調整用!$C:$C),MATCH(U$1,調整用!$1:$1,0)-MATCH($L$1,調整用!$1:$1,0)+1),MATCH(U$1,調整用!$1:$1,0)-MATCH($L$1,調整用!$1:$1,0)+1,FALSE)</f>
        <v>0</v>
      </c>
      <c r="V28" s="5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5">
        <f ca="1">VLOOKUP($L28,OFFSET([3]enemies!$A$1,0,0,COUNTA([3]enemies!$A:$A),MATCH(W$1,[3]enemies!$1:$1,0)-MATCH($L$1,[3]enemies!$1:$1,0)+1),MATCH(W$1,[3]enemies!$1:$1,0)-MATCH($L$1,[3]enemies!$1:$1,0)+1,FALSE)</f>
        <v>0</v>
      </c>
      <c r="X28" s="7">
        <v>0</v>
      </c>
      <c r="Y28" s="7">
        <v>100</v>
      </c>
      <c r="Z28" s="7">
        <v>0</v>
      </c>
      <c r="AA28" s="57">
        <f ca="1">VLOOKUP($L28,OFFSET(調整用!$C$1,0,0,COUNTA(調整用!$C:$C),MATCH(AA$1,調整用!$1:$1,0)-MATCH($L$1,調整用!$1:$1,0)+1),MATCH(AA$1,調整用!$1:$1,0)-MATCH($L$1,調整用!$1:$1,0)+1,FALSE)</f>
        <v>3</v>
      </c>
      <c r="AB28" s="2">
        <f t="shared" si="28"/>
        <v>123</v>
      </c>
      <c r="AC28" s="5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28" s="5">
        <f ca="1">VLOOKUP($AB28,OFFSET([4]characters!$A$1,0,0,COUNTA([4]characters!$A:$A),MATCH(AD$1,[4]characters!$1:$1,0)-MATCH("character_id",[4]characters!$1:$1,0)+1),MATCH(AD$1,[4]characters!$1:$1,0)-MATCH("character_id",[4]characters!$1:$1,0)+1,FALSE)</f>
        <v>3</v>
      </c>
      <c r="AE28" s="5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8" s="8">
        <v>1</v>
      </c>
      <c r="AG28" s="27">
        <f t="shared" ca="1" si="29"/>
        <v>3</v>
      </c>
      <c r="AH28" s="9">
        <v>0</v>
      </c>
      <c r="AI28" s="8">
        <v>0</v>
      </c>
      <c r="AJ28" s="8">
        <v>0</v>
      </c>
      <c r="AK28" s="8">
        <v>0</v>
      </c>
      <c r="AL28" s="8">
        <v>0</v>
      </c>
      <c r="AM28" s="8">
        <v>1</v>
      </c>
    </row>
    <row r="29" spans="1:39" ht="21" customHeight="1" x14ac:dyDescent="0.15">
      <c r="A29" s="17" t="str">
        <f t="shared" si="25"/>
        <v>14003_3-1/125&lt;lv32&gt;s2</v>
      </c>
      <c r="B29" s="64">
        <v>14003</v>
      </c>
      <c r="C29" s="66">
        <v>3</v>
      </c>
      <c r="D29" s="66" t="str">
        <f t="shared" si="26"/>
        <v>14003_3</v>
      </c>
      <c r="E29" s="63" t="str">
        <f ca="1">VLOOKUP($B29,OFFSET([2]quests!$A$1,0,0,COUNTA([2]quests!$A:$A),MATCH(E$1,[2]quests!$1:$1,0)-MATCH($B$1,[2]quests!$1:$1,0)+1),MATCH(E$1,[2]quests!$1:$1,0)-MATCH($B$1,[2]quests!$1:$1,0)+1,FALSE)</f>
        <v>【ロック】限界突破/ソロ</v>
      </c>
      <c r="F29" s="63" t="str">
        <f ca="1">VLOOKUP($D29,OFFSET([2]stages!$A$1,0,0,COUNTA([2]stages!$A:$A),MATCH(F$1,[2]stages!$2:$2,0)-MATCH($D$1,[2]stages!$2:$2,0)+1),MATCH(F$1,[2]stages!$2:$2,0)-MATCH($D$1,[2]stages!$2:$2,0)+1,FALSE)</f>
        <v>【超級】癒しの極意（ハートなし）</v>
      </c>
      <c r="G29" s="66">
        <v>1</v>
      </c>
      <c r="H29" s="16" t="str">
        <f t="shared" si="27"/>
        <v>14003_3-1</v>
      </c>
      <c r="I29" s="5">
        <f ca="1">VLOOKUP($H29,OFFSET(floors!$A$1,0,0,COUNTA(floors!$A:$A),MATCH(I$1,floors!$1:$1,0)-MATCH($H$1,floors!$1:$1,0)+1),MATCH(I$1,floors!$1:$1,0)-MATCH($H$1,floors!$1:$1,0)+1,FALSE)</f>
        <v>60</v>
      </c>
      <c r="J29" s="5">
        <f ca="1">VLOOKUP($H29,OFFSET(floors!$A$1,0,0,COUNTA(floors!$A:$A),MATCH(J$1,floors!$1:$1,0)-MATCH($H$1,floors!$1:$1,0)+1),MATCH(J$1,floors!$1:$1,0)-MATCH($H$1,floors!$1:$1,0)+1,FALSE)</f>
        <v>60</v>
      </c>
      <c r="K29" s="8" t="s">
        <v>142</v>
      </c>
      <c r="L29" s="24">
        <v>125</v>
      </c>
      <c r="M29" s="20" t="str">
        <f ca="1">VLOOKUP($L29,OFFSET([3]enemies!$A$1,0,0,COUNTA([3]enemies!$A:$A),MATCH(M$1,[3]enemies!$1:$1,0)-MATCH($L$1,[3]enemies!$1:$1,0)+1),MATCH(M$1,[3]enemies!$1:$1,0)-MATCH($L$1,[3]enemies!$1:$1,0)+1,FALSE)</f>
        <v>秘術の果実</v>
      </c>
      <c r="N29" s="20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20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20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20">
        <f ca="1">VLOOKUP($L29,OFFSET([3]enemies!$A$1,0,0,COUNTA([3]enemies!$A:$A),MATCH(Q$1,[3]enemies!$1:$1,0)-MATCH($L$1,[3]enemies!$1:$1,0)+1),MATCH(Q$1,[3]enemies!$1:$1,0)-MATCH($L$1,[3]enemies!$1:$1,0)+1,FALSE)</f>
        <v>20</v>
      </c>
      <c r="R29" s="6">
        <v>32</v>
      </c>
      <c r="S29" s="5">
        <f ca="1">VLOOKUP($L29,OFFSET(調整用!$C$1,0,0,COUNTA(調整用!$C:$C),MATCH(S$1,調整用!$1:$1,0)-MATCH($L$1,調整用!$1:$1,0)+1),MATCH(S$1,調整用!$1:$1,0)-MATCH($L$1,調整用!$1:$1,0)+1,FALSE)</f>
        <v>0.4</v>
      </c>
      <c r="T29" s="5">
        <f ca="1">VLOOKUP($L29,OFFSET(調整用!$C$1,0,0,COUNTA(調整用!$C:$C),MATCH(T$1,調整用!$1:$1,0)-MATCH($L$1,調整用!$1:$1,0)+1),MATCH(T$1,調整用!$1:$1,0)-MATCH($L$1,調整用!$1:$1,0)+1,FALSE)</f>
        <v>0.8</v>
      </c>
      <c r="U29" s="5">
        <f ca="1">VLOOKUP($L29,OFFSET(調整用!$C$1,0,0,COUNTA(調整用!$C:$C),MATCH(U$1,調整用!$1:$1,0)-MATCH($L$1,調整用!$1:$1,0)+1),MATCH(U$1,調整用!$1:$1,0)-MATCH($L$1,調整用!$1:$1,0)+1,FALSE)</f>
        <v>0</v>
      </c>
      <c r="V29" s="5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5">
        <f ca="1">VLOOKUP($L29,OFFSET([3]enemies!$A$1,0,0,COUNTA([3]enemies!$A:$A),MATCH(W$1,[3]enemies!$1:$1,0)-MATCH($L$1,[3]enemies!$1:$1,0)+1),MATCH(W$1,[3]enemies!$1:$1,0)-MATCH($L$1,[3]enemies!$1:$1,0)+1,FALSE)</f>
        <v>0</v>
      </c>
      <c r="X29" s="7">
        <v>1</v>
      </c>
      <c r="Y29" s="7">
        <v>0</v>
      </c>
      <c r="Z29" s="7">
        <v>1</v>
      </c>
      <c r="AA29" s="57">
        <v>2</v>
      </c>
      <c r="AB29" s="2">
        <f t="shared" si="28"/>
        <v>125</v>
      </c>
      <c r="AC29" s="5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秘術の果実</v>
      </c>
      <c r="AD29" s="5">
        <f ca="1">VLOOKUP($AB29,OFFSET([4]characters!$A$1,0,0,COUNTA([4]characters!$A:$A),MATCH(AD$1,[4]characters!$1:$1,0)-MATCH("character_id",[4]characters!$1:$1,0)+1),MATCH(AD$1,[4]characters!$1:$1,0)-MATCH("character_id",[4]characters!$1:$1,0)+1,FALSE)</f>
        <v>3</v>
      </c>
      <c r="AE29" s="5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9" s="8">
        <v>1</v>
      </c>
      <c r="AG29" s="27">
        <f t="shared" ca="1" si="29"/>
        <v>3</v>
      </c>
      <c r="AH29" s="9">
        <v>100</v>
      </c>
      <c r="AI29" s="8">
        <v>0</v>
      </c>
      <c r="AJ29" s="8">
        <v>0</v>
      </c>
      <c r="AK29" s="8">
        <v>0</v>
      </c>
      <c r="AL29" s="8">
        <v>0</v>
      </c>
      <c r="AM29" s="8">
        <v>1</v>
      </c>
    </row>
    <row r="30" spans="1:39" ht="21" customHeight="1" x14ac:dyDescent="0.15">
      <c r="A30" s="17" t="str">
        <f t="shared" ca="1" si="25"/>
        <v>14003_3-2/123&lt;lv32&gt;s3</v>
      </c>
      <c r="B30" s="64">
        <v>14003</v>
      </c>
      <c r="C30" s="66">
        <v>3</v>
      </c>
      <c r="D30" s="66" t="str">
        <f t="shared" si="26"/>
        <v>14003_3</v>
      </c>
      <c r="E30" s="63" t="str">
        <f ca="1">VLOOKUP($B30,OFFSET([2]quests!$A$1,0,0,COUNTA([2]quests!$A:$A),MATCH(E$1,[2]quests!$1:$1,0)-MATCH($B$1,[2]quests!$1:$1,0)+1),MATCH(E$1,[2]quests!$1:$1,0)-MATCH($B$1,[2]quests!$1:$1,0)+1,FALSE)</f>
        <v>【ロック】限界突破/ソロ</v>
      </c>
      <c r="F30" s="63" t="str">
        <f ca="1">VLOOKUP($D30,OFFSET([2]stages!$A$1,0,0,COUNTA([2]stages!$A:$A),MATCH(F$1,[2]stages!$2:$2,0)-MATCH($D$1,[2]stages!$2:$2,0)+1),MATCH(F$1,[2]stages!$2:$2,0)-MATCH($D$1,[2]stages!$2:$2,0)+1,FALSE)</f>
        <v>【超級】癒しの極意（ハートなし）</v>
      </c>
      <c r="G30" s="66">
        <v>2</v>
      </c>
      <c r="H30" s="16" t="str">
        <f t="shared" si="27"/>
        <v>14003_3-2</v>
      </c>
      <c r="I30" s="5">
        <f ca="1">VLOOKUP($H30,OFFSET(floors!$A$1,0,0,COUNTA(floors!$A:$A),MATCH(I$1,floors!$1:$1,0)-MATCH($H$1,floors!$1:$1,0)+1),MATCH(I$1,floors!$1:$1,0)-MATCH($H$1,floors!$1:$1,0)+1,FALSE)</f>
        <v>60</v>
      </c>
      <c r="J30" s="5">
        <f ca="1">VLOOKUP($H30,OFFSET(floors!$A$1,0,0,COUNTA(floors!$A:$A),MATCH(J$1,floors!$1:$1,0)-MATCH($H$1,floors!$1:$1,0)+1),MATCH(J$1,floors!$1:$1,0)-MATCH($H$1,floors!$1:$1,0)+1,FALSE)</f>
        <v>60</v>
      </c>
      <c r="K30" s="8" t="s">
        <v>142</v>
      </c>
      <c r="L30" s="24">
        <v>123</v>
      </c>
      <c r="M30" s="20" t="str">
        <f ca="1">VLOOKUP($L30,OFFSET([3]enemies!$A$1,0,0,COUNTA([3]enemies!$A:$A),MATCH(M$1,[3]enemies!$1:$1,0)-MATCH($L$1,[3]enemies!$1:$1,0)+1),MATCH(M$1,[3]enemies!$1:$1,0)-MATCH($L$1,[3]enemies!$1:$1,0)+1,FALSE)</f>
        <v>癒しの果実</v>
      </c>
      <c r="N30" s="20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20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20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20">
        <f ca="1">VLOOKUP($L30,OFFSET([3]enemies!$A$1,0,0,COUNTA([3]enemies!$A:$A),MATCH(Q$1,[3]enemies!$1:$1,0)-MATCH($L$1,[3]enemies!$1:$1,0)+1),MATCH(Q$1,[3]enemies!$1:$1,0)-MATCH($L$1,[3]enemies!$1:$1,0)+1,FALSE)</f>
        <v>20</v>
      </c>
      <c r="R30" s="6">
        <v>32</v>
      </c>
      <c r="S30" s="5">
        <f ca="1">VLOOKUP($L30,OFFSET(調整用!$C$1,0,0,COUNTA(調整用!$C:$C),MATCH(S$1,調整用!$1:$1,0)-MATCH($L$1,調整用!$1:$1,0)+1),MATCH(S$1,調整用!$1:$1,0)-MATCH($L$1,調整用!$1:$1,0)+1,FALSE)</f>
        <v>0.5</v>
      </c>
      <c r="T30" s="5">
        <f ca="1">VLOOKUP($L30,OFFSET(調整用!$C$1,0,0,COUNTA(調整用!$C:$C),MATCH(T$1,調整用!$1:$1,0)-MATCH($L$1,調整用!$1:$1,0)+1),MATCH(T$1,調整用!$1:$1,0)-MATCH($L$1,調整用!$1:$1,0)+1,FALSE)</f>
        <v>1</v>
      </c>
      <c r="U30" s="5">
        <f ca="1">VLOOKUP($L30,OFFSET(調整用!$C$1,0,0,COUNTA(調整用!$C:$C),MATCH(U$1,調整用!$1:$1,0)-MATCH($L$1,調整用!$1:$1,0)+1),MATCH(U$1,調整用!$1:$1,0)-MATCH($L$1,調整用!$1:$1,0)+1,FALSE)</f>
        <v>0</v>
      </c>
      <c r="V30" s="5" t="str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" s="5">
        <f ca="1">VLOOKUP($L30,OFFSET([3]enemies!$A$1,0,0,COUNTA([3]enemies!$A:$A),MATCH(W$1,[3]enemies!$1:$1,0)-MATCH($L$1,[3]enemies!$1:$1,0)+1),MATCH(W$1,[3]enemies!$1:$1,0)-MATCH($L$1,[3]enemies!$1:$1,0)+1,FALSE)</f>
        <v>0</v>
      </c>
      <c r="X30" s="7">
        <v>0</v>
      </c>
      <c r="Y30" s="7">
        <v>100</v>
      </c>
      <c r="Z30" s="7">
        <v>0</v>
      </c>
      <c r="AA30" s="57">
        <f ca="1">VLOOKUP($L30,OFFSET(調整用!$C$1,0,0,COUNTA(調整用!$C:$C),MATCH(AA$1,調整用!$1:$1,0)-MATCH($L$1,調整用!$1:$1,0)+1),MATCH(AA$1,調整用!$1:$1,0)-MATCH($L$1,調整用!$1:$1,0)+1,FALSE)</f>
        <v>3</v>
      </c>
      <c r="AB30" s="2">
        <f t="shared" si="28"/>
        <v>123</v>
      </c>
      <c r="AC30" s="5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30" s="5">
        <f ca="1">VLOOKUP($AB30,OFFSET([4]characters!$A$1,0,0,COUNTA([4]characters!$A:$A),MATCH(AD$1,[4]characters!$1:$1,0)-MATCH("character_id",[4]characters!$1:$1,0)+1),MATCH(AD$1,[4]characters!$1:$1,0)-MATCH("character_id",[4]characters!$1:$1,0)+1,FALSE)</f>
        <v>3</v>
      </c>
      <c r="AE30" s="5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0" s="8">
        <v>1</v>
      </c>
      <c r="AG30" s="27">
        <f t="shared" ca="1" si="29"/>
        <v>3</v>
      </c>
      <c r="AH30" s="9">
        <v>0</v>
      </c>
      <c r="AI30" s="8">
        <v>0</v>
      </c>
      <c r="AJ30" s="8">
        <v>0</v>
      </c>
      <c r="AK30" s="8">
        <v>0</v>
      </c>
      <c r="AL30" s="8">
        <v>0</v>
      </c>
      <c r="AM30" s="8">
        <v>1</v>
      </c>
    </row>
    <row r="31" spans="1:39" ht="21" customHeight="1" x14ac:dyDescent="0.15">
      <c r="A31" s="17" t="str">
        <f t="shared" si="25"/>
        <v>14003_3-2/609&lt;lv32&gt;s2</v>
      </c>
      <c r="B31" s="64">
        <v>14003</v>
      </c>
      <c r="C31" s="66">
        <v>3</v>
      </c>
      <c r="D31" s="66" t="str">
        <f t="shared" si="26"/>
        <v>14003_3</v>
      </c>
      <c r="E31" s="63" t="str">
        <f ca="1">VLOOKUP($B31,OFFSET([2]quests!$A$1,0,0,COUNTA([2]quests!$A:$A),MATCH(E$1,[2]quests!$1:$1,0)-MATCH($B$1,[2]quests!$1:$1,0)+1),MATCH(E$1,[2]quests!$1:$1,0)-MATCH($B$1,[2]quests!$1:$1,0)+1,FALSE)</f>
        <v>【ロック】限界突破/ソロ</v>
      </c>
      <c r="F31" s="63" t="str">
        <f ca="1">VLOOKUP($D31,OFFSET([2]stages!$A$1,0,0,COUNTA([2]stages!$A:$A),MATCH(F$1,[2]stages!$2:$2,0)-MATCH($D$1,[2]stages!$2:$2,0)+1),MATCH(F$1,[2]stages!$2:$2,0)-MATCH($D$1,[2]stages!$2:$2,0)+1,FALSE)</f>
        <v>【超級】癒しの極意（ハートなし）</v>
      </c>
      <c r="G31" s="66">
        <v>2</v>
      </c>
      <c r="H31" s="16" t="str">
        <f t="shared" si="27"/>
        <v>14003_3-2</v>
      </c>
      <c r="I31" s="5">
        <f ca="1">VLOOKUP($H31,OFFSET(floors!$A$1,0,0,COUNTA(floors!$A:$A),MATCH(I$1,floors!$1:$1,0)-MATCH($H$1,floors!$1:$1,0)+1),MATCH(I$1,floors!$1:$1,0)-MATCH($H$1,floors!$1:$1,0)+1,FALSE)</f>
        <v>60</v>
      </c>
      <c r="J31" s="5">
        <f ca="1">VLOOKUP($H31,OFFSET(floors!$A$1,0,0,COUNTA(floors!$A:$A),MATCH(J$1,floors!$1:$1,0)-MATCH($H$1,floors!$1:$1,0)+1),MATCH(J$1,floors!$1:$1,0)-MATCH($H$1,floors!$1:$1,0)+1,FALSE)</f>
        <v>60</v>
      </c>
      <c r="K31" s="8" t="s">
        <v>142</v>
      </c>
      <c r="L31" s="24">
        <v>609</v>
      </c>
      <c r="M31" s="20" t="str">
        <f ca="1">VLOOKUP($L31,OFFSET([3]enemies!$A$1,0,0,COUNTA([3]enemies!$A:$A),MATCH(M$1,[3]enemies!$1:$1,0)-MATCH($L$1,[3]enemies!$1:$1,0)+1),MATCH(M$1,[3]enemies!$1:$1,0)-MATCH($L$1,[3]enemies!$1:$1,0)+1,FALSE)</f>
        <v>メガ癒しの果実</v>
      </c>
      <c r="N31" s="20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20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20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20">
        <f ca="1">VLOOKUP($L31,OFFSET([3]enemies!$A$1,0,0,COUNTA([3]enemies!$A:$A),MATCH(Q$1,[3]enemies!$1:$1,0)-MATCH($L$1,[3]enemies!$1:$1,0)+1),MATCH(Q$1,[3]enemies!$1:$1,0)-MATCH($L$1,[3]enemies!$1:$1,0)+1,FALSE)</f>
        <v>20</v>
      </c>
      <c r="R31" s="6">
        <v>32</v>
      </c>
      <c r="S31" s="5">
        <f ca="1">VLOOKUP($L31,OFFSET(調整用!$C$1,0,0,COUNTA(調整用!$C:$C),MATCH(S$1,調整用!$1:$1,0)-MATCH($L$1,調整用!$1:$1,0)+1),MATCH(S$1,調整用!$1:$1,0)-MATCH($L$1,調整用!$1:$1,0)+1,FALSE)</f>
        <v>1</v>
      </c>
      <c r="T31" s="5">
        <f ca="1">VLOOKUP($L31,OFFSET(調整用!$C$1,0,0,COUNTA(調整用!$C:$C),MATCH(T$1,調整用!$1:$1,0)-MATCH($L$1,調整用!$1:$1,0)+1),MATCH(T$1,調整用!$1:$1,0)-MATCH($L$1,調整用!$1:$1,0)+1,FALSE)</f>
        <v>1</v>
      </c>
      <c r="U31" s="5">
        <f ca="1">VLOOKUP($L31,OFFSET(調整用!$C$1,0,0,COUNTA(調整用!$C:$C),MATCH(U$1,調整用!$1:$1,0)-MATCH($L$1,調整用!$1:$1,0)+1),MATCH(U$1,調整用!$1:$1,0)-MATCH($L$1,調整用!$1:$1,0)+1,FALSE)</f>
        <v>0</v>
      </c>
      <c r="V31" s="5" t="str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" s="5">
        <f ca="1">VLOOKUP($L31,OFFSET([3]enemies!$A$1,0,0,COUNTA([3]enemies!$A:$A),MATCH(W$1,[3]enemies!$1:$1,0)-MATCH($L$1,[3]enemies!$1:$1,0)+1),MATCH(W$1,[3]enemies!$1:$1,0)-MATCH($L$1,[3]enemies!$1:$1,0)+1,FALSE)</f>
        <v>0</v>
      </c>
      <c r="X31" s="7">
        <v>1</v>
      </c>
      <c r="Y31" s="7">
        <v>0</v>
      </c>
      <c r="Z31" s="7">
        <v>1</v>
      </c>
      <c r="AA31" s="57">
        <v>2</v>
      </c>
      <c r="AB31" s="2">
        <f t="shared" si="28"/>
        <v>609</v>
      </c>
      <c r="AC31" s="5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31" s="5">
        <f ca="1">VLOOKUP($AB31,OFFSET([4]characters!$A$1,0,0,COUNTA([4]characters!$A:$A),MATCH(AD$1,[4]characters!$1:$1,0)-MATCH("character_id",[4]characters!$1:$1,0)+1),MATCH(AD$1,[4]characters!$1:$1,0)-MATCH("character_id",[4]characters!$1:$1,0)+1,FALSE)</f>
        <v>4</v>
      </c>
      <c r="AE31" s="5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1" s="8">
        <v>1</v>
      </c>
      <c r="AG31" s="27">
        <f t="shared" ca="1" si="29"/>
        <v>4</v>
      </c>
      <c r="AH31" s="9">
        <v>100</v>
      </c>
      <c r="AI31" s="8">
        <v>0</v>
      </c>
      <c r="AJ31" s="8">
        <v>0</v>
      </c>
      <c r="AK31" s="8">
        <v>0</v>
      </c>
      <c r="AL31" s="8">
        <v>0</v>
      </c>
      <c r="AM31" s="8">
        <v>1</v>
      </c>
    </row>
    <row r="32" spans="1:39" ht="21" customHeight="1" x14ac:dyDescent="0.15">
      <c r="A32" s="17" t="str">
        <f t="shared" si="25"/>
        <v>14003_3-3/123&lt;lv32&gt;s1</v>
      </c>
      <c r="B32" s="64">
        <v>14003</v>
      </c>
      <c r="C32" s="66">
        <v>3</v>
      </c>
      <c r="D32" s="66" t="str">
        <f t="shared" si="26"/>
        <v>14003_3</v>
      </c>
      <c r="E32" s="63" t="str">
        <f ca="1">VLOOKUP($B32,OFFSET([2]quests!$A$1,0,0,COUNTA([2]quests!$A:$A),MATCH(E$1,[2]quests!$1:$1,0)-MATCH($B$1,[2]quests!$1:$1,0)+1),MATCH(E$1,[2]quests!$1:$1,0)-MATCH($B$1,[2]quests!$1:$1,0)+1,FALSE)</f>
        <v>【ロック】限界突破/ソロ</v>
      </c>
      <c r="F32" s="63" t="str">
        <f ca="1">VLOOKUP($D32,OFFSET([2]stages!$A$1,0,0,COUNTA([2]stages!$A:$A),MATCH(F$1,[2]stages!$2:$2,0)-MATCH($D$1,[2]stages!$2:$2,0)+1),MATCH(F$1,[2]stages!$2:$2,0)-MATCH($D$1,[2]stages!$2:$2,0)+1,FALSE)</f>
        <v>【超級】癒しの極意（ハートなし）</v>
      </c>
      <c r="G32" s="66">
        <v>3</v>
      </c>
      <c r="H32" s="16" t="str">
        <f t="shared" si="27"/>
        <v>14003_3-3</v>
      </c>
      <c r="I32" s="5">
        <f ca="1">VLOOKUP($H32,OFFSET(floors!$A$1,0,0,COUNTA(floors!$A:$A),MATCH(I$1,floors!$1:$1,0)-MATCH($H$1,floors!$1:$1,0)+1),MATCH(I$1,floors!$1:$1,0)-MATCH($H$1,floors!$1:$1,0)+1,FALSE)</f>
        <v>60</v>
      </c>
      <c r="J32" s="5">
        <f ca="1">VLOOKUP($H32,OFFSET(floors!$A$1,0,0,COUNTA(floors!$A:$A),MATCH(J$1,floors!$1:$1,0)-MATCH($H$1,floors!$1:$1,0)+1),MATCH(J$1,floors!$1:$1,0)-MATCH($H$1,floors!$1:$1,0)+1,FALSE)</f>
        <v>60</v>
      </c>
      <c r="K32" s="8" t="s">
        <v>142</v>
      </c>
      <c r="L32" s="24">
        <v>123</v>
      </c>
      <c r="M32" s="20" t="str">
        <f ca="1">VLOOKUP($L32,OFFSET([3]enemies!$A$1,0,0,COUNTA([3]enemies!$A:$A),MATCH(M$1,[3]enemies!$1:$1,0)-MATCH($L$1,[3]enemies!$1:$1,0)+1),MATCH(M$1,[3]enemies!$1:$1,0)-MATCH($L$1,[3]enemies!$1:$1,0)+1,FALSE)</f>
        <v>癒しの果実</v>
      </c>
      <c r="N32" s="20" t="str">
        <f ca="1">VLOOKUP($L32,OFFSET([3]enemies!$A$1,0,0,COUNTA([3]enemies!$A:$A),MATCH(N$1,[3]enemies!$1:$1,0)-MATCH($L$1,[3]enemies!$1:$1,0)+1),MATCH(N$1,[3]enemies!$1:$1,0)-MATCH($L$1,[3]enemies!$1:$1,0)+1,FALSE)</f>
        <v>blue</v>
      </c>
      <c r="O32" s="20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20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20">
        <f ca="1">VLOOKUP($L32,OFFSET([3]enemies!$A$1,0,0,COUNTA([3]enemies!$A:$A),MATCH(Q$1,[3]enemies!$1:$1,0)-MATCH($L$1,[3]enemies!$1:$1,0)+1),MATCH(Q$1,[3]enemies!$1:$1,0)-MATCH($L$1,[3]enemies!$1:$1,0)+1,FALSE)</f>
        <v>20</v>
      </c>
      <c r="R32" s="6">
        <v>32</v>
      </c>
      <c r="S32" s="5">
        <f ca="1">VLOOKUP($L32,OFFSET(調整用!$C$1,0,0,COUNTA(調整用!$C:$C),MATCH(S$1,調整用!$1:$1,0)-MATCH($L$1,調整用!$1:$1,0)+1),MATCH(S$1,調整用!$1:$1,0)-MATCH($L$1,調整用!$1:$1,0)+1,FALSE)</f>
        <v>0.5</v>
      </c>
      <c r="T32" s="5">
        <f ca="1">VLOOKUP($L32,OFFSET(調整用!$C$1,0,0,COUNTA(調整用!$C:$C),MATCH(T$1,調整用!$1:$1,0)-MATCH($L$1,調整用!$1:$1,0)+1),MATCH(T$1,調整用!$1:$1,0)-MATCH($L$1,調整用!$1:$1,0)+1,FALSE)</f>
        <v>1</v>
      </c>
      <c r="U32" s="5">
        <f ca="1">VLOOKUP($L32,OFFSET(調整用!$C$1,0,0,COUNTA(調整用!$C:$C),MATCH(U$1,調整用!$1:$1,0)-MATCH($L$1,調整用!$1:$1,0)+1),MATCH(U$1,調整用!$1:$1,0)-MATCH($L$1,調整用!$1:$1,0)+1,FALSE)</f>
        <v>0</v>
      </c>
      <c r="V32" s="5" t="str">
        <f ca="1">VLOOKUP($W32,OFFSET(enemy_skill_sets!$B$1,0,0,COUNTA(enemy_skill_sets!$B:$B),MATCH(M$1,enemy_skill_sets!$1:$1,0)-MATCH($W$1,enemy_skill_sets!$1:$1,0)+2),MATCH(M$1,enemy_skill_sets!$1:$1,0)-MATCH($W$1,enemy_skill_sets!$1:$1,0)+2,FALSE)</f>
        <v>…</v>
      </c>
      <c r="W32" s="58">
        <v>14003330</v>
      </c>
      <c r="X32" s="7">
        <v>1</v>
      </c>
      <c r="Y32" s="7">
        <v>0</v>
      </c>
      <c r="Z32" s="7">
        <v>2</v>
      </c>
      <c r="AA32" s="57">
        <v>1</v>
      </c>
      <c r="AB32" s="2">
        <f t="shared" si="28"/>
        <v>123</v>
      </c>
      <c r="AC32" s="5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32" s="5">
        <f ca="1">VLOOKUP($AB32,OFFSET([4]characters!$A$1,0,0,COUNTA([4]characters!$A:$A),MATCH(AD$1,[4]characters!$1:$1,0)-MATCH("character_id",[4]characters!$1:$1,0)+1),MATCH(AD$1,[4]characters!$1:$1,0)-MATCH("character_id",[4]characters!$1:$1,0)+1,FALSE)</f>
        <v>3</v>
      </c>
      <c r="AE32" s="5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8">
        <v>1</v>
      </c>
      <c r="AG32" s="27">
        <f t="shared" ca="1" si="29"/>
        <v>3</v>
      </c>
      <c r="AH32" s="9">
        <v>0</v>
      </c>
      <c r="AI32" s="8">
        <v>0</v>
      </c>
      <c r="AJ32" s="8">
        <v>0</v>
      </c>
      <c r="AK32" s="8">
        <v>0</v>
      </c>
      <c r="AL32" s="8">
        <v>0</v>
      </c>
      <c r="AM32" s="8">
        <v>1</v>
      </c>
    </row>
    <row r="33" spans="1:39" ht="21" customHeight="1" x14ac:dyDescent="0.15">
      <c r="A33" s="17" t="str">
        <f t="shared" si="25"/>
        <v>14003_3-3/609&lt;lv32&gt;s2</v>
      </c>
      <c r="B33" s="64">
        <v>14003</v>
      </c>
      <c r="C33" s="66">
        <v>3</v>
      </c>
      <c r="D33" s="66" t="str">
        <f t="shared" si="26"/>
        <v>14003_3</v>
      </c>
      <c r="E33" s="63" t="str">
        <f ca="1">VLOOKUP($B33,OFFSET([2]quests!$A$1,0,0,COUNTA([2]quests!$A:$A),MATCH(E$1,[2]quests!$1:$1,0)-MATCH($B$1,[2]quests!$1:$1,0)+1),MATCH(E$1,[2]quests!$1:$1,0)-MATCH($B$1,[2]quests!$1:$1,0)+1,FALSE)</f>
        <v>【ロック】限界突破/ソロ</v>
      </c>
      <c r="F33" s="63" t="str">
        <f ca="1">VLOOKUP($D33,OFFSET([2]stages!$A$1,0,0,COUNTA([2]stages!$A:$A),MATCH(F$1,[2]stages!$2:$2,0)-MATCH($D$1,[2]stages!$2:$2,0)+1),MATCH(F$1,[2]stages!$2:$2,0)-MATCH($D$1,[2]stages!$2:$2,0)+1,FALSE)</f>
        <v>【超級】癒しの極意（ハートなし）</v>
      </c>
      <c r="G33" s="66">
        <v>3</v>
      </c>
      <c r="H33" s="16" t="str">
        <f t="shared" si="27"/>
        <v>14003_3-3</v>
      </c>
      <c r="I33" s="5">
        <f ca="1">VLOOKUP($H33,OFFSET(floors!$A$1,0,0,COUNTA(floors!$A:$A),MATCH(I$1,floors!$1:$1,0)-MATCH($H$1,floors!$1:$1,0)+1),MATCH(I$1,floors!$1:$1,0)-MATCH($H$1,floors!$1:$1,0)+1,FALSE)</f>
        <v>60</v>
      </c>
      <c r="J33" s="5">
        <f ca="1">VLOOKUP($H33,OFFSET(floors!$A$1,0,0,COUNTA(floors!$A:$A),MATCH(J$1,floors!$1:$1,0)-MATCH($H$1,floors!$1:$1,0)+1),MATCH(J$1,floors!$1:$1,0)-MATCH($H$1,floors!$1:$1,0)+1,FALSE)</f>
        <v>60</v>
      </c>
      <c r="K33" s="8" t="s">
        <v>142</v>
      </c>
      <c r="L33" s="24">
        <v>609</v>
      </c>
      <c r="M33" s="20" t="str">
        <f ca="1">VLOOKUP($L33,OFFSET([3]enemies!$A$1,0,0,COUNTA([3]enemies!$A:$A),MATCH(M$1,[3]enemies!$1:$1,0)-MATCH($L$1,[3]enemies!$1:$1,0)+1),MATCH(M$1,[3]enemies!$1:$1,0)-MATCH($L$1,[3]enemies!$1:$1,0)+1,FALSE)</f>
        <v>メガ癒しの果実</v>
      </c>
      <c r="N33" s="20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20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20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20">
        <f ca="1">VLOOKUP($L33,OFFSET([3]enemies!$A$1,0,0,COUNTA([3]enemies!$A:$A),MATCH(Q$1,[3]enemies!$1:$1,0)-MATCH($L$1,[3]enemies!$1:$1,0)+1),MATCH(Q$1,[3]enemies!$1:$1,0)-MATCH($L$1,[3]enemies!$1:$1,0)+1,FALSE)</f>
        <v>20</v>
      </c>
      <c r="R33" s="6">
        <v>32</v>
      </c>
      <c r="S33" s="5">
        <f ca="1">VLOOKUP($L33,OFFSET(調整用!$C$1,0,0,COUNTA(調整用!$C:$C),MATCH(S$1,調整用!$1:$1,0)-MATCH($L$1,調整用!$1:$1,0)+1),MATCH(S$1,調整用!$1:$1,0)-MATCH($L$1,調整用!$1:$1,0)+1,FALSE)</f>
        <v>1</v>
      </c>
      <c r="T33" s="5">
        <f ca="1">VLOOKUP($L33,OFFSET(調整用!$C$1,0,0,COUNTA(調整用!$C:$C),MATCH(T$1,調整用!$1:$1,0)-MATCH($L$1,調整用!$1:$1,0)+1),MATCH(T$1,調整用!$1:$1,0)-MATCH($L$1,調整用!$1:$1,0)+1,FALSE)</f>
        <v>1</v>
      </c>
      <c r="U33" s="5">
        <f ca="1">VLOOKUP($L33,OFFSET(調整用!$C$1,0,0,COUNTA(調整用!$C:$C),MATCH(U$1,調整用!$1:$1,0)-MATCH($L$1,調整用!$1:$1,0)+1),MATCH(U$1,調整用!$1:$1,0)-MATCH($L$1,調整用!$1:$1,0)+1,FALSE)</f>
        <v>0</v>
      </c>
      <c r="V33" s="5" t="str">
        <f ca="1">VLOOKUP($W33,OFFSET(enemy_skill_sets!$B$1,0,0,COUNTA(enemy_skill_sets!$B:$B),MATCH(M$1,enemy_skill_sets!$1:$1,0)-MATCH($W$1,enemy_skill_sets!$1:$1,0)+2),MATCH(M$1,enemy_skill_sets!$1:$1,0)-MATCH($W$1,enemy_skill_sets!$1:$1,0)+2,FALSE)</f>
        <v>…</v>
      </c>
      <c r="W33" s="58">
        <v>14003331</v>
      </c>
      <c r="X33" s="7">
        <v>1</v>
      </c>
      <c r="Y33" s="7">
        <v>0</v>
      </c>
      <c r="Z33" s="7">
        <v>1</v>
      </c>
      <c r="AA33" s="57">
        <v>2</v>
      </c>
      <c r="AB33" s="2">
        <f t="shared" si="28"/>
        <v>609</v>
      </c>
      <c r="AC33" s="5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33" s="5">
        <f ca="1">VLOOKUP($AB33,OFFSET([4]characters!$A$1,0,0,COUNTA([4]characters!$A:$A),MATCH(AD$1,[4]characters!$1:$1,0)-MATCH("character_id",[4]characters!$1:$1,0)+1),MATCH(AD$1,[4]characters!$1:$1,0)-MATCH("character_id",[4]characters!$1:$1,0)+1,FALSE)</f>
        <v>4</v>
      </c>
      <c r="AE33" s="5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3" s="8">
        <v>1</v>
      </c>
      <c r="AG33" s="27">
        <f t="shared" ca="1" si="29"/>
        <v>4</v>
      </c>
      <c r="AH33" s="9">
        <v>0</v>
      </c>
      <c r="AI33" s="8">
        <v>0</v>
      </c>
      <c r="AJ33" s="8">
        <v>0</v>
      </c>
      <c r="AK33" s="8">
        <v>0</v>
      </c>
      <c r="AL33" s="8">
        <v>0</v>
      </c>
      <c r="AM33" s="8">
        <v>1</v>
      </c>
    </row>
    <row r="34" spans="1:39" ht="21" customHeight="1" x14ac:dyDescent="0.15">
      <c r="A34" s="17" t="str">
        <f t="shared" si="25"/>
        <v>14003_3-3/613&lt;lv32&gt;s3</v>
      </c>
      <c r="B34" s="64">
        <v>14003</v>
      </c>
      <c r="C34" s="66">
        <v>3</v>
      </c>
      <c r="D34" s="66" t="str">
        <f t="shared" si="26"/>
        <v>14003_3</v>
      </c>
      <c r="E34" s="63" t="str">
        <f ca="1">VLOOKUP($B34,OFFSET([2]quests!$A$1,0,0,COUNTA([2]quests!$A:$A),MATCH(E$1,[2]quests!$1:$1,0)-MATCH($B$1,[2]quests!$1:$1,0)+1),MATCH(E$1,[2]quests!$1:$1,0)-MATCH($B$1,[2]quests!$1:$1,0)+1,FALSE)</f>
        <v>【ロック】限界突破/ソロ</v>
      </c>
      <c r="F34" s="63" t="str">
        <f ca="1">VLOOKUP($D34,OFFSET([2]stages!$A$1,0,0,COUNTA([2]stages!$A:$A),MATCH(F$1,[2]stages!$2:$2,0)-MATCH($D$1,[2]stages!$2:$2,0)+1),MATCH(F$1,[2]stages!$2:$2,0)-MATCH($D$1,[2]stages!$2:$2,0)+1,FALSE)</f>
        <v>【超級】癒しの極意（ハートなし）</v>
      </c>
      <c r="G34" s="66">
        <v>3</v>
      </c>
      <c r="H34" s="16" t="str">
        <f t="shared" si="27"/>
        <v>14003_3-3</v>
      </c>
      <c r="I34" s="5">
        <f ca="1">VLOOKUP($H34,OFFSET(floors!$A$1,0,0,COUNTA(floors!$A:$A),MATCH(I$1,floors!$1:$1,0)-MATCH($H$1,floors!$1:$1,0)+1),MATCH(I$1,floors!$1:$1,0)-MATCH($H$1,floors!$1:$1,0)+1,FALSE)</f>
        <v>60</v>
      </c>
      <c r="J34" s="5">
        <f ca="1">VLOOKUP($H34,OFFSET(floors!$A$1,0,0,COUNTA(floors!$A:$A),MATCH(J$1,floors!$1:$1,0)-MATCH($H$1,floors!$1:$1,0)+1),MATCH(J$1,floors!$1:$1,0)-MATCH($H$1,floors!$1:$1,0)+1,FALSE)</f>
        <v>60</v>
      </c>
      <c r="K34" s="8" t="s">
        <v>142</v>
      </c>
      <c r="L34" s="24">
        <v>613</v>
      </c>
      <c r="M34" s="20" t="str">
        <f ca="1">VLOOKUP($L34,OFFSET([3]enemies!$A$1,0,0,COUNTA([3]enemies!$A:$A),MATCH(M$1,[3]enemies!$1:$1,0)-MATCH($L$1,[3]enemies!$1:$1,0)+1),MATCH(M$1,[3]enemies!$1:$1,0)-MATCH($L$1,[3]enemies!$1:$1,0)+1,FALSE)</f>
        <v>ギガ癒しの果実</v>
      </c>
      <c r="N34" s="20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20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20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20">
        <f ca="1">VLOOKUP($L34,OFFSET([3]enemies!$A$1,0,0,COUNTA([3]enemies!$A:$A),MATCH(Q$1,[3]enemies!$1:$1,0)-MATCH($L$1,[3]enemies!$1:$1,0)+1),MATCH(Q$1,[3]enemies!$1:$1,0)-MATCH($L$1,[3]enemies!$1:$1,0)+1,FALSE)</f>
        <v>20</v>
      </c>
      <c r="R34" s="6">
        <v>32</v>
      </c>
      <c r="S34" s="5">
        <f ca="1">VLOOKUP($L34,OFFSET(調整用!$C$1,0,0,COUNTA(調整用!$C:$C),MATCH(S$1,調整用!$1:$1,0)-MATCH($L$1,調整用!$1:$1,0)+1),MATCH(S$1,調整用!$1:$1,0)-MATCH($L$1,調整用!$1:$1,0)+1,FALSE)</f>
        <v>1.5</v>
      </c>
      <c r="T34" s="5">
        <f ca="1">VLOOKUP($L34,OFFSET(調整用!$C$1,0,0,COUNTA(調整用!$C:$C),MATCH(T$1,調整用!$1:$1,0)-MATCH($L$1,調整用!$1:$1,0)+1),MATCH(T$1,調整用!$1:$1,0)-MATCH($L$1,調整用!$1:$1,0)+1,FALSE)</f>
        <v>1.1000000000000001</v>
      </c>
      <c r="U34" s="5">
        <f ca="1">VLOOKUP($L34,OFFSET(調整用!$C$1,0,0,COUNTA(調整用!$C:$C),MATCH(U$1,調整用!$1:$1,0)-MATCH($L$1,調整用!$1:$1,0)+1),MATCH(U$1,調整用!$1:$1,0)-MATCH($L$1,調整用!$1:$1,0)+1,FALSE)</f>
        <v>0</v>
      </c>
      <c r="V34" s="5" t="str">
        <f ca="1">VLOOKUP($W34,OFFSET(enemy_skill_sets!$B$1,0,0,COUNTA(enemy_skill_sets!$B:$B),MATCH(M$1,enemy_skill_sets!$1:$1,0)-MATCH($W$1,enemy_skill_sets!$1:$1,0)+2),MATCH(M$1,enemy_skill_sets!$1:$1,0)-MATCH($W$1,enemy_skill_sets!$1:$1,0)+2,FALSE)</f>
        <v>…</v>
      </c>
      <c r="W34" s="58">
        <v>14003332</v>
      </c>
      <c r="X34" s="7">
        <v>1</v>
      </c>
      <c r="Y34" s="7">
        <v>0</v>
      </c>
      <c r="Z34" s="7">
        <v>0</v>
      </c>
      <c r="AA34" s="57">
        <v>3</v>
      </c>
      <c r="AB34" s="2">
        <f t="shared" si="28"/>
        <v>613</v>
      </c>
      <c r="AC34" s="5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ギガ癒しの果実</v>
      </c>
      <c r="AD34" s="5">
        <f ca="1">VLOOKUP($AB34,OFFSET([4]characters!$A$1,0,0,COUNTA([4]characters!$A:$A),MATCH(AD$1,[4]characters!$1:$1,0)-MATCH("character_id",[4]characters!$1:$1,0)+1),MATCH(AD$1,[4]characters!$1:$1,0)-MATCH("character_id",[4]characters!$1:$1,0)+1,FALSE)</f>
        <v>5</v>
      </c>
      <c r="AE34" s="5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4" s="8">
        <v>1</v>
      </c>
      <c r="AG34" s="27">
        <f t="shared" ca="1" si="29"/>
        <v>5</v>
      </c>
      <c r="AH34" s="9">
        <v>100</v>
      </c>
      <c r="AI34" s="8">
        <v>0</v>
      </c>
      <c r="AJ34" s="8">
        <v>0</v>
      </c>
      <c r="AK34" s="8">
        <v>0</v>
      </c>
      <c r="AL34" s="8">
        <v>0</v>
      </c>
      <c r="AM34" s="8">
        <v>1</v>
      </c>
    </row>
    <row r="35" spans="1:39" ht="21" customHeight="1" x14ac:dyDescent="0.15">
      <c r="A35" s="17" t="str">
        <f t="shared" ca="1" si="25"/>
        <v>14003_4-1/122&lt;lv32&gt;s2</v>
      </c>
      <c r="B35" s="64">
        <v>14003</v>
      </c>
      <c r="C35" s="66">
        <v>4</v>
      </c>
      <c r="D35" s="66" t="str">
        <f t="shared" si="26"/>
        <v>14003_4</v>
      </c>
      <c r="E35" s="63" t="str">
        <f ca="1">VLOOKUP($B35,OFFSET([2]quests!$A$1,0,0,COUNTA([2]quests!$A:$A),MATCH(E$1,[2]quests!$1:$1,0)-MATCH($B$1,[2]quests!$1:$1,0)+1),MATCH(E$1,[2]quests!$1:$1,0)-MATCH($B$1,[2]quests!$1:$1,0)+1,FALSE)</f>
        <v>【ロック】限界突破/ソロ</v>
      </c>
      <c r="F35" s="63" t="str">
        <f ca="1">VLOOKUP($D35,OFFSET([2]stages!$A$1,0,0,COUNTA([2]stages!$A:$A),MATCH(F$1,[2]stages!$2:$2,0)-MATCH($D$1,[2]stages!$2:$2,0)+1),MATCH(F$1,[2]stages!$2:$2,0)-MATCH($D$1,[2]stages!$2:$2,0)+1,FALSE)</f>
        <v>【超級】生命の極意（ハートなし）</v>
      </c>
      <c r="G35" s="66">
        <v>1</v>
      </c>
      <c r="H35" s="16" t="str">
        <f t="shared" si="27"/>
        <v>14003_4-1</v>
      </c>
      <c r="I35" s="5">
        <f ca="1">VLOOKUP($H35,OFFSET(floors!$A$1,0,0,COUNTA(floors!$A:$A),MATCH(I$1,floors!$1:$1,0)-MATCH($H$1,floors!$1:$1,0)+1),MATCH(I$1,floors!$1:$1,0)-MATCH($H$1,floors!$1:$1,0)+1,FALSE)</f>
        <v>60</v>
      </c>
      <c r="J35" s="5">
        <f ca="1">VLOOKUP($H35,OFFSET(floors!$A$1,0,0,COUNTA(floors!$A:$A),MATCH(J$1,floors!$1:$1,0)-MATCH($H$1,floors!$1:$1,0)+1),MATCH(J$1,floors!$1:$1,0)-MATCH($H$1,floors!$1:$1,0)+1,FALSE)</f>
        <v>60</v>
      </c>
      <c r="K35" s="8" t="s">
        <v>142</v>
      </c>
      <c r="L35" s="24">
        <v>122</v>
      </c>
      <c r="M35" s="20" t="str">
        <f ca="1">VLOOKUP($L35,OFFSET([3]enemies!$A$1,0,0,COUNTA([3]enemies!$A:$A),MATCH(M$1,[3]enemies!$1:$1,0)-MATCH($L$1,[3]enemies!$1:$1,0)+1),MATCH(M$1,[3]enemies!$1:$1,0)-MATCH($L$1,[3]enemies!$1:$1,0)+1,FALSE)</f>
        <v>生命の果実</v>
      </c>
      <c r="N35" s="20" t="str">
        <f ca="1">VLOOKUP($L35,OFFSET([3]enemies!$A$1,0,0,COUNTA([3]enemies!$A:$A),MATCH(N$1,[3]enemies!$1:$1,0)-MATCH($L$1,[3]enemies!$1:$1,0)+1),MATCH(N$1,[3]enemies!$1:$1,0)-MATCH($L$1,[3]enemies!$1:$1,0)+1,FALSE)</f>
        <v>green</v>
      </c>
      <c r="O35" s="20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20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20">
        <f ca="1">VLOOKUP($L35,OFFSET([3]enemies!$A$1,0,0,COUNTA([3]enemies!$A:$A),MATCH(Q$1,[3]enemies!$1:$1,0)-MATCH($L$1,[3]enemies!$1:$1,0)+1),MATCH(Q$1,[3]enemies!$1:$1,0)-MATCH($L$1,[3]enemies!$1:$1,0)+1,FALSE)</f>
        <v>20</v>
      </c>
      <c r="R35" s="6">
        <v>32</v>
      </c>
      <c r="S35" s="5">
        <f ca="1">VLOOKUP($L35,OFFSET(調整用!$C$1,0,0,COUNTA(調整用!$C:$C),MATCH(S$1,調整用!$1:$1,0)-MATCH($L$1,調整用!$1:$1,0)+1),MATCH(S$1,調整用!$1:$1,0)-MATCH($L$1,調整用!$1:$1,0)+1,FALSE)</f>
        <v>0.5</v>
      </c>
      <c r="T35" s="5">
        <f ca="1">VLOOKUP($L35,OFFSET(調整用!$C$1,0,0,COUNTA(調整用!$C:$C),MATCH(T$1,調整用!$1:$1,0)-MATCH($L$1,調整用!$1:$1,0)+1),MATCH(T$1,調整用!$1:$1,0)-MATCH($L$1,調整用!$1:$1,0)+1,FALSE)</f>
        <v>0.7</v>
      </c>
      <c r="U35" s="5">
        <f ca="1">VLOOKUP($L35,OFFSET(調整用!$C$1,0,0,COUNTA(調整用!$C:$C),MATCH(U$1,調整用!$1:$1,0)-MATCH($L$1,調整用!$1:$1,0)+1),MATCH(U$1,調整用!$1:$1,0)-MATCH($L$1,調整用!$1:$1,0)+1,FALSE)</f>
        <v>0</v>
      </c>
      <c r="V35" s="5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5">
        <f ca="1">VLOOKUP($L35,OFFSET([3]enemies!$A$1,0,0,COUNTA([3]enemies!$A:$A),MATCH(W$1,[3]enemies!$1:$1,0)-MATCH($L$1,[3]enemies!$1:$1,0)+1),MATCH(W$1,[3]enemies!$1:$1,0)-MATCH($L$1,[3]enemies!$1:$1,0)+1,FALSE)</f>
        <v>0</v>
      </c>
      <c r="X35" s="7">
        <v>0</v>
      </c>
      <c r="Y35" s="7">
        <v>100</v>
      </c>
      <c r="Z35" s="7">
        <v>0</v>
      </c>
      <c r="AA35" s="57">
        <f ca="1">VLOOKUP($L35,OFFSET(調整用!$C$1,0,0,COUNTA(調整用!$C:$C),MATCH(AA$1,調整用!$1:$1,0)-MATCH($L$1,調整用!$1:$1,0)+1),MATCH(AA$1,調整用!$1:$1,0)-MATCH($L$1,調整用!$1:$1,0)+1,FALSE)</f>
        <v>2</v>
      </c>
      <c r="AB35" s="2">
        <f t="shared" si="28"/>
        <v>122</v>
      </c>
      <c r="AC35" s="5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35" s="5">
        <f ca="1">VLOOKUP($AB35,OFFSET([4]characters!$A$1,0,0,COUNTA([4]characters!$A:$A),MATCH(AD$1,[4]characters!$1:$1,0)-MATCH("character_id",[4]characters!$1:$1,0)+1),MATCH(AD$1,[4]characters!$1:$1,0)-MATCH("character_id",[4]characters!$1:$1,0)+1,FALSE)</f>
        <v>3</v>
      </c>
      <c r="AE35" s="5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5" s="8">
        <v>1</v>
      </c>
      <c r="AG35" s="27">
        <f t="shared" ca="1" si="29"/>
        <v>3</v>
      </c>
      <c r="AH35" s="9">
        <v>0</v>
      </c>
      <c r="AI35" s="8">
        <v>0</v>
      </c>
      <c r="AJ35" s="8">
        <v>0</v>
      </c>
      <c r="AK35" s="8">
        <v>0</v>
      </c>
      <c r="AL35" s="8">
        <v>0</v>
      </c>
      <c r="AM35" s="8">
        <v>1</v>
      </c>
    </row>
    <row r="36" spans="1:39" ht="21" customHeight="1" x14ac:dyDescent="0.15">
      <c r="A36" s="17" t="str">
        <f t="shared" si="25"/>
        <v>14003_4-1/125&lt;lv32&gt;s2</v>
      </c>
      <c r="B36" s="64">
        <v>14003</v>
      </c>
      <c r="C36" s="66">
        <v>4</v>
      </c>
      <c r="D36" s="66" t="str">
        <f t="shared" si="26"/>
        <v>14003_4</v>
      </c>
      <c r="E36" s="63" t="str">
        <f ca="1">VLOOKUP($B36,OFFSET([2]quests!$A$1,0,0,COUNTA([2]quests!$A:$A),MATCH(E$1,[2]quests!$1:$1,0)-MATCH($B$1,[2]quests!$1:$1,0)+1),MATCH(E$1,[2]quests!$1:$1,0)-MATCH($B$1,[2]quests!$1:$1,0)+1,FALSE)</f>
        <v>【ロック】限界突破/ソロ</v>
      </c>
      <c r="F36" s="63" t="str">
        <f ca="1">VLOOKUP($D36,OFFSET([2]stages!$A$1,0,0,COUNTA([2]stages!$A:$A),MATCH(F$1,[2]stages!$2:$2,0)-MATCH($D$1,[2]stages!$2:$2,0)+1),MATCH(F$1,[2]stages!$2:$2,0)-MATCH($D$1,[2]stages!$2:$2,0)+1,FALSE)</f>
        <v>【超級】生命の極意（ハートなし）</v>
      </c>
      <c r="G36" s="66">
        <v>1</v>
      </c>
      <c r="H36" s="16" t="str">
        <f t="shared" si="27"/>
        <v>14003_4-1</v>
      </c>
      <c r="I36" s="5">
        <f ca="1">VLOOKUP($H36,OFFSET(floors!$A$1,0,0,COUNTA(floors!$A:$A),MATCH(I$1,floors!$1:$1,0)-MATCH($H$1,floors!$1:$1,0)+1),MATCH(I$1,floors!$1:$1,0)-MATCH($H$1,floors!$1:$1,0)+1,FALSE)</f>
        <v>60</v>
      </c>
      <c r="J36" s="5">
        <f ca="1">VLOOKUP($H36,OFFSET(floors!$A$1,0,0,COUNTA(floors!$A:$A),MATCH(J$1,floors!$1:$1,0)-MATCH($H$1,floors!$1:$1,0)+1),MATCH(J$1,floors!$1:$1,0)-MATCH($H$1,floors!$1:$1,0)+1,FALSE)</f>
        <v>60</v>
      </c>
      <c r="K36" s="8" t="s">
        <v>142</v>
      </c>
      <c r="L36" s="24">
        <v>125</v>
      </c>
      <c r="M36" s="20" t="str">
        <f ca="1">VLOOKUP($L36,OFFSET([3]enemies!$A$1,0,0,COUNTA([3]enemies!$A:$A),MATCH(M$1,[3]enemies!$1:$1,0)-MATCH($L$1,[3]enemies!$1:$1,0)+1),MATCH(M$1,[3]enemies!$1:$1,0)-MATCH($L$1,[3]enemies!$1:$1,0)+1,FALSE)</f>
        <v>秘術の果実</v>
      </c>
      <c r="N36" s="20" t="str">
        <f ca="1">VLOOKUP($L36,OFFSET([3]enemies!$A$1,0,0,COUNTA([3]enemies!$A:$A),MATCH(N$1,[3]enemies!$1:$1,0)-MATCH($L$1,[3]enemies!$1:$1,0)+1),MATCH(N$1,[3]enemies!$1:$1,0)-MATCH($L$1,[3]enemies!$1:$1,0)+1,FALSE)</f>
        <v>blue</v>
      </c>
      <c r="O36" s="20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20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20">
        <f ca="1">VLOOKUP($L36,OFFSET([3]enemies!$A$1,0,0,COUNTA([3]enemies!$A:$A),MATCH(Q$1,[3]enemies!$1:$1,0)-MATCH($L$1,[3]enemies!$1:$1,0)+1),MATCH(Q$1,[3]enemies!$1:$1,0)-MATCH($L$1,[3]enemies!$1:$1,0)+1,FALSE)</f>
        <v>20</v>
      </c>
      <c r="R36" s="6">
        <v>32</v>
      </c>
      <c r="S36" s="5">
        <f ca="1">VLOOKUP($L36,OFFSET(調整用!$C$1,0,0,COUNTA(調整用!$C:$C),MATCH(S$1,調整用!$1:$1,0)-MATCH($L$1,調整用!$1:$1,0)+1),MATCH(S$1,調整用!$1:$1,0)-MATCH($L$1,調整用!$1:$1,0)+1,FALSE)</f>
        <v>0.4</v>
      </c>
      <c r="T36" s="5">
        <f ca="1">VLOOKUP($L36,OFFSET(調整用!$C$1,0,0,COUNTA(調整用!$C:$C),MATCH(T$1,調整用!$1:$1,0)-MATCH($L$1,調整用!$1:$1,0)+1),MATCH(T$1,調整用!$1:$1,0)-MATCH($L$1,調整用!$1:$1,0)+1,FALSE)</f>
        <v>0.8</v>
      </c>
      <c r="U36" s="5">
        <f ca="1">VLOOKUP($L36,OFFSET(調整用!$C$1,0,0,COUNTA(調整用!$C:$C),MATCH(U$1,調整用!$1:$1,0)-MATCH($L$1,調整用!$1:$1,0)+1),MATCH(U$1,調整用!$1:$1,0)-MATCH($L$1,調整用!$1:$1,0)+1,FALSE)</f>
        <v>0</v>
      </c>
      <c r="V36" s="5" t="str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6" s="5">
        <f ca="1">VLOOKUP($L36,OFFSET([3]enemies!$A$1,0,0,COUNTA([3]enemies!$A:$A),MATCH(W$1,[3]enemies!$1:$1,0)-MATCH($L$1,[3]enemies!$1:$1,0)+1),MATCH(W$1,[3]enemies!$1:$1,0)-MATCH($L$1,[3]enemies!$1:$1,0)+1,FALSE)</f>
        <v>0</v>
      </c>
      <c r="X36" s="7">
        <v>1</v>
      </c>
      <c r="Y36" s="7">
        <v>0</v>
      </c>
      <c r="Z36" s="7">
        <v>1</v>
      </c>
      <c r="AA36" s="57">
        <v>2</v>
      </c>
      <c r="AB36" s="2">
        <f t="shared" si="28"/>
        <v>125</v>
      </c>
      <c r="AC36" s="5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秘術の果実</v>
      </c>
      <c r="AD36" s="5">
        <f ca="1">VLOOKUP($AB36,OFFSET([4]characters!$A$1,0,0,COUNTA([4]characters!$A:$A),MATCH(AD$1,[4]characters!$1:$1,0)-MATCH("character_id",[4]characters!$1:$1,0)+1),MATCH(AD$1,[4]characters!$1:$1,0)-MATCH("character_id",[4]characters!$1:$1,0)+1,FALSE)</f>
        <v>3</v>
      </c>
      <c r="AE36" s="5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8">
        <v>1</v>
      </c>
      <c r="AG36" s="27">
        <f t="shared" ca="1" si="29"/>
        <v>3</v>
      </c>
      <c r="AH36" s="9">
        <v>100</v>
      </c>
      <c r="AI36" s="8">
        <v>0</v>
      </c>
      <c r="AJ36" s="8">
        <v>0</v>
      </c>
      <c r="AK36" s="8">
        <v>0</v>
      </c>
      <c r="AL36" s="8">
        <v>0</v>
      </c>
      <c r="AM36" s="8">
        <v>1</v>
      </c>
    </row>
    <row r="37" spans="1:39" ht="21" customHeight="1" x14ac:dyDescent="0.15">
      <c r="A37" s="17" t="str">
        <f t="shared" ca="1" si="25"/>
        <v>14003_4-2/122&lt;lv32&gt;s2</v>
      </c>
      <c r="B37" s="64">
        <v>14003</v>
      </c>
      <c r="C37" s="66">
        <v>4</v>
      </c>
      <c r="D37" s="66" t="str">
        <f t="shared" si="26"/>
        <v>14003_4</v>
      </c>
      <c r="E37" s="63" t="str">
        <f ca="1">VLOOKUP($B37,OFFSET([2]quests!$A$1,0,0,COUNTA([2]quests!$A:$A),MATCH(E$1,[2]quests!$1:$1,0)-MATCH($B$1,[2]quests!$1:$1,0)+1),MATCH(E$1,[2]quests!$1:$1,0)-MATCH($B$1,[2]quests!$1:$1,0)+1,FALSE)</f>
        <v>【ロック】限界突破/ソロ</v>
      </c>
      <c r="F37" s="63" t="str">
        <f ca="1">VLOOKUP($D37,OFFSET([2]stages!$A$1,0,0,COUNTA([2]stages!$A:$A),MATCH(F$1,[2]stages!$2:$2,0)-MATCH($D$1,[2]stages!$2:$2,0)+1),MATCH(F$1,[2]stages!$2:$2,0)-MATCH($D$1,[2]stages!$2:$2,0)+1,FALSE)</f>
        <v>【超級】生命の極意（ハートなし）</v>
      </c>
      <c r="G37" s="66">
        <v>2</v>
      </c>
      <c r="H37" s="16" t="str">
        <f t="shared" si="27"/>
        <v>14003_4-2</v>
      </c>
      <c r="I37" s="5">
        <f ca="1">VLOOKUP($H37,OFFSET(floors!$A$1,0,0,COUNTA(floors!$A:$A),MATCH(I$1,floors!$1:$1,0)-MATCH($H$1,floors!$1:$1,0)+1),MATCH(I$1,floors!$1:$1,0)-MATCH($H$1,floors!$1:$1,0)+1,FALSE)</f>
        <v>60</v>
      </c>
      <c r="J37" s="5">
        <f ca="1">VLOOKUP($H37,OFFSET(floors!$A$1,0,0,COUNTA(floors!$A:$A),MATCH(J$1,floors!$1:$1,0)-MATCH($H$1,floors!$1:$1,0)+1),MATCH(J$1,floors!$1:$1,0)-MATCH($H$1,floors!$1:$1,0)+1,FALSE)</f>
        <v>60</v>
      </c>
      <c r="K37" s="8" t="s">
        <v>142</v>
      </c>
      <c r="L37" s="24">
        <v>122</v>
      </c>
      <c r="M37" s="20" t="str">
        <f ca="1">VLOOKUP($L37,OFFSET([3]enemies!$A$1,0,0,COUNTA([3]enemies!$A:$A),MATCH(M$1,[3]enemies!$1:$1,0)-MATCH($L$1,[3]enemies!$1:$1,0)+1),MATCH(M$1,[3]enemies!$1:$1,0)-MATCH($L$1,[3]enemies!$1:$1,0)+1,FALSE)</f>
        <v>生命の果実</v>
      </c>
      <c r="N37" s="20" t="str">
        <f ca="1">VLOOKUP($L37,OFFSET([3]enemies!$A$1,0,0,COUNTA([3]enemies!$A:$A),MATCH(N$1,[3]enemies!$1:$1,0)-MATCH($L$1,[3]enemies!$1:$1,0)+1),MATCH(N$1,[3]enemies!$1:$1,0)-MATCH($L$1,[3]enemies!$1:$1,0)+1,FALSE)</f>
        <v>green</v>
      </c>
      <c r="O37" s="20" t="str">
        <f ca="1">VLOOKUP($L37,OFFSET([4]characters!$A$1,0,0,COUNTA([4]characters!$A:$A),MATCH(O$1,[4]characters!$1:$1,0)-MATCH($L$1,[4]characters!$1:$1,0)+1),MATCH(O$1,[4]characters!$1:$1,0)-MATCH($L$1,[4]characters!$1:$1,0)+1,FALSE)</f>
        <v>Material</v>
      </c>
      <c r="P37" s="20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20">
        <f ca="1">VLOOKUP($L37,OFFSET([3]enemies!$A$1,0,0,COUNTA([3]enemies!$A:$A),MATCH(Q$1,[3]enemies!$1:$1,0)-MATCH($L$1,[3]enemies!$1:$1,0)+1),MATCH(Q$1,[3]enemies!$1:$1,0)-MATCH($L$1,[3]enemies!$1:$1,0)+1,FALSE)</f>
        <v>20</v>
      </c>
      <c r="R37" s="6">
        <v>32</v>
      </c>
      <c r="S37" s="5">
        <f ca="1">VLOOKUP($L37,OFFSET(調整用!$C$1,0,0,COUNTA(調整用!$C:$C),MATCH(S$1,調整用!$1:$1,0)-MATCH($L$1,調整用!$1:$1,0)+1),MATCH(S$1,調整用!$1:$1,0)-MATCH($L$1,調整用!$1:$1,0)+1,FALSE)</f>
        <v>0.5</v>
      </c>
      <c r="T37" s="5">
        <f ca="1">VLOOKUP($L37,OFFSET(調整用!$C$1,0,0,COUNTA(調整用!$C:$C),MATCH(T$1,調整用!$1:$1,0)-MATCH($L$1,調整用!$1:$1,0)+1),MATCH(T$1,調整用!$1:$1,0)-MATCH($L$1,調整用!$1:$1,0)+1,FALSE)</f>
        <v>0.7</v>
      </c>
      <c r="U37" s="5">
        <f ca="1">VLOOKUP($L37,OFFSET(調整用!$C$1,0,0,COUNTA(調整用!$C:$C),MATCH(U$1,調整用!$1:$1,0)-MATCH($L$1,調整用!$1:$1,0)+1),MATCH(U$1,調整用!$1:$1,0)-MATCH($L$1,調整用!$1:$1,0)+1,FALSE)</f>
        <v>0</v>
      </c>
      <c r="V37" s="5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7" s="5">
        <f ca="1">VLOOKUP($L37,OFFSET([3]enemies!$A$1,0,0,COUNTA([3]enemies!$A:$A),MATCH(W$1,[3]enemies!$1:$1,0)-MATCH($L$1,[3]enemies!$1:$1,0)+1),MATCH(W$1,[3]enemies!$1:$1,0)-MATCH($L$1,[3]enemies!$1:$1,0)+1,FALSE)</f>
        <v>0</v>
      </c>
      <c r="X37" s="7">
        <v>0</v>
      </c>
      <c r="Y37" s="7">
        <v>100</v>
      </c>
      <c r="Z37" s="7">
        <v>0</v>
      </c>
      <c r="AA37" s="57">
        <f ca="1">VLOOKUP($L37,OFFSET(調整用!$C$1,0,0,COUNTA(調整用!$C:$C),MATCH(AA$1,調整用!$1:$1,0)-MATCH($L$1,調整用!$1:$1,0)+1),MATCH(AA$1,調整用!$1:$1,0)-MATCH($L$1,調整用!$1:$1,0)+1,FALSE)</f>
        <v>2</v>
      </c>
      <c r="AB37" s="2">
        <f t="shared" si="28"/>
        <v>122</v>
      </c>
      <c r="AC37" s="5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37" s="5">
        <f ca="1">VLOOKUP($AB37,OFFSET([4]characters!$A$1,0,0,COUNTA([4]characters!$A:$A),MATCH(AD$1,[4]characters!$1:$1,0)-MATCH("character_id",[4]characters!$1:$1,0)+1),MATCH(AD$1,[4]characters!$1:$1,0)-MATCH("character_id",[4]characters!$1:$1,0)+1,FALSE)</f>
        <v>3</v>
      </c>
      <c r="AE37" s="5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7" s="8">
        <v>1</v>
      </c>
      <c r="AG37" s="27">
        <f t="shared" ca="1" si="29"/>
        <v>3</v>
      </c>
      <c r="AH37" s="9">
        <v>0</v>
      </c>
      <c r="AI37" s="8">
        <v>0</v>
      </c>
      <c r="AJ37" s="8">
        <v>0</v>
      </c>
      <c r="AK37" s="8">
        <v>0</v>
      </c>
      <c r="AL37" s="8">
        <v>0</v>
      </c>
      <c r="AM37" s="8">
        <v>1</v>
      </c>
    </row>
    <row r="38" spans="1:39" ht="21" customHeight="1" x14ac:dyDescent="0.15">
      <c r="A38" s="17" t="str">
        <f t="shared" si="25"/>
        <v>14003_4-2/608&lt;lv32&gt;s2</v>
      </c>
      <c r="B38" s="64">
        <v>14003</v>
      </c>
      <c r="C38" s="66">
        <v>4</v>
      </c>
      <c r="D38" s="66" t="str">
        <f t="shared" si="26"/>
        <v>14003_4</v>
      </c>
      <c r="E38" s="63" t="str">
        <f ca="1">VLOOKUP($B38,OFFSET([2]quests!$A$1,0,0,COUNTA([2]quests!$A:$A),MATCH(E$1,[2]quests!$1:$1,0)-MATCH($B$1,[2]quests!$1:$1,0)+1),MATCH(E$1,[2]quests!$1:$1,0)-MATCH($B$1,[2]quests!$1:$1,0)+1,FALSE)</f>
        <v>【ロック】限界突破/ソロ</v>
      </c>
      <c r="F38" s="63" t="str">
        <f ca="1">VLOOKUP($D38,OFFSET([2]stages!$A$1,0,0,COUNTA([2]stages!$A:$A),MATCH(F$1,[2]stages!$2:$2,0)-MATCH($D$1,[2]stages!$2:$2,0)+1),MATCH(F$1,[2]stages!$2:$2,0)-MATCH($D$1,[2]stages!$2:$2,0)+1,FALSE)</f>
        <v>【超級】生命の極意（ハートなし）</v>
      </c>
      <c r="G38" s="66">
        <v>2</v>
      </c>
      <c r="H38" s="16" t="str">
        <f t="shared" si="27"/>
        <v>14003_4-2</v>
      </c>
      <c r="I38" s="5">
        <f ca="1">VLOOKUP($H38,OFFSET(floors!$A$1,0,0,COUNTA(floors!$A:$A),MATCH(I$1,floors!$1:$1,0)-MATCH($H$1,floors!$1:$1,0)+1),MATCH(I$1,floors!$1:$1,0)-MATCH($H$1,floors!$1:$1,0)+1,FALSE)</f>
        <v>60</v>
      </c>
      <c r="J38" s="5">
        <f ca="1">VLOOKUP($H38,OFFSET(floors!$A$1,0,0,COUNTA(floors!$A:$A),MATCH(J$1,floors!$1:$1,0)-MATCH($H$1,floors!$1:$1,0)+1),MATCH(J$1,floors!$1:$1,0)-MATCH($H$1,floors!$1:$1,0)+1,FALSE)</f>
        <v>60</v>
      </c>
      <c r="K38" s="8" t="s">
        <v>142</v>
      </c>
      <c r="L38" s="24">
        <v>608</v>
      </c>
      <c r="M38" s="20" t="str">
        <f ca="1">VLOOKUP($L38,OFFSET([3]enemies!$A$1,0,0,COUNTA([3]enemies!$A:$A),MATCH(M$1,[3]enemies!$1:$1,0)-MATCH($L$1,[3]enemies!$1:$1,0)+1),MATCH(M$1,[3]enemies!$1:$1,0)-MATCH($L$1,[3]enemies!$1:$1,0)+1,FALSE)</f>
        <v>メガ生命の果実</v>
      </c>
      <c r="N38" s="20" t="str">
        <f ca="1">VLOOKUP($L38,OFFSET([3]enemies!$A$1,0,0,COUNTA([3]enemies!$A:$A),MATCH(N$1,[3]enemies!$1:$1,0)-MATCH($L$1,[3]enemies!$1:$1,0)+1),MATCH(N$1,[3]enemies!$1:$1,0)-MATCH($L$1,[3]enemies!$1:$1,0)+1,FALSE)</f>
        <v>green</v>
      </c>
      <c r="O38" s="20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20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20">
        <f ca="1">VLOOKUP($L38,OFFSET([3]enemies!$A$1,0,0,COUNTA([3]enemies!$A:$A),MATCH(Q$1,[3]enemies!$1:$1,0)-MATCH($L$1,[3]enemies!$1:$1,0)+1),MATCH(Q$1,[3]enemies!$1:$1,0)-MATCH($L$1,[3]enemies!$1:$1,0)+1,FALSE)</f>
        <v>20</v>
      </c>
      <c r="R38" s="6">
        <v>32</v>
      </c>
      <c r="S38" s="5">
        <f ca="1">VLOOKUP($L38,OFFSET(調整用!$C$1,0,0,COUNTA(調整用!$C:$C),MATCH(S$1,調整用!$1:$1,0)-MATCH($L$1,調整用!$1:$1,0)+1),MATCH(S$1,調整用!$1:$1,0)-MATCH($L$1,調整用!$1:$1,0)+1,FALSE)</f>
        <v>1</v>
      </c>
      <c r="T38" s="5">
        <f ca="1">VLOOKUP($L38,OFFSET(調整用!$C$1,0,0,COUNTA(調整用!$C:$C),MATCH(T$1,調整用!$1:$1,0)-MATCH($L$1,調整用!$1:$1,0)+1),MATCH(T$1,調整用!$1:$1,0)-MATCH($L$1,調整用!$1:$1,0)+1,FALSE)</f>
        <v>0.9</v>
      </c>
      <c r="U38" s="5">
        <f ca="1">VLOOKUP($L38,OFFSET(調整用!$C$1,0,0,COUNTA(調整用!$C:$C),MATCH(U$1,調整用!$1:$1,0)-MATCH($L$1,調整用!$1:$1,0)+1),MATCH(U$1,調整用!$1:$1,0)-MATCH($L$1,調整用!$1:$1,0)+1,FALSE)</f>
        <v>0</v>
      </c>
      <c r="V38" s="5" t="str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8" s="5">
        <f ca="1">VLOOKUP($L38,OFFSET([3]enemies!$A$1,0,0,COUNTA([3]enemies!$A:$A),MATCH(W$1,[3]enemies!$1:$1,0)-MATCH($L$1,[3]enemies!$1:$1,0)+1),MATCH(W$1,[3]enemies!$1:$1,0)-MATCH($L$1,[3]enemies!$1:$1,0)+1,FALSE)</f>
        <v>0</v>
      </c>
      <c r="X38" s="7">
        <v>1</v>
      </c>
      <c r="Y38" s="7">
        <v>0</v>
      </c>
      <c r="Z38" s="7">
        <v>1</v>
      </c>
      <c r="AA38" s="57">
        <v>2</v>
      </c>
      <c r="AB38" s="2">
        <f t="shared" si="28"/>
        <v>608</v>
      </c>
      <c r="AC38" s="5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38" s="5">
        <f ca="1">VLOOKUP($AB38,OFFSET([4]characters!$A$1,0,0,COUNTA([4]characters!$A:$A),MATCH(AD$1,[4]characters!$1:$1,0)-MATCH("character_id",[4]characters!$1:$1,0)+1),MATCH(AD$1,[4]characters!$1:$1,0)-MATCH("character_id",[4]characters!$1:$1,0)+1,FALSE)</f>
        <v>4</v>
      </c>
      <c r="AE38" s="5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8" s="8">
        <v>1</v>
      </c>
      <c r="AG38" s="27">
        <f t="shared" ca="1" si="29"/>
        <v>4</v>
      </c>
      <c r="AH38" s="9">
        <v>100</v>
      </c>
      <c r="AI38" s="8">
        <v>0</v>
      </c>
      <c r="AJ38" s="8">
        <v>0</v>
      </c>
      <c r="AK38" s="8">
        <v>0</v>
      </c>
      <c r="AL38" s="8">
        <v>0</v>
      </c>
      <c r="AM38" s="8">
        <v>1</v>
      </c>
    </row>
    <row r="39" spans="1:39" ht="21" customHeight="1" x14ac:dyDescent="0.15">
      <c r="A39" s="17" t="str">
        <f t="shared" si="25"/>
        <v>14003_4-3/122&lt;lv32&gt;s1</v>
      </c>
      <c r="B39" s="64">
        <v>14003</v>
      </c>
      <c r="C39" s="66">
        <v>4</v>
      </c>
      <c r="D39" s="66" t="str">
        <f t="shared" si="26"/>
        <v>14003_4</v>
      </c>
      <c r="E39" s="63" t="str">
        <f ca="1">VLOOKUP($B39,OFFSET([2]quests!$A$1,0,0,COUNTA([2]quests!$A:$A),MATCH(E$1,[2]quests!$1:$1,0)-MATCH($B$1,[2]quests!$1:$1,0)+1),MATCH(E$1,[2]quests!$1:$1,0)-MATCH($B$1,[2]quests!$1:$1,0)+1,FALSE)</f>
        <v>【ロック】限界突破/ソロ</v>
      </c>
      <c r="F39" s="63" t="str">
        <f ca="1">VLOOKUP($D39,OFFSET([2]stages!$A$1,0,0,COUNTA([2]stages!$A:$A),MATCH(F$1,[2]stages!$2:$2,0)-MATCH($D$1,[2]stages!$2:$2,0)+1),MATCH(F$1,[2]stages!$2:$2,0)-MATCH($D$1,[2]stages!$2:$2,0)+1,FALSE)</f>
        <v>【超級】生命の極意（ハートなし）</v>
      </c>
      <c r="G39" s="66">
        <v>3</v>
      </c>
      <c r="H39" s="16" t="str">
        <f t="shared" si="27"/>
        <v>14003_4-3</v>
      </c>
      <c r="I39" s="5">
        <f ca="1">VLOOKUP($H39,OFFSET(floors!$A$1,0,0,COUNTA(floors!$A:$A),MATCH(I$1,floors!$1:$1,0)-MATCH($H$1,floors!$1:$1,0)+1),MATCH(I$1,floors!$1:$1,0)-MATCH($H$1,floors!$1:$1,0)+1,FALSE)</f>
        <v>60</v>
      </c>
      <c r="J39" s="5">
        <f ca="1">VLOOKUP($H39,OFFSET(floors!$A$1,0,0,COUNTA(floors!$A:$A),MATCH(J$1,floors!$1:$1,0)-MATCH($H$1,floors!$1:$1,0)+1),MATCH(J$1,floors!$1:$1,0)-MATCH($H$1,floors!$1:$1,0)+1,FALSE)</f>
        <v>60</v>
      </c>
      <c r="K39" s="8" t="s">
        <v>142</v>
      </c>
      <c r="L39" s="24">
        <v>122</v>
      </c>
      <c r="M39" s="20" t="str">
        <f ca="1">VLOOKUP($L39,OFFSET([3]enemies!$A$1,0,0,COUNTA([3]enemies!$A:$A),MATCH(M$1,[3]enemies!$1:$1,0)-MATCH($L$1,[3]enemies!$1:$1,0)+1),MATCH(M$1,[3]enemies!$1:$1,0)-MATCH($L$1,[3]enemies!$1:$1,0)+1,FALSE)</f>
        <v>生命の果実</v>
      </c>
      <c r="N39" s="20" t="str">
        <f ca="1">VLOOKUP($L39,OFFSET([3]enemies!$A$1,0,0,COUNTA([3]enemies!$A:$A),MATCH(N$1,[3]enemies!$1:$1,0)-MATCH($L$1,[3]enemies!$1:$1,0)+1),MATCH(N$1,[3]enemies!$1:$1,0)-MATCH($L$1,[3]enemies!$1:$1,0)+1,FALSE)</f>
        <v>green</v>
      </c>
      <c r="O39" s="20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20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20">
        <f ca="1">VLOOKUP($L39,OFFSET([3]enemies!$A$1,0,0,COUNTA([3]enemies!$A:$A),MATCH(Q$1,[3]enemies!$1:$1,0)-MATCH($L$1,[3]enemies!$1:$1,0)+1),MATCH(Q$1,[3]enemies!$1:$1,0)-MATCH($L$1,[3]enemies!$1:$1,0)+1,FALSE)</f>
        <v>20</v>
      </c>
      <c r="R39" s="6">
        <v>32</v>
      </c>
      <c r="S39" s="5">
        <f ca="1">VLOOKUP($L39,OFFSET(調整用!$C$1,0,0,COUNTA(調整用!$C:$C),MATCH(S$1,調整用!$1:$1,0)-MATCH($L$1,調整用!$1:$1,0)+1),MATCH(S$1,調整用!$1:$1,0)-MATCH($L$1,調整用!$1:$1,0)+1,FALSE)</f>
        <v>0.5</v>
      </c>
      <c r="T39" s="5">
        <f ca="1">VLOOKUP($L39,OFFSET(調整用!$C$1,0,0,COUNTA(調整用!$C:$C),MATCH(T$1,調整用!$1:$1,0)-MATCH($L$1,調整用!$1:$1,0)+1),MATCH(T$1,調整用!$1:$1,0)-MATCH($L$1,調整用!$1:$1,0)+1,FALSE)</f>
        <v>0.7</v>
      </c>
      <c r="U39" s="5">
        <f ca="1">VLOOKUP($L39,OFFSET(調整用!$C$1,0,0,COUNTA(調整用!$C:$C),MATCH(U$1,調整用!$1:$1,0)-MATCH($L$1,調整用!$1:$1,0)+1),MATCH(U$1,調整用!$1:$1,0)-MATCH($L$1,調整用!$1:$1,0)+1,FALSE)</f>
        <v>0</v>
      </c>
      <c r="V39" s="5" t="str">
        <f ca="1">VLOOKUP($W39,OFFSET(enemy_skill_sets!$B$1,0,0,COUNTA(enemy_skill_sets!$B:$B),MATCH(M$1,enemy_skill_sets!$1:$1,0)-MATCH($W$1,enemy_skill_sets!$1:$1,0)+2),MATCH(M$1,enemy_skill_sets!$1:$1,0)-MATCH($W$1,enemy_skill_sets!$1:$1,0)+2,FALSE)</f>
        <v>…</v>
      </c>
      <c r="W39" s="58">
        <v>14003430</v>
      </c>
      <c r="X39" s="7">
        <v>1</v>
      </c>
      <c r="Y39" s="7">
        <v>0</v>
      </c>
      <c r="Z39" s="7">
        <v>2</v>
      </c>
      <c r="AA39" s="57">
        <v>1</v>
      </c>
      <c r="AB39" s="2">
        <f t="shared" si="28"/>
        <v>122</v>
      </c>
      <c r="AC39" s="5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39" s="5">
        <f ca="1">VLOOKUP($AB39,OFFSET([4]characters!$A$1,0,0,COUNTA([4]characters!$A:$A),MATCH(AD$1,[4]characters!$1:$1,0)-MATCH("character_id",[4]characters!$1:$1,0)+1),MATCH(AD$1,[4]characters!$1:$1,0)-MATCH("character_id",[4]characters!$1:$1,0)+1,FALSE)</f>
        <v>3</v>
      </c>
      <c r="AE39" s="5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8">
        <v>1</v>
      </c>
      <c r="AG39" s="27">
        <f t="shared" ca="1" si="29"/>
        <v>3</v>
      </c>
      <c r="AH39" s="9">
        <v>0</v>
      </c>
      <c r="AI39" s="8">
        <v>0</v>
      </c>
      <c r="AJ39" s="8">
        <v>0</v>
      </c>
      <c r="AK39" s="8">
        <v>0</v>
      </c>
      <c r="AL39" s="8">
        <v>0</v>
      </c>
      <c r="AM39" s="8">
        <v>1</v>
      </c>
    </row>
    <row r="40" spans="1:39" ht="21" customHeight="1" x14ac:dyDescent="0.15">
      <c r="A40" s="17" t="str">
        <f t="shared" si="25"/>
        <v>14003_4-3/608&lt;lv32&gt;s2</v>
      </c>
      <c r="B40" s="64">
        <v>14003</v>
      </c>
      <c r="C40" s="66">
        <v>4</v>
      </c>
      <c r="D40" s="66" t="str">
        <f t="shared" si="26"/>
        <v>14003_4</v>
      </c>
      <c r="E40" s="63" t="str">
        <f ca="1">VLOOKUP($B40,OFFSET([2]quests!$A$1,0,0,COUNTA([2]quests!$A:$A),MATCH(E$1,[2]quests!$1:$1,0)-MATCH($B$1,[2]quests!$1:$1,0)+1),MATCH(E$1,[2]quests!$1:$1,0)-MATCH($B$1,[2]quests!$1:$1,0)+1,FALSE)</f>
        <v>【ロック】限界突破/ソロ</v>
      </c>
      <c r="F40" s="63" t="str">
        <f ca="1">VLOOKUP($D40,OFFSET([2]stages!$A$1,0,0,COUNTA([2]stages!$A:$A),MATCH(F$1,[2]stages!$2:$2,0)-MATCH($D$1,[2]stages!$2:$2,0)+1),MATCH(F$1,[2]stages!$2:$2,0)-MATCH($D$1,[2]stages!$2:$2,0)+1,FALSE)</f>
        <v>【超級】生命の極意（ハートなし）</v>
      </c>
      <c r="G40" s="66">
        <v>3</v>
      </c>
      <c r="H40" s="16" t="str">
        <f t="shared" si="27"/>
        <v>14003_4-3</v>
      </c>
      <c r="I40" s="5">
        <f ca="1">VLOOKUP($H40,OFFSET(floors!$A$1,0,0,COUNTA(floors!$A:$A),MATCH(I$1,floors!$1:$1,0)-MATCH($H$1,floors!$1:$1,0)+1),MATCH(I$1,floors!$1:$1,0)-MATCH($H$1,floors!$1:$1,0)+1,FALSE)</f>
        <v>60</v>
      </c>
      <c r="J40" s="5">
        <f ca="1">VLOOKUP($H40,OFFSET(floors!$A$1,0,0,COUNTA(floors!$A:$A),MATCH(J$1,floors!$1:$1,0)-MATCH($H$1,floors!$1:$1,0)+1),MATCH(J$1,floors!$1:$1,0)-MATCH($H$1,floors!$1:$1,0)+1,FALSE)</f>
        <v>60</v>
      </c>
      <c r="K40" s="8" t="s">
        <v>142</v>
      </c>
      <c r="L40" s="24">
        <v>608</v>
      </c>
      <c r="M40" s="20" t="str">
        <f ca="1">VLOOKUP($L40,OFFSET([3]enemies!$A$1,0,0,COUNTA([3]enemies!$A:$A),MATCH(M$1,[3]enemies!$1:$1,0)-MATCH($L$1,[3]enemies!$1:$1,0)+1),MATCH(M$1,[3]enemies!$1:$1,0)-MATCH($L$1,[3]enemies!$1:$1,0)+1,FALSE)</f>
        <v>メガ生命の果実</v>
      </c>
      <c r="N40" s="20" t="str">
        <f ca="1">VLOOKUP($L40,OFFSET([3]enemies!$A$1,0,0,COUNTA([3]enemies!$A:$A),MATCH(N$1,[3]enemies!$1:$1,0)-MATCH($L$1,[3]enemies!$1:$1,0)+1),MATCH(N$1,[3]enemies!$1:$1,0)-MATCH($L$1,[3]enemies!$1:$1,0)+1,FALSE)</f>
        <v>green</v>
      </c>
      <c r="O40" s="20" t="str">
        <f ca="1">VLOOKUP($L40,OFFSET([4]characters!$A$1,0,0,COUNTA([4]characters!$A:$A),MATCH(O$1,[4]characters!$1:$1,0)-MATCH($L$1,[4]characters!$1:$1,0)+1),MATCH(O$1,[4]characters!$1:$1,0)-MATCH($L$1,[4]characters!$1:$1,0)+1,FALSE)</f>
        <v>Material</v>
      </c>
      <c r="P40" s="20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20">
        <f ca="1">VLOOKUP($L40,OFFSET([3]enemies!$A$1,0,0,COUNTA([3]enemies!$A:$A),MATCH(Q$1,[3]enemies!$1:$1,0)-MATCH($L$1,[3]enemies!$1:$1,0)+1),MATCH(Q$1,[3]enemies!$1:$1,0)-MATCH($L$1,[3]enemies!$1:$1,0)+1,FALSE)</f>
        <v>20</v>
      </c>
      <c r="R40" s="6">
        <v>32</v>
      </c>
      <c r="S40" s="5">
        <f ca="1">VLOOKUP($L40,OFFSET(調整用!$C$1,0,0,COUNTA(調整用!$C:$C),MATCH(S$1,調整用!$1:$1,0)-MATCH($L$1,調整用!$1:$1,0)+1),MATCH(S$1,調整用!$1:$1,0)-MATCH($L$1,調整用!$1:$1,0)+1,FALSE)</f>
        <v>1</v>
      </c>
      <c r="T40" s="5">
        <f ca="1">VLOOKUP($L40,OFFSET(調整用!$C$1,0,0,COUNTA(調整用!$C:$C),MATCH(T$1,調整用!$1:$1,0)-MATCH($L$1,調整用!$1:$1,0)+1),MATCH(T$1,調整用!$1:$1,0)-MATCH($L$1,調整用!$1:$1,0)+1,FALSE)</f>
        <v>0.9</v>
      </c>
      <c r="U40" s="5">
        <f ca="1">VLOOKUP($L40,OFFSET(調整用!$C$1,0,0,COUNTA(調整用!$C:$C),MATCH(U$1,調整用!$1:$1,0)-MATCH($L$1,調整用!$1:$1,0)+1),MATCH(U$1,調整用!$1:$1,0)-MATCH($L$1,調整用!$1:$1,0)+1,FALSE)</f>
        <v>0</v>
      </c>
      <c r="V40" s="5" t="str">
        <f ca="1">VLOOKUP($W40,OFFSET(enemy_skill_sets!$B$1,0,0,COUNTA(enemy_skill_sets!$B:$B),MATCH(M$1,enemy_skill_sets!$1:$1,0)-MATCH($W$1,enemy_skill_sets!$1:$1,0)+2),MATCH(M$1,enemy_skill_sets!$1:$1,0)-MATCH($W$1,enemy_skill_sets!$1:$1,0)+2,FALSE)</f>
        <v>…</v>
      </c>
      <c r="W40" s="58">
        <v>14003431</v>
      </c>
      <c r="X40" s="7">
        <v>1</v>
      </c>
      <c r="Y40" s="7">
        <v>0</v>
      </c>
      <c r="Z40" s="7">
        <v>1</v>
      </c>
      <c r="AA40" s="57">
        <v>2</v>
      </c>
      <c r="AB40" s="2">
        <f t="shared" si="28"/>
        <v>608</v>
      </c>
      <c r="AC40" s="5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40" s="5">
        <f ca="1">VLOOKUP($AB40,OFFSET([4]characters!$A$1,0,0,COUNTA([4]characters!$A:$A),MATCH(AD$1,[4]characters!$1:$1,0)-MATCH("character_id",[4]characters!$1:$1,0)+1),MATCH(AD$1,[4]characters!$1:$1,0)-MATCH("character_id",[4]characters!$1:$1,0)+1,FALSE)</f>
        <v>4</v>
      </c>
      <c r="AE40" s="5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0" s="8">
        <v>1</v>
      </c>
      <c r="AG40" s="27">
        <f t="shared" ca="1" si="29"/>
        <v>4</v>
      </c>
      <c r="AH40" s="9">
        <v>0</v>
      </c>
      <c r="AI40" s="8">
        <v>0</v>
      </c>
      <c r="AJ40" s="8">
        <v>0</v>
      </c>
      <c r="AK40" s="8">
        <v>0</v>
      </c>
      <c r="AL40" s="8">
        <v>0</v>
      </c>
      <c r="AM40" s="8">
        <v>1</v>
      </c>
    </row>
    <row r="41" spans="1:39" ht="21" customHeight="1" x14ac:dyDescent="0.15">
      <c r="A41" s="17" t="str">
        <f t="shared" si="25"/>
        <v>14003_4-3/612&lt;lv32&gt;s3</v>
      </c>
      <c r="B41" s="64">
        <v>14003</v>
      </c>
      <c r="C41" s="66">
        <v>4</v>
      </c>
      <c r="D41" s="66" t="str">
        <f t="shared" si="26"/>
        <v>14003_4</v>
      </c>
      <c r="E41" s="63" t="str">
        <f ca="1">VLOOKUP($B41,OFFSET([2]quests!$A$1,0,0,COUNTA([2]quests!$A:$A),MATCH(E$1,[2]quests!$1:$1,0)-MATCH($B$1,[2]quests!$1:$1,0)+1),MATCH(E$1,[2]quests!$1:$1,0)-MATCH($B$1,[2]quests!$1:$1,0)+1,FALSE)</f>
        <v>【ロック】限界突破/ソロ</v>
      </c>
      <c r="F41" s="63" t="str">
        <f ca="1">VLOOKUP($D41,OFFSET([2]stages!$A$1,0,0,COUNTA([2]stages!$A:$A),MATCH(F$1,[2]stages!$2:$2,0)-MATCH($D$1,[2]stages!$2:$2,0)+1),MATCH(F$1,[2]stages!$2:$2,0)-MATCH($D$1,[2]stages!$2:$2,0)+1,FALSE)</f>
        <v>【超級】生命の極意（ハートなし）</v>
      </c>
      <c r="G41" s="66">
        <v>3</v>
      </c>
      <c r="H41" s="16" t="str">
        <f t="shared" si="27"/>
        <v>14003_4-3</v>
      </c>
      <c r="I41" s="5">
        <f ca="1">VLOOKUP($H41,OFFSET(floors!$A$1,0,0,COUNTA(floors!$A:$A),MATCH(I$1,floors!$1:$1,0)-MATCH($H$1,floors!$1:$1,0)+1),MATCH(I$1,floors!$1:$1,0)-MATCH($H$1,floors!$1:$1,0)+1,FALSE)</f>
        <v>60</v>
      </c>
      <c r="J41" s="5">
        <f ca="1">VLOOKUP($H41,OFFSET(floors!$A$1,0,0,COUNTA(floors!$A:$A),MATCH(J$1,floors!$1:$1,0)-MATCH($H$1,floors!$1:$1,0)+1),MATCH(J$1,floors!$1:$1,0)-MATCH($H$1,floors!$1:$1,0)+1,FALSE)</f>
        <v>60</v>
      </c>
      <c r="K41" s="8" t="s">
        <v>142</v>
      </c>
      <c r="L41" s="24">
        <v>612</v>
      </c>
      <c r="M41" s="20" t="str">
        <f ca="1">VLOOKUP($L41,OFFSET([3]enemies!$A$1,0,0,COUNTA([3]enemies!$A:$A),MATCH(M$1,[3]enemies!$1:$1,0)-MATCH($L$1,[3]enemies!$1:$1,0)+1),MATCH(M$1,[3]enemies!$1:$1,0)-MATCH($L$1,[3]enemies!$1:$1,0)+1,FALSE)</f>
        <v>ギガ生命の果実</v>
      </c>
      <c r="N41" s="20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20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20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20">
        <f ca="1">VLOOKUP($L41,OFFSET([3]enemies!$A$1,0,0,COUNTA([3]enemies!$A:$A),MATCH(Q$1,[3]enemies!$1:$1,0)-MATCH($L$1,[3]enemies!$1:$1,0)+1),MATCH(Q$1,[3]enemies!$1:$1,0)-MATCH($L$1,[3]enemies!$1:$1,0)+1,FALSE)</f>
        <v>20</v>
      </c>
      <c r="R41" s="6">
        <v>32</v>
      </c>
      <c r="S41" s="5">
        <f ca="1">VLOOKUP($L41,OFFSET(調整用!$C$1,0,0,COUNTA(調整用!$C:$C),MATCH(S$1,調整用!$1:$1,0)-MATCH($L$1,調整用!$1:$1,0)+1),MATCH(S$1,調整用!$1:$1,0)-MATCH($L$1,調整用!$1:$1,0)+1,FALSE)</f>
        <v>1.5</v>
      </c>
      <c r="T41" s="5">
        <f ca="1">VLOOKUP($L41,OFFSET(調整用!$C$1,0,0,COUNTA(調整用!$C:$C),MATCH(T$1,調整用!$1:$1,0)-MATCH($L$1,調整用!$1:$1,0)+1),MATCH(T$1,調整用!$1:$1,0)-MATCH($L$1,調整用!$1:$1,0)+1,FALSE)</f>
        <v>1</v>
      </c>
      <c r="U41" s="5">
        <f ca="1">VLOOKUP($L41,OFFSET(調整用!$C$1,0,0,COUNTA(調整用!$C:$C),MATCH(U$1,調整用!$1:$1,0)-MATCH($L$1,調整用!$1:$1,0)+1),MATCH(U$1,調整用!$1:$1,0)-MATCH($L$1,調整用!$1:$1,0)+1,FALSE)</f>
        <v>0</v>
      </c>
      <c r="V41" s="5" t="str">
        <f ca="1">VLOOKUP($W41,OFFSET(enemy_skill_sets!$B$1,0,0,COUNTA(enemy_skill_sets!$B:$B),MATCH(M$1,enemy_skill_sets!$1:$1,0)-MATCH($W$1,enemy_skill_sets!$1:$1,0)+2),MATCH(M$1,enemy_skill_sets!$1:$1,0)-MATCH($W$1,enemy_skill_sets!$1:$1,0)+2,FALSE)</f>
        <v>…</v>
      </c>
      <c r="W41" s="58">
        <v>14003432</v>
      </c>
      <c r="X41" s="7">
        <v>1</v>
      </c>
      <c r="Y41" s="7">
        <v>0</v>
      </c>
      <c r="Z41" s="7">
        <v>0</v>
      </c>
      <c r="AA41" s="57">
        <v>3</v>
      </c>
      <c r="AB41" s="2">
        <f t="shared" si="28"/>
        <v>612</v>
      </c>
      <c r="AC41" s="5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ギガ生命の果実</v>
      </c>
      <c r="AD41" s="5">
        <f ca="1">VLOOKUP($AB41,OFFSET([4]characters!$A$1,0,0,COUNTA([4]characters!$A:$A),MATCH(AD$1,[4]characters!$1:$1,0)-MATCH("character_id",[4]characters!$1:$1,0)+1),MATCH(AD$1,[4]characters!$1:$1,0)-MATCH("character_id",[4]characters!$1:$1,0)+1,FALSE)</f>
        <v>5</v>
      </c>
      <c r="AE41" s="5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8">
        <v>1</v>
      </c>
      <c r="AG41" s="27">
        <f t="shared" ca="1" si="29"/>
        <v>5</v>
      </c>
      <c r="AH41" s="9">
        <v>100</v>
      </c>
      <c r="AI41" s="8">
        <v>0</v>
      </c>
      <c r="AJ41" s="8">
        <v>0</v>
      </c>
      <c r="AK41" s="8">
        <v>0</v>
      </c>
      <c r="AL41" s="8">
        <v>0</v>
      </c>
      <c r="AM41" s="8">
        <v>1</v>
      </c>
    </row>
    <row r="42" spans="1:39" ht="21" customHeight="1" x14ac:dyDescent="0.15">
      <c r="A42" s="17" t="str">
        <f t="shared" ca="1" si="25"/>
        <v>14006_1-1/121&lt;lv32&gt;s1</v>
      </c>
      <c r="B42" s="99">
        <v>14006</v>
      </c>
      <c r="C42" s="100">
        <v>1</v>
      </c>
      <c r="D42" s="100" t="str">
        <f t="shared" si="26"/>
        <v>14006_1</v>
      </c>
      <c r="E42" s="101" t="str">
        <f ca="1">VLOOKUP($B42,OFFSET([2]quests!$A$1,0,0,COUNTA([2]quests!$A:$A),MATCH(E$1,[2]quests!$1:$1,0)-MATCH($B$1,[2]quests!$1:$1,0)+1),MATCH(E$1,[2]quests!$1:$1,0)-MATCH($B$1,[2]quests!$1:$1,0)+1,FALSE)</f>
        <v>【ロック】限界突破/LINEマルチ</v>
      </c>
      <c r="F42" s="101" t="str">
        <f ca="1">VLOOKUP($D42,OFFSET([2]stages!$A$1,0,0,COUNTA([2]stages!$A:$A),MATCH(F$1,[2]stages!$2:$2,0)-MATCH($D$1,[2]stages!$2:$2,0)+1),MATCH(F$1,[2]stages!$2:$2,0)-MATCH($D$1,[2]stages!$2:$2,0)+1,FALSE)</f>
        <v>【超級】果実の楽園（ハートなし）</v>
      </c>
      <c r="G42" s="100">
        <v>1</v>
      </c>
      <c r="H42" s="16" t="str">
        <f t="shared" si="27"/>
        <v>14006_1-1</v>
      </c>
      <c r="I42" s="5">
        <f ca="1">VLOOKUP($H42,OFFSET(floors!$A$1,0,0,COUNTA(floors!$A:$A),MATCH(I$1,floors!$1:$1,0)-MATCH($H$1,floors!$1:$1,0)+1),MATCH(I$1,floors!$1:$1,0)-MATCH($H$1,floors!$1:$1,0)+1,FALSE)</f>
        <v>60</v>
      </c>
      <c r="J42" s="5">
        <f ca="1">VLOOKUP($H42,OFFSET(floors!$A$1,0,0,COUNTA(floors!$A:$A),MATCH(J$1,floors!$1:$1,0)-MATCH($H$1,floors!$1:$1,0)+1),MATCH(J$1,floors!$1:$1,0)-MATCH($H$1,floors!$1:$1,0)+1,FALSE)</f>
        <v>60</v>
      </c>
      <c r="K42" s="8" t="s">
        <v>142</v>
      </c>
      <c r="L42" s="24">
        <v>121</v>
      </c>
      <c r="M42" s="20" t="str">
        <f ca="1">VLOOKUP($L42,OFFSET([3]enemies!$A$1,0,0,COUNTA([3]enemies!$A:$A),MATCH(M$1,[3]enemies!$1:$1,0)-MATCH($L$1,[3]enemies!$1:$1,0)+1),MATCH(M$1,[3]enemies!$1:$1,0)-MATCH($L$1,[3]enemies!$1:$1,0)+1,FALSE)</f>
        <v>攻めの果実</v>
      </c>
      <c r="N42" s="20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20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20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20">
        <f ca="1">VLOOKUP($L42,OFFSET([3]enemies!$A$1,0,0,COUNTA([3]enemies!$A:$A),MATCH(Q$1,[3]enemies!$1:$1,0)-MATCH($L$1,[3]enemies!$1:$1,0)+1),MATCH(Q$1,[3]enemies!$1:$1,0)-MATCH($L$1,[3]enemies!$1:$1,0)+1,FALSE)</f>
        <v>20</v>
      </c>
      <c r="R42" s="6">
        <v>32</v>
      </c>
      <c r="S42" s="5">
        <f ca="1">VLOOKUP($L42,OFFSET(調整用!$C$1,0,0,COUNTA(調整用!$C:$C),MATCH(S$1,調整用!$1:$1,0)-MATCH($L$1,調整用!$1:$1,0)+1),MATCH(S$1,調整用!$1:$1,0)-MATCH($L$1,調整用!$1:$1,0)+1,FALSE)</f>
        <v>0.5</v>
      </c>
      <c r="T42" s="5">
        <f ca="1">VLOOKUP($L42,OFFSET(調整用!$C$1,0,0,COUNTA(調整用!$C:$C),MATCH(T$1,調整用!$1:$1,0)-MATCH($L$1,調整用!$1:$1,0)+1),MATCH(T$1,調整用!$1:$1,0)-MATCH($L$1,調整用!$1:$1,0)+1,FALSE)</f>
        <v>1</v>
      </c>
      <c r="U42" s="5">
        <f ca="1">VLOOKUP($L42,OFFSET(調整用!$C$1,0,0,COUNTA(調整用!$C:$C),MATCH(U$1,調整用!$1:$1,0)-MATCH($L$1,調整用!$1:$1,0)+1),MATCH(U$1,調整用!$1:$1,0)-MATCH($L$1,調整用!$1:$1,0)+1,FALSE)</f>
        <v>0</v>
      </c>
      <c r="V42" s="5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2" s="5">
        <f ca="1">VLOOKUP($L42,OFFSET([3]enemies!$A$1,0,0,COUNTA([3]enemies!$A:$A),MATCH(W$1,[3]enemies!$1:$1,0)-MATCH($L$1,[3]enemies!$1:$1,0)+1),MATCH(W$1,[3]enemies!$1:$1,0)-MATCH($L$1,[3]enemies!$1:$1,0)+1,FALSE)</f>
        <v>0</v>
      </c>
      <c r="X42" s="7">
        <v>0</v>
      </c>
      <c r="Y42" s="7">
        <v>100</v>
      </c>
      <c r="Z42" s="7">
        <v>0</v>
      </c>
      <c r="AA42" s="5">
        <f ca="1">VLOOKUP($L42,OFFSET(調整用!$C$1,0,0,COUNTA(調整用!$C:$C),MATCH(AA$1,調整用!$1:$1,0)-MATCH($L$1,調整用!$1:$1,0)+1),MATCH(AA$1,調整用!$1:$1,0)-MATCH($L$1,調整用!$1:$1,0)+1,FALSE)</f>
        <v>1</v>
      </c>
      <c r="AB42" s="2">
        <f t="shared" si="28"/>
        <v>121</v>
      </c>
      <c r="AC42" s="5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42" s="5">
        <f ca="1">VLOOKUP($AB42,OFFSET([4]characters!$A$1,0,0,COUNTA([4]characters!$A:$A),MATCH(AD$1,[4]characters!$1:$1,0)-MATCH("character_id",[4]characters!$1:$1,0)+1),MATCH(AD$1,[4]characters!$1:$1,0)-MATCH("character_id",[4]characters!$1:$1,0)+1,FALSE)</f>
        <v>3</v>
      </c>
      <c r="AE42" s="5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8">
        <v>1</v>
      </c>
      <c r="AG42" s="27">
        <f t="shared" ca="1" si="29"/>
        <v>3</v>
      </c>
      <c r="AH42" s="9">
        <v>50</v>
      </c>
      <c r="AI42" s="8">
        <v>0</v>
      </c>
      <c r="AJ42" s="8">
        <v>0</v>
      </c>
      <c r="AK42" s="8">
        <v>0</v>
      </c>
      <c r="AL42" s="8">
        <v>0</v>
      </c>
      <c r="AM42" s="8">
        <v>1</v>
      </c>
    </row>
    <row r="43" spans="1:39" ht="21" customHeight="1" x14ac:dyDescent="0.15">
      <c r="A43" s="17" t="str">
        <f t="shared" ca="1" si="25"/>
        <v>14006_1-1/122&lt;lv32&gt;s2</v>
      </c>
      <c r="B43" s="99">
        <v>14006</v>
      </c>
      <c r="C43" s="100">
        <v>1</v>
      </c>
      <c r="D43" s="100" t="str">
        <f t="shared" si="26"/>
        <v>14006_1</v>
      </c>
      <c r="E43" s="101" t="str">
        <f ca="1">VLOOKUP($B43,OFFSET([2]quests!$A$1,0,0,COUNTA([2]quests!$A:$A),MATCH(E$1,[2]quests!$1:$1,0)-MATCH($B$1,[2]quests!$1:$1,0)+1),MATCH(E$1,[2]quests!$1:$1,0)-MATCH($B$1,[2]quests!$1:$1,0)+1,FALSE)</f>
        <v>【ロック】限界突破/LINEマルチ</v>
      </c>
      <c r="F43" s="101" t="str">
        <f ca="1">VLOOKUP($D43,OFFSET([2]stages!$A$1,0,0,COUNTA([2]stages!$A:$A),MATCH(F$1,[2]stages!$2:$2,0)-MATCH($D$1,[2]stages!$2:$2,0)+1),MATCH(F$1,[2]stages!$2:$2,0)-MATCH($D$1,[2]stages!$2:$2,0)+1,FALSE)</f>
        <v>【超級】果実の楽園（ハートなし）</v>
      </c>
      <c r="G43" s="100">
        <v>1</v>
      </c>
      <c r="H43" s="16" t="str">
        <f t="shared" si="27"/>
        <v>14006_1-1</v>
      </c>
      <c r="I43" s="5">
        <f ca="1">VLOOKUP($H43,OFFSET(floors!$A$1,0,0,COUNTA(floors!$A:$A),MATCH(I$1,floors!$1:$1,0)-MATCH($H$1,floors!$1:$1,0)+1),MATCH(I$1,floors!$1:$1,0)-MATCH($H$1,floors!$1:$1,0)+1,FALSE)</f>
        <v>60</v>
      </c>
      <c r="J43" s="5">
        <f ca="1">VLOOKUP($H43,OFFSET(floors!$A$1,0,0,COUNTA(floors!$A:$A),MATCH(J$1,floors!$1:$1,0)-MATCH($H$1,floors!$1:$1,0)+1),MATCH(J$1,floors!$1:$1,0)-MATCH($H$1,floors!$1:$1,0)+1,FALSE)</f>
        <v>60</v>
      </c>
      <c r="K43" s="8" t="s">
        <v>142</v>
      </c>
      <c r="L43" s="24">
        <v>122</v>
      </c>
      <c r="M43" s="20" t="str">
        <f ca="1">VLOOKUP($L43,OFFSET([3]enemies!$A$1,0,0,COUNTA([3]enemies!$A:$A),MATCH(M$1,[3]enemies!$1:$1,0)-MATCH($L$1,[3]enemies!$1:$1,0)+1),MATCH(M$1,[3]enemies!$1:$1,0)-MATCH($L$1,[3]enemies!$1:$1,0)+1,FALSE)</f>
        <v>生命の果実</v>
      </c>
      <c r="N43" s="20" t="str">
        <f ca="1">VLOOKUP($L43,OFFSET([3]enemies!$A$1,0,0,COUNTA([3]enemies!$A:$A),MATCH(N$1,[3]enemies!$1:$1,0)-MATCH($L$1,[3]enemies!$1:$1,0)+1),MATCH(N$1,[3]enemies!$1:$1,0)-MATCH($L$1,[3]enemies!$1:$1,0)+1,FALSE)</f>
        <v>green</v>
      </c>
      <c r="O43" s="20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20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20">
        <f ca="1">VLOOKUP($L43,OFFSET([3]enemies!$A$1,0,0,COUNTA([3]enemies!$A:$A),MATCH(Q$1,[3]enemies!$1:$1,0)-MATCH($L$1,[3]enemies!$1:$1,0)+1),MATCH(Q$1,[3]enemies!$1:$1,0)-MATCH($L$1,[3]enemies!$1:$1,0)+1,FALSE)</f>
        <v>20</v>
      </c>
      <c r="R43" s="6">
        <v>32</v>
      </c>
      <c r="S43" s="5">
        <f ca="1">VLOOKUP($L43,OFFSET(調整用!$C$1,0,0,COUNTA(調整用!$C:$C),MATCH(S$1,調整用!$1:$1,0)-MATCH($L$1,調整用!$1:$1,0)+1),MATCH(S$1,調整用!$1:$1,0)-MATCH($L$1,調整用!$1:$1,0)+1,FALSE)</f>
        <v>0.5</v>
      </c>
      <c r="T43" s="5">
        <f ca="1">VLOOKUP($L43,OFFSET(調整用!$C$1,0,0,COUNTA(調整用!$C:$C),MATCH(T$1,調整用!$1:$1,0)-MATCH($L$1,調整用!$1:$1,0)+1),MATCH(T$1,調整用!$1:$1,0)-MATCH($L$1,調整用!$1:$1,0)+1,FALSE)</f>
        <v>0.7</v>
      </c>
      <c r="U43" s="5">
        <f ca="1">VLOOKUP($L43,OFFSET(調整用!$C$1,0,0,COUNTA(調整用!$C:$C),MATCH(U$1,調整用!$1:$1,0)-MATCH($L$1,調整用!$1:$1,0)+1),MATCH(U$1,調整用!$1:$1,0)-MATCH($L$1,調整用!$1:$1,0)+1,FALSE)</f>
        <v>0</v>
      </c>
      <c r="V43" s="5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3" s="5">
        <f ca="1">VLOOKUP($L43,OFFSET([3]enemies!$A$1,0,0,COUNTA([3]enemies!$A:$A),MATCH(W$1,[3]enemies!$1:$1,0)-MATCH($L$1,[3]enemies!$1:$1,0)+1),MATCH(W$1,[3]enemies!$1:$1,0)-MATCH($L$1,[3]enemies!$1:$1,0)+1,FALSE)</f>
        <v>0</v>
      </c>
      <c r="X43" s="7">
        <v>0</v>
      </c>
      <c r="Y43" s="7">
        <v>100</v>
      </c>
      <c r="Z43" s="7">
        <v>0</v>
      </c>
      <c r="AA43" s="5">
        <f ca="1">VLOOKUP($L43,OFFSET(調整用!$C$1,0,0,COUNTA(調整用!$C:$C),MATCH(AA$1,調整用!$1:$1,0)-MATCH($L$1,調整用!$1:$1,0)+1),MATCH(AA$1,調整用!$1:$1,0)-MATCH($L$1,調整用!$1:$1,0)+1,FALSE)</f>
        <v>2</v>
      </c>
      <c r="AB43" s="2">
        <f t="shared" si="28"/>
        <v>122</v>
      </c>
      <c r="AC43" s="5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43" s="5">
        <f ca="1">VLOOKUP($AB43,OFFSET([4]characters!$A$1,0,0,COUNTA([4]characters!$A:$A),MATCH(AD$1,[4]characters!$1:$1,0)-MATCH("character_id",[4]characters!$1:$1,0)+1),MATCH(AD$1,[4]characters!$1:$1,0)-MATCH("character_id",[4]characters!$1:$1,0)+1,FALSE)</f>
        <v>3</v>
      </c>
      <c r="AE43" s="5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8">
        <v>1</v>
      </c>
      <c r="AG43" s="27">
        <f t="shared" ca="1" si="29"/>
        <v>3</v>
      </c>
      <c r="AH43" s="9">
        <v>50</v>
      </c>
      <c r="AI43" s="8">
        <v>0</v>
      </c>
      <c r="AJ43" s="8">
        <v>0</v>
      </c>
      <c r="AK43" s="8">
        <v>0</v>
      </c>
      <c r="AL43" s="8">
        <v>0</v>
      </c>
      <c r="AM43" s="8">
        <v>1</v>
      </c>
    </row>
    <row r="44" spans="1:39" ht="21" customHeight="1" x14ac:dyDescent="0.15">
      <c r="A44" s="17" t="str">
        <f t="shared" ca="1" si="25"/>
        <v>14006_1-1/123&lt;lv32&gt;s3</v>
      </c>
      <c r="B44" s="99">
        <v>14006</v>
      </c>
      <c r="C44" s="100">
        <v>1</v>
      </c>
      <c r="D44" s="100" t="str">
        <f t="shared" si="26"/>
        <v>14006_1</v>
      </c>
      <c r="E44" s="101" t="str">
        <f ca="1">VLOOKUP($B44,OFFSET([2]quests!$A$1,0,0,COUNTA([2]quests!$A:$A),MATCH(E$1,[2]quests!$1:$1,0)-MATCH($B$1,[2]quests!$1:$1,0)+1),MATCH(E$1,[2]quests!$1:$1,0)-MATCH($B$1,[2]quests!$1:$1,0)+1,FALSE)</f>
        <v>【ロック】限界突破/LINEマルチ</v>
      </c>
      <c r="F44" s="101" t="str">
        <f ca="1">VLOOKUP($D44,OFFSET([2]stages!$A$1,0,0,COUNTA([2]stages!$A:$A),MATCH(F$1,[2]stages!$2:$2,0)-MATCH($D$1,[2]stages!$2:$2,0)+1),MATCH(F$1,[2]stages!$2:$2,0)-MATCH($D$1,[2]stages!$2:$2,0)+1,FALSE)</f>
        <v>【超級】果実の楽園（ハートなし）</v>
      </c>
      <c r="G44" s="100">
        <v>1</v>
      </c>
      <c r="H44" s="16" t="str">
        <f t="shared" si="27"/>
        <v>14006_1-1</v>
      </c>
      <c r="I44" s="5">
        <f ca="1">VLOOKUP($H44,OFFSET(floors!$A$1,0,0,COUNTA(floors!$A:$A),MATCH(I$1,floors!$1:$1,0)-MATCH($H$1,floors!$1:$1,0)+1),MATCH(I$1,floors!$1:$1,0)-MATCH($H$1,floors!$1:$1,0)+1,FALSE)</f>
        <v>60</v>
      </c>
      <c r="J44" s="5">
        <f ca="1">VLOOKUP($H44,OFFSET(floors!$A$1,0,0,COUNTA(floors!$A:$A),MATCH(J$1,floors!$1:$1,0)-MATCH($H$1,floors!$1:$1,0)+1),MATCH(J$1,floors!$1:$1,0)-MATCH($H$1,floors!$1:$1,0)+1,FALSE)</f>
        <v>60</v>
      </c>
      <c r="K44" s="8" t="s">
        <v>142</v>
      </c>
      <c r="L44" s="24">
        <v>123</v>
      </c>
      <c r="M44" s="20" t="str">
        <f ca="1">VLOOKUP($L44,OFFSET([3]enemies!$A$1,0,0,COUNTA([3]enemies!$A:$A),MATCH(M$1,[3]enemies!$1:$1,0)-MATCH($L$1,[3]enemies!$1:$1,0)+1),MATCH(M$1,[3]enemies!$1:$1,0)-MATCH($L$1,[3]enemies!$1:$1,0)+1,FALSE)</f>
        <v>癒しの果実</v>
      </c>
      <c r="N44" s="20" t="str">
        <f ca="1">VLOOKUP($L44,OFFSET([3]enemies!$A$1,0,0,COUNTA([3]enemies!$A:$A),MATCH(N$1,[3]enemies!$1:$1,0)-MATCH($L$1,[3]enemies!$1:$1,0)+1),MATCH(N$1,[3]enemies!$1:$1,0)-MATCH($L$1,[3]enemies!$1:$1,0)+1,FALSE)</f>
        <v>blue</v>
      </c>
      <c r="O44" s="20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20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20">
        <f ca="1">VLOOKUP($L44,OFFSET([3]enemies!$A$1,0,0,COUNTA([3]enemies!$A:$A),MATCH(Q$1,[3]enemies!$1:$1,0)-MATCH($L$1,[3]enemies!$1:$1,0)+1),MATCH(Q$1,[3]enemies!$1:$1,0)-MATCH($L$1,[3]enemies!$1:$1,0)+1,FALSE)</f>
        <v>20</v>
      </c>
      <c r="R44" s="6">
        <v>32</v>
      </c>
      <c r="S44" s="5">
        <f ca="1">VLOOKUP($L44,OFFSET(調整用!$C$1,0,0,COUNTA(調整用!$C:$C),MATCH(S$1,調整用!$1:$1,0)-MATCH($L$1,調整用!$1:$1,0)+1),MATCH(S$1,調整用!$1:$1,0)-MATCH($L$1,調整用!$1:$1,0)+1,FALSE)</f>
        <v>0.5</v>
      </c>
      <c r="T44" s="5">
        <f ca="1">VLOOKUP($L44,OFFSET(調整用!$C$1,0,0,COUNTA(調整用!$C:$C),MATCH(T$1,調整用!$1:$1,0)-MATCH($L$1,調整用!$1:$1,0)+1),MATCH(T$1,調整用!$1:$1,0)-MATCH($L$1,調整用!$1:$1,0)+1,FALSE)</f>
        <v>1</v>
      </c>
      <c r="U44" s="5">
        <f ca="1">VLOOKUP($L44,OFFSET(調整用!$C$1,0,0,COUNTA(調整用!$C:$C),MATCH(U$1,調整用!$1:$1,0)-MATCH($L$1,調整用!$1:$1,0)+1),MATCH(U$1,調整用!$1:$1,0)-MATCH($L$1,調整用!$1:$1,0)+1,FALSE)</f>
        <v>0</v>
      </c>
      <c r="V44" s="5" t="str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4" s="5">
        <f ca="1">VLOOKUP($L44,OFFSET([3]enemies!$A$1,0,0,COUNTA([3]enemies!$A:$A),MATCH(W$1,[3]enemies!$1:$1,0)-MATCH($L$1,[3]enemies!$1:$1,0)+1),MATCH(W$1,[3]enemies!$1:$1,0)-MATCH($L$1,[3]enemies!$1:$1,0)+1,FALSE)</f>
        <v>0</v>
      </c>
      <c r="X44" s="7">
        <v>0</v>
      </c>
      <c r="Y44" s="7">
        <v>100</v>
      </c>
      <c r="Z44" s="7">
        <v>0</v>
      </c>
      <c r="AA44" s="5">
        <f ca="1">VLOOKUP($L44,OFFSET(調整用!$C$1,0,0,COUNTA(調整用!$C:$C),MATCH(AA$1,調整用!$1:$1,0)-MATCH($L$1,調整用!$1:$1,0)+1),MATCH(AA$1,調整用!$1:$1,0)-MATCH($L$1,調整用!$1:$1,0)+1,FALSE)</f>
        <v>3</v>
      </c>
      <c r="AB44" s="2">
        <f t="shared" si="28"/>
        <v>123</v>
      </c>
      <c r="AC44" s="5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44" s="5">
        <f ca="1">VLOOKUP($AB44,OFFSET([4]characters!$A$1,0,0,COUNTA([4]characters!$A:$A),MATCH(AD$1,[4]characters!$1:$1,0)-MATCH("character_id",[4]characters!$1:$1,0)+1),MATCH(AD$1,[4]characters!$1:$1,0)-MATCH("character_id",[4]characters!$1:$1,0)+1,FALSE)</f>
        <v>3</v>
      </c>
      <c r="AE44" s="5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4" s="8">
        <v>1</v>
      </c>
      <c r="AG44" s="27">
        <f t="shared" ca="1" si="29"/>
        <v>3</v>
      </c>
      <c r="AH44" s="9">
        <v>50</v>
      </c>
      <c r="AI44" s="8">
        <v>0</v>
      </c>
      <c r="AJ44" s="8">
        <v>0</v>
      </c>
      <c r="AK44" s="8">
        <v>0</v>
      </c>
      <c r="AL44" s="8">
        <v>0</v>
      </c>
      <c r="AM44" s="8">
        <v>1</v>
      </c>
    </row>
    <row r="45" spans="1:39" ht="21" customHeight="1" x14ac:dyDescent="0.15">
      <c r="A45" s="17" t="str">
        <f t="shared" ca="1" si="25"/>
        <v>14006_1-1/125&lt;lv32&gt;s1</v>
      </c>
      <c r="B45" s="99">
        <v>14006</v>
      </c>
      <c r="C45" s="100">
        <v>1</v>
      </c>
      <c r="D45" s="100" t="str">
        <f t="shared" si="26"/>
        <v>14006_1</v>
      </c>
      <c r="E45" s="101" t="str">
        <f ca="1">VLOOKUP($B45,OFFSET([2]quests!$A$1,0,0,COUNTA([2]quests!$A:$A),MATCH(E$1,[2]quests!$1:$1,0)-MATCH($B$1,[2]quests!$1:$1,0)+1),MATCH(E$1,[2]quests!$1:$1,0)-MATCH($B$1,[2]quests!$1:$1,0)+1,FALSE)</f>
        <v>【ロック】限界突破/LINEマルチ</v>
      </c>
      <c r="F45" s="101" t="str">
        <f ca="1">VLOOKUP($D45,OFFSET([2]stages!$A$1,0,0,COUNTA([2]stages!$A:$A),MATCH(F$1,[2]stages!$2:$2,0)-MATCH($D$1,[2]stages!$2:$2,0)+1),MATCH(F$1,[2]stages!$2:$2,0)-MATCH($D$1,[2]stages!$2:$2,0)+1,FALSE)</f>
        <v>【超級】果実の楽園（ハートなし）</v>
      </c>
      <c r="G45" s="100">
        <v>1</v>
      </c>
      <c r="H45" s="16" t="str">
        <f t="shared" si="27"/>
        <v>14006_1-1</v>
      </c>
      <c r="I45" s="5">
        <f ca="1">VLOOKUP($H45,OFFSET(floors!$A$1,0,0,COUNTA(floors!$A:$A),MATCH(I$1,floors!$1:$1,0)-MATCH($H$1,floors!$1:$1,0)+1),MATCH(I$1,floors!$1:$1,0)-MATCH($H$1,floors!$1:$1,0)+1,FALSE)</f>
        <v>60</v>
      </c>
      <c r="J45" s="5">
        <f ca="1">VLOOKUP($H45,OFFSET(floors!$A$1,0,0,COUNTA(floors!$A:$A),MATCH(J$1,floors!$1:$1,0)-MATCH($H$1,floors!$1:$1,0)+1),MATCH(J$1,floors!$1:$1,0)-MATCH($H$1,floors!$1:$1,0)+1,FALSE)</f>
        <v>60</v>
      </c>
      <c r="K45" s="8" t="s">
        <v>142</v>
      </c>
      <c r="L45" s="24">
        <v>125</v>
      </c>
      <c r="M45" s="20" t="str">
        <f ca="1">VLOOKUP($L45,OFFSET([3]enemies!$A$1,0,0,COUNTA([3]enemies!$A:$A),MATCH(M$1,[3]enemies!$1:$1,0)-MATCH($L$1,[3]enemies!$1:$1,0)+1),MATCH(M$1,[3]enemies!$1:$1,0)-MATCH($L$1,[3]enemies!$1:$1,0)+1,FALSE)</f>
        <v>秘術の果実</v>
      </c>
      <c r="N45" s="20" t="str">
        <f ca="1">VLOOKUP($L45,OFFSET([3]enemies!$A$1,0,0,COUNTA([3]enemies!$A:$A),MATCH(N$1,[3]enemies!$1:$1,0)-MATCH($L$1,[3]enemies!$1:$1,0)+1),MATCH(N$1,[3]enemies!$1:$1,0)-MATCH($L$1,[3]enemies!$1:$1,0)+1,FALSE)</f>
        <v>blue</v>
      </c>
      <c r="O45" s="20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20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20">
        <f ca="1">VLOOKUP($L45,OFFSET([3]enemies!$A$1,0,0,COUNTA([3]enemies!$A:$A),MATCH(Q$1,[3]enemies!$1:$1,0)-MATCH($L$1,[3]enemies!$1:$1,0)+1),MATCH(Q$1,[3]enemies!$1:$1,0)-MATCH($L$1,[3]enemies!$1:$1,0)+1,FALSE)</f>
        <v>20</v>
      </c>
      <c r="R45" s="6">
        <v>32</v>
      </c>
      <c r="S45" s="5">
        <f ca="1">VLOOKUP($L45,OFFSET(調整用!$C$1,0,0,COUNTA(調整用!$C:$C),MATCH(S$1,調整用!$1:$1,0)-MATCH($L$1,調整用!$1:$1,0)+1),MATCH(S$1,調整用!$1:$1,0)-MATCH($L$1,調整用!$1:$1,0)+1,FALSE)</f>
        <v>0.4</v>
      </c>
      <c r="T45" s="5">
        <f ca="1">VLOOKUP($L45,OFFSET(調整用!$C$1,0,0,COUNTA(調整用!$C:$C),MATCH(T$1,調整用!$1:$1,0)-MATCH($L$1,調整用!$1:$1,0)+1),MATCH(T$1,調整用!$1:$1,0)-MATCH($L$1,調整用!$1:$1,0)+1,FALSE)</f>
        <v>0.8</v>
      </c>
      <c r="U45" s="5">
        <f ca="1">VLOOKUP($L45,OFFSET(調整用!$C$1,0,0,COUNTA(調整用!$C:$C),MATCH(U$1,調整用!$1:$1,0)-MATCH($L$1,調整用!$1:$1,0)+1),MATCH(U$1,調整用!$1:$1,0)-MATCH($L$1,調整用!$1:$1,0)+1,FALSE)</f>
        <v>0</v>
      </c>
      <c r="V45" s="5" t="str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5" s="5">
        <f ca="1">VLOOKUP($L45,OFFSET([3]enemies!$A$1,0,0,COUNTA([3]enemies!$A:$A),MATCH(W$1,[3]enemies!$1:$1,0)-MATCH($L$1,[3]enemies!$1:$1,0)+1),MATCH(W$1,[3]enemies!$1:$1,0)-MATCH($L$1,[3]enemies!$1:$1,0)+1,FALSE)</f>
        <v>0</v>
      </c>
      <c r="X45" s="7">
        <v>1</v>
      </c>
      <c r="Y45" s="7">
        <v>0</v>
      </c>
      <c r="Z45" s="7">
        <v>1</v>
      </c>
      <c r="AA45" s="5">
        <f ca="1">VLOOKUP($L45,OFFSET(調整用!$C$1,0,0,COUNTA(調整用!$C:$C),MATCH(AA$1,調整用!$1:$1,0)-MATCH($L$1,調整用!$1:$1,0)+1),MATCH(AA$1,調整用!$1:$1,0)-MATCH($L$1,調整用!$1:$1,0)+1,FALSE)</f>
        <v>1</v>
      </c>
      <c r="AB45" s="2">
        <f t="shared" si="28"/>
        <v>125</v>
      </c>
      <c r="AC45" s="5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秘術の果実</v>
      </c>
      <c r="AD45" s="5">
        <f ca="1">VLOOKUP($AB45,OFFSET([4]characters!$A$1,0,0,COUNTA([4]characters!$A:$A),MATCH(AD$1,[4]characters!$1:$1,0)-MATCH("character_id",[4]characters!$1:$1,0)+1),MATCH(AD$1,[4]characters!$1:$1,0)-MATCH("character_id",[4]characters!$1:$1,0)+1,FALSE)</f>
        <v>3</v>
      </c>
      <c r="AE45" s="5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5" s="8">
        <v>1</v>
      </c>
      <c r="AG45" s="27">
        <f t="shared" ca="1" si="29"/>
        <v>3</v>
      </c>
      <c r="AH45" s="9">
        <v>100</v>
      </c>
      <c r="AI45" s="8">
        <v>0</v>
      </c>
      <c r="AJ45" s="8">
        <v>0</v>
      </c>
      <c r="AK45" s="8">
        <v>0</v>
      </c>
      <c r="AL45" s="8">
        <v>0</v>
      </c>
      <c r="AM45" s="8">
        <v>1</v>
      </c>
    </row>
    <row r="46" spans="1:39" ht="21" customHeight="1" x14ac:dyDescent="0.15">
      <c r="A46" s="17" t="str">
        <f t="shared" ca="1" si="25"/>
        <v>14006_1-2/122&lt;lv32&gt;s2</v>
      </c>
      <c r="B46" s="99">
        <v>14006</v>
      </c>
      <c r="C46" s="100">
        <v>1</v>
      </c>
      <c r="D46" s="100" t="str">
        <f t="shared" si="26"/>
        <v>14006_1</v>
      </c>
      <c r="E46" s="101" t="str">
        <f ca="1">VLOOKUP($B46,OFFSET([2]quests!$A$1,0,0,COUNTA([2]quests!$A:$A),MATCH(E$1,[2]quests!$1:$1,0)-MATCH($B$1,[2]quests!$1:$1,0)+1),MATCH(E$1,[2]quests!$1:$1,0)-MATCH($B$1,[2]quests!$1:$1,0)+1,FALSE)</f>
        <v>【ロック】限界突破/LINEマルチ</v>
      </c>
      <c r="F46" s="101" t="str">
        <f ca="1">VLOOKUP($D46,OFFSET([2]stages!$A$1,0,0,COUNTA([2]stages!$A:$A),MATCH(F$1,[2]stages!$2:$2,0)-MATCH($D$1,[2]stages!$2:$2,0)+1),MATCH(F$1,[2]stages!$2:$2,0)-MATCH($D$1,[2]stages!$2:$2,0)+1,FALSE)</f>
        <v>【超級】果実の楽園（ハートなし）</v>
      </c>
      <c r="G46" s="100">
        <v>2</v>
      </c>
      <c r="H46" s="16" t="str">
        <f t="shared" si="27"/>
        <v>14006_1-2</v>
      </c>
      <c r="I46" s="5">
        <f ca="1">VLOOKUP($H46,OFFSET(floors!$A$1,0,0,COUNTA(floors!$A:$A),MATCH(I$1,floors!$1:$1,0)-MATCH($H$1,floors!$1:$1,0)+1),MATCH(I$1,floors!$1:$1,0)-MATCH($H$1,floors!$1:$1,0)+1,FALSE)</f>
        <v>59</v>
      </c>
      <c r="J46" s="5">
        <f ca="1">VLOOKUP($H46,OFFSET(floors!$A$1,0,0,COUNTA(floors!$A:$A),MATCH(J$1,floors!$1:$1,0)-MATCH($H$1,floors!$1:$1,0)+1),MATCH(J$1,floors!$1:$1,0)-MATCH($H$1,floors!$1:$1,0)+1,FALSE)</f>
        <v>60</v>
      </c>
      <c r="K46" s="8" t="s">
        <v>142</v>
      </c>
      <c r="L46" s="24">
        <v>122</v>
      </c>
      <c r="M46" s="20" t="str">
        <f ca="1">VLOOKUP($L46,OFFSET([3]enemies!$A$1,0,0,COUNTA([3]enemies!$A:$A),MATCH(M$1,[3]enemies!$1:$1,0)-MATCH($L$1,[3]enemies!$1:$1,0)+1),MATCH(M$1,[3]enemies!$1:$1,0)-MATCH($L$1,[3]enemies!$1:$1,0)+1,FALSE)</f>
        <v>生命の果実</v>
      </c>
      <c r="N46" s="20" t="str">
        <f ca="1">VLOOKUP($L46,OFFSET([3]enemies!$A$1,0,0,COUNTA([3]enemies!$A:$A),MATCH(N$1,[3]enemies!$1:$1,0)-MATCH($L$1,[3]enemies!$1:$1,0)+1),MATCH(N$1,[3]enemies!$1:$1,0)-MATCH($L$1,[3]enemies!$1:$1,0)+1,FALSE)</f>
        <v>green</v>
      </c>
      <c r="O46" s="20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20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20">
        <f ca="1">VLOOKUP($L46,OFFSET([3]enemies!$A$1,0,0,COUNTA([3]enemies!$A:$A),MATCH(Q$1,[3]enemies!$1:$1,0)-MATCH($L$1,[3]enemies!$1:$1,0)+1),MATCH(Q$1,[3]enemies!$1:$1,0)-MATCH($L$1,[3]enemies!$1:$1,0)+1,FALSE)</f>
        <v>20</v>
      </c>
      <c r="R46" s="6">
        <v>32</v>
      </c>
      <c r="S46" s="5">
        <f ca="1">VLOOKUP($L46,OFFSET(調整用!$C$1,0,0,COUNTA(調整用!$C:$C),MATCH(S$1,調整用!$1:$1,0)-MATCH($L$1,調整用!$1:$1,0)+1),MATCH(S$1,調整用!$1:$1,0)-MATCH($L$1,調整用!$1:$1,0)+1,FALSE)</f>
        <v>0.5</v>
      </c>
      <c r="T46" s="5">
        <f ca="1">VLOOKUP($L46,OFFSET(調整用!$C$1,0,0,COUNTA(調整用!$C:$C),MATCH(T$1,調整用!$1:$1,0)-MATCH($L$1,調整用!$1:$1,0)+1),MATCH(T$1,調整用!$1:$1,0)-MATCH($L$1,調整用!$1:$1,0)+1,FALSE)</f>
        <v>0.7</v>
      </c>
      <c r="U46" s="5">
        <f ca="1">VLOOKUP($L46,OFFSET(調整用!$C$1,0,0,COUNTA(調整用!$C:$C),MATCH(U$1,調整用!$1:$1,0)-MATCH($L$1,調整用!$1:$1,0)+1),MATCH(U$1,調整用!$1:$1,0)-MATCH($L$1,調整用!$1:$1,0)+1,FALSE)</f>
        <v>0</v>
      </c>
      <c r="V46" s="5" t="str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6" s="5">
        <f ca="1">VLOOKUP($L46,OFFSET([3]enemies!$A$1,0,0,COUNTA([3]enemies!$A:$A),MATCH(W$1,[3]enemies!$1:$1,0)-MATCH($L$1,[3]enemies!$1:$1,0)+1),MATCH(W$1,[3]enemies!$1:$1,0)-MATCH($L$1,[3]enemies!$1:$1,0)+1,FALSE)</f>
        <v>0</v>
      </c>
      <c r="X46" s="7">
        <v>0</v>
      </c>
      <c r="Y46" s="7">
        <v>100</v>
      </c>
      <c r="Z46" s="7">
        <v>0</v>
      </c>
      <c r="AA46" s="5">
        <f ca="1">VLOOKUP($L46,OFFSET(調整用!$C$1,0,0,COUNTA(調整用!$C:$C),MATCH(AA$1,調整用!$1:$1,0)-MATCH($L$1,調整用!$1:$1,0)+1),MATCH(AA$1,調整用!$1:$1,0)-MATCH($L$1,調整用!$1:$1,0)+1,FALSE)</f>
        <v>2</v>
      </c>
      <c r="AB46" s="2">
        <f t="shared" si="28"/>
        <v>122</v>
      </c>
      <c r="AC46" s="5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生命の果実</v>
      </c>
      <c r="AD46" s="5">
        <f ca="1">VLOOKUP($AB46,OFFSET([4]characters!$A$1,0,0,COUNTA([4]characters!$A:$A),MATCH(AD$1,[4]characters!$1:$1,0)-MATCH("character_id",[4]characters!$1:$1,0)+1),MATCH(AD$1,[4]characters!$1:$1,0)-MATCH("character_id",[4]characters!$1:$1,0)+1,FALSE)</f>
        <v>3</v>
      </c>
      <c r="AE46" s="5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6" s="8">
        <v>1</v>
      </c>
      <c r="AG46" s="27">
        <f t="shared" ca="1" si="29"/>
        <v>3</v>
      </c>
      <c r="AH46" s="9">
        <v>30</v>
      </c>
      <c r="AI46" s="8">
        <v>0</v>
      </c>
      <c r="AJ46" s="8">
        <v>0</v>
      </c>
      <c r="AK46" s="8">
        <v>0</v>
      </c>
      <c r="AL46" s="8">
        <v>0</v>
      </c>
      <c r="AM46" s="8">
        <v>1</v>
      </c>
    </row>
    <row r="47" spans="1:39" ht="21" customHeight="1" x14ac:dyDescent="0.15">
      <c r="A47" s="17" t="str">
        <f t="shared" ref="A47:A48" ca="1" si="30">B47&amp;"_"&amp;C47&amp;"-"&amp;G47&amp;"/"&amp;L47&amp;"&lt;lv"&amp;R47&amp;"&gt;s"&amp;AA47</f>
        <v>14006_1-2/608&lt;lv32&gt;s2</v>
      </c>
      <c r="B47" s="99">
        <v>14006</v>
      </c>
      <c r="C47" s="100">
        <v>1</v>
      </c>
      <c r="D47" s="100" t="str">
        <f t="shared" ref="D47:D48" si="31">B47&amp;"_"&amp;C47</f>
        <v>14006_1</v>
      </c>
      <c r="E47" s="101" t="str">
        <f ca="1">VLOOKUP($B47,OFFSET([2]quests!$A$1,0,0,COUNTA([2]quests!$A:$A),MATCH(E$1,[2]quests!$1:$1,0)-MATCH($B$1,[2]quests!$1:$1,0)+1),MATCH(E$1,[2]quests!$1:$1,0)-MATCH($B$1,[2]quests!$1:$1,0)+1,FALSE)</f>
        <v>【ロック】限界突破/LINEマルチ</v>
      </c>
      <c r="F47" s="101" t="str">
        <f ca="1">VLOOKUP($D47,OFFSET([2]stages!$A$1,0,0,COUNTA([2]stages!$A:$A),MATCH(F$1,[2]stages!$2:$2,0)-MATCH($D$1,[2]stages!$2:$2,0)+1),MATCH(F$1,[2]stages!$2:$2,0)-MATCH($D$1,[2]stages!$2:$2,0)+1,FALSE)</f>
        <v>【超級】果実の楽園（ハートなし）</v>
      </c>
      <c r="G47" s="100">
        <v>2</v>
      </c>
      <c r="H47" s="16" t="str">
        <f t="shared" ref="H47:H48" si="32">B47&amp;"_"&amp;C47&amp;"-"&amp;G47</f>
        <v>14006_1-2</v>
      </c>
      <c r="I47" s="5">
        <f ca="1">VLOOKUP($H47,OFFSET(floors!$A$1,0,0,COUNTA(floors!$A:$A),MATCH(I$1,floors!$1:$1,0)-MATCH($H$1,floors!$1:$1,0)+1),MATCH(I$1,floors!$1:$1,0)-MATCH($H$1,floors!$1:$1,0)+1,FALSE)</f>
        <v>59</v>
      </c>
      <c r="J47" s="5">
        <f ca="1">VLOOKUP($H47,OFFSET(floors!$A$1,0,0,COUNTA(floors!$A:$A),MATCH(J$1,floors!$1:$1,0)-MATCH($H$1,floors!$1:$1,0)+1),MATCH(J$1,floors!$1:$1,0)-MATCH($H$1,floors!$1:$1,0)+1,FALSE)</f>
        <v>60</v>
      </c>
      <c r="K47" s="8" t="s">
        <v>142</v>
      </c>
      <c r="L47" s="24">
        <v>608</v>
      </c>
      <c r="M47" s="20" t="str">
        <f ca="1">VLOOKUP($L47,OFFSET([3]enemies!$A$1,0,0,COUNTA([3]enemies!$A:$A),MATCH(M$1,[3]enemies!$1:$1,0)-MATCH($L$1,[3]enemies!$1:$1,0)+1),MATCH(M$1,[3]enemies!$1:$1,0)-MATCH($L$1,[3]enemies!$1:$1,0)+1,FALSE)</f>
        <v>メガ生命の果実</v>
      </c>
      <c r="N47" s="20" t="str">
        <f ca="1">VLOOKUP($L47,OFFSET([3]enemies!$A$1,0,0,COUNTA([3]enemies!$A:$A),MATCH(N$1,[3]enemies!$1:$1,0)-MATCH($L$1,[3]enemies!$1:$1,0)+1),MATCH(N$1,[3]enemies!$1:$1,0)-MATCH($L$1,[3]enemies!$1:$1,0)+1,FALSE)</f>
        <v>green</v>
      </c>
      <c r="O47" s="20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20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20">
        <f ca="1">VLOOKUP($L47,OFFSET([3]enemies!$A$1,0,0,COUNTA([3]enemies!$A:$A),MATCH(Q$1,[3]enemies!$1:$1,0)-MATCH($L$1,[3]enemies!$1:$1,0)+1),MATCH(Q$1,[3]enemies!$1:$1,0)-MATCH($L$1,[3]enemies!$1:$1,0)+1,FALSE)</f>
        <v>20</v>
      </c>
      <c r="R47" s="6">
        <v>32</v>
      </c>
      <c r="S47" s="5">
        <f ca="1">VLOOKUP($L47,OFFSET(調整用!$C$1,0,0,COUNTA(調整用!$C:$C),MATCH(S$1,調整用!$1:$1,0)-MATCH($L$1,調整用!$1:$1,0)+1),MATCH(S$1,調整用!$1:$1,0)-MATCH($L$1,調整用!$1:$1,0)+1,FALSE)</f>
        <v>1</v>
      </c>
      <c r="T47" s="5">
        <f ca="1">VLOOKUP($L47,OFFSET(調整用!$C$1,0,0,COUNTA(調整用!$C:$C),MATCH(T$1,調整用!$1:$1,0)-MATCH($L$1,調整用!$1:$1,0)+1),MATCH(T$1,調整用!$1:$1,0)-MATCH($L$1,調整用!$1:$1,0)+1,FALSE)</f>
        <v>0.9</v>
      </c>
      <c r="U47" s="5">
        <f ca="1">VLOOKUP($L47,OFFSET(調整用!$C$1,0,0,COUNTA(調整用!$C:$C),MATCH(U$1,調整用!$1:$1,0)-MATCH($L$1,調整用!$1:$1,0)+1),MATCH(U$1,調整用!$1:$1,0)-MATCH($L$1,調整用!$1:$1,0)+1,FALSE)</f>
        <v>0</v>
      </c>
      <c r="V47" s="5" t="str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7" s="5">
        <f ca="1">VLOOKUP($L47,OFFSET([3]enemies!$A$1,0,0,COUNTA([3]enemies!$A:$A),MATCH(W$1,[3]enemies!$1:$1,0)-MATCH($L$1,[3]enemies!$1:$1,0)+1),MATCH(W$1,[3]enemies!$1:$1,0)-MATCH($L$1,[3]enemies!$1:$1,0)+1,FALSE)</f>
        <v>0</v>
      </c>
      <c r="X47" s="7">
        <v>0</v>
      </c>
      <c r="Y47" s="7">
        <v>90</v>
      </c>
      <c r="Z47" s="7">
        <v>1</v>
      </c>
      <c r="AA47" s="5">
        <f ca="1">VLOOKUP($L47,OFFSET(調整用!$C$1,0,0,COUNTA(調整用!$C:$C),MATCH(AA$1,調整用!$1:$1,0)-MATCH($L$1,調整用!$1:$1,0)+1),MATCH(AA$1,調整用!$1:$1,0)-MATCH($L$1,調整用!$1:$1,0)+1,FALSE)</f>
        <v>2</v>
      </c>
      <c r="AB47" s="2">
        <f t="shared" ref="AB47:AB48" si="33">L47</f>
        <v>608</v>
      </c>
      <c r="AC47" s="5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47" s="5">
        <f ca="1">VLOOKUP($AB47,OFFSET([4]characters!$A$1,0,0,COUNTA([4]characters!$A:$A),MATCH(AD$1,[4]characters!$1:$1,0)-MATCH("character_id",[4]characters!$1:$1,0)+1),MATCH(AD$1,[4]characters!$1:$1,0)-MATCH("character_id",[4]characters!$1:$1,0)+1,FALSE)</f>
        <v>4</v>
      </c>
      <c r="AE47" s="5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7" s="8">
        <v>1</v>
      </c>
      <c r="AG47" s="27">
        <f t="shared" ref="AG47:AG48" ca="1" si="34">AD47</f>
        <v>4</v>
      </c>
      <c r="AH47" s="9">
        <v>100</v>
      </c>
      <c r="AI47" s="8">
        <v>0</v>
      </c>
      <c r="AJ47" s="8">
        <v>0</v>
      </c>
      <c r="AK47" s="8">
        <v>0</v>
      </c>
      <c r="AL47" s="8">
        <v>0</v>
      </c>
      <c r="AM47" s="8">
        <v>1</v>
      </c>
    </row>
    <row r="48" spans="1:39" ht="21" customHeight="1" x14ac:dyDescent="0.15">
      <c r="A48" s="17" t="str">
        <f t="shared" ca="1" si="30"/>
        <v>14006_1-2/612&lt;lv32&gt;s2</v>
      </c>
      <c r="B48" s="99">
        <v>14006</v>
      </c>
      <c r="C48" s="100">
        <v>1</v>
      </c>
      <c r="D48" s="100" t="str">
        <f t="shared" si="31"/>
        <v>14006_1</v>
      </c>
      <c r="E48" s="101" t="str">
        <f ca="1">VLOOKUP($B48,OFFSET([2]quests!$A$1,0,0,COUNTA([2]quests!$A:$A),MATCH(E$1,[2]quests!$1:$1,0)-MATCH($B$1,[2]quests!$1:$1,0)+1),MATCH(E$1,[2]quests!$1:$1,0)-MATCH($B$1,[2]quests!$1:$1,0)+1,FALSE)</f>
        <v>【ロック】限界突破/LINEマルチ</v>
      </c>
      <c r="F48" s="101" t="str">
        <f ca="1">VLOOKUP($D48,OFFSET([2]stages!$A$1,0,0,COUNTA([2]stages!$A:$A),MATCH(F$1,[2]stages!$2:$2,0)-MATCH($D$1,[2]stages!$2:$2,0)+1),MATCH(F$1,[2]stages!$2:$2,0)-MATCH($D$1,[2]stages!$2:$2,0)+1,FALSE)</f>
        <v>【超級】果実の楽園（ハートなし）</v>
      </c>
      <c r="G48" s="100">
        <v>2</v>
      </c>
      <c r="H48" s="16" t="str">
        <f t="shared" si="32"/>
        <v>14006_1-2</v>
      </c>
      <c r="I48" s="5">
        <f ca="1">VLOOKUP($H48,OFFSET(floors!$A$1,0,0,COUNTA(floors!$A:$A),MATCH(I$1,floors!$1:$1,0)-MATCH($H$1,floors!$1:$1,0)+1),MATCH(I$1,floors!$1:$1,0)-MATCH($H$1,floors!$1:$1,0)+1,FALSE)</f>
        <v>59</v>
      </c>
      <c r="J48" s="5">
        <f ca="1">VLOOKUP($H48,OFFSET(floors!$A$1,0,0,COUNTA(floors!$A:$A),MATCH(J$1,floors!$1:$1,0)-MATCH($H$1,floors!$1:$1,0)+1),MATCH(J$1,floors!$1:$1,0)-MATCH($H$1,floors!$1:$1,0)+1,FALSE)</f>
        <v>60</v>
      </c>
      <c r="K48" s="8" t="s">
        <v>142</v>
      </c>
      <c r="L48" s="24">
        <v>612</v>
      </c>
      <c r="M48" s="20" t="str">
        <f ca="1">VLOOKUP($L48,OFFSET([3]enemies!$A$1,0,0,COUNTA([3]enemies!$A:$A),MATCH(M$1,[3]enemies!$1:$1,0)-MATCH($L$1,[3]enemies!$1:$1,0)+1),MATCH(M$1,[3]enemies!$1:$1,0)-MATCH($L$1,[3]enemies!$1:$1,0)+1,FALSE)</f>
        <v>ギガ生命の果実</v>
      </c>
      <c r="N48" s="20" t="str">
        <f ca="1">VLOOKUP($L48,OFFSET([3]enemies!$A$1,0,0,COUNTA([3]enemies!$A:$A),MATCH(N$1,[3]enemies!$1:$1,0)-MATCH($L$1,[3]enemies!$1:$1,0)+1),MATCH(N$1,[3]enemies!$1:$1,0)-MATCH($L$1,[3]enemies!$1:$1,0)+1,FALSE)</f>
        <v>green</v>
      </c>
      <c r="O48" s="20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20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20">
        <f ca="1">VLOOKUP($L48,OFFSET([3]enemies!$A$1,0,0,COUNTA([3]enemies!$A:$A),MATCH(Q$1,[3]enemies!$1:$1,0)-MATCH($L$1,[3]enemies!$1:$1,0)+1),MATCH(Q$1,[3]enemies!$1:$1,0)-MATCH($L$1,[3]enemies!$1:$1,0)+1,FALSE)</f>
        <v>20</v>
      </c>
      <c r="R48" s="6">
        <v>32</v>
      </c>
      <c r="S48" s="5">
        <f ca="1">VLOOKUP($L48,OFFSET(調整用!$C$1,0,0,COUNTA(調整用!$C:$C),MATCH(S$1,調整用!$1:$1,0)-MATCH($L$1,調整用!$1:$1,0)+1),MATCH(S$1,調整用!$1:$1,0)-MATCH($L$1,調整用!$1:$1,0)+1,FALSE)</f>
        <v>1.5</v>
      </c>
      <c r="T48" s="5">
        <f ca="1">VLOOKUP($L48,OFFSET(調整用!$C$1,0,0,COUNTA(調整用!$C:$C),MATCH(T$1,調整用!$1:$1,0)-MATCH($L$1,調整用!$1:$1,0)+1),MATCH(T$1,調整用!$1:$1,0)-MATCH($L$1,調整用!$1:$1,0)+1,FALSE)</f>
        <v>1</v>
      </c>
      <c r="U48" s="5">
        <f ca="1">VLOOKUP($L48,OFFSET(調整用!$C$1,0,0,COUNTA(調整用!$C:$C),MATCH(U$1,調整用!$1:$1,0)-MATCH($L$1,調整用!$1:$1,0)+1),MATCH(U$1,調整用!$1:$1,0)-MATCH($L$1,調整用!$1:$1,0)+1,FALSE)</f>
        <v>0</v>
      </c>
      <c r="V48" s="5" t="str">
        <f ca="1">VLOOKUP($W48,OFFSET(enemy_skill_sets!$B$1,0,0,COUNTA(enemy_skill_sets!$B:$B),MATCH(M$1,enemy_skill_sets!$1:$1,0)-MATCH($W$1,enemy_skill_sets!$1:$1,0)+2),MATCH(M$1,enemy_skill_sets!$1:$1,0)-MATCH($W$1,enemy_skill_sets!$1:$1,0)+2,FALSE)</f>
        <v>ギガ体力の果実が あらわれた！</v>
      </c>
      <c r="W48" s="57">
        <v>14002612</v>
      </c>
      <c r="X48" s="7">
        <v>0</v>
      </c>
      <c r="Y48" s="7">
        <v>10</v>
      </c>
      <c r="Z48" s="7">
        <v>1</v>
      </c>
      <c r="AA48" s="5">
        <f ca="1">VLOOKUP($L48,OFFSET(調整用!$C$1,0,0,COUNTA(調整用!$C:$C),MATCH(AA$1,調整用!$1:$1,0)-MATCH($L$1,調整用!$1:$1,0)+1),MATCH(AA$1,調整用!$1:$1,0)-MATCH($L$1,調整用!$1:$1,0)+1,FALSE)</f>
        <v>2</v>
      </c>
      <c r="AB48" s="2">
        <f t="shared" si="33"/>
        <v>612</v>
      </c>
      <c r="AC48" s="5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ギガ生命の果実</v>
      </c>
      <c r="AD48" s="5">
        <f ca="1">VLOOKUP($AB48,OFFSET([4]characters!$A$1,0,0,COUNTA([4]characters!$A:$A),MATCH(AD$1,[4]characters!$1:$1,0)-MATCH("character_id",[4]characters!$1:$1,0)+1),MATCH(AD$1,[4]characters!$1:$1,0)-MATCH("character_id",[4]characters!$1:$1,0)+1,FALSE)</f>
        <v>5</v>
      </c>
      <c r="AE48" s="5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8">
        <v>1</v>
      </c>
      <c r="AG48" s="27">
        <f t="shared" ca="1" si="34"/>
        <v>5</v>
      </c>
      <c r="AH48" s="9">
        <v>100</v>
      </c>
      <c r="AI48" s="8">
        <v>0</v>
      </c>
      <c r="AJ48" s="8">
        <v>0</v>
      </c>
      <c r="AK48" s="8">
        <v>0</v>
      </c>
      <c r="AL48" s="8">
        <v>0</v>
      </c>
      <c r="AM48" s="8">
        <v>1</v>
      </c>
    </row>
    <row r="49" spans="1:39" ht="21" customHeight="1" x14ac:dyDescent="0.15">
      <c r="A49" s="17" t="str">
        <f ca="1">B49&amp;"_"&amp;C49&amp;"-"&amp;G49&amp;"/"&amp;L49&amp;"&lt;lv"&amp;R49&amp;"&gt;s"&amp;AA49</f>
        <v>14006_1-3/123&lt;lv32&gt;s3</v>
      </c>
      <c r="B49" s="99">
        <v>14006</v>
      </c>
      <c r="C49" s="100">
        <v>1</v>
      </c>
      <c r="D49" s="100" t="str">
        <f>B49&amp;"_"&amp;C49</f>
        <v>14006_1</v>
      </c>
      <c r="E49" s="101" t="str">
        <f ca="1">VLOOKUP($B49,OFFSET([2]quests!$A$1,0,0,COUNTA([2]quests!$A:$A),MATCH(E$1,[2]quests!$1:$1,0)-MATCH($B$1,[2]quests!$1:$1,0)+1),MATCH(E$1,[2]quests!$1:$1,0)-MATCH($B$1,[2]quests!$1:$1,0)+1,FALSE)</f>
        <v>【ロック】限界突破/LINEマルチ</v>
      </c>
      <c r="F49" s="101" t="str">
        <f ca="1">VLOOKUP($D49,OFFSET([2]stages!$A$1,0,0,COUNTA([2]stages!$A:$A),MATCH(F$1,[2]stages!$2:$2,0)-MATCH($D$1,[2]stages!$2:$2,0)+1),MATCH(F$1,[2]stages!$2:$2,0)-MATCH($D$1,[2]stages!$2:$2,0)+1,FALSE)</f>
        <v>【超級】果実の楽園（ハートなし）</v>
      </c>
      <c r="G49" s="100">
        <v>3</v>
      </c>
      <c r="H49" s="16" t="str">
        <f>B49&amp;"_"&amp;C49&amp;"-"&amp;G49</f>
        <v>14006_1-3</v>
      </c>
      <c r="I49" s="5">
        <f ca="1">VLOOKUP($H49,OFFSET(floors!$A$1,0,0,COUNTA(floors!$A:$A),MATCH(I$1,floors!$1:$1,0)-MATCH($H$1,floors!$1:$1,0)+1),MATCH(I$1,floors!$1:$1,0)-MATCH($H$1,floors!$1:$1,0)+1,FALSE)</f>
        <v>59</v>
      </c>
      <c r="J49" s="5">
        <f ca="1">VLOOKUP($H49,OFFSET(floors!$A$1,0,0,COUNTA(floors!$A:$A),MATCH(J$1,floors!$1:$1,0)-MATCH($H$1,floors!$1:$1,0)+1),MATCH(J$1,floors!$1:$1,0)-MATCH($H$1,floors!$1:$1,0)+1,FALSE)</f>
        <v>60</v>
      </c>
      <c r="K49" s="8" t="s">
        <v>142</v>
      </c>
      <c r="L49" s="24">
        <v>123</v>
      </c>
      <c r="M49" s="20" t="str">
        <f ca="1">VLOOKUP($L49,OFFSET([3]enemies!$A$1,0,0,COUNTA([3]enemies!$A:$A),MATCH(M$1,[3]enemies!$1:$1,0)-MATCH($L$1,[3]enemies!$1:$1,0)+1),MATCH(M$1,[3]enemies!$1:$1,0)-MATCH($L$1,[3]enemies!$1:$1,0)+1,FALSE)</f>
        <v>癒しの果実</v>
      </c>
      <c r="N49" s="20" t="str">
        <f ca="1">VLOOKUP($L49,OFFSET([3]enemies!$A$1,0,0,COUNTA([3]enemies!$A:$A),MATCH(N$1,[3]enemies!$1:$1,0)-MATCH($L$1,[3]enemies!$1:$1,0)+1),MATCH(N$1,[3]enemies!$1:$1,0)-MATCH($L$1,[3]enemies!$1:$1,0)+1,FALSE)</f>
        <v>blue</v>
      </c>
      <c r="O49" s="20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20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20">
        <f ca="1">VLOOKUP($L49,OFFSET([3]enemies!$A$1,0,0,COUNTA([3]enemies!$A:$A),MATCH(Q$1,[3]enemies!$1:$1,0)-MATCH($L$1,[3]enemies!$1:$1,0)+1),MATCH(Q$1,[3]enemies!$1:$1,0)-MATCH($L$1,[3]enemies!$1:$1,0)+1,FALSE)</f>
        <v>20</v>
      </c>
      <c r="R49" s="6">
        <v>32</v>
      </c>
      <c r="S49" s="5">
        <f ca="1">VLOOKUP($L49,OFFSET(調整用!$C$1,0,0,COUNTA(調整用!$C:$C),MATCH(S$1,調整用!$1:$1,0)-MATCH($L$1,調整用!$1:$1,0)+1),MATCH(S$1,調整用!$1:$1,0)-MATCH($L$1,調整用!$1:$1,0)+1,FALSE)</f>
        <v>0.5</v>
      </c>
      <c r="T49" s="5">
        <f ca="1">VLOOKUP($L49,OFFSET(調整用!$C$1,0,0,COUNTA(調整用!$C:$C),MATCH(T$1,調整用!$1:$1,0)-MATCH($L$1,調整用!$1:$1,0)+1),MATCH(T$1,調整用!$1:$1,0)-MATCH($L$1,調整用!$1:$1,0)+1,FALSE)</f>
        <v>1</v>
      </c>
      <c r="U49" s="5">
        <f ca="1">VLOOKUP($L49,OFFSET(調整用!$C$1,0,0,COUNTA(調整用!$C:$C),MATCH(U$1,調整用!$1:$1,0)-MATCH($L$1,調整用!$1:$1,0)+1),MATCH(U$1,調整用!$1:$1,0)-MATCH($L$1,調整用!$1:$1,0)+1,FALSE)</f>
        <v>0</v>
      </c>
      <c r="V49" s="5" t="str">
        <f ca="1">VLOOKUP($W49,OFFSET([5]enemy_skill_sets!$B$1,0,0,COUNTA([5]enemy_skill_sets!$B:$B),MATCH(M$1,[5]enemy_skill_sets!$1:$1,0)-MATCH($W$1,[5]enemy_skill_sets!$1:$1,0)+2),MATCH(M$1,[5]enemy_skill_sets!$1:$1,0)-MATCH($W$1,[5]enemy_skill_sets!$1:$1,0)+2,FALSE)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9" s="5">
        <f ca="1">VLOOKUP($L49,OFFSET([3]enemies!$A$1,0,0,COUNTA([3]enemies!$A:$A),MATCH(W$1,[3]enemies!$1:$1,0)-MATCH($L$1,[3]enemies!$1:$1,0)+1),MATCH(W$1,[3]enemies!$1:$1,0)-MATCH($L$1,[3]enemies!$1:$1,0)+1,FALSE)</f>
        <v>0</v>
      </c>
      <c r="X49" s="7">
        <v>0</v>
      </c>
      <c r="Y49" s="7">
        <v>100</v>
      </c>
      <c r="Z49" s="7">
        <v>0</v>
      </c>
      <c r="AA49" s="5">
        <f ca="1">VLOOKUP($L49,OFFSET(調整用!$C$1,0,0,COUNTA(調整用!$C:$C),MATCH(AA$1,調整用!$1:$1,0)-MATCH($L$1,調整用!$1:$1,0)+1),MATCH(AA$1,調整用!$1:$1,0)-MATCH($L$1,調整用!$1:$1,0)+1,FALSE)</f>
        <v>3</v>
      </c>
      <c r="AB49" s="2">
        <f>L49</f>
        <v>123</v>
      </c>
      <c r="AC49" s="5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癒しの果実</v>
      </c>
      <c r="AD49" s="5">
        <f ca="1">VLOOKUP($AB49,OFFSET([4]characters!$A$1,0,0,COUNTA([4]characters!$A:$A),MATCH(AD$1,[4]characters!$1:$1,0)-MATCH("character_id",[4]characters!$1:$1,0)+1),MATCH(AD$1,[4]characters!$1:$1,0)-MATCH("character_id",[4]characters!$1:$1,0)+1,FALSE)</f>
        <v>3</v>
      </c>
      <c r="AE49" s="5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9" s="8">
        <v>1</v>
      </c>
      <c r="AG49" s="27">
        <f ca="1">AD49</f>
        <v>3</v>
      </c>
      <c r="AH49" s="9">
        <v>30</v>
      </c>
      <c r="AI49" s="8">
        <v>0</v>
      </c>
      <c r="AJ49" s="8">
        <v>0</v>
      </c>
      <c r="AK49" s="8">
        <v>0</v>
      </c>
      <c r="AL49" s="8">
        <v>0</v>
      </c>
      <c r="AM49" s="8">
        <v>1</v>
      </c>
    </row>
    <row r="50" spans="1:39" ht="21" customHeight="1" x14ac:dyDescent="0.15">
      <c r="A50" s="17" t="str">
        <f t="shared" ref="A50:A51" ca="1" si="35">B50&amp;"_"&amp;C50&amp;"-"&amp;G50&amp;"/"&amp;L50&amp;"&lt;lv"&amp;R50&amp;"&gt;s"&amp;AA50</f>
        <v>14006_1-3/609&lt;lv32&gt;s3</v>
      </c>
      <c r="B50" s="99">
        <v>14006</v>
      </c>
      <c r="C50" s="100">
        <v>1</v>
      </c>
      <c r="D50" s="100" t="str">
        <f t="shared" ref="D50:D51" si="36">B50&amp;"_"&amp;C50</f>
        <v>14006_1</v>
      </c>
      <c r="E50" s="101" t="str">
        <f ca="1">VLOOKUP($B50,OFFSET([2]quests!$A$1,0,0,COUNTA([2]quests!$A:$A),MATCH(E$1,[2]quests!$1:$1,0)-MATCH($B$1,[2]quests!$1:$1,0)+1),MATCH(E$1,[2]quests!$1:$1,0)-MATCH($B$1,[2]quests!$1:$1,0)+1,FALSE)</f>
        <v>【ロック】限界突破/LINEマルチ</v>
      </c>
      <c r="F50" s="101" t="str">
        <f ca="1">VLOOKUP($D50,OFFSET([2]stages!$A$1,0,0,COUNTA([2]stages!$A:$A),MATCH(F$1,[2]stages!$2:$2,0)-MATCH($D$1,[2]stages!$2:$2,0)+1),MATCH(F$1,[2]stages!$2:$2,0)-MATCH($D$1,[2]stages!$2:$2,0)+1,FALSE)</f>
        <v>【超級】果実の楽園（ハートなし）</v>
      </c>
      <c r="G50" s="100">
        <v>3</v>
      </c>
      <c r="H50" s="16" t="str">
        <f t="shared" ref="H50:H51" si="37">B50&amp;"_"&amp;C50&amp;"-"&amp;G50</f>
        <v>14006_1-3</v>
      </c>
      <c r="I50" s="5">
        <f ca="1">VLOOKUP($H50,OFFSET(floors!$A$1,0,0,COUNTA(floors!$A:$A),MATCH(I$1,floors!$1:$1,0)-MATCH($H$1,floors!$1:$1,0)+1),MATCH(I$1,floors!$1:$1,0)-MATCH($H$1,floors!$1:$1,0)+1,FALSE)</f>
        <v>59</v>
      </c>
      <c r="J50" s="5">
        <f ca="1">VLOOKUP($H50,OFFSET(floors!$A$1,0,0,COUNTA(floors!$A:$A),MATCH(J$1,floors!$1:$1,0)-MATCH($H$1,floors!$1:$1,0)+1),MATCH(J$1,floors!$1:$1,0)-MATCH($H$1,floors!$1:$1,0)+1,FALSE)</f>
        <v>60</v>
      </c>
      <c r="K50" s="8" t="s">
        <v>142</v>
      </c>
      <c r="L50" s="24">
        <v>609</v>
      </c>
      <c r="M50" s="20" t="str">
        <f ca="1">VLOOKUP($L50,OFFSET([3]enemies!$A$1,0,0,COUNTA([3]enemies!$A:$A),MATCH(M$1,[3]enemies!$1:$1,0)-MATCH($L$1,[3]enemies!$1:$1,0)+1),MATCH(M$1,[3]enemies!$1:$1,0)-MATCH($L$1,[3]enemies!$1:$1,0)+1,FALSE)</f>
        <v>メガ癒しの果実</v>
      </c>
      <c r="N50" s="20" t="str">
        <f ca="1">VLOOKUP($L50,OFFSET([3]enemies!$A$1,0,0,COUNTA([3]enemies!$A:$A),MATCH(N$1,[3]enemies!$1:$1,0)-MATCH($L$1,[3]enemies!$1:$1,0)+1),MATCH(N$1,[3]enemies!$1:$1,0)-MATCH($L$1,[3]enemies!$1:$1,0)+1,FALSE)</f>
        <v>blue</v>
      </c>
      <c r="O50" s="20" t="str">
        <f ca="1">VLOOKUP($L50,OFFSET([4]characters!$A$1,0,0,COUNTA([4]characters!$A:$A),MATCH(O$1,[4]characters!$1:$1,0)-MATCH($L$1,[4]characters!$1:$1,0)+1),MATCH(O$1,[4]characters!$1:$1,0)-MATCH($L$1,[4]characters!$1:$1,0)+1,FALSE)</f>
        <v>Material</v>
      </c>
      <c r="P50" s="20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20">
        <f ca="1">VLOOKUP($L50,OFFSET([3]enemies!$A$1,0,0,COUNTA([3]enemies!$A:$A),MATCH(Q$1,[3]enemies!$1:$1,0)-MATCH($L$1,[3]enemies!$1:$1,0)+1),MATCH(Q$1,[3]enemies!$1:$1,0)-MATCH($L$1,[3]enemies!$1:$1,0)+1,FALSE)</f>
        <v>20</v>
      </c>
      <c r="R50" s="6">
        <v>32</v>
      </c>
      <c r="S50" s="5">
        <f ca="1">VLOOKUP($L50,OFFSET(調整用!$C$1,0,0,COUNTA(調整用!$C:$C),MATCH(S$1,調整用!$1:$1,0)-MATCH($L$1,調整用!$1:$1,0)+1),MATCH(S$1,調整用!$1:$1,0)-MATCH($L$1,調整用!$1:$1,0)+1,FALSE)</f>
        <v>1</v>
      </c>
      <c r="T50" s="5">
        <f ca="1">VLOOKUP($L50,OFFSET(調整用!$C$1,0,0,COUNTA(調整用!$C:$C),MATCH(T$1,調整用!$1:$1,0)-MATCH($L$1,調整用!$1:$1,0)+1),MATCH(T$1,調整用!$1:$1,0)-MATCH($L$1,調整用!$1:$1,0)+1,FALSE)</f>
        <v>1</v>
      </c>
      <c r="U50" s="5">
        <f ca="1">VLOOKUP($L50,OFFSET(調整用!$C$1,0,0,COUNTA(調整用!$C:$C),MATCH(U$1,調整用!$1:$1,0)-MATCH($L$1,調整用!$1:$1,0)+1),MATCH(U$1,調整用!$1:$1,0)-MATCH($L$1,調整用!$1:$1,0)+1,FALSE)</f>
        <v>0</v>
      </c>
      <c r="V50" s="5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0" s="5">
        <f ca="1">VLOOKUP($L50,OFFSET([3]enemies!$A$1,0,0,COUNTA([3]enemies!$A:$A),MATCH(W$1,[3]enemies!$1:$1,0)-MATCH($L$1,[3]enemies!$1:$1,0)+1),MATCH(W$1,[3]enemies!$1:$1,0)-MATCH($L$1,[3]enemies!$1:$1,0)+1,FALSE)</f>
        <v>0</v>
      </c>
      <c r="X50" s="7">
        <v>0</v>
      </c>
      <c r="Y50" s="7">
        <v>90</v>
      </c>
      <c r="Z50" s="7">
        <v>1</v>
      </c>
      <c r="AA50" s="5">
        <f ca="1">VLOOKUP($L50,OFFSET(調整用!$C$1,0,0,COUNTA(調整用!$C:$C),MATCH(AA$1,調整用!$1:$1,0)-MATCH($L$1,調整用!$1:$1,0)+1),MATCH(AA$1,調整用!$1:$1,0)-MATCH($L$1,調整用!$1:$1,0)+1,FALSE)</f>
        <v>3</v>
      </c>
      <c r="AB50" s="2">
        <f t="shared" ref="AB50:AB51" si="38">L50</f>
        <v>609</v>
      </c>
      <c r="AC50" s="5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50" s="5">
        <f ca="1">VLOOKUP($AB50,OFFSET([4]characters!$A$1,0,0,COUNTA([4]characters!$A:$A),MATCH(AD$1,[4]characters!$1:$1,0)-MATCH("character_id",[4]characters!$1:$1,0)+1),MATCH(AD$1,[4]characters!$1:$1,0)-MATCH("character_id",[4]characters!$1:$1,0)+1,FALSE)</f>
        <v>4</v>
      </c>
      <c r="AE50" s="5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0" s="8">
        <v>1</v>
      </c>
      <c r="AG50" s="27">
        <f t="shared" ref="AG50:AG51" ca="1" si="39">AD50</f>
        <v>4</v>
      </c>
      <c r="AH50" s="9">
        <v>100</v>
      </c>
      <c r="AI50" s="8">
        <v>0</v>
      </c>
      <c r="AJ50" s="8">
        <v>0</v>
      </c>
      <c r="AK50" s="8">
        <v>0</v>
      </c>
      <c r="AL50" s="8">
        <v>0</v>
      </c>
      <c r="AM50" s="8">
        <v>1</v>
      </c>
    </row>
    <row r="51" spans="1:39" ht="21" customHeight="1" x14ac:dyDescent="0.15">
      <c r="A51" s="17" t="str">
        <f t="shared" ca="1" si="35"/>
        <v>14006_1-3/613&lt;lv32&gt;s3</v>
      </c>
      <c r="B51" s="99">
        <v>14006</v>
      </c>
      <c r="C51" s="100">
        <v>1</v>
      </c>
      <c r="D51" s="100" t="str">
        <f t="shared" si="36"/>
        <v>14006_1</v>
      </c>
      <c r="E51" s="101" t="str">
        <f ca="1">VLOOKUP($B51,OFFSET([2]quests!$A$1,0,0,COUNTA([2]quests!$A:$A),MATCH(E$1,[2]quests!$1:$1,0)-MATCH($B$1,[2]quests!$1:$1,0)+1),MATCH(E$1,[2]quests!$1:$1,0)-MATCH($B$1,[2]quests!$1:$1,0)+1,FALSE)</f>
        <v>【ロック】限界突破/LINEマルチ</v>
      </c>
      <c r="F51" s="101" t="str">
        <f ca="1">VLOOKUP($D51,OFFSET([2]stages!$A$1,0,0,COUNTA([2]stages!$A:$A),MATCH(F$1,[2]stages!$2:$2,0)-MATCH($D$1,[2]stages!$2:$2,0)+1),MATCH(F$1,[2]stages!$2:$2,0)-MATCH($D$1,[2]stages!$2:$2,0)+1,FALSE)</f>
        <v>【超級】果実の楽園（ハートなし）</v>
      </c>
      <c r="G51" s="100">
        <v>3</v>
      </c>
      <c r="H51" s="16" t="str">
        <f t="shared" si="37"/>
        <v>14006_1-3</v>
      </c>
      <c r="I51" s="5">
        <f ca="1">VLOOKUP($H51,OFFSET(floors!$A$1,0,0,COUNTA(floors!$A:$A),MATCH(I$1,floors!$1:$1,0)-MATCH($H$1,floors!$1:$1,0)+1),MATCH(I$1,floors!$1:$1,0)-MATCH($H$1,floors!$1:$1,0)+1,FALSE)</f>
        <v>59</v>
      </c>
      <c r="J51" s="5">
        <f ca="1">VLOOKUP($H51,OFFSET(floors!$A$1,0,0,COUNTA(floors!$A:$A),MATCH(J$1,floors!$1:$1,0)-MATCH($H$1,floors!$1:$1,0)+1),MATCH(J$1,floors!$1:$1,0)-MATCH($H$1,floors!$1:$1,0)+1,FALSE)</f>
        <v>60</v>
      </c>
      <c r="K51" s="8" t="s">
        <v>142</v>
      </c>
      <c r="L51" s="24">
        <v>613</v>
      </c>
      <c r="M51" s="20" t="str">
        <f ca="1">VLOOKUP($L51,OFFSET([3]enemies!$A$1,0,0,COUNTA([3]enemies!$A:$A),MATCH(M$1,[3]enemies!$1:$1,0)-MATCH($L$1,[3]enemies!$1:$1,0)+1),MATCH(M$1,[3]enemies!$1:$1,0)-MATCH($L$1,[3]enemies!$1:$1,0)+1,FALSE)</f>
        <v>ギガ癒しの果実</v>
      </c>
      <c r="N51" s="20" t="str">
        <f ca="1">VLOOKUP($L51,OFFSET([3]enemies!$A$1,0,0,COUNTA([3]enemies!$A:$A),MATCH(N$1,[3]enemies!$1:$1,0)-MATCH($L$1,[3]enemies!$1:$1,0)+1),MATCH(N$1,[3]enemies!$1:$1,0)-MATCH($L$1,[3]enemies!$1:$1,0)+1,FALSE)</f>
        <v>blue</v>
      </c>
      <c r="O51" s="20" t="str">
        <f ca="1">VLOOKUP($L51,OFFSET([4]characters!$A$1,0,0,COUNTA([4]characters!$A:$A),MATCH(O$1,[4]characters!$1:$1,0)-MATCH($L$1,[4]characters!$1:$1,0)+1),MATCH(O$1,[4]characters!$1:$1,0)-MATCH($L$1,[4]characters!$1:$1,0)+1,FALSE)</f>
        <v>Material</v>
      </c>
      <c r="P51" s="20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20">
        <f ca="1">VLOOKUP($L51,OFFSET([3]enemies!$A$1,0,0,COUNTA([3]enemies!$A:$A),MATCH(Q$1,[3]enemies!$1:$1,0)-MATCH($L$1,[3]enemies!$1:$1,0)+1),MATCH(Q$1,[3]enemies!$1:$1,0)-MATCH($L$1,[3]enemies!$1:$1,0)+1,FALSE)</f>
        <v>20</v>
      </c>
      <c r="R51" s="6">
        <v>32</v>
      </c>
      <c r="S51" s="5">
        <f ca="1">VLOOKUP($L51,OFFSET(調整用!$C$1,0,0,COUNTA(調整用!$C:$C),MATCH(S$1,調整用!$1:$1,0)-MATCH($L$1,調整用!$1:$1,0)+1),MATCH(S$1,調整用!$1:$1,0)-MATCH($L$1,調整用!$1:$1,0)+1,FALSE)</f>
        <v>1.5</v>
      </c>
      <c r="T51" s="5">
        <f ca="1">VLOOKUP($L51,OFFSET(調整用!$C$1,0,0,COUNTA(調整用!$C:$C),MATCH(T$1,調整用!$1:$1,0)-MATCH($L$1,調整用!$1:$1,0)+1),MATCH(T$1,調整用!$1:$1,0)-MATCH($L$1,調整用!$1:$1,0)+1,FALSE)</f>
        <v>1.1000000000000001</v>
      </c>
      <c r="U51" s="5">
        <f ca="1">VLOOKUP($L51,OFFSET(調整用!$C$1,0,0,COUNTA(調整用!$C:$C),MATCH(U$1,調整用!$1:$1,0)-MATCH($L$1,調整用!$1:$1,0)+1),MATCH(U$1,調整用!$1:$1,0)-MATCH($L$1,調整用!$1:$1,0)+1,FALSE)</f>
        <v>0</v>
      </c>
      <c r="V51" s="5" t="str">
        <f ca="1">VLOOKUP($W51,OFFSET(enemy_skill_sets!$B$1,0,0,COUNTA(enemy_skill_sets!$B:$B),MATCH(M$1,enemy_skill_sets!$1:$1,0)-MATCH($W$1,enemy_skill_sets!$1:$1,0)+2),MATCH(M$1,enemy_skill_sets!$1:$1,0)-MATCH($W$1,enemy_skill_sets!$1:$1,0)+2,FALSE)</f>
        <v>ギガ癒しの果実が あらわれた！</v>
      </c>
      <c r="W51" s="57">
        <v>14002613</v>
      </c>
      <c r="X51" s="7">
        <v>0</v>
      </c>
      <c r="Y51" s="7">
        <v>10</v>
      </c>
      <c r="Z51" s="7">
        <v>1</v>
      </c>
      <c r="AA51" s="5">
        <f ca="1">VLOOKUP($L51,OFFSET(調整用!$C$1,0,0,COUNTA(調整用!$C:$C),MATCH(AA$1,調整用!$1:$1,0)-MATCH($L$1,調整用!$1:$1,0)+1),MATCH(AA$1,調整用!$1:$1,0)-MATCH($L$1,調整用!$1:$1,0)+1,FALSE)</f>
        <v>3</v>
      </c>
      <c r="AB51" s="2">
        <f t="shared" si="38"/>
        <v>613</v>
      </c>
      <c r="AC51" s="5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ギガ癒しの果実</v>
      </c>
      <c r="AD51" s="5">
        <f ca="1">VLOOKUP($AB51,OFFSET([4]characters!$A$1,0,0,COUNTA([4]characters!$A:$A),MATCH(AD$1,[4]characters!$1:$1,0)-MATCH("character_id",[4]characters!$1:$1,0)+1),MATCH(AD$1,[4]characters!$1:$1,0)-MATCH("character_id",[4]characters!$1:$1,0)+1,FALSE)</f>
        <v>5</v>
      </c>
      <c r="AE51" s="5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1" s="8">
        <v>1</v>
      </c>
      <c r="AG51" s="27">
        <f t="shared" ca="1" si="39"/>
        <v>5</v>
      </c>
      <c r="AH51" s="9">
        <v>100</v>
      </c>
      <c r="AI51" s="8">
        <v>0</v>
      </c>
      <c r="AJ51" s="8">
        <v>0</v>
      </c>
      <c r="AK51" s="8">
        <v>0</v>
      </c>
      <c r="AL51" s="8">
        <v>0</v>
      </c>
      <c r="AM51" s="8">
        <v>1</v>
      </c>
    </row>
    <row r="52" spans="1:39" ht="21" customHeight="1" x14ac:dyDescent="0.15">
      <c r="A52" s="17" t="str">
        <f ca="1">B52&amp;"_"&amp;C52&amp;"-"&amp;G52&amp;"/"&amp;L52&amp;"&lt;lv"&amp;R52&amp;"&gt;s"&amp;AA52</f>
        <v>14006_1-4/121&lt;lv32&gt;s1</v>
      </c>
      <c r="B52" s="99">
        <v>14006</v>
      </c>
      <c r="C52" s="100">
        <v>1</v>
      </c>
      <c r="D52" s="100" t="str">
        <f>B52&amp;"_"&amp;C52</f>
        <v>14006_1</v>
      </c>
      <c r="E52" s="101" t="str">
        <f ca="1">VLOOKUP($B52,OFFSET([2]quests!$A$1,0,0,COUNTA([2]quests!$A:$A),MATCH(E$1,[2]quests!$1:$1,0)-MATCH($B$1,[2]quests!$1:$1,0)+1),MATCH(E$1,[2]quests!$1:$1,0)-MATCH($B$1,[2]quests!$1:$1,0)+1,FALSE)</f>
        <v>【ロック】限界突破/LINEマルチ</v>
      </c>
      <c r="F52" s="101" t="str">
        <f ca="1">VLOOKUP($D52,OFFSET([2]stages!$A$1,0,0,COUNTA([2]stages!$A:$A),MATCH(F$1,[2]stages!$2:$2,0)-MATCH($D$1,[2]stages!$2:$2,0)+1),MATCH(F$1,[2]stages!$2:$2,0)-MATCH($D$1,[2]stages!$2:$2,0)+1,FALSE)</f>
        <v>【超級】果実の楽園（ハートなし）</v>
      </c>
      <c r="G52" s="100">
        <v>4</v>
      </c>
      <c r="H52" s="16" t="str">
        <f>B52&amp;"_"&amp;C52&amp;"-"&amp;G52</f>
        <v>14006_1-4</v>
      </c>
      <c r="I52" s="5">
        <f ca="1">VLOOKUP($H52,OFFSET(floors!$A$1,0,0,COUNTA(floors!$A:$A),MATCH(I$1,floors!$1:$1,0)-MATCH($H$1,floors!$1:$1,0)+1),MATCH(I$1,floors!$1:$1,0)-MATCH($H$1,floors!$1:$1,0)+1,FALSE)</f>
        <v>59</v>
      </c>
      <c r="J52" s="5">
        <f ca="1">VLOOKUP($H52,OFFSET(floors!$A$1,0,0,COUNTA(floors!$A:$A),MATCH(J$1,floors!$1:$1,0)-MATCH($H$1,floors!$1:$1,0)+1),MATCH(J$1,floors!$1:$1,0)-MATCH($H$1,floors!$1:$1,0)+1,FALSE)</f>
        <v>60</v>
      </c>
      <c r="K52" s="8" t="s">
        <v>142</v>
      </c>
      <c r="L52" s="24">
        <v>121</v>
      </c>
      <c r="M52" s="20" t="str">
        <f ca="1">VLOOKUP($L52,OFFSET([3]enemies!$A$1,0,0,COUNTA([3]enemies!$A:$A),MATCH(M$1,[3]enemies!$1:$1,0)-MATCH($L$1,[3]enemies!$1:$1,0)+1),MATCH(M$1,[3]enemies!$1:$1,0)-MATCH($L$1,[3]enemies!$1:$1,0)+1,FALSE)</f>
        <v>攻めの果実</v>
      </c>
      <c r="N52" s="20" t="str">
        <f ca="1">VLOOKUP($L52,OFFSET([3]enemies!$A$1,0,0,COUNTA([3]enemies!$A:$A),MATCH(N$1,[3]enemies!$1:$1,0)-MATCH($L$1,[3]enemies!$1:$1,0)+1),MATCH(N$1,[3]enemies!$1:$1,0)-MATCH($L$1,[3]enemies!$1:$1,0)+1,FALSE)</f>
        <v>red</v>
      </c>
      <c r="O52" s="20" t="str">
        <f ca="1">VLOOKUP($L52,OFFSET([4]characters!$A$1,0,0,COUNTA([4]characters!$A:$A),MATCH(O$1,[4]characters!$1:$1,0)-MATCH($L$1,[4]characters!$1:$1,0)+1),MATCH(O$1,[4]characters!$1:$1,0)-MATCH($L$1,[4]characters!$1:$1,0)+1,FALSE)</f>
        <v>Material</v>
      </c>
      <c r="P52" s="20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20">
        <f ca="1">VLOOKUP($L52,OFFSET([3]enemies!$A$1,0,0,COUNTA([3]enemies!$A:$A),MATCH(Q$1,[3]enemies!$1:$1,0)-MATCH($L$1,[3]enemies!$1:$1,0)+1),MATCH(Q$1,[3]enemies!$1:$1,0)-MATCH($L$1,[3]enemies!$1:$1,0)+1,FALSE)</f>
        <v>20</v>
      </c>
      <c r="R52" s="6">
        <v>32</v>
      </c>
      <c r="S52" s="5">
        <f ca="1">VLOOKUP($L52,OFFSET(調整用!$C$1,0,0,COUNTA(調整用!$C:$C),MATCH(S$1,調整用!$1:$1,0)-MATCH($L$1,調整用!$1:$1,0)+1),MATCH(S$1,調整用!$1:$1,0)-MATCH($L$1,調整用!$1:$1,0)+1,FALSE)</f>
        <v>0.5</v>
      </c>
      <c r="T52" s="5">
        <f ca="1">VLOOKUP($L52,OFFSET(調整用!$C$1,0,0,COUNTA(調整用!$C:$C),MATCH(T$1,調整用!$1:$1,0)-MATCH($L$1,調整用!$1:$1,0)+1),MATCH(T$1,調整用!$1:$1,0)-MATCH($L$1,調整用!$1:$1,0)+1,FALSE)</f>
        <v>1</v>
      </c>
      <c r="U52" s="5">
        <f ca="1">VLOOKUP($L52,OFFSET(調整用!$C$1,0,0,COUNTA(調整用!$C:$C),MATCH(U$1,調整用!$1:$1,0)-MATCH($L$1,調整用!$1:$1,0)+1),MATCH(U$1,調整用!$1:$1,0)-MATCH($L$1,調整用!$1:$1,0)+1,FALSE)</f>
        <v>0</v>
      </c>
      <c r="V52" s="5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2" s="5">
        <f ca="1">VLOOKUP($L52,OFFSET([3]enemies!$A$1,0,0,COUNTA([3]enemies!$A:$A),MATCH(W$1,[3]enemies!$1:$1,0)-MATCH($L$1,[3]enemies!$1:$1,0)+1),MATCH(W$1,[3]enemies!$1:$1,0)-MATCH($L$1,[3]enemies!$1:$1,0)+1,FALSE)</f>
        <v>0</v>
      </c>
      <c r="X52" s="7">
        <v>0</v>
      </c>
      <c r="Y52" s="7">
        <v>100</v>
      </c>
      <c r="Z52" s="7">
        <v>0</v>
      </c>
      <c r="AA52" s="5">
        <f ca="1">VLOOKUP($L52,OFFSET(調整用!$C$1,0,0,COUNTA(調整用!$C:$C),MATCH(AA$1,調整用!$1:$1,0)-MATCH($L$1,調整用!$1:$1,0)+1),MATCH(AA$1,調整用!$1:$1,0)-MATCH($L$1,調整用!$1:$1,0)+1,FALSE)</f>
        <v>1</v>
      </c>
      <c r="AB52" s="2">
        <f>L52</f>
        <v>121</v>
      </c>
      <c r="AC52" s="5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攻めの果実</v>
      </c>
      <c r="AD52" s="5">
        <f ca="1">VLOOKUP($AB52,OFFSET([4]characters!$A$1,0,0,COUNTA([4]characters!$A:$A),MATCH(AD$1,[4]characters!$1:$1,0)-MATCH("character_id",[4]characters!$1:$1,0)+1),MATCH(AD$1,[4]characters!$1:$1,0)-MATCH("character_id",[4]characters!$1:$1,0)+1,FALSE)</f>
        <v>3</v>
      </c>
      <c r="AE52" s="5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2" s="8">
        <v>1</v>
      </c>
      <c r="AG52" s="27">
        <f ca="1">AD52</f>
        <v>3</v>
      </c>
      <c r="AH52" s="9">
        <v>30</v>
      </c>
      <c r="AI52" s="8">
        <v>0</v>
      </c>
      <c r="AJ52" s="8">
        <v>0</v>
      </c>
      <c r="AK52" s="8">
        <v>0</v>
      </c>
      <c r="AL52" s="8">
        <v>0</v>
      </c>
      <c r="AM52" s="8">
        <v>1</v>
      </c>
    </row>
    <row r="53" spans="1:39" ht="21" customHeight="1" x14ac:dyDescent="0.15">
      <c r="A53" s="17" t="str">
        <f t="shared" ref="A53:A55" ca="1" si="40">B53&amp;"_"&amp;C53&amp;"-"&amp;G53&amp;"/"&amp;L53&amp;"&lt;lv"&amp;R53&amp;"&gt;s"&amp;AA53</f>
        <v>14006_1-4/607&lt;lv32&gt;s1</v>
      </c>
      <c r="B53" s="99">
        <v>14006</v>
      </c>
      <c r="C53" s="100">
        <v>1</v>
      </c>
      <c r="D53" s="100" t="str">
        <f t="shared" ref="D53:D55" si="41">B53&amp;"_"&amp;C53</f>
        <v>14006_1</v>
      </c>
      <c r="E53" s="101" t="str">
        <f ca="1">VLOOKUP($B53,OFFSET([2]quests!$A$1,0,0,COUNTA([2]quests!$A:$A),MATCH(E$1,[2]quests!$1:$1,0)-MATCH($B$1,[2]quests!$1:$1,0)+1),MATCH(E$1,[2]quests!$1:$1,0)-MATCH($B$1,[2]quests!$1:$1,0)+1,FALSE)</f>
        <v>【ロック】限界突破/LINEマルチ</v>
      </c>
      <c r="F53" s="101" t="str">
        <f ca="1">VLOOKUP($D53,OFFSET([2]stages!$A$1,0,0,COUNTA([2]stages!$A:$A),MATCH(F$1,[2]stages!$2:$2,0)-MATCH($D$1,[2]stages!$2:$2,0)+1),MATCH(F$1,[2]stages!$2:$2,0)-MATCH($D$1,[2]stages!$2:$2,0)+1,FALSE)</f>
        <v>【超級】果実の楽園（ハートなし）</v>
      </c>
      <c r="G53" s="100">
        <v>4</v>
      </c>
      <c r="H53" s="16" t="str">
        <f t="shared" ref="H53:H55" si="42">B53&amp;"_"&amp;C53&amp;"-"&amp;G53</f>
        <v>14006_1-4</v>
      </c>
      <c r="I53" s="5">
        <f ca="1">VLOOKUP($H53,OFFSET(floors!$A$1,0,0,COUNTA(floors!$A:$A),MATCH(I$1,floors!$1:$1,0)-MATCH($H$1,floors!$1:$1,0)+1),MATCH(I$1,floors!$1:$1,0)-MATCH($H$1,floors!$1:$1,0)+1,FALSE)</f>
        <v>59</v>
      </c>
      <c r="J53" s="5">
        <f ca="1">VLOOKUP($H53,OFFSET(floors!$A$1,0,0,COUNTA(floors!$A:$A),MATCH(J$1,floors!$1:$1,0)-MATCH($H$1,floors!$1:$1,0)+1),MATCH(J$1,floors!$1:$1,0)-MATCH($H$1,floors!$1:$1,0)+1,FALSE)</f>
        <v>60</v>
      </c>
      <c r="K53" s="8" t="s">
        <v>142</v>
      </c>
      <c r="L53" s="24">
        <v>607</v>
      </c>
      <c r="M53" s="20" t="str">
        <f ca="1">VLOOKUP($L53,OFFSET([3]enemies!$A$1,0,0,COUNTA([3]enemies!$A:$A),MATCH(M$1,[3]enemies!$1:$1,0)-MATCH($L$1,[3]enemies!$1:$1,0)+1),MATCH(M$1,[3]enemies!$1:$1,0)-MATCH($L$1,[3]enemies!$1:$1,0)+1,FALSE)</f>
        <v>メガ攻めの果実</v>
      </c>
      <c r="N53" s="20" t="str">
        <f ca="1">VLOOKUP($L53,OFFSET([3]enemies!$A$1,0,0,COUNTA([3]enemies!$A:$A),MATCH(N$1,[3]enemies!$1:$1,0)-MATCH($L$1,[3]enemies!$1:$1,0)+1),MATCH(N$1,[3]enemies!$1:$1,0)-MATCH($L$1,[3]enemies!$1:$1,0)+1,FALSE)</f>
        <v>red</v>
      </c>
      <c r="O53" s="20" t="str">
        <f ca="1">VLOOKUP($L53,OFFSET([4]characters!$A$1,0,0,COUNTA([4]characters!$A:$A),MATCH(O$1,[4]characters!$1:$1,0)-MATCH($L$1,[4]characters!$1:$1,0)+1),MATCH(O$1,[4]characters!$1:$1,0)-MATCH($L$1,[4]characters!$1:$1,0)+1,FALSE)</f>
        <v>Material</v>
      </c>
      <c r="P53" s="20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20">
        <f ca="1">VLOOKUP($L53,OFFSET([3]enemies!$A$1,0,0,COUNTA([3]enemies!$A:$A),MATCH(Q$1,[3]enemies!$1:$1,0)-MATCH($L$1,[3]enemies!$1:$1,0)+1),MATCH(Q$1,[3]enemies!$1:$1,0)-MATCH($L$1,[3]enemies!$1:$1,0)+1,FALSE)</f>
        <v>20</v>
      </c>
      <c r="R53" s="6">
        <v>32</v>
      </c>
      <c r="S53" s="5">
        <f ca="1">VLOOKUP($L53,OFFSET(調整用!$C$1,0,0,COUNTA(調整用!$C:$C),MATCH(S$1,調整用!$1:$1,0)-MATCH($L$1,調整用!$1:$1,0)+1),MATCH(S$1,調整用!$1:$1,0)-MATCH($L$1,調整用!$1:$1,0)+1,FALSE)</f>
        <v>1</v>
      </c>
      <c r="T53" s="5">
        <f ca="1">VLOOKUP($L53,OFFSET(調整用!$C$1,0,0,COUNTA(調整用!$C:$C),MATCH(T$1,調整用!$1:$1,0)-MATCH($L$1,調整用!$1:$1,0)+1),MATCH(T$1,調整用!$1:$1,0)-MATCH($L$1,調整用!$1:$1,0)+1,FALSE)</f>
        <v>0.7</v>
      </c>
      <c r="U53" s="5">
        <f ca="1">VLOOKUP($L53,OFFSET(調整用!$C$1,0,0,COUNTA(調整用!$C:$C),MATCH(U$1,調整用!$1:$1,0)-MATCH($L$1,調整用!$1:$1,0)+1),MATCH(U$1,調整用!$1:$1,0)-MATCH($L$1,調整用!$1:$1,0)+1,FALSE)</f>
        <v>0</v>
      </c>
      <c r="V53" s="5" t="str">
        <f ca="1">VLOOKUP($W53,OFFSET([5]enemy_skill_sets!$B$1,0,0,COUNTA([5]enemy_skill_sets!$B:$B),MATCH(M$1,[5]enemy_skill_sets!$1:$1,0)-MATCH($W$1,[5]enemy_skill_sets!$1:$1,0)+2),MATCH(M$1,[5]enemy_skill_sets!$1:$1,0)-MATCH($W$1,[5]enemy_skill_sets!$1:$1,0)+2,FALSE)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3" s="5">
        <f ca="1">VLOOKUP($L53,OFFSET([3]enemies!$A$1,0,0,COUNTA([3]enemies!$A:$A),MATCH(W$1,[3]enemies!$1:$1,0)-MATCH($L$1,[3]enemies!$1:$1,0)+1),MATCH(W$1,[3]enemies!$1:$1,0)-MATCH($L$1,[3]enemies!$1:$1,0)+1,FALSE)</f>
        <v>0</v>
      </c>
      <c r="X53" s="7">
        <v>0</v>
      </c>
      <c r="Y53" s="7">
        <v>90</v>
      </c>
      <c r="Z53" s="7">
        <v>1</v>
      </c>
      <c r="AA53" s="5">
        <f ca="1">VLOOKUP($L53,OFFSET(調整用!$C$1,0,0,COUNTA(調整用!$C:$C),MATCH(AA$1,調整用!$1:$1,0)-MATCH($L$1,調整用!$1:$1,0)+1),MATCH(AA$1,調整用!$1:$1,0)-MATCH($L$1,調整用!$1:$1,0)+1,FALSE)</f>
        <v>1</v>
      </c>
      <c r="AB53" s="2">
        <f t="shared" ref="AB53:AB55" si="43">L53</f>
        <v>607</v>
      </c>
      <c r="AC53" s="5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53" s="5">
        <f ca="1">VLOOKUP($AB53,OFFSET([4]characters!$A$1,0,0,COUNTA([4]characters!$A:$A),MATCH(AD$1,[4]characters!$1:$1,0)-MATCH("character_id",[4]characters!$1:$1,0)+1),MATCH(AD$1,[4]characters!$1:$1,0)-MATCH("character_id",[4]characters!$1:$1,0)+1,FALSE)</f>
        <v>4</v>
      </c>
      <c r="AE53" s="5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3" s="8">
        <v>1</v>
      </c>
      <c r="AG53" s="27">
        <f t="shared" ref="AG53:AG55" ca="1" si="44">AD53</f>
        <v>4</v>
      </c>
      <c r="AH53" s="9">
        <v>100</v>
      </c>
      <c r="AI53" s="8">
        <v>0</v>
      </c>
      <c r="AJ53" s="8">
        <v>0</v>
      </c>
      <c r="AK53" s="8">
        <v>0</v>
      </c>
      <c r="AL53" s="8">
        <v>0</v>
      </c>
      <c r="AM53" s="8">
        <v>1</v>
      </c>
    </row>
    <row r="54" spans="1:39" ht="21" customHeight="1" x14ac:dyDescent="0.15">
      <c r="A54" s="17" t="str">
        <f t="shared" ca="1" si="40"/>
        <v>14006_1-4/611&lt;lv32&gt;s1</v>
      </c>
      <c r="B54" s="99">
        <v>14006</v>
      </c>
      <c r="C54" s="100">
        <v>1</v>
      </c>
      <c r="D54" s="100" t="str">
        <f t="shared" si="41"/>
        <v>14006_1</v>
      </c>
      <c r="E54" s="101" t="str">
        <f ca="1">VLOOKUP($B54,OFFSET([2]quests!$A$1,0,0,COUNTA([2]quests!$A:$A),MATCH(E$1,[2]quests!$1:$1,0)-MATCH($B$1,[2]quests!$1:$1,0)+1),MATCH(E$1,[2]quests!$1:$1,0)-MATCH($B$1,[2]quests!$1:$1,0)+1,FALSE)</f>
        <v>【ロック】限界突破/LINEマルチ</v>
      </c>
      <c r="F54" s="101" t="str">
        <f ca="1">VLOOKUP($D54,OFFSET([2]stages!$A$1,0,0,COUNTA([2]stages!$A:$A),MATCH(F$1,[2]stages!$2:$2,0)-MATCH($D$1,[2]stages!$2:$2,0)+1),MATCH(F$1,[2]stages!$2:$2,0)-MATCH($D$1,[2]stages!$2:$2,0)+1,FALSE)</f>
        <v>【超級】果実の楽園（ハートなし）</v>
      </c>
      <c r="G54" s="100">
        <v>4</v>
      </c>
      <c r="H54" s="16" t="str">
        <f t="shared" si="42"/>
        <v>14006_1-4</v>
      </c>
      <c r="I54" s="5">
        <f ca="1">VLOOKUP($H54,OFFSET(floors!$A$1,0,0,COUNTA(floors!$A:$A),MATCH(I$1,floors!$1:$1,0)-MATCH($H$1,floors!$1:$1,0)+1),MATCH(I$1,floors!$1:$1,0)-MATCH($H$1,floors!$1:$1,0)+1,FALSE)</f>
        <v>59</v>
      </c>
      <c r="J54" s="5">
        <f ca="1">VLOOKUP($H54,OFFSET(floors!$A$1,0,0,COUNTA(floors!$A:$A),MATCH(J$1,floors!$1:$1,0)-MATCH($H$1,floors!$1:$1,0)+1),MATCH(J$1,floors!$1:$1,0)-MATCH($H$1,floors!$1:$1,0)+1,FALSE)</f>
        <v>60</v>
      </c>
      <c r="K54" s="8" t="s">
        <v>142</v>
      </c>
      <c r="L54" s="24">
        <v>611</v>
      </c>
      <c r="M54" s="20" t="str">
        <f ca="1">VLOOKUP($L54,OFFSET([3]enemies!$A$1,0,0,COUNTA([3]enemies!$A:$A),MATCH(M$1,[3]enemies!$1:$1,0)-MATCH($L$1,[3]enemies!$1:$1,0)+1),MATCH(M$1,[3]enemies!$1:$1,0)-MATCH($L$1,[3]enemies!$1:$1,0)+1,FALSE)</f>
        <v>ギガ攻めの果実</v>
      </c>
      <c r="N54" s="20" t="str">
        <f ca="1">VLOOKUP($L54,OFFSET([3]enemies!$A$1,0,0,COUNTA([3]enemies!$A:$A),MATCH(N$1,[3]enemies!$1:$1,0)-MATCH($L$1,[3]enemies!$1:$1,0)+1),MATCH(N$1,[3]enemies!$1:$1,0)-MATCH($L$1,[3]enemies!$1:$1,0)+1,FALSE)</f>
        <v>red</v>
      </c>
      <c r="O54" s="20" t="str">
        <f ca="1">VLOOKUP($L54,OFFSET([4]characters!$A$1,0,0,COUNTA([4]characters!$A:$A),MATCH(O$1,[4]characters!$1:$1,0)-MATCH($L$1,[4]characters!$1:$1,0)+1),MATCH(O$1,[4]characters!$1:$1,0)-MATCH($L$1,[4]characters!$1:$1,0)+1,FALSE)</f>
        <v>Material</v>
      </c>
      <c r="P54" s="20" t="str">
        <f ca="1">VLOOKUP($L54,OFFSET([3]enemies!$A$1,0,0,COUNTA([3]enemies!$A:$A),MATCH(P$1,[3]enemies!$1:$1,0)-MATCH($L$1,[3]enemies!$1:$1,0)+1),MATCH(P$1,[3]enemies!$1:$1,0)-MATCH($L$1,[3]enemies!$1:$1,0)+1,FALSE)</f>
        <v>unknown</v>
      </c>
      <c r="Q54" s="20">
        <f ca="1">VLOOKUP($L54,OFFSET([3]enemies!$A$1,0,0,COUNTA([3]enemies!$A:$A),MATCH(Q$1,[3]enemies!$1:$1,0)-MATCH($L$1,[3]enemies!$1:$1,0)+1),MATCH(Q$1,[3]enemies!$1:$1,0)-MATCH($L$1,[3]enemies!$1:$1,0)+1,FALSE)</f>
        <v>20</v>
      </c>
      <c r="R54" s="6">
        <v>32</v>
      </c>
      <c r="S54" s="5">
        <f ca="1">VLOOKUP($L54,OFFSET(調整用!$C$1,0,0,COUNTA(調整用!$C:$C),MATCH(S$1,調整用!$1:$1,0)-MATCH($L$1,調整用!$1:$1,0)+1),MATCH(S$1,調整用!$1:$1,0)-MATCH($L$1,調整用!$1:$1,0)+1,FALSE)</f>
        <v>1.5</v>
      </c>
      <c r="T54" s="5">
        <f ca="1">VLOOKUP($L54,OFFSET(調整用!$C$1,0,0,COUNTA(調整用!$C:$C),MATCH(T$1,調整用!$1:$1,0)-MATCH($L$1,調整用!$1:$1,0)+1),MATCH(T$1,調整用!$1:$1,0)-MATCH($L$1,調整用!$1:$1,0)+1,FALSE)</f>
        <v>0.8</v>
      </c>
      <c r="U54" s="5">
        <f ca="1">VLOOKUP($L54,OFFSET(調整用!$C$1,0,0,COUNTA(調整用!$C:$C),MATCH(U$1,調整用!$1:$1,0)-MATCH($L$1,調整用!$1:$1,0)+1),MATCH(U$1,調整用!$1:$1,0)-MATCH($L$1,調整用!$1:$1,0)+1,FALSE)</f>
        <v>0</v>
      </c>
      <c r="V54" s="5" t="str">
        <f ca="1">VLOOKUP($W54,OFFSET(enemy_skill_sets!$B$1,0,0,COUNTA(enemy_skill_sets!$B:$B),MATCH(M$1,enemy_skill_sets!$1:$1,0)-MATCH($W$1,enemy_skill_sets!$1:$1,0)+2),MATCH(M$1,enemy_skill_sets!$1:$1,0)-MATCH($W$1,enemy_skill_sets!$1:$1,0)+2,FALSE)</f>
        <v>ギガ攻めの果実が あらわれた！</v>
      </c>
      <c r="W54" s="57">
        <v>14002611</v>
      </c>
      <c r="X54" s="7">
        <v>0</v>
      </c>
      <c r="Y54" s="7">
        <v>10</v>
      </c>
      <c r="Z54" s="7">
        <v>1</v>
      </c>
      <c r="AA54" s="5">
        <f ca="1">VLOOKUP($L54,OFFSET(調整用!$C$1,0,0,COUNTA(調整用!$C:$C),MATCH(AA$1,調整用!$1:$1,0)-MATCH($L$1,調整用!$1:$1,0)+1),MATCH(AA$1,調整用!$1:$1,0)-MATCH($L$1,調整用!$1:$1,0)+1,FALSE)</f>
        <v>1</v>
      </c>
      <c r="AB54" s="2">
        <f t="shared" si="43"/>
        <v>611</v>
      </c>
      <c r="AC54" s="5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ギガ攻めの果実</v>
      </c>
      <c r="AD54" s="5">
        <f ca="1">VLOOKUP($AB54,OFFSET([4]characters!$A$1,0,0,COUNTA([4]characters!$A:$A),MATCH(AD$1,[4]characters!$1:$1,0)-MATCH("character_id",[4]characters!$1:$1,0)+1),MATCH(AD$1,[4]characters!$1:$1,0)-MATCH("character_id",[4]characters!$1:$1,0)+1,FALSE)</f>
        <v>5</v>
      </c>
      <c r="AE54" s="5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4" s="8">
        <v>1</v>
      </c>
      <c r="AG54" s="27">
        <f t="shared" ca="1" si="44"/>
        <v>5</v>
      </c>
      <c r="AH54" s="9">
        <v>100</v>
      </c>
      <c r="AI54" s="8">
        <v>0</v>
      </c>
      <c r="AJ54" s="8">
        <v>0</v>
      </c>
      <c r="AK54" s="8">
        <v>0</v>
      </c>
      <c r="AL54" s="8">
        <v>0</v>
      </c>
      <c r="AM54" s="8">
        <v>1</v>
      </c>
    </row>
    <row r="55" spans="1:39" ht="21" customHeight="1" x14ac:dyDescent="0.15">
      <c r="A55" s="17" t="str">
        <f t="shared" ca="1" si="40"/>
        <v>14006_1-5/607&lt;lv32&gt;s1</v>
      </c>
      <c r="B55" s="99">
        <v>14006</v>
      </c>
      <c r="C55" s="100">
        <v>1</v>
      </c>
      <c r="D55" s="100" t="str">
        <f t="shared" si="41"/>
        <v>14006_1</v>
      </c>
      <c r="E55" s="101" t="str">
        <f ca="1">VLOOKUP($B55,OFFSET([2]quests!$A$1,0,0,COUNTA([2]quests!$A:$A),MATCH(E$1,[2]quests!$1:$1,0)-MATCH($B$1,[2]quests!$1:$1,0)+1),MATCH(E$1,[2]quests!$1:$1,0)-MATCH($B$1,[2]quests!$1:$1,0)+1,FALSE)</f>
        <v>【ロック】限界突破/LINEマルチ</v>
      </c>
      <c r="F55" s="101" t="str">
        <f ca="1">VLOOKUP($D55,OFFSET([2]stages!$A$1,0,0,COUNTA([2]stages!$A:$A),MATCH(F$1,[2]stages!$2:$2,0)-MATCH($D$1,[2]stages!$2:$2,0)+1),MATCH(F$1,[2]stages!$2:$2,0)-MATCH($D$1,[2]stages!$2:$2,0)+1,FALSE)</f>
        <v>【超級】果実の楽園（ハートなし）</v>
      </c>
      <c r="G55" s="100">
        <v>5</v>
      </c>
      <c r="H55" s="16" t="str">
        <f t="shared" si="42"/>
        <v>14006_1-5</v>
      </c>
      <c r="I55" s="5">
        <f ca="1">VLOOKUP($H55,OFFSET(floors!$A$1,0,0,COUNTA(floors!$A:$A),MATCH(I$1,floors!$1:$1,0)-MATCH($H$1,floors!$1:$1,0)+1),MATCH(I$1,floors!$1:$1,0)-MATCH($H$1,floors!$1:$1,0)+1,FALSE)</f>
        <v>40</v>
      </c>
      <c r="J55" s="5">
        <f ca="1">VLOOKUP($H55,OFFSET(floors!$A$1,0,0,COUNTA(floors!$A:$A),MATCH(J$1,floors!$1:$1,0)-MATCH($H$1,floors!$1:$1,0)+1),MATCH(J$1,floors!$1:$1,0)-MATCH($H$1,floors!$1:$1,0)+1,FALSE)</f>
        <v>40</v>
      </c>
      <c r="K55" s="8" t="s">
        <v>142</v>
      </c>
      <c r="L55" s="24">
        <v>607</v>
      </c>
      <c r="M55" s="20" t="str">
        <f ca="1">VLOOKUP($L55,OFFSET([3]enemies!$A$1,0,0,COUNTA([3]enemies!$A:$A),MATCH(M$1,[3]enemies!$1:$1,0)-MATCH($L$1,[3]enemies!$1:$1,0)+1),MATCH(M$1,[3]enemies!$1:$1,0)-MATCH($L$1,[3]enemies!$1:$1,0)+1,FALSE)</f>
        <v>メガ攻めの果実</v>
      </c>
      <c r="N55" s="20" t="str">
        <f ca="1">VLOOKUP($L55,OFFSET([3]enemies!$A$1,0,0,COUNTA([3]enemies!$A:$A),MATCH(N$1,[3]enemies!$1:$1,0)-MATCH($L$1,[3]enemies!$1:$1,0)+1),MATCH(N$1,[3]enemies!$1:$1,0)-MATCH($L$1,[3]enemies!$1:$1,0)+1,FALSE)</f>
        <v>red</v>
      </c>
      <c r="O55" s="20" t="str">
        <f ca="1">VLOOKUP($L55,OFFSET([4]characters!$A$1,0,0,COUNTA([4]characters!$A:$A),MATCH(O$1,[4]characters!$1:$1,0)-MATCH($L$1,[4]characters!$1:$1,0)+1),MATCH(O$1,[4]characters!$1:$1,0)-MATCH($L$1,[4]characters!$1:$1,0)+1,FALSE)</f>
        <v>Material</v>
      </c>
      <c r="P55" s="20" t="str">
        <f ca="1">VLOOKUP($L55,OFFSET([3]enemies!$A$1,0,0,COUNTA([3]enemies!$A:$A),MATCH(P$1,[3]enemies!$1:$1,0)-MATCH($L$1,[3]enemies!$1:$1,0)+1),MATCH(P$1,[3]enemies!$1:$1,0)-MATCH($L$1,[3]enemies!$1:$1,0)+1,FALSE)</f>
        <v>unknown</v>
      </c>
      <c r="Q55" s="20">
        <f ca="1">VLOOKUP($L55,OFFSET([3]enemies!$A$1,0,0,COUNTA([3]enemies!$A:$A),MATCH(Q$1,[3]enemies!$1:$1,0)-MATCH($L$1,[3]enemies!$1:$1,0)+1),MATCH(Q$1,[3]enemies!$1:$1,0)-MATCH($L$1,[3]enemies!$1:$1,0)+1,FALSE)</f>
        <v>20</v>
      </c>
      <c r="R55" s="6">
        <v>32</v>
      </c>
      <c r="S55" s="5">
        <f ca="1">VLOOKUP($L55,OFFSET(調整用!$C$1,0,0,COUNTA(調整用!$C:$C),MATCH(S$1,調整用!$1:$1,0)-MATCH($L$1,調整用!$1:$1,0)+1),MATCH(S$1,調整用!$1:$1,0)-MATCH($L$1,調整用!$1:$1,0)+1,FALSE)</f>
        <v>1</v>
      </c>
      <c r="T55" s="5">
        <f ca="1">VLOOKUP($L55,OFFSET(調整用!$C$1,0,0,COUNTA(調整用!$C:$C),MATCH(T$1,調整用!$1:$1,0)-MATCH($L$1,調整用!$1:$1,0)+1),MATCH(T$1,調整用!$1:$1,0)-MATCH($L$1,調整用!$1:$1,0)+1,FALSE)</f>
        <v>0.7</v>
      </c>
      <c r="U55" s="5">
        <f ca="1">VLOOKUP($L55,OFFSET(調整用!$C$1,0,0,COUNTA(調整用!$C:$C),MATCH(U$1,調整用!$1:$1,0)-MATCH($L$1,調整用!$1:$1,0)+1),MATCH(U$1,調整用!$1:$1,0)-MATCH($L$1,調整用!$1:$1,0)+1,FALSE)</f>
        <v>0</v>
      </c>
      <c r="V55" s="5" t="str">
        <f ca="1">VLOOKUP($W55,OFFSET([5]enemy_skill_sets!$B$1,0,0,COUNTA([5]enemy_skill_sets!$B:$B),MATCH(M$1,[5]enemy_skill_sets!$1:$1,0)-MATCH($W$1,[5]enemy_skill_sets!$1:$1,0)+2),MATCH(M$1,[5]enemy_skill_sets!$1:$1,0)-MATCH($W$1,[5]enemy_skill_sets!$1:$1,0)+2,FALSE)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5" s="5">
        <f ca="1">VLOOKUP($L55,OFFSET([3]enemies!$A$1,0,0,COUNTA([3]enemies!$A:$A),MATCH(W$1,[3]enemies!$1:$1,0)-MATCH($L$1,[3]enemies!$1:$1,0)+1),MATCH(W$1,[3]enemies!$1:$1,0)-MATCH($L$1,[3]enemies!$1:$1,0)+1,FALSE)</f>
        <v>0</v>
      </c>
      <c r="X55" s="7">
        <v>0</v>
      </c>
      <c r="Y55" s="7">
        <v>80</v>
      </c>
      <c r="Z55" s="7">
        <v>1</v>
      </c>
      <c r="AA55" s="5">
        <f ca="1">VLOOKUP($L55,OFFSET(調整用!$C$1,0,0,COUNTA(調整用!$C:$C),MATCH(AA$1,調整用!$1:$1,0)-MATCH($L$1,調整用!$1:$1,0)+1),MATCH(AA$1,調整用!$1:$1,0)-MATCH($L$1,調整用!$1:$1,0)+1,FALSE)</f>
        <v>1</v>
      </c>
      <c r="AB55" s="2">
        <f t="shared" si="43"/>
        <v>607</v>
      </c>
      <c r="AC55" s="5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メガ攻めの果実</v>
      </c>
      <c r="AD55" s="5">
        <f ca="1">VLOOKUP($AB55,OFFSET([4]characters!$A$1,0,0,COUNTA([4]characters!$A:$A),MATCH(AD$1,[4]characters!$1:$1,0)-MATCH("character_id",[4]characters!$1:$1,0)+1),MATCH(AD$1,[4]characters!$1:$1,0)-MATCH("character_id",[4]characters!$1:$1,0)+1,FALSE)</f>
        <v>4</v>
      </c>
      <c r="AE55" s="5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5" s="8">
        <v>1</v>
      </c>
      <c r="AG55" s="27">
        <f t="shared" ca="1" si="44"/>
        <v>4</v>
      </c>
      <c r="AH55" s="9">
        <v>100</v>
      </c>
      <c r="AI55" s="8">
        <v>0</v>
      </c>
      <c r="AJ55" s="8">
        <v>0</v>
      </c>
      <c r="AK55" s="8">
        <v>0</v>
      </c>
      <c r="AL55" s="8">
        <v>0</v>
      </c>
      <c r="AM55" s="8">
        <v>1</v>
      </c>
    </row>
    <row r="56" spans="1:39" ht="21" customHeight="1" x14ac:dyDescent="0.15">
      <c r="A56" s="17" t="str">
        <f ca="1">B56&amp;"_"&amp;C56&amp;"-"&amp;G56&amp;"/"&amp;L56&amp;"&lt;lv"&amp;R56&amp;"&gt;s"&amp;AA56</f>
        <v>14006_1-5/608&lt;lv32&gt;s2</v>
      </c>
      <c r="B56" s="99">
        <v>14006</v>
      </c>
      <c r="C56" s="100">
        <v>1</v>
      </c>
      <c r="D56" s="100" t="str">
        <f>B56&amp;"_"&amp;C56</f>
        <v>14006_1</v>
      </c>
      <c r="E56" s="101" t="str">
        <f ca="1">VLOOKUP($B56,OFFSET([2]quests!$A$1,0,0,COUNTA([2]quests!$A:$A),MATCH(E$1,[2]quests!$1:$1,0)-MATCH($B$1,[2]quests!$1:$1,0)+1),MATCH(E$1,[2]quests!$1:$1,0)-MATCH($B$1,[2]quests!$1:$1,0)+1,FALSE)</f>
        <v>【ロック】限界突破/LINEマルチ</v>
      </c>
      <c r="F56" s="101" t="str">
        <f ca="1">VLOOKUP($D56,OFFSET([2]stages!$A$1,0,0,COUNTA([2]stages!$A:$A),MATCH(F$1,[2]stages!$2:$2,0)-MATCH($D$1,[2]stages!$2:$2,0)+1),MATCH(F$1,[2]stages!$2:$2,0)-MATCH($D$1,[2]stages!$2:$2,0)+1,FALSE)</f>
        <v>【超級】果実の楽園（ハートなし）</v>
      </c>
      <c r="G56" s="100">
        <v>5</v>
      </c>
      <c r="H56" s="16" t="str">
        <f>B56&amp;"_"&amp;C56&amp;"-"&amp;G56</f>
        <v>14006_1-5</v>
      </c>
      <c r="I56" s="5">
        <f ca="1">VLOOKUP($H56,OFFSET(floors!$A$1,0,0,COUNTA(floors!$A:$A),MATCH(I$1,floors!$1:$1,0)-MATCH($H$1,floors!$1:$1,0)+1),MATCH(I$1,floors!$1:$1,0)-MATCH($H$1,floors!$1:$1,0)+1,FALSE)</f>
        <v>40</v>
      </c>
      <c r="J56" s="5">
        <f ca="1">VLOOKUP($H56,OFFSET(floors!$A$1,0,0,COUNTA(floors!$A:$A),MATCH(J$1,floors!$1:$1,0)-MATCH($H$1,floors!$1:$1,0)+1),MATCH(J$1,floors!$1:$1,0)-MATCH($H$1,floors!$1:$1,0)+1,FALSE)</f>
        <v>40</v>
      </c>
      <c r="K56" s="8" t="s">
        <v>142</v>
      </c>
      <c r="L56" s="24">
        <v>608</v>
      </c>
      <c r="M56" s="20" t="str">
        <f ca="1">VLOOKUP($L56,OFFSET([3]enemies!$A$1,0,0,COUNTA([3]enemies!$A:$A),MATCH(M$1,[3]enemies!$1:$1,0)-MATCH($L$1,[3]enemies!$1:$1,0)+1),MATCH(M$1,[3]enemies!$1:$1,0)-MATCH($L$1,[3]enemies!$1:$1,0)+1,FALSE)</f>
        <v>メガ生命の果実</v>
      </c>
      <c r="N56" s="20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20" t="str">
        <f ca="1">VLOOKUP($L56,OFFSET([4]characters!$A$1,0,0,COUNTA([4]characters!$A:$A),MATCH(O$1,[4]characters!$1:$1,0)-MATCH($L$1,[4]characters!$1:$1,0)+1),MATCH(O$1,[4]characters!$1:$1,0)-MATCH($L$1,[4]characters!$1:$1,0)+1,FALSE)</f>
        <v>Material</v>
      </c>
      <c r="P56" s="20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20">
        <f ca="1">VLOOKUP($L56,OFFSET([3]enemies!$A$1,0,0,COUNTA([3]enemies!$A:$A),MATCH(Q$1,[3]enemies!$1:$1,0)-MATCH($L$1,[3]enemies!$1:$1,0)+1),MATCH(Q$1,[3]enemies!$1:$1,0)-MATCH($L$1,[3]enemies!$1:$1,0)+1,FALSE)</f>
        <v>20</v>
      </c>
      <c r="R56" s="6">
        <v>32</v>
      </c>
      <c r="S56" s="5">
        <f ca="1">VLOOKUP($L56,OFFSET(調整用!$C$1,0,0,COUNTA(調整用!$C:$C),MATCH(S$1,調整用!$1:$1,0)-MATCH($L$1,調整用!$1:$1,0)+1),MATCH(S$1,調整用!$1:$1,0)-MATCH($L$1,調整用!$1:$1,0)+1,FALSE)</f>
        <v>1</v>
      </c>
      <c r="T56" s="5">
        <f ca="1">VLOOKUP($L56,OFFSET(調整用!$C$1,0,0,COUNTA(調整用!$C:$C),MATCH(T$1,調整用!$1:$1,0)-MATCH($L$1,調整用!$1:$1,0)+1),MATCH(T$1,調整用!$1:$1,0)-MATCH($L$1,調整用!$1:$1,0)+1,FALSE)</f>
        <v>0.9</v>
      </c>
      <c r="U56" s="5">
        <f ca="1">VLOOKUP($L56,OFFSET(調整用!$C$1,0,0,COUNTA(調整用!$C:$C),MATCH(U$1,調整用!$1:$1,0)-MATCH($L$1,調整用!$1:$1,0)+1),MATCH(U$1,調整用!$1:$1,0)-MATCH($L$1,調整用!$1:$1,0)+1,FALSE)</f>
        <v>0</v>
      </c>
      <c r="V56" s="5" t="str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6" s="5">
        <f ca="1">VLOOKUP($L56,OFFSET([3]enemies!$A$1,0,0,COUNTA([3]enemies!$A:$A),MATCH(W$1,[3]enemies!$1:$1,0)-MATCH($L$1,[3]enemies!$1:$1,0)+1),MATCH(W$1,[3]enemies!$1:$1,0)-MATCH($L$1,[3]enemies!$1:$1,0)+1,FALSE)</f>
        <v>0</v>
      </c>
      <c r="X56" s="7">
        <v>0</v>
      </c>
      <c r="Y56" s="7">
        <v>80</v>
      </c>
      <c r="Z56" s="7">
        <v>1</v>
      </c>
      <c r="AA56" s="5">
        <f ca="1">VLOOKUP($L56,OFFSET(調整用!$C$1,0,0,COUNTA(調整用!$C:$C),MATCH(AA$1,調整用!$1:$1,0)-MATCH($L$1,調整用!$1:$1,0)+1),MATCH(AA$1,調整用!$1:$1,0)-MATCH($L$1,調整用!$1:$1,0)+1,FALSE)</f>
        <v>2</v>
      </c>
      <c r="AB56" s="2">
        <f>L56</f>
        <v>608</v>
      </c>
      <c r="AC56" s="5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メガ生命の果実</v>
      </c>
      <c r="AD56" s="5">
        <f ca="1">VLOOKUP($AB56,OFFSET([4]characters!$A$1,0,0,COUNTA([4]characters!$A:$A),MATCH(AD$1,[4]characters!$1:$1,0)-MATCH("character_id",[4]characters!$1:$1,0)+1),MATCH(AD$1,[4]characters!$1:$1,0)-MATCH("character_id",[4]characters!$1:$1,0)+1,FALSE)</f>
        <v>4</v>
      </c>
      <c r="AE56" s="5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6" s="8">
        <v>1</v>
      </c>
      <c r="AG56" s="27">
        <f ca="1">AD56</f>
        <v>4</v>
      </c>
      <c r="AH56" s="9">
        <v>100</v>
      </c>
      <c r="AI56" s="8">
        <v>0</v>
      </c>
      <c r="AJ56" s="8">
        <v>0</v>
      </c>
      <c r="AK56" s="8">
        <v>0</v>
      </c>
      <c r="AL56" s="8">
        <v>0</v>
      </c>
      <c r="AM56" s="8">
        <v>1</v>
      </c>
    </row>
    <row r="57" spans="1:39" ht="21" customHeight="1" x14ac:dyDescent="0.15">
      <c r="A57" s="17" t="str">
        <f t="shared" ref="A57" ca="1" si="45">B57&amp;"_"&amp;C57&amp;"-"&amp;G57&amp;"/"&amp;L57&amp;"&lt;lv"&amp;R57&amp;"&gt;s"&amp;AA57</f>
        <v>14006_1-5/609&lt;lv32&gt;s3</v>
      </c>
      <c r="B57" s="99">
        <v>14006</v>
      </c>
      <c r="C57" s="100">
        <v>1</v>
      </c>
      <c r="D57" s="100" t="str">
        <f t="shared" ref="D57" si="46">B57&amp;"_"&amp;C57</f>
        <v>14006_1</v>
      </c>
      <c r="E57" s="101" t="str">
        <f ca="1">VLOOKUP($B57,OFFSET([2]quests!$A$1,0,0,COUNTA([2]quests!$A:$A),MATCH(E$1,[2]quests!$1:$1,0)-MATCH($B$1,[2]quests!$1:$1,0)+1),MATCH(E$1,[2]quests!$1:$1,0)-MATCH($B$1,[2]quests!$1:$1,0)+1,FALSE)</f>
        <v>【ロック】限界突破/LINEマルチ</v>
      </c>
      <c r="F57" s="101" t="str">
        <f ca="1">VLOOKUP($D57,OFFSET([2]stages!$A$1,0,0,COUNTA([2]stages!$A:$A),MATCH(F$1,[2]stages!$2:$2,0)-MATCH($D$1,[2]stages!$2:$2,0)+1),MATCH(F$1,[2]stages!$2:$2,0)-MATCH($D$1,[2]stages!$2:$2,0)+1,FALSE)</f>
        <v>【超級】果実の楽園（ハートなし）</v>
      </c>
      <c r="G57" s="100">
        <v>5</v>
      </c>
      <c r="H57" s="16" t="str">
        <f t="shared" ref="H57" si="47">B57&amp;"_"&amp;C57&amp;"-"&amp;G57</f>
        <v>14006_1-5</v>
      </c>
      <c r="I57" s="5">
        <f ca="1">VLOOKUP($H57,OFFSET(floors!$A$1,0,0,COUNTA(floors!$A:$A),MATCH(I$1,floors!$1:$1,0)-MATCH($H$1,floors!$1:$1,0)+1),MATCH(I$1,floors!$1:$1,0)-MATCH($H$1,floors!$1:$1,0)+1,FALSE)</f>
        <v>40</v>
      </c>
      <c r="J57" s="5">
        <f ca="1">VLOOKUP($H57,OFFSET(floors!$A$1,0,0,COUNTA(floors!$A:$A),MATCH(J$1,floors!$1:$1,0)-MATCH($H$1,floors!$1:$1,0)+1),MATCH(J$1,floors!$1:$1,0)-MATCH($H$1,floors!$1:$1,0)+1,FALSE)</f>
        <v>40</v>
      </c>
      <c r="K57" s="8" t="s">
        <v>142</v>
      </c>
      <c r="L57" s="24">
        <v>609</v>
      </c>
      <c r="M57" s="20" t="str">
        <f ca="1">VLOOKUP($L57,OFFSET([3]enemies!$A$1,0,0,COUNTA([3]enemies!$A:$A),MATCH(M$1,[3]enemies!$1:$1,0)-MATCH($L$1,[3]enemies!$1:$1,0)+1),MATCH(M$1,[3]enemies!$1:$1,0)-MATCH($L$1,[3]enemies!$1:$1,0)+1,FALSE)</f>
        <v>メガ癒しの果実</v>
      </c>
      <c r="N57" s="20" t="str">
        <f ca="1">VLOOKUP($L57,OFFSET([3]enemies!$A$1,0,0,COUNTA([3]enemies!$A:$A),MATCH(N$1,[3]enemies!$1:$1,0)-MATCH($L$1,[3]enemies!$1:$1,0)+1),MATCH(N$1,[3]enemies!$1:$1,0)-MATCH($L$1,[3]enemies!$1:$1,0)+1,FALSE)</f>
        <v>blue</v>
      </c>
      <c r="O57" s="20" t="str">
        <f ca="1">VLOOKUP($L57,OFFSET([4]characters!$A$1,0,0,COUNTA([4]characters!$A:$A),MATCH(O$1,[4]characters!$1:$1,0)-MATCH($L$1,[4]characters!$1:$1,0)+1),MATCH(O$1,[4]characters!$1:$1,0)-MATCH($L$1,[4]characters!$1:$1,0)+1,FALSE)</f>
        <v>Material</v>
      </c>
      <c r="P57" s="20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20">
        <f ca="1">VLOOKUP($L57,OFFSET([3]enemies!$A$1,0,0,COUNTA([3]enemies!$A:$A),MATCH(Q$1,[3]enemies!$1:$1,0)-MATCH($L$1,[3]enemies!$1:$1,0)+1),MATCH(Q$1,[3]enemies!$1:$1,0)-MATCH($L$1,[3]enemies!$1:$1,0)+1,FALSE)</f>
        <v>20</v>
      </c>
      <c r="R57" s="6">
        <v>32</v>
      </c>
      <c r="S57" s="5">
        <f ca="1">VLOOKUP($L57,OFFSET(調整用!$C$1,0,0,COUNTA(調整用!$C:$C),MATCH(S$1,調整用!$1:$1,0)-MATCH($L$1,調整用!$1:$1,0)+1),MATCH(S$1,調整用!$1:$1,0)-MATCH($L$1,調整用!$1:$1,0)+1,FALSE)</f>
        <v>1</v>
      </c>
      <c r="T57" s="5">
        <f ca="1">VLOOKUP($L57,OFFSET(調整用!$C$1,0,0,COUNTA(調整用!$C:$C),MATCH(T$1,調整用!$1:$1,0)-MATCH($L$1,調整用!$1:$1,0)+1),MATCH(T$1,調整用!$1:$1,0)-MATCH($L$1,調整用!$1:$1,0)+1,FALSE)</f>
        <v>1</v>
      </c>
      <c r="U57" s="5">
        <f ca="1">VLOOKUP($L57,OFFSET(調整用!$C$1,0,0,COUNTA(調整用!$C:$C),MATCH(U$1,調整用!$1:$1,0)-MATCH($L$1,調整用!$1:$1,0)+1),MATCH(U$1,調整用!$1:$1,0)-MATCH($L$1,調整用!$1:$1,0)+1,FALSE)</f>
        <v>0</v>
      </c>
      <c r="V57" s="5" t="str">
        <f ca="1">VLOOKUP($W57,OFFSET([5]enemy_skill_sets!$B$1,0,0,COUNTA([5]enemy_skill_sets!$B:$B),MATCH(M$1,[5]enemy_skill_sets!$1:$1,0)-MATCH($W$1,[5]enemy_skill_sets!$1:$1,0)+2),MATCH(M$1,[5]enemy_skill_sets!$1:$1,0)-MATCH($W$1,[5]enemy_skill_sets!$1:$1,0)+2,FALSE)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7" s="5">
        <f ca="1">VLOOKUP($L57,OFFSET([3]enemies!$A$1,0,0,COUNTA([3]enemies!$A:$A),MATCH(W$1,[3]enemies!$1:$1,0)-MATCH($L$1,[3]enemies!$1:$1,0)+1),MATCH(W$1,[3]enemies!$1:$1,0)-MATCH($L$1,[3]enemies!$1:$1,0)+1,FALSE)</f>
        <v>0</v>
      </c>
      <c r="X57" s="7">
        <v>0</v>
      </c>
      <c r="Y57" s="7">
        <v>80</v>
      </c>
      <c r="Z57" s="7">
        <v>1</v>
      </c>
      <c r="AA57" s="5">
        <f ca="1">VLOOKUP($L57,OFFSET(調整用!$C$1,0,0,COUNTA(調整用!$C:$C),MATCH(AA$1,調整用!$1:$1,0)-MATCH($L$1,調整用!$1:$1,0)+1),MATCH(AA$1,調整用!$1:$1,0)-MATCH($L$1,調整用!$1:$1,0)+1,FALSE)</f>
        <v>3</v>
      </c>
      <c r="AB57" s="2">
        <f t="shared" ref="AB57" si="48">L57</f>
        <v>609</v>
      </c>
      <c r="AC57" s="5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メガ癒しの果実</v>
      </c>
      <c r="AD57" s="5">
        <f ca="1">VLOOKUP($AB57,OFFSET([4]characters!$A$1,0,0,COUNTA([4]characters!$A:$A),MATCH(AD$1,[4]characters!$1:$1,0)-MATCH("character_id",[4]characters!$1:$1,0)+1),MATCH(AD$1,[4]characters!$1:$1,0)-MATCH("character_id",[4]characters!$1:$1,0)+1,FALSE)</f>
        <v>4</v>
      </c>
      <c r="AE57" s="5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7" s="8">
        <v>1</v>
      </c>
      <c r="AG57" s="27">
        <f t="shared" ref="AG57" ca="1" si="49">AD57</f>
        <v>4</v>
      </c>
      <c r="AH57" s="9">
        <v>100</v>
      </c>
      <c r="AI57" s="8">
        <v>0</v>
      </c>
      <c r="AJ57" s="8">
        <v>0</v>
      </c>
      <c r="AK57" s="8">
        <v>0</v>
      </c>
      <c r="AL57" s="8">
        <v>0</v>
      </c>
      <c r="AM57" s="8">
        <v>1</v>
      </c>
    </row>
    <row r="58" spans="1:39" ht="21" customHeight="1" x14ac:dyDescent="0.15">
      <c r="A58" s="17" t="str">
        <f ca="1">B58&amp;"_"&amp;C58&amp;"-"&amp;G58&amp;"/"&amp;L58&amp;"&lt;lv"&amp;R58&amp;"&gt;s"&amp;AA58</f>
        <v>14006_1-5/611&lt;lv32&gt;s1</v>
      </c>
      <c r="B58" s="99">
        <v>14006</v>
      </c>
      <c r="C58" s="100">
        <v>1</v>
      </c>
      <c r="D58" s="100" t="str">
        <f>B58&amp;"_"&amp;C58</f>
        <v>14006_1</v>
      </c>
      <c r="E58" s="101" t="str">
        <f ca="1">VLOOKUP($B58,OFFSET([2]quests!$A$1,0,0,COUNTA([2]quests!$A:$A),MATCH(E$1,[2]quests!$1:$1,0)-MATCH($B$1,[2]quests!$1:$1,0)+1),MATCH(E$1,[2]quests!$1:$1,0)-MATCH($B$1,[2]quests!$1:$1,0)+1,FALSE)</f>
        <v>【ロック】限界突破/LINEマルチ</v>
      </c>
      <c r="F58" s="101" t="str">
        <f ca="1">VLOOKUP($D58,OFFSET([2]stages!$A$1,0,0,COUNTA([2]stages!$A:$A),MATCH(F$1,[2]stages!$2:$2,0)-MATCH($D$1,[2]stages!$2:$2,0)+1),MATCH(F$1,[2]stages!$2:$2,0)-MATCH($D$1,[2]stages!$2:$2,0)+1,FALSE)</f>
        <v>【超級】果実の楽園（ハートなし）</v>
      </c>
      <c r="G58" s="100">
        <v>5</v>
      </c>
      <c r="H58" s="16" t="str">
        <f>B58&amp;"_"&amp;C58&amp;"-"&amp;G58</f>
        <v>14006_1-5</v>
      </c>
      <c r="I58" s="5">
        <f ca="1">VLOOKUP($H58,OFFSET(floors!$A$1,0,0,COUNTA(floors!$A:$A),MATCH(I$1,floors!$1:$1,0)-MATCH($H$1,floors!$1:$1,0)+1),MATCH(I$1,floors!$1:$1,0)-MATCH($H$1,floors!$1:$1,0)+1,FALSE)</f>
        <v>40</v>
      </c>
      <c r="J58" s="5">
        <f ca="1">VLOOKUP($H58,OFFSET(floors!$A$1,0,0,COUNTA(floors!$A:$A),MATCH(J$1,floors!$1:$1,0)-MATCH($H$1,floors!$1:$1,0)+1),MATCH(J$1,floors!$1:$1,0)-MATCH($H$1,floors!$1:$1,0)+1,FALSE)</f>
        <v>40</v>
      </c>
      <c r="K58" s="8" t="s">
        <v>142</v>
      </c>
      <c r="L58" s="24">
        <v>611</v>
      </c>
      <c r="M58" s="20" t="str">
        <f ca="1">VLOOKUP($L58,OFFSET([3]enemies!$A$1,0,0,COUNTA([3]enemies!$A:$A),MATCH(M$1,[3]enemies!$1:$1,0)-MATCH($L$1,[3]enemies!$1:$1,0)+1),MATCH(M$1,[3]enemies!$1:$1,0)-MATCH($L$1,[3]enemies!$1:$1,0)+1,FALSE)</f>
        <v>ギガ攻めの果実</v>
      </c>
      <c r="N58" s="20" t="str">
        <f ca="1">VLOOKUP($L58,OFFSET([3]enemies!$A$1,0,0,COUNTA([3]enemies!$A:$A),MATCH(N$1,[3]enemies!$1:$1,0)-MATCH($L$1,[3]enemies!$1:$1,0)+1),MATCH(N$1,[3]enemies!$1:$1,0)-MATCH($L$1,[3]enemies!$1:$1,0)+1,FALSE)</f>
        <v>red</v>
      </c>
      <c r="O58" s="20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20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20">
        <f ca="1">VLOOKUP($L58,OFFSET([3]enemies!$A$1,0,0,COUNTA([3]enemies!$A:$A),MATCH(Q$1,[3]enemies!$1:$1,0)-MATCH($L$1,[3]enemies!$1:$1,0)+1),MATCH(Q$1,[3]enemies!$1:$1,0)-MATCH($L$1,[3]enemies!$1:$1,0)+1,FALSE)</f>
        <v>20</v>
      </c>
      <c r="R58" s="6">
        <v>32</v>
      </c>
      <c r="S58" s="5">
        <f ca="1">VLOOKUP($L58,OFFSET(調整用!$C$1,0,0,COUNTA(調整用!$C:$C),MATCH(S$1,調整用!$1:$1,0)-MATCH($L$1,調整用!$1:$1,0)+1),MATCH(S$1,調整用!$1:$1,0)-MATCH($L$1,調整用!$1:$1,0)+1,FALSE)</f>
        <v>1.5</v>
      </c>
      <c r="T58" s="5">
        <f ca="1">VLOOKUP($L58,OFFSET(調整用!$C$1,0,0,COUNTA(調整用!$C:$C),MATCH(T$1,調整用!$1:$1,0)-MATCH($L$1,調整用!$1:$1,0)+1),MATCH(T$1,調整用!$1:$1,0)-MATCH($L$1,調整用!$1:$1,0)+1,FALSE)</f>
        <v>0.8</v>
      </c>
      <c r="U58" s="5">
        <f ca="1">VLOOKUP($L58,OFFSET(調整用!$C$1,0,0,COUNTA(調整用!$C:$C),MATCH(U$1,調整用!$1:$1,0)-MATCH($L$1,調整用!$1:$1,0)+1),MATCH(U$1,調整用!$1:$1,0)-MATCH($L$1,調整用!$1:$1,0)+1,FALSE)</f>
        <v>0</v>
      </c>
      <c r="V58" s="5" t="str">
        <f ca="1">VLOOKUP($W58,OFFSET(enemy_skill_sets!$B$1,0,0,COUNTA(enemy_skill_sets!$B:$B),MATCH(M$1,enemy_skill_sets!$1:$1,0)-MATCH($W$1,enemy_skill_sets!$1:$1,0)+2),MATCH(M$1,enemy_skill_sets!$1:$1,0)-MATCH($W$1,enemy_skill_sets!$1:$1,0)+2,FALSE)</f>
        <v>ギガ攻めの果実が あらわれた！</v>
      </c>
      <c r="W58" s="57">
        <v>14002611</v>
      </c>
      <c r="X58" s="7">
        <v>0</v>
      </c>
      <c r="Y58" s="7">
        <v>20</v>
      </c>
      <c r="Z58" s="7">
        <v>1</v>
      </c>
      <c r="AA58" s="5">
        <f ca="1">VLOOKUP($L58,OFFSET(調整用!$C$1,0,0,COUNTA(調整用!$C:$C),MATCH(AA$1,調整用!$1:$1,0)-MATCH($L$1,調整用!$1:$1,0)+1),MATCH(AA$1,調整用!$1:$1,0)-MATCH($L$1,調整用!$1:$1,0)+1,FALSE)</f>
        <v>1</v>
      </c>
      <c r="AB58" s="2">
        <f>L58</f>
        <v>611</v>
      </c>
      <c r="AC58" s="5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ギガ攻めの果実</v>
      </c>
      <c r="AD58" s="5">
        <f ca="1">VLOOKUP($AB58,OFFSET([4]characters!$A$1,0,0,COUNTA([4]characters!$A:$A),MATCH(AD$1,[4]characters!$1:$1,0)-MATCH("character_id",[4]characters!$1:$1,0)+1),MATCH(AD$1,[4]characters!$1:$1,0)-MATCH("character_id",[4]characters!$1:$1,0)+1,FALSE)</f>
        <v>5</v>
      </c>
      <c r="AE58" s="5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8" s="8">
        <v>1</v>
      </c>
      <c r="AG58" s="27">
        <f ca="1">AD58</f>
        <v>5</v>
      </c>
      <c r="AH58" s="9">
        <v>100</v>
      </c>
      <c r="AI58" s="8">
        <v>0</v>
      </c>
      <c r="AJ58" s="8">
        <v>0</v>
      </c>
      <c r="AK58" s="8">
        <v>0</v>
      </c>
      <c r="AL58" s="8">
        <v>0</v>
      </c>
      <c r="AM58" s="8">
        <v>1</v>
      </c>
    </row>
    <row r="59" spans="1:39" ht="21" customHeight="1" x14ac:dyDescent="0.15">
      <c r="A59" s="17" t="str">
        <f t="shared" ref="A59:A60" ca="1" si="50">B59&amp;"_"&amp;C59&amp;"-"&amp;G59&amp;"/"&amp;L59&amp;"&lt;lv"&amp;R59&amp;"&gt;s"&amp;AA59</f>
        <v>14006_1-5/612&lt;lv32&gt;s2</v>
      </c>
      <c r="B59" s="99">
        <v>14006</v>
      </c>
      <c r="C59" s="100">
        <v>1</v>
      </c>
      <c r="D59" s="100" t="str">
        <f t="shared" ref="D59:D60" si="51">B59&amp;"_"&amp;C59</f>
        <v>14006_1</v>
      </c>
      <c r="E59" s="101" t="str">
        <f ca="1">VLOOKUP($B59,OFFSET([2]quests!$A$1,0,0,COUNTA([2]quests!$A:$A),MATCH(E$1,[2]quests!$1:$1,0)-MATCH($B$1,[2]quests!$1:$1,0)+1),MATCH(E$1,[2]quests!$1:$1,0)-MATCH($B$1,[2]quests!$1:$1,0)+1,FALSE)</f>
        <v>【ロック】限界突破/LINEマルチ</v>
      </c>
      <c r="F59" s="101" t="str">
        <f ca="1">VLOOKUP($D59,OFFSET([2]stages!$A$1,0,0,COUNTA([2]stages!$A:$A),MATCH(F$1,[2]stages!$2:$2,0)-MATCH($D$1,[2]stages!$2:$2,0)+1),MATCH(F$1,[2]stages!$2:$2,0)-MATCH($D$1,[2]stages!$2:$2,0)+1,FALSE)</f>
        <v>【超級】果実の楽園（ハートなし）</v>
      </c>
      <c r="G59" s="100">
        <v>5</v>
      </c>
      <c r="H59" s="16" t="str">
        <f t="shared" ref="H59:H60" si="52">B59&amp;"_"&amp;C59&amp;"-"&amp;G59</f>
        <v>14006_1-5</v>
      </c>
      <c r="I59" s="5">
        <f ca="1">VLOOKUP($H59,OFFSET(floors!$A$1,0,0,COUNTA(floors!$A:$A),MATCH(I$1,floors!$1:$1,0)-MATCH($H$1,floors!$1:$1,0)+1),MATCH(I$1,floors!$1:$1,0)-MATCH($H$1,floors!$1:$1,0)+1,FALSE)</f>
        <v>40</v>
      </c>
      <c r="J59" s="5">
        <f ca="1">VLOOKUP($H59,OFFSET(floors!$A$1,0,0,COUNTA(floors!$A:$A),MATCH(J$1,floors!$1:$1,0)-MATCH($H$1,floors!$1:$1,0)+1),MATCH(J$1,floors!$1:$1,0)-MATCH($H$1,floors!$1:$1,0)+1,FALSE)</f>
        <v>40</v>
      </c>
      <c r="K59" s="8" t="s">
        <v>142</v>
      </c>
      <c r="L59" s="24">
        <v>612</v>
      </c>
      <c r="M59" s="20" t="str">
        <f ca="1">VLOOKUP($L59,OFFSET([3]enemies!$A$1,0,0,COUNTA([3]enemies!$A:$A),MATCH(M$1,[3]enemies!$1:$1,0)-MATCH($L$1,[3]enemies!$1:$1,0)+1),MATCH(M$1,[3]enemies!$1:$1,0)-MATCH($L$1,[3]enemies!$1:$1,0)+1,FALSE)</f>
        <v>ギガ生命の果実</v>
      </c>
      <c r="N59" s="20" t="str">
        <f ca="1">VLOOKUP($L59,OFFSET([3]enemies!$A$1,0,0,COUNTA([3]enemies!$A:$A),MATCH(N$1,[3]enemies!$1:$1,0)-MATCH($L$1,[3]enemies!$1:$1,0)+1),MATCH(N$1,[3]enemies!$1:$1,0)-MATCH($L$1,[3]enemies!$1:$1,0)+1,FALSE)</f>
        <v>green</v>
      </c>
      <c r="O59" s="20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20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20">
        <f ca="1">VLOOKUP($L59,OFFSET([3]enemies!$A$1,0,0,COUNTA([3]enemies!$A:$A),MATCH(Q$1,[3]enemies!$1:$1,0)-MATCH($L$1,[3]enemies!$1:$1,0)+1),MATCH(Q$1,[3]enemies!$1:$1,0)-MATCH($L$1,[3]enemies!$1:$1,0)+1,FALSE)</f>
        <v>20</v>
      </c>
      <c r="R59" s="6">
        <v>32</v>
      </c>
      <c r="S59" s="5">
        <f ca="1">VLOOKUP($L59,OFFSET(調整用!$C$1,0,0,COUNTA(調整用!$C:$C),MATCH(S$1,調整用!$1:$1,0)-MATCH($L$1,調整用!$1:$1,0)+1),MATCH(S$1,調整用!$1:$1,0)-MATCH($L$1,調整用!$1:$1,0)+1,FALSE)</f>
        <v>1.5</v>
      </c>
      <c r="T59" s="5">
        <f ca="1">VLOOKUP($L59,OFFSET(調整用!$C$1,0,0,COUNTA(調整用!$C:$C),MATCH(T$1,調整用!$1:$1,0)-MATCH($L$1,調整用!$1:$1,0)+1),MATCH(T$1,調整用!$1:$1,0)-MATCH($L$1,調整用!$1:$1,0)+1,FALSE)</f>
        <v>1</v>
      </c>
      <c r="U59" s="5">
        <f ca="1">VLOOKUP($L59,OFFSET(調整用!$C$1,0,0,COUNTA(調整用!$C:$C),MATCH(U$1,調整用!$1:$1,0)-MATCH($L$1,調整用!$1:$1,0)+1),MATCH(U$1,調整用!$1:$1,0)-MATCH($L$1,調整用!$1:$1,0)+1,FALSE)</f>
        <v>0</v>
      </c>
      <c r="V59" s="5" t="str">
        <f ca="1">VLOOKUP($W59,OFFSET(enemy_skill_sets!$B$1,0,0,COUNTA(enemy_skill_sets!$B:$B),MATCH(M$1,enemy_skill_sets!$1:$1,0)-MATCH($W$1,enemy_skill_sets!$1:$1,0)+2),MATCH(M$1,enemy_skill_sets!$1:$1,0)-MATCH($W$1,enemy_skill_sets!$1:$1,0)+2,FALSE)</f>
        <v>ギガ体力の果実が あらわれた！</v>
      </c>
      <c r="W59" s="57">
        <v>14002612</v>
      </c>
      <c r="X59" s="7">
        <v>0</v>
      </c>
      <c r="Y59" s="7">
        <v>20</v>
      </c>
      <c r="Z59" s="7">
        <v>1</v>
      </c>
      <c r="AA59" s="5">
        <f ca="1">VLOOKUP($L59,OFFSET(調整用!$C$1,0,0,COUNTA(調整用!$C:$C),MATCH(AA$1,調整用!$1:$1,0)-MATCH($L$1,調整用!$1:$1,0)+1),MATCH(AA$1,調整用!$1:$1,0)-MATCH($L$1,調整用!$1:$1,0)+1,FALSE)</f>
        <v>2</v>
      </c>
      <c r="AB59" s="2">
        <f t="shared" ref="AB59:AB60" si="53">L59</f>
        <v>612</v>
      </c>
      <c r="AC59" s="5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ギガ生命の果実</v>
      </c>
      <c r="AD59" s="5">
        <f ca="1">VLOOKUP($AB59,OFFSET([4]characters!$A$1,0,0,COUNTA([4]characters!$A:$A),MATCH(AD$1,[4]characters!$1:$1,0)-MATCH("character_id",[4]characters!$1:$1,0)+1),MATCH(AD$1,[4]characters!$1:$1,0)-MATCH("character_id",[4]characters!$1:$1,0)+1,FALSE)</f>
        <v>5</v>
      </c>
      <c r="AE59" s="5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9" s="8">
        <v>1</v>
      </c>
      <c r="AG59" s="27">
        <f t="shared" ref="AG59:AG60" ca="1" si="54">AD59</f>
        <v>5</v>
      </c>
      <c r="AH59" s="9">
        <v>100</v>
      </c>
      <c r="AI59" s="8">
        <v>0</v>
      </c>
      <c r="AJ59" s="8">
        <v>0</v>
      </c>
      <c r="AK59" s="8">
        <v>0</v>
      </c>
      <c r="AL59" s="8">
        <v>0</v>
      </c>
      <c r="AM59" s="8">
        <v>1</v>
      </c>
    </row>
    <row r="60" spans="1:39" ht="21" customHeight="1" x14ac:dyDescent="0.15">
      <c r="A60" s="17" t="str">
        <f t="shared" ca="1" si="50"/>
        <v>14006_1-5/613&lt;lv32&gt;s3</v>
      </c>
      <c r="B60" s="99">
        <v>14006</v>
      </c>
      <c r="C60" s="100">
        <v>1</v>
      </c>
      <c r="D60" s="100" t="str">
        <f t="shared" si="51"/>
        <v>14006_1</v>
      </c>
      <c r="E60" s="101" t="str">
        <f ca="1">VLOOKUP($B60,OFFSET([2]quests!$A$1,0,0,COUNTA([2]quests!$A:$A),MATCH(E$1,[2]quests!$1:$1,0)-MATCH($B$1,[2]quests!$1:$1,0)+1),MATCH(E$1,[2]quests!$1:$1,0)-MATCH($B$1,[2]quests!$1:$1,0)+1,FALSE)</f>
        <v>【ロック】限界突破/LINEマルチ</v>
      </c>
      <c r="F60" s="101" t="str">
        <f ca="1">VLOOKUP($D60,OFFSET([2]stages!$A$1,0,0,COUNTA([2]stages!$A:$A),MATCH(F$1,[2]stages!$2:$2,0)-MATCH($D$1,[2]stages!$2:$2,0)+1),MATCH(F$1,[2]stages!$2:$2,0)-MATCH($D$1,[2]stages!$2:$2,0)+1,FALSE)</f>
        <v>【超級】果実の楽園（ハートなし）</v>
      </c>
      <c r="G60" s="100">
        <v>5</v>
      </c>
      <c r="H60" s="16" t="str">
        <f t="shared" si="52"/>
        <v>14006_1-5</v>
      </c>
      <c r="I60" s="5">
        <f ca="1">VLOOKUP($H60,OFFSET(floors!$A$1,0,0,COUNTA(floors!$A:$A),MATCH(I$1,floors!$1:$1,0)-MATCH($H$1,floors!$1:$1,0)+1),MATCH(I$1,floors!$1:$1,0)-MATCH($H$1,floors!$1:$1,0)+1,FALSE)</f>
        <v>40</v>
      </c>
      <c r="J60" s="5">
        <f ca="1">VLOOKUP($H60,OFFSET(floors!$A$1,0,0,COUNTA(floors!$A:$A),MATCH(J$1,floors!$1:$1,0)-MATCH($H$1,floors!$1:$1,0)+1),MATCH(J$1,floors!$1:$1,0)-MATCH($H$1,floors!$1:$1,0)+1,FALSE)</f>
        <v>40</v>
      </c>
      <c r="K60" s="8" t="s">
        <v>142</v>
      </c>
      <c r="L60" s="24">
        <v>613</v>
      </c>
      <c r="M60" s="20" t="str">
        <f ca="1">VLOOKUP($L60,OFFSET([3]enemies!$A$1,0,0,COUNTA([3]enemies!$A:$A),MATCH(M$1,[3]enemies!$1:$1,0)-MATCH($L$1,[3]enemies!$1:$1,0)+1),MATCH(M$1,[3]enemies!$1:$1,0)-MATCH($L$1,[3]enemies!$1:$1,0)+1,FALSE)</f>
        <v>ギガ癒しの果実</v>
      </c>
      <c r="N60" s="20" t="str">
        <f ca="1">VLOOKUP($L60,OFFSET([3]enemies!$A$1,0,0,COUNTA([3]enemies!$A:$A),MATCH(N$1,[3]enemies!$1:$1,0)-MATCH($L$1,[3]enemies!$1:$1,0)+1),MATCH(N$1,[3]enemies!$1:$1,0)-MATCH($L$1,[3]enemies!$1:$1,0)+1,FALSE)</f>
        <v>blue</v>
      </c>
      <c r="O60" s="20" t="str">
        <f ca="1">VLOOKUP($L60,OFFSET([4]characters!$A$1,0,0,COUNTA([4]characters!$A:$A),MATCH(O$1,[4]characters!$1:$1,0)-MATCH($L$1,[4]characters!$1:$1,0)+1),MATCH(O$1,[4]characters!$1:$1,0)-MATCH($L$1,[4]characters!$1:$1,0)+1,FALSE)</f>
        <v>Material</v>
      </c>
      <c r="P60" s="20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20">
        <f ca="1">VLOOKUP($L60,OFFSET([3]enemies!$A$1,0,0,COUNTA([3]enemies!$A:$A),MATCH(Q$1,[3]enemies!$1:$1,0)-MATCH($L$1,[3]enemies!$1:$1,0)+1),MATCH(Q$1,[3]enemies!$1:$1,0)-MATCH($L$1,[3]enemies!$1:$1,0)+1,FALSE)</f>
        <v>20</v>
      </c>
      <c r="R60" s="6">
        <v>32</v>
      </c>
      <c r="S60" s="5">
        <f ca="1">VLOOKUP($L60,OFFSET(調整用!$C$1,0,0,COUNTA(調整用!$C:$C),MATCH(S$1,調整用!$1:$1,0)-MATCH($L$1,調整用!$1:$1,0)+1),MATCH(S$1,調整用!$1:$1,0)-MATCH($L$1,調整用!$1:$1,0)+1,FALSE)</f>
        <v>1.5</v>
      </c>
      <c r="T60" s="5">
        <f ca="1">VLOOKUP($L60,OFFSET(調整用!$C$1,0,0,COUNTA(調整用!$C:$C),MATCH(T$1,調整用!$1:$1,0)-MATCH($L$1,調整用!$1:$1,0)+1),MATCH(T$1,調整用!$1:$1,0)-MATCH($L$1,調整用!$1:$1,0)+1,FALSE)</f>
        <v>1.1000000000000001</v>
      </c>
      <c r="U60" s="5">
        <f ca="1">VLOOKUP($L60,OFFSET(調整用!$C$1,0,0,COUNTA(調整用!$C:$C),MATCH(U$1,調整用!$1:$1,0)-MATCH($L$1,調整用!$1:$1,0)+1),MATCH(U$1,調整用!$1:$1,0)-MATCH($L$1,調整用!$1:$1,0)+1,FALSE)</f>
        <v>0</v>
      </c>
      <c r="V60" s="5" t="str">
        <f ca="1">VLOOKUP($W60,OFFSET(enemy_skill_sets!$B$1,0,0,COUNTA(enemy_skill_sets!$B:$B),MATCH(M$1,enemy_skill_sets!$1:$1,0)-MATCH($W$1,enemy_skill_sets!$1:$1,0)+2),MATCH(M$1,enemy_skill_sets!$1:$1,0)-MATCH($W$1,enemy_skill_sets!$1:$1,0)+2,FALSE)</f>
        <v>ギガ癒しの果実が あらわれた！</v>
      </c>
      <c r="W60" s="57">
        <v>14002613</v>
      </c>
      <c r="X60" s="7">
        <v>0</v>
      </c>
      <c r="Y60" s="7">
        <v>20</v>
      </c>
      <c r="Z60" s="7">
        <v>1</v>
      </c>
      <c r="AA60" s="5">
        <f ca="1">VLOOKUP($L60,OFFSET(調整用!$C$1,0,0,COUNTA(調整用!$C:$C),MATCH(AA$1,調整用!$1:$1,0)-MATCH($L$1,調整用!$1:$1,0)+1),MATCH(AA$1,調整用!$1:$1,0)-MATCH($L$1,調整用!$1:$1,0)+1,FALSE)</f>
        <v>3</v>
      </c>
      <c r="AB60" s="2">
        <f t="shared" si="53"/>
        <v>613</v>
      </c>
      <c r="AC60" s="5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ギガ癒しの果実</v>
      </c>
      <c r="AD60" s="5">
        <f ca="1">VLOOKUP($AB60,OFFSET([4]characters!$A$1,0,0,COUNTA([4]characters!$A:$A),MATCH(AD$1,[4]characters!$1:$1,0)-MATCH("character_id",[4]characters!$1:$1,0)+1),MATCH(AD$1,[4]characters!$1:$1,0)-MATCH("character_id",[4]characters!$1:$1,0)+1,FALSE)</f>
        <v>5</v>
      </c>
      <c r="AE60" s="5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0" s="8">
        <v>1</v>
      </c>
      <c r="AG60" s="27">
        <f t="shared" ca="1" si="54"/>
        <v>5</v>
      </c>
      <c r="AH60" s="9">
        <v>100</v>
      </c>
      <c r="AI60" s="8">
        <v>0</v>
      </c>
      <c r="AJ60" s="8">
        <v>0</v>
      </c>
      <c r="AK60" s="8">
        <v>0</v>
      </c>
      <c r="AL60" s="8">
        <v>0</v>
      </c>
      <c r="AM60" s="8">
        <v>1</v>
      </c>
    </row>
  </sheetData>
  <sheetProtection selectLockedCells="1" selectUnlockedCells="1"/>
  <autoFilter ref="B1:AH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/>
    </sheetView>
  </sheetViews>
  <sheetFormatPr baseColWidth="12" defaultColWidth="13" defaultRowHeight="21" customHeight="1" outlineLevelCol="1" x14ac:dyDescent="0.15"/>
  <cols>
    <col min="1" max="1" width="17" style="23" bestFit="1" customWidth="1"/>
    <col min="2" max="2" width="10.83203125" style="4" bestFit="1" customWidth="1"/>
    <col min="3" max="3" width="10.6640625" style="4" bestFit="1" customWidth="1"/>
    <col min="4" max="4" width="13" style="15" bestFit="1" customWidth="1" outlineLevel="1"/>
    <col min="5" max="5" width="11.6640625" style="4" bestFit="1" customWidth="1" outlineLevel="1"/>
    <col min="6" max="6" width="16.1640625" style="4" bestFit="1" customWidth="1" outlineLevel="1"/>
    <col min="7" max="7" width="10" style="4" bestFit="1" customWidth="1"/>
    <col min="8" max="9" width="12.33203125" style="4" bestFit="1" customWidth="1" outlineLevel="1"/>
    <col min="10" max="10" width="12.33203125" style="4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12.16406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7.5" style="4" bestFit="1" customWidth="1"/>
    <col min="22" max="22" width="18.33203125" style="4" bestFit="1" customWidth="1"/>
    <col min="23" max="23" width="10" style="4" bestFit="1" customWidth="1"/>
    <col min="24" max="24" width="12.1640625" style="4" bestFit="1" customWidth="1" outlineLevel="1"/>
    <col min="25" max="25" width="9.33203125" style="4" bestFit="1" customWidth="1"/>
    <col min="26" max="16384" width="13" style="4"/>
  </cols>
  <sheetData>
    <row r="1" spans="1:25" s="42" customFormat="1" ht="21" customHeight="1" x14ac:dyDescent="0.15">
      <c r="A1" s="37" t="s">
        <v>102</v>
      </c>
      <c r="B1" s="28" t="s">
        <v>0</v>
      </c>
      <c r="C1" s="28" t="s">
        <v>1</v>
      </c>
      <c r="D1" s="38" t="s">
        <v>103</v>
      </c>
      <c r="E1" s="38" t="s">
        <v>104</v>
      </c>
      <c r="F1" s="38" t="s">
        <v>105</v>
      </c>
      <c r="G1" s="28" t="s">
        <v>106</v>
      </c>
      <c r="H1" s="38" t="s">
        <v>107</v>
      </c>
      <c r="I1" s="38" t="s">
        <v>14</v>
      </c>
      <c r="J1" s="38" t="s">
        <v>15</v>
      </c>
      <c r="K1" s="39" t="s">
        <v>108</v>
      </c>
      <c r="L1" s="39" t="s">
        <v>109</v>
      </c>
      <c r="M1" s="39" t="s">
        <v>2</v>
      </c>
      <c r="N1" s="40" t="s">
        <v>105</v>
      </c>
      <c r="O1" s="38" t="s">
        <v>110</v>
      </c>
      <c r="P1" s="38" t="s">
        <v>111</v>
      </c>
      <c r="Q1" s="41" t="s">
        <v>112</v>
      </c>
      <c r="R1" s="38" t="s">
        <v>24</v>
      </c>
      <c r="S1" s="28" t="s">
        <v>3</v>
      </c>
      <c r="T1" s="28" t="s">
        <v>47</v>
      </c>
      <c r="U1" s="28" t="s">
        <v>48</v>
      </c>
      <c r="V1" s="28" t="s">
        <v>49</v>
      </c>
      <c r="W1" s="28" t="s">
        <v>72</v>
      </c>
      <c r="X1" s="38" t="s">
        <v>30</v>
      </c>
      <c r="Y1" s="28" t="s">
        <v>8</v>
      </c>
    </row>
    <row r="2" spans="1:25" ht="21" customHeight="1" x14ac:dyDescent="0.15">
      <c r="A2" s="17" t="str">
        <f t="shared" ref="A2:A5" si="0">B2&amp;"_"&amp;C2&amp;"-"&amp;G2&amp;"/"&amp;M2&amp;"&lt;lv"&amp;S2&amp;"&gt;sq"&amp;K2&amp;"st"&amp;L2</f>
        <v>14002_1-4/334&lt;lv10&gt;sq1st2</v>
      </c>
      <c r="B2" s="64">
        <v>14002</v>
      </c>
      <c r="C2" s="65">
        <v>1</v>
      </c>
      <c r="D2" s="2" t="str">
        <f t="shared" ref="D2" si="1">B2&amp;"_"&amp;C2</f>
        <v>14002_1</v>
      </c>
      <c r="E2" s="5" t="str">
        <f ca="1">VLOOKUP($B2,OFFSET([2]quests!$A$1,0,0,COUNTA([2]quests!$A:$A),MATCH(E$1,[2]quests!$1:$1,0)-MATCH($B$1,[2]quests!$1:$1,0)+1),MATCH(E$1,[2]quests!$1:$1,0)-MATCH($B$1,[2]quests!$1:$1,0)+1,FALSE)</f>
        <v>【ロック】ビット/ソロ</v>
      </c>
      <c r="F2" s="5" t="str">
        <f ca="1">VLOOKUP($D2,OFFSET([2]stages!$A$1,0,0,COUNTA([2]stages!$A:$A),MATCH(F$1,[2]stages!$2:$2,0)-MATCH($D$1,[2]stages!$2:$2,0)+1),MATCH(F$1,[2]stages!$2:$2,0)-MATCH($D$1,[2]stages!$2:$2,0)+1,FALSE)</f>
        <v>【超級】ハイローラー（ハートなし）</v>
      </c>
      <c r="G2" s="43">
        <v>4</v>
      </c>
      <c r="H2" s="16" t="str">
        <f t="shared" ref="H2:H5" si="2">B2&amp;"_"&amp;C2&amp;"-"&amp;G2</f>
        <v>14002_1-4</v>
      </c>
      <c r="I2" s="5" t="e">
        <f ca="1">VLOOKUP($H2,OFFSET(floors!$A$1,0,0,COUNTA(floors!$A:$A),MATCH(I$1,floors!$1:$1,0)-MATCH($H$1,floors!$1:$1,0)+1),MATCH(I$1,floors!$1:$1,0)-MATCH($H$1,floors!$1:$1,0)+1,FALSE)</f>
        <v>#N/A</v>
      </c>
      <c r="J2" s="5" t="e">
        <f ca="1">VLOOKUP($H2,OFFSET(floors!$A$1,0,0,COUNTA(floors!$A:$A),MATCH(J$1,floors!$1:$1,0)-MATCH($H$1,floors!$1:$1,0)+1),MATCH(J$1,floors!$1:$1,0)-MATCH($H$1,floors!$1:$1,0)+1,FALSE)</f>
        <v>#N/A</v>
      </c>
      <c r="K2" s="44">
        <v>1</v>
      </c>
      <c r="L2" s="44">
        <v>2</v>
      </c>
      <c r="M2" s="45">
        <v>334</v>
      </c>
      <c r="N2" s="20" t="str">
        <f ca="1">VLOOKUP($M2,OFFSET([3]enemies!$A$1,0,0,COUNTA([3]enemies!$A:$A),MATCH(N$1,[3]enemies!$1:$1,0)-MATCH($M$1,[3]enemies!$1:$1,0)+1),MATCH(N$1,[3]enemies!$1:$1,0)-MATCH($M$1,[3]enemies!$1:$1,0)+1,FALSE)</f>
        <v>炎のメタルダック</v>
      </c>
      <c r="O2" s="20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20" t="str">
        <f ca="1">VLOOKUP($M2,OFFSET([4]characters!$A$1,0,0,COUNTA([4]characters!$A:$A),MATCH(P$1,[4]characters!$1:$1,0)-MATCH($M$1,[4]characters!$1:$1,0)+1),MATCH(P$1,[4]characters!$1:$1,0)-MATCH($M$1,[4]characters!$1:$1,0)+1,FALSE)</f>
        <v>Material</v>
      </c>
      <c r="Q2" s="20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20">
        <f ca="1">VLOOKUP($M2,OFFSET([3]enemies!$A$1,0,0,COUNTA([3]enemies!$A:$A),MATCH(R$1,[3]enemies!$1:$1,0)-MATCH($M$1,[3]enemies!$1:$1,0)+1),MATCH(R$1,[3]enemies!$1:$1,0)-MATCH($M$1,[3]enemies!$1:$1,0)+1,FALSE)</f>
        <v>20</v>
      </c>
      <c r="S2" s="6">
        <v>10</v>
      </c>
      <c r="T2" s="29">
        <v>0.5</v>
      </c>
      <c r="U2" s="29">
        <v>99</v>
      </c>
      <c r="V2" s="6">
        <v>-16889</v>
      </c>
      <c r="W2" s="57">
        <v>14002111</v>
      </c>
      <c r="X2" s="5" t="e">
        <f ca="1">VLOOKUP($W2,OFFSET(enemy_skill_sets!$B$1,0,0,COUNTA(enemy_skill_sets!$B:$B),MATCH("name",enemy_skill_sets!$1:$1,0)-MATCH($W$1,enemy_skill_sets!$1:$1,0)+2),MATCH("name",enemy_skill_sets!$1:$1,0)-MATCH($W$1,enemy_skill_sets!$1:$1,0)+2,FALSE)</f>
        <v>#N/A</v>
      </c>
      <c r="Y2" s="57">
        <v>2</v>
      </c>
    </row>
    <row r="3" spans="1:25" ht="21" customHeight="1" x14ac:dyDescent="0.15">
      <c r="A3" s="17" t="str">
        <f t="shared" si="0"/>
        <v>14002_1-4/335&lt;lv10&gt;sq2st2</v>
      </c>
      <c r="B3" s="64">
        <v>14002</v>
      </c>
      <c r="C3" s="65">
        <v>1</v>
      </c>
      <c r="D3" s="2" t="str">
        <f t="shared" ref="D3" si="3">B3&amp;"_"&amp;C3</f>
        <v>14002_1</v>
      </c>
      <c r="E3" s="5" t="str">
        <f ca="1">VLOOKUP($B3,OFFSET([2]quests!$A$1,0,0,COUNTA([2]quests!$A:$A),MATCH(E$1,[2]quests!$1:$1,0)-MATCH($B$1,[2]quests!$1:$1,0)+1),MATCH(E$1,[2]quests!$1:$1,0)-MATCH($B$1,[2]quests!$1:$1,0)+1,FALSE)</f>
        <v>【ロック】ビット/ソロ</v>
      </c>
      <c r="F3" s="5" t="str">
        <f ca="1">VLOOKUP($D3,OFFSET([2]stages!$A$1,0,0,COUNTA([2]stages!$A:$A),MATCH(F$1,[2]stages!$2:$2,0)-MATCH($D$1,[2]stages!$2:$2,0)+1),MATCH(F$1,[2]stages!$2:$2,0)-MATCH($D$1,[2]stages!$2:$2,0)+1,FALSE)</f>
        <v>【超級】ハイローラー（ハートなし）</v>
      </c>
      <c r="G3" s="43">
        <v>4</v>
      </c>
      <c r="H3" s="16" t="str">
        <f t="shared" si="2"/>
        <v>14002_1-4</v>
      </c>
      <c r="I3" s="5" t="e">
        <f ca="1">VLOOKUP($H3,OFFSET(floors!$A$1,0,0,COUNTA(floors!$A:$A),MATCH(I$1,floors!$1:$1,0)-MATCH($H$1,floors!$1:$1,0)+1),MATCH(I$1,floors!$1:$1,0)-MATCH($H$1,floors!$1:$1,0)+1,FALSE)</f>
        <v>#N/A</v>
      </c>
      <c r="J3" s="5" t="e">
        <f ca="1">VLOOKUP($H3,OFFSET(floors!$A$1,0,0,COUNTA(floors!$A:$A),MATCH(J$1,floors!$1:$1,0)-MATCH($H$1,floors!$1:$1,0)+1),MATCH(J$1,floors!$1:$1,0)-MATCH($H$1,floors!$1:$1,0)+1,FALSE)</f>
        <v>#N/A</v>
      </c>
      <c r="K3" s="44">
        <v>2</v>
      </c>
      <c r="L3" s="44">
        <v>2</v>
      </c>
      <c r="M3" s="45">
        <v>335</v>
      </c>
      <c r="N3" s="20" t="str">
        <f ca="1">VLOOKUP($M3,OFFSET([3]enemies!$A$1,0,0,COUNTA([3]enemies!$A:$A),MATCH(N$1,[3]enemies!$1:$1,0)-MATCH($M$1,[3]enemies!$1:$1,0)+1),MATCH(N$1,[3]enemies!$1:$1,0)-MATCH($M$1,[3]enemies!$1:$1,0)+1,FALSE)</f>
        <v>炎のメタルジェントル</v>
      </c>
      <c r="O3" s="20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20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20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20">
        <f ca="1">VLOOKUP($M3,OFFSET([3]enemies!$A$1,0,0,COUNTA([3]enemies!$A:$A),MATCH(R$1,[3]enemies!$1:$1,0)-MATCH($M$1,[3]enemies!$1:$1,0)+1),MATCH(R$1,[3]enemies!$1:$1,0)-MATCH($M$1,[3]enemies!$1:$1,0)+1,FALSE)</f>
        <v>20</v>
      </c>
      <c r="S3" s="6">
        <v>10</v>
      </c>
      <c r="T3" s="29">
        <v>0.2</v>
      </c>
      <c r="U3" s="29">
        <v>99</v>
      </c>
      <c r="V3" s="6">
        <v>-19778</v>
      </c>
      <c r="W3" s="57">
        <v>14002112</v>
      </c>
      <c r="X3" s="5" t="e">
        <f ca="1">VLOOKUP($W3,OFFSET(enemy_skill_sets!$B$1,0,0,COUNTA(enemy_skill_sets!$B:$B),MATCH("name",enemy_skill_sets!$1:$1,0)-MATCH($W$1,enemy_skill_sets!$1:$1,0)+2),MATCH("name",enemy_skill_sets!$1:$1,0)-MATCH($W$1,enemy_skill_sets!$1:$1,0)+2,FALSE)</f>
        <v>#N/A</v>
      </c>
      <c r="Y3" s="57">
        <v>3</v>
      </c>
    </row>
    <row r="4" spans="1:25" ht="21" customHeight="1" x14ac:dyDescent="0.15">
      <c r="A4" s="17" t="str">
        <f t="shared" si="0"/>
        <v>14002_1-5/334&lt;lv10&gt;sq1st2</v>
      </c>
      <c r="B4" s="64">
        <v>14002</v>
      </c>
      <c r="C4" s="65">
        <v>1</v>
      </c>
      <c r="D4" s="2" t="str">
        <f t="shared" ref="D4" si="4">B4&amp;"_"&amp;C4</f>
        <v>14002_1</v>
      </c>
      <c r="E4" s="5" t="str">
        <f ca="1">VLOOKUP($B4,OFFSET([2]quests!$A$1,0,0,COUNTA([2]quests!$A:$A),MATCH(E$1,[2]quests!$1:$1,0)-MATCH($B$1,[2]quests!$1:$1,0)+1),MATCH(E$1,[2]quests!$1:$1,0)-MATCH($B$1,[2]quests!$1:$1,0)+1,FALSE)</f>
        <v>【ロック】ビット/ソロ</v>
      </c>
      <c r="F4" s="5" t="str">
        <f ca="1">VLOOKUP($D4,OFFSET([2]stages!$A$1,0,0,COUNTA([2]stages!$A:$A),MATCH(F$1,[2]stages!$2:$2,0)-MATCH($D$1,[2]stages!$2:$2,0)+1),MATCH(F$1,[2]stages!$2:$2,0)-MATCH($D$1,[2]stages!$2:$2,0)+1,FALSE)</f>
        <v>【超級】ハイローラー（ハートなし）</v>
      </c>
      <c r="G4" s="43">
        <v>5</v>
      </c>
      <c r="H4" s="16" t="str">
        <f t="shared" si="2"/>
        <v>14002_1-5</v>
      </c>
      <c r="I4" s="5" t="e">
        <f ca="1">VLOOKUP($H4,OFFSET(floors!$A$1,0,0,COUNTA(floors!$A:$A),MATCH(I$1,floors!$1:$1,0)-MATCH($H$1,floors!$1:$1,0)+1),MATCH(I$1,floors!$1:$1,0)-MATCH($H$1,floors!$1:$1,0)+1,FALSE)</f>
        <v>#N/A</v>
      </c>
      <c r="J4" s="5" t="e">
        <f ca="1">VLOOKUP($H4,OFFSET(floors!$A$1,0,0,COUNTA(floors!$A:$A),MATCH(J$1,floors!$1:$1,0)-MATCH($H$1,floors!$1:$1,0)+1),MATCH(J$1,floors!$1:$1,0)-MATCH($H$1,floors!$1:$1,0)+1,FALSE)</f>
        <v>#N/A</v>
      </c>
      <c r="K4" s="44">
        <v>1</v>
      </c>
      <c r="L4" s="44">
        <v>2</v>
      </c>
      <c r="M4" s="45">
        <v>334</v>
      </c>
      <c r="N4" s="20" t="str">
        <f ca="1">VLOOKUP($M4,OFFSET([3]enemies!$A$1,0,0,COUNTA([3]enemies!$A:$A),MATCH(N$1,[3]enemies!$1:$1,0)-MATCH($M$1,[3]enemies!$1:$1,0)+1),MATCH(N$1,[3]enemies!$1:$1,0)-MATCH($M$1,[3]enemies!$1:$1,0)+1,FALSE)</f>
        <v>炎のメタルダック</v>
      </c>
      <c r="O4" s="20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20" t="str">
        <f ca="1">VLOOKUP($M4,OFFSET([4]characters!$A$1,0,0,COUNTA([4]characters!$A:$A),MATCH(P$1,[4]characters!$1:$1,0)-MATCH($M$1,[4]characters!$1:$1,0)+1),MATCH(P$1,[4]characters!$1:$1,0)-MATCH($M$1,[4]characters!$1:$1,0)+1,FALSE)</f>
        <v>Material</v>
      </c>
      <c r="Q4" s="20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20">
        <f ca="1">VLOOKUP($M4,OFFSET([3]enemies!$A$1,0,0,COUNTA([3]enemies!$A:$A),MATCH(R$1,[3]enemies!$1:$1,0)-MATCH($M$1,[3]enemies!$1:$1,0)+1),MATCH(R$1,[3]enemies!$1:$1,0)-MATCH($M$1,[3]enemies!$1:$1,0)+1,FALSE)</f>
        <v>20</v>
      </c>
      <c r="S4" s="6">
        <v>10</v>
      </c>
      <c r="T4" s="29">
        <v>0.5</v>
      </c>
      <c r="U4" s="29">
        <v>99</v>
      </c>
      <c r="V4" s="6">
        <v>-16889</v>
      </c>
      <c r="W4" s="57">
        <v>14002121</v>
      </c>
      <c r="X4" s="5" t="e">
        <f ca="1">VLOOKUP($W4,OFFSET(enemy_skill_sets!$B$1,0,0,COUNTA(enemy_skill_sets!$B:$B),MATCH("name",enemy_skill_sets!$1:$1,0)-MATCH($W$1,enemy_skill_sets!$1:$1,0)+2),MATCH("name",enemy_skill_sets!$1:$1,0)-MATCH($W$1,enemy_skill_sets!$1:$1,0)+2,FALSE)</f>
        <v>#N/A</v>
      </c>
      <c r="Y4" s="57">
        <v>2</v>
      </c>
    </row>
    <row r="5" spans="1:25" ht="21" customHeight="1" x14ac:dyDescent="0.15">
      <c r="A5" s="17" t="str">
        <f t="shared" si="0"/>
        <v>14002_1-5/335&lt;lv10&gt;sq1st3</v>
      </c>
      <c r="B5" s="64">
        <v>14002</v>
      </c>
      <c r="C5" s="65">
        <v>1</v>
      </c>
      <c r="D5" s="2" t="str">
        <f t="shared" ref="D5" si="5">B5&amp;"_"&amp;C5</f>
        <v>14002_1</v>
      </c>
      <c r="E5" s="5" t="str">
        <f ca="1">VLOOKUP($B5,OFFSET([2]quests!$A$1,0,0,COUNTA([2]quests!$A:$A),MATCH(E$1,[2]quests!$1:$1,0)-MATCH($B$1,[2]quests!$1:$1,0)+1),MATCH(E$1,[2]quests!$1:$1,0)-MATCH($B$1,[2]quests!$1:$1,0)+1,FALSE)</f>
        <v>【ロック】ビット/ソロ</v>
      </c>
      <c r="F5" s="5" t="str">
        <f ca="1">VLOOKUP($D5,OFFSET([2]stages!$A$1,0,0,COUNTA([2]stages!$A:$A),MATCH(F$1,[2]stages!$2:$2,0)-MATCH($D$1,[2]stages!$2:$2,0)+1),MATCH(F$1,[2]stages!$2:$2,0)-MATCH($D$1,[2]stages!$2:$2,0)+1,FALSE)</f>
        <v>【超級】ハイローラー（ハートなし）</v>
      </c>
      <c r="G5" s="43">
        <v>5</v>
      </c>
      <c r="H5" s="16" t="str">
        <f t="shared" si="2"/>
        <v>14002_1-5</v>
      </c>
      <c r="I5" s="5" t="e">
        <f ca="1">VLOOKUP($H5,OFFSET(floors!$A$1,0,0,COUNTA(floors!$A:$A),MATCH(I$1,floors!$1:$1,0)-MATCH($H$1,floors!$1:$1,0)+1),MATCH(I$1,floors!$1:$1,0)-MATCH($H$1,floors!$1:$1,0)+1,FALSE)</f>
        <v>#N/A</v>
      </c>
      <c r="J5" s="5" t="e">
        <f ca="1">VLOOKUP($H5,OFFSET(floors!$A$1,0,0,COUNTA(floors!$A:$A),MATCH(J$1,floors!$1:$1,0)-MATCH($H$1,floors!$1:$1,0)+1),MATCH(J$1,floors!$1:$1,0)-MATCH($H$1,floors!$1:$1,0)+1,FALSE)</f>
        <v>#N/A</v>
      </c>
      <c r="K5" s="44">
        <v>1</v>
      </c>
      <c r="L5" s="44">
        <v>3</v>
      </c>
      <c r="M5" s="45">
        <v>335</v>
      </c>
      <c r="N5" s="20" t="str">
        <f ca="1">VLOOKUP($M5,OFFSET([3]enemies!$A$1,0,0,COUNTA([3]enemies!$A:$A),MATCH(N$1,[3]enemies!$1:$1,0)-MATCH($M$1,[3]enemies!$1:$1,0)+1),MATCH(N$1,[3]enemies!$1:$1,0)-MATCH($M$1,[3]enemies!$1:$1,0)+1,FALSE)</f>
        <v>炎のメタルジェントル</v>
      </c>
      <c r="O5" s="20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20" t="str">
        <f ca="1">VLOOKUP($M5,OFFSET([4]characters!$A$1,0,0,COUNTA([4]characters!$A:$A),MATCH(P$1,[4]characters!$1:$1,0)-MATCH($M$1,[4]characters!$1:$1,0)+1),MATCH(P$1,[4]characters!$1:$1,0)-MATCH($M$1,[4]characters!$1:$1,0)+1,FALSE)</f>
        <v>Material</v>
      </c>
      <c r="Q5" s="20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20">
        <f ca="1">VLOOKUP($M5,OFFSET([3]enemies!$A$1,0,0,COUNTA([3]enemies!$A:$A),MATCH(R$1,[3]enemies!$1:$1,0)-MATCH($M$1,[3]enemies!$1:$1,0)+1),MATCH(R$1,[3]enemies!$1:$1,0)-MATCH($M$1,[3]enemies!$1:$1,0)+1,FALSE)</f>
        <v>20</v>
      </c>
      <c r="S5" s="6">
        <v>10</v>
      </c>
      <c r="T5" s="29">
        <v>1</v>
      </c>
      <c r="U5" s="29">
        <v>1</v>
      </c>
      <c r="V5" s="6">
        <v>0</v>
      </c>
      <c r="W5" s="57">
        <v>14002122</v>
      </c>
      <c r="X5" s="5" t="e">
        <f ca="1">VLOOKUP($W5,OFFSET(enemy_skill_sets!$B$1,0,0,COUNTA(enemy_skill_sets!$B:$B),MATCH("name",enemy_skill_sets!$1:$1,0)-MATCH($W$1,enemy_skill_sets!$1:$1,0)+2),MATCH("name",enemy_skill_sets!$1:$1,0)-MATCH($W$1,enemy_skill_sets!$1:$1,0)+2,FALSE)</f>
        <v>#N/A</v>
      </c>
      <c r="Y5" s="5">
        <f ca="1">VLOOKUP(M5,[3]enemies!$A:$V,22,FALSE)</f>
        <v>4</v>
      </c>
    </row>
  </sheetData>
  <sheetProtection selectLockedCells="1" selectUnlockedCells="1"/>
  <autoFilter ref="B1:Y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Q11"/>
  <sheetViews>
    <sheetView workbookViewId="0">
      <selection activeCell="J4" sqref="J4"/>
    </sheetView>
  </sheetViews>
  <sheetFormatPr baseColWidth="12" defaultRowHeight="15" x14ac:dyDescent="0.15"/>
  <cols>
    <col min="4" max="4" width="4" bestFit="1" customWidth="1"/>
    <col min="5" max="8" width="7.83203125" customWidth="1"/>
    <col min="9" max="9" width="4" customWidth="1"/>
    <col min="10" max="10" width="13" bestFit="1" customWidth="1"/>
    <col min="11" max="11" width="16.1640625" bestFit="1" customWidth="1"/>
    <col min="12" max="12" width="17.33203125" bestFit="1" customWidth="1"/>
    <col min="13" max="13" width="4" customWidth="1"/>
    <col min="14" max="17" width="8.5" customWidth="1"/>
  </cols>
  <sheetData>
    <row r="1" spans="1:17" x14ac:dyDescent="0.15">
      <c r="A1" t="s">
        <v>213</v>
      </c>
      <c r="B1" t="s">
        <v>214</v>
      </c>
      <c r="C1" t="s">
        <v>212</v>
      </c>
      <c r="D1" t="s">
        <v>148</v>
      </c>
      <c r="E1" t="s">
        <v>149</v>
      </c>
      <c r="F1" t="s">
        <v>150</v>
      </c>
      <c r="G1" t="s">
        <v>151</v>
      </c>
      <c r="H1" t="s">
        <v>215</v>
      </c>
      <c r="J1" t="s">
        <v>50</v>
      </c>
      <c r="K1" t="s">
        <v>51</v>
      </c>
      <c r="L1" t="s">
        <v>52</v>
      </c>
      <c r="N1" t="s">
        <v>149</v>
      </c>
      <c r="O1" t="s">
        <v>150</v>
      </c>
      <c r="P1" t="s">
        <v>151</v>
      </c>
      <c r="Q1" t="s">
        <v>152</v>
      </c>
    </row>
    <row r="2" spans="1:17" x14ac:dyDescent="0.15">
      <c r="A2" t="s">
        <v>208</v>
      </c>
      <c r="B2" t="s">
        <v>205</v>
      </c>
      <c r="C2">
        <v>121</v>
      </c>
      <c r="D2">
        <v>32</v>
      </c>
      <c r="E2">
        <v>7370</v>
      </c>
      <c r="F2">
        <v>1800</v>
      </c>
      <c r="G2">
        <v>0</v>
      </c>
      <c r="H2">
        <v>1</v>
      </c>
      <c r="J2">
        <v>0.5</v>
      </c>
      <c r="K2">
        <v>1</v>
      </c>
      <c r="L2">
        <v>0</v>
      </c>
      <c r="N2">
        <f>ROUND(E2*J2,0)</f>
        <v>3685</v>
      </c>
      <c r="O2">
        <f t="shared" ref="O2:O11" si="0">ROUND(F2*K2,0)</f>
        <v>1800</v>
      </c>
      <c r="P2">
        <f>G2+L2</f>
        <v>0</v>
      </c>
      <c r="Q2">
        <v>1</v>
      </c>
    </row>
    <row r="3" spans="1:17" x14ac:dyDescent="0.15">
      <c r="B3" t="s">
        <v>206</v>
      </c>
      <c r="C3">
        <v>607</v>
      </c>
      <c r="D3">
        <v>32</v>
      </c>
      <c r="E3">
        <v>7370</v>
      </c>
      <c r="F3">
        <v>3272</v>
      </c>
      <c r="G3">
        <v>0</v>
      </c>
      <c r="H3">
        <v>1</v>
      </c>
      <c r="J3">
        <f>J2*2</f>
        <v>1</v>
      </c>
      <c r="K3">
        <v>0.7</v>
      </c>
      <c r="L3">
        <v>0</v>
      </c>
      <c r="N3">
        <f t="shared" ref="N3:N11" si="1">ROUND(E3*J3,0)</f>
        <v>7370</v>
      </c>
      <c r="O3">
        <f t="shared" si="0"/>
        <v>2290</v>
      </c>
      <c r="P3">
        <f t="shared" ref="P3:P4" si="2">G3+L3</f>
        <v>0</v>
      </c>
      <c r="Q3">
        <v>2</v>
      </c>
    </row>
    <row r="4" spans="1:17" x14ac:dyDescent="0.15">
      <c r="B4" t="s">
        <v>207</v>
      </c>
      <c r="C4">
        <v>611</v>
      </c>
      <c r="D4">
        <v>32</v>
      </c>
      <c r="E4">
        <v>7370</v>
      </c>
      <c r="F4">
        <v>3272</v>
      </c>
      <c r="G4">
        <v>0</v>
      </c>
      <c r="H4">
        <v>1</v>
      </c>
      <c r="J4">
        <f>J2*3</f>
        <v>1.5</v>
      </c>
      <c r="K4">
        <v>0.8</v>
      </c>
      <c r="L4">
        <v>0</v>
      </c>
      <c r="N4">
        <f t="shared" si="1"/>
        <v>11055</v>
      </c>
      <c r="O4">
        <f t="shared" si="0"/>
        <v>2618</v>
      </c>
      <c r="P4">
        <f t="shared" si="2"/>
        <v>0</v>
      </c>
      <c r="Q4">
        <v>2</v>
      </c>
    </row>
    <row r="5" spans="1:17" x14ac:dyDescent="0.15">
      <c r="A5" t="s">
        <v>209</v>
      </c>
      <c r="B5" t="s">
        <v>205</v>
      </c>
      <c r="C5">
        <v>122</v>
      </c>
      <c r="D5">
        <v>32</v>
      </c>
      <c r="E5">
        <v>10900</v>
      </c>
      <c r="F5">
        <v>2010</v>
      </c>
      <c r="G5">
        <v>0</v>
      </c>
      <c r="H5">
        <v>2</v>
      </c>
      <c r="J5">
        <v>0.5</v>
      </c>
      <c r="K5">
        <v>0.7</v>
      </c>
      <c r="L5">
        <v>0</v>
      </c>
      <c r="N5">
        <f t="shared" si="1"/>
        <v>5450</v>
      </c>
      <c r="O5">
        <f t="shared" si="0"/>
        <v>1407</v>
      </c>
      <c r="P5">
        <f>G5+L5</f>
        <v>0</v>
      </c>
      <c r="Q5">
        <v>1</v>
      </c>
    </row>
    <row r="6" spans="1:17" x14ac:dyDescent="0.15">
      <c r="B6" t="s">
        <v>206</v>
      </c>
      <c r="C6">
        <v>608</v>
      </c>
      <c r="D6">
        <v>32</v>
      </c>
      <c r="E6">
        <v>10900</v>
      </c>
      <c r="F6">
        <v>2010</v>
      </c>
      <c r="G6">
        <v>0</v>
      </c>
      <c r="H6">
        <v>2</v>
      </c>
      <c r="J6">
        <f>J5*2</f>
        <v>1</v>
      </c>
      <c r="K6">
        <v>0.9</v>
      </c>
      <c r="L6">
        <v>0</v>
      </c>
      <c r="N6">
        <f t="shared" si="1"/>
        <v>10900</v>
      </c>
      <c r="O6">
        <f t="shared" si="0"/>
        <v>1809</v>
      </c>
      <c r="P6">
        <f t="shared" ref="P6:P7" si="3">G6+L6</f>
        <v>0</v>
      </c>
      <c r="Q6">
        <v>2</v>
      </c>
    </row>
    <row r="7" spans="1:17" x14ac:dyDescent="0.15">
      <c r="B7" t="s">
        <v>207</v>
      </c>
      <c r="C7">
        <v>612</v>
      </c>
      <c r="D7">
        <v>32</v>
      </c>
      <c r="E7">
        <v>10900</v>
      </c>
      <c r="F7">
        <v>2010</v>
      </c>
      <c r="G7">
        <v>0</v>
      </c>
      <c r="H7">
        <v>2</v>
      </c>
      <c r="J7">
        <f>J5*3</f>
        <v>1.5</v>
      </c>
      <c r="K7">
        <v>1</v>
      </c>
      <c r="L7">
        <v>0</v>
      </c>
      <c r="N7">
        <f t="shared" si="1"/>
        <v>16350</v>
      </c>
      <c r="O7">
        <f t="shared" si="0"/>
        <v>2010</v>
      </c>
      <c r="P7">
        <f t="shared" si="3"/>
        <v>0</v>
      </c>
      <c r="Q7">
        <v>2</v>
      </c>
    </row>
    <row r="8" spans="1:17" x14ac:dyDescent="0.15">
      <c r="A8" t="s">
        <v>210</v>
      </c>
      <c r="B8" t="s">
        <v>205</v>
      </c>
      <c r="C8">
        <v>123</v>
      </c>
      <c r="D8">
        <v>32</v>
      </c>
      <c r="E8">
        <v>5898</v>
      </c>
      <c r="F8">
        <v>1383</v>
      </c>
      <c r="G8">
        <v>0</v>
      </c>
      <c r="H8">
        <v>3</v>
      </c>
      <c r="J8">
        <v>0.5</v>
      </c>
      <c r="K8">
        <v>1</v>
      </c>
      <c r="L8">
        <v>0</v>
      </c>
      <c r="N8">
        <f t="shared" si="1"/>
        <v>2949</v>
      </c>
      <c r="O8">
        <f t="shared" si="0"/>
        <v>1383</v>
      </c>
      <c r="P8">
        <f>G8+L8</f>
        <v>0</v>
      </c>
      <c r="Q8">
        <v>1</v>
      </c>
    </row>
    <row r="9" spans="1:17" x14ac:dyDescent="0.15">
      <c r="B9" t="s">
        <v>206</v>
      </c>
      <c r="C9">
        <v>609</v>
      </c>
      <c r="D9">
        <v>32</v>
      </c>
      <c r="E9">
        <v>5898</v>
      </c>
      <c r="F9">
        <v>1844</v>
      </c>
      <c r="G9">
        <v>0</v>
      </c>
      <c r="H9">
        <v>3</v>
      </c>
      <c r="J9">
        <f>J8*2</f>
        <v>1</v>
      </c>
      <c r="K9">
        <v>1</v>
      </c>
      <c r="L9">
        <v>0</v>
      </c>
      <c r="N9">
        <f t="shared" si="1"/>
        <v>5898</v>
      </c>
      <c r="O9">
        <f t="shared" si="0"/>
        <v>1844</v>
      </c>
      <c r="P9">
        <f t="shared" ref="P9:P10" si="4">G9+L9</f>
        <v>0</v>
      </c>
      <c r="Q9">
        <v>2</v>
      </c>
    </row>
    <row r="10" spans="1:17" x14ac:dyDescent="0.15">
      <c r="B10" t="s">
        <v>207</v>
      </c>
      <c r="C10">
        <v>613</v>
      </c>
      <c r="D10">
        <v>32</v>
      </c>
      <c r="E10">
        <v>5898</v>
      </c>
      <c r="F10">
        <v>1844</v>
      </c>
      <c r="G10">
        <v>0</v>
      </c>
      <c r="H10">
        <v>3</v>
      </c>
      <c r="J10">
        <f>J8*3</f>
        <v>1.5</v>
      </c>
      <c r="K10">
        <v>1.1000000000000001</v>
      </c>
      <c r="L10">
        <v>0</v>
      </c>
      <c r="N10">
        <f t="shared" si="1"/>
        <v>8847</v>
      </c>
      <c r="O10">
        <f t="shared" si="0"/>
        <v>2028</v>
      </c>
      <c r="P10">
        <f t="shared" si="4"/>
        <v>0</v>
      </c>
      <c r="Q10">
        <v>2</v>
      </c>
    </row>
    <row r="11" spans="1:17" x14ac:dyDescent="0.15">
      <c r="A11" t="s">
        <v>211</v>
      </c>
      <c r="B11" t="s">
        <v>205</v>
      </c>
      <c r="C11">
        <v>125</v>
      </c>
      <c r="D11">
        <v>32</v>
      </c>
      <c r="E11">
        <v>7370</v>
      </c>
      <c r="F11">
        <v>2837</v>
      </c>
      <c r="G11">
        <v>0</v>
      </c>
      <c r="H11">
        <v>1</v>
      </c>
      <c r="J11">
        <v>0.4</v>
      </c>
      <c r="K11">
        <v>0.8</v>
      </c>
      <c r="L11">
        <v>0</v>
      </c>
      <c r="N11">
        <f t="shared" si="1"/>
        <v>2948</v>
      </c>
      <c r="O11">
        <f t="shared" si="0"/>
        <v>2270</v>
      </c>
      <c r="P11">
        <f>G11+L11</f>
        <v>0</v>
      </c>
      <c r="Q11">
        <v>1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13"/>
  <sheetViews>
    <sheetView showGridLines="0" zoomScale="75" zoomScaleNormal="75" zoomScalePageLayoutView="75" workbookViewId="0">
      <pane xSplit="5" ySplit="1" topLeftCell="F2" activePane="bottomRight" state="frozen"/>
      <selection activeCell="E25" sqref="E25"/>
      <selection pane="topRight" activeCell="E25" sqref="E25"/>
      <selection pane="bottomLeft" activeCell="E25" sqref="E25"/>
      <selection pane="bottomRight" activeCell="B8" sqref="B8:B10"/>
    </sheetView>
  </sheetViews>
  <sheetFormatPr baseColWidth="12" defaultColWidth="12.83203125" defaultRowHeight="21" customHeight="1" outlineLevelCol="1" x14ac:dyDescent="0.15"/>
  <cols>
    <col min="1" max="1" width="11.33203125" style="46" bestFit="1" customWidth="1"/>
    <col min="2" max="2" width="14" style="55" bestFit="1" customWidth="1"/>
    <col min="3" max="3" width="11.1640625" style="55" bestFit="1" customWidth="1"/>
    <col min="4" max="4" width="25.6640625" style="55" customWidth="1" outlineLevel="1"/>
    <col min="5" max="5" width="44.1640625" style="55" bestFit="1" customWidth="1" outlineLevel="1"/>
    <col min="6" max="6" width="10.83203125" style="55" bestFit="1" customWidth="1"/>
    <col min="7" max="7" width="9.5" style="55" bestFit="1" customWidth="1" outlineLevel="1"/>
    <col min="8" max="9" width="12.83203125" style="55" outlineLevel="1"/>
    <col min="10" max="10" width="17.6640625" style="55" bestFit="1" customWidth="1" outlineLevel="1"/>
    <col min="11" max="16" width="12.83203125" style="55" outlineLevel="1"/>
    <col min="17" max="18" width="13.6640625" style="52" bestFit="1" customWidth="1"/>
    <col min="19" max="19" width="56.5" style="52" bestFit="1" customWidth="1"/>
    <col min="20" max="16384" width="12.83203125" style="52"/>
  </cols>
  <sheetData>
    <row r="1" spans="1:19" ht="21" customHeight="1" x14ac:dyDescent="0.15">
      <c r="A1" s="46" t="s">
        <v>113</v>
      </c>
      <c r="B1" s="47" t="s">
        <v>114</v>
      </c>
      <c r="C1" s="47" t="s">
        <v>115</v>
      </c>
      <c r="D1" s="48" t="s">
        <v>116</v>
      </c>
      <c r="E1" s="48" t="s">
        <v>117</v>
      </c>
      <c r="F1" s="49" t="s">
        <v>118</v>
      </c>
      <c r="G1" s="50" t="s">
        <v>119</v>
      </c>
      <c r="H1" s="50" t="s">
        <v>101</v>
      </c>
      <c r="I1" s="50" t="s">
        <v>120</v>
      </c>
      <c r="J1" s="50" t="s">
        <v>121</v>
      </c>
      <c r="K1" s="51" t="s">
        <v>122</v>
      </c>
      <c r="L1" s="51" t="s">
        <v>123</v>
      </c>
      <c r="M1" s="50" t="s">
        <v>124</v>
      </c>
      <c r="N1" s="50" t="s">
        <v>125</v>
      </c>
      <c r="O1" s="50" t="s">
        <v>147</v>
      </c>
      <c r="P1" s="50" t="s">
        <v>126</v>
      </c>
      <c r="Q1" s="48" t="s">
        <v>127</v>
      </c>
      <c r="R1" s="48" t="s">
        <v>128</v>
      </c>
      <c r="S1" s="48" t="s">
        <v>129</v>
      </c>
    </row>
    <row r="2" spans="1:19" ht="21" customHeight="1" x14ac:dyDescent="0.15">
      <c r="A2" s="46" t="str">
        <f t="shared" ref="A2" si="0">B2&amp;"_"&amp;C2</f>
        <v>14002611_14002611</v>
      </c>
      <c r="B2" s="58">
        <v>14002611</v>
      </c>
      <c r="C2" s="58">
        <v>14002611</v>
      </c>
      <c r="D2" s="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オレたちゃ やるぜー！</v>
      </c>
      <c r="E2" s="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ギガ攻めの果実が あらわれた！</v>
      </c>
      <c r="F2" s="58">
        <v>14002000</v>
      </c>
      <c r="G2" s="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5" t="str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" s="5">
        <f ca="1">VLOOKUP($F2,OFFSET(enemy_skill_triggers!$A$1,0,0,COUNTA(enemy_skill_triggers!$A:$A),MATCH(P$1,enemy_skill_triggers!$1:$1,0)-MATCH($F$1,enemy_skill_triggers!$1:$1,0)+1),MATCH(P$1,enemy_skill_triggers!$1:$1,0)-MATCH($F$1,enemy_skill_triggers!$1:$1,0)+1,FALSE)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" s="53"/>
      <c r="R2" s="53"/>
      <c r="S2" s="53"/>
    </row>
    <row r="3" spans="1:19" ht="21" customHeight="1" x14ac:dyDescent="0.15">
      <c r="A3" s="46" t="str">
        <f t="shared" ref="A3" si="1">B3&amp;"_"&amp;C3</f>
        <v>14002612_14002612</v>
      </c>
      <c r="B3" s="58">
        <v>14002612</v>
      </c>
      <c r="C3" s="58">
        <v>14002612</v>
      </c>
      <c r="D3" s="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この5兄弟の中に ナシがいるらしいよ…</v>
      </c>
      <c r="E3" s="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ギガ体力の果実が あらわれた！</v>
      </c>
      <c r="F3" s="58">
        <v>14002000</v>
      </c>
      <c r="G3" s="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5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5" t="str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" s="5">
        <f ca="1">VLOOKUP($F3,OFFSET(enemy_skill_triggers!$A$1,0,0,COUNTA(enemy_skill_triggers!$A:$A),MATCH(P$1,enemy_skill_triggers!$1:$1,0)-MATCH($F$1,enemy_skill_triggers!$1:$1,0)+1),MATCH(P$1,enemy_skill_triggers!$1:$1,0)-MATCH($F$1,enemy_skill_triggers!$1:$1,0)+1,FALSE)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" s="53"/>
      <c r="R3" s="53"/>
      <c r="S3" s="53"/>
    </row>
    <row r="4" spans="1:19" ht="21" customHeight="1" x14ac:dyDescent="0.15">
      <c r="A4" s="46" t="str">
        <f t="shared" ref="A4:A6" si="2">B4&amp;"_"&amp;C4</f>
        <v>14002613_14002613</v>
      </c>
      <c r="B4" s="58">
        <v>14002613</v>
      </c>
      <c r="C4" s="58">
        <v>14002613</v>
      </c>
      <c r="D4" s="5" t="str">
        <f ca="1">VLOOKUP($C4,OFFSET(enemy_skills!$A$1,0,0,COUNTA(enemy_skills!$A:$A),MATCH(D$1,enemy_skills!$1:$1,0)-MATCH("enemy_skill_id",enemy_skills!$1:$1,0)+1),MATCH(D$1,enemy_skills!$1:$1,0)-MATCH("enemy_skill_id",enemy_skills!$1:$1,0)+1,FALSE)</f>
        <v>5姉妹まるごと 失恋しちゃった (ﾉД`)</v>
      </c>
      <c r="E4" s="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ギガ癒しの果実が あらわれた！</v>
      </c>
      <c r="F4" s="58">
        <v>14002000</v>
      </c>
      <c r="G4" s="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5" t="str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" s="5">
        <f ca="1">VLOOKUP($F4,OFFSET(enemy_skill_triggers!$A$1,0,0,COUNTA(enemy_skill_triggers!$A:$A),MATCH(P$1,enemy_skill_triggers!$1:$1,0)-MATCH($F$1,enemy_skill_triggers!$1:$1,0)+1),MATCH(P$1,enemy_skill_triggers!$1:$1,0)-MATCH($F$1,enemy_skill_triggers!$1:$1,0)+1,FALSE)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" s="53"/>
      <c r="R4" s="53"/>
      <c r="S4" s="53"/>
    </row>
    <row r="5" spans="1:19" ht="21" customHeight="1" x14ac:dyDescent="0.15">
      <c r="A5" s="46" t="str">
        <f t="shared" si="2"/>
        <v>14003230_14003230</v>
      </c>
      <c r="B5" s="58">
        <v>14003230</v>
      </c>
      <c r="C5" s="58">
        <v>14003230</v>
      </c>
      <c r="D5" s="5" t="str">
        <f ca="1">VLOOKUP($C5,OFFSET(enemy_skills!$A$1,0,0,COUNTA(enemy_skills!$A:$A),MATCH(D$1,enemy_skills!$1:$1,0)-MATCH("enemy_skill_id",enemy_skills!$1:$1,0)+1),MATCH(D$1,enemy_skills!$1:$1,0)-MATCH("enemy_skill_id",enemy_skills!$1:$1,0)+1,FALSE)</f>
        <v>攻撃は</v>
      </c>
      <c r="E5" s="5" t="str">
        <f ca="1">VLOOKUP($C5,OFFSET(enemy_skills!$A$1,0,0,COUNTA(enemy_skills!$A:$A),MATCH(E$1,enemy_skills!$1:$1,0)-MATCH("enemy_skill_id",enemy_skills!$1:$1,0)+1),MATCH(E$1,enemy_skills!$1:$1,0)-MATCH("enemy_skill_id",enemy_skills!$1:$1,0)+1,FALSE)</f>
        <v>…</v>
      </c>
      <c r="F5" s="58">
        <v>14002000</v>
      </c>
      <c r="G5" s="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5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5" t="str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" s="5">
        <f ca="1">VLOOKUP($F5,OFFSET(enemy_skill_triggers!$A$1,0,0,COUNTA(enemy_skill_triggers!$A:$A),MATCH(P$1,enemy_skill_triggers!$1:$1,0)-MATCH($F$1,enemy_skill_triggers!$1:$1,0)+1),MATCH(P$1,enemy_skill_triggers!$1:$1,0)-MATCH($F$1,enemy_skill_triggers!$1:$1,0)+1,FALSE)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" s="53"/>
      <c r="R5" s="53"/>
      <c r="S5" s="53"/>
    </row>
    <row r="6" spans="1:19" ht="21" customHeight="1" x14ac:dyDescent="0.15">
      <c r="A6" s="46" t="str">
        <f t="shared" si="2"/>
        <v>14003231_14003231</v>
      </c>
      <c r="B6" s="58">
        <v>14003231</v>
      </c>
      <c r="C6" s="58">
        <v>14003231</v>
      </c>
      <c r="D6" s="5" t="str">
        <f ca="1">VLOOKUP($C6,OFFSET(enemy_skills!$A$1,0,0,COUNTA(enemy_skills!$A:$A),MATCH(D$1,enemy_skills!$1:$1,0)-MATCH("enemy_skill_id",enemy_skills!$1:$1,0)+1),MATCH(D$1,enemy_skills!$1:$1,0)-MATCH("enemy_skill_id",enemy_skills!$1:$1,0)+1,FALSE)</f>
        <v>最大の</v>
      </c>
      <c r="E6" s="5" t="str">
        <f ca="1">VLOOKUP($C6,OFFSET(enemy_skills!$A$1,0,0,COUNTA(enemy_skills!$A:$A),MATCH(E$1,enemy_skills!$1:$1,0)-MATCH("enemy_skill_id",enemy_skills!$1:$1,0)+1),MATCH(E$1,enemy_skills!$1:$1,0)-MATCH("enemy_skill_id",enemy_skills!$1:$1,0)+1,FALSE)</f>
        <v>…</v>
      </c>
      <c r="F6" s="58">
        <v>14002000</v>
      </c>
      <c r="G6" s="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5" t="str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" s="5">
        <f ca="1">VLOOKUP($F6,OFFSET(enemy_skill_triggers!$A$1,0,0,COUNTA(enemy_skill_triggers!$A:$A),MATCH(P$1,enemy_skill_triggers!$1:$1,0)-MATCH($F$1,enemy_skill_triggers!$1:$1,0)+1),MATCH(P$1,enemy_skill_triggers!$1:$1,0)-MATCH($F$1,enemy_skill_triggers!$1:$1,0)+1,FALSE)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" s="53"/>
      <c r="R6" s="53"/>
      <c r="S6" s="53"/>
    </row>
    <row r="7" spans="1:19" ht="21" customHeight="1" x14ac:dyDescent="0.15">
      <c r="A7" s="46" t="str">
        <f t="shared" ref="A7:A9" si="3">B7&amp;"_"&amp;C7</f>
        <v>14003232_14003232</v>
      </c>
      <c r="B7" s="58">
        <v>14003232</v>
      </c>
      <c r="C7" s="58">
        <v>14003232</v>
      </c>
      <c r="D7" s="5" t="str">
        <f ca="1">VLOOKUP($C7,OFFSET(enemy_skills!$A$1,0,0,COUNTA(enemy_skills!$A:$A),MATCH(D$1,enemy_skills!$1:$1,0)-MATCH("enemy_skill_id",enemy_skills!$1:$1,0)+1),MATCH(D$1,enemy_skills!$1:$1,0)-MATCH("enemy_skill_id",enemy_skills!$1:$1,0)+1,FALSE)</f>
        <v>防御だぜっ！</v>
      </c>
      <c r="E7" s="5" t="str">
        <f ca="1">VLOOKUP($C7,OFFSET(enemy_skills!$A$1,0,0,COUNTA(enemy_skills!$A:$A),MATCH(E$1,enemy_skills!$1:$1,0)-MATCH("enemy_skill_id",enemy_skills!$1:$1,0)+1),MATCH(E$1,enemy_skills!$1:$1,0)-MATCH("enemy_skill_id",enemy_skills!$1:$1,0)+1,FALSE)</f>
        <v>…</v>
      </c>
      <c r="F7" s="58">
        <v>14002000</v>
      </c>
      <c r="G7" s="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5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5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5" t="str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7" s="5">
        <f ca="1">VLOOKUP($F7,OFFSET(enemy_skill_triggers!$A$1,0,0,COUNTA(enemy_skill_triggers!$A:$A),MATCH(P$1,enemy_skill_triggers!$1:$1,0)-MATCH($F$1,enemy_skill_triggers!$1:$1,0)+1),MATCH(P$1,enemy_skill_triggers!$1:$1,0)-MATCH($F$1,enemy_skill_triggers!$1:$1,0)+1,FALSE)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7" s="53"/>
      <c r="R7" s="53"/>
      <c r="S7" s="53"/>
    </row>
    <row r="8" spans="1:19" ht="21" customHeight="1" x14ac:dyDescent="0.15">
      <c r="A8" s="46" t="str">
        <f t="shared" si="3"/>
        <v>14003330_14003330</v>
      </c>
      <c r="B8" s="58">
        <v>14003330</v>
      </c>
      <c r="C8" s="58">
        <v>14003330</v>
      </c>
      <c r="D8" s="5" t="str">
        <f ca="1">VLOOKUP($C8,OFFSET(enemy_skills!$A$1,0,0,COUNTA(enemy_skills!$A:$A),MATCH(D$1,enemy_skills!$1:$1,0)-MATCH("enemy_skill_id",enemy_skills!$1:$1,0)+1),MATCH(D$1,enemy_skills!$1:$1,0)-MATCH("enemy_skill_id",enemy_skills!$1:$1,0)+1,FALSE)</f>
        <v>真の癒しは</v>
      </c>
      <c r="E8" s="5" t="str">
        <f ca="1">VLOOKUP($C8,OFFSET(enemy_skills!$A$1,0,0,COUNTA(enemy_skills!$A:$A),MATCH(E$1,enemy_skills!$1:$1,0)-MATCH("enemy_skill_id",enemy_skills!$1:$1,0)+1),MATCH(E$1,enemy_skills!$1:$1,0)-MATCH("enemy_skill_id",enemy_skills!$1:$1,0)+1,FALSE)</f>
        <v>…</v>
      </c>
      <c r="F8" s="58">
        <v>14002000</v>
      </c>
      <c r="G8" s="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5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5" t="str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8" s="5">
        <f ca="1">VLOOKUP($F8,OFFSET(enemy_skill_triggers!$A$1,0,0,COUNTA(enemy_skill_triggers!$A:$A),MATCH(P$1,enemy_skill_triggers!$1:$1,0)-MATCH($F$1,enemy_skill_triggers!$1:$1,0)+1),MATCH(P$1,enemy_skill_triggers!$1:$1,0)-MATCH($F$1,enemy_skill_triggers!$1:$1,0)+1,FALSE)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8" s="53"/>
      <c r="R8" s="53"/>
      <c r="S8" s="53"/>
    </row>
    <row r="9" spans="1:19" ht="21" customHeight="1" x14ac:dyDescent="0.15">
      <c r="A9" s="46" t="str">
        <f t="shared" si="3"/>
        <v>14003331_14003331</v>
      </c>
      <c r="B9" s="58">
        <v>14003331</v>
      </c>
      <c r="C9" s="58">
        <v>14003331</v>
      </c>
      <c r="D9" s="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癒やし手まで</v>
      </c>
      <c r="E9" s="5" t="str">
        <f ca="1">VLOOKUP($C9,OFFSET(enemy_skills!$A$1,0,0,COUNTA(enemy_skills!$A:$A),MATCH(E$1,enemy_skills!$1:$1,0)-MATCH("enemy_skill_id",enemy_skills!$1:$1,0)+1),MATCH(E$1,enemy_skills!$1:$1,0)-MATCH("enemy_skill_id",enemy_skills!$1:$1,0)+1,FALSE)</f>
        <v>…</v>
      </c>
      <c r="F9" s="58">
        <v>14002000</v>
      </c>
      <c r="G9" s="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5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5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5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5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5" t="str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9" s="5">
        <f ca="1">VLOOKUP($F9,OFFSET(enemy_skill_triggers!$A$1,0,0,COUNTA(enemy_skill_triggers!$A:$A),MATCH(P$1,enemy_skill_triggers!$1:$1,0)-MATCH($F$1,enemy_skill_triggers!$1:$1,0)+1),MATCH(P$1,enemy_skill_triggers!$1:$1,0)-MATCH($F$1,enemy_skill_triggers!$1:$1,0)+1,FALSE)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9" s="53"/>
      <c r="R9" s="53"/>
      <c r="S9" s="53"/>
    </row>
    <row r="10" spans="1:19" ht="21" customHeight="1" x14ac:dyDescent="0.15">
      <c r="A10" s="46" t="str">
        <f t="shared" ref="A10:A12" si="4">B10&amp;"_"&amp;C10</f>
        <v>14003332_14003332</v>
      </c>
      <c r="B10" s="58">
        <v>14003332</v>
      </c>
      <c r="C10" s="58">
        <v>14003332</v>
      </c>
      <c r="D10" s="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癒やされるのよ★</v>
      </c>
      <c r="E10" s="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…</v>
      </c>
      <c r="F10" s="58">
        <v>14002000</v>
      </c>
      <c r="G10" s="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5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5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5" t="str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0" s="5">
        <f ca="1">VLOOKUP($F10,OFFSET(enemy_skill_triggers!$A$1,0,0,COUNTA(enemy_skill_triggers!$A:$A),MATCH(P$1,enemy_skill_triggers!$1:$1,0)-MATCH($F$1,enemy_skill_triggers!$1:$1,0)+1),MATCH(P$1,enemy_skill_triggers!$1:$1,0)-MATCH($F$1,enemy_skill_triggers!$1:$1,0)+1,FALSE)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0" s="53"/>
      <c r="R10" s="53"/>
      <c r="S10" s="53"/>
    </row>
    <row r="11" spans="1:19" ht="21" customHeight="1" x14ac:dyDescent="0.15">
      <c r="A11" s="46" t="str">
        <f t="shared" si="4"/>
        <v>14003430_14003430</v>
      </c>
      <c r="B11" s="58">
        <v>14003430</v>
      </c>
      <c r="C11" s="58">
        <v>14003430</v>
      </c>
      <c r="D11" s="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どうせ…</v>
      </c>
      <c r="E11" s="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…</v>
      </c>
      <c r="F11" s="58">
        <v>14002000</v>
      </c>
      <c r="G11" s="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5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5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5" t="str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1" s="5">
        <f ca="1">VLOOKUP($F11,OFFSET(enemy_skill_triggers!$A$1,0,0,COUNTA(enemy_skill_triggers!$A:$A),MATCH(P$1,enemy_skill_triggers!$1:$1,0)-MATCH($F$1,enemy_skill_triggers!$1:$1,0)+1),MATCH(P$1,enemy_skill_triggers!$1:$1,0)-MATCH($F$1,enemy_skill_triggers!$1:$1,0)+1,FALSE)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1" s="53"/>
      <c r="R11" s="53"/>
      <c r="S11" s="53"/>
    </row>
    <row r="12" spans="1:19" ht="21" customHeight="1" x14ac:dyDescent="0.15">
      <c r="A12" s="46" t="str">
        <f t="shared" si="4"/>
        <v>14003431_14003431</v>
      </c>
      <c r="B12" s="58">
        <v>14003431</v>
      </c>
      <c r="C12" s="58">
        <v>14003431</v>
      </c>
      <c r="D12" s="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冷やかしで…</v>
      </c>
      <c r="E12" s="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…</v>
      </c>
      <c r="F12" s="58">
        <v>14002000</v>
      </c>
      <c r="G12" s="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5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5" t="str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2" s="5">
        <f ca="1">VLOOKUP($F12,OFFSET(enemy_skill_triggers!$A$1,0,0,COUNTA(enemy_skill_triggers!$A:$A),MATCH(P$1,enemy_skill_triggers!$1:$1,0)-MATCH($F$1,enemy_skill_triggers!$1:$1,0)+1),MATCH(P$1,enemy_skill_triggers!$1:$1,0)-MATCH($F$1,enemy_skill_triggers!$1:$1,0)+1,FALSE)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2" s="53"/>
      <c r="R12" s="53"/>
      <c r="S12" s="53"/>
    </row>
    <row r="13" spans="1:19" ht="21" customHeight="1" x14ac:dyDescent="0.15">
      <c r="A13" s="46" t="str">
        <f t="shared" ref="A13" si="5">B13&amp;"_"&amp;C13</f>
        <v>14003432_14003432</v>
      </c>
      <c r="B13" s="58">
        <v>14003432</v>
      </c>
      <c r="C13" s="58">
        <v>14003432</v>
      </c>
      <c r="D13" s="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来たんでしょ…</v>
      </c>
      <c r="E13" s="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…</v>
      </c>
      <c r="F13" s="58">
        <v>14002000</v>
      </c>
      <c r="G13" s="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5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5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5" t="str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3" s="5">
        <f ca="1">VLOOKUP($F13,OFFSET(enemy_skill_triggers!$A$1,0,0,COUNTA(enemy_skill_triggers!$A:$A),MATCH(P$1,enemy_skill_triggers!$1:$1,0)-MATCH($F$1,enemy_skill_triggers!$1:$1,0)+1),MATCH(P$1,enemy_skill_triggers!$1:$1,0)-MATCH($F$1,enemy_skill_triggers!$1:$1,0)+1,FALSE)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3" s="53"/>
      <c r="R13" s="53"/>
      <c r="S13" s="53"/>
    </row>
  </sheetData>
  <autoFilter ref="A1:S1"/>
  <phoneticPr fontId="4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13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E10" sqref="E10"/>
    </sheetView>
  </sheetViews>
  <sheetFormatPr baseColWidth="12" defaultColWidth="12.83203125" defaultRowHeight="21" customHeight="1" x14ac:dyDescent="0.15"/>
  <cols>
    <col min="1" max="1" width="12.83203125" style="55"/>
    <col min="2" max="2" width="67.1640625" style="55" customWidth="1"/>
    <col min="3" max="4" width="12.83203125" style="55"/>
    <col min="5" max="5" width="33.5" style="55" bestFit="1" customWidth="1"/>
    <col min="6" max="6" width="44.1640625" style="55" bestFit="1" customWidth="1"/>
    <col min="7" max="8" width="12.83203125" style="55"/>
    <col min="9" max="9" width="44.5" style="55" customWidth="1"/>
    <col min="10" max="16384" width="12.83203125" style="55"/>
  </cols>
  <sheetData>
    <row r="1" spans="1:9" ht="21" customHeight="1" x14ac:dyDescent="0.15">
      <c r="A1" s="47" t="s">
        <v>81</v>
      </c>
      <c r="B1" s="47" t="s">
        <v>130</v>
      </c>
      <c r="C1" s="47" t="s">
        <v>83</v>
      </c>
      <c r="D1" s="47" t="s">
        <v>131</v>
      </c>
      <c r="E1" s="47" t="s">
        <v>132</v>
      </c>
      <c r="F1" s="47" t="s">
        <v>133</v>
      </c>
      <c r="G1" s="48" t="s">
        <v>127</v>
      </c>
      <c r="H1" s="48" t="s">
        <v>128</v>
      </c>
      <c r="I1" s="48" t="s">
        <v>129</v>
      </c>
    </row>
    <row r="2" spans="1:9" s="62" customFormat="1" ht="21" customHeight="1" x14ac:dyDescent="0.15">
      <c r="A2" s="58">
        <v>14002611</v>
      </c>
      <c r="B2" s="58" t="s">
        <v>153</v>
      </c>
      <c r="C2" s="59">
        <v>3</v>
      </c>
      <c r="D2" s="59" t="s">
        <v>134</v>
      </c>
      <c r="E2" s="60" t="s">
        <v>219</v>
      </c>
      <c r="F2" s="60" t="s">
        <v>218</v>
      </c>
      <c r="G2" s="59" t="s">
        <v>145</v>
      </c>
      <c r="H2" s="61"/>
      <c r="I2" s="59"/>
    </row>
    <row r="3" spans="1:9" s="62" customFormat="1" ht="21" customHeight="1" x14ac:dyDescent="0.15">
      <c r="A3" s="58">
        <v>14002612</v>
      </c>
      <c r="B3" s="58" t="s">
        <v>153</v>
      </c>
      <c r="C3" s="59">
        <v>3</v>
      </c>
      <c r="D3" s="59" t="s">
        <v>134</v>
      </c>
      <c r="E3" s="60" t="s">
        <v>230</v>
      </c>
      <c r="F3" s="60" t="s">
        <v>217</v>
      </c>
      <c r="G3" s="59" t="s">
        <v>145</v>
      </c>
      <c r="H3" s="61"/>
      <c r="I3" s="59"/>
    </row>
    <row r="4" spans="1:9" s="62" customFormat="1" ht="21" customHeight="1" x14ac:dyDescent="0.15">
      <c r="A4" s="58">
        <v>14002613</v>
      </c>
      <c r="B4" s="58" t="s">
        <v>153</v>
      </c>
      <c r="C4" s="59">
        <v>3</v>
      </c>
      <c r="D4" s="59" t="s">
        <v>134</v>
      </c>
      <c r="E4" s="60" t="s">
        <v>232</v>
      </c>
      <c r="F4" s="60" t="s">
        <v>216</v>
      </c>
      <c r="G4" s="59" t="s">
        <v>145</v>
      </c>
      <c r="H4" s="61"/>
      <c r="I4" s="59"/>
    </row>
    <row r="5" spans="1:9" s="62" customFormat="1" ht="21" customHeight="1" x14ac:dyDescent="0.15">
      <c r="A5" s="58">
        <v>14003230</v>
      </c>
      <c r="B5" s="58" t="s">
        <v>243</v>
      </c>
      <c r="C5" s="59">
        <v>3</v>
      </c>
      <c r="D5" s="59" t="s">
        <v>134</v>
      </c>
      <c r="E5" s="60" t="s">
        <v>235</v>
      </c>
      <c r="F5" s="60" t="s">
        <v>236</v>
      </c>
      <c r="G5" s="59" t="s">
        <v>145</v>
      </c>
      <c r="H5" s="61"/>
      <c r="I5" s="59"/>
    </row>
    <row r="6" spans="1:9" s="62" customFormat="1" ht="21" customHeight="1" x14ac:dyDescent="0.15">
      <c r="A6" s="58">
        <v>14003231</v>
      </c>
      <c r="B6" s="58" t="s">
        <v>244</v>
      </c>
      <c r="C6" s="59">
        <v>3</v>
      </c>
      <c r="D6" s="59" t="s">
        <v>134</v>
      </c>
      <c r="E6" s="60" t="s">
        <v>237</v>
      </c>
      <c r="F6" s="60" t="s">
        <v>236</v>
      </c>
      <c r="G6" s="59" t="s">
        <v>145</v>
      </c>
      <c r="H6" s="61"/>
      <c r="I6" s="59"/>
    </row>
    <row r="7" spans="1:9" s="62" customFormat="1" ht="21" customHeight="1" x14ac:dyDescent="0.15">
      <c r="A7" s="58">
        <v>14003232</v>
      </c>
      <c r="B7" s="58" t="s">
        <v>245</v>
      </c>
      <c r="C7" s="59">
        <v>3</v>
      </c>
      <c r="D7" s="59" t="s">
        <v>134</v>
      </c>
      <c r="E7" s="60" t="s">
        <v>238</v>
      </c>
      <c r="F7" s="60" t="s">
        <v>236</v>
      </c>
      <c r="G7" s="59" t="s">
        <v>145</v>
      </c>
      <c r="H7" s="61"/>
      <c r="I7" s="59"/>
    </row>
    <row r="8" spans="1:9" s="62" customFormat="1" ht="21" customHeight="1" x14ac:dyDescent="0.15">
      <c r="A8" s="58">
        <v>14003330</v>
      </c>
      <c r="B8" s="58" t="s">
        <v>243</v>
      </c>
      <c r="C8" s="59">
        <v>3</v>
      </c>
      <c r="D8" s="59" t="s">
        <v>134</v>
      </c>
      <c r="E8" s="60" t="s">
        <v>247</v>
      </c>
      <c r="F8" s="60" t="s">
        <v>236</v>
      </c>
      <c r="G8" s="59" t="s">
        <v>145</v>
      </c>
      <c r="H8" s="61"/>
      <c r="I8" s="59"/>
    </row>
    <row r="9" spans="1:9" s="62" customFormat="1" ht="21" customHeight="1" x14ac:dyDescent="0.15">
      <c r="A9" s="58">
        <v>14003331</v>
      </c>
      <c r="B9" s="58" t="s">
        <v>244</v>
      </c>
      <c r="C9" s="59">
        <v>3</v>
      </c>
      <c r="D9" s="59" t="s">
        <v>134</v>
      </c>
      <c r="E9" s="60" t="s">
        <v>248</v>
      </c>
      <c r="F9" s="60" t="s">
        <v>236</v>
      </c>
      <c r="G9" s="59" t="s">
        <v>145</v>
      </c>
      <c r="H9" s="61"/>
      <c r="I9" s="59"/>
    </row>
    <row r="10" spans="1:9" s="62" customFormat="1" ht="21" customHeight="1" x14ac:dyDescent="0.15">
      <c r="A10" s="58">
        <v>14003332</v>
      </c>
      <c r="B10" s="58" t="s">
        <v>245</v>
      </c>
      <c r="C10" s="59">
        <v>3</v>
      </c>
      <c r="D10" s="59" t="s">
        <v>134</v>
      </c>
      <c r="E10" s="60" t="s">
        <v>239</v>
      </c>
      <c r="F10" s="60" t="s">
        <v>236</v>
      </c>
      <c r="G10" s="59" t="s">
        <v>145</v>
      </c>
      <c r="H10" s="61"/>
      <c r="I10" s="59"/>
    </row>
    <row r="11" spans="1:9" s="62" customFormat="1" ht="21" customHeight="1" x14ac:dyDescent="0.15">
      <c r="A11" s="58">
        <v>14003430</v>
      </c>
      <c r="B11" s="58" t="s">
        <v>243</v>
      </c>
      <c r="C11" s="59">
        <v>3</v>
      </c>
      <c r="D11" s="59" t="s">
        <v>134</v>
      </c>
      <c r="E11" s="60" t="s">
        <v>240</v>
      </c>
      <c r="F11" s="60" t="s">
        <v>236</v>
      </c>
      <c r="G11" s="59" t="s">
        <v>145</v>
      </c>
      <c r="H11" s="61"/>
      <c r="I11" s="59"/>
    </row>
    <row r="12" spans="1:9" s="62" customFormat="1" ht="21" customHeight="1" x14ac:dyDescent="0.15">
      <c r="A12" s="58">
        <v>14003431</v>
      </c>
      <c r="B12" s="58" t="s">
        <v>244</v>
      </c>
      <c r="C12" s="59">
        <v>3</v>
      </c>
      <c r="D12" s="59" t="s">
        <v>134</v>
      </c>
      <c r="E12" s="60" t="s">
        <v>241</v>
      </c>
      <c r="F12" s="60" t="s">
        <v>236</v>
      </c>
      <c r="G12" s="59" t="s">
        <v>145</v>
      </c>
      <c r="H12" s="61"/>
      <c r="I12" s="59"/>
    </row>
    <row r="13" spans="1:9" s="62" customFormat="1" ht="21" customHeight="1" x14ac:dyDescent="0.15">
      <c r="A13" s="58">
        <v>14003432</v>
      </c>
      <c r="B13" s="58" t="s">
        <v>245</v>
      </c>
      <c r="C13" s="59">
        <v>3</v>
      </c>
      <c r="D13" s="59" t="s">
        <v>134</v>
      </c>
      <c r="E13" s="60" t="s">
        <v>242</v>
      </c>
      <c r="F13" s="60" t="s">
        <v>236</v>
      </c>
      <c r="G13" s="59" t="s">
        <v>145</v>
      </c>
      <c r="H13" s="61"/>
      <c r="I13" s="59"/>
    </row>
  </sheetData>
  <autoFilter ref="A1:I1"/>
  <phoneticPr fontId="4"/>
  <pageMargins left="0.75" right="0.75" top="1" bottom="1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/>
    </sheetView>
  </sheetViews>
  <sheetFormatPr baseColWidth="12" defaultColWidth="12.83203125" defaultRowHeight="21" customHeight="1" outlineLevelCol="1" x14ac:dyDescent="0.15"/>
  <cols>
    <col min="1" max="1" width="16.1640625" style="55" bestFit="1" customWidth="1"/>
    <col min="2" max="2" width="13.33203125" style="55" bestFit="1" customWidth="1"/>
    <col min="3" max="3" width="11.83203125" style="55" bestFit="1" customWidth="1"/>
    <col min="4" max="4" width="14.6640625" style="55" bestFit="1" customWidth="1"/>
    <col min="5" max="5" width="15.6640625" style="55" bestFit="1" customWidth="1"/>
    <col min="6" max="6" width="17" style="55" bestFit="1" customWidth="1"/>
    <col min="7" max="7" width="15.6640625" style="55" bestFit="1" customWidth="1"/>
    <col min="8" max="9" width="14.6640625" style="55" customWidth="1"/>
    <col min="10" max="10" width="16.1640625" style="55" bestFit="1" customWidth="1" outlineLevel="1"/>
    <col min="11" max="11" width="14.6640625" style="55" bestFit="1" customWidth="1"/>
    <col min="12" max="16384" width="12.83203125" style="52"/>
  </cols>
  <sheetData>
    <row r="1" spans="1:11" ht="21" customHeight="1" x14ac:dyDescent="0.15">
      <c r="A1" s="49" t="s">
        <v>135</v>
      </c>
      <c r="B1" s="49" t="s">
        <v>136</v>
      </c>
      <c r="C1" s="49" t="s">
        <v>101</v>
      </c>
      <c r="D1" s="49" t="s">
        <v>120</v>
      </c>
      <c r="E1" s="49" t="s">
        <v>137</v>
      </c>
      <c r="F1" s="56" t="s">
        <v>138</v>
      </c>
      <c r="G1" s="56" t="s">
        <v>139</v>
      </c>
      <c r="H1" s="49" t="s">
        <v>140</v>
      </c>
      <c r="I1" s="49" t="s">
        <v>100</v>
      </c>
      <c r="J1" s="50" t="s">
        <v>147</v>
      </c>
      <c r="K1" s="49" t="s">
        <v>141</v>
      </c>
    </row>
    <row r="2" spans="1:11" ht="21" customHeight="1" x14ac:dyDescent="0.15">
      <c r="A2" s="58">
        <v>14002000</v>
      </c>
      <c r="B2" s="58">
        <v>1</v>
      </c>
      <c r="C2" s="58" t="s">
        <v>142</v>
      </c>
      <c r="D2" s="58">
        <v>100</v>
      </c>
      <c r="E2" s="58" t="s">
        <v>144</v>
      </c>
      <c r="F2" s="58" t="s">
        <v>142</v>
      </c>
      <c r="G2" s="58">
        <v>1</v>
      </c>
      <c r="H2" s="58" t="s">
        <v>142</v>
      </c>
      <c r="I2" s="58" t="s">
        <v>146</v>
      </c>
      <c r="J2" s="20" t="str">
        <f ca="1">IFERROR(VLOOKUP($I2,OFFSET([3]enemies!$A$1,0,0,COUNTA([3]enemies!$A:$A),MATCH(J$1,[3]enemies!$1:$1,0)-MATCH("character_id",[3]enemies!$1:$1,0)+1),MATCH(J$1,[3]enemies!$1:$1,0)-MATCH("character_id",[3]enemies!$1:$1,0)+1,FALSE),"")</f>
        <v/>
      </c>
      <c r="K2" s="54">
        <f t="shared" ref="K2" si="0">D2</f>
        <v>100</v>
      </c>
    </row>
  </sheetData>
  <autoFilter ref="A1:G1"/>
  <phoneticPr fontId="4"/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19"/>
  <sheetViews>
    <sheetView workbookViewId="0"/>
  </sheetViews>
  <sheetFormatPr baseColWidth="12" defaultRowHeight="15" x14ac:dyDescent="0.15"/>
  <cols>
    <col min="1" max="1" width="7.33203125" bestFit="1" customWidth="1"/>
    <col min="2" max="2" width="7" bestFit="1" customWidth="1"/>
    <col min="3" max="3" width="9.33203125" bestFit="1" customWidth="1"/>
    <col min="4" max="4" width="10" bestFit="1" customWidth="1"/>
    <col min="5" max="5" width="8.5" bestFit="1" customWidth="1"/>
    <col min="6" max="6" width="9.33203125" bestFit="1" customWidth="1"/>
    <col min="7" max="7" width="9.83203125" bestFit="1" customWidth="1"/>
    <col min="8" max="8" width="10.1640625" bestFit="1" customWidth="1"/>
    <col min="9" max="9" width="4.83203125" bestFit="1" customWidth="1"/>
    <col min="10" max="10" width="7.83203125" bestFit="1" customWidth="1"/>
    <col min="11" max="11" width="6.5" bestFit="1" customWidth="1"/>
    <col min="12" max="12" width="9.33203125" bestFit="1" customWidth="1"/>
    <col min="13" max="13" width="10.33203125" bestFit="1" customWidth="1"/>
    <col min="14" max="14" width="7.6640625" bestFit="1" customWidth="1"/>
    <col min="15" max="15" width="4" bestFit="1" customWidth="1"/>
    <col min="16" max="16" width="6" bestFit="1" customWidth="1"/>
    <col min="17" max="18" width="19" bestFit="1" customWidth="1"/>
  </cols>
  <sheetData>
    <row r="1" spans="1:18" x14ac:dyDescent="0.15">
      <c r="A1" s="67" t="s">
        <v>154</v>
      </c>
      <c r="B1" s="67" t="s">
        <v>155</v>
      </c>
      <c r="C1" s="68" t="s">
        <v>156</v>
      </c>
      <c r="D1" s="69" t="s">
        <v>157</v>
      </c>
      <c r="E1" s="70" t="s">
        <v>158</v>
      </c>
      <c r="F1" s="67" t="s">
        <v>159</v>
      </c>
      <c r="G1" s="67" t="s">
        <v>160</v>
      </c>
      <c r="H1" s="67" t="s">
        <v>161</v>
      </c>
      <c r="I1" s="67" t="s">
        <v>70</v>
      </c>
      <c r="J1" s="67" t="s">
        <v>162</v>
      </c>
      <c r="K1" s="67" t="s">
        <v>37</v>
      </c>
      <c r="L1" s="67" t="s">
        <v>39</v>
      </c>
      <c r="M1" s="67" t="s">
        <v>41</v>
      </c>
      <c r="N1" s="67" t="s">
        <v>43</v>
      </c>
      <c r="O1" s="67" t="s">
        <v>45</v>
      </c>
      <c r="P1" s="67" t="s">
        <v>163</v>
      </c>
      <c r="Q1" s="67" t="s">
        <v>164</v>
      </c>
      <c r="R1" s="67" t="s">
        <v>165</v>
      </c>
    </row>
    <row r="2" spans="1:18" ht="16" x14ac:dyDescent="0.2">
      <c r="A2" s="103">
        <v>14003</v>
      </c>
      <c r="B2" s="34">
        <v>1</v>
      </c>
      <c r="C2" s="71" t="str">
        <f t="shared" ref="C2:C7" si="0">A2&amp; "_"&amp;B2</f>
        <v>14003_1</v>
      </c>
      <c r="D2" s="22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34">
        <v>1</v>
      </c>
      <c r="F2" s="34" t="s">
        <v>166</v>
      </c>
      <c r="G2" s="34">
        <v>611</v>
      </c>
      <c r="H2" s="34">
        <v>1</v>
      </c>
      <c r="I2" s="72">
        <v>1</v>
      </c>
      <c r="J2" s="34">
        <v>1</v>
      </c>
      <c r="K2" s="34">
        <v>0</v>
      </c>
      <c r="L2" s="34">
        <v>0</v>
      </c>
      <c r="M2" s="34">
        <v>0</v>
      </c>
      <c r="N2" s="34">
        <v>0</v>
      </c>
      <c r="O2" s="72">
        <v>1</v>
      </c>
      <c r="P2" s="34">
        <v>16</v>
      </c>
      <c r="Q2" s="34" t="s">
        <v>167</v>
      </c>
      <c r="R2" s="34" t="s">
        <v>168</v>
      </c>
    </row>
    <row r="3" spans="1:18" ht="16" x14ac:dyDescent="0.2">
      <c r="A3" s="103">
        <v>14003</v>
      </c>
      <c r="B3" s="34">
        <v>1</v>
      </c>
      <c r="C3" s="71" t="str">
        <f t="shared" si="0"/>
        <v>14003_1</v>
      </c>
      <c r="D3" s="22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34">
        <v>2</v>
      </c>
      <c r="F3" s="34" t="s">
        <v>166</v>
      </c>
      <c r="G3" s="34">
        <v>607</v>
      </c>
      <c r="H3" s="34">
        <v>1</v>
      </c>
      <c r="I3" s="72">
        <v>1</v>
      </c>
      <c r="J3" s="34">
        <v>1</v>
      </c>
      <c r="K3" s="34">
        <v>0</v>
      </c>
      <c r="L3" s="34">
        <v>0</v>
      </c>
      <c r="M3" s="34">
        <v>0</v>
      </c>
      <c r="N3" s="34">
        <v>0</v>
      </c>
      <c r="O3" s="72">
        <v>1</v>
      </c>
      <c r="P3" s="34">
        <v>84</v>
      </c>
      <c r="Q3" s="34" t="s">
        <v>167</v>
      </c>
      <c r="R3" s="34" t="s">
        <v>168</v>
      </c>
    </row>
    <row r="4" spans="1:18" ht="16" x14ac:dyDescent="0.2">
      <c r="A4" s="103">
        <v>14003</v>
      </c>
      <c r="B4" s="34">
        <v>1</v>
      </c>
      <c r="C4" s="71" t="str">
        <f t="shared" si="0"/>
        <v>14003_1</v>
      </c>
      <c r="D4" s="22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34">
        <v>3</v>
      </c>
      <c r="F4" s="34" t="s">
        <v>166</v>
      </c>
      <c r="G4" s="34">
        <v>612</v>
      </c>
      <c r="H4" s="34">
        <v>1</v>
      </c>
      <c r="I4" s="72">
        <v>1</v>
      </c>
      <c r="J4" s="34">
        <v>1</v>
      </c>
      <c r="K4" s="34">
        <v>0</v>
      </c>
      <c r="L4" s="34">
        <v>0</v>
      </c>
      <c r="M4" s="34">
        <v>0</v>
      </c>
      <c r="N4" s="34">
        <v>0</v>
      </c>
      <c r="O4" s="72">
        <v>1</v>
      </c>
      <c r="P4" s="34">
        <v>16</v>
      </c>
      <c r="Q4" s="34" t="s">
        <v>167</v>
      </c>
      <c r="R4" s="34" t="s">
        <v>168</v>
      </c>
    </row>
    <row r="5" spans="1:18" ht="16" x14ac:dyDescent="0.2">
      <c r="A5" s="103">
        <v>14003</v>
      </c>
      <c r="B5" s="34">
        <v>1</v>
      </c>
      <c r="C5" s="71" t="str">
        <f t="shared" si="0"/>
        <v>14003_1</v>
      </c>
      <c r="D5" s="22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34">
        <v>4</v>
      </c>
      <c r="F5" s="34" t="s">
        <v>166</v>
      </c>
      <c r="G5" s="34">
        <v>608</v>
      </c>
      <c r="H5" s="34">
        <v>1</v>
      </c>
      <c r="I5" s="72">
        <v>1</v>
      </c>
      <c r="J5" s="34">
        <v>1</v>
      </c>
      <c r="K5" s="34">
        <v>0</v>
      </c>
      <c r="L5" s="34">
        <v>0</v>
      </c>
      <c r="M5" s="34">
        <v>0</v>
      </c>
      <c r="N5" s="34">
        <v>0</v>
      </c>
      <c r="O5" s="72">
        <v>1</v>
      </c>
      <c r="P5" s="34">
        <v>84</v>
      </c>
      <c r="Q5" s="34" t="s">
        <v>167</v>
      </c>
      <c r="R5" s="34" t="s">
        <v>168</v>
      </c>
    </row>
    <row r="6" spans="1:18" ht="16" x14ac:dyDescent="0.2">
      <c r="A6" s="103">
        <v>14003</v>
      </c>
      <c r="B6" s="34">
        <v>1</v>
      </c>
      <c r="C6" s="71" t="str">
        <f t="shared" si="0"/>
        <v>14003_1</v>
      </c>
      <c r="D6" s="22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34">
        <v>5</v>
      </c>
      <c r="F6" s="34" t="s">
        <v>166</v>
      </c>
      <c r="G6" s="34">
        <v>613</v>
      </c>
      <c r="H6" s="34">
        <v>1</v>
      </c>
      <c r="I6" s="72">
        <v>1</v>
      </c>
      <c r="J6" s="34">
        <v>1</v>
      </c>
      <c r="K6" s="34">
        <v>0</v>
      </c>
      <c r="L6" s="34">
        <v>0</v>
      </c>
      <c r="M6" s="34">
        <v>0</v>
      </c>
      <c r="N6" s="34">
        <v>0</v>
      </c>
      <c r="O6" s="72">
        <v>1</v>
      </c>
      <c r="P6" s="34">
        <v>16</v>
      </c>
      <c r="Q6" s="34" t="s">
        <v>167</v>
      </c>
      <c r="R6" s="34" t="s">
        <v>168</v>
      </c>
    </row>
    <row r="7" spans="1:18" ht="16" x14ac:dyDescent="0.2">
      <c r="A7" s="103">
        <v>14003</v>
      </c>
      <c r="B7" s="34">
        <v>1</v>
      </c>
      <c r="C7" s="71" t="str">
        <f t="shared" si="0"/>
        <v>14003_1</v>
      </c>
      <c r="D7" s="22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34">
        <v>6</v>
      </c>
      <c r="F7" s="34" t="s">
        <v>166</v>
      </c>
      <c r="G7" s="34">
        <v>609</v>
      </c>
      <c r="H7" s="34">
        <v>1</v>
      </c>
      <c r="I7" s="72">
        <v>1</v>
      </c>
      <c r="J7" s="34">
        <v>1</v>
      </c>
      <c r="K7" s="34">
        <v>0</v>
      </c>
      <c r="L7" s="34">
        <v>0</v>
      </c>
      <c r="M7" s="34">
        <v>0</v>
      </c>
      <c r="N7" s="34">
        <v>0</v>
      </c>
      <c r="O7" s="72">
        <v>1</v>
      </c>
      <c r="P7" s="34">
        <v>84</v>
      </c>
      <c r="Q7" s="34" t="s">
        <v>167</v>
      </c>
      <c r="R7" s="34" t="s">
        <v>168</v>
      </c>
    </row>
    <row r="8" spans="1:18" ht="16" x14ac:dyDescent="0.2">
      <c r="A8" s="103">
        <v>14003</v>
      </c>
      <c r="B8" s="34">
        <v>2</v>
      </c>
      <c r="C8" s="71" t="str">
        <f t="shared" ref="C8:C13" si="1">A8&amp; "_"&amp;B8</f>
        <v>14003_2</v>
      </c>
      <c r="D8" s="22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34">
        <v>1</v>
      </c>
      <c r="F8" s="34" t="s">
        <v>166</v>
      </c>
      <c r="G8" s="34">
        <v>611</v>
      </c>
      <c r="H8" s="34">
        <v>1</v>
      </c>
      <c r="I8" s="72">
        <v>1</v>
      </c>
      <c r="J8" s="34">
        <v>1</v>
      </c>
      <c r="K8" s="34">
        <v>0</v>
      </c>
      <c r="L8" s="34">
        <v>0</v>
      </c>
      <c r="M8" s="34">
        <v>0</v>
      </c>
      <c r="N8" s="34">
        <v>0</v>
      </c>
      <c r="O8" s="72">
        <v>1</v>
      </c>
      <c r="P8" s="34">
        <v>16</v>
      </c>
      <c r="Q8" s="34" t="s">
        <v>167</v>
      </c>
      <c r="R8" s="34" t="s">
        <v>168</v>
      </c>
    </row>
    <row r="9" spans="1:18" ht="16" x14ac:dyDescent="0.2">
      <c r="A9" s="103">
        <v>14003</v>
      </c>
      <c r="B9" s="34">
        <v>2</v>
      </c>
      <c r="C9" s="71" t="str">
        <f t="shared" si="1"/>
        <v>14003_2</v>
      </c>
      <c r="D9" s="22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34">
        <v>2</v>
      </c>
      <c r="F9" s="34" t="s">
        <v>166</v>
      </c>
      <c r="G9" s="34">
        <v>607</v>
      </c>
      <c r="H9" s="34">
        <v>1</v>
      </c>
      <c r="I9" s="72">
        <v>1</v>
      </c>
      <c r="J9" s="34">
        <v>1</v>
      </c>
      <c r="K9" s="34">
        <v>0</v>
      </c>
      <c r="L9" s="34">
        <v>0</v>
      </c>
      <c r="M9" s="34">
        <v>0</v>
      </c>
      <c r="N9" s="34">
        <v>0</v>
      </c>
      <c r="O9" s="72">
        <v>1</v>
      </c>
      <c r="P9" s="34">
        <v>84</v>
      </c>
      <c r="Q9" s="34" t="s">
        <v>167</v>
      </c>
      <c r="R9" s="34" t="s">
        <v>168</v>
      </c>
    </row>
    <row r="10" spans="1:18" ht="16" x14ac:dyDescent="0.2">
      <c r="A10" s="103">
        <v>14003</v>
      </c>
      <c r="B10" s="34">
        <v>3</v>
      </c>
      <c r="C10" s="71" t="str">
        <f t="shared" si="1"/>
        <v>14003_3</v>
      </c>
      <c r="D10" s="22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34">
        <v>1</v>
      </c>
      <c r="F10" s="34" t="s">
        <v>166</v>
      </c>
      <c r="G10" s="34">
        <v>613</v>
      </c>
      <c r="H10" s="34">
        <v>1</v>
      </c>
      <c r="I10" s="72">
        <v>1</v>
      </c>
      <c r="J10" s="34">
        <v>1</v>
      </c>
      <c r="K10" s="34">
        <v>0</v>
      </c>
      <c r="L10" s="34">
        <v>0</v>
      </c>
      <c r="M10" s="34">
        <v>0</v>
      </c>
      <c r="N10" s="34">
        <v>0</v>
      </c>
      <c r="O10" s="72">
        <v>1</v>
      </c>
      <c r="P10" s="34">
        <v>16</v>
      </c>
      <c r="Q10" s="34" t="s">
        <v>167</v>
      </c>
      <c r="R10" s="34" t="s">
        <v>168</v>
      </c>
    </row>
    <row r="11" spans="1:18" ht="16" x14ac:dyDescent="0.2">
      <c r="A11" s="103">
        <v>14003</v>
      </c>
      <c r="B11" s="34">
        <v>3</v>
      </c>
      <c r="C11" s="71" t="str">
        <f t="shared" si="1"/>
        <v>14003_3</v>
      </c>
      <c r="D11" s="22" t="str">
        <f ca="1">VLOOKUP($C11,OFFSET([2]stages!$A$1,0,0,COUNTA([2]stages!$A:$A),MATCH(D$1,[2]stages!$2:$2,0)-MATCH($C$1,[2]stages!$2:$2,0)+1),MATCH(D$1,[2]stages!$2:$2,0)-MATCH($C$1,[2]stages!$2:$2,0)+1,FALSE)</f>
        <v>singleonly</v>
      </c>
      <c r="E11" s="34">
        <v>2</v>
      </c>
      <c r="F11" s="34" t="s">
        <v>166</v>
      </c>
      <c r="G11" s="34">
        <v>609</v>
      </c>
      <c r="H11" s="34">
        <v>1</v>
      </c>
      <c r="I11" s="72">
        <v>1</v>
      </c>
      <c r="J11" s="34">
        <v>1</v>
      </c>
      <c r="K11" s="34">
        <v>0</v>
      </c>
      <c r="L11" s="34">
        <v>0</v>
      </c>
      <c r="M11" s="34">
        <v>0</v>
      </c>
      <c r="N11" s="34">
        <v>0</v>
      </c>
      <c r="O11" s="72">
        <v>1</v>
      </c>
      <c r="P11" s="34">
        <v>84</v>
      </c>
      <c r="Q11" s="34" t="s">
        <v>167</v>
      </c>
      <c r="R11" s="34" t="s">
        <v>168</v>
      </c>
    </row>
    <row r="12" spans="1:18" ht="16" x14ac:dyDescent="0.2">
      <c r="A12" s="103">
        <v>14003</v>
      </c>
      <c r="B12" s="34">
        <v>4</v>
      </c>
      <c r="C12" s="71" t="str">
        <f t="shared" si="1"/>
        <v>14003_4</v>
      </c>
      <c r="D12" s="22" t="str">
        <f ca="1">VLOOKUP($C12,OFFSET([2]stages!$A$1,0,0,COUNTA([2]stages!$A:$A),MATCH(D$1,[2]stages!$2:$2,0)-MATCH($C$1,[2]stages!$2:$2,0)+1),MATCH(D$1,[2]stages!$2:$2,0)-MATCH($C$1,[2]stages!$2:$2,0)+1,FALSE)</f>
        <v>singleonly</v>
      </c>
      <c r="E12" s="34">
        <v>1</v>
      </c>
      <c r="F12" s="34" t="s">
        <v>166</v>
      </c>
      <c r="G12" s="34">
        <v>612</v>
      </c>
      <c r="H12" s="34">
        <v>1</v>
      </c>
      <c r="I12" s="72">
        <v>1</v>
      </c>
      <c r="J12" s="34">
        <v>1</v>
      </c>
      <c r="K12" s="34">
        <v>0</v>
      </c>
      <c r="L12" s="34">
        <v>0</v>
      </c>
      <c r="M12" s="34">
        <v>0</v>
      </c>
      <c r="N12" s="34">
        <v>0</v>
      </c>
      <c r="O12" s="72">
        <v>1</v>
      </c>
      <c r="P12" s="34">
        <v>16</v>
      </c>
      <c r="Q12" s="34" t="s">
        <v>167</v>
      </c>
      <c r="R12" s="34" t="s">
        <v>168</v>
      </c>
    </row>
    <row r="13" spans="1:18" ht="16" x14ac:dyDescent="0.2">
      <c r="A13" s="103">
        <v>14003</v>
      </c>
      <c r="B13" s="34">
        <v>4</v>
      </c>
      <c r="C13" s="71" t="str">
        <f t="shared" si="1"/>
        <v>14003_4</v>
      </c>
      <c r="D13" s="22" t="str">
        <f ca="1">VLOOKUP($C13,OFFSET([2]stages!$A$1,0,0,COUNTA([2]stages!$A:$A),MATCH(D$1,[2]stages!$2:$2,0)-MATCH($C$1,[2]stages!$2:$2,0)+1),MATCH(D$1,[2]stages!$2:$2,0)-MATCH($C$1,[2]stages!$2:$2,0)+1,FALSE)</f>
        <v>singleonly</v>
      </c>
      <c r="E13" s="34">
        <v>2</v>
      </c>
      <c r="F13" s="34" t="s">
        <v>166</v>
      </c>
      <c r="G13" s="34">
        <v>608</v>
      </c>
      <c r="H13" s="34">
        <v>1</v>
      </c>
      <c r="I13" s="72">
        <v>1</v>
      </c>
      <c r="J13" s="34">
        <v>1</v>
      </c>
      <c r="K13" s="34">
        <v>0</v>
      </c>
      <c r="L13" s="34">
        <v>0</v>
      </c>
      <c r="M13" s="34">
        <v>0</v>
      </c>
      <c r="N13" s="34">
        <v>0</v>
      </c>
      <c r="O13" s="72">
        <v>1</v>
      </c>
      <c r="P13" s="34">
        <v>84</v>
      </c>
      <c r="Q13" s="34" t="s">
        <v>167</v>
      </c>
      <c r="R13" s="34" t="s">
        <v>168</v>
      </c>
    </row>
    <row r="14" spans="1:18" ht="16" x14ac:dyDescent="0.2">
      <c r="A14" s="102">
        <v>14006</v>
      </c>
      <c r="B14" s="34">
        <v>1</v>
      </c>
      <c r="C14" s="71" t="str">
        <f t="shared" ref="C14:C19" si="2">A14&amp; "_"&amp;B14</f>
        <v>14006_1</v>
      </c>
      <c r="D14" s="44" t="s">
        <v>231</v>
      </c>
      <c r="E14" s="34">
        <v>1</v>
      </c>
      <c r="F14" s="34" t="s">
        <v>166</v>
      </c>
      <c r="G14" s="34">
        <v>611</v>
      </c>
      <c r="H14" s="34">
        <v>1</v>
      </c>
      <c r="I14" s="72">
        <v>1</v>
      </c>
      <c r="J14" s="34">
        <v>1</v>
      </c>
      <c r="K14" s="34">
        <v>0</v>
      </c>
      <c r="L14" s="34">
        <v>0</v>
      </c>
      <c r="M14" s="34">
        <v>0</v>
      </c>
      <c r="N14" s="34">
        <v>0</v>
      </c>
      <c r="O14" s="72">
        <v>1</v>
      </c>
      <c r="P14" s="34">
        <v>16</v>
      </c>
      <c r="Q14" s="34" t="s">
        <v>167</v>
      </c>
      <c r="R14" s="34" t="s">
        <v>168</v>
      </c>
    </row>
    <row r="15" spans="1:18" ht="16" x14ac:dyDescent="0.2">
      <c r="A15" s="102">
        <v>14006</v>
      </c>
      <c r="B15" s="34">
        <v>1</v>
      </c>
      <c r="C15" s="71" t="str">
        <f t="shared" si="2"/>
        <v>14006_1</v>
      </c>
      <c r="D15" s="44" t="s">
        <v>231</v>
      </c>
      <c r="E15" s="34">
        <v>2</v>
      </c>
      <c r="F15" s="34" t="s">
        <v>166</v>
      </c>
      <c r="G15" s="34">
        <v>607</v>
      </c>
      <c r="H15" s="34">
        <v>1</v>
      </c>
      <c r="I15" s="72">
        <v>1</v>
      </c>
      <c r="J15" s="34">
        <v>1</v>
      </c>
      <c r="K15" s="34">
        <v>0</v>
      </c>
      <c r="L15" s="34">
        <v>0</v>
      </c>
      <c r="M15" s="34">
        <v>0</v>
      </c>
      <c r="N15" s="34">
        <v>0</v>
      </c>
      <c r="O15" s="72">
        <v>1</v>
      </c>
      <c r="P15" s="34">
        <v>84</v>
      </c>
      <c r="Q15" s="34" t="s">
        <v>167</v>
      </c>
      <c r="R15" s="34" t="s">
        <v>168</v>
      </c>
    </row>
    <row r="16" spans="1:18" ht="16" x14ac:dyDescent="0.2">
      <c r="A16" s="102">
        <v>14006</v>
      </c>
      <c r="B16" s="34">
        <v>1</v>
      </c>
      <c r="C16" s="71" t="str">
        <f t="shared" si="2"/>
        <v>14006_1</v>
      </c>
      <c r="D16" s="44" t="s">
        <v>231</v>
      </c>
      <c r="E16" s="34">
        <v>3</v>
      </c>
      <c r="F16" s="34" t="s">
        <v>166</v>
      </c>
      <c r="G16" s="34">
        <v>612</v>
      </c>
      <c r="H16" s="34">
        <v>1</v>
      </c>
      <c r="I16" s="72">
        <v>1</v>
      </c>
      <c r="J16" s="34">
        <v>1</v>
      </c>
      <c r="K16" s="34">
        <v>0</v>
      </c>
      <c r="L16" s="34">
        <v>0</v>
      </c>
      <c r="M16" s="34">
        <v>0</v>
      </c>
      <c r="N16" s="34">
        <v>0</v>
      </c>
      <c r="O16" s="72">
        <v>1</v>
      </c>
      <c r="P16" s="34">
        <v>16</v>
      </c>
      <c r="Q16" s="34" t="s">
        <v>167</v>
      </c>
      <c r="R16" s="34" t="s">
        <v>168</v>
      </c>
    </row>
    <row r="17" spans="1:18" ht="16" x14ac:dyDescent="0.2">
      <c r="A17" s="102">
        <v>14006</v>
      </c>
      <c r="B17" s="34">
        <v>1</v>
      </c>
      <c r="C17" s="71" t="str">
        <f t="shared" si="2"/>
        <v>14006_1</v>
      </c>
      <c r="D17" s="44" t="s">
        <v>231</v>
      </c>
      <c r="E17" s="34">
        <v>4</v>
      </c>
      <c r="F17" s="34" t="s">
        <v>166</v>
      </c>
      <c r="G17" s="34">
        <v>608</v>
      </c>
      <c r="H17" s="34">
        <v>1</v>
      </c>
      <c r="I17" s="72">
        <v>1</v>
      </c>
      <c r="J17" s="34">
        <v>1</v>
      </c>
      <c r="K17" s="34">
        <v>0</v>
      </c>
      <c r="L17" s="34">
        <v>0</v>
      </c>
      <c r="M17" s="34">
        <v>0</v>
      </c>
      <c r="N17" s="34">
        <v>0</v>
      </c>
      <c r="O17" s="72">
        <v>1</v>
      </c>
      <c r="P17" s="34">
        <v>84</v>
      </c>
      <c r="Q17" s="34" t="s">
        <v>167</v>
      </c>
      <c r="R17" s="34" t="s">
        <v>168</v>
      </c>
    </row>
    <row r="18" spans="1:18" ht="16" x14ac:dyDescent="0.2">
      <c r="A18" s="102">
        <v>14006</v>
      </c>
      <c r="B18" s="34">
        <v>1</v>
      </c>
      <c r="C18" s="71" t="str">
        <f t="shared" si="2"/>
        <v>14006_1</v>
      </c>
      <c r="D18" s="44" t="s">
        <v>231</v>
      </c>
      <c r="E18" s="34">
        <v>5</v>
      </c>
      <c r="F18" s="34" t="s">
        <v>166</v>
      </c>
      <c r="G18" s="34">
        <v>613</v>
      </c>
      <c r="H18" s="34">
        <v>1</v>
      </c>
      <c r="I18" s="72">
        <v>1</v>
      </c>
      <c r="J18" s="34">
        <v>1</v>
      </c>
      <c r="K18" s="34">
        <v>0</v>
      </c>
      <c r="L18" s="34">
        <v>0</v>
      </c>
      <c r="M18" s="34">
        <v>0</v>
      </c>
      <c r="N18" s="34">
        <v>0</v>
      </c>
      <c r="O18" s="72">
        <v>1</v>
      </c>
      <c r="P18" s="34">
        <v>16</v>
      </c>
      <c r="Q18" s="34" t="s">
        <v>167</v>
      </c>
      <c r="R18" s="34" t="s">
        <v>168</v>
      </c>
    </row>
    <row r="19" spans="1:18" ht="16" x14ac:dyDescent="0.2">
      <c r="A19" s="102">
        <v>14006</v>
      </c>
      <c r="B19" s="34">
        <v>1</v>
      </c>
      <c r="C19" s="71" t="str">
        <f t="shared" si="2"/>
        <v>14006_1</v>
      </c>
      <c r="D19" s="44" t="s">
        <v>231</v>
      </c>
      <c r="E19" s="34">
        <v>6</v>
      </c>
      <c r="F19" s="34" t="s">
        <v>166</v>
      </c>
      <c r="G19" s="34">
        <v>609</v>
      </c>
      <c r="H19" s="34">
        <v>1</v>
      </c>
      <c r="I19" s="72">
        <v>1</v>
      </c>
      <c r="J19" s="34">
        <v>1</v>
      </c>
      <c r="K19" s="34">
        <v>0</v>
      </c>
      <c r="L19" s="34">
        <v>0</v>
      </c>
      <c r="M19" s="34">
        <v>0</v>
      </c>
      <c r="N19" s="34">
        <v>0</v>
      </c>
      <c r="O19" s="72">
        <v>1</v>
      </c>
      <c r="P19" s="34">
        <v>84</v>
      </c>
      <c r="Q19" s="34" t="s">
        <v>167</v>
      </c>
      <c r="R19" s="34" t="s">
        <v>168</v>
      </c>
    </row>
  </sheetData>
  <phoneticPr fontId="4"/>
  <dataValidations count="1">
    <dataValidation type="list" allowBlank="1" showInputMessage="1" showErrorMessage="1" sqref="F2:F19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11"/>
  <sheetViews>
    <sheetView showGridLines="0" topLeftCell="I1" zoomScale="191" zoomScaleNormal="75" zoomScalePageLayoutView="75" workbookViewId="0">
      <pane ySplit="1" topLeftCell="A7" activePane="bottomLeft" state="frozen"/>
      <selection activeCell="I2" sqref="I2"/>
      <selection pane="bottomLeft" activeCell="N4" sqref="N4"/>
    </sheetView>
  </sheetViews>
  <sheetFormatPr baseColWidth="12" defaultColWidth="13" defaultRowHeight="15" outlineLevelCol="1" x14ac:dyDescent="0.15"/>
  <cols>
    <col min="1" max="1" width="9.83203125" bestFit="1" customWidth="1"/>
    <col min="2" max="2" width="9.1640625" style="89" bestFit="1" customWidth="1"/>
    <col min="3" max="3" width="7.5" bestFit="1" customWidth="1" collapsed="1"/>
    <col min="4" max="5" width="16.5" hidden="1" customWidth="1" outlineLevel="1"/>
    <col min="6" max="6" width="7" bestFit="1" customWidth="1" collapsed="1"/>
    <col min="7" max="7" width="24.83203125" hidden="1" customWidth="1" outlineLevel="1"/>
    <col min="8" max="8" width="16.5" hidden="1" customWidth="1" outlineLevel="1"/>
    <col min="9" max="9" width="6.5" bestFit="1" customWidth="1"/>
    <col min="10" max="10" width="9.1640625" bestFit="1" customWidth="1"/>
    <col min="11" max="11" width="7.83203125" bestFit="1" customWidth="1"/>
    <col min="12" max="12" width="7.6640625" bestFit="1" customWidth="1"/>
    <col min="13" max="14" width="29.33203125" bestFit="1" customWidth="1"/>
    <col min="15" max="15" width="8.5" bestFit="1" customWidth="1"/>
    <col min="16" max="16" width="4.1640625" bestFit="1" customWidth="1"/>
  </cols>
  <sheetData>
    <row r="1" spans="1:16" x14ac:dyDescent="0.15">
      <c r="A1" s="73" t="s">
        <v>169</v>
      </c>
      <c r="B1" s="74" t="s">
        <v>170</v>
      </c>
      <c r="C1" s="75" t="s">
        <v>171</v>
      </c>
      <c r="D1" s="76" t="s">
        <v>172</v>
      </c>
      <c r="E1" s="76" t="s">
        <v>32</v>
      </c>
      <c r="F1" s="75" t="s">
        <v>173</v>
      </c>
      <c r="G1" s="76" t="s">
        <v>174</v>
      </c>
      <c r="H1" s="76" t="s">
        <v>32</v>
      </c>
      <c r="I1" s="75" t="s">
        <v>175</v>
      </c>
      <c r="J1" s="77" t="s">
        <v>176</v>
      </c>
      <c r="K1" s="78" t="s">
        <v>177</v>
      </c>
      <c r="L1" s="79" t="s">
        <v>178</v>
      </c>
      <c r="M1" s="79" t="s">
        <v>179</v>
      </c>
      <c r="N1" s="80" t="s">
        <v>180</v>
      </c>
      <c r="O1" s="81" t="s">
        <v>181</v>
      </c>
    </row>
    <row r="2" spans="1:16" ht="42" x14ac:dyDescent="0.15">
      <c r="A2" s="82" t="str">
        <f t="shared" ref="A2:A5" si="0">C2&amp;"_"&amp;F2&amp;"_"&amp;J2</f>
        <v>14003_1_1</v>
      </c>
      <c r="B2" s="83" t="s">
        <v>182</v>
      </c>
      <c r="C2" s="104">
        <v>14003</v>
      </c>
      <c r="D2" s="84" t="str">
        <f ca="1">VLOOKUP($C2,OFFSET([2]quests!$A$1,0,0,COUNTA([2]quests!$A:$A),MATCH(D$1,[2]quests!$1:$1,0)-MATCH($C$1,[2]quests!$1:$1,0)+1),MATCH(D$1,[2]quests!$1:$1,0)-MATCH($C$1,[2]quests!$1:$1,0)+1,FALSE)</f>
        <v>【ロック】限界突破/ソロ</v>
      </c>
      <c r="E2" s="84" t="str">
        <f ca="1">VLOOKUP($C2,OFFSET([2]quests!$A$1,0,0,COUNTA([2]quests!$A:$A),MATCH(E$1,[2]quests!$1:$1,0)-MATCH($C$1,[2]quests!$1:$1,0)+1),MATCH(E$1,[2]quests!$1:$1,0)-MATCH($C$1,[2]quests!$1:$1,0)+1,FALSE)</f>
        <v>【ロック】限界突破/ソロ</v>
      </c>
      <c r="F2" s="85">
        <v>1</v>
      </c>
      <c r="G2" s="84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【超級】果実の楽園（ハートなし）</v>
      </c>
      <c r="H2" s="84" t="str">
        <f ca="1">VLOOKUP($C2&amp;"_"&amp;$F2,OFFSET([2]stages!$A$1,0,0,COUNTA([2]stages!$A:$A),MATCH(H$1,[2]stages!$2:$2,0)-MATCH("temp_stage",[2]stages!$2:$2,0)+1),MATCH(H$1,[2]stages!$2:$2,0)-MATCH("temp_stage",[2]stages!$2:$2,0)+1,FALSE)</f>
        <v>【ロック】限界突破/ソロ</v>
      </c>
      <c r="I2" s="86">
        <v>0</v>
      </c>
      <c r="J2" s="87">
        <f t="shared" ref="J2:J10" si="1">ROW()-1</f>
        <v>1</v>
      </c>
      <c r="K2" s="88" t="str">
        <f t="shared" ref="K2:K5" si="2">C2&amp;TEXT(J2,"00")</f>
        <v>1400301</v>
      </c>
      <c r="L2" s="85" t="s">
        <v>220</v>
      </c>
      <c r="M2" s="97" t="s">
        <v>226</v>
      </c>
      <c r="N2" s="97" t="s">
        <v>233</v>
      </c>
      <c r="O2" s="34" t="s">
        <v>221</v>
      </c>
      <c r="P2">
        <f t="shared" ref="P2:P5" si="3">LEN(N2)</f>
        <v>44</v>
      </c>
    </row>
    <row r="3" spans="1:16" ht="56" x14ac:dyDescent="0.15">
      <c r="A3" s="82" t="str">
        <f t="shared" si="0"/>
        <v>14003_1_2</v>
      </c>
      <c r="B3" s="83" t="s">
        <v>182</v>
      </c>
      <c r="C3" s="104">
        <v>14003</v>
      </c>
      <c r="D3" s="84" t="str">
        <f ca="1">VLOOKUP($C3,OFFSET([2]quests!$A$1,0,0,COUNTA([2]quests!$A:$A),MATCH(D$1,[2]quests!$1:$1,0)-MATCH($C$1,[2]quests!$1:$1,0)+1),MATCH(D$1,[2]quests!$1:$1,0)-MATCH($C$1,[2]quests!$1:$1,0)+1,FALSE)</f>
        <v>【ロック】限界突破/ソロ</v>
      </c>
      <c r="E3" s="84" t="str">
        <f ca="1">VLOOKUP($C3,OFFSET([2]quests!$A$1,0,0,COUNTA([2]quests!$A:$A),MATCH(E$1,[2]quests!$1:$1,0)-MATCH($C$1,[2]quests!$1:$1,0)+1),MATCH(E$1,[2]quests!$1:$1,0)-MATCH($C$1,[2]quests!$1:$1,0)+1,FALSE)</f>
        <v>【ロック】限界突破/ソロ</v>
      </c>
      <c r="F3" s="85">
        <v>1</v>
      </c>
      <c r="G3" s="84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【超級】果実の楽園（ハートなし）</v>
      </c>
      <c r="H3" s="84" t="str">
        <f ca="1">VLOOKUP($C3&amp;"_"&amp;$F3,OFFSET([2]stages!$A$1,0,0,COUNTA([2]stages!$A:$A),MATCH(H$1,[2]stages!$2:$2,0)-MATCH("temp_stage",[2]stages!$2:$2,0)+1),MATCH(H$1,[2]stages!$2:$2,0)-MATCH("temp_stage",[2]stages!$2:$2,0)+1,FALSE)</f>
        <v>【ロック】限界突破/ソロ</v>
      </c>
      <c r="I3" s="86">
        <v>0</v>
      </c>
      <c r="J3" s="87">
        <f t="shared" si="1"/>
        <v>2</v>
      </c>
      <c r="K3" s="88" t="str">
        <f t="shared" si="2"/>
        <v>1400302</v>
      </c>
      <c r="L3" s="85" t="s">
        <v>222</v>
      </c>
      <c r="M3" s="97" t="s">
        <v>227</v>
      </c>
      <c r="N3" s="97" t="s">
        <v>234</v>
      </c>
      <c r="O3" s="34" t="s">
        <v>223</v>
      </c>
      <c r="P3">
        <f t="shared" si="3"/>
        <v>43</v>
      </c>
    </row>
    <row r="4" spans="1:16" ht="28" x14ac:dyDescent="0.15">
      <c r="A4" s="82" t="str">
        <f t="shared" si="0"/>
        <v>14003_1_3</v>
      </c>
      <c r="B4" s="83" t="s">
        <v>182</v>
      </c>
      <c r="C4" s="104">
        <v>14003</v>
      </c>
      <c r="D4" s="84" t="str">
        <f ca="1">VLOOKUP($C4,OFFSET([2]quests!$A$1,0,0,COUNTA([2]quests!$A:$A),MATCH(D$1,[2]quests!$1:$1,0)-MATCH($C$1,[2]quests!$1:$1,0)+1),MATCH(D$1,[2]quests!$1:$1,0)-MATCH($C$1,[2]quests!$1:$1,0)+1,FALSE)</f>
        <v>【ロック】限界突破/ソロ</v>
      </c>
      <c r="E4" s="84" t="str">
        <f ca="1">VLOOKUP($C4,OFFSET([2]quests!$A$1,0,0,COUNTA([2]quests!$A:$A),MATCH(E$1,[2]quests!$1:$1,0)-MATCH($C$1,[2]quests!$1:$1,0)+1),MATCH(E$1,[2]quests!$1:$1,0)-MATCH($C$1,[2]quests!$1:$1,0)+1,FALSE)</f>
        <v>【ロック】限界突破/ソロ</v>
      </c>
      <c r="F4" s="85">
        <v>1</v>
      </c>
      <c r="G4" s="84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【超級】果実の楽園（ハートなし）</v>
      </c>
      <c r="H4" s="84" t="str">
        <f ca="1">VLOOKUP($C4&amp;"_"&amp;$F4,OFFSET([2]stages!$A$1,0,0,COUNTA([2]stages!$A:$A),MATCH(H$1,[2]stages!$2:$2,0)-MATCH("temp_stage",[2]stages!$2:$2,0)+1),MATCH(H$1,[2]stages!$2:$2,0)-MATCH("temp_stage",[2]stages!$2:$2,0)+1,FALSE)</f>
        <v>【ロック】限界突破/ソロ</v>
      </c>
      <c r="I4" s="86">
        <v>0</v>
      </c>
      <c r="J4" s="87">
        <f t="shared" si="1"/>
        <v>3</v>
      </c>
      <c r="K4" s="88" t="str">
        <f t="shared" si="2"/>
        <v>1400303</v>
      </c>
      <c r="L4" s="85" t="s">
        <v>222</v>
      </c>
      <c r="M4" s="97" t="s">
        <v>246</v>
      </c>
      <c r="N4" s="97" t="s">
        <v>249</v>
      </c>
      <c r="O4" s="34" t="s">
        <v>223</v>
      </c>
      <c r="P4">
        <f t="shared" si="3"/>
        <v>31</v>
      </c>
    </row>
    <row r="5" spans="1:16" ht="28" x14ac:dyDescent="0.15">
      <c r="A5" s="82" t="str">
        <f t="shared" si="0"/>
        <v>14003_2_4</v>
      </c>
      <c r="B5" s="83" t="s">
        <v>182</v>
      </c>
      <c r="C5" s="104">
        <v>14003</v>
      </c>
      <c r="D5" s="84" t="str">
        <f ca="1">VLOOKUP($C5,OFFSET([2]quests!$A$1,0,0,COUNTA([2]quests!$A:$A),MATCH(D$1,[2]quests!$1:$1,0)-MATCH($C$1,[2]quests!$1:$1,0)+1),MATCH(D$1,[2]quests!$1:$1,0)-MATCH($C$1,[2]quests!$1:$1,0)+1,FALSE)</f>
        <v>【ロック】限界突破/ソロ</v>
      </c>
      <c r="E5" s="84" t="str">
        <f ca="1">VLOOKUP($C5,OFFSET([2]quests!$A$1,0,0,COUNTA([2]quests!$A:$A),MATCH(E$1,[2]quests!$1:$1,0)-MATCH($C$1,[2]quests!$1:$1,0)+1),MATCH(E$1,[2]quests!$1:$1,0)-MATCH($C$1,[2]quests!$1:$1,0)+1,FALSE)</f>
        <v>【ロック】限界突破/ソロ</v>
      </c>
      <c r="F5" s="85">
        <v>2</v>
      </c>
      <c r="G5" s="84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【超級】攻めの極意（ハートなし）</v>
      </c>
      <c r="H5" s="84" t="str">
        <f ca="1">VLOOKUP($C5&amp;"_"&amp;$F5,OFFSET([2]stages!$A$1,0,0,COUNTA([2]stages!$A:$A),MATCH(H$1,[2]stages!$2:$2,0)-MATCH("temp_stage",[2]stages!$2:$2,0)+1),MATCH(H$1,[2]stages!$2:$2,0)-MATCH("temp_stage",[2]stages!$2:$2,0)+1,FALSE)</f>
        <v>【ロック】限界突破/ソロ</v>
      </c>
      <c r="I5" s="86">
        <v>0</v>
      </c>
      <c r="J5" s="87">
        <f t="shared" si="1"/>
        <v>4</v>
      </c>
      <c r="K5" s="88" t="str">
        <f t="shared" si="2"/>
        <v>1400304</v>
      </c>
      <c r="L5" s="85" t="s">
        <v>134</v>
      </c>
      <c r="M5" s="97" t="s">
        <v>246</v>
      </c>
      <c r="N5" s="97" t="s">
        <v>249</v>
      </c>
      <c r="O5" s="34" t="s">
        <v>221</v>
      </c>
      <c r="P5">
        <f t="shared" si="3"/>
        <v>31</v>
      </c>
    </row>
    <row r="6" spans="1:16" ht="28" x14ac:dyDescent="0.15">
      <c r="A6" s="82" t="str">
        <f t="shared" ref="A6" si="4">C6&amp;"_"&amp;F6&amp;"_"&amp;J6</f>
        <v>14003_3_5</v>
      </c>
      <c r="B6" s="83" t="s">
        <v>182</v>
      </c>
      <c r="C6" s="104">
        <v>14003</v>
      </c>
      <c r="D6" s="84" t="str">
        <f ca="1">VLOOKUP($C6,OFFSET([2]quests!$A$1,0,0,COUNTA([2]quests!$A:$A),MATCH(D$1,[2]quests!$1:$1,0)-MATCH($C$1,[2]quests!$1:$1,0)+1),MATCH(D$1,[2]quests!$1:$1,0)-MATCH($C$1,[2]quests!$1:$1,0)+1,FALSE)</f>
        <v>【ロック】限界突破/ソロ</v>
      </c>
      <c r="E6" s="84" t="str">
        <f ca="1">VLOOKUP($C6,OFFSET([2]quests!$A$1,0,0,COUNTA([2]quests!$A:$A),MATCH(E$1,[2]quests!$1:$1,0)-MATCH($C$1,[2]quests!$1:$1,0)+1),MATCH(E$1,[2]quests!$1:$1,0)-MATCH($C$1,[2]quests!$1:$1,0)+1,FALSE)</f>
        <v>【ロック】限界突破/ソロ</v>
      </c>
      <c r="F6" s="85">
        <v>3</v>
      </c>
      <c r="G6" s="84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【超級】癒しの極意（ハートなし）</v>
      </c>
      <c r="H6" s="84" t="str">
        <f ca="1">VLOOKUP($C6&amp;"_"&amp;$F6,OFFSET([2]stages!$A$1,0,0,COUNTA([2]stages!$A:$A),MATCH(H$1,[2]stages!$2:$2,0)-MATCH("temp_stage",[2]stages!$2:$2,0)+1),MATCH(H$1,[2]stages!$2:$2,0)-MATCH("temp_stage",[2]stages!$2:$2,0)+1,FALSE)</f>
        <v>【ロック】限界突破/ソロ</v>
      </c>
      <c r="I6" s="86">
        <v>0</v>
      </c>
      <c r="J6" s="87">
        <f t="shared" si="1"/>
        <v>5</v>
      </c>
      <c r="K6" s="88" t="str">
        <f t="shared" ref="K6" si="5">C6&amp;TEXT(J6,"00")</f>
        <v>1400305</v>
      </c>
      <c r="L6" s="85" t="s">
        <v>134</v>
      </c>
      <c r="M6" s="97" t="s">
        <v>246</v>
      </c>
      <c r="N6" s="97" t="s">
        <v>249</v>
      </c>
      <c r="O6" s="34" t="s">
        <v>221</v>
      </c>
      <c r="P6">
        <f t="shared" ref="P6" si="6">LEN(N6)</f>
        <v>31</v>
      </c>
    </row>
    <row r="7" spans="1:16" ht="28" x14ac:dyDescent="0.15">
      <c r="A7" s="82" t="str">
        <f t="shared" ref="A7" si="7">C7&amp;"_"&amp;F7&amp;"_"&amp;J7</f>
        <v>14003_4_6</v>
      </c>
      <c r="B7" s="83" t="s">
        <v>182</v>
      </c>
      <c r="C7" s="104">
        <v>14003</v>
      </c>
      <c r="D7" s="84" t="str">
        <f ca="1">VLOOKUP($C7,OFFSET([2]quests!$A$1,0,0,COUNTA([2]quests!$A:$A),MATCH(D$1,[2]quests!$1:$1,0)-MATCH($C$1,[2]quests!$1:$1,0)+1),MATCH(D$1,[2]quests!$1:$1,0)-MATCH($C$1,[2]quests!$1:$1,0)+1,FALSE)</f>
        <v>【ロック】限界突破/ソロ</v>
      </c>
      <c r="E7" s="84" t="str">
        <f ca="1">VLOOKUP($C7,OFFSET([2]quests!$A$1,0,0,COUNTA([2]quests!$A:$A),MATCH(E$1,[2]quests!$1:$1,0)-MATCH($C$1,[2]quests!$1:$1,0)+1),MATCH(E$1,[2]quests!$1:$1,0)-MATCH($C$1,[2]quests!$1:$1,0)+1,FALSE)</f>
        <v>【ロック】限界突破/ソロ</v>
      </c>
      <c r="F7" s="85">
        <v>4</v>
      </c>
      <c r="G7" s="84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【超級】生命の極意（ハートなし）</v>
      </c>
      <c r="H7" s="84" t="str">
        <f ca="1">VLOOKUP($C7&amp;"_"&amp;$F7,OFFSET([2]stages!$A$1,0,0,COUNTA([2]stages!$A:$A),MATCH(H$1,[2]stages!$2:$2,0)-MATCH("temp_stage",[2]stages!$2:$2,0)+1),MATCH(H$1,[2]stages!$2:$2,0)-MATCH("temp_stage",[2]stages!$2:$2,0)+1,FALSE)</f>
        <v>【ロック】限界突破/ソロ</v>
      </c>
      <c r="I7" s="86">
        <v>0</v>
      </c>
      <c r="J7" s="87">
        <f t="shared" si="1"/>
        <v>6</v>
      </c>
      <c r="K7" s="88" t="str">
        <f t="shared" ref="K7" si="8">C7&amp;TEXT(J7,"00")</f>
        <v>1400306</v>
      </c>
      <c r="L7" s="85" t="s">
        <v>134</v>
      </c>
      <c r="M7" s="97" t="s">
        <v>246</v>
      </c>
      <c r="N7" s="97" t="s">
        <v>249</v>
      </c>
      <c r="O7" s="34" t="s">
        <v>221</v>
      </c>
      <c r="P7">
        <f t="shared" ref="P7" si="9">LEN(N7)</f>
        <v>31</v>
      </c>
    </row>
    <row r="8" spans="1:16" ht="42" x14ac:dyDescent="0.15">
      <c r="A8" s="82" t="str">
        <f t="shared" ref="A8:A10" si="10">C8&amp;"_"&amp;F8&amp;"_"&amp;J8</f>
        <v>14006_1_7</v>
      </c>
      <c r="B8" s="83" t="s">
        <v>182</v>
      </c>
      <c r="C8" s="105">
        <v>14006</v>
      </c>
      <c r="D8" s="84" t="str">
        <f ca="1">VLOOKUP($C8,OFFSET([2]quests!$A$1,0,0,COUNTA([2]quests!$A:$A),MATCH(D$1,[2]quests!$1:$1,0)-MATCH($C$1,[2]quests!$1:$1,0)+1),MATCH(D$1,[2]quests!$1:$1,0)-MATCH($C$1,[2]quests!$1:$1,0)+1,FALSE)</f>
        <v>【ロック】限界突破/LINEマルチ</v>
      </c>
      <c r="E8" s="84" t="str">
        <f ca="1">VLOOKUP($C8,OFFSET([2]quests!$A$1,0,0,COUNTA([2]quests!$A:$A),MATCH(E$1,[2]quests!$1:$1,0)-MATCH($C$1,[2]quests!$1:$1,0)+1),MATCH(E$1,[2]quests!$1:$1,0)-MATCH($C$1,[2]quests!$1:$1,0)+1,FALSE)</f>
        <v>【ロック】限界突破/LINEマルチ</v>
      </c>
      <c r="F8" s="85">
        <v>1</v>
      </c>
      <c r="G8" s="84" t="str">
        <f ca="1">VLOOKUP($C8&amp;"_"&amp;$F8,OFFSET([2]stages!$A$1,0,0,COUNTA([2]stages!$A:$A),MATCH(G$1,[2]stages!$2:$2,0)-MATCH("temp_stage",[2]stages!$2:$2,0)+1),MATCH(G$1,[2]stages!$2:$2,0)-MATCH("temp_stage",[2]stages!$2:$2,0)+1,FALSE)</f>
        <v>【超級】果実の楽園（ハートなし）</v>
      </c>
      <c r="H8" s="84" t="str">
        <f ca="1">VLOOKUP($C8&amp;"_"&amp;$F8,OFFSET([2]stages!$A$1,0,0,COUNTA([2]stages!$A:$A),MATCH(H$1,[2]stages!$2:$2,0)-MATCH("temp_stage",[2]stages!$2:$2,0)+1),MATCH(H$1,[2]stages!$2:$2,0)-MATCH("temp_stage",[2]stages!$2:$2,0)+1,FALSE)</f>
        <v>【ロック】限界突破/LINEマルチ</v>
      </c>
      <c r="I8" s="86">
        <v>0</v>
      </c>
      <c r="J8" s="87">
        <f t="shared" si="1"/>
        <v>7</v>
      </c>
      <c r="K8" s="88" t="str">
        <f t="shared" ref="K8:K10" si="11">C8&amp;TEXT(J8,"00")</f>
        <v>1400607</v>
      </c>
      <c r="L8" s="85" t="s">
        <v>134</v>
      </c>
      <c r="M8" s="108" t="str">
        <f>M2</f>
        <v>限界突破の兄弟姉妹</v>
      </c>
      <c r="N8" s="108" t="str">
        <f>N2</f>
        <v>ひとりっ子ばかりと考えられていた_x000D_限界突破の果実たちに_x000D_兄弟姉妹がいることがわかりました</v>
      </c>
      <c r="O8" s="34" t="s">
        <v>221</v>
      </c>
      <c r="P8">
        <f t="shared" ref="P8:P10" si="12">LEN(N8)</f>
        <v>44</v>
      </c>
    </row>
    <row r="9" spans="1:16" ht="56" x14ac:dyDescent="0.15">
      <c r="A9" s="82" t="str">
        <f t="shared" si="10"/>
        <v>14006_1_8</v>
      </c>
      <c r="B9" s="83" t="s">
        <v>182</v>
      </c>
      <c r="C9" s="105">
        <v>14006</v>
      </c>
      <c r="D9" s="84" t="str">
        <f ca="1">VLOOKUP($C9,OFFSET([2]quests!$A$1,0,0,COUNTA([2]quests!$A:$A),MATCH(D$1,[2]quests!$1:$1,0)-MATCH($C$1,[2]quests!$1:$1,0)+1),MATCH(D$1,[2]quests!$1:$1,0)-MATCH($C$1,[2]quests!$1:$1,0)+1,FALSE)</f>
        <v>【ロック】限界突破/LINEマルチ</v>
      </c>
      <c r="E9" s="84" t="str">
        <f ca="1">VLOOKUP($C9,OFFSET([2]quests!$A$1,0,0,COUNTA([2]quests!$A:$A),MATCH(E$1,[2]quests!$1:$1,0)-MATCH($C$1,[2]quests!$1:$1,0)+1),MATCH(E$1,[2]quests!$1:$1,0)-MATCH($C$1,[2]quests!$1:$1,0)+1,FALSE)</f>
        <v>【ロック】限界突破/LINEマルチ</v>
      </c>
      <c r="F9" s="85">
        <v>1</v>
      </c>
      <c r="G9" s="84" t="str">
        <f ca="1">VLOOKUP($C9&amp;"_"&amp;$F9,OFFSET([2]stages!$A$1,0,0,COUNTA([2]stages!$A:$A),MATCH(G$1,[2]stages!$2:$2,0)-MATCH("temp_stage",[2]stages!$2:$2,0)+1),MATCH(G$1,[2]stages!$2:$2,0)-MATCH("temp_stage",[2]stages!$2:$2,0)+1,FALSE)</f>
        <v>【超級】果実の楽園（ハートなし）</v>
      </c>
      <c r="H9" s="84" t="str">
        <f ca="1">VLOOKUP($C9&amp;"_"&amp;$F9,OFFSET([2]stages!$A$1,0,0,COUNTA([2]stages!$A:$A),MATCH(H$1,[2]stages!$2:$2,0)-MATCH("temp_stage",[2]stages!$2:$2,0)+1),MATCH(H$1,[2]stages!$2:$2,0)-MATCH("temp_stage",[2]stages!$2:$2,0)+1,FALSE)</f>
        <v>【ロック】限界突破/LINEマルチ</v>
      </c>
      <c r="I9" s="86">
        <v>0</v>
      </c>
      <c r="J9" s="87">
        <f t="shared" si="1"/>
        <v>8</v>
      </c>
      <c r="K9" s="88" t="str">
        <f t="shared" si="11"/>
        <v>1400608</v>
      </c>
      <c r="L9" s="85" t="s">
        <v>134</v>
      </c>
      <c r="M9" s="108" t="str">
        <f t="shared" ref="M9" si="13">M3</f>
        <v>果実の種類は…？</v>
      </c>
      <c r="N9" s="108" t="str">
        <f>N3</f>
        <v>その見た目から_x000D_リンゴに分類されていた果実たち_x000D__x000D_匿名の告白から 新事実が発覚したとか</v>
      </c>
      <c r="O9" s="34" t="s">
        <v>221</v>
      </c>
      <c r="P9">
        <f t="shared" si="12"/>
        <v>43</v>
      </c>
    </row>
    <row r="10" spans="1:16" ht="84" x14ac:dyDescent="0.15">
      <c r="A10" s="82" t="str">
        <f t="shared" si="10"/>
        <v>14006_1_9</v>
      </c>
      <c r="B10" s="83" t="s">
        <v>182</v>
      </c>
      <c r="C10" s="105">
        <v>14006</v>
      </c>
      <c r="D10" s="84" t="str">
        <f ca="1">VLOOKUP($C10,OFFSET([2]quests!$A$1,0,0,COUNTA([2]quests!$A:$A),MATCH(D$1,[2]quests!$1:$1,0)-MATCH($C$1,[2]quests!$1:$1,0)+1),MATCH(D$1,[2]quests!$1:$1,0)-MATCH($C$1,[2]quests!$1:$1,0)+1,FALSE)</f>
        <v>【ロック】限界突破/LINEマルチ</v>
      </c>
      <c r="E10" s="84" t="str">
        <f ca="1">VLOOKUP($C10,OFFSET([2]quests!$A$1,0,0,COUNTA([2]quests!$A:$A),MATCH(E$1,[2]quests!$1:$1,0)-MATCH($C$1,[2]quests!$1:$1,0)+1),MATCH(E$1,[2]quests!$1:$1,0)-MATCH($C$1,[2]quests!$1:$1,0)+1,FALSE)</f>
        <v>【ロック】限界突破/LINEマルチ</v>
      </c>
      <c r="F10" s="85">
        <v>1</v>
      </c>
      <c r="G10" s="84" t="str">
        <f ca="1">VLOOKUP($C10&amp;"_"&amp;$F10,OFFSET([2]stages!$A$1,0,0,COUNTA([2]stages!$A:$A),MATCH(G$1,[2]stages!$2:$2,0)-MATCH("temp_stage",[2]stages!$2:$2,0)+1),MATCH(G$1,[2]stages!$2:$2,0)-MATCH("temp_stage",[2]stages!$2:$2,0)+1,FALSE)</f>
        <v>【超級】果実の楽園（ハートなし）</v>
      </c>
      <c r="H10" s="84" t="str">
        <f ca="1">VLOOKUP($C10&amp;"_"&amp;$F10,OFFSET([2]stages!$A$1,0,0,COUNTA([2]stages!$A:$A),MATCH(H$1,[2]stages!$2:$2,0)-MATCH("temp_stage",[2]stages!$2:$2,0)+1),MATCH(H$1,[2]stages!$2:$2,0)-MATCH("temp_stage",[2]stages!$2:$2,0)+1,FALSE)</f>
        <v>【ロック】限界突破/LINEマルチ</v>
      </c>
      <c r="I10" s="86">
        <v>0</v>
      </c>
      <c r="J10" s="87">
        <f t="shared" si="1"/>
        <v>9</v>
      </c>
      <c r="K10" s="88" t="str">
        <f t="shared" si="11"/>
        <v>1400609</v>
      </c>
      <c r="L10" s="85" t="s">
        <v>134</v>
      </c>
      <c r="M10" s="97" t="s">
        <v>228</v>
      </c>
      <c r="N10" s="97" t="s">
        <v>229</v>
      </c>
      <c r="O10" s="34" t="s">
        <v>221</v>
      </c>
      <c r="P10">
        <f t="shared" si="12"/>
        <v>64</v>
      </c>
    </row>
    <row r="11" spans="1:16" x14ac:dyDescent="0.15">
      <c r="M11" s="98" t="s">
        <v>224</v>
      </c>
      <c r="N11" s="98" t="s">
        <v>225</v>
      </c>
    </row>
  </sheetData>
  <phoneticPr fontId="4"/>
  <dataValidations disablePrompts="1" count="1">
    <dataValidation type="list" allowBlank="1" showInputMessage="1" showErrorMessage="1" sqref="B2:B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調整用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2017-03-28T05:57:30Z</dcterms:modified>
</cp:coreProperties>
</file>