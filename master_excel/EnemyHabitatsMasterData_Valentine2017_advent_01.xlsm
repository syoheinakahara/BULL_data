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815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io_takigawa/BULL_data/master_excel/"/>
    </mc:Choice>
  </mc:AlternateContent>
  <bookViews>
    <workbookView xWindow="6600" yWindow="460" windowWidth="25900" windowHeight="1982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enemy_habitat_S!$B$1:$AA$9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stage_hints_failure!$B$1:$M$18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8" i="10" l="1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J59" i="11"/>
  <c r="O277" i="9"/>
  <c r="N277" i="9"/>
  <c r="M277" i="9"/>
  <c r="L277" i="9"/>
  <c r="K277" i="9"/>
  <c r="J277" i="9"/>
  <c r="I277" i="9"/>
  <c r="H277" i="9"/>
  <c r="G277" i="9"/>
  <c r="E277" i="9"/>
  <c r="D277" i="9"/>
  <c r="A277" i="9"/>
  <c r="J58" i="11"/>
  <c r="O276" i="9"/>
  <c r="N276" i="9"/>
  <c r="M276" i="9"/>
  <c r="L276" i="9"/>
  <c r="K276" i="9"/>
  <c r="J276" i="9"/>
  <c r="I276" i="9"/>
  <c r="H276" i="9"/>
  <c r="G276" i="9"/>
  <c r="E276" i="9"/>
  <c r="D276" i="9"/>
  <c r="A276" i="9"/>
  <c r="J57" i="11"/>
  <c r="O275" i="9"/>
  <c r="N275" i="9"/>
  <c r="M275" i="9"/>
  <c r="L275" i="9"/>
  <c r="K275" i="9"/>
  <c r="J275" i="9"/>
  <c r="I275" i="9"/>
  <c r="H275" i="9"/>
  <c r="G275" i="9"/>
  <c r="E275" i="9"/>
  <c r="D275" i="9"/>
  <c r="A275" i="9"/>
  <c r="J56" i="11"/>
  <c r="O274" i="9"/>
  <c r="N274" i="9"/>
  <c r="M274" i="9"/>
  <c r="L274" i="9"/>
  <c r="K274" i="9"/>
  <c r="J274" i="9"/>
  <c r="I274" i="9"/>
  <c r="H274" i="9"/>
  <c r="G274" i="9"/>
  <c r="E274" i="9"/>
  <c r="D274" i="9"/>
  <c r="A274" i="9"/>
  <c r="J55" i="11"/>
  <c r="O273" i="9"/>
  <c r="N273" i="9"/>
  <c r="M273" i="9"/>
  <c r="L273" i="9"/>
  <c r="K273" i="9"/>
  <c r="J273" i="9"/>
  <c r="I273" i="9"/>
  <c r="H273" i="9"/>
  <c r="G273" i="9"/>
  <c r="E273" i="9"/>
  <c r="D273" i="9"/>
  <c r="A273" i="9"/>
  <c r="J54" i="11"/>
  <c r="O272" i="9"/>
  <c r="N272" i="9"/>
  <c r="M272" i="9"/>
  <c r="L272" i="9"/>
  <c r="K272" i="9"/>
  <c r="J272" i="9"/>
  <c r="I272" i="9"/>
  <c r="H272" i="9"/>
  <c r="G272" i="9"/>
  <c r="E272" i="9"/>
  <c r="D272" i="9"/>
  <c r="A272" i="9"/>
  <c r="J53" i="11"/>
  <c r="O271" i="9"/>
  <c r="N271" i="9"/>
  <c r="M271" i="9"/>
  <c r="L271" i="9"/>
  <c r="K271" i="9"/>
  <c r="J271" i="9"/>
  <c r="I271" i="9"/>
  <c r="H271" i="9"/>
  <c r="G271" i="9"/>
  <c r="E271" i="9"/>
  <c r="D271" i="9"/>
  <c r="A271" i="9"/>
  <c r="J52" i="11"/>
  <c r="O270" i="9"/>
  <c r="N270" i="9"/>
  <c r="M270" i="9"/>
  <c r="L270" i="9"/>
  <c r="K270" i="9"/>
  <c r="J270" i="9"/>
  <c r="I270" i="9"/>
  <c r="H270" i="9"/>
  <c r="G270" i="9"/>
  <c r="E270" i="9"/>
  <c r="D270" i="9"/>
  <c r="A270" i="9"/>
  <c r="J51" i="11"/>
  <c r="O269" i="9"/>
  <c r="N269" i="9"/>
  <c r="M269" i="9"/>
  <c r="L269" i="9"/>
  <c r="K269" i="9"/>
  <c r="J269" i="9"/>
  <c r="I269" i="9"/>
  <c r="H269" i="9"/>
  <c r="G269" i="9"/>
  <c r="E269" i="9"/>
  <c r="D269" i="9"/>
  <c r="A269" i="9"/>
  <c r="J50" i="11"/>
  <c r="O268" i="9"/>
  <c r="N268" i="9"/>
  <c r="M268" i="9"/>
  <c r="L268" i="9"/>
  <c r="K268" i="9"/>
  <c r="J268" i="9"/>
  <c r="I268" i="9"/>
  <c r="H268" i="9"/>
  <c r="G268" i="9"/>
  <c r="E268" i="9"/>
  <c r="D268" i="9"/>
  <c r="A268" i="9"/>
  <c r="J49" i="11"/>
  <c r="O267" i="9"/>
  <c r="N267" i="9"/>
  <c r="M267" i="9"/>
  <c r="L267" i="9"/>
  <c r="K267" i="9"/>
  <c r="J267" i="9"/>
  <c r="I267" i="9"/>
  <c r="H267" i="9"/>
  <c r="G267" i="9"/>
  <c r="E267" i="9"/>
  <c r="D267" i="9"/>
  <c r="A267" i="9"/>
  <c r="J48" i="11"/>
  <c r="O266" i="9"/>
  <c r="N266" i="9"/>
  <c r="M266" i="9"/>
  <c r="L266" i="9"/>
  <c r="K266" i="9"/>
  <c r="J266" i="9"/>
  <c r="I266" i="9"/>
  <c r="H266" i="9"/>
  <c r="G266" i="9"/>
  <c r="E266" i="9"/>
  <c r="D266" i="9"/>
  <c r="A266" i="9"/>
  <c r="J47" i="11"/>
  <c r="O265" i="9"/>
  <c r="N265" i="9"/>
  <c r="M265" i="9"/>
  <c r="L265" i="9"/>
  <c r="K265" i="9"/>
  <c r="J265" i="9"/>
  <c r="I265" i="9"/>
  <c r="H265" i="9"/>
  <c r="G265" i="9"/>
  <c r="E265" i="9"/>
  <c r="D265" i="9"/>
  <c r="A265" i="9"/>
  <c r="J46" i="11"/>
  <c r="O264" i="9"/>
  <c r="N264" i="9"/>
  <c r="M264" i="9"/>
  <c r="L264" i="9"/>
  <c r="K264" i="9"/>
  <c r="J264" i="9"/>
  <c r="I264" i="9"/>
  <c r="H264" i="9"/>
  <c r="G264" i="9"/>
  <c r="E264" i="9"/>
  <c r="D264" i="9"/>
  <c r="A264" i="9"/>
  <c r="J45" i="11"/>
  <c r="O263" i="9"/>
  <c r="N263" i="9"/>
  <c r="M263" i="9"/>
  <c r="L263" i="9"/>
  <c r="K263" i="9"/>
  <c r="J263" i="9"/>
  <c r="I263" i="9"/>
  <c r="H263" i="9"/>
  <c r="G263" i="9"/>
  <c r="E263" i="9"/>
  <c r="D263" i="9"/>
  <c r="A263" i="9"/>
  <c r="J44" i="11"/>
  <c r="O262" i="9"/>
  <c r="N262" i="9"/>
  <c r="M262" i="9"/>
  <c r="L262" i="9"/>
  <c r="K262" i="9"/>
  <c r="J262" i="9"/>
  <c r="I262" i="9"/>
  <c r="H262" i="9"/>
  <c r="G262" i="9"/>
  <c r="E262" i="9"/>
  <c r="D262" i="9"/>
  <c r="A262" i="9"/>
  <c r="J43" i="11"/>
  <c r="O261" i="9"/>
  <c r="N261" i="9"/>
  <c r="M261" i="9"/>
  <c r="L261" i="9"/>
  <c r="K261" i="9"/>
  <c r="J261" i="9"/>
  <c r="I261" i="9"/>
  <c r="H261" i="9"/>
  <c r="G261" i="9"/>
  <c r="E261" i="9"/>
  <c r="D261" i="9"/>
  <c r="A261" i="9"/>
  <c r="J42" i="11"/>
  <c r="O260" i="9"/>
  <c r="N260" i="9"/>
  <c r="M260" i="9"/>
  <c r="L260" i="9"/>
  <c r="K260" i="9"/>
  <c r="J260" i="9"/>
  <c r="I260" i="9"/>
  <c r="H260" i="9"/>
  <c r="G260" i="9"/>
  <c r="E260" i="9"/>
  <c r="D260" i="9"/>
  <c r="A260" i="9"/>
  <c r="J41" i="11"/>
  <c r="O259" i="9"/>
  <c r="N259" i="9"/>
  <c r="M259" i="9"/>
  <c r="L259" i="9"/>
  <c r="K259" i="9"/>
  <c r="J259" i="9"/>
  <c r="I259" i="9"/>
  <c r="H259" i="9"/>
  <c r="G259" i="9"/>
  <c r="E259" i="9"/>
  <c r="D259" i="9"/>
  <c r="A259" i="9"/>
  <c r="J40" i="11"/>
  <c r="O258" i="9"/>
  <c r="N258" i="9"/>
  <c r="M258" i="9"/>
  <c r="L258" i="9"/>
  <c r="K258" i="9"/>
  <c r="J258" i="9"/>
  <c r="I258" i="9"/>
  <c r="H258" i="9"/>
  <c r="G258" i="9"/>
  <c r="E258" i="9"/>
  <c r="D258" i="9"/>
  <c r="A258" i="9"/>
  <c r="J39" i="11"/>
  <c r="O257" i="9"/>
  <c r="N257" i="9"/>
  <c r="M257" i="9"/>
  <c r="L257" i="9"/>
  <c r="K257" i="9"/>
  <c r="J257" i="9"/>
  <c r="I257" i="9"/>
  <c r="H257" i="9"/>
  <c r="G257" i="9"/>
  <c r="E257" i="9"/>
  <c r="D257" i="9"/>
  <c r="A257" i="9"/>
  <c r="J38" i="11"/>
  <c r="O256" i="9"/>
  <c r="N256" i="9"/>
  <c r="M256" i="9"/>
  <c r="L256" i="9"/>
  <c r="K256" i="9"/>
  <c r="J256" i="9"/>
  <c r="I256" i="9"/>
  <c r="H256" i="9"/>
  <c r="G256" i="9"/>
  <c r="E256" i="9"/>
  <c r="D256" i="9"/>
  <c r="A256" i="9"/>
  <c r="J37" i="11"/>
  <c r="O255" i="9"/>
  <c r="N255" i="9"/>
  <c r="M255" i="9"/>
  <c r="L255" i="9"/>
  <c r="K255" i="9"/>
  <c r="J255" i="9"/>
  <c r="I255" i="9"/>
  <c r="H255" i="9"/>
  <c r="G255" i="9"/>
  <c r="E255" i="9"/>
  <c r="D255" i="9"/>
  <c r="A255" i="9"/>
  <c r="J36" i="11"/>
  <c r="O254" i="9"/>
  <c r="N254" i="9"/>
  <c r="M254" i="9"/>
  <c r="L254" i="9"/>
  <c r="K254" i="9"/>
  <c r="J254" i="9"/>
  <c r="I254" i="9"/>
  <c r="H254" i="9"/>
  <c r="G254" i="9"/>
  <c r="E254" i="9"/>
  <c r="D254" i="9"/>
  <c r="A254" i="9"/>
  <c r="J35" i="11"/>
  <c r="O253" i="9"/>
  <c r="N253" i="9"/>
  <c r="M253" i="9"/>
  <c r="L253" i="9"/>
  <c r="K253" i="9"/>
  <c r="J253" i="9"/>
  <c r="I253" i="9"/>
  <c r="H253" i="9"/>
  <c r="G253" i="9"/>
  <c r="E253" i="9"/>
  <c r="D253" i="9"/>
  <c r="A253" i="9"/>
  <c r="J34" i="11"/>
  <c r="O252" i="9"/>
  <c r="N252" i="9"/>
  <c r="M252" i="9"/>
  <c r="L252" i="9"/>
  <c r="K252" i="9"/>
  <c r="J252" i="9"/>
  <c r="I252" i="9"/>
  <c r="H252" i="9"/>
  <c r="G252" i="9"/>
  <c r="E252" i="9"/>
  <c r="D252" i="9"/>
  <c r="A252" i="9"/>
  <c r="J15" i="11"/>
  <c r="O251" i="9"/>
  <c r="N251" i="9"/>
  <c r="M251" i="9"/>
  <c r="L251" i="9"/>
  <c r="K251" i="9"/>
  <c r="J251" i="9"/>
  <c r="I251" i="9"/>
  <c r="H251" i="9"/>
  <c r="G251" i="9"/>
  <c r="E251" i="9"/>
  <c r="D251" i="9"/>
  <c r="A251" i="9"/>
  <c r="J14" i="11"/>
  <c r="O250" i="9"/>
  <c r="N250" i="9"/>
  <c r="M250" i="9"/>
  <c r="L250" i="9"/>
  <c r="K250" i="9"/>
  <c r="J250" i="9"/>
  <c r="I250" i="9"/>
  <c r="H250" i="9"/>
  <c r="G250" i="9"/>
  <c r="E250" i="9"/>
  <c r="D250" i="9"/>
  <c r="A250" i="9"/>
  <c r="J13" i="11"/>
  <c r="O249" i="9"/>
  <c r="N249" i="9"/>
  <c r="M249" i="9"/>
  <c r="L249" i="9"/>
  <c r="K249" i="9"/>
  <c r="J249" i="9"/>
  <c r="I249" i="9"/>
  <c r="H249" i="9"/>
  <c r="G249" i="9"/>
  <c r="E249" i="9"/>
  <c r="D249" i="9"/>
  <c r="A249" i="9"/>
  <c r="J12" i="11"/>
  <c r="O248" i="9"/>
  <c r="N248" i="9"/>
  <c r="M248" i="9"/>
  <c r="L248" i="9"/>
  <c r="K248" i="9"/>
  <c r="J248" i="9"/>
  <c r="I248" i="9"/>
  <c r="H248" i="9"/>
  <c r="G248" i="9"/>
  <c r="E248" i="9"/>
  <c r="D248" i="9"/>
  <c r="A248" i="9"/>
  <c r="J11" i="11"/>
  <c r="O247" i="9"/>
  <c r="N247" i="9"/>
  <c r="M247" i="9"/>
  <c r="L247" i="9"/>
  <c r="K247" i="9"/>
  <c r="J247" i="9"/>
  <c r="I247" i="9"/>
  <c r="H247" i="9"/>
  <c r="G247" i="9"/>
  <c r="E247" i="9"/>
  <c r="D247" i="9"/>
  <c r="A247" i="9"/>
  <c r="J33" i="11"/>
  <c r="O246" i="9"/>
  <c r="N246" i="9"/>
  <c r="M246" i="9"/>
  <c r="L246" i="9"/>
  <c r="K246" i="9"/>
  <c r="J246" i="9"/>
  <c r="I246" i="9"/>
  <c r="H246" i="9"/>
  <c r="G246" i="9"/>
  <c r="E246" i="9"/>
  <c r="D246" i="9"/>
  <c r="A246" i="9"/>
  <c r="J32" i="11"/>
  <c r="O245" i="9"/>
  <c r="N245" i="9"/>
  <c r="M245" i="9"/>
  <c r="L245" i="9"/>
  <c r="K245" i="9"/>
  <c r="J245" i="9"/>
  <c r="I245" i="9"/>
  <c r="H245" i="9"/>
  <c r="G245" i="9"/>
  <c r="E245" i="9"/>
  <c r="D245" i="9"/>
  <c r="A245" i="9"/>
  <c r="J31" i="11"/>
  <c r="O244" i="9"/>
  <c r="N244" i="9"/>
  <c r="M244" i="9"/>
  <c r="L244" i="9"/>
  <c r="K244" i="9"/>
  <c r="J244" i="9"/>
  <c r="I244" i="9"/>
  <c r="H244" i="9"/>
  <c r="G244" i="9"/>
  <c r="E244" i="9"/>
  <c r="D244" i="9"/>
  <c r="A244" i="9"/>
  <c r="J30" i="11"/>
  <c r="O243" i="9"/>
  <c r="N243" i="9"/>
  <c r="M243" i="9"/>
  <c r="L243" i="9"/>
  <c r="K243" i="9"/>
  <c r="J243" i="9"/>
  <c r="I243" i="9"/>
  <c r="H243" i="9"/>
  <c r="G243" i="9"/>
  <c r="E243" i="9"/>
  <c r="D243" i="9"/>
  <c r="A243" i="9"/>
  <c r="O242" i="9"/>
  <c r="N242" i="9"/>
  <c r="M242" i="9"/>
  <c r="L242" i="9"/>
  <c r="K242" i="9"/>
  <c r="J242" i="9"/>
  <c r="I242" i="9"/>
  <c r="H242" i="9"/>
  <c r="G242" i="9"/>
  <c r="E242" i="9"/>
  <c r="D242" i="9"/>
  <c r="A242" i="9"/>
  <c r="O241" i="9"/>
  <c r="N241" i="9"/>
  <c r="M241" i="9"/>
  <c r="L241" i="9"/>
  <c r="K241" i="9"/>
  <c r="J241" i="9"/>
  <c r="I241" i="9"/>
  <c r="H241" i="9"/>
  <c r="G241" i="9"/>
  <c r="E241" i="9"/>
  <c r="D241" i="9"/>
  <c r="A241" i="9"/>
  <c r="O240" i="9"/>
  <c r="N240" i="9"/>
  <c r="M240" i="9"/>
  <c r="L240" i="9"/>
  <c r="K240" i="9"/>
  <c r="J240" i="9"/>
  <c r="I240" i="9"/>
  <c r="H240" i="9"/>
  <c r="G240" i="9"/>
  <c r="E240" i="9"/>
  <c r="D240" i="9"/>
  <c r="A240" i="9"/>
  <c r="O239" i="9"/>
  <c r="N239" i="9"/>
  <c r="M239" i="9"/>
  <c r="L239" i="9"/>
  <c r="K239" i="9"/>
  <c r="J239" i="9"/>
  <c r="I239" i="9"/>
  <c r="H239" i="9"/>
  <c r="G239" i="9"/>
  <c r="E239" i="9"/>
  <c r="D239" i="9"/>
  <c r="A239" i="9"/>
  <c r="O238" i="9"/>
  <c r="N238" i="9"/>
  <c r="M238" i="9"/>
  <c r="L238" i="9"/>
  <c r="K238" i="9"/>
  <c r="J238" i="9"/>
  <c r="I238" i="9"/>
  <c r="H238" i="9"/>
  <c r="G238" i="9"/>
  <c r="E238" i="9"/>
  <c r="D238" i="9"/>
  <c r="A238" i="9"/>
  <c r="O237" i="9"/>
  <c r="N237" i="9"/>
  <c r="M237" i="9"/>
  <c r="L237" i="9"/>
  <c r="K237" i="9"/>
  <c r="J237" i="9"/>
  <c r="I237" i="9"/>
  <c r="H237" i="9"/>
  <c r="G237" i="9"/>
  <c r="E237" i="9"/>
  <c r="D237" i="9"/>
  <c r="A237" i="9"/>
  <c r="O236" i="9"/>
  <c r="N236" i="9"/>
  <c r="M236" i="9"/>
  <c r="L236" i="9"/>
  <c r="K236" i="9"/>
  <c r="J236" i="9"/>
  <c r="I236" i="9"/>
  <c r="H236" i="9"/>
  <c r="G236" i="9"/>
  <c r="E236" i="9"/>
  <c r="D236" i="9"/>
  <c r="A236" i="9"/>
  <c r="O235" i="9"/>
  <c r="N235" i="9"/>
  <c r="M235" i="9"/>
  <c r="L235" i="9"/>
  <c r="K235" i="9"/>
  <c r="J235" i="9"/>
  <c r="I235" i="9"/>
  <c r="H235" i="9"/>
  <c r="G235" i="9"/>
  <c r="E235" i="9"/>
  <c r="D235" i="9"/>
  <c r="A235" i="9"/>
  <c r="O234" i="9"/>
  <c r="N234" i="9"/>
  <c r="M234" i="9"/>
  <c r="L234" i="9"/>
  <c r="K234" i="9"/>
  <c r="J234" i="9"/>
  <c r="I234" i="9"/>
  <c r="H234" i="9"/>
  <c r="G234" i="9"/>
  <c r="E234" i="9"/>
  <c r="D234" i="9"/>
  <c r="A234" i="9"/>
  <c r="O233" i="9"/>
  <c r="N233" i="9"/>
  <c r="M233" i="9"/>
  <c r="L233" i="9"/>
  <c r="K233" i="9"/>
  <c r="J233" i="9"/>
  <c r="I233" i="9"/>
  <c r="H233" i="9"/>
  <c r="G233" i="9"/>
  <c r="E233" i="9"/>
  <c r="D233" i="9"/>
  <c r="A233" i="9"/>
  <c r="O232" i="9"/>
  <c r="N232" i="9"/>
  <c r="M232" i="9"/>
  <c r="L232" i="9"/>
  <c r="K232" i="9"/>
  <c r="J232" i="9"/>
  <c r="I232" i="9"/>
  <c r="H232" i="9"/>
  <c r="G232" i="9"/>
  <c r="E232" i="9"/>
  <c r="D232" i="9"/>
  <c r="A232" i="9"/>
  <c r="O231" i="9"/>
  <c r="N231" i="9"/>
  <c r="M231" i="9"/>
  <c r="L231" i="9"/>
  <c r="K231" i="9"/>
  <c r="J231" i="9"/>
  <c r="I231" i="9"/>
  <c r="H231" i="9"/>
  <c r="G231" i="9"/>
  <c r="E231" i="9"/>
  <c r="D231" i="9"/>
  <c r="A231" i="9"/>
  <c r="O230" i="9"/>
  <c r="N230" i="9"/>
  <c r="M230" i="9"/>
  <c r="L230" i="9"/>
  <c r="K230" i="9"/>
  <c r="J230" i="9"/>
  <c r="I230" i="9"/>
  <c r="H230" i="9"/>
  <c r="G230" i="9"/>
  <c r="E230" i="9"/>
  <c r="D230" i="9"/>
  <c r="A230" i="9"/>
  <c r="O229" i="9"/>
  <c r="N229" i="9"/>
  <c r="M229" i="9"/>
  <c r="L229" i="9"/>
  <c r="K229" i="9"/>
  <c r="J229" i="9"/>
  <c r="I229" i="9"/>
  <c r="H229" i="9"/>
  <c r="G229" i="9"/>
  <c r="E229" i="9"/>
  <c r="D229" i="9"/>
  <c r="A229" i="9"/>
  <c r="O228" i="9"/>
  <c r="N228" i="9"/>
  <c r="M228" i="9"/>
  <c r="L228" i="9"/>
  <c r="K228" i="9"/>
  <c r="J228" i="9"/>
  <c r="I228" i="9"/>
  <c r="H228" i="9"/>
  <c r="G228" i="9"/>
  <c r="E228" i="9"/>
  <c r="D228" i="9"/>
  <c r="A228" i="9"/>
  <c r="O227" i="9"/>
  <c r="N227" i="9"/>
  <c r="M227" i="9"/>
  <c r="L227" i="9"/>
  <c r="K227" i="9"/>
  <c r="J227" i="9"/>
  <c r="I227" i="9"/>
  <c r="H227" i="9"/>
  <c r="G227" i="9"/>
  <c r="E227" i="9"/>
  <c r="D227" i="9"/>
  <c r="A227" i="9"/>
  <c r="O226" i="9"/>
  <c r="N226" i="9"/>
  <c r="M226" i="9"/>
  <c r="L226" i="9"/>
  <c r="K226" i="9"/>
  <c r="J226" i="9"/>
  <c r="I226" i="9"/>
  <c r="H226" i="9"/>
  <c r="G226" i="9"/>
  <c r="E226" i="9"/>
  <c r="D226" i="9"/>
  <c r="A226" i="9"/>
  <c r="O225" i="9"/>
  <c r="N225" i="9"/>
  <c r="M225" i="9"/>
  <c r="L225" i="9"/>
  <c r="K225" i="9"/>
  <c r="J225" i="9"/>
  <c r="I225" i="9"/>
  <c r="H225" i="9"/>
  <c r="G225" i="9"/>
  <c r="E225" i="9"/>
  <c r="D225" i="9"/>
  <c r="A225" i="9"/>
  <c r="O224" i="9"/>
  <c r="N224" i="9"/>
  <c r="M224" i="9"/>
  <c r="L224" i="9"/>
  <c r="K224" i="9"/>
  <c r="J224" i="9"/>
  <c r="I224" i="9"/>
  <c r="H224" i="9"/>
  <c r="G224" i="9"/>
  <c r="E224" i="9"/>
  <c r="D224" i="9"/>
  <c r="A224" i="9"/>
  <c r="O223" i="9"/>
  <c r="N223" i="9"/>
  <c r="M223" i="9"/>
  <c r="L223" i="9"/>
  <c r="K223" i="9"/>
  <c r="J223" i="9"/>
  <c r="I223" i="9"/>
  <c r="H223" i="9"/>
  <c r="G223" i="9"/>
  <c r="E223" i="9"/>
  <c r="D223" i="9"/>
  <c r="A223" i="9"/>
  <c r="O222" i="9"/>
  <c r="N222" i="9"/>
  <c r="M222" i="9"/>
  <c r="L222" i="9"/>
  <c r="K222" i="9"/>
  <c r="J222" i="9"/>
  <c r="I222" i="9"/>
  <c r="H222" i="9"/>
  <c r="G222" i="9"/>
  <c r="E222" i="9"/>
  <c r="D222" i="9"/>
  <c r="A222" i="9"/>
  <c r="O221" i="9"/>
  <c r="N221" i="9"/>
  <c r="M221" i="9"/>
  <c r="L221" i="9"/>
  <c r="K221" i="9"/>
  <c r="J221" i="9"/>
  <c r="I221" i="9"/>
  <c r="H221" i="9"/>
  <c r="G221" i="9"/>
  <c r="E221" i="9"/>
  <c r="D221" i="9"/>
  <c r="A221" i="9"/>
  <c r="O220" i="9"/>
  <c r="N220" i="9"/>
  <c r="M220" i="9"/>
  <c r="L220" i="9"/>
  <c r="K220" i="9"/>
  <c r="J220" i="9"/>
  <c r="I220" i="9"/>
  <c r="H220" i="9"/>
  <c r="G220" i="9"/>
  <c r="E220" i="9"/>
  <c r="D220" i="9"/>
  <c r="A220" i="9"/>
  <c r="O219" i="9"/>
  <c r="N219" i="9"/>
  <c r="M219" i="9"/>
  <c r="L219" i="9"/>
  <c r="K219" i="9"/>
  <c r="J219" i="9"/>
  <c r="I219" i="9"/>
  <c r="H219" i="9"/>
  <c r="G219" i="9"/>
  <c r="E219" i="9"/>
  <c r="D219" i="9"/>
  <c r="A219" i="9"/>
  <c r="O218" i="9"/>
  <c r="N218" i="9"/>
  <c r="M218" i="9"/>
  <c r="L218" i="9"/>
  <c r="K218" i="9"/>
  <c r="J218" i="9"/>
  <c r="I218" i="9"/>
  <c r="H218" i="9"/>
  <c r="G218" i="9"/>
  <c r="E218" i="9"/>
  <c r="D218" i="9"/>
  <c r="A218" i="9"/>
  <c r="O217" i="9"/>
  <c r="N217" i="9"/>
  <c r="M217" i="9"/>
  <c r="L217" i="9"/>
  <c r="K217" i="9"/>
  <c r="J217" i="9"/>
  <c r="I217" i="9"/>
  <c r="H217" i="9"/>
  <c r="G217" i="9"/>
  <c r="E217" i="9"/>
  <c r="D217" i="9"/>
  <c r="A217" i="9"/>
  <c r="O216" i="9"/>
  <c r="N216" i="9"/>
  <c r="M216" i="9"/>
  <c r="L216" i="9"/>
  <c r="K216" i="9"/>
  <c r="J216" i="9"/>
  <c r="I216" i="9"/>
  <c r="H216" i="9"/>
  <c r="G216" i="9"/>
  <c r="E216" i="9"/>
  <c r="D216" i="9"/>
  <c r="A216" i="9"/>
  <c r="O215" i="9"/>
  <c r="N215" i="9"/>
  <c r="M215" i="9"/>
  <c r="L215" i="9"/>
  <c r="K215" i="9"/>
  <c r="J215" i="9"/>
  <c r="I215" i="9"/>
  <c r="H215" i="9"/>
  <c r="G215" i="9"/>
  <c r="E215" i="9"/>
  <c r="D215" i="9"/>
  <c r="A215" i="9"/>
  <c r="O214" i="9"/>
  <c r="N214" i="9"/>
  <c r="M214" i="9"/>
  <c r="L214" i="9"/>
  <c r="K214" i="9"/>
  <c r="J214" i="9"/>
  <c r="I214" i="9"/>
  <c r="H214" i="9"/>
  <c r="G214" i="9"/>
  <c r="E214" i="9"/>
  <c r="D214" i="9"/>
  <c r="A214" i="9"/>
  <c r="O213" i="9"/>
  <c r="N213" i="9"/>
  <c r="M213" i="9"/>
  <c r="L213" i="9"/>
  <c r="K213" i="9"/>
  <c r="J213" i="9"/>
  <c r="I213" i="9"/>
  <c r="H213" i="9"/>
  <c r="G213" i="9"/>
  <c r="E213" i="9"/>
  <c r="D213" i="9"/>
  <c r="A213" i="9"/>
  <c r="O212" i="9"/>
  <c r="N212" i="9"/>
  <c r="M212" i="9"/>
  <c r="L212" i="9"/>
  <c r="K212" i="9"/>
  <c r="J212" i="9"/>
  <c r="I212" i="9"/>
  <c r="H212" i="9"/>
  <c r="G212" i="9"/>
  <c r="E212" i="9"/>
  <c r="D212" i="9"/>
  <c r="A212" i="9"/>
  <c r="O211" i="9"/>
  <c r="N211" i="9"/>
  <c r="M211" i="9"/>
  <c r="L211" i="9"/>
  <c r="K211" i="9"/>
  <c r="J211" i="9"/>
  <c r="I211" i="9"/>
  <c r="H211" i="9"/>
  <c r="G211" i="9"/>
  <c r="E211" i="9"/>
  <c r="D211" i="9"/>
  <c r="A211" i="9"/>
  <c r="O210" i="9"/>
  <c r="N210" i="9"/>
  <c r="M210" i="9"/>
  <c r="L210" i="9"/>
  <c r="K210" i="9"/>
  <c r="J210" i="9"/>
  <c r="I210" i="9"/>
  <c r="H210" i="9"/>
  <c r="G210" i="9"/>
  <c r="E210" i="9"/>
  <c r="D210" i="9"/>
  <c r="A210" i="9"/>
  <c r="O209" i="9"/>
  <c r="N209" i="9"/>
  <c r="M209" i="9"/>
  <c r="L209" i="9"/>
  <c r="K209" i="9"/>
  <c r="J209" i="9"/>
  <c r="I209" i="9"/>
  <c r="H209" i="9"/>
  <c r="G209" i="9"/>
  <c r="E209" i="9"/>
  <c r="D209" i="9"/>
  <c r="A209" i="9"/>
  <c r="O208" i="9"/>
  <c r="N208" i="9"/>
  <c r="M208" i="9"/>
  <c r="L208" i="9"/>
  <c r="K208" i="9"/>
  <c r="J208" i="9"/>
  <c r="I208" i="9"/>
  <c r="H208" i="9"/>
  <c r="G208" i="9"/>
  <c r="E208" i="9"/>
  <c r="D208" i="9"/>
  <c r="A208" i="9"/>
  <c r="O207" i="9"/>
  <c r="N207" i="9"/>
  <c r="M207" i="9"/>
  <c r="L207" i="9"/>
  <c r="K207" i="9"/>
  <c r="J207" i="9"/>
  <c r="I207" i="9"/>
  <c r="H207" i="9"/>
  <c r="G207" i="9"/>
  <c r="E207" i="9"/>
  <c r="D207" i="9"/>
  <c r="A207" i="9"/>
  <c r="O206" i="9"/>
  <c r="N206" i="9"/>
  <c r="M206" i="9"/>
  <c r="L206" i="9"/>
  <c r="K206" i="9"/>
  <c r="J206" i="9"/>
  <c r="I206" i="9"/>
  <c r="H206" i="9"/>
  <c r="G206" i="9"/>
  <c r="E206" i="9"/>
  <c r="D206" i="9"/>
  <c r="A206" i="9"/>
  <c r="O205" i="9"/>
  <c r="N205" i="9"/>
  <c r="M205" i="9"/>
  <c r="L205" i="9"/>
  <c r="K205" i="9"/>
  <c r="J205" i="9"/>
  <c r="I205" i="9"/>
  <c r="H205" i="9"/>
  <c r="G205" i="9"/>
  <c r="E205" i="9"/>
  <c r="D205" i="9"/>
  <c r="A205" i="9"/>
  <c r="O204" i="9"/>
  <c r="N204" i="9"/>
  <c r="M204" i="9"/>
  <c r="L204" i="9"/>
  <c r="K204" i="9"/>
  <c r="J204" i="9"/>
  <c r="I204" i="9"/>
  <c r="H204" i="9"/>
  <c r="G204" i="9"/>
  <c r="E204" i="9"/>
  <c r="D204" i="9"/>
  <c r="A204" i="9"/>
  <c r="O203" i="9"/>
  <c r="N203" i="9"/>
  <c r="M203" i="9"/>
  <c r="L203" i="9"/>
  <c r="K203" i="9"/>
  <c r="J203" i="9"/>
  <c r="I203" i="9"/>
  <c r="H203" i="9"/>
  <c r="G203" i="9"/>
  <c r="E203" i="9"/>
  <c r="D203" i="9"/>
  <c r="A203" i="9"/>
  <c r="O202" i="9"/>
  <c r="N202" i="9"/>
  <c r="M202" i="9"/>
  <c r="L202" i="9"/>
  <c r="K202" i="9"/>
  <c r="J202" i="9"/>
  <c r="I202" i="9"/>
  <c r="H202" i="9"/>
  <c r="G202" i="9"/>
  <c r="E202" i="9"/>
  <c r="D202" i="9"/>
  <c r="A202" i="9"/>
  <c r="O201" i="9"/>
  <c r="N201" i="9"/>
  <c r="M201" i="9"/>
  <c r="L201" i="9"/>
  <c r="K201" i="9"/>
  <c r="J201" i="9"/>
  <c r="I201" i="9"/>
  <c r="H201" i="9"/>
  <c r="G201" i="9"/>
  <c r="E201" i="9"/>
  <c r="D201" i="9"/>
  <c r="A201" i="9"/>
  <c r="O200" i="9"/>
  <c r="N200" i="9"/>
  <c r="M200" i="9"/>
  <c r="L200" i="9"/>
  <c r="K200" i="9"/>
  <c r="J200" i="9"/>
  <c r="I200" i="9"/>
  <c r="H200" i="9"/>
  <c r="G200" i="9"/>
  <c r="E200" i="9"/>
  <c r="D200" i="9"/>
  <c r="A200" i="9"/>
  <c r="O199" i="9"/>
  <c r="N199" i="9"/>
  <c r="M199" i="9"/>
  <c r="L199" i="9"/>
  <c r="K199" i="9"/>
  <c r="J199" i="9"/>
  <c r="I199" i="9"/>
  <c r="H199" i="9"/>
  <c r="G199" i="9"/>
  <c r="E199" i="9"/>
  <c r="D199" i="9"/>
  <c r="A199" i="9"/>
  <c r="O198" i="9"/>
  <c r="N198" i="9"/>
  <c r="M198" i="9"/>
  <c r="L198" i="9"/>
  <c r="K198" i="9"/>
  <c r="J198" i="9"/>
  <c r="I198" i="9"/>
  <c r="H198" i="9"/>
  <c r="G198" i="9"/>
  <c r="E198" i="9"/>
  <c r="D198" i="9"/>
  <c r="A198" i="9"/>
  <c r="O197" i="9"/>
  <c r="N197" i="9"/>
  <c r="M197" i="9"/>
  <c r="L197" i="9"/>
  <c r="K197" i="9"/>
  <c r="J197" i="9"/>
  <c r="I197" i="9"/>
  <c r="H197" i="9"/>
  <c r="G197" i="9"/>
  <c r="E197" i="9"/>
  <c r="D197" i="9"/>
  <c r="A197" i="9"/>
  <c r="O196" i="9"/>
  <c r="N196" i="9"/>
  <c r="M196" i="9"/>
  <c r="L196" i="9"/>
  <c r="K196" i="9"/>
  <c r="J196" i="9"/>
  <c r="I196" i="9"/>
  <c r="H196" i="9"/>
  <c r="G196" i="9"/>
  <c r="E196" i="9"/>
  <c r="D196" i="9"/>
  <c r="A196" i="9"/>
  <c r="O195" i="9"/>
  <c r="N195" i="9"/>
  <c r="M195" i="9"/>
  <c r="L195" i="9"/>
  <c r="K195" i="9"/>
  <c r="J195" i="9"/>
  <c r="I195" i="9"/>
  <c r="H195" i="9"/>
  <c r="G195" i="9"/>
  <c r="E195" i="9"/>
  <c r="D195" i="9"/>
  <c r="A195" i="9"/>
  <c r="O194" i="9"/>
  <c r="N194" i="9"/>
  <c r="M194" i="9"/>
  <c r="L194" i="9"/>
  <c r="K194" i="9"/>
  <c r="J194" i="9"/>
  <c r="I194" i="9"/>
  <c r="H194" i="9"/>
  <c r="G194" i="9"/>
  <c r="E194" i="9"/>
  <c r="D194" i="9"/>
  <c r="A194" i="9"/>
  <c r="O193" i="9"/>
  <c r="N193" i="9"/>
  <c r="M193" i="9"/>
  <c r="L193" i="9"/>
  <c r="K193" i="9"/>
  <c r="J193" i="9"/>
  <c r="I193" i="9"/>
  <c r="H193" i="9"/>
  <c r="G193" i="9"/>
  <c r="E193" i="9"/>
  <c r="D193" i="9"/>
  <c r="A193" i="9"/>
  <c r="O192" i="9"/>
  <c r="N192" i="9"/>
  <c r="M192" i="9"/>
  <c r="L192" i="9"/>
  <c r="K192" i="9"/>
  <c r="J192" i="9"/>
  <c r="I192" i="9"/>
  <c r="H192" i="9"/>
  <c r="G192" i="9"/>
  <c r="E192" i="9"/>
  <c r="D192" i="9"/>
  <c r="A192" i="9"/>
  <c r="O191" i="9"/>
  <c r="N191" i="9"/>
  <c r="M191" i="9"/>
  <c r="L191" i="9"/>
  <c r="K191" i="9"/>
  <c r="J191" i="9"/>
  <c r="I191" i="9"/>
  <c r="H191" i="9"/>
  <c r="G191" i="9"/>
  <c r="E191" i="9"/>
  <c r="D191" i="9"/>
  <c r="A191" i="9"/>
  <c r="O190" i="9"/>
  <c r="N190" i="9"/>
  <c r="M190" i="9"/>
  <c r="L190" i="9"/>
  <c r="K190" i="9"/>
  <c r="J190" i="9"/>
  <c r="I190" i="9"/>
  <c r="H190" i="9"/>
  <c r="G190" i="9"/>
  <c r="E190" i="9"/>
  <c r="D190" i="9"/>
  <c r="A190" i="9"/>
  <c r="O189" i="9"/>
  <c r="N189" i="9"/>
  <c r="M189" i="9"/>
  <c r="L189" i="9"/>
  <c r="K189" i="9"/>
  <c r="J189" i="9"/>
  <c r="I189" i="9"/>
  <c r="H189" i="9"/>
  <c r="G189" i="9"/>
  <c r="E189" i="9"/>
  <c r="D189" i="9"/>
  <c r="A189" i="9"/>
  <c r="O188" i="9"/>
  <c r="N188" i="9"/>
  <c r="M188" i="9"/>
  <c r="L188" i="9"/>
  <c r="K188" i="9"/>
  <c r="J188" i="9"/>
  <c r="I188" i="9"/>
  <c r="H188" i="9"/>
  <c r="G188" i="9"/>
  <c r="E188" i="9"/>
  <c r="D188" i="9"/>
  <c r="A188" i="9"/>
  <c r="O187" i="9"/>
  <c r="N187" i="9"/>
  <c r="M187" i="9"/>
  <c r="L187" i="9"/>
  <c r="K187" i="9"/>
  <c r="J187" i="9"/>
  <c r="I187" i="9"/>
  <c r="H187" i="9"/>
  <c r="G187" i="9"/>
  <c r="E187" i="9"/>
  <c r="D187" i="9"/>
  <c r="A187" i="9"/>
  <c r="O186" i="9"/>
  <c r="N186" i="9"/>
  <c r="M186" i="9"/>
  <c r="L186" i="9"/>
  <c r="K186" i="9"/>
  <c r="J186" i="9"/>
  <c r="I186" i="9"/>
  <c r="H186" i="9"/>
  <c r="G186" i="9"/>
  <c r="E186" i="9"/>
  <c r="D186" i="9"/>
  <c r="A186" i="9"/>
  <c r="O185" i="9"/>
  <c r="N185" i="9"/>
  <c r="M185" i="9"/>
  <c r="L185" i="9"/>
  <c r="K185" i="9"/>
  <c r="J185" i="9"/>
  <c r="I185" i="9"/>
  <c r="H185" i="9"/>
  <c r="G185" i="9"/>
  <c r="E185" i="9"/>
  <c r="D185" i="9"/>
  <c r="A185" i="9"/>
  <c r="O184" i="9"/>
  <c r="N184" i="9"/>
  <c r="M184" i="9"/>
  <c r="L184" i="9"/>
  <c r="K184" i="9"/>
  <c r="J184" i="9"/>
  <c r="I184" i="9"/>
  <c r="H184" i="9"/>
  <c r="G184" i="9"/>
  <c r="E184" i="9"/>
  <c r="D184" i="9"/>
  <c r="A184" i="9"/>
  <c r="O183" i="9"/>
  <c r="N183" i="9"/>
  <c r="M183" i="9"/>
  <c r="L183" i="9"/>
  <c r="K183" i="9"/>
  <c r="J183" i="9"/>
  <c r="I183" i="9"/>
  <c r="H183" i="9"/>
  <c r="G183" i="9"/>
  <c r="E183" i="9"/>
  <c r="D183" i="9"/>
  <c r="A183" i="9"/>
  <c r="O182" i="9"/>
  <c r="N182" i="9"/>
  <c r="M182" i="9"/>
  <c r="L182" i="9"/>
  <c r="K182" i="9"/>
  <c r="J182" i="9"/>
  <c r="I182" i="9"/>
  <c r="H182" i="9"/>
  <c r="G182" i="9"/>
  <c r="E182" i="9"/>
  <c r="D182" i="9"/>
  <c r="A182" i="9"/>
  <c r="O181" i="9"/>
  <c r="N181" i="9"/>
  <c r="M181" i="9"/>
  <c r="L181" i="9"/>
  <c r="K181" i="9"/>
  <c r="J181" i="9"/>
  <c r="I181" i="9"/>
  <c r="H181" i="9"/>
  <c r="G181" i="9"/>
  <c r="E181" i="9"/>
  <c r="D181" i="9"/>
  <c r="A181" i="9"/>
  <c r="O180" i="9"/>
  <c r="N180" i="9"/>
  <c r="M180" i="9"/>
  <c r="L180" i="9"/>
  <c r="K180" i="9"/>
  <c r="J180" i="9"/>
  <c r="I180" i="9"/>
  <c r="H180" i="9"/>
  <c r="G180" i="9"/>
  <c r="E180" i="9"/>
  <c r="D180" i="9"/>
  <c r="A180" i="9"/>
  <c r="O179" i="9"/>
  <c r="N179" i="9"/>
  <c r="M179" i="9"/>
  <c r="L179" i="9"/>
  <c r="K179" i="9"/>
  <c r="J179" i="9"/>
  <c r="I179" i="9"/>
  <c r="H179" i="9"/>
  <c r="G179" i="9"/>
  <c r="E179" i="9"/>
  <c r="D179" i="9"/>
  <c r="A179" i="9"/>
  <c r="O178" i="9"/>
  <c r="N178" i="9"/>
  <c r="M178" i="9"/>
  <c r="L178" i="9"/>
  <c r="K178" i="9"/>
  <c r="J178" i="9"/>
  <c r="I178" i="9"/>
  <c r="H178" i="9"/>
  <c r="G178" i="9"/>
  <c r="E178" i="9"/>
  <c r="D178" i="9"/>
  <c r="A178" i="9"/>
  <c r="O177" i="9"/>
  <c r="N177" i="9"/>
  <c r="M177" i="9"/>
  <c r="L177" i="9"/>
  <c r="K177" i="9"/>
  <c r="J177" i="9"/>
  <c r="I177" i="9"/>
  <c r="H177" i="9"/>
  <c r="G177" i="9"/>
  <c r="E177" i="9"/>
  <c r="D177" i="9"/>
  <c r="A177" i="9"/>
  <c r="O176" i="9"/>
  <c r="N176" i="9"/>
  <c r="M176" i="9"/>
  <c r="L176" i="9"/>
  <c r="K176" i="9"/>
  <c r="J176" i="9"/>
  <c r="I176" i="9"/>
  <c r="H176" i="9"/>
  <c r="G176" i="9"/>
  <c r="E176" i="9"/>
  <c r="D176" i="9"/>
  <c r="A176" i="9"/>
  <c r="O175" i="9"/>
  <c r="N175" i="9"/>
  <c r="M175" i="9"/>
  <c r="L175" i="9"/>
  <c r="K175" i="9"/>
  <c r="J175" i="9"/>
  <c r="I175" i="9"/>
  <c r="H175" i="9"/>
  <c r="G175" i="9"/>
  <c r="E175" i="9"/>
  <c r="D175" i="9"/>
  <c r="A175" i="9"/>
  <c r="O174" i="9"/>
  <c r="N174" i="9"/>
  <c r="M174" i="9"/>
  <c r="L174" i="9"/>
  <c r="K174" i="9"/>
  <c r="J174" i="9"/>
  <c r="I174" i="9"/>
  <c r="H174" i="9"/>
  <c r="G174" i="9"/>
  <c r="E174" i="9"/>
  <c r="D174" i="9"/>
  <c r="A174" i="9"/>
  <c r="O173" i="9"/>
  <c r="N173" i="9"/>
  <c r="M173" i="9"/>
  <c r="L173" i="9"/>
  <c r="K173" i="9"/>
  <c r="J173" i="9"/>
  <c r="I173" i="9"/>
  <c r="H173" i="9"/>
  <c r="G173" i="9"/>
  <c r="E173" i="9"/>
  <c r="D173" i="9"/>
  <c r="A173" i="9"/>
  <c r="O172" i="9"/>
  <c r="N172" i="9"/>
  <c r="M172" i="9"/>
  <c r="L172" i="9"/>
  <c r="K172" i="9"/>
  <c r="J172" i="9"/>
  <c r="I172" i="9"/>
  <c r="H172" i="9"/>
  <c r="G172" i="9"/>
  <c r="E172" i="9"/>
  <c r="D172" i="9"/>
  <c r="A172" i="9"/>
  <c r="O171" i="9"/>
  <c r="N171" i="9"/>
  <c r="M171" i="9"/>
  <c r="L171" i="9"/>
  <c r="K171" i="9"/>
  <c r="J171" i="9"/>
  <c r="I171" i="9"/>
  <c r="H171" i="9"/>
  <c r="G171" i="9"/>
  <c r="E171" i="9"/>
  <c r="D171" i="9"/>
  <c r="A171" i="9"/>
  <c r="O170" i="9"/>
  <c r="N170" i="9"/>
  <c r="M170" i="9"/>
  <c r="L170" i="9"/>
  <c r="K170" i="9"/>
  <c r="J170" i="9"/>
  <c r="I170" i="9"/>
  <c r="H170" i="9"/>
  <c r="G170" i="9"/>
  <c r="E170" i="9"/>
  <c r="D170" i="9"/>
  <c r="A170" i="9"/>
  <c r="O169" i="9"/>
  <c r="N169" i="9"/>
  <c r="M169" i="9"/>
  <c r="L169" i="9"/>
  <c r="K169" i="9"/>
  <c r="J169" i="9"/>
  <c r="I169" i="9"/>
  <c r="H169" i="9"/>
  <c r="G169" i="9"/>
  <c r="E169" i="9"/>
  <c r="D169" i="9"/>
  <c r="A169" i="9"/>
  <c r="O168" i="9"/>
  <c r="N168" i="9"/>
  <c r="M168" i="9"/>
  <c r="L168" i="9"/>
  <c r="K168" i="9"/>
  <c r="J168" i="9"/>
  <c r="I168" i="9"/>
  <c r="H168" i="9"/>
  <c r="G168" i="9"/>
  <c r="E168" i="9"/>
  <c r="D168" i="9"/>
  <c r="A168" i="9"/>
  <c r="O167" i="9"/>
  <c r="N167" i="9"/>
  <c r="M167" i="9"/>
  <c r="L167" i="9"/>
  <c r="K167" i="9"/>
  <c r="J167" i="9"/>
  <c r="I167" i="9"/>
  <c r="H167" i="9"/>
  <c r="G167" i="9"/>
  <c r="E167" i="9"/>
  <c r="D167" i="9"/>
  <c r="A167" i="9"/>
  <c r="O166" i="9"/>
  <c r="N166" i="9"/>
  <c r="M166" i="9"/>
  <c r="L166" i="9"/>
  <c r="K166" i="9"/>
  <c r="J166" i="9"/>
  <c r="I166" i="9"/>
  <c r="H166" i="9"/>
  <c r="G166" i="9"/>
  <c r="E166" i="9"/>
  <c r="D166" i="9"/>
  <c r="A166" i="9"/>
  <c r="O165" i="9"/>
  <c r="N165" i="9"/>
  <c r="M165" i="9"/>
  <c r="L165" i="9"/>
  <c r="K165" i="9"/>
  <c r="J165" i="9"/>
  <c r="I165" i="9"/>
  <c r="H165" i="9"/>
  <c r="G165" i="9"/>
  <c r="E165" i="9"/>
  <c r="D165" i="9"/>
  <c r="A165" i="9"/>
  <c r="O164" i="9"/>
  <c r="N164" i="9"/>
  <c r="M164" i="9"/>
  <c r="L164" i="9"/>
  <c r="K164" i="9"/>
  <c r="J164" i="9"/>
  <c r="I164" i="9"/>
  <c r="H164" i="9"/>
  <c r="G164" i="9"/>
  <c r="E164" i="9"/>
  <c r="D164" i="9"/>
  <c r="A164" i="9"/>
  <c r="O163" i="9"/>
  <c r="N163" i="9"/>
  <c r="M163" i="9"/>
  <c r="L163" i="9"/>
  <c r="K163" i="9"/>
  <c r="J163" i="9"/>
  <c r="I163" i="9"/>
  <c r="H163" i="9"/>
  <c r="G163" i="9"/>
  <c r="E163" i="9"/>
  <c r="D163" i="9"/>
  <c r="A163" i="9"/>
  <c r="O162" i="9"/>
  <c r="N162" i="9"/>
  <c r="M162" i="9"/>
  <c r="L162" i="9"/>
  <c r="K162" i="9"/>
  <c r="J162" i="9"/>
  <c r="I162" i="9"/>
  <c r="H162" i="9"/>
  <c r="G162" i="9"/>
  <c r="E162" i="9"/>
  <c r="D162" i="9"/>
  <c r="A162" i="9"/>
  <c r="O161" i="9"/>
  <c r="N161" i="9"/>
  <c r="M161" i="9"/>
  <c r="L161" i="9"/>
  <c r="K161" i="9"/>
  <c r="J161" i="9"/>
  <c r="I161" i="9"/>
  <c r="H161" i="9"/>
  <c r="G161" i="9"/>
  <c r="E161" i="9"/>
  <c r="D161" i="9"/>
  <c r="A161" i="9"/>
  <c r="O160" i="9"/>
  <c r="N160" i="9"/>
  <c r="M160" i="9"/>
  <c r="L160" i="9"/>
  <c r="K160" i="9"/>
  <c r="J160" i="9"/>
  <c r="I160" i="9"/>
  <c r="H160" i="9"/>
  <c r="G160" i="9"/>
  <c r="E160" i="9"/>
  <c r="D160" i="9"/>
  <c r="A160" i="9"/>
  <c r="O159" i="9"/>
  <c r="N159" i="9"/>
  <c r="M159" i="9"/>
  <c r="L159" i="9"/>
  <c r="K159" i="9"/>
  <c r="J159" i="9"/>
  <c r="I159" i="9"/>
  <c r="H159" i="9"/>
  <c r="G159" i="9"/>
  <c r="E159" i="9"/>
  <c r="D159" i="9"/>
  <c r="A159" i="9"/>
  <c r="O158" i="9"/>
  <c r="N158" i="9"/>
  <c r="M158" i="9"/>
  <c r="L158" i="9"/>
  <c r="K158" i="9"/>
  <c r="J158" i="9"/>
  <c r="I158" i="9"/>
  <c r="H158" i="9"/>
  <c r="G158" i="9"/>
  <c r="E158" i="9"/>
  <c r="D158" i="9"/>
  <c r="A158" i="9"/>
  <c r="O157" i="9"/>
  <c r="N157" i="9"/>
  <c r="M157" i="9"/>
  <c r="L157" i="9"/>
  <c r="K157" i="9"/>
  <c r="J157" i="9"/>
  <c r="I157" i="9"/>
  <c r="H157" i="9"/>
  <c r="G157" i="9"/>
  <c r="E157" i="9"/>
  <c r="D157" i="9"/>
  <c r="A157" i="9"/>
  <c r="O156" i="9"/>
  <c r="N156" i="9"/>
  <c r="M156" i="9"/>
  <c r="L156" i="9"/>
  <c r="K156" i="9"/>
  <c r="J156" i="9"/>
  <c r="I156" i="9"/>
  <c r="H156" i="9"/>
  <c r="G156" i="9"/>
  <c r="E156" i="9"/>
  <c r="D156" i="9"/>
  <c r="A156" i="9"/>
  <c r="O155" i="9"/>
  <c r="N155" i="9"/>
  <c r="M155" i="9"/>
  <c r="L155" i="9"/>
  <c r="K155" i="9"/>
  <c r="J155" i="9"/>
  <c r="I155" i="9"/>
  <c r="H155" i="9"/>
  <c r="G155" i="9"/>
  <c r="E155" i="9"/>
  <c r="D155" i="9"/>
  <c r="A155" i="9"/>
  <c r="O154" i="9"/>
  <c r="N154" i="9"/>
  <c r="M154" i="9"/>
  <c r="L154" i="9"/>
  <c r="K154" i="9"/>
  <c r="J154" i="9"/>
  <c r="I154" i="9"/>
  <c r="H154" i="9"/>
  <c r="G154" i="9"/>
  <c r="E154" i="9"/>
  <c r="D154" i="9"/>
  <c r="A154" i="9"/>
  <c r="O153" i="9"/>
  <c r="N153" i="9"/>
  <c r="M153" i="9"/>
  <c r="L153" i="9"/>
  <c r="K153" i="9"/>
  <c r="J153" i="9"/>
  <c r="I153" i="9"/>
  <c r="H153" i="9"/>
  <c r="G153" i="9"/>
  <c r="E153" i="9"/>
  <c r="D153" i="9"/>
  <c r="A153" i="9"/>
  <c r="O152" i="9"/>
  <c r="N152" i="9"/>
  <c r="M152" i="9"/>
  <c r="L152" i="9"/>
  <c r="K152" i="9"/>
  <c r="J152" i="9"/>
  <c r="I152" i="9"/>
  <c r="H152" i="9"/>
  <c r="G152" i="9"/>
  <c r="E152" i="9"/>
  <c r="D152" i="9"/>
  <c r="A152" i="9"/>
  <c r="O151" i="9"/>
  <c r="N151" i="9"/>
  <c r="M151" i="9"/>
  <c r="L151" i="9"/>
  <c r="K151" i="9"/>
  <c r="J151" i="9"/>
  <c r="I151" i="9"/>
  <c r="H151" i="9"/>
  <c r="G151" i="9"/>
  <c r="E151" i="9"/>
  <c r="D151" i="9"/>
  <c r="A151" i="9"/>
  <c r="O150" i="9"/>
  <c r="N150" i="9"/>
  <c r="M150" i="9"/>
  <c r="L150" i="9"/>
  <c r="K150" i="9"/>
  <c r="J150" i="9"/>
  <c r="I150" i="9"/>
  <c r="H150" i="9"/>
  <c r="G150" i="9"/>
  <c r="E150" i="9"/>
  <c r="D150" i="9"/>
  <c r="A150" i="9"/>
  <c r="O149" i="9"/>
  <c r="N149" i="9"/>
  <c r="M149" i="9"/>
  <c r="L149" i="9"/>
  <c r="K149" i="9"/>
  <c r="J149" i="9"/>
  <c r="I149" i="9"/>
  <c r="H149" i="9"/>
  <c r="G149" i="9"/>
  <c r="E149" i="9"/>
  <c r="D149" i="9"/>
  <c r="A149" i="9"/>
  <c r="O148" i="9"/>
  <c r="N148" i="9"/>
  <c r="M148" i="9"/>
  <c r="L148" i="9"/>
  <c r="K148" i="9"/>
  <c r="J148" i="9"/>
  <c r="I148" i="9"/>
  <c r="H148" i="9"/>
  <c r="G148" i="9"/>
  <c r="E148" i="9"/>
  <c r="D148" i="9"/>
  <c r="A148" i="9"/>
  <c r="O147" i="9"/>
  <c r="N147" i="9"/>
  <c r="M147" i="9"/>
  <c r="L147" i="9"/>
  <c r="K147" i="9"/>
  <c r="J147" i="9"/>
  <c r="I147" i="9"/>
  <c r="H147" i="9"/>
  <c r="G147" i="9"/>
  <c r="E147" i="9"/>
  <c r="D147" i="9"/>
  <c r="A147" i="9"/>
  <c r="O146" i="9"/>
  <c r="N146" i="9"/>
  <c r="M146" i="9"/>
  <c r="L146" i="9"/>
  <c r="K146" i="9"/>
  <c r="J146" i="9"/>
  <c r="I146" i="9"/>
  <c r="H146" i="9"/>
  <c r="G146" i="9"/>
  <c r="E146" i="9"/>
  <c r="D146" i="9"/>
  <c r="A146" i="9"/>
  <c r="O145" i="9"/>
  <c r="N145" i="9"/>
  <c r="M145" i="9"/>
  <c r="L145" i="9"/>
  <c r="K145" i="9"/>
  <c r="J145" i="9"/>
  <c r="I145" i="9"/>
  <c r="H145" i="9"/>
  <c r="G145" i="9"/>
  <c r="E145" i="9"/>
  <c r="D145" i="9"/>
  <c r="A145" i="9"/>
  <c r="O144" i="9"/>
  <c r="N144" i="9"/>
  <c r="M144" i="9"/>
  <c r="L144" i="9"/>
  <c r="K144" i="9"/>
  <c r="J144" i="9"/>
  <c r="I144" i="9"/>
  <c r="H144" i="9"/>
  <c r="G144" i="9"/>
  <c r="E144" i="9"/>
  <c r="D144" i="9"/>
  <c r="A144" i="9"/>
  <c r="O143" i="9"/>
  <c r="N143" i="9"/>
  <c r="M143" i="9"/>
  <c r="L143" i="9"/>
  <c r="K143" i="9"/>
  <c r="J143" i="9"/>
  <c r="I143" i="9"/>
  <c r="H143" i="9"/>
  <c r="G143" i="9"/>
  <c r="E143" i="9"/>
  <c r="D143" i="9"/>
  <c r="A143" i="9"/>
  <c r="O142" i="9"/>
  <c r="N142" i="9"/>
  <c r="M142" i="9"/>
  <c r="L142" i="9"/>
  <c r="K142" i="9"/>
  <c r="J142" i="9"/>
  <c r="I142" i="9"/>
  <c r="H142" i="9"/>
  <c r="G142" i="9"/>
  <c r="E142" i="9"/>
  <c r="D142" i="9"/>
  <c r="A142" i="9"/>
  <c r="O141" i="9"/>
  <c r="N141" i="9"/>
  <c r="M141" i="9"/>
  <c r="L141" i="9"/>
  <c r="K141" i="9"/>
  <c r="J141" i="9"/>
  <c r="I141" i="9"/>
  <c r="H141" i="9"/>
  <c r="G141" i="9"/>
  <c r="E141" i="9"/>
  <c r="D141" i="9"/>
  <c r="A141" i="9"/>
  <c r="O140" i="9"/>
  <c r="N140" i="9"/>
  <c r="M140" i="9"/>
  <c r="L140" i="9"/>
  <c r="K140" i="9"/>
  <c r="J140" i="9"/>
  <c r="I140" i="9"/>
  <c r="H140" i="9"/>
  <c r="G140" i="9"/>
  <c r="E140" i="9"/>
  <c r="D140" i="9"/>
  <c r="A140" i="9"/>
  <c r="O139" i="9"/>
  <c r="N139" i="9"/>
  <c r="M139" i="9"/>
  <c r="L139" i="9"/>
  <c r="K139" i="9"/>
  <c r="J139" i="9"/>
  <c r="I139" i="9"/>
  <c r="H139" i="9"/>
  <c r="G139" i="9"/>
  <c r="E139" i="9"/>
  <c r="D139" i="9"/>
  <c r="A139" i="9"/>
  <c r="O138" i="9"/>
  <c r="N138" i="9"/>
  <c r="M138" i="9"/>
  <c r="L138" i="9"/>
  <c r="K138" i="9"/>
  <c r="J138" i="9"/>
  <c r="I138" i="9"/>
  <c r="H138" i="9"/>
  <c r="G138" i="9"/>
  <c r="E138" i="9"/>
  <c r="D138" i="9"/>
  <c r="A138" i="9"/>
  <c r="AD11" i="1"/>
  <c r="AF11" i="1"/>
  <c r="AI11" i="1"/>
  <c r="AG11" i="1"/>
  <c r="AE11" i="1"/>
  <c r="X11" i="1"/>
  <c r="Q11" i="1"/>
  <c r="P11" i="1"/>
  <c r="O11" i="1"/>
  <c r="N11" i="1"/>
  <c r="M11" i="1"/>
  <c r="H11" i="1"/>
  <c r="G2" i="2"/>
  <c r="A2" i="2"/>
  <c r="G3" i="2"/>
  <c r="A3" i="2"/>
  <c r="G4" i="2"/>
  <c r="A4" i="2"/>
  <c r="G5" i="2"/>
  <c r="A5" i="2"/>
  <c r="G6" i="2"/>
  <c r="A6" i="2"/>
  <c r="G7" i="2"/>
  <c r="A7" i="2"/>
  <c r="J11" i="1"/>
  <c r="I11" i="1"/>
  <c r="D11" i="1"/>
  <c r="F11" i="1"/>
  <c r="E11" i="1"/>
  <c r="A11" i="1"/>
  <c r="AD10" i="1"/>
  <c r="AF10" i="1"/>
  <c r="AI10" i="1"/>
  <c r="AG10" i="1"/>
  <c r="AE10" i="1"/>
  <c r="X10" i="1"/>
  <c r="Q10" i="1"/>
  <c r="P10" i="1"/>
  <c r="O10" i="1"/>
  <c r="N10" i="1"/>
  <c r="M10" i="1"/>
  <c r="H10" i="1"/>
  <c r="J10" i="1"/>
  <c r="I10" i="1"/>
  <c r="D10" i="1"/>
  <c r="F10" i="1"/>
  <c r="E10" i="1"/>
  <c r="A10" i="1"/>
  <c r="R8" i="7"/>
  <c r="Q8" i="7"/>
  <c r="P8" i="7"/>
  <c r="O8" i="7"/>
  <c r="N8" i="7"/>
  <c r="H8" i="7"/>
  <c r="J8" i="7"/>
  <c r="I8" i="7"/>
  <c r="D8" i="7"/>
  <c r="F8" i="7"/>
  <c r="E8" i="7"/>
  <c r="A8" i="7"/>
  <c r="R7" i="7"/>
  <c r="Q7" i="7"/>
  <c r="P7" i="7"/>
  <c r="O7" i="7"/>
  <c r="N7" i="7"/>
  <c r="H7" i="7"/>
  <c r="J7" i="7"/>
  <c r="I7" i="7"/>
  <c r="D7" i="7"/>
  <c r="F7" i="7"/>
  <c r="E7" i="7"/>
  <c r="A7" i="7"/>
  <c r="R15" i="7"/>
  <c r="Q15" i="7"/>
  <c r="P15" i="7"/>
  <c r="O15" i="7"/>
  <c r="N15" i="7"/>
  <c r="H15" i="7"/>
  <c r="J15" i="7"/>
  <c r="I15" i="7"/>
  <c r="D15" i="7"/>
  <c r="F15" i="7"/>
  <c r="E15" i="7"/>
  <c r="A15" i="7"/>
  <c r="R14" i="7"/>
  <c r="Q14" i="7"/>
  <c r="P14" i="7"/>
  <c r="O14" i="7"/>
  <c r="N14" i="7"/>
  <c r="H14" i="7"/>
  <c r="J14" i="7"/>
  <c r="I14" i="7"/>
  <c r="D14" i="7"/>
  <c r="F14" i="7"/>
  <c r="E14" i="7"/>
  <c r="A14" i="7"/>
  <c r="R12" i="7"/>
  <c r="Q12" i="7"/>
  <c r="P12" i="7"/>
  <c r="O12" i="7"/>
  <c r="N12" i="7"/>
  <c r="H12" i="7"/>
  <c r="J12" i="7"/>
  <c r="I12" i="7"/>
  <c r="D12" i="7"/>
  <c r="F12" i="7"/>
  <c r="E12" i="7"/>
  <c r="A12" i="7"/>
  <c r="R11" i="7"/>
  <c r="Q11" i="7"/>
  <c r="P11" i="7"/>
  <c r="O11" i="7"/>
  <c r="N11" i="7"/>
  <c r="H11" i="7"/>
  <c r="J11" i="7"/>
  <c r="I11" i="7"/>
  <c r="D11" i="7"/>
  <c r="F11" i="7"/>
  <c r="E11" i="7"/>
  <c r="A11" i="7"/>
  <c r="R5" i="7"/>
  <c r="Q5" i="7"/>
  <c r="P5" i="7"/>
  <c r="O5" i="7"/>
  <c r="N5" i="7"/>
  <c r="H5" i="7"/>
  <c r="J5" i="7"/>
  <c r="I5" i="7"/>
  <c r="D5" i="7"/>
  <c r="F5" i="7"/>
  <c r="E5" i="7"/>
  <c r="A5" i="7"/>
  <c r="R4" i="7"/>
  <c r="Q4" i="7"/>
  <c r="P4" i="7"/>
  <c r="O4" i="7"/>
  <c r="N4" i="7"/>
  <c r="H4" i="7"/>
  <c r="J4" i="7"/>
  <c r="I4" i="7"/>
  <c r="D4" i="7"/>
  <c r="F4" i="7"/>
  <c r="E4" i="7"/>
  <c r="A4" i="7"/>
  <c r="AD6" i="1"/>
  <c r="AF6" i="1"/>
  <c r="AI6" i="1"/>
  <c r="AG6" i="1"/>
  <c r="AE6" i="1"/>
  <c r="E35" i="9"/>
  <c r="X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Q5" i="1"/>
  <c r="P5" i="1"/>
  <c r="O5" i="1"/>
  <c r="N5" i="1"/>
  <c r="M5" i="1"/>
  <c r="H5" i="1"/>
  <c r="J5" i="1"/>
  <c r="I5" i="1"/>
  <c r="D5" i="1"/>
  <c r="F5" i="1"/>
  <c r="E5" i="1"/>
  <c r="A5" i="1"/>
  <c r="C11" i="18"/>
  <c r="D11" i="18"/>
  <c r="C10" i="18"/>
  <c r="D10" i="18"/>
  <c r="C9" i="18"/>
  <c r="D9" i="18"/>
  <c r="C23" i="18"/>
  <c r="D23" i="18"/>
  <c r="C22" i="18"/>
  <c r="D22" i="18"/>
  <c r="C21" i="18"/>
  <c r="D21" i="18"/>
  <c r="C17" i="18"/>
  <c r="D17" i="18"/>
  <c r="C26" i="18"/>
  <c r="D26" i="18"/>
  <c r="C25" i="18"/>
  <c r="D25" i="18"/>
  <c r="C24" i="18"/>
  <c r="D24" i="18"/>
  <c r="C20" i="18"/>
  <c r="D20" i="18"/>
  <c r="C19" i="18"/>
  <c r="D19" i="18"/>
  <c r="C18" i="18"/>
  <c r="D18" i="18"/>
  <c r="C16" i="18"/>
  <c r="D16" i="18"/>
  <c r="C15" i="18"/>
  <c r="D15" i="18"/>
  <c r="C14" i="18"/>
  <c r="D14" i="18"/>
  <c r="C13" i="18"/>
  <c r="D13" i="18"/>
  <c r="C12" i="18"/>
  <c r="D12" i="18"/>
  <c r="C8" i="18"/>
  <c r="D8" i="18"/>
  <c r="C7" i="18"/>
  <c r="D7" i="18"/>
  <c r="C6" i="18"/>
  <c r="D6" i="18"/>
  <c r="C5" i="18"/>
  <c r="D5" i="18"/>
  <c r="C4" i="18"/>
  <c r="D4" i="18"/>
  <c r="C3" i="18"/>
  <c r="D3" i="18"/>
  <c r="N3" i="22"/>
  <c r="G3" i="22"/>
  <c r="F3" i="22"/>
  <c r="D3" i="22"/>
  <c r="C3" i="22"/>
  <c r="A3" i="22"/>
  <c r="N6" i="22"/>
  <c r="G6" i="22"/>
  <c r="F6" i="22"/>
  <c r="D6" i="22"/>
  <c r="C6" i="22"/>
  <c r="A6" i="22"/>
  <c r="N5" i="22"/>
  <c r="G5" i="22"/>
  <c r="F5" i="22"/>
  <c r="D5" i="22"/>
  <c r="C5" i="22"/>
  <c r="A5" i="22"/>
  <c r="O16" i="21"/>
  <c r="B16" i="21"/>
  <c r="I16" i="21"/>
  <c r="J16" i="21"/>
  <c r="G16" i="21"/>
  <c r="F16" i="21"/>
  <c r="D16" i="21"/>
  <c r="C16" i="21"/>
  <c r="O31" i="21"/>
  <c r="B31" i="21"/>
  <c r="I31" i="21"/>
  <c r="J31" i="21"/>
  <c r="G31" i="21"/>
  <c r="F31" i="21"/>
  <c r="D31" i="21"/>
  <c r="C31" i="21"/>
  <c r="O3" i="21"/>
  <c r="O4" i="21"/>
  <c r="O5" i="21"/>
  <c r="O6" i="21"/>
  <c r="O7" i="21"/>
  <c r="O8" i="21"/>
  <c r="O9" i="21"/>
  <c r="O10" i="21"/>
  <c r="O11" i="21"/>
  <c r="O12" i="21"/>
  <c r="O13" i="21"/>
  <c r="O14" i="21"/>
  <c r="O15" i="21"/>
  <c r="O17" i="21"/>
  <c r="O18" i="21"/>
  <c r="O19" i="21"/>
  <c r="O20" i="21"/>
  <c r="O21" i="21"/>
  <c r="O22" i="21"/>
  <c r="O23" i="21"/>
  <c r="O24" i="21"/>
  <c r="O25" i="21"/>
  <c r="O26" i="21"/>
  <c r="O27" i="21"/>
  <c r="O28" i="21"/>
  <c r="O29" i="21"/>
  <c r="O30" i="21"/>
  <c r="O2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B2" i="21"/>
  <c r="I2" i="21"/>
  <c r="J2" i="21"/>
  <c r="G2" i="21"/>
  <c r="F2" i="21"/>
  <c r="D2" i="21"/>
  <c r="C2" i="21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V3" i="1"/>
  <c r="W2" i="7"/>
  <c r="U2" i="7"/>
  <c r="W6" i="7"/>
  <c r="W3" i="7"/>
  <c r="U6" i="7"/>
  <c r="U3" i="7"/>
  <c r="V4" i="1"/>
  <c r="V2" i="1"/>
  <c r="T4" i="1"/>
  <c r="T3" i="1"/>
  <c r="T2" i="1"/>
  <c r="B30" i="21"/>
  <c r="I30" i="21"/>
  <c r="J30" i="21"/>
  <c r="G30" i="21"/>
  <c r="F30" i="21"/>
  <c r="D30" i="21"/>
  <c r="C30" i="21"/>
  <c r="B29" i="21"/>
  <c r="I29" i="21"/>
  <c r="J29" i="21"/>
  <c r="G29" i="21"/>
  <c r="F29" i="21"/>
  <c r="D29" i="21"/>
  <c r="C29" i="21"/>
  <c r="B28" i="21"/>
  <c r="I28" i="21"/>
  <c r="J28" i="21"/>
  <c r="G28" i="21"/>
  <c r="F28" i="21"/>
  <c r="D28" i="21"/>
  <c r="C28" i="21"/>
  <c r="B27" i="21"/>
  <c r="I27" i="21"/>
  <c r="J27" i="21"/>
  <c r="G27" i="21"/>
  <c r="F27" i="21"/>
  <c r="D27" i="21"/>
  <c r="C27" i="21"/>
  <c r="B26" i="21"/>
  <c r="I26" i="21"/>
  <c r="J26" i="21"/>
  <c r="G26" i="21"/>
  <c r="F26" i="21"/>
  <c r="D26" i="21"/>
  <c r="C26" i="21"/>
  <c r="B25" i="21"/>
  <c r="I25" i="21"/>
  <c r="J25" i="21"/>
  <c r="G25" i="21"/>
  <c r="F25" i="21"/>
  <c r="D25" i="21"/>
  <c r="C25" i="21"/>
  <c r="B24" i="21"/>
  <c r="I24" i="21"/>
  <c r="J24" i="21"/>
  <c r="G24" i="21"/>
  <c r="F24" i="21"/>
  <c r="D24" i="21"/>
  <c r="C24" i="21"/>
  <c r="B22" i="21"/>
  <c r="I22" i="21"/>
  <c r="J22" i="21"/>
  <c r="G22" i="21"/>
  <c r="F22" i="21"/>
  <c r="D22" i="21"/>
  <c r="C22" i="21"/>
  <c r="B21" i="21"/>
  <c r="I21" i="21"/>
  <c r="J21" i="21"/>
  <c r="G21" i="21"/>
  <c r="F21" i="21"/>
  <c r="D21" i="21"/>
  <c r="C21" i="21"/>
  <c r="B23" i="21"/>
  <c r="I23" i="21"/>
  <c r="J23" i="21"/>
  <c r="G23" i="21"/>
  <c r="F23" i="21"/>
  <c r="D23" i="21"/>
  <c r="C23" i="21"/>
  <c r="B20" i="21"/>
  <c r="I20" i="21"/>
  <c r="J20" i="21"/>
  <c r="G20" i="21"/>
  <c r="F20" i="21"/>
  <c r="D20" i="21"/>
  <c r="C20" i="21"/>
  <c r="B17" i="21"/>
  <c r="I17" i="21"/>
  <c r="J17" i="21"/>
  <c r="G17" i="21"/>
  <c r="F17" i="21"/>
  <c r="D17" i="21"/>
  <c r="C17" i="21"/>
  <c r="B19" i="21"/>
  <c r="I19" i="21"/>
  <c r="J19" i="21"/>
  <c r="G19" i="21"/>
  <c r="F19" i="21"/>
  <c r="D19" i="21"/>
  <c r="C19" i="21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O69" i="9"/>
  <c r="N69" i="9"/>
  <c r="M69" i="9"/>
  <c r="L69" i="9"/>
  <c r="K69" i="9"/>
  <c r="J69" i="9"/>
  <c r="I69" i="9"/>
  <c r="H69" i="9"/>
  <c r="G69" i="9"/>
  <c r="E69" i="9"/>
  <c r="D69" i="9"/>
  <c r="A69" i="9"/>
  <c r="O68" i="9"/>
  <c r="N68" i="9"/>
  <c r="M68" i="9"/>
  <c r="L68" i="9"/>
  <c r="K68" i="9"/>
  <c r="J68" i="9"/>
  <c r="I68" i="9"/>
  <c r="H68" i="9"/>
  <c r="G68" i="9"/>
  <c r="E68" i="9"/>
  <c r="D68" i="9"/>
  <c r="A68" i="9"/>
  <c r="O67" i="9"/>
  <c r="N67" i="9"/>
  <c r="M67" i="9"/>
  <c r="L67" i="9"/>
  <c r="K67" i="9"/>
  <c r="J67" i="9"/>
  <c r="I67" i="9"/>
  <c r="H67" i="9"/>
  <c r="G67" i="9"/>
  <c r="E67" i="9"/>
  <c r="D67" i="9"/>
  <c r="A67" i="9"/>
  <c r="O66" i="9"/>
  <c r="N66" i="9"/>
  <c r="M66" i="9"/>
  <c r="L66" i="9"/>
  <c r="K66" i="9"/>
  <c r="J66" i="9"/>
  <c r="I66" i="9"/>
  <c r="H66" i="9"/>
  <c r="G66" i="9"/>
  <c r="E66" i="9"/>
  <c r="D66" i="9"/>
  <c r="A66" i="9"/>
  <c r="O65" i="9"/>
  <c r="N65" i="9"/>
  <c r="M65" i="9"/>
  <c r="L65" i="9"/>
  <c r="K65" i="9"/>
  <c r="J65" i="9"/>
  <c r="I65" i="9"/>
  <c r="H65" i="9"/>
  <c r="G65" i="9"/>
  <c r="E65" i="9"/>
  <c r="D65" i="9"/>
  <c r="A65" i="9"/>
  <c r="O64" i="9"/>
  <c r="N64" i="9"/>
  <c r="M64" i="9"/>
  <c r="L64" i="9"/>
  <c r="K64" i="9"/>
  <c r="J64" i="9"/>
  <c r="I64" i="9"/>
  <c r="H64" i="9"/>
  <c r="G64" i="9"/>
  <c r="E64" i="9"/>
  <c r="D64" i="9"/>
  <c r="A64" i="9"/>
  <c r="O63" i="9"/>
  <c r="N63" i="9"/>
  <c r="M63" i="9"/>
  <c r="L63" i="9"/>
  <c r="K63" i="9"/>
  <c r="J63" i="9"/>
  <c r="I63" i="9"/>
  <c r="H63" i="9"/>
  <c r="G63" i="9"/>
  <c r="E63" i="9"/>
  <c r="D63" i="9"/>
  <c r="A63" i="9"/>
  <c r="O62" i="9"/>
  <c r="N62" i="9"/>
  <c r="M62" i="9"/>
  <c r="L62" i="9"/>
  <c r="K62" i="9"/>
  <c r="J62" i="9"/>
  <c r="I62" i="9"/>
  <c r="H62" i="9"/>
  <c r="G62" i="9"/>
  <c r="E62" i="9"/>
  <c r="D62" i="9"/>
  <c r="A62" i="9"/>
  <c r="O61" i="9"/>
  <c r="N61" i="9"/>
  <c r="M61" i="9"/>
  <c r="L61" i="9"/>
  <c r="K61" i="9"/>
  <c r="J61" i="9"/>
  <c r="I61" i="9"/>
  <c r="H61" i="9"/>
  <c r="G61" i="9"/>
  <c r="E61" i="9"/>
  <c r="D61" i="9"/>
  <c r="A61" i="9"/>
  <c r="O60" i="9"/>
  <c r="N60" i="9"/>
  <c r="M60" i="9"/>
  <c r="L60" i="9"/>
  <c r="K60" i="9"/>
  <c r="J60" i="9"/>
  <c r="I60" i="9"/>
  <c r="H60" i="9"/>
  <c r="G60" i="9"/>
  <c r="E60" i="9"/>
  <c r="D60" i="9"/>
  <c r="A60" i="9"/>
  <c r="O59" i="9"/>
  <c r="N59" i="9"/>
  <c r="M59" i="9"/>
  <c r="L59" i="9"/>
  <c r="K59" i="9"/>
  <c r="J59" i="9"/>
  <c r="I59" i="9"/>
  <c r="H59" i="9"/>
  <c r="G59" i="9"/>
  <c r="E59" i="9"/>
  <c r="D59" i="9"/>
  <c r="A59" i="9"/>
  <c r="O58" i="9"/>
  <c r="N58" i="9"/>
  <c r="M58" i="9"/>
  <c r="L58" i="9"/>
  <c r="K58" i="9"/>
  <c r="J58" i="9"/>
  <c r="I58" i="9"/>
  <c r="H58" i="9"/>
  <c r="G58" i="9"/>
  <c r="E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O56" i="9"/>
  <c r="N56" i="9"/>
  <c r="M56" i="9"/>
  <c r="L56" i="9"/>
  <c r="K56" i="9"/>
  <c r="J56" i="9"/>
  <c r="I56" i="9"/>
  <c r="H56" i="9"/>
  <c r="G56" i="9"/>
  <c r="E56" i="9"/>
  <c r="D56" i="9"/>
  <c r="A56" i="9"/>
  <c r="O55" i="9"/>
  <c r="N55" i="9"/>
  <c r="M55" i="9"/>
  <c r="L55" i="9"/>
  <c r="K55" i="9"/>
  <c r="J55" i="9"/>
  <c r="I55" i="9"/>
  <c r="H55" i="9"/>
  <c r="G55" i="9"/>
  <c r="E55" i="9"/>
  <c r="D55" i="9"/>
  <c r="A55" i="9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O48" i="9"/>
  <c r="N48" i="9"/>
  <c r="M48" i="9"/>
  <c r="L48" i="9"/>
  <c r="K48" i="9"/>
  <c r="J48" i="9"/>
  <c r="I48" i="9"/>
  <c r="H48" i="9"/>
  <c r="G48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D35" i="9"/>
  <c r="A35" i="9"/>
  <c r="J29" i="11"/>
  <c r="O34" i="9"/>
  <c r="N34" i="9"/>
  <c r="M34" i="9"/>
  <c r="L34" i="9"/>
  <c r="K34" i="9"/>
  <c r="J34" i="9"/>
  <c r="I34" i="9"/>
  <c r="H34" i="9"/>
  <c r="G34" i="9"/>
  <c r="E34" i="9"/>
  <c r="D34" i="9"/>
  <c r="A34" i="9"/>
  <c r="J28" i="11"/>
  <c r="O33" i="9"/>
  <c r="N33" i="9"/>
  <c r="M33" i="9"/>
  <c r="L33" i="9"/>
  <c r="K33" i="9"/>
  <c r="J33" i="9"/>
  <c r="I33" i="9"/>
  <c r="H33" i="9"/>
  <c r="G33" i="9"/>
  <c r="E33" i="9"/>
  <c r="D33" i="9"/>
  <c r="A33" i="9"/>
  <c r="J27" i="11"/>
  <c r="O32" i="9"/>
  <c r="N32" i="9"/>
  <c r="M32" i="9"/>
  <c r="L32" i="9"/>
  <c r="K32" i="9"/>
  <c r="J32" i="9"/>
  <c r="I32" i="9"/>
  <c r="H32" i="9"/>
  <c r="G32" i="9"/>
  <c r="E32" i="9"/>
  <c r="D32" i="9"/>
  <c r="A32" i="9"/>
  <c r="J26" i="11"/>
  <c r="O31" i="9"/>
  <c r="N31" i="9"/>
  <c r="M31" i="9"/>
  <c r="L31" i="9"/>
  <c r="K31" i="9"/>
  <c r="J31" i="9"/>
  <c r="I31" i="9"/>
  <c r="H31" i="9"/>
  <c r="G31" i="9"/>
  <c r="E31" i="9"/>
  <c r="D31" i="9"/>
  <c r="A31" i="9"/>
  <c r="J25" i="11"/>
  <c r="O30" i="9"/>
  <c r="N30" i="9"/>
  <c r="M30" i="9"/>
  <c r="L30" i="9"/>
  <c r="K30" i="9"/>
  <c r="J30" i="9"/>
  <c r="I30" i="9"/>
  <c r="H30" i="9"/>
  <c r="G30" i="9"/>
  <c r="E30" i="9"/>
  <c r="D30" i="9"/>
  <c r="A30" i="9"/>
  <c r="J24" i="11"/>
  <c r="O29" i="9"/>
  <c r="N29" i="9"/>
  <c r="M29" i="9"/>
  <c r="L29" i="9"/>
  <c r="K29" i="9"/>
  <c r="J29" i="9"/>
  <c r="I29" i="9"/>
  <c r="H29" i="9"/>
  <c r="G29" i="9"/>
  <c r="E29" i="9"/>
  <c r="D29" i="9"/>
  <c r="A29" i="9"/>
  <c r="J23" i="11"/>
  <c r="O28" i="9"/>
  <c r="N28" i="9"/>
  <c r="M28" i="9"/>
  <c r="L28" i="9"/>
  <c r="K28" i="9"/>
  <c r="J28" i="9"/>
  <c r="I28" i="9"/>
  <c r="H28" i="9"/>
  <c r="G28" i="9"/>
  <c r="E28" i="9"/>
  <c r="D28" i="9"/>
  <c r="A28" i="9"/>
  <c r="J22" i="11"/>
  <c r="O27" i="9"/>
  <c r="N27" i="9"/>
  <c r="M27" i="9"/>
  <c r="L27" i="9"/>
  <c r="K27" i="9"/>
  <c r="J27" i="9"/>
  <c r="I27" i="9"/>
  <c r="H27" i="9"/>
  <c r="G27" i="9"/>
  <c r="E27" i="9"/>
  <c r="D27" i="9"/>
  <c r="A27" i="9"/>
  <c r="J21" i="11"/>
  <c r="O26" i="9"/>
  <c r="N26" i="9"/>
  <c r="M26" i="9"/>
  <c r="L26" i="9"/>
  <c r="K26" i="9"/>
  <c r="J26" i="9"/>
  <c r="I26" i="9"/>
  <c r="H26" i="9"/>
  <c r="G26" i="9"/>
  <c r="E26" i="9"/>
  <c r="D26" i="9"/>
  <c r="A26" i="9"/>
  <c r="J20" i="11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10" i="11"/>
  <c r="O15" i="9"/>
  <c r="N15" i="9"/>
  <c r="M15" i="9"/>
  <c r="L15" i="9"/>
  <c r="K15" i="9"/>
  <c r="J15" i="9"/>
  <c r="I15" i="9"/>
  <c r="H15" i="9"/>
  <c r="G15" i="9"/>
  <c r="E15" i="9"/>
  <c r="D15" i="9"/>
  <c r="A15" i="9"/>
  <c r="J9" i="11"/>
  <c r="O14" i="9"/>
  <c r="N14" i="9"/>
  <c r="M14" i="9"/>
  <c r="L14" i="9"/>
  <c r="K14" i="9"/>
  <c r="J14" i="9"/>
  <c r="I14" i="9"/>
  <c r="H14" i="9"/>
  <c r="G14" i="9"/>
  <c r="E14" i="9"/>
  <c r="D14" i="9"/>
  <c r="A14" i="9"/>
  <c r="J8" i="11"/>
  <c r="O13" i="9"/>
  <c r="N13" i="9"/>
  <c r="M13" i="9"/>
  <c r="L13" i="9"/>
  <c r="K13" i="9"/>
  <c r="J13" i="9"/>
  <c r="I13" i="9"/>
  <c r="H13" i="9"/>
  <c r="G13" i="9"/>
  <c r="E13" i="9"/>
  <c r="D13" i="9"/>
  <c r="A13" i="9"/>
  <c r="J7" i="11"/>
  <c r="O12" i="9"/>
  <c r="N12" i="9"/>
  <c r="M12" i="9"/>
  <c r="L12" i="9"/>
  <c r="K12" i="9"/>
  <c r="J12" i="9"/>
  <c r="I12" i="9"/>
  <c r="H12" i="9"/>
  <c r="G12" i="9"/>
  <c r="E12" i="9"/>
  <c r="D12" i="9"/>
  <c r="A12" i="9"/>
  <c r="J6" i="11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J2" i="11"/>
  <c r="O2" i="9"/>
  <c r="N2" i="9"/>
  <c r="M2" i="9"/>
  <c r="L2" i="9"/>
  <c r="K2" i="9"/>
  <c r="J2" i="9"/>
  <c r="I2" i="9"/>
  <c r="H2" i="9"/>
  <c r="G2" i="9"/>
  <c r="E2" i="9"/>
  <c r="D2" i="9"/>
  <c r="A2" i="9"/>
  <c r="R6" i="7"/>
  <c r="Q6" i="7"/>
  <c r="P6" i="7"/>
  <c r="O6" i="7"/>
  <c r="N6" i="7"/>
  <c r="H6" i="7"/>
  <c r="J6" i="7"/>
  <c r="I6" i="7"/>
  <c r="D6" i="7"/>
  <c r="F6" i="7"/>
  <c r="E6" i="7"/>
  <c r="A6" i="7"/>
  <c r="R3" i="7"/>
  <c r="Q3" i="7"/>
  <c r="P3" i="7"/>
  <c r="O3" i="7"/>
  <c r="N3" i="7"/>
  <c r="H3" i="7"/>
  <c r="J3" i="7"/>
  <c r="I3" i="7"/>
  <c r="D3" i="7"/>
  <c r="F3" i="7"/>
  <c r="E3" i="7"/>
  <c r="A3" i="7"/>
  <c r="R2" i="7"/>
  <c r="Q2" i="7"/>
  <c r="P2" i="7"/>
  <c r="O2" i="7"/>
  <c r="N2" i="7"/>
  <c r="H2" i="7"/>
  <c r="J2" i="7"/>
  <c r="I2" i="7"/>
  <c r="D2" i="7"/>
  <c r="F2" i="7"/>
  <c r="E2" i="7"/>
  <c r="A2" i="7"/>
  <c r="AD4" i="1"/>
  <c r="AF4" i="1"/>
  <c r="AI4" i="1"/>
  <c r="AG4" i="1"/>
  <c r="AE4" i="1"/>
  <c r="X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X3" i="1"/>
  <c r="Q3" i="1"/>
  <c r="P3" i="1"/>
  <c r="O3" i="1"/>
  <c r="N3" i="1"/>
  <c r="M3" i="1"/>
  <c r="H3" i="1"/>
  <c r="J3" i="1"/>
  <c r="I3" i="1"/>
  <c r="D3" i="1"/>
  <c r="F3" i="1"/>
  <c r="E3" i="1"/>
  <c r="A3" i="1"/>
  <c r="AD2" i="1"/>
  <c r="AF2" i="1"/>
  <c r="AI2" i="1"/>
  <c r="AG2" i="1"/>
  <c r="AE2" i="1"/>
  <c r="X2" i="1"/>
  <c r="Q2" i="1"/>
  <c r="P2" i="1"/>
  <c r="O2" i="1"/>
  <c r="N2" i="1"/>
  <c r="M2" i="1"/>
  <c r="H2" i="1"/>
  <c r="J2" i="1"/>
  <c r="I2" i="1"/>
  <c r="D2" i="1"/>
  <c r="F2" i="1"/>
  <c r="E2" i="1"/>
  <c r="A2" i="1"/>
  <c r="H4" i="2"/>
  <c r="E4" i="2"/>
  <c r="D4" i="2"/>
  <c r="H7" i="1"/>
  <c r="H8" i="1"/>
  <c r="H9" i="1"/>
  <c r="B4" i="2"/>
  <c r="H3" i="2"/>
  <c r="E3" i="2"/>
  <c r="D3" i="2"/>
  <c r="B3" i="2"/>
  <c r="H2" i="2"/>
  <c r="E2" i="2"/>
  <c r="D2" i="2"/>
  <c r="B2" i="2"/>
  <c r="O137" i="9"/>
  <c r="N137" i="9"/>
  <c r="M137" i="9"/>
  <c r="L137" i="9"/>
  <c r="K137" i="9"/>
  <c r="J137" i="9"/>
  <c r="I137" i="9"/>
  <c r="H137" i="9"/>
  <c r="G137" i="9"/>
  <c r="E137" i="9"/>
  <c r="D137" i="9"/>
  <c r="A137" i="9"/>
  <c r="O136" i="9"/>
  <c r="N136" i="9"/>
  <c r="M136" i="9"/>
  <c r="L136" i="9"/>
  <c r="K136" i="9"/>
  <c r="J136" i="9"/>
  <c r="I136" i="9"/>
  <c r="H136" i="9"/>
  <c r="G136" i="9"/>
  <c r="E136" i="9"/>
  <c r="D136" i="9"/>
  <c r="A136" i="9"/>
  <c r="O135" i="9"/>
  <c r="N135" i="9"/>
  <c r="M135" i="9"/>
  <c r="L135" i="9"/>
  <c r="K135" i="9"/>
  <c r="J135" i="9"/>
  <c r="I135" i="9"/>
  <c r="H135" i="9"/>
  <c r="G135" i="9"/>
  <c r="E135" i="9"/>
  <c r="D135" i="9"/>
  <c r="A135" i="9"/>
  <c r="O134" i="9"/>
  <c r="N134" i="9"/>
  <c r="M134" i="9"/>
  <c r="L134" i="9"/>
  <c r="K134" i="9"/>
  <c r="J134" i="9"/>
  <c r="I134" i="9"/>
  <c r="H134" i="9"/>
  <c r="G134" i="9"/>
  <c r="E134" i="9"/>
  <c r="D134" i="9"/>
  <c r="A134" i="9"/>
  <c r="O131" i="9"/>
  <c r="N131" i="9"/>
  <c r="M131" i="9"/>
  <c r="L131" i="9"/>
  <c r="K131" i="9"/>
  <c r="J131" i="9"/>
  <c r="I131" i="9"/>
  <c r="H131" i="9"/>
  <c r="G131" i="9"/>
  <c r="E131" i="9"/>
  <c r="D131" i="9"/>
  <c r="A131" i="9"/>
  <c r="O133" i="9"/>
  <c r="N133" i="9"/>
  <c r="M133" i="9"/>
  <c r="L133" i="9"/>
  <c r="K133" i="9"/>
  <c r="J133" i="9"/>
  <c r="I133" i="9"/>
  <c r="H133" i="9"/>
  <c r="G133" i="9"/>
  <c r="E133" i="9"/>
  <c r="D133" i="9"/>
  <c r="A133" i="9"/>
  <c r="O132" i="9"/>
  <c r="N132" i="9"/>
  <c r="M132" i="9"/>
  <c r="L132" i="9"/>
  <c r="K132" i="9"/>
  <c r="J132" i="9"/>
  <c r="I132" i="9"/>
  <c r="H132" i="9"/>
  <c r="G132" i="9"/>
  <c r="E132" i="9"/>
  <c r="D132" i="9"/>
  <c r="A132" i="9"/>
  <c r="O130" i="9"/>
  <c r="N130" i="9"/>
  <c r="M130" i="9"/>
  <c r="L130" i="9"/>
  <c r="K130" i="9"/>
  <c r="J130" i="9"/>
  <c r="I130" i="9"/>
  <c r="H130" i="9"/>
  <c r="G130" i="9"/>
  <c r="E130" i="9"/>
  <c r="D130" i="9"/>
  <c r="A130" i="9"/>
  <c r="O111" i="9"/>
  <c r="N111" i="9"/>
  <c r="M111" i="9"/>
  <c r="L111" i="9"/>
  <c r="K111" i="9"/>
  <c r="J111" i="9"/>
  <c r="I111" i="9"/>
  <c r="H111" i="9"/>
  <c r="G111" i="9"/>
  <c r="E111" i="9"/>
  <c r="D111" i="9"/>
  <c r="A111" i="9"/>
  <c r="O110" i="9"/>
  <c r="N110" i="9"/>
  <c r="M110" i="9"/>
  <c r="L110" i="9"/>
  <c r="K110" i="9"/>
  <c r="J110" i="9"/>
  <c r="I110" i="9"/>
  <c r="H110" i="9"/>
  <c r="G110" i="9"/>
  <c r="E110" i="9"/>
  <c r="D110" i="9"/>
  <c r="A110" i="9"/>
  <c r="O109" i="9"/>
  <c r="N109" i="9"/>
  <c r="M109" i="9"/>
  <c r="L109" i="9"/>
  <c r="K109" i="9"/>
  <c r="J109" i="9"/>
  <c r="I109" i="9"/>
  <c r="H109" i="9"/>
  <c r="G109" i="9"/>
  <c r="E109" i="9"/>
  <c r="D109" i="9"/>
  <c r="A109" i="9"/>
  <c r="O108" i="9"/>
  <c r="N108" i="9"/>
  <c r="M108" i="9"/>
  <c r="L108" i="9"/>
  <c r="K108" i="9"/>
  <c r="J108" i="9"/>
  <c r="I108" i="9"/>
  <c r="H108" i="9"/>
  <c r="G108" i="9"/>
  <c r="E108" i="9"/>
  <c r="D108" i="9"/>
  <c r="A108" i="9"/>
  <c r="O107" i="9"/>
  <c r="N107" i="9"/>
  <c r="M107" i="9"/>
  <c r="L107" i="9"/>
  <c r="K107" i="9"/>
  <c r="J107" i="9"/>
  <c r="I107" i="9"/>
  <c r="H107" i="9"/>
  <c r="G107" i="9"/>
  <c r="E107" i="9"/>
  <c r="D107" i="9"/>
  <c r="A107" i="9"/>
  <c r="O92" i="9"/>
  <c r="N92" i="9"/>
  <c r="M92" i="9"/>
  <c r="L92" i="9"/>
  <c r="K92" i="9"/>
  <c r="J92" i="9"/>
  <c r="I92" i="9"/>
  <c r="H92" i="9"/>
  <c r="G92" i="9"/>
  <c r="E92" i="9"/>
  <c r="D92" i="9"/>
  <c r="A92" i="9"/>
  <c r="O91" i="9"/>
  <c r="N91" i="9"/>
  <c r="M91" i="9"/>
  <c r="L91" i="9"/>
  <c r="K91" i="9"/>
  <c r="J91" i="9"/>
  <c r="I91" i="9"/>
  <c r="H91" i="9"/>
  <c r="G91" i="9"/>
  <c r="E91" i="9"/>
  <c r="D91" i="9"/>
  <c r="A91" i="9"/>
  <c r="O90" i="9"/>
  <c r="N90" i="9"/>
  <c r="M90" i="9"/>
  <c r="L90" i="9"/>
  <c r="K90" i="9"/>
  <c r="J90" i="9"/>
  <c r="I90" i="9"/>
  <c r="H90" i="9"/>
  <c r="G90" i="9"/>
  <c r="E90" i="9"/>
  <c r="D90" i="9"/>
  <c r="A90" i="9"/>
  <c r="O89" i="9"/>
  <c r="N89" i="9"/>
  <c r="M89" i="9"/>
  <c r="L89" i="9"/>
  <c r="K89" i="9"/>
  <c r="J89" i="9"/>
  <c r="I89" i="9"/>
  <c r="H89" i="9"/>
  <c r="G89" i="9"/>
  <c r="E89" i="9"/>
  <c r="D89" i="9"/>
  <c r="A89" i="9"/>
  <c r="O88" i="9"/>
  <c r="N88" i="9"/>
  <c r="M88" i="9"/>
  <c r="L88" i="9"/>
  <c r="K88" i="9"/>
  <c r="J88" i="9"/>
  <c r="I88" i="9"/>
  <c r="H88" i="9"/>
  <c r="G88" i="9"/>
  <c r="E88" i="9"/>
  <c r="D88" i="9"/>
  <c r="A88" i="9"/>
  <c r="O78" i="9"/>
  <c r="N78" i="9"/>
  <c r="M78" i="9"/>
  <c r="L78" i="9"/>
  <c r="K78" i="9"/>
  <c r="J78" i="9"/>
  <c r="I78" i="9"/>
  <c r="H78" i="9"/>
  <c r="G78" i="9"/>
  <c r="E78" i="9"/>
  <c r="D78" i="9"/>
  <c r="A78" i="9"/>
  <c r="O77" i="9"/>
  <c r="N77" i="9"/>
  <c r="M77" i="9"/>
  <c r="L77" i="9"/>
  <c r="K77" i="9"/>
  <c r="J77" i="9"/>
  <c r="I77" i="9"/>
  <c r="H77" i="9"/>
  <c r="G77" i="9"/>
  <c r="E77" i="9"/>
  <c r="D77" i="9"/>
  <c r="A77" i="9"/>
  <c r="O76" i="9"/>
  <c r="N76" i="9"/>
  <c r="M76" i="9"/>
  <c r="L76" i="9"/>
  <c r="K76" i="9"/>
  <c r="J76" i="9"/>
  <c r="I76" i="9"/>
  <c r="H76" i="9"/>
  <c r="G76" i="9"/>
  <c r="E76" i="9"/>
  <c r="D76" i="9"/>
  <c r="A76" i="9"/>
  <c r="O75" i="9"/>
  <c r="N75" i="9"/>
  <c r="M75" i="9"/>
  <c r="L75" i="9"/>
  <c r="K75" i="9"/>
  <c r="J75" i="9"/>
  <c r="I75" i="9"/>
  <c r="H75" i="9"/>
  <c r="G75" i="9"/>
  <c r="E75" i="9"/>
  <c r="D75" i="9"/>
  <c r="A75" i="9"/>
  <c r="O74" i="9"/>
  <c r="N74" i="9"/>
  <c r="M74" i="9"/>
  <c r="L74" i="9"/>
  <c r="K74" i="9"/>
  <c r="J74" i="9"/>
  <c r="I74" i="9"/>
  <c r="H74" i="9"/>
  <c r="G74" i="9"/>
  <c r="E74" i="9"/>
  <c r="D74" i="9"/>
  <c r="A74" i="9"/>
  <c r="M28" i="10"/>
  <c r="T28" i="10"/>
  <c r="W28" i="10"/>
  <c r="V28" i="10"/>
  <c r="X28" i="10"/>
  <c r="U28" i="10"/>
  <c r="Y28" i="10"/>
  <c r="M39" i="10"/>
  <c r="M49" i="10"/>
  <c r="N49" i="10"/>
  <c r="Q49" i="10"/>
  <c r="P49" i="10"/>
  <c r="R49" i="10"/>
  <c r="O49" i="10"/>
  <c r="S49" i="10"/>
  <c r="N39" i="10"/>
  <c r="Q39" i="10"/>
  <c r="P39" i="10"/>
  <c r="R39" i="10"/>
  <c r="O39" i="10"/>
  <c r="S39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14" i="10"/>
  <c r="T14" i="10"/>
  <c r="W14" i="10"/>
  <c r="V14" i="10"/>
  <c r="X14" i="10"/>
  <c r="U14" i="10"/>
  <c r="Y14" i="10"/>
  <c r="M27" i="10"/>
  <c r="M38" i="10"/>
  <c r="M48" i="10"/>
  <c r="N48" i="10"/>
  <c r="Q48" i="10"/>
  <c r="P48" i="10"/>
  <c r="R48" i="10"/>
  <c r="O48" i="10"/>
  <c r="S48" i="10"/>
  <c r="N38" i="10"/>
  <c r="Q38" i="10"/>
  <c r="P38" i="10"/>
  <c r="R38" i="10"/>
  <c r="O38" i="10"/>
  <c r="S38" i="10"/>
  <c r="N27" i="10"/>
  <c r="Q27" i="10"/>
  <c r="P27" i="10"/>
  <c r="R27" i="10"/>
  <c r="O27" i="10"/>
  <c r="S27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T49" i="10"/>
  <c r="W49" i="10"/>
  <c r="V49" i="10"/>
  <c r="X49" i="10"/>
  <c r="U49" i="10"/>
  <c r="Y49" i="10"/>
  <c r="G49" i="10"/>
  <c r="J49" i="10"/>
  <c r="I49" i="10"/>
  <c r="K49" i="10"/>
  <c r="H49" i="10"/>
  <c r="L49" i="10"/>
  <c r="T48" i="10"/>
  <c r="W48" i="10"/>
  <c r="V48" i="10"/>
  <c r="X48" i="10"/>
  <c r="U48" i="10"/>
  <c r="Y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O96" i="9"/>
  <c r="N96" i="9"/>
  <c r="M96" i="9"/>
  <c r="L96" i="9"/>
  <c r="K96" i="9"/>
  <c r="J96" i="9"/>
  <c r="I96" i="9"/>
  <c r="H96" i="9"/>
  <c r="G96" i="9"/>
  <c r="E96" i="9"/>
  <c r="D96" i="9"/>
  <c r="A96" i="9"/>
  <c r="O86" i="9"/>
  <c r="N86" i="9"/>
  <c r="M86" i="9"/>
  <c r="L86" i="9"/>
  <c r="K86" i="9"/>
  <c r="J86" i="9"/>
  <c r="I86" i="9"/>
  <c r="H86" i="9"/>
  <c r="G86" i="9"/>
  <c r="E86" i="9"/>
  <c r="D86" i="9"/>
  <c r="A86" i="9"/>
  <c r="O85" i="9"/>
  <c r="N85" i="9"/>
  <c r="M85" i="9"/>
  <c r="L85" i="9"/>
  <c r="K85" i="9"/>
  <c r="J85" i="9"/>
  <c r="I85" i="9"/>
  <c r="H85" i="9"/>
  <c r="G85" i="9"/>
  <c r="E85" i="9"/>
  <c r="D85" i="9"/>
  <c r="A85" i="9"/>
  <c r="M13" i="10"/>
  <c r="T13" i="10"/>
  <c r="W13" i="10"/>
  <c r="V13" i="10"/>
  <c r="X13" i="10"/>
  <c r="U13" i="10"/>
  <c r="Y13" i="10"/>
  <c r="M26" i="10"/>
  <c r="M37" i="10"/>
  <c r="N37" i="10"/>
  <c r="Q37" i="10"/>
  <c r="P37" i="10"/>
  <c r="R37" i="10"/>
  <c r="O37" i="10"/>
  <c r="S37" i="10"/>
  <c r="N26" i="10"/>
  <c r="Q26" i="10"/>
  <c r="P26" i="10"/>
  <c r="R26" i="10"/>
  <c r="O26" i="10"/>
  <c r="S26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M25" i="10"/>
  <c r="M36" i="10"/>
  <c r="M46" i="10"/>
  <c r="N46" i="10"/>
  <c r="O46" i="10"/>
  <c r="Q46" i="10"/>
  <c r="P46" i="10"/>
  <c r="R46" i="10"/>
  <c r="S46" i="10"/>
  <c r="N36" i="10"/>
  <c r="Q36" i="10"/>
  <c r="P36" i="10"/>
  <c r="R36" i="10"/>
  <c r="O36" i="10"/>
  <c r="S36" i="10"/>
  <c r="N25" i="10"/>
  <c r="Q25" i="10"/>
  <c r="P25" i="10"/>
  <c r="R25" i="10"/>
  <c r="O25" i="10"/>
  <c r="S25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O105" i="9"/>
  <c r="N105" i="9"/>
  <c r="M105" i="9"/>
  <c r="L105" i="9"/>
  <c r="K105" i="9"/>
  <c r="J105" i="9"/>
  <c r="I105" i="9"/>
  <c r="H105" i="9"/>
  <c r="G105" i="9"/>
  <c r="E105" i="9"/>
  <c r="D105" i="9"/>
  <c r="A105" i="9"/>
  <c r="O71" i="9"/>
  <c r="N71" i="9"/>
  <c r="M71" i="9"/>
  <c r="L71" i="9"/>
  <c r="K71" i="9"/>
  <c r="J71" i="9"/>
  <c r="I71" i="9"/>
  <c r="H71" i="9"/>
  <c r="G71" i="9"/>
  <c r="E71" i="9"/>
  <c r="D71" i="9"/>
  <c r="A71" i="9"/>
  <c r="V9" i="1"/>
  <c r="V8" i="1"/>
  <c r="V7" i="1"/>
  <c r="W13" i="7"/>
  <c r="W10" i="7"/>
  <c r="W9" i="7"/>
  <c r="U13" i="7"/>
  <c r="U10" i="7"/>
  <c r="U9" i="7"/>
  <c r="T9" i="1"/>
  <c r="T8" i="1"/>
  <c r="T7" i="1"/>
  <c r="G72" i="9"/>
  <c r="H72" i="9"/>
  <c r="I72" i="9"/>
  <c r="J72" i="9"/>
  <c r="K72" i="9"/>
  <c r="L72" i="9"/>
  <c r="M72" i="9"/>
  <c r="N72" i="9"/>
  <c r="G73" i="9"/>
  <c r="H73" i="9"/>
  <c r="I73" i="9"/>
  <c r="J73" i="9"/>
  <c r="K73" i="9"/>
  <c r="L73" i="9"/>
  <c r="M73" i="9"/>
  <c r="N73" i="9"/>
  <c r="G79" i="9"/>
  <c r="H79" i="9"/>
  <c r="I79" i="9"/>
  <c r="J79" i="9"/>
  <c r="K79" i="9"/>
  <c r="L79" i="9"/>
  <c r="M79" i="9"/>
  <c r="N79" i="9"/>
  <c r="G80" i="9"/>
  <c r="H80" i="9"/>
  <c r="I80" i="9"/>
  <c r="J80" i="9"/>
  <c r="K80" i="9"/>
  <c r="L80" i="9"/>
  <c r="M80" i="9"/>
  <c r="N80" i="9"/>
  <c r="G81" i="9"/>
  <c r="H81" i="9"/>
  <c r="I81" i="9"/>
  <c r="J81" i="9"/>
  <c r="K81" i="9"/>
  <c r="L81" i="9"/>
  <c r="M81" i="9"/>
  <c r="N81" i="9"/>
  <c r="G82" i="9"/>
  <c r="H82" i="9"/>
  <c r="I82" i="9"/>
  <c r="J82" i="9"/>
  <c r="K82" i="9"/>
  <c r="L82" i="9"/>
  <c r="M82" i="9"/>
  <c r="N82" i="9"/>
  <c r="G83" i="9"/>
  <c r="H83" i="9"/>
  <c r="I83" i="9"/>
  <c r="J83" i="9"/>
  <c r="K83" i="9"/>
  <c r="L83" i="9"/>
  <c r="M83" i="9"/>
  <c r="N83" i="9"/>
  <c r="G84" i="9"/>
  <c r="H84" i="9"/>
  <c r="I84" i="9"/>
  <c r="J84" i="9"/>
  <c r="K84" i="9"/>
  <c r="L84" i="9"/>
  <c r="M84" i="9"/>
  <c r="N84" i="9"/>
  <c r="G87" i="9"/>
  <c r="H87" i="9"/>
  <c r="I87" i="9"/>
  <c r="J87" i="9"/>
  <c r="K87" i="9"/>
  <c r="L87" i="9"/>
  <c r="M87" i="9"/>
  <c r="N87" i="9"/>
  <c r="G93" i="9"/>
  <c r="H93" i="9"/>
  <c r="I93" i="9"/>
  <c r="J93" i="9"/>
  <c r="K93" i="9"/>
  <c r="L93" i="9"/>
  <c r="M93" i="9"/>
  <c r="N93" i="9"/>
  <c r="G94" i="9"/>
  <c r="H94" i="9"/>
  <c r="I94" i="9"/>
  <c r="J94" i="9"/>
  <c r="K94" i="9"/>
  <c r="L94" i="9"/>
  <c r="M94" i="9"/>
  <c r="N94" i="9"/>
  <c r="G95" i="9"/>
  <c r="H95" i="9"/>
  <c r="I95" i="9"/>
  <c r="J95" i="9"/>
  <c r="K95" i="9"/>
  <c r="L95" i="9"/>
  <c r="M95" i="9"/>
  <c r="N95" i="9"/>
  <c r="G97" i="9"/>
  <c r="H97" i="9"/>
  <c r="I97" i="9"/>
  <c r="J97" i="9"/>
  <c r="K97" i="9"/>
  <c r="L97" i="9"/>
  <c r="M97" i="9"/>
  <c r="N97" i="9"/>
  <c r="G98" i="9"/>
  <c r="H98" i="9"/>
  <c r="I98" i="9"/>
  <c r="J98" i="9"/>
  <c r="K98" i="9"/>
  <c r="L98" i="9"/>
  <c r="M98" i="9"/>
  <c r="N98" i="9"/>
  <c r="G99" i="9"/>
  <c r="H99" i="9"/>
  <c r="I99" i="9"/>
  <c r="J99" i="9"/>
  <c r="K99" i="9"/>
  <c r="L99" i="9"/>
  <c r="M99" i="9"/>
  <c r="N99" i="9"/>
  <c r="G100" i="9"/>
  <c r="H100" i="9"/>
  <c r="I100" i="9"/>
  <c r="J100" i="9"/>
  <c r="K100" i="9"/>
  <c r="L100" i="9"/>
  <c r="M100" i="9"/>
  <c r="N100" i="9"/>
  <c r="G101" i="9"/>
  <c r="H101" i="9"/>
  <c r="I101" i="9"/>
  <c r="J101" i="9"/>
  <c r="K101" i="9"/>
  <c r="L101" i="9"/>
  <c r="M101" i="9"/>
  <c r="N101" i="9"/>
  <c r="G102" i="9"/>
  <c r="H102" i="9"/>
  <c r="I102" i="9"/>
  <c r="J102" i="9"/>
  <c r="K102" i="9"/>
  <c r="L102" i="9"/>
  <c r="M102" i="9"/>
  <c r="N102" i="9"/>
  <c r="G103" i="9"/>
  <c r="H103" i="9"/>
  <c r="I103" i="9"/>
  <c r="J103" i="9"/>
  <c r="K103" i="9"/>
  <c r="L103" i="9"/>
  <c r="M103" i="9"/>
  <c r="N103" i="9"/>
  <c r="G104" i="9"/>
  <c r="H104" i="9"/>
  <c r="I104" i="9"/>
  <c r="J104" i="9"/>
  <c r="K104" i="9"/>
  <c r="L104" i="9"/>
  <c r="M104" i="9"/>
  <c r="N104" i="9"/>
  <c r="G106" i="9"/>
  <c r="H106" i="9"/>
  <c r="I106" i="9"/>
  <c r="J106" i="9"/>
  <c r="K106" i="9"/>
  <c r="L106" i="9"/>
  <c r="M106" i="9"/>
  <c r="N106" i="9"/>
  <c r="G112" i="9"/>
  <c r="H112" i="9"/>
  <c r="I112" i="9"/>
  <c r="J112" i="9"/>
  <c r="K112" i="9"/>
  <c r="L112" i="9"/>
  <c r="M112" i="9"/>
  <c r="N112" i="9"/>
  <c r="G113" i="9"/>
  <c r="H113" i="9"/>
  <c r="I113" i="9"/>
  <c r="J113" i="9"/>
  <c r="K113" i="9"/>
  <c r="L113" i="9"/>
  <c r="M113" i="9"/>
  <c r="N113" i="9"/>
  <c r="G114" i="9"/>
  <c r="H114" i="9"/>
  <c r="I114" i="9"/>
  <c r="J114" i="9"/>
  <c r="K114" i="9"/>
  <c r="L114" i="9"/>
  <c r="M114" i="9"/>
  <c r="N114" i="9"/>
  <c r="G115" i="9"/>
  <c r="H115" i="9"/>
  <c r="I115" i="9"/>
  <c r="J115" i="9"/>
  <c r="K115" i="9"/>
  <c r="L115" i="9"/>
  <c r="M115" i="9"/>
  <c r="N115" i="9"/>
  <c r="G116" i="9"/>
  <c r="H116" i="9"/>
  <c r="I116" i="9"/>
  <c r="J116" i="9"/>
  <c r="K116" i="9"/>
  <c r="L116" i="9"/>
  <c r="M116" i="9"/>
  <c r="N116" i="9"/>
  <c r="G117" i="9"/>
  <c r="H117" i="9"/>
  <c r="I117" i="9"/>
  <c r="J117" i="9"/>
  <c r="K117" i="9"/>
  <c r="L117" i="9"/>
  <c r="M117" i="9"/>
  <c r="N117" i="9"/>
  <c r="G118" i="9"/>
  <c r="H118" i="9"/>
  <c r="I118" i="9"/>
  <c r="J118" i="9"/>
  <c r="K118" i="9"/>
  <c r="L118" i="9"/>
  <c r="M118" i="9"/>
  <c r="N118" i="9"/>
  <c r="G119" i="9"/>
  <c r="H119" i="9"/>
  <c r="I119" i="9"/>
  <c r="J119" i="9"/>
  <c r="K119" i="9"/>
  <c r="L119" i="9"/>
  <c r="M119" i="9"/>
  <c r="N119" i="9"/>
  <c r="G120" i="9"/>
  <c r="H120" i="9"/>
  <c r="I120" i="9"/>
  <c r="J120" i="9"/>
  <c r="K120" i="9"/>
  <c r="L120" i="9"/>
  <c r="M120" i="9"/>
  <c r="N120" i="9"/>
  <c r="G121" i="9"/>
  <c r="H121" i="9"/>
  <c r="I121" i="9"/>
  <c r="J121" i="9"/>
  <c r="K121" i="9"/>
  <c r="L121" i="9"/>
  <c r="M121" i="9"/>
  <c r="N121" i="9"/>
  <c r="G122" i="9"/>
  <c r="H122" i="9"/>
  <c r="I122" i="9"/>
  <c r="J122" i="9"/>
  <c r="K122" i="9"/>
  <c r="L122" i="9"/>
  <c r="M122" i="9"/>
  <c r="N122" i="9"/>
  <c r="G123" i="9"/>
  <c r="H123" i="9"/>
  <c r="I123" i="9"/>
  <c r="J123" i="9"/>
  <c r="K123" i="9"/>
  <c r="L123" i="9"/>
  <c r="M123" i="9"/>
  <c r="N123" i="9"/>
  <c r="G124" i="9"/>
  <c r="H124" i="9"/>
  <c r="I124" i="9"/>
  <c r="J124" i="9"/>
  <c r="K124" i="9"/>
  <c r="L124" i="9"/>
  <c r="M124" i="9"/>
  <c r="N124" i="9"/>
  <c r="G125" i="9"/>
  <c r="H125" i="9"/>
  <c r="I125" i="9"/>
  <c r="J125" i="9"/>
  <c r="K125" i="9"/>
  <c r="L125" i="9"/>
  <c r="M125" i="9"/>
  <c r="N125" i="9"/>
  <c r="G126" i="9"/>
  <c r="H126" i="9"/>
  <c r="I126" i="9"/>
  <c r="J126" i="9"/>
  <c r="K126" i="9"/>
  <c r="L126" i="9"/>
  <c r="M126" i="9"/>
  <c r="N126" i="9"/>
  <c r="G127" i="9"/>
  <c r="H127" i="9"/>
  <c r="I127" i="9"/>
  <c r="J127" i="9"/>
  <c r="K127" i="9"/>
  <c r="L127" i="9"/>
  <c r="M127" i="9"/>
  <c r="N127" i="9"/>
  <c r="G128" i="9"/>
  <c r="H128" i="9"/>
  <c r="I128" i="9"/>
  <c r="J128" i="9"/>
  <c r="K128" i="9"/>
  <c r="L128" i="9"/>
  <c r="M128" i="9"/>
  <c r="N128" i="9"/>
  <c r="G129" i="9"/>
  <c r="H129" i="9"/>
  <c r="I129" i="9"/>
  <c r="J129" i="9"/>
  <c r="K129" i="9"/>
  <c r="L129" i="9"/>
  <c r="M129" i="9"/>
  <c r="N129" i="9"/>
  <c r="O129" i="9"/>
  <c r="E129" i="9"/>
  <c r="D129" i="9"/>
  <c r="A129" i="9"/>
  <c r="O128" i="9"/>
  <c r="E128" i="9"/>
  <c r="D128" i="9"/>
  <c r="A128" i="9"/>
  <c r="T46" i="10"/>
  <c r="W46" i="10"/>
  <c r="V46" i="10"/>
  <c r="X46" i="10"/>
  <c r="U46" i="10"/>
  <c r="Y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N70" i="9"/>
  <c r="M70" i="9"/>
  <c r="L70" i="9"/>
  <c r="K70" i="9"/>
  <c r="J70" i="9"/>
  <c r="I70" i="9"/>
  <c r="H70" i="9"/>
  <c r="G70" i="9"/>
  <c r="O127" i="9"/>
  <c r="E127" i="9"/>
  <c r="D127" i="9"/>
  <c r="A127" i="9"/>
  <c r="O126" i="9"/>
  <c r="E126" i="9"/>
  <c r="D126" i="9"/>
  <c r="A126" i="9"/>
  <c r="O125" i="9"/>
  <c r="E125" i="9"/>
  <c r="D125" i="9"/>
  <c r="A125" i="9"/>
  <c r="O124" i="9"/>
  <c r="E124" i="9"/>
  <c r="D124" i="9"/>
  <c r="A124" i="9"/>
  <c r="O123" i="9"/>
  <c r="E123" i="9"/>
  <c r="D123" i="9"/>
  <c r="A123" i="9"/>
  <c r="O122" i="9"/>
  <c r="E122" i="9"/>
  <c r="D122" i="9"/>
  <c r="A122" i="9"/>
  <c r="O121" i="9"/>
  <c r="E121" i="9"/>
  <c r="D121" i="9"/>
  <c r="A121" i="9"/>
  <c r="O120" i="9"/>
  <c r="E120" i="9"/>
  <c r="D120" i="9"/>
  <c r="A120" i="9"/>
  <c r="O119" i="9"/>
  <c r="E119" i="9"/>
  <c r="D119" i="9"/>
  <c r="A119" i="9"/>
  <c r="O118" i="9"/>
  <c r="E118" i="9"/>
  <c r="D118" i="9"/>
  <c r="A118" i="9"/>
  <c r="O117" i="9"/>
  <c r="E117" i="9"/>
  <c r="D117" i="9"/>
  <c r="A117" i="9"/>
  <c r="O116" i="9"/>
  <c r="E116" i="9"/>
  <c r="D116" i="9"/>
  <c r="A116" i="9"/>
  <c r="O115" i="9"/>
  <c r="E115" i="9"/>
  <c r="D115" i="9"/>
  <c r="A115" i="9"/>
  <c r="O114" i="9"/>
  <c r="E114" i="9"/>
  <c r="D114" i="9"/>
  <c r="A114" i="9"/>
  <c r="O113" i="9"/>
  <c r="E113" i="9"/>
  <c r="D113" i="9"/>
  <c r="A113" i="9"/>
  <c r="O112" i="9"/>
  <c r="E112" i="9"/>
  <c r="D112" i="9"/>
  <c r="A112" i="9"/>
  <c r="O106" i="9"/>
  <c r="E106" i="9"/>
  <c r="D106" i="9"/>
  <c r="A106" i="9"/>
  <c r="O104" i="9"/>
  <c r="E104" i="9"/>
  <c r="D104" i="9"/>
  <c r="A104" i="9"/>
  <c r="O103" i="9"/>
  <c r="E103" i="9"/>
  <c r="D103" i="9"/>
  <c r="A103" i="9"/>
  <c r="O102" i="9"/>
  <c r="E102" i="9"/>
  <c r="D102" i="9"/>
  <c r="A102" i="9"/>
  <c r="O101" i="9"/>
  <c r="E101" i="9"/>
  <c r="D101" i="9"/>
  <c r="A101" i="9"/>
  <c r="O100" i="9"/>
  <c r="E100" i="9"/>
  <c r="D100" i="9"/>
  <c r="A100" i="9"/>
  <c r="O99" i="9"/>
  <c r="E99" i="9"/>
  <c r="D99" i="9"/>
  <c r="A99" i="9"/>
  <c r="O98" i="9"/>
  <c r="E98" i="9"/>
  <c r="D98" i="9"/>
  <c r="A98" i="9"/>
  <c r="O97" i="9"/>
  <c r="E97" i="9"/>
  <c r="D97" i="9"/>
  <c r="A97" i="9"/>
  <c r="O95" i="9"/>
  <c r="E95" i="9"/>
  <c r="D95" i="9"/>
  <c r="A95" i="9"/>
  <c r="O94" i="9"/>
  <c r="E94" i="9"/>
  <c r="D94" i="9"/>
  <c r="A94" i="9"/>
  <c r="O93" i="9"/>
  <c r="E93" i="9"/>
  <c r="D93" i="9"/>
  <c r="A93" i="9"/>
  <c r="O87" i="9"/>
  <c r="E87" i="9"/>
  <c r="D87" i="9"/>
  <c r="A87" i="9"/>
  <c r="O84" i="9"/>
  <c r="E84" i="9"/>
  <c r="D84" i="9"/>
  <c r="A84" i="9"/>
  <c r="O83" i="9"/>
  <c r="E83" i="9"/>
  <c r="D83" i="9"/>
  <c r="A83" i="9"/>
  <c r="O82" i="9"/>
  <c r="E82" i="9"/>
  <c r="D82" i="9"/>
  <c r="A82" i="9"/>
  <c r="O81" i="9"/>
  <c r="E81" i="9"/>
  <c r="D81" i="9"/>
  <c r="A81" i="9"/>
  <c r="O80" i="9"/>
  <c r="E80" i="9"/>
  <c r="D80" i="9"/>
  <c r="A80" i="9"/>
  <c r="O79" i="9"/>
  <c r="E79" i="9"/>
  <c r="D79" i="9"/>
  <c r="A79" i="9"/>
  <c r="O73" i="9"/>
  <c r="E73" i="9"/>
  <c r="D73" i="9"/>
  <c r="A73" i="9"/>
  <c r="O72" i="9"/>
  <c r="E72" i="9"/>
  <c r="D72" i="9"/>
  <c r="A72" i="9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T39" i="10"/>
  <c r="W39" i="10"/>
  <c r="V39" i="10"/>
  <c r="X39" i="10"/>
  <c r="U39" i="10"/>
  <c r="Y39" i="10"/>
  <c r="G39" i="10"/>
  <c r="J39" i="10"/>
  <c r="I39" i="10"/>
  <c r="K39" i="10"/>
  <c r="H39" i="10"/>
  <c r="L39" i="10"/>
  <c r="T38" i="10"/>
  <c r="W38" i="10"/>
  <c r="V38" i="10"/>
  <c r="X38" i="10"/>
  <c r="U38" i="10"/>
  <c r="Y38" i="10"/>
  <c r="G38" i="10"/>
  <c r="J38" i="10"/>
  <c r="I38" i="10"/>
  <c r="K38" i="10"/>
  <c r="H38" i="10"/>
  <c r="L38" i="10"/>
  <c r="T37" i="10"/>
  <c r="W37" i="10"/>
  <c r="V37" i="10"/>
  <c r="X37" i="10"/>
  <c r="U37" i="10"/>
  <c r="Y37" i="10"/>
  <c r="G37" i="10"/>
  <c r="J37" i="10"/>
  <c r="I37" i="10"/>
  <c r="K37" i="10"/>
  <c r="H37" i="10"/>
  <c r="L37" i="10"/>
  <c r="T36" i="10"/>
  <c r="W36" i="10"/>
  <c r="V36" i="10"/>
  <c r="X36" i="10"/>
  <c r="U36" i="10"/>
  <c r="Y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T27" i="10"/>
  <c r="W27" i="10"/>
  <c r="V27" i="10"/>
  <c r="X27" i="10"/>
  <c r="U27" i="10"/>
  <c r="Y27" i="10"/>
  <c r="G27" i="10"/>
  <c r="J27" i="10"/>
  <c r="I27" i="10"/>
  <c r="K27" i="10"/>
  <c r="H27" i="10"/>
  <c r="L27" i="10"/>
  <c r="T26" i="10"/>
  <c r="W26" i="10"/>
  <c r="V26" i="10"/>
  <c r="X26" i="10"/>
  <c r="U26" i="10"/>
  <c r="Y26" i="10"/>
  <c r="G26" i="10"/>
  <c r="J26" i="10"/>
  <c r="I26" i="10"/>
  <c r="K26" i="10"/>
  <c r="H26" i="10"/>
  <c r="L26" i="10"/>
  <c r="T25" i="10"/>
  <c r="W25" i="10"/>
  <c r="V25" i="10"/>
  <c r="X25" i="10"/>
  <c r="U25" i="10"/>
  <c r="Y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R13" i="7"/>
  <c r="Q13" i="7"/>
  <c r="P13" i="7"/>
  <c r="O13" i="7"/>
  <c r="N13" i="7"/>
  <c r="H13" i="7"/>
  <c r="J13" i="7"/>
  <c r="I13" i="7"/>
  <c r="D13" i="7"/>
  <c r="F13" i="7"/>
  <c r="E13" i="7"/>
  <c r="A13" i="7"/>
  <c r="R10" i="7"/>
  <c r="Q10" i="7"/>
  <c r="P10" i="7"/>
  <c r="O10" i="7"/>
  <c r="N10" i="7"/>
  <c r="H10" i="7"/>
  <c r="J10" i="7"/>
  <c r="I10" i="7"/>
  <c r="D10" i="7"/>
  <c r="F10" i="7"/>
  <c r="E10" i="7"/>
  <c r="A10" i="7"/>
  <c r="AD9" i="1"/>
  <c r="AF9" i="1"/>
  <c r="AI9" i="1"/>
  <c r="AG9" i="1"/>
  <c r="AE9" i="1"/>
  <c r="E70" i="9"/>
  <c r="X9" i="1"/>
  <c r="Q9" i="1"/>
  <c r="P9" i="1"/>
  <c r="O9" i="1"/>
  <c r="N9" i="1"/>
  <c r="M9" i="1"/>
  <c r="J9" i="1"/>
  <c r="I9" i="1"/>
  <c r="D9" i="1"/>
  <c r="F9" i="1"/>
  <c r="E9" i="1"/>
  <c r="A9" i="1"/>
  <c r="AD8" i="1"/>
  <c r="AF8" i="1"/>
  <c r="AI8" i="1"/>
  <c r="AG8" i="1"/>
  <c r="AE8" i="1"/>
  <c r="X8" i="1"/>
  <c r="Q8" i="1"/>
  <c r="P8" i="1"/>
  <c r="O8" i="1"/>
  <c r="N8" i="1"/>
  <c r="M8" i="1"/>
  <c r="J8" i="1"/>
  <c r="I8" i="1"/>
  <c r="D8" i="1"/>
  <c r="F8" i="1"/>
  <c r="E8" i="1"/>
  <c r="A8" i="1"/>
  <c r="H7" i="2"/>
  <c r="E7" i="2"/>
  <c r="D7" i="2"/>
  <c r="B7" i="2"/>
  <c r="H6" i="2"/>
  <c r="E6" i="2"/>
  <c r="D6" i="2"/>
  <c r="B6" i="2"/>
  <c r="N2" i="22"/>
  <c r="G2" i="22"/>
  <c r="F2" i="22"/>
  <c r="D2" i="22"/>
  <c r="C2" i="22"/>
  <c r="A2" i="22"/>
  <c r="C13" i="16"/>
  <c r="E13" i="16"/>
  <c r="N4" i="22"/>
  <c r="G4" i="22"/>
  <c r="F4" i="22"/>
  <c r="D4" i="22"/>
  <c r="C4" i="22"/>
  <c r="A4" i="22"/>
  <c r="C12" i="16"/>
  <c r="B18" i="21"/>
  <c r="I18" i="21"/>
  <c r="J18" i="21"/>
  <c r="G18" i="21"/>
  <c r="F18" i="21"/>
  <c r="D18" i="21"/>
  <c r="C18" i="21"/>
  <c r="E12" i="16"/>
  <c r="C10" i="16"/>
  <c r="C11" i="16"/>
  <c r="E11" i="16"/>
  <c r="E10" i="16"/>
  <c r="C2" i="18"/>
  <c r="D2" i="18"/>
  <c r="O70" i="9"/>
  <c r="D70" i="9"/>
  <c r="C4" i="16"/>
  <c r="C5" i="16"/>
  <c r="C6" i="16"/>
  <c r="C7" i="16"/>
  <c r="C8" i="16"/>
  <c r="C9" i="16"/>
  <c r="C3" i="16"/>
  <c r="E9" i="16"/>
  <c r="R9" i="7"/>
  <c r="Q9" i="7"/>
  <c r="P9" i="7"/>
  <c r="O9" i="7"/>
  <c r="N9" i="7"/>
  <c r="AD7" i="1"/>
  <c r="AG7" i="1"/>
  <c r="AF7" i="1"/>
  <c r="AE7" i="1"/>
  <c r="X7" i="1"/>
  <c r="Q7" i="1"/>
  <c r="P7" i="1"/>
  <c r="O7" i="1"/>
  <c r="N7" i="1"/>
  <c r="M7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9" i="7"/>
  <c r="J9" i="7"/>
  <c r="E8" i="16"/>
  <c r="E7" i="16"/>
  <c r="E6" i="16"/>
  <c r="E5" i="16"/>
  <c r="E4" i="16"/>
  <c r="E3" i="16"/>
  <c r="E2" i="16"/>
  <c r="A7" i="1"/>
  <c r="AI7" i="1"/>
  <c r="A70" i="9"/>
  <c r="J7" i="1"/>
  <c r="I7" i="1"/>
  <c r="D7" i="1"/>
  <c r="F7" i="1"/>
  <c r="E7" i="1"/>
  <c r="A9" i="7"/>
  <c r="I9" i="7"/>
  <c r="D9" i="7"/>
  <c r="F9" i="7"/>
  <c r="E9" i="7"/>
  <c r="D5" i="2"/>
  <c r="E5" i="2"/>
  <c r="H5" i="2"/>
  <c r="B5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<sst xmlns="http://schemas.openxmlformats.org/spreadsheetml/2006/main" count="1199" uniqueCount="503">
  <si>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</si>
  <si>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</si>
  <si>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</si>
  <si>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</si>
  <si>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</si>
  <si>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</si>
  <si>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</si>
  <si>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</si>
  <si>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</si>
  <si>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</si>
  <si>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</si>
  <si>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</si>
  <si>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</si>
  <si>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</si>
  <si>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</si>
  <si>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</si>
  <si>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</si>
  <si>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</si>
  <si>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</si>
  <si>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</si>
  <si>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</si>
  <si>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</si>
  <si>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</si>
  <si>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</si>
  <si>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</si>
  <si>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</si>
  <si>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</si>
  <si>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</si>
  <si>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</si>
  <si>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</si>
  <si>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</si>
  <si>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</si>
  <si>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</si>
  <si>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</si>
  <si>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</si>
  <si>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</si>
  <si>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</si>
  <si>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</si>
  <si>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</si>
  <si>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</si>
  <si>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</si>
  <si>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</si>
  <si>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</si>
  <si>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</si>
  <si>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</si>
  <si>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</si>
  <si>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</si>
  <si>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</si>
  <si>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</si>
  <si>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</si>
  <si>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</si>
  <si>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</si>
  <si>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</si>
  <si>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</si>
  <si>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</si>
  <si>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</si>
  <si>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</si>
  <si>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</si>
  <si>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</si>
  <si>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</si>
  <si>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</si>
  <si>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</si>
  <si>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</si>
  <si>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</si>
  <si>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</si>
  <si>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</si>
  <si>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</si>
  <si>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</si>
  <si>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</si>
  <si>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</si>
  <si>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</si>
  <si>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</si>
  <si>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</si>
  <si>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</si>
  <si>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</si>
  <si>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</si>
  <si>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</si>
  <si>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</si>
  <si>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</si>
  <si>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</si>
  <si>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</si>
  <si>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</si>
  <si>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</si>
  <si>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</si>
  <si>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</si>
  <si>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</si>
  <si>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</si>
  <si>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</si>
  <si>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</si>
  <si>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</si>
  <si>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</si>
  <si>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</si>
  <si>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</si>
  <si>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</si>
  <si>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</si>
  <si>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</si>
  <si>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</si>
  <si>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</si>
  <si>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</si>
  <si>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</si>
  <si>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</si>
  <si>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</si>
  <si>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</si>
  <si>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</si>
  <si>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</si>
  <si>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</si>
  <si>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</si>
  <si>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</si>
  <si>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</si>
  <si>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</si>
  <si>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</si>
  <si>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</si>
  <si>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</si>
  <si>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</si>
  <si>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</si>
  <si>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</si>
  <si>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</si>
  <si>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</si>
  <si>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</si>
  <si>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</si>
  <si>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</si>
  <si>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</si>
  <si>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</si>
  <si>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</si>
  <si>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</si>
  <si>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</si>
  <si>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</si>
  <si>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</si>
  <si>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</si>
  <si>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</si>
  <si>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</si>
  <si>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</si>
  <si>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</si>
  <si>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</si>
  <si>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</si>
  <si>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</si>
  <si>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</si>
  <si>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</si>
  <si>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</si>
  <si>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</si>
  <si>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</si>
  <si>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</si>
  <si>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</si>
  <si>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</si>
  <si>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</si>
  <si>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</si>
  <si>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</si>
  <si>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</si>
  <si>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</si>
  <si>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</si>
  <si>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</si>
  <si>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</si>
  <si>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</si>
  <si>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</si>
  <si>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</si>
  <si>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</si>
  <si>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</si>
  <si>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</si>
  <si>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</si>
  <si>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</si>
  <si>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</si>
  <si>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</si>
  <si>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</si>
  <si>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</si>
  <si>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</si>
  <si>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</si>
  <si>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</si>
  <si>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</si>
  <si>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</si>
  <si>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</si>
  <si>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</si>
  <si>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</si>
  <si>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</si>
  <si>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</si>
  <si>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</si>
  <si>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</si>
  <si>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</si>
  <si>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</si>
  <si>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</si>
  <si>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</si>
  <si>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</si>
  <si>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</si>
  <si>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</si>
  <si>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</si>
  <si>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</si>
  <si>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</si>
  <si>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</si>
  <si>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</si>
  <si>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</si>
  <si>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</si>
  <si>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</si>
  <si>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</si>
  <si>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</si>
  <si>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</si>
  <si>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</si>
  <si>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</si>
  <si>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</si>
  <si>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</si>
  <si>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</si>
  <si>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</si>
  <si>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</si>
  <si>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</si>
  <si>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</si>
  <si>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</si>
  <si>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</si>
  <si>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</si>
  <si>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</si>
  <si>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</si>
  <si>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</si>
  <si>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</si>
  <si>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</si>
  <si>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</si>
  <si>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</si>
  <si>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</si>
  <si>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</si>
  <si>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</si>
  <si>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</si>
  <si>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</si>
  <si>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</si>
  <si>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</si>
  <si>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</si>
  <si>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</si>
  <si>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</si>
  <si>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</si>
  <si>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</si>
  <si>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</si>
  <si>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</si>
  <si>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</si>
  <si>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</si>
  <si>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</si>
  <si>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</si>
  <si>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</si>
  <si>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</si>
  <si>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</si>
  <si>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</si>
  <si>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</si>
  <si>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</si>
  <si>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</si>
  <si>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</si>
  <si>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</si>
  <si>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</si>
  <si>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</si>
  <si>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</si>
  <si>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</si>
  <si>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</si>
  <si>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</si>
  <si>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</si>
  <si>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</si>
  <si>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</si>
  <si>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</si>
  <si>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</si>
  <si>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</si>
  <si>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</si>
  <si>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</si>
  <si>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</si>
  <si>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</si>
  <si>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</si>
  <si>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</si>
  <si>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なし</t>
  </si>
  <si>
    <t>null</t>
    <phoneticPr fontId="5"/>
  </si>
  <si>
    <t>old</t>
  </si>
  <si>
    <t>ハートパネルを残して去っていった</t>
    <rPh sb="7" eb="8">
      <t>ノコシテ</t>
    </rPh>
    <rPh sb="10" eb="11">
      <t>サッテ</t>
    </rPh>
    <phoneticPr fontId="5"/>
  </si>
  <si>
    <t>ハートパネルを吸収して1ターン攻撃力UP+
単体攻撃</t>
    <rPh sb="7" eb="9">
      <t>キュウシュウ</t>
    </rPh>
    <rPh sb="15" eb="18">
      <t>コウゲキリョク</t>
    </rPh>
    <rPh sb="22" eb="24">
      <t>タンタイ</t>
    </rPh>
    <rPh sb="24" eb="26">
      <t>コウゲキ</t>
    </rPh>
    <phoneticPr fontId="5"/>
  </si>
  <si>
    <t>状態異常耐性</t>
    <rPh sb="0" eb="2">
      <t>ジョウタイ</t>
    </rPh>
    <rPh sb="2" eb="4">
      <t>イジョウ</t>
    </rPh>
    <rPh sb="4" eb="6">
      <t>タイセイ</t>
    </rPh>
    <phoneticPr fontId="5"/>
  </si>
  <si>
    <t>状態異常耐性+
青パネルをハートパネルに、黄パネルを赤パネルに変換</t>
    <rPh sb="0" eb="6">
      <t>ジョウタイイジョウタイセイ</t>
    </rPh>
    <rPh sb="8" eb="9">
      <t>アオパネル</t>
    </rPh>
    <rPh sb="21" eb="22">
      <t>キイロ</t>
    </rPh>
    <rPh sb="26" eb="27">
      <t>アカ</t>
    </rPh>
    <rPh sb="31" eb="33">
      <t>ヘンカン</t>
    </rPh>
    <phoneticPr fontId="5"/>
  </si>
  <si>
    <t>状態異常耐性+3ターン全属性の攻撃をカウンター</t>
    <rPh sb="0" eb="6">
      <t>ジョウタイイジョウタイセイ</t>
    </rPh>
    <rPh sb="11" eb="14">
      <t>ゼンゾクセイ</t>
    </rPh>
    <rPh sb="15" eb="17">
      <t>コウゲキヲ</t>
    </rPh>
    <phoneticPr fontId="5"/>
  </si>
  <si>
    <t>残りHPの50%ダメージ+5ターン攻撃頻度UP</t>
    <rPh sb="0" eb="1">
      <t>ノコリ</t>
    </rPh>
    <rPh sb="17" eb="21">
      <t>コウゲキヒンド</t>
    </rPh>
    <phoneticPr fontId="5"/>
  </si>
  <si>
    <t>状態異常耐性</t>
    <rPh sb="0" eb="4">
      <t>ジョウタイイジョウ</t>
    </rPh>
    <rPh sb="4" eb="6">
      <t>タイセイ</t>
    </rPh>
    <phoneticPr fontId="5"/>
  </si>
  <si>
    <t>ニャンニャン恋の予感だニャン♪</t>
    <rPh sb="6" eb="7">
      <t>コイ</t>
    </rPh>
    <rPh sb="8" eb="10">
      <t>ヨカn</t>
    </rPh>
    <phoneticPr fontId="5"/>
  </si>
  <si>
    <t>状態異常耐性</t>
    <rPh sb="0" eb="6">
      <t>ジョウタイイジョウタイセイ</t>
    </rPh>
    <phoneticPr fontId="5"/>
  </si>
  <si>
    <t>赤パネルは確率でプロテクトされてドロップ</t>
    <rPh sb="5" eb="7">
      <t>カクリツ</t>
    </rPh>
    <phoneticPr fontId="5"/>
  </si>
  <si>
    <t>残りHPの30%ダメージ+5ターン攻撃頻度UP</t>
    <rPh sb="0" eb="1">
      <t>ノコリ</t>
    </rPh>
    <rPh sb="17" eb="21">
      <t>コウゲキヒンド</t>
    </rPh>
    <phoneticPr fontId="5"/>
  </si>
  <si>
    <t>アズラエルは赤パネルを吸収するほど
威力が高くなる攻撃を使用します
盤面に赤パネルを残さないよう戦いましょう</t>
    <rPh sb="6" eb="7">
      <t>アカ</t>
    </rPh>
    <rPh sb="11" eb="13">
      <t>キュウシュウ</t>
    </rPh>
    <rPh sb="18" eb="20">
      <t>イリョクガ</t>
    </rPh>
    <rPh sb="21" eb="22">
      <t>タカク</t>
    </rPh>
    <rPh sb="25" eb="27">
      <t>コウゲキ</t>
    </rPh>
    <rPh sb="28" eb="30">
      <t>シヨウ</t>
    </rPh>
    <rPh sb="35" eb="37">
      <t>バンメン</t>
    </rPh>
    <rPh sb="38" eb="39">
      <t>アカ</t>
    </rPh>
    <rPh sb="43" eb="44">
      <t>ノコシテ</t>
    </rPh>
    <rPh sb="49" eb="50">
      <t>タタカイ</t>
    </rPh>
    <phoneticPr fontId="5"/>
  </si>
  <si>
    <t>アズラエルは黄パネルを吸収するほど
威力が低くなる攻撃を使用します
盤面に黄パネルを残すように戦いましょう</t>
    <rPh sb="6" eb="7">
      <t>キイロ</t>
    </rPh>
    <rPh sb="11" eb="13">
      <t>キュウシュウ</t>
    </rPh>
    <rPh sb="18" eb="20">
      <t>イリョクガ</t>
    </rPh>
    <rPh sb="21" eb="22">
      <t>ヒククナル</t>
    </rPh>
    <rPh sb="25" eb="27">
      <t>コウゲキ</t>
    </rPh>
    <rPh sb="28" eb="30">
      <t>シヨウ</t>
    </rPh>
    <rPh sb="35" eb="37">
      <t>バンメン</t>
    </rPh>
    <rPh sb="38" eb="39">
      <t>キイロ</t>
    </rPh>
    <rPh sb="43" eb="44">
      <t>ノコシテ</t>
    </rPh>
    <rPh sb="48" eb="49">
      <t>タタカイ</t>
    </rPh>
    <phoneticPr fontId="5"/>
  </si>
  <si>
    <t>このクエストではプロテクト状態で
ドロップする赤パネルが厄介です
なんらかの対策を用意して挑みましょう</t>
    <rPh sb="13" eb="15">
      <t>ジョウタイ</t>
    </rPh>
    <rPh sb="23" eb="24">
      <t>アカ</t>
    </rPh>
    <rPh sb="28" eb="30">
      <t>ヤッカイ</t>
    </rPh>
    <rPh sb="39" eb="41">
      <t>タイサク</t>
    </rPh>
    <rPh sb="42" eb="44">
      <t>ヨウイ</t>
    </rPh>
    <rPh sb="46" eb="47">
      <t>イドミマショウ</t>
    </rPh>
    <phoneticPr fontId="5"/>
  </si>
  <si>
    <t>フレイヤはハートパネルを吸収して
自身の攻撃力をUPします
回復できなくなるうえ
大ダメージを受けるので注意しましょう</t>
    <rPh sb="12" eb="14">
      <t>キュウシュウ</t>
    </rPh>
    <rPh sb="17" eb="19">
      <t>ジシンノコウゲキリョク</t>
    </rPh>
    <rPh sb="31" eb="33">
      <t>カイフク</t>
    </rPh>
    <rPh sb="42" eb="43">
      <t>ダイダメージ</t>
    </rPh>
    <rPh sb="48" eb="49">
      <t>ウケル</t>
    </rPh>
    <rPh sb="53" eb="55">
      <t>チュウイ</t>
    </rPh>
    <phoneticPr fontId="5"/>
  </si>
  <si>
    <t>フレイヤは2ゲージ目の後半で
10000の固定ダメージを連発します
耐えられなくなる前に倒しましょう</t>
    <rPh sb="11" eb="13">
      <t>コウハン</t>
    </rPh>
    <rPh sb="21" eb="23">
      <t>コテイダメージ</t>
    </rPh>
    <rPh sb="28" eb="30">
      <t>レンパツ</t>
    </rPh>
    <rPh sb="35" eb="36">
      <t>タエラレナク</t>
    </rPh>
    <rPh sb="43" eb="44">
      <t>マエニ</t>
    </rPh>
    <rPh sb="45" eb="46">
      <t>タオシマショウ</t>
    </rPh>
    <phoneticPr fontId="5"/>
  </si>
  <si>
    <t>フレイヤは2ゲージ目で
黄パネルを吸収するほど
威力が低くなる攻撃を使用します
盤面に黄パネルを残すように戦いましょう</t>
    <rPh sb="12" eb="13">
      <t>キイロ</t>
    </rPh>
    <rPh sb="17" eb="19">
      <t>キュウシュウ</t>
    </rPh>
    <rPh sb="24" eb="26">
      <t>イリョクガ</t>
    </rPh>
    <rPh sb="27" eb="28">
      <t>ヒククナル</t>
    </rPh>
    <rPh sb="31" eb="33">
      <t>コウゲキ</t>
    </rPh>
    <rPh sb="34" eb="36">
      <t>シヨウ</t>
    </rPh>
    <rPh sb="41" eb="43">
      <t>バンメン</t>
    </rPh>
    <rPh sb="44" eb="45">
      <t>キイロ</t>
    </rPh>
    <rPh sb="49" eb="50">
      <t>ノコシテ</t>
    </rPh>
    <rPh sb="54" eb="55">
      <t>タタカイ</t>
    </rPh>
    <phoneticPr fontId="5"/>
  </si>
  <si>
    <t>フレイヤは2ゲージ目で
赤パネルを吸収するほど
威力が高くなる攻撃を使用します
盤面に赤パネルを残さないよう戦いましょう</t>
    <rPh sb="12" eb="13">
      <t>アカ</t>
    </rPh>
    <rPh sb="17" eb="19">
      <t>キュウシュウ</t>
    </rPh>
    <rPh sb="24" eb="26">
      <t>イリョクガ</t>
    </rPh>
    <rPh sb="27" eb="28">
      <t>タカク</t>
    </rPh>
    <rPh sb="31" eb="33">
      <t>コウゲキ</t>
    </rPh>
    <rPh sb="34" eb="36">
      <t>シヨウ</t>
    </rPh>
    <rPh sb="41" eb="43">
      <t>バンメン</t>
    </rPh>
    <rPh sb="44" eb="45">
      <t>アカ</t>
    </rPh>
    <rPh sb="49" eb="50">
      <t>ノコシテ</t>
    </rPh>
    <rPh sb="55" eb="56">
      <t>タタカイ</t>
    </rPh>
    <phoneticPr fontId="5"/>
  </si>
  <si>
    <t>ホントの気持ち</t>
    <rPh sb="4" eb="6">
      <t>キモチ</t>
    </rPh>
    <phoneticPr fontId="5"/>
  </si>
  <si>
    <t>恋に障害はつきものよ？</t>
    <rPh sb="0" eb="1">
      <t>レンアイニ</t>
    </rPh>
    <rPh sb="2" eb="4">
      <t>ショウガイ</t>
    </rPh>
    <phoneticPr fontId="5"/>
  </si>
  <si>
    <t>覚悟を試してあげるわ</t>
    <rPh sb="0" eb="2">
      <t>カクゴ</t>
    </rPh>
    <rPh sb="3" eb="4">
      <t>タメシテ</t>
    </rPh>
    <phoneticPr fontId="5"/>
  </si>
  <si>
    <t>乗り越えてごらんなさい？</t>
    <rPh sb="0" eb="1">
      <t>ノリコエテ</t>
    </rPh>
    <phoneticPr fontId="5"/>
  </si>
  <si>
    <t>いいわね…見届けさせてもらうわ</t>
    <rPh sb="5" eb="7">
      <t>ミトドケサセテ</t>
    </rPh>
    <phoneticPr fontId="5"/>
  </si>
  <si>
    <t>さっさと受け取りなさいよぉ！
バカーーーッッ！！！</t>
    <rPh sb="4" eb="5">
      <t>ウケトリナサイ</t>
    </rPh>
    <phoneticPr fontId="5"/>
  </si>
  <si>
    <t>残りHPの200%ダメージ！</t>
    <rPh sb="0" eb="1">
      <t>ノコリ</t>
    </rPh>
    <phoneticPr fontId="5"/>
  </si>
  <si>
    <t>ほ、ほら！受け取りなさいよ！</t>
    <rPh sb="5" eb="6">
      <t>ウケトリナサイ</t>
    </rPh>
    <phoneticPr fontId="5"/>
  </si>
  <si>
    <t>こ、これ！チョコ！
あんたのために…作ったの…！</t>
    <rPh sb="18" eb="19">
      <t>ツクッタ</t>
    </rPh>
    <phoneticPr fontId="5"/>
  </si>
  <si>
    <t>かっ、勘違いしないでよね！？
これは義理…！そう、義理なんだから…！</t>
    <rPh sb="3" eb="5">
      <t>カンチガイ</t>
    </rPh>
    <rPh sb="18" eb="20">
      <t>ギリ</t>
    </rPh>
    <rPh sb="25" eb="27">
      <t>ギリ</t>
    </rPh>
    <phoneticPr fontId="5"/>
  </si>
  <si>
    <t>(うぅ…違うでしょアタシ…！)</t>
    <rPh sb="4" eb="5">
      <t>チガウデショ</t>
    </rPh>
    <phoneticPr fontId="5"/>
  </si>
  <si>
    <t>(今日こそ想いを…ちゃんと伝えなきゃ！)</t>
    <rPh sb="1" eb="3">
      <t>キョウコソ</t>
    </rPh>
    <rPh sb="5" eb="6">
      <t>オモイヲ</t>
    </rPh>
    <rPh sb="13" eb="14">
      <t>ツタエナキャ</t>
    </rPh>
    <phoneticPr fontId="5"/>
  </si>
  <si>
    <t>だらしないわね！しっかりしなさいよ！</t>
    <phoneticPr fontId="5"/>
  </si>
  <si>
    <t>別にあんたの事なんて…っ！</t>
    <rPh sb="0" eb="1">
      <t>ベツニ</t>
    </rPh>
    <rPh sb="6" eb="7">
      <t>コトナンテ</t>
    </rPh>
    <phoneticPr fontId="5"/>
  </si>
  <si>
    <t>あ…受け取って…くれた…？</t>
    <rPh sb="2" eb="3">
      <t>ウケトッテ</t>
    </rPh>
    <phoneticPr fontId="5"/>
  </si>
  <si>
    <t>あ…[player_name]…
受け取ってくれた…？</t>
    <rPh sb="17" eb="18">
      <t>ウケトッテクレタ</t>
    </rPh>
    <phoneticPr fontId="5"/>
  </si>
  <si>
    <t>かっ、勘違いしないでよね！？
別に…あんたの事なんて…うぅ…！</t>
    <rPh sb="3" eb="5">
      <t>カンチガイ</t>
    </rPh>
    <rPh sb="15" eb="16">
      <t>ベツニ</t>
    </rPh>
    <rPh sb="22" eb="23">
      <t>コト</t>
    </rPh>
    <phoneticPr fontId="5"/>
  </si>
  <si>
    <t>わわっ！あ、あんた！
急に出てこないでよ！</t>
    <rPh sb="11" eb="12">
      <t>キュウニ</t>
    </rPh>
    <rPh sb="13" eb="14">
      <t>デテ</t>
    </rPh>
    <phoneticPr fontId="5"/>
  </si>
  <si>
    <t>そ、そんなに見るな…見つめるな…！</t>
    <rPh sb="6" eb="7">
      <t>ミルナ</t>
    </rPh>
    <rPh sb="10" eb="11">
      <t>ミツメルナ</t>
    </rPh>
    <phoneticPr fontId="5"/>
  </si>
  <si>
    <t>なんで呼んだのって…察しなさいよ！</t>
    <rPh sb="3" eb="4">
      <t>ヨンダ</t>
    </rPh>
    <rPh sb="10" eb="11">
      <t>サッシナサイ</t>
    </rPh>
    <phoneticPr fontId="5"/>
  </si>
  <si>
    <t>大丈夫…落ち着けアタシ…</t>
    <rPh sb="0" eb="3">
      <t>ダイジョウブ</t>
    </rPh>
    <rPh sb="4" eb="5">
      <t>オチツケ</t>
    </rPh>
    <phoneticPr fontId="5"/>
  </si>
  <si>
    <t>ご…ごめん！怪我はない…？</t>
    <rPh sb="6" eb="8">
      <t>ケガハナイ</t>
    </rPh>
    <phoneticPr fontId="5"/>
  </si>
  <si>
    <t>…って近い！近いって！
離れなさいよこのバカァ！！</t>
    <rPh sb="3" eb="4">
      <t>チカイ</t>
    </rPh>
    <rPh sb="6" eb="7">
      <t>チカイ</t>
    </rPh>
    <rPh sb="12" eb="13">
      <t>ハナレナサイ</t>
    </rPh>
    <phoneticPr fontId="5"/>
  </si>
  <si>
    <t>(仕切り直しよ…仕切り直し…！)</t>
    <rPh sb="1" eb="3">
      <t>シキリナオシ</t>
    </rPh>
    <rPh sb="8" eb="10">
      <t>シキリナオシ</t>
    </rPh>
    <phoneticPr fontId="5"/>
  </si>
  <si>
    <t>(早く…受け取って…)</t>
    <rPh sb="1" eb="2">
      <t>ハヤク</t>
    </rPh>
    <rPh sb="4" eb="5">
      <t>ウケトッテ</t>
    </rPh>
    <phoneticPr fontId="5"/>
  </si>
  <si>
    <t>(早く…はやくはやくぅ…！)</t>
    <rPh sb="1" eb="2">
      <t>ハヤク</t>
    </rPh>
    <phoneticPr fontId="5"/>
  </si>
  <si>
    <t>赤パネルを吸収して攻撃(最大15個)</t>
    <rPh sb="0" eb="1">
      <t>アカ</t>
    </rPh>
    <rPh sb="5" eb="7">
      <t>キュウシュウ</t>
    </rPh>
    <rPh sb="9" eb="11">
      <t>コウゲキ</t>
    </rPh>
    <rPh sb="12" eb="14">
      <t>サイダイ</t>
    </rPh>
    <rPh sb="16" eb="17">
      <t>コ</t>
    </rPh>
    <phoneticPr fontId="5"/>
  </si>
  <si>
    <t>状態異常耐性+
全ユニットに5ターンCパネル生成延長(特大)</t>
    <rPh sb="0" eb="6">
      <t>ジョウタイイジョウタイセイ</t>
    </rPh>
    <rPh sb="8" eb="9">
      <t>ゼン</t>
    </rPh>
    <rPh sb="22" eb="24">
      <t>セイセイ</t>
    </rPh>
    <rPh sb="24" eb="26">
      <t>エンチョウ</t>
    </rPh>
    <rPh sb="27" eb="29">
      <t>トクダイ</t>
    </rPh>
    <phoneticPr fontId="5"/>
  </si>
  <si>
    <t>状態異常耐性+
全ユニットにCパネル生成短縮(特大)！</t>
    <rPh sb="0" eb="4">
      <t>ジョウタイイジョウ</t>
    </rPh>
    <rPh sb="4" eb="6">
      <t>タイセイ</t>
    </rPh>
    <rPh sb="8" eb="9">
      <t>ゼンユニット</t>
    </rPh>
    <rPh sb="18" eb="20">
      <t>セイセイ</t>
    </rPh>
    <rPh sb="20" eb="22">
      <t>タンシュク</t>
    </rPh>
    <rPh sb="23" eb="25">
      <t>トクダイ</t>
    </rPh>
    <phoneticPr fontId="5"/>
  </si>
  <si>
    <t>状態異常耐性+
全ユニットにCパネル生成短縮(大)！</t>
    <rPh sb="0" eb="4">
      <t>ジョウタイイジョウ</t>
    </rPh>
    <rPh sb="4" eb="6">
      <t>タイセイ</t>
    </rPh>
    <rPh sb="8" eb="9">
      <t>ゼンユニット</t>
    </rPh>
    <rPh sb="18" eb="20">
      <t>セイセイ</t>
    </rPh>
    <rPh sb="20" eb="22">
      <t>タンシュク</t>
    </rPh>
    <rPh sb="23" eb="24">
      <t>トクダイ</t>
    </rPh>
    <phoneticPr fontId="5"/>
  </si>
  <si>
    <t>赤パネルを吸収して攻撃(最大15個)</t>
    <rPh sb="0" eb="1">
      <t>アカパネル</t>
    </rPh>
    <rPh sb="5" eb="7">
      <t>キュウシュウ</t>
    </rPh>
    <rPh sb="9" eb="11">
      <t>コウゲキ</t>
    </rPh>
    <rPh sb="12" eb="14">
      <t>サイダイ</t>
    </rPh>
    <rPh sb="16" eb="17">
      <t>コ</t>
    </rPh>
    <phoneticPr fontId="5"/>
  </si>
  <si>
    <t>クリティカル！
(命中したユニットの攻撃力30%UP)</t>
    <rPh sb="9" eb="11">
      <t>メイチュウ</t>
    </rPh>
    <rPh sb="18" eb="21">
      <t>コウゲキリョク</t>
    </rPh>
    <phoneticPr fontId="5"/>
  </si>
  <si>
    <t>クリティカル！
(命中したユニットの回復力30%UP)</t>
    <rPh sb="9" eb="11">
      <t>メイチュウ</t>
    </rPh>
    <rPh sb="18" eb="20">
      <t>カイフク</t>
    </rPh>
    <rPh sb="20" eb="21">
      <t>チカラ</t>
    </rPh>
    <phoneticPr fontId="5"/>
  </si>
  <si>
    <t>あ…それ失敗作…！かかか返して…！</t>
    <rPh sb="4" eb="7">
      <t>シッパイサク</t>
    </rPh>
    <rPh sb="12" eb="13">
      <t>カエシテ</t>
    </rPh>
    <phoneticPr fontId="5"/>
  </si>
  <si>
    <t>プラリーヌは1ゲージ目で
赤パネルを吸収するほど
威力が高くなる攻撃を使用します
盤面に赤パネルを残さないよう戦いましょう</t>
  </si>
  <si>
    <t>プラリーヌは2ゲージ目で
黄パネルを吸収するほど
威力が低くなる攻撃を使用します
盤面に黄パネルを残すように戦いましょう</t>
    <rPh sb="13" eb="14">
      <t>キイロ</t>
    </rPh>
    <rPh sb="18" eb="20">
      <t>キュウシュウ</t>
    </rPh>
    <rPh sb="25" eb="27">
      <t>イリョクガ</t>
    </rPh>
    <rPh sb="28" eb="29">
      <t>ヒククナル</t>
    </rPh>
    <rPh sb="32" eb="34">
      <t>コウゲキ</t>
    </rPh>
    <rPh sb="35" eb="37">
      <t>シヨウ</t>
    </rPh>
    <rPh sb="42" eb="44">
      <t>バンメン</t>
    </rPh>
    <rPh sb="45" eb="46">
      <t>キイロ</t>
    </rPh>
    <rPh sb="50" eb="51">
      <t>ノコシテ</t>
    </rPh>
    <rPh sb="55" eb="56">
      <t>タタカイ</t>
    </rPh>
    <phoneticPr fontId="5"/>
  </si>
  <si>
    <t>恋はいつだって一直線なの♪</t>
    <rPh sb="0" eb="1">
      <t>コイハ</t>
    </rPh>
    <rPh sb="7" eb="10">
      <t>イッチョクセン</t>
    </rPh>
    <phoneticPr fontId="5"/>
  </si>
  <si>
    <t>さぁキミも…勇気を出して…</t>
    <rPh sb="6" eb="8">
      <t>ユウキヲ</t>
    </rPh>
    <rPh sb="9" eb="10">
      <t>ダシテ</t>
    </rPh>
    <phoneticPr fontId="5"/>
  </si>
  <si>
    <t>もー！不安そうな顔しないでよ！</t>
    <rPh sb="3" eb="5">
      <t>フアン</t>
    </rPh>
    <rPh sb="8" eb="9">
      <t>カオ</t>
    </rPh>
    <phoneticPr fontId="5"/>
  </si>
  <si>
    <t>やればできるよ！がんばって♪</t>
    <phoneticPr fontId="5"/>
  </si>
  <si>
    <t>気持ち、伝わってるよ！</t>
    <rPh sb="0" eb="2">
      <t>キモチ</t>
    </rPh>
    <rPh sb="4" eb="5">
      <t>ツタワッテ</t>
    </rPh>
    <phoneticPr fontId="5"/>
  </si>
  <si>
    <t>早く見つけてあげないとねー</t>
    <rPh sb="0" eb="1">
      <t>ハヤク</t>
    </rPh>
    <rPh sb="2" eb="3">
      <t>ミツケテ</t>
    </rPh>
    <phoneticPr fontId="5"/>
  </si>
  <si>
    <t>今ごろ寂しがってるかも…</t>
    <rPh sb="0" eb="1">
      <t>イマゴロ</t>
    </rPh>
    <rPh sb="3" eb="4">
      <t>サミシガッテ</t>
    </rPh>
    <phoneticPr fontId="5"/>
  </si>
  <si>
    <t>あの子の気持ち…
受け止められる？</t>
    <rPh sb="4" eb="6">
      <t>キモチ</t>
    </rPh>
    <rPh sb="9" eb="10">
      <t>ウケトメラレル</t>
    </rPh>
    <phoneticPr fontId="5"/>
  </si>
  <si>
    <t>結局プラリーヌの本当の気持ちは
最後まで聞けずじまいでしたが
彼女の差し出したチョコは
とても丁寧にラッピングされていました</t>
    <phoneticPr fontId="5"/>
  </si>
  <si>
    <t>とても勝ち気なプラリーヌですが
お菓子作りに失敗した時には
少しだけ涙目になっていたようです</t>
    <phoneticPr fontId="5"/>
  </si>
  <si>
    <t>プラリーヌは理科が大好きです
お菓子作りにも実験の知識を使ったらしく
アナタへのチョコにも
謎の成分が入っているかも知れません</t>
    <phoneticPr fontId="5"/>
  </si>
  <si>
    <t>惚れ薬？</t>
    <rPh sb="0" eb="1">
      <t>ホレ</t>
    </rPh>
    <rPh sb="2" eb="3">
      <t>クスリ</t>
    </rPh>
    <phoneticPr fontId="5"/>
  </si>
  <si>
    <t>意外と打たれ弱い？</t>
    <rPh sb="0" eb="2">
      <t>イガイト</t>
    </rPh>
    <rPh sb="3" eb="4">
      <t>ウタレヨワイ</t>
    </rPh>
    <phoneticPr fontId="5"/>
  </si>
  <si>
    <t>秘められた能力</t>
    <rPh sb="0" eb="1">
      <t>ヒメラレタ</t>
    </rPh>
    <rPh sb="5" eb="7">
      <t>ノウリョク</t>
    </rPh>
    <phoneticPr fontId="5"/>
  </si>
  <si>
    <t>プラリーヌはアナタとの絆で強く成長する
珍しい素質を持っています
きっとお互い素直になれる
理想の関係を築けるでしょう</t>
    <rPh sb="46" eb="48">
      <t>リソウノ</t>
    </rPh>
    <rPh sb="52" eb="53">
      <t>キズケル</t>
    </rPh>
    <phoneticPr fontId="5"/>
  </si>
  <si>
    <t>フレイヤは2ゲージ目の後半で
5000の固定ダメージを連発します
耐えられなくなる前に倒しましょう</t>
    <rPh sb="11" eb="13">
      <t>コウハン</t>
    </rPh>
    <rPh sb="20" eb="22">
      <t>コテイダメージ</t>
    </rPh>
    <rPh sb="27" eb="29">
      <t>レンパツ</t>
    </rPh>
    <rPh sb="34" eb="35">
      <t>タエラレナク</t>
    </rPh>
    <rPh sb="42" eb="43">
      <t>マエニ</t>
    </rPh>
    <rPh sb="44" eb="45">
      <t>タオシマショウ</t>
    </rPh>
    <phoneticPr fontId="5"/>
  </si>
  <si>
    <t>プラリーヌの3ゲージ目は
3ターン以内に突破する必要があります
攻撃力の高いユニットのターンで
一気に攻めましょう</t>
    <rPh sb="17" eb="19">
      <t>イナイ</t>
    </rPh>
    <rPh sb="20" eb="22">
      <t>トッパ</t>
    </rPh>
    <rPh sb="24" eb="26">
      <t>ヒツヨウガ</t>
    </rPh>
    <rPh sb="33" eb="36">
      <t>コウゲキリョク</t>
    </rPh>
    <rPh sb="37" eb="38">
      <t>タカイ</t>
    </rPh>
    <rPh sb="49" eb="51">
      <t>イッキニ</t>
    </rPh>
    <rPh sb="52" eb="53">
      <t>セメマショウ</t>
    </rPh>
    <phoneticPr fontId="5"/>
  </si>
  <si>
    <t>考え直して…くれたの…？</t>
    <rPh sb="0" eb="1">
      <t>カンガエナオシテ</t>
    </rPh>
    <phoneticPr fontId="5"/>
  </si>
  <si>
    <t>このターンでプラリーヌのHPを削りきろう！</t>
    <rPh sb="15" eb="16">
      <t>ケズリキロウ</t>
    </rPh>
    <phoneticPr fontId="5"/>
  </si>
  <si>
    <t>アタシをからかって楽しい…！？
ホント…バカァ！！！</t>
    <rPh sb="9" eb="10">
      <t>タノシイ</t>
    </rPh>
    <phoneticPr fontId="5"/>
  </si>
  <si>
    <t>あら、可愛い子を連れて…
どこに向かうのかしら？</t>
    <rPh sb="3" eb="5">
      <t>カワイイ</t>
    </rPh>
    <rPh sb="6" eb="7">
      <t>コ</t>
    </rPh>
    <rPh sb="8" eb="9">
      <t>ツレテ</t>
    </rPh>
    <rPh sb="16" eb="17">
      <t>ムカウ</t>
    </rPh>
    <phoneticPr fontId="5"/>
  </si>
  <si>
    <t>わわっ！[player_name]…！
びっくりさせないでよ…！</t>
    <phoneticPr fontId="5"/>
  </si>
  <si>
    <t>かっ、勘違いしないでよね！？
別にあんたの事なんて…なんとも…！</t>
    <rPh sb="3" eb="5">
      <t>カンチガイ</t>
    </rPh>
    <rPh sb="15" eb="16">
      <t>ベツニ</t>
    </rPh>
    <rPh sb="21" eb="22">
      <t>コト</t>
    </rPh>
    <phoneticPr fontId="5"/>
  </si>
  <si>
    <t>あなた…そう…
あの子も苦労してるのね…</t>
    <rPh sb="12" eb="14">
      <t>クロウ</t>
    </rPh>
    <phoneticPr fontId="5"/>
  </si>
  <si>
    <t>ぐう可愛いニャン♪
私のチョコと取り替えっこする？</t>
    <rPh sb="2" eb="4">
      <t>カワイイ</t>
    </rPh>
    <rPh sb="10" eb="11">
      <t>ワタシト</t>
    </rPh>
    <rPh sb="16" eb="17">
      <t>トリカエッコ</t>
    </rPh>
    <phoneticPr fontId="5"/>
  </si>
  <si>
    <t>フフッ…楽しい1日になりそうね…</t>
    <rPh sb="4" eb="5">
      <t>タノシイ</t>
    </rPh>
    <phoneticPr fontId="5"/>
  </si>
  <si>
    <t>ニャンニャン
キミもラブユーニャン♪</t>
    <phoneticPr fontId="5"/>
  </si>
  <si>
    <t>わわっ！あ、あんた！
…ずいぶん賑やかじゃない？</t>
    <rPh sb="16" eb="17">
      <t>ニギヤカナノネ</t>
    </rPh>
    <phoneticPr fontId="5"/>
  </si>
  <si>
    <t>かっ、勘違いしないでよね！？
これは友チョコ…！ただの友チョコなんだから！</t>
    <rPh sb="3" eb="5">
      <t>カンチガイ</t>
    </rPh>
    <rPh sb="18" eb="19">
      <t>トモダチ</t>
    </rPh>
    <rPh sb="27" eb="28">
      <t>トモダチ</t>
    </rPh>
    <phoneticPr fontId="5"/>
  </si>
  <si>
    <t>あなた…プラリーヌに会いにいくのね？</t>
    <rPh sb="10" eb="11">
      <t>アイニ</t>
    </rPh>
    <phoneticPr fontId="5"/>
  </si>
  <si>
    <t>わわっ！[player_name]…！
急に出てこないでよ…！</t>
    <rPh sb="20" eb="21">
      <t>キュウニ</t>
    </rPh>
    <rPh sb="22" eb="23">
      <t>デテコナイデ</t>
    </rPh>
    <phoneticPr fontId="5"/>
  </si>
  <si>
    <t>プラリーヌはアノマロカリス達と同じ
電子仮想学校の生徒です
トウカとパティをライバル視していますが
仲は良いようです</t>
    <phoneticPr fontId="5"/>
  </si>
  <si>
    <t>キャロル女学院の生徒達</t>
    <rPh sb="8" eb="11">
      <t>セイトタチ</t>
    </rPh>
    <phoneticPr fontId="5"/>
  </si>
  <si>
    <t>プラリーヌはアノマロカリス達と同じ
電子仮想学校の生徒です
トウカとパティをライバル視していますが
仲は良いようです</t>
    <phoneticPr fontId="5"/>
  </si>
  <si>
    <t>状態異常耐性+
全ユニットのスキルゲージを2ターン減少！</t>
    <rPh sb="0" eb="4">
      <t>ジョウタイイジョウ</t>
    </rPh>
    <rPh sb="4" eb="6">
      <t>タイセイ</t>
    </rPh>
    <rPh sb="8" eb="9">
      <t>ゼン</t>
    </rPh>
    <rPh sb="25" eb="27">
      <t>ゲンショウ</t>
    </rPh>
    <phoneticPr fontId="5"/>
  </si>
  <si>
    <t>状態異常耐性+
全ユニットのスキルゲージを1ターン減少！</t>
    <rPh sb="0" eb="4">
      <t>ジョウタイイジョウ</t>
    </rPh>
    <rPh sb="4" eb="6">
      <t>タイセイ</t>
    </rPh>
    <rPh sb="25" eb="27">
      <t>ゲンショウ</t>
    </rPh>
    <phoneticPr fontId="5"/>
  </si>
  <si>
    <t>青パネルをハートパネルに、黄パネルを赤パネルに変換+
全ユニットのスキルゲージを4ターン減少！</t>
    <rPh sb="0" eb="1">
      <t>アオパネル</t>
    </rPh>
    <rPh sb="13" eb="14">
      <t>キイロ</t>
    </rPh>
    <rPh sb="18" eb="19">
      <t>アカ</t>
    </rPh>
    <rPh sb="23" eb="25">
      <t>ヘンカン</t>
    </rPh>
    <rPh sb="44" eb="46">
      <t>ゲンショウ</t>
    </rPh>
    <phoneticPr fontId="5"/>
  </si>
  <si>
    <t>青パネルをハートパネルに、黄パネルを赤パネルに変換+
全ユニットのスキルゲージを2ターン減少！</t>
    <rPh sb="0" eb="1">
      <t>アオパネル</t>
    </rPh>
    <rPh sb="13" eb="14">
      <t>キイロ</t>
    </rPh>
    <rPh sb="18" eb="19">
      <t>アカ</t>
    </rPh>
    <rPh sb="23" eb="25">
      <t>ヘンカン</t>
    </rPh>
    <rPh sb="44" eb="46">
      <t>ゲンショウ</t>
    </rPh>
    <phoneticPr fontId="5"/>
  </si>
  <si>
    <t>5ターン全ユニットの回復力30%DOWN+全体攻撃</t>
    <rPh sb="4" eb="5">
      <t>ゼn</t>
    </rPh>
    <rPh sb="10" eb="13">
      <t>カイフクリョク</t>
    </rPh>
    <rPh sb="21" eb="23">
      <t>ゼンタイ</t>
    </rPh>
    <rPh sb="23" eb="25">
      <t>コウゲキ</t>
    </rPh>
    <phoneticPr fontId="5"/>
  </si>
  <si>
    <t>3ターン全ユニットの回復力30%DOWN+全体攻撃</t>
    <rPh sb="4" eb="5">
      <t>ゼn</t>
    </rPh>
    <rPh sb="10" eb="13">
      <t>カイフクリョク</t>
    </rPh>
    <rPh sb="21" eb="23">
      <t>ゼンタイ</t>
    </rPh>
    <rPh sb="23" eb="25">
      <t>コウゲキ</t>
    </rPh>
    <phoneticPr fontId="5"/>
  </si>
  <si>
    <t>強力なクリティカル！</t>
    <rPh sb="0" eb="2">
      <t>キョウリョクナ</t>
    </rPh>
    <phoneticPr fontId="5"/>
  </si>
  <si>
    <t>5000固定ダメージ</t>
    <rPh sb="4" eb="6">
      <t>コテイ</t>
    </rPh>
    <phoneticPr fontId="5"/>
  </si>
  <si>
    <t>10000固定ダメージ</t>
    <rPh sb="5" eb="7">
      <t>コテイ</t>
    </rPh>
    <phoneticPr fontId="5"/>
  </si>
  <si>
    <t>full_member</t>
    <phoneticPr fontId="5"/>
  </si>
  <si>
    <t>link</t>
  </si>
  <si>
    <t>unit</t>
  </si>
  <si>
    <t>属性パネルプロテクト(最大10個)+全体攻撃</t>
    <rPh sb="0" eb="2">
      <t>ゾクセイ</t>
    </rPh>
    <rPh sb="11" eb="13">
      <t>サイダイ</t>
    </rPh>
    <rPh sb="15" eb="16">
      <t>コ</t>
    </rPh>
    <rPh sb="18" eb="20">
      <t>ゼンタイ</t>
    </rPh>
    <rPh sb="20" eb="22">
      <t>コウゲキ</t>
    </rPh>
    <phoneticPr fontId="5"/>
  </si>
  <si>
    <t>属性パネルプロテクト(最大10個)
【！】次のターンから強力な固定ダメージ【！】</t>
    <rPh sb="0" eb="2">
      <t>ゾクセイ</t>
    </rPh>
    <rPh sb="11" eb="13">
      <t>サイダイ</t>
    </rPh>
    <rPh sb="15" eb="16">
      <t>コ</t>
    </rPh>
    <rPh sb="21" eb="22">
      <t>ツギノ</t>
    </rPh>
    <rPh sb="28" eb="30">
      <t>キョウリョクナ</t>
    </rPh>
    <rPh sb="31" eb="33">
      <t>コテイ</t>
    </rPh>
    <phoneticPr fontId="5"/>
  </si>
  <si>
    <t>私は全力で応援するわ！</t>
    <rPh sb="0" eb="1">
      <t>ワタシハ</t>
    </rPh>
    <rPh sb="2" eb="4">
      <t>ゼンリョク</t>
    </rPh>
    <rPh sb="5" eb="7">
      <t>オウエン</t>
    </rPh>
    <phoneticPr fontId="5"/>
  </si>
  <si>
    <t>にゃにゃ？
これも恋の予感…！？</t>
    <rPh sb="9" eb="10">
      <t>コイノヨカン</t>
    </rPh>
    <phoneticPr fontId="5"/>
  </si>
  <si>
    <t>わかってるわ♪
プラリーヌを探してるんでしょ？</t>
    <rPh sb="14" eb="15">
      <t>サガシテル</t>
    </rPh>
    <phoneticPr fontId="5"/>
  </si>
  <si>
    <t>[effect:enemy_message, val1:1.6, val2:1.2],[effect:fix_speed, target:myself, turn:1],[effect:tolerance, target:myself, turn:-1, count:-1, tolerance_effect:all, animation:enemy_tolerance]</t>
  </si>
  <si>
    <t>[effect:enemy_message, val1:1.2, val2:1.8],[effect:break_attack_fix, target:unit_one, val:500, lowest_val:6000, count:15, block01:block_red]</t>
  </si>
  <si>
    <t>[effect:enemy_message, val1:1.5, val2:1.6],[effect:force_change_block, new_block:block_heart, target:block_all, ignore01:crash, ignore02:crack_bomb, ignore03:color_break, ignore04:magnet, ignore05:block_heart, count:10, val:0],[effect:suicide, target:myself, val:1, dead_type:escape]</t>
  </si>
  <si>
    <t>[effect:enemy_message, val1:1.3, val2:2.3],[effect:damage_gravity, val:0.5, animation:fevergauge_down],[effect:freq_turn, target:myself, turn:5, val:1, animation:enemy_freq_turn]</t>
  </si>
  <si>
    <t>[effect:enemy_message, val1:1.4, val2:1.2],[effect:damage_fix_absolute, target:unit_one, val:10000]</t>
  </si>
  <si>
    <t>[effect:enemy_message, val1:1.7, val2:1.8],[effect:break_attack_fix, target:unit_one, val:500, lowest_val:11000, count:15, block01:block_red]</t>
  </si>
  <si>
    <t>[effect:enemy_message, val1:1.5, val2:2.0],[effect:force_change_block, new_block:block_heart, target:block_all, ignore01:crash, ignore02:crack_bomb, ignore03:color_break, ignore04:magnet, ignore05:block_heart, count:0, val:0]</t>
  </si>
  <si>
    <t>[effect:enemy_message, val1:1.2, val2:2.0],[effect:drop_freeze, turn:-1, block_type:normal, block_color:block_red, rate:0.3, animation:drop_protect]</t>
  </si>
  <si>
    <t>[effect:enemy_message, val1:1.3, val2:2.3],[effect:damage_gravity, val:0.3, animation:fevergauge_down],[effect:freq_turn, target:myself, turn:5, val:1, animation:enemy_freq_turn]</t>
  </si>
  <si>
    <t>[effect:enemy_message, val1:1.4, val2:1.2],[effect:damage_fix_absolute, target:unit_one, val:5000]</t>
  </si>
  <si>
    <t>[effect:enemy_message, val1:1.2, val2:2.1]</t>
    <phoneticPr fontId="5"/>
  </si>
  <si>
    <t>ハートパネルを赤&amp;青&amp;黄のCBPに1個ずつ変換</t>
    <rPh sb="7" eb="8">
      <t>アカ</t>
    </rPh>
    <rPh sb="9" eb="10">
      <t>アオ</t>
    </rPh>
    <rPh sb="11" eb="12">
      <t>キイロ</t>
    </rPh>
    <rPh sb="18" eb="19">
      <t>コ</t>
    </rPh>
    <rPh sb="21" eb="23">
      <t>ヘンカn</t>
    </rPh>
    <phoneticPr fontId="5"/>
  </si>
  <si>
    <t>属性パネルプロテクト(最大10個)+
単体攻撃</t>
    <rPh sb="19" eb="21">
      <t>タンタイ</t>
    </rPh>
    <rPh sb="21" eb="23">
      <t>コウゲキ</t>
    </rPh>
    <phoneticPr fontId="5"/>
  </si>
  <si>
    <t>[effect:enemy_message, val1:1.3, val2:2.2],[effect:panel_freeze, target:normal, count:10],[effect:spread, val:0.4]</t>
    <phoneticPr fontId="5"/>
  </si>
  <si>
    <t>[effect:enemy_message, val1:1.2, val2:2.3],[effect:force_change_block, new_block:color_break, target:block_heart, color:block_red, count:1, val:0],[effect:force_change_block, new_block:color_break, target:block_heart, color:block_blue, count:1, val:0],[effect:force_change_block, new_block:color_break, target:block_heart, color:block_yellow, count:1, val:0]</t>
    <phoneticPr fontId="5"/>
  </si>
  <si>
    <t>5ターン回復効果付与</t>
    <rPh sb="4" eb="6">
      <t>カイフク</t>
    </rPh>
    <rPh sb="6" eb="8">
      <t>コウカ</t>
    </rPh>
    <rPh sb="8" eb="10">
      <t>フヨ</t>
    </rPh>
    <phoneticPr fontId="5"/>
  </si>
  <si>
    <t>強力な全体攻撃+5ターンウィルス</t>
    <rPh sb="0" eb="2">
      <t>キョウリョクナ</t>
    </rPh>
    <rPh sb="3" eb="5">
      <t>ゼンタイ</t>
    </rPh>
    <rPh sb="5" eb="7">
      <t>コウゲキ</t>
    </rPh>
    <phoneticPr fontId="5"/>
  </si>
  <si>
    <t>[effect:enemy_message, val1:1.4, val2:1.2],[effect:regenerate, target:unit_all, turn:5, val:0.2, type:hp_ratio, animation:heal03_unit01]</t>
    <phoneticPr fontId="5"/>
  </si>
  <si>
    <t>[effect:enemy_message, val1:1.7, val2:1.6],[effect:spread, val:0.4],[effect:virus, target:unit_all, turn:5, rate:1, val:0.3, animation:enemy_virus]</t>
    <phoneticPr fontId="5"/>
  </si>
  <si>
    <t>覚悟を試してあげるわ</t>
    <rPh sb="0" eb="2">
      <t>カクゴヲ</t>
    </rPh>
    <rPh sb="3" eb="4">
      <t>タメシテ</t>
    </rPh>
    <phoneticPr fontId="5"/>
  </si>
  <si>
    <t>ちょっとイジワルしちゃおうかしら</t>
    <phoneticPr fontId="5"/>
  </si>
  <si>
    <t>[effect:enemy_message, val1:1.4, val2:1.2],[effect:regenerate, target:unit_all, turn:5, val:0.2, type:hp_ratio, animation:heal03_unit01]</t>
    <phoneticPr fontId="5"/>
  </si>
  <si>
    <t>ランダムでハートパネルに最大23個変換
【煮え切らない態度に遂にプラリーヌが…！】</t>
    <rPh sb="12" eb="14">
      <t>サイダイ</t>
    </rPh>
    <rPh sb="16" eb="17">
      <t>コ</t>
    </rPh>
    <rPh sb="17" eb="19">
      <t>ヘンカン</t>
    </rPh>
    <phoneticPr fontId="5"/>
  </si>
  <si>
    <t>ランダムでハートパネルに最大23個変換
【両肩が小刻みに震えている…】</t>
    <rPh sb="12" eb="14">
      <t>サイダイ</t>
    </rPh>
    <rPh sb="16" eb="17">
      <t>コ</t>
    </rPh>
    <rPh sb="17" eb="19">
      <t>ヘンカン</t>
    </rPh>
    <rPh sb="21" eb="23">
      <t>リョウカタガ</t>
    </rPh>
    <rPh sb="24" eb="26">
      <t>コキザミ</t>
    </rPh>
    <rPh sb="28" eb="29">
      <t>フルエテイル</t>
    </rPh>
    <phoneticPr fontId="5"/>
  </si>
  <si>
    <t>[effect:enemy_message, val1:1.2, val2:3.5],[effect:force_change_block, new_block:block_heart, target:block_all, ignore01:crash, ignore02:crack_bomb, ignore03:color_break, ignore04:magnet, count:23, val:0, animation:change_block]</t>
    <phoneticPr fontId="5"/>
  </si>
  <si>
    <t>[effect:enemy_message, val1:1.4, val2:4.1],[effect:force_change_block, new_block:block_heart, target:block_all, ignore01:crash, ignore02:crack_bomb, ignore03:color_break, ignore04:magnet, count:23, val:0, animation:change_block]</t>
    <phoneticPr fontId="5"/>
  </si>
  <si>
    <t>ランダムでハートパネルに最大10個変換</t>
    <rPh sb="12" eb="14">
      <t>サイダイ</t>
    </rPh>
    <rPh sb="16" eb="17">
      <t>コ</t>
    </rPh>
    <rPh sb="17" eb="19">
      <t>ヘンカn</t>
    </rPh>
    <phoneticPr fontId="5"/>
  </si>
  <si>
    <t>[effect:enemy_message, val1:1.3, val2:1.9],[effect:force_change_block, new_block:block_heart, target:block_all, ignore01:crash, ignore02:crack_bomb, ignore03:color_break, ignore04:magnet, ignore05:block_heart, count:10, val:0]</t>
    <phoneticPr fontId="5"/>
  </si>
  <si>
    <t>ランダムでハートのボムパネル(大)に最大1個変換+
クリティカル！</t>
    <rPh sb="15" eb="16">
      <t>ダイ</t>
    </rPh>
    <rPh sb="18" eb="20">
      <t>サイダイ</t>
    </rPh>
    <rPh sb="21" eb="22">
      <t>コ</t>
    </rPh>
    <rPh sb="22" eb="24">
      <t>ヘンカn</t>
    </rPh>
    <phoneticPr fontId="5"/>
  </si>
  <si>
    <t>[effect:enemy_message, val1:1.6, val2:1.8],[effect:break_attack_fix, target:unit_one, val:500, lowest_val:4000, count:15, block01:block_red]</t>
    <phoneticPr fontId="5"/>
  </si>
  <si>
    <t>[effect:enemy_message, val1:1.2, val2:2.4],[effect:panel_freeze, target:normal, count:10],[effect:rush, count:1, val:0.7]</t>
    <phoneticPr fontId="5"/>
  </si>
  <si>
    <t>[effect:enemy_message, val1:1.6, val2:1.8],[effect:break_attack_fix, target:unit_one, val:200, lowest_val:1500, count:15, block01:block_red]</t>
    <phoneticPr fontId="5"/>
  </si>
  <si>
    <t>[effect:enemy_message, val1:1.2, val2:1.8],[effect:break_attack_fix, target:unit_one, val:200, lowest_val:2000, count:15, block01:block_red]</t>
    <phoneticPr fontId="5"/>
  </si>
  <si>
    <t>[effect:enemy_message, val1:1.7, val2:1.8],[effect:break_attack_fix, target:unit_one, val:275, lowest_val:4000, count:15, block01:block_red]</t>
    <phoneticPr fontId="5"/>
  </si>
  <si>
    <t>[effect:enemy_message, val1:1.7, val2:2.5],[effect:spread, val:0.3],[effect:degrade_unit, target:unit_all, turn:3, status:heal, val:0.3, animation:degrade_unit_all_heal]</t>
    <phoneticPr fontId="5"/>
  </si>
  <si>
    <t>[effect:enemy_message, val1:2.6, val2:1.4],[effect:damage_gravity, val:2.0, animation:fevergauge_down]</t>
    <phoneticPr fontId="5"/>
  </si>
  <si>
    <t>[effect:enemy_message, val1:2.5, val2:1.4],[effect:damage_gravity, val:2.0, animation:fevergauge_down]</t>
    <phoneticPr fontId="5"/>
  </si>
  <si>
    <t>[effect:enemy_message, val1:2.5, val2:1.2],[effect:critical, val:1.5, animation:enemy_critical]</t>
    <phoneticPr fontId="5"/>
  </si>
  <si>
    <t>[effect:enemy_message, val1:1.7, val2:2.5],[effect:spread, val:0.3],[effect:degrade_unit, target:unit_all, turn:5, status:heal, val:0.3, animation:degrade_unit_all_heal]</t>
    <phoneticPr fontId="5"/>
  </si>
  <si>
    <t>[effect:enemy_message, val1:2.3, val2:1.2],[effect:fix_speed, target:myself, turn:1],[effect:tolerance, target:myself, turn:-1, count:-1, tolerance_effect:all, animation:enemy_tolerance]</t>
    <phoneticPr fontId="5"/>
  </si>
  <si>
    <t>[effect:enemy_message, val1:2.5, val2:1.2],[effect:fix_speed, target:myself, turn:2],[effect:tolerance, target:myself, turn:-1, count:-1, tolerance_effect:all, animation:enemy_tolerance]</t>
    <phoneticPr fontId="5"/>
  </si>
  <si>
    <t>[effect:enemy_message, val1:2.4, val2:1.2],[effect:fix_speed, target:myself, turn:1],[effect:tolerance, target:myself, turn:-1, count:-1, tolerance_effect:all, animation:enemy_tolerance]</t>
    <phoneticPr fontId="5"/>
  </si>
  <si>
    <t>[effect:enemy_message, val1:1.8, val2:2.8],[effect:fix_speed, target:myself, turn:1],[effect:tolerance, target:myself, turn:-1, count:-1, tolerance_effect:all, animation:enemy_tolerance],[effect:sp_boost, target:unit_all, val:2]</t>
    <phoneticPr fontId="5"/>
  </si>
  <si>
    <t>[effect:enemy_message, val1:2.0, val2:2.8],[effect:fix_speed, target:myself, turn:1],[effect:tolerance, target:myself, turn:-1, count:-1, tolerance_effect:all, animation:enemy_tolerance],[effect:sp_boost, target:unit_all, val:1]</t>
    <phoneticPr fontId="5"/>
  </si>
  <si>
    <t>[effect:enemy_message, val1:1.3, val2:3.3],[effect:force_change_block, new_block:crack_bomb, target:block_all, ignore01:crash, ignore02:crack_bomb, ignore03:color_break, ignore04:magnet, color:block_heart, count:1, val:24],[effect:critical, val:1.3, animation:enemy_critical]</t>
    <phoneticPr fontId="5"/>
  </si>
  <si>
    <t>[effect:enemy_message, val1:1.2, val2:2.6],[effect:break_enchance_enemy, target:myself, val:0.02, lowest_val:0.1, count:-1, status:attack, turn:1, block01:block_heart, calc:mul, animation:enemy_enhance_attack],[effect:rush, count:1, val:0.9]</t>
    <phoneticPr fontId="5"/>
  </si>
  <si>
    <t>[effect:enemy_message, val1:1.5, val2:4.0],[effect:panel_freeze, target:normal, count:10]</t>
    <phoneticPr fontId="5"/>
  </si>
  <si>
    <t>[effect:enemy_message, val1:1.8, val2:2.7],[effect:damage_abnormal, target:unit_one, val:1.3, status:attack, turn:-1, rate:1, val_abnormal:-0.3]</t>
    <phoneticPr fontId="5"/>
  </si>
  <si>
    <t>[effect:enemy_message, val1:1.7, val2:2.7],[effect:damage_abnormal, target:unit_one, val:1.3, status:heal, turn:-1, rate:1, val_abnormal:-0.3]</t>
    <phoneticPr fontId="5"/>
  </si>
  <si>
    <t>[effect:enemy_message, val1:1.2, val2:2.3],[effect:fix_speed, target:myself, turn:1],[effect:tolerance, target:myself, turn:-1, count:-1, tolerance_effect:all, animation:enemy_tolerance],[effect:enemy_counter, target:myself, invoke_condition:unit_all, counter_target:attacker, turn:3, val:0.2, animation:enemy_counter]</t>
    <phoneticPr fontId="5"/>
  </si>
  <si>
    <t>[effect:enemy_message, val1:2.4, val2:3.3],[effect:fix_speed, target:myself, turn:1],[effect:tolerance, target:myself, turn:-1, count:-1, tolerance_effect:all, animation:enemy_tolerance],[effect:force_change_block, new_block:block_heart, target:block_blue, count:0, val:0],[effect:force_change_block, new_block:block_red, target:block_yellow, count:0, val:0]</t>
    <phoneticPr fontId="5"/>
  </si>
  <si>
    <t>[effect:enemy_message, val1:2.7, val2:4.7],[effect:fix_speed, target:myself, turn:1],[effect:sp_boost, target:unit_all, val:2],[effect:force_change_block, new_block:block_heart, target:block_blue, count:0, val:0],[effect:force_change_block, new_block:block_red, target:block_yellow, count:0, val:0]</t>
    <phoneticPr fontId="5"/>
  </si>
  <si>
    <t>[effect:enemy_message, val1:2.8, val2:4.7],[effect:fix_speed, target:myself, turn:1],[effect:sp_boost, target:unit_all, val:4],[effect:force_change_block, new_block:block_heart, target:block_blue, count:0, val:0],[effect:force_change_block, new_block:block_red, target:block_yellow, count:0, val:0]</t>
    <phoneticPr fontId="5"/>
  </si>
  <si>
    <t>[effect:enemy_message, val1:2.1, val2:3.3],[effect:fix_speed, target:myself, turn:1],[effect:tolerance, target:myself, turn:-1, count:-1, tolerance_effect:all, animation:enemy_tolerance],[effect:force_change_block, new_block:block_heart, target:block_blue, count:0, val:0],[effect:force_change_block, new_block:block_red, target:block_yellow, count:0, val:0]</t>
    <phoneticPr fontId="5"/>
  </si>
  <si>
    <t>[effect:enemy_message, val1:1.6, val2:2.6],[effect:fix_speed, target:myself, turn:2],[effect:tolerance, target:myself, turn:-1, count:-1, tolerance_effect:all, animation:enemy_tolerance],[effect:crash_condition, target:unit_all, turn:-1, val:-2, animation:enemy_crash_reduce03]</t>
    <phoneticPr fontId="5"/>
  </si>
  <si>
    <t>[effect:enemy_message, val1:1.8, val2:2.7],[effect:fix_speed, target:myself, turn:2],[effect:tolerance, target:myself, turn:-1, count:-1, tolerance_effect:all, animation:enemy_tolerance],[effect:crash_condition, target:unit_all, turn:-1, val:-4, animation:enemy_crash_reduce03]</t>
    <phoneticPr fontId="5"/>
  </si>
  <si>
    <t>[effect:enemy_message, val1:1.5, val2:3.0],[effect:fix_speed, target:myself, turn:2],[effect:tolerance, target:myself, turn:-1, count:-1, tolerance_effect:all, animation:enemy_tolerance],[effect:crash_condition, target:unit_all, turn:5, val:4, animation:enemy_crash_reduce03]</t>
    <phoneticPr fontId="5"/>
  </si>
  <si>
    <t>[effect:enemy_message, val1:1.8, val2:3.9, dead_type:escape]</t>
    <phoneticPr fontId="5"/>
  </si>
  <si>
    <t>[effect:enemy_message, val1:2.8, val2:3.4, dead_type:escape]</t>
    <phoneticPr fontId="5"/>
  </si>
  <si>
    <t>[effect:enemy_message, val1:2.8, val2:3.5, dead_type:escape]</t>
    <phoneticPr fontId="5"/>
  </si>
  <si>
    <t>[effect:enemy_message, val1:1.8, val2:4.0, dead_type:escape]</t>
    <phoneticPr fontId="5"/>
  </si>
  <si>
    <t>黄パネルを吸収する程、ダメージがDOWNする攻撃</t>
    <phoneticPr fontId="5"/>
  </si>
  <si>
    <t>黄パネルを吸収する程、ダメージがDOWNする攻撃</t>
    <phoneticPr fontId="5"/>
  </si>
  <si>
    <t>黄パネルを吸収する程、ダメージがDOWNする攻撃</t>
    <phoneticPr fontId="5"/>
  </si>
  <si>
    <t>[effect:enemy_message, val1:1.2, val2:2.2],[effect:break_attack_fix, target:unit_one, val:-500, lowest_val:13000, count:-1, block01:block_yellow]</t>
    <phoneticPr fontId="5"/>
  </si>
  <si>
    <t>[effect:enemy_message, val1:1.3, val2:2.2],[effect:break_attack_fix, target:unit_one, val:-500, lowest_val:15000, count:-1, block01:block_yellow]</t>
    <phoneticPr fontId="5"/>
  </si>
  <si>
    <t>[effect:enemy_message, val1:1.6, val2:2.2],[effect:break_attack_fix, target:unit_one, val:-500, lowest_val:20000, count:-1, block01:block_yellow]</t>
    <phoneticPr fontId="5"/>
  </si>
  <si>
    <t>[effect:enemy_message, val1:1.2, val2:2.2],[effect:break_attack_fix, target:unit_one, val:-150, lowest_val:4500, count:-1, block01:block_yellow]</t>
    <phoneticPr fontId="5"/>
  </si>
  <si>
    <t>[effect:enemy_message, val1:1.3, val2:2.2],[effect:break_attack_fix, target:unit_one, val:-150, lowest_val:6000, count:-1, block01:block_yellow]</t>
    <phoneticPr fontId="5"/>
  </si>
  <si>
    <t>(仕切り直しよ…仕切り直し…！)</t>
    <phoneticPr fontId="5"/>
  </si>
  <si>
    <t>[effect:enemy_message, val1:1.6, val2:2.2],[effect:break_attack_fix, target:unit_one, val:-100, lowest_val:7000, count:-1, block01:block_yellow]</t>
    <phoneticPr fontId="5"/>
  </si>
  <si>
    <t>[effect:enemy_message, val1:2.4, val2:3.1],[effect:fix_speed, target:myself, turn:1],[effect:tolerance, target:myself, turn:-1, count:-1, tolerance_effect:all, animation:enemy_tolerance]</t>
    <phoneticPr fontId="5"/>
  </si>
  <si>
    <t>状態異常耐性+3ターン後に残りHPの200%ダメージ！
【目をつむって真っ赤になっている…】</t>
    <rPh sb="0" eb="4">
      <t>ジョウタイイジョウ</t>
    </rPh>
    <rPh sb="4" eb="6">
      <t>タイセイ</t>
    </rPh>
    <rPh sb="13" eb="14">
      <t>ノコリ</t>
    </rPh>
    <rPh sb="29" eb="30">
      <t>メヲ</t>
    </rPh>
    <rPh sb="35" eb="36">
      <t>マッカニ</t>
    </rPh>
    <phoneticPr fontId="5"/>
  </si>
  <si>
    <t>きっ、来たわね！！
…今度こそ！！</t>
    <phoneticPr fontId="5"/>
  </si>
  <si>
    <t>うぅっ…[player_name]…！
まだ早いって…！</t>
    <phoneticPr fontId="5"/>
  </si>
  <si>
    <t>あ、あんた…！
…ずいぶん楽しそうね？</t>
    <phoneticPr fontId="5"/>
  </si>
  <si>
    <t>あんたの事なんて…っ！
…あんたの事なんて…</t>
    <phoneticPr fontId="5"/>
  </si>
  <si>
    <t>呼ばれた理由…
もぅ！ちゃんと考えた！？</t>
    <phoneticPr fontId="5"/>
  </si>
  <si>
    <t>(違う違う！もぅ、アタシ…)</t>
    <phoneticPr fontId="5"/>
  </si>
  <si>
    <t>う、受け取りなさいよ…！
じゃなくて、受け取って…！</t>
    <phoneticPr fontId="5"/>
  </si>
  <si>
    <t>…って近い！近いっ！
(…顔赤いのバレてないかなぁ)</t>
    <phoneticPr fontId="5"/>
  </si>
  <si>
    <t>(お願い…受け取って…！)</t>
    <phoneticPr fontId="5"/>
  </si>
  <si>
    <t>う、受け取って…くれた…？</t>
    <phoneticPr fontId="5"/>
  </si>
  <si>
    <t>…受け取って…くれた…？</t>
    <phoneticPr fontId="5"/>
  </si>
  <si>
    <t>…[player_name]…
受け取ってくれた…？</t>
    <phoneticPr fontId="5"/>
  </si>
  <si>
    <t>こっこれは義理…！
なんかじゃない…んだから…</t>
    <phoneticPr fontId="5"/>
  </si>
  <si>
    <t>も、もっと早く受け取ってよね…バカ…</t>
    <phoneticPr fontId="5"/>
  </si>
  <si>
    <t>あんたの事本当は…うぅ、何もないんだから…！</t>
    <phoneticPr fontId="5"/>
  </si>
  <si>
    <t>これは友チョコなんだから！友達…だし…！</t>
    <phoneticPr fontId="5"/>
  </si>
  <si>
    <t>(今度こそ想いを…ちゃんと伝える！)</t>
  </si>
  <si>
    <t>き、来てくれたの…！！
…今度こそ素直に…！！</t>
    <phoneticPr fontId="5"/>
  </si>
  <si>
    <t>[player_name]…！！
あ、アタシの気持ちを…！</t>
    <phoneticPr fontId="5"/>
  </si>
  <si>
    <t>あ、あんた…！
ま、また来てくれたの…？</t>
    <phoneticPr fontId="5"/>
  </si>
  <si>
    <t>あんたの事なんて…！
す、好きなんかじゃ…うぅ</t>
    <phoneticPr fontId="5"/>
  </si>
  <si>
    <t>呼ばれた理由…
もう…わかったでしょ…？</t>
    <phoneticPr fontId="5"/>
  </si>
  <si>
    <t>(今度こそ…今度こそ！)</t>
    <phoneticPr fontId="5"/>
  </si>
  <si>
    <t>ううううう受け取って…！
受け取って…ほしいの…</t>
    <phoneticPr fontId="5"/>
  </si>
  <si>
    <t>(受け取って…くれるかな？)</t>
    <phoneticPr fontId="5"/>
  </si>
  <si>
    <t>受け取って…くれた？</t>
    <phoneticPr fontId="5"/>
  </si>
  <si>
    <t>受け取って…くれた…？</t>
    <phoneticPr fontId="5"/>
  </si>
  <si>
    <t>[player_name]…
受け取ってくれた…？</t>
    <phoneticPr fontId="5"/>
  </si>
  <si>
    <t>これは……ほ、本命…なんだからぁ…</t>
    <phoneticPr fontId="5"/>
  </si>
  <si>
    <t>う、嬉しいなんて思ってないもん…バカ…</t>
    <phoneticPr fontId="5"/>
  </si>
  <si>
    <t>あんたの事…すすすす好き…なんだから…</t>
    <phoneticPr fontId="5"/>
  </si>
  <si>
    <t>だ、大事な友達だし…！これからもよろしくね…</t>
    <phoneticPr fontId="5"/>
  </si>
  <si>
    <t>[effect:enemy_message, val1:1.2, val2:2.3],[effect:drop_freeze, turn:-1, block_type:normal, block_color:block_red, rate:0.3, animation:drop_protect]</t>
    <phoneticPr fontId="5"/>
  </si>
  <si>
    <t>[effect:enemy_message, val1:1.7, val2:3.3],[effect:fix_speed, target:myself, turn:1],[effect:tolerance, target:myself, turn:-1, count:-1, tolerance_effect:all, animation:enemy_tolerance],[effect:force_change_block, new_block:block_heart, target:block_blue, count:0, val:0],[effect:force_change_block, new_block:block_red, target:block_yellow, count:0, val:0]</t>
    <phoneticPr fontId="5"/>
  </si>
  <si>
    <t>[effect:enemy_message, val1:1.9, val2:3.3],[effect:fix_speed, target:myself, turn:1],[effect:tolerance, target:myself, turn:-1, count:-1, tolerance_effect:all, animation:enemy_tolerance],[effect:force_change_block, new_block:block_heart, target:block_blue, count:0, val:0],[effect:force_change_block, new_block:block_red, target:block_yellow, count:0, val:0]</t>
    <phoneticPr fontId="5"/>
  </si>
  <si>
    <t>[effect:enemy_message, val1:2.2, val2:2.2],[effect:panel_freeze, target:normal, count:10],[effect:spread, val:0.4]</t>
    <phoneticPr fontId="5"/>
  </si>
  <si>
    <t>[effect:enemy_message, val1:2.0, val2:2.7],[effect:damage_abnormal, target:unit_one, val:1.3, status:heal, turn:-1, rate:1, val_abnormal:-0.3]</t>
    <phoneticPr fontId="5"/>
  </si>
  <si>
    <t>[effect:enemy_message, val1:1.4, val2:1.8],[effect:force_change_block, new_block:block_heart, target:block_all, ignore01:crash, ignore02:crack_bomb, ignore03:color_break, ignore04:magnet, ignore05:block_heart, count:0, val:0]</t>
    <phoneticPr fontId="5"/>
  </si>
  <si>
    <t>[effect:enemy_message, val1:2.6, val2:1.2],[effect:regenerate, target:unit_all, turn:5, val:0.2, type:hp_ratio, animation:heal03_unit01]</t>
    <phoneticPr fontId="5"/>
  </si>
  <si>
    <t>[effect:enemy_message, val1:2.6, val2:1.2],[effect:critical, val:1.5, animation:enemy_critical]</t>
    <phoneticPr fontId="5"/>
  </si>
  <si>
    <t>[effect:enemy_message, val1:1.3, val2:3.5],[effect:force_change_block, new_block:block_heart, target:block_all, ignore01:crash, ignore02:crack_bomb, ignore03:color_break, ignore04:magnet, count:23, val:0, animation:change_block]</t>
    <phoneticPr fontId="5"/>
  </si>
  <si>
    <t>[effect:enemy_message, val1:1.8, val2:2.8, dead_type:escape]</t>
    <phoneticPr fontId="5"/>
  </si>
  <si>
    <t>[effect:enemy_message, val1:2.9, val2:2.3, dead_type:escape]</t>
    <phoneticPr fontId="5"/>
  </si>
  <si>
    <t>[effect:enemy_message, val1:2.9, val2:2.7, dead_type:escape]</t>
    <phoneticPr fontId="5"/>
  </si>
  <si>
    <t>[effect:enemy_message, val1:1.7, val2:2.5, dead_type:escape]</t>
    <phoneticPr fontId="5"/>
  </si>
  <si>
    <t>[effect:enemy_message, val1:2.3, val2:3.3],[effect:fix_speed, target:myself, turn:1],[effect:tolerance, target:myself, turn:-1, count:-1, tolerance_effect:all, animation:enemy_tolerance],[effect:force_change_block, new_block:block_heart, target:block_blue, count:0, val:0],[effect:force_change_block, new_block:block_red, target:block_yellow, count:0, val:0]</t>
    <phoneticPr fontId="5"/>
  </si>
  <si>
    <t>[effect:enemy_message, val1:3.2, val2:4.7],[effect:fix_speed, target:myself, turn:1],[effect:sp_boost, target:unit_all, val:4],[effect:force_change_block, new_block:block_heart, target:block_blue, count:0, val:0],[effect:force_change_block, new_block:block_red, target:block_yellow, count:0, val:0]</t>
    <phoneticPr fontId="5"/>
  </si>
  <si>
    <t>[effect:enemy_message, val1:2.0, val2:3.3],[effect:fix_speed, target:myself, turn:1],[effect:tolerance, target:myself, turn:-1, count:-1, tolerance_effect:all, animation:enemy_tolerance],[effect:force_change_block, new_block:block_heart, target:block_blue, count:0, val:0],[effect:force_change_block, new_block:block_red, target:block_yellow, count:0, val:0]</t>
    <phoneticPr fontId="5"/>
  </si>
  <si>
    <t>[effect:enemy_message, val1:3.3, val2:4.7],[effect:fix_speed, target:myself, turn:1],[effect:sp_boost, target:unit_all, val:4],[effect:force_change_block, new_block:block_heart, target:block_blue, count:0, val:0],[effect:force_change_block, new_block:block_red, target:block_yellow, count:0, val:0]</t>
    <phoneticPr fontId="5"/>
  </si>
  <si>
    <t>[effect:enemy_message, val1:2.6, val2:4.7],[effect:fix_speed, target:myself, turn:1],[effect:sp_boost, target:unit_all, val:2],[effect:force_change_block, new_block:block_heart, target:block_blue, count:0, val:0],[effect:force_change_block, new_block:block_red, target:block_yellow, count:0, val:0]</t>
    <phoneticPr fontId="5"/>
  </si>
  <si>
    <t>[effect:enemy_message, val1:2.3, val2:2.2],[effect:panel_freeze, target:normal, count:10],[effect:spread, val:0.4]</t>
    <phoneticPr fontId="5"/>
  </si>
  <si>
    <t>[effect:enemy_message, val1:2.0, val2:2.7],[effect:damage_abnormal, target:unit_one, val:1.3, status:heal, turn:-1, rate:1, val_abnormal:-0.3]</t>
    <phoneticPr fontId="5"/>
  </si>
  <si>
    <t>[effect:enemy_message, val1:1.2, val2:2.0],[effect:force_change_block, new_block:block_heart, target:block_all, ignore01:crash, ignore02:crack_bomb, ignore03:color_break, ignore04:magnet, ignore05:block_heart, count:0, val:0]</t>
    <phoneticPr fontId="5"/>
  </si>
  <si>
    <t>[effect:enemy_message, val1:2.4, val2:1.2],[effect:regenerate, target:unit_all, turn:5, val:0.2, type:hp_ratio, animation:heal03_unit01]</t>
    <phoneticPr fontId="5"/>
  </si>
  <si>
    <t>[effect:enemy_message, val1:3.1, val2:1.2],[effect:critical, val:1.5, animation:enemy_critical]</t>
    <phoneticPr fontId="5"/>
  </si>
  <si>
    <t>[effect:enemy_message, val1:1.4, val2:3.5],[effect:force_change_block, new_block:block_heart, target:block_all, ignore01:crash, ignore02:crack_bomb, ignore03:color_break, ignore04:magnet, count:23, val:0, animation:change_block]</t>
    <phoneticPr fontId="5"/>
  </si>
  <si>
    <t>[effect:enemy_message, val1:1.5, val2:2.2, dead_type:escape]</t>
    <phoneticPr fontId="5"/>
  </si>
  <si>
    <t>[effect:enemy_message, val1:2.8, val2:2.4, dead_type:escape]</t>
    <phoneticPr fontId="5"/>
  </si>
  <si>
    <t>[effect:enemy_message, val1:1.7, val2:2.7, dead_type:escape]</t>
    <phoneticPr fontId="5"/>
  </si>
  <si>
    <t>ja</t>
    <phoneticPr fontId="5"/>
  </si>
  <si>
    <t>来たわね！[player_name]！
…今度こそ言うんだ…！</t>
    <phoneticPr fontId="5"/>
  </si>
  <si>
    <t>[player_name]…
…気持ち…絶対伝えるの…！</t>
    <rPh sb="16" eb="18">
      <t>キモチ</t>
    </rPh>
    <phoneticPr fontId="5"/>
  </si>
  <si>
    <t>…ってもう！近い！近いっ！
(ううぅ、ヤバいドキドキする…！)</t>
    <phoneticPr fontId="5"/>
  </si>
  <si>
    <t>(想いを伝えるの！絶対！)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</si>
</sst>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6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rgb="FFFF0000"/>
      <name val="ＭＳ Ｐゴシック"/>
      <family val="2"/>
      <charset val="128"/>
      <scheme val="minor"/>
    </font>
    <font>
      <sz val="10"/>
      <color rgb="FFFF0000"/>
      <name val="ＭＳ Ｐゴシック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2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24"/>
      </patternFill>
    </fill>
    <fill>
      <patternFill patternType="solid">
        <fgColor theme="3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70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0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13" borderId="6" xfId="0" applyFont="1" applyFill="1" applyBorder="1" applyAlignment="1">
      <alignment vertical="center"/>
    </xf>
    <xf numFmtId="0" fontId="6" fillId="32" borderId="11" xfId="0" applyFont="1" applyFill="1" applyBorder="1" applyAlignment="1">
      <alignment vertical="center"/>
    </xf>
    <xf numFmtId="0" fontId="6" fillId="32" borderId="9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0" borderId="24" xfId="0" applyFont="1" applyFill="1" applyBorder="1" applyAlignment="1">
      <alignment horizontal="left" vertical="center"/>
    </xf>
    <xf numFmtId="0" fontId="16" fillId="3" borderId="24" xfId="0" applyFont="1" applyFill="1" applyBorder="1" applyAlignment="1">
      <alignment horizontal="left" vertical="center" wrapText="1"/>
    </xf>
    <xf numFmtId="0" fontId="16" fillId="3" borderId="24" xfId="0" applyFont="1" applyFill="1" applyBorder="1" applyAlignment="1">
      <alignment vertical="center"/>
    </xf>
    <xf numFmtId="14" fontId="16" fillId="0" borderId="24" xfId="0" applyNumberFormat="1" applyFont="1" applyFill="1" applyBorder="1" applyAlignment="1">
      <alignment horizontal="left" vertical="center"/>
    </xf>
    <xf numFmtId="0" fontId="16" fillId="0" borderId="2" xfId="0" applyFont="1" applyFill="1" applyBorder="1" applyAlignment="1">
      <alignment horizontal="left" vertical="center"/>
    </xf>
    <xf numFmtId="0" fontId="16" fillId="3" borderId="2" xfId="0" applyFont="1" applyFill="1" applyBorder="1" applyAlignment="1">
      <alignment horizontal="left" vertical="center" wrapText="1"/>
    </xf>
    <xf numFmtId="0" fontId="16" fillId="3" borderId="2" xfId="0" applyFont="1" applyFill="1" applyBorder="1" applyAlignment="1">
      <alignment vertical="center"/>
    </xf>
    <xf numFmtId="14" fontId="16" fillId="0" borderId="2" xfId="0" applyNumberFormat="1" applyFont="1" applyFill="1" applyBorder="1" applyAlignment="1">
      <alignment horizontal="left" vertical="center"/>
    </xf>
    <xf numFmtId="0" fontId="52" fillId="0" borderId="7" xfId="0" applyFont="1" applyFill="1" applyBorder="1" applyAlignment="1">
      <alignment horizontal="left" vertical="center" wrapText="1"/>
    </xf>
    <xf numFmtId="0" fontId="52" fillId="0" borderId="7" xfId="0" applyFont="1" applyFill="1" applyBorder="1" applyAlignment="1">
      <alignment vertical="center"/>
    </xf>
    <xf numFmtId="0" fontId="16" fillId="0" borderId="26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52" fillId="0" borderId="7" xfId="0" applyFont="1" applyFill="1" applyBorder="1" applyAlignment="1">
      <alignment horizontal="left" vertical="center"/>
    </xf>
    <xf numFmtId="0" fontId="52" fillId="0" borderId="2" xfId="0" applyFont="1" applyFill="1" applyBorder="1" applyAlignment="1">
      <alignment vertical="center"/>
    </xf>
    <xf numFmtId="0" fontId="52" fillId="0" borderId="2" xfId="0" applyFont="1" applyFill="1" applyBorder="1" applyAlignment="1">
      <alignment horizontal="left" vertical="center"/>
    </xf>
    <xf numFmtId="0" fontId="52" fillId="0" borderId="2" xfId="0" applyFont="1" applyFill="1" applyBorder="1" applyAlignment="1">
      <alignment horizontal="left" vertical="center" wrapText="1"/>
    </xf>
    <xf numFmtId="0" fontId="14" fillId="7" borderId="27" xfId="0" applyFont="1" applyFill="1" applyBorder="1" applyAlignment="1">
      <alignment vertical="center"/>
    </xf>
    <xf numFmtId="0" fontId="16" fillId="3" borderId="24" xfId="0" applyFont="1" applyFill="1" applyBorder="1" applyAlignment="1">
      <alignment horizontal="left" vertical="center"/>
    </xf>
    <xf numFmtId="0" fontId="14" fillId="7" borderId="25" xfId="0" applyFont="1" applyFill="1" applyBorder="1" applyAlignment="1">
      <alignment vertical="center"/>
    </xf>
    <xf numFmtId="0" fontId="16" fillId="0" borderId="28" xfId="0" applyFont="1" applyFill="1" applyBorder="1" applyAlignment="1">
      <alignment vertical="center"/>
    </xf>
    <xf numFmtId="0" fontId="16" fillId="3" borderId="28" xfId="0" applyFont="1" applyFill="1" applyBorder="1" applyAlignment="1">
      <alignment horizontal="left" vertical="center"/>
    </xf>
    <xf numFmtId="0" fontId="16" fillId="3" borderId="28" xfId="0" applyFont="1" applyFill="1" applyBorder="1" applyAlignment="1">
      <alignment vertical="center"/>
    </xf>
    <xf numFmtId="0" fontId="52" fillId="0" borderId="24" xfId="0" applyFont="1" applyFill="1" applyBorder="1" applyAlignment="1">
      <alignment vertical="center"/>
    </xf>
    <xf numFmtId="0" fontId="52" fillId="0" borderId="24" xfId="0" applyFont="1" applyFill="1" applyBorder="1" applyAlignment="1">
      <alignment horizontal="left" vertical="center"/>
    </xf>
    <xf numFmtId="0" fontId="52" fillId="0" borderId="24" xfId="0" applyFont="1" applyFill="1" applyBorder="1" applyAlignment="1">
      <alignment horizontal="left" vertical="center" wrapText="1"/>
    </xf>
    <xf numFmtId="0" fontId="16" fillId="0" borderId="28" xfId="0" applyFont="1" applyFill="1" applyBorder="1" applyAlignment="1">
      <alignment horizontal="left" vertical="center"/>
    </xf>
    <xf numFmtId="0" fontId="16" fillId="0" borderId="28" xfId="0" applyFont="1" applyFill="1" applyBorder="1" applyAlignment="1">
      <alignment horizontal="left" vertical="center" wrapText="1"/>
    </xf>
    <xf numFmtId="0" fontId="16" fillId="3" borderId="28" xfId="0" applyFont="1" applyFill="1" applyBorder="1" applyAlignment="1">
      <alignment horizontal="left" vertical="center" wrapText="1"/>
    </xf>
    <xf numFmtId="14" fontId="16" fillId="0" borderId="28" xfId="0" applyNumberFormat="1" applyFont="1" applyFill="1" applyBorder="1" applyAlignment="1">
      <alignment horizontal="left" vertical="center"/>
    </xf>
    <xf numFmtId="38" fontId="16" fillId="0" borderId="7" xfId="628" applyFont="1" applyFill="1" applyBorder="1" applyAlignment="1">
      <alignment wrapText="1"/>
    </xf>
    <xf numFmtId="0" fontId="53" fillId="0" borderId="7" xfId="0" applyFont="1" applyFill="1" applyBorder="1" applyAlignment="1">
      <alignment vertical="center"/>
    </xf>
    <xf numFmtId="0" fontId="0" fillId="0" borderId="0" xfId="0" applyAlignment="1">
      <alignment wrapText="1"/>
    </xf>
    <xf numFmtId="0" fontId="54" fillId="0" borderId="7" xfId="0" applyFont="1" applyBorder="1"/>
    <xf numFmtId="0" fontId="0" fillId="0" borderId="24" xfId="0" applyBorder="1"/>
    <xf numFmtId="0" fontId="0" fillId="3" borderId="24" xfId="0" applyFill="1" applyBorder="1"/>
    <xf numFmtId="0" fontId="6" fillId="5" borderId="24" xfId="0" applyFont="1" applyFill="1" applyBorder="1" applyAlignment="1">
      <alignment vertical="center"/>
    </xf>
    <xf numFmtId="0" fontId="0" fillId="0" borderId="28" xfId="0" applyBorder="1"/>
    <xf numFmtId="0" fontId="0" fillId="3" borderId="28" xfId="0" applyFill="1" applyBorder="1"/>
    <xf numFmtId="0" fontId="6" fillId="5" borderId="28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vertical="center" wrapText="1"/>
    </xf>
    <xf numFmtId="0" fontId="52" fillId="0" borderId="7" xfId="0" applyFont="1" applyFill="1" applyBorder="1" applyAlignment="1">
      <alignment vertical="center" wrapText="1"/>
    </xf>
    <xf numFmtId="0" fontId="52" fillId="0" borderId="24" xfId="0" applyFont="1" applyFill="1" applyBorder="1" applyAlignment="1">
      <alignment vertical="center" wrapText="1"/>
    </xf>
    <xf numFmtId="0" fontId="16" fillId="0" borderId="28" xfId="0" applyFont="1" applyFill="1" applyBorder="1" applyAlignment="1">
      <alignment vertical="center" wrapText="1"/>
    </xf>
    <xf numFmtId="0" fontId="16" fillId="0" borderId="0" xfId="0" applyFont="1" applyFill="1" applyAlignment="1">
      <alignment vertical="center" wrapText="1"/>
    </xf>
    <xf numFmtId="0" fontId="52" fillId="13" borderId="7" xfId="0" applyFont="1" applyFill="1" applyBorder="1" applyAlignment="1">
      <alignment vertical="center" wrapText="1"/>
    </xf>
    <xf numFmtId="0" fontId="52" fillId="13" borderId="2" xfId="0" applyFont="1" applyFill="1" applyBorder="1" applyAlignment="1">
      <alignment vertical="center" wrapText="1"/>
    </xf>
    <xf numFmtId="176" fontId="4" fillId="33" borderId="3" xfId="0" applyNumberFormat="1" applyFont="1" applyFill="1" applyBorder="1" applyAlignment="1">
      <alignment horizontal="center" vertical="center"/>
    </xf>
    <xf numFmtId="0" fontId="4" fillId="33" borderId="1" xfId="0" applyFont="1" applyFill="1" applyBorder="1" applyAlignment="1">
      <alignment horizontal="center" vertical="center"/>
    </xf>
    <xf numFmtId="0" fontId="6" fillId="34" borderId="3" xfId="0" applyFont="1" applyFill="1" applyBorder="1" applyAlignment="1">
      <alignment vertical="center"/>
    </xf>
    <xf numFmtId="0" fontId="4" fillId="33" borderId="7" xfId="0" applyFont="1" applyFill="1" applyBorder="1" applyAlignment="1">
      <alignment horizontal="center" vertical="center"/>
    </xf>
    <xf numFmtId="0" fontId="6" fillId="33" borderId="7" xfId="0" applyFont="1" applyFill="1" applyBorder="1" applyAlignment="1">
      <alignment vertical="center"/>
    </xf>
    <xf numFmtId="176" fontId="4" fillId="35" borderId="3" xfId="0" applyNumberFormat="1" applyFont="1" applyFill="1" applyBorder="1" applyAlignment="1">
      <alignment horizontal="center" vertical="center"/>
    </xf>
    <xf numFmtId="0" fontId="4" fillId="35" borderId="1" xfId="0" applyFont="1" applyFill="1" applyBorder="1" applyAlignment="1">
      <alignment horizontal="center" vertical="center"/>
    </xf>
    <xf numFmtId="0" fontId="6" fillId="36" borderId="3" xfId="0" applyFont="1" applyFill="1" applyBorder="1" applyAlignment="1">
      <alignment vertical="center"/>
    </xf>
    <xf numFmtId="0" fontId="4" fillId="35" borderId="7" xfId="0" applyFont="1" applyFill="1" applyBorder="1" applyAlignment="1">
      <alignment horizontal="center" vertical="center"/>
    </xf>
    <xf numFmtId="0" fontId="6" fillId="35" borderId="7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 wrapText="1"/>
    </xf>
    <xf numFmtId="0" fontId="16" fillId="0" borderId="24" xfId="0" applyFont="1" applyFill="1" applyBorder="1" applyAlignment="1">
      <alignment horizontal="left" vertical="center" wrapText="1"/>
    </xf>
    <xf numFmtId="0" fontId="16" fillId="33" borderId="28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52" fillId="33" borderId="7" xfId="0" applyFont="1" applyFill="1" applyBorder="1" applyAlignment="1">
      <alignment vertical="center"/>
    </xf>
    <xf numFmtId="0" fontId="53" fillId="33" borderId="7" xfId="0" applyFont="1" applyFill="1" applyBorder="1" applyAlignment="1">
      <alignment vertical="center"/>
    </xf>
    <xf numFmtId="0" fontId="16" fillId="0" borderId="23" xfId="0" applyFont="1" applyBorder="1" applyAlignment="1">
      <alignment vertical="center"/>
    </xf>
    <xf numFmtId="0" fontId="6" fillId="33" borderId="3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52" fillId="35" borderId="7" xfId="0" applyFont="1" applyFill="1" applyBorder="1" applyAlignment="1">
      <alignment vertical="center"/>
    </xf>
    <xf numFmtId="0" fontId="53" fillId="35" borderId="7" xfId="0" applyFont="1" applyFill="1" applyBorder="1" applyAlignment="1">
      <alignment vertical="center"/>
    </xf>
    <xf numFmtId="0" fontId="16" fillId="35" borderId="24" xfId="0" applyFont="1" applyFill="1" applyBorder="1" applyAlignment="1">
      <alignment vertical="center"/>
    </xf>
    <xf numFmtId="0" fontId="14" fillId="7" borderId="26" xfId="0" applyFont="1" applyFill="1" applyBorder="1" applyAlignment="1">
      <alignment vertical="center"/>
    </xf>
    <xf numFmtId="0" fontId="14" fillId="7" borderId="23" xfId="0" applyFont="1" applyFill="1" applyBorder="1" applyAlignment="1">
      <alignment vertical="center"/>
    </xf>
    <xf numFmtId="0" fontId="16" fillId="37" borderId="7" xfId="0" applyFont="1" applyFill="1" applyBorder="1" applyAlignment="1">
      <alignment vertical="center"/>
    </xf>
    <xf numFmtId="0" fontId="16" fillId="37" borderId="24" xfId="0" applyFont="1" applyFill="1" applyBorder="1" applyAlignment="1">
      <alignment vertical="center"/>
    </xf>
    <xf numFmtId="0" fontId="16" fillId="37" borderId="28" xfId="0" applyFont="1" applyFill="1" applyBorder="1" applyAlignment="1">
      <alignment vertical="center"/>
    </xf>
    <xf numFmtId="0" fontId="55" fillId="0" borderId="5" xfId="0" applyFont="1" applyBorder="1" applyAlignment="1">
      <alignment vertical="center"/>
    </xf>
    <xf numFmtId="0" fontId="16" fillId="33" borderId="7" xfId="0" applyFont="1" applyFill="1" applyBorder="1" applyAlignment="1">
      <alignment vertical="center" wrapText="1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0" fontId="52" fillId="33" borderId="7" xfId="0" applyFont="1" applyFill="1" applyBorder="1" applyAlignment="1">
      <alignment vertical="center" wrapText="1"/>
    </xf>
    <xf numFmtId="0" fontId="52" fillId="33" borderId="7" xfId="0" applyFont="1" applyFill="1" applyBorder="1" applyAlignment="1">
      <alignment horizontal="left" vertical="center"/>
    </xf>
    <xf numFmtId="0" fontId="52" fillId="33" borderId="7" xfId="0" applyFont="1" applyFill="1" applyBorder="1" applyAlignment="1">
      <alignment horizontal="left" vertical="center" wrapText="1"/>
    </xf>
    <xf numFmtId="0" fontId="52" fillId="33" borderId="2" xfId="0" applyFont="1" applyFill="1" applyBorder="1" applyAlignment="1">
      <alignment vertical="center" wrapText="1"/>
    </xf>
    <xf numFmtId="0" fontId="16" fillId="35" borderId="7" xfId="0" applyFont="1" applyFill="1" applyBorder="1" applyAlignment="1">
      <alignment vertical="center" wrapText="1"/>
    </xf>
    <xf numFmtId="0" fontId="16" fillId="35" borderId="7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horizontal="left" vertical="center" wrapText="1"/>
    </xf>
    <xf numFmtId="0" fontId="52" fillId="35" borderId="7" xfId="0" applyFont="1" applyFill="1" applyBorder="1" applyAlignment="1">
      <alignment vertical="center" wrapText="1"/>
    </xf>
    <xf numFmtId="0" fontId="52" fillId="35" borderId="7" xfId="0" applyFont="1" applyFill="1" applyBorder="1" applyAlignment="1">
      <alignment horizontal="left" vertical="center"/>
    </xf>
    <xf numFmtId="0" fontId="52" fillId="35" borderId="7" xfId="0" applyFont="1" applyFill="1" applyBorder="1" applyAlignment="1">
      <alignment horizontal="left" vertical="center" wrapText="1"/>
    </xf>
    <xf numFmtId="0" fontId="52" fillId="35" borderId="2" xfId="0" applyFont="1" applyFill="1" applyBorder="1" applyAlignment="1">
      <alignment vertical="center" wrapText="1"/>
    </xf>
    <xf numFmtId="0" fontId="53" fillId="33" borderId="7" xfId="0" applyFont="1" applyFill="1" applyBorder="1" applyAlignment="1">
      <alignment horizontal="left" vertical="center" wrapText="1"/>
    </xf>
    <xf numFmtId="0" fontId="16" fillId="0" borderId="0" xfId="0" applyFont="1" applyFill="1" applyBorder="1" applyAlignment="1">
      <alignment vertical="center"/>
    </xf>
  </cellXfs>
  <cellStyles count="70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赤字強調" xfId="431"/>
    <cellStyle name="青字強調" xfId="430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12001</v>
          </cell>
        </row>
        <row r="88">
          <cell r="A88">
            <v>12002</v>
          </cell>
        </row>
        <row r="89">
          <cell r="A89">
            <v>12003</v>
          </cell>
        </row>
        <row r="90">
          <cell r="A90">
            <v>12004</v>
          </cell>
        </row>
        <row r="91">
          <cell r="A91">
            <v>13001</v>
          </cell>
        </row>
        <row r="92">
          <cell r="A92">
            <v>13101</v>
          </cell>
        </row>
        <row r="93">
          <cell r="A93">
            <v>13300</v>
          </cell>
        </row>
        <row r="94">
          <cell r="A94">
            <v>13301</v>
          </cell>
        </row>
        <row r="95">
          <cell r="A95">
            <v>13302</v>
          </cell>
        </row>
        <row r="96">
          <cell r="A96">
            <v>13400</v>
          </cell>
        </row>
        <row r="97">
          <cell r="A97">
            <v>14001</v>
          </cell>
        </row>
        <row r="98">
          <cell r="A98">
            <v>14002</v>
          </cell>
        </row>
        <row r="99">
          <cell r="A99">
            <v>14003</v>
          </cell>
        </row>
        <row r="100">
          <cell r="A100">
            <v>14004</v>
          </cell>
        </row>
        <row r="101">
          <cell r="A101">
            <v>14005</v>
          </cell>
        </row>
        <row r="102">
          <cell r="A102">
            <v>14006</v>
          </cell>
        </row>
        <row r="103">
          <cell r="A103">
            <v>15027</v>
          </cell>
        </row>
        <row r="104">
          <cell r="A104">
            <v>15028</v>
          </cell>
        </row>
        <row r="105">
          <cell r="A105">
            <v>15029</v>
          </cell>
        </row>
        <row r="106">
          <cell r="A106">
            <v>15030</v>
          </cell>
        </row>
        <row r="107">
          <cell r="A107">
            <v>15031</v>
          </cell>
        </row>
        <row r="108">
          <cell r="A108">
            <v>20001</v>
          </cell>
        </row>
        <row r="109">
          <cell r="A109">
            <v>20002</v>
          </cell>
        </row>
        <row r="110">
          <cell r="A110">
            <v>20003</v>
          </cell>
        </row>
        <row r="111">
          <cell r="A111">
            <v>20004</v>
          </cell>
        </row>
        <row r="112">
          <cell r="A112">
            <v>20005</v>
          </cell>
        </row>
        <row r="113">
          <cell r="A113">
            <v>20006</v>
          </cell>
        </row>
        <row r="114">
          <cell r="A114">
            <v>20007</v>
          </cell>
        </row>
        <row r="115">
          <cell r="A115">
            <v>20008</v>
          </cell>
        </row>
        <row r="116">
          <cell r="A116">
            <v>20009</v>
          </cell>
        </row>
        <row r="117">
          <cell r="A117">
            <v>20010</v>
          </cell>
        </row>
        <row r="118">
          <cell r="A118">
            <v>20011</v>
          </cell>
        </row>
        <row r="119">
          <cell r="A119">
            <v>20012</v>
          </cell>
        </row>
        <row r="120">
          <cell r="A120">
            <v>20013</v>
          </cell>
        </row>
        <row r="121">
          <cell r="A121">
            <v>20014</v>
          </cell>
        </row>
        <row r="122">
          <cell r="A122">
            <v>20015</v>
          </cell>
        </row>
        <row r="123">
          <cell r="A123">
            <v>20016</v>
          </cell>
        </row>
        <row r="124">
          <cell r="A124">
            <v>20017</v>
          </cell>
        </row>
        <row r="125">
          <cell r="A125">
            <v>20018</v>
          </cell>
        </row>
        <row r="126">
          <cell r="A126">
            <v>20019</v>
          </cell>
        </row>
        <row r="127">
          <cell r="A127">
            <v>20020</v>
          </cell>
        </row>
        <row r="128">
          <cell r="A128">
            <v>20021</v>
          </cell>
        </row>
        <row r="129">
          <cell r="A129">
            <v>20022</v>
          </cell>
        </row>
        <row r="130">
          <cell r="A130">
            <v>30001</v>
          </cell>
        </row>
        <row r="131">
          <cell r="A131">
            <v>30002</v>
          </cell>
        </row>
        <row r="132">
          <cell r="A132">
            <v>30003</v>
          </cell>
        </row>
        <row r="133">
          <cell r="A133">
            <v>30004</v>
          </cell>
        </row>
        <row r="134">
          <cell r="A134">
            <v>30005</v>
          </cell>
        </row>
        <row r="135">
          <cell r="A135">
            <v>30006</v>
          </cell>
        </row>
        <row r="136">
          <cell r="A136">
            <v>30007</v>
          </cell>
        </row>
        <row r="137">
          <cell r="A137">
            <v>30008</v>
          </cell>
        </row>
        <row r="138">
          <cell r="A138">
            <v>30009</v>
          </cell>
        </row>
        <row r="139">
          <cell r="A139">
            <v>30010</v>
          </cell>
        </row>
        <row r="140">
          <cell r="A140">
            <v>30011</v>
          </cell>
        </row>
        <row r="141">
          <cell r="A141">
            <v>30012</v>
          </cell>
        </row>
        <row r="142">
          <cell r="A142">
            <v>30013</v>
          </cell>
        </row>
        <row r="143">
          <cell r="A143">
            <v>30014</v>
          </cell>
        </row>
        <row r="144">
          <cell r="A144">
            <v>30015</v>
          </cell>
        </row>
        <row r="145">
          <cell r="A145">
            <v>30016</v>
          </cell>
        </row>
        <row r="146">
          <cell r="A146">
            <v>30017</v>
          </cell>
        </row>
        <row r="147">
          <cell r="A147">
            <v>30018</v>
          </cell>
        </row>
        <row r="148">
          <cell r="A148">
            <v>30019</v>
          </cell>
        </row>
        <row r="149">
          <cell r="A149">
            <v>30020</v>
          </cell>
        </row>
        <row r="150">
          <cell r="A150">
            <v>30021</v>
          </cell>
        </row>
        <row r="151">
          <cell r="A151">
            <v>30022</v>
          </cell>
        </row>
        <row r="152">
          <cell r="A152">
            <v>30023</v>
          </cell>
        </row>
        <row r="153">
          <cell r="A153">
            <v>30024</v>
          </cell>
        </row>
        <row r="154">
          <cell r="A154">
            <v>30025</v>
          </cell>
        </row>
        <row r="155">
          <cell r="A155">
            <v>30026</v>
          </cell>
        </row>
        <row r="156">
          <cell r="A156">
            <v>30027</v>
          </cell>
        </row>
        <row r="157">
          <cell r="A157">
            <v>30028</v>
          </cell>
        </row>
        <row r="158">
          <cell r="A158">
            <v>30029</v>
          </cell>
        </row>
        <row r="159">
          <cell r="A159">
            <v>30030</v>
          </cell>
        </row>
        <row r="160">
          <cell r="A160">
            <v>30031</v>
          </cell>
        </row>
        <row r="161">
          <cell r="A161">
            <v>30032</v>
          </cell>
        </row>
        <row r="162">
          <cell r="A162">
            <v>30033</v>
          </cell>
        </row>
        <row r="163">
          <cell r="A163">
            <v>30034</v>
          </cell>
        </row>
        <row r="164">
          <cell r="A164">
            <v>30035</v>
          </cell>
        </row>
        <row r="165">
          <cell r="A165">
            <v>30036</v>
          </cell>
        </row>
        <row r="166">
          <cell r="A166">
            <v>30037</v>
          </cell>
        </row>
        <row r="167">
          <cell r="A167">
            <v>30038</v>
          </cell>
        </row>
        <row r="168">
          <cell r="A168">
            <v>30039</v>
          </cell>
        </row>
        <row r="169">
          <cell r="A169">
            <v>30040</v>
          </cell>
        </row>
        <row r="170">
          <cell r="A170">
            <v>30041</v>
          </cell>
        </row>
        <row r="171">
          <cell r="A171">
            <v>30042</v>
          </cell>
        </row>
        <row r="172">
          <cell r="A172">
            <v>30043</v>
          </cell>
        </row>
        <row r="173">
          <cell r="A173">
            <v>30044</v>
          </cell>
        </row>
        <row r="174">
          <cell r="A174">
            <v>30045</v>
          </cell>
        </row>
        <row r="175">
          <cell r="A175">
            <v>30046</v>
          </cell>
        </row>
        <row r="176">
          <cell r="A176">
            <v>30047</v>
          </cell>
        </row>
        <row r="177">
          <cell r="A177">
            <v>30048</v>
          </cell>
        </row>
        <row r="178">
          <cell r="A178">
            <v>39001</v>
          </cell>
        </row>
        <row r="179">
          <cell r="A179">
            <v>39002</v>
          </cell>
        </row>
        <row r="180">
          <cell r="A180">
            <v>39003</v>
          </cell>
        </row>
        <row r="181">
          <cell r="A181">
            <v>39004</v>
          </cell>
        </row>
        <row r="182">
          <cell r="A182">
            <v>39005</v>
          </cell>
        </row>
        <row r="183">
          <cell r="A183">
            <v>39006</v>
          </cell>
        </row>
        <row r="184">
          <cell r="A184">
            <v>39007</v>
          </cell>
        </row>
        <row r="185">
          <cell r="A185">
            <v>39008</v>
          </cell>
        </row>
        <row r="186">
          <cell r="A186">
            <v>39009</v>
          </cell>
        </row>
        <row r="187">
          <cell r="A187">
            <v>39010</v>
          </cell>
        </row>
        <row r="188">
          <cell r="A188">
            <v>39011</v>
          </cell>
        </row>
        <row r="189">
          <cell r="A189">
            <v>39012</v>
          </cell>
        </row>
        <row r="190">
          <cell r="A190">
            <v>40001</v>
          </cell>
        </row>
        <row r="191">
          <cell r="A191">
            <v>40002</v>
          </cell>
        </row>
        <row r="192">
          <cell r="A192">
            <v>40003</v>
          </cell>
        </row>
        <row r="193">
          <cell r="A193">
            <v>40004</v>
          </cell>
        </row>
        <row r="194">
          <cell r="A194">
            <v>40005</v>
          </cell>
        </row>
        <row r="195">
          <cell r="A195">
            <v>40006</v>
          </cell>
        </row>
        <row r="196">
          <cell r="A196">
            <v>40007</v>
          </cell>
        </row>
        <row r="197">
          <cell r="A197">
            <v>40008</v>
          </cell>
        </row>
        <row r="198">
          <cell r="A198">
            <v>40009</v>
          </cell>
        </row>
        <row r="199">
          <cell r="A199">
            <v>40010</v>
          </cell>
        </row>
        <row r="200">
          <cell r="A200">
            <v>40011</v>
          </cell>
        </row>
        <row r="201">
          <cell r="A201">
            <v>40012</v>
          </cell>
        </row>
        <row r="202">
          <cell r="A202">
            <v>40013</v>
          </cell>
        </row>
        <row r="203">
          <cell r="A203">
            <v>40014</v>
          </cell>
        </row>
        <row r="204">
          <cell r="A204">
            <v>40015</v>
          </cell>
        </row>
        <row r="205">
          <cell r="A205">
            <v>40016</v>
          </cell>
        </row>
        <row r="206">
          <cell r="A206">
            <v>40017</v>
          </cell>
        </row>
        <row r="207">
          <cell r="A207">
            <v>40018</v>
          </cell>
        </row>
        <row r="208">
          <cell r="A208">
            <v>40019</v>
          </cell>
        </row>
        <row r="209">
          <cell r="A209">
            <v>40021</v>
          </cell>
        </row>
        <row r="210">
          <cell r="A210">
            <v>40022</v>
          </cell>
        </row>
        <row r="211">
          <cell r="A211">
            <v>40023</v>
          </cell>
        </row>
        <row r="212">
          <cell r="A212">
            <v>40024</v>
          </cell>
        </row>
        <row r="213">
          <cell r="A213">
            <v>40025</v>
          </cell>
        </row>
        <row r="214">
          <cell r="A214">
            <v>40026</v>
          </cell>
        </row>
        <row r="215">
          <cell r="A215">
            <v>40027</v>
          </cell>
        </row>
        <row r="216">
          <cell r="A216">
            <v>40028</v>
          </cell>
        </row>
        <row r="217">
          <cell r="A217">
            <v>40029</v>
          </cell>
        </row>
        <row r="218">
          <cell r="A218">
            <v>40030</v>
          </cell>
        </row>
        <row r="219">
          <cell r="A219">
            <v>40031</v>
          </cell>
        </row>
        <row r="220">
          <cell r="A220">
            <v>40032</v>
          </cell>
        </row>
        <row r="221">
          <cell r="A221">
            <v>40033</v>
          </cell>
        </row>
        <row r="222">
          <cell r="A222">
            <v>40034</v>
          </cell>
        </row>
        <row r="223">
          <cell r="A223">
            <v>40035</v>
          </cell>
        </row>
        <row r="224">
          <cell r="A224">
            <v>40036</v>
          </cell>
        </row>
        <row r="225">
          <cell r="A225">
            <v>40037</v>
          </cell>
        </row>
        <row r="226">
          <cell r="A226">
            <v>40038</v>
          </cell>
        </row>
        <row r="227">
          <cell r="A227">
            <v>40039</v>
          </cell>
        </row>
        <row r="228">
          <cell r="A228">
            <v>40040</v>
          </cell>
        </row>
        <row r="229">
          <cell r="A229">
            <v>40041</v>
          </cell>
        </row>
        <row r="230">
          <cell r="A230">
            <v>40042</v>
          </cell>
        </row>
        <row r="231">
          <cell r="A231">
            <v>40043</v>
          </cell>
        </row>
        <row r="232">
          <cell r="A232">
            <v>48001</v>
          </cell>
        </row>
        <row r="233">
          <cell r="A233">
            <v>48002</v>
          </cell>
        </row>
        <row r="234">
          <cell r="A234">
            <v>48003</v>
          </cell>
        </row>
        <row r="235">
          <cell r="A235">
            <v>48004</v>
          </cell>
        </row>
        <row r="236">
          <cell r="A236">
            <v>48005</v>
          </cell>
        </row>
        <row r="237">
          <cell r="A237">
            <v>48006</v>
          </cell>
        </row>
        <row r="238">
          <cell r="A238">
            <v>48007</v>
          </cell>
        </row>
        <row r="239">
          <cell r="A239">
            <v>48008</v>
          </cell>
        </row>
        <row r="240">
          <cell r="A240">
            <v>48009</v>
          </cell>
        </row>
        <row r="241">
          <cell r="A241">
            <v>48010</v>
          </cell>
        </row>
        <row r="242">
          <cell r="A242">
            <v>48011</v>
          </cell>
        </row>
        <row r="243">
          <cell r="A243">
            <v>48501</v>
          </cell>
        </row>
        <row r="244">
          <cell r="A244">
            <v>48502</v>
          </cell>
        </row>
        <row r="245">
          <cell r="A245">
            <v>41001</v>
          </cell>
        </row>
        <row r="246">
          <cell r="A246">
            <v>41002</v>
          </cell>
        </row>
        <row r="247">
          <cell r="A247">
            <v>41003</v>
          </cell>
        </row>
        <row r="248">
          <cell r="A248">
            <v>41004</v>
          </cell>
        </row>
        <row r="249">
          <cell r="A249">
            <v>41005</v>
          </cell>
        </row>
        <row r="250">
          <cell r="A250">
            <v>41006</v>
          </cell>
        </row>
        <row r="251">
          <cell r="A251">
            <v>41007</v>
          </cell>
        </row>
        <row r="252">
          <cell r="A252">
            <v>41008</v>
          </cell>
        </row>
        <row r="253">
          <cell r="A253">
            <v>41009</v>
          </cell>
        </row>
        <row r="254">
          <cell r="A254">
            <v>41010</v>
          </cell>
        </row>
        <row r="255">
          <cell r="A255">
            <v>41011</v>
          </cell>
        </row>
        <row r="256">
          <cell r="A256">
            <v>41012</v>
          </cell>
        </row>
        <row r="257">
          <cell r="A257">
            <v>41013</v>
          </cell>
        </row>
        <row r="258">
          <cell r="A258">
            <v>41014</v>
          </cell>
        </row>
        <row r="259">
          <cell r="A259">
            <v>41015</v>
          </cell>
        </row>
        <row r="260">
          <cell r="A260">
            <v>47001</v>
          </cell>
        </row>
        <row r="261">
          <cell r="A261">
            <v>47002</v>
          </cell>
        </row>
        <row r="262">
          <cell r="A262">
            <v>47003</v>
          </cell>
        </row>
        <row r="263">
          <cell r="A263">
            <v>47004</v>
          </cell>
        </row>
        <row r="264">
          <cell r="A264">
            <v>47005</v>
          </cell>
        </row>
        <row r="265">
          <cell r="A265">
            <v>47006</v>
          </cell>
        </row>
        <row r="266">
          <cell r="A266">
            <v>47007</v>
          </cell>
        </row>
        <row r="267">
          <cell r="A267">
            <v>47008</v>
          </cell>
        </row>
        <row r="268">
          <cell r="A268">
            <v>47009</v>
          </cell>
        </row>
        <row r="269">
          <cell r="A269">
            <v>47010</v>
          </cell>
        </row>
        <row r="270">
          <cell r="A270">
            <v>49001</v>
          </cell>
        </row>
        <row r="271">
          <cell r="A271">
            <v>49002</v>
          </cell>
        </row>
        <row r="272">
          <cell r="A272">
            <v>49003</v>
          </cell>
        </row>
        <row r="273">
          <cell r="A273">
            <v>49004</v>
          </cell>
        </row>
        <row r="274">
          <cell r="A274">
            <v>49005</v>
          </cell>
        </row>
        <row r="275">
          <cell r="A275">
            <v>49006</v>
          </cell>
        </row>
        <row r="276">
          <cell r="A276">
            <v>49007</v>
          </cell>
        </row>
        <row r="277">
          <cell r="A277">
            <v>49008</v>
          </cell>
        </row>
        <row r="278">
          <cell r="A278">
            <v>49009</v>
          </cell>
        </row>
        <row r="279">
          <cell r="A279">
            <v>49010</v>
          </cell>
        </row>
        <row r="280">
          <cell r="A280">
            <v>49011</v>
          </cell>
        </row>
        <row r="281">
          <cell r="A281">
            <v>49012</v>
          </cell>
        </row>
        <row r="282">
          <cell r="A282">
            <v>49013</v>
          </cell>
        </row>
        <row r="283">
          <cell r="A283">
            <v>49014</v>
          </cell>
        </row>
        <row r="284">
          <cell r="A284">
            <v>50001</v>
          </cell>
        </row>
        <row r="285">
          <cell r="A285">
            <v>50002</v>
          </cell>
        </row>
        <row r="286">
          <cell r="A286">
            <v>50003</v>
          </cell>
        </row>
        <row r="287">
          <cell r="A287">
            <v>50004</v>
          </cell>
        </row>
        <row r="288">
          <cell r="A288">
            <v>50005</v>
          </cell>
        </row>
        <row r="289">
          <cell r="A289">
            <v>50006</v>
          </cell>
        </row>
        <row r="290">
          <cell r="A290">
            <v>50007</v>
          </cell>
        </row>
        <row r="291">
          <cell r="A291">
            <v>50008</v>
          </cell>
        </row>
        <row r="292">
          <cell r="A292">
            <v>50009</v>
          </cell>
        </row>
        <row r="293">
          <cell r="A293">
            <v>50010</v>
          </cell>
        </row>
        <row r="294">
          <cell r="A294">
            <v>50011</v>
          </cell>
        </row>
        <row r="295">
          <cell r="A295">
            <v>50012</v>
          </cell>
        </row>
        <row r="296">
          <cell r="A296">
            <v>50013</v>
          </cell>
        </row>
        <row r="297">
          <cell r="A297">
            <v>50014</v>
          </cell>
        </row>
        <row r="298">
          <cell r="A298">
            <v>51001</v>
          </cell>
        </row>
        <row r="299">
          <cell r="A299">
            <v>51002</v>
          </cell>
        </row>
        <row r="300">
          <cell r="A300">
            <v>58001</v>
          </cell>
        </row>
        <row r="301">
          <cell r="A301">
            <v>59001</v>
          </cell>
        </row>
        <row r="302">
          <cell r="A302">
            <v>59002</v>
          </cell>
        </row>
        <row r="303">
          <cell r="A303">
            <v>60001</v>
          </cell>
        </row>
        <row r="304">
          <cell r="A304">
            <v>60002</v>
          </cell>
        </row>
        <row r="305">
          <cell r="A305">
            <v>60003</v>
          </cell>
        </row>
        <row r="306">
          <cell r="A306">
            <v>60004</v>
          </cell>
        </row>
        <row r="307">
          <cell r="A307">
            <v>60005</v>
          </cell>
        </row>
        <row r="308">
          <cell r="A308">
            <v>60006</v>
          </cell>
        </row>
        <row r="309">
          <cell r="A309">
            <v>60007</v>
          </cell>
        </row>
        <row r="310">
          <cell r="A310">
            <v>60010</v>
          </cell>
        </row>
        <row r="311">
          <cell r="A311">
            <v>60011</v>
          </cell>
        </row>
        <row r="312">
          <cell r="A312">
            <v>61011</v>
          </cell>
        </row>
        <row r="313">
          <cell r="A313">
            <v>60012</v>
          </cell>
        </row>
        <row r="314">
          <cell r="A314">
            <v>60013</v>
          </cell>
        </row>
        <row r="315">
          <cell r="A315">
            <v>60014</v>
          </cell>
        </row>
        <row r="316">
          <cell r="A316">
            <v>60015</v>
          </cell>
        </row>
        <row r="317">
          <cell r="A317">
            <v>60016</v>
          </cell>
        </row>
        <row r="318">
          <cell r="A318">
            <v>60017</v>
          </cell>
        </row>
        <row r="319">
          <cell r="A319">
            <v>60018</v>
          </cell>
        </row>
        <row r="320">
          <cell r="A320">
            <v>60019</v>
          </cell>
        </row>
        <row r="321">
          <cell r="A321">
            <v>60020</v>
          </cell>
        </row>
        <row r="322">
          <cell r="A322">
            <v>60025</v>
          </cell>
        </row>
        <row r="323">
          <cell r="A323">
            <v>60026</v>
          </cell>
        </row>
        <row r="324">
          <cell r="A324">
            <v>60027</v>
          </cell>
        </row>
        <row r="325">
          <cell r="A325">
            <v>65525</v>
          </cell>
        </row>
        <row r="326">
          <cell r="A326">
            <v>65526</v>
          </cell>
        </row>
        <row r="327">
          <cell r="A327">
            <v>65527</v>
          </cell>
        </row>
        <row r="328">
          <cell r="A328">
            <v>65528</v>
          </cell>
        </row>
        <row r="329">
          <cell r="A329">
            <v>65529</v>
          </cell>
        </row>
        <row r="330">
          <cell r="A330">
            <v>65530</v>
          </cell>
        </row>
        <row r="331">
          <cell r="A331">
            <v>65531</v>
          </cell>
        </row>
        <row r="332">
          <cell r="A332">
            <v>65532</v>
          </cell>
        </row>
        <row r="333">
          <cell r="A333">
            <v>65533</v>
          </cell>
        </row>
        <row r="334">
          <cell r="A334">
            <v>65534</v>
          </cell>
        </row>
        <row r="335">
          <cell r="A335">
            <v>65535</v>
          </cell>
        </row>
        <row r="336">
          <cell r="A336">
            <v>60021</v>
          </cell>
        </row>
        <row r="337">
          <cell r="A337">
            <v>60022</v>
          </cell>
        </row>
        <row r="338">
          <cell r="A338">
            <v>60023</v>
          </cell>
        </row>
        <row r="339">
          <cell r="A33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12001_1</v>
          </cell>
        </row>
        <row r="299">
          <cell r="A299" t="str">
            <v>12001_2</v>
          </cell>
        </row>
        <row r="300">
          <cell r="A300" t="str">
            <v>12001_3</v>
          </cell>
        </row>
        <row r="301">
          <cell r="A301" t="str">
            <v>12002_1</v>
          </cell>
        </row>
        <row r="302">
          <cell r="A302" t="str">
            <v>12002_2</v>
          </cell>
        </row>
        <row r="303">
          <cell r="A303" t="str">
            <v>12003_1</v>
          </cell>
        </row>
        <row r="304">
          <cell r="A304" t="str">
            <v>12003_2</v>
          </cell>
        </row>
        <row r="305">
          <cell r="A305" t="str">
            <v>12003_3</v>
          </cell>
        </row>
        <row r="306">
          <cell r="A306" t="str">
            <v>12003_4</v>
          </cell>
        </row>
        <row r="307">
          <cell r="A307" t="str">
            <v>12004_1</v>
          </cell>
        </row>
        <row r="308">
          <cell r="A308" t="str">
            <v>13001_1</v>
          </cell>
        </row>
        <row r="309">
          <cell r="A309" t="str">
            <v>13001_2</v>
          </cell>
        </row>
        <row r="310">
          <cell r="A310" t="str">
            <v>13001_3</v>
          </cell>
        </row>
        <row r="311">
          <cell r="A311" t="str">
            <v>13001_4</v>
          </cell>
        </row>
        <row r="312">
          <cell r="A312" t="str">
            <v>13001_5</v>
          </cell>
        </row>
        <row r="313">
          <cell r="A313" t="str">
            <v>13001_6</v>
          </cell>
        </row>
        <row r="314">
          <cell r="A314" t="str">
            <v>13001_7</v>
          </cell>
        </row>
        <row r="315">
          <cell r="A315" t="str">
            <v>13001_8</v>
          </cell>
        </row>
        <row r="316">
          <cell r="A316" t="str">
            <v>13001_9</v>
          </cell>
        </row>
        <row r="317">
          <cell r="A317" t="str">
            <v>13001_10</v>
          </cell>
        </row>
        <row r="318">
          <cell r="A318" t="str">
            <v>13001_11</v>
          </cell>
        </row>
        <row r="319">
          <cell r="A319" t="str">
            <v>13001_12</v>
          </cell>
        </row>
        <row r="320">
          <cell r="A320" t="str">
            <v>13001_13</v>
          </cell>
        </row>
        <row r="321">
          <cell r="A321" t="str">
            <v>13001_14</v>
          </cell>
        </row>
        <row r="322">
          <cell r="A322" t="str">
            <v>13001_15</v>
          </cell>
        </row>
        <row r="323">
          <cell r="A323" t="str">
            <v>13001_16</v>
          </cell>
        </row>
        <row r="324">
          <cell r="A324" t="str">
            <v>13001_17</v>
          </cell>
        </row>
        <row r="325">
          <cell r="A325" t="str">
            <v>13001_18</v>
          </cell>
        </row>
        <row r="326">
          <cell r="A326" t="str">
            <v>13001_19</v>
          </cell>
        </row>
        <row r="327">
          <cell r="A327" t="str">
            <v>13001_20</v>
          </cell>
        </row>
        <row r="328">
          <cell r="A328" t="str">
            <v>13001_21</v>
          </cell>
        </row>
        <row r="329">
          <cell r="A329" t="str">
            <v>13001_22</v>
          </cell>
        </row>
        <row r="330">
          <cell r="A330" t="str">
            <v>13001_23</v>
          </cell>
        </row>
        <row r="331">
          <cell r="A331" t="str">
            <v>13001_24</v>
          </cell>
        </row>
        <row r="332">
          <cell r="A332" t="str">
            <v>13001_25</v>
          </cell>
        </row>
        <row r="333">
          <cell r="A333" t="str">
            <v>13101_1</v>
          </cell>
        </row>
        <row r="334">
          <cell r="A334" t="str">
            <v>13101_2</v>
          </cell>
        </row>
        <row r="335">
          <cell r="A335" t="str">
            <v>13101_3</v>
          </cell>
        </row>
        <row r="336">
          <cell r="A336" t="str">
            <v>13101_4</v>
          </cell>
        </row>
        <row r="337">
          <cell r="A337" t="str">
            <v>13101_5</v>
          </cell>
        </row>
        <row r="338">
          <cell r="A338" t="str">
            <v>13101_6</v>
          </cell>
        </row>
        <row r="339">
          <cell r="A339" t="str">
            <v>13101_7</v>
          </cell>
        </row>
        <row r="340">
          <cell r="A340" t="str">
            <v>13101_8</v>
          </cell>
        </row>
        <row r="341">
          <cell r="A341" t="str">
            <v>13101_9</v>
          </cell>
        </row>
        <row r="342">
          <cell r="A342" t="str">
            <v>13101_10</v>
          </cell>
        </row>
        <row r="343">
          <cell r="A343" t="str">
            <v>13101_11</v>
          </cell>
        </row>
        <row r="344">
          <cell r="A344" t="str">
            <v>13101_12</v>
          </cell>
        </row>
        <row r="345">
          <cell r="A345" t="str">
            <v>13101_13</v>
          </cell>
        </row>
        <row r="346">
          <cell r="A346" t="str">
            <v>13101_14</v>
          </cell>
        </row>
        <row r="347">
          <cell r="A347" t="str">
            <v>13101_15</v>
          </cell>
        </row>
        <row r="348">
          <cell r="A348" t="str">
            <v>13101_16</v>
          </cell>
        </row>
        <row r="349">
          <cell r="A349" t="str">
            <v>13101_17</v>
          </cell>
        </row>
        <row r="350">
          <cell r="A350" t="str">
            <v>13101_18</v>
          </cell>
        </row>
        <row r="351">
          <cell r="A351" t="str">
            <v>13101_19</v>
          </cell>
        </row>
        <row r="352">
          <cell r="A352" t="str">
            <v>13101_20</v>
          </cell>
        </row>
        <row r="353">
          <cell r="A353" t="str">
            <v>13101_21</v>
          </cell>
        </row>
        <row r="354">
          <cell r="A354" t="str">
            <v>13101_22</v>
          </cell>
        </row>
        <row r="355">
          <cell r="A355" t="str">
            <v>13101_23</v>
          </cell>
        </row>
        <row r="356">
          <cell r="A356" t="str">
            <v>13101_24</v>
          </cell>
        </row>
        <row r="357">
          <cell r="A357" t="str">
            <v>13101_25</v>
          </cell>
        </row>
        <row r="358">
          <cell r="A358" t="str">
            <v>13300_1</v>
          </cell>
        </row>
        <row r="359">
          <cell r="A359" t="str">
            <v>13300_2</v>
          </cell>
        </row>
        <row r="360">
          <cell r="A360" t="str">
            <v>13300_3</v>
          </cell>
        </row>
        <row r="361">
          <cell r="A361" t="str">
            <v>13300_4</v>
          </cell>
        </row>
        <row r="362">
          <cell r="A362" t="str">
            <v>13300_5</v>
          </cell>
        </row>
        <row r="363">
          <cell r="A363" t="str">
            <v>13300_6</v>
          </cell>
        </row>
        <row r="364">
          <cell r="A364" t="str">
            <v>13300_7</v>
          </cell>
        </row>
        <row r="365">
          <cell r="A365" t="str">
            <v>13300_8</v>
          </cell>
        </row>
        <row r="366">
          <cell r="A366" t="str">
            <v>13300_9</v>
          </cell>
        </row>
        <row r="367">
          <cell r="A367" t="str">
            <v>13300_10</v>
          </cell>
        </row>
        <row r="368">
          <cell r="A368" t="str">
            <v>13300_11</v>
          </cell>
        </row>
        <row r="369">
          <cell r="A369" t="str">
            <v>13300_12</v>
          </cell>
        </row>
        <row r="370">
          <cell r="A370" t="str">
            <v>13300_13</v>
          </cell>
        </row>
        <row r="371">
          <cell r="A371" t="str">
            <v>13300_14</v>
          </cell>
        </row>
        <row r="372">
          <cell r="A372" t="str">
            <v>13300_15</v>
          </cell>
        </row>
        <row r="373">
          <cell r="A373" t="str">
            <v>13301_1</v>
          </cell>
        </row>
        <row r="374">
          <cell r="A374" t="str">
            <v>13301_2</v>
          </cell>
        </row>
        <row r="375">
          <cell r="A375" t="str">
            <v>13301_3</v>
          </cell>
        </row>
        <row r="376">
          <cell r="A376" t="str">
            <v>13301_4</v>
          </cell>
        </row>
        <row r="377">
          <cell r="A377" t="str">
            <v>13301_5</v>
          </cell>
        </row>
        <row r="378">
          <cell r="A378" t="str">
            <v>13301_6</v>
          </cell>
        </row>
        <row r="379">
          <cell r="A379" t="str">
            <v>13301_7</v>
          </cell>
        </row>
        <row r="380">
          <cell r="A380" t="str">
            <v>13301_8</v>
          </cell>
        </row>
        <row r="381">
          <cell r="A381" t="str">
            <v>13301_9</v>
          </cell>
        </row>
        <row r="382">
          <cell r="A382" t="str">
            <v>13301_10</v>
          </cell>
        </row>
        <row r="383">
          <cell r="A383" t="str">
            <v>13301_11</v>
          </cell>
        </row>
        <row r="384">
          <cell r="A384" t="str">
            <v>13301_12</v>
          </cell>
        </row>
        <row r="385">
          <cell r="A385" t="str">
            <v>13301_13</v>
          </cell>
        </row>
        <row r="386">
          <cell r="A386" t="str">
            <v>13301_14</v>
          </cell>
        </row>
        <row r="387">
          <cell r="A387" t="str">
            <v>13301_15</v>
          </cell>
        </row>
        <row r="388">
          <cell r="A388" t="str">
            <v>13302_1</v>
          </cell>
        </row>
        <row r="389">
          <cell r="A389" t="str">
            <v>13302_2</v>
          </cell>
        </row>
        <row r="390">
          <cell r="A390" t="str">
            <v>13302_3</v>
          </cell>
        </row>
        <row r="391">
          <cell r="A391" t="str">
            <v>13302_4</v>
          </cell>
        </row>
        <row r="392">
          <cell r="A392" t="str">
            <v>13302_5</v>
          </cell>
        </row>
        <row r="393">
          <cell r="A393" t="str">
            <v>13302_6</v>
          </cell>
        </row>
        <row r="394">
          <cell r="A394" t="str">
            <v>13302_7</v>
          </cell>
        </row>
        <row r="395">
          <cell r="A395" t="str">
            <v>13302_8</v>
          </cell>
        </row>
        <row r="396">
          <cell r="A396" t="str">
            <v>13302_9</v>
          </cell>
        </row>
        <row r="397">
          <cell r="A397" t="str">
            <v>13302_10</v>
          </cell>
        </row>
        <row r="398">
          <cell r="A398" t="str">
            <v>13302_11</v>
          </cell>
        </row>
        <row r="399">
          <cell r="A399" t="str">
            <v>13302_12</v>
          </cell>
        </row>
        <row r="400">
          <cell r="A400" t="str">
            <v>13302_13</v>
          </cell>
        </row>
        <row r="401">
          <cell r="A401" t="str">
            <v>13302_14</v>
          </cell>
        </row>
        <row r="402">
          <cell r="A402" t="str">
            <v>13302_15</v>
          </cell>
        </row>
        <row r="403">
          <cell r="A403" t="str">
            <v>13400_1</v>
          </cell>
        </row>
        <row r="404">
          <cell r="A404" t="str">
            <v>13400_2</v>
          </cell>
        </row>
        <row r="405">
          <cell r="A405" t="str">
            <v>13400_3</v>
          </cell>
        </row>
        <row r="406">
          <cell r="A406" t="str">
            <v>13400_4</v>
          </cell>
        </row>
        <row r="407">
          <cell r="A407" t="str">
            <v>13400_5</v>
          </cell>
        </row>
        <row r="408">
          <cell r="A408" t="str">
            <v>13400_6</v>
          </cell>
        </row>
        <row r="409">
          <cell r="A409" t="str">
            <v>13400_7</v>
          </cell>
        </row>
        <row r="410">
          <cell r="A410" t="str">
            <v>13400_8</v>
          </cell>
        </row>
        <row r="411">
          <cell r="A411" t="str">
            <v>13400_9</v>
          </cell>
        </row>
        <row r="412">
          <cell r="A412" t="str">
            <v>13400_10</v>
          </cell>
        </row>
        <row r="413">
          <cell r="A413" t="str">
            <v>13400_11</v>
          </cell>
        </row>
        <row r="414">
          <cell r="A414" t="str">
            <v>13400_12</v>
          </cell>
        </row>
        <row r="415">
          <cell r="A415" t="str">
            <v>13400_13</v>
          </cell>
        </row>
        <row r="416">
          <cell r="A416" t="str">
            <v>13400_14</v>
          </cell>
        </row>
        <row r="417">
          <cell r="A417" t="str">
            <v>13400_15</v>
          </cell>
        </row>
        <row r="418">
          <cell r="A418" t="str">
            <v>14001_1</v>
          </cell>
        </row>
        <row r="419">
          <cell r="A419" t="str">
            <v>14001_2</v>
          </cell>
        </row>
        <row r="420">
          <cell r="A420" t="str">
            <v>14001_3</v>
          </cell>
        </row>
        <row r="421">
          <cell r="A421" t="str">
            <v>14001_4</v>
          </cell>
        </row>
        <row r="422">
          <cell r="A422" t="str">
            <v>14001_5</v>
          </cell>
        </row>
        <row r="423">
          <cell r="A423" t="str">
            <v>14001_6</v>
          </cell>
        </row>
        <row r="424">
          <cell r="A424" t="str">
            <v>14001_7</v>
          </cell>
        </row>
        <row r="425">
          <cell r="A425" t="str">
            <v>14001_8</v>
          </cell>
        </row>
        <row r="426">
          <cell r="A426" t="str">
            <v>14002_1</v>
          </cell>
        </row>
        <row r="427">
          <cell r="A427" t="str">
            <v>14002_2</v>
          </cell>
        </row>
        <row r="428">
          <cell r="A428" t="str">
            <v>14003_1</v>
          </cell>
        </row>
        <row r="429">
          <cell r="A429" t="str">
            <v>14003_2</v>
          </cell>
        </row>
        <row r="430">
          <cell r="A430" t="str">
            <v>14003_3</v>
          </cell>
        </row>
        <row r="431">
          <cell r="A431" t="str">
            <v>14003_4</v>
          </cell>
        </row>
        <row r="432">
          <cell r="A432" t="str">
            <v>14004_1</v>
          </cell>
        </row>
        <row r="433">
          <cell r="A433" t="str">
            <v>14004_2</v>
          </cell>
        </row>
        <row r="434">
          <cell r="A434" t="str">
            <v>14004_3</v>
          </cell>
        </row>
        <row r="435">
          <cell r="A435" t="str">
            <v>14004_4</v>
          </cell>
        </row>
        <row r="436">
          <cell r="A436" t="str">
            <v>14005_1</v>
          </cell>
        </row>
        <row r="437">
          <cell r="A437" t="str">
            <v>14006_1</v>
          </cell>
        </row>
        <row r="438">
          <cell r="A438" t="str">
            <v>15027_1</v>
          </cell>
        </row>
        <row r="439">
          <cell r="A439" t="str">
            <v>15027_2</v>
          </cell>
        </row>
        <row r="440">
          <cell r="A440" t="str">
            <v>15027_3</v>
          </cell>
        </row>
        <row r="441">
          <cell r="A441" t="str">
            <v>15027_4</v>
          </cell>
        </row>
        <row r="442">
          <cell r="A442" t="str">
            <v>15028_1</v>
          </cell>
        </row>
        <row r="443">
          <cell r="A443" t="str">
            <v>15028_2</v>
          </cell>
        </row>
        <row r="444">
          <cell r="A444" t="str">
            <v>15028_3</v>
          </cell>
        </row>
        <row r="445">
          <cell r="A445" t="str">
            <v>15028_4</v>
          </cell>
        </row>
        <row r="446">
          <cell r="A446" t="str">
            <v>15029_1</v>
          </cell>
        </row>
        <row r="447">
          <cell r="A447" t="str">
            <v>15029_2</v>
          </cell>
        </row>
        <row r="448">
          <cell r="A448" t="str">
            <v>15029_3</v>
          </cell>
        </row>
        <row r="449">
          <cell r="A449" t="str">
            <v>15029_4</v>
          </cell>
        </row>
        <row r="450">
          <cell r="A450" t="str">
            <v>15030_1</v>
          </cell>
        </row>
        <row r="451">
          <cell r="A451" t="str">
            <v>15030_2</v>
          </cell>
        </row>
        <row r="452">
          <cell r="A452" t="str">
            <v>15030_3</v>
          </cell>
        </row>
        <row r="453">
          <cell r="A453" t="str">
            <v>15030_4</v>
          </cell>
        </row>
        <row r="454">
          <cell r="A454" t="str">
            <v>15031_1</v>
          </cell>
        </row>
        <row r="455">
          <cell r="A455" t="str">
            <v>15031_2</v>
          </cell>
        </row>
        <row r="456">
          <cell r="A456" t="str">
            <v>15031_3</v>
          </cell>
        </row>
        <row r="457">
          <cell r="A457" t="str">
            <v>15031_4</v>
          </cell>
        </row>
        <row r="458">
          <cell r="A458" t="str">
            <v>20001_1</v>
          </cell>
        </row>
        <row r="459">
          <cell r="A459" t="str">
            <v>20001_2</v>
          </cell>
        </row>
        <row r="460">
          <cell r="A460" t="str">
            <v>20001_3</v>
          </cell>
        </row>
        <row r="461">
          <cell r="A461" t="str">
            <v>20002_1</v>
          </cell>
        </row>
        <row r="462">
          <cell r="A462" t="str">
            <v>20002_2</v>
          </cell>
        </row>
        <row r="463">
          <cell r="A463" t="str">
            <v>20002_3</v>
          </cell>
        </row>
        <row r="464">
          <cell r="A464" t="str">
            <v>20003_1</v>
          </cell>
        </row>
        <row r="465">
          <cell r="A465" t="str">
            <v>20003_2</v>
          </cell>
        </row>
        <row r="466">
          <cell r="A466" t="str">
            <v>20003_3</v>
          </cell>
        </row>
        <row r="467">
          <cell r="A467" t="str">
            <v>20004_1</v>
          </cell>
        </row>
        <row r="468">
          <cell r="A468" t="str">
            <v>20004_2</v>
          </cell>
        </row>
        <row r="469">
          <cell r="A469" t="str">
            <v>20004_3</v>
          </cell>
        </row>
        <row r="470">
          <cell r="A470" t="str">
            <v>20005_1</v>
          </cell>
        </row>
        <row r="471">
          <cell r="A471" t="str">
            <v>20005_2</v>
          </cell>
        </row>
        <row r="472">
          <cell r="A472" t="str">
            <v>20005_3</v>
          </cell>
        </row>
        <row r="473">
          <cell r="A473" t="str">
            <v>20006_1</v>
          </cell>
        </row>
        <row r="474">
          <cell r="A474" t="str">
            <v>20006_2</v>
          </cell>
        </row>
        <row r="475">
          <cell r="A475" t="str">
            <v>20006_3</v>
          </cell>
        </row>
        <row r="476">
          <cell r="A476" t="str">
            <v>20007_1</v>
          </cell>
        </row>
        <row r="477">
          <cell r="A477" t="str">
            <v>20007_2</v>
          </cell>
        </row>
        <row r="478">
          <cell r="A478" t="str">
            <v>20007_3</v>
          </cell>
        </row>
        <row r="479">
          <cell r="A479" t="str">
            <v>20008_1</v>
          </cell>
        </row>
        <row r="480">
          <cell r="A480" t="str">
            <v>20008_2</v>
          </cell>
        </row>
        <row r="481">
          <cell r="A481" t="str">
            <v>20008_3</v>
          </cell>
        </row>
        <row r="482">
          <cell r="A482" t="str">
            <v>20009_1</v>
          </cell>
        </row>
        <row r="483">
          <cell r="A483" t="str">
            <v>20009_2</v>
          </cell>
        </row>
        <row r="484">
          <cell r="A484" t="str">
            <v>20009_3</v>
          </cell>
        </row>
        <row r="485">
          <cell r="A485" t="str">
            <v>20010_1</v>
          </cell>
        </row>
        <row r="486">
          <cell r="A486" t="str">
            <v>20010_2</v>
          </cell>
        </row>
        <row r="487">
          <cell r="A487" t="str">
            <v>20010_3</v>
          </cell>
        </row>
        <row r="488">
          <cell r="A488" t="str">
            <v>20011_1</v>
          </cell>
        </row>
        <row r="489">
          <cell r="A489" t="str">
            <v>20011_2</v>
          </cell>
        </row>
        <row r="490">
          <cell r="A490" t="str">
            <v>20011_3</v>
          </cell>
        </row>
        <row r="491">
          <cell r="A491" t="str">
            <v>20012_1</v>
          </cell>
        </row>
        <row r="492">
          <cell r="A492" t="str">
            <v>20012_2</v>
          </cell>
        </row>
        <row r="493">
          <cell r="A493" t="str">
            <v>20012_3</v>
          </cell>
        </row>
        <row r="494">
          <cell r="A494" t="str">
            <v>20013_1</v>
          </cell>
        </row>
        <row r="495">
          <cell r="A495" t="str">
            <v>20013_2</v>
          </cell>
        </row>
        <row r="496">
          <cell r="A496" t="str">
            <v>20013_3</v>
          </cell>
        </row>
        <row r="497">
          <cell r="A497" t="str">
            <v>20014_1</v>
          </cell>
        </row>
        <row r="498">
          <cell r="A498" t="str">
            <v>20014_2</v>
          </cell>
        </row>
        <row r="499">
          <cell r="A499" t="str">
            <v>20014_3</v>
          </cell>
        </row>
        <row r="500">
          <cell r="A500" t="str">
            <v>20015_1</v>
          </cell>
        </row>
        <row r="501">
          <cell r="A501" t="str">
            <v>20015_2</v>
          </cell>
        </row>
        <row r="502">
          <cell r="A502" t="str">
            <v>20015_3</v>
          </cell>
        </row>
        <row r="503">
          <cell r="A503" t="str">
            <v>20016_1</v>
          </cell>
        </row>
        <row r="504">
          <cell r="A504" t="str">
            <v>20016_2</v>
          </cell>
        </row>
        <row r="505">
          <cell r="A505" t="str">
            <v>20016_3</v>
          </cell>
        </row>
        <row r="506">
          <cell r="A506" t="str">
            <v>20017_1</v>
          </cell>
        </row>
        <row r="507">
          <cell r="A507" t="str">
            <v>20017_2</v>
          </cell>
        </row>
        <row r="508">
          <cell r="A508" t="str">
            <v>20017_3</v>
          </cell>
        </row>
        <row r="509">
          <cell r="A509" t="str">
            <v>20018_1</v>
          </cell>
        </row>
        <row r="510">
          <cell r="A510" t="str">
            <v>20018_2</v>
          </cell>
        </row>
        <row r="511">
          <cell r="A511" t="str">
            <v>20018_3</v>
          </cell>
        </row>
        <row r="512">
          <cell r="A512" t="str">
            <v>20019_1</v>
          </cell>
        </row>
        <row r="513">
          <cell r="A513" t="str">
            <v>20019_2</v>
          </cell>
        </row>
        <row r="514">
          <cell r="A514" t="str">
            <v>20019_3</v>
          </cell>
        </row>
        <row r="515">
          <cell r="A515" t="str">
            <v>20020_1</v>
          </cell>
        </row>
        <row r="516">
          <cell r="A516" t="str">
            <v>20020_2</v>
          </cell>
        </row>
        <row r="517">
          <cell r="A517" t="str">
            <v>20020_3</v>
          </cell>
        </row>
        <row r="518">
          <cell r="A518" t="str">
            <v>20021_1</v>
          </cell>
        </row>
        <row r="519">
          <cell r="A519" t="str">
            <v>20021_2</v>
          </cell>
        </row>
        <row r="520">
          <cell r="A520" t="str">
            <v>20021_3</v>
          </cell>
        </row>
        <row r="521">
          <cell r="A521" t="str">
            <v>20022_1</v>
          </cell>
        </row>
        <row r="522">
          <cell r="A522" t="str">
            <v>30001_1</v>
          </cell>
        </row>
        <row r="523">
          <cell r="A523" t="str">
            <v>30001_2</v>
          </cell>
        </row>
        <row r="524">
          <cell r="A524" t="str">
            <v>30001_3</v>
          </cell>
        </row>
        <row r="525">
          <cell r="A525" t="str">
            <v>30002_1</v>
          </cell>
        </row>
        <row r="526">
          <cell r="A526" t="str">
            <v>30002_2</v>
          </cell>
        </row>
        <row r="527">
          <cell r="A527" t="str">
            <v>30002_3</v>
          </cell>
        </row>
        <row r="528">
          <cell r="A528" t="str">
            <v>30003_1</v>
          </cell>
        </row>
        <row r="529">
          <cell r="A529" t="str">
            <v>30003_2</v>
          </cell>
        </row>
        <row r="530">
          <cell r="A530" t="str">
            <v>30003_3</v>
          </cell>
        </row>
        <row r="531">
          <cell r="A531" t="str">
            <v>30004_1</v>
          </cell>
        </row>
        <row r="532">
          <cell r="A532" t="str">
            <v>30004_2</v>
          </cell>
        </row>
        <row r="533">
          <cell r="A533" t="str">
            <v>30004_3</v>
          </cell>
        </row>
        <row r="534">
          <cell r="A534" t="str">
            <v>30005_1</v>
          </cell>
        </row>
        <row r="535">
          <cell r="A535" t="str">
            <v>30005_2</v>
          </cell>
        </row>
        <row r="536">
          <cell r="A536" t="str">
            <v>30005_3</v>
          </cell>
        </row>
        <row r="537">
          <cell r="A537" t="str">
            <v>30006_1</v>
          </cell>
        </row>
        <row r="538">
          <cell r="A538" t="str">
            <v>30006_2</v>
          </cell>
        </row>
        <row r="539">
          <cell r="A539" t="str">
            <v>30006_3</v>
          </cell>
        </row>
        <row r="540">
          <cell r="A540" t="str">
            <v>30007_1</v>
          </cell>
        </row>
        <row r="541">
          <cell r="A541" t="str">
            <v>30007_2</v>
          </cell>
        </row>
        <row r="542">
          <cell r="A542" t="str">
            <v>30007_3</v>
          </cell>
        </row>
        <row r="543">
          <cell r="A543" t="str">
            <v>30008_1</v>
          </cell>
        </row>
        <row r="544">
          <cell r="A544" t="str">
            <v>30008_2</v>
          </cell>
        </row>
        <row r="545">
          <cell r="A545" t="str">
            <v>30008_3</v>
          </cell>
        </row>
        <row r="546">
          <cell r="A546" t="str">
            <v>30009_3</v>
          </cell>
        </row>
        <row r="547">
          <cell r="A547" t="str">
            <v>30009_1</v>
          </cell>
        </row>
        <row r="548">
          <cell r="A548" t="str">
            <v>30009_2</v>
          </cell>
        </row>
        <row r="549">
          <cell r="A549" t="str">
            <v>30010_1</v>
          </cell>
        </row>
        <row r="550">
          <cell r="A550" t="str">
            <v>30010_2</v>
          </cell>
        </row>
        <row r="551">
          <cell r="A551" t="str">
            <v>30010_3</v>
          </cell>
        </row>
        <row r="552">
          <cell r="A552" t="str">
            <v>30011_1</v>
          </cell>
        </row>
        <row r="553">
          <cell r="A553" t="str">
            <v>30011_2</v>
          </cell>
        </row>
        <row r="554">
          <cell r="A554" t="str">
            <v>30011_3</v>
          </cell>
        </row>
        <row r="555">
          <cell r="A555" t="str">
            <v>30012_1</v>
          </cell>
        </row>
        <row r="556">
          <cell r="A556" t="str">
            <v>30012_2</v>
          </cell>
        </row>
        <row r="557">
          <cell r="A557" t="str">
            <v>30012_3</v>
          </cell>
        </row>
        <row r="558">
          <cell r="A558" t="str">
            <v>30013_1</v>
          </cell>
        </row>
        <row r="559">
          <cell r="A559" t="str">
            <v>30013_2</v>
          </cell>
        </row>
        <row r="560">
          <cell r="A560" t="str">
            <v>30014_1</v>
          </cell>
        </row>
        <row r="561">
          <cell r="A561" t="str">
            <v>30014_2</v>
          </cell>
        </row>
        <row r="562">
          <cell r="A562" t="str">
            <v>30015_1</v>
          </cell>
        </row>
        <row r="563">
          <cell r="A563" t="str">
            <v>30015_2</v>
          </cell>
        </row>
        <row r="564">
          <cell r="A564" t="str">
            <v>30016_1</v>
          </cell>
        </row>
        <row r="565">
          <cell r="A565" t="str">
            <v>30016_2</v>
          </cell>
        </row>
        <row r="566">
          <cell r="A566" t="str">
            <v>30017_1</v>
          </cell>
        </row>
        <row r="567">
          <cell r="A567" t="str">
            <v>30017_2</v>
          </cell>
        </row>
        <row r="568">
          <cell r="A568" t="str">
            <v>30018_1</v>
          </cell>
        </row>
        <row r="569">
          <cell r="A569" t="str">
            <v>30018_2</v>
          </cell>
        </row>
        <row r="570">
          <cell r="A570" t="str">
            <v>30019_1</v>
          </cell>
        </row>
        <row r="571">
          <cell r="A571" t="str">
            <v>30019_2</v>
          </cell>
        </row>
        <row r="572">
          <cell r="A572" t="str">
            <v>30020_1</v>
          </cell>
        </row>
        <row r="573">
          <cell r="A573" t="str">
            <v>30020_2</v>
          </cell>
        </row>
        <row r="574">
          <cell r="A574" t="str">
            <v>30021_1</v>
          </cell>
        </row>
        <row r="575">
          <cell r="A575" t="str">
            <v>30021_2</v>
          </cell>
        </row>
        <row r="576">
          <cell r="A576" t="str">
            <v>30021_3</v>
          </cell>
        </row>
        <row r="577">
          <cell r="A577" t="str">
            <v>30022_1</v>
          </cell>
        </row>
        <row r="578">
          <cell r="A578" t="str">
            <v>30022_2</v>
          </cell>
        </row>
        <row r="579">
          <cell r="A579" t="str">
            <v>30023_1</v>
          </cell>
        </row>
        <row r="580">
          <cell r="A580" t="str">
            <v>30023_2</v>
          </cell>
        </row>
        <row r="581">
          <cell r="A581" t="str">
            <v>30023_3</v>
          </cell>
        </row>
        <row r="582">
          <cell r="A582" t="str">
            <v>30024_1</v>
          </cell>
        </row>
        <row r="583">
          <cell r="A583" t="str">
            <v>30024_2</v>
          </cell>
        </row>
        <row r="584">
          <cell r="A584" t="str">
            <v>30024_3</v>
          </cell>
        </row>
        <row r="585">
          <cell r="A585" t="str">
            <v>30025_1</v>
          </cell>
        </row>
        <row r="586">
          <cell r="A586" t="str">
            <v>30025_2</v>
          </cell>
        </row>
        <row r="587">
          <cell r="A587" t="str">
            <v>30025_3</v>
          </cell>
        </row>
        <row r="588">
          <cell r="A588" t="str">
            <v>30026_1</v>
          </cell>
        </row>
        <row r="589">
          <cell r="A589" t="str">
            <v>30026_2</v>
          </cell>
        </row>
        <row r="590">
          <cell r="A590" t="str">
            <v>30026_3</v>
          </cell>
        </row>
        <row r="591">
          <cell r="A591" t="str">
            <v>30027_1</v>
          </cell>
        </row>
        <row r="592">
          <cell r="A592" t="str">
            <v>30027_2</v>
          </cell>
        </row>
        <row r="593">
          <cell r="A593" t="str">
            <v>30027_3</v>
          </cell>
        </row>
        <row r="594">
          <cell r="A594" t="str">
            <v>30028_1</v>
          </cell>
        </row>
        <row r="595">
          <cell r="A595" t="str">
            <v>30028_2</v>
          </cell>
        </row>
        <row r="596">
          <cell r="A596" t="str">
            <v>30028_3</v>
          </cell>
        </row>
        <row r="597">
          <cell r="A597" t="str">
            <v>30029_1</v>
          </cell>
        </row>
        <row r="598">
          <cell r="A598" t="str">
            <v>30029_2</v>
          </cell>
        </row>
        <row r="599">
          <cell r="A599" t="str">
            <v>30029_3</v>
          </cell>
        </row>
        <row r="600">
          <cell r="A600" t="str">
            <v>30030_1</v>
          </cell>
        </row>
        <row r="601">
          <cell r="A601" t="str">
            <v>30030_2</v>
          </cell>
        </row>
        <row r="602">
          <cell r="A602" t="str">
            <v>30030_3</v>
          </cell>
        </row>
        <row r="603">
          <cell r="A603" t="str">
            <v>30031_1</v>
          </cell>
        </row>
        <row r="604">
          <cell r="A604" t="str">
            <v>30031_2</v>
          </cell>
        </row>
        <row r="605">
          <cell r="A605" t="str">
            <v>30031_3</v>
          </cell>
        </row>
        <row r="606">
          <cell r="A606" t="str">
            <v>30032_1</v>
          </cell>
        </row>
        <row r="607">
          <cell r="A607" t="str">
            <v>30032_2</v>
          </cell>
        </row>
        <row r="608">
          <cell r="A608" t="str">
            <v>30032_3</v>
          </cell>
        </row>
        <row r="609">
          <cell r="A609" t="str">
            <v>30033_1</v>
          </cell>
        </row>
        <row r="610">
          <cell r="A610" t="str">
            <v>30033_2</v>
          </cell>
        </row>
        <row r="611">
          <cell r="A611" t="str">
            <v>30033_3</v>
          </cell>
        </row>
        <row r="612">
          <cell r="A612" t="str">
            <v>30034_1</v>
          </cell>
        </row>
        <row r="613">
          <cell r="A613" t="str">
            <v>30034_2</v>
          </cell>
        </row>
        <row r="614">
          <cell r="A614" t="str">
            <v>30034_3</v>
          </cell>
        </row>
        <row r="615">
          <cell r="A615" t="str">
            <v>30035_1</v>
          </cell>
        </row>
        <row r="616">
          <cell r="A616" t="str">
            <v>30035_2</v>
          </cell>
        </row>
        <row r="617">
          <cell r="A617" t="str">
            <v>30035_3</v>
          </cell>
        </row>
        <row r="618">
          <cell r="A618" t="str">
            <v>30036_1</v>
          </cell>
        </row>
        <row r="619">
          <cell r="A619" t="str">
            <v>30036_2</v>
          </cell>
        </row>
        <row r="620">
          <cell r="A620" t="str">
            <v>30036_3</v>
          </cell>
        </row>
        <row r="621">
          <cell r="A621" t="str">
            <v>30037_1</v>
          </cell>
        </row>
        <row r="622">
          <cell r="A622" t="str">
            <v>30037_2</v>
          </cell>
        </row>
        <row r="623">
          <cell r="A623" t="str">
            <v>30037_3</v>
          </cell>
        </row>
        <row r="624">
          <cell r="A624" t="str">
            <v>30038_1</v>
          </cell>
        </row>
        <row r="625">
          <cell r="A625" t="str">
            <v>30038_2</v>
          </cell>
        </row>
        <row r="626">
          <cell r="A626" t="str">
            <v>30038_3</v>
          </cell>
        </row>
        <row r="627">
          <cell r="A627" t="str">
            <v>30039_1</v>
          </cell>
        </row>
        <row r="628">
          <cell r="A628" t="str">
            <v>30039_2</v>
          </cell>
        </row>
        <row r="629">
          <cell r="A629" t="str">
            <v>30039_3</v>
          </cell>
        </row>
        <row r="630">
          <cell r="A630" t="str">
            <v>30040_1</v>
          </cell>
        </row>
        <row r="631">
          <cell r="A631" t="str">
            <v>30040_2</v>
          </cell>
        </row>
        <row r="632">
          <cell r="A632" t="str">
            <v>30040_3</v>
          </cell>
        </row>
        <row r="633">
          <cell r="A633" t="str">
            <v>30041_1</v>
          </cell>
        </row>
        <row r="634">
          <cell r="A634" t="str">
            <v>30041_2</v>
          </cell>
        </row>
        <row r="635">
          <cell r="A635" t="str">
            <v>30041_3</v>
          </cell>
        </row>
        <row r="636">
          <cell r="A636" t="str">
            <v>30042_1</v>
          </cell>
        </row>
        <row r="637">
          <cell r="A637" t="str">
            <v>30042_2</v>
          </cell>
        </row>
        <row r="638">
          <cell r="A638" t="str">
            <v>30042_3</v>
          </cell>
        </row>
        <row r="639">
          <cell r="A639" t="str">
            <v>30043_1</v>
          </cell>
        </row>
        <row r="640">
          <cell r="A640" t="str">
            <v>30043_2</v>
          </cell>
        </row>
        <row r="641">
          <cell r="A641" t="str">
            <v>30043_3</v>
          </cell>
        </row>
        <row r="642">
          <cell r="A642" t="str">
            <v>30044_1</v>
          </cell>
        </row>
        <row r="643">
          <cell r="A643" t="str">
            <v>30044_2</v>
          </cell>
        </row>
        <row r="644">
          <cell r="A644" t="str">
            <v>30044_3</v>
          </cell>
        </row>
        <row r="645">
          <cell r="A645" t="str">
            <v>30045_1</v>
          </cell>
        </row>
        <row r="646">
          <cell r="A646" t="str">
            <v>30045_2</v>
          </cell>
        </row>
        <row r="647">
          <cell r="A647" t="str">
            <v>30045_3</v>
          </cell>
        </row>
        <row r="648">
          <cell r="A648" t="str">
            <v>30046_1</v>
          </cell>
        </row>
        <row r="649">
          <cell r="A649" t="str">
            <v>30046_2</v>
          </cell>
        </row>
        <row r="650">
          <cell r="A650" t="str">
            <v>30046_3</v>
          </cell>
        </row>
        <row r="651">
          <cell r="A651" t="str">
            <v>30047_1</v>
          </cell>
        </row>
        <row r="652">
          <cell r="A652" t="str">
            <v>30047_2</v>
          </cell>
        </row>
        <row r="653">
          <cell r="A653" t="str">
            <v>30047_3</v>
          </cell>
        </row>
        <row r="654">
          <cell r="A654" t="str">
            <v>30048_1</v>
          </cell>
        </row>
        <row r="655">
          <cell r="A655" t="str">
            <v>30048_2</v>
          </cell>
        </row>
        <row r="656">
          <cell r="A656" t="str">
            <v>30048_3</v>
          </cell>
        </row>
        <row r="657">
          <cell r="A657" t="str">
            <v>39001_1</v>
          </cell>
        </row>
        <row r="658">
          <cell r="A658" t="str">
            <v>39001_2</v>
          </cell>
        </row>
        <row r="659">
          <cell r="A659" t="str">
            <v>39001_3</v>
          </cell>
        </row>
        <row r="660">
          <cell r="A660" t="str">
            <v>39001_4</v>
          </cell>
        </row>
        <row r="661">
          <cell r="A661" t="str">
            <v>39001_5</v>
          </cell>
        </row>
        <row r="662">
          <cell r="A662" t="str">
            <v>39002_1</v>
          </cell>
        </row>
        <row r="663">
          <cell r="A663" t="str">
            <v>39002_2</v>
          </cell>
        </row>
        <row r="664">
          <cell r="A664" t="str">
            <v>39002_3</v>
          </cell>
        </row>
        <row r="665">
          <cell r="A665" t="str">
            <v>39002_4</v>
          </cell>
        </row>
        <row r="666">
          <cell r="A666" t="str">
            <v>39003_1</v>
          </cell>
        </row>
        <row r="667">
          <cell r="A667" t="str">
            <v>39003_2</v>
          </cell>
        </row>
        <row r="668">
          <cell r="A668" t="str">
            <v>39003_3</v>
          </cell>
        </row>
        <row r="669">
          <cell r="A669" t="str">
            <v>39003_4</v>
          </cell>
        </row>
        <row r="670">
          <cell r="A670" t="str">
            <v>39004_1</v>
          </cell>
        </row>
        <row r="671">
          <cell r="A671" t="str">
            <v>39004_2</v>
          </cell>
        </row>
        <row r="672">
          <cell r="A672" t="str">
            <v>39004_3</v>
          </cell>
        </row>
        <row r="673">
          <cell r="A673" t="str">
            <v>39004_4</v>
          </cell>
        </row>
        <row r="674">
          <cell r="A674" t="str">
            <v>39005_1</v>
          </cell>
        </row>
        <row r="675">
          <cell r="A675" t="str">
            <v>39005_2</v>
          </cell>
        </row>
        <row r="676">
          <cell r="A676" t="str">
            <v>39005_3</v>
          </cell>
        </row>
        <row r="677">
          <cell r="A677" t="str">
            <v>39005_4</v>
          </cell>
        </row>
        <row r="678">
          <cell r="A678" t="str">
            <v>39005_5</v>
          </cell>
        </row>
        <row r="679">
          <cell r="A679" t="str">
            <v>39006_1</v>
          </cell>
        </row>
        <row r="680">
          <cell r="A680" t="str">
            <v>39006_2</v>
          </cell>
        </row>
        <row r="681">
          <cell r="A681" t="str">
            <v>39006_3</v>
          </cell>
        </row>
        <row r="682">
          <cell r="A682" t="str">
            <v>39006_4</v>
          </cell>
        </row>
        <row r="683">
          <cell r="A683" t="str">
            <v>39007_1</v>
          </cell>
        </row>
        <row r="684">
          <cell r="A684" t="str">
            <v>39007_2</v>
          </cell>
        </row>
        <row r="685">
          <cell r="A685" t="str">
            <v>39007_3</v>
          </cell>
        </row>
        <row r="686">
          <cell r="A686" t="str">
            <v>39007_4</v>
          </cell>
        </row>
        <row r="687">
          <cell r="A687" t="str">
            <v>39008_1</v>
          </cell>
        </row>
        <row r="688">
          <cell r="A688" t="str">
            <v>39008_2</v>
          </cell>
        </row>
        <row r="689">
          <cell r="A689" t="str">
            <v>39008_3</v>
          </cell>
        </row>
        <row r="690">
          <cell r="A690" t="str">
            <v>39008_4</v>
          </cell>
        </row>
        <row r="691">
          <cell r="A691" t="str">
            <v>39008_5</v>
          </cell>
        </row>
        <row r="692">
          <cell r="A692" t="str">
            <v>39009_1</v>
          </cell>
        </row>
        <row r="693">
          <cell r="A693" t="str">
            <v>39009_2</v>
          </cell>
        </row>
        <row r="694">
          <cell r="A694" t="str">
            <v>39009_3</v>
          </cell>
        </row>
        <row r="695">
          <cell r="A695" t="str">
            <v>39009_4</v>
          </cell>
        </row>
        <row r="696">
          <cell r="A696" t="str">
            <v>39009_5</v>
          </cell>
        </row>
        <row r="697">
          <cell r="A697" t="str">
            <v>39010_1</v>
          </cell>
        </row>
        <row r="698">
          <cell r="A698" t="str">
            <v>39010_2</v>
          </cell>
        </row>
        <row r="699">
          <cell r="A699" t="str">
            <v>39010_3</v>
          </cell>
        </row>
        <row r="700">
          <cell r="A700" t="str">
            <v>39010_4</v>
          </cell>
        </row>
        <row r="701">
          <cell r="A701" t="str">
            <v>39011_1</v>
          </cell>
        </row>
        <row r="702">
          <cell r="A702" t="str">
            <v>39011_2</v>
          </cell>
        </row>
        <row r="703">
          <cell r="A703" t="str">
            <v>39011_3</v>
          </cell>
        </row>
        <row r="704">
          <cell r="A704" t="str">
            <v>39011_4</v>
          </cell>
        </row>
        <row r="705">
          <cell r="A705" t="str">
            <v>39012_1</v>
          </cell>
        </row>
        <row r="706">
          <cell r="A706" t="str">
            <v>39012_2</v>
          </cell>
        </row>
        <row r="707">
          <cell r="A707" t="str">
            <v>39012_3</v>
          </cell>
        </row>
        <row r="708">
          <cell r="A708" t="str">
            <v>39012_4</v>
          </cell>
        </row>
        <row r="709">
          <cell r="A709" t="str">
            <v>39012_5</v>
          </cell>
        </row>
        <row r="710">
          <cell r="A710" t="str">
            <v>40001_1</v>
          </cell>
        </row>
        <row r="711">
          <cell r="A711" t="str">
            <v>40002_1</v>
          </cell>
        </row>
        <row r="712">
          <cell r="A712" t="str">
            <v>40002_2</v>
          </cell>
        </row>
        <row r="713">
          <cell r="A713" t="str">
            <v>40002_3</v>
          </cell>
        </row>
        <row r="714">
          <cell r="A714" t="str">
            <v>40003_1</v>
          </cell>
        </row>
        <row r="715">
          <cell r="A715" t="str">
            <v>40004_1</v>
          </cell>
        </row>
        <row r="716">
          <cell r="A716" t="str">
            <v>40005_1</v>
          </cell>
        </row>
        <row r="717">
          <cell r="A717" t="str">
            <v>40006_1</v>
          </cell>
        </row>
        <row r="718">
          <cell r="A718" t="str">
            <v>40007_1</v>
          </cell>
        </row>
        <row r="719">
          <cell r="A719" t="str">
            <v>40008_1</v>
          </cell>
        </row>
        <row r="720">
          <cell r="A720" t="str">
            <v>40009_1</v>
          </cell>
        </row>
        <row r="721">
          <cell r="A721" t="str">
            <v>40010_1</v>
          </cell>
        </row>
        <row r="722">
          <cell r="A722" t="str">
            <v>40011_1</v>
          </cell>
        </row>
        <row r="723">
          <cell r="A723" t="str">
            <v>40012_1</v>
          </cell>
        </row>
        <row r="724">
          <cell r="A724" t="str">
            <v>40013_1</v>
          </cell>
        </row>
        <row r="725">
          <cell r="A725" t="str">
            <v>40014_1</v>
          </cell>
        </row>
        <row r="726">
          <cell r="A726" t="str">
            <v>40015_1</v>
          </cell>
        </row>
        <row r="727">
          <cell r="A727" t="str">
            <v>40016_1</v>
          </cell>
        </row>
        <row r="728">
          <cell r="A728" t="str">
            <v>40016_2</v>
          </cell>
        </row>
        <row r="729">
          <cell r="A729" t="str">
            <v>40017_1</v>
          </cell>
        </row>
        <row r="730">
          <cell r="A730" t="str">
            <v>40017_2</v>
          </cell>
        </row>
        <row r="731">
          <cell r="A731" t="str">
            <v>40017_3</v>
          </cell>
        </row>
        <row r="732">
          <cell r="A732" t="str">
            <v>40018_1</v>
          </cell>
        </row>
        <row r="733">
          <cell r="A733" t="str">
            <v>40018_2</v>
          </cell>
        </row>
        <row r="734">
          <cell r="A734" t="str">
            <v>40018_3</v>
          </cell>
        </row>
        <row r="735">
          <cell r="A735" t="str">
            <v>40019_1</v>
          </cell>
        </row>
        <row r="736">
          <cell r="A736" t="str">
            <v>40019_2</v>
          </cell>
        </row>
        <row r="737">
          <cell r="A737" t="str">
            <v>40019_3</v>
          </cell>
        </row>
        <row r="738">
          <cell r="A738" t="str">
            <v>40021_1</v>
          </cell>
        </row>
        <row r="739">
          <cell r="A739" t="str">
            <v>40021_2</v>
          </cell>
        </row>
        <row r="740">
          <cell r="A740" t="str">
            <v>40022_1</v>
          </cell>
        </row>
        <row r="741">
          <cell r="A741" t="str">
            <v>40022_2</v>
          </cell>
        </row>
        <row r="742">
          <cell r="A742" t="str">
            <v>40023_1</v>
          </cell>
        </row>
        <row r="743">
          <cell r="A743" t="str">
            <v>40023_2</v>
          </cell>
        </row>
        <row r="744">
          <cell r="A744" t="str">
            <v>40024_1</v>
          </cell>
        </row>
        <row r="745">
          <cell r="A745" t="str">
            <v>40024_2</v>
          </cell>
        </row>
        <row r="746">
          <cell r="A746" t="str">
            <v>40025_1</v>
          </cell>
        </row>
        <row r="747">
          <cell r="A747" t="str">
            <v>40025_2</v>
          </cell>
        </row>
        <row r="748">
          <cell r="A748" t="str">
            <v>40026_1</v>
          </cell>
        </row>
        <row r="749">
          <cell r="A749" t="str">
            <v>40026_2</v>
          </cell>
        </row>
        <row r="750">
          <cell r="A750" t="str">
            <v>40027_1</v>
          </cell>
        </row>
        <row r="751">
          <cell r="A751" t="str">
            <v>40027_2</v>
          </cell>
        </row>
        <row r="752">
          <cell r="A752" t="str">
            <v>40028_1</v>
          </cell>
        </row>
        <row r="753">
          <cell r="A753" t="str">
            <v>40028_2</v>
          </cell>
        </row>
        <row r="754">
          <cell r="A754" t="str">
            <v>40029_1</v>
          </cell>
        </row>
        <row r="755">
          <cell r="A755" t="str">
            <v>40029_2</v>
          </cell>
        </row>
        <row r="756">
          <cell r="A756" t="str">
            <v>40030_1</v>
          </cell>
        </row>
        <row r="757">
          <cell r="A757" t="str">
            <v>40030_2</v>
          </cell>
        </row>
        <row r="758">
          <cell r="A758" t="str">
            <v>40031_1</v>
          </cell>
        </row>
        <row r="759">
          <cell r="A759" t="str">
            <v>40031_2</v>
          </cell>
        </row>
        <row r="760">
          <cell r="A760" t="str">
            <v>40032_1</v>
          </cell>
        </row>
        <row r="761">
          <cell r="A761" t="str">
            <v>40032_2</v>
          </cell>
        </row>
        <row r="762">
          <cell r="A762" t="str">
            <v>40033_1</v>
          </cell>
        </row>
        <row r="763">
          <cell r="A763" t="str">
            <v>40033_2</v>
          </cell>
        </row>
        <row r="764">
          <cell r="A764" t="str">
            <v>40034_1</v>
          </cell>
        </row>
        <row r="765">
          <cell r="A765" t="str">
            <v>40034_2</v>
          </cell>
        </row>
        <row r="766">
          <cell r="A766" t="str">
            <v>40035_1</v>
          </cell>
        </row>
        <row r="767">
          <cell r="A767" t="str">
            <v>40035_2</v>
          </cell>
        </row>
        <row r="768">
          <cell r="A768" t="str">
            <v>40036_1</v>
          </cell>
        </row>
        <row r="769">
          <cell r="A769" t="str">
            <v>40036_2</v>
          </cell>
        </row>
        <row r="770">
          <cell r="A770" t="str">
            <v>40037_1</v>
          </cell>
        </row>
        <row r="771">
          <cell r="A771" t="str">
            <v>40037_2</v>
          </cell>
        </row>
        <row r="772">
          <cell r="A772" t="str">
            <v>40038_1</v>
          </cell>
        </row>
        <row r="773">
          <cell r="A773" t="str">
            <v>40038_2</v>
          </cell>
        </row>
        <row r="774">
          <cell r="A774" t="str">
            <v>40039_1</v>
          </cell>
        </row>
        <row r="775">
          <cell r="A775" t="str">
            <v>40039_2</v>
          </cell>
        </row>
        <row r="776">
          <cell r="A776" t="str">
            <v>40040_1</v>
          </cell>
        </row>
        <row r="777">
          <cell r="A777" t="str">
            <v>40040_2</v>
          </cell>
        </row>
        <row r="778">
          <cell r="A778" t="str">
            <v>40041_1</v>
          </cell>
        </row>
        <row r="779">
          <cell r="A779" t="str">
            <v>40041_2</v>
          </cell>
        </row>
        <row r="780">
          <cell r="A780" t="str">
            <v>40042_1</v>
          </cell>
        </row>
        <row r="781">
          <cell r="A781" t="str">
            <v>40042_2</v>
          </cell>
        </row>
        <row r="782">
          <cell r="A782" t="str">
            <v>40043_1</v>
          </cell>
        </row>
        <row r="783">
          <cell r="A783" t="str">
            <v>40043_2</v>
          </cell>
        </row>
        <row r="784">
          <cell r="A784" t="str">
            <v>41001_1</v>
          </cell>
        </row>
        <row r="785">
          <cell r="A785" t="str">
            <v>41001_2</v>
          </cell>
        </row>
        <row r="786">
          <cell r="A786" t="str">
            <v>41001_3</v>
          </cell>
        </row>
        <row r="787">
          <cell r="A787" t="str">
            <v>41002_1</v>
          </cell>
        </row>
        <row r="788">
          <cell r="A788" t="str">
            <v>41002_2</v>
          </cell>
        </row>
        <row r="789">
          <cell r="A789" t="str">
            <v>41002_3</v>
          </cell>
        </row>
        <row r="790">
          <cell r="A790" t="str">
            <v>41003_1</v>
          </cell>
        </row>
        <row r="791">
          <cell r="A791" t="str">
            <v>41003_2</v>
          </cell>
        </row>
        <row r="792">
          <cell r="A792" t="str">
            <v>41003_3</v>
          </cell>
        </row>
        <row r="793">
          <cell r="A793" t="str">
            <v>41004_1</v>
          </cell>
        </row>
        <row r="794">
          <cell r="A794" t="str">
            <v>41004_2</v>
          </cell>
        </row>
        <row r="795">
          <cell r="A795" t="str">
            <v>41004_3</v>
          </cell>
        </row>
        <row r="796">
          <cell r="A796" t="str">
            <v>41005_1</v>
          </cell>
        </row>
        <row r="797">
          <cell r="A797" t="str">
            <v>41005_2</v>
          </cell>
        </row>
        <row r="798">
          <cell r="A798" t="str">
            <v>41005_3</v>
          </cell>
        </row>
        <row r="799">
          <cell r="A799" t="str">
            <v>41006_1</v>
          </cell>
        </row>
        <row r="800">
          <cell r="A800" t="str">
            <v>41006_2</v>
          </cell>
        </row>
        <row r="801">
          <cell r="A801" t="str">
            <v>41006_3</v>
          </cell>
        </row>
        <row r="802">
          <cell r="A802" t="str">
            <v>41007_1</v>
          </cell>
        </row>
        <row r="803">
          <cell r="A803" t="str">
            <v>41007_2</v>
          </cell>
        </row>
        <row r="804">
          <cell r="A804" t="str">
            <v>41007_3</v>
          </cell>
        </row>
        <row r="805">
          <cell r="A805" t="str">
            <v>41008_1</v>
          </cell>
        </row>
        <row r="806">
          <cell r="A806" t="str">
            <v>41008_2</v>
          </cell>
        </row>
        <row r="807">
          <cell r="A807" t="str">
            <v>41008_3</v>
          </cell>
        </row>
        <row r="808">
          <cell r="A808" t="str">
            <v>41009_1</v>
          </cell>
        </row>
        <row r="809">
          <cell r="A809" t="str">
            <v>41009_2</v>
          </cell>
        </row>
        <row r="810">
          <cell r="A810" t="str">
            <v>41009_3</v>
          </cell>
        </row>
        <row r="811">
          <cell r="A811" t="str">
            <v>41010_1</v>
          </cell>
        </row>
        <row r="812">
          <cell r="A812" t="str">
            <v>41010_2</v>
          </cell>
        </row>
        <row r="813">
          <cell r="A813" t="str">
            <v>41010_3</v>
          </cell>
        </row>
        <row r="814">
          <cell r="A814" t="str">
            <v>41011_1</v>
          </cell>
        </row>
        <row r="815">
          <cell r="A815" t="str">
            <v>41011_2</v>
          </cell>
        </row>
        <row r="816">
          <cell r="A816" t="str">
            <v>41012_1</v>
          </cell>
        </row>
        <row r="817">
          <cell r="A817" t="str">
            <v>41012_2</v>
          </cell>
        </row>
        <row r="818">
          <cell r="A818" t="str">
            <v>41013_1</v>
          </cell>
        </row>
        <row r="819">
          <cell r="A819" t="str">
            <v>41013_2</v>
          </cell>
        </row>
        <row r="820">
          <cell r="A820" t="str">
            <v>41014_1</v>
          </cell>
        </row>
        <row r="821">
          <cell r="A821" t="str">
            <v>41014_2</v>
          </cell>
        </row>
        <row r="822">
          <cell r="A822" t="str">
            <v>41015_1</v>
          </cell>
        </row>
        <row r="823">
          <cell r="A823" t="str">
            <v>41015_2</v>
          </cell>
        </row>
        <row r="824">
          <cell r="A824" t="str">
            <v>47001_1</v>
          </cell>
        </row>
        <row r="825">
          <cell r="A825" t="str">
            <v>47001_2</v>
          </cell>
        </row>
        <row r="826">
          <cell r="A826" t="str">
            <v>47002_1</v>
          </cell>
        </row>
        <row r="827">
          <cell r="A827" t="str">
            <v>47002_2</v>
          </cell>
        </row>
        <row r="828">
          <cell r="A828" t="str">
            <v>47003_1</v>
          </cell>
        </row>
        <row r="829">
          <cell r="A829" t="str">
            <v>47003_2</v>
          </cell>
        </row>
        <row r="830">
          <cell r="A830" t="str">
            <v>47003_3</v>
          </cell>
        </row>
        <row r="831">
          <cell r="A831" t="str">
            <v>47003_4</v>
          </cell>
        </row>
        <row r="832">
          <cell r="A832" t="str">
            <v>47004_1</v>
          </cell>
        </row>
        <row r="833">
          <cell r="A833" t="str">
            <v>47004_2</v>
          </cell>
        </row>
        <row r="834">
          <cell r="A834" t="str">
            <v>47004_3</v>
          </cell>
        </row>
        <row r="835">
          <cell r="A835" t="str">
            <v>47004_4</v>
          </cell>
        </row>
        <row r="836">
          <cell r="A836" t="str">
            <v>47005_1</v>
          </cell>
        </row>
        <row r="837">
          <cell r="A837" t="str">
            <v>47006_1</v>
          </cell>
        </row>
        <row r="838">
          <cell r="A838" t="str">
            <v>47006_2</v>
          </cell>
        </row>
        <row r="839">
          <cell r="A839" t="str">
            <v>47007_1</v>
          </cell>
        </row>
        <row r="840">
          <cell r="A840" t="str">
            <v>47007_2</v>
          </cell>
        </row>
        <row r="841">
          <cell r="A841" t="str">
            <v>47008_1</v>
          </cell>
        </row>
        <row r="842">
          <cell r="A842" t="str">
            <v>47008_2</v>
          </cell>
        </row>
        <row r="843">
          <cell r="A843" t="str">
            <v>47009_1</v>
          </cell>
        </row>
        <row r="844">
          <cell r="A844" t="str">
            <v>47009_2</v>
          </cell>
        </row>
        <row r="845">
          <cell r="A845" t="str">
            <v>47010_1</v>
          </cell>
        </row>
        <row r="846">
          <cell r="A846" t="str">
            <v>47010_2</v>
          </cell>
        </row>
        <row r="847">
          <cell r="A847" t="str">
            <v>48001_1</v>
          </cell>
        </row>
        <row r="848">
          <cell r="A848" t="str">
            <v>48002_1</v>
          </cell>
        </row>
        <row r="849">
          <cell r="A849" t="str">
            <v>48002_2</v>
          </cell>
        </row>
        <row r="850">
          <cell r="A850" t="str">
            <v>48002_3</v>
          </cell>
        </row>
        <row r="851">
          <cell r="A851" t="str">
            <v>48003_1</v>
          </cell>
        </row>
        <row r="852">
          <cell r="A852" t="str">
            <v>48003_2</v>
          </cell>
        </row>
        <row r="853">
          <cell r="A853" t="str">
            <v>48004_1</v>
          </cell>
        </row>
        <row r="854">
          <cell r="A854" t="str">
            <v>48004_2</v>
          </cell>
        </row>
        <row r="855">
          <cell r="A855" t="str">
            <v>48005_1</v>
          </cell>
        </row>
        <row r="856">
          <cell r="A856" t="str">
            <v>48005_2</v>
          </cell>
        </row>
        <row r="857">
          <cell r="A857" t="str">
            <v>48006_1</v>
          </cell>
        </row>
        <row r="858">
          <cell r="A858" t="str">
            <v>48006_2</v>
          </cell>
        </row>
        <row r="859">
          <cell r="A859" t="str">
            <v>48007_1</v>
          </cell>
        </row>
        <row r="860">
          <cell r="A860" t="str">
            <v>48007_2</v>
          </cell>
        </row>
        <row r="861">
          <cell r="A861" t="str">
            <v>48008_1</v>
          </cell>
        </row>
        <row r="862">
          <cell r="A862" t="str">
            <v>48008_2</v>
          </cell>
        </row>
        <row r="863">
          <cell r="A863" t="str">
            <v>48009_1</v>
          </cell>
        </row>
        <row r="864">
          <cell r="A864" t="str">
            <v>48009_2</v>
          </cell>
        </row>
        <row r="865">
          <cell r="A865" t="str">
            <v>48010_1</v>
          </cell>
        </row>
        <row r="866">
          <cell r="A866" t="str">
            <v>48011_1</v>
          </cell>
        </row>
        <row r="867">
          <cell r="A867" t="str">
            <v>48011_2</v>
          </cell>
        </row>
        <row r="868">
          <cell r="A868" t="str">
            <v>48501_1</v>
          </cell>
        </row>
        <row r="869">
          <cell r="A869" t="str">
            <v>48501_2</v>
          </cell>
        </row>
        <row r="870">
          <cell r="A870" t="str">
            <v>48502_1</v>
          </cell>
        </row>
        <row r="871">
          <cell r="A871" t="str">
            <v>48502_2</v>
          </cell>
        </row>
        <row r="872">
          <cell r="A872" t="str">
            <v>49001_1</v>
          </cell>
        </row>
        <row r="873">
          <cell r="A873" t="str">
            <v>49002_1</v>
          </cell>
        </row>
        <row r="874">
          <cell r="A874" t="str">
            <v>49002_2</v>
          </cell>
        </row>
        <row r="875">
          <cell r="A875" t="str">
            <v>49003_1</v>
          </cell>
        </row>
        <row r="876">
          <cell r="A876" t="str">
            <v>49003_2</v>
          </cell>
        </row>
        <row r="877">
          <cell r="A877" t="str">
            <v>49004_1</v>
          </cell>
        </row>
        <row r="878">
          <cell r="A878" t="str">
            <v>49004_2</v>
          </cell>
        </row>
        <row r="879">
          <cell r="A879" t="str">
            <v>49004_3</v>
          </cell>
        </row>
        <row r="880">
          <cell r="A880" t="str">
            <v>49005_1</v>
          </cell>
        </row>
        <row r="881">
          <cell r="A881" t="str">
            <v>49006_1</v>
          </cell>
        </row>
        <row r="882">
          <cell r="A882" t="str">
            <v>49006_2</v>
          </cell>
        </row>
        <row r="883">
          <cell r="A883" t="str">
            <v>49007_1</v>
          </cell>
        </row>
        <row r="884">
          <cell r="A884" t="str">
            <v>49007_2</v>
          </cell>
        </row>
        <row r="885">
          <cell r="A885" t="str">
            <v>49007_3</v>
          </cell>
        </row>
        <row r="886">
          <cell r="A886" t="str">
            <v>49008_1</v>
          </cell>
        </row>
        <row r="887">
          <cell r="A887" t="str">
            <v>49009_1</v>
          </cell>
        </row>
        <row r="888">
          <cell r="A888" t="str">
            <v>49010_1</v>
          </cell>
        </row>
        <row r="889">
          <cell r="A889" t="str">
            <v>49011_1</v>
          </cell>
        </row>
        <row r="890">
          <cell r="A890" t="str">
            <v>49012_1</v>
          </cell>
        </row>
        <row r="891">
          <cell r="A891" t="str">
            <v>49013_1</v>
          </cell>
        </row>
        <row r="892">
          <cell r="A892" t="str">
            <v>49014_1</v>
          </cell>
        </row>
        <row r="893">
          <cell r="A893" t="str">
            <v>49014_2</v>
          </cell>
        </row>
        <row r="894">
          <cell r="A894" t="str">
            <v>50001_1</v>
          </cell>
        </row>
        <row r="895">
          <cell r="A895" t="str">
            <v>50002_1</v>
          </cell>
        </row>
        <row r="896">
          <cell r="A896" t="str">
            <v>50003_1</v>
          </cell>
        </row>
        <row r="897">
          <cell r="A897" t="str">
            <v>50004_1</v>
          </cell>
        </row>
        <row r="898">
          <cell r="A898" t="str">
            <v>50005_1</v>
          </cell>
        </row>
        <row r="899">
          <cell r="A899" t="str">
            <v>50006_1</v>
          </cell>
        </row>
        <row r="900">
          <cell r="A900" t="str">
            <v>50007_1</v>
          </cell>
        </row>
        <row r="901">
          <cell r="A901" t="str">
            <v>50008_1</v>
          </cell>
        </row>
        <row r="902">
          <cell r="A902" t="str">
            <v>50009_1</v>
          </cell>
        </row>
        <row r="903">
          <cell r="A903" t="str">
            <v>50010_1</v>
          </cell>
        </row>
        <row r="904">
          <cell r="A904" t="str">
            <v>50011_1</v>
          </cell>
        </row>
        <row r="905">
          <cell r="A905" t="str">
            <v>50012_1</v>
          </cell>
        </row>
        <row r="906">
          <cell r="A906" t="str">
            <v>50013_1</v>
          </cell>
        </row>
        <row r="907">
          <cell r="A907" t="str">
            <v>50014_1</v>
          </cell>
        </row>
        <row r="908">
          <cell r="A908" t="str">
            <v>51001_1</v>
          </cell>
        </row>
        <row r="909">
          <cell r="A909" t="str">
            <v>51002_1</v>
          </cell>
        </row>
        <row r="910">
          <cell r="A910" t="str">
            <v>58001_1</v>
          </cell>
        </row>
        <row r="911">
          <cell r="A911" t="str">
            <v>59001_1</v>
          </cell>
        </row>
        <row r="912">
          <cell r="A912" t="str">
            <v>59002_1</v>
          </cell>
        </row>
        <row r="913">
          <cell r="A913" t="str">
            <v>60001_1</v>
          </cell>
        </row>
        <row r="914">
          <cell r="A914" t="str">
            <v>60002_1</v>
          </cell>
        </row>
        <row r="915">
          <cell r="A915" t="str">
            <v>60002_2</v>
          </cell>
        </row>
        <row r="916">
          <cell r="A916" t="str">
            <v>60003_1</v>
          </cell>
        </row>
        <row r="917">
          <cell r="A917" t="str">
            <v>60003_2</v>
          </cell>
        </row>
        <row r="918">
          <cell r="A918" t="str">
            <v>60003_3</v>
          </cell>
        </row>
        <row r="919">
          <cell r="A919" t="str">
            <v>60004_1</v>
          </cell>
        </row>
        <row r="920">
          <cell r="A920" t="str">
            <v>60005_1</v>
          </cell>
        </row>
        <row r="921">
          <cell r="A921" t="str">
            <v>60006_1</v>
          </cell>
        </row>
        <row r="922">
          <cell r="A922" t="str">
            <v>60006_2</v>
          </cell>
        </row>
        <row r="923">
          <cell r="A923" t="str">
            <v>60006_3</v>
          </cell>
        </row>
        <row r="924">
          <cell r="A924" t="str">
            <v>60007_1</v>
          </cell>
        </row>
        <row r="925">
          <cell r="A925" t="str">
            <v>60007_2</v>
          </cell>
        </row>
        <row r="926">
          <cell r="A926" t="str">
            <v>60007_3</v>
          </cell>
        </row>
        <row r="927">
          <cell r="A927" t="str">
            <v>60010_1</v>
          </cell>
        </row>
        <row r="928">
          <cell r="A928" t="str">
            <v>60011_1</v>
          </cell>
        </row>
        <row r="929">
          <cell r="A929" t="str">
            <v>60011_2</v>
          </cell>
        </row>
        <row r="930">
          <cell r="A930" t="str">
            <v>60012_1</v>
          </cell>
        </row>
        <row r="931">
          <cell r="A931" t="str">
            <v>60013_1</v>
          </cell>
        </row>
        <row r="932">
          <cell r="A932" t="str">
            <v>60013_2</v>
          </cell>
        </row>
        <row r="933">
          <cell r="A933" t="str">
            <v>60013_3</v>
          </cell>
        </row>
        <row r="934">
          <cell r="A934" t="str">
            <v>60014_1</v>
          </cell>
        </row>
        <row r="935">
          <cell r="A935" t="str">
            <v>60015_1</v>
          </cell>
        </row>
        <row r="936">
          <cell r="A936" t="str">
            <v>60016_1</v>
          </cell>
        </row>
        <row r="937">
          <cell r="A937" t="str">
            <v>60017_1</v>
          </cell>
        </row>
        <row r="938">
          <cell r="A938" t="str">
            <v>60018_1</v>
          </cell>
        </row>
        <row r="939">
          <cell r="A939" t="str">
            <v>60019_1</v>
          </cell>
        </row>
        <row r="940">
          <cell r="A940" t="str">
            <v>60020_1</v>
          </cell>
        </row>
        <row r="941">
          <cell r="A941" t="str">
            <v>60021_3</v>
          </cell>
        </row>
        <row r="942">
          <cell r="A942" t="str">
            <v>60022_3</v>
          </cell>
        </row>
        <row r="943">
          <cell r="A943" t="str">
            <v>60023_3</v>
          </cell>
        </row>
        <row r="944">
          <cell r="A944" t="str">
            <v>60024_3</v>
          </cell>
        </row>
        <row r="945">
          <cell r="A945" t="str">
            <v>60025_1</v>
          </cell>
        </row>
        <row r="946">
          <cell r="A946" t="str">
            <v>60026_1</v>
          </cell>
        </row>
        <row r="947">
          <cell r="A947" t="str">
            <v>61011_1</v>
          </cell>
        </row>
        <row r="948">
          <cell r="A948" t="str">
            <v>60027_1</v>
          </cell>
        </row>
        <row r="949">
          <cell r="A949" t="str">
            <v>65525_1</v>
          </cell>
        </row>
        <row r="950">
          <cell r="A950" t="str">
            <v>65526_1</v>
          </cell>
        </row>
        <row r="951">
          <cell r="A951" t="str">
            <v>65526_2</v>
          </cell>
        </row>
        <row r="952">
          <cell r="A952" t="str">
            <v>65527_1</v>
          </cell>
        </row>
        <row r="953">
          <cell r="A953" t="str">
            <v>65528_1</v>
          </cell>
        </row>
        <row r="954">
          <cell r="A954" t="str">
            <v>65529_1</v>
          </cell>
        </row>
        <row r="955">
          <cell r="A955" t="str">
            <v>65530_1</v>
          </cell>
        </row>
        <row r="956">
          <cell r="A956" t="str">
            <v>65531_1</v>
          </cell>
        </row>
        <row r="957">
          <cell r="A957" t="str">
            <v>65531_2</v>
          </cell>
        </row>
        <row r="958">
          <cell r="A958" t="str">
            <v>65532_1</v>
          </cell>
        </row>
        <row r="959">
          <cell r="A959" t="str">
            <v>65532_2</v>
          </cell>
        </row>
        <row r="960">
          <cell r="A960" t="str">
            <v>65533_1</v>
          </cell>
        </row>
        <row r="961">
          <cell r="A961" t="str">
            <v>65533_2</v>
          </cell>
        </row>
        <row r="962">
          <cell r="A962" t="str">
            <v>65534_1</v>
          </cell>
        </row>
        <row r="963">
          <cell r="A963" t="str">
            <v>65535_1</v>
          </cell>
        </row>
        <row r="964">
          <cell r="A964" t="str">
            <v>65535_2</v>
          </cell>
        </row>
        <row r="965">
          <cell r="A965" t="str">
            <v>65535_3</v>
          </cell>
        </row>
        <row r="966">
          <cell r="A966" t="str">
            <v>65535_4</v>
          </cell>
        </row>
        <row r="967">
          <cell r="A967" t="str">
            <v>65535_5</v>
          </cell>
        </row>
        <row r="968">
          <cell r="A968" t="str">
            <v>65535_6</v>
          </cell>
        </row>
        <row r="969">
          <cell r="A969" t="str">
            <v>65535_7</v>
          </cell>
        </row>
        <row r="970">
          <cell r="A970" t="str">
            <v>65535_8</v>
          </cell>
        </row>
        <row r="971">
          <cell r="A971" t="str">
            <v>65535_9</v>
          </cell>
        </row>
        <row r="972">
          <cell r="A97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1504</v>
          </cell>
        </row>
        <row r="1337">
          <cell r="A1337">
            <v>1505</v>
          </cell>
        </row>
        <row r="1338">
          <cell r="A1338">
            <v>1506</v>
          </cell>
        </row>
        <row r="1339">
          <cell r="A1339">
            <v>1507</v>
          </cell>
        </row>
        <row r="1340">
          <cell r="A1340">
            <v>1508</v>
          </cell>
        </row>
        <row r="1341">
          <cell r="A1341">
            <v>1509</v>
          </cell>
        </row>
        <row r="1342">
          <cell r="A1342">
            <v>1510</v>
          </cell>
        </row>
        <row r="1343">
          <cell r="A1343">
            <v>1511</v>
          </cell>
        </row>
        <row r="1344">
          <cell r="A1344">
            <v>1512</v>
          </cell>
        </row>
        <row r="1345">
          <cell r="A1345">
            <v>1523</v>
          </cell>
        </row>
        <row r="1346">
          <cell r="A1346">
            <v>1524</v>
          </cell>
        </row>
        <row r="1347">
          <cell r="A1347">
            <v>1525</v>
          </cell>
        </row>
        <row r="1348">
          <cell r="A1348">
            <v>1526</v>
          </cell>
        </row>
        <row r="1349">
          <cell r="A1349">
            <v>5001</v>
          </cell>
        </row>
        <row r="1350">
          <cell r="A1350">
            <v>5002</v>
          </cell>
        </row>
        <row r="1351">
          <cell r="A1351">
            <v>5003</v>
          </cell>
        </row>
        <row r="1352">
          <cell r="A1352">
            <v>5004</v>
          </cell>
        </row>
        <row r="1353">
          <cell r="A1353">
            <v>5005</v>
          </cell>
        </row>
        <row r="1354">
          <cell r="A1354">
            <v>5006</v>
          </cell>
        </row>
        <row r="1355">
          <cell r="A1355">
            <v>5007</v>
          </cell>
        </row>
        <row r="1356">
          <cell r="A1356">
            <v>5008</v>
          </cell>
        </row>
        <row r="1357">
          <cell r="A1357">
            <v>6001</v>
          </cell>
        </row>
        <row r="1358">
          <cell r="A1358">
            <v>6002</v>
          </cell>
        </row>
        <row r="1359">
          <cell r="A1359">
            <v>6003</v>
          </cell>
        </row>
        <row r="1360">
          <cell r="A1360">
            <v>6004</v>
          </cell>
        </row>
        <row r="1361">
          <cell r="A1361">
            <v>6005</v>
          </cell>
        </row>
        <row r="1362">
          <cell r="A1362">
            <v>6006</v>
          </cell>
        </row>
        <row r="1363">
          <cell r="A1363">
            <v>6007</v>
          </cell>
        </row>
        <row r="1364">
          <cell r="A1364">
            <v>6008</v>
          </cell>
        </row>
        <row r="1365">
          <cell r="A1365">
            <v>6009</v>
          </cell>
        </row>
        <row r="1366">
          <cell r="A1366">
            <v>6010</v>
          </cell>
        </row>
        <row r="1367">
          <cell r="A1367">
            <v>6011</v>
          </cell>
        </row>
        <row r="1368">
          <cell r="A1368">
            <v>6012</v>
          </cell>
        </row>
        <row r="1369">
          <cell r="A1369">
            <v>6013</v>
          </cell>
        </row>
        <row r="1370">
          <cell r="A1370">
            <v>6014</v>
          </cell>
        </row>
        <row r="1371">
          <cell r="A1371">
            <v>6015</v>
          </cell>
        </row>
        <row r="1372">
          <cell r="A1372">
            <v>6016</v>
          </cell>
        </row>
        <row r="1373">
          <cell r="A1373">
            <v>6017</v>
          </cell>
        </row>
        <row r="1374">
          <cell r="A1374">
            <v>6018</v>
          </cell>
        </row>
        <row r="1375">
          <cell r="A1375">
            <v>6019</v>
          </cell>
        </row>
        <row r="1376">
          <cell r="A1376">
            <v>6020</v>
          </cell>
        </row>
        <row r="1377">
          <cell r="A1377">
            <v>8001</v>
          </cell>
        </row>
        <row r="1378">
          <cell r="A1378">
            <v>8002</v>
          </cell>
        </row>
        <row r="1379">
          <cell r="A1379">
            <v>8003</v>
          </cell>
        </row>
        <row r="1380">
          <cell r="A1380">
            <v>8004</v>
          </cell>
        </row>
        <row r="1381">
          <cell r="A1381">
            <v>8005</v>
          </cell>
        </row>
        <row r="1382">
          <cell r="A1382">
            <v>8006</v>
          </cell>
        </row>
        <row r="1383">
          <cell r="A1383">
            <v>8007</v>
          </cell>
        </row>
        <row r="1384">
          <cell r="A1384">
            <v>8008</v>
          </cell>
        </row>
        <row r="1385">
          <cell r="A1385">
            <v>8009</v>
          </cell>
        </row>
        <row r="1386">
          <cell r="A1386">
            <v>8010</v>
          </cell>
        </row>
        <row r="1387">
          <cell r="A1387">
            <v>8011</v>
          </cell>
        </row>
        <row r="1388">
          <cell r="A1388">
            <v>8012</v>
          </cell>
        </row>
        <row r="1389">
          <cell r="A1389">
            <v>8013</v>
          </cell>
        </row>
        <row r="1390">
          <cell r="A1390">
            <v>8014</v>
          </cell>
        </row>
        <row r="1391">
          <cell r="A1391">
            <v>8015</v>
          </cell>
        </row>
        <row r="1392">
          <cell r="A1392">
            <v>8016</v>
          </cell>
        </row>
        <row r="1393">
          <cell r="A1393">
            <v>8017</v>
          </cell>
        </row>
        <row r="1394">
          <cell r="A1394">
            <v>8018</v>
          </cell>
        </row>
        <row r="1395">
          <cell r="A1395">
            <v>8019</v>
          </cell>
        </row>
        <row r="1396">
          <cell r="A1396">
            <v>8020</v>
          </cell>
        </row>
        <row r="1397">
          <cell r="A1397">
            <v>8021</v>
          </cell>
        </row>
        <row r="1398">
          <cell r="A1398">
            <v>8022</v>
          </cell>
        </row>
        <row r="1399">
          <cell r="A1399">
            <v>8023</v>
          </cell>
        </row>
        <row r="1400">
          <cell r="A1400">
            <v>8024</v>
          </cell>
        </row>
        <row r="1401">
          <cell r="A1401">
            <v>8025</v>
          </cell>
        </row>
        <row r="1402">
          <cell r="A1402">
            <v>8026</v>
          </cell>
        </row>
        <row r="1403">
          <cell r="A1403">
            <v>8027</v>
          </cell>
        </row>
        <row r="1404">
          <cell r="A1404">
            <v>8028</v>
          </cell>
        </row>
        <row r="1405">
          <cell r="A1405">
            <v>8029</v>
          </cell>
        </row>
        <row r="1406">
          <cell r="A1406">
            <v>8030</v>
          </cell>
        </row>
        <row r="1407">
          <cell r="A1407">
            <v>8031</v>
          </cell>
        </row>
        <row r="1408">
          <cell r="A1408">
            <v>8032</v>
          </cell>
        </row>
        <row r="1409">
          <cell r="A1409">
            <v>8033</v>
          </cell>
        </row>
        <row r="1410">
          <cell r="A1410">
            <v>8034</v>
          </cell>
        </row>
        <row r="1411">
          <cell r="A1411">
            <v>8035</v>
          </cell>
        </row>
        <row r="1412">
          <cell r="A1412">
            <v>8036</v>
          </cell>
        </row>
        <row r="1413">
          <cell r="A1413">
            <v>8037</v>
          </cell>
        </row>
        <row r="1414">
          <cell r="A1414">
            <v>8038</v>
          </cell>
        </row>
        <row r="1415">
          <cell r="A1415">
            <v>8039</v>
          </cell>
        </row>
        <row r="1416">
          <cell r="A1416">
            <v>8040</v>
          </cell>
        </row>
        <row r="1417">
          <cell r="A1417">
            <v>8041</v>
          </cell>
        </row>
        <row r="1418">
          <cell r="A1418">
            <v>8042</v>
          </cell>
        </row>
        <row r="1419">
          <cell r="A1419">
            <v>8043</v>
          </cell>
        </row>
        <row r="1420">
          <cell r="A1420">
            <v>8044</v>
          </cell>
        </row>
        <row r="1421">
          <cell r="A1421">
            <v>8045</v>
          </cell>
        </row>
        <row r="1422">
          <cell r="A1422">
            <v>8046</v>
          </cell>
        </row>
        <row r="1423">
          <cell r="A1423">
            <v>8047</v>
          </cell>
        </row>
        <row r="1424">
          <cell r="A1424">
            <v>8048</v>
          </cell>
        </row>
        <row r="1425">
          <cell r="A1425">
            <v>8049</v>
          </cell>
        </row>
        <row r="1426">
          <cell r="A1426">
            <v>8050</v>
          </cell>
        </row>
        <row r="1427">
          <cell r="A1427">
            <v>8051</v>
          </cell>
        </row>
        <row r="1428">
          <cell r="A1428">
            <v>8052</v>
          </cell>
        </row>
        <row r="1429">
          <cell r="A1429">
            <v>8053</v>
          </cell>
        </row>
        <row r="1430">
          <cell r="A1430">
            <v>8054</v>
          </cell>
        </row>
        <row r="1431">
          <cell r="A1431">
            <v>8055</v>
          </cell>
        </row>
        <row r="1432">
          <cell r="A1432">
            <v>8056</v>
          </cell>
        </row>
        <row r="1433">
          <cell r="A1433">
            <v>8057</v>
          </cell>
        </row>
        <row r="1434">
          <cell r="A1434">
            <v>8058</v>
          </cell>
        </row>
        <row r="1435">
          <cell r="A1435">
            <v>8059</v>
          </cell>
        </row>
        <row r="1436">
          <cell r="A1436">
            <v>8060</v>
          </cell>
        </row>
        <row r="1437">
          <cell r="A1437">
            <v>8061</v>
          </cell>
        </row>
        <row r="1438">
          <cell r="A1438">
            <v>8062</v>
          </cell>
        </row>
        <row r="1439">
          <cell r="A1439">
            <v>8063</v>
          </cell>
        </row>
        <row r="1440">
          <cell r="A1440">
            <v>8064</v>
          </cell>
        </row>
        <row r="1441">
          <cell r="A1441">
            <v>8065</v>
          </cell>
        </row>
        <row r="1442">
          <cell r="A1442">
            <v>8066</v>
          </cell>
        </row>
        <row r="1443">
          <cell r="A1443">
            <v>8067</v>
          </cell>
        </row>
        <row r="1444">
          <cell r="A1444">
            <v>8068</v>
          </cell>
        </row>
        <row r="1445">
          <cell r="A1445">
            <v>8069</v>
          </cell>
        </row>
        <row r="1446">
          <cell r="A1446">
            <v>8070</v>
          </cell>
        </row>
        <row r="1447">
          <cell r="A1447">
            <v>8071</v>
          </cell>
        </row>
        <row r="1448">
          <cell r="A1448">
            <v>8072</v>
          </cell>
        </row>
        <row r="1449">
          <cell r="A1449">
            <v>8073</v>
          </cell>
        </row>
        <row r="1450">
          <cell r="A1450">
            <v>8074</v>
          </cell>
        </row>
        <row r="1451">
          <cell r="A1451">
            <v>8077</v>
          </cell>
        </row>
        <row r="1452">
          <cell r="A1452">
            <v>8078</v>
          </cell>
        </row>
        <row r="1453">
          <cell r="A1453">
            <v>8079</v>
          </cell>
        </row>
        <row r="1454">
          <cell r="A1454">
            <v>8080</v>
          </cell>
        </row>
        <row r="1455">
          <cell r="A1455">
            <v>8081</v>
          </cell>
        </row>
        <row r="1456">
          <cell r="A1456">
            <v>8082</v>
          </cell>
        </row>
        <row r="1457">
          <cell r="A1457">
            <v>8083</v>
          </cell>
        </row>
        <row r="1458">
          <cell r="A1458">
            <v>8084</v>
          </cell>
        </row>
        <row r="1459">
          <cell r="A1459">
            <v>8087</v>
          </cell>
        </row>
        <row r="1460">
          <cell r="A1460">
            <v>8088</v>
          </cell>
        </row>
        <row r="1461">
          <cell r="A1461">
            <v>8089</v>
          </cell>
        </row>
        <row r="1462">
          <cell r="A1462">
            <v>8090</v>
          </cell>
        </row>
        <row r="1463">
          <cell r="A1463">
            <v>8095</v>
          </cell>
        </row>
        <row r="1464">
          <cell r="A1464">
            <v>8096</v>
          </cell>
        </row>
        <row r="1465">
          <cell r="A1465">
            <v>8097</v>
          </cell>
        </row>
        <row r="1466">
          <cell r="A1466">
            <v>8098</v>
          </cell>
        </row>
        <row r="1467">
          <cell r="A1467">
            <v>8099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1414</v>
          </cell>
        </row>
        <row r="1383">
          <cell r="A1383">
            <v>1415</v>
          </cell>
        </row>
        <row r="1384">
          <cell r="A1384">
            <v>1416</v>
          </cell>
        </row>
        <row r="1385">
          <cell r="A1385">
            <v>1417</v>
          </cell>
        </row>
        <row r="1386">
          <cell r="A1386">
            <v>1424</v>
          </cell>
        </row>
        <row r="1387">
          <cell r="A1387">
            <v>1504</v>
          </cell>
        </row>
        <row r="1388">
          <cell r="A1388">
            <v>1505</v>
          </cell>
        </row>
        <row r="1389">
          <cell r="A1389">
            <v>1506</v>
          </cell>
        </row>
        <row r="1390">
          <cell r="A1390">
            <v>1507</v>
          </cell>
        </row>
        <row r="1391">
          <cell r="A1391">
            <v>1508</v>
          </cell>
        </row>
        <row r="1392">
          <cell r="A1392">
            <v>1509</v>
          </cell>
        </row>
        <row r="1393">
          <cell r="A1393">
            <v>1510</v>
          </cell>
        </row>
        <row r="1394">
          <cell r="A1394">
            <v>1511</v>
          </cell>
        </row>
        <row r="1395">
          <cell r="A1395">
            <v>1512</v>
          </cell>
        </row>
        <row r="1396">
          <cell r="A1396">
            <v>1513</v>
          </cell>
        </row>
        <row r="1397">
          <cell r="A1397">
            <v>1514</v>
          </cell>
        </row>
        <row r="1398">
          <cell r="A1398">
            <v>1515</v>
          </cell>
        </row>
        <row r="1399">
          <cell r="A1399">
            <v>1516</v>
          </cell>
        </row>
        <row r="1400">
          <cell r="A1400">
            <v>1517</v>
          </cell>
        </row>
        <row r="1401">
          <cell r="A1401">
            <v>1518</v>
          </cell>
        </row>
        <row r="1402">
          <cell r="A1402">
            <v>1519</v>
          </cell>
        </row>
        <row r="1403">
          <cell r="A1403">
            <v>1520</v>
          </cell>
        </row>
        <row r="1404">
          <cell r="A1404">
            <v>1521</v>
          </cell>
        </row>
        <row r="1405">
          <cell r="A1405">
            <v>1522</v>
          </cell>
        </row>
        <row r="1406">
          <cell r="A1406">
            <v>1523</v>
          </cell>
        </row>
        <row r="1407">
          <cell r="A1407">
            <v>1524</v>
          </cell>
        </row>
        <row r="1408">
          <cell r="A1408">
            <v>1525</v>
          </cell>
        </row>
        <row r="1409">
          <cell r="A1409">
            <v>1526</v>
          </cell>
        </row>
        <row r="1410">
          <cell r="A1410">
            <v>1527</v>
          </cell>
        </row>
        <row r="1411">
          <cell r="A1411">
            <v>1528</v>
          </cell>
        </row>
        <row r="1412">
          <cell r="A1412">
            <v>1529</v>
          </cell>
        </row>
        <row r="1413">
          <cell r="A1413">
            <v>1530</v>
          </cell>
        </row>
        <row r="1414">
          <cell r="A1414">
            <v>1531</v>
          </cell>
        </row>
        <row r="1415">
          <cell r="A1415">
            <v>1532</v>
          </cell>
        </row>
        <row r="1416">
          <cell r="A1416">
            <v>1533</v>
          </cell>
        </row>
        <row r="1417">
          <cell r="A1417">
            <v>1534</v>
          </cell>
        </row>
        <row r="1418">
          <cell r="A1418">
            <v>1535</v>
          </cell>
        </row>
        <row r="1419">
          <cell r="A1419">
            <v>1536</v>
          </cell>
        </row>
        <row r="1420">
          <cell r="A1420">
            <v>1537</v>
          </cell>
        </row>
        <row r="1421">
          <cell r="A1421">
            <v>1538</v>
          </cell>
        </row>
        <row r="1422">
          <cell r="A1422">
            <v>1539</v>
          </cell>
        </row>
        <row r="1423">
          <cell r="A1423">
            <v>1540</v>
          </cell>
        </row>
        <row r="1424">
          <cell r="A1424">
            <v>1541</v>
          </cell>
        </row>
        <row r="1425">
          <cell r="A1425">
            <v>1542</v>
          </cell>
        </row>
        <row r="1426">
          <cell r="A1426">
            <v>1543</v>
          </cell>
        </row>
        <row r="1427">
          <cell r="A1427">
            <v>1544</v>
          </cell>
        </row>
        <row r="1428">
          <cell r="A1428">
            <v>1545</v>
          </cell>
        </row>
        <row r="1429">
          <cell r="A1429">
            <v>1546</v>
          </cell>
        </row>
        <row r="1430">
          <cell r="A1430">
            <v>1547</v>
          </cell>
        </row>
        <row r="1431">
          <cell r="A1431">
            <v>1548</v>
          </cell>
        </row>
        <row r="1432">
          <cell r="A1432">
            <v>1549</v>
          </cell>
        </row>
        <row r="1433">
          <cell r="A1433">
            <v>1550</v>
          </cell>
        </row>
        <row r="1434">
          <cell r="A1434">
            <v>5001</v>
          </cell>
        </row>
        <row r="1435">
          <cell r="A1435">
            <v>5002</v>
          </cell>
        </row>
        <row r="1436">
          <cell r="A1436">
            <v>5003</v>
          </cell>
        </row>
        <row r="1437">
          <cell r="A1437">
            <v>5004</v>
          </cell>
        </row>
        <row r="1438">
          <cell r="A1438">
            <v>5005</v>
          </cell>
        </row>
        <row r="1439">
          <cell r="A1439">
            <v>5006</v>
          </cell>
        </row>
        <row r="1440">
          <cell r="A1440">
            <v>5007</v>
          </cell>
        </row>
        <row r="1441">
          <cell r="A1441">
            <v>5008</v>
          </cell>
        </row>
        <row r="1442">
          <cell r="A1442">
            <v>6001</v>
          </cell>
        </row>
        <row r="1443">
          <cell r="A1443">
            <v>6002</v>
          </cell>
        </row>
        <row r="1444">
          <cell r="A1444">
            <v>6003</v>
          </cell>
        </row>
        <row r="1445">
          <cell r="A1445">
            <v>6004</v>
          </cell>
        </row>
        <row r="1446">
          <cell r="A1446">
            <v>6005</v>
          </cell>
        </row>
        <row r="1447">
          <cell r="A1447">
            <v>6006</v>
          </cell>
        </row>
        <row r="1448">
          <cell r="A1448">
            <v>6007</v>
          </cell>
        </row>
        <row r="1449">
          <cell r="A1449">
            <v>6008</v>
          </cell>
        </row>
        <row r="1450">
          <cell r="A1450">
            <v>6009</v>
          </cell>
        </row>
        <row r="1451">
          <cell r="A1451">
            <v>6010</v>
          </cell>
        </row>
        <row r="1452">
          <cell r="A1452">
            <v>6011</v>
          </cell>
        </row>
        <row r="1453">
          <cell r="A1453">
            <v>6012</v>
          </cell>
        </row>
        <row r="1454">
          <cell r="A1454">
            <v>6013</v>
          </cell>
        </row>
        <row r="1455">
          <cell r="A1455">
            <v>6014</v>
          </cell>
        </row>
        <row r="1456">
          <cell r="A1456">
            <v>6015</v>
          </cell>
        </row>
        <row r="1457">
          <cell r="A1457">
            <v>6016</v>
          </cell>
        </row>
        <row r="1458">
          <cell r="A1458">
            <v>6017</v>
          </cell>
        </row>
        <row r="1459">
          <cell r="A1459">
            <v>6018</v>
          </cell>
        </row>
        <row r="1460">
          <cell r="A1460">
            <v>6019</v>
          </cell>
        </row>
        <row r="1461">
          <cell r="A1461">
            <v>6020</v>
          </cell>
        </row>
        <row r="1462">
          <cell r="A1462">
            <v>8001</v>
          </cell>
        </row>
        <row r="1463">
          <cell r="A1463">
            <v>8002</v>
          </cell>
        </row>
        <row r="1464">
          <cell r="A1464">
            <v>8003</v>
          </cell>
        </row>
        <row r="1465">
          <cell r="A1465">
            <v>8004</v>
          </cell>
        </row>
        <row r="1466">
          <cell r="A1466">
            <v>8005</v>
          </cell>
        </row>
        <row r="1467">
          <cell r="A1467">
            <v>8006</v>
          </cell>
        </row>
        <row r="1468">
          <cell r="A1468">
            <v>8007</v>
          </cell>
        </row>
        <row r="1469">
          <cell r="A1469">
            <v>8008</v>
          </cell>
        </row>
        <row r="1470">
          <cell r="A1470">
            <v>8009</v>
          </cell>
        </row>
        <row r="1471">
          <cell r="A1471">
            <v>8010</v>
          </cell>
        </row>
        <row r="1472">
          <cell r="A1472">
            <v>8011</v>
          </cell>
        </row>
        <row r="1473">
          <cell r="A1473">
            <v>8012</v>
          </cell>
        </row>
        <row r="1474">
          <cell r="A1474">
            <v>8013</v>
          </cell>
        </row>
        <row r="1475">
          <cell r="A1475">
            <v>8014</v>
          </cell>
        </row>
        <row r="1476">
          <cell r="A1476">
            <v>8015</v>
          </cell>
        </row>
        <row r="1477">
          <cell r="A1477">
            <v>8016</v>
          </cell>
        </row>
        <row r="1478">
          <cell r="A1478">
            <v>8017</v>
          </cell>
        </row>
        <row r="1479">
          <cell r="A1479">
            <v>8018</v>
          </cell>
        </row>
        <row r="1480">
          <cell r="A1480">
            <v>8019</v>
          </cell>
        </row>
        <row r="1481">
          <cell r="A1481">
            <v>8020</v>
          </cell>
        </row>
        <row r="1482">
          <cell r="A1482">
            <v>8021</v>
          </cell>
        </row>
        <row r="1483">
          <cell r="A1483">
            <v>8022</v>
          </cell>
        </row>
        <row r="1484">
          <cell r="A1484">
            <v>8023</v>
          </cell>
        </row>
        <row r="1485">
          <cell r="A1485">
            <v>8024</v>
          </cell>
        </row>
        <row r="1486">
          <cell r="A1486">
            <v>8025</v>
          </cell>
        </row>
        <row r="1487">
          <cell r="A1487">
            <v>8026</v>
          </cell>
        </row>
        <row r="1488">
          <cell r="A1488">
            <v>8027</v>
          </cell>
        </row>
        <row r="1489">
          <cell r="A1489">
            <v>8028</v>
          </cell>
        </row>
        <row r="1490">
          <cell r="A1490">
            <v>8029</v>
          </cell>
        </row>
        <row r="1491">
          <cell r="A1491">
            <v>8030</v>
          </cell>
        </row>
        <row r="1492">
          <cell r="A1492">
            <v>8031</v>
          </cell>
        </row>
        <row r="1493">
          <cell r="A1493">
            <v>8032</v>
          </cell>
        </row>
        <row r="1494">
          <cell r="A1494">
            <v>8033</v>
          </cell>
        </row>
        <row r="1495">
          <cell r="A1495">
            <v>8034</v>
          </cell>
        </row>
        <row r="1496">
          <cell r="A1496">
            <v>8035</v>
          </cell>
        </row>
        <row r="1497">
          <cell r="A1497">
            <v>8036</v>
          </cell>
        </row>
        <row r="1498">
          <cell r="A1498">
            <v>8037</v>
          </cell>
        </row>
        <row r="1499">
          <cell r="A1499">
            <v>8038</v>
          </cell>
        </row>
        <row r="1500">
          <cell r="A1500">
            <v>8039</v>
          </cell>
        </row>
        <row r="1501">
          <cell r="A1501">
            <v>8040</v>
          </cell>
        </row>
        <row r="1502">
          <cell r="A1502">
            <v>8041</v>
          </cell>
        </row>
        <row r="1503">
          <cell r="A1503">
            <v>8042</v>
          </cell>
        </row>
        <row r="1504">
          <cell r="A1504">
            <v>8043</v>
          </cell>
        </row>
        <row r="1505">
          <cell r="A1505">
            <v>8044</v>
          </cell>
        </row>
        <row r="1506">
          <cell r="A1506">
            <v>8045</v>
          </cell>
        </row>
        <row r="1507">
          <cell r="A1507">
            <v>8046</v>
          </cell>
        </row>
        <row r="1508">
          <cell r="A1508">
            <v>8047</v>
          </cell>
        </row>
        <row r="1509">
          <cell r="A1509">
            <v>8048</v>
          </cell>
        </row>
        <row r="1510">
          <cell r="A1510">
            <v>8049</v>
          </cell>
        </row>
        <row r="1511">
          <cell r="A1511">
            <v>8050</v>
          </cell>
        </row>
        <row r="1512">
          <cell r="A1512">
            <v>8051</v>
          </cell>
        </row>
        <row r="1513">
          <cell r="A1513">
            <v>8052</v>
          </cell>
        </row>
        <row r="1514">
          <cell r="A1514">
            <v>8053</v>
          </cell>
        </row>
        <row r="1515">
          <cell r="A1515">
            <v>8054</v>
          </cell>
        </row>
        <row r="1516">
          <cell r="A1516">
            <v>8055</v>
          </cell>
        </row>
        <row r="1517">
          <cell r="A1517">
            <v>8056</v>
          </cell>
        </row>
        <row r="1518">
          <cell r="A1518">
            <v>8057</v>
          </cell>
        </row>
        <row r="1519">
          <cell r="A1519">
            <v>8058</v>
          </cell>
        </row>
        <row r="1520">
          <cell r="A1520">
            <v>8059</v>
          </cell>
        </row>
        <row r="1521">
          <cell r="A1521">
            <v>8060</v>
          </cell>
        </row>
        <row r="1522">
          <cell r="A1522">
            <v>8061</v>
          </cell>
        </row>
        <row r="1523">
          <cell r="A1523">
            <v>8062</v>
          </cell>
        </row>
        <row r="1524">
          <cell r="A1524">
            <v>8063</v>
          </cell>
        </row>
        <row r="1525">
          <cell r="A1525">
            <v>8064</v>
          </cell>
        </row>
        <row r="1526">
          <cell r="A1526">
            <v>8065</v>
          </cell>
        </row>
        <row r="1527">
          <cell r="A1527">
            <v>8066</v>
          </cell>
        </row>
        <row r="1528">
          <cell r="A1528">
            <v>8067</v>
          </cell>
        </row>
        <row r="1529">
          <cell r="A1529">
            <v>8068</v>
          </cell>
        </row>
        <row r="1530">
          <cell r="A1530">
            <v>8069</v>
          </cell>
        </row>
        <row r="1531">
          <cell r="A1531">
            <v>8070</v>
          </cell>
        </row>
        <row r="1532">
          <cell r="A1532">
            <v>8071</v>
          </cell>
        </row>
        <row r="1533">
          <cell r="A1533">
            <v>8072</v>
          </cell>
        </row>
        <row r="1534">
          <cell r="A1534">
            <v>8073</v>
          </cell>
        </row>
        <row r="1535">
          <cell r="A1535">
            <v>8074</v>
          </cell>
        </row>
        <row r="1536">
          <cell r="A1536">
            <v>8075</v>
          </cell>
        </row>
        <row r="1537">
          <cell r="A1537">
            <v>8076</v>
          </cell>
        </row>
        <row r="1538">
          <cell r="A1538">
            <v>8077</v>
          </cell>
        </row>
        <row r="1539">
          <cell r="A1539">
            <v>8078</v>
          </cell>
        </row>
        <row r="1540">
          <cell r="A1540">
            <v>8079</v>
          </cell>
        </row>
        <row r="1541">
          <cell r="A1541">
            <v>8080</v>
          </cell>
        </row>
        <row r="1542">
          <cell r="A1542">
            <v>8081</v>
          </cell>
        </row>
        <row r="1543">
          <cell r="A1543">
            <v>8082</v>
          </cell>
        </row>
        <row r="1544">
          <cell r="A1544">
            <v>8083</v>
          </cell>
        </row>
        <row r="1545">
          <cell r="A1545">
            <v>8084</v>
          </cell>
        </row>
        <row r="1546">
          <cell r="A1546">
            <v>8087</v>
          </cell>
        </row>
        <row r="1547">
          <cell r="A1547">
            <v>8088</v>
          </cell>
        </row>
        <row r="1548">
          <cell r="A1548">
            <v>8089</v>
          </cell>
        </row>
        <row r="1549">
          <cell r="A1549">
            <v>8090</v>
          </cell>
        </row>
        <row r="1550">
          <cell r="A1550">
            <v>8095</v>
          </cell>
        </row>
        <row r="1551">
          <cell r="A1551">
            <v>8096</v>
          </cell>
        </row>
        <row r="1552">
          <cell r="A1552">
            <v>8097</v>
          </cell>
        </row>
        <row r="1553">
          <cell r="A1553">
            <v>8098</v>
          </cell>
        </row>
        <row r="1554">
          <cell r="A1554">
            <v>8099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I26" sqref="I26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260</v>
      </c>
      <c r="B2" s="57" t="s">
        <v>106</v>
      </c>
      <c r="C2" s="63">
        <v>47007</v>
      </c>
      <c r="D2" s="57" t="s">
        <v>107</v>
      </c>
      <c r="E2" s="56" t="str">
        <f>B2&amp;C2&amp;D2</f>
        <v>floors_47007.tmp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260</v>
      </c>
      <c r="B3" s="57" t="s">
        <v>109</v>
      </c>
      <c r="C3" s="63">
        <f>C$2</f>
        <v>47007</v>
      </c>
      <c r="D3" s="57" t="s">
        <v>107</v>
      </c>
      <c r="E3" s="56" t="str">
        <f>B3&amp;C3&amp;D3</f>
        <v>enemy_habitats_47007.tmp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179</v>
      </c>
    </row>
    <row r="4" spans="1:30" x14ac:dyDescent="0.15">
      <c r="A4" s="61" t="s">
        <v>260</v>
      </c>
      <c r="B4" s="57" t="s">
        <v>111</v>
      </c>
      <c r="C4" s="63">
        <f t="shared" ref="C4:C13" si="0">C$2</f>
        <v>47007</v>
      </c>
      <c r="D4" s="57" t="s">
        <v>107</v>
      </c>
      <c r="E4" s="56" t="str">
        <f>B4&amp;C4&amp;D4</f>
        <v>enemy_habitat_S_47007.tmp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260</v>
      </c>
      <c r="B5" s="57" t="s">
        <v>113</v>
      </c>
      <c r="C5" s="63">
        <f t="shared" si="0"/>
        <v>47007</v>
      </c>
      <c r="D5" s="57" t="s">
        <v>107</v>
      </c>
      <c r="E5" s="56" t="str">
        <f>B5&amp;C5&amp;D5</f>
        <v>enemy_skill_sets_47007.tmp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260</v>
      </c>
      <c r="B6" s="57" t="s">
        <v>115</v>
      </c>
      <c r="C6" s="63">
        <f t="shared" si="0"/>
        <v>47007</v>
      </c>
      <c r="D6" s="57" t="s">
        <v>116</v>
      </c>
      <c r="E6" s="56" t="str">
        <f t="shared" ref="E6:E10" si="1">B6&amp;C6&amp;D6</f>
        <v>enemy_skills_tmp_47007.tmp</v>
      </c>
      <c r="F6" s="57" t="s">
        <v>90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260</v>
      </c>
      <c r="B7" s="57" t="s">
        <v>117</v>
      </c>
      <c r="C7" s="63">
        <f t="shared" si="0"/>
        <v>47007</v>
      </c>
      <c r="D7" s="57" t="s">
        <v>107</v>
      </c>
      <c r="E7" s="56" t="str">
        <f>B7&amp;C7&amp;D7</f>
        <v>enemy_skills_i18n_47007.tmp</v>
      </c>
      <c r="F7" s="57" t="s">
        <v>118</v>
      </c>
      <c r="G7" s="58" t="s">
        <v>78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260</v>
      </c>
      <c r="B8" s="57" t="s">
        <v>119</v>
      </c>
      <c r="C8" s="63">
        <f t="shared" si="0"/>
        <v>47007</v>
      </c>
      <c r="D8" s="57" t="s">
        <v>120</v>
      </c>
      <c r="E8" s="56" t="str">
        <f t="shared" si="1"/>
        <v>enemy_skill_triggers_47007.tmp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260</v>
      </c>
      <c r="B9" s="68" t="s">
        <v>178</v>
      </c>
      <c r="C9" s="63">
        <f t="shared" si="0"/>
        <v>47007</v>
      </c>
      <c r="D9" s="68" t="s">
        <v>172</v>
      </c>
      <c r="E9" s="69" t="str">
        <f t="shared" si="1"/>
        <v>stage_bug_bonuses_47007.tmp</v>
      </c>
      <c r="F9" s="68" t="s">
        <v>173</v>
      </c>
      <c r="G9" s="65" t="s">
        <v>150</v>
      </c>
      <c r="H9" s="65" t="s">
        <v>174</v>
      </c>
      <c r="I9" s="65" t="s">
        <v>175</v>
      </c>
      <c r="J9" s="67" t="s">
        <v>176</v>
      </c>
      <c r="K9" s="65" t="s">
        <v>177</v>
      </c>
      <c r="L9" s="65" t="s">
        <v>156</v>
      </c>
      <c r="M9" s="65" t="s">
        <v>157</v>
      </c>
      <c r="N9" s="65" t="s">
        <v>158</v>
      </c>
      <c r="O9" s="65" t="s">
        <v>159</v>
      </c>
      <c r="P9" s="65" t="s">
        <v>160</v>
      </c>
      <c r="Q9" s="65" t="s">
        <v>161</v>
      </c>
      <c r="R9" s="65" t="s">
        <v>162</v>
      </c>
      <c r="S9" s="65" t="s">
        <v>163</v>
      </c>
      <c r="T9" s="65" t="s">
        <v>164</v>
      </c>
      <c r="U9" s="65" t="s">
        <v>165</v>
      </c>
      <c r="V9" s="65" t="s">
        <v>166</v>
      </c>
      <c r="W9" s="65" t="s">
        <v>167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188</v>
      </c>
      <c r="B10" s="68" t="s">
        <v>202</v>
      </c>
      <c r="C10" s="63">
        <f>C$2</f>
        <v>47007</v>
      </c>
      <c r="D10" s="68" t="s">
        <v>181</v>
      </c>
      <c r="E10" s="69" t="str">
        <f t="shared" si="1"/>
        <v>stage_hints_data_c_47007.tmp</v>
      </c>
      <c r="F10" s="68" t="s">
        <v>210</v>
      </c>
      <c r="G10" s="73" t="s">
        <v>182</v>
      </c>
      <c r="H10" s="73" t="s">
        <v>174</v>
      </c>
      <c r="I10" s="74" t="s">
        <v>183</v>
      </c>
      <c r="J10" s="67" t="s">
        <v>184</v>
      </c>
      <c r="K10" s="67" t="s">
        <v>185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5" customFormat="1" x14ac:dyDescent="0.15">
      <c r="A11" s="61" t="s">
        <v>260</v>
      </c>
      <c r="B11" s="68" t="s">
        <v>203</v>
      </c>
      <c r="C11" s="63">
        <f t="shared" si="0"/>
        <v>47007</v>
      </c>
      <c r="D11" s="68" t="s">
        <v>172</v>
      </c>
      <c r="E11" s="69" t="str">
        <f t="shared" ref="E11:E13" si="2">B11&amp;C11&amp;D11</f>
        <v>stage_hints_data_f_47007.tmp</v>
      </c>
      <c r="F11" s="68" t="s">
        <v>211</v>
      </c>
      <c r="G11" s="73" t="s">
        <v>182</v>
      </c>
      <c r="H11" s="73" t="s">
        <v>174</v>
      </c>
      <c r="I11" s="74" t="s">
        <v>183</v>
      </c>
      <c r="J11" s="67" t="s">
        <v>184</v>
      </c>
      <c r="K11" s="67" t="s">
        <v>185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5" customFormat="1" x14ac:dyDescent="0.15">
      <c r="A12" s="61" t="s">
        <v>260</v>
      </c>
      <c r="B12" s="68" t="s">
        <v>204</v>
      </c>
      <c r="C12" s="63">
        <f t="shared" si="0"/>
        <v>47007</v>
      </c>
      <c r="D12" s="68" t="s">
        <v>172</v>
      </c>
      <c r="E12" s="69" t="str">
        <f t="shared" si="2"/>
        <v>stage_hints_i18n_47007.tmp</v>
      </c>
      <c r="F12" s="68" t="s">
        <v>212</v>
      </c>
      <c r="G12" s="74" t="s">
        <v>205</v>
      </c>
      <c r="H12" s="93" t="s">
        <v>206</v>
      </c>
      <c r="I12" s="73" t="s">
        <v>207</v>
      </c>
      <c r="J12" s="101" t="s">
        <v>208</v>
      </c>
      <c r="K12" s="67" t="s">
        <v>209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5" customFormat="1" x14ac:dyDescent="0.15">
      <c r="A13" s="61" t="s">
        <v>260</v>
      </c>
      <c r="B13" s="68" t="s">
        <v>253</v>
      </c>
      <c r="C13" s="63">
        <f t="shared" si="0"/>
        <v>47007</v>
      </c>
      <c r="D13" s="68" t="s">
        <v>234</v>
      </c>
      <c r="E13" s="69" t="str">
        <f t="shared" si="2"/>
        <v>stage_bonuses_47007.tmp</v>
      </c>
      <c r="F13" s="68" t="s">
        <v>233</v>
      </c>
      <c r="G13" s="73" t="s">
        <v>235</v>
      </c>
      <c r="H13" s="73" t="s">
        <v>236</v>
      </c>
      <c r="I13" s="73" t="s">
        <v>237</v>
      </c>
      <c r="J13" s="73" t="s">
        <v>238</v>
      </c>
      <c r="K13" s="73" t="s">
        <v>239</v>
      </c>
      <c r="L13" s="73" t="s">
        <v>240</v>
      </c>
      <c r="M13" s="73" t="s">
        <v>241</v>
      </c>
      <c r="N13" s="73" t="s">
        <v>242</v>
      </c>
      <c r="O13" s="73" t="s">
        <v>243</v>
      </c>
      <c r="P13" s="73" t="s">
        <v>244</v>
      </c>
      <c r="Q13" s="73" t="s">
        <v>245</v>
      </c>
      <c r="R13" s="73" t="s">
        <v>246</v>
      </c>
      <c r="S13" s="73" t="s">
        <v>247</v>
      </c>
      <c r="T13" s="73" t="s">
        <v>248</v>
      </c>
      <c r="U13" s="73" t="s">
        <v>249</v>
      </c>
      <c r="V13" s="73" t="s">
        <v>250</v>
      </c>
      <c r="W13" s="73" t="s">
        <v>251</v>
      </c>
      <c r="X13" s="73" t="s">
        <v>252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7"/>
  <sheetViews>
    <sheetView showGridLines="0" workbookViewId="0">
      <pane ySplit="1" topLeftCell="A2" activePane="bottomLeft" state="frozen"/>
      <selection activeCell="V2" sqref="V2:X34"/>
      <selection pane="bottomLeft" activeCell="A2" sqref="A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7" si="0">G2&amp;"-"&amp;I2</f>
        <v>47007_1-1</v>
      </c>
      <c r="B2" s="16" t="str">
        <f>IF(COUNTIF(enemy_habitats!$H:$H,A2),"OK","NG")</f>
        <v>OK</v>
      </c>
      <c r="C2" s="7">
        <v>47007</v>
      </c>
      <c r="D2" s="11" t="str">
        <f ca="1">VLOOKUP($C2,OFFSET([2]quests!$A$1,0,0,COUNTA([2]quests!$A:$A),MATCH(D$1,[2]quests!$1:$1,0)-MATCH($C$1,[2]quests!$1:$1,0)+1),MATCH(D$1,[2]quests!$1:$1,0)-MATCH($C$1,[2]quests!$1:$1,0)+1,FALSE)</f>
        <v>ツンデレ少女の恋心</v>
      </c>
      <c r="E2" s="18" t="str">
        <f ca="1">VLOOKUP($C2,OFFSET([2]quests!$A$1,0,0,COUNTA([2]quests!$A:$A),MATCH(E$1,[2]quests!$1:$1,0)-MATCH($C$1,[2]quests!$1:$1,0)+1),MATCH(E$1,[2]quests!$1:$1,0)-MATCH($C$1,[2]quests!$1:$1,0)+1,FALSE)</f>
        <v>季節イベント</v>
      </c>
      <c r="F2" s="21">
        <v>1</v>
      </c>
      <c r="G2" s="23" t="str">
        <f t="shared" ref="G2:G7" si="1">C2&amp;"_"&amp;F2</f>
        <v>47007_1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【上級】ツンデレ少女の恋心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47007_1-2</v>
      </c>
      <c r="B3" s="16" t="str">
        <f>IF(COUNTIF(enemy_habitats!$H:$H,A3),"OK","NG")</f>
        <v>OK</v>
      </c>
      <c r="C3" s="7">
        <v>47007</v>
      </c>
      <c r="D3" s="11" t="str">
        <f ca="1">VLOOKUP($C3,OFFSET([2]quests!$A$1,0,0,COUNTA([2]quests!$A:$A),MATCH(D$1,[2]quests!$1:$1,0)-MATCH($C$1,[2]quests!$1:$1,0)+1),MATCH(D$1,[2]quests!$1:$1,0)-MATCH($C$1,[2]quests!$1:$1,0)+1,FALSE)</f>
        <v>ツンデレ少女の恋心</v>
      </c>
      <c r="E3" s="18" t="str">
        <f ca="1">VLOOKUP($C3,OFFSET([2]quests!$A$1,0,0,COUNTA([2]quests!$A:$A),MATCH(E$1,[2]quests!$1:$1,0)-MATCH($C$1,[2]quests!$1:$1,0)+1),MATCH(E$1,[2]quests!$1:$1,0)-MATCH($C$1,[2]quests!$1:$1,0)+1,FALSE)</f>
        <v>季節イベント</v>
      </c>
      <c r="F3" s="21">
        <v>1</v>
      </c>
      <c r="G3" s="23" t="str">
        <f t="shared" si="1"/>
        <v>47007_1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【上級】ツンデレ少女の恋心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47007_1-3</v>
      </c>
      <c r="B4" s="16" t="str">
        <f>IF(COUNTIF(enemy_habitats!$H:$H,A4),"OK","NG")</f>
        <v>OK</v>
      </c>
      <c r="C4" s="7">
        <v>47007</v>
      </c>
      <c r="D4" s="11" t="str">
        <f ca="1">VLOOKUP($C4,OFFSET([2]quests!$A$1,0,0,COUNTA([2]quests!$A:$A),MATCH(D$1,[2]quests!$1:$1,0)-MATCH($C$1,[2]quests!$1:$1,0)+1),MATCH(D$1,[2]quests!$1:$1,0)-MATCH($C$1,[2]quests!$1:$1,0)+1,FALSE)</f>
        <v>ツンデレ少女の恋心</v>
      </c>
      <c r="E4" s="18" t="str">
        <f ca="1">VLOOKUP($C4,OFFSET([2]quests!$A$1,0,0,COUNTA([2]quests!$A:$A),MATCH(E$1,[2]quests!$1:$1,0)-MATCH($C$1,[2]quests!$1:$1,0)+1),MATCH(E$1,[2]quests!$1:$1,0)-MATCH($C$1,[2]quests!$1:$1,0)+1,FALSE)</f>
        <v>季節イベント</v>
      </c>
      <c r="F4" s="21">
        <v>1</v>
      </c>
      <c r="G4" s="23" t="str">
        <f t="shared" si="1"/>
        <v>47007_1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【上級】ツンデレ少女の恋心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47007_2-1</v>
      </c>
      <c r="B5" s="16" t="str">
        <f>IF(COUNTIF(enemy_habitats!$H:$H,A5),"OK","NG")</f>
        <v>OK</v>
      </c>
      <c r="C5" s="7">
        <v>47007</v>
      </c>
      <c r="D5" s="11" t="str">
        <f ca="1">VLOOKUP($C5,OFFSET([2]quests!$A$1,0,0,COUNTA([2]quests!$A:$A),MATCH(D$1,[2]quests!$1:$1,0)-MATCH($C$1,[2]quests!$1:$1,0)+1),MATCH(D$1,[2]quests!$1:$1,0)-MATCH($C$1,[2]quests!$1:$1,0)+1,FALSE)</f>
        <v>ツンデレ少女の恋心</v>
      </c>
      <c r="E5" s="18" t="str">
        <f ca="1">VLOOKUP($C5,OFFSET([2]quests!$A$1,0,0,COUNTA([2]quests!$A:$A),MATCH(E$1,[2]quests!$1:$1,0)-MATCH($C$1,[2]quests!$1:$1,0)+1),MATCH(E$1,[2]quests!$1:$1,0)-MATCH($C$1,[2]quests!$1:$1,0)+1,FALSE)</f>
        <v>季節イベント</v>
      </c>
      <c r="F5" s="21">
        <v>2</v>
      </c>
      <c r="G5" s="23" t="str">
        <f t="shared" si="1"/>
        <v>47007_2</v>
      </c>
      <c r="H5" s="15" t="str">
        <f ca="1">VLOOKUP($G5,OFFSET([2]stages!$A$1,0,0,COUNTA([2]stages!$A:$A),MATCH(H$1,[2]stages!$2:$2,0)-MATCH($G$1,[2]stages!$2:$2,0)+1),MATCH(H$1,[2]stages!$2:$2,0)-MATCH($G$1,[2]stages!$2:$2,0)+1,FALSE)</f>
        <v>【ウィザード級】ツンデレ少女の恋心</v>
      </c>
      <c r="I5" s="21">
        <v>1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47007_2-2</v>
      </c>
      <c r="B6" s="16" t="str">
        <f>IF(COUNTIF(enemy_habitats!$H:$H,A6),"OK","NG")</f>
        <v>OK</v>
      </c>
      <c r="C6" s="7">
        <v>47007</v>
      </c>
      <c r="D6" s="11" t="str">
        <f ca="1">VLOOKUP($C6,OFFSET([2]quests!$A$1,0,0,COUNTA([2]quests!$A:$A),MATCH(D$1,[2]quests!$1:$1,0)-MATCH($C$1,[2]quests!$1:$1,0)+1),MATCH(D$1,[2]quests!$1:$1,0)-MATCH($C$1,[2]quests!$1:$1,0)+1,FALSE)</f>
        <v>ツンデレ少女の恋心</v>
      </c>
      <c r="E6" s="18" t="str">
        <f ca="1">VLOOKUP($C6,OFFSET([2]quests!$A$1,0,0,COUNTA([2]quests!$A:$A),MATCH(E$1,[2]quests!$1:$1,0)-MATCH($C$1,[2]quests!$1:$1,0)+1),MATCH(E$1,[2]quests!$1:$1,0)-MATCH($C$1,[2]quests!$1:$1,0)+1,FALSE)</f>
        <v>季節イベント</v>
      </c>
      <c r="F6" s="21">
        <v>2</v>
      </c>
      <c r="G6" s="23" t="str">
        <f t="shared" si="1"/>
        <v>47007_2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【ウィザード級】ツンデレ少女の恋心</v>
      </c>
      <c r="I6" s="21">
        <v>2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47007_2-3</v>
      </c>
      <c r="B7" s="16" t="str">
        <f>IF(COUNTIF(enemy_habitats!$H:$H,A7),"OK","NG")</f>
        <v>OK</v>
      </c>
      <c r="C7" s="7">
        <v>47007</v>
      </c>
      <c r="D7" s="11" t="str">
        <f ca="1">VLOOKUP($C7,OFFSET([2]quests!$A$1,0,0,COUNTA([2]quests!$A:$A),MATCH(D$1,[2]quests!$1:$1,0)-MATCH($C$1,[2]quests!$1:$1,0)+1),MATCH(D$1,[2]quests!$1:$1,0)-MATCH($C$1,[2]quests!$1:$1,0)+1,FALSE)</f>
        <v>ツンデレ少女の恋心</v>
      </c>
      <c r="E7" s="18" t="str">
        <f ca="1">VLOOKUP($C7,OFFSET([2]quests!$A$1,0,0,COUNTA([2]quests!$A:$A),MATCH(E$1,[2]quests!$1:$1,0)-MATCH($C$1,[2]quests!$1:$1,0)+1),MATCH(E$1,[2]quests!$1:$1,0)-MATCH($C$1,[2]quests!$1:$1,0)+1,FALSE)</f>
        <v>季節イベント</v>
      </c>
      <c r="F7" s="21">
        <v>2</v>
      </c>
      <c r="G7" s="23" t="str">
        <f t="shared" si="1"/>
        <v>47007_2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【ウィザード級】ツンデレ少女の恋心</v>
      </c>
      <c r="I7" s="21">
        <v>3</v>
      </c>
      <c r="J7" s="12">
        <v>60</v>
      </c>
      <c r="K7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1"/>
  <sheetViews>
    <sheetView showGridLines="0" tabSelected="1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AB7" sqref="AB7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2" t="s">
        <v>254</v>
      </c>
      <c r="U1" s="26" t="s">
        <v>50</v>
      </c>
      <c r="V1" s="102" t="s">
        <v>255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 t="shared" ref="A2:A9" si="0">B2&amp;"_"&amp;C2&amp;"-"&amp;G2&amp;"/"&amp;L2&amp;"&lt;lv"&amp;R2&amp;"&gt;s"&amp;AC2</f>
        <v>47007_1-1/1357&lt;lv40&gt;s2</v>
      </c>
      <c r="B2" s="22">
        <v>47007</v>
      </c>
      <c r="C2" s="21">
        <v>1</v>
      </c>
      <c r="D2" s="2" t="str">
        <f t="shared" ref="D2:D9" si="1">B2&amp;"_"&amp;C2</f>
        <v>47007_1</v>
      </c>
      <c r="E2" s="4" t="str">
        <f ca="1">VLOOKUP($B2,OFFSET([2]quests!$A$1,0,0,COUNTA([2]quests!$A:$A),MATCH(E$1,[2]quests!$1:$1,0)-MATCH($B$1,[2]quests!$1:$1,0)+1),MATCH(E$1,[2]quests!$1:$1,0)-MATCH($B$1,[2]quests!$1:$1,0)+1,FALSE)</f>
        <v>ツンデレ少女の恋心</v>
      </c>
      <c r="F2" s="4" t="str">
        <f ca="1">VLOOKUP($D2,OFFSET([2]stages!$A$1,0,0,COUNTA([2]stages!$A:$A),MATCH(F$1,[2]stages!$2:$2,0)-MATCH($D$1,[2]stages!$2:$2,0)+1),MATCH(F$1,[2]stages!$2:$2,0)-MATCH($D$1,[2]stages!$2:$2,0)+1,FALSE)</f>
        <v>【上級】ツンデレ少女の恋心</v>
      </c>
      <c r="G2" s="21">
        <v>1</v>
      </c>
      <c r="H2" s="15" t="str">
        <f t="shared" ref="H2:H9" si="2">B2&amp;"_"&amp;C2&amp;"-"&amp;G2</f>
        <v>47007_1-1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259</v>
      </c>
      <c r="L2" s="20">
        <v>1357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甘美なる想導司書 アズラエル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god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40</v>
      </c>
      <c r="S2" s="25">
        <v>1.5</v>
      </c>
      <c r="T2" s="103">
        <f>67728*S2</f>
        <v>101592</v>
      </c>
      <c r="U2" s="25">
        <v>0.8</v>
      </c>
      <c r="V2" s="103">
        <f>4530*U2</f>
        <v>3624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2" s="62">
        <v>47007101</v>
      </c>
      <c r="Z2" s="6">
        <v>0</v>
      </c>
      <c r="AA2" s="6">
        <v>100</v>
      </c>
      <c r="AB2" s="6">
        <v>0</v>
      </c>
      <c r="AC2" s="107">
        <v>2</v>
      </c>
      <c r="AD2" s="24">
        <f t="shared" ref="AD2:AD9" si="3">L2</f>
        <v>1357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甘美なる想導司書 アズラエル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" s="7">
        <v>1</v>
      </c>
      <c r="AI2" s="24">
        <f t="shared" ref="AI2:AI9" ca="1" si="4">AF2</f>
        <v>5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si="0"/>
        <v>47007_1-2/1354&lt;lv40&gt;s2</v>
      </c>
      <c r="B3" s="22">
        <v>47007</v>
      </c>
      <c r="C3" s="21">
        <v>1</v>
      </c>
      <c r="D3" s="2" t="str">
        <f t="shared" si="1"/>
        <v>47007_1</v>
      </c>
      <c r="E3" s="4" t="str">
        <f ca="1">VLOOKUP($B3,OFFSET([2]quests!$A$1,0,0,COUNTA([2]quests!$A:$A),MATCH(E$1,[2]quests!$1:$1,0)-MATCH($B$1,[2]quests!$1:$1,0)+1),MATCH(E$1,[2]quests!$1:$1,0)-MATCH($B$1,[2]quests!$1:$1,0)+1,FALSE)</f>
        <v>ツンデレ少女の恋心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【上級】ツンデレ少女の恋心</v>
      </c>
      <c r="G3" s="21">
        <v>2</v>
      </c>
      <c r="H3" s="15" t="str">
        <f t="shared" si="2"/>
        <v>47007_1-2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20">
        <v>1354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放課後の恋妃神 フレイヤ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40</v>
      </c>
      <c r="S3" s="25">
        <v>2</v>
      </c>
      <c r="T3" s="103">
        <f>57569*S3</f>
        <v>115138</v>
      </c>
      <c r="U3" s="25">
        <v>0.9</v>
      </c>
      <c r="V3" s="103">
        <f>3811*U3</f>
        <v>3429.9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3" s="62">
        <v>47007102</v>
      </c>
      <c r="Z3" s="6">
        <v>0</v>
      </c>
      <c r="AA3" s="6">
        <v>100</v>
      </c>
      <c r="AB3" s="6">
        <v>0</v>
      </c>
      <c r="AC3" s="107">
        <v>2</v>
      </c>
      <c r="AD3" s="24">
        <f t="shared" si="3"/>
        <v>1354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放課後の恋妃神 フレイヤ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6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3" s="7">
        <v>1</v>
      </c>
      <c r="AI3" s="24">
        <f t="shared" ca="1" si="4"/>
        <v>6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47007_1-3/1351&lt;lv50&gt;s1</v>
      </c>
      <c r="B4" s="156">
        <v>47007</v>
      </c>
      <c r="C4" s="157">
        <v>1</v>
      </c>
      <c r="D4" s="157" t="str">
        <f t="shared" si="1"/>
        <v>47007_1</v>
      </c>
      <c r="E4" s="173" t="str">
        <f ca="1">VLOOKUP($B4,OFFSET([2]quests!$A$1,0,0,COUNTA([2]quests!$A:$A),MATCH(E$1,[2]quests!$1:$1,0)-MATCH($B$1,[2]quests!$1:$1,0)+1),MATCH(E$1,[2]quests!$1:$1,0)-MATCH($B$1,[2]quests!$1:$1,0)+1,FALSE)</f>
        <v>ツンデレ少女の恋心</v>
      </c>
      <c r="F4" s="173" t="str">
        <f ca="1">VLOOKUP($D4,OFFSET([2]stages!$A$1,0,0,COUNTA([2]stages!$A:$A),MATCH(F$1,[2]stages!$2:$2,0)-MATCH($D$1,[2]stages!$2:$2,0)+1),MATCH(F$1,[2]stages!$2:$2,0)-MATCH($D$1,[2]stages!$2:$2,0)+1,FALSE)</f>
        <v>【上級】ツンデレ少女の恋心</v>
      </c>
      <c r="G4" s="157">
        <v>3</v>
      </c>
      <c r="H4" s="159" t="str">
        <f t="shared" si="2"/>
        <v>47007_1-3</v>
      </c>
      <c r="I4" s="173">
        <f ca="1">VLOOKUP($H4,OFFSET(floors!$A$1,0,0,COUNTA(floors!$A:$A),MATCH(I$1,floors!$1:$1,0)-MATCH($H$1,floors!$1:$1,0)+1),MATCH(I$1,floors!$1:$1,0)-MATCH($H$1,floors!$1:$1,0)+1,FALSE)</f>
        <v>60</v>
      </c>
      <c r="J4" s="173">
        <f ca="1">VLOOKUP($H4,OFFSET(floors!$A$1,0,0,COUNTA(floors!$A:$A),MATCH(J$1,floors!$1:$1,0)-MATCH($H$1,floors!$1:$1,0)+1),MATCH(J$1,floors!$1:$1,0)-MATCH($H$1,floors!$1:$1,0)+1,FALSE)</f>
        <v>60</v>
      </c>
      <c r="K4" s="160">
        <v>2</v>
      </c>
      <c r="L4" s="157">
        <v>1351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甘頬の魔糖菓 プラリーヌ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DropWizS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50</v>
      </c>
      <c r="S4" s="25">
        <v>2.1</v>
      </c>
      <c r="T4" s="103">
        <f>82297*S4</f>
        <v>172823.7</v>
      </c>
      <c r="U4" s="25">
        <v>0.6</v>
      </c>
      <c r="V4" s="103">
        <f>7554*U4</f>
        <v>4532.3999999999996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状態異常耐性+_x000D_青パネルをハートパネルに、黄パネルを赤パネルに変換</v>
      </c>
      <c r="Y4" s="62">
        <v>47007104</v>
      </c>
      <c r="Z4" s="6">
        <v>0</v>
      </c>
      <c r="AA4" s="6">
        <v>100</v>
      </c>
      <c r="AB4" s="183">
        <v>0</v>
      </c>
      <c r="AC4" s="107">
        <v>1</v>
      </c>
      <c r="AD4" s="24">
        <f t="shared" si="3"/>
        <v>1351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甘頬の魔糖菓 プラリーヌ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6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4" s="7">
        <v>1</v>
      </c>
      <c r="AI4" s="24">
        <f t="shared" ca="1" si="4"/>
        <v>6</v>
      </c>
      <c r="AJ4" s="105">
        <v>18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ref="A5" si="5">B5&amp;"_"&amp;C5&amp;"-"&amp;G5&amp;"/"&amp;L5&amp;"&lt;lv"&amp;R5&amp;"&gt;s"&amp;AC5</f>
        <v>47007_1-3/1351&lt;lv49&gt;s1</v>
      </c>
      <c r="B5" s="156">
        <v>47007</v>
      </c>
      <c r="C5" s="157">
        <v>1</v>
      </c>
      <c r="D5" s="157" t="str">
        <f t="shared" ref="D5" si="6">B5&amp;"_"&amp;C5</f>
        <v>47007_1</v>
      </c>
      <c r="E5" s="158" t="str">
        <f ca="1">VLOOKUP($B5,OFFSET([2]quests!$A$1,0,0,COUNTA([2]quests!$A:$A),MATCH(E$1,[2]quests!$1:$1,0)-MATCH($B$1,[2]quests!$1:$1,0)+1),MATCH(E$1,[2]quests!$1:$1,0)-MATCH($B$1,[2]quests!$1:$1,0)+1,FALSE)</f>
        <v>ツンデレ少女の恋心</v>
      </c>
      <c r="F5" s="158" t="str">
        <f ca="1">VLOOKUP($D5,OFFSET([2]stages!$A$1,0,0,COUNTA([2]stages!$A:$A),MATCH(F$1,[2]stages!$2:$2,0)-MATCH($D$1,[2]stages!$2:$2,0)+1),MATCH(F$1,[2]stages!$2:$2,0)-MATCH($D$1,[2]stages!$2:$2,0)+1,FALSE)</f>
        <v>【上級】ツンデレ少女の恋心</v>
      </c>
      <c r="G5" s="157">
        <v>3</v>
      </c>
      <c r="H5" s="159" t="str">
        <f t="shared" ref="H5" si="7">B5&amp;"_"&amp;C5&amp;"-"&amp;G5</f>
        <v>47007_1-3</v>
      </c>
      <c r="I5" s="158">
        <f ca="1">VLOOKUP($H5,OFFSET(floors!$A$1,0,0,COUNTA(floors!$A:$A),MATCH(I$1,floors!$1:$1,0)-MATCH($H$1,floors!$1:$1,0)+1),MATCH(I$1,floors!$1:$1,0)-MATCH($H$1,floors!$1:$1,0)+1,FALSE)</f>
        <v>60</v>
      </c>
      <c r="J5" s="158">
        <f ca="1">VLOOKUP($H5,OFFSET(floors!$A$1,0,0,COUNTA(floors!$A:$A),MATCH(J$1,floors!$1:$1,0)-MATCH($H$1,floors!$1:$1,0)+1),MATCH(J$1,floors!$1:$1,0)-MATCH($H$1,floors!$1:$1,0)+1,FALSE)</f>
        <v>60</v>
      </c>
      <c r="K5" s="160">
        <v>3</v>
      </c>
      <c r="L5" s="157">
        <v>1351</v>
      </c>
      <c r="M5" s="17" t="str">
        <f ca="1">VLOOKUP($L5,OFFSET([3]enemies!$A$1,0,0,COUNTA([3]enemies!$A:$A),MATCH(M$1,[3]enemies!$1:$1,0)-MATCH($L$1,[3]enemies!$1:$1,0)+1),MATCH(M$1,[3]enemies!$1:$1,0)-MATCH($L$1,[3]enemies!$1:$1,0)+1,FALSE)</f>
        <v>甘頬の魔糖菓 プラリーヌ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49</v>
      </c>
      <c r="S5" s="25">
        <v>2.1</v>
      </c>
      <c r="T5" s="103"/>
      <c r="U5" s="25">
        <v>0.6</v>
      </c>
      <c r="V5" s="103"/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状態異常耐性+_x000D_青パネルをハートパネルに、黄パネルを赤パネルに変換</v>
      </c>
      <c r="Y5" s="62">
        <v>47007114</v>
      </c>
      <c r="Z5" s="6">
        <v>0</v>
      </c>
      <c r="AA5" s="6">
        <v>100</v>
      </c>
      <c r="AB5" s="183">
        <v>0</v>
      </c>
      <c r="AC5" s="107">
        <v>1</v>
      </c>
      <c r="AD5" s="24">
        <f t="shared" ref="AD5" si="8">L5</f>
        <v>1351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甘頬の魔糖菓 プラリーヌ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6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5" s="7">
        <v>1</v>
      </c>
      <c r="AI5" s="24">
        <f t="shared" ref="AI5" ca="1" si="9">AF5</f>
        <v>6</v>
      </c>
      <c r="AJ5" s="105">
        <v>18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ref="A6" si="10">B6&amp;"_"&amp;C6&amp;"-"&amp;G6&amp;"/"&amp;L6&amp;"&lt;lv"&amp;R6&amp;"&gt;s"&amp;AC6</f>
        <v>47007_1-3/1351&lt;lv48&gt;s1</v>
      </c>
      <c r="B6" s="156">
        <v>47007</v>
      </c>
      <c r="C6" s="157">
        <v>1</v>
      </c>
      <c r="D6" s="157" t="str">
        <f t="shared" ref="D6" si="11">B6&amp;"_"&amp;C6</f>
        <v>47007_1</v>
      </c>
      <c r="E6" s="158" t="str">
        <f ca="1">VLOOKUP($B6,OFFSET([2]quests!$A$1,0,0,COUNTA([2]quests!$A:$A),MATCH(E$1,[2]quests!$1:$1,0)-MATCH($B$1,[2]quests!$1:$1,0)+1),MATCH(E$1,[2]quests!$1:$1,0)-MATCH($B$1,[2]quests!$1:$1,0)+1,FALSE)</f>
        <v>ツンデレ少女の恋心</v>
      </c>
      <c r="F6" s="158" t="str">
        <f ca="1">VLOOKUP($D6,OFFSET([2]stages!$A$1,0,0,COUNTA([2]stages!$A:$A),MATCH(F$1,[2]stages!$2:$2,0)-MATCH($D$1,[2]stages!$2:$2,0)+1),MATCH(F$1,[2]stages!$2:$2,0)-MATCH($D$1,[2]stages!$2:$2,0)+1,FALSE)</f>
        <v>【上級】ツンデレ少女の恋心</v>
      </c>
      <c r="G6" s="157">
        <v>3</v>
      </c>
      <c r="H6" s="159" t="str">
        <f t="shared" ref="H6" si="12">B6&amp;"_"&amp;C6&amp;"-"&amp;G6</f>
        <v>47007_1-3</v>
      </c>
      <c r="I6" s="158">
        <f ca="1">VLOOKUP($H6,OFFSET(floors!$A$1,0,0,COUNTA(floors!$A:$A),MATCH(I$1,floors!$1:$1,0)-MATCH($H$1,floors!$1:$1,0)+1),MATCH(I$1,floors!$1:$1,0)-MATCH($H$1,floors!$1:$1,0)+1,FALSE)</f>
        <v>60</v>
      </c>
      <c r="J6" s="158">
        <f ca="1">VLOOKUP($H6,OFFSET(floors!$A$1,0,0,COUNTA(floors!$A:$A),MATCH(J$1,floors!$1:$1,0)-MATCH($H$1,floors!$1:$1,0)+1),MATCH(J$1,floors!$1:$1,0)-MATCH($H$1,floors!$1:$1,0)+1,FALSE)</f>
        <v>60</v>
      </c>
      <c r="K6" s="160">
        <v>4</v>
      </c>
      <c r="L6" s="157">
        <v>1351</v>
      </c>
      <c r="M6" s="17" t="str">
        <f ca="1">VLOOKUP($L6,OFFSET([3]enemies!$A$1,0,0,COUNTA([3]enemies!$A:$A),MATCH(M$1,[3]enemies!$1:$1,0)-MATCH($L$1,[3]enemies!$1:$1,0)+1),MATCH(M$1,[3]enemies!$1:$1,0)-MATCH($L$1,[3]enemies!$1:$1,0)+1,FALSE)</f>
        <v>甘頬の魔糖菓 プラリーヌ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48</v>
      </c>
      <c r="S6" s="25">
        <v>2.1</v>
      </c>
      <c r="T6" s="103"/>
      <c r="U6" s="25">
        <v>0.6</v>
      </c>
      <c r="V6" s="103"/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状態異常耐性+_x000D_青パネルをハートパネルに、黄パネルを赤パネルに変換</v>
      </c>
      <c r="Y6" s="62">
        <v>47007124</v>
      </c>
      <c r="Z6" s="6">
        <v>0</v>
      </c>
      <c r="AA6" s="6">
        <v>100</v>
      </c>
      <c r="AB6" s="183">
        <v>1</v>
      </c>
      <c r="AC6" s="107">
        <v>1</v>
      </c>
      <c r="AD6" s="24">
        <f t="shared" ref="AD6" si="13">L6</f>
        <v>1351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甘頬の魔糖菓 プラリーヌ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6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" s="7">
        <v>1</v>
      </c>
      <c r="AI6" s="24">
        <f t="shared" ref="AI6" ca="1" si="14">AF6</f>
        <v>6</v>
      </c>
      <c r="AJ6" s="105">
        <v>18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si="0"/>
        <v>47007_2-1/1357&lt;lv70&gt;s2</v>
      </c>
      <c r="B7" s="22">
        <v>47007</v>
      </c>
      <c r="C7" s="21">
        <v>2</v>
      </c>
      <c r="D7" s="2" t="str">
        <f t="shared" si="1"/>
        <v>47007_2</v>
      </c>
      <c r="E7" s="4" t="str">
        <f ca="1">VLOOKUP($B7,OFFSET([2]quests!$A$1,0,0,COUNTA([2]quests!$A:$A),MATCH(E$1,[2]quests!$1:$1,0)-MATCH($B$1,[2]quests!$1:$1,0)+1),MATCH(E$1,[2]quests!$1:$1,0)-MATCH($B$1,[2]quests!$1:$1,0)+1,FALSE)</f>
        <v>ツンデレ少女の恋心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【ウィザード級】ツンデレ少女の恋心</v>
      </c>
      <c r="G7" s="21">
        <v>1</v>
      </c>
      <c r="H7" s="15" t="str">
        <f t="shared" si="2"/>
        <v>47007_2-1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259</v>
      </c>
      <c r="L7" s="20">
        <v>1357</v>
      </c>
      <c r="M7" s="17" t="str">
        <f ca="1">VLOOKUP($L7,OFFSET([3]enemies!$A$1,0,0,COUNTA([3]enemies!$A:$A),MATCH(M$1,[3]enemies!$1:$1,0)-MATCH($L$1,[3]enemies!$1:$1,0)+1),MATCH(M$1,[3]enemies!$1:$1,0)-MATCH($L$1,[3]enemies!$1:$1,0)+1,FALSE)</f>
        <v>甘美なる想導司書 アズラエル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70</v>
      </c>
      <c r="S7" s="25">
        <v>3.8</v>
      </c>
      <c r="T7" s="103">
        <f>116689*S7</f>
        <v>443418.19999999995</v>
      </c>
      <c r="U7" s="25">
        <v>1</v>
      </c>
      <c r="V7" s="103">
        <f>7805*U7</f>
        <v>7805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7" s="62">
        <v>47007201</v>
      </c>
      <c r="Z7" s="6">
        <v>0</v>
      </c>
      <c r="AA7" s="6">
        <v>100</v>
      </c>
      <c r="AB7" s="6">
        <v>0</v>
      </c>
      <c r="AC7" s="107">
        <v>2</v>
      </c>
      <c r="AD7" s="24">
        <f t="shared" si="3"/>
        <v>1357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甘美なる想導司書 アズラエル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7" s="7">
        <v>1</v>
      </c>
      <c r="AI7" s="24">
        <f t="shared" ca="1" si="4"/>
        <v>5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x14ac:dyDescent="0.15">
      <c r="A8" s="16" t="str">
        <f t="shared" si="0"/>
        <v>47007_2-2/1354&lt;lv70&gt;s2</v>
      </c>
      <c r="B8" s="22">
        <v>47007</v>
      </c>
      <c r="C8" s="21">
        <v>2</v>
      </c>
      <c r="D8" s="2" t="str">
        <f t="shared" si="1"/>
        <v>47007_2</v>
      </c>
      <c r="E8" s="4" t="str">
        <f ca="1">VLOOKUP($B8,OFFSET([2]quests!$A$1,0,0,COUNTA([2]quests!$A:$A),MATCH(E$1,[2]quests!$1:$1,0)-MATCH($B$1,[2]quests!$1:$1,0)+1),MATCH(E$1,[2]quests!$1:$1,0)-MATCH($B$1,[2]quests!$1:$1,0)+1,FALSE)</f>
        <v>ツンデレ少女の恋心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【ウィザード級】ツンデレ少女の恋心</v>
      </c>
      <c r="G8" s="21">
        <v>2</v>
      </c>
      <c r="H8" s="15" t="str">
        <f t="shared" si="2"/>
        <v>47007_2-2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1</v>
      </c>
      <c r="L8" s="20">
        <v>1354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放課後の恋妃神 フレイヤ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70</v>
      </c>
      <c r="S8" s="25">
        <v>4.7</v>
      </c>
      <c r="T8" s="103">
        <f>99185*S8</f>
        <v>466169.5</v>
      </c>
      <c r="U8" s="25">
        <v>1.3</v>
      </c>
      <c r="V8" s="103">
        <f>6566*U8</f>
        <v>8535.8000000000011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状態異常耐性+_x000D_全ユニットに5ターンCパネル生成延長(特大)</v>
      </c>
      <c r="Y8" s="62">
        <v>47007202</v>
      </c>
      <c r="Z8" s="6">
        <v>0</v>
      </c>
      <c r="AA8" s="6">
        <v>100</v>
      </c>
      <c r="AB8" s="6">
        <v>0</v>
      </c>
      <c r="AC8" s="107">
        <v>2</v>
      </c>
      <c r="AD8" s="24">
        <f t="shared" si="3"/>
        <v>1354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放課後の恋妃神 フレイヤ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6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8" s="7">
        <v>1</v>
      </c>
      <c r="AI8" s="24">
        <f t="shared" ca="1" si="4"/>
        <v>6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70">
        <v>1</v>
      </c>
    </row>
    <row r="9" spans="1:42" ht="21" customHeight="1" x14ac:dyDescent="0.15">
      <c r="A9" s="16" t="str">
        <f t="shared" si="0"/>
        <v>47007_2-3/1351&lt;lv80&gt;s1</v>
      </c>
      <c r="B9" s="156">
        <v>47007</v>
      </c>
      <c r="C9" s="157">
        <v>2</v>
      </c>
      <c r="D9" s="157" t="str">
        <f t="shared" si="1"/>
        <v>47007_2</v>
      </c>
      <c r="E9" s="173" t="str">
        <f ca="1">VLOOKUP($B9,OFFSET([2]quests!$A$1,0,0,COUNTA([2]quests!$A:$A),MATCH(E$1,[2]quests!$1:$1,0)-MATCH($B$1,[2]quests!$1:$1,0)+1),MATCH(E$1,[2]quests!$1:$1,0)-MATCH($B$1,[2]quests!$1:$1,0)+1,FALSE)</f>
        <v>ツンデレ少女の恋心</v>
      </c>
      <c r="F9" s="173" t="str">
        <f ca="1">VLOOKUP($D9,OFFSET([2]stages!$A$1,0,0,COUNTA([2]stages!$A:$A),MATCH(F$1,[2]stages!$2:$2,0)-MATCH($D$1,[2]stages!$2:$2,0)+1),MATCH(F$1,[2]stages!$2:$2,0)-MATCH($D$1,[2]stages!$2:$2,0)+1,FALSE)</f>
        <v>【ウィザード級】ツンデレ少女の恋心</v>
      </c>
      <c r="G9" s="157">
        <v>3</v>
      </c>
      <c r="H9" s="159" t="str">
        <f t="shared" si="2"/>
        <v>47007_2-3</v>
      </c>
      <c r="I9" s="173">
        <f ca="1">VLOOKUP($H9,OFFSET(floors!$A$1,0,0,COUNTA(floors!$A:$A),MATCH(I$1,floors!$1:$1,0)-MATCH($H$1,floors!$1:$1,0)+1),MATCH(I$1,floors!$1:$1,0)-MATCH($H$1,floors!$1:$1,0)+1,FALSE)</f>
        <v>60</v>
      </c>
      <c r="J9" s="173">
        <f ca="1">VLOOKUP($H9,OFFSET(floors!$A$1,0,0,COUNTA(floors!$A:$A),MATCH(J$1,floors!$1:$1,0)-MATCH($H$1,floors!$1:$1,0)+1),MATCH(J$1,floors!$1:$1,0)-MATCH($H$1,floors!$1:$1,0)+1,FALSE)</f>
        <v>60</v>
      </c>
      <c r="K9" s="160">
        <v>2</v>
      </c>
      <c r="L9" s="157">
        <v>1351</v>
      </c>
      <c r="M9" s="17" t="str">
        <f ca="1">VLOOKUP($L9,OFFSET([3]enemies!$A$1,0,0,COUNTA([3]enemies!$A:$A),MATCH(M$1,[3]enemies!$1:$1,0)-MATCH($L$1,[3]enemies!$1:$1,0)+1),MATCH(M$1,[3]enemies!$1:$1,0)-MATCH($L$1,[3]enemies!$1:$1,0)+1,FALSE)</f>
        <v>甘頬の魔糖菓 プラリーヌ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80</v>
      </c>
      <c r="S9" s="25">
        <v>5.5</v>
      </c>
      <c r="T9" s="103">
        <f>130237*S9</f>
        <v>716303.5</v>
      </c>
      <c r="U9" s="25">
        <v>1</v>
      </c>
      <c r="V9" s="103">
        <f>11953*U9</f>
        <v>11953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状態異常耐性+_x000D_青パネルをハートパネルに、黄パネルを赤パネルに変換</v>
      </c>
      <c r="Y9" s="62">
        <v>47007204</v>
      </c>
      <c r="Z9" s="6">
        <v>0</v>
      </c>
      <c r="AA9" s="6">
        <v>100</v>
      </c>
      <c r="AB9" s="183">
        <v>0</v>
      </c>
      <c r="AC9" s="107">
        <v>1</v>
      </c>
      <c r="AD9" s="24">
        <f t="shared" si="3"/>
        <v>1351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甘頬の魔糖菓 プラリーヌ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6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9" s="7">
        <v>1</v>
      </c>
      <c r="AI9" s="24">
        <f t="shared" ca="1" si="4"/>
        <v>6</v>
      </c>
      <c r="AJ9" s="105">
        <v>100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x14ac:dyDescent="0.15">
      <c r="A10" s="16" t="str">
        <f t="shared" ref="A10" si="15">B10&amp;"_"&amp;C10&amp;"-"&amp;G10&amp;"/"&amp;L10&amp;"&lt;lv"&amp;R10&amp;"&gt;s"&amp;AC10</f>
        <v>47007_2-3/1351&lt;lv79&gt;s1</v>
      </c>
      <c r="B10" s="156">
        <v>47007</v>
      </c>
      <c r="C10" s="157">
        <v>2</v>
      </c>
      <c r="D10" s="157" t="str">
        <f t="shared" ref="D10" si="16">B10&amp;"_"&amp;C10</f>
        <v>47007_2</v>
      </c>
      <c r="E10" s="158" t="str">
        <f ca="1">VLOOKUP($B10,OFFSET([2]quests!$A$1,0,0,COUNTA([2]quests!$A:$A),MATCH(E$1,[2]quests!$1:$1,0)-MATCH($B$1,[2]quests!$1:$1,0)+1),MATCH(E$1,[2]quests!$1:$1,0)-MATCH($B$1,[2]quests!$1:$1,0)+1,FALSE)</f>
        <v>ツンデレ少女の恋心</v>
      </c>
      <c r="F10" s="158" t="str">
        <f ca="1">VLOOKUP($D10,OFFSET([2]stages!$A$1,0,0,COUNTA([2]stages!$A:$A),MATCH(F$1,[2]stages!$2:$2,0)-MATCH($D$1,[2]stages!$2:$2,0)+1),MATCH(F$1,[2]stages!$2:$2,0)-MATCH($D$1,[2]stages!$2:$2,0)+1,FALSE)</f>
        <v>【ウィザード級】ツンデレ少女の恋心</v>
      </c>
      <c r="G10" s="157">
        <v>3</v>
      </c>
      <c r="H10" s="159" t="str">
        <f t="shared" ref="H10" si="17">B10&amp;"_"&amp;C10&amp;"-"&amp;G10</f>
        <v>47007_2-3</v>
      </c>
      <c r="I10" s="158">
        <f ca="1">VLOOKUP($H10,OFFSET(floors!$A$1,0,0,COUNTA(floors!$A:$A),MATCH(I$1,floors!$1:$1,0)-MATCH($H$1,floors!$1:$1,0)+1),MATCH(I$1,floors!$1:$1,0)-MATCH($H$1,floors!$1:$1,0)+1,FALSE)</f>
        <v>60</v>
      </c>
      <c r="J10" s="158">
        <f ca="1">VLOOKUP($H10,OFFSET(floors!$A$1,0,0,COUNTA(floors!$A:$A),MATCH(J$1,floors!$1:$1,0)-MATCH($H$1,floors!$1:$1,0)+1),MATCH(J$1,floors!$1:$1,0)-MATCH($H$1,floors!$1:$1,0)+1,FALSE)</f>
        <v>60</v>
      </c>
      <c r="K10" s="160">
        <v>3</v>
      </c>
      <c r="L10" s="157">
        <v>1351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甘頬の魔糖菓 プラリーヌ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DropWizS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79</v>
      </c>
      <c r="S10" s="25">
        <v>5.5</v>
      </c>
      <c r="T10" s="103"/>
      <c r="U10" s="25">
        <v>1</v>
      </c>
      <c r="V10" s="103"/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状態異常耐性+_x000D_青パネルをハートパネルに、黄パネルを赤パネルに変換</v>
      </c>
      <c r="Y10" s="62">
        <v>47007214</v>
      </c>
      <c r="Z10" s="6">
        <v>0</v>
      </c>
      <c r="AA10" s="6">
        <v>100</v>
      </c>
      <c r="AB10" s="183">
        <v>0</v>
      </c>
      <c r="AC10" s="107">
        <v>1</v>
      </c>
      <c r="AD10" s="24">
        <f t="shared" ref="AD10" si="18">L10</f>
        <v>1351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甘頬の魔糖菓 プラリーヌ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6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0" s="7">
        <v>1</v>
      </c>
      <c r="AI10" s="24">
        <f t="shared" ref="AI10" ca="1" si="19">AF10</f>
        <v>6</v>
      </c>
      <c r="AJ10" s="105">
        <v>100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x14ac:dyDescent="0.15">
      <c r="A11" s="16" t="str">
        <f t="shared" ref="A11" si="20">B11&amp;"_"&amp;C11&amp;"-"&amp;G11&amp;"/"&amp;L11&amp;"&lt;lv"&amp;R11&amp;"&gt;s"&amp;AC11</f>
        <v>47007_2-3/1351&lt;lv78&gt;s1</v>
      </c>
      <c r="B11" s="156">
        <v>47007</v>
      </c>
      <c r="C11" s="157">
        <v>2</v>
      </c>
      <c r="D11" s="157" t="str">
        <f t="shared" ref="D11" si="21">B11&amp;"_"&amp;C11</f>
        <v>47007_2</v>
      </c>
      <c r="E11" s="158" t="str">
        <f ca="1">VLOOKUP($B11,OFFSET([2]quests!$A$1,0,0,COUNTA([2]quests!$A:$A),MATCH(E$1,[2]quests!$1:$1,0)-MATCH($B$1,[2]quests!$1:$1,0)+1),MATCH(E$1,[2]quests!$1:$1,0)-MATCH($B$1,[2]quests!$1:$1,0)+1,FALSE)</f>
        <v>ツンデレ少女の恋心</v>
      </c>
      <c r="F11" s="158" t="str">
        <f ca="1">VLOOKUP($D11,OFFSET([2]stages!$A$1,0,0,COUNTA([2]stages!$A:$A),MATCH(F$1,[2]stages!$2:$2,0)-MATCH($D$1,[2]stages!$2:$2,0)+1),MATCH(F$1,[2]stages!$2:$2,0)-MATCH($D$1,[2]stages!$2:$2,0)+1,FALSE)</f>
        <v>【ウィザード級】ツンデレ少女の恋心</v>
      </c>
      <c r="G11" s="157">
        <v>3</v>
      </c>
      <c r="H11" s="159" t="str">
        <f t="shared" ref="H11" si="22">B11&amp;"_"&amp;C11&amp;"-"&amp;G11</f>
        <v>47007_2-3</v>
      </c>
      <c r="I11" s="158">
        <f ca="1">VLOOKUP($H11,OFFSET(floors!$A$1,0,0,COUNTA(floors!$A:$A),MATCH(I$1,floors!$1:$1,0)-MATCH($H$1,floors!$1:$1,0)+1),MATCH(I$1,floors!$1:$1,0)-MATCH($H$1,floors!$1:$1,0)+1,FALSE)</f>
        <v>60</v>
      </c>
      <c r="J11" s="158">
        <f ca="1">VLOOKUP($H11,OFFSET(floors!$A$1,0,0,COUNTA(floors!$A:$A),MATCH(J$1,floors!$1:$1,0)-MATCH($H$1,floors!$1:$1,0)+1),MATCH(J$1,floors!$1:$1,0)-MATCH($H$1,floors!$1:$1,0)+1,FALSE)</f>
        <v>60</v>
      </c>
      <c r="K11" s="160">
        <v>4</v>
      </c>
      <c r="L11" s="157">
        <v>1351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甘頬の魔糖菓 プラリーヌ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DropWizS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78</v>
      </c>
      <c r="S11" s="25">
        <v>5.5</v>
      </c>
      <c r="T11" s="103"/>
      <c r="U11" s="25">
        <v>1</v>
      </c>
      <c r="V11" s="103"/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状態異常耐性+_x000D_青パネルをハートパネルに、黄パネルを赤パネルに変換</v>
      </c>
      <c r="Y11" s="62">
        <v>47007224</v>
      </c>
      <c r="Z11" s="6">
        <v>0</v>
      </c>
      <c r="AA11" s="6">
        <v>100</v>
      </c>
      <c r="AB11" s="183">
        <v>1</v>
      </c>
      <c r="AC11" s="107">
        <v>1</v>
      </c>
      <c r="AD11" s="24">
        <f t="shared" ref="AD11" si="23">L11</f>
        <v>1351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甘頬の魔糖菓 プラリーヌ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6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1" s="7">
        <v>1</v>
      </c>
      <c r="AI11" s="24">
        <f t="shared" ref="AI11" ca="1" si="24">AF11</f>
        <v>6</v>
      </c>
      <c r="AJ11" s="105">
        <v>100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70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5"/>
  <sheetViews>
    <sheetView showGridLines="0" workbookViewId="0">
      <pane xSplit="18" ySplit="1" topLeftCell="T2" activePane="bottomRight" state="frozen"/>
      <selection activeCell="E25" sqref="E25"/>
      <selection pane="topRight" activeCell="E25" sqref="E25"/>
      <selection pane="bottomLeft" activeCell="E25" sqref="E25"/>
      <selection pane="bottomRight" activeCell="R16" sqref="R16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2" t="s">
        <v>254</v>
      </c>
      <c r="V1" s="26" t="s">
        <v>50</v>
      </c>
      <c r="W1" s="102" t="s">
        <v>255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 t="shared" ref="A2:A13" si="0">B2&amp;"_"&amp;C2&amp;"-"&amp;G2&amp;"/"&amp;M2&amp;"&lt;lv"&amp;S2&amp;"&gt;sq"&amp;K2&amp;"st"&amp;L2</f>
        <v>47007_1-2/1354&lt;lv40&gt;sq1st2</v>
      </c>
      <c r="B2" s="22">
        <v>47007</v>
      </c>
      <c r="C2" s="21">
        <v>1</v>
      </c>
      <c r="D2" s="2" t="str">
        <f t="shared" ref="D2:D13" si="1">B2&amp;"_"&amp;C2</f>
        <v>47007_1</v>
      </c>
      <c r="E2" s="4" t="str">
        <f ca="1">VLOOKUP($B2,OFFSET([2]quests!$A$1,0,0,COUNTA([2]quests!$A:$A),MATCH(E$1,[2]quests!$1:$1,0)-MATCH($B$1,[2]quests!$1:$1,0)+1),MATCH(E$1,[2]quests!$1:$1,0)-MATCH($B$1,[2]quests!$1:$1,0)+1,FALSE)</f>
        <v>ツンデレ少女の恋心</v>
      </c>
      <c r="F2" s="4" t="str">
        <f ca="1">VLOOKUP($D2,OFFSET([2]stages!$A$1,0,0,COUNTA([2]stages!$A:$A),MATCH(F$1,[2]stages!$2:$2,0)-MATCH($D$1,[2]stages!$2:$2,0)+1),MATCH(F$1,[2]stages!$2:$2,0)-MATCH($D$1,[2]stages!$2:$2,0)+1,FALSE)</f>
        <v>【上級】ツンデレ少女の恋心</v>
      </c>
      <c r="G2" s="21">
        <v>2</v>
      </c>
      <c r="H2" s="15" t="str">
        <f t="shared" ref="H2:H13" si="2">B2&amp;"_"&amp;C2&amp;"-"&amp;G2</f>
        <v>47007_1-2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1354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放課後の恋妃神 フレイヤ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40</v>
      </c>
      <c r="T2" s="25">
        <v>2.1</v>
      </c>
      <c r="U2" s="103">
        <f>57569*T2</f>
        <v>120894.90000000001</v>
      </c>
      <c r="V2" s="25">
        <v>1</v>
      </c>
      <c r="W2" s="103">
        <f>3811*V2</f>
        <v>3811</v>
      </c>
      <c r="X2" s="5">
        <v>0</v>
      </c>
      <c r="Y2" s="4" t="s">
        <v>258</v>
      </c>
      <c r="Z2" s="62">
        <v>47007103</v>
      </c>
      <c r="AA2" s="106">
        <v>1</v>
      </c>
    </row>
    <row r="3" spans="1:27" ht="21" customHeight="1" x14ac:dyDescent="0.15">
      <c r="A3" s="16" t="str">
        <f t="shared" si="0"/>
        <v>47007_1-3/1351&lt;lv50&gt;sq2st2</v>
      </c>
      <c r="B3" s="156">
        <v>47007</v>
      </c>
      <c r="C3" s="157">
        <v>1</v>
      </c>
      <c r="D3" s="157" t="str">
        <f t="shared" si="1"/>
        <v>47007_1</v>
      </c>
      <c r="E3" s="158" t="str">
        <f ca="1">VLOOKUP($B3,OFFSET([2]quests!$A$1,0,0,COUNTA([2]quests!$A:$A),MATCH(E$1,[2]quests!$1:$1,0)-MATCH($B$1,[2]quests!$1:$1,0)+1),MATCH(E$1,[2]quests!$1:$1,0)-MATCH($B$1,[2]quests!$1:$1,0)+1,FALSE)</f>
        <v>ツンデレ少女の恋心</v>
      </c>
      <c r="F3" s="158" t="str">
        <f ca="1">VLOOKUP($D3,OFFSET([2]stages!$A$1,0,0,COUNTA([2]stages!$A:$A),MATCH(F$1,[2]stages!$2:$2,0)-MATCH($D$1,[2]stages!$2:$2,0)+1),MATCH(F$1,[2]stages!$2:$2,0)-MATCH($D$1,[2]stages!$2:$2,0)+1,FALSE)</f>
        <v>【上級】ツンデレ少女の恋心</v>
      </c>
      <c r="G3" s="157">
        <v>3</v>
      </c>
      <c r="H3" s="159" t="str">
        <f t="shared" si="2"/>
        <v>47007_1-3</v>
      </c>
      <c r="I3" s="158">
        <f ca="1">VLOOKUP($H3,OFFSET(floors!$A$1,0,0,COUNTA(floors!$A:$A),MATCH(I$1,floors!$1:$1,0)-MATCH($H$1,floors!$1:$1,0)+1),MATCH(I$1,floors!$1:$1,0)-MATCH($H$1,floors!$1:$1,0)+1,FALSE)</f>
        <v>60</v>
      </c>
      <c r="J3" s="158">
        <f ca="1">VLOOKUP($H3,OFFSET(floors!$A$1,0,0,COUNTA(floors!$A:$A),MATCH(J$1,floors!$1:$1,0)-MATCH($H$1,floors!$1:$1,0)+1),MATCH(J$1,floors!$1:$1,0)-MATCH($H$1,floors!$1:$1,0)+1,FALSE)</f>
        <v>60</v>
      </c>
      <c r="K3" s="160">
        <v>2</v>
      </c>
      <c r="L3" s="160">
        <v>2</v>
      </c>
      <c r="M3" s="157">
        <v>1351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甘頬の魔糖菓 プラリーヌ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50</v>
      </c>
      <c r="T3" s="25">
        <v>2.1</v>
      </c>
      <c r="U3" s="103">
        <f>82297*T3</f>
        <v>172823.7</v>
      </c>
      <c r="V3" s="25">
        <v>0.7</v>
      </c>
      <c r="W3" s="103">
        <f>7554*V3</f>
        <v>5287.7999999999993</v>
      </c>
      <c r="X3" s="5">
        <v>0</v>
      </c>
      <c r="Y3" s="4" t="s">
        <v>258</v>
      </c>
      <c r="Z3" s="62">
        <v>47007105</v>
      </c>
      <c r="AA3" s="106">
        <v>1</v>
      </c>
    </row>
    <row r="4" spans="1:27" ht="21" customHeight="1" x14ac:dyDescent="0.15">
      <c r="A4" s="16" t="str">
        <f t="shared" ref="A4" si="3">B4&amp;"_"&amp;C4&amp;"-"&amp;G4&amp;"/"&amp;M4&amp;"&lt;lv"&amp;S4&amp;"&gt;sq"&amp;K4&amp;"st"&amp;L4</f>
        <v>47007_1-3/1351&lt;lv49&gt;sq3st2</v>
      </c>
      <c r="B4" s="156">
        <v>47007</v>
      </c>
      <c r="C4" s="157">
        <v>1</v>
      </c>
      <c r="D4" s="157" t="str">
        <f t="shared" ref="D4" si="4">B4&amp;"_"&amp;C4</f>
        <v>47007_1</v>
      </c>
      <c r="E4" s="158" t="str">
        <f ca="1">VLOOKUP($B4,OFFSET([2]quests!$A$1,0,0,COUNTA([2]quests!$A:$A),MATCH(E$1,[2]quests!$1:$1,0)-MATCH($B$1,[2]quests!$1:$1,0)+1),MATCH(E$1,[2]quests!$1:$1,0)-MATCH($B$1,[2]quests!$1:$1,0)+1,FALSE)</f>
        <v>ツンデレ少女の恋心</v>
      </c>
      <c r="F4" s="158" t="str">
        <f ca="1">VLOOKUP($D4,OFFSET([2]stages!$A$1,0,0,COUNTA([2]stages!$A:$A),MATCH(F$1,[2]stages!$2:$2,0)-MATCH($D$1,[2]stages!$2:$2,0)+1),MATCH(F$1,[2]stages!$2:$2,0)-MATCH($D$1,[2]stages!$2:$2,0)+1,FALSE)</f>
        <v>【上級】ツンデレ少女の恋心</v>
      </c>
      <c r="G4" s="157">
        <v>3</v>
      </c>
      <c r="H4" s="159" t="str">
        <f t="shared" ref="H4" si="5">B4&amp;"_"&amp;C4&amp;"-"&amp;G4</f>
        <v>47007_1-3</v>
      </c>
      <c r="I4" s="158">
        <f ca="1">VLOOKUP($H4,OFFSET(floors!$A$1,0,0,COUNTA(floors!$A:$A),MATCH(I$1,floors!$1:$1,0)-MATCH($H$1,floors!$1:$1,0)+1),MATCH(I$1,floors!$1:$1,0)-MATCH($H$1,floors!$1:$1,0)+1,FALSE)</f>
        <v>60</v>
      </c>
      <c r="J4" s="158">
        <f ca="1">VLOOKUP($H4,OFFSET(floors!$A$1,0,0,COUNTA(floors!$A:$A),MATCH(J$1,floors!$1:$1,0)-MATCH($H$1,floors!$1:$1,0)+1),MATCH(J$1,floors!$1:$1,0)-MATCH($H$1,floors!$1:$1,0)+1,FALSE)</f>
        <v>60</v>
      </c>
      <c r="K4" s="160">
        <v>3</v>
      </c>
      <c r="L4" s="160">
        <v>2</v>
      </c>
      <c r="M4" s="157">
        <v>1351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甘頬の魔糖菓 プラリーヌ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49</v>
      </c>
      <c r="T4" s="25">
        <v>2.1</v>
      </c>
      <c r="U4" s="103"/>
      <c r="V4" s="25">
        <v>0.7</v>
      </c>
      <c r="W4" s="103"/>
      <c r="X4" s="5">
        <v>0</v>
      </c>
      <c r="Y4" s="4" t="s">
        <v>258</v>
      </c>
      <c r="Z4" s="62">
        <v>47007115</v>
      </c>
      <c r="AA4" s="106">
        <v>1</v>
      </c>
    </row>
    <row r="5" spans="1:27" ht="21" customHeight="1" x14ac:dyDescent="0.15">
      <c r="A5" s="16" t="str">
        <f t="shared" ref="A5" si="6">B5&amp;"_"&amp;C5&amp;"-"&amp;G5&amp;"/"&amp;M5&amp;"&lt;lv"&amp;S5&amp;"&gt;sq"&amp;K5&amp;"st"&amp;L5</f>
        <v>47007_1-3/1351&lt;lv48&gt;sq4st2</v>
      </c>
      <c r="B5" s="156">
        <v>47007</v>
      </c>
      <c r="C5" s="157">
        <v>1</v>
      </c>
      <c r="D5" s="157" t="str">
        <f t="shared" ref="D5" si="7">B5&amp;"_"&amp;C5</f>
        <v>47007_1</v>
      </c>
      <c r="E5" s="158" t="str">
        <f ca="1">VLOOKUP($B5,OFFSET([2]quests!$A$1,0,0,COUNTA([2]quests!$A:$A),MATCH(E$1,[2]quests!$1:$1,0)-MATCH($B$1,[2]quests!$1:$1,0)+1),MATCH(E$1,[2]quests!$1:$1,0)-MATCH($B$1,[2]quests!$1:$1,0)+1,FALSE)</f>
        <v>ツンデレ少女の恋心</v>
      </c>
      <c r="F5" s="158" t="str">
        <f ca="1">VLOOKUP($D5,OFFSET([2]stages!$A$1,0,0,COUNTA([2]stages!$A:$A),MATCH(F$1,[2]stages!$2:$2,0)-MATCH($D$1,[2]stages!$2:$2,0)+1),MATCH(F$1,[2]stages!$2:$2,0)-MATCH($D$1,[2]stages!$2:$2,0)+1,FALSE)</f>
        <v>【上級】ツンデレ少女の恋心</v>
      </c>
      <c r="G5" s="157">
        <v>3</v>
      </c>
      <c r="H5" s="159" t="str">
        <f t="shared" ref="H5" si="8">B5&amp;"_"&amp;C5&amp;"-"&amp;G5</f>
        <v>47007_1-3</v>
      </c>
      <c r="I5" s="158">
        <f ca="1">VLOOKUP($H5,OFFSET(floors!$A$1,0,0,COUNTA(floors!$A:$A),MATCH(I$1,floors!$1:$1,0)-MATCH($H$1,floors!$1:$1,0)+1),MATCH(I$1,floors!$1:$1,0)-MATCH($H$1,floors!$1:$1,0)+1,FALSE)</f>
        <v>60</v>
      </c>
      <c r="J5" s="158">
        <f ca="1">VLOOKUP($H5,OFFSET(floors!$A$1,0,0,COUNTA(floors!$A:$A),MATCH(J$1,floors!$1:$1,0)-MATCH($H$1,floors!$1:$1,0)+1),MATCH(J$1,floors!$1:$1,0)-MATCH($H$1,floors!$1:$1,0)+1,FALSE)</f>
        <v>60</v>
      </c>
      <c r="K5" s="160">
        <v>4</v>
      </c>
      <c r="L5" s="160">
        <v>2</v>
      </c>
      <c r="M5" s="157">
        <v>1351</v>
      </c>
      <c r="N5" s="17" t="str">
        <f ca="1">VLOOKUP($M5,OFFSET([3]enemies!$A$1,0,0,COUNTA([3]enemies!$A:$A),MATCH(N$1,[3]enemies!$1:$1,0)-MATCH($M$1,[3]enemies!$1:$1,0)+1),MATCH(N$1,[3]enemies!$1:$1,0)-MATCH($M$1,[3]enemies!$1:$1,0)+1,FALSE)</f>
        <v>甘頬の魔糖菓 プラリーヌ</v>
      </c>
      <c r="O5" s="17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48</v>
      </c>
      <c r="T5" s="25">
        <v>2.1</v>
      </c>
      <c r="U5" s="103"/>
      <c r="V5" s="25">
        <v>0.7</v>
      </c>
      <c r="W5" s="103"/>
      <c r="X5" s="5">
        <v>0</v>
      </c>
      <c r="Y5" s="4" t="s">
        <v>258</v>
      </c>
      <c r="Z5" s="62">
        <v>47007125</v>
      </c>
      <c r="AA5" s="106">
        <v>1</v>
      </c>
    </row>
    <row r="6" spans="1:27" ht="21" customHeight="1" x14ac:dyDescent="0.15">
      <c r="A6" s="16" t="str">
        <f t="shared" si="0"/>
        <v>47007_1-3/1351&lt;lv50&gt;sq2st3</v>
      </c>
      <c r="B6" s="161">
        <v>47007</v>
      </c>
      <c r="C6" s="162">
        <v>1</v>
      </c>
      <c r="D6" s="162" t="str">
        <f t="shared" si="1"/>
        <v>47007_1</v>
      </c>
      <c r="E6" s="163" t="str">
        <f ca="1">VLOOKUP($B6,OFFSET([2]quests!$A$1,0,0,COUNTA([2]quests!$A:$A),MATCH(E$1,[2]quests!$1:$1,0)-MATCH($B$1,[2]quests!$1:$1,0)+1),MATCH(E$1,[2]quests!$1:$1,0)-MATCH($B$1,[2]quests!$1:$1,0)+1,FALSE)</f>
        <v>ツンデレ少女の恋心</v>
      </c>
      <c r="F6" s="163" t="str">
        <f ca="1">VLOOKUP($D6,OFFSET([2]stages!$A$1,0,0,COUNTA([2]stages!$A:$A),MATCH(F$1,[2]stages!$2:$2,0)-MATCH($D$1,[2]stages!$2:$2,0)+1),MATCH(F$1,[2]stages!$2:$2,0)-MATCH($D$1,[2]stages!$2:$2,0)+1,FALSE)</f>
        <v>【上級】ツンデレ少女の恋心</v>
      </c>
      <c r="G6" s="162">
        <v>3</v>
      </c>
      <c r="H6" s="164" t="str">
        <f t="shared" si="2"/>
        <v>47007_1-3</v>
      </c>
      <c r="I6" s="163">
        <f ca="1">VLOOKUP($H6,OFFSET(floors!$A$1,0,0,COUNTA(floors!$A:$A),MATCH(I$1,floors!$1:$1,0)-MATCH($H$1,floors!$1:$1,0)+1),MATCH(I$1,floors!$1:$1,0)-MATCH($H$1,floors!$1:$1,0)+1,FALSE)</f>
        <v>60</v>
      </c>
      <c r="J6" s="163">
        <f ca="1">VLOOKUP($H6,OFFSET(floors!$A$1,0,0,COUNTA(floors!$A:$A),MATCH(J$1,floors!$1:$1,0)-MATCH($H$1,floors!$1:$1,0)+1),MATCH(J$1,floors!$1:$1,0)-MATCH($H$1,floors!$1:$1,0)+1,FALSE)</f>
        <v>60</v>
      </c>
      <c r="K6" s="165">
        <v>2</v>
      </c>
      <c r="L6" s="165">
        <v>3</v>
      </c>
      <c r="M6" s="162">
        <v>1351</v>
      </c>
      <c r="N6" s="17" t="str">
        <f ca="1">VLOOKUP($M6,OFFSET([3]enemies!$A$1,0,0,COUNTA([3]enemies!$A:$A),MATCH(N$1,[3]enemies!$1:$1,0)-MATCH($M$1,[3]enemies!$1:$1,0)+1),MATCH(N$1,[3]enemies!$1:$1,0)-MATCH($M$1,[3]enemies!$1:$1,0)+1,FALSE)</f>
        <v>甘頬の魔糖菓 プラリーヌ</v>
      </c>
      <c r="O6" s="17" t="str">
        <f ca="1">VLOOKUP($M6,OFFSET([3]enemies!$A$1,0,0,COUNTA([3]enemies!$A:$A),MATCH(O$1,[3]enemies!$1:$1,0)-MATCH($M$1,[3]enemies!$1:$1,0)+1),MATCH(O$1,[3]enemies!$1:$1,0)-MATCH($M$1,[3]enemies!$1:$1,0)+1,FALSE)</f>
        <v>red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50</v>
      </c>
      <c r="T6" s="25">
        <v>1.8</v>
      </c>
      <c r="U6" s="103">
        <f>82297*T6</f>
        <v>148134.6</v>
      </c>
      <c r="V6" s="25">
        <v>1</v>
      </c>
      <c r="W6" s="103">
        <f>7554*V6</f>
        <v>7554</v>
      </c>
      <c r="X6" s="5">
        <v>0</v>
      </c>
      <c r="Y6" s="4" t="s">
        <v>258</v>
      </c>
      <c r="Z6" s="62">
        <v>47007106</v>
      </c>
      <c r="AA6" s="106">
        <v>1</v>
      </c>
    </row>
    <row r="7" spans="1:27" ht="21" customHeight="1" x14ac:dyDescent="0.15">
      <c r="A7" s="16" t="str">
        <f t="shared" ref="A7" si="9">B7&amp;"_"&amp;C7&amp;"-"&amp;G7&amp;"/"&amp;M7&amp;"&lt;lv"&amp;S7&amp;"&gt;sq"&amp;K7&amp;"st"&amp;L7</f>
        <v>47007_1-3/1351&lt;lv49&gt;sq3st3</v>
      </c>
      <c r="B7" s="161">
        <v>47007</v>
      </c>
      <c r="C7" s="162">
        <v>1</v>
      </c>
      <c r="D7" s="162" t="str">
        <f t="shared" ref="D7" si="10">B7&amp;"_"&amp;C7</f>
        <v>47007_1</v>
      </c>
      <c r="E7" s="163" t="str">
        <f ca="1">VLOOKUP($B7,OFFSET([2]quests!$A$1,0,0,COUNTA([2]quests!$A:$A),MATCH(E$1,[2]quests!$1:$1,0)-MATCH($B$1,[2]quests!$1:$1,0)+1),MATCH(E$1,[2]quests!$1:$1,0)-MATCH($B$1,[2]quests!$1:$1,0)+1,FALSE)</f>
        <v>ツンデレ少女の恋心</v>
      </c>
      <c r="F7" s="163" t="str">
        <f ca="1">VLOOKUP($D7,OFFSET([2]stages!$A$1,0,0,COUNTA([2]stages!$A:$A),MATCH(F$1,[2]stages!$2:$2,0)-MATCH($D$1,[2]stages!$2:$2,0)+1),MATCH(F$1,[2]stages!$2:$2,0)-MATCH($D$1,[2]stages!$2:$2,0)+1,FALSE)</f>
        <v>【上級】ツンデレ少女の恋心</v>
      </c>
      <c r="G7" s="162">
        <v>3</v>
      </c>
      <c r="H7" s="164" t="str">
        <f t="shared" ref="H7" si="11">B7&amp;"_"&amp;C7&amp;"-"&amp;G7</f>
        <v>47007_1-3</v>
      </c>
      <c r="I7" s="163">
        <f ca="1">VLOOKUP($H7,OFFSET(floors!$A$1,0,0,COUNTA(floors!$A:$A),MATCH(I$1,floors!$1:$1,0)-MATCH($H$1,floors!$1:$1,0)+1),MATCH(I$1,floors!$1:$1,0)-MATCH($H$1,floors!$1:$1,0)+1,FALSE)</f>
        <v>60</v>
      </c>
      <c r="J7" s="163">
        <f ca="1">VLOOKUP($H7,OFFSET(floors!$A$1,0,0,COUNTA(floors!$A:$A),MATCH(J$1,floors!$1:$1,0)-MATCH($H$1,floors!$1:$1,0)+1),MATCH(J$1,floors!$1:$1,0)-MATCH($H$1,floors!$1:$1,0)+1,FALSE)</f>
        <v>60</v>
      </c>
      <c r="K7" s="165">
        <v>3</v>
      </c>
      <c r="L7" s="165">
        <v>3</v>
      </c>
      <c r="M7" s="162">
        <v>1351</v>
      </c>
      <c r="N7" s="17" t="str">
        <f ca="1">VLOOKUP($M7,OFFSET([3]enemies!$A$1,0,0,COUNTA([3]enemies!$A:$A),MATCH(N$1,[3]enemies!$1:$1,0)-MATCH($M$1,[3]enemies!$1:$1,0)+1),MATCH(N$1,[3]enemies!$1:$1,0)-MATCH($M$1,[3]enemies!$1:$1,0)+1,FALSE)</f>
        <v>甘頬の魔糖菓 プラリーヌ</v>
      </c>
      <c r="O7" s="17" t="str">
        <f ca="1">VLOOKUP($M7,OFFSET([3]enemies!$A$1,0,0,COUNTA([3]enemies!$A:$A),MATCH(O$1,[3]enemies!$1:$1,0)-MATCH($M$1,[3]enemies!$1:$1,0)+1),MATCH(O$1,[3]enemies!$1:$1,0)-MATCH($M$1,[3]enemies!$1:$1,0)+1,FALSE)</f>
        <v>red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49</v>
      </c>
      <c r="T7" s="25">
        <v>1.8</v>
      </c>
      <c r="U7" s="103"/>
      <c r="V7" s="25">
        <v>1</v>
      </c>
      <c r="W7" s="103"/>
      <c r="X7" s="5">
        <v>0</v>
      </c>
      <c r="Y7" s="4" t="s">
        <v>258</v>
      </c>
      <c r="Z7" s="62">
        <v>47007116</v>
      </c>
      <c r="AA7" s="106">
        <v>1</v>
      </c>
    </row>
    <row r="8" spans="1:27" ht="21" customHeight="1" x14ac:dyDescent="0.15">
      <c r="A8" s="16" t="str">
        <f t="shared" ref="A8" si="12">B8&amp;"_"&amp;C8&amp;"-"&amp;G8&amp;"/"&amp;M8&amp;"&lt;lv"&amp;S8&amp;"&gt;sq"&amp;K8&amp;"st"&amp;L8</f>
        <v>47007_1-3/1351&lt;lv48&gt;sq4st3</v>
      </c>
      <c r="B8" s="161">
        <v>47007</v>
      </c>
      <c r="C8" s="162">
        <v>1</v>
      </c>
      <c r="D8" s="162" t="str">
        <f t="shared" ref="D8" si="13">B8&amp;"_"&amp;C8</f>
        <v>47007_1</v>
      </c>
      <c r="E8" s="163" t="str">
        <f ca="1">VLOOKUP($B8,OFFSET([2]quests!$A$1,0,0,COUNTA([2]quests!$A:$A),MATCH(E$1,[2]quests!$1:$1,0)-MATCH($B$1,[2]quests!$1:$1,0)+1),MATCH(E$1,[2]quests!$1:$1,0)-MATCH($B$1,[2]quests!$1:$1,0)+1,FALSE)</f>
        <v>ツンデレ少女の恋心</v>
      </c>
      <c r="F8" s="163" t="str">
        <f ca="1">VLOOKUP($D8,OFFSET([2]stages!$A$1,0,0,COUNTA([2]stages!$A:$A),MATCH(F$1,[2]stages!$2:$2,0)-MATCH($D$1,[2]stages!$2:$2,0)+1),MATCH(F$1,[2]stages!$2:$2,0)-MATCH($D$1,[2]stages!$2:$2,0)+1,FALSE)</f>
        <v>【上級】ツンデレ少女の恋心</v>
      </c>
      <c r="G8" s="162">
        <v>3</v>
      </c>
      <c r="H8" s="164" t="str">
        <f t="shared" ref="H8" si="14">B8&amp;"_"&amp;C8&amp;"-"&amp;G8</f>
        <v>47007_1-3</v>
      </c>
      <c r="I8" s="163">
        <f ca="1">VLOOKUP($H8,OFFSET(floors!$A$1,0,0,COUNTA(floors!$A:$A),MATCH(I$1,floors!$1:$1,0)-MATCH($H$1,floors!$1:$1,0)+1),MATCH(I$1,floors!$1:$1,0)-MATCH($H$1,floors!$1:$1,0)+1,FALSE)</f>
        <v>60</v>
      </c>
      <c r="J8" s="163">
        <f ca="1">VLOOKUP($H8,OFFSET(floors!$A$1,0,0,COUNTA(floors!$A:$A),MATCH(J$1,floors!$1:$1,0)-MATCH($H$1,floors!$1:$1,0)+1),MATCH(J$1,floors!$1:$1,0)-MATCH($H$1,floors!$1:$1,0)+1,FALSE)</f>
        <v>60</v>
      </c>
      <c r="K8" s="165">
        <v>4</v>
      </c>
      <c r="L8" s="165">
        <v>3</v>
      </c>
      <c r="M8" s="162">
        <v>1351</v>
      </c>
      <c r="N8" s="17" t="str">
        <f ca="1">VLOOKUP($M8,OFFSET([3]enemies!$A$1,0,0,COUNTA([3]enemies!$A:$A),MATCH(N$1,[3]enemies!$1:$1,0)-MATCH($M$1,[3]enemies!$1:$1,0)+1),MATCH(N$1,[3]enemies!$1:$1,0)-MATCH($M$1,[3]enemies!$1:$1,0)+1,FALSE)</f>
        <v>甘頬の魔糖菓 プラリーヌ</v>
      </c>
      <c r="O8" s="17" t="str">
        <f ca="1">VLOOKUP($M8,OFFSET([3]enemies!$A$1,0,0,COUNTA([3]enemies!$A:$A),MATCH(O$1,[3]enemies!$1:$1,0)-MATCH($M$1,[3]enemies!$1:$1,0)+1),MATCH(O$1,[3]enemies!$1:$1,0)-MATCH($M$1,[3]enemies!$1:$1,0)+1,FALSE)</f>
        <v>red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DropWizS</v>
      </c>
      <c r="Q8" s="17" t="str">
        <f ca="1">VLOOKUP($M8,OFFSET([3]enemies!$A$1,0,0,COUNTA([3]enemies!$A:$A),MATCH(Q$1,[3]enemies!$1:$1,0)-MATCH($M$1,[3]enemies!$1:$1,0)+1),MATCH(Q$1,[3]enemies!$1:$1,0)-MATCH($M$1,[3]enemies!$1:$1,0)+1,FALSE)</f>
        <v>human</v>
      </c>
      <c r="R8" s="17">
        <f ca="1">VLOOKUP($M8,OFFSET([3]enemies!$A$1,0,0,COUNTA([3]enemies!$A:$A),MATCH(R$1,[3]enemies!$1:$1,0)-MATCH($M$1,[3]enemies!$1:$1,0)+1),MATCH(R$1,[3]enemies!$1:$1,0)-MATCH($M$1,[3]enemies!$1:$1,0)+1,FALSE)</f>
        <v>60</v>
      </c>
      <c r="S8" s="5">
        <v>48</v>
      </c>
      <c r="T8" s="25">
        <v>1.8</v>
      </c>
      <c r="U8" s="103"/>
      <c r="V8" s="25">
        <v>1</v>
      </c>
      <c r="W8" s="103"/>
      <c r="X8" s="5">
        <v>0</v>
      </c>
      <c r="Y8" s="4" t="s">
        <v>258</v>
      </c>
      <c r="Z8" s="62">
        <v>47007126</v>
      </c>
      <c r="AA8" s="106">
        <v>1</v>
      </c>
    </row>
    <row r="9" spans="1:27" ht="21" customHeight="1" x14ac:dyDescent="0.15">
      <c r="A9" s="16" t="str">
        <f t="shared" si="0"/>
        <v>47007_2-2/1354&lt;lv70&gt;sq1st2</v>
      </c>
      <c r="B9" s="22">
        <v>47007</v>
      </c>
      <c r="C9" s="21">
        <v>2</v>
      </c>
      <c r="D9" s="2" t="str">
        <f t="shared" si="1"/>
        <v>47007_2</v>
      </c>
      <c r="E9" s="4" t="str">
        <f ca="1">VLOOKUP($B9,OFFSET([2]quests!$A$1,0,0,COUNTA([2]quests!$A:$A),MATCH(E$1,[2]quests!$1:$1,0)-MATCH($B$1,[2]quests!$1:$1,0)+1),MATCH(E$1,[2]quests!$1:$1,0)-MATCH($B$1,[2]quests!$1:$1,0)+1,FALSE)</f>
        <v>ツンデレ少女の恋心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【ウィザード級】ツンデレ少女の恋心</v>
      </c>
      <c r="G9" s="21">
        <v>2</v>
      </c>
      <c r="H9" s="15" t="str">
        <f t="shared" si="2"/>
        <v>47007_2-2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1</v>
      </c>
      <c r="L9" s="38">
        <v>2</v>
      </c>
      <c r="M9" s="20">
        <v>1354</v>
      </c>
      <c r="N9" s="17" t="str">
        <f ca="1">VLOOKUP($M9,OFFSET([3]enemies!$A$1,0,0,COUNTA([3]enemies!$A:$A),MATCH(N$1,[3]enemies!$1:$1,0)-MATCH($M$1,[3]enemies!$1:$1,0)+1),MATCH(N$1,[3]enemies!$1:$1,0)-MATCH($M$1,[3]enemies!$1:$1,0)+1,FALSE)</f>
        <v>放課後の恋妃神 フレイヤ</v>
      </c>
      <c r="O9" s="17" t="str">
        <f ca="1">VLOOKUP($M9,OFFSET([3]enemies!$A$1,0,0,COUNTA([3]enemies!$A:$A),MATCH(O$1,[3]enemies!$1:$1,0)-MATCH($M$1,[3]enemies!$1:$1,0)+1),MATCH(O$1,[3]enemies!$1:$1,0)-MATCH($M$1,[3]enemies!$1:$1,0)+1,FALSE)</f>
        <v>green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PremiumSS</v>
      </c>
      <c r="Q9" s="17" t="str">
        <f ca="1">VLOOKUP($M9,OFFSET([3]enemies!$A$1,0,0,COUNTA([3]enemies!$A:$A),MATCH(Q$1,[3]enemies!$1:$1,0)-MATCH($M$1,[3]enemies!$1:$1,0)+1),MATCH(Q$1,[3]enemies!$1:$1,0)-MATCH($M$1,[3]enemies!$1:$1,0)+1,FALSE)</f>
        <v>animal</v>
      </c>
      <c r="R9" s="17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70</v>
      </c>
      <c r="T9" s="25">
        <v>4.7</v>
      </c>
      <c r="U9" s="103">
        <f>99185*T9</f>
        <v>466169.5</v>
      </c>
      <c r="V9" s="25">
        <v>1.3</v>
      </c>
      <c r="W9" s="103">
        <f>6566*V9</f>
        <v>8535.8000000000011</v>
      </c>
      <c r="X9" s="5">
        <v>0</v>
      </c>
      <c r="Y9" s="4" t="s">
        <v>258</v>
      </c>
      <c r="Z9" s="62">
        <v>47007203</v>
      </c>
      <c r="AA9" s="106">
        <v>1</v>
      </c>
    </row>
    <row r="10" spans="1:27" ht="21" customHeight="1" x14ac:dyDescent="0.15">
      <c r="A10" s="16" t="str">
        <f t="shared" si="0"/>
        <v>47007_2-3/1351&lt;lv80&gt;sq2st2</v>
      </c>
      <c r="B10" s="156">
        <v>47007</v>
      </c>
      <c r="C10" s="157">
        <v>2</v>
      </c>
      <c r="D10" s="157" t="str">
        <f t="shared" si="1"/>
        <v>47007_2</v>
      </c>
      <c r="E10" s="158" t="str">
        <f ca="1">VLOOKUP($B10,OFFSET([2]quests!$A$1,0,0,COUNTA([2]quests!$A:$A),MATCH(E$1,[2]quests!$1:$1,0)-MATCH($B$1,[2]quests!$1:$1,0)+1),MATCH(E$1,[2]quests!$1:$1,0)-MATCH($B$1,[2]quests!$1:$1,0)+1,FALSE)</f>
        <v>ツンデレ少女の恋心</v>
      </c>
      <c r="F10" s="158" t="str">
        <f ca="1">VLOOKUP($D10,OFFSET([2]stages!$A$1,0,0,COUNTA([2]stages!$A:$A),MATCH(F$1,[2]stages!$2:$2,0)-MATCH($D$1,[2]stages!$2:$2,0)+1),MATCH(F$1,[2]stages!$2:$2,0)-MATCH($D$1,[2]stages!$2:$2,0)+1,FALSE)</f>
        <v>【ウィザード級】ツンデレ少女の恋心</v>
      </c>
      <c r="G10" s="157">
        <v>3</v>
      </c>
      <c r="H10" s="159" t="str">
        <f t="shared" si="2"/>
        <v>47007_2-3</v>
      </c>
      <c r="I10" s="158">
        <f ca="1">VLOOKUP($H10,OFFSET(floors!$A$1,0,0,COUNTA(floors!$A:$A),MATCH(I$1,floors!$1:$1,0)-MATCH($H$1,floors!$1:$1,0)+1),MATCH(I$1,floors!$1:$1,0)-MATCH($H$1,floors!$1:$1,0)+1,FALSE)</f>
        <v>60</v>
      </c>
      <c r="J10" s="158">
        <f ca="1">VLOOKUP($H10,OFFSET(floors!$A$1,0,0,COUNTA(floors!$A:$A),MATCH(J$1,floors!$1:$1,0)-MATCH($H$1,floors!$1:$1,0)+1),MATCH(J$1,floors!$1:$1,0)-MATCH($H$1,floors!$1:$1,0)+1,FALSE)</f>
        <v>60</v>
      </c>
      <c r="K10" s="160">
        <v>2</v>
      </c>
      <c r="L10" s="160">
        <v>2</v>
      </c>
      <c r="M10" s="157">
        <v>1351</v>
      </c>
      <c r="N10" s="17" t="str">
        <f ca="1">VLOOKUP($M10,OFFSET([3]enemies!$A$1,0,0,COUNTA([3]enemies!$A:$A),MATCH(N$1,[3]enemies!$1:$1,0)-MATCH($M$1,[3]enemies!$1:$1,0)+1),MATCH(N$1,[3]enemies!$1:$1,0)-MATCH($M$1,[3]enemies!$1:$1,0)+1,FALSE)</f>
        <v>甘頬の魔糖菓 プラリーヌ</v>
      </c>
      <c r="O10" s="17" t="str">
        <f ca="1">VLOOKUP($M10,OFFSET([3]enemies!$A$1,0,0,COUNTA([3]enemies!$A:$A),MATCH(O$1,[3]enemies!$1:$1,0)-MATCH($M$1,[3]enemies!$1:$1,0)+1),MATCH(O$1,[3]enemies!$1:$1,0)-MATCH($M$1,[3]enemies!$1:$1,0)+1,FALSE)</f>
        <v>red</v>
      </c>
      <c r="P10" s="17" t="str">
        <f ca="1">VLOOKUP($M10,OFFSET([4]characters!$A$1,0,0,COUNTA([4]characters!$A:$A),MATCH(P$1,[4]characters!$1:$1,0)-MATCH($M$1,[4]characters!$1:$1,0)+1),MATCH(P$1,[4]characters!$1:$1,0)-MATCH($M$1,[4]characters!$1:$1,0)+1,FALSE)</f>
        <v>DropWizS</v>
      </c>
      <c r="Q10" s="17" t="str">
        <f ca="1">VLOOKUP($M10,OFFSET([3]enemies!$A$1,0,0,COUNTA([3]enemies!$A:$A),MATCH(Q$1,[3]enemies!$1:$1,0)-MATCH($M$1,[3]enemies!$1:$1,0)+1),MATCH(Q$1,[3]enemies!$1:$1,0)-MATCH($M$1,[3]enemies!$1:$1,0)+1,FALSE)</f>
        <v>human</v>
      </c>
      <c r="R10" s="17">
        <f ca="1">VLOOKUP($M10,OFFSET([3]enemies!$A$1,0,0,COUNTA([3]enemies!$A:$A),MATCH(R$1,[3]enemies!$1:$1,0)-MATCH($M$1,[3]enemies!$1:$1,0)+1),MATCH(R$1,[3]enemies!$1:$1,0)-MATCH($M$1,[3]enemies!$1:$1,0)+1,FALSE)</f>
        <v>60</v>
      </c>
      <c r="S10" s="5">
        <v>80</v>
      </c>
      <c r="T10" s="25">
        <v>5.5</v>
      </c>
      <c r="U10" s="103">
        <f>130237*T10</f>
        <v>716303.5</v>
      </c>
      <c r="V10" s="25">
        <v>1</v>
      </c>
      <c r="W10" s="103">
        <f>11953*V10</f>
        <v>11953</v>
      </c>
      <c r="X10" s="5">
        <v>0</v>
      </c>
      <c r="Y10" s="4" t="s">
        <v>258</v>
      </c>
      <c r="Z10" s="62">
        <v>47007205</v>
      </c>
      <c r="AA10" s="106">
        <v>1</v>
      </c>
    </row>
    <row r="11" spans="1:27" ht="21" customHeight="1" x14ac:dyDescent="0.15">
      <c r="A11" s="16" t="str">
        <f t="shared" ref="A11" si="15">B11&amp;"_"&amp;C11&amp;"-"&amp;G11&amp;"/"&amp;M11&amp;"&lt;lv"&amp;S11&amp;"&gt;sq"&amp;K11&amp;"st"&amp;L11</f>
        <v>47007_2-3/1351&lt;lv79&gt;sq3st2</v>
      </c>
      <c r="B11" s="156">
        <v>47007</v>
      </c>
      <c r="C11" s="157">
        <v>2</v>
      </c>
      <c r="D11" s="157" t="str">
        <f t="shared" ref="D11" si="16">B11&amp;"_"&amp;C11</f>
        <v>47007_2</v>
      </c>
      <c r="E11" s="158" t="str">
        <f ca="1">VLOOKUP($B11,OFFSET([2]quests!$A$1,0,0,COUNTA([2]quests!$A:$A),MATCH(E$1,[2]quests!$1:$1,0)-MATCH($B$1,[2]quests!$1:$1,0)+1),MATCH(E$1,[2]quests!$1:$1,0)-MATCH($B$1,[2]quests!$1:$1,0)+1,FALSE)</f>
        <v>ツンデレ少女の恋心</v>
      </c>
      <c r="F11" s="158" t="str">
        <f ca="1">VLOOKUP($D11,OFFSET([2]stages!$A$1,0,0,COUNTA([2]stages!$A:$A),MATCH(F$1,[2]stages!$2:$2,0)-MATCH($D$1,[2]stages!$2:$2,0)+1),MATCH(F$1,[2]stages!$2:$2,0)-MATCH($D$1,[2]stages!$2:$2,0)+1,FALSE)</f>
        <v>【ウィザード級】ツンデレ少女の恋心</v>
      </c>
      <c r="G11" s="157">
        <v>3</v>
      </c>
      <c r="H11" s="159" t="str">
        <f t="shared" ref="H11" si="17">B11&amp;"_"&amp;C11&amp;"-"&amp;G11</f>
        <v>47007_2-3</v>
      </c>
      <c r="I11" s="158">
        <f ca="1">VLOOKUP($H11,OFFSET(floors!$A$1,0,0,COUNTA(floors!$A:$A),MATCH(I$1,floors!$1:$1,0)-MATCH($H$1,floors!$1:$1,0)+1),MATCH(I$1,floors!$1:$1,0)-MATCH($H$1,floors!$1:$1,0)+1,FALSE)</f>
        <v>60</v>
      </c>
      <c r="J11" s="158">
        <f ca="1">VLOOKUP($H11,OFFSET(floors!$A$1,0,0,COUNTA(floors!$A:$A),MATCH(J$1,floors!$1:$1,0)-MATCH($H$1,floors!$1:$1,0)+1),MATCH(J$1,floors!$1:$1,0)-MATCH($H$1,floors!$1:$1,0)+1,FALSE)</f>
        <v>60</v>
      </c>
      <c r="K11" s="160">
        <v>3</v>
      </c>
      <c r="L11" s="160">
        <v>2</v>
      </c>
      <c r="M11" s="157">
        <v>1351</v>
      </c>
      <c r="N11" s="17" t="str">
        <f ca="1">VLOOKUP($M11,OFFSET([3]enemies!$A$1,0,0,COUNTA([3]enemies!$A:$A),MATCH(N$1,[3]enemies!$1:$1,0)-MATCH($M$1,[3]enemies!$1:$1,0)+1),MATCH(N$1,[3]enemies!$1:$1,0)-MATCH($M$1,[3]enemies!$1:$1,0)+1,FALSE)</f>
        <v>甘頬の魔糖菓 プラリーヌ</v>
      </c>
      <c r="O11" s="17" t="str">
        <f ca="1">VLOOKUP($M11,OFFSET([3]enemies!$A$1,0,0,COUNTA([3]enemies!$A:$A),MATCH(O$1,[3]enemies!$1:$1,0)-MATCH($M$1,[3]enemies!$1:$1,0)+1),MATCH(O$1,[3]enemies!$1:$1,0)-MATCH($M$1,[3]enemies!$1:$1,0)+1,FALSE)</f>
        <v>red</v>
      </c>
      <c r="P11" s="17" t="str">
        <f ca="1">VLOOKUP($M11,OFFSET([4]characters!$A$1,0,0,COUNTA([4]characters!$A:$A),MATCH(P$1,[4]characters!$1:$1,0)-MATCH($M$1,[4]characters!$1:$1,0)+1),MATCH(P$1,[4]characters!$1:$1,0)-MATCH($M$1,[4]characters!$1:$1,0)+1,FALSE)</f>
        <v>DropWizS</v>
      </c>
      <c r="Q11" s="17" t="str">
        <f ca="1">VLOOKUP($M11,OFFSET([3]enemies!$A$1,0,0,COUNTA([3]enemies!$A:$A),MATCH(Q$1,[3]enemies!$1:$1,0)-MATCH($M$1,[3]enemies!$1:$1,0)+1),MATCH(Q$1,[3]enemies!$1:$1,0)-MATCH($M$1,[3]enemies!$1:$1,0)+1,FALSE)</f>
        <v>human</v>
      </c>
      <c r="R11" s="17">
        <f ca="1">VLOOKUP($M11,OFFSET([3]enemies!$A$1,0,0,COUNTA([3]enemies!$A:$A),MATCH(R$1,[3]enemies!$1:$1,0)-MATCH($M$1,[3]enemies!$1:$1,0)+1),MATCH(R$1,[3]enemies!$1:$1,0)-MATCH($M$1,[3]enemies!$1:$1,0)+1,FALSE)</f>
        <v>60</v>
      </c>
      <c r="S11" s="5">
        <v>79</v>
      </c>
      <c r="T11" s="25">
        <v>5.5</v>
      </c>
      <c r="U11" s="103"/>
      <c r="V11" s="25">
        <v>1</v>
      </c>
      <c r="W11" s="103"/>
      <c r="X11" s="5">
        <v>0</v>
      </c>
      <c r="Y11" s="4" t="s">
        <v>258</v>
      </c>
      <c r="Z11" s="62">
        <v>47007215</v>
      </c>
      <c r="AA11" s="106">
        <v>1</v>
      </c>
    </row>
    <row r="12" spans="1:27" ht="21" customHeight="1" x14ac:dyDescent="0.15">
      <c r="A12" s="16" t="str">
        <f t="shared" ref="A12" si="18">B12&amp;"_"&amp;C12&amp;"-"&amp;G12&amp;"/"&amp;M12&amp;"&lt;lv"&amp;S12&amp;"&gt;sq"&amp;K12&amp;"st"&amp;L12</f>
        <v>47007_2-3/1351&lt;lv78&gt;sq4st2</v>
      </c>
      <c r="B12" s="156">
        <v>47007</v>
      </c>
      <c r="C12" s="157">
        <v>2</v>
      </c>
      <c r="D12" s="157" t="str">
        <f t="shared" ref="D12" si="19">B12&amp;"_"&amp;C12</f>
        <v>47007_2</v>
      </c>
      <c r="E12" s="158" t="str">
        <f ca="1">VLOOKUP($B12,OFFSET([2]quests!$A$1,0,0,COUNTA([2]quests!$A:$A),MATCH(E$1,[2]quests!$1:$1,0)-MATCH($B$1,[2]quests!$1:$1,0)+1),MATCH(E$1,[2]quests!$1:$1,0)-MATCH($B$1,[2]quests!$1:$1,0)+1,FALSE)</f>
        <v>ツンデレ少女の恋心</v>
      </c>
      <c r="F12" s="158" t="str">
        <f ca="1">VLOOKUP($D12,OFFSET([2]stages!$A$1,0,0,COUNTA([2]stages!$A:$A),MATCH(F$1,[2]stages!$2:$2,0)-MATCH($D$1,[2]stages!$2:$2,0)+1),MATCH(F$1,[2]stages!$2:$2,0)-MATCH($D$1,[2]stages!$2:$2,0)+1,FALSE)</f>
        <v>【ウィザード級】ツンデレ少女の恋心</v>
      </c>
      <c r="G12" s="157">
        <v>3</v>
      </c>
      <c r="H12" s="159" t="str">
        <f t="shared" ref="H12" si="20">B12&amp;"_"&amp;C12&amp;"-"&amp;G12</f>
        <v>47007_2-3</v>
      </c>
      <c r="I12" s="158">
        <f ca="1">VLOOKUP($H12,OFFSET(floors!$A$1,0,0,COUNTA(floors!$A:$A),MATCH(I$1,floors!$1:$1,0)-MATCH($H$1,floors!$1:$1,0)+1),MATCH(I$1,floors!$1:$1,0)-MATCH($H$1,floors!$1:$1,0)+1,FALSE)</f>
        <v>60</v>
      </c>
      <c r="J12" s="158">
        <f ca="1">VLOOKUP($H12,OFFSET(floors!$A$1,0,0,COUNTA(floors!$A:$A),MATCH(J$1,floors!$1:$1,0)-MATCH($H$1,floors!$1:$1,0)+1),MATCH(J$1,floors!$1:$1,0)-MATCH($H$1,floors!$1:$1,0)+1,FALSE)</f>
        <v>60</v>
      </c>
      <c r="K12" s="160">
        <v>4</v>
      </c>
      <c r="L12" s="160">
        <v>2</v>
      </c>
      <c r="M12" s="157">
        <v>1351</v>
      </c>
      <c r="N12" s="17" t="str">
        <f ca="1">VLOOKUP($M12,OFFSET([3]enemies!$A$1,0,0,COUNTA([3]enemies!$A:$A),MATCH(N$1,[3]enemies!$1:$1,0)-MATCH($M$1,[3]enemies!$1:$1,0)+1),MATCH(N$1,[3]enemies!$1:$1,0)-MATCH($M$1,[3]enemies!$1:$1,0)+1,FALSE)</f>
        <v>甘頬の魔糖菓 プラリーヌ</v>
      </c>
      <c r="O12" s="17" t="str">
        <f ca="1">VLOOKUP($M12,OFFSET([3]enemies!$A$1,0,0,COUNTA([3]enemies!$A:$A),MATCH(O$1,[3]enemies!$1:$1,0)-MATCH($M$1,[3]enemies!$1:$1,0)+1),MATCH(O$1,[3]enemies!$1:$1,0)-MATCH($M$1,[3]enemies!$1:$1,0)+1,FALSE)</f>
        <v>red</v>
      </c>
      <c r="P12" s="17" t="str">
        <f ca="1">VLOOKUP($M12,OFFSET([4]characters!$A$1,0,0,COUNTA([4]characters!$A:$A),MATCH(P$1,[4]characters!$1:$1,0)-MATCH($M$1,[4]characters!$1:$1,0)+1),MATCH(P$1,[4]characters!$1:$1,0)-MATCH($M$1,[4]characters!$1:$1,0)+1,FALSE)</f>
        <v>DropWizS</v>
      </c>
      <c r="Q12" s="17" t="str">
        <f ca="1">VLOOKUP($M12,OFFSET([3]enemies!$A$1,0,0,COUNTA([3]enemies!$A:$A),MATCH(Q$1,[3]enemies!$1:$1,0)-MATCH($M$1,[3]enemies!$1:$1,0)+1),MATCH(Q$1,[3]enemies!$1:$1,0)-MATCH($M$1,[3]enemies!$1:$1,0)+1,FALSE)</f>
        <v>human</v>
      </c>
      <c r="R12" s="17">
        <f ca="1">VLOOKUP($M12,OFFSET([3]enemies!$A$1,0,0,COUNTA([3]enemies!$A:$A),MATCH(R$1,[3]enemies!$1:$1,0)-MATCH($M$1,[3]enemies!$1:$1,0)+1),MATCH(R$1,[3]enemies!$1:$1,0)-MATCH($M$1,[3]enemies!$1:$1,0)+1,FALSE)</f>
        <v>60</v>
      </c>
      <c r="S12" s="5">
        <v>78</v>
      </c>
      <c r="T12" s="25">
        <v>5.5</v>
      </c>
      <c r="U12" s="103"/>
      <c r="V12" s="25">
        <v>1</v>
      </c>
      <c r="W12" s="103"/>
      <c r="X12" s="5">
        <v>0</v>
      </c>
      <c r="Y12" s="4" t="s">
        <v>258</v>
      </c>
      <c r="Z12" s="62">
        <v>47007225</v>
      </c>
      <c r="AA12" s="106">
        <v>1</v>
      </c>
    </row>
    <row r="13" spans="1:27" ht="21" customHeight="1" x14ac:dyDescent="0.15">
      <c r="A13" s="16" t="str">
        <f t="shared" si="0"/>
        <v>47007_2-3/1351&lt;lv80&gt;sq2st3</v>
      </c>
      <c r="B13" s="161">
        <v>47007</v>
      </c>
      <c r="C13" s="162">
        <v>2</v>
      </c>
      <c r="D13" s="162" t="str">
        <f t="shared" si="1"/>
        <v>47007_2</v>
      </c>
      <c r="E13" s="163" t="str">
        <f ca="1">VLOOKUP($B13,OFFSET([2]quests!$A$1,0,0,COUNTA([2]quests!$A:$A),MATCH(E$1,[2]quests!$1:$1,0)-MATCH($B$1,[2]quests!$1:$1,0)+1),MATCH(E$1,[2]quests!$1:$1,0)-MATCH($B$1,[2]quests!$1:$1,0)+1,FALSE)</f>
        <v>ツンデレ少女の恋心</v>
      </c>
      <c r="F13" s="163" t="str">
        <f ca="1">VLOOKUP($D13,OFFSET([2]stages!$A$1,0,0,COUNTA([2]stages!$A:$A),MATCH(F$1,[2]stages!$2:$2,0)-MATCH($D$1,[2]stages!$2:$2,0)+1),MATCH(F$1,[2]stages!$2:$2,0)-MATCH($D$1,[2]stages!$2:$2,0)+1,FALSE)</f>
        <v>【ウィザード級】ツンデレ少女の恋心</v>
      </c>
      <c r="G13" s="162">
        <v>3</v>
      </c>
      <c r="H13" s="164" t="str">
        <f t="shared" si="2"/>
        <v>47007_2-3</v>
      </c>
      <c r="I13" s="163">
        <f ca="1">VLOOKUP($H13,OFFSET(floors!$A$1,0,0,COUNTA(floors!$A:$A),MATCH(I$1,floors!$1:$1,0)-MATCH($H$1,floors!$1:$1,0)+1),MATCH(I$1,floors!$1:$1,0)-MATCH($H$1,floors!$1:$1,0)+1,FALSE)</f>
        <v>60</v>
      </c>
      <c r="J13" s="163">
        <f ca="1">VLOOKUP($H13,OFFSET(floors!$A$1,0,0,COUNTA(floors!$A:$A),MATCH(J$1,floors!$1:$1,0)-MATCH($H$1,floors!$1:$1,0)+1),MATCH(J$1,floors!$1:$1,0)-MATCH($H$1,floors!$1:$1,0)+1,FALSE)</f>
        <v>60</v>
      </c>
      <c r="K13" s="165">
        <v>2</v>
      </c>
      <c r="L13" s="165">
        <v>3</v>
      </c>
      <c r="M13" s="162">
        <v>1351</v>
      </c>
      <c r="N13" s="17" t="str">
        <f ca="1">VLOOKUP($M13,OFFSET([3]enemies!$A$1,0,0,COUNTA([3]enemies!$A:$A),MATCH(N$1,[3]enemies!$1:$1,0)-MATCH($M$1,[3]enemies!$1:$1,0)+1),MATCH(N$1,[3]enemies!$1:$1,0)-MATCH($M$1,[3]enemies!$1:$1,0)+1,FALSE)</f>
        <v>甘頬の魔糖菓 プラリーヌ</v>
      </c>
      <c r="O13" s="17" t="str">
        <f ca="1">VLOOKUP($M13,OFFSET([3]enemies!$A$1,0,0,COUNTA([3]enemies!$A:$A),MATCH(O$1,[3]enemies!$1:$1,0)-MATCH($M$1,[3]enemies!$1:$1,0)+1),MATCH(O$1,[3]enemies!$1:$1,0)-MATCH($M$1,[3]enemies!$1:$1,0)+1,FALSE)</f>
        <v>red</v>
      </c>
      <c r="P13" s="17" t="str">
        <f ca="1">VLOOKUP($M13,OFFSET([4]characters!$A$1,0,0,COUNTA([4]characters!$A:$A),MATCH(P$1,[4]characters!$1:$1,0)-MATCH($M$1,[4]characters!$1:$1,0)+1),MATCH(P$1,[4]characters!$1:$1,0)-MATCH($M$1,[4]characters!$1:$1,0)+1,FALSE)</f>
        <v>DropWizS</v>
      </c>
      <c r="Q13" s="17" t="str">
        <f ca="1">VLOOKUP($M13,OFFSET([3]enemies!$A$1,0,0,COUNTA([3]enemies!$A:$A),MATCH(Q$1,[3]enemies!$1:$1,0)-MATCH($M$1,[3]enemies!$1:$1,0)+1),MATCH(Q$1,[3]enemies!$1:$1,0)-MATCH($M$1,[3]enemies!$1:$1,0)+1,FALSE)</f>
        <v>human</v>
      </c>
      <c r="R13" s="17">
        <f ca="1">VLOOKUP($M13,OFFSET([3]enemies!$A$1,0,0,COUNTA([3]enemies!$A:$A),MATCH(R$1,[3]enemies!$1:$1,0)-MATCH($M$1,[3]enemies!$1:$1,0)+1),MATCH(R$1,[3]enemies!$1:$1,0)-MATCH($M$1,[3]enemies!$1:$1,0)+1,FALSE)</f>
        <v>60</v>
      </c>
      <c r="S13" s="5">
        <v>80</v>
      </c>
      <c r="T13" s="25">
        <v>4.4000000000000004</v>
      </c>
      <c r="U13" s="103">
        <f>130237*T13</f>
        <v>573042.80000000005</v>
      </c>
      <c r="V13" s="25">
        <v>1</v>
      </c>
      <c r="W13" s="103">
        <f>11953*V13</f>
        <v>11953</v>
      </c>
      <c r="X13" s="5">
        <v>0</v>
      </c>
      <c r="Y13" s="4" t="s">
        <v>258</v>
      </c>
      <c r="Z13" s="62">
        <v>47007206</v>
      </c>
      <c r="AA13" s="106">
        <v>1</v>
      </c>
    </row>
    <row r="14" spans="1:27" ht="21" customHeight="1" x14ac:dyDescent="0.15">
      <c r="A14" s="16" t="str">
        <f t="shared" ref="A14" si="21">B14&amp;"_"&amp;C14&amp;"-"&amp;G14&amp;"/"&amp;M14&amp;"&lt;lv"&amp;S14&amp;"&gt;sq"&amp;K14&amp;"st"&amp;L14</f>
        <v>47007_2-3/1351&lt;lv79&gt;sq3st3</v>
      </c>
      <c r="B14" s="161">
        <v>47007</v>
      </c>
      <c r="C14" s="162">
        <v>2</v>
      </c>
      <c r="D14" s="162" t="str">
        <f t="shared" ref="D14" si="22">B14&amp;"_"&amp;C14</f>
        <v>47007_2</v>
      </c>
      <c r="E14" s="163" t="str">
        <f ca="1">VLOOKUP($B14,OFFSET([2]quests!$A$1,0,0,COUNTA([2]quests!$A:$A),MATCH(E$1,[2]quests!$1:$1,0)-MATCH($B$1,[2]quests!$1:$1,0)+1),MATCH(E$1,[2]quests!$1:$1,0)-MATCH($B$1,[2]quests!$1:$1,0)+1,FALSE)</f>
        <v>ツンデレ少女の恋心</v>
      </c>
      <c r="F14" s="163" t="str">
        <f ca="1">VLOOKUP($D14,OFFSET([2]stages!$A$1,0,0,COUNTA([2]stages!$A:$A),MATCH(F$1,[2]stages!$2:$2,0)-MATCH($D$1,[2]stages!$2:$2,0)+1),MATCH(F$1,[2]stages!$2:$2,0)-MATCH($D$1,[2]stages!$2:$2,0)+1,FALSE)</f>
        <v>【ウィザード級】ツンデレ少女の恋心</v>
      </c>
      <c r="G14" s="162">
        <v>3</v>
      </c>
      <c r="H14" s="164" t="str">
        <f t="shared" ref="H14" si="23">B14&amp;"_"&amp;C14&amp;"-"&amp;G14</f>
        <v>47007_2-3</v>
      </c>
      <c r="I14" s="163">
        <f ca="1">VLOOKUP($H14,OFFSET(floors!$A$1,0,0,COUNTA(floors!$A:$A),MATCH(I$1,floors!$1:$1,0)-MATCH($H$1,floors!$1:$1,0)+1),MATCH(I$1,floors!$1:$1,0)-MATCH($H$1,floors!$1:$1,0)+1,FALSE)</f>
        <v>60</v>
      </c>
      <c r="J14" s="163">
        <f ca="1">VLOOKUP($H14,OFFSET(floors!$A$1,0,0,COUNTA(floors!$A:$A),MATCH(J$1,floors!$1:$1,0)-MATCH($H$1,floors!$1:$1,0)+1),MATCH(J$1,floors!$1:$1,0)-MATCH($H$1,floors!$1:$1,0)+1,FALSE)</f>
        <v>60</v>
      </c>
      <c r="K14" s="165">
        <v>3</v>
      </c>
      <c r="L14" s="165">
        <v>3</v>
      </c>
      <c r="M14" s="162">
        <v>1351</v>
      </c>
      <c r="N14" s="17" t="str">
        <f ca="1">VLOOKUP($M14,OFFSET([3]enemies!$A$1,0,0,COUNTA([3]enemies!$A:$A),MATCH(N$1,[3]enemies!$1:$1,0)-MATCH($M$1,[3]enemies!$1:$1,0)+1),MATCH(N$1,[3]enemies!$1:$1,0)-MATCH($M$1,[3]enemies!$1:$1,0)+1,FALSE)</f>
        <v>甘頬の魔糖菓 プラリーヌ</v>
      </c>
      <c r="O14" s="17" t="str">
        <f ca="1">VLOOKUP($M14,OFFSET([3]enemies!$A$1,0,0,COUNTA([3]enemies!$A:$A),MATCH(O$1,[3]enemies!$1:$1,0)-MATCH($M$1,[3]enemies!$1:$1,0)+1),MATCH(O$1,[3]enemies!$1:$1,0)-MATCH($M$1,[3]enemies!$1:$1,0)+1,FALSE)</f>
        <v>red</v>
      </c>
      <c r="P14" s="17" t="str">
        <f ca="1">VLOOKUP($M14,OFFSET([4]characters!$A$1,0,0,COUNTA([4]characters!$A:$A),MATCH(P$1,[4]characters!$1:$1,0)-MATCH($M$1,[4]characters!$1:$1,0)+1),MATCH(P$1,[4]characters!$1:$1,0)-MATCH($M$1,[4]characters!$1:$1,0)+1,FALSE)</f>
        <v>DropWizS</v>
      </c>
      <c r="Q14" s="17" t="str">
        <f ca="1">VLOOKUP($M14,OFFSET([3]enemies!$A$1,0,0,COUNTA([3]enemies!$A:$A),MATCH(Q$1,[3]enemies!$1:$1,0)-MATCH($M$1,[3]enemies!$1:$1,0)+1),MATCH(Q$1,[3]enemies!$1:$1,0)-MATCH($M$1,[3]enemies!$1:$1,0)+1,FALSE)</f>
        <v>human</v>
      </c>
      <c r="R14" s="17">
        <f ca="1">VLOOKUP($M14,OFFSET([3]enemies!$A$1,0,0,COUNTA([3]enemies!$A:$A),MATCH(R$1,[3]enemies!$1:$1,0)-MATCH($M$1,[3]enemies!$1:$1,0)+1),MATCH(R$1,[3]enemies!$1:$1,0)-MATCH($M$1,[3]enemies!$1:$1,0)+1,FALSE)</f>
        <v>60</v>
      </c>
      <c r="S14" s="5">
        <v>79</v>
      </c>
      <c r="T14" s="25">
        <v>4.4000000000000004</v>
      </c>
      <c r="U14" s="103"/>
      <c r="V14" s="25">
        <v>1</v>
      </c>
      <c r="W14" s="103"/>
      <c r="X14" s="5">
        <v>0</v>
      </c>
      <c r="Y14" s="4" t="s">
        <v>258</v>
      </c>
      <c r="Z14" s="62">
        <v>47007216</v>
      </c>
      <c r="AA14" s="106">
        <v>1</v>
      </c>
    </row>
    <row r="15" spans="1:27" ht="21" customHeight="1" x14ac:dyDescent="0.15">
      <c r="A15" s="16" t="str">
        <f t="shared" ref="A15" si="24">B15&amp;"_"&amp;C15&amp;"-"&amp;G15&amp;"/"&amp;M15&amp;"&lt;lv"&amp;S15&amp;"&gt;sq"&amp;K15&amp;"st"&amp;L15</f>
        <v>47007_2-3/1351&lt;lv78&gt;sq4st3</v>
      </c>
      <c r="B15" s="161">
        <v>47007</v>
      </c>
      <c r="C15" s="162">
        <v>2</v>
      </c>
      <c r="D15" s="162" t="str">
        <f t="shared" ref="D15" si="25">B15&amp;"_"&amp;C15</f>
        <v>47007_2</v>
      </c>
      <c r="E15" s="163" t="str">
        <f ca="1">VLOOKUP($B15,OFFSET([2]quests!$A$1,0,0,COUNTA([2]quests!$A:$A),MATCH(E$1,[2]quests!$1:$1,0)-MATCH($B$1,[2]quests!$1:$1,0)+1),MATCH(E$1,[2]quests!$1:$1,0)-MATCH($B$1,[2]quests!$1:$1,0)+1,FALSE)</f>
        <v>ツンデレ少女の恋心</v>
      </c>
      <c r="F15" s="163" t="str">
        <f ca="1">VLOOKUP($D15,OFFSET([2]stages!$A$1,0,0,COUNTA([2]stages!$A:$A),MATCH(F$1,[2]stages!$2:$2,0)-MATCH($D$1,[2]stages!$2:$2,0)+1),MATCH(F$1,[2]stages!$2:$2,0)-MATCH($D$1,[2]stages!$2:$2,0)+1,FALSE)</f>
        <v>【ウィザード級】ツンデレ少女の恋心</v>
      </c>
      <c r="G15" s="162">
        <v>3</v>
      </c>
      <c r="H15" s="164" t="str">
        <f t="shared" ref="H15" si="26">B15&amp;"_"&amp;C15&amp;"-"&amp;G15</f>
        <v>47007_2-3</v>
      </c>
      <c r="I15" s="163">
        <f ca="1">VLOOKUP($H15,OFFSET(floors!$A$1,0,0,COUNTA(floors!$A:$A),MATCH(I$1,floors!$1:$1,0)-MATCH($H$1,floors!$1:$1,0)+1),MATCH(I$1,floors!$1:$1,0)-MATCH($H$1,floors!$1:$1,0)+1,FALSE)</f>
        <v>60</v>
      </c>
      <c r="J15" s="163">
        <f ca="1">VLOOKUP($H15,OFFSET(floors!$A$1,0,0,COUNTA(floors!$A:$A),MATCH(J$1,floors!$1:$1,0)-MATCH($H$1,floors!$1:$1,0)+1),MATCH(J$1,floors!$1:$1,0)-MATCH($H$1,floors!$1:$1,0)+1,FALSE)</f>
        <v>60</v>
      </c>
      <c r="K15" s="165">
        <v>4</v>
      </c>
      <c r="L15" s="165">
        <v>3</v>
      </c>
      <c r="M15" s="162">
        <v>1351</v>
      </c>
      <c r="N15" s="17" t="str">
        <f ca="1">VLOOKUP($M15,OFFSET([3]enemies!$A$1,0,0,COUNTA([3]enemies!$A:$A),MATCH(N$1,[3]enemies!$1:$1,0)-MATCH($M$1,[3]enemies!$1:$1,0)+1),MATCH(N$1,[3]enemies!$1:$1,0)-MATCH($M$1,[3]enemies!$1:$1,0)+1,FALSE)</f>
        <v>甘頬の魔糖菓 プラリーヌ</v>
      </c>
      <c r="O15" s="17" t="str">
        <f ca="1">VLOOKUP($M15,OFFSET([3]enemies!$A$1,0,0,COUNTA([3]enemies!$A:$A),MATCH(O$1,[3]enemies!$1:$1,0)-MATCH($M$1,[3]enemies!$1:$1,0)+1),MATCH(O$1,[3]enemies!$1:$1,0)-MATCH($M$1,[3]enemies!$1:$1,0)+1,FALSE)</f>
        <v>red</v>
      </c>
      <c r="P15" s="17" t="str">
        <f ca="1">VLOOKUP($M15,OFFSET([4]characters!$A$1,0,0,COUNTA([4]characters!$A:$A),MATCH(P$1,[4]characters!$1:$1,0)-MATCH($M$1,[4]characters!$1:$1,0)+1),MATCH(P$1,[4]characters!$1:$1,0)-MATCH($M$1,[4]characters!$1:$1,0)+1,FALSE)</f>
        <v>DropWizS</v>
      </c>
      <c r="Q15" s="17" t="str">
        <f ca="1">VLOOKUP($M15,OFFSET([3]enemies!$A$1,0,0,COUNTA([3]enemies!$A:$A),MATCH(Q$1,[3]enemies!$1:$1,0)-MATCH($M$1,[3]enemies!$1:$1,0)+1),MATCH(Q$1,[3]enemies!$1:$1,0)-MATCH($M$1,[3]enemies!$1:$1,0)+1,FALSE)</f>
        <v>human</v>
      </c>
      <c r="R15" s="17">
        <f ca="1">VLOOKUP($M15,OFFSET([3]enemies!$A$1,0,0,COUNTA([3]enemies!$A:$A),MATCH(R$1,[3]enemies!$1:$1,0)-MATCH($M$1,[3]enemies!$1:$1,0)+1),MATCH(R$1,[3]enemies!$1:$1,0)-MATCH($M$1,[3]enemies!$1:$1,0)+1,FALSE)</f>
        <v>60</v>
      </c>
      <c r="S15" s="5">
        <v>78</v>
      </c>
      <c r="T15" s="25">
        <v>4.4000000000000004</v>
      </c>
      <c r="U15" s="103"/>
      <c r="V15" s="25">
        <v>1</v>
      </c>
      <c r="W15" s="103"/>
      <c r="X15" s="5">
        <v>0</v>
      </c>
      <c r="Y15" s="4" t="s">
        <v>258</v>
      </c>
      <c r="Z15" s="62">
        <v>47007226</v>
      </c>
      <c r="AA15" s="106">
        <v>1</v>
      </c>
    </row>
  </sheetData>
  <sheetProtection selectLockedCells="1" selectUnlockedCells="1"/>
  <autoFilter ref="B1:AA9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78"/>
  <sheetViews>
    <sheetView showGridLines="0" workbookViewId="0">
      <pane xSplit="5" ySplit="1" topLeftCell="F243" activePane="bottomRight" state="frozen"/>
      <selection pane="topRight"/>
      <selection pane="bottomLeft"/>
      <selection pane="bottomRight" activeCell="C202" sqref="C202:C203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28.3320312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:A65" si="0">B2&amp;"_"&amp;C2</f>
        <v>47007101_47007101</v>
      </c>
      <c r="B2" s="47">
        <v>47007101</v>
      </c>
      <c r="C2" s="47">
        <v>47007101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フフッ…楽しい1日になりそうね…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" s="47">
        <v>47007101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si="0"/>
        <v>47007101_47007102</v>
      </c>
      <c r="B3" s="47">
        <v>47007101</v>
      </c>
      <c r="C3" s="47">
        <v>47007102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あなた…プラリーヌに会いにいくのね？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状態異常耐性+_x000D_全ユニットのスキルゲージを2ターン減少！</v>
      </c>
      <c r="F3" s="47">
        <v>47007102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1352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0"/>
        <v>47007101_47007102</v>
      </c>
      <c r="B4" s="47">
        <v>47007101</v>
      </c>
      <c r="C4" s="47">
        <v>47007102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あなた…プラリーヌに会いにいくのね？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状態異常耐性+_x000D_全ユニットのスキルゲージを2ターン減少！</v>
      </c>
      <c r="F4" s="47">
        <v>47007103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1353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0"/>
        <v>47007101_47007103</v>
      </c>
      <c r="B5" s="47">
        <v>47007101</v>
      </c>
      <c r="C5" s="47">
        <v>47007103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あなた…そう…_x000D_あの子も苦労してるのね…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状態異常耐性+_x000D_全ユニットのスキルゲージを1ターン減少！</v>
      </c>
      <c r="F5" s="47">
        <v>47007104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1363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0"/>
        <v>47007101_47007109</v>
      </c>
      <c r="B6" s="47">
        <v>47007101</v>
      </c>
      <c r="C6" s="47">
        <v>47007109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あら、可愛い子を連れて…_x000D_どこに向かうのかしら？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" s="47">
        <v>47007110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0"/>
        <v>47007101_47007109</v>
      </c>
      <c r="B7" s="47">
        <v>47007101</v>
      </c>
      <c r="C7" s="47">
        <v>47007109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あら、可愛い子を連れて…_x000D_どこに向かうのかしら？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7" s="47">
        <v>47007111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299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0"/>
        <v>47007101_47007109</v>
      </c>
      <c r="B8" s="47">
        <v>47007101</v>
      </c>
      <c r="C8" s="47">
        <v>47007109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あら、可愛い子を連れて…_x000D_どこに向かうのかしら？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8" s="47">
        <v>47007112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298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0"/>
        <v>47007101_47007109</v>
      </c>
      <c r="B9" s="47">
        <v>47007101</v>
      </c>
      <c r="C9" s="47">
        <v>47007109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あら、可愛い子を連れて…_x000D_どこに向かうのかしら？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9" s="47">
        <v>47007113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297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0"/>
        <v>47007101_47007109</v>
      </c>
      <c r="B10" s="47">
        <v>47007101</v>
      </c>
      <c r="C10" s="47">
        <v>47007109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あら、可愛い子を連れて…_x000D_どこに向かうのかしら？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0" s="47">
        <v>47007114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296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0"/>
        <v>47007101_47007110</v>
      </c>
      <c r="B11" s="47">
        <v>47007101</v>
      </c>
      <c r="C11" s="118">
        <v>47007110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恋に障害はつきものよ？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赤パネルは確率でプロテクトされてドロップ</v>
      </c>
      <c r="F11" s="47">
        <v>47007105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0"/>
        <v>47007101_47007111</v>
      </c>
      <c r="B12" s="47">
        <v>47007101</v>
      </c>
      <c r="C12" s="118">
        <v>47007111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覚悟を試してあげるわ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黄パネルを吸収する程、ダメージがDOWNする攻撃</v>
      </c>
      <c r="F12" s="47">
        <v>47007106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0"/>
        <v>47007101_47007112</v>
      </c>
      <c r="B13" s="47">
        <v>47007101</v>
      </c>
      <c r="C13" s="118">
        <v>47007112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ちょっとイジワルしちゃおうかしら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赤パネルを吸収して攻撃(最大15個)</v>
      </c>
      <c r="F13" s="47">
        <v>47007107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0"/>
        <v>47007101_47007107</v>
      </c>
      <c r="B14" s="47">
        <v>47007101</v>
      </c>
      <c r="C14" s="47">
        <v>47007107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乗り越えてごらんなさい？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属性パネルプロテクト(最大10個)+_x000D_単体攻撃</v>
      </c>
      <c r="F14" s="47">
        <v>47007108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0"/>
        <v>47007101_47007108</v>
      </c>
      <c r="B15" s="47">
        <v>47007101</v>
      </c>
      <c r="C15" s="47">
        <v>47007108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いいわね…見届けさせてもらうわ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ハートパネルを残して去っていった</v>
      </c>
      <c r="F15" s="47">
        <v>47007109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0"/>
        <v>47007102_47007208</v>
      </c>
      <c r="B16" s="47">
        <v>47007102</v>
      </c>
      <c r="C16" s="47">
        <v>47007208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ぐう可愛いニャン♪_x000D_私のチョコと取り替えっこする？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6" s="47">
        <v>47007201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0"/>
        <v>47007102_47007202</v>
      </c>
      <c r="B17" s="47">
        <v>47007102</v>
      </c>
      <c r="C17" s="118">
        <v>47007202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ニャンニャン_x000D_キミもラブユーニャン♪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状態異常耐性+_x000D_全ユニットにCパネル生成短縮(特大)！</v>
      </c>
      <c r="F17" s="47">
        <v>47007202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1352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0"/>
        <v>47007102_47007202</v>
      </c>
      <c r="B18" s="47">
        <v>47007102</v>
      </c>
      <c r="C18" s="47">
        <v>47007202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ニャンニャン_x000D_キミもラブユーニャン♪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状態異常耐性+_x000D_全ユニットにCパネル生成短縮(特大)！</v>
      </c>
      <c r="F18" s="47">
        <v>47007203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1353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0"/>
        <v>47007102_47007203</v>
      </c>
      <c r="B19" s="47">
        <v>47007102</v>
      </c>
      <c r="C19" s="47">
        <v>47007203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にゃにゃ？_x000D_これも恋の予感…！？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状態異常耐性+_x000D_全ユニットにCパネル生成短縮(大)！</v>
      </c>
      <c r="F19" s="47">
        <v>47007204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1363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0"/>
        <v>47007102_47007208</v>
      </c>
      <c r="B20" s="47">
        <v>47007102</v>
      </c>
      <c r="C20" s="47">
        <v>47007208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ぐう可愛いニャン♪_x000D_私のチョコと取り替えっこする？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0" s="47">
        <v>47007110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0"/>
        <v>47007102_47007208</v>
      </c>
      <c r="B21" s="47">
        <v>47007102</v>
      </c>
      <c r="C21" s="47">
        <v>47007208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ぐう可愛いニャン♪_x000D_私のチョコと取り替えっこする？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1" s="47">
        <v>47007111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299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0"/>
        <v>47007102_47007208</v>
      </c>
      <c r="B22" s="47">
        <v>47007102</v>
      </c>
      <c r="C22" s="47">
        <v>47007208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ぐう可愛いニャン♪_x000D_私のチョコと取り替えっこする？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2" s="47">
        <v>47007112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298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0"/>
        <v>47007102_47007208</v>
      </c>
      <c r="B23" s="47">
        <v>47007102</v>
      </c>
      <c r="C23" s="47">
        <v>47007208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ぐう可愛いニャン♪_x000D_私のチョコと取り替えっこする？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3" s="47">
        <v>47007113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297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0"/>
        <v>47007102_47007208</v>
      </c>
      <c r="B24" s="47">
        <v>47007102</v>
      </c>
      <c r="C24" s="47">
        <v>47007208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ぐう可愛いニャン♪_x000D_私のチョコと取り替えっこする？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4" s="47">
        <v>47007114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296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0"/>
        <v>47007102_47007204</v>
      </c>
      <c r="B25" s="47">
        <v>47007102</v>
      </c>
      <c r="C25" s="47">
        <v>47007204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私は全力で応援するわ！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ハートパネルを赤&amp;青&amp;黄のCBPに1個ずつ変換</v>
      </c>
      <c r="F25" s="47">
        <v>47007205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0"/>
        <v>47007102_47007209</v>
      </c>
      <c r="B26" s="47">
        <v>47007102</v>
      </c>
      <c r="C26" s="118">
        <v>47007209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恋はいつだって一直線なの♪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残りHPの30%ダメージ+5ターン攻撃頻度UP</v>
      </c>
      <c r="F26" s="47">
        <v>47007206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0"/>
        <v>47007102_47007206</v>
      </c>
      <c r="B27" s="47">
        <v>47007102</v>
      </c>
      <c r="C27" s="47">
        <v>47007206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さぁキミも…勇気を出して…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ランダムでハートのボムパネル(大)に最大1個変換+_x000D_クリティカル！</v>
      </c>
      <c r="F27" s="47">
        <v>47007207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0"/>
        <v>47007102_47007207</v>
      </c>
      <c r="B28" s="47">
        <v>47007102</v>
      </c>
      <c r="C28" s="47">
        <v>47007207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気持ち、伝わってるよ！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ハートパネルを吸収して1ターン攻撃力UP+_x000D_単体攻撃</v>
      </c>
      <c r="F28" s="47">
        <v>47007208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0"/>
        <v>47007103_47007301</v>
      </c>
      <c r="B29" s="47">
        <v>47007103</v>
      </c>
      <c r="C29" s="47">
        <v>47007301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わかってるわ♪_x000D_プラリーヌを探してるんでしょ？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9" s="47">
        <v>47007301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0"/>
        <v>47007103_47007307</v>
      </c>
      <c r="B30" s="47">
        <v>47007103</v>
      </c>
      <c r="C30" s="118">
        <v>47007307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早く見つけてあげないとねー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黄パネルを吸収する程、ダメージがDOWNする攻撃</v>
      </c>
      <c r="F30" s="47">
        <v>47007302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0"/>
        <v>47007103_47007308</v>
      </c>
      <c r="B31" s="47">
        <v>47007103</v>
      </c>
      <c r="C31" s="118">
        <v>47007308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今ごろ寂しがってるかも…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赤パネルを吸収して攻撃(最大15個)</v>
      </c>
      <c r="F31" s="47">
        <v>47007303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0"/>
        <v>47007103_47007309</v>
      </c>
      <c r="B32" s="47">
        <v>47007103</v>
      </c>
      <c r="C32" s="118">
        <v>47007309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あの子の気持ち…_x000D_受け止められる？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3ターン全ユニットの回復力30%DOWN+全体攻撃</v>
      </c>
      <c r="F32" s="47">
        <v>47007304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0"/>
        <v>47007103_47007305</v>
      </c>
      <c r="B33" s="47">
        <v>47007103</v>
      </c>
      <c r="C33" s="47">
        <v>47007305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もー！不安そうな顔しないでよ！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属性パネルプロテクト(最大10個)_x000D_【！】次のターンから強力な固定ダメージ【！】</v>
      </c>
      <c r="F33" s="47">
        <v>47007305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0"/>
        <v>47007103_47007310</v>
      </c>
      <c r="B34" s="47">
        <v>47007103</v>
      </c>
      <c r="C34" s="118">
        <v>47007310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やればできるよ！がんばって♪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5000固定ダメージ</v>
      </c>
      <c r="F34" s="47">
        <v>47007306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0"/>
        <v>47007104_47007401</v>
      </c>
      <c r="B35" s="47">
        <v>47007104</v>
      </c>
      <c r="C35" s="47">
        <v>47007401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わわっ！あ、あんた！_x000D_急に出てこないでよ！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35" s="47">
        <v>47007401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0"/>
        <v>47007104_47007402</v>
      </c>
      <c r="B36" s="47">
        <v>47007104</v>
      </c>
      <c r="C36" s="47">
        <v>47007402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わわっ！[player_name]…！_x000D_びっくりさせないでよ…！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青パネルをハートパネルに、黄パネルを赤パネルに変換+_x000D_全ユニットのスキルゲージを4ターン減少！</v>
      </c>
      <c r="F36" s="47">
        <v>47007402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1352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0"/>
        <v>47007104_47007402</v>
      </c>
      <c r="B37" s="47">
        <v>47007104</v>
      </c>
      <c r="C37" s="47">
        <v>47007402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わわっ！[player_name]…！_x000D_びっくりさせないでよ…！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青パネルをハートパネルに、黄パネルを赤パネルに変換+_x000D_全ユニットのスキルゲージを4ターン減少！</v>
      </c>
      <c r="F37" s="47">
        <v>47007403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1353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0"/>
        <v>47007104_47007403</v>
      </c>
      <c r="B38" s="47">
        <v>47007104</v>
      </c>
      <c r="C38" s="47">
        <v>47007403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わわっ！[player_name]…！_x000D_急に出てこないでよ…！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青パネルをハートパネルに、黄パネルを赤パネルに変換+_x000D_全ユニットのスキルゲージを2ターン減少！</v>
      </c>
      <c r="F38" s="47">
        <v>47007404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1363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0"/>
        <v>47007104_47007409</v>
      </c>
      <c r="B39" s="47">
        <v>47007104</v>
      </c>
      <c r="C39" s="47">
        <v>47007409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わわっ！あ、あんた！_x000D_…ずいぶん賑やかじゃない？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39" s="47">
        <v>47007110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0"/>
        <v>47007104_47007409</v>
      </c>
      <c r="B40" s="47">
        <v>47007104</v>
      </c>
      <c r="C40" s="47">
        <v>47007409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わわっ！あ、あんた！_x000D_…ずいぶん賑やかじゃない？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40" s="47">
        <v>47007111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299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0"/>
        <v>47007104_47007409</v>
      </c>
      <c r="B41" s="47">
        <v>47007104</v>
      </c>
      <c r="C41" s="47">
        <v>47007409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わわっ！あ、あんた！_x000D_…ずいぶん賑やかじゃない？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41" s="47">
        <v>47007112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298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0"/>
        <v>47007104_47007409</v>
      </c>
      <c r="B42" s="47">
        <v>47007104</v>
      </c>
      <c r="C42" s="47">
        <v>47007409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わわっ！あ、あんた！_x000D_…ずいぶん賑やかじゃない？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42" s="47">
        <v>47007113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297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0"/>
        <v>47007104_47007409</v>
      </c>
      <c r="B43" s="47">
        <v>47007104</v>
      </c>
      <c r="C43" s="47">
        <v>47007409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わわっ！あ、あんた！_x000D_…ずいぶん賑やかじゃない？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43" s="47">
        <v>47007114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296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0"/>
        <v>47007104_47007404</v>
      </c>
      <c r="B44" s="47">
        <v>47007104</v>
      </c>
      <c r="C44" s="47">
        <v>47007404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別にあんたの事なんて…っ！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属性パネルプロテクト(最大10個)+全体攻撃</v>
      </c>
      <c r="F44" s="47">
        <v>47007405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0"/>
        <v>47007104_47007410</v>
      </c>
      <c r="B45" s="47">
        <v>47007104</v>
      </c>
      <c r="C45" s="118">
        <v>47007410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そ、そんなに見るな…見つめるな…！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赤パネルを吸収して攻撃(最大15個)</v>
      </c>
      <c r="F45" s="47">
        <v>47007406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0"/>
        <v>47007104_47007406</v>
      </c>
      <c r="B46" s="47">
        <v>47007104</v>
      </c>
      <c r="C46" s="47">
        <v>47007406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だらしないわね！しっかりしなさいよ！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クリティカル！_x000D_(命中したユニットの攻撃力30%UP)</v>
      </c>
      <c r="F46" s="47">
        <v>47007407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0"/>
        <v>47007104_47007407</v>
      </c>
      <c r="B47" s="47">
        <v>47007104</v>
      </c>
      <c r="C47" s="47">
        <v>47007407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なんで呼んだのって…察しなさいよ！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クリティカル！_x000D_(命中したユニットの回復力30%UP)</v>
      </c>
      <c r="F47" s="47">
        <v>47007408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0"/>
        <v>47007104_47007408</v>
      </c>
      <c r="B48" s="47">
        <v>47007104</v>
      </c>
      <c r="C48" s="47">
        <v>47007408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(うぅ…違うでしょアタシ…！)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(今日こそ想いを…ちゃんと伝えなきゃ！)</v>
      </c>
      <c r="F48" s="47">
        <v>47007409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</v>
      </c>
      <c r="P48" s="47"/>
      <c r="Q48" s="47"/>
      <c r="R48" s="47"/>
    </row>
    <row r="49" spans="1:18" ht="21" customHeight="1" x14ac:dyDescent="0.15">
      <c r="A49" s="39" t="str">
        <f t="shared" si="0"/>
        <v>47007105_47007501</v>
      </c>
      <c r="B49" s="47">
        <v>47007105</v>
      </c>
      <c r="C49" s="47">
        <v>47007501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大丈夫…落ち着けアタシ…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状態異常耐性+3ターン全属性の攻撃をカウンター</v>
      </c>
      <c r="F49" s="47">
        <v>47007501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 t="str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0"/>
        <v>47007105_47007508</v>
      </c>
      <c r="B50" s="47">
        <v>47007105</v>
      </c>
      <c r="C50" s="47">
        <v>47007508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ほ、ほら！受け取りなさいよ！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5ターン回復効果付与</v>
      </c>
      <c r="F50" s="47">
        <v>47007502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0"/>
        <v>47007105_47007503</v>
      </c>
      <c r="B51" s="47">
        <v>47007105</v>
      </c>
      <c r="C51" s="47">
        <v>47007503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あ…それ失敗作…！かかか返して…！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強力な全体攻撃+5ターンウィルス</v>
      </c>
      <c r="F51" s="47">
        <v>47007503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0"/>
        <v>47007105_47007504</v>
      </c>
      <c r="B52" s="47">
        <v>47007105</v>
      </c>
      <c r="C52" s="47">
        <v>47007504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ご…ごめん！怪我はない…？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ランダムでハートパネルに最大10個変換</v>
      </c>
      <c r="F52" s="47">
        <v>47007504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0"/>
        <v>47007105_47007505</v>
      </c>
      <c r="B53" s="47">
        <v>47007105</v>
      </c>
      <c r="C53" s="47">
        <v>47007505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…って近い！近いって！_x000D_離れなさいよこのバカァ！！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強力なクリティカル！</v>
      </c>
      <c r="F53" s="47">
        <v>47007505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47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0"/>
        <v>47007105_47007507</v>
      </c>
      <c r="B54" s="47">
        <v>47007105</v>
      </c>
      <c r="C54" s="118">
        <v>47007507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(仕切り直しよ…仕切り直し…！)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黄パネルを吸収する程、ダメージがDOWNする攻撃</v>
      </c>
      <c r="F54" s="47">
        <v>47007506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46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0"/>
        <v>47007106_47007601</v>
      </c>
      <c r="B55" s="47">
        <v>47007106</v>
      </c>
      <c r="C55" s="47">
        <v>47007601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こ、これ！チョコ！_x000D_あんたのために…作ったの…！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状態異常耐性+3ターン後に残りHPの200%ダメージ！_x000D_【目をつむって真っ赤になっている…】</v>
      </c>
      <c r="F55" s="47">
        <v>47007601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8" t="str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0"/>
        <v>47007106_47007602</v>
      </c>
      <c r="B56" s="47">
        <v>47007106</v>
      </c>
      <c r="C56" s="139">
        <v>47007602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(早く…受け取って…)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ランダムでハートパネルに最大23個変換_x000D_【両肩が小刻みに震えている…】</v>
      </c>
      <c r="F56" s="47">
        <v>47007602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0"/>
        <v>47007106_47007603</v>
      </c>
      <c r="B57" s="47">
        <v>47007106</v>
      </c>
      <c r="C57" s="139">
        <v>47007603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(早く…はやくはやくぅ…！)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ランダムでハートパネルに最大23個変換_x000D_【煮え切らない態度に遂にプラリーヌが…！】</v>
      </c>
      <c r="F57" s="47">
        <v>47007603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0"/>
        <v>47007106_47007604</v>
      </c>
      <c r="B58" s="47">
        <v>47007106</v>
      </c>
      <c r="C58" s="47">
        <v>47007604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さっさと受け取りなさいよぉ！_x000D_バカーーーッッ！！！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残りHPの200%ダメージ！</v>
      </c>
      <c r="F58" s="47">
        <v>47007604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0"/>
        <v>47007106_47007605</v>
      </c>
      <c r="B59" s="47">
        <v>47007106</v>
      </c>
      <c r="C59" s="47">
        <v>47007605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考え直して…くれたの…？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このターンでプラリーヌのHPを削りきろう！</v>
      </c>
      <c r="F59" s="47">
        <v>47007605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0"/>
        <v>47007106_47007606</v>
      </c>
      <c r="B60" s="47">
        <v>47007106</v>
      </c>
      <c r="C60" s="47">
        <v>47007606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アタシをからかって楽しい…！？_x000D_ホント…バカァ！！！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残りHPの200%ダメージ！</v>
      </c>
      <c r="F60" s="47">
        <v>47007606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0"/>
        <v>47007106_47007607</v>
      </c>
      <c r="B61" s="47">
        <v>47007106</v>
      </c>
      <c r="C61" s="47">
        <v>47007607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あ…受け取って…くれた…？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かっ、勘違いしないでよね！？_x000D_これは義理…！そう、義理なんだから…！</v>
      </c>
      <c r="F61" s="47">
        <v>47007607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 t="str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0"/>
        <v>47007106_47007608</v>
      </c>
      <c r="B62" s="47">
        <v>47007106</v>
      </c>
      <c r="C62" s="47">
        <v>47007608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あ…[player_name]…_x000D_受け取ってくれた…？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かっ、勘違いしないでよね！？_x000D_別に…あんたの事なんて…うぅ…！</v>
      </c>
      <c r="F62" s="47">
        <v>47007608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1352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0"/>
        <v>47007106_47007608</v>
      </c>
      <c r="B63" s="47">
        <v>47007106</v>
      </c>
      <c r="C63" s="47">
        <v>47007608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あ…[player_name]…_x000D_受け取ってくれた…？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かっ、勘違いしないでよね！？_x000D_別に…あんたの事なんて…うぅ…！</v>
      </c>
      <c r="F63" s="47">
        <v>47007609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1353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0"/>
        <v>47007106_47007609</v>
      </c>
      <c r="B64" s="47">
        <v>47007106</v>
      </c>
      <c r="C64" s="47">
        <v>47007609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あ…[player_name]…_x000D_受け取ってくれた…？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かっ、勘違いしないでよね！？_x000D_別にあんたの事なんて…なんとも…！</v>
      </c>
      <c r="F64" s="47">
        <v>47007610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1363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0"/>
        <v>47007106_47007610</v>
      </c>
      <c r="B65" s="47">
        <v>47007106</v>
      </c>
      <c r="C65" s="47">
        <v>47007610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あ…受け取って…くれた…？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かっ、勘違いしないでよね！？_x000D_これは友チョコ…！ただの友チョコなんだから！</v>
      </c>
      <c r="F65" s="47">
        <v>47007611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ref="A66:A69" si="1">B66&amp;"_"&amp;C66</f>
        <v>47007106_47007610</v>
      </c>
      <c r="B66" s="47">
        <v>47007106</v>
      </c>
      <c r="C66" s="47">
        <v>47007610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あ…受け取って…くれた…？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かっ、勘違いしないでよね！？_x000D_これは友チョコ…！ただの友チョコなんだから！</v>
      </c>
      <c r="F66" s="47">
        <v>47007612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299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1"/>
        <v>47007106_47007610</v>
      </c>
      <c r="B67" s="47">
        <v>47007106</v>
      </c>
      <c r="C67" s="47">
        <v>47007610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あ…受け取って…くれた…？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かっ、勘違いしないでよね！？_x000D_これは友チョコ…！ただの友チョコなんだから！</v>
      </c>
      <c r="F67" s="47">
        <v>47007613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298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1"/>
        <v>47007106_47007610</v>
      </c>
      <c r="B68" s="47">
        <v>47007106</v>
      </c>
      <c r="C68" s="47">
        <v>47007610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あ…受け取って…くれた…？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かっ、勘違いしないでよね！？_x000D_これは友チョコ…！ただの友チョコなんだから！</v>
      </c>
      <c r="F68" s="47">
        <v>47007614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297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thickBot="1" x14ac:dyDescent="0.2">
      <c r="A69" s="125" t="str">
        <f t="shared" si="1"/>
        <v>47007106_47007610</v>
      </c>
      <c r="B69" s="47">
        <v>47007106</v>
      </c>
      <c r="C69" s="108">
        <v>47007610</v>
      </c>
      <c r="D69" s="12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あ…受け取って…くれた…？</v>
      </c>
      <c r="E69" s="12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かっ、勘違いしないでよね！？_x000D_これは友チョコ…！ただの友チョコなんだから！</v>
      </c>
      <c r="F69" s="108">
        <v>47007615</v>
      </c>
      <c r="G69" s="111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111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296</v>
      </c>
      <c r="I69" s="111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111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111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111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9" s="111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111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69" s="111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108"/>
      <c r="Q69" s="108"/>
      <c r="R69" s="108"/>
    </row>
    <row r="70" spans="1:18" ht="21" customHeight="1" x14ac:dyDescent="0.15">
      <c r="A70" s="127" t="str">
        <f t="shared" ref="A70:A71" si="2">B70&amp;"_"&amp;C70</f>
        <v>47007201_47007101</v>
      </c>
      <c r="B70" s="128">
        <v>47007201</v>
      </c>
      <c r="C70" s="128">
        <v>47007101</v>
      </c>
      <c r="D70" s="129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フフッ…楽しい1日になりそうね…</v>
      </c>
      <c r="E70" s="129" t="str">
        <f ca="1">VLOOKUP($C70,OFFSET(enemy_skills!$A$1,0,0,COUNTA(enemy_skills!$A:$A),MATCH(E$1,enemy_skills!$1:$1,0)-MATCH("enemy_skill_id",enemy_skills!$1:$1,0)+1),MATCH(E$1,enemy_skills!$1:$1,0)-MATCH("enemy_skill_id",enemy_skills!$1:$1,0)+1,FALSE)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70" s="128">
        <v>47007101</v>
      </c>
      <c r="G70" s="130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130" t="str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0" s="130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130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130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130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130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130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130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128"/>
      <c r="Q70" s="128"/>
      <c r="R70" s="128"/>
    </row>
    <row r="71" spans="1:18" ht="21" customHeight="1" x14ac:dyDescent="0.15">
      <c r="A71" s="39" t="str">
        <f t="shared" si="2"/>
        <v>47007201_47007102</v>
      </c>
      <c r="B71" s="47">
        <v>47007201</v>
      </c>
      <c r="C71" s="47">
        <v>47007102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あなた…プラリーヌに会いにいくのね？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状態異常耐性+_x000D_全ユニットのスキルゲージを2ターン減少！</v>
      </c>
      <c r="F71" s="47">
        <v>47007102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1352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ref="A72:A123" si="3">B72&amp;"_"&amp;C72</f>
        <v>47007201_47007102</v>
      </c>
      <c r="B72" s="47">
        <v>47007201</v>
      </c>
      <c r="C72" s="47">
        <v>47007102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あなた…プラリーヌに会いにいくのね？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状態異常耐性+_x000D_全ユニットのスキルゲージを2ターン減少！</v>
      </c>
      <c r="F72" s="47">
        <v>47007103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1353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3"/>
        <v>47007201_47007103</v>
      </c>
      <c r="B73" s="47">
        <v>47007201</v>
      </c>
      <c r="C73" s="47">
        <v>47007103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あなた…そう…_x000D_あの子も苦労してるのね…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状態異常耐性+_x000D_全ユニットのスキルゲージを1ターン減少！</v>
      </c>
      <c r="F73" s="47">
        <v>47007104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1363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ref="A74" si="4">B74&amp;"_"&amp;C74</f>
        <v>47007201_47007109</v>
      </c>
      <c r="B74" s="47">
        <v>47007201</v>
      </c>
      <c r="C74" s="47">
        <v>47007109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あら、可愛い子を連れて…_x000D_どこに向かうのかしら？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74" s="47">
        <v>47007110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ref="A75:A76" si="5">B75&amp;"_"&amp;C75</f>
        <v>47007201_47007109</v>
      </c>
      <c r="B75" s="47">
        <v>47007201</v>
      </c>
      <c r="C75" s="47">
        <v>47007109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あら、可愛い子を連れて…_x000D_どこに向かうのかしら？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75" s="47">
        <v>47007111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299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5"/>
        <v>47007201_47007109</v>
      </c>
      <c r="B76" s="47">
        <v>47007201</v>
      </c>
      <c r="C76" s="47">
        <v>47007109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あら、可愛い子を連れて…_x000D_どこに向かうのかしら？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76" s="47">
        <v>47007112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298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ref="A77:A78" si="6">B77&amp;"_"&amp;C77</f>
        <v>47007201_47007109</v>
      </c>
      <c r="B77" s="47">
        <v>47007201</v>
      </c>
      <c r="C77" s="47">
        <v>47007109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あら、可愛い子を連れて…_x000D_どこに向かうのかしら？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77" s="47">
        <v>47007113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297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6"/>
        <v>47007201_47007109</v>
      </c>
      <c r="B78" s="47">
        <v>47007201</v>
      </c>
      <c r="C78" s="47">
        <v>47007109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あら、可愛い子を連れて…_x000D_どこに向かうのかしら？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78" s="47">
        <v>47007114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296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3"/>
        <v>47007201_47007104</v>
      </c>
      <c r="B79" s="47">
        <v>47007201</v>
      </c>
      <c r="C79" s="47">
        <v>47007104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恋に障害はつきものよ？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赤パネルは確率でプロテクトされてドロップ</v>
      </c>
      <c r="F79" s="47">
        <v>47007105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9" s="48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3"/>
        <v>47007201_47007105</v>
      </c>
      <c r="B80" s="47">
        <v>47007201</v>
      </c>
      <c r="C80" s="47">
        <v>47007105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覚悟を試してあげるわ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黄パネルを吸収する程、ダメージがDOWNする攻撃</v>
      </c>
      <c r="F80" s="47">
        <v>47007106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 t="str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0" s="48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3"/>
        <v>47007201_47007106</v>
      </c>
      <c r="B81" s="47">
        <v>47007201</v>
      </c>
      <c r="C81" s="47">
        <v>47007106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ちょっとイジワルしちゃおうかしら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赤パネルを吸収して攻撃(最大15個)</v>
      </c>
      <c r="F81" s="47">
        <v>47007107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 t="str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3"/>
        <v>47007201_47007107</v>
      </c>
      <c r="B82" s="47">
        <v>47007201</v>
      </c>
      <c r="C82" s="47">
        <v>47007107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乗り越えてごらんなさい？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属性パネルプロテクト(最大10個)+_x000D_単体攻撃</v>
      </c>
      <c r="F82" s="47">
        <v>47007108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 t="str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2" s="48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2" s="48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3"/>
        <v>47007201_47007108</v>
      </c>
      <c r="B83" s="47">
        <v>47007201</v>
      </c>
      <c r="C83" s="47">
        <v>47007108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いいわね…見届けさせてもらうわ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ハートパネルを残して去っていった</v>
      </c>
      <c r="F83" s="47">
        <v>47007109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8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3" s="48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3"/>
        <v>47007202_47007201</v>
      </c>
      <c r="B84" s="47">
        <v>47007202</v>
      </c>
      <c r="C84" s="47">
        <v>47007201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ニャンニャン恋の予感だニャン♪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状態異常耐性+_x000D_全ユニットに5ターンCパネル生成延長(特大)</v>
      </c>
      <c r="F84" s="47">
        <v>47007201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4" s="48" t="str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8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8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ref="A85" si="7">B85&amp;"_"&amp;C85</f>
        <v>47007202_47007202</v>
      </c>
      <c r="B85" s="47">
        <v>47007202</v>
      </c>
      <c r="C85" s="47">
        <v>47007202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ニャンニャン_x000D_キミもラブユーニャン♪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状態異常耐性+_x000D_全ユニットにCパネル生成短縮(特大)！</v>
      </c>
      <c r="F85" s="47">
        <v>47007202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1352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ref="A86" si="8">B86&amp;"_"&amp;C86</f>
        <v>47007202_47007202</v>
      </c>
      <c r="B86" s="47">
        <v>47007202</v>
      </c>
      <c r="C86" s="47">
        <v>47007202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ニャンニャン_x000D_キミもラブユーニャン♪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状態異常耐性+_x000D_全ユニットにCパネル生成短縮(特大)！</v>
      </c>
      <c r="F86" s="47">
        <v>47007203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8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8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1353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3"/>
        <v>47007202_47007203</v>
      </c>
      <c r="B87" s="47">
        <v>47007202</v>
      </c>
      <c r="C87" s="47">
        <v>47007203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にゃにゃ？_x000D_これも恋の予感…！？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状態異常耐性+_x000D_全ユニットにCパネル生成短縮(大)！</v>
      </c>
      <c r="F87" s="47">
        <v>47007204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8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8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1363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3"/>
        <v>47007202_47007208</v>
      </c>
      <c r="B88" s="47">
        <v>47007202</v>
      </c>
      <c r="C88" s="47">
        <v>47007208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ぐう可愛いニャン♪_x000D_私のチョコと取り替えっこする？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88" s="47">
        <v>47007110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8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8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3"/>
        <v>47007202_47007208</v>
      </c>
      <c r="B89" s="47">
        <v>47007202</v>
      </c>
      <c r="C89" s="47">
        <v>47007208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ぐう可愛いニャン♪_x000D_私のチョコと取り替えっこする？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89" s="47">
        <v>47007111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299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8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8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3"/>
        <v>47007202_47007208</v>
      </c>
      <c r="B90" s="47">
        <v>47007202</v>
      </c>
      <c r="C90" s="47">
        <v>47007208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ぐう可愛いニャン♪_x000D_私のチョコと取り替えっこする？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90" s="47">
        <v>47007112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298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8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8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3"/>
        <v>47007202_47007208</v>
      </c>
      <c r="B91" s="47">
        <v>47007202</v>
      </c>
      <c r="C91" s="47">
        <v>47007208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ぐう可愛いニャン♪_x000D_私のチョコと取り替えっこする？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91" s="47">
        <v>47007113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297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8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8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3"/>
        <v>47007202_47007208</v>
      </c>
      <c r="B92" s="47">
        <v>47007202</v>
      </c>
      <c r="C92" s="47">
        <v>47007208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ぐう可愛いニャン♪_x000D_私のチョコと取り替えっこする？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92" s="47">
        <v>47007114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296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8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3"/>
        <v>47007202_47007204</v>
      </c>
      <c r="B93" s="47">
        <v>47007202</v>
      </c>
      <c r="C93" s="47">
        <v>47007204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私は全力で応援するわ！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ハートパネルを赤&amp;青&amp;黄のCBPに1個ずつ変換</v>
      </c>
      <c r="F93" s="47">
        <v>47007205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8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3" s="48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si="3"/>
        <v>47007202_47007205</v>
      </c>
      <c r="B94" s="47">
        <v>47007202</v>
      </c>
      <c r="C94" s="47">
        <v>47007205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恋はいつだって一直線なの♪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残りHPの50%ダメージ+5ターン攻撃頻度UP</v>
      </c>
      <c r="F94" s="47">
        <v>47007206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48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4" s="48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  <row r="95" spans="1:18" ht="21" customHeight="1" x14ac:dyDescent="0.15">
      <c r="A95" s="39" t="str">
        <f t="shared" si="3"/>
        <v>47007202_47007206</v>
      </c>
      <c r="B95" s="47">
        <v>47007202</v>
      </c>
      <c r="C95" s="47">
        <v>47007206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さぁキミも…勇気を出して…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ランダムでハートのボムパネル(大)に最大1個変換+_x000D_クリティカル！</v>
      </c>
      <c r="F95" s="47">
        <v>47007207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 t="str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5" s="48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8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7"/>
      <c r="Q95" s="47"/>
      <c r="R95" s="47"/>
    </row>
    <row r="96" spans="1:18" ht="21" customHeight="1" x14ac:dyDescent="0.15">
      <c r="A96" s="39" t="str">
        <f t="shared" ref="A96" si="9">B96&amp;"_"&amp;C96</f>
        <v>47007202_47007207</v>
      </c>
      <c r="B96" s="47">
        <v>47007202</v>
      </c>
      <c r="C96" s="47">
        <v>47007207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気持ち、伝わってるよ！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ハートパネルを吸収して1ターン攻撃力UP+_x000D_単体攻撃</v>
      </c>
      <c r="F96" s="47">
        <v>47007208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 t="str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6" s="48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6" s="48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7"/>
      <c r="Q96" s="47"/>
      <c r="R96" s="47"/>
    </row>
    <row r="97" spans="1:18" ht="21" customHeight="1" x14ac:dyDescent="0.15">
      <c r="A97" s="39" t="str">
        <f t="shared" si="3"/>
        <v>47007203_47007301</v>
      </c>
      <c r="B97" s="47">
        <v>47007203</v>
      </c>
      <c r="C97" s="47">
        <v>47007301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わかってるわ♪_x000D_プラリーヌを探してるんでしょ？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97" s="47">
        <v>47007301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7" s="48" t="str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8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8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8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7"/>
      <c r="Q97" s="47"/>
      <c r="R97" s="47"/>
    </row>
    <row r="98" spans="1:18" ht="21" customHeight="1" x14ac:dyDescent="0.15">
      <c r="A98" s="39" t="str">
        <f t="shared" si="3"/>
        <v>47007203_47007302</v>
      </c>
      <c r="B98" s="47">
        <v>47007203</v>
      </c>
      <c r="C98" s="47">
        <v>47007302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早く見つけてあげないとねー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黄パネルを吸収する程、ダメージがDOWNする攻撃</v>
      </c>
      <c r="F98" s="47">
        <v>47007302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8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8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8" t="str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8" s="48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8" t="str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7"/>
      <c r="Q98" s="47"/>
      <c r="R98" s="47"/>
    </row>
    <row r="99" spans="1:18" ht="21" customHeight="1" x14ac:dyDescent="0.15">
      <c r="A99" s="39" t="str">
        <f t="shared" si="3"/>
        <v>47007203_47007303</v>
      </c>
      <c r="B99" s="47">
        <v>47007203</v>
      </c>
      <c r="C99" s="47">
        <v>47007303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今ごろ寂しがってるかも…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赤パネルを吸収して攻撃(最大15個)</v>
      </c>
      <c r="F99" s="47">
        <v>47007303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 t="str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9" s="48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9" s="48" t="str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7"/>
      <c r="Q99" s="47"/>
      <c r="R99" s="47"/>
    </row>
    <row r="100" spans="1:18" ht="21" customHeight="1" x14ac:dyDescent="0.15">
      <c r="A100" s="39" t="str">
        <f t="shared" si="3"/>
        <v>47007203_47007304</v>
      </c>
      <c r="B100" s="47">
        <v>47007203</v>
      </c>
      <c r="C100" s="47">
        <v>47007304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あの子の気持ち…_x000D_受け止められる？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5ターン全ユニットの回復力30%DOWN+全体攻撃</v>
      </c>
      <c r="F100" s="47">
        <v>47007304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8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48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0" s="48" t="str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7"/>
      <c r="Q100" s="47"/>
      <c r="R100" s="47"/>
    </row>
    <row r="101" spans="1:18" ht="21" customHeight="1" x14ac:dyDescent="0.15">
      <c r="A101" s="39" t="str">
        <f t="shared" si="3"/>
        <v>47007203_47007305</v>
      </c>
      <c r="B101" s="47">
        <v>47007203</v>
      </c>
      <c r="C101" s="47">
        <v>47007305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もー！不安そうな顔しないでよ！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属性パネルプロテクト(最大10個)_x000D_【！】次のターンから強力な固定ダメージ【！】</v>
      </c>
      <c r="F101" s="47">
        <v>47007305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8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1" s="48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8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48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1" s="48" t="str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7"/>
      <c r="Q101" s="47"/>
      <c r="R101" s="47"/>
    </row>
    <row r="102" spans="1:18" ht="21" customHeight="1" x14ac:dyDescent="0.15">
      <c r="A102" s="39" t="str">
        <f t="shared" si="3"/>
        <v>47007203_47007306</v>
      </c>
      <c r="B102" s="47">
        <v>47007203</v>
      </c>
      <c r="C102" s="47">
        <v>47007306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やればできるよ！がんばって♪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10000固定ダメージ</v>
      </c>
      <c r="F102" s="47">
        <v>47007306</v>
      </c>
      <c r="G102" s="4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8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102" s="4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8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2" s="4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8" t="str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2" s="48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2" s="48" t="str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2" s="4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7"/>
      <c r="Q102" s="47"/>
      <c r="R102" s="47"/>
    </row>
    <row r="103" spans="1:18" ht="21" customHeight="1" x14ac:dyDescent="0.15">
      <c r="A103" s="39" t="str">
        <f t="shared" si="3"/>
        <v>47007204_47007401</v>
      </c>
      <c r="B103" s="47">
        <v>47007204</v>
      </c>
      <c r="C103" s="47">
        <v>47007401</v>
      </c>
      <c r="D103" s="4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わわっ！あ、あんた！_x000D_急に出てこないでよ！</v>
      </c>
      <c r="E103" s="4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103" s="47">
        <v>47007401</v>
      </c>
      <c r="G103" s="48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3" s="48" t="str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3" s="48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8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8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8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48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8" t="str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3" s="48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7"/>
      <c r="Q103" s="47"/>
      <c r="R103" s="47"/>
    </row>
    <row r="104" spans="1:18" ht="21" customHeight="1" x14ac:dyDescent="0.15">
      <c r="A104" s="39" t="str">
        <f t="shared" si="3"/>
        <v>47007204_47007402</v>
      </c>
      <c r="B104" s="47">
        <v>47007204</v>
      </c>
      <c r="C104" s="47">
        <v>47007402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わわっ！[player_name]…！_x000D_びっくりさせないでよ…！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青パネルをハートパネルに、黄パネルを赤パネルに変換+_x000D_全ユニットのスキルゲージを4ターン減少！</v>
      </c>
      <c r="F104" s="47">
        <v>47007402</v>
      </c>
      <c r="G104" s="4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4" s="4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04" s="4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8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8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8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48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8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1352</v>
      </c>
      <c r="O104" s="4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7"/>
      <c r="Q104" s="47"/>
      <c r="R104" s="47"/>
    </row>
    <row r="105" spans="1:18" ht="21" customHeight="1" x14ac:dyDescent="0.15">
      <c r="A105" s="39" t="str">
        <f t="shared" ref="A105" si="10">B105&amp;"_"&amp;C105</f>
        <v>47007204_47007402</v>
      </c>
      <c r="B105" s="47">
        <v>47007204</v>
      </c>
      <c r="C105" s="47">
        <v>47007402</v>
      </c>
      <c r="D105" s="46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わわっ！[player_name]…！_x000D_びっくりさせないでよ…！</v>
      </c>
      <c r="E105" s="46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青パネルをハートパネルに、黄パネルを赤パネルに変換+_x000D_全ユニットのスキルゲージを4ターン減少！</v>
      </c>
      <c r="F105" s="47">
        <v>47007403</v>
      </c>
      <c r="G105" s="48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5" s="48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105" s="48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8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8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8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48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48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1353</v>
      </c>
      <c r="O105" s="48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7"/>
      <c r="Q105" s="47"/>
      <c r="R105" s="47"/>
    </row>
    <row r="106" spans="1:18" ht="21" customHeight="1" x14ac:dyDescent="0.15">
      <c r="A106" s="39" t="str">
        <f t="shared" si="3"/>
        <v>47007204_47007403</v>
      </c>
      <c r="B106" s="47">
        <v>47007204</v>
      </c>
      <c r="C106" s="47">
        <v>47007403</v>
      </c>
      <c r="D106" s="46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わわっ！[player_name]…！_x000D_急に出てこないでよ…！</v>
      </c>
      <c r="E106" s="46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青パネルをハートパネルに、黄パネルを赤パネルに変換+_x000D_全ユニットのスキルゲージを2ターン減少！</v>
      </c>
      <c r="F106" s="47">
        <v>47007404</v>
      </c>
      <c r="G106" s="48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6" s="48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06" s="48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8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8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8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8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8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1363</v>
      </c>
      <c r="O106" s="48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7"/>
      <c r="Q106" s="47"/>
      <c r="R106" s="47"/>
    </row>
    <row r="107" spans="1:18" ht="21" customHeight="1" x14ac:dyDescent="0.15">
      <c r="A107" s="39" t="str">
        <f t="shared" ref="A107:A111" si="11">B107&amp;"_"&amp;C107</f>
        <v>47007204_47007409</v>
      </c>
      <c r="B107" s="47">
        <v>47007204</v>
      </c>
      <c r="C107" s="47">
        <v>47007409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わわっ！あ、あんた！_x000D_…ずいぶん賑やかじゃない？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107" s="47">
        <v>47007110</v>
      </c>
      <c r="G107" s="48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7" s="48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07" s="48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8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8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8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7" s="48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8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107" s="48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7"/>
      <c r="Q107" s="47"/>
      <c r="R107" s="47"/>
    </row>
    <row r="108" spans="1:18" ht="21" customHeight="1" x14ac:dyDescent="0.15">
      <c r="A108" s="39" t="str">
        <f t="shared" si="11"/>
        <v>47007204_47007409</v>
      </c>
      <c r="B108" s="47">
        <v>47007204</v>
      </c>
      <c r="C108" s="47">
        <v>47007409</v>
      </c>
      <c r="D108" s="4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わわっ！あ、あんた！_x000D_…ずいぶん賑やかじゃない？</v>
      </c>
      <c r="E108" s="4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108" s="47">
        <v>47007111</v>
      </c>
      <c r="G108" s="48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8" s="48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299</v>
      </c>
      <c r="I108" s="48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8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8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8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8" s="48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48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108" s="48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7"/>
      <c r="Q108" s="47"/>
      <c r="R108" s="47"/>
    </row>
    <row r="109" spans="1:18" ht="21" customHeight="1" x14ac:dyDescent="0.15">
      <c r="A109" s="39" t="str">
        <f t="shared" si="11"/>
        <v>47007204_47007409</v>
      </c>
      <c r="B109" s="47">
        <v>47007204</v>
      </c>
      <c r="C109" s="47">
        <v>47007409</v>
      </c>
      <c r="D109" s="4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わわっ！あ、あんた！_x000D_…ずいぶん賑やかじゃない？</v>
      </c>
      <c r="E109" s="4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109" s="47">
        <v>47007112</v>
      </c>
      <c r="G109" s="48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9" s="48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298</v>
      </c>
      <c r="I109" s="48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8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8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8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9" s="48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48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109" s="48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7"/>
      <c r="Q109" s="47"/>
      <c r="R109" s="47"/>
    </row>
    <row r="110" spans="1:18" ht="21" customHeight="1" x14ac:dyDescent="0.15">
      <c r="A110" s="39" t="str">
        <f t="shared" si="11"/>
        <v>47007204_47007409</v>
      </c>
      <c r="B110" s="47">
        <v>47007204</v>
      </c>
      <c r="C110" s="47">
        <v>47007409</v>
      </c>
      <c r="D110" s="46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わわっ！あ、あんた！_x000D_…ずいぶん賑やかじゃない？</v>
      </c>
      <c r="E110" s="46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110" s="47">
        <v>47007113</v>
      </c>
      <c r="G110" s="48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0" s="48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297</v>
      </c>
      <c r="I110" s="48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8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8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8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0" s="48" t="str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0" s="48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110" s="48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7"/>
      <c r="Q110" s="47"/>
      <c r="R110" s="47"/>
    </row>
    <row r="111" spans="1:18" ht="21" customHeight="1" x14ac:dyDescent="0.15">
      <c r="A111" s="39" t="str">
        <f t="shared" si="11"/>
        <v>47007204_47007409</v>
      </c>
      <c r="B111" s="47">
        <v>47007204</v>
      </c>
      <c r="C111" s="47">
        <v>47007409</v>
      </c>
      <c r="D111" s="46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わわっ！あ、あんた！_x000D_…ずいぶん賑やかじゃない？</v>
      </c>
      <c r="E111" s="46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111" s="47">
        <v>47007114</v>
      </c>
      <c r="G111" s="48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1" s="48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296</v>
      </c>
      <c r="I111" s="48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8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8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8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1" s="48" t="str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1" s="48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111" s="48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7"/>
      <c r="Q111" s="47"/>
      <c r="R111" s="47"/>
    </row>
    <row r="112" spans="1:18" ht="21" customHeight="1" x14ac:dyDescent="0.15">
      <c r="A112" s="39" t="str">
        <f t="shared" si="3"/>
        <v>47007204_47007404</v>
      </c>
      <c r="B112" s="47">
        <v>47007204</v>
      </c>
      <c r="C112" s="47">
        <v>47007404</v>
      </c>
      <c r="D112" s="46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別にあんたの事なんて…っ！</v>
      </c>
      <c r="E112" s="46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属性パネルプロテクト(最大10個)+全体攻撃</v>
      </c>
      <c r="F112" s="47">
        <v>47007405</v>
      </c>
      <c r="G112" s="48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2" s="48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12" s="48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8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8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8" t="str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2" s="48" t="str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2" s="48" t="str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2" s="48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7"/>
      <c r="Q112" s="47"/>
      <c r="R112" s="47"/>
    </row>
    <row r="113" spans="1:18" ht="21" customHeight="1" x14ac:dyDescent="0.15">
      <c r="A113" s="39" t="str">
        <f t="shared" si="3"/>
        <v>47007204_47007405</v>
      </c>
      <c r="B113" s="47">
        <v>47007204</v>
      </c>
      <c r="C113" s="47">
        <v>47007405</v>
      </c>
      <c r="D113" s="46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そ、そんなに見るな…見つめるな…！</v>
      </c>
      <c r="E113" s="46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赤パネルを吸収して攻撃(最大15個)</v>
      </c>
      <c r="F113" s="47">
        <v>47007406</v>
      </c>
      <c r="G113" s="48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3" s="48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13" s="48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8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8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8" t="str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3" s="48" t="str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3" s="48" t="str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3" s="48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7"/>
      <c r="Q113" s="47"/>
      <c r="R113" s="47"/>
    </row>
    <row r="114" spans="1:18" ht="21" customHeight="1" x14ac:dyDescent="0.15">
      <c r="A114" s="39" t="str">
        <f t="shared" si="3"/>
        <v>47007204_47007406</v>
      </c>
      <c r="B114" s="47">
        <v>47007204</v>
      </c>
      <c r="C114" s="47">
        <v>47007406</v>
      </c>
      <c r="D114" s="46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だらしないわね！しっかりしなさいよ！</v>
      </c>
      <c r="E114" s="46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クリティカル！_x000D_(命中したユニットの攻撃力30%UP)</v>
      </c>
      <c r="F114" s="47">
        <v>47007407</v>
      </c>
      <c r="G114" s="48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4" s="48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14" s="48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8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8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8" t="str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4" s="48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4" s="48" t="str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4" s="48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7"/>
      <c r="Q114" s="47"/>
      <c r="R114" s="47"/>
    </row>
    <row r="115" spans="1:18" ht="21" customHeight="1" x14ac:dyDescent="0.15">
      <c r="A115" s="39" t="str">
        <f t="shared" si="3"/>
        <v>47007204_47007407</v>
      </c>
      <c r="B115" s="47">
        <v>47007204</v>
      </c>
      <c r="C115" s="47">
        <v>47007407</v>
      </c>
      <c r="D115" s="46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なんで呼んだのって…察しなさいよ！</v>
      </c>
      <c r="E115" s="46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クリティカル！_x000D_(命中したユニットの回復力30%UP)</v>
      </c>
      <c r="F115" s="47">
        <v>47007408</v>
      </c>
      <c r="G115" s="48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48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15" s="48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8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8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8" t="str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5" s="48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5" s="48" t="str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5" s="48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7"/>
      <c r="Q115" s="47"/>
      <c r="R115" s="47"/>
    </row>
    <row r="116" spans="1:18" ht="21" customHeight="1" x14ac:dyDescent="0.15">
      <c r="A116" s="39" t="str">
        <f t="shared" si="3"/>
        <v>47007204_47007408</v>
      </c>
      <c r="B116" s="47">
        <v>47007204</v>
      </c>
      <c r="C116" s="47">
        <v>47007408</v>
      </c>
      <c r="D116" s="46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(うぅ…違うでしょアタシ…！)</v>
      </c>
      <c r="E116" s="46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(今日こそ想いを…ちゃんと伝えなきゃ！)</v>
      </c>
      <c r="F116" s="47">
        <v>47007409</v>
      </c>
      <c r="G116" s="48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48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16" s="48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</v>
      </c>
      <c r="J116" s="48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8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8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6" s="48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6" s="48" t="str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6" s="48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</v>
      </c>
      <c r="P116" s="47"/>
      <c r="Q116" s="47"/>
      <c r="R116" s="47"/>
    </row>
    <row r="117" spans="1:18" ht="21" customHeight="1" x14ac:dyDescent="0.15">
      <c r="A117" s="39" t="str">
        <f t="shared" si="3"/>
        <v>47007205_47007501</v>
      </c>
      <c r="B117" s="47">
        <v>47007205</v>
      </c>
      <c r="C117" s="47">
        <v>47007501</v>
      </c>
      <c r="D117" s="46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大丈夫…落ち着けアタシ…</v>
      </c>
      <c r="E117" s="46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状態異常耐性+3ターン全属性の攻撃をカウンター</v>
      </c>
      <c r="F117" s="47">
        <v>47007501</v>
      </c>
      <c r="G117" s="48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7" s="48" t="str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7" s="48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8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48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8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7" s="48" t="str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7" s="48" t="str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7" s="48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7"/>
      <c r="Q117" s="47"/>
      <c r="R117" s="47"/>
    </row>
    <row r="118" spans="1:18" ht="21" customHeight="1" x14ac:dyDescent="0.15">
      <c r="A118" s="39" t="str">
        <f t="shared" si="3"/>
        <v>47007205_47007502</v>
      </c>
      <c r="B118" s="47">
        <v>47007205</v>
      </c>
      <c r="C118" s="47">
        <v>47007502</v>
      </c>
      <c r="D118" s="46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ほ、ほら！受け取りなさいよ！</v>
      </c>
      <c r="E118" s="46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5ターン回復効果付与</v>
      </c>
      <c r="F118" s="47">
        <v>47007502</v>
      </c>
      <c r="G118" s="48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8" s="48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18" s="48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8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8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8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8" s="48" t="str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8" s="48" t="str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8" s="48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7"/>
      <c r="Q118" s="47"/>
      <c r="R118" s="47"/>
    </row>
    <row r="119" spans="1:18" ht="21" customHeight="1" x14ac:dyDescent="0.15">
      <c r="A119" s="39" t="str">
        <f t="shared" si="3"/>
        <v>47007205_47007503</v>
      </c>
      <c r="B119" s="47">
        <v>47007205</v>
      </c>
      <c r="C119" s="47">
        <v>47007503</v>
      </c>
      <c r="D119" s="46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あ…それ失敗作…！かかか返して…！</v>
      </c>
      <c r="E119" s="46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強力な全体攻撃+5ターンウィルス</v>
      </c>
      <c r="F119" s="47">
        <v>47007503</v>
      </c>
      <c r="G119" s="48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9" s="48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119" s="48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48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8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8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9" s="48" t="str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9" s="48" t="str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9" s="48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47"/>
      <c r="Q119" s="47"/>
      <c r="R119" s="47"/>
    </row>
    <row r="120" spans="1:18" ht="21" customHeight="1" x14ac:dyDescent="0.15">
      <c r="A120" s="39" t="str">
        <f t="shared" si="3"/>
        <v>47007205_47007504</v>
      </c>
      <c r="B120" s="47">
        <v>47007205</v>
      </c>
      <c r="C120" s="47">
        <v>47007504</v>
      </c>
      <c r="D120" s="46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ご…ごめん！怪我はない…？</v>
      </c>
      <c r="E120" s="46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ランダムでハートパネルに最大10個変換</v>
      </c>
      <c r="F120" s="47">
        <v>47007504</v>
      </c>
      <c r="G120" s="48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0" s="48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120" s="48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48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48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8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0" s="48" t="str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0" s="48" t="str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0" s="48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47"/>
      <c r="Q120" s="47"/>
      <c r="R120" s="47"/>
    </row>
    <row r="121" spans="1:18" ht="21" customHeight="1" x14ac:dyDescent="0.15">
      <c r="A121" s="39" t="str">
        <f t="shared" si="3"/>
        <v>47007205_47007505</v>
      </c>
      <c r="B121" s="47">
        <v>47007205</v>
      </c>
      <c r="C121" s="47">
        <v>47007505</v>
      </c>
      <c r="D121" s="46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…って近い！近いって！_x000D_離れなさいよこのバカァ！！</v>
      </c>
      <c r="E121" s="46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強力なクリティカル！</v>
      </c>
      <c r="F121" s="47">
        <v>47007505</v>
      </c>
      <c r="G121" s="48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1" s="48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47</v>
      </c>
      <c r="I121" s="48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48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48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8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1" s="48" t="str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1" s="48" t="str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1" s="48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47"/>
      <c r="Q121" s="47"/>
      <c r="R121" s="47"/>
    </row>
    <row r="122" spans="1:18" ht="21" customHeight="1" x14ac:dyDescent="0.15">
      <c r="A122" s="39" t="str">
        <f t="shared" si="3"/>
        <v>47007205_47007506</v>
      </c>
      <c r="B122" s="47">
        <v>47007205</v>
      </c>
      <c r="C122" s="47">
        <v>47007506</v>
      </c>
      <c r="D122" s="46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(仕切り直しよ…仕切り直し…！)</v>
      </c>
      <c r="E122" s="46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黄パネルを吸収する程、ダメージがDOWNする攻撃</v>
      </c>
      <c r="F122" s="47">
        <v>47007506</v>
      </c>
      <c r="G122" s="48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2" s="48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46</v>
      </c>
      <c r="I122" s="48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48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48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8" t="str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2" s="48" t="str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2" s="48" t="str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2" s="48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47"/>
      <c r="Q122" s="47"/>
      <c r="R122" s="47"/>
    </row>
    <row r="123" spans="1:18" ht="21" customHeight="1" x14ac:dyDescent="0.15">
      <c r="A123" s="39" t="str">
        <f t="shared" si="3"/>
        <v>47007206_47007601</v>
      </c>
      <c r="B123" s="47">
        <v>47007206</v>
      </c>
      <c r="C123" s="47">
        <v>47007601</v>
      </c>
      <c r="D123" s="46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こ、これ！チョコ！_x000D_あんたのために…作ったの…！</v>
      </c>
      <c r="E123" s="46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状態異常耐性+3ターン後に残りHPの200%ダメージ！_x000D_【目をつむって真っ赤になっている…】</v>
      </c>
      <c r="F123" s="47">
        <v>47007601</v>
      </c>
      <c r="G123" s="48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3" s="48" t="str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3" s="48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8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48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8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3" s="48" t="str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3" s="48" t="str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3" s="48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7"/>
      <c r="Q123" s="47"/>
      <c r="R123" s="47"/>
    </row>
    <row r="124" spans="1:18" ht="21" customHeight="1" x14ac:dyDescent="0.15">
      <c r="A124" s="39" t="str">
        <f t="shared" ref="A124:A127" si="12">B124&amp;"_"&amp;C124</f>
        <v>47007206_47007602</v>
      </c>
      <c r="B124" s="47">
        <v>47007206</v>
      </c>
      <c r="C124" s="47">
        <v>47007602</v>
      </c>
      <c r="D124" s="46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(早く…受け取って…)</v>
      </c>
      <c r="E124" s="46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ランダムでハートパネルに最大23個変換_x000D_【両肩が小刻みに震えている…】</v>
      </c>
      <c r="F124" s="47">
        <v>47007602</v>
      </c>
      <c r="G124" s="48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4" s="48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24" s="48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48" t="str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4" s="48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48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4" s="48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4" s="48" t="str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4" s="48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47"/>
      <c r="Q124" s="47"/>
      <c r="R124" s="47"/>
    </row>
    <row r="125" spans="1:18" ht="21" customHeight="1" x14ac:dyDescent="0.15">
      <c r="A125" s="39" t="str">
        <f t="shared" si="12"/>
        <v>47007206_47007603</v>
      </c>
      <c r="B125" s="47">
        <v>47007206</v>
      </c>
      <c r="C125" s="47">
        <v>47007603</v>
      </c>
      <c r="D125" s="46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(早く…はやくはやくぅ…！)</v>
      </c>
      <c r="E125" s="46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ランダムでハートパネルに最大23個変換_x000D_【煮え切らない態度に遂にプラリーヌが…！】</v>
      </c>
      <c r="F125" s="47">
        <v>47007603</v>
      </c>
      <c r="G125" s="48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48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125" s="48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48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48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48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5" s="48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5" s="48" t="str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5" s="48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47"/>
      <c r="Q125" s="47"/>
      <c r="R125" s="47"/>
    </row>
    <row r="126" spans="1:18" ht="21" customHeight="1" x14ac:dyDescent="0.15">
      <c r="A126" s="39" t="str">
        <f t="shared" si="12"/>
        <v>47007206_47007604</v>
      </c>
      <c r="B126" s="47">
        <v>47007206</v>
      </c>
      <c r="C126" s="47">
        <v>47007604</v>
      </c>
      <c r="D126" s="46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さっさと受け取りなさいよぉ！_x000D_バカーーーッッ！！！</v>
      </c>
      <c r="E126" s="46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残りHPの200%ダメージ！</v>
      </c>
      <c r="F126" s="47">
        <v>47007604</v>
      </c>
      <c r="G126" s="48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6" s="48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126" s="48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48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48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48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6" s="48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6" s="48" t="str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6" s="48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47"/>
      <c r="Q126" s="47"/>
      <c r="R126" s="47"/>
    </row>
    <row r="127" spans="1:18" ht="21" customHeight="1" x14ac:dyDescent="0.15">
      <c r="A127" s="39" t="str">
        <f t="shared" si="12"/>
        <v>47007206_47007605</v>
      </c>
      <c r="B127" s="47">
        <v>47007206</v>
      </c>
      <c r="C127" s="47">
        <v>47007605</v>
      </c>
      <c r="D127" s="46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考え直して…くれたの…？</v>
      </c>
      <c r="E127" s="46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このターンでプラリーヌのHPを削りきろう！</v>
      </c>
      <c r="F127" s="47">
        <v>47007605</v>
      </c>
      <c r="G127" s="48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7" s="48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27" s="48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7" s="48" t="str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7" s="48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48" t="str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7" s="48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7" s="48" t="str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7" s="48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7" s="47"/>
      <c r="Q127" s="47"/>
      <c r="R127" s="47"/>
    </row>
    <row r="128" spans="1:18" ht="21" customHeight="1" x14ac:dyDescent="0.15">
      <c r="A128" s="39" t="str">
        <f t="shared" ref="A128:A129" si="13">B128&amp;"_"&amp;C128</f>
        <v>47007206_47007606</v>
      </c>
      <c r="B128" s="47">
        <v>47007206</v>
      </c>
      <c r="C128" s="47">
        <v>47007606</v>
      </c>
      <c r="D128" s="46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アタシをからかって楽しい…！？_x000D_ホント…バカァ！！！</v>
      </c>
      <c r="E128" s="46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残りHPの200%ダメージ！</v>
      </c>
      <c r="F128" s="47">
        <v>47007606</v>
      </c>
      <c r="G128" s="48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8" s="48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128" s="48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8" s="48" t="str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8" s="48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48" t="str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8" s="48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8" s="48" t="str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8" s="48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8" s="47"/>
      <c r="Q128" s="47"/>
      <c r="R128" s="47"/>
    </row>
    <row r="129" spans="1:18" ht="21" customHeight="1" x14ac:dyDescent="0.15">
      <c r="A129" s="39" t="str">
        <f t="shared" si="13"/>
        <v>47007206_47007607</v>
      </c>
      <c r="B129" s="47">
        <v>47007206</v>
      </c>
      <c r="C129" s="47">
        <v>47007607</v>
      </c>
      <c r="D129" s="46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あ…受け取って…くれた…？</v>
      </c>
      <c r="E129" s="46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かっ、勘違いしないでよね！？_x000D_これは義理…！そう、義理なんだから…！</v>
      </c>
      <c r="F129" s="47">
        <v>47007607</v>
      </c>
      <c r="G129" s="48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9" s="48" t="str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9" s="48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9" s="48" t="str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9" s="48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48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9" s="48" t="str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9" s="48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29" s="48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9" s="47"/>
      <c r="Q129" s="47"/>
      <c r="R129" s="47"/>
    </row>
    <row r="130" spans="1:18" ht="21" customHeight="1" x14ac:dyDescent="0.15">
      <c r="A130" s="39" t="str">
        <f t="shared" ref="A130:A133" si="14">B130&amp;"_"&amp;C130</f>
        <v>47007206_47007608</v>
      </c>
      <c r="B130" s="47">
        <v>47007206</v>
      </c>
      <c r="C130" s="47">
        <v>47007608</v>
      </c>
      <c r="D130" s="46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あ…[player_name]…_x000D_受け取ってくれた…？</v>
      </c>
      <c r="E130" s="46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かっ、勘違いしないでよね！？_x000D_別に…あんたの事なんて…うぅ…！</v>
      </c>
      <c r="F130" s="47">
        <v>47007608</v>
      </c>
      <c r="G130" s="48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0" s="48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30" s="48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0" s="48" t="str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0" s="48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48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0" s="48" t="str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0" s="48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1352</v>
      </c>
      <c r="O130" s="48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0" s="47"/>
      <c r="Q130" s="47"/>
      <c r="R130" s="47"/>
    </row>
    <row r="131" spans="1:18" ht="21" customHeight="1" x14ac:dyDescent="0.15">
      <c r="A131" s="39" t="str">
        <f t="shared" ref="A131" si="15">B131&amp;"_"&amp;C131</f>
        <v>47007206_47007608</v>
      </c>
      <c r="B131" s="47">
        <v>47007206</v>
      </c>
      <c r="C131" s="47">
        <v>47007608</v>
      </c>
      <c r="D131" s="46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あ…[player_name]…_x000D_受け取ってくれた…？</v>
      </c>
      <c r="E131" s="46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かっ、勘違いしないでよね！？_x000D_別に…あんたの事なんて…うぅ…！</v>
      </c>
      <c r="F131" s="47">
        <v>47007609</v>
      </c>
      <c r="G131" s="48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1" s="48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131" s="48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1" s="48" t="str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1" s="48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48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1" s="48" t="str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1" s="48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1353</v>
      </c>
      <c r="O131" s="48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1" s="47"/>
      <c r="Q131" s="47"/>
      <c r="R131" s="47"/>
    </row>
    <row r="132" spans="1:18" ht="21" customHeight="1" x14ac:dyDescent="0.15">
      <c r="A132" s="39" t="str">
        <f t="shared" si="14"/>
        <v>47007206_47007609</v>
      </c>
      <c r="B132" s="47">
        <v>47007206</v>
      </c>
      <c r="C132" s="47">
        <v>47007609</v>
      </c>
      <c r="D132" s="46" t="str">
        <f ca="1">VLOOKUP($C132,OFFSET(enemy_skills!$A$1,0,0,COUNTA(enemy_skills!$A:$A),MATCH(D$1,enemy_skills!$1:$1,0)-MATCH("enemy_skill_id",enemy_skills!$1:$1,0)+1),MATCH(D$1,enemy_skills!$1:$1,0)-MATCH("enemy_skill_id",enemy_skills!$1:$1,0)+1,FALSE)</f>
        <v>あ…[player_name]…_x000D_受け取ってくれた…？</v>
      </c>
      <c r="E132" s="46" t="str">
        <f ca="1">VLOOKUP($C132,OFFSET(enemy_skills!$A$1,0,0,COUNTA(enemy_skills!$A:$A),MATCH(E$1,enemy_skills!$1:$1,0)-MATCH("enemy_skill_id",enemy_skills!$1:$1,0)+1),MATCH(E$1,enemy_skills!$1:$1,0)-MATCH("enemy_skill_id",enemy_skills!$1:$1,0)+1,FALSE)</f>
        <v>かっ、勘違いしないでよね！？_x000D_別にあんたの事なんて…なんとも…！</v>
      </c>
      <c r="F132" s="47">
        <v>47007610</v>
      </c>
      <c r="G132" s="48">
        <f ca="1">VLOOKUP($F132,OFFSET(enemy_skill_triggers!$A$1,0,0,COUNTA(enemy_skill_triggers!$A:$A),MATCH(G$1,enemy_skill_triggers!$1:$1,0)-MATCH($F$1,enemy_skill_triggers!$1:$1,0)+1),MATCH(G$1,enemy_skill_triggers!$1:$1,0)-MATCH($F$1,enemy_skill_triggers!$1:$1,0)+1,FALSE)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2" s="48">
        <f ca="1">VLOOKUP($F132,OFFSET(enemy_skill_triggers!$A$1,0,0,COUNTA(enemy_skill_triggers!$A:$A),MATCH(H$1,enemy_skill_triggers!$1:$1,0)-MATCH($F$1,enemy_skill_triggers!$1:$1,0)+1),MATCH(H$1,enemy_skill_triggers!$1:$1,0)-MATCH($F$1,enemy_skill_triggers!$1:$1,0)+1,FALSE)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32" s="48">
        <f ca="1">VLOOKUP($F132,OFFSET(enemy_skill_triggers!$A$1,0,0,COUNTA(enemy_skill_triggers!$A:$A),MATCH(I$1,enemy_skill_triggers!$1:$1,0)-MATCH($F$1,enemy_skill_triggers!$1:$1,0)+1),MATCH(I$1,enemy_skill_triggers!$1:$1,0)-MATCH($F$1,enemy_skill_triggers!$1:$1,0)+1,FALSE)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2" s="48" t="str">
        <f ca="1">VLOOKUP($F132,OFFSET(enemy_skill_triggers!$A$1,0,0,COUNTA(enemy_skill_triggers!$A:$A),MATCH(J$1,enemy_skill_triggers!$1:$1,0)-MATCH($F$1,enemy_skill_triggers!$1:$1,0)+1),MATCH(J$1,enemy_skill_triggers!$1:$1,0)-MATCH($F$1,enemy_skill_triggers!$1:$1,0)+1,FALSE)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2" s="48" t="str">
        <f ca="1">VLOOKUP($F132,OFFSET(enemy_skill_triggers!$A$1,0,0,COUNTA(enemy_skill_triggers!$A:$A),MATCH(K$1,enemy_skill_triggers!$1:$1,0)-MATCH($F$1,enemy_skill_triggers!$1:$1,0)+1),MATCH(K$1,enemy_skill_triggers!$1:$1,0)-MATCH($F$1,enemy_skill_triggers!$1:$1,0)+1,FALSE)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2" s="48">
        <f ca="1">VLOOKUP($F132,OFFSET(enemy_skill_triggers!$A$1,0,0,COUNTA(enemy_skill_triggers!$A:$A),MATCH(L$1,enemy_skill_triggers!$1:$1,0)-MATCH($F$1,enemy_skill_triggers!$1:$1,0)+1),MATCH(L$1,enemy_skill_triggers!$1:$1,0)-MATCH($F$1,enemy_skill_triggers!$1:$1,0)+1,FALSE)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2" s="48" t="str">
        <f ca="1">VLOOKUP($F132,OFFSET(enemy_skill_triggers!$A$1,0,0,COUNTA(enemy_skill_triggers!$A:$A),MATCH(M$1,enemy_skill_triggers!$1:$1,0)-MATCH($F$1,enemy_skill_triggers!$1:$1,0)+1),MATCH(M$1,enemy_skill_triggers!$1:$1,0)-MATCH($F$1,enemy_skill_triggers!$1:$1,0)+1,FALSE)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2" s="48">
        <f ca="1">VLOOKUP($F132,OFFSET(enemy_skill_triggers!$A$1,0,0,COUNTA(enemy_skill_triggers!$A:$A),MATCH(N$1,enemy_skill_triggers!$1:$1,0)-MATCH($F$1,enemy_skill_triggers!$1:$1,0)+1),MATCH(N$1,enemy_skill_triggers!$1:$1,0)-MATCH($F$1,enemy_skill_triggers!$1:$1,0)+1,FALSE)</f>
        <v>1363</v>
      </c>
      <c r="O132" s="48">
        <f ca="1">VLOOKUP($F132,OFFSET(enemy_skill_triggers!$A$1,0,0,COUNTA(enemy_skill_triggers!$A:$A),MATCH(O$1,enemy_skill_triggers!$1:$1,0)-MATCH($F$1,enemy_skill_triggers!$1:$1,0)+1),MATCH(O$1,enemy_skill_triggers!$1:$1,0)-MATCH($F$1,enemy_skill_triggers!$1:$1,0)+1,FALSE)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2" s="47"/>
      <c r="Q132" s="47"/>
      <c r="R132" s="47"/>
    </row>
    <row r="133" spans="1:18" ht="21" customHeight="1" x14ac:dyDescent="0.15">
      <c r="A133" s="39" t="str">
        <f t="shared" si="14"/>
        <v>47007206_47007610</v>
      </c>
      <c r="B133" s="47">
        <v>47007206</v>
      </c>
      <c r="C133" s="47">
        <v>47007610</v>
      </c>
      <c r="D133" s="46" t="str">
        <f ca="1">VLOOKUP($C133,OFFSET(enemy_skills!$A$1,0,0,COUNTA(enemy_skills!$A:$A),MATCH(D$1,enemy_skills!$1:$1,0)-MATCH("enemy_skill_id",enemy_skills!$1:$1,0)+1),MATCH(D$1,enemy_skills!$1:$1,0)-MATCH("enemy_skill_id",enemy_skills!$1:$1,0)+1,FALSE)</f>
        <v>あ…受け取って…くれた…？</v>
      </c>
      <c r="E133" s="46" t="str">
        <f ca="1">VLOOKUP($C133,OFFSET(enemy_skills!$A$1,0,0,COUNTA(enemy_skills!$A:$A),MATCH(E$1,enemy_skills!$1:$1,0)-MATCH("enemy_skill_id",enemy_skills!$1:$1,0)+1),MATCH(E$1,enemy_skills!$1:$1,0)-MATCH("enemy_skill_id",enemy_skills!$1:$1,0)+1,FALSE)</f>
        <v>かっ、勘違いしないでよね！？_x000D_これは友チョコ…！ただの友チョコなんだから！</v>
      </c>
      <c r="F133" s="47">
        <v>47007611</v>
      </c>
      <c r="G133" s="48">
        <f ca="1">VLOOKUP($F133,OFFSET(enemy_skill_triggers!$A$1,0,0,COUNTA(enemy_skill_triggers!$A:$A),MATCH(G$1,enemy_skill_triggers!$1:$1,0)-MATCH($F$1,enemy_skill_triggers!$1:$1,0)+1),MATCH(G$1,enemy_skill_triggers!$1:$1,0)-MATCH($F$1,enemy_skill_triggers!$1:$1,0)+1,FALSE)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3" s="48">
        <f ca="1">VLOOKUP($F133,OFFSET(enemy_skill_triggers!$A$1,0,0,COUNTA(enemy_skill_triggers!$A:$A),MATCH(H$1,enemy_skill_triggers!$1:$1,0)-MATCH($F$1,enemy_skill_triggers!$1:$1,0)+1),MATCH(H$1,enemy_skill_triggers!$1:$1,0)-MATCH($F$1,enemy_skill_triggers!$1:$1,0)+1,FALSE)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33" s="48">
        <f ca="1">VLOOKUP($F133,OFFSET(enemy_skill_triggers!$A$1,0,0,COUNTA(enemy_skill_triggers!$A:$A),MATCH(I$1,enemy_skill_triggers!$1:$1,0)-MATCH($F$1,enemy_skill_triggers!$1:$1,0)+1),MATCH(I$1,enemy_skill_triggers!$1:$1,0)-MATCH($F$1,enemy_skill_triggers!$1:$1,0)+1,FALSE)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3" s="48" t="str">
        <f ca="1">VLOOKUP($F133,OFFSET(enemy_skill_triggers!$A$1,0,0,COUNTA(enemy_skill_triggers!$A:$A),MATCH(J$1,enemy_skill_triggers!$1:$1,0)-MATCH($F$1,enemy_skill_triggers!$1:$1,0)+1),MATCH(J$1,enemy_skill_triggers!$1:$1,0)-MATCH($F$1,enemy_skill_triggers!$1:$1,0)+1,FALSE)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3" s="48" t="str">
        <f ca="1">VLOOKUP($F133,OFFSET(enemy_skill_triggers!$A$1,0,0,COUNTA(enemy_skill_triggers!$A:$A),MATCH(K$1,enemy_skill_triggers!$1:$1,0)-MATCH($F$1,enemy_skill_triggers!$1:$1,0)+1),MATCH(K$1,enemy_skill_triggers!$1:$1,0)-MATCH($F$1,enemy_skill_triggers!$1:$1,0)+1,FALSE)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3" s="48">
        <f ca="1">VLOOKUP($F133,OFFSET(enemy_skill_triggers!$A$1,0,0,COUNTA(enemy_skill_triggers!$A:$A),MATCH(L$1,enemy_skill_triggers!$1:$1,0)-MATCH($F$1,enemy_skill_triggers!$1:$1,0)+1),MATCH(L$1,enemy_skill_triggers!$1:$1,0)-MATCH($F$1,enemy_skill_triggers!$1:$1,0)+1,FALSE)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3" s="48" t="str">
        <f ca="1">VLOOKUP($F133,OFFSET(enemy_skill_triggers!$A$1,0,0,COUNTA(enemy_skill_triggers!$A:$A),MATCH(M$1,enemy_skill_triggers!$1:$1,0)-MATCH($F$1,enemy_skill_triggers!$1:$1,0)+1),MATCH(M$1,enemy_skill_triggers!$1:$1,0)-MATCH($F$1,enemy_skill_triggers!$1:$1,0)+1,FALSE)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3" s="48">
        <f ca="1">VLOOKUP($F133,OFFSET(enemy_skill_triggers!$A$1,0,0,COUNTA(enemy_skill_triggers!$A:$A),MATCH(N$1,enemy_skill_triggers!$1:$1,0)-MATCH($F$1,enemy_skill_triggers!$1:$1,0)+1),MATCH(N$1,enemy_skill_triggers!$1:$1,0)-MATCH($F$1,enemy_skill_triggers!$1:$1,0)+1,FALSE)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133" s="48">
        <f ca="1">VLOOKUP($F133,OFFSET(enemy_skill_triggers!$A$1,0,0,COUNTA(enemy_skill_triggers!$A:$A),MATCH(O$1,enemy_skill_triggers!$1:$1,0)-MATCH($F$1,enemy_skill_triggers!$1:$1,0)+1),MATCH(O$1,enemy_skill_triggers!$1:$1,0)-MATCH($F$1,enemy_skill_triggers!$1:$1,0)+1,FALSE)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3" s="47"/>
      <c r="Q133" s="47"/>
      <c r="R133" s="47"/>
    </row>
    <row r="134" spans="1:18" ht="21" customHeight="1" x14ac:dyDescent="0.15">
      <c r="A134" s="39" t="str">
        <f t="shared" ref="A134:A172" si="16">B134&amp;"_"&amp;C134</f>
        <v>47007206_47007610</v>
      </c>
      <c r="B134" s="47">
        <v>47007206</v>
      </c>
      <c r="C134" s="47">
        <v>47007610</v>
      </c>
      <c r="D134" s="46" t="str">
        <f ca="1">VLOOKUP($C134,OFFSET(enemy_skills!$A$1,0,0,COUNTA(enemy_skills!$A:$A),MATCH(D$1,enemy_skills!$1:$1,0)-MATCH("enemy_skill_id",enemy_skills!$1:$1,0)+1),MATCH(D$1,enemy_skills!$1:$1,0)-MATCH("enemy_skill_id",enemy_skills!$1:$1,0)+1,FALSE)</f>
        <v>あ…受け取って…くれた…？</v>
      </c>
      <c r="E134" s="46" t="str">
        <f ca="1">VLOOKUP($C134,OFFSET(enemy_skills!$A$1,0,0,COUNTA(enemy_skills!$A:$A),MATCH(E$1,enemy_skills!$1:$1,0)-MATCH("enemy_skill_id",enemy_skills!$1:$1,0)+1),MATCH(E$1,enemy_skills!$1:$1,0)-MATCH("enemy_skill_id",enemy_skills!$1:$1,0)+1,FALSE)</f>
        <v>かっ、勘違いしないでよね！？_x000D_これは友チョコ…！ただの友チョコなんだから！</v>
      </c>
      <c r="F134" s="47">
        <v>47007612</v>
      </c>
      <c r="G134" s="48">
        <f ca="1">VLOOKUP($F134,OFFSET(enemy_skill_triggers!$A$1,0,0,COUNTA(enemy_skill_triggers!$A:$A),MATCH(G$1,enemy_skill_triggers!$1:$1,0)-MATCH($F$1,enemy_skill_triggers!$1:$1,0)+1),MATCH(G$1,enemy_skill_triggers!$1:$1,0)-MATCH($F$1,enemy_skill_triggers!$1:$1,0)+1,FALSE)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4" s="48">
        <f ca="1">VLOOKUP($F134,OFFSET(enemy_skill_triggers!$A$1,0,0,COUNTA(enemy_skill_triggers!$A:$A),MATCH(H$1,enemy_skill_triggers!$1:$1,0)-MATCH($F$1,enemy_skill_triggers!$1:$1,0)+1),MATCH(H$1,enemy_skill_triggers!$1:$1,0)-MATCH($F$1,enemy_skill_triggers!$1:$1,0)+1,FALSE)</f>
        <v>299</v>
      </c>
      <c r="I134" s="48">
        <f ca="1">VLOOKUP($F134,OFFSET(enemy_skill_triggers!$A$1,0,0,COUNTA(enemy_skill_triggers!$A:$A),MATCH(I$1,enemy_skill_triggers!$1:$1,0)-MATCH($F$1,enemy_skill_triggers!$1:$1,0)+1),MATCH(I$1,enemy_skill_triggers!$1:$1,0)-MATCH($F$1,enemy_skill_triggers!$1:$1,0)+1,FALSE)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4" s="48" t="str">
        <f ca="1">VLOOKUP($F134,OFFSET(enemy_skill_triggers!$A$1,0,0,COUNTA(enemy_skill_triggers!$A:$A),MATCH(J$1,enemy_skill_triggers!$1:$1,0)-MATCH($F$1,enemy_skill_triggers!$1:$1,0)+1),MATCH(J$1,enemy_skill_triggers!$1:$1,0)-MATCH($F$1,enemy_skill_triggers!$1:$1,0)+1,FALSE)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4" s="48" t="str">
        <f ca="1">VLOOKUP($F134,OFFSET(enemy_skill_triggers!$A$1,0,0,COUNTA(enemy_skill_triggers!$A:$A),MATCH(K$1,enemy_skill_triggers!$1:$1,0)-MATCH($F$1,enemy_skill_triggers!$1:$1,0)+1),MATCH(K$1,enemy_skill_triggers!$1:$1,0)-MATCH($F$1,enemy_skill_triggers!$1:$1,0)+1,FALSE)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4" s="48">
        <f ca="1">VLOOKUP($F134,OFFSET(enemy_skill_triggers!$A$1,0,0,COUNTA(enemy_skill_triggers!$A:$A),MATCH(L$1,enemy_skill_triggers!$1:$1,0)-MATCH($F$1,enemy_skill_triggers!$1:$1,0)+1),MATCH(L$1,enemy_skill_triggers!$1:$1,0)-MATCH($F$1,enemy_skill_triggers!$1:$1,0)+1,FALSE)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4" s="48" t="str">
        <f ca="1">VLOOKUP($F134,OFFSET(enemy_skill_triggers!$A$1,0,0,COUNTA(enemy_skill_triggers!$A:$A),MATCH(M$1,enemy_skill_triggers!$1:$1,0)-MATCH($F$1,enemy_skill_triggers!$1:$1,0)+1),MATCH(M$1,enemy_skill_triggers!$1:$1,0)-MATCH($F$1,enemy_skill_triggers!$1:$1,0)+1,FALSE)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4" s="48">
        <f ca="1">VLOOKUP($F134,OFFSET(enemy_skill_triggers!$A$1,0,0,COUNTA(enemy_skill_triggers!$A:$A),MATCH(N$1,enemy_skill_triggers!$1:$1,0)-MATCH($F$1,enemy_skill_triggers!$1:$1,0)+1),MATCH(N$1,enemy_skill_triggers!$1:$1,0)-MATCH($F$1,enemy_skill_triggers!$1:$1,0)+1,FALSE)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134" s="48">
        <f ca="1">VLOOKUP($F134,OFFSET(enemy_skill_triggers!$A$1,0,0,COUNTA(enemy_skill_triggers!$A:$A),MATCH(O$1,enemy_skill_triggers!$1:$1,0)-MATCH($F$1,enemy_skill_triggers!$1:$1,0)+1),MATCH(O$1,enemy_skill_triggers!$1:$1,0)-MATCH($F$1,enemy_skill_triggers!$1:$1,0)+1,FALSE)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4" s="47"/>
      <c r="Q134" s="47"/>
      <c r="R134" s="47"/>
    </row>
    <row r="135" spans="1:18" ht="21" customHeight="1" x14ac:dyDescent="0.15">
      <c r="A135" s="39" t="str">
        <f t="shared" si="16"/>
        <v>47007206_47007610</v>
      </c>
      <c r="B135" s="47">
        <v>47007206</v>
      </c>
      <c r="C135" s="47">
        <v>47007610</v>
      </c>
      <c r="D135" s="46" t="str">
        <f ca="1">VLOOKUP($C135,OFFSET(enemy_skills!$A$1,0,0,COUNTA(enemy_skills!$A:$A),MATCH(D$1,enemy_skills!$1:$1,0)-MATCH("enemy_skill_id",enemy_skills!$1:$1,0)+1),MATCH(D$1,enemy_skills!$1:$1,0)-MATCH("enemy_skill_id",enemy_skills!$1:$1,0)+1,FALSE)</f>
        <v>あ…受け取って…くれた…？</v>
      </c>
      <c r="E135" s="46" t="str">
        <f ca="1">VLOOKUP($C135,OFFSET(enemy_skills!$A$1,0,0,COUNTA(enemy_skills!$A:$A),MATCH(E$1,enemy_skills!$1:$1,0)-MATCH("enemy_skill_id",enemy_skills!$1:$1,0)+1),MATCH(E$1,enemy_skills!$1:$1,0)-MATCH("enemy_skill_id",enemy_skills!$1:$1,0)+1,FALSE)</f>
        <v>かっ、勘違いしないでよね！？_x000D_これは友チョコ…！ただの友チョコなんだから！</v>
      </c>
      <c r="F135" s="47">
        <v>47007613</v>
      </c>
      <c r="G135" s="48">
        <f ca="1">VLOOKUP($F135,OFFSET(enemy_skill_triggers!$A$1,0,0,COUNTA(enemy_skill_triggers!$A:$A),MATCH(G$1,enemy_skill_triggers!$1:$1,0)-MATCH($F$1,enemy_skill_triggers!$1:$1,0)+1),MATCH(G$1,enemy_skill_triggers!$1:$1,0)-MATCH($F$1,enemy_skill_triggers!$1:$1,0)+1,FALSE)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5" s="48">
        <f ca="1">VLOOKUP($F135,OFFSET(enemy_skill_triggers!$A$1,0,0,COUNTA(enemy_skill_triggers!$A:$A),MATCH(H$1,enemy_skill_triggers!$1:$1,0)-MATCH($F$1,enemy_skill_triggers!$1:$1,0)+1),MATCH(H$1,enemy_skill_triggers!$1:$1,0)-MATCH($F$1,enemy_skill_triggers!$1:$1,0)+1,FALSE)</f>
        <v>298</v>
      </c>
      <c r="I135" s="48">
        <f ca="1">VLOOKUP($F135,OFFSET(enemy_skill_triggers!$A$1,0,0,COUNTA(enemy_skill_triggers!$A:$A),MATCH(I$1,enemy_skill_triggers!$1:$1,0)-MATCH($F$1,enemy_skill_triggers!$1:$1,0)+1),MATCH(I$1,enemy_skill_triggers!$1:$1,0)-MATCH($F$1,enemy_skill_triggers!$1:$1,0)+1,FALSE)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5" s="48" t="str">
        <f ca="1">VLOOKUP($F135,OFFSET(enemy_skill_triggers!$A$1,0,0,COUNTA(enemy_skill_triggers!$A:$A),MATCH(J$1,enemy_skill_triggers!$1:$1,0)-MATCH($F$1,enemy_skill_triggers!$1:$1,0)+1),MATCH(J$1,enemy_skill_triggers!$1:$1,0)-MATCH($F$1,enemy_skill_triggers!$1:$1,0)+1,FALSE)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5" s="48" t="str">
        <f ca="1">VLOOKUP($F135,OFFSET(enemy_skill_triggers!$A$1,0,0,COUNTA(enemy_skill_triggers!$A:$A),MATCH(K$1,enemy_skill_triggers!$1:$1,0)-MATCH($F$1,enemy_skill_triggers!$1:$1,0)+1),MATCH(K$1,enemy_skill_triggers!$1:$1,0)-MATCH($F$1,enemy_skill_triggers!$1:$1,0)+1,FALSE)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5" s="48">
        <f ca="1">VLOOKUP($F135,OFFSET(enemy_skill_triggers!$A$1,0,0,COUNTA(enemy_skill_triggers!$A:$A),MATCH(L$1,enemy_skill_triggers!$1:$1,0)-MATCH($F$1,enemy_skill_triggers!$1:$1,0)+1),MATCH(L$1,enemy_skill_triggers!$1:$1,0)-MATCH($F$1,enemy_skill_triggers!$1:$1,0)+1,FALSE)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5" s="48" t="str">
        <f ca="1">VLOOKUP($F135,OFFSET(enemy_skill_triggers!$A$1,0,0,COUNTA(enemy_skill_triggers!$A:$A),MATCH(M$1,enemy_skill_triggers!$1:$1,0)-MATCH($F$1,enemy_skill_triggers!$1:$1,0)+1),MATCH(M$1,enemy_skill_triggers!$1:$1,0)-MATCH($F$1,enemy_skill_triggers!$1:$1,0)+1,FALSE)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5" s="48">
        <f ca="1">VLOOKUP($F135,OFFSET(enemy_skill_triggers!$A$1,0,0,COUNTA(enemy_skill_triggers!$A:$A),MATCH(N$1,enemy_skill_triggers!$1:$1,0)-MATCH($F$1,enemy_skill_triggers!$1:$1,0)+1),MATCH(N$1,enemy_skill_triggers!$1:$1,0)-MATCH($F$1,enemy_skill_triggers!$1:$1,0)+1,FALSE)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135" s="48">
        <f ca="1">VLOOKUP($F135,OFFSET(enemy_skill_triggers!$A$1,0,0,COUNTA(enemy_skill_triggers!$A:$A),MATCH(O$1,enemy_skill_triggers!$1:$1,0)-MATCH($F$1,enemy_skill_triggers!$1:$1,0)+1),MATCH(O$1,enemy_skill_triggers!$1:$1,0)-MATCH($F$1,enemy_skill_triggers!$1:$1,0)+1,FALSE)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5" s="47"/>
      <c r="Q135" s="47"/>
      <c r="R135" s="47"/>
    </row>
    <row r="136" spans="1:18" ht="21" customHeight="1" x14ac:dyDescent="0.15">
      <c r="A136" s="39" t="str">
        <f t="shared" si="16"/>
        <v>47007206_47007610</v>
      </c>
      <c r="B136" s="47">
        <v>47007206</v>
      </c>
      <c r="C136" s="47">
        <v>47007610</v>
      </c>
      <c r="D136" s="46" t="str">
        <f ca="1">VLOOKUP($C136,OFFSET(enemy_skills!$A$1,0,0,COUNTA(enemy_skills!$A:$A),MATCH(D$1,enemy_skills!$1:$1,0)-MATCH("enemy_skill_id",enemy_skills!$1:$1,0)+1),MATCH(D$1,enemy_skills!$1:$1,0)-MATCH("enemy_skill_id",enemy_skills!$1:$1,0)+1,FALSE)</f>
        <v>あ…受け取って…くれた…？</v>
      </c>
      <c r="E136" s="46" t="str">
        <f ca="1">VLOOKUP($C136,OFFSET(enemy_skills!$A$1,0,0,COUNTA(enemy_skills!$A:$A),MATCH(E$1,enemy_skills!$1:$1,0)-MATCH("enemy_skill_id",enemy_skills!$1:$1,0)+1),MATCH(E$1,enemy_skills!$1:$1,0)-MATCH("enemy_skill_id",enemy_skills!$1:$1,0)+1,FALSE)</f>
        <v>かっ、勘違いしないでよね！？_x000D_これは友チョコ…！ただの友チョコなんだから！</v>
      </c>
      <c r="F136" s="47">
        <v>47007614</v>
      </c>
      <c r="G136" s="48">
        <f ca="1">VLOOKUP($F136,OFFSET(enemy_skill_triggers!$A$1,0,0,COUNTA(enemy_skill_triggers!$A:$A),MATCH(G$1,enemy_skill_triggers!$1:$1,0)-MATCH($F$1,enemy_skill_triggers!$1:$1,0)+1),MATCH(G$1,enemy_skill_triggers!$1:$1,0)-MATCH($F$1,enemy_skill_triggers!$1:$1,0)+1,FALSE)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6" s="48">
        <f ca="1">VLOOKUP($F136,OFFSET(enemy_skill_triggers!$A$1,0,0,COUNTA(enemy_skill_triggers!$A:$A),MATCH(H$1,enemy_skill_triggers!$1:$1,0)-MATCH($F$1,enemy_skill_triggers!$1:$1,0)+1),MATCH(H$1,enemy_skill_triggers!$1:$1,0)-MATCH($F$1,enemy_skill_triggers!$1:$1,0)+1,FALSE)</f>
        <v>297</v>
      </c>
      <c r="I136" s="48">
        <f ca="1">VLOOKUP($F136,OFFSET(enemy_skill_triggers!$A$1,0,0,COUNTA(enemy_skill_triggers!$A:$A),MATCH(I$1,enemy_skill_triggers!$1:$1,0)-MATCH($F$1,enemy_skill_triggers!$1:$1,0)+1),MATCH(I$1,enemy_skill_triggers!$1:$1,0)-MATCH($F$1,enemy_skill_triggers!$1:$1,0)+1,FALSE)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6" s="48" t="str">
        <f ca="1">VLOOKUP($F136,OFFSET(enemy_skill_triggers!$A$1,0,0,COUNTA(enemy_skill_triggers!$A:$A),MATCH(J$1,enemy_skill_triggers!$1:$1,0)-MATCH($F$1,enemy_skill_triggers!$1:$1,0)+1),MATCH(J$1,enemy_skill_triggers!$1:$1,0)-MATCH($F$1,enemy_skill_triggers!$1:$1,0)+1,FALSE)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6" s="48" t="str">
        <f ca="1">VLOOKUP($F136,OFFSET(enemy_skill_triggers!$A$1,0,0,COUNTA(enemy_skill_triggers!$A:$A),MATCH(K$1,enemy_skill_triggers!$1:$1,0)-MATCH($F$1,enemy_skill_triggers!$1:$1,0)+1),MATCH(K$1,enemy_skill_triggers!$1:$1,0)-MATCH($F$1,enemy_skill_triggers!$1:$1,0)+1,FALSE)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6" s="48">
        <f ca="1">VLOOKUP($F136,OFFSET(enemy_skill_triggers!$A$1,0,0,COUNTA(enemy_skill_triggers!$A:$A),MATCH(L$1,enemy_skill_triggers!$1:$1,0)-MATCH($F$1,enemy_skill_triggers!$1:$1,0)+1),MATCH(L$1,enemy_skill_triggers!$1:$1,0)-MATCH($F$1,enemy_skill_triggers!$1:$1,0)+1,FALSE)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6" s="48" t="str">
        <f ca="1">VLOOKUP($F136,OFFSET(enemy_skill_triggers!$A$1,0,0,COUNTA(enemy_skill_triggers!$A:$A),MATCH(M$1,enemy_skill_triggers!$1:$1,0)-MATCH($F$1,enemy_skill_triggers!$1:$1,0)+1),MATCH(M$1,enemy_skill_triggers!$1:$1,0)-MATCH($F$1,enemy_skill_triggers!$1:$1,0)+1,FALSE)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6" s="48">
        <f ca="1">VLOOKUP($F136,OFFSET(enemy_skill_triggers!$A$1,0,0,COUNTA(enemy_skill_triggers!$A:$A),MATCH(N$1,enemy_skill_triggers!$1:$1,0)-MATCH($F$1,enemy_skill_triggers!$1:$1,0)+1),MATCH(N$1,enemy_skill_triggers!$1:$1,0)-MATCH($F$1,enemy_skill_triggers!$1:$1,0)+1,FALSE)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136" s="48">
        <f ca="1">VLOOKUP($F136,OFFSET(enemy_skill_triggers!$A$1,0,0,COUNTA(enemy_skill_triggers!$A:$A),MATCH(O$1,enemy_skill_triggers!$1:$1,0)-MATCH($F$1,enemy_skill_triggers!$1:$1,0)+1),MATCH(O$1,enemy_skill_triggers!$1:$1,0)-MATCH($F$1,enemy_skill_triggers!$1:$1,0)+1,FALSE)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6" s="47"/>
      <c r="Q136" s="47"/>
      <c r="R136" s="47"/>
    </row>
    <row r="137" spans="1:18" ht="21" customHeight="1" thickBot="1" x14ac:dyDescent="0.2">
      <c r="A137" s="125" t="str">
        <f t="shared" si="16"/>
        <v>47007206_47007610</v>
      </c>
      <c r="B137" s="108">
        <v>47007206</v>
      </c>
      <c r="C137" s="108">
        <v>47007610</v>
      </c>
      <c r="D137" s="126" t="str">
        <f ca="1">VLOOKUP($C137,OFFSET(enemy_skills!$A$1,0,0,COUNTA(enemy_skills!$A:$A),MATCH(D$1,enemy_skills!$1:$1,0)-MATCH("enemy_skill_id",enemy_skills!$1:$1,0)+1),MATCH(D$1,enemy_skills!$1:$1,0)-MATCH("enemy_skill_id",enemy_skills!$1:$1,0)+1,FALSE)</f>
        <v>あ…受け取って…くれた…？</v>
      </c>
      <c r="E137" s="126" t="str">
        <f ca="1">VLOOKUP($C137,OFFSET(enemy_skills!$A$1,0,0,COUNTA(enemy_skills!$A:$A),MATCH(E$1,enemy_skills!$1:$1,0)-MATCH("enemy_skill_id",enemy_skills!$1:$1,0)+1),MATCH(E$1,enemy_skills!$1:$1,0)-MATCH("enemy_skill_id",enemy_skills!$1:$1,0)+1,FALSE)</f>
        <v>かっ、勘違いしないでよね！？_x000D_これは友チョコ…！ただの友チョコなんだから！</v>
      </c>
      <c r="F137" s="108">
        <v>47007615</v>
      </c>
      <c r="G137" s="111">
        <f ca="1">VLOOKUP($F137,OFFSET(enemy_skill_triggers!$A$1,0,0,COUNTA(enemy_skill_triggers!$A:$A),MATCH(G$1,enemy_skill_triggers!$1:$1,0)-MATCH($F$1,enemy_skill_triggers!$1:$1,0)+1),MATCH(G$1,enemy_skill_triggers!$1:$1,0)-MATCH($F$1,enemy_skill_triggers!$1:$1,0)+1,FALSE)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7" s="111">
        <f ca="1">VLOOKUP($F137,OFFSET(enemy_skill_triggers!$A$1,0,0,COUNTA(enemy_skill_triggers!$A:$A),MATCH(H$1,enemy_skill_triggers!$1:$1,0)-MATCH($F$1,enemy_skill_triggers!$1:$1,0)+1),MATCH(H$1,enemy_skill_triggers!$1:$1,0)-MATCH($F$1,enemy_skill_triggers!$1:$1,0)+1,FALSE)</f>
        <v>296</v>
      </c>
      <c r="I137" s="111">
        <f ca="1">VLOOKUP($F137,OFFSET(enemy_skill_triggers!$A$1,0,0,COUNTA(enemy_skill_triggers!$A:$A),MATCH(I$1,enemy_skill_triggers!$1:$1,0)-MATCH($F$1,enemy_skill_triggers!$1:$1,0)+1),MATCH(I$1,enemy_skill_triggers!$1:$1,0)-MATCH($F$1,enemy_skill_triggers!$1:$1,0)+1,FALSE)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7" s="111" t="str">
        <f ca="1">VLOOKUP($F137,OFFSET(enemy_skill_triggers!$A$1,0,0,COUNTA(enemy_skill_triggers!$A:$A),MATCH(J$1,enemy_skill_triggers!$1:$1,0)-MATCH($F$1,enemy_skill_triggers!$1:$1,0)+1),MATCH(J$1,enemy_skill_triggers!$1:$1,0)-MATCH($F$1,enemy_skill_triggers!$1:$1,0)+1,FALSE)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7" s="111" t="str">
        <f ca="1">VLOOKUP($F137,OFFSET(enemy_skill_triggers!$A$1,0,0,COUNTA(enemy_skill_triggers!$A:$A),MATCH(K$1,enemy_skill_triggers!$1:$1,0)-MATCH($F$1,enemy_skill_triggers!$1:$1,0)+1),MATCH(K$1,enemy_skill_triggers!$1:$1,0)-MATCH($F$1,enemy_skill_triggers!$1:$1,0)+1,FALSE)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7" s="111">
        <f ca="1">VLOOKUP($F137,OFFSET(enemy_skill_triggers!$A$1,0,0,COUNTA(enemy_skill_triggers!$A:$A),MATCH(L$1,enemy_skill_triggers!$1:$1,0)-MATCH($F$1,enemy_skill_triggers!$1:$1,0)+1),MATCH(L$1,enemy_skill_triggers!$1:$1,0)-MATCH($F$1,enemy_skill_triggers!$1:$1,0)+1,FALSE)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7" s="111" t="str">
        <f ca="1">VLOOKUP($F137,OFFSET(enemy_skill_triggers!$A$1,0,0,COUNTA(enemy_skill_triggers!$A:$A),MATCH(M$1,enemy_skill_triggers!$1:$1,0)-MATCH($F$1,enemy_skill_triggers!$1:$1,0)+1),MATCH(M$1,enemy_skill_triggers!$1:$1,0)-MATCH($F$1,enemy_skill_triggers!$1:$1,0)+1,FALSE)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7" s="111">
        <f ca="1">VLOOKUP($F137,OFFSET(enemy_skill_triggers!$A$1,0,0,COUNTA(enemy_skill_triggers!$A:$A),MATCH(N$1,enemy_skill_triggers!$1:$1,0)-MATCH($F$1,enemy_skill_triggers!$1:$1,0)+1),MATCH(N$1,enemy_skill_triggers!$1:$1,0)-MATCH($F$1,enemy_skill_triggers!$1:$1,0)+1,FALSE)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137" s="111">
        <f ca="1">VLOOKUP($F137,OFFSET(enemy_skill_triggers!$A$1,0,0,COUNTA(enemy_skill_triggers!$A:$A),MATCH(O$1,enemy_skill_triggers!$1:$1,0)-MATCH($F$1,enemy_skill_triggers!$1:$1,0)+1),MATCH(O$1,enemy_skill_triggers!$1:$1,0)-MATCH($F$1,enemy_skill_triggers!$1:$1,0)+1,FALSE)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7" s="108"/>
      <c r="Q137" s="108"/>
      <c r="R137" s="108"/>
    </row>
    <row r="138" spans="1:18" ht="21" customHeight="1" x14ac:dyDescent="0.15">
      <c r="A138" s="39" t="str">
        <f t="shared" si="16"/>
        <v>47007114_47007481</v>
      </c>
      <c r="B138" s="169">
        <v>47007114</v>
      </c>
      <c r="C138" s="169">
        <v>47007481</v>
      </c>
      <c r="D138" s="46" t="str">
        <f ca="1">VLOOKUP($C138,OFFSET(enemy_skills!$A$1,0,0,COUNTA(enemy_skills!$A:$A),MATCH(D$1,enemy_skills!$1:$1,0)-MATCH("enemy_skill_id",enemy_skills!$1:$1,0)+1),MATCH(D$1,enemy_skills!$1:$1,0)-MATCH("enemy_skill_id",enemy_skills!$1:$1,0)+1,FALSE)</f>
        <v>きっ、来たわね！！_x000D_…今度こそ！！</v>
      </c>
      <c r="E138" s="46" t="str">
        <f ca="1">VLOOKUP($C138,OFFSET(enemy_skills!$A$1,0,0,COUNTA(enemy_skills!$A:$A),MATCH(E$1,enemy_skills!$1:$1,0)-MATCH("enemy_skill_id",enemy_skills!$1:$1,0)+1),MATCH(E$1,enemy_skills!$1:$1,0)-MATCH("enemy_skill_id",enemy_skills!$1:$1,0)+1,FALSE)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138" s="180">
        <v>47007401</v>
      </c>
      <c r="G138" s="48">
        <f ca="1">VLOOKUP($F138,OFFSET(enemy_skill_triggers!$A$1,0,0,COUNTA(enemy_skill_triggers!$A:$A),MATCH(G$1,enemy_skill_triggers!$1:$1,0)-MATCH($F$1,enemy_skill_triggers!$1:$1,0)+1),MATCH(G$1,enemy_skill_triggers!$1:$1,0)-MATCH($F$1,enemy_skill_triggers!$1:$1,0)+1,FALSE)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8" s="48" t="str">
        <f ca="1">VLOOKUP($F138,OFFSET(enemy_skill_triggers!$A$1,0,0,COUNTA(enemy_skill_triggers!$A:$A),MATCH(H$1,enemy_skill_triggers!$1:$1,0)-MATCH($F$1,enemy_skill_triggers!$1:$1,0)+1),MATCH(H$1,enemy_skill_triggers!$1:$1,0)-MATCH($F$1,enemy_skill_triggers!$1:$1,0)+1,FALSE)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8" s="48">
        <f ca="1">VLOOKUP($F138,OFFSET(enemy_skill_triggers!$A$1,0,0,COUNTA(enemy_skill_triggers!$A:$A),MATCH(I$1,enemy_skill_triggers!$1:$1,0)-MATCH($F$1,enemy_skill_triggers!$1:$1,0)+1),MATCH(I$1,enemy_skill_triggers!$1:$1,0)-MATCH($F$1,enemy_skill_triggers!$1:$1,0)+1,FALSE)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8" s="48" t="str">
        <f ca="1">VLOOKUP($F138,OFFSET(enemy_skill_triggers!$A$1,0,0,COUNTA(enemy_skill_triggers!$A:$A),MATCH(J$1,enemy_skill_triggers!$1:$1,0)-MATCH($F$1,enemy_skill_triggers!$1:$1,0)+1),MATCH(J$1,enemy_skill_triggers!$1:$1,0)-MATCH($F$1,enemy_skill_triggers!$1:$1,0)+1,FALSE)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8" s="48" t="str">
        <f ca="1">VLOOKUP($F138,OFFSET(enemy_skill_triggers!$A$1,0,0,COUNTA(enemy_skill_triggers!$A:$A),MATCH(K$1,enemy_skill_triggers!$1:$1,0)-MATCH($F$1,enemy_skill_triggers!$1:$1,0)+1),MATCH(K$1,enemy_skill_triggers!$1:$1,0)-MATCH($F$1,enemy_skill_triggers!$1:$1,0)+1,FALSE)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8" s="48">
        <f ca="1">VLOOKUP($F138,OFFSET(enemy_skill_triggers!$A$1,0,0,COUNTA(enemy_skill_triggers!$A:$A),MATCH(L$1,enemy_skill_triggers!$1:$1,0)-MATCH($F$1,enemy_skill_triggers!$1:$1,0)+1),MATCH(L$1,enemy_skill_triggers!$1:$1,0)-MATCH($F$1,enemy_skill_triggers!$1:$1,0)+1,FALSE)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8" s="48" t="str">
        <f ca="1">VLOOKUP($F138,OFFSET(enemy_skill_triggers!$A$1,0,0,COUNTA(enemy_skill_triggers!$A:$A),MATCH(M$1,enemy_skill_triggers!$1:$1,0)-MATCH($F$1,enemy_skill_triggers!$1:$1,0)+1),MATCH(M$1,enemy_skill_triggers!$1:$1,0)-MATCH($F$1,enemy_skill_triggers!$1:$1,0)+1,FALSE)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8" s="48" t="str">
        <f ca="1">VLOOKUP($F138,OFFSET(enemy_skill_triggers!$A$1,0,0,COUNTA(enemy_skill_triggers!$A:$A),MATCH(N$1,enemy_skill_triggers!$1:$1,0)-MATCH($F$1,enemy_skill_triggers!$1:$1,0)+1),MATCH(N$1,enemy_skill_triggers!$1:$1,0)-MATCH($F$1,enemy_skill_triggers!$1:$1,0)+1,FALSE)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8" s="48">
        <f ca="1">VLOOKUP($F138,OFFSET(enemy_skill_triggers!$A$1,0,0,COUNTA(enemy_skill_triggers!$A:$A),MATCH(O$1,enemy_skill_triggers!$1:$1,0)-MATCH($F$1,enemy_skill_triggers!$1:$1,0)+1),MATCH(O$1,enemy_skill_triggers!$1:$1,0)-MATCH($F$1,enemy_skill_triggers!$1:$1,0)+1,FALSE)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8" s="47"/>
      <c r="Q138" s="47"/>
      <c r="R138" s="47"/>
    </row>
    <row r="139" spans="1:18" ht="21" customHeight="1" x14ac:dyDescent="0.15">
      <c r="A139" s="39" t="str">
        <f t="shared" si="16"/>
        <v>47007114_47007482</v>
      </c>
      <c r="B139" s="169">
        <v>47007114</v>
      </c>
      <c r="C139" s="171">
        <v>47007482</v>
      </c>
      <c r="D139" s="46" t="str">
        <f ca="1">VLOOKUP($C139,OFFSET(enemy_skills!$A$1,0,0,COUNTA(enemy_skills!$A:$A),MATCH(D$1,enemy_skills!$1:$1,0)-MATCH("enemy_skill_id",enemy_skills!$1:$1,0)+1),MATCH(D$1,enemy_skills!$1:$1,0)-MATCH("enemy_skill_id",enemy_skills!$1:$1,0)+1,FALSE)</f>
        <v>来たわね！[player_name]！_x000D_…今度こそ言うんだ…！</v>
      </c>
      <c r="E139" s="46" t="str">
        <f ca="1">VLOOKUP($C139,OFFSET(enemy_skills!$A$1,0,0,COUNTA(enemy_skills!$A:$A),MATCH(E$1,enemy_skills!$1:$1,0)-MATCH("enemy_skill_id",enemy_skills!$1:$1,0)+1),MATCH(E$1,enemy_skills!$1:$1,0)-MATCH("enemy_skill_id",enemy_skills!$1:$1,0)+1,FALSE)</f>
        <v>青パネルをハートパネルに、黄パネルを赤パネルに変換+_x000D_全ユニットのスキルゲージを4ターン減少！</v>
      </c>
      <c r="F139" s="180">
        <v>47007402</v>
      </c>
      <c r="G139" s="48">
        <f ca="1">VLOOKUP($F139,OFFSET(enemy_skill_triggers!$A$1,0,0,COUNTA(enemy_skill_triggers!$A:$A),MATCH(G$1,enemy_skill_triggers!$1:$1,0)-MATCH($F$1,enemy_skill_triggers!$1:$1,0)+1),MATCH(G$1,enemy_skill_triggers!$1:$1,0)-MATCH($F$1,enemy_skill_triggers!$1:$1,0)+1,FALSE)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9" s="48">
        <f ca="1">VLOOKUP($F139,OFFSET(enemy_skill_triggers!$A$1,0,0,COUNTA(enemy_skill_triggers!$A:$A),MATCH(H$1,enemy_skill_triggers!$1:$1,0)-MATCH($F$1,enemy_skill_triggers!$1:$1,0)+1),MATCH(H$1,enemy_skill_triggers!$1:$1,0)-MATCH($F$1,enemy_skill_triggers!$1:$1,0)+1,FALSE)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39" s="48">
        <f ca="1">VLOOKUP($F139,OFFSET(enemy_skill_triggers!$A$1,0,0,COUNTA(enemy_skill_triggers!$A:$A),MATCH(I$1,enemy_skill_triggers!$1:$1,0)-MATCH($F$1,enemy_skill_triggers!$1:$1,0)+1),MATCH(I$1,enemy_skill_triggers!$1:$1,0)-MATCH($F$1,enemy_skill_triggers!$1:$1,0)+1,FALSE)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9" s="48" t="str">
        <f ca="1">VLOOKUP($F139,OFFSET(enemy_skill_triggers!$A$1,0,0,COUNTA(enemy_skill_triggers!$A:$A),MATCH(J$1,enemy_skill_triggers!$1:$1,0)-MATCH($F$1,enemy_skill_triggers!$1:$1,0)+1),MATCH(J$1,enemy_skill_triggers!$1:$1,0)-MATCH($F$1,enemy_skill_triggers!$1:$1,0)+1,FALSE)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9" s="48" t="str">
        <f ca="1">VLOOKUP($F139,OFFSET(enemy_skill_triggers!$A$1,0,0,COUNTA(enemy_skill_triggers!$A:$A),MATCH(K$1,enemy_skill_triggers!$1:$1,0)-MATCH($F$1,enemy_skill_triggers!$1:$1,0)+1),MATCH(K$1,enemy_skill_triggers!$1:$1,0)-MATCH($F$1,enemy_skill_triggers!$1:$1,0)+1,FALSE)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9" s="48">
        <f ca="1">VLOOKUP($F139,OFFSET(enemy_skill_triggers!$A$1,0,0,COUNTA(enemy_skill_triggers!$A:$A),MATCH(L$1,enemy_skill_triggers!$1:$1,0)-MATCH($F$1,enemy_skill_triggers!$1:$1,0)+1),MATCH(L$1,enemy_skill_triggers!$1:$1,0)-MATCH($F$1,enemy_skill_triggers!$1:$1,0)+1,FALSE)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9" s="48" t="str">
        <f ca="1">VLOOKUP($F139,OFFSET(enemy_skill_triggers!$A$1,0,0,COUNTA(enemy_skill_triggers!$A:$A),MATCH(M$1,enemy_skill_triggers!$1:$1,0)-MATCH($F$1,enemy_skill_triggers!$1:$1,0)+1),MATCH(M$1,enemy_skill_triggers!$1:$1,0)-MATCH($F$1,enemy_skill_triggers!$1:$1,0)+1,FALSE)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9" s="48">
        <f ca="1">VLOOKUP($F139,OFFSET(enemy_skill_triggers!$A$1,0,0,COUNTA(enemy_skill_triggers!$A:$A),MATCH(N$1,enemy_skill_triggers!$1:$1,0)-MATCH($F$1,enemy_skill_triggers!$1:$1,0)+1),MATCH(N$1,enemy_skill_triggers!$1:$1,0)-MATCH($F$1,enemy_skill_triggers!$1:$1,0)+1,FALSE)</f>
        <v>1352</v>
      </c>
      <c r="O139" s="48">
        <f ca="1">VLOOKUP($F139,OFFSET(enemy_skill_triggers!$A$1,0,0,COUNTA(enemy_skill_triggers!$A:$A),MATCH(O$1,enemy_skill_triggers!$1:$1,0)-MATCH($F$1,enemy_skill_triggers!$1:$1,0)+1),MATCH(O$1,enemy_skill_triggers!$1:$1,0)-MATCH($F$1,enemy_skill_triggers!$1:$1,0)+1,FALSE)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9" s="47"/>
      <c r="Q139" s="47"/>
      <c r="R139" s="47"/>
    </row>
    <row r="140" spans="1:18" ht="21" customHeight="1" x14ac:dyDescent="0.15">
      <c r="A140" s="39" t="str">
        <f t="shared" si="16"/>
        <v>47007114_47007482</v>
      </c>
      <c r="B140" s="169">
        <v>47007114</v>
      </c>
      <c r="C140" s="171">
        <v>47007482</v>
      </c>
      <c r="D140" s="46" t="str">
        <f ca="1">VLOOKUP($C140,OFFSET(enemy_skills!$A$1,0,0,COUNTA(enemy_skills!$A:$A),MATCH(D$1,enemy_skills!$1:$1,0)-MATCH("enemy_skill_id",enemy_skills!$1:$1,0)+1),MATCH(D$1,enemy_skills!$1:$1,0)-MATCH("enemy_skill_id",enemy_skills!$1:$1,0)+1,FALSE)</f>
        <v>来たわね！[player_name]！_x000D_…今度こそ言うんだ…！</v>
      </c>
      <c r="E140" s="46" t="str">
        <f ca="1">VLOOKUP($C140,OFFSET(enemy_skills!$A$1,0,0,COUNTA(enemy_skills!$A:$A),MATCH(E$1,enemy_skills!$1:$1,0)-MATCH("enemy_skill_id",enemy_skills!$1:$1,0)+1),MATCH(E$1,enemy_skills!$1:$1,0)-MATCH("enemy_skill_id",enemy_skills!$1:$1,0)+1,FALSE)</f>
        <v>青パネルをハートパネルに、黄パネルを赤パネルに変換+_x000D_全ユニットのスキルゲージを4ターン減少！</v>
      </c>
      <c r="F140" s="180">
        <v>47007403</v>
      </c>
      <c r="G140" s="48">
        <f ca="1">VLOOKUP($F140,OFFSET(enemy_skill_triggers!$A$1,0,0,COUNTA(enemy_skill_triggers!$A:$A),MATCH(G$1,enemy_skill_triggers!$1:$1,0)-MATCH($F$1,enemy_skill_triggers!$1:$1,0)+1),MATCH(G$1,enemy_skill_triggers!$1:$1,0)-MATCH($F$1,enemy_skill_triggers!$1:$1,0)+1,FALSE)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0" s="48">
        <f ca="1">VLOOKUP($F140,OFFSET(enemy_skill_triggers!$A$1,0,0,COUNTA(enemy_skill_triggers!$A:$A),MATCH(H$1,enemy_skill_triggers!$1:$1,0)-MATCH($F$1,enemy_skill_triggers!$1:$1,0)+1),MATCH(H$1,enemy_skill_triggers!$1:$1,0)-MATCH($F$1,enemy_skill_triggers!$1:$1,0)+1,FALSE)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140" s="48">
        <f ca="1">VLOOKUP($F140,OFFSET(enemy_skill_triggers!$A$1,0,0,COUNTA(enemy_skill_triggers!$A:$A),MATCH(I$1,enemy_skill_triggers!$1:$1,0)-MATCH($F$1,enemy_skill_triggers!$1:$1,0)+1),MATCH(I$1,enemy_skill_triggers!$1:$1,0)-MATCH($F$1,enemy_skill_triggers!$1:$1,0)+1,FALSE)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0" s="48" t="str">
        <f ca="1">VLOOKUP($F140,OFFSET(enemy_skill_triggers!$A$1,0,0,COUNTA(enemy_skill_triggers!$A:$A),MATCH(J$1,enemy_skill_triggers!$1:$1,0)-MATCH($F$1,enemy_skill_triggers!$1:$1,0)+1),MATCH(J$1,enemy_skill_triggers!$1:$1,0)-MATCH($F$1,enemy_skill_triggers!$1:$1,0)+1,FALSE)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0" s="48" t="str">
        <f ca="1">VLOOKUP($F140,OFFSET(enemy_skill_triggers!$A$1,0,0,COUNTA(enemy_skill_triggers!$A:$A),MATCH(K$1,enemy_skill_triggers!$1:$1,0)-MATCH($F$1,enemy_skill_triggers!$1:$1,0)+1),MATCH(K$1,enemy_skill_triggers!$1:$1,0)-MATCH($F$1,enemy_skill_triggers!$1:$1,0)+1,FALSE)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0" s="48">
        <f ca="1">VLOOKUP($F140,OFFSET(enemy_skill_triggers!$A$1,0,0,COUNTA(enemy_skill_triggers!$A:$A),MATCH(L$1,enemy_skill_triggers!$1:$1,0)-MATCH($F$1,enemy_skill_triggers!$1:$1,0)+1),MATCH(L$1,enemy_skill_triggers!$1:$1,0)-MATCH($F$1,enemy_skill_triggers!$1:$1,0)+1,FALSE)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0" s="48" t="str">
        <f ca="1">VLOOKUP($F140,OFFSET(enemy_skill_triggers!$A$1,0,0,COUNTA(enemy_skill_triggers!$A:$A),MATCH(M$1,enemy_skill_triggers!$1:$1,0)-MATCH($F$1,enemy_skill_triggers!$1:$1,0)+1),MATCH(M$1,enemy_skill_triggers!$1:$1,0)-MATCH($F$1,enemy_skill_triggers!$1:$1,0)+1,FALSE)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0" s="48">
        <f ca="1">VLOOKUP($F140,OFFSET(enemy_skill_triggers!$A$1,0,0,COUNTA(enemy_skill_triggers!$A:$A),MATCH(N$1,enemy_skill_triggers!$1:$1,0)-MATCH($F$1,enemy_skill_triggers!$1:$1,0)+1),MATCH(N$1,enemy_skill_triggers!$1:$1,0)-MATCH($F$1,enemy_skill_triggers!$1:$1,0)+1,FALSE)</f>
        <v>1353</v>
      </c>
      <c r="O140" s="48">
        <f ca="1">VLOOKUP($F140,OFFSET(enemy_skill_triggers!$A$1,0,0,COUNTA(enemy_skill_triggers!$A:$A),MATCH(O$1,enemy_skill_triggers!$1:$1,0)-MATCH($F$1,enemy_skill_triggers!$1:$1,0)+1),MATCH(O$1,enemy_skill_triggers!$1:$1,0)-MATCH($F$1,enemy_skill_triggers!$1:$1,0)+1,FALSE)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0" s="47"/>
      <c r="Q140" s="47"/>
      <c r="R140" s="47"/>
    </row>
    <row r="141" spans="1:18" ht="21" customHeight="1" x14ac:dyDescent="0.15">
      <c r="A141" s="39" t="str">
        <f t="shared" si="16"/>
        <v>47007114_47007483</v>
      </c>
      <c r="B141" s="169">
        <v>47007114</v>
      </c>
      <c r="C141" s="171">
        <v>47007483</v>
      </c>
      <c r="D141" s="46" t="str">
        <f ca="1">VLOOKUP($C141,OFFSET(enemy_skills!$A$1,0,0,COUNTA(enemy_skills!$A:$A),MATCH(D$1,enemy_skills!$1:$1,0)-MATCH("enemy_skill_id",enemy_skills!$1:$1,0)+1),MATCH(D$1,enemy_skills!$1:$1,0)-MATCH("enemy_skill_id",enemy_skills!$1:$1,0)+1,FALSE)</f>
        <v>うぅっ…[player_name]…！_x000D_まだ早いって…！</v>
      </c>
      <c r="E141" s="46" t="str">
        <f ca="1">VLOOKUP($C141,OFFSET(enemy_skills!$A$1,0,0,COUNTA(enemy_skills!$A:$A),MATCH(E$1,enemy_skills!$1:$1,0)-MATCH("enemy_skill_id",enemy_skills!$1:$1,0)+1),MATCH(E$1,enemy_skills!$1:$1,0)-MATCH("enemy_skill_id",enemy_skills!$1:$1,0)+1,FALSE)</f>
        <v>青パネルをハートパネルに、黄パネルを赤パネルに変換+_x000D_全ユニットのスキルゲージを2ターン減少！</v>
      </c>
      <c r="F141" s="180">
        <v>47007404</v>
      </c>
      <c r="G141" s="48">
        <f ca="1">VLOOKUP($F141,OFFSET(enemy_skill_triggers!$A$1,0,0,COUNTA(enemy_skill_triggers!$A:$A),MATCH(G$1,enemy_skill_triggers!$1:$1,0)-MATCH($F$1,enemy_skill_triggers!$1:$1,0)+1),MATCH(G$1,enemy_skill_triggers!$1:$1,0)-MATCH($F$1,enemy_skill_triggers!$1:$1,0)+1,FALSE)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1" s="48">
        <f ca="1">VLOOKUP($F141,OFFSET(enemy_skill_triggers!$A$1,0,0,COUNTA(enemy_skill_triggers!$A:$A),MATCH(H$1,enemy_skill_triggers!$1:$1,0)-MATCH($F$1,enemy_skill_triggers!$1:$1,0)+1),MATCH(H$1,enemy_skill_triggers!$1:$1,0)-MATCH($F$1,enemy_skill_triggers!$1:$1,0)+1,FALSE)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41" s="48">
        <f ca="1">VLOOKUP($F141,OFFSET(enemy_skill_triggers!$A$1,0,0,COUNTA(enemy_skill_triggers!$A:$A),MATCH(I$1,enemy_skill_triggers!$1:$1,0)-MATCH($F$1,enemy_skill_triggers!$1:$1,0)+1),MATCH(I$1,enemy_skill_triggers!$1:$1,0)-MATCH($F$1,enemy_skill_triggers!$1:$1,0)+1,FALSE)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1" s="48" t="str">
        <f ca="1">VLOOKUP($F141,OFFSET(enemy_skill_triggers!$A$1,0,0,COUNTA(enemy_skill_triggers!$A:$A),MATCH(J$1,enemy_skill_triggers!$1:$1,0)-MATCH($F$1,enemy_skill_triggers!$1:$1,0)+1),MATCH(J$1,enemy_skill_triggers!$1:$1,0)-MATCH($F$1,enemy_skill_triggers!$1:$1,0)+1,FALSE)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1" s="48" t="str">
        <f ca="1">VLOOKUP($F141,OFFSET(enemy_skill_triggers!$A$1,0,0,COUNTA(enemy_skill_triggers!$A:$A),MATCH(K$1,enemy_skill_triggers!$1:$1,0)-MATCH($F$1,enemy_skill_triggers!$1:$1,0)+1),MATCH(K$1,enemy_skill_triggers!$1:$1,0)-MATCH($F$1,enemy_skill_triggers!$1:$1,0)+1,FALSE)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1" s="48">
        <f ca="1">VLOOKUP($F141,OFFSET(enemy_skill_triggers!$A$1,0,0,COUNTA(enemy_skill_triggers!$A:$A),MATCH(L$1,enemy_skill_triggers!$1:$1,0)-MATCH($F$1,enemy_skill_triggers!$1:$1,0)+1),MATCH(L$1,enemy_skill_triggers!$1:$1,0)-MATCH($F$1,enemy_skill_triggers!$1:$1,0)+1,FALSE)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1" s="48" t="str">
        <f ca="1">VLOOKUP($F141,OFFSET(enemy_skill_triggers!$A$1,0,0,COUNTA(enemy_skill_triggers!$A:$A),MATCH(M$1,enemy_skill_triggers!$1:$1,0)-MATCH($F$1,enemy_skill_triggers!$1:$1,0)+1),MATCH(M$1,enemy_skill_triggers!$1:$1,0)-MATCH($F$1,enemy_skill_triggers!$1:$1,0)+1,FALSE)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1" s="48">
        <f ca="1">VLOOKUP($F141,OFFSET(enemy_skill_triggers!$A$1,0,0,COUNTA(enemy_skill_triggers!$A:$A),MATCH(N$1,enemy_skill_triggers!$1:$1,0)-MATCH($F$1,enemy_skill_triggers!$1:$1,0)+1),MATCH(N$1,enemy_skill_triggers!$1:$1,0)-MATCH($F$1,enemy_skill_triggers!$1:$1,0)+1,FALSE)</f>
        <v>1363</v>
      </c>
      <c r="O141" s="48">
        <f ca="1">VLOOKUP($F141,OFFSET(enemy_skill_triggers!$A$1,0,0,COUNTA(enemy_skill_triggers!$A:$A),MATCH(O$1,enemy_skill_triggers!$1:$1,0)-MATCH($F$1,enemy_skill_triggers!$1:$1,0)+1),MATCH(O$1,enemy_skill_triggers!$1:$1,0)-MATCH($F$1,enemy_skill_triggers!$1:$1,0)+1,FALSE)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1" s="47"/>
      <c r="Q141" s="47"/>
      <c r="R141" s="47"/>
    </row>
    <row r="142" spans="1:18" ht="21" customHeight="1" x14ac:dyDescent="0.15">
      <c r="A142" s="39" t="str">
        <f t="shared" si="16"/>
        <v>47007114_47007484</v>
      </c>
      <c r="B142" s="169">
        <v>47007114</v>
      </c>
      <c r="C142" s="171">
        <v>47007484</v>
      </c>
      <c r="D142" s="46" t="str">
        <f ca="1">VLOOKUP($C142,OFFSET(enemy_skills!$A$1,0,0,COUNTA(enemy_skills!$A:$A),MATCH(D$1,enemy_skills!$1:$1,0)-MATCH("enemy_skill_id",enemy_skills!$1:$1,0)+1),MATCH(D$1,enemy_skills!$1:$1,0)-MATCH("enemy_skill_id",enemy_skills!$1:$1,0)+1,FALSE)</f>
        <v>あ、あんた…！_x000D_…ずいぶん楽しそうね？</v>
      </c>
      <c r="E142" s="46" t="str">
        <f ca="1">VLOOKUP($C142,OFFSET(enemy_skills!$A$1,0,0,COUNTA(enemy_skills!$A:$A),MATCH(E$1,enemy_skills!$1:$1,0)-MATCH("enemy_skill_id",enemy_skills!$1:$1,0)+1),MATCH(E$1,enemy_skills!$1:$1,0)-MATCH("enemy_skill_id",enemy_skills!$1:$1,0)+1,FALSE)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142" s="180">
        <v>47007110</v>
      </c>
      <c r="G142" s="48">
        <f ca="1">VLOOKUP($F142,OFFSET(enemy_skill_triggers!$A$1,0,0,COUNTA(enemy_skill_triggers!$A:$A),MATCH(G$1,enemy_skill_triggers!$1:$1,0)-MATCH($F$1,enemy_skill_triggers!$1:$1,0)+1),MATCH(G$1,enemy_skill_triggers!$1:$1,0)-MATCH($F$1,enemy_skill_triggers!$1:$1,0)+1,FALSE)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2" s="48">
        <f ca="1">VLOOKUP($F142,OFFSET(enemy_skill_triggers!$A$1,0,0,COUNTA(enemy_skill_triggers!$A:$A),MATCH(H$1,enemy_skill_triggers!$1:$1,0)-MATCH($F$1,enemy_skill_triggers!$1:$1,0)+1),MATCH(H$1,enemy_skill_triggers!$1:$1,0)-MATCH($F$1,enemy_skill_triggers!$1:$1,0)+1,FALSE)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42" s="48">
        <f ca="1">VLOOKUP($F142,OFFSET(enemy_skill_triggers!$A$1,0,0,COUNTA(enemy_skill_triggers!$A:$A),MATCH(I$1,enemy_skill_triggers!$1:$1,0)-MATCH($F$1,enemy_skill_triggers!$1:$1,0)+1),MATCH(I$1,enemy_skill_triggers!$1:$1,0)-MATCH($F$1,enemy_skill_triggers!$1:$1,0)+1,FALSE)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2" s="48" t="str">
        <f ca="1">VLOOKUP($F142,OFFSET(enemy_skill_triggers!$A$1,0,0,COUNTA(enemy_skill_triggers!$A:$A),MATCH(J$1,enemy_skill_triggers!$1:$1,0)-MATCH($F$1,enemy_skill_triggers!$1:$1,0)+1),MATCH(J$1,enemy_skill_triggers!$1:$1,0)-MATCH($F$1,enemy_skill_triggers!$1:$1,0)+1,FALSE)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2" s="48" t="str">
        <f ca="1">VLOOKUP($F142,OFFSET(enemy_skill_triggers!$A$1,0,0,COUNTA(enemy_skill_triggers!$A:$A),MATCH(K$1,enemy_skill_triggers!$1:$1,0)-MATCH($F$1,enemy_skill_triggers!$1:$1,0)+1),MATCH(K$1,enemy_skill_triggers!$1:$1,0)-MATCH($F$1,enemy_skill_triggers!$1:$1,0)+1,FALSE)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2" s="48">
        <f ca="1">VLOOKUP($F142,OFFSET(enemy_skill_triggers!$A$1,0,0,COUNTA(enemy_skill_triggers!$A:$A),MATCH(L$1,enemy_skill_triggers!$1:$1,0)-MATCH($F$1,enemy_skill_triggers!$1:$1,0)+1),MATCH(L$1,enemy_skill_triggers!$1:$1,0)-MATCH($F$1,enemy_skill_triggers!$1:$1,0)+1,FALSE)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2" s="48" t="str">
        <f ca="1">VLOOKUP($F142,OFFSET(enemy_skill_triggers!$A$1,0,0,COUNTA(enemy_skill_triggers!$A:$A),MATCH(M$1,enemy_skill_triggers!$1:$1,0)-MATCH($F$1,enemy_skill_triggers!$1:$1,0)+1),MATCH(M$1,enemy_skill_triggers!$1:$1,0)-MATCH($F$1,enemy_skill_triggers!$1:$1,0)+1,FALSE)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2" s="48">
        <f ca="1">VLOOKUP($F142,OFFSET(enemy_skill_triggers!$A$1,0,0,COUNTA(enemy_skill_triggers!$A:$A),MATCH(N$1,enemy_skill_triggers!$1:$1,0)-MATCH($F$1,enemy_skill_triggers!$1:$1,0)+1),MATCH(N$1,enemy_skill_triggers!$1:$1,0)-MATCH($F$1,enemy_skill_triggers!$1:$1,0)+1,FALSE)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142" s="48">
        <f ca="1">VLOOKUP($F142,OFFSET(enemy_skill_triggers!$A$1,0,0,COUNTA(enemy_skill_triggers!$A:$A),MATCH(O$1,enemy_skill_triggers!$1:$1,0)-MATCH($F$1,enemy_skill_triggers!$1:$1,0)+1),MATCH(O$1,enemy_skill_triggers!$1:$1,0)-MATCH($F$1,enemy_skill_triggers!$1:$1,0)+1,FALSE)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2" s="47"/>
      <c r="Q142" s="47"/>
      <c r="R142" s="47"/>
    </row>
    <row r="143" spans="1:18" ht="21" customHeight="1" x14ac:dyDescent="0.15">
      <c r="A143" s="39" t="str">
        <f t="shared" si="16"/>
        <v>47007114_47007484</v>
      </c>
      <c r="B143" s="169">
        <v>47007114</v>
      </c>
      <c r="C143" s="171">
        <v>47007484</v>
      </c>
      <c r="D143" s="46" t="str">
        <f ca="1">VLOOKUP($C143,OFFSET(enemy_skills!$A$1,0,0,COUNTA(enemy_skills!$A:$A),MATCH(D$1,enemy_skills!$1:$1,0)-MATCH("enemy_skill_id",enemy_skills!$1:$1,0)+1),MATCH(D$1,enemy_skills!$1:$1,0)-MATCH("enemy_skill_id",enemy_skills!$1:$1,0)+1,FALSE)</f>
        <v>あ、あんた…！_x000D_…ずいぶん楽しそうね？</v>
      </c>
      <c r="E143" s="46" t="str">
        <f ca="1">VLOOKUP($C143,OFFSET(enemy_skills!$A$1,0,0,COUNTA(enemy_skills!$A:$A),MATCH(E$1,enemy_skills!$1:$1,0)-MATCH("enemy_skill_id",enemy_skills!$1:$1,0)+1),MATCH(E$1,enemy_skills!$1:$1,0)-MATCH("enemy_skill_id",enemy_skills!$1:$1,0)+1,FALSE)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143" s="180">
        <v>47007111</v>
      </c>
      <c r="G143" s="48">
        <f ca="1">VLOOKUP($F143,OFFSET(enemy_skill_triggers!$A$1,0,0,COUNTA(enemy_skill_triggers!$A:$A),MATCH(G$1,enemy_skill_triggers!$1:$1,0)-MATCH($F$1,enemy_skill_triggers!$1:$1,0)+1),MATCH(G$1,enemy_skill_triggers!$1:$1,0)-MATCH($F$1,enemy_skill_triggers!$1:$1,0)+1,FALSE)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3" s="48">
        <f ca="1">VLOOKUP($F143,OFFSET(enemy_skill_triggers!$A$1,0,0,COUNTA(enemy_skill_triggers!$A:$A),MATCH(H$1,enemy_skill_triggers!$1:$1,0)-MATCH($F$1,enemy_skill_triggers!$1:$1,0)+1),MATCH(H$1,enemy_skill_triggers!$1:$1,0)-MATCH($F$1,enemy_skill_triggers!$1:$1,0)+1,FALSE)</f>
        <v>299</v>
      </c>
      <c r="I143" s="48">
        <f ca="1">VLOOKUP($F143,OFFSET(enemy_skill_triggers!$A$1,0,0,COUNTA(enemy_skill_triggers!$A:$A),MATCH(I$1,enemy_skill_triggers!$1:$1,0)-MATCH($F$1,enemy_skill_triggers!$1:$1,0)+1),MATCH(I$1,enemy_skill_triggers!$1:$1,0)-MATCH($F$1,enemy_skill_triggers!$1:$1,0)+1,FALSE)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3" s="48" t="str">
        <f ca="1">VLOOKUP($F143,OFFSET(enemy_skill_triggers!$A$1,0,0,COUNTA(enemy_skill_triggers!$A:$A),MATCH(J$1,enemy_skill_triggers!$1:$1,0)-MATCH($F$1,enemy_skill_triggers!$1:$1,0)+1),MATCH(J$1,enemy_skill_triggers!$1:$1,0)-MATCH($F$1,enemy_skill_triggers!$1:$1,0)+1,FALSE)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3" s="48" t="str">
        <f ca="1">VLOOKUP($F143,OFFSET(enemy_skill_triggers!$A$1,0,0,COUNTA(enemy_skill_triggers!$A:$A),MATCH(K$1,enemy_skill_triggers!$1:$1,0)-MATCH($F$1,enemy_skill_triggers!$1:$1,0)+1),MATCH(K$1,enemy_skill_triggers!$1:$1,0)-MATCH($F$1,enemy_skill_triggers!$1:$1,0)+1,FALSE)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3" s="48">
        <f ca="1">VLOOKUP($F143,OFFSET(enemy_skill_triggers!$A$1,0,0,COUNTA(enemy_skill_triggers!$A:$A),MATCH(L$1,enemy_skill_triggers!$1:$1,0)-MATCH($F$1,enemy_skill_triggers!$1:$1,0)+1),MATCH(L$1,enemy_skill_triggers!$1:$1,0)-MATCH($F$1,enemy_skill_triggers!$1:$1,0)+1,FALSE)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3" s="48" t="str">
        <f ca="1">VLOOKUP($F143,OFFSET(enemy_skill_triggers!$A$1,0,0,COUNTA(enemy_skill_triggers!$A:$A),MATCH(M$1,enemy_skill_triggers!$1:$1,0)-MATCH($F$1,enemy_skill_triggers!$1:$1,0)+1),MATCH(M$1,enemy_skill_triggers!$1:$1,0)-MATCH($F$1,enemy_skill_triggers!$1:$1,0)+1,FALSE)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3" s="48">
        <f ca="1">VLOOKUP($F143,OFFSET(enemy_skill_triggers!$A$1,0,0,COUNTA(enemy_skill_triggers!$A:$A),MATCH(N$1,enemy_skill_triggers!$1:$1,0)-MATCH($F$1,enemy_skill_triggers!$1:$1,0)+1),MATCH(N$1,enemy_skill_triggers!$1:$1,0)-MATCH($F$1,enemy_skill_triggers!$1:$1,0)+1,FALSE)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143" s="48">
        <f ca="1">VLOOKUP($F143,OFFSET(enemy_skill_triggers!$A$1,0,0,COUNTA(enemy_skill_triggers!$A:$A),MATCH(O$1,enemy_skill_triggers!$1:$1,0)-MATCH($F$1,enemy_skill_triggers!$1:$1,0)+1),MATCH(O$1,enemy_skill_triggers!$1:$1,0)-MATCH($F$1,enemy_skill_triggers!$1:$1,0)+1,FALSE)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3" s="47"/>
      <c r="Q143" s="47"/>
      <c r="R143" s="47"/>
    </row>
    <row r="144" spans="1:18" ht="21" customHeight="1" x14ac:dyDescent="0.15">
      <c r="A144" s="39" t="str">
        <f t="shared" si="16"/>
        <v>47007114_47007484</v>
      </c>
      <c r="B144" s="169">
        <v>47007114</v>
      </c>
      <c r="C144" s="171">
        <v>47007484</v>
      </c>
      <c r="D144" s="46" t="str">
        <f ca="1">VLOOKUP($C144,OFFSET(enemy_skills!$A$1,0,0,COUNTA(enemy_skills!$A:$A),MATCH(D$1,enemy_skills!$1:$1,0)-MATCH("enemy_skill_id",enemy_skills!$1:$1,0)+1),MATCH(D$1,enemy_skills!$1:$1,0)-MATCH("enemy_skill_id",enemy_skills!$1:$1,0)+1,FALSE)</f>
        <v>あ、あんた…！_x000D_…ずいぶん楽しそうね？</v>
      </c>
      <c r="E144" s="46" t="str">
        <f ca="1">VLOOKUP($C144,OFFSET(enemy_skills!$A$1,0,0,COUNTA(enemy_skills!$A:$A),MATCH(E$1,enemy_skills!$1:$1,0)-MATCH("enemy_skill_id",enemy_skills!$1:$1,0)+1),MATCH(E$1,enemy_skills!$1:$1,0)-MATCH("enemy_skill_id",enemy_skills!$1:$1,0)+1,FALSE)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144" s="180">
        <v>47007112</v>
      </c>
      <c r="G144" s="48">
        <f ca="1">VLOOKUP($F144,OFFSET(enemy_skill_triggers!$A$1,0,0,COUNTA(enemy_skill_triggers!$A:$A),MATCH(G$1,enemy_skill_triggers!$1:$1,0)-MATCH($F$1,enemy_skill_triggers!$1:$1,0)+1),MATCH(G$1,enemy_skill_triggers!$1:$1,0)-MATCH($F$1,enemy_skill_triggers!$1:$1,0)+1,FALSE)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4" s="48">
        <f ca="1">VLOOKUP($F144,OFFSET(enemy_skill_triggers!$A$1,0,0,COUNTA(enemy_skill_triggers!$A:$A),MATCH(H$1,enemy_skill_triggers!$1:$1,0)-MATCH($F$1,enemy_skill_triggers!$1:$1,0)+1),MATCH(H$1,enemy_skill_triggers!$1:$1,0)-MATCH($F$1,enemy_skill_triggers!$1:$1,0)+1,FALSE)</f>
        <v>298</v>
      </c>
      <c r="I144" s="48">
        <f ca="1">VLOOKUP($F144,OFFSET(enemy_skill_triggers!$A$1,0,0,COUNTA(enemy_skill_triggers!$A:$A),MATCH(I$1,enemy_skill_triggers!$1:$1,0)-MATCH($F$1,enemy_skill_triggers!$1:$1,0)+1),MATCH(I$1,enemy_skill_triggers!$1:$1,0)-MATCH($F$1,enemy_skill_triggers!$1:$1,0)+1,FALSE)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4" s="48" t="str">
        <f ca="1">VLOOKUP($F144,OFFSET(enemy_skill_triggers!$A$1,0,0,COUNTA(enemy_skill_triggers!$A:$A),MATCH(J$1,enemy_skill_triggers!$1:$1,0)-MATCH($F$1,enemy_skill_triggers!$1:$1,0)+1),MATCH(J$1,enemy_skill_triggers!$1:$1,0)-MATCH($F$1,enemy_skill_triggers!$1:$1,0)+1,FALSE)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4" s="48" t="str">
        <f ca="1">VLOOKUP($F144,OFFSET(enemy_skill_triggers!$A$1,0,0,COUNTA(enemy_skill_triggers!$A:$A),MATCH(K$1,enemy_skill_triggers!$1:$1,0)-MATCH($F$1,enemy_skill_triggers!$1:$1,0)+1),MATCH(K$1,enemy_skill_triggers!$1:$1,0)-MATCH($F$1,enemy_skill_triggers!$1:$1,0)+1,FALSE)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4" s="48">
        <f ca="1">VLOOKUP($F144,OFFSET(enemy_skill_triggers!$A$1,0,0,COUNTA(enemy_skill_triggers!$A:$A),MATCH(L$1,enemy_skill_triggers!$1:$1,0)-MATCH($F$1,enemy_skill_triggers!$1:$1,0)+1),MATCH(L$1,enemy_skill_triggers!$1:$1,0)-MATCH($F$1,enemy_skill_triggers!$1:$1,0)+1,FALSE)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4" s="48" t="str">
        <f ca="1">VLOOKUP($F144,OFFSET(enemy_skill_triggers!$A$1,0,0,COUNTA(enemy_skill_triggers!$A:$A),MATCH(M$1,enemy_skill_triggers!$1:$1,0)-MATCH($F$1,enemy_skill_triggers!$1:$1,0)+1),MATCH(M$1,enemy_skill_triggers!$1:$1,0)-MATCH($F$1,enemy_skill_triggers!$1:$1,0)+1,FALSE)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4" s="48">
        <f ca="1">VLOOKUP($F144,OFFSET(enemy_skill_triggers!$A$1,0,0,COUNTA(enemy_skill_triggers!$A:$A),MATCH(N$1,enemy_skill_triggers!$1:$1,0)-MATCH($F$1,enemy_skill_triggers!$1:$1,0)+1),MATCH(N$1,enemy_skill_triggers!$1:$1,0)-MATCH($F$1,enemy_skill_triggers!$1:$1,0)+1,FALSE)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144" s="48">
        <f ca="1">VLOOKUP($F144,OFFSET(enemy_skill_triggers!$A$1,0,0,COUNTA(enemy_skill_triggers!$A:$A),MATCH(O$1,enemy_skill_triggers!$1:$1,0)-MATCH($F$1,enemy_skill_triggers!$1:$1,0)+1),MATCH(O$1,enemy_skill_triggers!$1:$1,0)-MATCH($F$1,enemy_skill_triggers!$1:$1,0)+1,FALSE)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4" s="47"/>
      <c r="Q144" s="47"/>
      <c r="R144" s="47"/>
    </row>
    <row r="145" spans="1:18" ht="21" customHeight="1" x14ac:dyDescent="0.15">
      <c r="A145" s="39" t="str">
        <f t="shared" si="16"/>
        <v>47007114_47007484</v>
      </c>
      <c r="B145" s="169">
        <v>47007114</v>
      </c>
      <c r="C145" s="171">
        <v>47007484</v>
      </c>
      <c r="D145" s="46" t="str">
        <f ca="1">VLOOKUP($C145,OFFSET(enemy_skills!$A$1,0,0,COUNTA(enemy_skills!$A:$A),MATCH(D$1,enemy_skills!$1:$1,0)-MATCH("enemy_skill_id",enemy_skills!$1:$1,0)+1),MATCH(D$1,enemy_skills!$1:$1,0)-MATCH("enemy_skill_id",enemy_skills!$1:$1,0)+1,FALSE)</f>
        <v>あ、あんた…！_x000D_…ずいぶん楽しそうね？</v>
      </c>
      <c r="E145" s="46" t="str">
        <f ca="1">VLOOKUP($C145,OFFSET(enemy_skills!$A$1,0,0,COUNTA(enemy_skills!$A:$A),MATCH(E$1,enemy_skills!$1:$1,0)-MATCH("enemy_skill_id",enemy_skills!$1:$1,0)+1),MATCH(E$1,enemy_skills!$1:$1,0)-MATCH("enemy_skill_id",enemy_skills!$1:$1,0)+1,FALSE)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145" s="180">
        <v>47007113</v>
      </c>
      <c r="G145" s="48">
        <f ca="1">VLOOKUP($F145,OFFSET(enemy_skill_triggers!$A$1,0,0,COUNTA(enemy_skill_triggers!$A:$A),MATCH(G$1,enemy_skill_triggers!$1:$1,0)-MATCH($F$1,enemy_skill_triggers!$1:$1,0)+1),MATCH(G$1,enemy_skill_triggers!$1:$1,0)-MATCH($F$1,enemy_skill_triggers!$1:$1,0)+1,FALSE)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5" s="48">
        <f ca="1">VLOOKUP($F145,OFFSET(enemy_skill_triggers!$A$1,0,0,COUNTA(enemy_skill_triggers!$A:$A),MATCH(H$1,enemy_skill_triggers!$1:$1,0)-MATCH($F$1,enemy_skill_triggers!$1:$1,0)+1),MATCH(H$1,enemy_skill_triggers!$1:$1,0)-MATCH($F$1,enemy_skill_triggers!$1:$1,0)+1,FALSE)</f>
        <v>297</v>
      </c>
      <c r="I145" s="48">
        <f ca="1">VLOOKUP($F145,OFFSET(enemy_skill_triggers!$A$1,0,0,COUNTA(enemy_skill_triggers!$A:$A),MATCH(I$1,enemy_skill_triggers!$1:$1,0)-MATCH($F$1,enemy_skill_triggers!$1:$1,0)+1),MATCH(I$1,enemy_skill_triggers!$1:$1,0)-MATCH($F$1,enemy_skill_triggers!$1:$1,0)+1,FALSE)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5" s="48" t="str">
        <f ca="1">VLOOKUP($F145,OFFSET(enemy_skill_triggers!$A$1,0,0,COUNTA(enemy_skill_triggers!$A:$A),MATCH(J$1,enemy_skill_triggers!$1:$1,0)-MATCH($F$1,enemy_skill_triggers!$1:$1,0)+1),MATCH(J$1,enemy_skill_triggers!$1:$1,0)-MATCH($F$1,enemy_skill_triggers!$1:$1,0)+1,FALSE)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5" s="48" t="str">
        <f ca="1">VLOOKUP($F145,OFFSET(enemy_skill_triggers!$A$1,0,0,COUNTA(enemy_skill_triggers!$A:$A),MATCH(K$1,enemy_skill_triggers!$1:$1,0)-MATCH($F$1,enemy_skill_triggers!$1:$1,0)+1),MATCH(K$1,enemy_skill_triggers!$1:$1,0)-MATCH($F$1,enemy_skill_triggers!$1:$1,0)+1,FALSE)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5" s="48">
        <f ca="1">VLOOKUP($F145,OFFSET(enemy_skill_triggers!$A$1,0,0,COUNTA(enemy_skill_triggers!$A:$A),MATCH(L$1,enemy_skill_triggers!$1:$1,0)-MATCH($F$1,enemy_skill_triggers!$1:$1,0)+1),MATCH(L$1,enemy_skill_triggers!$1:$1,0)-MATCH($F$1,enemy_skill_triggers!$1:$1,0)+1,FALSE)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5" s="48" t="str">
        <f ca="1">VLOOKUP($F145,OFFSET(enemy_skill_triggers!$A$1,0,0,COUNTA(enemy_skill_triggers!$A:$A),MATCH(M$1,enemy_skill_triggers!$1:$1,0)-MATCH($F$1,enemy_skill_triggers!$1:$1,0)+1),MATCH(M$1,enemy_skill_triggers!$1:$1,0)-MATCH($F$1,enemy_skill_triggers!$1:$1,0)+1,FALSE)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5" s="48">
        <f ca="1">VLOOKUP($F145,OFFSET(enemy_skill_triggers!$A$1,0,0,COUNTA(enemy_skill_triggers!$A:$A),MATCH(N$1,enemy_skill_triggers!$1:$1,0)-MATCH($F$1,enemy_skill_triggers!$1:$1,0)+1),MATCH(N$1,enemy_skill_triggers!$1:$1,0)-MATCH($F$1,enemy_skill_triggers!$1:$1,0)+1,FALSE)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145" s="48">
        <f ca="1">VLOOKUP($F145,OFFSET(enemy_skill_triggers!$A$1,0,0,COUNTA(enemy_skill_triggers!$A:$A),MATCH(O$1,enemy_skill_triggers!$1:$1,0)-MATCH($F$1,enemy_skill_triggers!$1:$1,0)+1),MATCH(O$1,enemy_skill_triggers!$1:$1,0)-MATCH($F$1,enemy_skill_triggers!$1:$1,0)+1,FALSE)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5" s="47"/>
      <c r="Q145" s="47"/>
      <c r="R145" s="47"/>
    </row>
    <row r="146" spans="1:18" ht="21" customHeight="1" x14ac:dyDescent="0.15">
      <c r="A146" s="39" t="str">
        <f t="shared" si="16"/>
        <v>47007114_47007484</v>
      </c>
      <c r="B146" s="169">
        <v>47007114</v>
      </c>
      <c r="C146" s="171">
        <v>47007484</v>
      </c>
      <c r="D146" s="46" t="str">
        <f ca="1">VLOOKUP($C146,OFFSET(enemy_skills!$A$1,0,0,COUNTA(enemy_skills!$A:$A),MATCH(D$1,enemy_skills!$1:$1,0)-MATCH("enemy_skill_id",enemy_skills!$1:$1,0)+1),MATCH(D$1,enemy_skills!$1:$1,0)-MATCH("enemy_skill_id",enemy_skills!$1:$1,0)+1,FALSE)</f>
        <v>あ、あんた…！_x000D_…ずいぶん楽しそうね？</v>
      </c>
      <c r="E146" s="46" t="str">
        <f ca="1">VLOOKUP($C146,OFFSET(enemy_skills!$A$1,0,0,COUNTA(enemy_skills!$A:$A),MATCH(E$1,enemy_skills!$1:$1,0)-MATCH("enemy_skill_id",enemy_skills!$1:$1,0)+1),MATCH(E$1,enemy_skills!$1:$1,0)-MATCH("enemy_skill_id",enemy_skills!$1:$1,0)+1,FALSE)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146" s="180">
        <v>47007114</v>
      </c>
      <c r="G146" s="48">
        <f ca="1">VLOOKUP($F146,OFFSET(enemy_skill_triggers!$A$1,0,0,COUNTA(enemy_skill_triggers!$A:$A),MATCH(G$1,enemy_skill_triggers!$1:$1,0)-MATCH($F$1,enemy_skill_triggers!$1:$1,0)+1),MATCH(G$1,enemy_skill_triggers!$1:$1,0)-MATCH($F$1,enemy_skill_triggers!$1:$1,0)+1,FALSE)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6" s="48">
        <f ca="1">VLOOKUP($F146,OFFSET(enemy_skill_triggers!$A$1,0,0,COUNTA(enemy_skill_triggers!$A:$A),MATCH(H$1,enemy_skill_triggers!$1:$1,0)-MATCH($F$1,enemy_skill_triggers!$1:$1,0)+1),MATCH(H$1,enemy_skill_triggers!$1:$1,0)-MATCH($F$1,enemy_skill_triggers!$1:$1,0)+1,FALSE)</f>
        <v>296</v>
      </c>
      <c r="I146" s="48">
        <f ca="1">VLOOKUP($F146,OFFSET(enemy_skill_triggers!$A$1,0,0,COUNTA(enemy_skill_triggers!$A:$A),MATCH(I$1,enemy_skill_triggers!$1:$1,0)-MATCH($F$1,enemy_skill_triggers!$1:$1,0)+1),MATCH(I$1,enemy_skill_triggers!$1:$1,0)-MATCH($F$1,enemy_skill_triggers!$1:$1,0)+1,FALSE)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6" s="48" t="str">
        <f ca="1">VLOOKUP($F146,OFFSET(enemy_skill_triggers!$A$1,0,0,COUNTA(enemy_skill_triggers!$A:$A),MATCH(J$1,enemy_skill_triggers!$1:$1,0)-MATCH($F$1,enemy_skill_triggers!$1:$1,0)+1),MATCH(J$1,enemy_skill_triggers!$1:$1,0)-MATCH($F$1,enemy_skill_triggers!$1:$1,0)+1,FALSE)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6" s="48" t="str">
        <f ca="1">VLOOKUP($F146,OFFSET(enemy_skill_triggers!$A$1,0,0,COUNTA(enemy_skill_triggers!$A:$A),MATCH(K$1,enemy_skill_triggers!$1:$1,0)-MATCH($F$1,enemy_skill_triggers!$1:$1,0)+1),MATCH(K$1,enemy_skill_triggers!$1:$1,0)-MATCH($F$1,enemy_skill_triggers!$1:$1,0)+1,FALSE)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6" s="48">
        <f ca="1">VLOOKUP($F146,OFFSET(enemy_skill_triggers!$A$1,0,0,COUNTA(enemy_skill_triggers!$A:$A),MATCH(L$1,enemy_skill_triggers!$1:$1,0)-MATCH($F$1,enemy_skill_triggers!$1:$1,0)+1),MATCH(L$1,enemy_skill_triggers!$1:$1,0)-MATCH($F$1,enemy_skill_triggers!$1:$1,0)+1,FALSE)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6" s="48" t="str">
        <f ca="1">VLOOKUP($F146,OFFSET(enemy_skill_triggers!$A$1,0,0,COUNTA(enemy_skill_triggers!$A:$A),MATCH(M$1,enemy_skill_triggers!$1:$1,0)-MATCH($F$1,enemy_skill_triggers!$1:$1,0)+1),MATCH(M$1,enemy_skill_triggers!$1:$1,0)-MATCH($F$1,enemy_skill_triggers!$1:$1,0)+1,FALSE)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6" s="48">
        <f ca="1">VLOOKUP($F146,OFFSET(enemy_skill_triggers!$A$1,0,0,COUNTA(enemy_skill_triggers!$A:$A),MATCH(N$1,enemy_skill_triggers!$1:$1,0)-MATCH($F$1,enemy_skill_triggers!$1:$1,0)+1),MATCH(N$1,enemy_skill_triggers!$1:$1,0)-MATCH($F$1,enemy_skill_triggers!$1:$1,0)+1,FALSE)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146" s="48">
        <f ca="1">VLOOKUP($F146,OFFSET(enemy_skill_triggers!$A$1,0,0,COUNTA(enemy_skill_triggers!$A:$A),MATCH(O$1,enemy_skill_triggers!$1:$1,0)-MATCH($F$1,enemy_skill_triggers!$1:$1,0)+1),MATCH(O$1,enemy_skill_triggers!$1:$1,0)-MATCH($F$1,enemy_skill_triggers!$1:$1,0)+1,FALSE)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6" s="47"/>
      <c r="Q146" s="47"/>
      <c r="R146" s="47"/>
    </row>
    <row r="147" spans="1:18" ht="21" customHeight="1" x14ac:dyDescent="0.15">
      <c r="A147" s="39" t="str">
        <f t="shared" si="16"/>
        <v>47007114_47007485</v>
      </c>
      <c r="B147" s="169">
        <v>47007114</v>
      </c>
      <c r="C147" s="171">
        <v>47007485</v>
      </c>
      <c r="D147" s="46" t="str">
        <f ca="1">VLOOKUP($C147,OFFSET(enemy_skills!$A$1,0,0,COUNTA(enemy_skills!$A:$A),MATCH(D$1,enemy_skills!$1:$1,0)-MATCH("enemy_skill_id",enemy_skills!$1:$1,0)+1),MATCH(D$1,enemy_skills!$1:$1,0)-MATCH("enemy_skill_id",enemy_skills!$1:$1,0)+1,FALSE)</f>
        <v>あんたの事なんて…っ！_x000D_…あんたの事なんて…</v>
      </c>
      <c r="E147" s="46" t="str">
        <f ca="1">VLOOKUP($C147,OFFSET(enemy_skills!$A$1,0,0,COUNTA(enemy_skills!$A:$A),MATCH(E$1,enemy_skills!$1:$1,0)-MATCH("enemy_skill_id",enemy_skills!$1:$1,0)+1),MATCH(E$1,enemy_skills!$1:$1,0)-MATCH("enemy_skill_id",enemy_skills!$1:$1,0)+1,FALSE)</f>
        <v>属性パネルプロテクト(最大10個)+全体攻撃</v>
      </c>
      <c r="F147" s="180">
        <v>47007405</v>
      </c>
      <c r="G147" s="48">
        <f ca="1">VLOOKUP($F147,OFFSET(enemy_skill_triggers!$A$1,0,0,COUNTA(enemy_skill_triggers!$A:$A),MATCH(G$1,enemy_skill_triggers!$1:$1,0)-MATCH($F$1,enemy_skill_triggers!$1:$1,0)+1),MATCH(G$1,enemy_skill_triggers!$1:$1,0)-MATCH($F$1,enemy_skill_triggers!$1:$1,0)+1,FALSE)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7" s="48">
        <f ca="1">VLOOKUP($F147,OFFSET(enemy_skill_triggers!$A$1,0,0,COUNTA(enemy_skill_triggers!$A:$A),MATCH(H$1,enemy_skill_triggers!$1:$1,0)-MATCH($F$1,enemy_skill_triggers!$1:$1,0)+1),MATCH(H$1,enemy_skill_triggers!$1:$1,0)-MATCH($F$1,enemy_skill_triggers!$1:$1,0)+1,FALSE)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47" s="48">
        <f ca="1">VLOOKUP($F147,OFFSET(enemy_skill_triggers!$A$1,0,0,COUNTA(enemy_skill_triggers!$A:$A),MATCH(I$1,enemy_skill_triggers!$1:$1,0)-MATCH($F$1,enemy_skill_triggers!$1:$1,0)+1),MATCH(I$1,enemy_skill_triggers!$1:$1,0)-MATCH($F$1,enemy_skill_triggers!$1:$1,0)+1,FALSE)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7" s="48" t="str">
        <f ca="1">VLOOKUP($F147,OFFSET(enemy_skill_triggers!$A$1,0,0,COUNTA(enemy_skill_triggers!$A:$A),MATCH(J$1,enemy_skill_triggers!$1:$1,0)-MATCH($F$1,enemy_skill_triggers!$1:$1,0)+1),MATCH(J$1,enemy_skill_triggers!$1:$1,0)-MATCH($F$1,enemy_skill_triggers!$1:$1,0)+1,FALSE)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7" s="48" t="str">
        <f ca="1">VLOOKUP($F147,OFFSET(enemy_skill_triggers!$A$1,0,0,COUNTA(enemy_skill_triggers!$A:$A),MATCH(K$1,enemy_skill_triggers!$1:$1,0)-MATCH($F$1,enemy_skill_triggers!$1:$1,0)+1),MATCH(K$1,enemy_skill_triggers!$1:$1,0)-MATCH($F$1,enemy_skill_triggers!$1:$1,0)+1,FALSE)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7" s="48" t="str">
        <f ca="1">VLOOKUP($F147,OFFSET(enemy_skill_triggers!$A$1,0,0,COUNTA(enemy_skill_triggers!$A:$A),MATCH(L$1,enemy_skill_triggers!$1:$1,0)-MATCH($F$1,enemy_skill_triggers!$1:$1,0)+1),MATCH(L$1,enemy_skill_triggers!$1:$1,0)-MATCH($F$1,enemy_skill_triggers!$1:$1,0)+1,FALSE)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7" s="48" t="str">
        <f ca="1">VLOOKUP($F147,OFFSET(enemy_skill_triggers!$A$1,0,0,COUNTA(enemy_skill_triggers!$A:$A),MATCH(M$1,enemy_skill_triggers!$1:$1,0)-MATCH($F$1,enemy_skill_triggers!$1:$1,0)+1),MATCH(M$1,enemy_skill_triggers!$1:$1,0)-MATCH($F$1,enemy_skill_triggers!$1:$1,0)+1,FALSE)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7" s="48" t="str">
        <f ca="1">VLOOKUP($F147,OFFSET(enemy_skill_triggers!$A$1,0,0,COUNTA(enemy_skill_triggers!$A:$A),MATCH(N$1,enemy_skill_triggers!$1:$1,0)-MATCH($F$1,enemy_skill_triggers!$1:$1,0)+1),MATCH(N$1,enemy_skill_triggers!$1:$1,0)-MATCH($F$1,enemy_skill_triggers!$1:$1,0)+1,FALSE)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7" s="48">
        <f ca="1">VLOOKUP($F147,OFFSET(enemy_skill_triggers!$A$1,0,0,COUNTA(enemy_skill_triggers!$A:$A),MATCH(O$1,enemy_skill_triggers!$1:$1,0)-MATCH($F$1,enemy_skill_triggers!$1:$1,0)+1),MATCH(O$1,enemy_skill_triggers!$1:$1,0)-MATCH($F$1,enemy_skill_triggers!$1:$1,0)+1,FALSE)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7" s="47"/>
      <c r="Q147" s="47"/>
      <c r="R147" s="47"/>
    </row>
    <row r="148" spans="1:18" ht="21" customHeight="1" x14ac:dyDescent="0.15">
      <c r="A148" s="39" t="str">
        <f t="shared" si="16"/>
        <v>47007114_47007410</v>
      </c>
      <c r="B148" s="169">
        <v>47007114</v>
      </c>
      <c r="C148" s="170">
        <v>47007410</v>
      </c>
      <c r="D148" s="46" t="str">
        <f ca="1">VLOOKUP($C148,OFFSET(enemy_skills!$A$1,0,0,COUNTA(enemy_skills!$A:$A),MATCH(D$1,enemy_skills!$1:$1,0)-MATCH("enemy_skill_id",enemy_skills!$1:$1,0)+1),MATCH(D$1,enemy_skills!$1:$1,0)-MATCH("enemy_skill_id",enemy_skills!$1:$1,0)+1,FALSE)</f>
        <v>そ、そんなに見るな…見つめるな…！</v>
      </c>
      <c r="E148" s="46" t="str">
        <f ca="1">VLOOKUP($C148,OFFSET(enemy_skills!$A$1,0,0,COUNTA(enemy_skills!$A:$A),MATCH(E$1,enemy_skills!$1:$1,0)-MATCH("enemy_skill_id",enemy_skills!$1:$1,0)+1),MATCH(E$1,enemy_skills!$1:$1,0)-MATCH("enemy_skill_id",enemy_skills!$1:$1,0)+1,FALSE)</f>
        <v>赤パネルを吸収して攻撃(最大15個)</v>
      </c>
      <c r="F148" s="180">
        <v>47007406</v>
      </c>
      <c r="G148" s="48">
        <f ca="1">VLOOKUP($F148,OFFSET(enemy_skill_triggers!$A$1,0,0,COUNTA(enemy_skill_triggers!$A:$A),MATCH(G$1,enemy_skill_triggers!$1:$1,0)-MATCH($F$1,enemy_skill_triggers!$1:$1,0)+1),MATCH(G$1,enemy_skill_triggers!$1:$1,0)-MATCH($F$1,enemy_skill_triggers!$1:$1,0)+1,FALSE)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8" s="48">
        <f ca="1">VLOOKUP($F148,OFFSET(enemy_skill_triggers!$A$1,0,0,COUNTA(enemy_skill_triggers!$A:$A),MATCH(H$1,enemy_skill_triggers!$1:$1,0)-MATCH($F$1,enemy_skill_triggers!$1:$1,0)+1),MATCH(H$1,enemy_skill_triggers!$1:$1,0)-MATCH($F$1,enemy_skill_triggers!$1:$1,0)+1,FALSE)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48" s="48">
        <f ca="1">VLOOKUP($F148,OFFSET(enemy_skill_triggers!$A$1,0,0,COUNTA(enemy_skill_triggers!$A:$A),MATCH(I$1,enemy_skill_triggers!$1:$1,0)-MATCH($F$1,enemy_skill_triggers!$1:$1,0)+1),MATCH(I$1,enemy_skill_triggers!$1:$1,0)-MATCH($F$1,enemy_skill_triggers!$1:$1,0)+1,FALSE)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8" s="48" t="str">
        <f ca="1">VLOOKUP($F148,OFFSET(enemy_skill_triggers!$A$1,0,0,COUNTA(enemy_skill_triggers!$A:$A),MATCH(J$1,enemy_skill_triggers!$1:$1,0)-MATCH($F$1,enemy_skill_triggers!$1:$1,0)+1),MATCH(J$1,enemy_skill_triggers!$1:$1,0)-MATCH($F$1,enemy_skill_triggers!$1:$1,0)+1,FALSE)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8" s="48" t="str">
        <f ca="1">VLOOKUP($F148,OFFSET(enemy_skill_triggers!$A$1,0,0,COUNTA(enemy_skill_triggers!$A:$A),MATCH(K$1,enemy_skill_triggers!$1:$1,0)-MATCH($F$1,enemy_skill_triggers!$1:$1,0)+1),MATCH(K$1,enemy_skill_triggers!$1:$1,0)-MATCH($F$1,enemy_skill_triggers!$1:$1,0)+1,FALSE)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8" s="48" t="str">
        <f ca="1">VLOOKUP($F148,OFFSET(enemy_skill_triggers!$A$1,0,0,COUNTA(enemy_skill_triggers!$A:$A),MATCH(L$1,enemy_skill_triggers!$1:$1,0)-MATCH($F$1,enemy_skill_triggers!$1:$1,0)+1),MATCH(L$1,enemy_skill_triggers!$1:$1,0)-MATCH($F$1,enemy_skill_triggers!$1:$1,0)+1,FALSE)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8" s="48" t="str">
        <f ca="1">VLOOKUP($F148,OFFSET(enemy_skill_triggers!$A$1,0,0,COUNTA(enemy_skill_triggers!$A:$A),MATCH(M$1,enemy_skill_triggers!$1:$1,0)-MATCH($F$1,enemy_skill_triggers!$1:$1,0)+1),MATCH(M$1,enemy_skill_triggers!$1:$1,0)-MATCH($F$1,enemy_skill_triggers!$1:$1,0)+1,FALSE)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8" s="48" t="str">
        <f ca="1">VLOOKUP($F148,OFFSET(enemy_skill_triggers!$A$1,0,0,COUNTA(enemy_skill_triggers!$A:$A),MATCH(N$1,enemy_skill_triggers!$1:$1,0)-MATCH($F$1,enemy_skill_triggers!$1:$1,0)+1),MATCH(N$1,enemy_skill_triggers!$1:$1,0)-MATCH($F$1,enemy_skill_triggers!$1:$1,0)+1,FALSE)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8" s="48">
        <f ca="1">VLOOKUP($F148,OFFSET(enemy_skill_triggers!$A$1,0,0,COUNTA(enemy_skill_triggers!$A:$A),MATCH(O$1,enemy_skill_triggers!$1:$1,0)-MATCH($F$1,enemy_skill_triggers!$1:$1,0)+1),MATCH(O$1,enemy_skill_triggers!$1:$1,0)-MATCH($F$1,enemy_skill_triggers!$1:$1,0)+1,FALSE)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8" s="47"/>
      <c r="Q148" s="47"/>
      <c r="R148" s="47"/>
    </row>
    <row r="149" spans="1:18" ht="21" customHeight="1" x14ac:dyDescent="0.15">
      <c r="A149" s="39" t="str">
        <f t="shared" si="16"/>
        <v>47007114_47007406</v>
      </c>
      <c r="B149" s="169">
        <v>47007114</v>
      </c>
      <c r="C149" s="169">
        <v>47007406</v>
      </c>
      <c r="D149" s="46" t="str">
        <f ca="1">VLOOKUP($C149,OFFSET(enemy_skills!$A$1,0,0,COUNTA(enemy_skills!$A:$A),MATCH(D$1,enemy_skills!$1:$1,0)-MATCH("enemy_skill_id",enemy_skills!$1:$1,0)+1),MATCH(D$1,enemy_skills!$1:$1,0)-MATCH("enemy_skill_id",enemy_skills!$1:$1,0)+1,FALSE)</f>
        <v>だらしないわね！しっかりしなさいよ！</v>
      </c>
      <c r="E149" s="46" t="str">
        <f ca="1">VLOOKUP($C149,OFFSET(enemy_skills!$A$1,0,0,COUNTA(enemy_skills!$A:$A),MATCH(E$1,enemy_skills!$1:$1,0)-MATCH("enemy_skill_id",enemy_skills!$1:$1,0)+1),MATCH(E$1,enemy_skills!$1:$1,0)-MATCH("enemy_skill_id",enemy_skills!$1:$1,0)+1,FALSE)</f>
        <v>クリティカル！_x000D_(命中したユニットの攻撃力30%UP)</v>
      </c>
      <c r="F149" s="180">
        <v>47007407</v>
      </c>
      <c r="G149" s="48">
        <f ca="1">VLOOKUP($F149,OFFSET(enemy_skill_triggers!$A$1,0,0,COUNTA(enemy_skill_triggers!$A:$A),MATCH(G$1,enemy_skill_triggers!$1:$1,0)-MATCH($F$1,enemy_skill_triggers!$1:$1,0)+1),MATCH(G$1,enemy_skill_triggers!$1:$1,0)-MATCH($F$1,enemy_skill_triggers!$1:$1,0)+1,FALSE)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9" s="48">
        <f ca="1">VLOOKUP($F149,OFFSET(enemy_skill_triggers!$A$1,0,0,COUNTA(enemy_skill_triggers!$A:$A),MATCH(H$1,enemy_skill_triggers!$1:$1,0)-MATCH($F$1,enemy_skill_triggers!$1:$1,0)+1),MATCH(H$1,enemy_skill_triggers!$1:$1,0)-MATCH($F$1,enemy_skill_triggers!$1:$1,0)+1,FALSE)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49" s="48">
        <f ca="1">VLOOKUP($F149,OFFSET(enemy_skill_triggers!$A$1,0,0,COUNTA(enemy_skill_triggers!$A:$A),MATCH(I$1,enemy_skill_triggers!$1:$1,0)-MATCH($F$1,enemy_skill_triggers!$1:$1,0)+1),MATCH(I$1,enemy_skill_triggers!$1:$1,0)-MATCH($F$1,enemy_skill_triggers!$1:$1,0)+1,FALSE)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9" s="48" t="str">
        <f ca="1">VLOOKUP($F149,OFFSET(enemy_skill_triggers!$A$1,0,0,COUNTA(enemy_skill_triggers!$A:$A),MATCH(J$1,enemy_skill_triggers!$1:$1,0)-MATCH($F$1,enemy_skill_triggers!$1:$1,0)+1),MATCH(J$1,enemy_skill_triggers!$1:$1,0)-MATCH($F$1,enemy_skill_triggers!$1:$1,0)+1,FALSE)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9" s="48" t="str">
        <f ca="1">VLOOKUP($F149,OFFSET(enemy_skill_triggers!$A$1,0,0,COUNTA(enemy_skill_triggers!$A:$A),MATCH(K$1,enemy_skill_triggers!$1:$1,0)-MATCH($F$1,enemy_skill_triggers!$1:$1,0)+1),MATCH(K$1,enemy_skill_triggers!$1:$1,0)-MATCH($F$1,enemy_skill_triggers!$1:$1,0)+1,FALSE)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9" s="48" t="str">
        <f ca="1">VLOOKUP($F149,OFFSET(enemy_skill_triggers!$A$1,0,0,COUNTA(enemy_skill_triggers!$A:$A),MATCH(L$1,enemy_skill_triggers!$1:$1,0)-MATCH($F$1,enemy_skill_triggers!$1:$1,0)+1),MATCH(L$1,enemy_skill_triggers!$1:$1,0)-MATCH($F$1,enemy_skill_triggers!$1:$1,0)+1,FALSE)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9" s="48">
        <f ca="1">VLOOKUP($F149,OFFSET(enemy_skill_triggers!$A$1,0,0,COUNTA(enemy_skill_triggers!$A:$A),MATCH(M$1,enemy_skill_triggers!$1:$1,0)-MATCH($F$1,enemy_skill_triggers!$1:$1,0)+1),MATCH(M$1,enemy_skill_triggers!$1:$1,0)-MATCH($F$1,enemy_skill_triggers!$1:$1,0)+1,FALSE)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9" s="48" t="str">
        <f ca="1">VLOOKUP($F149,OFFSET(enemy_skill_triggers!$A$1,0,0,COUNTA(enemy_skill_triggers!$A:$A),MATCH(N$1,enemy_skill_triggers!$1:$1,0)-MATCH($F$1,enemy_skill_triggers!$1:$1,0)+1),MATCH(N$1,enemy_skill_triggers!$1:$1,0)-MATCH($F$1,enemy_skill_triggers!$1:$1,0)+1,FALSE)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9" s="48">
        <f ca="1">VLOOKUP($F149,OFFSET(enemy_skill_triggers!$A$1,0,0,COUNTA(enemy_skill_triggers!$A:$A),MATCH(O$1,enemy_skill_triggers!$1:$1,0)-MATCH($F$1,enemy_skill_triggers!$1:$1,0)+1),MATCH(O$1,enemy_skill_triggers!$1:$1,0)-MATCH($F$1,enemy_skill_triggers!$1:$1,0)+1,FALSE)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9" s="47"/>
      <c r="Q149" s="47"/>
      <c r="R149" s="47"/>
    </row>
    <row r="150" spans="1:18" ht="21" customHeight="1" x14ac:dyDescent="0.15">
      <c r="A150" s="39" t="str">
        <f t="shared" si="16"/>
        <v>47007114_47007486</v>
      </c>
      <c r="B150" s="169">
        <v>47007114</v>
      </c>
      <c r="C150" s="171">
        <v>47007486</v>
      </c>
      <c r="D150" s="46" t="str">
        <f ca="1">VLOOKUP($C150,OFFSET(enemy_skills!$A$1,0,0,COUNTA(enemy_skills!$A:$A),MATCH(D$1,enemy_skills!$1:$1,0)-MATCH("enemy_skill_id",enemy_skills!$1:$1,0)+1),MATCH(D$1,enemy_skills!$1:$1,0)-MATCH("enemy_skill_id",enemy_skills!$1:$1,0)+1,FALSE)</f>
        <v>呼ばれた理由…_x000D_もぅ！ちゃんと考えた！？</v>
      </c>
      <c r="E150" s="46" t="str">
        <f ca="1">VLOOKUP($C150,OFFSET(enemy_skills!$A$1,0,0,COUNTA(enemy_skills!$A:$A),MATCH(E$1,enemy_skills!$1:$1,0)-MATCH("enemy_skill_id",enemy_skills!$1:$1,0)+1),MATCH(E$1,enemy_skills!$1:$1,0)-MATCH("enemy_skill_id",enemy_skills!$1:$1,0)+1,FALSE)</f>
        <v>クリティカル！_x000D_(命中したユニットの回復力30%UP)</v>
      </c>
      <c r="F150" s="180">
        <v>47007408</v>
      </c>
      <c r="G150" s="48">
        <f ca="1">VLOOKUP($F150,OFFSET(enemy_skill_triggers!$A$1,0,0,COUNTA(enemy_skill_triggers!$A:$A),MATCH(G$1,enemy_skill_triggers!$1:$1,0)-MATCH($F$1,enemy_skill_triggers!$1:$1,0)+1),MATCH(G$1,enemy_skill_triggers!$1:$1,0)-MATCH($F$1,enemy_skill_triggers!$1:$1,0)+1,FALSE)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0" s="48">
        <f ca="1">VLOOKUP($F150,OFFSET(enemy_skill_triggers!$A$1,0,0,COUNTA(enemy_skill_triggers!$A:$A),MATCH(H$1,enemy_skill_triggers!$1:$1,0)-MATCH($F$1,enemy_skill_triggers!$1:$1,0)+1),MATCH(H$1,enemy_skill_triggers!$1:$1,0)-MATCH($F$1,enemy_skill_triggers!$1:$1,0)+1,FALSE)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50" s="48">
        <f ca="1">VLOOKUP($F150,OFFSET(enemy_skill_triggers!$A$1,0,0,COUNTA(enemy_skill_triggers!$A:$A),MATCH(I$1,enemy_skill_triggers!$1:$1,0)-MATCH($F$1,enemy_skill_triggers!$1:$1,0)+1),MATCH(I$1,enemy_skill_triggers!$1:$1,0)-MATCH($F$1,enemy_skill_triggers!$1:$1,0)+1,FALSE)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0" s="48" t="str">
        <f ca="1">VLOOKUP($F150,OFFSET(enemy_skill_triggers!$A$1,0,0,COUNTA(enemy_skill_triggers!$A:$A),MATCH(J$1,enemy_skill_triggers!$1:$1,0)-MATCH($F$1,enemy_skill_triggers!$1:$1,0)+1),MATCH(J$1,enemy_skill_triggers!$1:$1,0)-MATCH($F$1,enemy_skill_triggers!$1:$1,0)+1,FALSE)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0" s="48" t="str">
        <f ca="1">VLOOKUP($F150,OFFSET(enemy_skill_triggers!$A$1,0,0,COUNTA(enemy_skill_triggers!$A:$A),MATCH(K$1,enemy_skill_triggers!$1:$1,0)-MATCH($F$1,enemy_skill_triggers!$1:$1,0)+1),MATCH(K$1,enemy_skill_triggers!$1:$1,0)-MATCH($F$1,enemy_skill_triggers!$1:$1,0)+1,FALSE)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0" s="48" t="str">
        <f ca="1">VLOOKUP($F150,OFFSET(enemy_skill_triggers!$A$1,0,0,COUNTA(enemy_skill_triggers!$A:$A),MATCH(L$1,enemy_skill_triggers!$1:$1,0)-MATCH($F$1,enemy_skill_triggers!$1:$1,0)+1),MATCH(L$1,enemy_skill_triggers!$1:$1,0)-MATCH($F$1,enemy_skill_triggers!$1:$1,0)+1,FALSE)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0" s="48">
        <f ca="1">VLOOKUP($F150,OFFSET(enemy_skill_triggers!$A$1,0,0,COUNTA(enemy_skill_triggers!$A:$A),MATCH(M$1,enemy_skill_triggers!$1:$1,0)-MATCH($F$1,enemy_skill_triggers!$1:$1,0)+1),MATCH(M$1,enemy_skill_triggers!$1:$1,0)-MATCH($F$1,enemy_skill_triggers!$1:$1,0)+1,FALSE)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0" s="48" t="str">
        <f ca="1">VLOOKUP($F150,OFFSET(enemy_skill_triggers!$A$1,0,0,COUNTA(enemy_skill_triggers!$A:$A),MATCH(N$1,enemy_skill_triggers!$1:$1,0)-MATCH($F$1,enemy_skill_triggers!$1:$1,0)+1),MATCH(N$1,enemy_skill_triggers!$1:$1,0)-MATCH($F$1,enemy_skill_triggers!$1:$1,0)+1,FALSE)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0" s="48">
        <f ca="1">VLOOKUP($F150,OFFSET(enemy_skill_triggers!$A$1,0,0,COUNTA(enemy_skill_triggers!$A:$A),MATCH(O$1,enemy_skill_triggers!$1:$1,0)-MATCH($F$1,enemy_skill_triggers!$1:$1,0)+1),MATCH(O$1,enemy_skill_triggers!$1:$1,0)-MATCH($F$1,enemy_skill_triggers!$1:$1,0)+1,FALSE)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0" s="47"/>
      <c r="Q150" s="47"/>
      <c r="R150" s="47"/>
    </row>
    <row r="151" spans="1:18" ht="21" customHeight="1" x14ac:dyDescent="0.15">
      <c r="A151" s="39" t="str">
        <f t="shared" si="16"/>
        <v>47007114_47007487</v>
      </c>
      <c r="B151" s="169">
        <v>47007114</v>
      </c>
      <c r="C151" s="169">
        <v>47007487</v>
      </c>
      <c r="D151" s="46" t="str">
        <f ca="1">VLOOKUP($C151,OFFSET(enemy_skills!$A$1,0,0,COUNTA(enemy_skills!$A:$A),MATCH(D$1,enemy_skills!$1:$1,0)-MATCH("enemy_skill_id",enemy_skills!$1:$1,0)+1),MATCH(D$1,enemy_skills!$1:$1,0)-MATCH("enemy_skill_id",enemy_skills!$1:$1,0)+1,FALSE)</f>
        <v>(違う違う！もぅ、アタシ…)</v>
      </c>
      <c r="E151" s="46" t="str">
        <f ca="1">VLOOKUP($C151,OFFSET(enemy_skills!$A$1,0,0,COUNTA(enemy_skills!$A:$A),MATCH(E$1,enemy_skills!$1:$1,0)-MATCH("enemy_skill_id",enemy_skills!$1:$1,0)+1),MATCH(E$1,enemy_skills!$1:$1,0)-MATCH("enemy_skill_id",enemy_skills!$1:$1,0)+1,FALSE)</f>
        <v>(今度こそ想いを…ちゃんと伝える！)</v>
      </c>
      <c r="F151" s="180">
        <v>47007409</v>
      </c>
      <c r="G151" s="48">
        <f ca="1">VLOOKUP($F151,OFFSET(enemy_skill_triggers!$A$1,0,0,COUNTA(enemy_skill_triggers!$A:$A),MATCH(G$1,enemy_skill_triggers!$1:$1,0)-MATCH($F$1,enemy_skill_triggers!$1:$1,0)+1),MATCH(G$1,enemy_skill_triggers!$1:$1,0)-MATCH($F$1,enemy_skill_triggers!$1:$1,0)+1,FALSE)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1" s="48">
        <f ca="1">VLOOKUP($F151,OFFSET(enemy_skill_triggers!$A$1,0,0,COUNTA(enemy_skill_triggers!$A:$A),MATCH(H$1,enemy_skill_triggers!$1:$1,0)-MATCH($F$1,enemy_skill_triggers!$1:$1,0)+1),MATCH(H$1,enemy_skill_triggers!$1:$1,0)-MATCH($F$1,enemy_skill_triggers!$1:$1,0)+1,FALSE)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51" s="48">
        <f ca="1">VLOOKUP($F151,OFFSET(enemy_skill_triggers!$A$1,0,0,COUNTA(enemy_skill_triggers!$A:$A),MATCH(I$1,enemy_skill_triggers!$1:$1,0)-MATCH($F$1,enemy_skill_triggers!$1:$1,0)+1),MATCH(I$1,enemy_skill_triggers!$1:$1,0)-MATCH($F$1,enemy_skill_triggers!$1:$1,0)+1,FALSE)</f>
        <v>10</v>
      </c>
      <c r="J151" s="48" t="str">
        <f ca="1">VLOOKUP($F151,OFFSET(enemy_skill_triggers!$A$1,0,0,COUNTA(enemy_skill_triggers!$A:$A),MATCH(J$1,enemy_skill_triggers!$1:$1,0)-MATCH($F$1,enemy_skill_triggers!$1:$1,0)+1),MATCH(J$1,enemy_skill_triggers!$1:$1,0)-MATCH($F$1,enemy_skill_triggers!$1:$1,0)+1,FALSE)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1" s="48" t="str">
        <f ca="1">VLOOKUP($F151,OFFSET(enemy_skill_triggers!$A$1,0,0,COUNTA(enemy_skill_triggers!$A:$A),MATCH(K$1,enemy_skill_triggers!$1:$1,0)-MATCH($F$1,enemy_skill_triggers!$1:$1,0)+1),MATCH(K$1,enemy_skill_triggers!$1:$1,0)-MATCH($F$1,enemy_skill_triggers!$1:$1,0)+1,FALSE)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1" s="48">
        <f ca="1">VLOOKUP($F151,OFFSET(enemy_skill_triggers!$A$1,0,0,COUNTA(enemy_skill_triggers!$A:$A),MATCH(L$1,enemy_skill_triggers!$1:$1,0)-MATCH($F$1,enemy_skill_triggers!$1:$1,0)+1),MATCH(L$1,enemy_skill_triggers!$1:$1,0)-MATCH($F$1,enemy_skill_triggers!$1:$1,0)+1,FALSE)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1" s="48">
        <f ca="1">VLOOKUP($F151,OFFSET(enemy_skill_triggers!$A$1,0,0,COUNTA(enemy_skill_triggers!$A:$A),MATCH(M$1,enemy_skill_triggers!$1:$1,0)-MATCH($F$1,enemy_skill_triggers!$1:$1,0)+1),MATCH(M$1,enemy_skill_triggers!$1:$1,0)-MATCH($F$1,enemy_skill_triggers!$1:$1,0)+1,FALSE)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1" s="48" t="str">
        <f ca="1">VLOOKUP($F151,OFFSET(enemy_skill_triggers!$A$1,0,0,COUNTA(enemy_skill_triggers!$A:$A),MATCH(N$1,enemy_skill_triggers!$1:$1,0)-MATCH($F$1,enemy_skill_triggers!$1:$1,0)+1),MATCH(N$1,enemy_skill_triggers!$1:$1,0)-MATCH($F$1,enemy_skill_triggers!$1:$1,0)+1,FALSE)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1" s="48">
        <f ca="1">VLOOKUP($F151,OFFSET(enemy_skill_triggers!$A$1,0,0,COUNTA(enemy_skill_triggers!$A:$A),MATCH(O$1,enemy_skill_triggers!$1:$1,0)-MATCH($F$1,enemy_skill_triggers!$1:$1,0)+1),MATCH(O$1,enemy_skill_triggers!$1:$1,0)-MATCH($F$1,enemy_skill_triggers!$1:$1,0)+1,FALSE)</f>
        <v>10</v>
      </c>
      <c r="P151" s="47"/>
      <c r="Q151" s="47"/>
      <c r="R151" s="47"/>
    </row>
    <row r="152" spans="1:18" ht="21" customHeight="1" x14ac:dyDescent="0.15">
      <c r="A152" s="39" t="str">
        <f t="shared" si="16"/>
        <v>47007115_47007501</v>
      </c>
      <c r="B152" s="169">
        <v>47007115</v>
      </c>
      <c r="C152" s="169">
        <v>47007501</v>
      </c>
      <c r="D152" s="46" t="str">
        <f ca="1">VLOOKUP($C152,OFFSET(enemy_skills!$A$1,0,0,COUNTA(enemy_skills!$A:$A),MATCH(D$1,enemy_skills!$1:$1,0)-MATCH("enemy_skill_id",enemy_skills!$1:$1,0)+1),MATCH(D$1,enemy_skills!$1:$1,0)-MATCH("enemy_skill_id",enemy_skills!$1:$1,0)+1,FALSE)</f>
        <v>大丈夫…落ち着けアタシ…</v>
      </c>
      <c r="E152" s="46" t="str">
        <f ca="1">VLOOKUP($C152,OFFSET(enemy_skills!$A$1,0,0,COUNTA(enemy_skills!$A:$A),MATCH(E$1,enemy_skills!$1:$1,0)-MATCH("enemy_skill_id",enemy_skills!$1:$1,0)+1),MATCH(E$1,enemy_skills!$1:$1,0)-MATCH("enemy_skill_id",enemy_skills!$1:$1,0)+1,FALSE)</f>
        <v>状態異常耐性+3ターン全属性の攻撃をカウンター</v>
      </c>
      <c r="F152" s="180">
        <v>47007501</v>
      </c>
      <c r="G152" s="48">
        <f ca="1">VLOOKUP($F152,OFFSET(enemy_skill_triggers!$A$1,0,0,COUNTA(enemy_skill_triggers!$A:$A),MATCH(G$1,enemy_skill_triggers!$1:$1,0)-MATCH($F$1,enemy_skill_triggers!$1:$1,0)+1),MATCH(G$1,enemy_skill_triggers!$1:$1,0)-MATCH($F$1,enemy_skill_triggers!$1:$1,0)+1,FALSE)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2" s="48" t="str">
        <f ca="1">VLOOKUP($F152,OFFSET(enemy_skill_triggers!$A$1,0,0,COUNTA(enemy_skill_triggers!$A:$A),MATCH(H$1,enemy_skill_triggers!$1:$1,0)-MATCH($F$1,enemy_skill_triggers!$1:$1,0)+1),MATCH(H$1,enemy_skill_triggers!$1:$1,0)-MATCH($F$1,enemy_skill_triggers!$1:$1,0)+1,FALSE)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2" s="48">
        <f ca="1">VLOOKUP($F152,OFFSET(enemy_skill_triggers!$A$1,0,0,COUNTA(enemy_skill_triggers!$A:$A),MATCH(I$1,enemy_skill_triggers!$1:$1,0)-MATCH($F$1,enemy_skill_triggers!$1:$1,0)+1),MATCH(I$1,enemy_skill_triggers!$1:$1,0)-MATCH($F$1,enemy_skill_triggers!$1:$1,0)+1,FALSE)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2" s="48" t="str">
        <f ca="1">VLOOKUP($F152,OFFSET(enemy_skill_triggers!$A$1,0,0,COUNTA(enemy_skill_triggers!$A:$A),MATCH(J$1,enemy_skill_triggers!$1:$1,0)-MATCH($F$1,enemy_skill_triggers!$1:$1,0)+1),MATCH(J$1,enemy_skill_triggers!$1:$1,0)-MATCH($F$1,enemy_skill_triggers!$1:$1,0)+1,FALSE)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2" s="48" t="str">
        <f ca="1">VLOOKUP($F152,OFFSET(enemy_skill_triggers!$A$1,0,0,COUNTA(enemy_skill_triggers!$A:$A),MATCH(K$1,enemy_skill_triggers!$1:$1,0)-MATCH($F$1,enemy_skill_triggers!$1:$1,0)+1),MATCH(K$1,enemy_skill_triggers!$1:$1,0)-MATCH($F$1,enemy_skill_triggers!$1:$1,0)+1,FALSE)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2" s="48">
        <f ca="1">VLOOKUP($F152,OFFSET(enemy_skill_triggers!$A$1,0,0,COUNTA(enemy_skill_triggers!$A:$A),MATCH(L$1,enemy_skill_triggers!$1:$1,0)-MATCH($F$1,enemy_skill_triggers!$1:$1,0)+1),MATCH(L$1,enemy_skill_triggers!$1:$1,0)-MATCH($F$1,enemy_skill_triggers!$1:$1,0)+1,FALSE)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2" s="48" t="str">
        <f ca="1">VLOOKUP($F152,OFFSET(enemy_skill_triggers!$A$1,0,0,COUNTA(enemy_skill_triggers!$A:$A),MATCH(M$1,enemy_skill_triggers!$1:$1,0)-MATCH($F$1,enemy_skill_triggers!$1:$1,0)+1),MATCH(M$1,enemy_skill_triggers!$1:$1,0)-MATCH($F$1,enemy_skill_triggers!$1:$1,0)+1,FALSE)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2" s="48" t="str">
        <f ca="1">VLOOKUP($F152,OFFSET(enemy_skill_triggers!$A$1,0,0,COUNTA(enemy_skill_triggers!$A:$A),MATCH(N$1,enemy_skill_triggers!$1:$1,0)-MATCH($F$1,enemy_skill_triggers!$1:$1,0)+1),MATCH(N$1,enemy_skill_triggers!$1:$1,0)-MATCH($F$1,enemy_skill_triggers!$1:$1,0)+1,FALSE)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2" s="48">
        <f ca="1">VLOOKUP($F152,OFFSET(enemy_skill_triggers!$A$1,0,0,COUNTA(enemy_skill_triggers!$A:$A),MATCH(O$1,enemy_skill_triggers!$1:$1,0)-MATCH($F$1,enemy_skill_triggers!$1:$1,0)+1),MATCH(O$1,enemy_skill_triggers!$1:$1,0)-MATCH($F$1,enemy_skill_triggers!$1:$1,0)+1,FALSE)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2" s="47"/>
      <c r="Q152" s="47"/>
      <c r="R152" s="47"/>
    </row>
    <row r="153" spans="1:18" ht="21" customHeight="1" x14ac:dyDescent="0.15">
      <c r="A153" s="39" t="str">
        <f t="shared" si="16"/>
        <v>47007115_47007581</v>
      </c>
      <c r="B153" s="169">
        <v>47007115</v>
      </c>
      <c r="C153" s="169">
        <v>47007581</v>
      </c>
      <c r="D153" s="46" t="str">
        <f ca="1">VLOOKUP($C153,OFFSET(enemy_skills!$A$1,0,0,COUNTA(enemy_skills!$A:$A),MATCH(D$1,enemy_skills!$1:$1,0)-MATCH("enemy_skill_id",enemy_skills!$1:$1,0)+1),MATCH(D$1,enemy_skills!$1:$1,0)-MATCH("enemy_skill_id",enemy_skills!$1:$1,0)+1,FALSE)</f>
        <v>う、受け取りなさいよ…！_x000D_じゃなくて、受け取って…！</v>
      </c>
      <c r="E153" s="46" t="str">
        <f ca="1">VLOOKUP($C153,OFFSET(enemy_skills!$A$1,0,0,COUNTA(enemy_skills!$A:$A),MATCH(E$1,enemy_skills!$1:$1,0)-MATCH("enemy_skill_id",enemy_skills!$1:$1,0)+1),MATCH(E$1,enemy_skills!$1:$1,0)-MATCH("enemy_skill_id",enemy_skills!$1:$1,0)+1,FALSE)</f>
        <v>5ターン回復効果付与</v>
      </c>
      <c r="F153" s="180">
        <v>47007502</v>
      </c>
      <c r="G153" s="48">
        <f ca="1">VLOOKUP($F153,OFFSET(enemy_skill_triggers!$A$1,0,0,COUNTA(enemy_skill_triggers!$A:$A),MATCH(G$1,enemy_skill_triggers!$1:$1,0)-MATCH($F$1,enemy_skill_triggers!$1:$1,0)+1),MATCH(G$1,enemy_skill_triggers!$1:$1,0)-MATCH($F$1,enemy_skill_triggers!$1:$1,0)+1,FALSE)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3" s="48">
        <f ca="1">VLOOKUP($F153,OFFSET(enemy_skill_triggers!$A$1,0,0,COUNTA(enemy_skill_triggers!$A:$A),MATCH(H$1,enemy_skill_triggers!$1:$1,0)-MATCH($F$1,enemy_skill_triggers!$1:$1,0)+1),MATCH(H$1,enemy_skill_triggers!$1:$1,0)-MATCH($F$1,enemy_skill_triggers!$1:$1,0)+1,FALSE)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53" s="48">
        <f ca="1">VLOOKUP($F153,OFFSET(enemy_skill_triggers!$A$1,0,0,COUNTA(enemy_skill_triggers!$A:$A),MATCH(I$1,enemy_skill_triggers!$1:$1,0)-MATCH($F$1,enemy_skill_triggers!$1:$1,0)+1),MATCH(I$1,enemy_skill_triggers!$1:$1,0)-MATCH($F$1,enemy_skill_triggers!$1:$1,0)+1,FALSE)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3" s="48" t="str">
        <f ca="1">VLOOKUP($F153,OFFSET(enemy_skill_triggers!$A$1,0,0,COUNTA(enemy_skill_triggers!$A:$A),MATCH(J$1,enemy_skill_triggers!$1:$1,0)-MATCH($F$1,enemy_skill_triggers!$1:$1,0)+1),MATCH(J$1,enemy_skill_triggers!$1:$1,0)-MATCH($F$1,enemy_skill_triggers!$1:$1,0)+1,FALSE)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3" s="48" t="str">
        <f ca="1">VLOOKUP($F153,OFFSET(enemy_skill_triggers!$A$1,0,0,COUNTA(enemy_skill_triggers!$A:$A),MATCH(K$1,enemy_skill_triggers!$1:$1,0)-MATCH($F$1,enemy_skill_triggers!$1:$1,0)+1),MATCH(K$1,enemy_skill_triggers!$1:$1,0)-MATCH($F$1,enemy_skill_triggers!$1:$1,0)+1,FALSE)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3" s="48">
        <f ca="1">VLOOKUP($F153,OFFSET(enemy_skill_triggers!$A$1,0,0,COUNTA(enemy_skill_triggers!$A:$A),MATCH(L$1,enemy_skill_triggers!$1:$1,0)-MATCH($F$1,enemy_skill_triggers!$1:$1,0)+1),MATCH(L$1,enemy_skill_triggers!$1:$1,0)-MATCH($F$1,enemy_skill_triggers!$1:$1,0)+1,FALSE)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3" s="48" t="str">
        <f ca="1">VLOOKUP($F153,OFFSET(enemy_skill_triggers!$A$1,0,0,COUNTA(enemy_skill_triggers!$A:$A),MATCH(M$1,enemy_skill_triggers!$1:$1,0)-MATCH($F$1,enemy_skill_triggers!$1:$1,0)+1),MATCH(M$1,enemy_skill_triggers!$1:$1,0)-MATCH($F$1,enemy_skill_triggers!$1:$1,0)+1,FALSE)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3" s="48" t="str">
        <f ca="1">VLOOKUP($F153,OFFSET(enemy_skill_triggers!$A$1,0,0,COUNTA(enemy_skill_triggers!$A:$A),MATCH(N$1,enemy_skill_triggers!$1:$1,0)-MATCH($F$1,enemy_skill_triggers!$1:$1,0)+1),MATCH(N$1,enemy_skill_triggers!$1:$1,0)-MATCH($F$1,enemy_skill_triggers!$1:$1,0)+1,FALSE)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3" s="48">
        <f ca="1">VLOOKUP($F153,OFFSET(enemy_skill_triggers!$A$1,0,0,COUNTA(enemy_skill_triggers!$A:$A),MATCH(O$1,enemy_skill_triggers!$1:$1,0)-MATCH($F$1,enemy_skill_triggers!$1:$1,0)+1),MATCH(O$1,enemy_skill_triggers!$1:$1,0)-MATCH($F$1,enemy_skill_triggers!$1:$1,0)+1,FALSE)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3" s="47"/>
      <c r="Q153" s="47"/>
      <c r="R153" s="47"/>
    </row>
    <row r="154" spans="1:18" ht="21" customHeight="1" x14ac:dyDescent="0.15">
      <c r="A154" s="39" t="str">
        <f t="shared" si="16"/>
        <v>47007115_47007503</v>
      </c>
      <c r="B154" s="169">
        <v>47007115</v>
      </c>
      <c r="C154" s="169">
        <v>47007503</v>
      </c>
      <c r="D154" s="46" t="str">
        <f ca="1">VLOOKUP($C154,OFFSET(enemy_skills!$A$1,0,0,COUNTA(enemy_skills!$A:$A),MATCH(D$1,enemy_skills!$1:$1,0)-MATCH("enemy_skill_id",enemy_skills!$1:$1,0)+1),MATCH(D$1,enemy_skills!$1:$1,0)-MATCH("enemy_skill_id",enemy_skills!$1:$1,0)+1,FALSE)</f>
        <v>あ…それ失敗作…！かかか返して…！</v>
      </c>
      <c r="E154" s="46" t="str">
        <f ca="1">VLOOKUP($C154,OFFSET(enemy_skills!$A$1,0,0,COUNTA(enemy_skills!$A:$A),MATCH(E$1,enemy_skills!$1:$1,0)-MATCH("enemy_skill_id",enemy_skills!$1:$1,0)+1),MATCH(E$1,enemy_skills!$1:$1,0)-MATCH("enemy_skill_id",enemy_skills!$1:$1,0)+1,FALSE)</f>
        <v>強力な全体攻撃+5ターンウィルス</v>
      </c>
      <c r="F154" s="180">
        <v>47007503</v>
      </c>
      <c r="G154" s="48">
        <f ca="1">VLOOKUP($F154,OFFSET(enemy_skill_triggers!$A$1,0,0,COUNTA(enemy_skill_triggers!$A:$A),MATCH(G$1,enemy_skill_triggers!$1:$1,0)-MATCH($F$1,enemy_skill_triggers!$1:$1,0)+1),MATCH(G$1,enemy_skill_triggers!$1:$1,0)-MATCH($F$1,enemy_skill_triggers!$1:$1,0)+1,FALSE)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4" s="48">
        <f ca="1">VLOOKUP($F154,OFFSET(enemy_skill_triggers!$A$1,0,0,COUNTA(enemy_skill_triggers!$A:$A),MATCH(H$1,enemy_skill_triggers!$1:$1,0)-MATCH($F$1,enemy_skill_triggers!$1:$1,0)+1),MATCH(H$1,enemy_skill_triggers!$1:$1,0)-MATCH($F$1,enemy_skill_triggers!$1:$1,0)+1,FALSE)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154" s="48">
        <f ca="1">VLOOKUP($F154,OFFSET(enemy_skill_triggers!$A$1,0,0,COUNTA(enemy_skill_triggers!$A:$A),MATCH(I$1,enemy_skill_triggers!$1:$1,0)-MATCH($F$1,enemy_skill_triggers!$1:$1,0)+1),MATCH(I$1,enemy_skill_triggers!$1:$1,0)-MATCH($F$1,enemy_skill_triggers!$1:$1,0)+1,FALSE)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4" s="48" t="str">
        <f ca="1">VLOOKUP($F154,OFFSET(enemy_skill_triggers!$A$1,0,0,COUNTA(enemy_skill_triggers!$A:$A),MATCH(J$1,enemy_skill_triggers!$1:$1,0)-MATCH($F$1,enemy_skill_triggers!$1:$1,0)+1),MATCH(J$1,enemy_skill_triggers!$1:$1,0)-MATCH($F$1,enemy_skill_triggers!$1:$1,0)+1,FALSE)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4" s="48" t="str">
        <f ca="1">VLOOKUP($F154,OFFSET(enemy_skill_triggers!$A$1,0,0,COUNTA(enemy_skill_triggers!$A:$A),MATCH(K$1,enemy_skill_triggers!$1:$1,0)-MATCH($F$1,enemy_skill_triggers!$1:$1,0)+1),MATCH(K$1,enemy_skill_triggers!$1:$1,0)-MATCH($F$1,enemy_skill_triggers!$1:$1,0)+1,FALSE)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4" s="48">
        <f ca="1">VLOOKUP($F154,OFFSET(enemy_skill_triggers!$A$1,0,0,COUNTA(enemy_skill_triggers!$A:$A),MATCH(L$1,enemy_skill_triggers!$1:$1,0)-MATCH($F$1,enemy_skill_triggers!$1:$1,0)+1),MATCH(L$1,enemy_skill_triggers!$1:$1,0)-MATCH($F$1,enemy_skill_triggers!$1:$1,0)+1,FALSE)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4" s="48" t="str">
        <f ca="1">VLOOKUP($F154,OFFSET(enemy_skill_triggers!$A$1,0,0,COUNTA(enemy_skill_triggers!$A:$A),MATCH(M$1,enemy_skill_triggers!$1:$1,0)-MATCH($F$1,enemy_skill_triggers!$1:$1,0)+1),MATCH(M$1,enemy_skill_triggers!$1:$1,0)-MATCH($F$1,enemy_skill_triggers!$1:$1,0)+1,FALSE)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4" s="48" t="str">
        <f ca="1">VLOOKUP($F154,OFFSET(enemy_skill_triggers!$A$1,0,0,COUNTA(enemy_skill_triggers!$A:$A),MATCH(N$1,enemy_skill_triggers!$1:$1,0)-MATCH($F$1,enemy_skill_triggers!$1:$1,0)+1),MATCH(N$1,enemy_skill_triggers!$1:$1,0)-MATCH($F$1,enemy_skill_triggers!$1:$1,0)+1,FALSE)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4" s="48">
        <f ca="1">VLOOKUP($F154,OFFSET(enemy_skill_triggers!$A$1,0,0,COUNTA(enemy_skill_triggers!$A:$A),MATCH(O$1,enemy_skill_triggers!$1:$1,0)-MATCH($F$1,enemy_skill_triggers!$1:$1,0)+1),MATCH(O$1,enemy_skill_triggers!$1:$1,0)-MATCH($F$1,enemy_skill_triggers!$1:$1,0)+1,FALSE)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4" s="47"/>
      <c r="Q154" s="47"/>
      <c r="R154" s="47"/>
    </row>
    <row r="155" spans="1:18" ht="21" customHeight="1" x14ac:dyDescent="0.15">
      <c r="A155" s="39" t="str">
        <f t="shared" si="16"/>
        <v>47007115_47007504</v>
      </c>
      <c r="B155" s="169">
        <v>47007115</v>
      </c>
      <c r="C155" s="169">
        <v>47007504</v>
      </c>
      <c r="D155" s="46" t="str">
        <f ca="1">VLOOKUP($C155,OFFSET(enemy_skills!$A$1,0,0,COUNTA(enemy_skills!$A:$A),MATCH(D$1,enemy_skills!$1:$1,0)-MATCH("enemy_skill_id",enemy_skills!$1:$1,0)+1),MATCH(D$1,enemy_skills!$1:$1,0)-MATCH("enemy_skill_id",enemy_skills!$1:$1,0)+1,FALSE)</f>
        <v>ご…ごめん！怪我はない…？</v>
      </c>
      <c r="E155" s="46" t="str">
        <f ca="1">VLOOKUP($C155,OFFSET(enemy_skills!$A$1,0,0,COUNTA(enemy_skills!$A:$A),MATCH(E$1,enemy_skills!$1:$1,0)-MATCH("enemy_skill_id",enemy_skills!$1:$1,0)+1),MATCH(E$1,enemy_skills!$1:$1,0)-MATCH("enemy_skill_id",enemy_skills!$1:$1,0)+1,FALSE)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ランダムでハートパネルに最大10個変換</v>
      </c>
      <c r="F155" s="180">
        <v>47007504</v>
      </c>
      <c r="G155" s="48">
        <f ca="1">VLOOKUP($F155,OFFSET(enemy_skill_triggers!$A$1,0,0,COUNTA(enemy_skill_triggers!$A:$A),MATCH(G$1,enemy_skill_triggers!$1:$1,0)-MATCH($F$1,enemy_skill_triggers!$1:$1,0)+1),MATCH(G$1,enemy_skill_triggers!$1:$1,0)-MATCH($F$1,enemy_skill_triggers!$1:$1,0)+1,FALSE)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5" s="48">
        <f ca="1">VLOOKUP($F155,OFFSET(enemy_skill_triggers!$A$1,0,0,COUNTA(enemy_skill_triggers!$A:$A),MATCH(H$1,enemy_skill_triggers!$1:$1,0)-MATCH($F$1,enemy_skill_triggers!$1:$1,0)+1),MATCH(H$1,enemy_skill_triggers!$1:$1,0)-MATCH($F$1,enemy_skill_triggers!$1:$1,0)+1,FALSE)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155" s="48">
        <f ca="1">VLOOKUP($F155,OFFSET(enemy_skill_triggers!$A$1,0,0,COUNTA(enemy_skill_triggers!$A:$A),MATCH(I$1,enemy_skill_triggers!$1:$1,0)-MATCH($F$1,enemy_skill_triggers!$1:$1,0)+1),MATCH(I$1,enemy_skill_triggers!$1:$1,0)-MATCH($F$1,enemy_skill_triggers!$1:$1,0)+1,FALSE)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5" s="48" t="str">
        <f ca="1">VLOOKUP($F155,OFFSET(enemy_skill_triggers!$A$1,0,0,COUNTA(enemy_skill_triggers!$A:$A),MATCH(J$1,enemy_skill_triggers!$1:$1,0)-MATCH($F$1,enemy_skill_triggers!$1:$1,0)+1),MATCH(J$1,enemy_skill_triggers!$1:$1,0)-MATCH($F$1,enemy_skill_triggers!$1:$1,0)+1,FALSE)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5" s="48" t="str">
        <f ca="1">VLOOKUP($F155,OFFSET(enemy_skill_triggers!$A$1,0,0,COUNTA(enemy_skill_triggers!$A:$A),MATCH(K$1,enemy_skill_triggers!$1:$1,0)-MATCH($F$1,enemy_skill_triggers!$1:$1,0)+1),MATCH(K$1,enemy_skill_triggers!$1:$1,0)-MATCH($F$1,enemy_skill_triggers!$1:$1,0)+1,FALSE)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5" s="48">
        <f ca="1">VLOOKUP($F155,OFFSET(enemy_skill_triggers!$A$1,0,0,COUNTA(enemy_skill_triggers!$A:$A),MATCH(L$1,enemy_skill_triggers!$1:$1,0)-MATCH($F$1,enemy_skill_triggers!$1:$1,0)+1),MATCH(L$1,enemy_skill_triggers!$1:$1,0)-MATCH($F$1,enemy_skill_triggers!$1:$1,0)+1,FALSE)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5" s="48" t="str">
        <f ca="1">VLOOKUP($F155,OFFSET(enemy_skill_triggers!$A$1,0,0,COUNTA(enemy_skill_triggers!$A:$A),MATCH(M$1,enemy_skill_triggers!$1:$1,0)-MATCH($F$1,enemy_skill_triggers!$1:$1,0)+1),MATCH(M$1,enemy_skill_triggers!$1:$1,0)-MATCH($F$1,enemy_skill_triggers!$1:$1,0)+1,FALSE)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5" s="48" t="str">
        <f ca="1">VLOOKUP($F155,OFFSET(enemy_skill_triggers!$A$1,0,0,COUNTA(enemy_skill_triggers!$A:$A),MATCH(N$1,enemy_skill_triggers!$1:$1,0)-MATCH($F$1,enemy_skill_triggers!$1:$1,0)+1),MATCH(N$1,enemy_skill_triggers!$1:$1,0)-MATCH($F$1,enemy_skill_triggers!$1:$1,0)+1,FALSE)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5" s="48">
        <f ca="1">VLOOKUP($F155,OFFSET(enemy_skill_triggers!$A$1,0,0,COUNTA(enemy_skill_triggers!$A:$A),MATCH(O$1,enemy_skill_triggers!$1:$1,0)-MATCH($F$1,enemy_skill_triggers!$1:$1,0)+1),MATCH(O$1,enemy_skill_triggers!$1:$1,0)-MATCH($F$1,enemy_skill_triggers!$1:$1,0)+1,FALSE)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5" s="47"/>
      <c r="Q155" s="47"/>
      <c r="R155" s="47"/>
    </row>
    <row r="156" spans="1:18" ht="21" customHeight="1" x14ac:dyDescent="0.15">
      <c r="A156" s="39" t="str">
        <f t="shared" si="16"/>
        <v>47007115_47007582</v>
      </c>
      <c r="B156" s="169">
        <v>47007115</v>
      </c>
      <c r="C156" s="169">
        <v>47007582</v>
      </c>
      <c r="D156" s="46" t="str">
        <f ca="1">VLOOKUP($C156,OFFSET(enemy_skills!$A$1,0,0,COUNTA(enemy_skills!$A:$A),MATCH(D$1,enemy_skills!$1:$1,0)-MATCH("enemy_skill_id",enemy_skills!$1:$1,0)+1),MATCH(D$1,enemy_skills!$1:$1,0)-MATCH("enemy_skill_id",enemy_skills!$1:$1,0)+1,FALSE)</f>
        <v>…って近い！近いっ！_x000D_(…顔赤いのバレてないかなぁ)</v>
      </c>
      <c r="E156" s="46" t="str">
        <f ca="1">VLOOKUP($C156,OFFSET(enemy_skills!$A$1,0,0,COUNTA(enemy_skills!$A:$A),MATCH(E$1,enemy_skills!$1:$1,0)-MATCH("enemy_skill_id",enemy_skills!$1:$1,0)+1),MATCH(E$1,enemy_skills!$1:$1,0)-MATCH("enemy_skill_id",enemy_skills!$1:$1,0)+1,FALSE)</f>
        <v>強力なクリティカル！</v>
      </c>
      <c r="F156" s="180">
        <v>47007505</v>
      </c>
      <c r="G156" s="48">
        <f ca="1">VLOOKUP($F156,OFFSET(enemy_skill_triggers!$A$1,0,0,COUNTA(enemy_skill_triggers!$A:$A),MATCH(G$1,enemy_skill_triggers!$1:$1,0)-MATCH($F$1,enemy_skill_triggers!$1:$1,0)+1),MATCH(G$1,enemy_skill_triggers!$1:$1,0)-MATCH($F$1,enemy_skill_triggers!$1:$1,0)+1,FALSE)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6" s="48">
        <f ca="1">VLOOKUP($F156,OFFSET(enemy_skill_triggers!$A$1,0,0,COUNTA(enemy_skill_triggers!$A:$A),MATCH(H$1,enemy_skill_triggers!$1:$1,0)-MATCH($F$1,enemy_skill_triggers!$1:$1,0)+1),MATCH(H$1,enemy_skill_triggers!$1:$1,0)-MATCH($F$1,enemy_skill_triggers!$1:$1,0)+1,FALSE)</f>
        <v>47</v>
      </c>
      <c r="I156" s="48">
        <f ca="1">VLOOKUP($F156,OFFSET(enemy_skill_triggers!$A$1,0,0,COUNTA(enemy_skill_triggers!$A:$A),MATCH(I$1,enemy_skill_triggers!$1:$1,0)-MATCH($F$1,enemy_skill_triggers!$1:$1,0)+1),MATCH(I$1,enemy_skill_triggers!$1:$1,0)-MATCH($F$1,enemy_skill_triggers!$1:$1,0)+1,FALSE)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6" s="48" t="str">
        <f ca="1">VLOOKUP($F156,OFFSET(enemy_skill_triggers!$A$1,0,0,COUNTA(enemy_skill_triggers!$A:$A),MATCH(J$1,enemy_skill_triggers!$1:$1,0)-MATCH($F$1,enemy_skill_triggers!$1:$1,0)+1),MATCH(J$1,enemy_skill_triggers!$1:$1,0)-MATCH($F$1,enemy_skill_triggers!$1:$1,0)+1,FALSE)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6" s="48" t="str">
        <f ca="1">VLOOKUP($F156,OFFSET(enemy_skill_triggers!$A$1,0,0,COUNTA(enemy_skill_triggers!$A:$A),MATCH(K$1,enemy_skill_triggers!$1:$1,0)-MATCH($F$1,enemy_skill_triggers!$1:$1,0)+1),MATCH(K$1,enemy_skill_triggers!$1:$1,0)-MATCH($F$1,enemy_skill_triggers!$1:$1,0)+1,FALSE)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6" s="48">
        <f ca="1">VLOOKUP($F156,OFFSET(enemy_skill_triggers!$A$1,0,0,COUNTA(enemy_skill_triggers!$A:$A),MATCH(L$1,enemy_skill_triggers!$1:$1,0)-MATCH($F$1,enemy_skill_triggers!$1:$1,0)+1),MATCH(L$1,enemy_skill_triggers!$1:$1,0)-MATCH($F$1,enemy_skill_triggers!$1:$1,0)+1,FALSE)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6" s="48" t="str">
        <f ca="1">VLOOKUP($F156,OFFSET(enemy_skill_triggers!$A$1,0,0,COUNTA(enemy_skill_triggers!$A:$A),MATCH(M$1,enemy_skill_triggers!$1:$1,0)-MATCH($F$1,enemy_skill_triggers!$1:$1,0)+1),MATCH(M$1,enemy_skill_triggers!$1:$1,0)-MATCH($F$1,enemy_skill_triggers!$1:$1,0)+1,FALSE)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6" s="48" t="str">
        <f ca="1">VLOOKUP($F156,OFFSET(enemy_skill_triggers!$A$1,0,0,COUNTA(enemy_skill_triggers!$A:$A),MATCH(N$1,enemy_skill_triggers!$1:$1,0)-MATCH($F$1,enemy_skill_triggers!$1:$1,0)+1),MATCH(N$1,enemy_skill_triggers!$1:$1,0)-MATCH($F$1,enemy_skill_triggers!$1:$1,0)+1,FALSE)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6" s="48">
        <f ca="1">VLOOKUP($F156,OFFSET(enemy_skill_triggers!$A$1,0,0,COUNTA(enemy_skill_triggers!$A:$A),MATCH(O$1,enemy_skill_triggers!$1:$1,0)-MATCH($F$1,enemy_skill_triggers!$1:$1,0)+1),MATCH(O$1,enemy_skill_triggers!$1:$1,0)-MATCH($F$1,enemy_skill_triggers!$1:$1,0)+1,FALSE)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6" s="47"/>
      <c r="Q156" s="47"/>
      <c r="R156" s="47"/>
    </row>
    <row r="157" spans="1:18" ht="21" customHeight="1" x14ac:dyDescent="0.15">
      <c r="A157" s="39" t="str">
        <f t="shared" si="16"/>
        <v>47007115_47007507</v>
      </c>
      <c r="B157" s="169">
        <v>47007115</v>
      </c>
      <c r="C157" s="170">
        <v>47007507</v>
      </c>
      <c r="D157" s="46" t="str">
        <f ca="1">VLOOKUP($C157,OFFSET(enemy_skills!$A$1,0,0,COUNTA(enemy_skills!$A:$A),MATCH(D$1,enemy_skills!$1:$1,0)-MATCH("enemy_skill_id",enemy_skills!$1:$1,0)+1),MATCH(D$1,enemy_skills!$1:$1,0)-MATCH("enemy_skill_id",enemy_skills!$1:$1,0)+1,FALSE)</f>
        <v>(仕切り直しよ…仕切り直し…！)</v>
      </c>
      <c r="E157" s="46" t="str">
        <f ca="1">VLOOKUP($C157,OFFSET(enemy_skills!$A$1,0,0,COUNTA(enemy_skills!$A:$A),MATCH(E$1,enemy_skills!$1:$1,0)-MATCH("enemy_skill_id",enemy_skills!$1:$1,0)+1),MATCH(E$1,enemy_skills!$1:$1,0)-MATCH("enemy_skill_id",enemy_skills!$1:$1,0)+1,FALSE)</f>
        <v>黄パネルを吸収する程、ダメージがDOWNする攻撃</v>
      </c>
      <c r="F157" s="180">
        <v>47007506</v>
      </c>
      <c r="G157" s="48">
        <f ca="1">VLOOKUP($F157,OFFSET(enemy_skill_triggers!$A$1,0,0,COUNTA(enemy_skill_triggers!$A:$A),MATCH(G$1,enemy_skill_triggers!$1:$1,0)-MATCH($F$1,enemy_skill_triggers!$1:$1,0)+1),MATCH(G$1,enemy_skill_triggers!$1:$1,0)-MATCH($F$1,enemy_skill_triggers!$1:$1,0)+1,FALSE)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7" s="48">
        <f ca="1">VLOOKUP($F157,OFFSET(enemy_skill_triggers!$A$1,0,0,COUNTA(enemy_skill_triggers!$A:$A),MATCH(H$1,enemy_skill_triggers!$1:$1,0)-MATCH($F$1,enemy_skill_triggers!$1:$1,0)+1),MATCH(H$1,enemy_skill_triggers!$1:$1,0)-MATCH($F$1,enemy_skill_triggers!$1:$1,0)+1,FALSE)</f>
        <v>46</v>
      </c>
      <c r="I157" s="48">
        <f ca="1">VLOOKUP($F157,OFFSET(enemy_skill_triggers!$A$1,0,0,COUNTA(enemy_skill_triggers!$A:$A),MATCH(I$1,enemy_skill_triggers!$1:$1,0)-MATCH($F$1,enemy_skill_triggers!$1:$1,0)+1),MATCH(I$1,enemy_skill_triggers!$1:$1,0)-MATCH($F$1,enemy_skill_triggers!$1:$1,0)+1,FALSE)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7" s="48" t="str">
        <f ca="1">VLOOKUP($F157,OFFSET(enemy_skill_triggers!$A$1,0,0,COUNTA(enemy_skill_triggers!$A:$A),MATCH(J$1,enemy_skill_triggers!$1:$1,0)-MATCH($F$1,enemy_skill_triggers!$1:$1,0)+1),MATCH(J$1,enemy_skill_triggers!$1:$1,0)-MATCH($F$1,enemy_skill_triggers!$1:$1,0)+1,FALSE)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7" s="48" t="str">
        <f ca="1">VLOOKUP($F157,OFFSET(enemy_skill_triggers!$A$1,0,0,COUNTA(enemy_skill_triggers!$A:$A),MATCH(K$1,enemy_skill_triggers!$1:$1,0)-MATCH($F$1,enemy_skill_triggers!$1:$1,0)+1),MATCH(K$1,enemy_skill_triggers!$1:$1,0)-MATCH($F$1,enemy_skill_triggers!$1:$1,0)+1,FALSE)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7" s="48" t="str">
        <f ca="1">VLOOKUP($F157,OFFSET(enemy_skill_triggers!$A$1,0,0,COUNTA(enemy_skill_triggers!$A:$A),MATCH(L$1,enemy_skill_triggers!$1:$1,0)-MATCH($F$1,enemy_skill_triggers!$1:$1,0)+1),MATCH(L$1,enemy_skill_triggers!$1:$1,0)-MATCH($F$1,enemy_skill_triggers!$1:$1,0)+1,FALSE)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7" s="48" t="str">
        <f ca="1">VLOOKUP($F157,OFFSET(enemy_skill_triggers!$A$1,0,0,COUNTA(enemy_skill_triggers!$A:$A),MATCH(M$1,enemy_skill_triggers!$1:$1,0)-MATCH($F$1,enemy_skill_triggers!$1:$1,0)+1),MATCH(M$1,enemy_skill_triggers!$1:$1,0)-MATCH($F$1,enemy_skill_triggers!$1:$1,0)+1,FALSE)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7" s="48" t="str">
        <f ca="1">VLOOKUP($F157,OFFSET(enemy_skill_triggers!$A$1,0,0,COUNTA(enemy_skill_triggers!$A:$A),MATCH(N$1,enemy_skill_triggers!$1:$1,0)-MATCH($F$1,enemy_skill_triggers!$1:$1,0)+1),MATCH(N$1,enemy_skill_triggers!$1:$1,0)-MATCH($F$1,enemy_skill_triggers!$1:$1,0)+1,FALSE)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7" s="48">
        <f ca="1">VLOOKUP($F157,OFFSET(enemy_skill_triggers!$A$1,0,0,COUNTA(enemy_skill_triggers!$A:$A),MATCH(O$1,enemy_skill_triggers!$1:$1,0)-MATCH($F$1,enemy_skill_triggers!$1:$1,0)+1),MATCH(O$1,enemy_skill_triggers!$1:$1,0)-MATCH($F$1,enemy_skill_triggers!$1:$1,0)+1,FALSE)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7" s="47"/>
      <c r="Q157" s="47"/>
      <c r="R157" s="47"/>
    </row>
    <row r="158" spans="1:18" ht="21" customHeight="1" x14ac:dyDescent="0.15">
      <c r="A158" s="39" t="str">
        <f t="shared" si="16"/>
        <v>47007116_47007601</v>
      </c>
      <c r="B158" s="169">
        <v>47007116</v>
      </c>
      <c r="C158" s="169">
        <v>47007601</v>
      </c>
      <c r="D158" s="46" t="str">
        <f ca="1">VLOOKUP($C158,OFFSET(enemy_skills!$A$1,0,0,COUNTA(enemy_skills!$A:$A),MATCH(D$1,enemy_skills!$1:$1,0)-MATCH("enemy_skill_id",enemy_skills!$1:$1,0)+1),MATCH(D$1,enemy_skills!$1:$1,0)-MATCH("enemy_skill_id",enemy_skills!$1:$1,0)+1,FALSE)</f>
        <v>こ、これ！チョコ！_x000D_あんたのために…作ったの…！</v>
      </c>
      <c r="E158" s="46" t="str">
        <f ca="1">VLOOKUP($C158,OFFSET(enemy_skills!$A$1,0,0,COUNTA(enemy_skills!$A:$A),MATCH(E$1,enemy_skills!$1:$1,0)-MATCH("enemy_skill_id",enemy_skills!$1:$1,0)+1),MATCH(E$1,enemy_skills!$1:$1,0)-MATCH("enemy_skill_id",enemy_skills!$1:$1,0)+1,FALSE)</f>
        <v>状態異常耐性+3ターン後に残りHPの200%ダメージ！_x000D_【目をつむって真っ赤になっている…】</v>
      </c>
      <c r="F158" s="180">
        <v>47007601</v>
      </c>
      <c r="G158" s="48">
        <f ca="1">VLOOKUP($F158,OFFSET(enemy_skill_triggers!$A$1,0,0,COUNTA(enemy_skill_triggers!$A:$A),MATCH(G$1,enemy_skill_triggers!$1:$1,0)-MATCH($F$1,enemy_skill_triggers!$1:$1,0)+1),MATCH(G$1,enemy_skill_triggers!$1:$1,0)-MATCH($F$1,enemy_skill_triggers!$1:$1,0)+1,FALSE)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8" s="48" t="str">
        <f ca="1">VLOOKUP($F158,OFFSET(enemy_skill_triggers!$A$1,0,0,COUNTA(enemy_skill_triggers!$A:$A),MATCH(H$1,enemy_skill_triggers!$1:$1,0)-MATCH($F$1,enemy_skill_triggers!$1:$1,0)+1),MATCH(H$1,enemy_skill_triggers!$1:$1,0)-MATCH($F$1,enemy_skill_triggers!$1:$1,0)+1,FALSE)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8" s="48">
        <f ca="1">VLOOKUP($F158,OFFSET(enemy_skill_triggers!$A$1,0,0,COUNTA(enemy_skill_triggers!$A:$A),MATCH(I$1,enemy_skill_triggers!$1:$1,0)-MATCH($F$1,enemy_skill_triggers!$1:$1,0)+1),MATCH(I$1,enemy_skill_triggers!$1:$1,0)-MATCH($F$1,enemy_skill_triggers!$1:$1,0)+1,FALSE)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8" s="48" t="str">
        <f ca="1">VLOOKUP($F158,OFFSET(enemy_skill_triggers!$A$1,0,0,COUNTA(enemy_skill_triggers!$A:$A),MATCH(J$1,enemy_skill_triggers!$1:$1,0)-MATCH($F$1,enemy_skill_triggers!$1:$1,0)+1),MATCH(J$1,enemy_skill_triggers!$1:$1,0)-MATCH($F$1,enemy_skill_triggers!$1:$1,0)+1,FALSE)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8" s="48" t="str">
        <f ca="1">VLOOKUP($F158,OFFSET(enemy_skill_triggers!$A$1,0,0,COUNTA(enemy_skill_triggers!$A:$A),MATCH(K$1,enemy_skill_triggers!$1:$1,0)-MATCH($F$1,enemy_skill_triggers!$1:$1,0)+1),MATCH(K$1,enemy_skill_triggers!$1:$1,0)-MATCH($F$1,enemy_skill_triggers!$1:$1,0)+1,FALSE)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8" s="48">
        <f ca="1">VLOOKUP($F158,OFFSET(enemy_skill_triggers!$A$1,0,0,COUNTA(enemy_skill_triggers!$A:$A),MATCH(L$1,enemy_skill_triggers!$1:$1,0)-MATCH($F$1,enemy_skill_triggers!$1:$1,0)+1),MATCH(L$1,enemy_skill_triggers!$1:$1,0)-MATCH($F$1,enemy_skill_triggers!$1:$1,0)+1,FALSE)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8" s="48" t="str">
        <f ca="1">VLOOKUP($F158,OFFSET(enemy_skill_triggers!$A$1,0,0,COUNTA(enemy_skill_triggers!$A:$A),MATCH(M$1,enemy_skill_triggers!$1:$1,0)-MATCH($F$1,enemy_skill_triggers!$1:$1,0)+1),MATCH(M$1,enemy_skill_triggers!$1:$1,0)-MATCH($F$1,enemy_skill_triggers!$1:$1,0)+1,FALSE)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8" s="48" t="str">
        <f ca="1">VLOOKUP($F158,OFFSET(enemy_skill_triggers!$A$1,0,0,COUNTA(enemy_skill_triggers!$A:$A),MATCH(N$1,enemy_skill_triggers!$1:$1,0)-MATCH($F$1,enemy_skill_triggers!$1:$1,0)+1),MATCH(N$1,enemy_skill_triggers!$1:$1,0)-MATCH($F$1,enemy_skill_triggers!$1:$1,0)+1,FALSE)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8" s="48">
        <f ca="1">VLOOKUP($F158,OFFSET(enemy_skill_triggers!$A$1,0,0,COUNTA(enemy_skill_triggers!$A:$A),MATCH(O$1,enemy_skill_triggers!$1:$1,0)-MATCH($F$1,enemy_skill_triggers!$1:$1,0)+1),MATCH(O$1,enemy_skill_triggers!$1:$1,0)-MATCH($F$1,enemy_skill_triggers!$1:$1,0)+1,FALSE)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8" s="47"/>
      <c r="Q158" s="47"/>
      <c r="R158" s="47"/>
    </row>
    <row r="159" spans="1:18" ht="21" customHeight="1" x14ac:dyDescent="0.15">
      <c r="A159" s="39" t="str">
        <f t="shared" si="16"/>
        <v>47007116_47007681</v>
      </c>
      <c r="B159" s="169">
        <v>47007116</v>
      </c>
      <c r="C159" s="169">
        <v>47007681</v>
      </c>
      <c r="D159" s="46" t="str">
        <f ca="1">VLOOKUP($C159,OFFSET(enemy_skills!$A$1,0,0,COUNTA(enemy_skills!$A:$A),MATCH(D$1,enemy_skills!$1:$1,0)-MATCH("enemy_skill_id",enemy_skills!$1:$1,0)+1),MATCH(D$1,enemy_skills!$1:$1,0)-MATCH("enemy_skill_id",enemy_skills!$1:$1,0)+1,FALSE)</f>
        <v>(お願い…受け取って…！)</v>
      </c>
      <c r="E159" s="46" t="str">
        <f ca="1">VLOOKUP($C159,OFFSET(enemy_skills!$A$1,0,0,COUNTA(enemy_skills!$A:$A),MATCH(E$1,enemy_skills!$1:$1,0)-MATCH("enemy_skill_id",enemy_skills!$1:$1,0)+1),MATCH(E$1,enemy_skills!$1:$1,0)-MATCH("enemy_skill_id",enemy_skills!$1:$1,0)+1,FALSE)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ランダムでハートパネルに最大23個変換_x000D_【両肩が小刻みに震えている…】</v>
      </c>
      <c r="F159" s="180">
        <v>47007602</v>
      </c>
      <c r="G159" s="48">
        <f ca="1">VLOOKUP($F159,OFFSET(enemy_skill_triggers!$A$1,0,0,COUNTA(enemy_skill_triggers!$A:$A),MATCH(G$1,enemy_skill_triggers!$1:$1,0)-MATCH($F$1,enemy_skill_triggers!$1:$1,0)+1),MATCH(G$1,enemy_skill_triggers!$1:$1,0)-MATCH($F$1,enemy_skill_triggers!$1:$1,0)+1,FALSE)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9" s="48">
        <f ca="1">VLOOKUP($F159,OFFSET(enemy_skill_triggers!$A$1,0,0,COUNTA(enemy_skill_triggers!$A:$A),MATCH(H$1,enemy_skill_triggers!$1:$1,0)-MATCH($F$1,enemy_skill_triggers!$1:$1,0)+1),MATCH(H$1,enemy_skill_triggers!$1:$1,0)-MATCH($F$1,enemy_skill_triggers!$1:$1,0)+1,FALSE)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59" s="48">
        <f ca="1">VLOOKUP($F159,OFFSET(enemy_skill_triggers!$A$1,0,0,COUNTA(enemy_skill_triggers!$A:$A),MATCH(I$1,enemy_skill_triggers!$1:$1,0)-MATCH($F$1,enemy_skill_triggers!$1:$1,0)+1),MATCH(I$1,enemy_skill_triggers!$1:$1,0)-MATCH($F$1,enemy_skill_triggers!$1:$1,0)+1,FALSE)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9" s="48" t="str">
        <f ca="1">VLOOKUP($F159,OFFSET(enemy_skill_triggers!$A$1,0,0,COUNTA(enemy_skill_triggers!$A:$A),MATCH(J$1,enemy_skill_triggers!$1:$1,0)-MATCH($F$1,enemy_skill_triggers!$1:$1,0)+1),MATCH(J$1,enemy_skill_triggers!$1:$1,0)-MATCH($F$1,enemy_skill_triggers!$1:$1,0)+1,FALSE)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9" s="48" t="str">
        <f ca="1">VLOOKUP($F159,OFFSET(enemy_skill_triggers!$A$1,0,0,COUNTA(enemy_skill_triggers!$A:$A),MATCH(K$1,enemy_skill_triggers!$1:$1,0)-MATCH($F$1,enemy_skill_triggers!$1:$1,0)+1),MATCH(K$1,enemy_skill_triggers!$1:$1,0)-MATCH($F$1,enemy_skill_triggers!$1:$1,0)+1,FALSE)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9" s="48">
        <f ca="1">VLOOKUP($F159,OFFSET(enemy_skill_triggers!$A$1,0,0,COUNTA(enemy_skill_triggers!$A:$A),MATCH(L$1,enemy_skill_triggers!$1:$1,0)-MATCH($F$1,enemy_skill_triggers!$1:$1,0)+1),MATCH(L$1,enemy_skill_triggers!$1:$1,0)-MATCH($F$1,enemy_skill_triggers!$1:$1,0)+1,FALSE)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9" s="48">
        <f ca="1">VLOOKUP($F159,OFFSET(enemy_skill_triggers!$A$1,0,0,COUNTA(enemy_skill_triggers!$A:$A),MATCH(M$1,enemy_skill_triggers!$1:$1,0)-MATCH($F$1,enemy_skill_triggers!$1:$1,0)+1),MATCH(M$1,enemy_skill_triggers!$1:$1,0)-MATCH($F$1,enemy_skill_triggers!$1:$1,0)+1,FALSE)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9" s="48" t="str">
        <f ca="1">VLOOKUP($F159,OFFSET(enemy_skill_triggers!$A$1,0,0,COUNTA(enemy_skill_triggers!$A:$A),MATCH(N$1,enemy_skill_triggers!$1:$1,0)-MATCH($F$1,enemy_skill_triggers!$1:$1,0)+1),MATCH(N$1,enemy_skill_triggers!$1:$1,0)-MATCH($F$1,enemy_skill_triggers!$1:$1,0)+1,FALSE)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9" s="48">
        <f ca="1">VLOOKUP($F159,OFFSET(enemy_skill_triggers!$A$1,0,0,COUNTA(enemy_skill_triggers!$A:$A),MATCH(O$1,enemy_skill_triggers!$1:$1,0)-MATCH($F$1,enemy_skill_triggers!$1:$1,0)+1),MATCH(O$1,enemy_skill_triggers!$1:$1,0)-MATCH($F$1,enemy_skill_triggers!$1:$1,0)+1,FALSE)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9" s="47"/>
      <c r="Q159" s="47"/>
      <c r="R159" s="47"/>
    </row>
    <row r="160" spans="1:18" ht="21" customHeight="1" x14ac:dyDescent="0.15">
      <c r="A160" s="39" t="str">
        <f t="shared" si="16"/>
        <v>47007116_47007603</v>
      </c>
      <c r="B160" s="169">
        <v>47007116</v>
      </c>
      <c r="C160" s="171">
        <v>47007603</v>
      </c>
      <c r="D160" s="46" t="str">
        <f ca="1">VLOOKUP($C160,OFFSET(enemy_skills!$A$1,0,0,COUNTA(enemy_skills!$A:$A),MATCH(D$1,enemy_skills!$1:$1,0)-MATCH("enemy_skill_id",enemy_skills!$1:$1,0)+1),MATCH(D$1,enemy_skills!$1:$1,0)-MATCH("enemy_skill_id",enemy_skills!$1:$1,0)+1,FALSE)</f>
        <v>(早く…はやくはやくぅ…！)</v>
      </c>
      <c r="E160" s="46" t="str">
        <f ca="1">VLOOKUP($C160,OFFSET(enemy_skills!$A$1,0,0,COUNTA(enemy_skills!$A:$A),MATCH(E$1,enemy_skills!$1:$1,0)-MATCH("enemy_skill_id",enemy_skills!$1:$1,0)+1),MATCH(E$1,enemy_skills!$1:$1,0)-MATCH("enemy_skill_id",enemy_skills!$1:$1,0)+1,FALSE)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ランダムでハートパネルに最大23個変換_x000D_【煮え切らない態度に遂にプラリーヌが…！】</v>
      </c>
      <c r="F160" s="180">
        <v>47007603</v>
      </c>
      <c r="G160" s="48">
        <f ca="1">VLOOKUP($F160,OFFSET(enemy_skill_triggers!$A$1,0,0,COUNTA(enemy_skill_triggers!$A:$A),MATCH(G$1,enemy_skill_triggers!$1:$1,0)-MATCH($F$1,enemy_skill_triggers!$1:$1,0)+1),MATCH(G$1,enemy_skill_triggers!$1:$1,0)-MATCH($F$1,enemy_skill_triggers!$1:$1,0)+1,FALSE)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0" s="48">
        <f ca="1">VLOOKUP($F160,OFFSET(enemy_skill_triggers!$A$1,0,0,COUNTA(enemy_skill_triggers!$A:$A),MATCH(H$1,enemy_skill_triggers!$1:$1,0)-MATCH($F$1,enemy_skill_triggers!$1:$1,0)+1),MATCH(H$1,enemy_skill_triggers!$1:$1,0)-MATCH($F$1,enemy_skill_triggers!$1:$1,0)+1,FALSE)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160" s="48">
        <f ca="1">VLOOKUP($F160,OFFSET(enemy_skill_triggers!$A$1,0,0,COUNTA(enemy_skill_triggers!$A:$A),MATCH(I$1,enemy_skill_triggers!$1:$1,0)-MATCH($F$1,enemy_skill_triggers!$1:$1,0)+1),MATCH(I$1,enemy_skill_triggers!$1:$1,0)-MATCH($F$1,enemy_skill_triggers!$1:$1,0)+1,FALSE)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0" s="48" t="str">
        <f ca="1">VLOOKUP($F160,OFFSET(enemy_skill_triggers!$A$1,0,0,COUNTA(enemy_skill_triggers!$A:$A),MATCH(J$1,enemy_skill_triggers!$1:$1,0)-MATCH($F$1,enemy_skill_triggers!$1:$1,0)+1),MATCH(J$1,enemy_skill_triggers!$1:$1,0)-MATCH($F$1,enemy_skill_triggers!$1:$1,0)+1,FALSE)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0" s="48" t="str">
        <f ca="1">VLOOKUP($F160,OFFSET(enemy_skill_triggers!$A$1,0,0,COUNTA(enemy_skill_triggers!$A:$A),MATCH(K$1,enemy_skill_triggers!$1:$1,0)-MATCH($F$1,enemy_skill_triggers!$1:$1,0)+1),MATCH(K$1,enemy_skill_triggers!$1:$1,0)-MATCH($F$1,enemy_skill_triggers!$1:$1,0)+1,FALSE)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0" s="48">
        <f ca="1">VLOOKUP($F160,OFFSET(enemy_skill_triggers!$A$1,0,0,COUNTA(enemy_skill_triggers!$A:$A),MATCH(L$1,enemy_skill_triggers!$1:$1,0)-MATCH($F$1,enemy_skill_triggers!$1:$1,0)+1),MATCH(L$1,enemy_skill_triggers!$1:$1,0)-MATCH($F$1,enemy_skill_triggers!$1:$1,0)+1,FALSE)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0" s="48">
        <f ca="1">VLOOKUP($F160,OFFSET(enemy_skill_triggers!$A$1,0,0,COUNTA(enemy_skill_triggers!$A:$A),MATCH(M$1,enemy_skill_triggers!$1:$1,0)-MATCH($F$1,enemy_skill_triggers!$1:$1,0)+1),MATCH(M$1,enemy_skill_triggers!$1:$1,0)-MATCH($F$1,enemy_skill_triggers!$1:$1,0)+1,FALSE)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0" s="48" t="str">
        <f ca="1">VLOOKUP($F160,OFFSET(enemy_skill_triggers!$A$1,0,0,COUNTA(enemy_skill_triggers!$A:$A),MATCH(N$1,enemy_skill_triggers!$1:$1,0)-MATCH($F$1,enemy_skill_triggers!$1:$1,0)+1),MATCH(N$1,enemy_skill_triggers!$1:$1,0)-MATCH($F$1,enemy_skill_triggers!$1:$1,0)+1,FALSE)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0" s="48">
        <f ca="1">VLOOKUP($F160,OFFSET(enemy_skill_triggers!$A$1,0,0,COUNTA(enemy_skill_triggers!$A:$A),MATCH(O$1,enemy_skill_triggers!$1:$1,0)-MATCH($F$1,enemy_skill_triggers!$1:$1,0)+1),MATCH(O$1,enemy_skill_triggers!$1:$1,0)-MATCH($F$1,enemy_skill_triggers!$1:$1,0)+1,FALSE)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0" s="47"/>
      <c r="Q160" s="47"/>
      <c r="R160" s="47"/>
    </row>
    <row r="161" spans="1:18" ht="21" customHeight="1" x14ac:dyDescent="0.15">
      <c r="A161" s="39" t="str">
        <f t="shared" si="16"/>
        <v>47007116_47007604</v>
      </c>
      <c r="B161" s="169">
        <v>47007116</v>
      </c>
      <c r="C161" s="169">
        <v>47007604</v>
      </c>
      <c r="D161" s="46" t="str">
        <f ca="1">VLOOKUP($C161,OFFSET(enemy_skills!$A$1,0,0,COUNTA(enemy_skills!$A:$A),MATCH(D$1,enemy_skills!$1:$1,0)-MATCH("enemy_skill_id",enemy_skills!$1:$1,0)+1),MATCH(D$1,enemy_skills!$1:$1,0)-MATCH("enemy_skill_id",enemy_skills!$1:$1,0)+1,FALSE)</f>
        <v>さっさと受け取りなさいよぉ！_x000D_バカーーーッッ！！！</v>
      </c>
      <c r="E161" s="46" t="str">
        <f ca="1">VLOOKUP($C161,OFFSET(enemy_skills!$A$1,0,0,COUNTA(enemy_skills!$A:$A),MATCH(E$1,enemy_skills!$1:$1,0)-MATCH("enemy_skill_id",enemy_skills!$1:$1,0)+1),MATCH(E$1,enemy_skills!$1:$1,0)-MATCH("enemy_skill_id",enemy_skills!$1:$1,0)+1,FALSE)</f>
        <v>残りHPの200%ダメージ！</v>
      </c>
      <c r="F161" s="180">
        <v>47007604</v>
      </c>
      <c r="G161" s="48">
        <f ca="1">VLOOKUP($F161,OFFSET(enemy_skill_triggers!$A$1,0,0,COUNTA(enemy_skill_triggers!$A:$A),MATCH(G$1,enemy_skill_triggers!$1:$1,0)-MATCH($F$1,enemy_skill_triggers!$1:$1,0)+1),MATCH(G$1,enemy_skill_triggers!$1:$1,0)-MATCH($F$1,enemy_skill_triggers!$1:$1,0)+1,FALSE)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1" s="48">
        <f ca="1">VLOOKUP($F161,OFFSET(enemy_skill_triggers!$A$1,0,0,COUNTA(enemy_skill_triggers!$A:$A),MATCH(H$1,enemy_skill_triggers!$1:$1,0)-MATCH($F$1,enemy_skill_triggers!$1:$1,0)+1),MATCH(H$1,enemy_skill_triggers!$1:$1,0)-MATCH($F$1,enemy_skill_triggers!$1:$1,0)+1,FALSE)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161" s="48">
        <f ca="1">VLOOKUP($F161,OFFSET(enemy_skill_triggers!$A$1,0,0,COUNTA(enemy_skill_triggers!$A:$A),MATCH(I$1,enemy_skill_triggers!$1:$1,0)-MATCH($F$1,enemy_skill_triggers!$1:$1,0)+1),MATCH(I$1,enemy_skill_triggers!$1:$1,0)-MATCH($F$1,enemy_skill_triggers!$1:$1,0)+1,FALSE)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1" s="48" t="str">
        <f ca="1">VLOOKUP($F161,OFFSET(enemy_skill_triggers!$A$1,0,0,COUNTA(enemy_skill_triggers!$A:$A),MATCH(J$1,enemy_skill_triggers!$1:$1,0)-MATCH($F$1,enemy_skill_triggers!$1:$1,0)+1),MATCH(J$1,enemy_skill_triggers!$1:$1,0)-MATCH($F$1,enemy_skill_triggers!$1:$1,0)+1,FALSE)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1" s="48" t="str">
        <f ca="1">VLOOKUP($F161,OFFSET(enemy_skill_triggers!$A$1,0,0,COUNTA(enemy_skill_triggers!$A:$A),MATCH(K$1,enemy_skill_triggers!$1:$1,0)-MATCH($F$1,enemy_skill_triggers!$1:$1,0)+1),MATCH(K$1,enemy_skill_triggers!$1:$1,0)-MATCH($F$1,enemy_skill_triggers!$1:$1,0)+1,FALSE)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1" s="48">
        <f ca="1">VLOOKUP($F161,OFFSET(enemy_skill_triggers!$A$1,0,0,COUNTA(enemy_skill_triggers!$A:$A),MATCH(L$1,enemy_skill_triggers!$1:$1,0)-MATCH($F$1,enemy_skill_triggers!$1:$1,0)+1),MATCH(L$1,enemy_skill_triggers!$1:$1,0)-MATCH($F$1,enemy_skill_triggers!$1:$1,0)+1,FALSE)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1" s="48">
        <f ca="1">VLOOKUP($F161,OFFSET(enemy_skill_triggers!$A$1,0,0,COUNTA(enemy_skill_triggers!$A:$A),MATCH(M$1,enemy_skill_triggers!$1:$1,0)-MATCH($F$1,enemy_skill_triggers!$1:$1,0)+1),MATCH(M$1,enemy_skill_triggers!$1:$1,0)-MATCH($F$1,enemy_skill_triggers!$1:$1,0)+1,FALSE)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1" s="48" t="str">
        <f ca="1">VLOOKUP($F161,OFFSET(enemy_skill_triggers!$A$1,0,0,COUNTA(enemy_skill_triggers!$A:$A),MATCH(N$1,enemy_skill_triggers!$1:$1,0)-MATCH($F$1,enemy_skill_triggers!$1:$1,0)+1),MATCH(N$1,enemy_skill_triggers!$1:$1,0)-MATCH($F$1,enemy_skill_triggers!$1:$1,0)+1,FALSE)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1" s="48">
        <f ca="1">VLOOKUP($F161,OFFSET(enemy_skill_triggers!$A$1,0,0,COUNTA(enemy_skill_triggers!$A:$A),MATCH(O$1,enemy_skill_triggers!$1:$1,0)-MATCH($F$1,enemy_skill_triggers!$1:$1,0)+1),MATCH(O$1,enemy_skill_triggers!$1:$1,0)-MATCH($F$1,enemy_skill_triggers!$1:$1,0)+1,FALSE)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1" s="47"/>
      <c r="Q161" s="47"/>
      <c r="R161" s="47"/>
    </row>
    <row r="162" spans="1:18" ht="21" customHeight="1" x14ac:dyDescent="0.15">
      <c r="A162" s="39" t="str">
        <f t="shared" si="16"/>
        <v>47007116_47007605</v>
      </c>
      <c r="B162" s="169">
        <v>47007116</v>
      </c>
      <c r="C162" s="169">
        <v>47007605</v>
      </c>
      <c r="D162" s="46" t="str">
        <f ca="1">VLOOKUP($C162,OFFSET(enemy_skills!$A$1,0,0,COUNTA(enemy_skills!$A:$A),MATCH(D$1,enemy_skills!$1:$1,0)-MATCH("enemy_skill_id",enemy_skills!$1:$1,0)+1),MATCH(D$1,enemy_skills!$1:$1,0)-MATCH("enemy_skill_id",enemy_skills!$1:$1,0)+1,FALSE)</f>
        <v>考え直して…くれたの…？</v>
      </c>
      <c r="E162" s="46" t="str">
        <f ca="1">VLOOKUP($C162,OFFSET(enemy_skills!$A$1,0,0,COUNTA(enemy_skills!$A:$A),MATCH(E$1,enemy_skills!$1:$1,0)-MATCH("enemy_skill_id",enemy_skills!$1:$1,0)+1),MATCH(E$1,enemy_skills!$1:$1,0)-MATCH("enemy_skill_id",enemy_skills!$1:$1,0)+1,FALSE)</f>
        <v>このターンでプラリーヌのHPを削りきろう！</v>
      </c>
      <c r="F162" s="180">
        <v>47007605</v>
      </c>
      <c r="G162" s="48">
        <f ca="1">VLOOKUP($F162,OFFSET(enemy_skill_triggers!$A$1,0,0,COUNTA(enemy_skill_triggers!$A:$A),MATCH(G$1,enemy_skill_triggers!$1:$1,0)-MATCH($F$1,enemy_skill_triggers!$1:$1,0)+1),MATCH(G$1,enemy_skill_triggers!$1:$1,0)-MATCH($F$1,enemy_skill_triggers!$1:$1,0)+1,FALSE)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2" s="48">
        <f ca="1">VLOOKUP($F162,OFFSET(enemy_skill_triggers!$A$1,0,0,COUNTA(enemy_skill_triggers!$A:$A),MATCH(H$1,enemy_skill_triggers!$1:$1,0)-MATCH($F$1,enemy_skill_triggers!$1:$1,0)+1),MATCH(H$1,enemy_skill_triggers!$1:$1,0)-MATCH($F$1,enemy_skill_triggers!$1:$1,0)+1,FALSE)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62" s="48">
        <f ca="1">VLOOKUP($F162,OFFSET(enemy_skill_triggers!$A$1,0,0,COUNTA(enemy_skill_triggers!$A:$A),MATCH(I$1,enemy_skill_triggers!$1:$1,0)-MATCH($F$1,enemy_skill_triggers!$1:$1,0)+1),MATCH(I$1,enemy_skill_triggers!$1:$1,0)-MATCH($F$1,enemy_skill_triggers!$1:$1,0)+1,FALSE)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2" s="48" t="str">
        <f ca="1">VLOOKUP($F162,OFFSET(enemy_skill_triggers!$A$1,0,0,COUNTA(enemy_skill_triggers!$A:$A),MATCH(J$1,enemy_skill_triggers!$1:$1,0)-MATCH($F$1,enemy_skill_triggers!$1:$1,0)+1),MATCH(J$1,enemy_skill_triggers!$1:$1,0)-MATCH($F$1,enemy_skill_triggers!$1:$1,0)+1,FALSE)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2" s="48" t="str">
        <f ca="1">VLOOKUP($F162,OFFSET(enemy_skill_triggers!$A$1,0,0,COUNTA(enemy_skill_triggers!$A:$A),MATCH(K$1,enemy_skill_triggers!$1:$1,0)-MATCH($F$1,enemy_skill_triggers!$1:$1,0)+1),MATCH(K$1,enemy_skill_triggers!$1:$1,0)-MATCH($F$1,enemy_skill_triggers!$1:$1,0)+1,FALSE)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2" s="48" t="str">
        <f ca="1">VLOOKUP($F162,OFFSET(enemy_skill_triggers!$A$1,0,0,COUNTA(enemy_skill_triggers!$A:$A),MATCH(L$1,enemy_skill_triggers!$1:$1,0)-MATCH($F$1,enemy_skill_triggers!$1:$1,0)+1),MATCH(L$1,enemy_skill_triggers!$1:$1,0)-MATCH($F$1,enemy_skill_triggers!$1:$1,0)+1,FALSE)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2" s="48">
        <f ca="1">VLOOKUP($F162,OFFSET(enemy_skill_triggers!$A$1,0,0,COUNTA(enemy_skill_triggers!$A:$A),MATCH(M$1,enemy_skill_triggers!$1:$1,0)-MATCH($F$1,enemy_skill_triggers!$1:$1,0)+1),MATCH(M$1,enemy_skill_triggers!$1:$1,0)-MATCH($F$1,enemy_skill_triggers!$1:$1,0)+1,FALSE)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2" s="48" t="str">
        <f ca="1">VLOOKUP($F162,OFFSET(enemy_skill_triggers!$A$1,0,0,COUNTA(enemy_skill_triggers!$A:$A),MATCH(N$1,enemy_skill_triggers!$1:$1,0)-MATCH($F$1,enemy_skill_triggers!$1:$1,0)+1),MATCH(N$1,enemy_skill_triggers!$1:$1,0)-MATCH($F$1,enemy_skill_triggers!$1:$1,0)+1,FALSE)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2" s="48">
        <f ca="1">VLOOKUP($F162,OFFSET(enemy_skill_triggers!$A$1,0,0,COUNTA(enemy_skill_triggers!$A:$A),MATCH(O$1,enemy_skill_triggers!$1:$1,0)-MATCH($F$1,enemy_skill_triggers!$1:$1,0)+1),MATCH(O$1,enemy_skill_triggers!$1:$1,0)-MATCH($F$1,enemy_skill_triggers!$1:$1,0)+1,FALSE)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2" s="47"/>
      <c r="Q162" s="47"/>
      <c r="R162" s="47"/>
    </row>
    <row r="163" spans="1:18" ht="21" customHeight="1" x14ac:dyDescent="0.15">
      <c r="A163" s="39" t="str">
        <f t="shared" si="16"/>
        <v>47007116_47007606</v>
      </c>
      <c r="B163" s="169">
        <v>47007116</v>
      </c>
      <c r="C163" s="169">
        <v>47007606</v>
      </c>
      <c r="D163" s="46" t="str">
        <f ca="1">VLOOKUP($C163,OFFSET(enemy_skills!$A$1,0,0,COUNTA(enemy_skills!$A:$A),MATCH(D$1,enemy_skills!$1:$1,0)-MATCH("enemy_skill_id",enemy_skills!$1:$1,0)+1),MATCH(D$1,enemy_skills!$1:$1,0)-MATCH("enemy_skill_id",enemy_skills!$1:$1,0)+1,FALSE)</f>
        <v>アタシをからかって楽しい…！？_x000D_ホント…バカァ！！！</v>
      </c>
      <c r="E163" s="46" t="str">
        <f ca="1">VLOOKUP($C163,OFFSET(enemy_skills!$A$1,0,0,COUNTA(enemy_skills!$A:$A),MATCH(E$1,enemy_skills!$1:$1,0)-MATCH("enemy_skill_id",enemy_skills!$1:$1,0)+1),MATCH(E$1,enemy_skills!$1:$1,0)-MATCH("enemy_skill_id",enemy_skills!$1:$1,0)+1,FALSE)</f>
        <v>残りHPの200%ダメージ！</v>
      </c>
      <c r="F163" s="180">
        <v>47007606</v>
      </c>
      <c r="G163" s="48">
        <f ca="1">VLOOKUP($F163,OFFSET(enemy_skill_triggers!$A$1,0,0,COUNTA(enemy_skill_triggers!$A:$A),MATCH(G$1,enemy_skill_triggers!$1:$1,0)-MATCH($F$1,enemy_skill_triggers!$1:$1,0)+1),MATCH(G$1,enemy_skill_triggers!$1:$1,0)-MATCH($F$1,enemy_skill_triggers!$1:$1,0)+1,FALSE)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3" s="48">
        <f ca="1">VLOOKUP($F163,OFFSET(enemy_skill_triggers!$A$1,0,0,COUNTA(enemy_skill_triggers!$A:$A),MATCH(H$1,enemy_skill_triggers!$1:$1,0)-MATCH($F$1,enemy_skill_triggers!$1:$1,0)+1),MATCH(H$1,enemy_skill_triggers!$1:$1,0)-MATCH($F$1,enemy_skill_triggers!$1:$1,0)+1,FALSE)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163" s="48">
        <f ca="1">VLOOKUP($F163,OFFSET(enemy_skill_triggers!$A$1,0,0,COUNTA(enemy_skill_triggers!$A:$A),MATCH(I$1,enemy_skill_triggers!$1:$1,0)-MATCH($F$1,enemy_skill_triggers!$1:$1,0)+1),MATCH(I$1,enemy_skill_triggers!$1:$1,0)-MATCH($F$1,enemy_skill_triggers!$1:$1,0)+1,FALSE)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3" s="48" t="str">
        <f ca="1">VLOOKUP($F163,OFFSET(enemy_skill_triggers!$A$1,0,0,COUNTA(enemy_skill_triggers!$A:$A),MATCH(J$1,enemy_skill_triggers!$1:$1,0)-MATCH($F$1,enemy_skill_triggers!$1:$1,0)+1),MATCH(J$1,enemy_skill_triggers!$1:$1,0)-MATCH($F$1,enemy_skill_triggers!$1:$1,0)+1,FALSE)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3" s="48" t="str">
        <f ca="1">VLOOKUP($F163,OFFSET(enemy_skill_triggers!$A$1,0,0,COUNTA(enemy_skill_triggers!$A:$A),MATCH(K$1,enemy_skill_triggers!$1:$1,0)-MATCH($F$1,enemy_skill_triggers!$1:$1,0)+1),MATCH(K$1,enemy_skill_triggers!$1:$1,0)-MATCH($F$1,enemy_skill_triggers!$1:$1,0)+1,FALSE)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3" s="48" t="str">
        <f ca="1">VLOOKUP($F163,OFFSET(enemy_skill_triggers!$A$1,0,0,COUNTA(enemy_skill_triggers!$A:$A),MATCH(L$1,enemy_skill_triggers!$1:$1,0)-MATCH($F$1,enemy_skill_triggers!$1:$1,0)+1),MATCH(L$1,enemy_skill_triggers!$1:$1,0)-MATCH($F$1,enemy_skill_triggers!$1:$1,0)+1,FALSE)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3" s="48">
        <f ca="1">VLOOKUP($F163,OFFSET(enemy_skill_triggers!$A$1,0,0,COUNTA(enemy_skill_triggers!$A:$A),MATCH(M$1,enemy_skill_triggers!$1:$1,0)-MATCH($F$1,enemy_skill_triggers!$1:$1,0)+1),MATCH(M$1,enemy_skill_triggers!$1:$1,0)-MATCH($F$1,enemy_skill_triggers!$1:$1,0)+1,FALSE)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3" s="48" t="str">
        <f ca="1">VLOOKUP($F163,OFFSET(enemy_skill_triggers!$A$1,0,0,COUNTA(enemy_skill_triggers!$A:$A),MATCH(N$1,enemy_skill_triggers!$1:$1,0)-MATCH($F$1,enemy_skill_triggers!$1:$1,0)+1),MATCH(N$1,enemy_skill_triggers!$1:$1,0)-MATCH($F$1,enemy_skill_triggers!$1:$1,0)+1,FALSE)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3" s="48">
        <f ca="1">VLOOKUP($F163,OFFSET(enemy_skill_triggers!$A$1,0,0,COUNTA(enemy_skill_triggers!$A:$A),MATCH(O$1,enemy_skill_triggers!$1:$1,0)-MATCH($F$1,enemy_skill_triggers!$1:$1,0)+1),MATCH(O$1,enemy_skill_triggers!$1:$1,0)-MATCH($F$1,enemy_skill_triggers!$1:$1,0)+1,FALSE)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3" s="47"/>
      <c r="Q163" s="47"/>
      <c r="R163" s="47"/>
    </row>
    <row r="164" spans="1:18" ht="21" customHeight="1" x14ac:dyDescent="0.15">
      <c r="A164" s="39" t="str">
        <f t="shared" si="16"/>
        <v>47007116_47007682</v>
      </c>
      <c r="B164" s="169">
        <v>47007116</v>
      </c>
      <c r="C164" s="169">
        <v>47007682</v>
      </c>
      <c r="D164" s="46" t="str">
        <f ca="1">VLOOKUP($C164,OFFSET(enemy_skills!$A$1,0,0,COUNTA(enemy_skills!$A:$A),MATCH(D$1,enemy_skills!$1:$1,0)-MATCH("enemy_skill_id",enemy_skills!$1:$1,0)+1),MATCH(D$1,enemy_skills!$1:$1,0)-MATCH("enemy_skill_id",enemy_skills!$1:$1,0)+1,FALSE)</f>
        <v>う、受け取って…くれた…？</v>
      </c>
      <c r="E164" s="46" t="str">
        <f ca="1">VLOOKUP($C164,OFFSET(enemy_skills!$A$1,0,0,COUNTA(enemy_skills!$A:$A),MATCH(E$1,enemy_skills!$1:$1,0)-MATCH("enemy_skill_id",enemy_skills!$1:$1,0)+1),MATCH(E$1,enemy_skills!$1:$1,0)-MATCH("enemy_skill_id",enemy_skills!$1:$1,0)+1,FALSE)</f>
        <v>こっこれは義理…！_x000D_なんかじゃない…んだから…</v>
      </c>
      <c r="F164" s="180">
        <v>47007607</v>
      </c>
      <c r="G164" s="48">
        <f ca="1">VLOOKUP($F164,OFFSET(enemy_skill_triggers!$A$1,0,0,COUNTA(enemy_skill_triggers!$A:$A),MATCH(G$1,enemy_skill_triggers!$1:$1,0)-MATCH($F$1,enemy_skill_triggers!$1:$1,0)+1),MATCH(G$1,enemy_skill_triggers!$1:$1,0)-MATCH($F$1,enemy_skill_triggers!$1:$1,0)+1,FALSE)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4" s="48" t="str">
        <f ca="1">VLOOKUP($F164,OFFSET(enemy_skill_triggers!$A$1,0,0,COUNTA(enemy_skill_triggers!$A:$A),MATCH(H$1,enemy_skill_triggers!$1:$1,0)-MATCH($F$1,enemy_skill_triggers!$1:$1,0)+1),MATCH(H$1,enemy_skill_triggers!$1:$1,0)-MATCH($F$1,enemy_skill_triggers!$1:$1,0)+1,FALSE)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4" s="48">
        <f ca="1">VLOOKUP($F164,OFFSET(enemy_skill_triggers!$A$1,0,0,COUNTA(enemy_skill_triggers!$A:$A),MATCH(I$1,enemy_skill_triggers!$1:$1,0)-MATCH($F$1,enemy_skill_triggers!$1:$1,0)+1),MATCH(I$1,enemy_skill_triggers!$1:$1,0)-MATCH($F$1,enemy_skill_triggers!$1:$1,0)+1,FALSE)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4" s="48" t="str">
        <f ca="1">VLOOKUP($F164,OFFSET(enemy_skill_triggers!$A$1,0,0,COUNTA(enemy_skill_triggers!$A:$A),MATCH(J$1,enemy_skill_triggers!$1:$1,0)-MATCH($F$1,enemy_skill_triggers!$1:$1,0)+1),MATCH(J$1,enemy_skill_triggers!$1:$1,0)-MATCH($F$1,enemy_skill_triggers!$1:$1,0)+1,FALSE)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4" s="48" t="str">
        <f ca="1">VLOOKUP($F164,OFFSET(enemy_skill_triggers!$A$1,0,0,COUNTA(enemy_skill_triggers!$A:$A),MATCH(K$1,enemy_skill_triggers!$1:$1,0)-MATCH($F$1,enemy_skill_triggers!$1:$1,0)+1),MATCH(K$1,enemy_skill_triggers!$1:$1,0)-MATCH($F$1,enemy_skill_triggers!$1:$1,0)+1,FALSE)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4" s="48">
        <f ca="1">VLOOKUP($F164,OFFSET(enemy_skill_triggers!$A$1,0,0,COUNTA(enemy_skill_triggers!$A:$A),MATCH(L$1,enemy_skill_triggers!$1:$1,0)-MATCH($F$1,enemy_skill_triggers!$1:$1,0)+1),MATCH(L$1,enemy_skill_triggers!$1:$1,0)-MATCH($F$1,enemy_skill_triggers!$1:$1,0)+1,FALSE)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4" s="48" t="str">
        <f ca="1">VLOOKUP($F164,OFFSET(enemy_skill_triggers!$A$1,0,0,COUNTA(enemy_skill_triggers!$A:$A),MATCH(M$1,enemy_skill_triggers!$1:$1,0)-MATCH($F$1,enemy_skill_triggers!$1:$1,0)+1),MATCH(M$1,enemy_skill_triggers!$1:$1,0)-MATCH($F$1,enemy_skill_triggers!$1:$1,0)+1,FALSE)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4" s="48">
        <f ca="1">VLOOKUP($F164,OFFSET(enemy_skill_triggers!$A$1,0,0,COUNTA(enemy_skill_triggers!$A:$A),MATCH(N$1,enemy_skill_triggers!$1:$1,0)-MATCH($F$1,enemy_skill_triggers!$1:$1,0)+1),MATCH(N$1,enemy_skill_triggers!$1:$1,0)-MATCH($F$1,enemy_skill_triggers!$1:$1,0)+1,FALSE)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64" s="48">
        <f ca="1">VLOOKUP($F164,OFFSET(enemy_skill_triggers!$A$1,0,0,COUNTA(enemy_skill_triggers!$A:$A),MATCH(O$1,enemy_skill_triggers!$1:$1,0)-MATCH($F$1,enemy_skill_triggers!$1:$1,0)+1),MATCH(O$1,enemy_skill_triggers!$1:$1,0)-MATCH($F$1,enemy_skill_triggers!$1:$1,0)+1,FALSE)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4" s="47"/>
      <c r="Q164" s="47"/>
      <c r="R164" s="47"/>
    </row>
    <row r="165" spans="1:18" ht="21" customHeight="1" x14ac:dyDescent="0.15">
      <c r="A165" s="39" t="str">
        <f t="shared" si="16"/>
        <v>47007116_47007683</v>
      </c>
      <c r="B165" s="169">
        <v>47007116</v>
      </c>
      <c r="C165" s="171">
        <v>47007683</v>
      </c>
      <c r="D165" s="46" t="str">
        <f ca="1">VLOOKUP($C165,OFFSET(enemy_skills!$A$1,0,0,COUNTA(enemy_skills!$A:$A),MATCH(D$1,enemy_skills!$1:$1,0)-MATCH("enemy_skill_id",enemy_skills!$1:$1,0)+1),MATCH(D$1,enemy_skills!$1:$1,0)-MATCH("enemy_skill_id",enemy_skills!$1:$1,0)+1,FALSE)</f>
        <v>…[player_name]…_x000D_受け取ってくれた…？</v>
      </c>
      <c r="E165" s="46" t="str">
        <f ca="1">VLOOKUP($C165,OFFSET(enemy_skills!$A$1,0,0,COUNTA(enemy_skills!$A:$A),MATCH(E$1,enemy_skills!$1:$1,0)-MATCH("enemy_skill_id",enemy_skills!$1:$1,0)+1),MATCH(E$1,enemy_skills!$1:$1,0)-MATCH("enemy_skill_id",enemy_skills!$1:$1,0)+1,FALSE)</f>
        <v>も、もっと早く受け取ってよね…バカ…</v>
      </c>
      <c r="F165" s="180">
        <v>47007608</v>
      </c>
      <c r="G165" s="48">
        <f ca="1">VLOOKUP($F165,OFFSET(enemy_skill_triggers!$A$1,0,0,COUNTA(enemy_skill_triggers!$A:$A),MATCH(G$1,enemy_skill_triggers!$1:$1,0)-MATCH($F$1,enemy_skill_triggers!$1:$1,0)+1),MATCH(G$1,enemy_skill_triggers!$1:$1,0)-MATCH($F$1,enemy_skill_triggers!$1:$1,0)+1,FALSE)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5" s="48">
        <f ca="1">VLOOKUP($F165,OFFSET(enemy_skill_triggers!$A$1,0,0,COUNTA(enemy_skill_triggers!$A:$A),MATCH(H$1,enemy_skill_triggers!$1:$1,0)-MATCH($F$1,enemy_skill_triggers!$1:$1,0)+1),MATCH(H$1,enemy_skill_triggers!$1:$1,0)-MATCH($F$1,enemy_skill_triggers!$1:$1,0)+1,FALSE)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65" s="48">
        <f ca="1">VLOOKUP($F165,OFFSET(enemy_skill_triggers!$A$1,0,0,COUNTA(enemy_skill_triggers!$A:$A),MATCH(I$1,enemy_skill_triggers!$1:$1,0)-MATCH($F$1,enemy_skill_triggers!$1:$1,0)+1),MATCH(I$1,enemy_skill_triggers!$1:$1,0)-MATCH($F$1,enemy_skill_triggers!$1:$1,0)+1,FALSE)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5" s="48" t="str">
        <f ca="1">VLOOKUP($F165,OFFSET(enemy_skill_triggers!$A$1,0,0,COUNTA(enemy_skill_triggers!$A:$A),MATCH(J$1,enemy_skill_triggers!$1:$1,0)-MATCH($F$1,enemy_skill_triggers!$1:$1,0)+1),MATCH(J$1,enemy_skill_triggers!$1:$1,0)-MATCH($F$1,enemy_skill_triggers!$1:$1,0)+1,FALSE)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5" s="48" t="str">
        <f ca="1">VLOOKUP($F165,OFFSET(enemy_skill_triggers!$A$1,0,0,COUNTA(enemy_skill_triggers!$A:$A),MATCH(K$1,enemy_skill_triggers!$1:$1,0)-MATCH($F$1,enemy_skill_triggers!$1:$1,0)+1),MATCH(K$1,enemy_skill_triggers!$1:$1,0)-MATCH($F$1,enemy_skill_triggers!$1:$1,0)+1,FALSE)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5" s="48">
        <f ca="1">VLOOKUP($F165,OFFSET(enemy_skill_triggers!$A$1,0,0,COUNTA(enemy_skill_triggers!$A:$A),MATCH(L$1,enemy_skill_triggers!$1:$1,0)-MATCH($F$1,enemy_skill_triggers!$1:$1,0)+1),MATCH(L$1,enemy_skill_triggers!$1:$1,0)-MATCH($F$1,enemy_skill_triggers!$1:$1,0)+1,FALSE)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5" s="48" t="str">
        <f ca="1">VLOOKUP($F165,OFFSET(enemy_skill_triggers!$A$1,0,0,COUNTA(enemy_skill_triggers!$A:$A),MATCH(M$1,enemy_skill_triggers!$1:$1,0)-MATCH($F$1,enemy_skill_triggers!$1:$1,0)+1),MATCH(M$1,enemy_skill_triggers!$1:$1,0)-MATCH($F$1,enemy_skill_triggers!$1:$1,0)+1,FALSE)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5" s="48">
        <f ca="1">VLOOKUP($F165,OFFSET(enemy_skill_triggers!$A$1,0,0,COUNTA(enemy_skill_triggers!$A:$A),MATCH(N$1,enemy_skill_triggers!$1:$1,0)-MATCH($F$1,enemy_skill_triggers!$1:$1,0)+1),MATCH(N$1,enemy_skill_triggers!$1:$1,0)-MATCH($F$1,enemy_skill_triggers!$1:$1,0)+1,FALSE)</f>
        <v>1352</v>
      </c>
      <c r="O165" s="48">
        <f ca="1">VLOOKUP($F165,OFFSET(enemy_skill_triggers!$A$1,0,0,COUNTA(enemy_skill_triggers!$A:$A),MATCH(O$1,enemy_skill_triggers!$1:$1,0)-MATCH($F$1,enemy_skill_triggers!$1:$1,0)+1),MATCH(O$1,enemy_skill_triggers!$1:$1,0)-MATCH($F$1,enemy_skill_triggers!$1:$1,0)+1,FALSE)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5" s="47"/>
      <c r="Q165" s="47"/>
      <c r="R165" s="47"/>
    </row>
    <row r="166" spans="1:18" ht="21" customHeight="1" x14ac:dyDescent="0.15">
      <c r="A166" s="39" t="str">
        <f t="shared" si="16"/>
        <v>47007116_47007683</v>
      </c>
      <c r="B166" s="169">
        <v>47007116</v>
      </c>
      <c r="C166" s="171">
        <v>47007683</v>
      </c>
      <c r="D166" s="46" t="str">
        <f ca="1">VLOOKUP($C166,OFFSET(enemy_skills!$A$1,0,0,COUNTA(enemy_skills!$A:$A),MATCH(D$1,enemy_skills!$1:$1,0)-MATCH("enemy_skill_id",enemy_skills!$1:$1,0)+1),MATCH(D$1,enemy_skills!$1:$1,0)-MATCH("enemy_skill_id",enemy_skills!$1:$1,0)+1,FALSE)</f>
        <v>…[player_name]…_x000D_受け取ってくれた…？</v>
      </c>
      <c r="E166" s="46" t="str">
        <f ca="1">VLOOKUP($C166,OFFSET(enemy_skills!$A$1,0,0,COUNTA(enemy_skills!$A:$A),MATCH(E$1,enemy_skills!$1:$1,0)-MATCH("enemy_skill_id",enemy_skills!$1:$1,0)+1),MATCH(E$1,enemy_skills!$1:$1,0)-MATCH("enemy_skill_id",enemy_skills!$1:$1,0)+1,FALSE)</f>
        <v>も、もっと早く受け取ってよね…バカ…</v>
      </c>
      <c r="F166" s="180">
        <v>47007609</v>
      </c>
      <c r="G166" s="48">
        <f ca="1">VLOOKUP($F166,OFFSET(enemy_skill_triggers!$A$1,0,0,COUNTA(enemy_skill_triggers!$A:$A),MATCH(G$1,enemy_skill_triggers!$1:$1,0)-MATCH($F$1,enemy_skill_triggers!$1:$1,0)+1),MATCH(G$1,enemy_skill_triggers!$1:$1,0)-MATCH($F$1,enemy_skill_triggers!$1:$1,0)+1,FALSE)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6" s="48">
        <f ca="1">VLOOKUP($F166,OFFSET(enemy_skill_triggers!$A$1,0,0,COUNTA(enemy_skill_triggers!$A:$A),MATCH(H$1,enemy_skill_triggers!$1:$1,0)-MATCH($F$1,enemy_skill_triggers!$1:$1,0)+1),MATCH(H$1,enemy_skill_triggers!$1:$1,0)-MATCH($F$1,enemy_skill_triggers!$1:$1,0)+1,FALSE)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166" s="48">
        <f ca="1">VLOOKUP($F166,OFFSET(enemy_skill_triggers!$A$1,0,0,COUNTA(enemy_skill_triggers!$A:$A),MATCH(I$1,enemy_skill_triggers!$1:$1,0)-MATCH($F$1,enemy_skill_triggers!$1:$1,0)+1),MATCH(I$1,enemy_skill_triggers!$1:$1,0)-MATCH($F$1,enemy_skill_triggers!$1:$1,0)+1,FALSE)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6" s="48" t="str">
        <f ca="1">VLOOKUP($F166,OFFSET(enemy_skill_triggers!$A$1,0,0,COUNTA(enemy_skill_triggers!$A:$A),MATCH(J$1,enemy_skill_triggers!$1:$1,0)-MATCH($F$1,enemy_skill_triggers!$1:$1,0)+1),MATCH(J$1,enemy_skill_triggers!$1:$1,0)-MATCH($F$1,enemy_skill_triggers!$1:$1,0)+1,FALSE)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6" s="48" t="str">
        <f ca="1">VLOOKUP($F166,OFFSET(enemy_skill_triggers!$A$1,0,0,COUNTA(enemy_skill_triggers!$A:$A),MATCH(K$1,enemy_skill_triggers!$1:$1,0)-MATCH($F$1,enemy_skill_triggers!$1:$1,0)+1),MATCH(K$1,enemy_skill_triggers!$1:$1,0)-MATCH($F$1,enemy_skill_triggers!$1:$1,0)+1,FALSE)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6" s="48">
        <f ca="1">VLOOKUP($F166,OFFSET(enemy_skill_triggers!$A$1,0,0,COUNTA(enemy_skill_triggers!$A:$A),MATCH(L$1,enemy_skill_triggers!$1:$1,0)-MATCH($F$1,enemy_skill_triggers!$1:$1,0)+1),MATCH(L$1,enemy_skill_triggers!$1:$1,0)-MATCH($F$1,enemy_skill_triggers!$1:$1,0)+1,FALSE)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6" s="48" t="str">
        <f ca="1">VLOOKUP($F166,OFFSET(enemy_skill_triggers!$A$1,0,0,COUNTA(enemy_skill_triggers!$A:$A),MATCH(M$1,enemy_skill_triggers!$1:$1,0)-MATCH($F$1,enemy_skill_triggers!$1:$1,0)+1),MATCH(M$1,enemy_skill_triggers!$1:$1,0)-MATCH($F$1,enemy_skill_triggers!$1:$1,0)+1,FALSE)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6" s="48">
        <f ca="1">VLOOKUP($F166,OFFSET(enemy_skill_triggers!$A$1,0,0,COUNTA(enemy_skill_triggers!$A:$A),MATCH(N$1,enemy_skill_triggers!$1:$1,0)-MATCH($F$1,enemy_skill_triggers!$1:$1,0)+1),MATCH(N$1,enemy_skill_triggers!$1:$1,0)-MATCH($F$1,enemy_skill_triggers!$1:$1,0)+1,FALSE)</f>
        <v>1353</v>
      </c>
      <c r="O166" s="48">
        <f ca="1">VLOOKUP($F166,OFFSET(enemy_skill_triggers!$A$1,0,0,COUNTA(enemy_skill_triggers!$A:$A),MATCH(O$1,enemy_skill_triggers!$1:$1,0)-MATCH($F$1,enemy_skill_triggers!$1:$1,0)+1),MATCH(O$1,enemy_skill_triggers!$1:$1,0)-MATCH($F$1,enemy_skill_triggers!$1:$1,0)+1,FALSE)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6" s="47"/>
      <c r="Q166" s="47"/>
      <c r="R166" s="47"/>
    </row>
    <row r="167" spans="1:18" ht="21" customHeight="1" x14ac:dyDescent="0.15">
      <c r="A167" s="39" t="str">
        <f t="shared" si="16"/>
        <v>47007116_47007684</v>
      </c>
      <c r="B167" s="169">
        <v>47007116</v>
      </c>
      <c r="C167" s="171">
        <v>47007684</v>
      </c>
      <c r="D167" s="46" t="str">
        <f ca="1">VLOOKUP($C167,OFFSET(enemy_skills!$A$1,0,0,COUNTA(enemy_skills!$A:$A),MATCH(D$1,enemy_skills!$1:$1,0)-MATCH("enemy_skill_id",enemy_skills!$1:$1,0)+1),MATCH(D$1,enemy_skills!$1:$1,0)-MATCH("enemy_skill_id",enemy_skills!$1:$1,0)+1,FALSE)</f>
        <v>…[player_name]…_x000D_受け取ってくれた…？</v>
      </c>
      <c r="E167" s="46" t="str">
        <f ca="1">VLOOKUP($C167,OFFSET(enemy_skills!$A$1,0,0,COUNTA(enemy_skills!$A:$A),MATCH(E$1,enemy_skills!$1:$1,0)-MATCH("enemy_skill_id",enemy_skills!$1:$1,0)+1),MATCH(E$1,enemy_skills!$1:$1,0)-MATCH("enemy_skill_id",enemy_skills!$1:$1,0)+1,FALSE)</f>
        <v>あんたの事本当は…うぅ、何もないんだから…！</v>
      </c>
      <c r="F167" s="180">
        <v>47007610</v>
      </c>
      <c r="G167" s="48">
        <f ca="1">VLOOKUP($F167,OFFSET(enemy_skill_triggers!$A$1,0,0,COUNTA(enemy_skill_triggers!$A:$A),MATCH(G$1,enemy_skill_triggers!$1:$1,0)-MATCH($F$1,enemy_skill_triggers!$1:$1,0)+1),MATCH(G$1,enemy_skill_triggers!$1:$1,0)-MATCH($F$1,enemy_skill_triggers!$1:$1,0)+1,FALSE)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7" s="48">
        <f ca="1">VLOOKUP($F167,OFFSET(enemy_skill_triggers!$A$1,0,0,COUNTA(enemy_skill_triggers!$A:$A),MATCH(H$1,enemy_skill_triggers!$1:$1,0)-MATCH($F$1,enemy_skill_triggers!$1:$1,0)+1),MATCH(H$1,enemy_skill_triggers!$1:$1,0)-MATCH($F$1,enemy_skill_triggers!$1:$1,0)+1,FALSE)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67" s="48">
        <f ca="1">VLOOKUP($F167,OFFSET(enemy_skill_triggers!$A$1,0,0,COUNTA(enemy_skill_triggers!$A:$A),MATCH(I$1,enemy_skill_triggers!$1:$1,0)-MATCH($F$1,enemy_skill_triggers!$1:$1,0)+1),MATCH(I$1,enemy_skill_triggers!$1:$1,0)-MATCH($F$1,enemy_skill_triggers!$1:$1,0)+1,FALSE)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7" s="48" t="str">
        <f ca="1">VLOOKUP($F167,OFFSET(enemy_skill_triggers!$A$1,0,0,COUNTA(enemy_skill_triggers!$A:$A),MATCH(J$1,enemy_skill_triggers!$1:$1,0)-MATCH($F$1,enemy_skill_triggers!$1:$1,0)+1),MATCH(J$1,enemy_skill_triggers!$1:$1,0)-MATCH($F$1,enemy_skill_triggers!$1:$1,0)+1,FALSE)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7" s="48" t="str">
        <f ca="1">VLOOKUP($F167,OFFSET(enemy_skill_triggers!$A$1,0,0,COUNTA(enemy_skill_triggers!$A:$A),MATCH(K$1,enemy_skill_triggers!$1:$1,0)-MATCH($F$1,enemy_skill_triggers!$1:$1,0)+1),MATCH(K$1,enemy_skill_triggers!$1:$1,0)-MATCH($F$1,enemy_skill_triggers!$1:$1,0)+1,FALSE)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7" s="48">
        <f ca="1">VLOOKUP($F167,OFFSET(enemy_skill_triggers!$A$1,0,0,COUNTA(enemy_skill_triggers!$A:$A),MATCH(L$1,enemy_skill_triggers!$1:$1,0)-MATCH($F$1,enemy_skill_triggers!$1:$1,0)+1),MATCH(L$1,enemy_skill_triggers!$1:$1,0)-MATCH($F$1,enemy_skill_triggers!$1:$1,0)+1,FALSE)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7" s="48" t="str">
        <f ca="1">VLOOKUP($F167,OFFSET(enemy_skill_triggers!$A$1,0,0,COUNTA(enemy_skill_triggers!$A:$A),MATCH(M$1,enemy_skill_triggers!$1:$1,0)-MATCH($F$1,enemy_skill_triggers!$1:$1,0)+1),MATCH(M$1,enemy_skill_triggers!$1:$1,0)-MATCH($F$1,enemy_skill_triggers!$1:$1,0)+1,FALSE)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7" s="48">
        <f ca="1">VLOOKUP($F167,OFFSET(enemy_skill_triggers!$A$1,0,0,COUNTA(enemy_skill_triggers!$A:$A),MATCH(N$1,enemy_skill_triggers!$1:$1,0)-MATCH($F$1,enemy_skill_triggers!$1:$1,0)+1),MATCH(N$1,enemy_skill_triggers!$1:$1,0)-MATCH($F$1,enemy_skill_triggers!$1:$1,0)+1,FALSE)</f>
        <v>1363</v>
      </c>
      <c r="O167" s="48">
        <f ca="1">VLOOKUP($F167,OFFSET(enemy_skill_triggers!$A$1,0,0,COUNTA(enemy_skill_triggers!$A:$A),MATCH(O$1,enemy_skill_triggers!$1:$1,0)-MATCH($F$1,enemy_skill_triggers!$1:$1,0)+1),MATCH(O$1,enemy_skill_triggers!$1:$1,0)-MATCH($F$1,enemy_skill_triggers!$1:$1,0)+1,FALSE)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7" s="47"/>
      <c r="Q167" s="47"/>
      <c r="R167" s="47"/>
    </row>
    <row r="168" spans="1:18" ht="21" customHeight="1" x14ac:dyDescent="0.15">
      <c r="A168" s="39" t="str">
        <f t="shared" si="16"/>
        <v>47007116_47007685</v>
      </c>
      <c r="B168" s="169">
        <v>47007116</v>
      </c>
      <c r="C168" s="171">
        <v>47007685</v>
      </c>
      <c r="D168" s="46" t="str">
        <f ca="1">VLOOKUP($C168,OFFSET(enemy_skills!$A$1,0,0,COUNTA(enemy_skills!$A:$A),MATCH(D$1,enemy_skills!$1:$1,0)-MATCH("enemy_skill_id",enemy_skills!$1:$1,0)+1),MATCH(D$1,enemy_skills!$1:$1,0)-MATCH("enemy_skill_id",enemy_skills!$1:$1,0)+1,FALSE)</f>
        <v>…受け取って…くれた…？</v>
      </c>
      <c r="E168" s="46" t="str">
        <f ca="1">VLOOKUP($C168,OFFSET(enemy_skills!$A$1,0,0,COUNTA(enemy_skills!$A:$A),MATCH(E$1,enemy_skills!$1:$1,0)-MATCH("enemy_skill_id",enemy_skills!$1:$1,0)+1),MATCH(E$1,enemy_skills!$1:$1,0)-MATCH("enemy_skill_id",enemy_skills!$1:$1,0)+1,FALSE)</f>
        <v>これは友チョコなんだから！友達…だし…！</v>
      </c>
      <c r="F168" s="180">
        <v>47007611</v>
      </c>
      <c r="G168" s="48">
        <f ca="1">VLOOKUP($F168,OFFSET(enemy_skill_triggers!$A$1,0,0,COUNTA(enemy_skill_triggers!$A:$A),MATCH(G$1,enemy_skill_triggers!$1:$1,0)-MATCH($F$1,enemy_skill_triggers!$1:$1,0)+1),MATCH(G$1,enemy_skill_triggers!$1:$1,0)-MATCH($F$1,enemy_skill_triggers!$1:$1,0)+1,FALSE)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8" s="48">
        <f ca="1">VLOOKUP($F168,OFFSET(enemy_skill_triggers!$A$1,0,0,COUNTA(enemy_skill_triggers!$A:$A),MATCH(H$1,enemy_skill_triggers!$1:$1,0)-MATCH($F$1,enemy_skill_triggers!$1:$1,0)+1),MATCH(H$1,enemy_skill_triggers!$1:$1,0)-MATCH($F$1,enemy_skill_triggers!$1:$1,0)+1,FALSE)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68" s="48">
        <f ca="1">VLOOKUP($F168,OFFSET(enemy_skill_triggers!$A$1,0,0,COUNTA(enemy_skill_triggers!$A:$A),MATCH(I$1,enemy_skill_triggers!$1:$1,0)-MATCH($F$1,enemy_skill_triggers!$1:$1,0)+1),MATCH(I$1,enemy_skill_triggers!$1:$1,0)-MATCH($F$1,enemy_skill_triggers!$1:$1,0)+1,FALSE)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8" s="48" t="str">
        <f ca="1">VLOOKUP($F168,OFFSET(enemy_skill_triggers!$A$1,0,0,COUNTA(enemy_skill_triggers!$A:$A),MATCH(J$1,enemy_skill_triggers!$1:$1,0)-MATCH($F$1,enemy_skill_triggers!$1:$1,0)+1),MATCH(J$1,enemy_skill_triggers!$1:$1,0)-MATCH($F$1,enemy_skill_triggers!$1:$1,0)+1,FALSE)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8" s="48" t="str">
        <f ca="1">VLOOKUP($F168,OFFSET(enemy_skill_triggers!$A$1,0,0,COUNTA(enemy_skill_triggers!$A:$A),MATCH(K$1,enemy_skill_triggers!$1:$1,0)-MATCH($F$1,enemy_skill_triggers!$1:$1,0)+1),MATCH(K$1,enemy_skill_triggers!$1:$1,0)-MATCH($F$1,enemy_skill_triggers!$1:$1,0)+1,FALSE)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8" s="48">
        <f ca="1">VLOOKUP($F168,OFFSET(enemy_skill_triggers!$A$1,0,0,COUNTA(enemy_skill_triggers!$A:$A),MATCH(L$1,enemy_skill_triggers!$1:$1,0)-MATCH($F$1,enemy_skill_triggers!$1:$1,0)+1),MATCH(L$1,enemy_skill_triggers!$1:$1,0)-MATCH($F$1,enemy_skill_triggers!$1:$1,0)+1,FALSE)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8" s="48" t="str">
        <f ca="1">VLOOKUP($F168,OFFSET(enemy_skill_triggers!$A$1,0,0,COUNTA(enemy_skill_triggers!$A:$A),MATCH(M$1,enemy_skill_triggers!$1:$1,0)-MATCH($F$1,enemy_skill_triggers!$1:$1,0)+1),MATCH(M$1,enemy_skill_triggers!$1:$1,0)-MATCH($F$1,enemy_skill_triggers!$1:$1,0)+1,FALSE)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8" s="48">
        <f ca="1">VLOOKUP($F168,OFFSET(enemy_skill_triggers!$A$1,0,0,COUNTA(enemy_skill_triggers!$A:$A),MATCH(N$1,enemy_skill_triggers!$1:$1,0)-MATCH($F$1,enemy_skill_triggers!$1:$1,0)+1),MATCH(N$1,enemy_skill_triggers!$1:$1,0)-MATCH($F$1,enemy_skill_triggers!$1:$1,0)+1,FALSE)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168" s="48">
        <f ca="1">VLOOKUP($F168,OFFSET(enemy_skill_triggers!$A$1,0,0,COUNTA(enemy_skill_triggers!$A:$A),MATCH(O$1,enemy_skill_triggers!$1:$1,0)-MATCH($F$1,enemy_skill_triggers!$1:$1,0)+1),MATCH(O$1,enemy_skill_triggers!$1:$1,0)-MATCH($F$1,enemy_skill_triggers!$1:$1,0)+1,FALSE)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8" s="47"/>
      <c r="Q168" s="47"/>
      <c r="R168" s="47"/>
    </row>
    <row r="169" spans="1:18" ht="21" customHeight="1" x14ac:dyDescent="0.15">
      <c r="A169" s="39" t="str">
        <f t="shared" si="16"/>
        <v>47007116_47007685</v>
      </c>
      <c r="B169" s="169">
        <v>47007116</v>
      </c>
      <c r="C169" s="171">
        <v>47007685</v>
      </c>
      <c r="D169" s="46" t="str">
        <f ca="1">VLOOKUP($C169,OFFSET(enemy_skills!$A$1,0,0,COUNTA(enemy_skills!$A:$A),MATCH(D$1,enemy_skills!$1:$1,0)-MATCH("enemy_skill_id",enemy_skills!$1:$1,0)+1),MATCH(D$1,enemy_skills!$1:$1,0)-MATCH("enemy_skill_id",enemy_skills!$1:$1,0)+1,FALSE)</f>
        <v>…受け取って…くれた…？</v>
      </c>
      <c r="E169" s="46" t="str">
        <f ca="1">VLOOKUP($C169,OFFSET(enemy_skills!$A$1,0,0,COUNTA(enemy_skills!$A:$A),MATCH(E$1,enemy_skills!$1:$1,0)-MATCH("enemy_skill_id",enemy_skills!$1:$1,0)+1),MATCH(E$1,enemy_skills!$1:$1,0)-MATCH("enemy_skill_id",enemy_skills!$1:$1,0)+1,FALSE)</f>
        <v>これは友チョコなんだから！友達…だし…！</v>
      </c>
      <c r="F169" s="180">
        <v>47007612</v>
      </c>
      <c r="G169" s="48">
        <f ca="1">VLOOKUP($F169,OFFSET(enemy_skill_triggers!$A$1,0,0,COUNTA(enemy_skill_triggers!$A:$A),MATCH(G$1,enemy_skill_triggers!$1:$1,0)-MATCH($F$1,enemy_skill_triggers!$1:$1,0)+1),MATCH(G$1,enemy_skill_triggers!$1:$1,0)-MATCH($F$1,enemy_skill_triggers!$1:$1,0)+1,FALSE)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9" s="48">
        <f ca="1">VLOOKUP($F169,OFFSET(enemy_skill_triggers!$A$1,0,0,COUNTA(enemy_skill_triggers!$A:$A),MATCH(H$1,enemy_skill_triggers!$1:$1,0)-MATCH($F$1,enemy_skill_triggers!$1:$1,0)+1),MATCH(H$1,enemy_skill_triggers!$1:$1,0)-MATCH($F$1,enemy_skill_triggers!$1:$1,0)+1,FALSE)</f>
        <v>299</v>
      </c>
      <c r="I169" s="48">
        <f ca="1">VLOOKUP($F169,OFFSET(enemy_skill_triggers!$A$1,0,0,COUNTA(enemy_skill_triggers!$A:$A),MATCH(I$1,enemy_skill_triggers!$1:$1,0)-MATCH($F$1,enemy_skill_triggers!$1:$1,0)+1),MATCH(I$1,enemy_skill_triggers!$1:$1,0)-MATCH($F$1,enemy_skill_triggers!$1:$1,0)+1,FALSE)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9" s="48" t="str">
        <f ca="1">VLOOKUP($F169,OFFSET(enemy_skill_triggers!$A$1,0,0,COUNTA(enemy_skill_triggers!$A:$A),MATCH(J$1,enemy_skill_triggers!$1:$1,0)-MATCH($F$1,enemy_skill_triggers!$1:$1,0)+1),MATCH(J$1,enemy_skill_triggers!$1:$1,0)-MATCH($F$1,enemy_skill_triggers!$1:$1,0)+1,FALSE)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9" s="48" t="str">
        <f ca="1">VLOOKUP($F169,OFFSET(enemy_skill_triggers!$A$1,0,0,COUNTA(enemy_skill_triggers!$A:$A),MATCH(K$1,enemy_skill_triggers!$1:$1,0)-MATCH($F$1,enemy_skill_triggers!$1:$1,0)+1),MATCH(K$1,enemy_skill_triggers!$1:$1,0)-MATCH($F$1,enemy_skill_triggers!$1:$1,0)+1,FALSE)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9" s="48">
        <f ca="1">VLOOKUP($F169,OFFSET(enemy_skill_triggers!$A$1,0,0,COUNTA(enemy_skill_triggers!$A:$A),MATCH(L$1,enemy_skill_triggers!$1:$1,0)-MATCH($F$1,enemy_skill_triggers!$1:$1,0)+1),MATCH(L$1,enemy_skill_triggers!$1:$1,0)-MATCH($F$1,enemy_skill_triggers!$1:$1,0)+1,FALSE)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9" s="48" t="str">
        <f ca="1">VLOOKUP($F169,OFFSET(enemy_skill_triggers!$A$1,0,0,COUNTA(enemy_skill_triggers!$A:$A),MATCH(M$1,enemy_skill_triggers!$1:$1,0)-MATCH($F$1,enemy_skill_triggers!$1:$1,0)+1),MATCH(M$1,enemy_skill_triggers!$1:$1,0)-MATCH($F$1,enemy_skill_triggers!$1:$1,0)+1,FALSE)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9" s="48">
        <f ca="1">VLOOKUP($F169,OFFSET(enemy_skill_triggers!$A$1,0,0,COUNTA(enemy_skill_triggers!$A:$A),MATCH(N$1,enemy_skill_triggers!$1:$1,0)-MATCH($F$1,enemy_skill_triggers!$1:$1,0)+1),MATCH(N$1,enemy_skill_triggers!$1:$1,0)-MATCH($F$1,enemy_skill_triggers!$1:$1,0)+1,FALSE)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169" s="48">
        <f ca="1">VLOOKUP($F169,OFFSET(enemy_skill_triggers!$A$1,0,0,COUNTA(enemy_skill_triggers!$A:$A),MATCH(O$1,enemy_skill_triggers!$1:$1,0)-MATCH($F$1,enemy_skill_triggers!$1:$1,0)+1),MATCH(O$1,enemy_skill_triggers!$1:$1,0)-MATCH($F$1,enemy_skill_triggers!$1:$1,0)+1,FALSE)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9" s="47"/>
      <c r="Q169" s="47"/>
      <c r="R169" s="47"/>
    </row>
    <row r="170" spans="1:18" ht="21" customHeight="1" x14ac:dyDescent="0.15">
      <c r="A170" s="39" t="str">
        <f t="shared" si="16"/>
        <v>47007116_47007685</v>
      </c>
      <c r="B170" s="169">
        <v>47007116</v>
      </c>
      <c r="C170" s="171">
        <v>47007685</v>
      </c>
      <c r="D170" s="46" t="str">
        <f ca="1">VLOOKUP($C170,OFFSET(enemy_skills!$A$1,0,0,COUNTA(enemy_skills!$A:$A),MATCH(D$1,enemy_skills!$1:$1,0)-MATCH("enemy_skill_id",enemy_skills!$1:$1,0)+1),MATCH(D$1,enemy_skills!$1:$1,0)-MATCH("enemy_skill_id",enemy_skills!$1:$1,0)+1,FALSE)</f>
        <v>…受け取って…くれた…？</v>
      </c>
      <c r="E170" s="46" t="str">
        <f ca="1">VLOOKUP($C170,OFFSET(enemy_skills!$A$1,0,0,COUNTA(enemy_skills!$A:$A),MATCH(E$1,enemy_skills!$1:$1,0)-MATCH("enemy_skill_id",enemy_skills!$1:$1,0)+1),MATCH(E$1,enemy_skills!$1:$1,0)-MATCH("enemy_skill_id",enemy_skills!$1:$1,0)+1,FALSE)</f>
        <v>これは友チョコなんだから！友達…だし…！</v>
      </c>
      <c r="F170" s="180">
        <v>47007613</v>
      </c>
      <c r="G170" s="48">
        <f ca="1">VLOOKUP($F170,OFFSET(enemy_skill_triggers!$A$1,0,0,COUNTA(enemy_skill_triggers!$A:$A),MATCH(G$1,enemy_skill_triggers!$1:$1,0)-MATCH($F$1,enemy_skill_triggers!$1:$1,0)+1),MATCH(G$1,enemy_skill_triggers!$1:$1,0)-MATCH($F$1,enemy_skill_triggers!$1:$1,0)+1,FALSE)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0" s="48">
        <f ca="1">VLOOKUP($F170,OFFSET(enemy_skill_triggers!$A$1,0,0,COUNTA(enemy_skill_triggers!$A:$A),MATCH(H$1,enemy_skill_triggers!$1:$1,0)-MATCH($F$1,enemy_skill_triggers!$1:$1,0)+1),MATCH(H$1,enemy_skill_triggers!$1:$1,0)-MATCH($F$1,enemy_skill_triggers!$1:$1,0)+1,FALSE)</f>
        <v>298</v>
      </c>
      <c r="I170" s="48">
        <f ca="1">VLOOKUP($F170,OFFSET(enemy_skill_triggers!$A$1,0,0,COUNTA(enemy_skill_triggers!$A:$A),MATCH(I$1,enemy_skill_triggers!$1:$1,0)-MATCH($F$1,enemy_skill_triggers!$1:$1,0)+1),MATCH(I$1,enemy_skill_triggers!$1:$1,0)-MATCH($F$1,enemy_skill_triggers!$1:$1,0)+1,FALSE)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0" s="48" t="str">
        <f ca="1">VLOOKUP($F170,OFFSET(enemy_skill_triggers!$A$1,0,0,COUNTA(enemy_skill_triggers!$A:$A),MATCH(J$1,enemy_skill_triggers!$1:$1,0)-MATCH($F$1,enemy_skill_triggers!$1:$1,0)+1),MATCH(J$1,enemy_skill_triggers!$1:$1,0)-MATCH($F$1,enemy_skill_triggers!$1:$1,0)+1,FALSE)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0" s="48" t="str">
        <f ca="1">VLOOKUP($F170,OFFSET(enemy_skill_triggers!$A$1,0,0,COUNTA(enemy_skill_triggers!$A:$A),MATCH(K$1,enemy_skill_triggers!$1:$1,0)-MATCH($F$1,enemy_skill_triggers!$1:$1,0)+1),MATCH(K$1,enemy_skill_triggers!$1:$1,0)-MATCH($F$1,enemy_skill_triggers!$1:$1,0)+1,FALSE)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0" s="48">
        <f ca="1">VLOOKUP($F170,OFFSET(enemy_skill_triggers!$A$1,0,0,COUNTA(enemy_skill_triggers!$A:$A),MATCH(L$1,enemy_skill_triggers!$1:$1,0)-MATCH($F$1,enemy_skill_triggers!$1:$1,0)+1),MATCH(L$1,enemy_skill_triggers!$1:$1,0)-MATCH($F$1,enemy_skill_triggers!$1:$1,0)+1,FALSE)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0" s="48" t="str">
        <f ca="1">VLOOKUP($F170,OFFSET(enemy_skill_triggers!$A$1,0,0,COUNTA(enemy_skill_triggers!$A:$A),MATCH(M$1,enemy_skill_triggers!$1:$1,0)-MATCH($F$1,enemy_skill_triggers!$1:$1,0)+1),MATCH(M$1,enemy_skill_triggers!$1:$1,0)-MATCH($F$1,enemy_skill_triggers!$1:$1,0)+1,FALSE)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0" s="48">
        <f ca="1">VLOOKUP($F170,OFFSET(enemy_skill_triggers!$A$1,0,0,COUNTA(enemy_skill_triggers!$A:$A),MATCH(N$1,enemy_skill_triggers!$1:$1,0)-MATCH($F$1,enemy_skill_triggers!$1:$1,0)+1),MATCH(N$1,enemy_skill_triggers!$1:$1,0)-MATCH($F$1,enemy_skill_triggers!$1:$1,0)+1,FALSE)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170" s="48">
        <f ca="1">VLOOKUP($F170,OFFSET(enemy_skill_triggers!$A$1,0,0,COUNTA(enemy_skill_triggers!$A:$A),MATCH(O$1,enemy_skill_triggers!$1:$1,0)-MATCH($F$1,enemy_skill_triggers!$1:$1,0)+1),MATCH(O$1,enemy_skill_triggers!$1:$1,0)-MATCH($F$1,enemy_skill_triggers!$1:$1,0)+1,FALSE)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0" s="47"/>
      <c r="Q170" s="47"/>
      <c r="R170" s="47"/>
    </row>
    <row r="171" spans="1:18" ht="21" customHeight="1" x14ac:dyDescent="0.15">
      <c r="A171" s="39" t="str">
        <f t="shared" si="16"/>
        <v>47007116_47007685</v>
      </c>
      <c r="B171" s="169">
        <v>47007116</v>
      </c>
      <c r="C171" s="171">
        <v>47007685</v>
      </c>
      <c r="D171" s="46" t="str">
        <f ca="1">VLOOKUP($C171,OFFSET(enemy_skills!$A$1,0,0,COUNTA(enemy_skills!$A:$A),MATCH(D$1,enemy_skills!$1:$1,0)-MATCH("enemy_skill_id",enemy_skills!$1:$1,0)+1),MATCH(D$1,enemy_skills!$1:$1,0)-MATCH("enemy_skill_id",enemy_skills!$1:$1,0)+1,FALSE)</f>
        <v>…受け取って…くれた…？</v>
      </c>
      <c r="E171" s="46" t="str">
        <f ca="1">VLOOKUP($C171,OFFSET(enemy_skills!$A$1,0,0,COUNTA(enemy_skills!$A:$A),MATCH(E$1,enemy_skills!$1:$1,0)-MATCH("enemy_skill_id",enemy_skills!$1:$1,0)+1),MATCH(E$1,enemy_skills!$1:$1,0)-MATCH("enemy_skill_id",enemy_skills!$1:$1,0)+1,FALSE)</f>
        <v>これは友チョコなんだから！友達…だし…！</v>
      </c>
      <c r="F171" s="180">
        <v>47007614</v>
      </c>
      <c r="G171" s="48">
        <f ca="1">VLOOKUP($F171,OFFSET(enemy_skill_triggers!$A$1,0,0,COUNTA(enemy_skill_triggers!$A:$A),MATCH(G$1,enemy_skill_triggers!$1:$1,0)-MATCH($F$1,enemy_skill_triggers!$1:$1,0)+1),MATCH(G$1,enemy_skill_triggers!$1:$1,0)-MATCH($F$1,enemy_skill_triggers!$1:$1,0)+1,FALSE)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1" s="48">
        <f ca="1">VLOOKUP($F171,OFFSET(enemy_skill_triggers!$A$1,0,0,COUNTA(enemy_skill_triggers!$A:$A),MATCH(H$1,enemy_skill_triggers!$1:$1,0)-MATCH($F$1,enemy_skill_triggers!$1:$1,0)+1),MATCH(H$1,enemy_skill_triggers!$1:$1,0)-MATCH($F$1,enemy_skill_triggers!$1:$1,0)+1,FALSE)</f>
        <v>297</v>
      </c>
      <c r="I171" s="48">
        <f ca="1">VLOOKUP($F171,OFFSET(enemy_skill_triggers!$A$1,0,0,COUNTA(enemy_skill_triggers!$A:$A),MATCH(I$1,enemy_skill_triggers!$1:$1,0)-MATCH($F$1,enemy_skill_triggers!$1:$1,0)+1),MATCH(I$1,enemy_skill_triggers!$1:$1,0)-MATCH($F$1,enemy_skill_triggers!$1:$1,0)+1,FALSE)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1" s="48" t="str">
        <f ca="1">VLOOKUP($F171,OFFSET(enemy_skill_triggers!$A$1,0,0,COUNTA(enemy_skill_triggers!$A:$A),MATCH(J$1,enemy_skill_triggers!$1:$1,0)-MATCH($F$1,enemy_skill_triggers!$1:$1,0)+1),MATCH(J$1,enemy_skill_triggers!$1:$1,0)-MATCH($F$1,enemy_skill_triggers!$1:$1,0)+1,FALSE)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1" s="48" t="str">
        <f ca="1">VLOOKUP($F171,OFFSET(enemy_skill_triggers!$A$1,0,0,COUNTA(enemy_skill_triggers!$A:$A),MATCH(K$1,enemy_skill_triggers!$1:$1,0)-MATCH($F$1,enemy_skill_triggers!$1:$1,0)+1),MATCH(K$1,enemy_skill_triggers!$1:$1,0)-MATCH($F$1,enemy_skill_triggers!$1:$1,0)+1,FALSE)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1" s="48">
        <f ca="1">VLOOKUP($F171,OFFSET(enemy_skill_triggers!$A$1,0,0,COUNTA(enemy_skill_triggers!$A:$A),MATCH(L$1,enemy_skill_triggers!$1:$1,0)-MATCH($F$1,enemy_skill_triggers!$1:$1,0)+1),MATCH(L$1,enemy_skill_triggers!$1:$1,0)-MATCH($F$1,enemy_skill_triggers!$1:$1,0)+1,FALSE)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1" s="48" t="str">
        <f ca="1">VLOOKUP($F171,OFFSET(enemy_skill_triggers!$A$1,0,0,COUNTA(enemy_skill_triggers!$A:$A),MATCH(M$1,enemy_skill_triggers!$1:$1,0)-MATCH($F$1,enemy_skill_triggers!$1:$1,0)+1),MATCH(M$1,enemy_skill_triggers!$1:$1,0)-MATCH($F$1,enemy_skill_triggers!$1:$1,0)+1,FALSE)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1" s="48">
        <f ca="1">VLOOKUP($F171,OFFSET(enemy_skill_triggers!$A$1,0,0,COUNTA(enemy_skill_triggers!$A:$A),MATCH(N$1,enemy_skill_triggers!$1:$1,0)-MATCH($F$1,enemy_skill_triggers!$1:$1,0)+1),MATCH(N$1,enemy_skill_triggers!$1:$1,0)-MATCH($F$1,enemy_skill_triggers!$1:$1,0)+1,FALSE)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171" s="48">
        <f ca="1">VLOOKUP($F171,OFFSET(enemy_skill_triggers!$A$1,0,0,COUNTA(enemy_skill_triggers!$A:$A),MATCH(O$1,enemy_skill_triggers!$1:$1,0)-MATCH($F$1,enemy_skill_triggers!$1:$1,0)+1),MATCH(O$1,enemy_skill_triggers!$1:$1,0)-MATCH($F$1,enemy_skill_triggers!$1:$1,0)+1,FALSE)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1" s="47"/>
      <c r="Q171" s="47"/>
      <c r="R171" s="47"/>
    </row>
    <row r="172" spans="1:18" ht="21" customHeight="1" thickBot="1" x14ac:dyDescent="0.2">
      <c r="A172" s="125" t="str">
        <f t="shared" si="16"/>
        <v>47007116_47007685</v>
      </c>
      <c r="B172" s="169">
        <v>47007116</v>
      </c>
      <c r="C172" s="171">
        <v>47007685</v>
      </c>
      <c r="D172" s="46" t="str">
        <f ca="1">VLOOKUP($C172,OFFSET(enemy_skills!$A$1,0,0,COUNTA(enemy_skills!$A:$A),MATCH(D$1,enemy_skills!$1:$1,0)-MATCH("enemy_skill_id",enemy_skills!$1:$1,0)+1),MATCH(D$1,enemy_skills!$1:$1,0)-MATCH("enemy_skill_id",enemy_skills!$1:$1,0)+1,FALSE)</f>
        <v>…受け取って…くれた…？</v>
      </c>
      <c r="E172" s="46" t="str">
        <f ca="1">VLOOKUP($C172,OFFSET(enemy_skills!$A$1,0,0,COUNTA(enemy_skills!$A:$A),MATCH(E$1,enemy_skills!$1:$1,0)-MATCH("enemy_skill_id",enemy_skills!$1:$1,0)+1),MATCH(E$1,enemy_skills!$1:$1,0)-MATCH("enemy_skill_id",enemy_skills!$1:$1,0)+1,FALSE)</f>
        <v>これは友チョコなんだから！友達…だし…！</v>
      </c>
      <c r="F172" s="180">
        <v>47007615</v>
      </c>
      <c r="G172" s="48">
        <f ca="1">VLOOKUP($F172,OFFSET(enemy_skill_triggers!$A$1,0,0,COUNTA(enemy_skill_triggers!$A:$A),MATCH(G$1,enemy_skill_triggers!$1:$1,0)-MATCH($F$1,enemy_skill_triggers!$1:$1,0)+1),MATCH(G$1,enemy_skill_triggers!$1:$1,0)-MATCH($F$1,enemy_skill_triggers!$1:$1,0)+1,FALSE)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2" s="48">
        <f ca="1">VLOOKUP($F172,OFFSET(enemy_skill_triggers!$A$1,0,0,COUNTA(enemy_skill_triggers!$A:$A),MATCH(H$1,enemy_skill_triggers!$1:$1,0)-MATCH($F$1,enemy_skill_triggers!$1:$1,0)+1),MATCH(H$1,enemy_skill_triggers!$1:$1,0)-MATCH($F$1,enemy_skill_triggers!$1:$1,0)+1,FALSE)</f>
        <v>296</v>
      </c>
      <c r="I172" s="48">
        <f ca="1">VLOOKUP($F172,OFFSET(enemy_skill_triggers!$A$1,0,0,COUNTA(enemy_skill_triggers!$A:$A),MATCH(I$1,enemy_skill_triggers!$1:$1,0)-MATCH($F$1,enemy_skill_triggers!$1:$1,0)+1),MATCH(I$1,enemy_skill_triggers!$1:$1,0)-MATCH($F$1,enemy_skill_triggers!$1:$1,0)+1,FALSE)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2" s="48" t="str">
        <f ca="1">VLOOKUP($F172,OFFSET(enemy_skill_triggers!$A$1,0,0,COUNTA(enemy_skill_triggers!$A:$A),MATCH(J$1,enemy_skill_triggers!$1:$1,0)-MATCH($F$1,enemy_skill_triggers!$1:$1,0)+1),MATCH(J$1,enemy_skill_triggers!$1:$1,0)-MATCH($F$1,enemy_skill_triggers!$1:$1,0)+1,FALSE)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2" s="48" t="str">
        <f ca="1">VLOOKUP($F172,OFFSET(enemy_skill_triggers!$A$1,0,0,COUNTA(enemy_skill_triggers!$A:$A),MATCH(K$1,enemy_skill_triggers!$1:$1,0)-MATCH($F$1,enemy_skill_triggers!$1:$1,0)+1),MATCH(K$1,enemy_skill_triggers!$1:$1,0)-MATCH($F$1,enemy_skill_triggers!$1:$1,0)+1,FALSE)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2" s="48">
        <f ca="1">VLOOKUP($F172,OFFSET(enemy_skill_triggers!$A$1,0,0,COUNTA(enemy_skill_triggers!$A:$A),MATCH(L$1,enemy_skill_triggers!$1:$1,0)-MATCH($F$1,enemy_skill_triggers!$1:$1,0)+1),MATCH(L$1,enemy_skill_triggers!$1:$1,0)-MATCH($F$1,enemy_skill_triggers!$1:$1,0)+1,FALSE)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2" s="48" t="str">
        <f ca="1">VLOOKUP($F172,OFFSET(enemy_skill_triggers!$A$1,0,0,COUNTA(enemy_skill_triggers!$A:$A),MATCH(M$1,enemy_skill_triggers!$1:$1,0)-MATCH($F$1,enemy_skill_triggers!$1:$1,0)+1),MATCH(M$1,enemy_skill_triggers!$1:$1,0)-MATCH($F$1,enemy_skill_triggers!$1:$1,0)+1,FALSE)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2" s="48">
        <f ca="1">VLOOKUP($F172,OFFSET(enemy_skill_triggers!$A$1,0,0,COUNTA(enemy_skill_triggers!$A:$A),MATCH(N$1,enemy_skill_triggers!$1:$1,0)-MATCH($F$1,enemy_skill_triggers!$1:$1,0)+1),MATCH(N$1,enemy_skill_triggers!$1:$1,0)-MATCH($F$1,enemy_skill_triggers!$1:$1,0)+1,FALSE)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172" s="48">
        <f ca="1">VLOOKUP($F172,OFFSET(enemy_skill_triggers!$A$1,0,0,COUNTA(enemy_skill_triggers!$A:$A),MATCH(O$1,enemy_skill_triggers!$1:$1,0)-MATCH($F$1,enemy_skill_triggers!$1:$1,0)+1),MATCH(O$1,enemy_skill_triggers!$1:$1,0)-MATCH($F$1,enemy_skill_triggers!$1:$1,0)+1,FALSE)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2" s="47"/>
      <c r="Q172" s="47"/>
      <c r="R172" s="47"/>
    </row>
    <row r="173" spans="1:18" ht="21" customHeight="1" x14ac:dyDescent="0.15">
      <c r="A173" s="39" t="str">
        <f t="shared" ref="A173:A236" si="17">B173&amp;"_"&amp;C173</f>
        <v>47007124_47007491</v>
      </c>
      <c r="B173" s="174">
        <v>47007124</v>
      </c>
      <c r="C173" s="174">
        <v>47007491</v>
      </c>
      <c r="D173" s="46" t="str">
        <f ca="1">VLOOKUP($C173,OFFSET(enemy_skills!$A$1,0,0,COUNTA(enemy_skills!$A:$A),MATCH(D$1,enemy_skills!$1:$1,0)-MATCH("enemy_skill_id",enemy_skills!$1:$1,0)+1),MATCH(D$1,enemy_skills!$1:$1,0)-MATCH("enemy_skill_id",enemy_skills!$1:$1,0)+1,FALSE)</f>
        <v>き、来てくれたの…！！_x000D_…今度こそ素直に…！！</v>
      </c>
      <c r="E173" s="46" t="str">
        <f ca="1">VLOOKUP($C173,OFFSET(enemy_skills!$A$1,0,0,COUNTA(enemy_skills!$A:$A),MATCH(E$1,enemy_skills!$1:$1,0)-MATCH("enemy_skill_id",enemy_skills!$1:$1,0)+1),MATCH(E$1,enemy_skills!$1:$1,0)-MATCH("enemy_skill_id",enemy_skills!$1:$1,0)+1,FALSE)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173" s="180">
        <v>47007401</v>
      </c>
      <c r="G173" s="48">
        <f ca="1">VLOOKUP($F173,OFFSET(enemy_skill_triggers!$A$1,0,0,COUNTA(enemy_skill_triggers!$A:$A),MATCH(G$1,enemy_skill_triggers!$1:$1,0)-MATCH($F$1,enemy_skill_triggers!$1:$1,0)+1),MATCH(G$1,enemy_skill_triggers!$1:$1,0)-MATCH($F$1,enemy_skill_triggers!$1:$1,0)+1,FALSE)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3" s="48" t="str">
        <f ca="1">VLOOKUP($F173,OFFSET(enemy_skill_triggers!$A$1,0,0,COUNTA(enemy_skill_triggers!$A:$A),MATCH(H$1,enemy_skill_triggers!$1:$1,0)-MATCH($F$1,enemy_skill_triggers!$1:$1,0)+1),MATCH(H$1,enemy_skill_triggers!$1:$1,0)-MATCH($F$1,enemy_skill_triggers!$1:$1,0)+1,FALSE)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3" s="48">
        <f ca="1">VLOOKUP($F173,OFFSET(enemy_skill_triggers!$A$1,0,0,COUNTA(enemy_skill_triggers!$A:$A),MATCH(I$1,enemy_skill_triggers!$1:$1,0)-MATCH($F$1,enemy_skill_triggers!$1:$1,0)+1),MATCH(I$1,enemy_skill_triggers!$1:$1,0)-MATCH($F$1,enemy_skill_triggers!$1:$1,0)+1,FALSE)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3" s="48" t="str">
        <f ca="1">VLOOKUP($F173,OFFSET(enemy_skill_triggers!$A$1,0,0,COUNTA(enemy_skill_triggers!$A:$A),MATCH(J$1,enemy_skill_triggers!$1:$1,0)-MATCH($F$1,enemy_skill_triggers!$1:$1,0)+1),MATCH(J$1,enemy_skill_triggers!$1:$1,0)-MATCH($F$1,enemy_skill_triggers!$1:$1,0)+1,FALSE)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3" s="48" t="str">
        <f ca="1">VLOOKUP($F173,OFFSET(enemy_skill_triggers!$A$1,0,0,COUNTA(enemy_skill_triggers!$A:$A),MATCH(K$1,enemy_skill_triggers!$1:$1,0)-MATCH($F$1,enemy_skill_triggers!$1:$1,0)+1),MATCH(K$1,enemy_skill_triggers!$1:$1,0)-MATCH($F$1,enemy_skill_triggers!$1:$1,0)+1,FALSE)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3" s="48">
        <f ca="1">VLOOKUP($F173,OFFSET(enemy_skill_triggers!$A$1,0,0,COUNTA(enemy_skill_triggers!$A:$A),MATCH(L$1,enemy_skill_triggers!$1:$1,0)-MATCH($F$1,enemy_skill_triggers!$1:$1,0)+1),MATCH(L$1,enemy_skill_triggers!$1:$1,0)-MATCH($F$1,enemy_skill_triggers!$1:$1,0)+1,FALSE)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3" s="48" t="str">
        <f ca="1">VLOOKUP($F173,OFFSET(enemy_skill_triggers!$A$1,0,0,COUNTA(enemy_skill_triggers!$A:$A),MATCH(M$1,enemy_skill_triggers!$1:$1,0)-MATCH($F$1,enemy_skill_triggers!$1:$1,0)+1),MATCH(M$1,enemy_skill_triggers!$1:$1,0)-MATCH($F$1,enemy_skill_triggers!$1:$1,0)+1,FALSE)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3" s="48" t="str">
        <f ca="1">VLOOKUP($F173,OFFSET(enemy_skill_triggers!$A$1,0,0,COUNTA(enemy_skill_triggers!$A:$A),MATCH(N$1,enemy_skill_triggers!$1:$1,0)-MATCH($F$1,enemy_skill_triggers!$1:$1,0)+1),MATCH(N$1,enemy_skill_triggers!$1:$1,0)-MATCH($F$1,enemy_skill_triggers!$1:$1,0)+1,FALSE)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3" s="48">
        <f ca="1">VLOOKUP($F173,OFFSET(enemy_skill_triggers!$A$1,0,0,COUNTA(enemy_skill_triggers!$A:$A),MATCH(O$1,enemy_skill_triggers!$1:$1,0)-MATCH($F$1,enemy_skill_triggers!$1:$1,0)+1),MATCH(O$1,enemy_skill_triggers!$1:$1,0)-MATCH($F$1,enemy_skill_triggers!$1:$1,0)+1,FALSE)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3" s="47"/>
      <c r="Q173" s="47"/>
      <c r="R173" s="47"/>
    </row>
    <row r="174" spans="1:18" ht="21" customHeight="1" x14ac:dyDescent="0.15">
      <c r="A174" s="39" t="str">
        <f t="shared" si="17"/>
        <v>47007124_47007492</v>
      </c>
      <c r="B174" s="174">
        <v>47007124</v>
      </c>
      <c r="C174" s="176">
        <v>47007492</v>
      </c>
      <c r="D174" s="46" t="str">
        <f ca="1">VLOOKUP($C174,OFFSET(enemy_skills!$A$1,0,0,COUNTA(enemy_skills!$A:$A),MATCH(D$1,enemy_skills!$1:$1,0)-MATCH("enemy_skill_id",enemy_skills!$1:$1,0)+1),MATCH(D$1,enemy_skills!$1:$1,0)-MATCH("enemy_skill_id",enemy_skills!$1:$1,0)+1,FALSE)</f>
        <v>[player_name]…_x000D_…気持ち…絶対伝えるの…！</v>
      </c>
      <c r="E174" s="46" t="str">
        <f ca="1">VLOOKUP($C174,OFFSET(enemy_skills!$A$1,0,0,COUNTA(enemy_skills!$A:$A),MATCH(E$1,enemy_skills!$1:$1,0)-MATCH("enemy_skill_id",enemy_skills!$1:$1,0)+1),MATCH(E$1,enemy_skills!$1:$1,0)-MATCH("enemy_skill_id",enemy_skills!$1:$1,0)+1,FALSE)</f>
        <v>青パネルをハートパネルに、黄パネルを赤パネルに変換+_x000D_全ユニットのスキルゲージを4ターン減少！</v>
      </c>
      <c r="F174" s="180">
        <v>47007402</v>
      </c>
      <c r="G174" s="48">
        <f ca="1">VLOOKUP($F174,OFFSET(enemy_skill_triggers!$A$1,0,0,COUNTA(enemy_skill_triggers!$A:$A),MATCH(G$1,enemy_skill_triggers!$1:$1,0)-MATCH($F$1,enemy_skill_triggers!$1:$1,0)+1),MATCH(G$1,enemy_skill_triggers!$1:$1,0)-MATCH($F$1,enemy_skill_triggers!$1:$1,0)+1,FALSE)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4" s="48">
        <f ca="1">VLOOKUP($F174,OFFSET(enemy_skill_triggers!$A$1,0,0,COUNTA(enemy_skill_triggers!$A:$A),MATCH(H$1,enemy_skill_triggers!$1:$1,0)-MATCH($F$1,enemy_skill_triggers!$1:$1,0)+1),MATCH(H$1,enemy_skill_triggers!$1:$1,0)-MATCH($F$1,enemy_skill_triggers!$1:$1,0)+1,FALSE)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74" s="48">
        <f ca="1">VLOOKUP($F174,OFFSET(enemy_skill_triggers!$A$1,0,0,COUNTA(enemy_skill_triggers!$A:$A),MATCH(I$1,enemy_skill_triggers!$1:$1,0)-MATCH($F$1,enemy_skill_triggers!$1:$1,0)+1),MATCH(I$1,enemy_skill_triggers!$1:$1,0)-MATCH($F$1,enemy_skill_triggers!$1:$1,0)+1,FALSE)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4" s="48" t="str">
        <f ca="1">VLOOKUP($F174,OFFSET(enemy_skill_triggers!$A$1,0,0,COUNTA(enemy_skill_triggers!$A:$A),MATCH(J$1,enemy_skill_triggers!$1:$1,0)-MATCH($F$1,enemy_skill_triggers!$1:$1,0)+1),MATCH(J$1,enemy_skill_triggers!$1:$1,0)-MATCH($F$1,enemy_skill_triggers!$1:$1,0)+1,FALSE)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4" s="48" t="str">
        <f ca="1">VLOOKUP($F174,OFFSET(enemy_skill_triggers!$A$1,0,0,COUNTA(enemy_skill_triggers!$A:$A),MATCH(K$1,enemy_skill_triggers!$1:$1,0)-MATCH($F$1,enemy_skill_triggers!$1:$1,0)+1),MATCH(K$1,enemy_skill_triggers!$1:$1,0)-MATCH($F$1,enemy_skill_triggers!$1:$1,0)+1,FALSE)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4" s="48">
        <f ca="1">VLOOKUP($F174,OFFSET(enemy_skill_triggers!$A$1,0,0,COUNTA(enemy_skill_triggers!$A:$A),MATCH(L$1,enemy_skill_triggers!$1:$1,0)-MATCH($F$1,enemy_skill_triggers!$1:$1,0)+1),MATCH(L$1,enemy_skill_triggers!$1:$1,0)-MATCH($F$1,enemy_skill_triggers!$1:$1,0)+1,FALSE)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4" s="48" t="str">
        <f ca="1">VLOOKUP($F174,OFFSET(enemy_skill_triggers!$A$1,0,0,COUNTA(enemy_skill_triggers!$A:$A),MATCH(M$1,enemy_skill_triggers!$1:$1,0)-MATCH($F$1,enemy_skill_triggers!$1:$1,0)+1),MATCH(M$1,enemy_skill_triggers!$1:$1,0)-MATCH($F$1,enemy_skill_triggers!$1:$1,0)+1,FALSE)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4" s="48">
        <f ca="1">VLOOKUP($F174,OFFSET(enemy_skill_triggers!$A$1,0,0,COUNTA(enemy_skill_triggers!$A:$A),MATCH(N$1,enemy_skill_triggers!$1:$1,0)-MATCH($F$1,enemy_skill_triggers!$1:$1,0)+1),MATCH(N$1,enemy_skill_triggers!$1:$1,0)-MATCH($F$1,enemy_skill_triggers!$1:$1,0)+1,FALSE)</f>
        <v>1352</v>
      </c>
      <c r="O174" s="48">
        <f ca="1">VLOOKUP($F174,OFFSET(enemy_skill_triggers!$A$1,0,0,COUNTA(enemy_skill_triggers!$A:$A),MATCH(O$1,enemy_skill_triggers!$1:$1,0)-MATCH($F$1,enemy_skill_triggers!$1:$1,0)+1),MATCH(O$1,enemy_skill_triggers!$1:$1,0)-MATCH($F$1,enemy_skill_triggers!$1:$1,0)+1,FALSE)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4" s="47"/>
      <c r="Q174" s="47"/>
      <c r="R174" s="47"/>
    </row>
    <row r="175" spans="1:18" ht="21" customHeight="1" x14ac:dyDescent="0.15">
      <c r="A175" s="39" t="str">
        <f t="shared" si="17"/>
        <v>47007124_47007492</v>
      </c>
      <c r="B175" s="174">
        <v>47007124</v>
      </c>
      <c r="C175" s="176">
        <v>47007492</v>
      </c>
      <c r="D175" s="46" t="str">
        <f ca="1">VLOOKUP($C175,OFFSET(enemy_skills!$A$1,0,0,COUNTA(enemy_skills!$A:$A),MATCH(D$1,enemy_skills!$1:$1,0)-MATCH("enemy_skill_id",enemy_skills!$1:$1,0)+1),MATCH(D$1,enemy_skills!$1:$1,0)-MATCH("enemy_skill_id",enemy_skills!$1:$1,0)+1,FALSE)</f>
        <v>[player_name]…_x000D_…気持ち…絶対伝えるの…！</v>
      </c>
      <c r="E175" s="46" t="str">
        <f ca="1">VLOOKUP($C175,OFFSET(enemy_skills!$A$1,0,0,COUNTA(enemy_skills!$A:$A),MATCH(E$1,enemy_skills!$1:$1,0)-MATCH("enemy_skill_id",enemy_skills!$1:$1,0)+1),MATCH(E$1,enemy_skills!$1:$1,0)-MATCH("enemy_skill_id",enemy_skills!$1:$1,0)+1,FALSE)</f>
        <v>青パネルをハートパネルに、黄パネルを赤パネルに変換+_x000D_全ユニットのスキルゲージを4ターン減少！</v>
      </c>
      <c r="F175" s="180">
        <v>47007403</v>
      </c>
      <c r="G175" s="48">
        <f ca="1">VLOOKUP($F175,OFFSET(enemy_skill_triggers!$A$1,0,0,COUNTA(enemy_skill_triggers!$A:$A),MATCH(G$1,enemy_skill_triggers!$1:$1,0)-MATCH($F$1,enemy_skill_triggers!$1:$1,0)+1),MATCH(G$1,enemy_skill_triggers!$1:$1,0)-MATCH($F$1,enemy_skill_triggers!$1:$1,0)+1,FALSE)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5" s="48">
        <f ca="1">VLOOKUP($F175,OFFSET(enemy_skill_triggers!$A$1,0,0,COUNTA(enemy_skill_triggers!$A:$A),MATCH(H$1,enemy_skill_triggers!$1:$1,0)-MATCH($F$1,enemy_skill_triggers!$1:$1,0)+1),MATCH(H$1,enemy_skill_triggers!$1:$1,0)-MATCH($F$1,enemy_skill_triggers!$1:$1,0)+1,FALSE)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175" s="48">
        <f ca="1">VLOOKUP($F175,OFFSET(enemy_skill_triggers!$A$1,0,0,COUNTA(enemy_skill_triggers!$A:$A),MATCH(I$1,enemy_skill_triggers!$1:$1,0)-MATCH($F$1,enemy_skill_triggers!$1:$1,0)+1),MATCH(I$1,enemy_skill_triggers!$1:$1,0)-MATCH($F$1,enemy_skill_triggers!$1:$1,0)+1,FALSE)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5" s="48" t="str">
        <f ca="1">VLOOKUP($F175,OFFSET(enemy_skill_triggers!$A$1,0,0,COUNTA(enemy_skill_triggers!$A:$A),MATCH(J$1,enemy_skill_triggers!$1:$1,0)-MATCH($F$1,enemy_skill_triggers!$1:$1,0)+1),MATCH(J$1,enemy_skill_triggers!$1:$1,0)-MATCH($F$1,enemy_skill_triggers!$1:$1,0)+1,FALSE)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5" s="48" t="str">
        <f ca="1">VLOOKUP($F175,OFFSET(enemy_skill_triggers!$A$1,0,0,COUNTA(enemy_skill_triggers!$A:$A),MATCH(K$1,enemy_skill_triggers!$1:$1,0)-MATCH($F$1,enemy_skill_triggers!$1:$1,0)+1),MATCH(K$1,enemy_skill_triggers!$1:$1,0)-MATCH($F$1,enemy_skill_triggers!$1:$1,0)+1,FALSE)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5" s="48">
        <f ca="1">VLOOKUP($F175,OFFSET(enemy_skill_triggers!$A$1,0,0,COUNTA(enemy_skill_triggers!$A:$A),MATCH(L$1,enemy_skill_triggers!$1:$1,0)-MATCH($F$1,enemy_skill_triggers!$1:$1,0)+1),MATCH(L$1,enemy_skill_triggers!$1:$1,0)-MATCH($F$1,enemy_skill_triggers!$1:$1,0)+1,FALSE)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5" s="48" t="str">
        <f ca="1">VLOOKUP($F175,OFFSET(enemy_skill_triggers!$A$1,0,0,COUNTA(enemy_skill_triggers!$A:$A),MATCH(M$1,enemy_skill_triggers!$1:$1,0)-MATCH($F$1,enemy_skill_triggers!$1:$1,0)+1),MATCH(M$1,enemy_skill_triggers!$1:$1,0)-MATCH($F$1,enemy_skill_triggers!$1:$1,0)+1,FALSE)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5" s="48">
        <f ca="1">VLOOKUP($F175,OFFSET(enemy_skill_triggers!$A$1,0,0,COUNTA(enemy_skill_triggers!$A:$A),MATCH(N$1,enemy_skill_triggers!$1:$1,0)-MATCH($F$1,enemy_skill_triggers!$1:$1,0)+1),MATCH(N$1,enemy_skill_triggers!$1:$1,0)-MATCH($F$1,enemy_skill_triggers!$1:$1,0)+1,FALSE)</f>
        <v>1353</v>
      </c>
      <c r="O175" s="48">
        <f ca="1">VLOOKUP($F175,OFFSET(enemy_skill_triggers!$A$1,0,0,COUNTA(enemy_skill_triggers!$A:$A),MATCH(O$1,enemy_skill_triggers!$1:$1,0)-MATCH($F$1,enemy_skill_triggers!$1:$1,0)+1),MATCH(O$1,enemy_skill_triggers!$1:$1,0)-MATCH($F$1,enemy_skill_triggers!$1:$1,0)+1,FALSE)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5" s="47"/>
      <c r="Q175" s="47"/>
      <c r="R175" s="47"/>
    </row>
    <row r="176" spans="1:18" ht="21" customHeight="1" x14ac:dyDescent="0.15">
      <c r="A176" s="39" t="str">
        <f t="shared" si="17"/>
        <v>47007124_47007493</v>
      </c>
      <c r="B176" s="174">
        <v>47007124</v>
      </c>
      <c r="C176" s="176">
        <v>47007493</v>
      </c>
      <c r="D176" s="46" t="str">
        <f ca="1">VLOOKUP($C176,OFFSET(enemy_skills!$A$1,0,0,COUNTA(enemy_skills!$A:$A),MATCH(D$1,enemy_skills!$1:$1,0)-MATCH("enemy_skill_id",enemy_skills!$1:$1,0)+1),MATCH(D$1,enemy_skills!$1:$1,0)-MATCH("enemy_skill_id",enemy_skills!$1:$1,0)+1,FALSE)</f>
        <v>[player_name]…！！_x000D_あ、アタシの気持ちを…！</v>
      </c>
      <c r="E176" s="46" t="str">
        <f ca="1">VLOOKUP($C176,OFFSET(enemy_skills!$A$1,0,0,COUNTA(enemy_skills!$A:$A),MATCH(E$1,enemy_skills!$1:$1,0)-MATCH("enemy_skill_id",enemy_skills!$1:$1,0)+1),MATCH(E$1,enemy_skills!$1:$1,0)-MATCH("enemy_skill_id",enemy_skills!$1:$1,0)+1,FALSE)</f>
        <v>青パネルをハートパネルに、黄パネルを赤パネルに変換+_x000D_全ユニットのスキルゲージを2ターン減少！</v>
      </c>
      <c r="F176" s="180">
        <v>47007404</v>
      </c>
      <c r="G176" s="48">
        <f ca="1">VLOOKUP($F176,OFFSET(enemy_skill_triggers!$A$1,0,0,COUNTA(enemy_skill_triggers!$A:$A),MATCH(G$1,enemy_skill_triggers!$1:$1,0)-MATCH($F$1,enemy_skill_triggers!$1:$1,0)+1),MATCH(G$1,enemy_skill_triggers!$1:$1,0)-MATCH($F$1,enemy_skill_triggers!$1:$1,0)+1,FALSE)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6" s="48">
        <f ca="1">VLOOKUP($F176,OFFSET(enemy_skill_triggers!$A$1,0,0,COUNTA(enemy_skill_triggers!$A:$A),MATCH(H$1,enemy_skill_triggers!$1:$1,0)-MATCH($F$1,enemy_skill_triggers!$1:$1,0)+1),MATCH(H$1,enemy_skill_triggers!$1:$1,0)-MATCH($F$1,enemy_skill_triggers!$1:$1,0)+1,FALSE)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76" s="48">
        <f ca="1">VLOOKUP($F176,OFFSET(enemy_skill_triggers!$A$1,0,0,COUNTA(enemy_skill_triggers!$A:$A),MATCH(I$1,enemy_skill_triggers!$1:$1,0)-MATCH($F$1,enemy_skill_triggers!$1:$1,0)+1),MATCH(I$1,enemy_skill_triggers!$1:$1,0)-MATCH($F$1,enemy_skill_triggers!$1:$1,0)+1,FALSE)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6" s="48" t="str">
        <f ca="1">VLOOKUP($F176,OFFSET(enemy_skill_triggers!$A$1,0,0,COUNTA(enemy_skill_triggers!$A:$A),MATCH(J$1,enemy_skill_triggers!$1:$1,0)-MATCH($F$1,enemy_skill_triggers!$1:$1,0)+1),MATCH(J$1,enemy_skill_triggers!$1:$1,0)-MATCH($F$1,enemy_skill_triggers!$1:$1,0)+1,FALSE)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6" s="48" t="str">
        <f ca="1">VLOOKUP($F176,OFFSET(enemy_skill_triggers!$A$1,0,0,COUNTA(enemy_skill_triggers!$A:$A),MATCH(K$1,enemy_skill_triggers!$1:$1,0)-MATCH($F$1,enemy_skill_triggers!$1:$1,0)+1),MATCH(K$1,enemy_skill_triggers!$1:$1,0)-MATCH($F$1,enemy_skill_triggers!$1:$1,0)+1,FALSE)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6" s="48">
        <f ca="1">VLOOKUP($F176,OFFSET(enemy_skill_triggers!$A$1,0,0,COUNTA(enemy_skill_triggers!$A:$A),MATCH(L$1,enemy_skill_triggers!$1:$1,0)-MATCH($F$1,enemy_skill_triggers!$1:$1,0)+1),MATCH(L$1,enemy_skill_triggers!$1:$1,0)-MATCH($F$1,enemy_skill_triggers!$1:$1,0)+1,FALSE)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6" s="48" t="str">
        <f ca="1">VLOOKUP($F176,OFFSET(enemy_skill_triggers!$A$1,0,0,COUNTA(enemy_skill_triggers!$A:$A),MATCH(M$1,enemy_skill_triggers!$1:$1,0)-MATCH($F$1,enemy_skill_triggers!$1:$1,0)+1),MATCH(M$1,enemy_skill_triggers!$1:$1,0)-MATCH($F$1,enemy_skill_triggers!$1:$1,0)+1,FALSE)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6" s="48">
        <f ca="1">VLOOKUP($F176,OFFSET(enemy_skill_triggers!$A$1,0,0,COUNTA(enemy_skill_triggers!$A:$A),MATCH(N$1,enemy_skill_triggers!$1:$1,0)-MATCH($F$1,enemy_skill_triggers!$1:$1,0)+1),MATCH(N$1,enemy_skill_triggers!$1:$1,0)-MATCH($F$1,enemy_skill_triggers!$1:$1,0)+1,FALSE)</f>
        <v>1363</v>
      </c>
      <c r="O176" s="48">
        <f ca="1">VLOOKUP($F176,OFFSET(enemy_skill_triggers!$A$1,0,0,COUNTA(enemy_skill_triggers!$A:$A),MATCH(O$1,enemy_skill_triggers!$1:$1,0)-MATCH($F$1,enemy_skill_triggers!$1:$1,0)+1),MATCH(O$1,enemy_skill_triggers!$1:$1,0)-MATCH($F$1,enemy_skill_triggers!$1:$1,0)+1,FALSE)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6" s="47"/>
      <c r="Q176" s="47"/>
      <c r="R176" s="47"/>
    </row>
    <row r="177" spans="1:18" ht="21" customHeight="1" x14ac:dyDescent="0.15">
      <c r="A177" s="39" t="str">
        <f t="shared" si="17"/>
        <v>47007124_47007494</v>
      </c>
      <c r="B177" s="174">
        <v>47007124</v>
      </c>
      <c r="C177" s="176">
        <v>47007494</v>
      </c>
      <c r="D177" s="46" t="str">
        <f ca="1">VLOOKUP($C177,OFFSET(enemy_skills!$A$1,0,0,COUNTA(enemy_skills!$A:$A),MATCH(D$1,enemy_skills!$1:$1,0)-MATCH("enemy_skill_id",enemy_skills!$1:$1,0)+1),MATCH(D$1,enemy_skills!$1:$1,0)-MATCH("enemy_skill_id",enemy_skills!$1:$1,0)+1,FALSE)</f>
        <v>あ、あんた…！_x000D_ま、また来てくれたの…？</v>
      </c>
      <c r="E177" s="46" t="str">
        <f ca="1">VLOOKUP($C177,OFFSET(enemy_skills!$A$1,0,0,COUNTA(enemy_skills!$A:$A),MATCH(E$1,enemy_skills!$1:$1,0)-MATCH("enemy_skill_id",enemy_skills!$1:$1,0)+1),MATCH(E$1,enemy_skills!$1:$1,0)-MATCH("enemy_skill_id",enemy_skills!$1:$1,0)+1,FALSE)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177" s="180">
        <v>47007110</v>
      </c>
      <c r="G177" s="48">
        <f ca="1">VLOOKUP($F177,OFFSET(enemy_skill_triggers!$A$1,0,0,COUNTA(enemy_skill_triggers!$A:$A),MATCH(G$1,enemy_skill_triggers!$1:$1,0)-MATCH($F$1,enemy_skill_triggers!$1:$1,0)+1),MATCH(G$1,enemy_skill_triggers!$1:$1,0)-MATCH($F$1,enemy_skill_triggers!$1:$1,0)+1,FALSE)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7" s="48">
        <f ca="1">VLOOKUP($F177,OFFSET(enemy_skill_triggers!$A$1,0,0,COUNTA(enemy_skill_triggers!$A:$A),MATCH(H$1,enemy_skill_triggers!$1:$1,0)-MATCH($F$1,enemy_skill_triggers!$1:$1,0)+1),MATCH(H$1,enemy_skill_triggers!$1:$1,0)-MATCH($F$1,enemy_skill_triggers!$1:$1,0)+1,FALSE)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77" s="48">
        <f ca="1">VLOOKUP($F177,OFFSET(enemy_skill_triggers!$A$1,0,0,COUNTA(enemy_skill_triggers!$A:$A),MATCH(I$1,enemy_skill_triggers!$1:$1,0)-MATCH($F$1,enemy_skill_triggers!$1:$1,0)+1),MATCH(I$1,enemy_skill_triggers!$1:$1,0)-MATCH($F$1,enemy_skill_triggers!$1:$1,0)+1,FALSE)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7" s="48" t="str">
        <f ca="1">VLOOKUP($F177,OFFSET(enemy_skill_triggers!$A$1,0,0,COUNTA(enemy_skill_triggers!$A:$A),MATCH(J$1,enemy_skill_triggers!$1:$1,0)-MATCH($F$1,enemy_skill_triggers!$1:$1,0)+1),MATCH(J$1,enemy_skill_triggers!$1:$1,0)-MATCH($F$1,enemy_skill_triggers!$1:$1,0)+1,FALSE)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7" s="48" t="str">
        <f ca="1">VLOOKUP($F177,OFFSET(enemy_skill_triggers!$A$1,0,0,COUNTA(enemy_skill_triggers!$A:$A),MATCH(K$1,enemy_skill_triggers!$1:$1,0)-MATCH($F$1,enemy_skill_triggers!$1:$1,0)+1),MATCH(K$1,enemy_skill_triggers!$1:$1,0)-MATCH($F$1,enemy_skill_triggers!$1:$1,0)+1,FALSE)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7" s="48">
        <f ca="1">VLOOKUP($F177,OFFSET(enemy_skill_triggers!$A$1,0,0,COUNTA(enemy_skill_triggers!$A:$A),MATCH(L$1,enemy_skill_triggers!$1:$1,0)-MATCH($F$1,enemy_skill_triggers!$1:$1,0)+1),MATCH(L$1,enemy_skill_triggers!$1:$1,0)-MATCH($F$1,enemy_skill_triggers!$1:$1,0)+1,FALSE)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7" s="48" t="str">
        <f ca="1">VLOOKUP($F177,OFFSET(enemy_skill_triggers!$A$1,0,0,COUNTA(enemy_skill_triggers!$A:$A),MATCH(M$1,enemy_skill_triggers!$1:$1,0)-MATCH($F$1,enemy_skill_triggers!$1:$1,0)+1),MATCH(M$1,enemy_skill_triggers!$1:$1,0)-MATCH($F$1,enemy_skill_triggers!$1:$1,0)+1,FALSE)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7" s="48">
        <f ca="1">VLOOKUP($F177,OFFSET(enemy_skill_triggers!$A$1,0,0,COUNTA(enemy_skill_triggers!$A:$A),MATCH(N$1,enemy_skill_triggers!$1:$1,0)-MATCH($F$1,enemy_skill_triggers!$1:$1,0)+1),MATCH(N$1,enemy_skill_triggers!$1:$1,0)-MATCH($F$1,enemy_skill_triggers!$1:$1,0)+1,FALSE)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177" s="48">
        <f ca="1">VLOOKUP($F177,OFFSET(enemy_skill_triggers!$A$1,0,0,COUNTA(enemy_skill_triggers!$A:$A),MATCH(O$1,enemy_skill_triggers!$1:$1,0)-MATCH($F$1,enemy_skill_triggers!$1:$1,0)+1),MATCH(O$1,enemy_skill_triggers!$1:$1,0)-MATCH($F$1,enemy_skill_triggers!$1:$1,0)+1,FALSE)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7" s="47"/>
      <c r="Q177" s="47"/>
      <c r="R177" s="47"/>
    </row>
    <row r="178" spans="1:18" ht="21" customHeight="1" x14ac:dyDescent="0.15">
      <c r="A178" s="39" t="str">
        <f t="shared" si="17"/>
        <v>47007124_47007494</v>
      </c>
      <c r="B178" s="174">
        <v>47007124</v>
      </c>
      <c r="C178" s="176">
        <v>47007494</v>
      </c>
      <c r="D178" s="46" t="str">
        <f ca="1">VLOOKUP($C178,OFFSET(enemy_skills!$A$1,0,0,COUNTA(enemy_skills!$A:$A),MATCH(D$1,enemy_skills!$1:$1,0)-MATCH("enemy_skill_id",enemy_skills!$1:$1,0)+1),MATCH(D$1,enemy_skills!$1:$1,0)-MATCH("enemy_skill_id",enemy_skills!$1:$1,0)+1,FALSE)</f>
        <v>あ、あんた…！_x000D_ま、また来てくれたの…？</v>
      </c>
      <c r="E178" s="46" t="str">
        <f ca="1">VLOOKUP($C178,OFFSET(enemy_skills!$A$1,0,0,COUNTA(enemy_skills!$A:$A),MATCH(E$1,enemy_skills!$1:$1,0)-MATCH("enemy_skill_id",enemy_skills!$1:$1,0)+1),MATCH(E$1,enemy_skills!$1:$1,0)-MATCH("enemy_skill_id",enemy_skills!$1:$1,0)+1,FALSE)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178" s="180">
        <v>47007111</v>
      </c>
      <c r="G178" s="48">
        <f ca="1">VLOOKUP($F178,OFFSET(enemy_skill_triggers!$A$1,0,0,COUNTA(enemy_skill_triggers!$A:$A),MATCH(G$1,enemy_skill_triggers!$1:$1,0)-MATCH($F$1,enemy_skill_triggers!$1:$1,0)+1),MATCH(G$1,enemy_skill_triggers!$1:$1,0)-MATCH($F$1,enemy_skill_triggers!$1:$1,0)+1,FALSE)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8" s="48">
        <f ca="1">VLOOKUP($F178,OFFSET(enemy_skill_triggers!$A$1,0,0,COUNTA(enemy_skill_triggers!$A:$A),MATCH(H$1,enemy_skill_triggers!$1:$1,0)-MATCH($F$1,enemy_skill_triggers!$1:$1,0)+1),MATCH(H$1,enemy_skill_triggers!$1:$1,0)-MATCH($F$1,enemy_skill_triggers!$1:$1,0)+1,FALSE)</f>
        <v>299</v>
      </c>
      <c r="I178" s="48">
        <f ca="1">VLOOKUP($F178,OFFSET(enemy_skill_triggers!$A$1,0,0,COUNTA(enemy_skill_triggers!$A:$A),MATCH(I$1,enemy_skill_triggers!$1:$1,0)-MATCH($F$1,enemy_skill_triggers!$1:$1,0)+1),MATCH(I$1,enemy_skill_triggers!$1:$1,0)-MATCH($F$1,enemy_skill_triggers!$1:$1,0)+1,FALSE)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8" s="48" t="str">
        <f ca="1">VLOOKUP($F178,OFFSET(enemy_skill_triggers!$A$1,0,0,COUNTA(enemy_skill_triggers!$A:$A),MATCH(J$1,enemy_skill_triggers!$1:$1,0)-MATCH($F$1,enemy_skill_triggers!$1:$1,0)+1),MATCH(J$1,enemy_skill_triggers!$1:$1,0)-MATCH($F$1,enemy_skill_triggers!$1:$1,0)+1,FALSE)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8" s="48" t="str">
        <f ca="1">VLOOKUP($F178,OFFSET(enemy_skill_triggers!$A$1,0,0,COUNTA(enemy_skill_triggers!$A:$A),MATCH(K$1,enemy_skill_triggers!$1:$1,0)-MATCH($F$1,enemy_skill_triggers!$1:$1,0)+1),MATCH(K$1,enemy_skill_triggers!$1:$1,0)-MATCH($F$1,enemy_skill_triggers!$1:$1,0)+1,FALSE)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8" s="48">
        <f ca="1">VLOOKUP($F178,OFFSET(enemy_skill_triggers!$A$1,0,0,COUNTA(enemy_skill_triggers!$A:$A),MATCH(L$1,enemy_skill_triggers!$1:$1,0)-MATCH($F$1,enemy_skill_triggers!$1:$1,0)+1),MATCH(L$1,enemy_skill_triggers!$1:$1,0)-MATCH($F$1,enemy_skill_triggers!$1:$1,0)+1,FALSE)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8" s="48" t="str">
        <f ca="1">VLOOKUP($F178,OFFSET(enemy_skill_triggers!$A$1,0,0,COUNTA(enemy_skill_triggers!$A:$A),MATCH(M$1,enemy_skill_triggers!$1:$1,0)-MATCH($F$1,enemy_skill_triggers!$1:$1,0)+1),MATCH(M$1,enemy_skill_triggers!$1:$1,0)-MATCH($F$1,enemy_skill_triggers!$1:$1,0)+1,FALSE)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8" s="48">
        <f ca="1">VLOOKUP($F178,OFFSET(enemy_skill_triggers!$A$1,0,0,COUNTA(enemy_skill_triggers!$A:$A),MATCH(N$1,enemy_skill_triggers!$1:$1,0)-MATCH($F$1,enemy_skill_triggers!$1:$1,0)+1),MATCH(N$1,enemy_skill_triggers!$1:$1,0)-MATCH($F$1,enemy_skill_triggers!$1:$1,0)+1,FALSE)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178" s="48">
        <f ca="1">VLOOKUP($F178,OFFSET(enemy_skill_triggers!$A$1,0,0,COUNTA(enemy_skill_triggers!$A:$A),MATCH(O$1,enemy_skill_triggers!$1:$1,0)-MATCH($F$1,enemy_skill_triggers!$1:$1,0)+1),MATCH(O$1,enemy_skill_triggers!$1:$1,0)-MATCH($F$1,enemy_skill_triggers!$1:$1,0)+1,FALSE)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8" s="47"/>
      <c r="Q178" s="47"/>
      <c r="R178" s="47"/>
    </row>
    <row r="179" spans="1:18" ht="21" customHeight="1" x14ac:dyDescent="0.15">
      <c r="A179" s="39" t="str">
        <f t="shared" si="17"/>
        <v>47007124_47007494</v>
      </c>
      <c r="B179" s="174">
        <v>47007124</v>
      </c>
      <c r="C179" s="176">
        <v>47007494</v>
      </c>
      <c r="D179" s="46" t="str">
        <f ca="1">VLOOKUP($C179,OFFSET(enemy_skills!$A$1,0,0,COUNTA(enemy_skills!$A:$A),MATCH(D$1,enemy_skills!$1:$1,0)-MATCH("enemy_skill_id",enemy_skills!$1:$1,0)+1),MATCH(D$1,enemy_skills!$1:$1,0)-MATCH("enemy_skill_id",enemy_skills!$1:$1,0)+1,FALSE)</f>
        <v>あ、あんた…！_x000D_ま、また来てくれたの…？</v>
      </c>
      <c r="E179" s="46" t="str">
        <f ca="1">VLOOKUP($C179,OFFSET(enemy_skills!$A$1,0,0,COUNTA(enemy_skills!$A:$A),MATCH(E$1,enemy_skills!$1:$1,0)-MATCH("enemy_skill_id",enemy_skills!$1:$1,0)+1),MATCH(E$1,enemy_skills!$1:$1,0)-MATCH("enemy_skill_id",enemy_skills!$1:$1,0)+1,FALSE)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179" s="180">
        <v>47007112</v>
      </c>
      <c r="G179" s="48">
        <f ca="1">VLOOKUP($F179,OFFSET(enemy_skill_triggers!$A$1,0,0,COUNTA(enemy_skill_triggers!$A:$A),MATCH(G$1,enemy_skill_triggers!$1:$1,0)-MATCH($F$1,enemy_skill_triggers!$1:$1,0)+1),MATCH(G$1,enemy_skill_triggers!$1:$1,0)-MATCH($F$1,enemy_skill_triggers!$1:$1,0)+1,FALSE)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9" s="48">
        <f ca="1">VLOOKUP($F179,OFFSET(enemy_skill_triggers!$A$1,0,0,COUNTA(enemy_skill_triggers!$A:$A),MATCH(H$1,enemy_skill_triggers!$1:$1,0)-MATCH($F$1,enemy_skill_triggers!$1:$1,0)+1),MATCH(H$1,enemy_skill_triggers!$1:$1,0)-MATCH($F$1,enemy_skill_triggers!$1:$1,0)+1,FALSE)</f>
        <v>298</v>
      </c>
      <c r="I179" s="48">
        <f ca="1">VLOOKUP($F179,OFFSET(enemy_skill_triggers!$A$1,0,0,COUNTA(enemy_skill_triggers!$A:$A),MATCH(I$1,enemy_skill_triggers!$1:$1,0)-MATCH($F$1,enemy_skill_triggers!$1:$1,0)+1),MATCH(I$1,enemy_skill_triggers!$1:$1,0)-MATCH($F$1,enemy_skill_triggers!$1:$1,0)+1,FALSE)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9" s="48" t="str">
        <f ca="1">VLOOKUP($F179,OFFSET(enemy_skill_triggers!$A$1,0,0,COUNTA(enemy_skill_triggers!$A:$A),MATCH(J$1,enemy_skill_triggers!$1:$1,0)-MATCH($F$1,enemy_skill_triggers!$1:$1,0)+1),MATCH(J$1,enemy_skill_triggers!$1:$1,0)-MATCH($F$1,enemy_skill_triggers!$1:$1,0)+1,FALSE)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9" s="48" t="str">
        <f ca="1">VLOOKUP($F179,OFFSET(enemy_skill_triggers!$A$1,0,0,COUNTA(enemy_skill_triggers!$A:$A),MATCH(K$1,enemy_skill_triggers!$1:$1,0)-MATCH($F$1,enemy_skill_triggers!$1:$1,0)+1),MATCH(K$1,enemy_skill_triggers!$1:$1,0)-MATCH($F$1,enemy_skill_triggers!$1:$1,0)+1,FALSE)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9" s="48">
        <f ca="1">VLOOKUP($F179,OFFSET(enemy_skill_triggers!$A$1,0,0,COUNTA(enemy_skill_triggers!$A:$A),MATCH(L$1,enemy_skill_triggers!$1:$1,0)-MATCH($F$1,enemy_skill_triggers!$1:$1,0)+1),MATCH(L$1,enemy_skill_triggers!$1:$1,0)-MATCH($F$1,enemy_skill_triggers!$1:$1,0)+1,FALSE)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9" s="48" t="str">
        <f ca="1">VLOOKUP($F179,OFFSET(enemy_skill_triggers!$A$1,0,0,COUNTA(enemy_skill_triggers!$A:$A),MATCH(M$1,enemy_skill_triggers!$1:$1,0)-MATCH($F$1,enemy_skill_triggers!$1:$1,0)+1),MATCH(M$1,enemy_skill_triggers!$1:$1,0)-MATCH($F$1,enemy_skill_triggers!$1:$1,0)+1,FALSE)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9" s="48">
        <f ca="1">VLOOKUP($F179,OFFSET(enemy_skill_triggers!$A$1,0,0,COUNTA(enemy_skill_triggers!$A:$A),MATCH(N$1,enemy_skill_triggers!$1:$1,0)-MATCH($F$1,enemy_skill_triggers!$1:$1,0)+1),MATCH(N$1,enemy_skill_triggers!$1:$1,0)-MATCH($F$1,enemy_skill_triggers!$1:$1,0)+1,FALSE)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179" s="48">
        <f ca="1">VLOOKUP($F179,OFFSET(enemy_skill_triggers!$A$1,0,0,COUNTA(enemy_skill_triggers!$A:$A),MATCH(O$1,enemy_skill_triggers!$1:$1,0)-MATCH($F$1,enemy_skill_triggers!$1:$1,0)+1),MATCH(O$1,enemy_skill_triggers!$1:$1,0)-MATCH($F$1,enemy_skill_triggers!$1:$1,0)+1,FALSE)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9" s="47"/>
      <c r="Q179" s="47"/>
      <c r="R179" s="47"/>
    </row>
    <row r="180" spans="1:18" ht="21" customHeight="1" x14ac:dyDescent="0.15">
      <c r="A180" s="39" t="str">
        <f t="shared" si="17"/>
        <v>47007124_47007494</v>
      </c>
      <c r="B180" s="174">
        <v>47007124</v>
      </c>
      <c r="C180" s="176">
        <v>47007494</v>
      </c>
      <c r="D180" s="46" t="str">
        <f ca="1">VLOOKUP($C180,OFFSET(enemy_skills!$A$1,0,0,COUNTA(enemy_skills!$A:$A),MATCH(D$1,enemy_skills!$1:$1,0)-MATCH("enemy_skill_id",enemy_skills!$1:$1,0)+1),MATCH(D$1,enemy_skills!$1:$1,0)-MATCH("enemy_skill_id",enemy_skills!$1:$1,0)+1,FALSE)</f>
        <v>あ、あんた…！_x000D_ま、また来てくれたの…？</v>
      </c>
      <c r="E180" s="46" t="str">
        <f ca="1">VLOOKUP($C180,OFFSET(enemy_skills!$A$1,0,0,COUNTA(enemy_skills!$A:$A),MATCH(E$1,enemy_skills!$1:$1,0)-MATCH("enemy_skill_id",enemy_skills!$1:$1,0)+1),MATCH(E$1,enemy_skills!$1:$1,0)-MATCH("enemy_skill_id",enemy_skills!$1:$1,0)+1,FALSE)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180" s="180">
        <v>47007113</v>
      </c>
      <c r="G180" s="48">
        <f ca="1">VLOOKUP($F180,OFFSET(enemy_skill_triggers!$A$1,0,0,COUNTA(enemy_skill_triggers!$A:$A),MATCH(G$1,enemy_skill_triggers!$1:$1,0)-MATCH($F$1,enemy_skill_triggers!$1:$1,0)+1),MATCH(G$1,enemy_skill_triggers!$1:$1,0)-MATCH($F$1,enemy_skill_triggers!$1:$1,0)+1,FALSE)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0" s="48">
        <f ca="1">VLOOKUP($F180,OFFSET(enemy_skill_triggers!$A$1,0,0,COUNTA(enemy_skill_triggers!$A:$A),MATCH(H$1,enemy_skill_triggers!$1:$1,0)-MATCH($F$1,enemy_skill_triggers!$1:$1,0)+1),MATCH(H$1,enemy_skill_triggers!$1:$1,0)-MATCH($F$1,enemy_skill_triggers!$1:$1,0)+1,FALSE)</f>
        <v>297</v>
      </c>
      <c r="I180" s="48">
        <f ca="1">VLOOKUP($F180,OFFSET(enemy_skill_triggers!$A$1,0,0,COUNTA(enemy_skill_triggers!$A:$A),MATCH(I$1,enemy_skill_triggers!$1:$1,0)-MATCH($F$1,enemy_skill_triggers!$1:$1,0)+1),MATCH(I$1,enemy_skill_triggers!$1:$1,0)-MATCH($F$1,enemy_skill_triggers!$1:$1,0)+1,FALSE)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0" s="48" t="str">
        <f ca="1">VLOOKUP($F180,OFFSET(enemy_skill_triggers!$A$1,0,0,COUNTA(enemy_skill_triggers!$A:$A),MATCH(J$1,enemy_skill_triggers!$1:$1,0)-MATCH($F$1,enemy_skill_triggers!$1:$1,0)+1),MATCH(J$1,enemy_skill_triggers!$1:$1,0)-MATCH($F$1,enemy_skill_triggers!$1:$1,0)+1,FALSE)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0" s="48" t="str">
        <f ca="1">VLOOKUP($F180,OFFSET(enemy_skill_triggers!$A$1,0,0,COUNTA(enemy_skill_triggers!$A:$A),MATCH(K$1,enemy_skill_triggers!$1:$1,0)-MATCH($F$1,enemy_skill_triggers!$1:$1,0)+1),MATCH(K$1,enemy_skill_triggers!$1:$1,0)-MATCH($F$1,enemy_skill_triggers!$1:$1,0)+1,FALSE)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0" s="48">
        <f ca="1">VLOOKUP($F180,OFFSET(enemy_skill_triggers!$A$1,0,0,COUNTA(enemy_skill_triggers!$A:$A),MATCH(L$1,enemy_skill_triggers!$1:$1,0)-MATCH($F$1,enemy_skill_triggers!$1:$1,0)+1),MATCH(L$1,enemy_skill_triggers!$1:$1,0)-MATCH($F$1,enemy_skill_triggers!$1:$1,0)+1,FALSE)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0" s="48" t="str">
        <f ca="1">VLOOKUP($F180,OFFSET(enemy_skill_triggers!$A$1,0,0,COUNTA(enemy_skill_triggers!$A:$A),MATCH(M$1,enemy_skill_triggers!$1:$1,0)-MATCH($F$1,enemy_skill_triggers!$1:$1,0)+1),MATCH(M$1,enemy_skill_triggers!$1:$1,0)-MATCH($F$1,enemy_skill_triggers!$1:$1,0)+1,FALSE)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0" s="48">
        <f ca="1">VLOOKUP($F180,OFFSET(enemy_skill_triggers!$A$1,0,0,COUNTA(enemy_skill_triggers!$A:$A),MATCH(N$1,enemy_skill_triggers!$1:$1,0)-MATCH($F$1,enemy_skill_triggers!$1:$1,0)+1),MATCH(N$1,enemy_skill_triggers!$1:$1,0)-MATCH($F$1,enemy_skill_triggers!$1:$1,0)+1,FALSE)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180" s="48">
        <f ca="1">VLOOKUP($F180,OFFSET(enemy_skill_triggers!$A$1,0,0,COUNTA(enemy_skill_triggers!$A:$A),MATCH(O$1,enemy_skill_triggers!$1:$1,0)-MATCH($F$1,enemy_skill_triggers!$1:$1,0)+1),MATCH(O$1,enemy_skill_triggers!$1:$1,0)-MATCH($F$1,enemy_skill_triggers!$1:$1,0)+1,FALSE)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0" s="47"/>
      <c r="Q180" s="47"/>
      <c r="R180" s="47"/>
    </row>
    <row r="181" spans="1:18" ht="21" customHeight="1" x14ac:dyDescent="0.15">
      <c r="A181" s="39" t="str">
        <f t="shared" si="17"/>
        <v>47007124_47007494</v>
      </c>
      <c r="B181" s="174">
        <v>47007124</v>
      </c>
      <c r="C181" s="176">
        <v>47007494</v>
      </c>
      <c r="D181" s="46" t="str">
        <f ca="1">VLOOKUP($C181,OFFSET(enemy_skills!$A$1,0,0,COUNTA(enemy_skills!$A:$A),MATCH(D$1,enemy_skills!$1:$1,0)-MATCH("enemy_skill_id",enemy_skills!$1:$1,0)+1),MATCH(D$1,enemy_skills!$1:$1,0)-MATCH("enemy_skill_id",enemy_skills!$1:$1,0)+1,FALSE)</f>
        <v>あ、あんた…！_x000D_ま、また来てくれたの…？</v>
      </c>
      <c r="E181" s="46" t="str">
        <f ca="1">VLOOKUP($C181,OFFSET(enemy_skills!$A$1,0,0,COUNTA(enemy_skills!$A:$A),MATCH(E$1,enemy_skills!$1:$1,0)-MATCH("enemy_skill_id",enemy_skills!$1:$1,0)+1),MATCH(E$1,enemy_skills!$1:$1,0)-MATCH("enemy_skill_id",enemy_skills!$1:$1,0)+1,FALSE)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181" s="180">
        <v>47007114</v>
      </c>
      <c r="G181" s="48">
        <f ca="1">VLOOKUP($F181,OFFSET(enemy_skill_triggers!$A$1,0,0,COUNTA(enemy_skill_triggers!$A:$A),MATCH(G$1,enemy_skill_triggers!$1:$1,0)-MATCH($F$1,enemy_skill_triggers!$1:$1,0)+1),MATCH(G$1,enemy_skill_triggers!$1:$1,0)-MATCH($F$1,enemy_skill_triggers!$1:$1,0)+1,FALSE)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1" s="48">
        <f ca="1">VLOOKUP($F181,OFFSET(enemy_skill_triggers!$A$1,0,0,COUNTA(enemy_skill_triggers!$A:$A),MATCH(H$1,enemy_skill_triggers!$1:$1,0)-MATCH($F$1,enemy_skill_triggers!$1:$1,0)+1),MATCH(H$1,enemy_skill_triggers!$1:$1,0)-MATCH($F$1,enemy_skill_triggers!$1:$1,0)+1,FALSE)</f>
        <v>296</v>
      </c>
      <c r="I181" s="48">
        <f ca="1">VLOOKUP($F181,OFFSET(enemy_skill_triggers!$A$1,0,0,COUNTA(enemy_skill_triggers!$A:$A),MATCH(I$1,enemy_skill_triggers!$1:$1,0)-MATCH($F$1,enemy_skill_triggers!$1:$1,0)+1),MATCH(I$1,enemy_skill_triggers!$1:$1,0)-MATCH($F$1,enemy_skill_triggers!$1:$1,0)+1,FALSE)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1" s="48" t="str">
        <f ca="1">VLOOKUP($F181,OFFSET(enemy_skill_triggers!$A$1,0,0,COUNTA(enemy_skill_triggers!$A:$A),MATCH(J$1,enemy_skill_triggers!$1:$1,0)-MATCH($F$1,enemy_skill_triggers!$1:$1,0)+1),MATCH(J$1,enemy_skill_triggers!$1:$1,0)-MATCH($F$1,enemy_skill_triggers!$1:$1,0)+1,FALSE)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1" s="48" t="str">
        <f ca="1">VLOOKUP($F181,OFFSET(enemy_skill_triggers!$A$1,0,0,COUNTA(enemy_skill_triggers!$A:$A),MATCH(K$1,enemy_skill_triggers!$1:$1,0)-MATCH($F$1,enemy_skill_triggers!$1:$1,0)+1),MATCH(K$1,enemy_skill_triggers!$1:$1,0)-MATCH($F$1,enemy_skill_triggers!$1:$1,0)+1,FALSE)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1" s="48">
        <f ca="1">VLOOKUP($F181,OFFSET(enemy_skill_triggers!$A$1,0,0,COUNTA(enemy_skill_triggers!$A:$A),MATCH(L$1,enemy_skill_triggers!$1:$1,0)-MATCH($F$1,enemy_skill_triggers!$1:$1,0)+1),MATCH(L$1,enemy_skill_triggers!$1:$1,0)-MATCH($F$1,enemy_skill_triggers!$1:$1,0)+1,FALSE)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1" s="48" t="str">
        <f ca="1">VLOOKUP($F181,OFFSET(enemy_skill_triggers!$A$1,0,0,COUNTA(enemy_skill_triggers!$A:$A),MATCH(M$1,enemy_skill_triggers!$1:$1,0)-MATCH($F$1,enemy_skill_triggers!$1:$1,0)+1),MATCH(M$1,enemy_skill_triggers!$1:$1,0)-MATCH($F$1,enemy_skill_triggers!$1:$1,0)+1,FALSE)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1" s="48">
        <f ca="1">VLOOKUP($F181,OFFSET(enemy_skill_triggers!$A$1,0,0,COUNTA(enemy_skill_triggers!$A:$A),MATCH(N$1,enemy_skill_triggers!$1:$1,0)-MATCH($F$1,enemy_skill_triggers!$1:$1,0)+1),MATCH(N$1,enemy_skill_triggers!$1:$1,0)-MATCH($F$1,enemy_skill_triggers!$1:$1,0)+1,FALSE)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181" s="48">
        <f ca="1">VLOOKUP($F181,OFFSET(enemy_skill_triggers!$A$1,0,0,COUNTA(enemy_skill_triggers!$A:$A),MATCH(O$1,enemy_skill_triggers!$1:$1,0)-MATCH($F$1,enemy_skill_triggers!$1:$1,0)+1),MATCH(O$1,enemy_skill_triggers!$1:$1,0)-MATCH($F$1,enemy_skill_triggers!$1:$1,0)+1,FALSE)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1" s="47"/>
      <c r="Q181" s="47"/>
      <c r="R181" s="47"/>
    </row>
    <row r="182" spans="1:18" ht="21" customHeight="1" x14ac:dyDescent="0.15">
      <c r="A182" s="39" t="str">
        <f t="shared" si="17"/>
        <v>47007124_47007495</v>
      </c>
      <c r="B182" s="174">
        <v>47007124</v>
      </c>
      <c r="C182" s="174">
        <v>47007495</v>
      </c>
      <c r="D182" s="46" t="str">
        <f ca="1">VLOOKUP($C182,OFFSET(enemy_skills!$A$1,0,0,COUNTA(enemy_skills!$A:$A),MATCH(D$1,enemy_skills!$1:$1,0)-MATCH("enemy_skill_id",enemy_skills!$1:$1,0)+1),MATCH(D$1,enemy_skills!$1:$1,0)-MATCH("enemy_skill_id",enemy_skills!$1:$1,0)+1,FALSE)</f>
        <v>あんたの事なんて…！_x000D_す、好きなんかじゃ…うぅ</v>
      </c>
      <c r="E182" s="46" t="str">
        <f ca="1">VLOOKUP($C182,OFFSET(enemy_skills!$A$1,0,0,COUNTA(enemy_skills!$A:$A),MATCH(E$1,enemy_skills!$1:$1,0)-MATCH("enemy_skill_id",enemy_skills!$1:$1,0)+1),MATCH(E$1,enemy_skills!$1:$1,0)-MATCH("enemy_skill_id",enemy_skills!$1:$1,0)+1,FALSE)</f>
        <v>属性パネルプロテクト(最大10個)+全体攻撃</v>
      </c>
      <c r="F182" s="180">
        <v>47007405</v>
      </c>
      <c r="G182" s="48">
        <f ca="1">VLOOKUP($F182,OFFSET(enemy_skill_triggers!$A$1,0,0,COUNTA(enemy_skill_triggers!$A:$A),MATCH(G$1,enemy_skill_triggers!$1:$1,0)-MATCH($F$1,enemy_skill_triggers!$1:$1,0)+1),MATCH(G$1,enemy_skill_triggers!$1:$1,0)-MATCH($F$1,enemy_skill_triggers!$1:$1,0)+1,FALSE)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2" s="48">
        <f ca="1">VLOOKUP($F182,OFFSET(enemy_skill_triggers!$A$1,0,0,COUNTA(enemy_skill_triggers!$A:$A),MATCH(H$1,enemy_skill_triggers!$1:$1,0)-MATCH($F$1,enemy_skill_triggers!$1:$1,0)+1),MATCH(H$1,enemy_skill_triggers!$1:$1,0)-MATCH($F$1,enemy_skill_triggers!$1:$1,0)+1,FALSE)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82" s="48">
        <f ca="1">VLOOKUP($F182,OFFSET(enemy_skill_triggers!$A$1,0,0,COUNTA(enemy_skill_triggers!$A:$A),MATCH(I$1,enemy_skill_triggers!$1:$1,0)-MATCH($F$1,enemy_skill_triggers!$1:$1,0)+1),MATCH(I$1,enemy_skill_triggers!$1:$1,0)-MATCH($F$1,enemy_skill_triggers!$1:$1,0)+1,FALSE)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2" s="48" t="str">
        <f ca="1">VLOOKUP($F182,OFFSET(enemy_skill_triggers!$A$1,0,0,COUNTA(enemy_skill_triggers!$A:$A),MATCH(J$1,enemy_skill_triggers!$1:$1,0)-MATCH($F$1,enemy_skill_triggers!$1:$1,0)+1),MATCH(J$1,enemy_skill_triggers!$1:$1,0)-MATCH($F$1,enemy_skill_triggers!$1:$1,0)+1,FALSE)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2" s="48" t="str">
        <f ca="1">VLOOKUP($F182,OFFSET(enemy_skill_triggers!$A$1,0,0,COUNTA(enemy_skill_triggers!$A:$A),MATCH(K$1,enemy_skill_triggers!$1:$1,0)-MATCH($F$1,enemy_skill_triggers!$1:$1,0)+1),MATCH(K$1,enemy_skill_triggers!$1:$1,0)-MATCH($F$1,enemy_skill_triggers!$1:$1,0)+1,FALSE)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2" s="48" t="str">
        <f ca="1">VLOOKUP($F182,OFFSET(enemy_skill_triggers!$A$1,0,0,COUNTA(enemy_skill_triggers!$A:$A),MATCH(L$1,enemy_skill_triggers!$1:$1,0)-MATCH($F$1,enemy_skill_triggers!$1:$1,0)+1),MATCH(L$1,enemy_skill_triggers!$1:$1,0)-MATCH($F$1,enemy_skill_triggers!$1:$1,0)+1,FALSE)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2" s="48" t="str">
        <f ca="1">VLOOKUP($F182,OFFSET(enemy_skill_triggers!$A$1,0,0,COUNTA(enemy_skill_triggers!$A:$A),MATCH(M$1,enemy_skill_triggers!$1:$1,0)-MATCH($F$1,enemy_skill_triggers!$1:$1,0)+1),MATCH(M$1,enemy_skill_triggers!$1:$1,0)-MATCH($F$1,enemy_skill_triggers!$1:$1,0)+1,FALSE)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2" s="48" t="str">
        <f ca="1">VLOOKUP($F182,OFFSET(enemy_skill_triggers!$A$1,0,0,COUNTA(enemy_skill_triggers!$A:$A),MATCH(N$1,enemy_skill_triggers!$1:$1,0)-MATCH($F$1,enemy_skill_triggers!$1:$1,0)+1),MATCH(N$1,enemy_skill_triggers!$1:$1,0)-MATCH($F$1,enemy_skill_triggers!$1:$1,0)+1,FALSE)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2" s="48">
        <f ca="1">VLOOKUP($F182,OFFSET(enemy_skill_triggers!$A$1,0,0,COUNTA(enemy_skill_triggers!$A:$A),MATCH(O$1,enemy_skill_triggers!$1:$1,0)-MATCH($F$1,enemy_skill_triggers!$1:$1,0)+1),MATCH(O$1,enemy_skill_triggers!$1:$1,0)-MATCH($F$1,enemy_skill_triggers!$1:$1,0)+1,FALSE)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2" s="47"/>
      <c r="Q182" s="47"/>
      <c r="R182" s="47"/>
    </row>
    <row r="183" spans="1:18" ht="21" customHeight="1" x14ac:dyDescent="0.15">
      <c r="A183" s="39" t="str">
        <f t="shared" si="17"/>
        <v>47007124_47007410</v>
      </c>
      <c r="B183" s="174">
        <v>47007124</v>
      </c>
      <c r="C183" s="175">
        <v>47007410</v>
      </c>
      <c r="D183" s="46" t="str">
        <f ca="1">VLOOKUP($C183,OFFSET(enemy_skills!$A$1,0,0,COUNTA(enemy_skills!$A:$A),MATCH(D$1,enemy_skills!$1:$1,0)-MATCH("enemy_skill_id",enemy_skills!$1:$1,0)+1),MATCH(D$1,enemy_skills!$1:$1,0)-MATCH("enemy_skill_id",enemy_skills!$1:$1,0)+1,FALSE)</f>
        <v>そ、そんなに見るな…見つめるな…！</v>
      </c>
      <c r="E183" s="46" t="str">
        <f ca="1">VLOOKUP($C183,OFFSET(enemy_skills!$A$1,0,0,COUNTA(enemy_skills!$A:$A),MATCH(E$1,enemy_skills!$1:$1,0)-MATCH("enemy_skill_id",enemy_skills!$1:$1,0)+1),MATCH(E$1,enemy_skills!$1:$1,0)-MATCH("enemy_skill_id",enemy_skills!$1:$1,0)+1,FALSE)</f>
        <v>赤パネルを吸収して攻撃(最大15個)</v>
      </c>
      <c r="F183" s="180">
        <v>47007406</v>
      </c>
      <c r="G183" s="48">
        <f ca="1">VLOOKUP($F183,OFFSET(enemy_skill_triggers!$A$1,0,0,COUNTA(enemy_skill_triggers!$A:$A),MATCH(G$1,enemy_skill_triggers!$1:$1,0)-MATCH($F$1,enemy_skill_triggers!$1:$1,0)+1),MATCH(G$1,enemy_skill_triggers!$1:$1,0)-MATCH($F$1,enemy_skill_triggers!$1:$1,0)+1,FALSE)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3" s="48">
        <f ca="1">VLOOKUP($F183,OFFSET(enemy_skill_triggers!$A$1,0,0,COUNTA(enemy_skill_triggers!$A:$A),MATCH(H$1,enemy_skill_triggers!$1:$1,0)-MATCH($F$1,enemy_skill_triggers!$1:$1,0)+1),MATCH(H$1,enemy_skill_triggers!$1:$1,0)-MATCH($F$1,enemy_skill_triggers!$1:$1,0)+1,FALSE)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83" s="48">
        <f ca="1">VLOOKUP($F183,OFFSET(enemy_skill_triggers!$A$1,0,0,COUNTA(enemy_skill_triggers!$A:$A),MATCH(I$1,enemy_skill_triggers!$1:$1,0)-MATCH($F$1,enemy_skill_triggers!$1:$1,0)+1),MATCH(I$1,enemy_skill_triggers!$1:$1,0)-MATCH($F$1,enemy_skill_triggers!$1:$1,0)+1,FALSE)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3" s="48" t="str">
        <f ca="1">VLOOKUP($F183,OFFSET(enemy_skill_triggers!$A$1,0,0,COUNTA(enemy_skill_triggers!$A:$A),MATCH(J$1,enemy_skill_triggers!$1:$1,0)-MATCH($F$1,enemy_skill_triggers!$1:$1,0)+1),MATCH(J$1,enemy_skill_triggers!$1:$1,0)-MATCH($F$1,enemy_skill_triggers!$1:$1,0)+1,FALSE)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3" s="48" t="str">
        <f ca="1">VLOOKUP($F183,OFFSET(enemy_skill_triggers!$A$1,0,0,COUNTA(enemy_skill_triggers!$A:$A),MATCH(K$1,enemy_skill_triggers!$1:$1,0)-MATCH($F$1,enemy_skill_triggers!$1:$1,0)+1),MATCH(K$1,enemy_skill_triggers!$1:$1,0)-MATCH($F$1,enemy_skill_triggers!$1:$1,0)+1,FALSE)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3" s="48" t="str">
        <f ca="1">VLOOKUP($F183,OFFSET(enemy_skill_triggers!$A$1,0,0,COUNTA(enemy_skill_triggers!$A:$A),MATCH(L$1,enemy_skill_triggers!$1:$1,0)-MATCH($F$1,enemy_skill_triggers!$1:$1,0)+1),MATCH(L$1,enemy_skill_triggers!$1:$1,0)-MATCH($F$1,enemy_skill_triggers!$1:$1,0)+1,FALSE)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3" s="48" t="str">
        <f ca="1">VLOOKUP($F183,OFFSET(enemy_skill_triggers!$A$1,0,0,COUNTA(enemy_skill_triggers!$A:$A),MATCH(M$1,enemy_skill_triggers!$1:$1,0)-MATCH($F$1,enemy_skill_triggers!$1:$1,0)+1),MATCH(M$1,enemy_skill_triggers!$1:$1,0)-MATCH($F$1,enemy_skill_triggers!$1:$1,0)+1,FALSE)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3" s="48" t="str">
        <f ca="1">VLOOKUP($F183,OFFSET(enemy_skill_triggers!$A$1,0,0,COUNTA(enemy_skill_triggers!$A:$A),MATCH(N$1,enemy_skill_triggers!$1:$1,0)-MATCH($F$1,enemy_skill_triggers!$1:$1,0)+1),MATCH(N$1,enemy_skill_triggers!$1:$1,0)-MATCH($F$1,enemy_skill_triggers!$1:$1,0)+1,FALSE)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3" s="48">
        <f ca="1">VLOOKUP($F183,OFFSET(enemy_skill_triggers!$A$1,0,0,COUNTA(enemy_skill_triggers!$A:$A),MATCH(O$1,enemy_skill_triggers!$1:$1,0)-MATCH($F$1,enemy_skill_triggers!$1:$1,0)+1),MATCH(O$1,enemy_skill_triggers!$1:$1,0)-MATCH($F$1,enemy_skill_triggers!$1:$1,0)+1,FALSE)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3" s="47"/>
      <c r="Q183" s="47"/>
      <c r="R183" s="47"/>
    </row>
    <row r="184" spans="1:18" ht="21" customHeight="1" x14ac:dyDescent="0.15">
      <c r="A184" s="39" t="str">
        <f t="shared" si="17"/>
        <v>47007124_47007406</v>
      </c>
      <c r="B184" s="174">
        <v>47007124</v>
      </c>
      <c r="C184" s="174">
        <v>47007406</v>
      </c>
      <c r="D184" s="46" t="str">
        <f ca="1">VLOOKUP($C184,OFFSET(enemy_skills!$A$1,0,0,COUNTA(enemy_skills!$A:$A),MATCH(D$1,enemy_skills!$1:$1,0)-MATCH("enemy_skill_id",enemy_skills!$1:$1,0)+1),MATCH(D$1,enemy_skills!$1:$1,0)-MATCH("enemy_skill_id",enemy_skills!$1:$1,0)+1,FALSE)</f>
        <v>だらしないわね！しっかりしなさいよ！</v>
      </c>
      <c r="E184" s="46" t="str">
        <f ca="1">VLOOKUP($C184,OFFSET(enemy_skills!$A$1,0,0,COUNTA(enemy_skills!$A:$A),MATCH(E$1,enemy_skills!$1:$1,0)-MATCH("enemy_skill_id",enemy_skills!$1:$1,0)+1),MATCH(E$1,enemy_skills!$1:$1,0)-MATCH("enemy_skill_id",enemy_skills!$1:$1,0)+1,FALSE)</f>
        <v>クリティカル！_x000D_(命中したユニットの攻撃力30%UP)</v>
      </c>
      <c r="F184" s="180">
        <v>47007407</v>
      </c>
      <c r="G184" s="48">
        <f ca="1">VLOOKUP($F184,OFFSET(enemy_skill_triggers!$A$1,0,0,COUNTA(enemy_skill_triggers!$A:$A),MATCH(G$1,enemy_skill_triggers!$1:$1,0)-MATCH($F$1,enemy_skill_triggers!$1:$1,0)+1),MATCH(G$1,enemy_skill_triggers!$1:$1,0)-MATCH($F$1,enemy_skill_triggers!$1:$1,0)+1,FALSE)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4" s="48">
        <f ca="1">VLOOKUP($F184,OFFSET(enemy_skill_triggers!$A$1,0,0,COUNTA(enemy_skill_triggers!$A:$A),MATCH(H$1,enemy_skill_triggers!$1:$1,0)-MATCH($F$1,enemy_skill_triggers!$1:$1,0)+1),MATCH(H$1,enemy_skill_triggers!$1:$1,0)-MATCH($F$1,enemy_skill_triggers!$1:$1,0)+1,FALSE)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84" s="48">
        <f ca="1">VLOOKUP($F184,OFFSET(enemy_skill_triggers!$A$1,0,0,COUNTA(enemy_skill_triggers!$A:$A),MATCH(I$1,enemy_skill_triggers!$1:$1,0)-MATCH($F$1,enemy_skill_triggers!$1:$1,0)+1),MATCH(I$1,enemy_skill_triggers!$1:$1,0)-MATCH($F$1,enemy_skill_triggers!$1:$1,0)+1,FALSE)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4" s="48" t="str">
        <f ca="1">VLOOKUP($F184,OFFSET(enemy_skill_triggers!$A$1,0,0,COUNTA(enemy_skill_triggers!$A:$A),MATCH(J$1,enemy_skill_triggers!$1:$1,0)-MATCH($F$1,enemy_skill_triggers!$1:$1,0)+1),MATCH(J$1,enemy_skill_triggers!$1:$1,0)-MATCH($F$1,enemy_skill_triggers!$1:$1,0)+1,FALSE)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4" s="48" t="str">
        <f ca="1">VLOOKUP($F184,OFFSET(enemy_skill_triggers!$A$1,0,0,COUNTA(enemy_skill_triggers!$A:$A),MATCH(K$1,enemy_skill_triggers!$1:$1,0)-MATCH($F$1,enemy_skill_triggers!$1:$1,0)+1),MATCH(K$1,enemy_skill_triggers!$1:$1,0)-MATCH($F$1,enemy_skill_triggers!$1:$1,0)+1,FALSE)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4" s="48" t="str">
        <f ca="1">VLOOKUP($F184,OFFSET(enemy_skill_triggers!$A$1,0,0,COUNTA(enemy_skill_triggers!$A:$A),MATCH(L$1,enemy_skill_triggers!$1:$1,0)-MATCH($F$1,enemy_skill_triggers!$1:$1,0)+1),MATCH(L$1,enemy_skill_triggers!$1:$1,0)-MATCH($F$1,enemy_skill_triggers!$1:$1,0)+1,FALSE)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4" s="48">
        <f ca="1">VLOOKUP($F184,OFFSET(enemy_skill_triggers!$A$1,0,0,COUNTA(enemy_skill_triggers!$A:$A),MATCH(M$1,enemy_skill_triggers!$1:$1,0)-MATCH($F$1,enemy_skill_triggers!$1:$1,0)+1),MATCH(M$1,enemy_skill_triggers!$1:$1,0)-MATCH($F$1,enemy_skill_triggers!$1:$1,0)+1,FALSE)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84" s="48" t="str">
        <f ca="1">VLOOKUP($F184,OFFSET(enemy_skill_triggers!$A$1,0,0,COUNTA(enemy_skill_triggers!$A:$A),MATCH(N$1,enemy_skill_triggers!$1:$1,0)-MATCH($F$1,enemy_skill_triggers!$1:$1,0)+1),MATCH(N$1,enemy_skill_triggers!$1:$1,0)-MATCH($F$1,enemy_skill_triggers!$1:$1,0)+1,FALSE)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4" s="48">
        <f ca="1">VLOOKUP($F184,OFFSET(enemy_skill_triggers!$A$1,0,0,COUNTA(enemy_skill_triggers!$A:$A),MATCH(O$1,enemy_skill_triggers!$1:$1,0)-MATCH($F$1,enemy_skill_triggers!$1:$1,0)+1),MATCH(O$1,enemy_skill_triggers!$1:$1,0)-MATCH($F$1,enemy_skill_triggers!$1:$1,0)+1,FALSE)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4" s="47"/>
      <c r="Q184" s="47"/>
      <c r="R184" s="47"/>
    </row>
    <row r="185" spans="1:18" ht="21" customHeight="1" x14ac:dyDescent="0.15">
      <c r="A185" s="39" t="str">
        <f t="shared" si="17"/>
        <v>47007124_47007496</v>
      </c>
      <c r="B185" s="174">
        <v>47007124</v>
      </c>
      <c r="C185" s="174">
        <v>47007496</v>
      </c>
      <c r="D185" s="46" t="str">
        <f ca="1">VLOOKUP($C185,OFFSET(enemy_skills!$A$1,0,0,COUNTA(enemy_skills!$A:$A),MATCH(D$1,enemy_skills!$1:$1,0)-MATCH("enemy_skill_id",enemy_skills!$1:$1,0)+1),MATCH(D$1,enemy_skills!$1:$1,0)-MATCH("enemy_skill_id",enemy_skills!$1:$1,0)+1,FALSE)</f>
        <v>呼ばれた理由…_x000D_もう…わかったでしょ…？</v>
      </c>
      <c r="E185" s="46" t="str">
        <f ca="1">VLOOKUP($C185,OFFSET(enemy_skills!$A$1,0,0,COUNTA(enemy_skills!$A:$A),MATCH(E$1,enemy_skills!$1:$1,0)-MATCH("enemy_skill_id",enemy_skills!$1:$1,0)+1),MATCH(E$1,enemy_skills!$1:$1,0)-MATCH("enemy_skill_id",enemy_skills!$1:$1,0)+1,FALSE)</f>
        <v>クリティカル！_x000D_(命中したユニットの回復力30%UP)</v>
      </c>
      <c r="F185" s="180">
        <v>47007408</v>
      </c>
      <c r="G185" s="48">
        <f ca="1">VLOOKUP($F185,OFFSET(enemy_skill_triggers!$A$1,0,0,COUNTA(enemy_skill_triggers!$A:$A),MATCH(G$1,enemy_skill_triggers!$1:$1,0)-MATCH($F$1,enemy_skill_triggers!$1:$1,0)+1),MATCH(G$1,enemy_skill_triggers!$1:$1,0)-MATCH($F$1,enemy_skill_triggers!$1:$1,0)+1,FALSE)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5" s="48">
        <f ca="1">VLOOKUP($F185,OFFSET(enemy_skill_triggers!$A$1,0,0,COUNTA(enemy_skill_triggers!$A:$A),MATCH(H$1,enemy_skill_triggers!$1:$1,0)-MATCH($F$1,enemy_skill_triggers!$1:$1,0)+1),MATCH(H$1,enemy_skill_triggers!$1:$1,0)-MATCH($F$1,enemy_skill_triggers!$1:$1,0)+1,FALSE)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85" s="48">
        <f ca="1">VLOOKUP($F185,OFFSET(enemy_skill_triggers!$A$1,0,0,COUNTA(enemy_skill_triggers!$A:$A),MATCH(I$1,enemy_skill_triggers!$1:$1,0)-MATCH($F$1,enemy_skill_triggers!$1:$1,0)+1),MATCH(I$1,enemy_skill_triggers!$1:$1,0)-MATCH($F$1,enemy_skill_triggers!$1:$1,0)+1,FALSE)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5" s="48" t="str">
        <f ca="1">VLOOKUP($F185,OFFSET(enemy_skill_triggers!$A$1,0,0,COUNTA(enemy_skill_triggers!$A:$A),MATCH(J$1,enemy_skill_triggers!$1:$1,0)-MATCH($F$1,enemy_skill_triggers!$1:$1,0)+1),MATCH(J$1,enemy_skill_triggers!$1:$1,0)-MATCH($F$1,enemy_skill_triggers!$1:$1,0)+1,FALSE)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5" s="48" t="str">
        <f ca="1">VLOOKUP($F185,OFFSET(enemy_skill_triggers!$A$1,0,0,COUNTA(enemy_skill_triggers!$A:$A),MATCH(K$1,enemy_skill_triggers!$1:$1,0)-MATCH($F$1,enemy_skill_triggers!$1:$1,0)+1),MATCH(K$1,enemy_skill_triggers!$1:$1,0)-MATCH($F$1,enemy_skill_triggers!$1:$1,0)+1,FALSE)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5" s="48" t="str">
        <f ca="1">VLOOKUP($F185,OFFSET(enemy_skill_triggers!$A$1,0,0,COUNTA(enemy_skill_triggers!$A:$A),MATCH(L$1,enemy_skill_triggers!$1:$1,0)-MATCH($F$1,enemy_skill_triggers!$1:$1,0)+1),MATCH(L$1,enemy_skill_triggers!$1:$1,0)-MATCH($F$1,enemy_skill_triggers!$1:$1,0)+1,FALSE)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5" s="48">
        <f ca="1">VLOOKUP($F185,OFFSET(enemy_skill_triggers!$A$1,0,0,COUNTA(enemy_skill_triggers!$A:$A),MATCH(M$1,enemy_skill_triggers!$1:$1,0)-MATCH($F$1,enemy_skill_triggers!$1:$1,0)+1),MATCH(M$1,enemy_skill_triggers!$1:$1,0)-MATCH($F$1,enemy_skill_triggers!$1:$1,0)+1,FALSE)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85" s="48" t="str">
        <f ca="1">VLOOKUP($F185,OFFSET(enemy_skill_triggers!$A$1,0,0,COUNTA(enemy_skill_triggers!$A:$A),MATCH(N$1,enemy_skill_triggers!$1:$1,0)-MATCH($F$1,enemy_skill_triggers!$1:$1,0)+1),MATCH(N$1,enemy_skill_triggers!$1:$1,0)-MATCH($F$1,enemy_skill_triggers!$1:$1,0)+1,FALSE)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5" s="48">
        <f ca="1">VLOOKUP($F185,OFFSET(enemy_skill_triggers!$A$1,0,0,COUNTA(enemy_skill_triggers!$A:$A),MATCH(O$1,enemy_skill_triggers!$1:$1,0)-MATCH($F$1,enemy_skill_triggers!$1:$1,0)+1),MATCH(O$1,enemy_skill_triggers!$1:$1,0)-MATCH($F$1,enemy_skill_triggers!$1:$1,0)+1,FALSE)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5" s="47"/>
      <c r="Q185" s="47"/>
      <c r="R185" s="47"/>
    </row>
    <row r="186" spans="1:18" ht="21" customHeight="1" x14ac:dyDescent="0.15">
      <c r="A186" s="39" t="str">
        <f t="shared" si="17"/>
        <v>47007124_47007497</v>
      </c>
      <c r="B186" s="174">
        <v>47007124</v>
      </c>
      <c r="C186" s="174">
        <v>47007497</v>
      </c>
      <c r="D186" s="46" t="str">
        <f ca="1">VLOOKUP($C186,OFFSET(enemy_skills!$A$1,0,0,COUNTA(enemy_skills!$A:$A),MATCH(D$1,enemy_skills!$1:$1,0)-MATCH("enemy_skill_id",enemy_skills!$1:$1,0)+1),MATCH(D$1,enemy_skills!$1:$1,0)-MATCH("enemy_skill_id",enemy_skills!$1:$1,0)+1,FALSE)</f>
        <v>(今度こそ…今度こそ！)</v>
      </c>
      <c r="E186" s="46" t="str">
        <f ca="1">VLOOKUP($C186,OFFSET(enemy_skills!$A$1,0,0,COUNTA(enemy_skills!$A:$A),MATCH(E$1,enemy_skills!$1:$1,0)-MATCH("enemy_skill_id",enemy_skills!$1:$1,0)+1),MATCH(E$1,enemy_skills!$1:$1,0)-MATCH("enemy_skill_id",enemy_skills!$1:$1,0)+1,FALSE)</f>
        <v>(想いを伝えるの！絶対！)</v>
      </c>
      <c r="F186" s="180">
        <v>47007409</v>
      </c>
      <c r="G186" s="48">
        <f ca="1">VLOOKUP($F186,OFFSET(enemy_skill_triggers!$A$1,0,0,COUNTA(enemy_skill_triggers!$A:$A),MATCH(G$1,enemy_skill_triggers!$1:$1,0)-MATCH($F$1,enemy_skill_triggers!$1:$1,0)+1),MATCH(G$1,enemy_skill_triggers!$1:$1,0)-MATCH($F$1,enemy_skill_triggers!$1:$1,0)+1,FALSE)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6" s="48">
        <f ca="1">VLOOKUP($F186,OFFSET(enemy_skill_triggers!$A$1,0,0,COUNTA(enemy_skill_triggers!$A:$A),MATCH(H$1,enemy_skill_triggers!$1:$1,0)-MATCH($F$1,enemy_skill_triggers!$1:$1,0)+1),MATCH(H$1,enemy_skill_triggers!$1:$1,0)-MATCH($F$1,enemy_skill_triggers!$1:$1,0)+1,FALSE)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86" s="48">
        <f ca="1">VLOOKUP($F186,OFFSET(enemy_skill_triggers!$A$1,0,0,COUNTA(enemy_skill_triggers!$A:$A),MATCH(I$1,enemy_skill_triggers!$1:$1,0)-MATCH($F$1,enemy_skill_triggers!$1:$1,0)+1),MATCH(I$1,enemy_skill_triggers!$1:$1,0)-MATCH($F$1,enemy_skill_triggers!$1:$1,0)+1,FALSE)</f>
        <v>10</v>
      </c>
      <c r="J186" s="48" t="str">
        <f ca="1">VLOOKUP($F186,OFFSET(enemy_skill_triggers!$A$1,0,0,COUNTA(enemy_skill_triggers!$A:$A),MATCH(J$1,enemy_skill_triggers!$1:$1,0)-MATCH($F$1,enemy_skill_triggers!$1:$1,0)+1),MATCH(J$1,enemy_skill_triggers!$1:$1,0)-MATCH($F$1,enemy_skill_triggers!$1:$1,0)+1,FALSE)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6" s="48" t="str">
        <f ca="1">VLOOKUP($F186,OFFSET(enemy_skill_triggers!$A$1,0,0,COUNTA(enemy_skill_triggers!$A:$A),MATCH(K$1,enemy_skill_triggers!$1:$1,0)-MATCH($F$1,enemy_skill_triggers!$1:$1,0)+1),MATCH(K$1,enemy_skill_triggers!$1:$1,0)-MATCH($F$1,enemy_skill_triggers!$1:$1,0)+1,FALSE)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6" s="48">
        <f ca="1">VLOOKUP($F186,OFFSET(enemy_skill_triggers!$A$1,0,0,COUNTA(enemy_skill_triggers!$A:$A),MATCH(L$1,enemy_skill_triggers!$1:$1,0)-MATCH($F$1,enemy_skill_triggers!$1:$1,0)+1),MATCH(L$1,enemy_skill_triggers!$1:$1,0)-MATCH($F$1,enemy_skill_triggers!$1:$1,0)+1,FALSE)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6" s="48">
        <f ca="1">VLOOKUP($F186,OFFSET(enemy_skill_triggers!$A$1,0,0,COUNTA(enemy_skill_triggers!$A:$A),MATCH(M$1,enemy_skill_triggers!$1:$1,0)-MATCH($F$1,enemy_skill_triggers!$1:$1,0)+1),MATCH(M$1,enemy_skill_triggers!$1:$1,0)-MATCH($F$1,enemy_skill_triggers!$1:$1,0)+1,FALSE)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6" s="48" t="str">
        <f ca="1">VLOOKUP($F186,OFFSET(enemy_skill_triggers!$A$1,0,0,COUNTA(enemy_skill_triggers!$A:$A),MATCH(N$1,enemy_skill_triggers!$1:$1,0)-MATCH($F$1,enemy_skill_triggers!$1:$1,0)+1),MATCH(N$1,enemy_skill_triggers!$1:$1,0)-MATCH($F$1,enemy_skill_triggers!$1:$1,0)+1,FALSE)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6" s="48">
        <f ca="1">VLOOKUP($F186,OFFSET(enemy_skill_triggers!$A$1,0,0,COUNTA(enemy_skill_triggers!$A:$A),MATCH(O$1,enemy_skill_triggers!$1:$1,0)-MATCH($F$1,enemy_skill_triggers!$1:$1,0)+1),MATCH(O$1,enemy_skill_triggers!$1:$1,0)-MATCH($F$1,enemy_skill_triggers!$1:$1,0)+1,FALSE)</f>
        <v>10</v>
      </c>
      <c r="P186" s="47"/>
      <c r="Q186" s="47"/>
      <c r="R186" s="47"/>
    </row>
    <row r="187" spans="1:18" ht="21" customHeight="1" x14ac:dyDescent="0.15">
      <c r="A187" s="39" t="str">
        <f t="shared" si="17"/>
        <v>47007125_47007501</v>
      </c>
      <c r="B187" s="174">
        <v>47007125</v>
      </c>
      <c r="C187" s="174">
        <v>47007501</v>
      </c>
      <c r="D187" s="46" t="str">
        <f ca="1">VLOOKUP($C187,OFFSET(enemy_skills!$A$1,0,0,COUNTA(enemy_skills!$A:$A),MATCH(D$1,enemy_skills!$1:$1,0)-MATCH("enemy_skill_id",enemy_skills!$1:$1,0)+1),MATCH(D$1,enemy_skills!$1:$1,0)-MATCH("enemy_skill_id",enemy_skills!$1:$1,0)+1,FALSE)</f>
        <v>大丈夫…落ち着けアタシ…</v>
      </c>
      <c r="E187" s="46" t="str">
        <f ca="1">VLOOKUP($C187,OFFSET(enemy_skills!$A$1,0,0,COUNTA(enemy_skills!$A:$A),MATCH(E$1,enemy_skills!$1:$1,0)-MATCH("enemy_skill_id",enemy_skills!$1:$1,0)+1),MATCH(E$1,enemy_skills!$1:$1,0)-MATCH("enemy_skill_id",enemy_skills!$1:$1,0)+1,FALSE)</f>
        <v>状態異常耐性+3ターン全属性の攻撃をカウンター</v>
      </c>
      <c r="F187" s="180">
        <v>47007501</v>
      </c>
      <c r="G187" s="48">
        <f ca="1">VLOOKUP($F187,OFFSET(enemy_skill_triggers!$A$1,0,0,COUNTA(enemy_skill_triggers!$A:$A),MATCH(G$1,enemy_skill_triggers!$1:$1,0)-MATCH($F$1,enemy_skill_triggers!$1:$1,0)+1),MATCH(G$1,enemy_skill_triggers!$1:$1,0)-MATCH($F$1,enemy_skill_triggers!$1:$1,0)+1,FALSE)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7" s="48" t="str">
        <f ca="1">VLOOKUP($F187,OFFSET(enemy_skill_triggers!$A$1,0,0,COUNTA(enemy_skill_triggers!$A:$A),MATCH(H$1,enemy_skill_triggers!$1:$1,0)-MATCH($F$1,enemy_skill_triggers!$1:$1,0)+1),MATCH(H$1,enemy_skill_triggers!$1:$1,0)-MATCH($F$1,enemy_skill_triggers!$1:$1,0)+1,FALSE)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7" s="48">
        <f ca="1">VLOOKUP($F187,OFFSET(enemy_skill_triggers!$A$1,0,0,COUNTA(enemy_skill_triggers!$A:$A),MATCH(I$1,enemy_skill_triggers!$1:$1,0)-MATCH($F$1,enemy_skill_triggers!$1:$1,0)+1),MATCH(I$1,enemy_skill_triggers!$1:$1,0)-MATCH($F$1,enemy_skill_triggers!$1:$1,0)+1,FALSE)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7" s="48" t="str">
        <f ca="1">VLOOKUP($F187,OFFSET(enemy_skill_triggers!$A$1,0,0,COUNTA(enemy_skill_triggers!$A:$A),MATCH(J$1,enemy_skill_triggers!$1:$1,0)-MATCH($F$1,enemy_skill_triggers!$1:$1,0)+1),MATCH(J$1,enemy_skill_triggers!$1:$1,0)-MATCH($F$1,enemy_skill_triggers!$1:$1,0)+1,FALSE)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7" s="48" t="str">
        <f ca="1">VLOOKUP($F187,OFFSET(enemy_skill_triggers!$A$1,0,0,COUNTA(enemy_skill_triggers!$A:$A),MATCH(K$1,enemy_skill_triggers!$1:$1,0)-MATCH($F$1,enemy_skill_triggers!$1:$1,0)+1),MATCH(K$1,enemy_skill_triggers!$1:$1,0)-MATCH($F$1,enemy_skill_triggers!$1:$1,0)+1,FALSE)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7" s="48">
        <f ca="1">VLOOKUP($F187,OFFSET(enemy_skill_triggers!$A$1,0,0,COUNTA(enemy_skill_triggers!$A:$A),MATCH(L$1,enemy_skill_triggers!$1:$1,0)-MATCH($F$1,enemy_skill_triggers!$1:$1,0)+1),MATCH(L$1,enemy_skill_triggers!$1:$1,0)-MATCH($F$1,enemy_skill_triggers!$1:$1,0)+1,FALSE)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7" s="48" t="str">
        <f ca="1">VLOOKUP($F187,OFFSET(enemy_skill_triggers!$A$1,0,0,COUNTA(enemy_skill_triggers!$A:$A),MATCH(M$1,enemy_skill_triggers!$1:$1,0)-MATCH($F$1,enemy_skill_triggers!$1:$1,0)+1),MATCH(M$1,enemy_skill_triggers!$1:$1,0)-MATCH($F$1,enemy_skill_triggers!$1:$1,0)+1,FALSE)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7" s="48" t="str">
        <f ca="1">VLOOKUP($F187,OFFSET(enemy_skill_triggers!$A$1,0,0,COUNTA(enemy_skill_triggers!$A:$A),MATCH(N$1,enemy_skill_triggers!$1:$1,0)-MATCH($F$1,enemy_skill_triggers!$1:$1,0)+1),MATCH(N$1,enemy_skill_triggers!$1:$1,0)-MATCH($F$1,enemy_skill_triggers!$1:$1,0)+1,FALSE)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7" s="48">
        <f ca="1">VLOOKUP($F187,OFFSET(enemy_skill_triggers!$A$1,0,0,COUNTA(enemy_skill_triggers!$A:$A),MATCH(O$1,enemy_skill_triggers!$1:$1,0)-MATCH($F$1,enemy_skill_triggers!$1:$1,0)+1),MATCH(O$1,enemy_skill_triggers!$1:$1,0)-MATCH($F$1,enemy_skill_triggers!$1:$1,0)+1,FALSE)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7" s="47"/>
      <c r="Q187" s="47"/>
      <c r="R187" s="47"/>
    </row>
    <row r="188" spans="1:18" ht="21" customHeight="1" x14ac:dyDescent="0.15">
      <c r="A188" s="39" t="str">
        <f t="shared" si="17"/>
        <v>47007125_47007591</v>
      </c>
      <c r="B188" s="174">
        <v>47007125</v>
      </c>
      <c r="C188" s="174">
        <v>47007591</v>
      </c>
      <c r="D188" s="46" t="str">
        <f ca="1">VLOOKUP($C188,OFFSET(enemy_skills!$A$1,0,0,COUNTA(enemy_skills!$A:$A),MATCH(D$1,enemy_skills!$1:$1,0)-MATCH("enemy_skill_id",enemy_skills!$1:$1,0)+1),MATCH(D$1,enemy_skills!$1:$1,0)-MATCH("enemy_skill_id",enemy_skills!$1:$1,0)+1,FALSE)</f>
        <v>ううううう受け取って…！_x000D_受け取って…ほしいの…</v>
      </c>
      <c r="E188" s="46" t="str">
        <f ca="1">VLOOKUP($C188,OFFSET(enemy_skills!$A$1,0,0,COUNTA(enemy_skills!$A:$A),MATCH(E$1,enemy_skills!$1:$1,0)-MATCH("enemy_skill_id",enemy_skills!$1:$1,0)+1),MATCH(E$1,enemy_skills!$1:$1,0)-MATCH("enemy_skill_id",enemy_skills!$1:$1,0)+1,FALSE)</f>
        <v>5ターン回復効果付与</v>
      </c>
      <c r="F188" s="180">
        <v>47007502</v>
      </c>
      <c r="G188" s="48">
        <f ca="1">VLOOKUP($F188,OFFSET(enemy_skill_triggers!$A$1,0,0,COUNTA(enemy_skill_triggers!$A:$A),MATCH(G$1,enemy_skill_triggers!$1:$1,0)-MATCH($F$1,enemy_skill_triggers!$1:$1,0)+1),MATCH(G$1,enemy_skill_triggers!$1:$1,0)-MATCH($F$1,enemy_skill_triggers!$1:$1,0)+1,FALSE)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8" s="48">
        <f ca="1">VLOOKUP($F188,OFFSET(enemy_skill_triggers!$A$1,0,0,COUNTA(enemy_skill_triggers!$A:$A),MATCH(H$1,enemy_skill_triggers!$1:$1,0)-MATCH($F$1,enemy_skill_triggers!$1:$1,0)+1),MATCH(H$1,enemy_skill_triggers!$1:$1,0)-MATCH($F$1,enemy_skill_triggers!$1:$1,0)+1,FALSE)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88" s="48">
        <f ca="1">VLOOKUP($F188,OFFSET(enemy_skill_triggers!$A$1,0,0,COUNTA(enemy_skill_triggers!$A:$A),MATCH(I$1,enemy_skill_triggers!$1:$1,0)-MATCH($F$1,enemy_skill_triggers!$1:$1,0)+1),MATCH(I$1,enemy_skill_triggers!$1:$1,0)-MATCH($F$1,enemy_skill_triggers!$1:$1,0)+1,FALSE)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8" s="48" t="str">
        <f ca="1">VLOOKUP($F188,OFFSET(enemy_skill_triggers!$A$1,0,0,COUNTA(enemy_skill_triggers!$A:$A),MATCH(J$1,enemy_skill_triggers!$1:$1,0)-MATCH($F$1,enemy_skill_triggers!$1:$1,0)+1),MATCH(J$1,enemy_skill_triggers!$1:$1,0)-MATCH($F$1,enemy_skill_triggers!$1:$1,0)+1,FALSE)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8" s="48" t="str">
        <f ca="1">VLOOKUP($F188,OFFSET(enemy_skill_triggers!$A$1,0,0,COUNTA(enemy_skill_triggers!$A:$A),MATCH(K$1,enemy_skill_triggers!$1:$1,0)-MATCH($F$1,enemy_skill_triggers!$1:$1,0)+1),MATCH(K$1,enemy_skill_triggers!$1:$1,0)-MATCH($F$1,enemy_skill_triggers!$1:$1,0)+1,FALSE)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8" s="48">
        <f ca="1">VLOOKUP($F188,OFFSET(enemy_skill_triggers!$A$1,0,0,COUNTA(enemy_skill_triggers!$A:$A),MATCH(L$1,enemy_skill_triggers!$1:$1,0)-MATCH($F$1,enemy_skill_triggers!$1:$1,0)+1),MATCH(L$1,enemy_skill_triggers!$1:$1,0)-MATCH($F$1,enemy_skill_triggers!$1:$1,0)+1,FALSE)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8" s="48" t="str">
        <f ca="1">VLOOKUP($F188,OFFSET(enemy_skill_triggers!$A$1,0,0,COUNTA(enemy_skill_triggers!$A:$A),MATCH(M$1,enemy_skill_triggers!$1:$1,0)-MATCH($F$1,enemy_skill_triggers!$1:$1,0)+1),MATCH(M$1,enemy_skill_triggers!$1:$1,0)-MATCH($F$1,enemy_skill_triggers!$1:$1,0)+1,FALSE)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8" s="48" t="str">
        <f ca="1">VLOOKUP($F188,OFFSET(enemy_skill_triggers!$A$1,0,0,COUNTA(enemy_skill_triggers!$A:$A),MATCH(N$1,enemy_skill_triggers!$1:$1,0)-MATCH($F$1,enemy_skill_triggers!$1:$1,0)+1),MATCH(N$1,enemy_skill_triggers!$1:$1,0)-MATCH($F$1,enemy_skill_triggers!$1:$1,0)+1,FALSE)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8" s="48">
        <f ca="1">VLOOKUP($F188,OFFSET(enemy_skill_triggers!$A$1,0,0,COUNTA(enemy_skill_triggers!$A:$A),MATCH(O$1,enemy_skill_triggers!$1:$1,0)-MATCH($F$1,enemy_skill_triggers!$1:$1,0)+1),MATCH(O$1,enemy_skill_triggers!$1:$1,0)-MATCH($F$1,enemy_skill_triggers!$1:$1,0)+1,FALSE)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8" s="47"/>
      <c r="Q188" s="47"/>
      <c r="R188" s="47"/>
    </row>
    <row r="189" spans="1:18" ht="21" customHeight="1" x14ac:dyDescent="0.15">
      <c r="A189" s="39" t="str">
        <f t="shared" si="17"/>
        <v>47007125_47007503</v>
      </c>
      <c r="B189" s="174">
        <v>47007125</v>
      </c>
      <c r="C189" s="174">
        <v>47007503</v>
      </c>
      <c r="D189" s="46" t="str">
        <f ca="1">VLOOKUP($C189,OFFSET(enemy_skills!$A$1,0,0,COUNTA(enemy_skills!$A:$A),MATCH(D$1,enemy_skills!$1:$1,0)-MATCH("enemy_skill_id",enemy_skills!$1:$1,0)+1),MATCH(D$1,enemy_skills!$1:$1,0)-MATCH("enemy_skill_id",enemy_skills!$1:$1,0)+1,FALSE)</f>
        <v>あ…それ失敗作…！かかか返して…！</v>
      </c>
      <c r="E189" s="46" t="str">
        <f ca="1">VLOOKUP($C189,OFFSET(enemy_skills!$A$1,0,0,COUNTA(enemy_skills!$A:$A),MATCH(E$1,enemy_skills!$1:$1,0)-MATCH("enemy_skill_id",enemy_skills!$1:$1,0)+1),MATCH(E$1,enemy_skills!$1:$1,0)-MATCH("enemy_skill_id",enemy_skills!$1:$1,0)+1,FALSE)</f>
        <v>強力な全体攻撃+5ターンウィルス</v>
      </c>
      <c r="F189" s="180">
        <v>47007503</v>
      </c>
      <c r="G189" s="48">
        <f ca="1">VLOOKUP($F189,OFFSET(enemy_skill_triggers!$A$1,0,0,COUNTA(enemy_skill_triggers!$A:$A),MATCH(G$1,enemy_skill_triggers!$1:$1,0)-MATCH($F$1,enemy_skill_triggers!$1:$1,0)+1),MATCH(G$1,enemy_skill_triggers!$1:$1,0)-MATCH($F$1,enemy_skill_triggers!$1:$1,0)+1,FALSE)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9" s="48">
        <f ca="1">VLOOKUP($F189,OFFSET(enemy_skill_triggers!$A$1,0,0,COUNTA(enemy_skill_triggers!$A:$A),MATCH(H$1,enemy_skill_triggers!$1:$1,0)-MATCH($F$1,enemy_skill_triggers!$1:$1,0)+1),MATCH(H$1,enemy_skill_triggers!$1:$1,0)-MATCH($F$1,enemy_skill_triggers!$1:$1,0)+1,FALSE)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189" s="48">
        <f ca="1">VLOOKUP($F189,OFFSET(enemy_skill_triggers!$A$1,0,0,COUNTA(enemy_skill_triggers!$A:$A),MATCH(I$1,enemy_skill_triggers!$1:$1,0)-MATCH($F$1,enemy_skill_triggers!$1:$1,0)+1),MATCH(I$1,enemy_skill_triggers!$1:$1,0)-MATCH($F$1,enemy_skill_triggers!$1:$1,0)+1,FALSE)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9" s="48" t="str">
        <f ca="1">VLOOKUP($F189,OFFSET(enemy_skill_triggers!$A$1,0,0,COUNTA(enemy_skill_triggers!$A:$A),MATCH(J$1,enemy_skill_triggers!$1:$1,0)-MATCH($F$1,enemy_skill_triggers!$1:$1,0)+1),MATCH(J$1,enemy_skill_triggers!$1:$1,0)-MATCH($F$1,enemy_skill_triggers!$1:$1,0)+1,FALSE)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9" s="48" t="str">
        <f ca="1">VLOOKUP($F189,OFFSET(enemy_skill_triggers!$A$1,0,0,COUNTA(enemy_skill_triggers!$A:$A),MATCH(K$1,enemy_skill_triggers!$1:$1,0)-MATCH($F$1,enemy_skill_triggers!$1:$1,0)+1),MATCH(K$1,enemy_skill_triggers!$1:$1,0)-MATCH($F$1,enemy_skill_triggers!$1:$1,0)+1,FALSE)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9" s="48">
        <f ca="1">VLOOKUP($F189,OFFSET(enemy_skill_triggers!$A$1,0,0,COUNTA(enemy_skill_triggers!$A:$A),MATCH(L$1,enemy_skill_triggers!$1:$1,0)-MATCH($F$1,enemy_skill_triggers!$1:$1,0)+1),MATCH(L$1,enemy_skill_triggers!$1:$1,0)-MATCH($F$1,enemy_skill_triggers!$1:$1,0)+1,FALSE)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9" s="48" t="str">
        <f ca="1">VLOOKUP($F189,OFFSET(enemy_skill_triggers!$A$1,0,0,COUNTA(enemy_skill_triggers!$A:$A),MATCH(M$1,enemy_skill_triggers!$1:$1,0)-MATCH($F$1,enemy_skill_triggers!$1:$1,0)+1),MATCH(M$1,enemy_skill_triggers!$1:$1,0)-MATCH($F$1,enemy_skill_triggers!$1:$1,0)+1,FALSE)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9" s="48" t="str">
        <f ca="1">VLOOKUP($F189,OFFSET(enemy_skill_triggers!$A$1,0,0,COUNTA(enemy_skill_triggers!$A:$A),MATCH(N$1,enemy_skill_triggers!$1:$1,0)-MATCH($F$1,enemy_skill_triggers!$1:$1,0)+1),MATCH(N$1,enemy_skill_triggers!$1:$1,0)-MATCH($F$1,enemy_skill_triggers!$1:$1,0)+1,FALSE)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9" s="48">
        <f ca="1">VLOOKUP($F189,OFFSET(enemy_skill_triggers!$A$1,0,0,COUNTA(enemy_skill_triggers!$A:$A),MATCH(O$1,enemy_skill_triggers!$1:$1,0)-MATCH($F$1,enemy_skill_triggers!$1:$1,0)+1),MATCH(O$1,enemy_skill_triggers!$1:$1,0)-MATCH($F$1,enemy_skill_triggers!$1:$1,0)+1,FALSE)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9" s="47"/>
      <c r="Q189" s="47"/>
      <c r="R189" s="47"/>
    </row>
    <row r="190" spans="1:18" ht="21" customHeight="1" x14ac:dyDescent="0.15">
      <c r="A190" s="39" t="str">
        <f t="shared" si="17"/>
        <v>47007125_47007504</v>
      </c>
      <c r="B190" s="174">
        <v>47007125</v>
      </c>
      <c r="C190" s="174">
        <v>47007504</v>
      </c>
      <c r="D190" s="46" t="str">
        <f ca="1">VLOOKUP($C190,OFFSET(enemy_skills!$A$1,0,0,COUNTA(enemy_skills!$A:$A),MATCH(D$1,enemy_skills!$1:$1,0)-MATCH("enemy_skill_id",enemy_skills!$1:$1,0)+1),MATCH(D$1,enemy_skills!$1:$1,0)-MATCH("enemy_skill_id",enemy_skills!$1:$1,0)+1,FALSE)</f>
        <v>ご…ごめん！怪我はない…？</v>
      </c>
      <c r="E190" s="46" t="str">
        <f ca="1">VLOOKUP($C190,OFFSET(enemy_skills!$A$1,0,0,COUNTA(enemy_skills!$A:$A),MATCH(E$1,enemy_skills!$1:$1,0)-MATCH("enemy_skill_id",enemy_skills!$1:$1,0)+1),MATCH(E$1,enemy_skills!$1:$1,0)-MATCH("enemy_skill_id",enemy_skills!$1:$1,0)+1,FALSE)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ランダムでハートパネルに最大10個変換</v>
      </c>
      <c r="F190" s="180">
        <v>47007504</v>
      </c>
      <c r="G190" s="48">
        <f ca="1">VLOOKUP($F190,OFFSET(enemy_skill_triggers!$A$1,0,0,COUNTA(enemy_skill_triggers!$A:$A),MATCH(G$1,enemy_skill_triggers!$1:$1,0)-MATCH($F$1,enemy_skill_triggers!$1:$1,0)+1),MATCH(G$1,enemy_skill_triggers!$1:$1,0)-MATCH($F$1,enemy_skill_triggers!$1:$1,0)+1,FALSE)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0" s="48">
        <f ca="1">VLOOKUP($F190,OFFSET(enemy_skill_triggers!$A$1,0,0,COUNTA(enemy_skill_triggers!$A:$A),MATCH(H$1,enemy_skill_triggers!$1:$1,0)-MATCH($F$1,enemy_skill_triggers!$1:$1,0)+1),MATCH(H$1,enemy_skill_triggers!$1:$1,0)-MATCH($F$1,enemy_skill_triggers!$1:$1,0)+1,FALSE)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190" s="48">
        <f ca="1">VLOOKUP($F190,OFFSET(enemy_skill_triggers!$A$1,0,0,COUNTA(enemy_skill_triggers!$A:$A),MATCH(I$1,enemy_skill_triggers!$1:$1,0)-MATCH($F$1,enemy_skill_triggers!$1:$1,0)+1),MATCH(I$1,enemy_skill_triggers!$1:$1,0)-MATCH($F$1,enemy_skill_triggers!$1:$1,0)+1,FALSE)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0" s="48" t="str">
        <f ca="1">VLOOKUP($F190,OFFSET(enemy_skill_triggers!$A$1,0,0,COUNTA(enemy_skill_triggers!$A:$A),MATCH(J$1,enemy_skill_triggers!$1:$1,0)-MATCH($F$1,enemy_skill_triggers!$1:$1,0)+1),MATCH(J$1,enemy_skill_triggers!$1:$1,0)-MATCH($F$1,enemy_skill_triggers!$1:$1,0)+1,FALSE)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0" s="48" t="str">
        <f ca="1">VLOOKUP($F190,OFFSET(enemy_skill_triggers!$A$1,0,0,COUNTA(enemy_skill_triggers!$A:$A),MATCH(K$1,enemy_skill_triggers!$1:$1,0)-MATCH($F$1,enemy_skill_triggers!$1:$1,0)+1),MATCH(K$1,enemy_skill_triggers!$1:$1,0)-MATCH($F$1,enemy_skill_triggers!$1:$1,0)+1,FALSE)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0" s="48">
        <f ca="1">VLOOKUP($F190,OFFSET(enemy_skill_triggers!$A$1,0,0,COUNTA(enemy_skill_triggers!$A:$A),MATCH(L$1,enemy_skill_triggers!$1:$1,0)-MATCH($F$1,enemy_skill_triggers!$1:$1,0)+1),MATCH(L$1,enemy_skill_triggers!$1:$1,0)-MATCH($F$1,enemy_skill_triggers!$1:$1,0)+1,FALSE)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0" s="48" t="str">
        <f ca="1">VLOOKUP($F190,OFFSET(enemy_skill_triggers!$A$1,0,0,COUNTA(enemy_skill_triggers!$A:$A),MATCH(M$1,enemy_skill_triggers!$1:$1,0)-MATCH($F$1,enemy_skill_triggers!$1:$1,0)+1),MATCH(M$1,enemy_skill_triggers!$1:$1,0)-MATCH($F$1,enemy_skill_triggers!$1:$1,0)+1,FALSE)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0" s="48" t="str">
        <f ca="1">VLOOKUP($F190,OFFSET(enemy_skill_triggers!$A$1,0,0,COUNTA(enemy_skill_triggers!$A:$A),MATCH(N$1,enemy_skill_triggers!$1:$1,0)-MATCH($F$1,enemy_skill_triggers!$1:$1,0)+1),MATCH(N$1,enemy_skill_triggers!$1:$1,0)-MATCH($F$1,enemy_skill_triggers!$1:$1,0)+1,FALSE)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0" s="48">
        <f ca="1">VLOOKUP($F190,OFFSET(enemy_skill_triggers!$A$1,0,0,COUNTA(enemy_skill_triggers!$A:$A),MATCH(O$1,enemy_skill_triggers!$1:$1,0)-MATCH($F$1,enemy_skill_triggers!$1:$1,0)+1),MATCH(O$1,enemy_skill_triggers!$1:$1,0)-MATCH($F$1,enemy_skill_triggers!$1:$1,0)+1,FALSE)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0" s="47"/>
      <c r="Q190" s="47"/>
      <c r="R190" s="47"/>
    </row>
    <row r="191" spans="1:18" ht="21" customHeight="1" x14ac:dyDescent="0.15">
      <c r="A191" s="39" t="str">
        <f t="shared" si="17"/>
        <v>47007125_47007592</v>
      </c>
      <c r="B191" s="174">
        <v>47007125</v>
      </c>
      <c r="C191" s="174">
        <v>47007592</v>
      </c>
      <c r="D191" s="46" t="str">
        <f ca="1">VLOOKUP($C191,OFFSET(enemy_skills!$A$1,0,0,COUNTA(enemy_skills!$A:$A),MATCH(D$1,enemy_skills!$1:$1,0)-MATCH("enemy_skill_id",enemy_skills!$1:$1,0)+1),MATCH(D$1,enemy_skills!$1:$1,0)-MATCH("enemy_skill_id",enemy_skills!$1:$1,0)+1,FALSE)</f>
        <v>…ってもう！近い！近いっ！_x000D_(ううぅ、ヤバいドキドキする…！)</v>
      </c>
      <c r="E191" s="46" t="str">
        <f ca="1">VLOOKUP($C191,OFFSET(enemy_skills!$A$1,0,0,COUNTA(enemy_skills!$A:$A),MATCH(E$1,enemy_skills!$1:$1,0)-MATCH("enemy_skill_id",enemy_skills!$1:$1,0)+1),MATCH(E$1,enemy_skills!$1:$1,0)-MATCH("enemy_skill_id",enemy_skills!$1:$1,0)+1,FALSE)</f>
        <v>強力なクリティカル！</v>
      </c>
      <c r="F191" s="180">
        <v>47007505</v>
      </c>
      <c r="G191" s="48">
        <f ca="1">VLOOKUP($F191,OFFSET(enemy_skill_triggers!$A$1,0,0,COUNTA(enemy_skill_triggers!$A:$A),MATCH(G$1,enemy_skill_triggers!$1:$1,0)-MATCH($F$1,enemy_skill_triggers!$1:$1,0)+1),MATCH(G$1,enemy_skill_triggers!$1:$1,0)-MATCH($F$1,enemy_skill_triggers!$1:$1,0)+1,FALSE)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1" s="48">
        <f ca="1">VLOOKUP($F191,OFFSET(enemy_skill_triggers!$A$1,0,0,COUNTA(enemy_skill_triggers!$A:$A),MATCH(H$1,enemy_skill_triggers!$1:$1,0)-MATCH($F$1,enemy_skill_triggers!$1:$1,0)+1),MATCH(H$1,enemy_skill_triggers!$1:$1,0)-MATCH($F$1,enemy_skill_triggers!$1:$1,0)+1,FALSE)</f>
        <v>47</v>
      </c>
      <c r="I191" s="48">
        <f ca="1">VLOOKUP($F191,OFFSET(enemy_skill_triggers!$A$1,0,0,COUNTA(enemy_skill_triggers!$A:$A),MATCH(I$1,enemy_skill_triggers!$1:$1,0)-MATCH($F$1,enemy_skill_triggers!$1:$1,0)+1),MATCH(I$1,enemy_skill_triggers!$1:$1,0)-MATCH($F$1,enemy_skill_triggers!$1:$1,0)+1,FALSE)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1" s="48" t="str">
        <f ca="1">VLOOKUP($F191,OFFSET(enemy_skill_triggers!$A$1,0,0,COUNTA(enemy_skill_triggers!$A:$A),MATCH(J$1,enemy_skill_triggers!$1:$1,0)-MATCH($F$1,enemy_skill_triggers!$1:$1,0)+1),MATCH(J$1,enemy_skill_triggers!$1:$1,0)-MATCH($F$1,enemy_skill_triggers!$1:$1,0)+1,FALSE)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1" s="48" t="str">
        <f ca="1">VLOOKUP($F191,OFFSET(enemy_skill_triggers!$A$1,0,0,COUNTA(enemy_skill_triggers!$A:$A),MATCH(K$1,enemy_skill_triggers!$1:$1,0)-MATCH($F$1,enemy_skill_triggers!$1:$1,0)+1),MATCH(K$1,enemy_skill_triggers!$1:$1,0)-MATCH($F$1,enemy_skill_triggers!$1:$1,0)+1,FALSE)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1" s="48">
        <f ca="1">VLOOKUP($F191,OFFSET(enemy_skill_triggers!$A$1,0,0,COUNTA(enemy_skill_triggers!$A:$A),MATCH(L$1,enemy_skill_triggers!$1:$1,0)-MATCH($F$1,enemy_skill_triggers!$1:$1,0)+1),MATCH(L$1,enemy_skill_triggers!$1:$1,0)-MATCH($F$1,enemy_skill_triggers!$1:$1,0)+1,FALSE)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1" s="48" t="str">
        <f ca="1">VLOOKUP($F191,OFFSET(enemy_skill_triggers!$A$1,0,0,COUNTA(enemy_skill_triggers!$A:$A),MATCH(M$1,enemy_skill_triggers!$1:$1,0)-MATCH($F$1,enemy_skill_triggers!$1:$1,0)+1),MATCH(M$1,enemy_skill_triggers!$1:$1,0)-MATCH($F$1,enemy_skill_triggers!$1:$1,0)+1,FALSE)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1" s="48" t="str">
        <f ca="1">VLOOKUP($F191,OFFSET(enemy_skill_triggers!$A$1,0,0,COUNTA(enemy_skill_triggers!$A:$A),MATCH(N$1,enemy_skill_triggers!$1:$1,0)-MATCH($F$1,enemy_skill_triggers!$1:$1,0)+1),MATCH(N$1,enemy_skill_triggers!$1:$1,0)-MATCH($F$1,enemy_skill_triggers!$1:$1,0)+1,FALSE)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1" s="48">
        <f ca="1">VLOOKUP($F191,OFFSET(enemy_skill_triggers!$A$1,0,0,COUNTA(enemy_skill_triggers!$A:$A),MATCH(O$1,enemy_skill_triggers!$1:$1,0)-MATCH($F$1,enemy_skill_triggers!$1:$1,0)+1),MATCH(O$1,enemy_skill_triggers!$1:$1,0)-MATCH($F$1,enemy_skill_triggers!$1:$1,0)+1,FALSE)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1" s="47"/>
      <c r="Q191" s="47"/>
      <c r="R191" s="47"/>
    </row>
    <row r="192" spans="1:18" ht="21" customHeight="1" x14ac:dyDescent="0.15">
      <c r="A192" s="39" t="str">
        <f t="shared" si="17"/>
        <v>47007125_47007507</v>
      </c>
      <c r="B192" s="174">
        <v>47007125</v>
      </c>
      <c r="C192" s="175">
        <v>47007507</v>
      </c>
      <c r="D192" s="46" t="str">
        <f ca="1">VLOOKUP($C192,OFFSET(enemy_skills!$A$1,0,0,COUNTA(enemy_skills!$A:$A),MATCH(D$1,enemy_skills!$1:$1,0)-MATCH("enemy_skill_id",enemy_skills!$1:$1,0)+1),MATCH(D$1,enemy_skills!$1:$1,0)-MATCH("enemy_skill_id",enemy_skills!$1:$1,0)+1,FALSE)</f>
        <v>(仕切り直しよ…仕切り直し…！)</v>
      </c>
      <c r="E192" s="46" t="str">
        <f ca="1">VLOOKUP($C192,OFFSET(enemy_skills!$A$1,0,0,COUNTA(enemy_skills!$A:$A),MATCH(E$1,enemy_skills!$1:$1,0)-MATCH("enemy_skill_id",enemy_skills!$1:$1,0)+1),MATCH(E$1,enemy_skills!$1:$1,0)-MATCH("enemy_skill_id",enemy_skills!$1:$1,0)+1,FALSE)</f>
        <v>黄パネルを吸収する程、ダメージがDOWNする攻撃</v>
      </c>
      <c r="F192" s="180">
        <v>47007506</v>
      </c>
      <c r="G192" s="48">
        <f ca="1">VLOOKUP($F192,OFFSET(enemy_skill_triggers!$A$1,0,0,COUNTA(enemy_skill_triggers!$A:$A),MATCH(G$1,enemy_skill_triggers!$1:$1,0)-MATCH($F$1,enemy_skill_triggers!$1:$1,0)+1),MATCH(G$1,enemy_skill_triggers!$1:$1,0)-MATCH($F$1,enemy_skill_triggers!$1:$1,0)+1,FALSE)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2" s="48">
        <f ca="1">VLOOKUP($F192,OFFSET(enemy_skill_triggers!$A$1,0,0,COUNTA(enemy_skill_triggers!$A:$A),MATCH(H$1,enemy_skill_triggers!$1:$1,0)-MATCH($F$1,enemy_skill_triggers!$1:$1,0)+1),MATCH(H$1,enemy_skill_triggers!$1:$1,0)-MATCH($F$1,enemy_skill_triggers!$1:$1,0)+1,FALSE)</f>
        <v>46</v>
      </c>
      <c r="I192" s="48">
        <f ca="1">VLOOKUP($F192,OFFSET(enemy_skill_triggers!$A$1,0,0,COUNTA(enemy_skill_triggers!$A:$A),MATCH(I$1,enemy_skill_triggers!$1:$1,0)-MATCH($F$1,enemy_skill_triggers!$1:$1,0)+1),MATCH(I$1,enemy_skill_triggers!$1:$1,0)-MATCH($F$1,enemy_skill_triggers!$1:$1,0)+1,FALSE)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2" s="48" t="str">
        <f ca="1">VLOOKUP($F192,OFFSET(enemy_skill_triggers!$A$1,0,0,COUNTA(enemy_skill_triggers!$A:$A),MATCH(J$1,enemy_skill_triggers!$1:$1,0)-MATCH($F$1,enemy_skill_triggers!$1:$1,0)+1),MATCH(J$1,enemy_skill_triggers!$1:$1,0)-MATCH($F$1,enemy_skill_triggers!$1:$1,0)+1,FALSE)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2" s="48" t="str">
        <f ca="1">VLOOKUP($F192,OFFSET(enemy_skill_triggers!$A$1,0,0,COUNTA(enemy_skill_triggers!$A:$A),MATCH(K$1,enemy_skill_triggers!$1:$1,0)-MATCH($F$1,enemy_skill_triggers!$1:$1,0)+1),MATCH(K$1,enemy_skill_triggers!$1:$1,0)-MATCH($F$1,enemy_skill_triggers!$1:$1,0)+1,FALSE)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2" s="48" t="str">
        <f ca="1">VLOOKUP($F192,OFFSET(enemy_skill_triggers!$A$1,0,0,COUNTA(enemy_skill_triggers!$A:$A),MATCH(L$1,enemy_skill_triggers!$1:$1,0)-MATCH($F$1,enemy_skill_triggers!$1:$1,0)+1),MATCH(L$1,enemy_skill_triggers!$1:$1,0)-MATCH($F$1,enemy_skill_triggers!$1:$1,0)+1,FALSE)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2" s="48" t="str">
        <f ca="1">VLOOKUP($F192,OFFSET(enemy_skill_triggers!$A$1,0,0,COUNTA(enemy_skill_triggers!$A:$A),MATCH(M$1,enemy_skill_triggers!$1:$1,0)-MATCH($F$1,enemy_skill_triggers!$1:$1,0)+1),MATCH(M$1,enemy_skill_triggers!$1:$1,0)-MATCH($F$1,enemy_skill_triggers!$1:$1,0)+1,FALSE)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2" s="48" t="str">
        <f ca="1">VLOOKUP($F192,OFFSET(enemy_skill_triggers!$A$1,0,0,COUNTA(enemy_skill_triggers!$A:$A),MATCH(N$1,enemy_skill_triggers!$1:$1,0)-MATCH($F$1,enemy_skill_triggers!$1:$1,0)+1),MATCH(N$1,enemy_skill_triggers!$1:$1,0)-MATCH($F$1,enemy_skill_triggers!$1:$1,0)+1,FALSE)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2" s="48">
        <f ca="1">VLOOKUP($F192,OFFSET(enemy_skill_triggers!$A$1,0,0,COUNTA(enemy_skill_triggers!$A:$A),MATCH(O$1,enemy_skill_triggers!$1:$1,0)-MATCH($F$1,enemy_skill_triggers!$1:$1,0)+1),MATCH(O$1,enemy_skill_triggers!$1:$1,0)-MATCH($F$1,enemy_skill_triggers!$1:$1,0)+1,FALSE)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2" s="47"/>
      <c r="Q192" s="47"/>
      <c r="R192" s="47"/>
    </row>
    <row r="193" spans="1:18" ht="21" customHeight="1" x14ac:dyDescent="0.15">
      <c r="A193" s="39" t="str">
        <f t="shared" si="17"/>
        <v>47007126_47007601</v>
      </c>
      <c r="B193" s="174">
        <v>47007126</v>
      </c>
      <c r="C193" s="174">
        <v>47007601</v>
      </c>
      <c r="D193" s="46" t="str">
        <f ca="1">VLOOKUP($C193,OFFSET(enemy_skills!$A$1,0,0,COUNTA(enemy_skills!$A:$A),MATCH(D$1,enemy_skills!$1:$1,0)-MATCH("enemy_skill_id",enemy_skills!$1:$1,0)+1),MATCH(D$1,enemy_skills!$1:$1,0)-MATCH("enemy_skill_id",enemy_skills!$1:$1,0)+1,FALSE)</f>
        <v>こ、これ！チョコ！_x000D_あんたのために…作ったの…！</v>
      </c>
      <c r="E193" s="46" t="str">
        <f ca="1">VLOOKUP($C193,OFFSET(enemy_skills!$A$1,0,0,COUNTA(enemy_skills!$A:$A),MATCH(E$1,enemy_skills!$1:$1,0)-MATCH("enemy_skill_id",enemy_skills!$1:$1,0)+1),MATCH(E$1,enemy_skills!$1:$1,0)-MATCH("enemy_skill_id",enemy_skills!$1:$1,0)+1,FALSE)</f>
        <v>状態異常耐性+3ターン後に残りHPの200%ダメージ！_x000D_【目をつむって真っ赤になっている…】</v>
      </c>
      <c r="F193" s="180">
        <v>47007601</v>
      </c>
      <c r="G193" s="48">
        <f ca="1">VLOOKUP($F193,OFFSET(enemy_skill_triggers!$A$1,0,0,COUNTA(enemy_skill_triggers!$A:$A),MATCH(G$1,enemy_skill_triggers!$1:$1,0)-MATCH($F$1,enemy_skill_triggers!$1:$1,0)+1),MATCH(G$1,enemy_skill_triggers!$1:$1,0)-MATCH($F$1,enemy_skill_triggers!$1:$1,0)+1,FALSE)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3" s="48" t="str">
        <f ca="1">VLOOKUP($F193,OFFSET(enemy_skill_triggers!$A$1,0,0,COUNTA(enemy_skill_triggers!$A:$A),MATCH(H$1,enemy_skill_triggers!$1:$1,0)-MATCH($F$1,enemy_skill_triggers!$1:$1,0)+1),MATCH(H$1,enemy_skill_triggers!$1:$1,0)-MATCH($F$1,enemy_skill_triggers!$1:$1,0)+1,FALSE)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3" s="48">
        <f ca="1">VLOOKUP($F193,OFFSET(enemy_skill_triggers!$A$1,0,0,COUNTA(enemy_skill_triggers!$A:$A),MATCH(I$1,enemy_skill_triggers!$1:$1,0)-MATCH($F$1,enemy_skill_triggers!$1:$1,0)+1),MATCH(I$1,enemy_skill_triggers!$1:$1,0)-MATCH($F$1,enemy_skill_triggers!$1:$1,0)+1,FALSE)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3" s="48" t="str">
        <f ca="1">VLOOKUP($F193,OFFSET(enemy_skill_triggers!$A$1,0,0,COUNTA(enemy_skill_triggers!$A:$A),MATCH(J$1,enemy_skill_triggers!$1:$1,0)-MATCH($F$1,enemy_skill_triggers!$1:$1,0)+1),MATCH(J$1,enemy_skill_triggers!$1:$1,0)-MATCH($F$1,enemy_skill_triggers!$1:$1,0)+1,FALSE)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3" s="48" t="str">
        <f ca="1">VLOOKUP($F193,OFFSET(enemy_skill_triggers!$A$1,0,0,COUNTA(enemy_skill_triggers!$A:$A),MATCH(K$1,enemy_skill_triggers!$1:$1,0)-MATCH($F$1,enemy_skill_triggers!$1:$1,0)+1),MATCH(K$1,enemy_skill_triggers!$1:$1,0)-MATCH($F$1,enemy_skill_triggers!$1:$1,0)+1,FALSE)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3" s="48">
        <f ca="1">VLOOKUP($F193,OFFSET(enemy_skill_triggers!$A$1,0,0,COUNTA(enemy_skill_triggers!$A:$A),MATCH(L$1,enemy_skill_triggers!$1:$1,0)-MATCH($F$1,enemy_skill_triggers!$1:$1,0)+1),MATCH(L$1,enemy_skill_triggers!$1:$1,0)-MATCH($F$1,enemy_skill_triggers!$1:$1,0)+1,FALSE)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3" s="48" t="str">
        <f ca="1">VLOOKUP($F193,OFFSET(enemy_skill_triggers!$A$1,0,0,COUNTA(enemy_skill_triggers!$A:$A),MATCH(M$1,enemy_skill_triggers!$1:$1,0)-MATCH($F$1,enemy_skill_triggers!$1:$1,0)+1),MATCH(M$1,enemy_skill_triggers!$1:$1,0)-MATCH($F$1,enemy_skill_triggers!$1:$1,0)+1,FALSE)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3" s="48" t="str">
        <f ca="1">VLOOKUP($F193,OFFSET(enemy_skill_triggers!$A$1,0,0,COUNTA(enemy_skill_triggers!$A:$A),MATCH(N$1,enemy_skill_triggers!$1:$1,0)-MATCH($F$1,enemy_skill_triggers!$1:$1,0)+1),MATCH(N$1,enemy_skill_triggers!$1:$1,0)-MATCH($F$1,enemy_skill_triggers!$1:$1,0)+1,FALSE)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3" s="48">
        <f ca="1">VLOOKUP($F193,OFFSET(enemy_skill_triggers!$A$1,0,0,COUNTA(enemy_skill_triggers!$A:$A),MATCH(O$1,enemy_skill_triggers!$1:$1,0)-MATCH($F$1,enemy_skill_triggers!$1:$1,0)+1),MATCH(O$1,enemy_skill_triggers!$1:$1,0)-MATCH($F$1,enemy_skill_triggers!$1:$1,0)+1,FALSE)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3" s="47"/>
      <c r="Q193" s="47"/>
      <c r="R193" s="47"/>
    </row>
    <row r="194" spans="1:18" ht="21" customHeight="1" x14ac:dyDescent="0.15">
      <c r="A194" s="39" t="str">
        <f t="shared" si="17"/>
        <v>47007126_47007691</v>
      </c>
      <c r="B194" s="174">
        <v>47007126</v>
      </c>
      <c r="C194" s="174">
        <v>47007691</v>
      </c>
      <c r="D194" s="46" t="str">
        <f ca="1">VLOOKUP($C194,OFFSET(enemy_skills!$A$1,0,0,COUNTA(enemy_skills!$A:$A),MATCH(D$1,enemy_skills!$1:$1,0)-MATCH("enemy_skill_id",enemy_skills!$1:$1,0)+1),MATCH(D$1,enemy_skills!$1:$1,0)-MATCH("enemy_skill_id",enemy_skills!$1:$1,0)+1,FALSE)</f>
        <v>(受け取って…くれるかな？)</v>
      </c>
      <c r="E194" s="46" t="str">
        <f ca="1">VLOOKUP($C194,OFFSET(enemy_skills!$A$1,0,0,COUNTA(enemy_skills!$A:$A),MATCH(E$1,enemy_skills!$1:$1,0)-MATCH("enemy_skill_id",enemy_skills!$1:$1,0)+1),MATCH(E$1,enemy_skills!$1:$1,0)-MATCH("enemy_skill_id",enemy_skills!$1:$1,0)+1,FALSE)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ランダムでハートパネルに最大23個変換_x000D_【両肩が小刻みに震えている…】</v>
      </c>
      <c r="F194" s="180">
        <v>47007602</v>
      </c>
      <c r="G194" s="48">
        <f ca="1">VLOOKUP($F194,OFFSET(enemy_skill_triggers!$A$1,0,0,COUNTA(enemy_skill_triggers!$A:$A),MATCH(G$1,enemy_skill_triggers!$1:$1,0)-MATCH($F$1,enemy_skill_triggers!$1:$1,0)+1),MATCH(G$1,enemy_skill_triggers!$1:$1,0)-MATCH($F$1,enemy_skill_triggers!$1:$1,0)+1,FALSE)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4" s="48">
        <f ca="1">VLOOKUP($F194,OFFSET(enemy_skill_triggers!$A$1,0,0,COUNTA(enemy_skill_triggers!$A:$A),MATCH(H$1,enemy_skill_triggers!$1:$1,0)-MATCH($F$1,enemy_skill_triggers!$1:$1,0)+1),MATCH(H$1,enemy_skill_triggers!$1:$1,0)-MATCH($F$1,enemy_skill_triggers!$1:$1,0)+1,FALSE)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94" s="48">
        <f ca="1">VLOOKUP($F194,OFFSET(enemy_skill_triggers!$A$1,0,0,COUNTA(enemy_skill_triggers!$A:$A),MATCH(I$1,enemy_skill_triggers!$1:$1,0)-MATCH($F$1,enemy_skill_triggers!$1:$1,0)+1),MATCH(I$1,enemy_skill_triggers!$1:$1,0)-MATCH($F$1,enemy_skill_triggers!$1:$1,0)+1,FALSE)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4" s="48" t="str">
        <f ca="1">VLOOKUP($F194,OFFSET(enemy_skill_triggers!$A$1,0,0,COUNTA(enemy_skill_triggers!$A:$A),MATCH(J$1,enemy_skill_triggers!$1:$1,0)-MATCH($F$1,enemy_skill_triggers!$1:$1,0)+1),MATCH(J$1,enemy_skill_triggers!$1:$1,0)-MATCH($F$1,enemy_skill_triggers!$1:$1,0)+1,FALSE)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4" s="48" t="str">
        <f ca="1">VLOOKUP($F194,OFFSET(enemy_skill_triggers!$A$1,0,0,COUNTA(enemy_skill_triggers!$A:$A),MATCH(K$1,enemy_skill_triggers!$1:$1,0)-MATCH($F$1,enemy_skill_triggers!$1:$1,0)+1),MATCH(K$1,enemy_skill_triggers!$1:$1,0)-MATCH($F$1,enemy_skill_triggers!$1:$1,0)+1,FALSE)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4" s="48">
        <f ca="1">VLOOKUP($F194,OFFSET(enemy_skill_triggers!$A$1,0,0,COUNTA(enemy_skill_triggers!$A:$A),MATCH(L$1,enemy_skill_triggers!$1:$1,0)-MATCH($F$1,enemy_skill_triggers!$1:$1,0)+1),MATCH(L$1,enemy_skill_triggers!$1:$1,0)-MATCH($F$1,enemy_skill_triggers!$1:$1,0)+1,FALSE)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4" s="48">
        <f ca="1">VLOOKUP($F194,OFFSET(enemy_skill_triggers!$A$1,0,0,COUNTA(enemy_skill_triggers!$A:$A),MATCH(M$1,enemy_skill_triggers!$1:$1,0)-MATCH($F$1,enemy_skill_triggers!$1:$1,0)+1),MATCH(M$1,enemy_skill_triggers!$1:$1,0)-MATCH($F$1,enemy_skill_triggers!$1:$1,0)+1,FALSE)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4" s="48" t="str">
        <f ca="1">VLOOKUP($F194,OFFSET(enemy_skill_triggers!$A$1,0,0,COUNTA(enemy_skill_triggers!$A:$A),MATCH(N$1,enemy_skill_triggers!$1:$1,0)-MATCH($F$1,enemy_skill_triggers!$1:$1,0)+1),MATCH(N$1,enemy_skill_triggers!$1:$1,0)-MATCH($F$1,enemy_skill_triggers!$1:$1,0)+1,FALSE)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4" s="48">
        <f ca="1">VLOOKUP($F194,OFFSET(enemy_skill_triggers!$A$1,0,0,COUNTA(enemy_skill_triggers!$A:$A),MATCH(O$1,enemy_skill_triggers!$1:$1,0)-MATCH($F$1,enemy_skill_triggers!$1:$1,0)+1),MATCH(O$1,enemy_skill_triggers!$1:$1,0)-MATCH($F$1,enemy_skill_triggers!$1:$1,0)+1,FALSE)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4" s="47"/>
      <c r="Q194" s="47"/>
      <c r="R194" s="47"/>
    </row>
    <row r="195" spans="1:18" ht="21" customHeight="1" x14ac:dyDescent="0.15">
      <c r="A195" s="39" t="str">
        <f t="shared" si="17"/>
        <v>47007126_47007603</v>
      </c>
      <c r="B195" s="174">
        <v>47007126</v>
      </c>
      <c r="C195" s="176">
        <v>47007603</v>
      </c>
      <c r="D195" s="46" t="str">
        <f ca="1">VLOOKUP($C195,OFFSET(enemy_skills!$A$1,0,0,COUNTA(enemy_skills!$A:$A),MATCH(D$1,enemy_skills!$1:$1,0)-MATCH("enemy_skill_id",enemy_skills!$1:$1,0)+1),MATCH(D$1,enemy_skills!$1:$1,0)-MATCH("enemy_skill_id",enemy_skills!$1:$1,0)+1,FALSE)</f>
        <v>(早く…はやくはやくぅ…！)</v>
      </c>
      <c r="E195" s="46" t="str">
        <f ca="1">VLOOKUP($C195,OFFSET(enemy_skills!$A$1,0,0,COUNTA(enemy_skills!$A:$A),MATCH(E$1,enemy_skills!$1:$1,0)-MATCH("enemy_skill_id",enemy_skills!$1:$1,0)+1),MATCH(E$1,enemy_skills!$1:$1,0)-MATCH("enemy_skill_id",enemy_skills!$1:$1,0)+1,FALSE)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ランダムでハートパネルに最大23個変換_x000D_【煮え切らない態度に遂にプラリーヌが…！】</v>
      </c>
      <c r="F195" s="180">
        <v>47007603</v>
      </c>
      <c r="G195" s="48">
        <f ca="1">VLOOKUP($F195,OFFSET(enemy_skill_triggers!$A$1,0,0,COUNTA(enemy_skill_triggers!$A:$A),MATCH(G$1,enemy_skill_triggers!$1:$1,0)-MATCH($F$1,enemy_skill_triggers!$1:$1,0)+1),MATCH(G$1,enemy_skill_triggers!$1:$1,0)-MATCH($F$1,enemy_skill_triggers!$1:$1,0)+1,FALSE)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5" s="48">
        <f ca="1">VLOOKUP($F195,OFFSET(enemy_skill_triggers!$A$1,0,0,COUNTA(enemy_skill_triggers!$A:$A),MATCH(H$1,enemy_skill_triggers!$1:$1,0)-MATCH($F$1,enemy_skill_triggers!$1:$1,0)+1),MATCH(H$1,enemy_skill_triggers!$1:$1,0)-MATCH($F$1,enemy_skill_triggers!$1:$1,0)+1,FALSE)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195" s="48">
        <f ca="1">VLOOKUP($F195,OFFSET(enemy_skill_triggers!$A$1,0,0,COUNTA(enemy_skill_triggers!$A:$A),MATCH(I$1,enemy_skill_triggers!$1:$1,0)-MATCH($F$1,enemy_skill_triggers!$1:$1,0)+1),MATCH(I$1,enemy_skill_triggers!$1:$1,0)-MATCH($F$1,enemy_skill_triggers!$1:$1,0)+1,FALSE)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5" s="48" t="str">
        <f ca="1">VLOOKUP($F195,OFFSET(enemy_skill_triggers!$A$1,0,0,COUNTA(enemy_skill_triggers!$A:$A),MATCH(J$1,enemy_skill_triggers!$1:$1,0)-MATCH($F$1,enemy_skill_triggers!$1:$1,0)+1),MATCH(J$1,enemy_skill_triggers!$1:$1,0)-MATCH($F$1,enemy_skill_triggers!$1:$1,0)+1,FALSE)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5" s="48" t="str">
        <f ca="1">VLOOKUP($F195,OFFSET(enemy_skill_triggers!$A$1,0,0,COUNTA(enemy_skill_triggers!$A:$A),MATCH(K$1,enemy_skill_triggers!$1:$1,0)-MATCH($F$1,enemy_skill_triggers!$1:$1,0)+1),MATCH(K$1,enemy_skill_triggers!$1:$1,0)-MATCH($F$1,enemy_skill_triggers!$1:$1,0)+1,FALSE)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5" s="48">
        <f ca="1">VLOOKUP($F195,OFFSET(enemy_skill_triggers!$A$1,0,0,COUNTA(enemy_skill_triggers!$A:$A),MATCH(L$1,enemy_skill_triggers!$1:$1,0)-MATCH($F$1,enemy_skill_triggers!$1:$1,0)+1),MATCH(L$1,enemy_skill_triggers!$1:$1,0)-MATCH($F$1,enemy_skill_triggers!$1:$1,0)+1,FALSE)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5" s="48">
        <f ca="1">VLOOKUP($F195,OFFSET(enemy_skill_triggers!$A$1,0,0,COUNTA(enemy_skill_triggers!$A:$A),MATCH(M$1,enemy_skill_triggers!$1:$1,0)-MATCH($F$1,enemy_skill_triggers!$1:$1,0)+1),MATCH(M$1,enemy_skill_triggers!$1:$1,0)-MATCH($F$1,enemy_skill_triggers!$1:$1,0)+1,FALSE)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5" s="48" t="str">
        <f ca="1">VLOOKUP($F195,OFFSET(enemy_skill_triggers!$A$1,0,0,COUNTA(enemy_skill_triggers!$A:$A),MATCH(N$1,enemy_skill_triggers!$1:$1,0)-MATCH($F$1,enemy_skill_triggers!$1:$1,0)+1),MATCH(N$1,enemy_skill_triggers!$1:$1,0)-MATCH($F$1,enemy_skill_triggers!$1:$1,0)+1,FALSE)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5" s="48">
        <f ca="1">VLOOKUP($F195,OFFSET(enemy_skill_triggers!$A$1,0,0,COUNTA(enemy_skill_triggers!$A:$A),MATCH(O$1,enemy_skill_triggers!$1:$1,0)-MATCH($F$1,enemy_skill_triggers!$1:$1,0)+1),MATCH(O$1,enemy_skill_triggers!$1:$1,0)-MATCH($F$1,enemy_skill_triggers!$1:$1,0)+1,FALSE)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5" s="47"/>
      <c r="Q195" s="47"/>
      <c r="R195" s="47"/>
    </row>
    <row r="196" spans="1:18" ht="21" customHeight="1" x14ac:dyDescent="0.15">
      <c r="A196" s="39" t="str">
        <f t="shared" si="17"/>
        <v>47007126_47007604</v>
      </c>
      <c r="B196" s="174">
        <v>47007126</v>
      </c>
      <c r="C196" s="174">
        <v>47007604</v>
      </c>
      <c r="D196" s="46" t="str">
        <f ca="1">VLOOKUP($C196,OFFSET(enemy_skills!$A$1,0,0,COUNTA(enemy_skills!$A:$A),MATCH(D$1,enemy_skills!$1:$1,0)-MATCH("enemy_skill_id",enemy_skills!$1:$1,0)+1),MATCH(D$1,enemy_skills!$1:$1,0)-MATCH("enemy_skill_id",enemy_skills!$1:$1,0)+1,FALSE)</f>
        <v>さっさと受け取りなさいよぉ！_x000D_バカーーーッッ！！！</v>
      </c>
      <c r="E196" s="46" t="str">
        <f ca="1">VLOOKUP($C196,OFFSET(enemy_skills!$A$1,0,0,COUNTA(enemy_skills!$A:$A),MATCH(E$1,enemy_skills!$1:$1,0)-MATCH("enemy_skill_id",enemy_skills!$1:$1,0)+1),MATCH(E$1,enemy_skills!$1:$1,0)-MATCH("enemy_skill_id",enemy_skills!$1:$1,0)+1,FALSE)</f>
        <v>残りHPの200%ダメージ！</v>
      </c>
      <c r="F196" s="180">
        <v>47007604</v>
      </c>
      <c r="G196" s="48">
        <f ca="1">VLOOKUP($F196,OFFSET(enemy_skill_triggers!$A$1,0,0,COUNTA(enemy_skill_triggers!$A:$A),MATCH(G$1,enemy_skill_triggers!$1:$1,0)-MATCH($F$1,enemy_skill_triggers!$1:$1,0)+1),MATCH(G$1,enemy_skill_triggers!$1:$1,0)-MATCH($F$1,enemy_skill_triggers!$1:$1,0)+1,FALSE)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6" s="48">
        <f ca="1">VLOOKUP($F196,OFFSET(enemy_skill_triggers!$A$1,0,0,COUNTA(enemy_skill_triggers!$A:$A),MATCH(H$1,enemy_skill_triggers!$1:$1,0)-MATCH($F$1,enemy_skill_triggers!$1:$1,0)+1),MATCH(H$1,enemy_skill_triggers!$1:$1,0)-MATCH($F$1,enemy_skill_triggers!$1:$1,0)+1,FALSE)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196" s="48">
        <f ca="1">VLOOKUP($F196,OFFSET(enemy_skill_triggers!$A$1,0,0,COUNTA(enemy_skill_triggers!$A:$A),MATCH(I$1,enemy_skill_triggers!$1:$1,0)-MATCH($F$1,enemy_skill_triggers!$1:$1,0)+1),MATCH(I$1,enemy_skill_triggers!$1:$1,0)-MATCH($F$1,enemy_skill_triggers!$1:$1,0)+1,FALSE)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6" s="48" t="str">
        <f ca="1">VLOOKUP($F196,OFFSET(enemy_skill_triggers!$A$1,0,0,COUNTA(enemy_skill_triggers!$A:$A),MATCH(J$1,enemy_skill_triggers!$1:$1,0)-MATCH($F$1,enemy_skill_triggers!$1:$1,0)+1),MATCH(J$1,enemy_skill_triggers!$1:$1,0)-MATCH($F$1,enemy_skill_triggers!$1:$1,0)+1,FALSE)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6" s="48" t="str">
        <f ca="1">VLOOKUP($F196,OFFSET(enemy_skill_triggers!$A$1,0,0,COUNTA(enemy_skill_triggers!$A:$A),MATCH(K$1,enemy_skill_triggers!$1:$1,0)-MATCH($F$1,enemy_skill_triggers!$1:$1,0)+1),MATCH(K$1,enemy_skill_triggers!$1:$1,0)-MATCH($F$1,enemy_skill_triggers!$1:$1,0)+1,FALSE)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6" s="48">
        <f ca="1">VLOOKUP($F196,OFFSET(enemy_skill_triggers!$A$1,0,0,COUNTA(enemy_skill_triggers!$A:$A),MATCH(L$1,enemy_skill_triggers!$1:$1,0)-MATCH($F$1,enemy_skill_triggers!$1:$1,0)+1),MATCH(L$1,enemy_skill_triggers!$1:$1,0)-MATCH($F$1,enemy_skill_triggers!$1:$1,0)+1,FALSE)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6" s="48">
        <f ca="1">VLOOKUP($F196,OFFSET(enemy_skill_triggers!$A$1,0,0,COUNTA(enemy_skill_triggers!$A:$A),MATCH(M$1,enemy_skill_triggers!$1:$1,0)-MATCH($F$1,enemy_skill_triggers!$1:$1,0)+1),MATCH(M$1,enemy_skill_triggers!$1:$1,0)-MATCH($F$1,enemy_skill_triggers!$1:$1,0)+1,FALSE)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6" s="48" t="str">
        <f ca="1">VLOOKUP($F196,OFFSET(enemy_skill_triggers!$A$1,0,0,COUNTA(enemy_skill_triggers!$A:$A),MATCH(N$1,enemy_skill_triggers!$1:$1,0)-MATCH($F$1,enemy_skill_triggers!$1:$1,0)+1),MATCH(N$1,enemy_skill_triggers!$1:$1,0)-MATCH($F$1,enemy_skill_triggers!$1:$1,0)+1,FALSE)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6" s="48">
        <f ca="1">VLOOKUP($F196,OFFSET(enemy_skill_triggers!$A$1,0,0,COUNTA(enemy_skill_triggers!$A:$A),MATCH(O$1,enemy_skill_triggers!$1:$1,0)-MATCH($F$1,enemy_skill_triggers!$1:$1,0)+1),MATCH(O$1,enemy_skill_triggers!$1:$1,0)-MATCH($F$1,enemy_skill_triggers!$1:$1,0)+1,FALSE)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6" s="47"/>
      <c r="Q196" s="47"/>
      <c r="R196" s="47"/>
    </row>
    <row r="197" spans="1:18" ht="21" customHeight="1" x14ac:dyDescent="0.15">
      <c r="A197" s="39" t="str">
        <f t="shared" si="17"/>
        <v>47007126_47007605</v>
      </c>
      <c r="B197" s="174">
        <v>47007126</v>
      </c>
      <c r="C197" s="174">
        <v>47007605</v>
      </c>
      <c r="D197" s="46" t="str">
        <f ca="1">VLOOKUP($C197,OFFSET(enemy_skills!$A$1,0,0,COUNTA(enemy_skills!$A:$A),MATCH(D$1,enemy_skills!$1:$1,0)-MATCH("enemy_skill_id",enemy_skills!$1:$1,0)+1),MATCH(D$1,enemy_skills!$1:$1,0)-MATCH("enemy_skill_id",enemy_skills!$1:$1,0)+1,FALSE)</f>
        <v>考え直して…くれたの…？</v>
      </c>
      <c r="E197" s="46" t="str">
        <f ca="1">VLOOKUP($C197,OFFSET(enemy_skills!$A$1,0,0,COUNTA(enemy_skills!$A:$A),MATCH(E$1,enemy_skills!$1:$1,0)-MATCH("enemy_skill_id",enemy_skills!$1:$1,0)+1),MATCH(E$1,enemy_skills!$1:$1,0)-MATCH("enemy_skill_id",enemy_skills!$1:$1,0)+1,FALSE)</f>
        <v>このターンでプラリーヌのHPを削りきろう！</v>
      </c>
      <c r="F197" s="180">
        <v>47007605</v>
      </c>
      <c r="G197" s="48">
        <f ca="1">VLOOKUP($F197,OFFSET(enemy_skill_triggers!$A$1,0,0,COUNTA(enemy_skill_triggers!$A:$A),MATCH(G$1,enemy_skill_triggers!$1:$1,0)-MATCH($F$1,enemy_skill_triggers!$1:$1,0)+1),MATCH(G$1,enemy_skill_triggers!$1:$1,0)-MATCH($F$1,enemy_skill_triggers!$1:$1,0)+1,FALSE)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7" s="48">
        <f ca="1">VLOOKUP($F197,OFFSET(enemy_skill_triggers!$A$1,0,0,COUNTA(enemy_skill_triggers!$A:$A),MATCH(H$1,enemy_skill_triggers!$1:$1,0)-MATCH($F$1,enemy_skill_triggers!$1:$1,0)+1),MATCH(H$1,enemy_skill_triggers!$1:$1,0)-MATCH($F$1,enemy_skill_triggers!$1:$1,0)+1,FALSE)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97" s="48">
        <f ca="1">VLOOKUP($F197,OFFSET(enemy_skill_triggers!$A$1,0,0,COUNTA(enemy_skill_triggers!$A:$A),MATCH(I$1,enemy_skill_triggers!$1:$1,0)-MATCH($F$1,enemy_skill_triggers!$1:$1,0)+1),MATCH(I$1,enemy_skill_triggers!$1:$1,0)-MATCH($F$1,enemy_skill_triggers!$1:$1,0)+1,FALSE)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7" s="48" t="str">
        <f ca="1">VLOOKUP($F197,OFFSET(enemy_skill_triggers!$A$1,0,0,COUNTA(enemy_skill_triggers!$A:$A),MATCH(J$1,enemy_skill_triggers!$1:$1,0)-MATCH($F$1,enemy_skill_triggers!$1:$1,0)+1),MATCH(J$1,enemy_skill_triggers!$1:$1,0)-MATCH($F$1,enemy_skill_triggers!$1:$1,0)+1,FALSE)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7" s="48" t="str">
        <f ca="1">VLOOKUP($F197,OFFSET(enemy_skill_triggers!$A$1,0,0,COUNTA(enemy_skill_triggers!$A:$A),MATCH(K$1,enemy_skill_triggers!$1:$1,0)-MATCH($F$1,enemy_skill_triggers!$1:$1,0)+1),MATCH(K$1,enemy_skill_triggers!$1:$1,0)-MATCH($F$1,enemy_skill_triggers!$1:$1,0)+1,FALSE)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7" s="48" t="str">
        <f ca="1">VLOOKUP($F197,OFFSET(enemy_skill_triggers!$A$1,0,0,COUNTA(enemy_skill_triggers!$A:$A),MATCH(L$1,enemy_skill_triggers!$1:$1,0)-MATCH($F$1,enemy_skill_triggers!$1:$1,0)+1),MATCH(L$1,enemy_skill_triggers!$1:$1,0)-MATCH($F$1,enemy_skill_triggers!$1:$1,0)+1,FALSE)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7" s="48">
        <f ca="1">VLOOKUP($F197,OFFSET(enemy_skill_triggers!$A$1,0,0,COUNTA(enemy_skill_triggers!$A:$A),MATCH(M$1,enemy_skill_triggers!$1:$1,0)-MATCH($F$1,enemy_skill_triggers!$1:$1,0)+1),MATCH(M$1,enemy_skill_triggers!$1:$1,0)-MATCH($F$1,enemy_skill_triggers!$1:$1,0)+1,FALSE)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7" s="48" t="str">
        <f ca="1">VLOOKUP($F197,OFFSET(enemy_skill_triggers!$A$1,0,0,COUNTA(enemy_skill_triggers!$A:$A),MATCH(N$1,enemy_skill_triggers!$1:$1,0)-MATCH($F$1,enemy_skill_triggers!$1:$1,0)+1),MATCH(N$1,enemy_skill_triggers!$1:$1,0)-MATCH($F$1,enemy_skill_triggers!$1:$1,0)+1,FALSE)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7" s="48">
        <f ca="1">VLOOKUP($F197,OFFSET(enemy_skill_triggers!$A$1,0,0,COUNTA(enemy_skill_triggers!$A:$A),MATCH(O$1,enemy_skill_triggers!$1:$1,0)-MATCH($F$1,enemy_skill_triggers!$1:$1,0)+1),MATCH(O$1,enemy_skill_triggers!$1:$1,0)-MATCH($F$1,enemy_skill_triggers!$1:$1,0)+1,FALSE)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7" s="47"/>
      <c r="Q197" s="47"/>
      <c r="R197" s="47"/>
    </row>
    <row r="198" spans="1:18" ht="21" customHeight="1" x14ac:dyDescent="0.15">
      <c r="A198" s="39" t="str">
        <f t="shared" si="17"/>
        <v>47007126_47007606</v>
      </c>
      <c r="B198" s="174">
        <v>47007126</v>
      </c>
      <c r="C198" s="174">
        <v>47007606</v>
      </c>
      <c r="D198" s="46" t="str">
        <f ca="1">VLOOKUP($C198,OFFSET(enemy_skills!$A$1,0,0,COUNTA(enemy_skills!$A:$A),MATCH(D$1,enemy_skills!$1:$1,0)-MATCH("enemy_skill_id",enemy_skills!$1:$1,0)+1),MATCH(D$1,enemy_skills!$1:$1,0)-MATCH("enemy_skill_id",enemy_skills!$1:$1,0)+1,FALSE)</f>
        <v>アタシをからかって楽しい…！？_x000D_ホント…バカァ！！！</v>
      </c>
      <c r="E198" s="46" t="str">
        <f ca="1">VLOOKUP($C198,OFFSET(enemy_skills!$A$1,0,0,COUNTA(enemy_skills!$A:$A),MATCH(E$1,enemy_skills!$1:$1,0)-MATCH("enemy_skill_id",enemy_skills!$1:$1,0)+1),MATCH(E$1,enemy_skills!$1:$1,0)-MATCH("enemy_skill_id",enemy_skills!$1:$1,0)+1,FALSE)</f>
        <v>残りHPの200%ダメージ！</v>
      </c>
      <c r="F198" s="180">
        <v>47007606</v>
      </c>
      <c r="G198" s="48">
        <f ca="1">VLOOKUP($F198,OFFSET(enemy_skill_triggers!$A$1,0,0,COUNTA(enemy_skill_triggers!$A:$A),MATCH(G$1,enemy_skill_triggers!$1:$1,0)-MATCH($F$1,enemy_skill_triggers!$1:$1,0)+1),MATCH(G$1,enemy_skill_triggers!$1:$1,0)-MATCH($F$1,enemy_skill_triggers!$1:$1,0)+1,FALSE)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8" s="48">
        <f ca="1">VLOOKUP($F198,OFFSET(enemy_skill_triggers!$A$1,0,0,COUNTA(enemy_skill_triggers!$A:$A),MATCH(H$1,enemy_skill_triggers!$1:$1,0)-MATCH($F$1,enemy_skill_triggers!$1:$1,0)+1),MATCH(H$1,enemy_skill_triggers!$1:$1,0)-MATCH($F$1,enemy_skill_triggers!$1:$1,0)+1,FALSE)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198" s="48">
        <f ca="1">VLOOKUP($F198,OFFSET(enemy_skill_triggers!$A$1,0,0,COUNTA(enemy_skill_triggers!$A:$A),MATCH(I$1,enemy_skill_triggers!$1:$1,0)-MATCH($F$1,enemy_skill_triggers!$1:$1,0)+1),MATCH(I$1,enemy_skill_triggers!$1:$1,0)-MATCH($F$1,enemy_skill_triggers!$1:$1,0)+1,FALSE)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8" s="48" t="str">
        <f ca="1">VLOOKUP($F198,OFFSET(enemy_skill_triggers!$A$1,0,0,COUNTA(enemy_skill_triggers!$A:$A),MATCH(J$1,enemy_skill_triggers!$1:$1,0)-MATCH($F$1,enemy_skill_triggers!$1:$1,0)+1),MATCH(J$1,enemy_skill_triggers!$1:$1,0)-MATCH($F$1,enemy_skill_triggers!$1:$1,0)+1,FALSE)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8" s="48" t="str">
        <f ca="1">VLOOKUP($F198,OFFSET(enemy_skill_triggers!$A$1,0,0,COUNTA(enemy_skill_triggers!$A:$A),MATCH(K$1,enemy_skill_triggers!$1:$1,0)-MATCH($F$1,enemy_skill_triggers!$1:$1,0)+1),MATCH(K$1,enemy_skill_triggers!$1:$1,0)-MATCH($F$1,enemy_skill_triggers!$1:$1,0)+1,FALSE)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8" s="48" t="str">
        <f ca="1">VLOOKUP($F198,OFFSET(enemy_skill_triggers!$A$1,0,0,COUNTA(enemy_skill_triggers!$A:$A),MATCH(L$1,enemy_skill_triggers!$1:$1,0)-MATCH($F$1,enemy_skill_triggers!$1:$1,0)+1),MATCH(L$1,enemy_skill_triggers!$1:$1,0)-MATCH($F$1,enemy_skill_triggers!$1:$1,0)+1,FALSE)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8" s="48">
        <f ca="1">VLOOKUP($F198,OFFSET(enemy_skill_triggers!$A$1,0,0,COUNTA(enemy_skill_triggers!$A:$A),MATCH(M$1,enemy_skill_triggers!$1:$1,0)-MATCH($F$1,enemy_skill_triggers!$1:$1,0)+1),MATCH(M$1,enemy_skill_triggers!$1:$1,0)-MATCH($F$1,enemy_skill_triggers!$1:$1,0)+1,FALSE)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8" s="48" t="str">
        <f ca="1">VLOOKUP($F198,OFFSET(enemy_skill_triggers!$A$1,0,0,COUNTA(enemy_skill_triggers!$A:$A),MATCH(N$1,enemy_skill_triggers!$1:$1,0)-MATCH($F$1,enemy_skill_triggers!$1:$1,0)+1),MATCH(N$1,enemy_skill_triggers!$1:$1,0)-MATCH($F$1,enemy_skill_triggers!$1:$1,0)+1,FALSE)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8" s="48">
        <f ca="1">VLOOKUP($F198,OFFSET(enemy_skill_triggers!$A$1,0,0,COUNTA(enemy_skill_triggers!$A:$A),MATCH(O$1,enemy_skill_triggers!$1:$1,0)-MATCH($F$1,enemy_skill_triggers!$1:$1,0)+1),MATCH(O$1,enemy_skill_triggers!$1:$1,0)-MATCH($F$1,enemy_skill_triggers!$1:$1,0)+1,FALSE)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8" s="47"/>
      <c r="Q198" s="47"/>
      <c r="R198" s="47"/>
    </row>
    <row r="199" spans="1:18" ht="21" customHeight="1" x14ac:dyDescent="0.15">
      <c r="A199" s="39" t="str">
        <f t="shared" si="17"/>
        <v>47007126_47007692</v>
      </c>
      <c r="B199" s="174">
        <v>47007126</v>
      </c>
      <c r="C199" s="174">
        <v>47007692</v>
      </c>
      <c r="D199" s="46" t="str">
        <f ca="1">VLOOKUP($C199,OFFSET(enemy_skills!$A$1,0,0,COUNTA(enemy_skills!$A:$A),MATCH(D$1,enemy_skills!$1:$1,0)-MATCH("enemy_skill_id",enemy_skills!$1:$1,0)+1),MATCH(D$1,enemy_skills!$1:$1,0)-MATCH("enemy_skill_id",enemy_skills!$1:$1,0)+1,FALSE)</f>
        <v>受け取って…くれた？</v>
      </c>
      <c r="E199" s="46" t="str">
        <f ca="1">VLOOKUP($C199,OFFSET(enemy_skills!$A$1,0,0,COUNTA(enemy_skills!$A:$A),MATCH(E$1,enemy_skills!$1:$1,0)-MATCH("enemy_skill_id",enemy_skills!$1:$1,0)+1),MATCH(E$1,enemy_skills!$1:$1,0)-MATCH("enemy_skill_id",enemy_skills!$1:$1,0)+1,FALSE)</f>
        <v>これは……ほ、本命…なんだからぁ…</v>
      </c>
      <c r="F199" s="180">
        <v>47007607</v>
      </c>
      <c r="G199" s="48">
        <f ca="1">VLOOKUP($F199,OFFSET(enemy_skill_triggers!$A$1,0,0,COUNTA(enemy_skill_triggers!$A:$A),MATCH(G$1,enemy_skill_triggers!$1:$1,0)-MATCH($F$1,enemy_skill_triggers!$1:$1,0)+1),MATCH(G$1,enemy_skill_triggers!$1:$1,0)-MATCH($F$1,enemy_skill_triggers!$1:$1,0)+1,FALSE)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9" s="48" t="str">
        <f ca="1">VLOOKUP($F199,OFFSET(enemy_skill_triggers!$A$1,0,0,COUNTA(enemy_skill_triggers!$A:$A),MATCH(H$1,enemy_skill_triggers!$1:$1,0)-MATCH($F$1,enemy_skill_triggers!$1:$1,0)+1),MATCH(H$1,enemy_skill_triggers!$1:$1,0)-MATCH($F$1,enemy_skill_triggers!$1:$1,0)+1,FALSE)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9" s="48">
        <f ca="1">VLOOKUP($F199,OFFSET(enemy_skill_triggers!$A$1,0,0,COUNTA(enemy_skill_triggers!$A:$A),MATCH(I$1,enemy_skill_triggers!$1:$1,0)-MATCH($F$1,enemy_skill_triggers!$1:$1,0)+1),MATCH(I$1,enemy_skill_triggers!$1:$1,0)-MATCH($F$1,enemy_skill_triggers!$1:$1,0)+1,FALSE)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9" s="48" t="str">
        <f ca="1">VLOOKUP($F199,OFFSET(enemy_skill_triggers!$A$1,0,0,COUNTA(enemy_skill_triggers!$A:$A),MATCH(J$1,enemy_skill_triggers!$1:$1,0)-MATCH($F$1,enemy_skill_triggers!$1:$1,0)+1),MATCH(J$1,enemy_skill_triggers!$1:$1,0)-MATCH($F$1,enemy_skill_triggers!$1:$1,0)+1,FALSE)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9" s="48" t="str">
        <f ca="1">VLOOKUP($F199,OFFSET(enemy_skill_triggers!$A$1,0,0,COUNTA(enemy_skill_triggers!$A:$A),MATCH(K$1,enemy_skill_triggers!$1:$1,0)-MATCH($F$1,enemy_skill_triggers!$1:$1,0)+1),MATCH(K$1,enemy_skill_triggers!$1:$1,0)-MATCH($F$1,enemy_skill_triggers!$1:$1,0)+1,FALSE)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9" s="48">
        <f ca="1">VLOOKUP($F199,OFFSET(enemy_skill_triggers!$A$1,0,0,COUNTA(enemy_skill_triggers!$A:$A),MATCH(L$1,enemy_skill_triggers!$1:$1,0)-MATCH($F$1,enemy_skill_triggers!$1:$1,0)+1),MATCH(L$1,enemy_skill_triggers!$1:$1,0)-MATCH($F$1,enemy_skill_triggers!$1:$1,0)+1,FALSE)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9" s="48" t="str">
        <f ca="1">VLOOKUP($F199,OFFSET(enemy_skill_triggers!$A$1,0,0,COUNTA(enemy_skill_triggers!$A:$A),MATCH(M$1,enemy_skill_triggers!$1:$1,0)-MATCH($F$1,enemy_skill_triggers!$1:$1,0)+1),MATCH(M$1,enemy_skill_triggers!$1:$1,0)-MATCH($F$1,enemy_skill_triggers!$1:$1,0)+1,FALSE)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9" s="48">
        <f ca="1">VLOOKUP($F199,OFFSET(enemy_skill_triggers!$A$1,0,0,COUNTA(enemy_skill_triggers!$A:$A),MATCH(N$1,enemy_skill_triggers!$1:$1,0)-MATCH($F$1,enemy_skill_triggers!$1:$1,0)+1),MATCH(N$1,enemy_skill_triggers!$1:$1,0)-MATCH($F$1,enemy_skill_triggers!$1:$1,0)+1,FALSE)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99" s="48">
        <f ca="1">VLOOKUP($F199,OFFSET(enemy_skill_triggers!$A$1,0,0,COUNTA(enemy_skill_triggers!$A:$A),MATCH(O$1,enemy_skill_triggers!$1:$1,0)-MATCH($F$1,enemy_skill_triggers!$1:$1,0)+1),MATCH(O$1,enemy_skill_triggers!$1:$1,0)-MATCH($F$1,enemy_skill_triggers!$1:$1,0)+1,FALSE)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9" s="47"/>
      <c r="Q199" s="47"/>
      <c r="R199" s="47"/>
    </row>
    <row r="200" spans="1:18" ht="21" customHeight="1" x14ac:dyDescent="0.15">
      <c r="A200" s="39" t="str">
        <f t="shared" si="17"/>
        <v>47007126_47007693</v>
      </c>
      <c r="B200" s="174">
        <v>47007126</v>
      </c>
      <c r="C200" s="176">
        <v>47007693</v>
      </c>
      <c r="D200" s="46" t="str">
        <f ca="1">VLOOKUP($C200,OFFSET(enemy_skills!$A$1,0,0,COUNTA(enemy_skills!$A:$A),MATCH(D$1,enemy_skills!$1:$1,0)-MATCH("enemy_skill_id",enemy_skills!$1:$1,0)+1),MATCH(D$1,enemy_skills!$1:$1,0)-MATCH("enemy_skill_id",enemy_skills!$1:$1,0)+1,FALSE)</f>
        <v>[player_name]…_x000D_受け取ってくれた…？</v>
      </c>
      <c r="E200" s="46" t="str">
        <f ca="1">VLOOKUP($C200,OFFSET(enemy_skills!$A$1,0,0,COUNTA(enemy_skills!$A:$A),MATCH(E$1,enemy_skills!$1:$1,0)-MATCH("enemy_skill_id",enemy_skills!$1:$1,0)+1),MATCH(E$1,enemy_skills!$1:$1,0)-MATCH("enemy_skill_id",enemy_skills!$1:$1,0)+1,FALSE)</f>
        <v>う、嬉しいなんて思ってないもん…バカ…</v>
      </c>
      <c r="F200" s="180">
        <v>47007608</v>
      </c>
      <c r="G200" s="48">
        <f ca="1">VLOOKUP($F200,OFFSET(enemy_skill_triggers!$A$1,0,0,COUNTA(enemy_skill_triggers!$A:$A),MATCH(G$1,enemy_skill_triggers!$1:$1,0)-MATCH($F$1,enemy_skill_triggers!$1:$1,0)+1),MATCH(G$1,enemy_skill_triggers!$1:$1,0)-MATCH($F$1,enemy_skill_triggers!$1:$1,0)+1,FALSE)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0" s="48">
        <f ca="1">VLOOKUP($F200,OFFSET(enemy_skill_triggers!$A$1,0,0,COUNTA(enemy_skill_triggers!$A:$A),MATCH(H$1,enemy_skill_triggers!$1:$1,0)-MATCH($F$1,enemy_skill_triggers!$1:$1,0)+1),MATCH(H$1,enemy_skill_triggers!$1:$1,0)-MATCH($F$1,enemy_skill_triggers!$1:$1,0)+1,FALSE)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00" s="48">
        <f ca="1">VLOOKUP($F200,OFFSET(enemy_skill_triggers!$A$1,0,0,COUNTA(enemy_skill_triggers!$A:$A),MATCH(I$1,enemy_skill_triggers!$1:$1,0)-MATCH($F$1,enemy_skill_triggers!$1:$1,0)+1),MATCH(I$1,enemy_skill_triggers!$1:$1,0)-MATCH($F$1,enemy_skill_triggers!$1:$1,0)+1,FALSE)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0" s="48" t="str">
        <f ca="1">VLOOKUP($F200,OFFSET(enemy_skill_triggers!$A$1,0,0,COUNTA(enemy_skill_triggers!$A:$A),MATCH(J$1,enemy_skill_triggers!$1:$1,0)-MATCH($F$1,enemy_skill_triggers!$1:$1,0)+1),MATCH(J$1,enemy_skill_triggers!$1:$1,0)-MATCH($F$1,enemy_skill_triggers!$1:$1,0)+1,FALSE)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0" s="48" t="str">
        <f ca="1">VLOOKUP($F200,OFFSET(enemy_skill_triggers!$A$1,0,0,COUNTA(enemy_skill_triggers!$A:$A),MATCH(K$1,enemy_skill_triggers!$1:$1,0)-MATCH($F$1,enemy_skill_triggers!$1:$1,0)+1),MATCH(K$1,enemy_skill_triggers!$1:$1,0)-MATCH($F$1,enemy_skill_triggers!$1:$1,0)+1,FALSE)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0" s="48">
        <f ca="1">VLOOKUP($F200,OFFSET(enemy_skill_triggers!$A$1,0,0,COUNTA(enemy_skill_triggers!$A:$A),MATCH(L$1,enemy_skill_triggers!$1:$1,0)-MATCH($F$1,enemy_skill_triggers!$1:$1,0)+1),MATCH(L$1,enemy_skill_triggers!$1:$1,0)-MATCH($F$1,enemy_skill_triggers!$1:$1,0)+1,FALSE)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0" s="48" t="str">
        <f ca="1">VLOOKUP($F200,OFFSET(enemy_skill_triggers!$A$1,0,0,COUNTA(enemy_skill_triggers!$A:$A),MATCH(M$1,enemy_skill_triggers!$1:$1,0)-MATCH($F$1,enemy_skill_triggers!$1:$1,0)+1),MATCH(M$1,enemy_skill_triggers!$1:$1,0)-MATCH($F$1,enemy_skill_triggers!$1:$1,0)+1,FALSE)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0" s="48">
        <f ca="1">VLOOKUP($F200,OFFSET(enemy_skill_triggers!$A$1,0,0,COUNTA(enemy_skill_triggers!$A:$A),MATCH(N$1,enemy_skill_triggers!$1:$1,0)-MATCH($F$1,enemy_skill_triggers!$1:$1,0)+1),MATCH(N$1,enemy_skill_triggers!$1:$1,0)-MATCH($F$1,enemy_skill_triggers!$1:$1,0)+1,FALSE)</f>
        <v>1352</v>
      </c>
      <c r="O200" s="48">
        <f ca="1">VLOOKUP($F200,OFFSET(enemy_skill_triggers!$A$1,0,0,COUNTA(enemy_skill_triggers!$A:$A),MATCH(O$1,enemy_skill_triggers!$1:$1,0)-MATCH($F$1,enemy_skill_triggers!$1:$1,0)+1),MATCH(O$1,enemy_skill_triggers!$1:$1,0)-MATCH($F$1,enemy_skill_triggers!$1:$1,0)+1,FALSE)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0" s="47"/>
      <c r="Q200" s="47"/>
      <c r="R200" s="47"/>
    </row>
    <row r="201" spans="1:18" ht="21" customHeight="1" x14ac:dyDescent="0.15">
      <c r="A201" s="39" t="str">
        <f t="shared" si="17"/>
        <v>47007126_47007693</v>
      </c>
      <c r="B201" s="174">
        <v>47007126</v>
      </c>
      <c r="C201" s="176">
        <v>47007693</v>
      </c>
      <c r="D201" s="46" t="str">
        <f ca="1">VLOOKUP($C201,OFFSET(enemy_skills!$A$1,0,0,COUNTA(enemy_skills!$A:$A),MATCH(D$1,enemy_skills!$1:$1,0)-MATCH("enemy_skill_id",enemy_skills!$1:$1,0)+1),MATCH(D$1,enemy_skills!$1:$1,0)-MATCH("enemy_skill_id",enemy_skills!$1:$1,0)+1,FALSE)</f>
        <v>[player_name]…_x000D_受け取ってくれた…？</v>
      </c>
      <c r="E201" s="46" t="str">
        <f ca="1">VLOOKUP($C201,OFFSET(enemy_skills!$A$1,0,0,COUNTA(enemy_skills!$A:$A),MATCH(E$1,enemy_skills!$1:$1,0)-MATCH("enemy_skill_id",enemy_skills!$1:$1,0)+1),MATCH(E$1,enemy_skills!$1:$1,0)-MATCH("enemy_skill_id",enemy_skills!$1:$1,0)+1,FALSE)</f>
        <v>う、嬉しいなんて思ってないもん…バカ…</v>
      </c>
      <c r="F201" s="180">
        <v>47007609</v>
      </c>
      <c r="G201" s="48">
        <f ca="1">VLOOKUP($F201,OFFSET(enemy_skill_triggers!$A$1,0,0,COUNTA(enemy_skill_triggers!$A:$A),MATCH(G$1,enemy_skill_triggers!$1:$1,0)-MATCH($F$1,enemy_skill_triggers!$1:$1,0)+1),MATCH(G$1,enemy_skill_triggers!$1:$1,0)-MATCH($F$1,enemy_skill_triggers!$1:$1,0)+1,FALSE)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1" s="48">
        <f ca="1">VLOOKUP($F201,OFFSET(enemy_skill_triggers!$A$1,0,0,COUNTA(enemy_skill_triggers!$A:$A),MATCH(H$1,enemy_skill_triggers!$1:$1,0)-MATCH($F$1,enemy_skill_triggers!$1:$1,0)+1),MATCH(H$1,enemy_skill_triggers!$1:$1,0)-MATCH($F$1,enemy_skill_triggers!$1:$1,0)+1,FALSE)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201" s="48">
        <f ca="1">VLOOKUP($F201,OFFSET(enemy_skill_triggers!$A$1,0,0,COUNTA(enemy_skill_triggers!$A:$A),MATCH(I$1,enemy_skill_triggers!$1:$1,0)-MATCH($F$1,enemy_skill_triggers!$1:$1,0)+1),MATCH(I$1,enemy_skill_triggers!$1:$1,0)-MATCH($F$1,enemy_skill_triggers!$1:$1,0)+1,FALSE)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1" s="48" t="str">
        <f ca="1">VLOOKUP($F201,OFFSET(enemy_skill_triggers!$A$1,0,0,COUNTA(enemy_skill_triggers!$A:$A),MATCH(J$1,enemy_skill_triggers!$1:$1,0)-MATCH($F$1,enemy_skill_triggers!$1:$1,0)+1),MATCH(J$1,enemy_skill_triggers!$1:$1,0)-MATCH($F$1,enemy_skill_triggers!$1:$1,0)+1,FALSE)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1" s="48" t="str">
        <f ca="1">VLOOKUP($F201,OFFSET(enemy_skill_triggers!$A$1,0,0,COUNTA(enemy_skill_triggers!$A:$A),MATCH(K$1,enemy_skill_triggers!$1:$1,0)-MATCH($F$1,enemy_skill_triggers!$1:$1,0)+1),MATCH(K$1,enemy_skill_triggers!$1:$1,0)-MATCH($F$1,enemy_skill_triggers!$1:$1,0)+1,FALSE)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1" s="48">
        <f ca="1">VLOOKUP($F201,OFFSET(enemy_skill_triggers!$A$1,0,0,COUNTA(enemy_skill_triggers!$A:$A),MATCH(L$1,enemy_skill_triggers!$1:$1,0)-MATCH($F$1,enemy_skill_triggers!$1:$1,0)+1),MATCH(L$1,enemy_skill_triggers!$1:$1,0)-MATCH($F$1,enemy_skill_triggers!$1:$1,0)+1,FALSE)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1" s="48" t="str">
        <f ca="1">VLOOKUP($F201,OFFSET(enemy_skill_triggers!$A$1,0,0,COUNTA(enemy_skill_triggers!$A:$A),MATCH(M$1,enemy_skill_triggers!$1:$1,0)-MATCH($F$1,enemy_skill_triggers!$1:$1,0)+1),MATCH(M$1,enemy_skill_triggers!$1:$1,0)-MATCH($F$1,enemy_skill_triggers!$1:$1,0)+1,FALSE)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1" s="48">
        <f ca="1">VLOOKUP($F201,OFFSET(enemy_skill_triggers!$A$1,0,0,COUNTA(enemy_skill_triggers!$A:$A),MATCH(N$1,enemy_skill_triggers!$1:$1,0)-MATCH($F$1,enemy_skill_triggers!$1:$1,0)+1),MATCH(N$1,enemy_skill_triggers!$1:$1,0)-MATCH($F$1,enemy_skill_triggers!$1:$1,0)+1,FALSE)</f>
        <v>1353</v>
      </c>
      <c r="O201" s="48">
        <f ca="1">VLOOKUP($F201,OFFSET(enemy_skill_triggers!$A$1,0,0,COUNTA(enemy_skill_triggers!$A:$A),MATCH(O$1,enemy_skill_triggers!$1:$1,0)-MATCH($F$1,enemy_skill_triggers!$1:$1,0)+1),MATCH(O$1,enemy_skill_triggers!$1:$1,0)-MATCH($F$1,enemy_skill_triggers!$1:$1,0)+1,FALSE)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1" s="47"/>
      <c r="Q201" s="47"/>
      <c r="R201" s="47"/>
    </row>
    <row r="202" spans="1:18" ht="21" customHeight="1" x14ac:dyDescent="0.15">
      <c r="A202" s="39" t="str">
        <f t="shared" si="17"/>
        <v>47007126_47007694</v>
      </c>
      <c r="B202" s="174">
        <v>47007126</v>
      </c>
      <c r="C202" s="176">
        <v>47007694</v>
      </c>
      <c r="D202" s="46" t="str">
        <f ca="1">VLOOKUP($C202,OFFSET(enemy_skills!$A$1,0,0,COUNTA(enemy_skills!$A:$A),MATCH(D$1,enemy_skills!$1:$1,0)-MATCH("enemy_skill_id",enemy_skills!$1:$1,0)+1),MATCH(D$1,enemy_skills!$1:$1,0)-MATCH("enemy_skill_id",enemy_skills!$1:$1,0)+1,FALSE)</f>
        <v>[player_name]…_x000D_受け取ってくれた…？</v>
      </c>
      <c r="E202" s="46" t="str">
        <f ca="1">VLOOKUP($C202,OFFSET(enemy_skills!$A$1,0,0,COUNTA(enemy_skills!$A:$A),MATCH(E$1,enemy_skills!$1:$1,0)-MATCH("enemy_skill_id",enemy_skills!$1:$1,0)+1),MATCH(E$1,enemy_skills!$1:$1,0)-MATCH("enemy_skill_id",enemy_skills!$1:$1,0)+1,FALSE)</f>
        <v>あんたの事…すすすす好き…なんだから…</v>
      </c>
      <c r="F202" s="180">
        <v>47007610</v>
      </c>
      <c r="G202" s="48">
        <f ca="1">VLOOKUP($F202,OFFSET(enemy_skill_triggers!$A$1,0,0,COUNTA(enemy_skill_triggers!$A:$A),MATCH(G$1,enemy_skill_triggers!$1:$1,0)-MATCH($F$1,enemy_skill_triggers!$1:$1,0)+1),MATCH(G$1,enemy_skill_triggers!$1:$1,0)-MATCH($F$1,enemy_skill_triggers!$1:$1,0)+1,FALSE)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2" s="48">
        <f ca="1">VLOOKUP($F202,OFFSET(enemy_skill_triggers!$A$1,0,0,COUNTA(enemy_skill_triggers!$A:$A),MATCH(H$1,enemy_skill_triggers!$1:$1,0)-MATCH($F$1,enemy_skill_triggers!$1:$1,0)+1),MATCH(H$1,enemy_skill_triggers!$1:$1,0)-MATCH($F$1,enemy_skill_triggers!$1:$1,0)+1,FALSE)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202" s="48">
        <f ca="1">VLOOKUP($F202,OFFSET(enemy_skill_triggers!$A$1,0,0,COUNTA(enemy_skill_triggers!$A:$A),MATCH(I$1,enemy_skill_triggers!$1:$1,0)-MATCH($F$1,enemy_skill_triggers!$1:$1,0)+1),MATCH(I$1,enemy_skill_triggers!$1:$1,0)-MATCH($F$1,enemy_skill_triggers!$1:$1,0)+1,FALSE)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2" s="48" t="str">
        <f ca="1">VLOOKUP($F202,OFFSET(enemy_skill_triggers!$A$1,0,0,COUNTA(enemy_skill_triggers!$A:$A),MATCH(J$1,enemy_skill_triggers!$1:$1,0)-MATCH($F$1,enemy_skill_triggers!$1:$1,0)+1),MATCH(J$1,enemy_skill_triggers!$1:$1,0)-MATCH($F$1,enemy_skill_triggers!$1:$1,0)+1,FALSE)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2" s="48" t="str">
        <f ca="1">VLOOKUP($F202,OFFSET(enemy_skill_triggers!$A$1,0,0,COUNTA(enemy_skill_triggers!$A:$A),MATCH(K$1,enemy_skill_triggers!$1:$1,0)-MATCH($F$1,enemy_skill_triggers!$1:$1,0)+1),MATCH(K$1,enemy_skill_triggers!$1:$1,0)-MATCH($F$1,enemy_skill_triggers!$1:$1,0)+1,FALSE)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2" s="48">
        <f ca="1">VLOOKUP($F202,OFFSET(enemy_skill_triggers!$A$1,0,0,COUNTA(enemy_skill_triggers!$A:$A),MATCH(L$1,enemy_skill_triggers!$1:$1,0)-MATCH($F$1,enemy_skill_triggers!$1:$1,0)+1),MATCH(L$1,enemy_skill_triggers!$1:$1,0)-MATCH($F$1,enemy_skill_triggers!$1:$1,0)+1,FALSE)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2" s="48" t="str">
        <f ca="1">VLOOKUP($F202,OFFSET(enemy_skill_triggers!$A$1,0,0,COUNTA(enemy_skill_triggers!$A:$A),MATCH(M$1,enemy_skill_triggers!$1:$1,0)-MATCH($F$1,enemy_skill_triggers!$1:$1,0)+1),MATCH(M$1,enemy_skill_triggers!$1:$1,0)-MATCH($F$1,enemy_skill_triggers!$1:$1,0)+1,FALSE)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2" s="48">
        <f ca="1">VLOOKUP($F202,OFFSET(enemy_skill_triggers!$A$1,0,0,COUNTA(enemy_skill_triggers!$A:$A),MATCH(N$1,enemy_skill_triggers!$1:$1,0)-MATCH($F$1,enemy_skill_triggers!$1:$1,0)+1),MATCH(N$1,enemy_skill_triggers!$1:$1,0)-MATCH($F$1,enemy_skill_triggers!$1:$1,0)+1,FALSE)</f>
        <v>1363</v>
      </c>
      <c r="O202" s="48">
        <f ca="1">VLOOKUP($F202,OFFSET(enemy_skill_triggers!$A$1,0,0,COUNTA(enemy_skill_triggers!$A:$A),MATCH(O$1,enemy_skill_triggers!$1:$1,0)-MATCH($F$1,enemy_skill_triggers!$1:$1,0)+1),MATCH(O$1,enemy_skill_triggers!$1:$1,0)-MATCH($F$1,enemy_skill_triggers!$1:$1,0)+1,FALSE)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2" s="47"/>
      <c r="Q202" s="47"/>
      <c r="R202" s="47"/>
    </row>
    <row r="203" spans="1:18" ht="21" customHeight="1" x14ac:dyDescent="0.15">
      <c r="A203" s="39" t="str">
        <f t="shared" si="17"/>
        <v>47007126_47007695</v>
      </c>
      <c r="B203" s="174">
        <v>47007126</v>
      </c>
      <c r="C203" s="176">
        <v>47007695</v>
      </c>
      <c r="D203" s="46" t="str">
        <f ca="1">VLOOKUP($C203,OFFSET(enemy_skills!$A$1,0,0,COUNTA(enemy_skills!$A:$A),MATCH(D$1,enemy_skills!$1:$1,0)-MATCH("enemy_skill_id",enemy_skills!$1:$1,0)+1),MATCH(D$1,enemy_skills!$1:$1,0)-MATCH("enemy_skill_id",enemy_skills!$1:$1,0)+1,FALSE)</f>
        <v>受け取って…くれた…？</v>
      </c>
      <c r="E203" s="46" t="str">
        <f ca="1">VLOOKUP($C203,OFFSET(enemy_skills!$A$1,0,0,COUNTA(enemy_skills!$A:$A),MATCH(E$1,enemy_skills!$1:$1,0)-MATCH("enemy_skill_id",enemy_skills!$1:$1,0)+1),MATCH(E$1,enemy_skills!$1:$1,0)-MATCH("enemy_skill_id",enemy_skills!$1:$1,0)+1,FALSE)</f>
        <v>だ、大事な友達だし…！これからもよろしくね…</v>
      </c>
      <c r="F203" s="180">
        <v>47007611</v>
      </c>
      <c r="G203" s="48">
        <f ca="1">VLOOKUP($F203,OFFSET(enemy_skill_triggers!$A$1,0,0,COUNTA(enemy_skill_triggers!$A:$A),MATCH(G$1,enemy_skill_triggers!$1:$1,0)-MATCH($F$1,enemy_skill_triggers!$1:$1,0)+1),MATCH(G$1,enemy_skill_triggers!$1:$1,0)-MATCH($F$1,enemy_skill_triggers!$1:$1,0)+1,FALSE)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3" s="48">
        <f ca="1">VLOOKUP($F203,OFFSET(enemy_skill_triggers!$A$1,0,0,COUNTA(enemy_skill_triggers!$A:$A),MATCH(H$1,enemy_skill_triggers!$1:$1,0)-MATCH($F$1,enemy_skill_triggers!$1:$1,0)+1),MATCH(H$1,enemy_skill_triggers!$1:$1,0)-MATCH($F$1,enemy_skill_triggers!$1:$1,0)+1,FALSE)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203" s="48">
        <f ca="1">VLOOKUP($F203,OFFSET(enemy_skill_triggers!$A$1,0,0,COUNTA(enemy_skill_triggers!$A:$A),MATCH(I$1,enemy_skill_triggers!$1:$1,0)-MATCH($F$1,enemy_skill_triggers!$1:$1,0)+1),MATCH(I$1,enemy_skill_triggers!$1:$1,0)-MATCH($F$1,enemy_skill_triggers!$1:$1,0)+1,FALSE)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3" s="48" t="str">
        <f ca="1">VLOOKUP($F203,OFFSET(enemy_skill_triggers!$A$1,0,0,COUNTA(enemy_skill_triggers!$A:$A),MATCH(J$1,enemy_skill_triggers!$1:$1,0)-MATCH($F$1,enemy_skill_triggers!$1:$1,0)+1),MATCH(J$1,enemy_skill_triggers!$1:$1,0)-MATCH($F$1,enemy_skill_triggers!$1:$1,0)+1,FALSE)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3" s="48" t="str">
        <f ca="1">VLOOKUP($F203,OFFSET(enemy_skill_triggers!$A$1,0,0,COUNTA(enemy_skill_triggers!$A:$A),MATCH(K$1,enemy_skill_triggers!$1:$1,0)-MATCH($F$1,enemy_skill_triggers!$1:$1,0)+1),MATCH(K$1,enemy_skill_triggers!$1:$1,0)-MATCH($F$1,enemy_skill_triggers!$1:$1,0)+1,FALSE)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3" s="48">
        <f ca="1">VLOOKUP($F203,OFFSET(enemy_skill_triggers!$A$1,0,0,COUNTA(enemy_skill_triggers!$A:$A),MATCH(L$1,enemy_skill_triggers!$1:$1,0)-MATCH($F$1,enemy_skill_triggers!$1:$1,0)+1),MATCH(L$1,enemy_skill_triggers!$1:$1,0)-MATCH($F$1,enemy_skill_triggers!$1:$1,0)+1,FALSE)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3" s="48" t="str">
        <f ca="1">VLOOKUP($F203,OFFSET(enemy_skill_triggers!$A$1,0,0,COUNTA(enemy_skill_triggers!$A:$A),MATCH(M$1,enemy_skill_triggers!$1:$1,0)-MATCH($F$1,enemy_skill_triggers!$1:$1,0)+1),MATCH(M$1,enemy_skill_triggers!$1:$1,0)-MATCH($F$1,enemy_skill_triggers!$1:$1,0)+1,FALSE)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3" s="48">
        <f ca="1">VLOOKUP($F203,OFFSET(enemy_skill_triggers!$A$1,0,0,COUNTA(enemy_skill_triggers!$A:$A),MATCH(N$1,enemy_skill_triggers!$1:$1,0)-MATCH($F$1,enemy_skill_triggers!$1:$1,0)+1),MATCH(N$1,enemy_skill_triggers!$1:$1,0)-MATCH($F$1,enemy_skill_triggers!$1:$1,0)+1,FALSE)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203" s="48">
        <f ca="1">VLOOKUP($F203,OFFSET(enemy_skill_triggers!$A$1,0,0,COUNTA(enemy_skill_triggers!$A:$A),MATCH(O$1,enemy_skill_triggers!$1:$1,0)-MATCH($F$1,enemy_skill_triggers!$1:$1,0)+1),MATCH(O$1,enemy_skill_triggers!$1:$1,0)-MATCH($F$1,enemy_skill_triggers!$1:$1,0)+1,FALSE)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3" s="47"/>
      <c r="Q203" s="47"/>
      <c r="R203" s="47"/>
    </row>
    <row r="204" spans="1:18" ht="21" customHeight="1" x14ac:dyDescent="0.15">
      <c r="A204" s="39" t="str">
        <f t="shared" si="17"/>
        <v>47007126_47007695</v>
      </c>
      <c r="B204" s="174">
        <v>47007126</v>
      </c>
      <c r="C204" s="176">
        <v>47007695</v>
      </c>
      <c r="D204" s="46" t="str">
        <f ca="1">VLOOKUP($C204,OFFSET(enemy_skills!$A$1,0,0,COUNTA(enemy_skills!$A:$A),MATCH(D$1,enemy_skills!$1:$1,0)-MATCH("enemy_skill_id",enemy_skills!$1:$1,0)+1),MATCH(D$1,enemy_skills!$1:$1,0)-MATCH("enemy_skill_id",enemy_skills!$1:$1,0)+1,FALSE)</f>
        <v>受け取って…くれた…？</v>
      </c>
      <c r="E204" s="46" t="str">
        <f ca="1">VLOOKUP($C204,OFFSET(enemy_skills!$A$1,0,0,COUNTA(enemy_skills!$A:$A),MATCH(E$1,enemy_skills!$1:$1,0)-MATCH("enemy_skill_id",enemy_skills!$1:$1,0)+1),MATCH(E$1,enemy_skills!$1:$1,0)-MATCH("enemy_skill_id",enemy_skills!$1:$1,0)+1,FALSE)</f>
        <v>だ、大事な友達だし…！これからもよろしくね…</v>
      </c>
      <c r="F204" s="180">
        <v>47007612</v>
      </c>
      <c r="G204" s="48">
        <f ca="1">VLOOKUP($F204,OFFSET(enemy_skill_triggers!$A$1,0,0,COUNTA(enemy_skill_triggers!$A:$A),MATCH(G$1,enemy_skill_triggers!$1:$1,0)-MATCH($F$1,enemy_skill_triggers!$1:$1,0)+1),MATCH(G$1,enemy_skill_triggers!$1:$1,0)-MATCH($F$1,enemy_skill_triggers!$1:$1,0)+1,FALSE)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4" s="48">
        <f ca="1">VLOOKUP($F204,OFFSET(enemy_skill_triggers!$A$1,0,0,COUNTA(enemy_skill_triggers!$A:$A),MATCH(H$1,enemy_skill_triggers!$1:$1,0)-MATCH($F$1,enemy_skill_triggers!$1:$1,0)+1),MATCH(H$1,enemy_skill_triggers!$1:$1,0)-MATCH($F$1,enemy_skill_triggers!$1:$1,0)+1,FALSE)</f>
        <v>299</v>
      </c>
      <c r="I204" s="48">
        <f ca="1">VLOOKUP($F204,OFFSET(enemy_skill_triggers!$A$1,0,0,COUNTA(enemy_skill_triggers!$A:$A),MATCH(I$1,enemy_skill_triggers!$1:$1,0)-MATCH($F$1,enemy_skill_triggers!$1:$1,0)+1),MATCH(I$1,enemy_skill_triggers!$1:$1,0)-MATCH($F$1,enemy_skill_triggers!$1:$1,0)+1,FALSE)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4" s="48" t="str">
        <f ca="1">VLOOKUP($F204,OFFSET(enemy_skill_triggers!$A$1,0,0,COUNTA(enemy_skill_triggers!$A:$A),MATCH(J$1,enemy_skill_triggers!$1:$1,0)-MATCH($F$1,enemy_skill_triggers!$1:$1,0)+1),MATCH(J$1,enemy_skill_triggers!$1:$1,0)-MATCH($F$1,enemy_skill_triggers!$1:$1,0)+1,FALSE)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4" s="48" t="str">
        <f ca="1">VLOOKUP($F204,OFFSET(enemy_skill_triggers!$A$1,0,0,COUNTA(enemy_skill_triggers!$A:$A),MATCH(K$1,enemy_skill_triggers!$1:$1,0)-MATCH($F$1,enemy_skill_triggers!$1:$1,0)+1),MATCH(K$1,enemy_skill_triggers!$1:$1,0)-MATCH($F$1,enemy_skill_triggers!$1:$1,0)+1,FALSE)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4" s="48">
        <f ca="1">VLOOKUP($F204,OFFSET(enemy_skill_triggers!$A$1,0,0,COUNTA(enemy_skill_triggers!$A:$A),MATCH(L$1,enemy_skill_triggers!$1:$1,0)-MATCH($F$1,enemy_skill_triggers!$1:$1,0)+1),MATCH(L$1,enemy_skill_triggers!$1:$1,0)-MATCH($F$1,enemy_skill_triggers!$1:$1,0)+1,FALSE)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4" s="48" t="str">
        <f ca="1">VLOOKUP($F204,OFFSET(enemy_skill_triggers!$A$1,0,0,COUNTA(enemy_skill_triggers!$A:$A),MATCH(M$1,enemy_skill_triggers!$1:$1,0)-MATCH($F$1,enemy_skill_triggers!$1:$1,0)+1),MATCH(M$1,enemy_skill_triggers!$1:$1,0)-MATCH($F$1,enemy_skill_triggers!$1:$1,0)+1,FALSE)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4" s="48">
        <f ca="1">VLOOKUP($F204,OFFSET(enemy_skill_triggers!$A$1,0,0,COUNTA(enemy_skill_triggers!$A:$A),MATCH(N$1,enemy_skill_triggers!$1:$1,0)-MATCH($F$1,enemy_skill_triggers!$1:$1,0)+1),MATCH(N$1,enemy_skill_triggers!$1:$1,0)-MATCH($F$1,enemy_skill_triggers!$1:$1,0)+1,FALSE)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204" s="48">
        <f ca="1">VLOOKUP($F204,OFFSET(enemy_skill_triggers!$A$1,0,0,COUNTA(enemy_skill_triggers!$A:$A),MATCH(O$1,enemy_skill_triggers!$1:$1,0)-MATCH($F$1,enemy_skill_triggers!$1:$1,0)+1),MATCH(O$1,enemy_skill_triggers!$1:$1,0)-MATCH($F$1,enemy_skill_triggers!$1:$1,0)+1,FALSE)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4" s="47"/>
      <c r="Q204" s="47"/>
      <c r="R204" s="47"/>
    </row>
    <row r="205" spans="1:18" ht="21" customHeight="1" x14ac:dyDescent="0.15">
      <c r="A205" s="39" t="str">
        <f t="shared" si="17"/>
        <v>47007126_47007695</v>
      </c>
      <c r="B205" s="174">
        <v>47007126</v>
      </c>
      <c r="C205" s="176">
        <v>47007695</v>
      </c>
      <c r="D205" s="46" t="str">
        <f ca="1">VLOOKUP($C205,OFFSET(enemy_skills!$A$1,0,0,COUNTA(enemy_skills!$A:$A),MATCH(D$1,enemy_skills!$1:$1,0)-MATCH("enemy_skill_id",enemy_skills!$1:$1,0)+1),MATCH(D$1,enemy_skills!$1:$1,0)-MATCH("enemy_skill_id",enemy_skills!$1:$1,0)+1,FALSE)</f>
        <v>受け取って…くれた…？</v>
      </c>
      <c r="E205" s="46" t="str">
        <f ca="1">VLOOKUP($C205,OFFSET(enemy_skills!$A$1,0,0,COUNTA(enemy_skills!$A:$A),MATCH(E$1,enemy_skills!$1:$1,0)-MATCH("enemy_skill_id",enemy_skills!$1:$1,0)+1),MATCH(E$1,enemy_skills!$1:$1,0)-MATCH("enemy_skill_id",enemy_skills!$1:$1,0)+1,FALSE)</f>
        <v>だ、大事な友達だし…！これからもよろしくね…</v>
      </c>
      <c r="F205" s="180">
        <v>47007613</v>
      </c>
      <c r="G205" s="48">
        <f ca="1">VLOOKUP($F205,OFFSET(enemy_skill_triggers!$A$1,0,0,COUNTA(enemy_skill_triggers!$A:$A),MATCH(G$1,enemy_skill_triggers!$1:$1,0)-MATCH($F$1,enemy_skill_triggers!$1:$1,0)+1),MATCH(G$1,enemy_skill_triggers!$1:$1,0)-MATCH($F$1,enemy_skill_triggers!$1:$1,0)+1,FALSE)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5" s="48">
        <f ca="1">VLOOKUP($F205,OFFSET(enemy_skill_triggers!$A$1,0,0,COUNTA(enemy_skill_triggers!$A:$A),MATCH(H$1,enemy_skill_triggers!$1:$1,0)-MATCH($F$1,enemy_skill_triggers!$1:$1,0)+1),MATCH(H$1,enemy_skill_triggers!$1:$1,0)-MATCH($F$1,enemy_skill_triggers!$1:$1,0)+1,FALSE)</f>
        <v>298</v>
      </c>
      <c r="I205" s="48">
        <f ca="1">VLOOKUP($F205,OFFSET(enemy_skill_triggers!$A$1,0,0,COUNTA(enemy_skill_triggers!$A:$A),MATCH(I$1,enemy_skill_triggers!$1:$1,0)-MATCH($F$1,enemy_skill_triggers!$1:$1,0)+1),MATCH(I$1,enemy_skill_triggers!$1:$1,0)-MATCH($F$1,enemy_skill_triggers!$1:$1,0)+1,FALSE)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5" s="48" t="str">
        <f ca="1">VLOOKUP($F205,OFFSET(enemy_skill_triggers!$A$1,0,0,COUNTA(enemy_skill_triggers!$A:$A),MATCH(J$1,enemy_skill_triggers!$1:$1,0)-MATCH($F$1,enemy_skill_triggers!$1:$1,0)+1),MATCH(J$1,enemy_skill_triggers!$1:$1,0)-MATCH($F$1,enemy_skill_triggers!$1:$1,0)+1,FALSE)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5" s="48" t="str">
        <f ca="1">VLOOKUP($F205,OFFSET(enemy_skill_triggers!$A$1,0,0,COUNTA(enemy_skill_triggers!$A:$A),MATCH(K$1,enemy_skill_triggers!$1:$1,0)-MATCH($F$1,enemy_skill_triggers!$1:$1,0)+1),MATCH(K$1,enemy_skill_triggers!$1:$1,0)-MATCH($F$1,enemy_skill_triggers!$1:$1,0)+1,FALSE)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5" s="48">
        <f ca="1">VLOOKUP($F205,OFFSET(enemy_skill_triggers!$A$1,0,0,COUNTA(enemy_skill_triggers!$A:$A),MATCH(L$1,enemy_skill_triggers!$1:$1,0)-MATCH($F$1,enemy_skill_triggers!$1:$1,0)+1),MATCH(L$1,enemy_skill_triggers!$1:$1,0)-MATCH($F$1,enemy_skill_triggers!$1:$1,0)+1,FALSE)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5" s="48" t="str">
        <f ca="1">VLOOKUP($F205,OFFSET(enemy_skill_triggers!$A$1,0,0,COUNTA(enemy_skill_triggers!$A:$A),MATCH(M$1,enemy_skill_triggers!$1:$1,0)-MATCH($F$1,enemy_skill_triggers!$1:$1,0)+1),MATCH(M$1,enemy_skill_triggers!$1:$1,0)-MATCH($F$1,enemy_skill_triggers!$1:$1,0)+1,FALSE)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5" s="48">
        <f ca="1">VLOOKUP($F205,OFFSET(enemy_skill_triggers!$A$1,0,0,COUNTA(enemy_skill_triggers!$A:$A),MATCH(N$1,enemy_skill_triggers!$1:$1,0)-MATCH($F$1,enemy_skill_triggers!$1:$1,0)+1),MATCH(N$1,enemy_skill_triggers!$1:$1,0)-MATCH($F$1,enemy_skill_triggers!$1:$1,0)+1,FALSE)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205" s="48">
        <f ca="1">VLOOKUP($F205,OFFSET(enemy_skill_triggers!$A$1,0,0,COUNTA(enemy_skill_triggers!$A:$A),MATCH(O$1,enemy_skill_triggers!$1:$1,0)-MATCH($F$1,enemy_skill_triggers!$1:$1,0)+1),MATCH(O$1,enemy_skill_triggers!$1:$1,0)-MATCH($F$1,enemy_skill_triggers!$1:$1,0)+1,FALSE)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5" s="47"/>
      <c r="Q205" s="47"/>
      <c r="R205" s="47"/>
    </row>
    <row r="206" spans="1:18" ht="21" customHeight="1" x14ac:dyDescent="0.15">
      <c r="A206" s="39" t="str">
        <f t="shared" si="17"/>
        <v>47007126_47007695</v>
      </c>
      <c r="B206" s="174">
        <v>47007126</v>
      </c>
      <c r="C206" s="176">
        <v>47007695</v>
      </c>
      <c r="D206" s="46" t="str">
        <f ca="1">VLOOKUP($C206,OFFSET(enemy_skills!$A$1,0,0,COUNTA(enemy_skills!$A:$A),MATCH(D$1,enemy_skills!$1:$1,0)-MATCH("enemy_skill_id",enemy_skills!$1:$1,0)+1),MATCH(D$1,enemy_skills!$1:$1,0)-MATCH("enemy_skill_id",enemy_skills!$1:$1,0)+1,FALSE)</f>
        <v>受け取って…くれた…？</v>
      </c>
      <c r="E206" s="46" t="str">
        <f ca="1">VLOOKUP($C206,OFFSET(enemy_skills!$A$1,0,0,COUNTA(enemy_skills!$A:$A),MATCH(E$1,enemy_skills!$1:$1,0)-MATCH("enemy_skill_id",enemy_skills!$1:$1,0)+1),MATCH(E$1,enemy_skills!$1:$1,0)-MATCH("enemy_skill_id",enemy_skills!$1:$1,0)+1,FALSE)</f>
        <v>だ、大事な友達だし…！これからもよろしくね…</v>
      </c>
      <c r="F206" s="180">
        <v>47007614</v>
      </c>
      <c r="G206" s="48">
        <f ca="1">VLOOKUP($F206,OFFSET(enemy_skill_triggers!$A$1,0,0,COUNTA(enemy_skill_triggers!$A:$A),MATCH(G$1,enemy_skill_triggers!$1:$1,0)-MATCH($F$1,enemy_skill_triggers!$1:$1,0)+1),MATCH(G$1,enemy_skill_triggers!$1:$1,0)-MATCH($F$1,enemy_skill_triggers!$1:$1,0)+1,FALSE)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6" s="48">
        <f ca="1">VLOOKUP($F206,OFFSET(enemy_skill_triggers!$A$1,0,0,COUNTA(enemy_skill_triggers!$A:$A),MATCH(H$1,enemy_skill_triggers!$1:$1,0)-MATCH($F$1,enemy_skill_triggers!$1:$1,0)+1),MATCH(H$1,enemy_skill_triggers!$1:$1,0)-MATCH($F$1,enemy_skill_triggers!$1:$1,0)+1,FALSE)</f>
        <v>297</v>
      </c>
      <c r="I206" s="48">
        <f ca="1">VLOOKUP($F206,OFFSET(enemy_skill_triggers!$A$1,0,0,COUNTA(enemy_skill_triggers!$A:$A),MATCH(I$1,enemy_skill_triggers!$1:$1,0)-MATCH($F$1,enemy_skill_triggers!$1:$1,0)+1),MATCH(I$1,enemy_skill_triggers!$1:$1,0)-MATCH($F$1,enemy_skill_triggers!$1:$1,0)+1,FALSE)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6" s="48" t="str">
        <f ca="1">VLOOKUP($F206,OFFSET(enemy_skill_triggers!$A$1,0,0,COUNTA(enemy_skill_triggers!$A:$A),MATCH(J$1,enemy_skill_triggers!$1:$1,0)-MATCH($F$1,enemy_skill_triggers!$1:$1,0)+1),MATCH(J$1,enemy_skill_triggers!$1:$1,0)-MATCH($F$1,enemy_skill_triggers!$1:$1,0)+1,FALSE)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6" s="48" t="str">
        <f ca="1">VLOOKUP($F206,OFFSET(enemy_skill_triggers!$A$1,0,0,COUNTA(enemy_skill_triggers!$A:$A),MATCH(K$1,enemy_skill_triggers!$1:$1,0)-MATCH($F$1,enemy_skill_triggers!$1:$1,0)+1),MATCH(K$1,enemy_skill_triggers!$1:$1,0)-MATCH($F$1,enemy_skill_triggers!$1:$1,0)+1,FALSE)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6" s="48">
        <f ca="1">VLOOKUP($F206,OFFSET(enemy_skill_triggers!$A$1,0,0,COUNTA(enemy_skill_triggers!$A:$A),MATCH(L$1,enemy_skill_triggers!$1:$1,0)-MATCH($F$1,enemy_skill_triggers!$1:$1,0)+1),MATCH(L$1,enemy_skill_triggers!$1:$1,0)-MATCH($F$1,enemy_skill_triggers!$1:$1,0)+1,FALSE)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6" s="48" t="str">
        <f ca="1">VLOOKUP($F206,OFFSET(enemy_skill_triggers!$A$1,0,0,COUNTA(enemy_skill_triggers!$A:$A),MATCH(M$1,enemy_skill_triggers!$1:$1,0)-MATCH($F$1,enemy_skill_triggers!$1:$1,0)+1),MATCH(M$1,enemy_skill_triggers!$1:$1,0)-MATCH($F$1,enemy_skill_triggers!$1:$1,0)+1,FALSE)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6" s="48">
        <f ca="1">VLOOKUP($F206,OFFSET(enemy_skill_triggers!$A$1,0,0,COUNTA(enemy_skill_triggers!$A:$A),MATCH(N$1,enemy_skill_triggers!$1:$1,0)-MATCH($F$1,enemy_skill_triggers!$1:$1,0)+1),MATCH(N$1,enemy_skill_triggers!$1:$1,0)-MATCH($F$1,enemy_skill_triggers!$1:$1,0)+1,FALSE)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206" s="48">
        <f ca="1">VLOOKUP($F206,OFFSET(enemy_skill_triggers!$A$1,0,0,COUNTA(enemy_skill_triggers!$A:$A),MATCH(O$1,enemy_skill_triggers!$1:$1,0)-MATCH($F$1,enemy_skill_triggers!$1:$1,0)+1),MATCH(O$1,enemy_skill_triggers!$1:$1,0)-MATCH($F$1,enemy_skill_triggers!$1:$1,0)+1,FALSE)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6" s="47"/>
      <c r="Q206" s="47"/>
      <c r="R206" s="47"/>
    </row>
    <row r="207" spans="1:18" ht="21" customHeight="1" thickBot="1" x14ac:dyDescent="0.2">
      <c r="A207" s="125" t="str">
        <f t="shared" si="17"/>
        <v>47007126_47007695</v>
      </c>
      <c r="B207" s="177">
        <v>47007126</v>
      </c>
      <c r="C207" s="177">
        <v>47007695</v>
      </c>
      <c r="D207" s="126" t="str">
        <f ca="1">VLOOKUP($C207,OFFSET(enemy_skills!$A$1,0,0,COUNTA(enemy_skills!$A:$A),MATCH(D$1,enemy_skills!$1:$1,0)-MATCH("enemy_skill_id",enemy_skills!$1:$1,0)+1),MATCH(D$1,enemy_skills!$1:$1,0)-MATCH("enemy_skill_id",enemy_skills!$1:$1,0)+1,FALSE)</f>
        <v>受け取って…くれた…？</v>
      </c>
      <c r="E207" s="126" t="str">
        <f ca="1">VLOOKUP($C207,OFFSET(enemy_skills!$A$1,0,0,COUNTA(enemy_skills!$A:$A),MATCH(E$1,enemy_skills!$1:$1,0)-MATCH("enemy_skill_id",enemy_skills!$1:$1,0)+1),MATCH(E$1,enemy_skills!$1:$1,0)-MATCH("enemy_skill_id",enemy_skills!$1:$1,0)+1,FALSE)</f>
        <v>だ、大事な友達だし…！これからもよろしくね…</v>
      </c>
      <c r="F207" s="181">
        <v>47007615</v>
      </c>
      <c r="G207" s="111">
        <f ca="1">VLOOKUP($F207,OFFSET(enemy_skill_triggers!$A$1,0,0,COUNTA(enemy_skill_triggers!$A:$A),MATCH(G$1,enemy_skill_triggers!$1:$1,0)-MATCH($F$1,enemy_skill_triggers!$1:$1,0)+1),MATCH(G$1,enemy_skill_triggers!$1:$1,0)-MATCH($F$1,enemy_skill_triggers!$1:$1,0)+1,FALSE)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7" s="111">
        <f ca="1">VLOOKUP($F207,OFFSET(enemy_skill_triggers!$A$1,0,0,COUNTA(enemy_skill_triggers!$A:$A),MATCH(H$1,enemy_skill_triggers!$1:$1,0)-MATCH($F$1,enemy_skill_triggers!$1:$1,0)+1),MATCH(H$1,enemy_skill_triggers!$1:$1,0)-MATCH($F$1,enemy_skill_triggers!$1:$1,0)+1,FALSE)</f>
        <v>296</v>
      </c>
      <c r="I207" s="111">
        <f ca="1">VLOOKUP($F207,OFFSET(enemy_skill_triggers!$A$1,0,0,COUNTA(enemy_skill_triggers!$A:$A),MATCH(I$1,enemy_skill_triggers!$1:$1,0)-MATCH($F$1,enemy_skill_triggers!$1:$1,0)+1),MATCH(I$1,enemy_skill_triggers!$1:$1,0)-MATCH($F$1,enemy_skill_triggers!$1:$1,0)+1,FALSE)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7" s="111" t="str">
        <f ca="1">VLOOKUP($F207,OFFSET(enemy_skill_triggers!$A$1,0,0,COUNTA(enemy_skill_triggers!$A:$A),MATCH(J$1,enemy_skill_triggers!$1:$1,0)-MATCH($F$1,enemy_skill_triggers!$1:$1,0)+1),MATCH(J$1,enemy_skill_triggers!$1:$1,0)-MATCH($F$1,enemy_skill_triggers!$1:$1,0)+1,FALSE)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7" s="111" t="str">
        <f ca="1">VLOOKUP($F207,OFFSET(enemy_skill_triggers!$A$1,0,0,COUNTA(enemy_skill_triggers!$A:$A),MATCH(K$1,enemy_skill_triggers!$1:$1,0)-MATCH($F$1,enemy_skill_triggers!$1:$1,0)+1),MATCH(K$1,enemy_skill_triggers!$1:$1,0)-MATCH($F$1,enemy_skill_triggers!$1:$1,0)+1,FALSE)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7" s="111">
        <f ca="1">VLOOKUP($F207,OFFSET(enemy_skill_triggers!$A$1,0,0,COUNTA(enemy_skill_triggers!$A:$A),MATCH(L$1,enemy_skill_triggers!$1:$1,0)-MATCH($F$1,enemy_skill_triggers!$1:$1,0)+1),MATCH(L$1,enemy_skill_triggers!$1:$1,0)-MATCH($F$1,enemy_skill_triggers!$1:$1,0)+1,FALSE)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7" s="111" t="str">
        <f ca="1">VLOOKUP($F207,OFFSET(enemy_skill_triggers!$A$1,0,0,COUNTA(enemy_skill_triggers!$A:$A),MATCH(M$1,enemy_skill_triggers!$1:$1,0)-MATCH($F$1,enemy_skill_triggers!$1:$1,0)+1),MATCH(M$1,enemy_skill_triggers!$1:$1,0)-MATCH($F$1,enemy_skill_triggers!$1:$1,0)+1,FALSE)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7" s="111">
        <f ca="1">VLOOKUP($F207,OFFSET(enemy_skill_triggers!$A$1,0,0,COUNTA(enemy_skill_triggers!$A:$A),MATCH(N$1,enemy_skill_triggers!$1:$1,0)-MATCH($F$1,enemy_skill_triggers!$1:$1,0)+1),MATCH(N$1,enemy_skill_triggers!$1:$1,0)-MATCH($F$1,enemy_skill_triggers!$1:$1,0)+1,FALSE)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207" s="111">
        <f ca="1">VLOOKUP($F207,OFFSET(enemy_skill_triggers!$A$1,0,0,COUNTA(enemy_skill_triggers!$A:$A),MATCH(O$1,enemy_skill_triggers!$1:$1,0)-MATCH($F$1,enemy_skill_triggers!$1:$1,0)+1),MATCH(O$1,enemy_skill_triggers!$1:$1,0)-MATCH($F$1,enemy_skill_triggers!$1:$1,0)+1,FALSE)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7" s="108"/>
      <c r="Q207" s="108"/>
      <c r="R207" s="108"/>
    </row>
    <row r="208" spans="1:18" ht="21" customHeight="1" x14ac:dyDescent="0.15">
      <c r="A208" s="127" t="str">
        <f t="shared" si="17"/>
        <v>47007214_47007481</v>
      </c>
      <c r="B208" s="168">
        <v>47007214</v>
      </c>
      <c r="C208" s="169">
        <v>47007481</v>
      </c>
      <c r="D208" s="129" t="str">
        <f ca="1">VLOOKUP($C208,OFFSET(enemy_skills!$A$1,0,0,COUNTA(enemy_skills!$A:$A),MATCH(D$1,enemy_skills!$1:$1,0)-MATCH("enemy_skill_id",enemy_skills!$1:$1,0)+1),MATCH(D$1,enemy_skills!$1:$1,0)-MATCH("enemy_skill_id",enemy_skills!$1:$1,0)+1,FALSE)</f>
        <v>きっ、来たわね！！_x000D_…今度こそ！！</v>
      </c>
      <c r="E208" s="129" t="str">
        <f ca="1">VLOOKUP($C208,OFFSET(enemy_skills!$A$1,0,0,COUNTA(enemy_skills!$A:$A),MATCH(E$1,enemy_skills!$1:$1,0)-MATCH("enemy_skill_id",enemy_skills!$1:$1,0)+1),MATCH(E$1,enemy_skills!$1:$1,0)-MATCH("enemy_skill_id",enemy_skills!$1:$1,0)+1,FALSE)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208" s="182">
        <v>47007401</v>
      </c>
      <c r="G208" s="130">
        <f ca="1">VLOOKUP($F208,OFFSET(enemy_skill_triggers!$A$1,0,0,COUNTA(enemy_skill_triggers!$A:$A),MATCH(G$1,enemy_skill_triggers!$1:$1,0)-MATCH($F$1,enemy_skill_triggers!$1:$1,0)+1),MATCH(G$1,enemy_skill_triggers!$1:$1,0)-MATCH($F$1,enemy_skill_triggers!$1:$1,0)+1,FALSE)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8" s="130" t="str">
        <f ca="1">VLOOKUP($F208,OFFSET(enemy_skill_triggers!$A$1,0,0,COUNTA(enemy_skill_triggers!$A:$A),MATCH(H$1,enemy_skill_triggers!$1:$1,0)-MATCH($F$1,enemy_skill_triggers!$1:$1,0)+1),MATCH(H$1,enemy_skill_triggers!$1:$1,0)-MATCH($F$1,enemy_skill_triggers!$1:$1,0)+1,FALSE)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8" s="130">
        <f ca="1">VLOOKUP($F208,OFFSET(enemy_skill_triggers!$A$1,0,0,COUNTA(enemy_skill_triggers!$A:$A),MATCH(I$1,enemy_skill_triggers!$1:$1,0)-MATCH($F$1,enemy_skill_triggers!$1:$1,0)+1),MATCH(I$1,enemy_skill_triggers!$1:$1,0)-MATCH($F$1,enemy_skill_triggers!$1:$1,0)+1,FALSE)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8" s="130" t="str">
        <f ca="1">VLOOKUP($F208,OFFSET(enemy_skill_triggers!$A$1,0,0,COUNTA(enemy_skill_triggers!$A:$A),MATCH(J$1,enemy_skill_triggers!$1:$1,0)-MATCH($F$1,enemy_skill_triggers!$1:$1,0)+1),MATCH(J$1,enemy_skill_triggers!$1:$1,0)-MATCH($F$1,enemy_skill_triggers!$1:$1,0)+1,FALSE)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8" s="130" t="str">
        <f ca="1">VLOOKUP($F208,OFFSET(enemy_skill_triggers!$A$1,0,0,COUNTA(enemy_skill_triggers!$A:$A),MATCH(K$1,enemy_skill_triggers!$1:$1,0)-MATCH($F$1,enemy_skill_triggers!$1:$1,0)+1),MATCH(K$1,enemy_skill_triggers!$1:$1,0)-MATCH($F$1,enemy_skill_triggers!$1:$1,0)+1,FALSE)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8" s="130">
        <f ca="1">VLOOKUP($F208,OFFSET(enemy_skill_triggers!$A$1,0,0,COUNTA(enemy_skill_triggers!$A:$A),MATCH(L$1,enemy_skill_triggers!$1:$1,0)-MATCH($F$1,enemy_skill_triggers!$1:$1,0)+1),MATCH(L$1,enemy_skill_triggers!$1:$1,0)-MATCH($F$1,enemy_skill_triggers!$1:$1,0)+1,FALSE)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8" s="130" t="str">
        <f ca="1">VLOOKUP($F208,OFFSET(enemy_skill_triggers!$A$1,0,0,COUNTA(enemy_skill_triggers!$A:$A),MATCH(M$1,enemy_skill_triggers!$1:$1,0)-MATCH($F$1,enemy_skill_triggers!$1:$1,0)+1),MATCH(M$1,enemy_skill_triggers!$1:$1,0)-MATCH($F$1,enemy_skill_triggers!$1:$1,0)+1,FALSE)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8" s="130" t="str">
        <f ca="1">VLOOKUP($F208,OFFSET(enemy_skill_triggers!$A$1,0,0,COUNTA(enemy_skill_triggers!$A:$A),MATCH(N$1,enemy_skill_triggers!$1:$1,0)-MATCH($F$1,enemy_skill_triggers!$1:$1,0)+1),MATCH(N$1,enemy_skill_triggers!$1:$1,0)-MATCH($F$1,enemy_skill_triggers!$1:$1,0)+1,FALSE)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8" s="130">
        <f ca="1">VLOOKUP($F208,OFFSET(enemy_skill_triggers!$A$1,0,0,COUNTA(enemy_skill_triggers!$A:$A),MATCH(O$1,enemy_skill_triggers!$1:$1,0)-MATCH($F$1,enemy_skill_triggers!$1:$1,0)+1),MATCH(O$1,enemy_skill_triggers!$1:$1,0)-MATCH($F$1,enemy_skill_triggers!$1:$1,0)+1,FALSE)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8" s="128"/>
      <c r="Q208" s="128"/>
      <c r="R208" s="128"/>
    </row>
    <row r="209" spans="1:18" ht="21" customHeight="1" x14ac:dyDescent="0.15">
      <c r="A209" s="39" t="str">
        <f t="shared" si="17"/>
        <v>47007214_47007482</v>
      </c>
      <c r="B209" s="169">
        <v>47007214</v>
      </c>
      <c r="C209" s="171">
        <v>47007482</v>
      </c>
      <c r="D209" s="46" t="str">
        <f ca="1">VLOOKUP($C209,OFFSET(enemy_skills!$A$1,0,0,COUNTA(enemy_skills!$A:$A),MATCH(D$1,enemy_skills!$1:$1,0)-MATCH("enemy_skill_id",enemy_skills!$1:$1,0)+1),MATCH(D$1,enemy_skills!$1:$1,0)-MATCH("enemy_skill_id",enemy_skills!$1:$1,0)+1,FALSE)</f>
        <v>来たわね！[player_name]！_x000D_…今度こそ言うんだ…！</v>
      </c>
      <c r="E209" s="46" t="str">
        <f ca="1">VLOOKUP($C209,OFFSET(enemy_skills!$A$1,0,0,COUNTA(enemy_skills!$A:$A),MATCH(E$1,enemy_skills!$1:$1,0)-MATCH("enemy_skill_id",enemy_skills!$1:$1,0)+1),MATCH(E$1,enemy_skills!$1:$1,0)-MATCH("enemy_skill_id",enemy_skills!$1:$1,0)+1,FALSE)</f>
        <v>青パネルをハートパネルに、黄パネルを赤パネルに変換+_x000D_全ユニットのスキルゲージを4ターン減少！</v>
      </c>
      <c r="F209" s="180">
        <v>47007402</v>
      </c>
      <c r="G209" s="48">
        <f ca="1">VLOOKUP($F209,OFFSET(enemy_skill_triggers!$A$1,0,0,COUNTA(enemy_skill_triggers!$A:$A),MATCH(G$1,enemy_skill_triggers!$1:$1,0)-MATCH($F$1,enemy_skill_triggers!$1:$1,0)+1),MATCH(G$1,enemy_skill_triggers!$1:$1,0)-MATCH($F$1,enemy_skill_triggers!$1:$1,0)+1,FALSE)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9" s="48">
        <f ca="1">VLOOKUP($F209,OFFSET(enemy_skill_triggers!$A$1,0,0,COUNTA(enemy_skill_triggers!$A:$A),MATCH(H$1,enemy_skill_triggers!$1:$1,0)-MATCH($F$1,enemy_skill_triggers!$1:$1,0)+1),MATCH(H$1,enemy_skill_triggers!$1:$1,0)-MATCH($F$1,enemy_skill_triggers!$1:$1,0)+1,FALSE)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09" s="48">
        <f ca="1">VLOOKUP($F209,OFFSET(enemy_skill_triggers!$A$1,0,0,COUNTA(enemy_skill_triggers!$A:$A),MATCH(I$1,enemy_skill_triggers!$1:$1,0)-MATCH($F$1,enemy_skill_triggers!$1:$1,0)+1),MATCH(I$1,enemy_skill_triggers!$1:$1,0)-MATCH($F$1,enemy_skill_triggers!$1:$1,0)+1,FALSE)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9" s="48" t="str">
        <f ca="1">VLOOKUP($F209,OFFSET(enemy_skill_triggers!$A$1,0,0,COUNTA(enemy_skill_triggers!$A:$A),MATCH(J$1,enemy_skill_triggers!$1:$1,0)-MATCH($F$1,enemy_skill_triggers!$1:$1,0)+1),MATCH(J$1,enemy_skill_triggers!$1:$1,0)-MATCH($F$1,enemy_skill_triggers!$1:$1,0)+1,FALSE)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9" s="48" t="str">
        <f ca="1">VLOOKUP($F209,OFFSET(enemy_skill_triggers!$A$1,0,0,COUNTA(enemy_skill_triggers!$A:$A),MATCH(K$1,enemy_skill_triggers!$1:$1,0)-MATCH($F$1,enemy_skill_triggers!$1:$1,0)+1),MATCH(K$1,enemy_skill_triggers!$1:$1,0)-MATCH($F$1,enemy_skill_triggers!$1:$1,0)+1,FALSE)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9" s="48">
        <f ca="1">VLOOKUP($F209,OFFSET(enemy_skill_triggers!$A$1,0,0,COUNTA(enemy_skill_triggers!$A:$A),MATCH(L$1,enemy_skill_triggers!$1:$1,0)-MATCH($F$1,enemy_skill_triggers!$1:$1,0)+1),MATCH(L$1,enemy_skill_triggers!$1:$1,0)-MATCH($F$1,enemy_skill_triggers!$1:$1,0)+1,FALSE)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9" s="48" t="str">
        <f ca="1">VLOOKUP($F209,OFFSET(enemy_skill_triggers!$A$1,0,0,COUNTA(enemy_skill_triggers!$A:$A),MATCH(M$1,enemy_skill_triggers!$1:$1,0)-MATCH($F$1,enemy_skill_triggers!$1:$1,0)+1),MATCH(M$1,enemy_skill_triggers!$1:$1,0)-MATCH($F$1,enemy_skill_triggers!$1:$1,0)+1,FALSE)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9" s="48">
        <f ca="1">VLOOKUP($F209,OFFSET(enemy_skill_triggers!$A$1,0,0,COUNTA(enemy_skill_triggers!$A:$A),MATCH(N$1,enemy_skill_triggers!$1:$1,0)-MATCH($F$1,enemy_skill_triggers!$1:$1,0)+1),MATCH(N$1,enemy_skill_triggers!$1:$1,0)-MATCH($F$1,enemy_skill_triggers!$1:$1,0)+1,FALSE)</f>
        <v>1352</v>
      </c>
      <c r="O209" s="48">
        <f ca="1">VLOOKUP($F209,OFFSET(enemy_skill_triggers!$A$1,0,0,COUNTA(enemy_skill_triggers!$A:$A),MATCH(O$1,enemy_skill_triggers!$1:$1,0)-MATCH($F$1,enemy_skill_triggers!$1:$1,0)+1),MATCH(O$1,enemy_skill_triggers!$1:$1,0)-MATCH($F$1,enemy_skill_triggers!$1:$1,0)+1,FALSE)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9" s="47"/>
      <c r="Q209" s="47"/>
      <c r="R209" s="47"/>
    </row>
    <row r="210" spans="1:18" ht="21" customHeight="1" x14ac:dyDescent="0.15">
      <c r="A210" s="39" t="str">
        <f t="shared" si="17"/>
        <v>47007214_47007482</v>
      </c>
      <c r="B210" s="169">
        <v>47007214</v>
      </c>
      <c r="C210" s="171">
        <v>47007482</v>
      </c>
      <c r="D210" s="46" t="str">
        <f ca="1">VLOOKUP($C210,OFFSET(enemy_skills!$A$1,0,0,COUNTA(enemy_skills!$A:$A),MATCH(D$1,enemy_skills!$1:$1,0)-MATCH("enemy_skill_id",enemy_skills!$1:$1,0)+1),MATCH(D$1,enemy_skills!$1:$1,0)-MATCH("enemy_skill_id",enemy_skills!$1:$1,0)+1,FALSE)</f>
        <v>来たわね！[player_name]！_x000D_…今度こそ言うんだ…！</v>
      </c>
      <c r="E210" s="46" t="str">
        <f ca="1">VLOOKUP($C210,OFFSET(enemy_skills!$A$1,0,0,COUNTA(enemy_skills!$A:$A),MATCH(E$1,enemy_skills!$1:$1,0)-MATCH("enemy_skill_id",enemy_skills!$1:$1,0)+1),MATCH(E$1,enemy_skills!$1:$1,0)-MATCH("enemy_skill_id",enemy_skills!$1:$1,0)+1,FALSE)</f>
        <v>青パネルをハートパネルに、黄パネルを赤パネルに変換+_x000D_全ユニットのスキルゲージを4ターン減少！</v>
      </c>
      <c r="F210" s="180">
        <v>47007403</v>
      </c>
      <c r="G210" s="48">
        <f ca="1">VLOOKUP($F210,OFFSET(enemy_skill_triggers!$A$1,0,0,COUNTA(enemy_skill_triggers!$A:$A),MATCH(G$1,enemy_skill_triggers!$1:$1,0)-MATCH($F$1,enemy_skill_triggers!$1:$1,0)+1),MATCH(G$1,enemy_skill_triggers!$1:$1,0)-MATCH($F$1,enemy_skill_triggers!$1:$1,0)+1,FALSE)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0" s="48">
        <f ca="1">VLOOKUP($F210,OFFSET(enemy_skill_triggers!$A$1,0,0,COUNTA(enemy_skill_triggers!$A:$A),MATCH(H$1,enemy_skill_triggers!$1:$1,0)-MATCH($F$1,enemy_skill_triggers!$1:$1,0)+1),MATCH(H$1,enemy_skill_triggers!$1:$1,0)-MATCH($F$1,enemy_skill_triggers!$1:$1,0)+1,FALSE)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210" s="48">
        <f ca="1">VLOOKUP($F210,OFFSET(enemy_skill_triggers!$A$1,0,0,COUNTA(enemy_skill_triggers!$A:$A),MATCH(I$1,enemy_skill_triggers!$1:$1,0)-MATCH($F$1,enemy_skill_triggers!$1:$1,0)+1),MATCH(I$1,enemy_skill_triggers!$1:$1,0)-MATCH($F$1,enemy_skill_triggers!$1:$1,0)+1,FALSE)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0" s="48" t="str">
        <f ca="1">VLOOKUP($F210,OFFSET(enemy_skill_triggers!$A$1,0,0,COUNTA(enemy_skill_triggers!$A:$A),MATCH(J$1,enemy_skill_triggers!$1:$1,0)-MATCH($F$1,enemy_skill_triggers!$1:$1,0)+1),MATCH(J$1,enemy_skill_triggers!$1:$1,0)-MATCH($F$1,enemy_skill_triggers!$1:$1,0)+1,FALSE)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0" s="48" t="str">
        <f ca="1">VLOOKUP($F210,OFFSET(enemy_skill_triggers!$A$1,0,0,COUNTA(enemy_skill_triggers!$A:$A),MATCH(K$1,enemy_skill_triggers!$1:$1,0)-MATCH($F$1,enemy_skill_triggers!$1:$1,0)+1),MATCH(K$1,enemy_skill_triggers!$1:$1,0)-MATCH($F$1,enemy_skill_triggers!$1:$1,0)+1,FALSE)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0" s="48">
        <f ca="1">VLOOKUP($F210,OFFSET(enemy_skill_triggers!$A$1,0,0,COUNTA(enemy_skill_triggers!$A:$A),MATCH(L$1,enemy_skill_triggers!$1:$1,0)-MATCH($F$1,enemy_skill_triggers!$1:$1,0)+1),MATCH(L$1,enemy_skill_triggers!$1:$1,0)-MATCH($F$1,enemy_skill_triggers!$1:$1,0)+1,FALSE)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0" s="48" t="str">
        <f ca="1">VLOOKUP($F210,OFFSET(enemy_skill_triggers!$A$1,0,0,COUNTA(enemy_skill_triggers!$A:$A),MATCH(M$1,enemy_skill_triggers!$1:$1,0)-MATCH($F$1,enemy_skill_triggers!$1:$1,0)+1),MATCH(M$1,enemy_skill_triggers!$1:$1,0)-MATCH($F$1,enemy_skill_triggers!$1:$1,0)+1,FALSE)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0" s="48">
        <f ca="1">VLOOKUP($F210,OFFSET(enemy_skill_triggers!$A$1,0,0,COUNTA(enemy_skill_triggers!$A:$A),MATCH(N$1,enemy_skill_triggers!$1:$1,0)-MATCH($F$1,enemy_skill_triggers!$1:$1,0)+1),MATCH(N$1,enemy_skill_triggers!$1:$1,0)-MATCH($F$1,enemy_skill_triggers!$1:$1,0)+1,FALSE)</f>
        <v>1353</v>
      </c>
      <c r="O210" s="48">
        <f ca="1">VLOOKUP($F210,OFFSET(enemy_skill_triggers!$A$1,0,0,COUNTA(enemy_skill_triggers!$A:$A),MATCH(O$1,enemy_skill_triggers!$1:$1,0)-MATCH($F$1,enemy_skill_triggers!$1:$1,0)+1),MATCH(O$1,enemy_skill_triggers!$1:$1,0)-MATCH($F$1,enemy_skill_triggers!$1:$1,0)+1,FALSE)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0" s="47"/>
      <c r="Q210" s="47"/>
      <c r="R210" s="47"/>
    </row>
    <row r="211" spans="1:18" ht="21" customHeight="1" x14ac:dyDescent="0.15">
      <c r="A211" s="39" t="str">
        <f t="shared" si="17"/>
        <v>47007214_47007483</v>
      </c>
      <c r="B211" s="169">
        <v>47007214</v>
      </c>
      <c r="C211" s="171">
        <v>47007483</v>
      </c>
      <c r="D211" s="46" t="str">
        <f ca="1">VLOOKUP($C211,OFFSET(enemy_skills!$A$1,0,0,COUNTA(enemy_skills!$A:$A),MATCH(D$1,enemy_skills!$1:$1,0)-MATCH("enemy_skill_id",enemy_skills!$1:$1,0)+1),MATCH(D$1,enemy_skills!$1:$1,0)-MATCH("enemy_skill_id",enemy_skills!$1:$1,0)+1,FALSE)</f>
        <v>うぅっ…[player_name]…！_x000D_まだ早いって…！</v>
      </c>
      <c r="E211" s="46" t="str">
        <f ca="1">VLOOKUP($C211,OFFSET(enemy_skills!$A$1,0,0,COUNTA(enemy_skills!$A:$A),MATCH(E$1,enemy_skills!$1:$1,0)-MATCH("enemy_skill_id",enemy_skills!$1:$1,0)+1),MATCH(E$1,enemy_skills!$1:$1,0)-MATCH("enemy_skill_id",enemy_skills!$1:$1,0)+1,FALSE)</f>
        <v>青パネルをハートパネルに、黄パネルを赤パネルに変換+_x000D_全ユニットのスキルゲージを2ターン減少！</v>
      </c>
      <c r="F211" s="180">
        <v>47007404</v>
      </c>
      <c r="G211" s="48">
        <f ca="1">VLOOKUP($F211,OFFSET(enemy_skill_triggers!$A$1,0,0,COUNTA(enemy_skill_triggers!$A:$A),MATCH(G$1,enemy_skill_triggers!$1:$1,0)-MATCH($F$1,enemy_skill_triggers!$1:$1,0)+1),MATCH(G$1,enemy_skill_triggers!$1:$1,0)-MATCH($F$1,enemy_skill_triggers!$1:$1,0)+1,FALSE)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1" s="48">
        <f ca="1">VLOOKUP($F211,OFFSET(enemy_skill_triggers!$A$1,0,0,COUNTA(enemy_skill_triggers!$A:$A),MATCH(H$1,enemy_skill_triggers!$1:$1,0)-MATCH($F$1,enemy_skill_triggers!$1:$1,0)+1),MATCH(H$1,enemy_skill_triggers!$1:$1,0)-MATCH($F$1,enemy_skill_triggers!$1:$1,0)+1,FALSE)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211" s="48">
        <f ca="1">VLOOKUP($F211,OFFSET(enemy_skill_triggers!$A$1,0,0,COUNTA(enemy_skill_triggers!$A:$A),MATCH(I$1,enemy_skill_triggers!$1:$1,0)-MATCH($F$1,enemy_skill_triggers!$1:$1,0)+1),MATCH(I$1,enemy_skill_triggers!$1:$1,0)-MATCH($F$1,enemy_skill_triggers!$1:$1,0)+1,FALSE)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1" s="48" t="str">
        <f ca="1">VLOOKUP($F211,OFFSET(enemy_skill_triggers!$A$1,0,0,COUNTA(enemy_skill_triggers!$A:$A),MATCH(J$1,enemy_skill_triggers!$1:$1,0)-MATCH($F$1,enemy_skill_triggers!$1:$1,0)+1),MATCH(J$1,enemy_skill_triggers!$1:$1,0)-MATCH($F$1,enemy_skill_triggers!$1:$1,0)+1,FALSE)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1" s="48" t="str">
        <f ca="1">VLOOKUP($F211,OFFSET(enemy_skill_triggers!$A$1,0,0,COUNTA(enemy_skill_triggers!$A:$A),MATCH(K$1,enemy_skill_triggers!$1:$1,0)-MATCH($F$1,enemy_skill_triggers!$1:$1,0)+1),MATCH(K$1,enemy_skill_triggers!$1:$1,0)-MATCH($F$1,enemy_skill_triggers!$1:$1,0)+1,FALSE)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1" s="48">
        <f ca="1">VLOOKUP($F211,OFFSET(enemy_skill_triggers!$A$1,0,0,COUNTA(enemy_skill_triggers!$A:$A),MATCH(L$1,enemy_skill_triggers!$1:$1,0)-MATCH($F$1,enemy_skill_triggers!$1:$1,0)+1),MATCH(L$1,enemy_skill_triggers!$1:$1,0)-MATCH($F$1,enemy_skill_triggers!$1:$1,0)+1,FALSE)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1" s="48" t="str">
        <f ca="1">VLOOKUP($F211,OFFSET(enemy_skill_triggers!$A$1,0,0,COUNTA(enemy_skill_triggers!$A:$A),MATCH(M$1,enemy_skill_triggers!$1:$1,0)-MATCH($F$1,enemy_skill_triggers!$1:$1,0)+1),MATCH(M$1,enemy_skill_triggers!$1:$1,0)-MATCH($F$1,enemy_skill_triggers!$1:$1,0)+1,FALSE)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1" s="48">
        <f ca="1">VLOOKUP($F211,OFFSET(enemy_skill_triggers!$A$1,0,0,COUNTA(enemy_skill_triggers!$A:$A),MATCH(N$1,enemy_skill_triggers!$1:$1,0)-MATCH($F$1,enemy_skill_triggers!$1:$1,0)+1),MATCH(N$1,enemy_skill_triggers!$1:$1,0)-MATCH($F$1,enemy_skill_triggers!$1:$1,0)+1,FALSE)</f>
        <v>1363</v>
      </c>
      <c r="O211" s="48">
        <f ca="1">VLOOKUP($F211,OFFSET(enemy_skill_triggers!$A$1,0,0,COUNTA(enemy_skill_triggers!$A:$A),MATCH(O$1,enemy_skill_triggers!$1:$1,0)-MATCH($F$1,enemy_skill_triggers!$1:$1,0)+1),MATCH(O$1,enemy_skill_triggers!$1:$1,0)-MATCH($F$1,enemy_skill_triggers!$1:$1,0)+1,FALSE)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1" s="47"/>
      <c r="Q211" s="47"/>
      <c r="R211" s="47"/>
    </row>
    <row r="212" spans="1:18" ht="21" customHeight="1" x14ac:dyDescent="0.15">
      <c r="A212" s="39" t="str">
        <f t="shared" si="17"/>
        <v>47007214_47007484</v>
      </c>
      <c r="B212" s="169">
        <v>47007214</v>
      </c>
      <c r="C212" s="171">
        <v>47007484</v>
      </c>
      <c r="D212" s="46" t="str">
        <f ca="1">VLOOKUP($C212,OFFSET(enemy_skills!$A$1,0,0,COUNTA(enemy_skills!$A:$A),MATCH(D$1,enemy_skills!$1:$1,0)-MATCH("enemy_skill_id",enemy_skills!$1:$1,0)+1),MATCH(D$1,enemy_skills!$1:$1,0)-MATCH("enemy_skill_id",enemy_skills!$1:$1,0)+1,FALSE)</f>
        <v>あ、あんた…！_x000D_…ずいぶん楽しそうね？</v>
      </c>
      <c r="E212" s="46" t="str">
        <f ca="1">VLOOKUP($C212,OFFSET(enemy_skills!$A$1,0,0,COUNTA(enemy_skills!$A:$A),MATCH(E$1,enemy_skills!$1:$1,0)-MATCH("enemy_skill_id",enemy_skills!$1:$1,0)+1),MATCH(E$1,enemy_skills!$1:$1,0)-MATCH("enemy_skill_id",enemy_skills!$1:$1,0)+1,FALSE)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212" s="180">
        <v>47007110</v>
      </c>
      <c r="G212" s="48">
        <f ca="1">VLOOKUP($F212,OFFSET(enemy_skill_triggers!$A$1,0,0,COUNTA(enemy_skill_triggers!$A:$A),MATCH(G$1,enemy_skill_triggers!$1:$1,0)-MATCH($F$1,enemy_skill_triggers!$1:$1,0)+1),MATCH(G$1,enemy_skill_triggers!$1:$1,0)-MATCH($F$1,enemy_skill_triggers!$1:$1,0)+1,FALSE)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2" s="48">
        <f ca="1">VLOOKUP($F212,OFFSET(enemy_skill_triggers!$A$1,0,0,COUNTA(enemy_skill_triggers!$A:$A),MATCH(H$1,enemy_skill_triggers!$1:$1,0)-MATCH($F$1,enemy_skill_triggers!$1:$1,0)+1),MATCH(H$1,enemy_skill_triggers!$1:$1,0)-MATCH($F$1,enemy_skill_triggers!$1:$1,0)+1,FALSE)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212" s="48">
        <f ca="1">VLOOKUP($F212,OFFSET(enemy_skill_triggers!$A$1,0,0,COUNTA(enemy_skill_triggers!$A:$A),MATCH(I$1,enemy_skill_triggers!$1:$1,0)-MATCH($F$1,enemy_skill_triggers!$1:$1,0)+1),MATCH(I$1,enemy_skill_triggers!$1:$1,0)-MATCH($F$1,enemy_skill_triggers!$1:$1,0)+1,FALSE)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2" s="48" t="str">
        <f ca="1">VLOOKUP($F212,OFFSET(enemy_skill_triggers!$A$1,0,0,COUNTA(enemy_skill_triggers!$A:$A),MATCH(J$1,enemy_skill_triggers!$1:$1,0)-MATCH($F$1,enemy_skill_triggers!$1:$1,0)+1),MATCH(J$1,enemy_skill_triggers!$1:$1,0)-MATCH($F$1,enemy_skill_triggers!$1:$1,0)+1,FALSE)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2" s="48" t="str">
        <f ca="1">VLOOKUP($F212,OFFSET(enemy_skill_triggers!$A$1,0,0,COUNTA(enemy_skill_triggers!$A:$A),MATCH(K$1,enemy_skill_triggers!$1:$1,0)-MATCH($F$1,enemy_skill_triggers!$1:$1,0)+1),MATCH(K$1,enemy_skill_triggers!$1:$1,0)-MATCH($F$1,enemy_skill_triggers!$1:$1,0)+1,FALSE)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2" s="48">
        <f ca="1">VLOOKUP($F212,OFFSET(enemy_skill_triggers!$A$1,0,0,COUNTA(enemy_skill_triggers!$A:$A),MATCH(L$1,enemy_skill_triggers!$1:$1,0)-MATCH($F$1,enemy_skill_triggers!$1:$1,0)+1),MATCH(L$1,enemy_skill_triggers!$1:$1,0)-MATCH($F$1,enemy_skill_triggers!$1:$1,0)+1,FALSE)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2" s="48" t="str">
        <f ca="1">VLOOKUP($F212,OFFSET(enemy_skill_triggers!$A$1,0,0,COUNTA(enemy_skill_triggers!$A:$A),MATCH(M$1,enemy_skill_triggers!$1:$1,0)-MATCH($F$1,enemy_skill_triggers!$1:$1,0)+1),MATCH(M$1,enemy_skill_triggers!$1:$1,0)-MATCH($F$1,enemy_skill_triggers!$1:$1,0)+1,FALSE)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2" s="48">
        <f ca="1">VLOOKUP($F212,OFFSET(enemy_skill_triggers!$A$1,0,0,COUNTA(enemy_skill_triggers!$A:$A),MATCH(N$1,enemy_skill_triggers!$1:$1,0)-MATCH($F$1,enemy_skill_triggers!$1:$1,0)+1),MATCH(N$1,enemy_skill_triggers!$1:$1,0)-MATCH($F$1,enemy_skill_triggers!$1:$1,0)+1,FALSE)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212" s="48">
        <f ca="1">VLOOKUP($F212,OFFSET(enemy_skill_triggers!$A$1,0,0,COUNTA(enemy_skill_triggers!$A:$A),MATCH(O$1,enemy_skill_triggers!$1:$1,0)-MATCH($F$1,enemy_skill_triggers!$1:$1,0)+1),MATCH(O$1,enemy_skill_triggers!$1:$1,0)-MATCH($F$1,enemy_skill_triggers!$1:$1,0)+1,FALSE)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2" s="47"/>
      <c r="Q212" s="47"/>
      <c r="R212" s="47"/>
    </row>
    <row r="213" spans="1:18" ht="21" customHeight="1" x14ac:dyDescent="0.15">
      <c r="A213" s="39" t="str">
        <f t="shared" si="17"/>
        <v>47007214_47007484</v>
      </c>
      <c r="B213" s="169">
        <v>47007214</v>
      </c>
      <c r="C213" s="171">
        <v>47007484</v>
      </c>
      <c r="D213" s="46" t="str">
        <f ca="1">VLOOKUP($C213,OFFSET(enemy_skills!$A$1,0,0,COUNTA(enemy_skills!$A:$A),MATCH(D$1,enemy_skills!$1:$1,0)-MATCH("enemy_skill_id",enemy_skills!$1:$1,0)+1),MATCH(D$1,enemy_skills!$1:$1,0)-MATCH("enemy_skill_id",enemy_skills!$1:$1,0)+1,FALSE)</f>
        <v>あ、あんた…！_x000D_…ずいぶん楽しそうね？</v>
      </c>
      <c r="E213" s="46" t="str">
        <f ca="1">VLOOKUP($C213,OFFSET(enemy_skills!$A$1,0,0,COUNTA(enemy_skills!$A:$A),MATCH(E$1,enemy_skills!$1:$1,0)-MATCH("enemy_skill_id",enemy_skills!$1:$1,0)+1),MATCH(E$1,enemy_skills!$1:$1,0)-MATCH("enemy_skill_id",enemy_skills!$1:$1,0)+1,FALSE)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213" s="180">
        <v>47007111</v>
      </c>
      <c r="G213" s="48">
        <f ca="1">VLOOKUP($F213,OFFSET(enemy_skill_triggers!$A$1,0,0,COUNTA(enemy_skill_triggers!$A:$A),MATCH(G$1,enemy_skill_triggers!$1:$1,0)-MATCH($F$1,enemy_skill_triggers!$1:$1,0)+1),MATCH(G$1,enemy_skill_triggers!$1:$1,0)-MATCH($F$1,enemy_skill_triggers!$1:$1,0)+1,FALSE)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3" s="48">
        <f ca="1">VLOOKUP($F213,OFFSET(enemy_skill_triggers!$A$1,0,0,COUNTA(enemy_skill_triggers!$A:$A),MATCH(H$1,enemy_skill_triggers!$1:$1,0)-MATCH($F$1,enemy_skill_triggers!$1:$1,0)+1),MATCH(H$1,enemy_skill_triggers!$1:$1,0)-MATCH($F$1,enemy_skill_triggers!$1:$1,0)+1,FALSE)</f>
        <v>299</v>
      </c>
      <c r="I213" s="48">
        <f ca="1">VLOOKUP($F213,OFFSET(enemy_skill_triggers!$A$1,0,0,COUNTA(enemy_skill_triggers!$A:$A),MATCH(I$1,enemy_skill_triggers!$1:$1,0)-MATCH($F$1,enemy_skill_triggers!$1:$1,0)+1),MATCH(I$1,enemy_skill_triggers!$1:$1,0)-MATCH($F$1,enemy_skill_triggers!$1:$1,0)+1,FALSE)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3" s="48" t="str">
        <f ca="1">VLOOKUP($F213,OFFSET(enemy_skill_triggers!$A$1,0,0,COUNTA(enemy_skill_triggers!$A:$A),MATCH(J$1,enemy_skill_triggers!$1:$1,0)-MATCH($F$1,enemy_skill_triggers!$1:$1,0)+1),MATCH(J$1,enemy_skill_triggers!$1:$1,0)-MATCH($F$1,enemy_skill_triggers!$1:$1,0)+1,FALSE)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3" s="48" t="str">
        <f ca="1">VLOOKUP($F213,OFFSET(enemy_skill_triggers!$A$1,0,0,COUNTA(enemy_skill_triggers!$A:$A),MATCH(K$1,enemy_skill_triggers!$1:$1,0)-MATCH($F$1,enemy_skill_triggers!$1:$1,0)+1),MATCH(K$1,enemy_skill_triggers!$1:$1,0)-MATCH($F$1,enemy_skill_triggers!$1:$1,0)+1,FALSE)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3" s="48">
        <f ca="1">VLOOKUP($F213,OFFSET(enemy_skill_triggers!$A$1,0,0,COUNTA(enemy_skill_triggers!$A:$A),MATCH(L$1,enemy_skill_triggers!$1:$1,0)-MATCH($F$1,enemy_skill_triggers!$1:$1,0)+1),MATCH(L$1,enemy_skill_triggers!$1:$1,0)-MATCH($F$1,enemy_skill_triggers!$1:$1,0)+1,FALSE)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3" s="48" t="str">
        <f ca="1">VLOOKUP($F213,OFFSET(enemy_skill_triggers!$A$1,0,0,COUNTA(enemy_skill_triggers!$A:$A),MATCH(M$1,enemy_skill_triggers!$1:$1,0)-MATCH($F$1,enemy_skill_triggers!$1:$1,0)+1),MATCH(M$1,enemy_skill_triggers!$1:$1,0)-MATCH($F$1,enemy_skill_triggers!$1:$1,0)+1,FALSE)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3" s="48">
        <f ca="1">VLOOKUP($F213,OFFSET(enemy_skill_triggers!$A$1,0,0,COUNTA(enemy_skill_triggers!$A:$A),MATCH(N$1,enemy_skill_triggers!$1:$1,0)-MATCH($F$1,enemy_skill_triggers!$1:$1,0)+1),MATCH(N$1,enemy_skill_triggers!$1:$1,0)-MATCH($F$1,enemy_skill_triggers!$1:$1,0)+1,FALSE)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213" s="48">
        <f ca="1">VLOOKUP($F213,OFFSET(enemy_skill_triggers!$A$1,0,0,COUNTA(enemy_skill_triggers!$A:$A),MATCH(O$1,enemy_skill_triggers!$1:$1,0)-MATCH($F$1,enemy_skill_triggers!$1:$1,0)+1),MATCH(O$1,enemy_skill_triggers!$1:$1,0)-MATCH($F$1,enemy_skill_triggers!$1:$1,0)+1,FALSE)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3" s="47"/>
      <c r="Q213" s="47"/>
      <c r="R213" s="47"/>
    </row>
    <row r="214" spans="1:18" ht="21" customHeight="1" x14ac:dyDescent="0.15">
      <c r="A214" s="39" t="str">
        <f t="shared" si="17"/>
        <v>47007214_47007484</v>
      </c>
      <c r="B214" s="169">
        <v>47007214</v>
      </c>
      <c r="C214" s="171">
        <v>47007484</v>
      </c>
      <c r="D214" s="46" t="str">
        <f ca="1">VLOOKUP($C214,OFFSET(enemy_skills!$A$1,0,0,COUNTA(enemy_skills!$A:$A),MATCH(D$1,enemy_skills!$1:$1,0)-MATCH("enemy_skill_id",enemy_skills!$1:$1,0)+1),MATCH(D$1,enemy_skills!$1:$1,0)-MATCH("enemy_skill_id",enemy_skills!$1:$1,0)+1,FALSE)</f>
        <v>あ、あんた…！_x000D_…ずいぶん楽しそうね？</v>
      </c>
      <c r="E214" s="46" t="str">
        <f ca="1">VLOOKUP($C214,OFFSET(enemy_skills!$A$1,0,0,COUNTA(enemy_skills!$A:$A),MATCH(E$1,enemy_skills!$1:$1,0)-MATCH("enemy_skill_id",enemy_skills!$1:$1,0)+1),MATCH(E$1,enemy_skills!$1:$1,0)-MATCH("enemy_skill_id",enemy_skills!$1:$1,0)+1,FALSE)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214" s="180">
        <v>47007112</v>
      </c>
      <c r="G214" s="48">
        <f ca="1">VLOOKUP($F214,OFFSET(enemy_skill_triggers!$A$1,0,0,COUNTA(enemy_skill_triggers!$A:$A),MATCH(G$1,enemy_skill_triggers!$1:$1,0)-MATCH($F$1,enemy_skill_triggers!$1:$1,0)+1),MATCH(G$1,enemy_skill_triggers!$1:$1,0)-MATCH($F$1,enemy_skill_triggers!$1:$1,0)+1,FALSE)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4" s="48">
        <f ca="1">VLOOKUP($F214,OFFSET(enemy_skill_triggers!$A$1,0,0,COUNTA(enemy_skill_triggers!$A:$A),MATCH(H$1,enemy_skill_triggers!$1:$1,0)-MATCH($F$1,enemy_skill_triggers!$1:$1,0)+1),MATCH(H$1,enemy_skill_triggers!$1:$1,0)-MATCH($F$1,enemy_skill_triggers!$1:$1,0)+1,FALSE)</f>
        <v>298</v>
      </c>
      <c r="I214" s="48">
        <f ca="1">VLOOKUP($F214,OFFSET(enemy_skill_triggers!$A$1,0,0,COUNTA(enemy_skill_triggers!$A:$A),MATCH(I$1,enemy_skill_triggers!$1:$1,0)-MATCH($F$1,enemy_skill_triggers!$1:$1,0)+1),MATCH(I$1,enemy_skill_triggers!$1:$1,0)-MATCH($F$1,enemy_skill_triggers!$1:$1,0)+1,FALSE)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4" s="48" t="str">
        <f ca="1">VLOOKUP($F214,OFFSET(enemy_skill_triggers!$A$1,0,0,COUNTA(enemy_skill_triggers!$A:$A),MATCH(J$1,enemy_skill_triggers!$1:$1,0)-MATCH($F$1,enemy_skill_triggers!$1:$1,0)+1),MATCH(J$1,enemy_skill_triggers!$1:$1,0)-MATCH($F$1,enemy_skill_triggers!$1:$1,0)+1,FALSE)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4" s="48" t="str">
        <f ca="1">VLOOKUP($F214,OFFSET(enemy_skill_triggers!$A$1,0,0,COUNTA(enemy_skill_triggers!$A:$A),MATCH(K$1,enemy_skill_triggers!$1:$1,0)-MATCH($F$1,enemy_skill_triggers!$1:$1,0)+1),MATCH(K$1,enemy_skill_triggers!$1:$1,0)-MATCH($F$1,enemy_skill_triggers!$1:$1,0)+1,FALSE)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4" s="48">
        <f ca="1">VLOOKUP($F214,OFFSET(enemy_skill_triggers!$A$1,0,0,COUNTA(enemy_skill_triggers!$A:$A),MATCH(L$1,enemy_skill_triggers!$1:$1,0)-MATCH($F$1,enemy_skill_triggers!$1:$1,0)+1),MATCH(L$1,enemy_skill_triggers!$1:$1,0)-MATCH($F$1,enemy_skill_triggers!$1:$1,0)+1,FALSE)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4" s="48" t="str">
        <f ca="1">VLOOKUP($F214,OFFSET(enemy_skill_triggers!$A$1,0,0,COUNTA(enemy_skill_triggers!$A:$A),MATCH(M$1,enemy_skill_triggers!$1:$1,0)-MATCH($F$1,enemy_skill_triggers!$1:$1,0)+1),MATCH(M$1,enemy_skill_triggers!$1:$1,0)-MATCH($F$1,enemy_skill_triggers!$1:$1,0)+1,FALSE)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4" s="48">
        <f ca="1">VLOOKUP($F214,OFFSET(enemy_skill_triggers!$A$1,0,0,COUNTA(enemy_skill_triggers!$A:$A),MATCH(N$1,enemy_skill_triggers!$1:$1,0)-MATCH($F$1,enemy_skill_triggers!$1:$1,0)+1),MATCH(N$1,enemy_skill_triggers!$1:$1,0)-MATCH($F$1,enemy_skill_triggers!$1:$1,0)+1,FALSE)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214" s="48">
        <f ca="1">VLOOKUP($F214,OFFSET(enemy_skill_triggers!$A$1,0,0,COUNTA(enemy_skill_triggers!$A:$A),MATCH(O$1,enemy_skill_triggers!$1:$1,0)-MATCH($F$1,enemy_skill_triggers!$1:$1,0)+1),MATCH(O$1,enemy_skill_triggers!$1:$1,0)-MATCH($F$1,enemy_skill_triggers!$1:$1,0)+1,FALSE)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4" s="47"/>
      <c r="Q214" s="47"/>
      <c r="R214" s="47"/>
    </row>
    <row r="215" spans="1:18" ht="21" customHeight="1" x14ac:dyDescent="0.15">
      <c r="A215" s="39" t="str">
        <f t="shared" si="17"/>
        <v>47007214_47007484</v>
      </c>
      <c r="B215" s="169">
        <v>47007214</v>
      </c>
      <c r="C215" s="171">
        <v>47007484</v>
      </c>
      <c r="D215" s="46" t="str">
        <f ca="1">VLOOKUP($C215,OFFSET(enemy_skills!$A$1,0,0,COUNTA(enemy_skills!$A:$A),MATCH(D$1,enemy_skills!$1:$1,0)-MATCH("enemy_skill_id",enemy_skills!$1:$1,0)+1),MATCH(D$1,enemy_skills!$1:$1,0)-MATCH("enemy_skill_id",enemy_skills!$1:$1,0)+1,FALSE)</f>
        <v>あ、あんた…！_x000D_…ずいぶん楽しそうね？</v>
      </c>
      <c r="E215" s="46" t="str">
        <f ca="1">VLOOKUP($C215,OFFSET(enemy_skills!$A$1,0,0,COUNTA(enemy_skills!$A:$A),MATCH(E$1,enemy_skills!$1:$1,0)-MATCH("enemy_skill_id",enemy_skills!$1:$1,0)+1),MATCH(E$1,enemy_skills!$1:$1,0)-MATCH("enemy_skill_id",enemy_skills!$1:$1,0)+1,FALSE)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215" s="180">
        <v>47007113</v>
      </c>
      <c r="G215" s="48">
        <f ca="1">VLOOKUP($F215,OFFSET(enemy_skill_triggers!$A$1,0,0,COUNTA(enemy_skill_triggers!$A:$A),MATCH(G$1,enemy_skill_triggers!$1:$1,0)-MATCH($F$1,enemy_skill_triggers!$1:$1,0)+1),MATCH(G$1,enemy_skill_triggers!$1:$1,0)-MATCH($F$1,enemy_skill_triggers!$1:$1,0)+1,FALSE)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5" s="48">
        <f ca="1">VLOOKUP($F215,OFFSET(enemy_skill_triggers!$A$1,0,0,COUNTA(enemy_skill_triggers!$A:$A),MATCH(H$1,enemy_skill_triggers!$1:$1,0)-MATCH($F$1,enemy_skill_triggers!$1:$1,0)+1),MATCH(H$1,enemy_skill_triggers!$1:$1,0)-MATCH($F$1,enemy_skill_triggers!$1:$1,0)+1,FALSE)</f>
        <v>297</v>
      </c>
      <c r="I215" s="48">
        <f ca="1">VLOOKUP($F215,OFFSET(enemy_skill_triggers!$A$1,0,0,COUNTA(enemy_skill_triggers!$A:$A),MATCH(I$1,enemy_skill_triggers!$1:$1,0)-MATCH($F$1,enemy_skill_triggers!$1:$1,0)+1),MATCH(I$1,enemy_skill_triggers!$1:$1,0)-MATCH($F$1,enemy_skill_triggers!$1:$1,0)+1,FALSE)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5" s="48" t="str">
        <f ca="1">VLOOKUP($F215,OFFSET(enemy_skill_triggers!$A$1,0,0,COUNTA(enemy_skill_triggers!$A:$A),MATCH(J$1,enemy_skill_triggers!$1:$1,0)-MATCH($F$1,enemy_skill_triggers!$1:$1,0)+1),MATCH(J$1,enemy_skill_triggers!$1:$1,0)-MATCH($F$1,enemy_skill_triggers!$1:$1,0)+1,FALSE)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5" s="48" t="str">
        <f ca="1">VLOOKUP($F215,OFFSET(enemy_skill_triggers!$A$1,0,0,COUNTA(enemy_skill_triggers!$A:$A),MATCH(K$1,enemy_skill_triggers!$1:$1,0)-MATCH($F$1,enemy_skill_triggers!$1:$1,0)+1),MATCH(K$1,enemy_skill_triggers!$1:$1,0)-MATCH($F$1,enemy_skill_triggers!$1:$1,0)+1,FALSE)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5" s="48">
        <f ca="1">VLOOKUP($F215,OFFSET(enemy_skill_triggers!$A$1,0,0,COUNTA(enemy_skill_triggers!$A:$A),MATCH(L$1,enemy_skill_triggers!$1:$1,0)-MATCH($F$1,enemy_skill_triggers!$1:$1,0)+1),MATCH(L$1,enemy_skill_triggers!$1:$1,0)-MATCH($F$1,enemy_skill_triggers!$1:$1,0)+1,FALSE)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5" s="48" t="str">
        <f ca="1">VLOOKUP($F215,OFFSET(enemy_skill_triggers!$A$1,0,0,COUNTA(enemy_skill_triggers!$A:$A),MATCH(M$1,enemy_skill_triggers!$1:$1,0)-MATCH($F$1,enemy_skill_triggers!$1:$1,0)+1),MATCH(M$1,enemy_skill_triggers!$1:$1,0)-MATCH($F$1,enemy_skill_triggers!$1:$1,0)+1,FALSE)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5" s="48">
        <f ca="1">VLOOKUP($F215,OFFSET(enemy_skill_triggers!$A$1,0,0,COUNTA(enemy_skill_triggers!$A:$A),MATCH(N$1,enemy_skill_triggers!$1:$1,0)-MATCH($F$1,enemy_skill_triggers!$1:$1,0)+1),MATCH(N$1,enemy_skill_triggers!$1:$1,0)-MATCH($F$1,enemy_skill_triggers!$1:$1,0)+1,FALSE)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215" s="48">
        <f ca="1">VLOOKUP($F215,OFFSET(enemy_skill_triggers!$A$1,0,0,COUNTA(enemy_skill_triggers!$A:$A),MATCH(O$1,enemy_skill_triggers!$1:$1,0)-MATCH($F$1,enemy_skill_triggers!$1:$1,0)+1),MATCH(O$1,enemy_skill_triggers!$1:$1,0)-MATCH($F$1,enemy_skill_triggers!$1:$1,0)+1,FALSE)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5" s="47"/>
      <c r="Q215" s="47"/>
      <c r="R215" s="47"/>
    </row>
    <row r="216" spans="1:18" ht="21" customHeight="1" x14ac:dyDescent="0.15">
      <c r="A216" s="39" t="str">
        <f t="shared" si="17"/>
        <v>47007214_47007484</v>
      </c>
      <c r="B216" s="169">
        <v>47007214</v>
      </c>
      <c r="C216" s="171">
        <v>47007484</v>
      </c>
      <c r="D216" s="46" t="str">
        <f ca="1">VLOOKUP($C216,OFFSET(enemy_skills!$A$1,0,0,COUNTA(enemy_skills!$A:$A),MATCH(D$1,enemy_skills!$1:$1,0)-MATCH("enemy_skill_id",enemy_skills!$1:$1,0)+1),MATCH(D$1,enemy_skills!$1:$1,0)-MATCH("enemy_skill_id",enemy_skills!$1:$1,0)+1,FALSE)</f>
        <v>あ、あんた…！_x000D_…ずいぶん楽しそうね？</v>
      </c>
      <c r="E216" s="46" t="str">
        <f ca="1">VLOOKUP($C216,OFFSET(enemy_skills!$A$1,0,0,COUNTA(enemy_skills!$A:$A),MATCH(E$1,enemy_skills!$1:$1,0)-MATCH("enemy_skill_id",enemy_skills!$1:$1,0)+1),MATCH(E$1,enemy_skills!$1:$1,0)-MATCH("enemy_skill_id",enemy_skills!$1:$1,0)+1,FALSE)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216" s="180">
        <v>47007114</v>
      </c>
      <c r="G216" s="48">
        <f ca="1">VLOOKUP($F216,OFFSET(enemy_skill_triggers!$A$1,0,0,COUNTA(enemy_skill_triggers!$A:$A),MATCH(G$1,enemy_skill_triggers!$1:$1,0)-MATCH($F$1,enemy_skill_triggers!$1:$1,0)+1),MATCH(G$1,enemy_skill_triggers!$1:$1,0)-MATCH($F$1,enemy_skill_triggers!$1:$1,0)+1,FALSE)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6" s="48">
        <f ca="1">VLOOKUP($F216,OFFSET(enemy_skill_triggers!$A$1,0,0,COUNTA(enemy_skill_triggers!$A:$A),MATCH(H$1,enemy_skill_triggers!$1:$1,0)-MATCH($F$1,enemy_skill_triggers!$1:$1,0)+1),MATCH(H$1,enemy_skill_triggers!$1:$1,0)-MATCH($F$1,enemy_skill_triggers!$1:$1,0)+1,FALSE)</f>
        <v>296</v>
      </c>
      <c r="I216" s="48">
        <f ca="1">VLOOKUP($F216,OFFSET(enemy_skill_triggers!$A$1,0,0,COUNTA(enemy_skill_triggers!$A:$A),MATCH(I$1,enemy_skill_triggers!$1:$1,0)-MATCH($F$1,enemy_skill_triggers!$1:$1,0)+1),MATCH(I$1,enemy_skill_triggers!$1:$1,0)-MATCH($F$1,enemy_skill_triggers!$1:$1,0)+1,FALSE)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6" s="48" t="str">
        <f ca="1">VLOOKUP($F216,OFFSET(enemy_skill_triggers!$A$1,0,0,COUNTA(enemy_skill_triggers!$A:$A),MATCH(J$1,enemy_skill_triggers!$1:$1,0)-MATCH($F$1,enemy_skill_triggers!$1:$1,0)+1),MATCH(J$1,enemy_skill_triggers!$1:$1,0)-MATCH($F$1,enemy_skill_triggers!$1:$1,0)+1,FALSE)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6" s="48" t="str">
        <f ca="1">VLOOKUP($F216,OFFSET(enemy_skill_triggers!$A$1,0,0,COUNTA(enemy_skill_triggers!$A:$A),MATCH(K$1,enemy_skill_triggers!$1:$1,0)-MATCH($F$1,enemy_skill_triggers!$1:$1,0)+1),MATCH(K$1,enemy_skill_triggers!$1:$1,0)-MATCH($F$1,enemy_skill_triggers!$1:$1,0)+1,FALSE)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6" s="48">
        <f ca="1">VLOOKUP($F216,OFFSET(enemy_skill_triggers!$A$1,0,0,COUNTA(enemy_skill_triggers!$A:$A),MATCH(L$1,enemy_skill_triggers!$1:$1,0)-MATCH($F$1,enemy_skill_triggers!$1:$1,0)+1),MATCH(L$1,enemy_skill_triggers!$1:$1,0)-MATCH($F$1,enemy_skill_triggers!$1:$1,0)+1,FALSE)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6" s="48" t="str">
        <f ca="1">VLOOKUP($F216,OFFSET(enemy_skill_triggers!$A$1,0,0,COUNTA(enemy_skill_triggers!$A:$A),MATCH(M$1,enemy_skill_triggers!$1:$1,0)-MATCH($F$1,enemy_skill_triggers!$1:$1,0)+1),MATCH(M$1,enemy_skill_triggers!$1:$1,0)-MATCH($F$1,enemy_skill_triggers!$1:$1,0)+1,FALSE)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6" s="48">
        <f ca="1">VLOOKUP($F216,OFFSET(enemy_skill_triggers!$A$1,0,0,COUNTA(enemy_skill_triggers!$A:$A),MATCH(N$1,enemy_skill_triggers!$1:$1,0)-MATCH($F$1,enemy_skill_triggers!$1:$1,0)+1),MATCH(N$1,enemy_skill_triggers!$1:$1,0)-MATCH($F$1,enemy_skill_triggers!$1:$1,0)+1,FALSE)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216" s="48">
        <f ca="1">VLOOKUP($F216,OFFSET(enemy_skill_triggers!$A$1,0,0,COUNTA(enemy_skill_triggers!$A:$A),MATCH(O$1,enemy_skill_triggers!$1:$1,0)-MATCH($F$1,enemy_skill_triggers!$1:$1,0)+1),MATCH(O$1,enemy_skill_triggers!$1:$1,0)-MATCH($F$1,enemy_skill_triggers!$1:$1,0)+1,FALSE)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6" s="47"/>
      <c r="Q216" s="47"/>
      <c r="R216" s="47"/>
    </row>
    <row r="217" spans="1:18" ht="21" customHeight="1" x14ac:dyDescent="0.15">
      <c r="A217" s="39" t="str">
        <f t="shared" si="17"/>
        <v>47007214_47007485</v>
      </c>
      <c r="B217" s="169">
        <v>47007214</v>
      </c>
      <c r="C217" s="171">
        <v>47007485</v>
      </c>
      <c r="D217" s="46" t="str">
        <f ca="1">VLOOKUP($C217,OFFSET(enemy_skills!$A$1,0,0,COUNTA(enemy_skills!$A:$A),MATCH(D$1,enemy_skills!$1:$1,0)-MATCH("enemy_skill_id",enemy_skills!$1:$1,0)+1),MATCH(D$1,enemy_skills!$1:$1,0)-MATCH("enemy_skill_id",enemy_skills!$1:$1,0)+1,FALSE)</f>
        <v>あんたの事なんて…っ！_x000D_…あんたの事なんて…</v>
      </c>
      <c r="E217" s="46" t="str">
        <f ca="1">VLOOKUP($C217,OFFSET(enemy_skills!$A$1,0,0,COUNTA(enemy_skills!$A:$A),MATCH(E$1,enemy_skills!$1:$1,0)-MATCH("enemy_skill_id",enemy_skills!$1:$1,0)+1),MATCH(E$1,enemy_skills!$1:$1,0)-MATCH("enemy_skill_id",enemy_skills!$1:$1,0)+1,FALSE)</f>
        <v>属性パネルプロテクト(最大10個)+全体攻撃</v>
      </c>
      <c r="F217" s="180">
        <v>47007405</v>
      </c>
      <c r="G217" s="48">
        <f ca="1">VLOOKUP($F217,OFFSET(enemy_skill_triggers!$A$1,0,0,COUNTA(enemy_skill_triggers!$A:$A),MATCH(G$1,enemy_skill_triggers!$1:$1,0)-MATCH($F$1,enemy_skill_triggers!$1:$1,0)+1),MATCH(G$1,enemy_skill_triggers!$1:$1,0)-MATCH($F$1,enemy_skill_triggers!$1:$1,0)+1,FALSE)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7" s="48">
        <f ca="1">VLOOKUP($F217,OFFSET(enemy_skill_triggers!$A$1,0,0,COUNTA(enemy_skill_triggers!$A:$A),MATCH(H$1,enemy_skill_triggers!$1:$1,0)-MATCH($F$1,enemy_skill_triggers!$1:$1,0)+1),MATCH(H$1,enemy_skill_triggers!$1:$1,0)-MATCH($F$1,enemy_skill_triggers!$1:$1,0)+1,FALSE)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17" s="48">
        <f ca="1">VLOOKUP($F217,OFFSET(enemy_skill_triggers!$A$1,0,0,COUNTA(enemy_skill_triggers!$A:$A),MATCH(I$1,enemy_skill_triggers!$1:$1,0)-MATCH($F$1,enemy_skill_triggers!$1:$1,0)+1),MATCH(I$1,enemy_skill_triggers!$1:$1,0)-MATCH($F$1,enemy_skill_triggers!$1:$1,0)+1,FALSE)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7" s="48" t="str">
        <f ca="1">VLOOKUP($F217,OFFSET(enemy_skill_triggers!$A$1,0,0,COUNTA(enemy_skill_triggers!$A:$A),MATCH(J$1,enemy_skill_triggers!$1:$1,0)-MATCH($F$1,enemy_skill_triggers!$1:$1,0)+1),MATCH(J$1,enemy_skill_triggers!$1:$1,0)-MATCH($F$1,enemy_skill_triggers!$1:$1,0)+1,FALSE)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7" s="48" t="str">
        <f ca="1">VLOOKUP($F217,OFFSET(enemy_skill_triggers!$A$1,0,0,COUNTA(enemy_skill_triggers!$A:$A),MATCH(K$1,enemy_skill_triggers!$1:$1,0)-MATCH($F$1,enemy_skill_triggers!$1:$1,0)+1),MATCH(K$1,enemy_skill_triggers!$1:$1,0)-MATCH($F$1,enemy_skill_triggers!$1:$1,0)+1,FALSE)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7" s="48" t="str">
        <f ca="1">VLOOKUP($F217,OFFSET(enemy_skill_triggers!$A$1,0,0,COUNTA(enemy_skill_triggers!$A:$A),MATCH(L$1,enemy_skill_triggers!$1:$1,0)-MATCH($F$1,enemy_skill_triggers!$1:$1,0)+1),MATCH(L$1,enemy_skill_triggers!$1:$1,0)-MATCH($F$1,enemy_skill_triggers!$1:$1,0)+1,FALSE)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7" s="48" t="str">
        <f ca="1">VLOOKUP($F217,OFFSET(enemy_skill_triggers!$A$1,0,0,COUNTA(enemy_skill_triggers!$A:$A),MATCH(M$1,enemy_skill_triggers!$1:$1,0)-MATCH($F$1,enemy_skill_triggers!$1:$1,0)+1),MATCH(M$1,enemy_skill_triggers!$1:$1,0)-MATCH($F$1,enemy_skill_triggers!$1:$1,0)+1,FALSE)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7" s="48" t="str">
        <f ca="1">VLOOKUP($F217,OFFSET(enemy_skill_triggers!$A$1,0,0,COUNTA(enemy_skill_triggers!$A:$A),MATCH(N$1,enemy_skill_triggers!$1:$1,0)-MATCH($F$1,enemy_skill_triggers!$1:$1,0)+1),MATCH(N$1,enemy_skill_triggers!$1:$1,0)-MATCH($F$1,enemy_skill_triggers!$1:$1,0)+1,FALSE)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7" s="48">
        <f ca="1">VLOOKUP($F217,OFFSET(enemy_skill_triggers!$A$1,0,0,COUNTA(enemy_skill_triggers!$A:$A),MATCH(O$1,enemy_skill_triggers!$1:$1,0)-MATCH($F$1,enemy_skill_triggers!$1:$1,0)+1),MATCH(O$1,enemy_skill_triggers!$1:$1,0)-MATCH($F$1,enemy_skill_triggers!$1:$1,0)+1,FALSE)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7" s="47"/>
      <c r="Q217" s="47"/>
      <c r="R217" s="47"/>
    </row>
    <row r="218" spans="1:18" ht="21" customHeight="1" x14ac:dyDescent="0.15">
      <c r="A218" s="39" t="str">
        <f t="shared" si="17"/>
        <v>47007214_47007405</v>
      </c>
      <c r="B218" s="169">
        <v>47007214</v>
      </c>
      <c r="C218" s="171">
        <v>47007405</v>
      </c>
      <c r="D218" s="46" t="str">
        <f ca="1">VLOOKUP($C218,OFFSET(enemy_skills!$A$1,0,0,COUNTA(enemy_skills!$A:$A),MATCH(D$1,enemy_skills!$1:$1,0)-MATCH("enemy_skill_id",enemy_skills!$1:$1,0)+1),MATCH(D$1,enemy_skills!$1:$1,0)-MATCH("enemy_skill_id",enemy_skills!$1:$1,0)+1,FALSE)</f>
        <v>そ、そんなに見るな…見つめるな…！</v>
      </c>
      <c r="E218" s="46" t="str">
        <f ca="1">VLOOKUP($C218,OFFSET(enemy_skills!$A$1,0,0,COUNTA(enemy_skills!$A:$A),MATCH(E$1,enemy_skills!$1:$1,0)-MATCH("enemy_skill_id",enemy_skills!$1:$1,0)+1),MATCH(E$1,enemy_skills!$1:$1,0)-MATCH("enemy_skill_id",enemy_skills!$1:$1,0)+1,FALSE)</f>
        <v>赤パネルを吸収して攻撃(最大15個)</v>
      </c>
      <c r="F218" s="180">
        <v>47007406</v>
      </c>
      <c r="G218" s="48">
        <f ca="1">VLOOKUP($F218,OFFSET(enemy_skill_triggers!$A$1,0,0,COUNTA(enemy_skill_triggers!$A:$A),MATCH(G$1,enemy_skill_triggers!$1:$1,0)-MATCH($F$1,enemy_skill_triggers!$1:$1,0)+1),MATCH(G$1,enemy_skill_triggers!$1:$1,0)-MATCH($F$1,enemy_skill_triggers!$1:$1,0)+1,FALSE)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8" s="48">
        <f ca="1">VLOOKUP($F218,OFFSET(enemy_skill_triggers!$A$1,0,0,COUNTA(enemy_skill_triggers!$A:$A),MATCH(H$1,enemy_skill_triggers!$1:$1,0)-MATCH($F$1,enemy_skill_triggers!$1:$1,0)+1),MATCH(H$1,enemy_skill_triggers!$1:$1,0)-MATCH($F$1,enemy_skill_triggers!$1:$1,0)+1,FALSE)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18" s="48">
        <f ca="1">VLOOKUP($F218,OFFSET(enemy_skill_triggers!$A$1,0,0,COUNTA(enemy_skill_triggers!$A:$A),MATCH(I$1,enemy_skill_triggers!$1:$1,0)-MATCH($F$1,enemy_skill_triggers!$1:$1,0)+1),MATCH(I$1,enemy_skill_triggers!$1:$1,0)-MATCH($F$1,enemy_skill_triggers!$1:$1,0)+1,FALSE)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8" s="48" t="str">
        <f ca="1">VLOOKUP($F218,OFFSET(enemy_skill_triggers!$A$1,0,0,COUNTA(enemy_skill_triggers!$A:$A),MATCH(J$1,enemy_skill_triggers!$1:$1,0)-MATCH($F$1,enemy_skill_triggers!$1:$1,0)+1),MATCH(J$1,enemy_skill_triggers!$1:$1,0)-MATCH($F$1,enemy_skill_triggers!$1:$1,0)+1,FALSE)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8" s="48" t="str">
        <f ca="1">VLOOKUP($F218,OFFSET(enemy_skill_triggers!$A$1,0,0,COUNTA(enemy_skill_triggers!$A:$A),MATCH(K$1,enemy_skill_triggers!$1:$1,0)-MATCH($F$1,enemy_skill_triggers!$1:$1,0)+1),MATCH(K$1,enemy_skill_triggers!$1:$1,0)-MATCH($F$1,enemy_skill_triggers!$1:$1,0)+1,FALSE)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8" s="48" t="str">
        <f ca="1">VLOOKUP($F218,OFFSET(enemy_skill_triggers!$A$1,0,0,COUNTA(enemy_skill_triggers!$A:$A),MATCH(L$1,enemy_skill_triggers!$1:$1,0)-MATCH($F$1,enemy_skill_triggers!$1:$1,0)+1),MATCH(L$1,enemy_skill_triggers!$1:$1,0)-MATCH($F$1,enemy_skill_triggers!$1:$1,0)+1,FALSE)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8" s="48" t="str">
        <f ca="1">VLOOKUP($F218,OFFSET(enemy_skill_triggers!$A$1,0,0,COUNTA(enemy_skill_triggers!$A:$A),MATCH(M$1,enemy_skill_triggers!$1:$1,0)-MATCH($F$1,enemy_skill_triggers!$1:$1,0)+1),MATCH(M$1,enemy_skill_triggers!$1:$1,0)-MATCH($F$1,enemy_skill_triggers!$1:$1,0)+1,FALSE)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8" s="48" t="str">
        <f ca="1">VLOOKUP($F218,OFFSET(enemy_skill_triggers!$A$1,0,0,COUNTA(enemy_skill_triggers!$A:$A),MATCH(N$1,enemy_skill_triggers!$1:$1,0)-MATCH($F$1,enemy_skill_triggers!$1:$1,0)+1),MATCH(N$1,enemy_skill_triggers!$1:$1,0)-MATCH($F$1,enemy_skill_triggers!$1:$1,0)+1,FALSE)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8" s="48">
        <f ca="1">VLOOKUP($F218,OFFSET(enemy_skill_triggers!$A$1,0,0,COUNTA(enemy_skill_triggers!$A:$A),MATCH(O$1,enemy_skill_triggers!$1:$1,0)-MATCH($F$1,enemy_skill_triggers!$1:$1,0)+1),MATCH(O$1,enemy_skill_triggers!$1:$1,0)-MATCH($F$1,enemy_skill_triggers!$1:$1,0)+1,FALSE)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8" s="47"/>
      <c r="Q218" s="47"/>
      <c r="R218" s="47"/>
    </row>
    <row r="219" spans="1:18" ht="21" customHeight="1" x14ac:dyDescent="0.15">
      <c r="A219" s="39" t="str">
        <f t="shared" si="17"/>
        <v>47007214_47007406</v>
      </c>
      <c r="B219" s="169">
        <v>47007214</v>
      </c>
      <c r="C219" s="169">
        <v>47007406</v>
      </c>
      <c r="D219" s="46" t="str">
        <f ca="1">VLOOKUP($C219,OFFSET(enemy_skills!$A$1,0,0,COUNTA(enemy_skills!$A:$A),MATCH(D$1,enemy_skills!$1:$1,0)-MATCH("enemy_skill_id",enemy_skills!$1:$1,0)+1),MATCH(D$1,enemy_skills!$1:$1,0)-MATCH("enemy_skill_id",enemy_skills!$1:$1,0)+1,FALSE)</f>
        <v>だらしないわね！しっかりしなさいよ！</v>
      </c>
      <c r="E219" s="46" t="str">
        <f ca="1">VLOOKUP($C219,OFFSET(enemy_skills!$A$1,0,0,COUNTA(enemy_skills!$A:$A),MATCH(E$1,enemy_skills!$1:$1,0)-MATCH("enemy_skill_id",enemy_skills!$1:$1,0)+1),MATCH(E$1,enemy_skills!$1:$1,0)-MATCH("enemy_skill_id",enemy_skills!$1:$1,0)+1,FALSE)</f>
        <v>クリティカル！_x000D_(命中したユニットの攻撃力30%UP)</v>
      </c>
      <c r="F219" s="180">
        <v>47007407</v>
      </c>
      <c r="G219" s="48">
        <f ca="1">VLOOKUP($F219,OFFSET(enemy_skill_triggers!$A$1,0,0,COUNTA(enemy_skill_triggers!$A:$A),MATCH(G$1,enemy_skill_triggers!$1:$1,0)-MATCH($F$1,enemy_skill_triggers!$1:$1,0)+1),MATCH(G$1,enemy_skill_triggers!$1:$1,0)-MATCH($F$1,enemy_skill_triggers!$1:$1,0)+1,FALSE)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9" s="48">
        <f ca="1">VLOOKUP($F219,OFFSET(enemy_skill_triggers!$A$1,0,0,COUNTA(enemy_skill_triggers!$A:$A),MATCH(H$1,enemy_skill_triggers!$1:$1,0)-MATCH($F$1,enemy_skill_triggers!$1:$1,0)+1),MATCH(H$1,enemy_skill_triggers!$1:$1,0)-MATCH($F$1,enemy_skill_triggers!$1:$1,0)+1,FALSE)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19" s="48">
        <f ca="1">VLOOKUP($F219,OFFSET(enemy_skill_triggers!$A$1,0,0,COUNTA(enemy_skill_triggers!$A:$A),MATCH(I$1,enemy_skill_triggers!$1:$1,0)-MATCH($F$1,enemy_skill_triggers!$1:$1,0)+1),MATCH(I$1,enemy_skill_triggers!$1:$1,0)-MATCH($F$1,enemy_skill_triggers!$1:$1,0)+1,FALSE)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9" s="48" t="str">
        <f ca="1">VLOOKUP($F219,OFFSET(enemy_skill_triggers!$A$1,0,0,COUNTA(enemy_skill_triggers!$A:$A),MATCH(J$1,enemy_skill_triggers!$1:$1,0)-MATCH($F$1,enemy_skill_triggers!$1:$1,0)+1),MATCH(J$1,enemy_skill_triggers!$1:$1,0)-MATCH($F$1,enemy_skill_triggers!$1:$1,0)+1,FALSE)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9" s="48" t="str">
        <f ca="1">VLOOKUP($F219,OFFSET(enemy_skill_triggers!$A$1,0,0,COUNTA(enemy_skill_triggers!$A:$A),MATCH(K$1,enemy_skill_triggers!$1:$1,0)-MATCH($F$1,enemy_skill_triggers!$1:$1,0)+1),MATCH(K$1,enemy_skill_triggers!$1:$1,0)-MATCH($F$1,enemy_skill_triggers!$1:$1,0)+1,FALSE)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9" s="48" t="str">
        <f ca="1">VLOOKUP($F219,OFFSET(enemy_skill_triggers!$A$1,0,0,COUNTA(enemy_skill_triggers!$A:$A),MATCH(L$1,enemy_skill_triggers!$1:$1,0)-MATCH($F$1,enemy_skill_triggers!$1:$1,0)+1),MATCH(L$1,enemy_skill_triggers!$1:$1,0)-MATCH($F$1,enemy_skill_triggers!$1:$1,0)+1,FALSE)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9" s="48">
        <f ca="1">VLOOKUP($F219,OFFSET(enemy_skill_triggers!$A$1,0,0,COUNTA(enemy_skill_triggers!$A:$A),MATCH(M$1,enemy_skill_triggers!$1:$1,0)-MATCH($F$1,enemy_skill_triggers!$1:$1,0)+1),MATCH(M$1,enemy_skill_triggers!$1:$1,0)-MATCH($F$1,enemy_skill_triggers!$1:$1,0)+1,FALSE)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19" s="48" t="str">
        <f ca="1">VLOOKUP($F219,OFFSET(enemy_skill_triggers!$A$1,0,0,COUNTA(enemy_skill_triggers!$A:$A),MATCH(N$1,enemy_skill_triggers!$1:$1,0)-MATCH($F$1,enemy_skill_triggers!$1:$1,0)+1),MATCH(N$1,enemy_skill_triggers!$1:$1,0)-MATCH($F$1,enemy_skill_triggers!$1:$1,0)+1,FALSE)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9" s="48">
        <f ca="1">VLOOKUP($F219,OFFSET(enemy_skill_triggers!$A$1,0,0,COUNTA(enemy_skill_triggers!$A:$A),MATCH(O$1,enemy_skill_triggers!$1:$1,0)-MATCH($F$1,enemy_skill_triggers!$1:$1,0)+1),MATCH(O$1,enemy_skill_triggers!$1:$1,0)-MATCH($F$1,enemy_skill_triggers!$1:$1,0)+1,FALSE)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9" s="47"/>
      <c r="Q219" s="47"/>
      <c r="R219" s="47"/>
    </row>
    <row r="220" spans="1:18" ht="21" customHeight="1" x14ac:dyDescent="0.15">
      <c r="A220" s="39" t="str">
        <f t="shared" si="17"/>
        <v>47007214_47007486</v>
      </c>
      <c r="B220" s="169">
        <v>47007214</v>
      </c>
      <c r="C220" s="171">
        <v>47007486</v>
      </c>
      <c r="D220" s="46" t="str">
        <f ca="1">VLOOKUP($C220,OFFSET(enemy_skills!$A$1,0,0,COUNTA(enemy_skills!$A:$A),MATCH(D$1,enemy_skills!$1:$1,0)-MATCH("enemy_skill_id",enemy_skills!$1:$1,0)+1),MATCH(D$1,enemy_skills!$1:$1,0)-MATCH("enemy_skill_id",enemy_skills!$1:$1,0)+1,FALSE)</f>
        <v>呼ばれた理由…_x000D_もぅ！ちゃんと考えた！？</v>
      </c>
      <c r="E220" s="46" t="str">
        <f ca="1">VLOOKUP($C220,OFFSET(enemy_skills!$A$1,0,0,COUNTA(enemy_skills!$A:$A),MATCH(E$1,enemy_skills!$1:$1,0)-MATCH("enemy_skill_id",enemy_skills!$1:$1,0)+1),MATCH(E$1,enemy_skills!$1:$1,0)-MATCH("enemy_skill_id",enemy_skills!$1:$1,0)+1,FALSE)</f>
        <v>クリティカル！_x000D_(命中したユニットの回復力30%UP)</v>
      </c>
      <c r="F220" s="180">
        <v>47007408</v>
      </c>
      <c r="G220" s="48">
        <f ca="1">VLOOKUP($F220,OFFSET(enemy_skill_triggers!$A$1,0,0,COUNTA(enemy_skill_triggers!$A:$A),MATCH(G$1,enemy_skill_triggers!$1:$1,0)-MATCH($F$1,enemy_skill_triggers!$1:$1,0)+1),MATCH(G$1,enemy_skill_triggers!$1:$1,0)-MATCH($F$1,enemy_skill_triggers!$1:$1,0)+1,FALSE)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0" s="48">
        <f ca="1">VLOOKUP($F220,OFFSET(enemy_skill_triggers!$A$1,0,0,COUNTA(enemy_skill_triggers!$A:$A),MATCH(H$1,enemy_skill_triggers!$1:$1,0)-MATCH($F$1,enemy_skill_triggers!$1:$1,0)+1),MATCH(H$1,enemy_skill_triggers!$1:$1,0)-MATCH($F$1,enemy_skill_triggers!$1:$1,0)+1,FALSE)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20" s="48">
        <f ca="1">VLOOKUP($F220,OFFSET(enemy_skill_triggers!$A$1,0,0,COUNTA(enemy_skill_triggers!$A:$A),MATCH(I$1,enemy_skill_triggers!$1:$1,0)-MATCH($F$1,enemy_skill_triggers!$1:$1,0)+1),MATCH(I$1,enemy_skill_triggers!$1:$1,0)-MATCH($F$1,enemy_skill_triggers!$1:$1,0)+1,FALSE)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0" s="48" t="str">
        <f ca="1">VLOOKUP($F220,OFFSET(enemy_skill_triggers!$A$1,0,0,COUNTA(enemy_skill_triggers!$A:$A),MATCH(J$1,enemy_skill_triggers!$1:$1,0)-MATCH($F$1,enemy_skill_triggers!$1:$1,0)+1),MATCH(J$1,enemy_skill_triggers!$1:$1,0)-MATCH($F$1,enemy_skill_triggers!$1:$1,0)+1,FALSE)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0" s="48" t="str">
        <f ca="1">VLOOKUP($F220,OFFSET(enemy_skill_triggers!$A$1,0,0,COUNTA(enemy_skill_triggers!$A:$A),MATCH(K$1,enemy_skill_triggers!$1:$1,0)-MATCH($F$1,enemy_skill_triggers!$1:$1,0)+1),MATCH(K$1,enemy_skill_triggers!$1:$1,0)-MATCH($F$1,enemy_skill_triggers!$1:$1,0)+1,FALSE)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0" s="48" t="str">
        <f ca="1">VLOOKUP($F220,OFFSET(enemy_skill_triggers!$A$1,0,0,COUNTA(enemy_skill_triggers!$A:$A),MATCH(L$1,enemy_skill_triggers!$1:$1,0)-MATCH($F$1,enemy_skill_triggers!$1:$1,0)+1),MATCH(L$1,enemy_skill_triggers!$1:$1,0)-MATCH($F$1,enemy_skill_triggers!$1:$1,0)+1,FALSE)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0" s="48">
        <f ca="1">VLOOKUP($F220,OFFSET(enemy_skill_triggers!$A$1,0,0,COUNTA(enemy_skill_triggers!$A:$A),MATCH(M$1,enemy_skill_triggers!$1:$1,0)-MATCH($F$1,enemy_skill_triggers!$1:$1,0)+1),MATCH(M$1,enemy_skill_triggers!$1:$1,0)-MATCH($F$1,enemy_skill_triggers!$1:$1,0)+1,FALSE)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20" s="48" t="str">
        <f ca="1">VLOOKUP($F220,OFFSET(enemy_skill_triggers!$A$1,0,0,COUNTA(enemy_skill_triggers!$A:$A),MATCH(N$1,enemy_skill_triggers!$1:$1,0)-MATCH($F$1,enemy_skill_triggers!$1:$1,0)+1),MATCH(N$1,enemy_skill_triggers!$1:$1,0)-MATCH($F$1,enemy_skill_triggers!$1:$1,0)+1,FALSE)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0" s="48">
        <f ca="1">VLOOKUP($F220,OFFSET(enemy_skill_triggers!$A$1,0,0,COUNTA(enemy_skill_triggers!$A:$A),MATCH(O$1,enemy_skill_triggers!$1:$1,0)-MATCH($F$1,enemy_skill_triggers!$1:$1,0)+1),MATCH(O$1,enemy_skill_triggers!$1:$1,0)-MATCH($F$1,enemy_skill_triggers!$1:$1,0)+1,FALSE)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0" s="47"/>
      <c r="Q220" s="47"/>
      <c r="R220" s="47"/>
    </row>
    <row r="221" spans="1:18" ht="21" customHeight="1" x14ac:dyDescent="0.15">
      <c r="A221" s="39" t="str">
        <f t="shared" si="17"/>
        <v>47007214_47007487</v>
      </c>
      <c r="B221" s="169">
        <v>47007214</v>
      </c>
      <c r="C221" s="169">
        <v>47007487</v>
      </c>
      <c r="D221" s="46" t="str">
        <f ca="1">VLOOKUP($C221,OFFSET(enemy_skills!$A$1,0,0,COUNTA(enemy_skills!$A:$A),MATCH(D$1,enemy_skills!$1:$1,0)-MATCH("enemy_skill_id",enemy_skills!$1:$1,0)+1),MATCH(D$1,enemy_skills!$1:$1,0)-MATCH("enemy_skill_id",enemy_skills!$1:$1,0)+1,FALSE)</f>
        <v>(違う違う！もぅ、アタシ…)</v>
      </c>
      <c r="E221" s="46" t="str">
        <f ca="1">VLOOKUP($C221,OFFSET(enemy_skills!$A$1,0,0,COUNTA(enemy_skills!$A:$A),MATCH(E$1,enemy_skills!$1:$1,0)-MATCH("enemy_skill_id",enemy_skills!$1:$1,0)+1),MATCH(E$1,enemy_skills!$1:$1,0)-MATCH("enemy_skill_id",enemy_skills!$1:$1,0)+1,FALSE)</f>
        <v>(今度こそ想いを…ちゃんと伝える！)</v>
      </c>
      <c r="F221" s="180">
        <v>47007409</v>
      </c>
      <c r="G221" s="48">
        <f ca="1">VLOOKUP($F221,OFFSET(enemy_skill_triggers!$A$1,0,0,COUNTA(enemy_skill_triggers!$A:$A),MATCH(G$1,enemy_skill_triggers!$1:$1,0)-MATCH($F$1,enemy_skill_triggers!$1:$1,0)+1),MATCH(G$1,enemy_skill_triggers!$1:$1,0)-MATCH($F$1,enemy_skill_triggers!$1:$1,0)+1,FALSE)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1" s="48">
        <f ca="1">VLOOKUP($F221,OFFSET(enemy_skill_triggers!$A$1,0,0,COUNTA(enemy_skill_triggers!$A:$A),MATCH(H$1,enemy_skill_triggers!$1:$1,0)-MATCH($F$1,enemy_skill_triggers!$1:$1,0)+1),MATCH(H$1,enemy_skill_triggers!$1:$1,0)-MATCH($F$1,enemy_skill_triggers!$1:$1,0)+1,FALSE)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21" s="48">
        <f ca="1">VLOOKUP($F221,OFFSET(enemy_skill_triggers!$A$1,0,0,COUNTA(enemy_skill_triggers!$A:$A),MATCH(I$1,enemy_skill_triggers!$1:$1,0)-MATCH($F$1,enemy_skill_triggers!$1:$1,0)+1),MATCH(I$1,enemy_skill_triggers!$1:$1,0)-MATCH($F$1,enemy_skill_triggers!$1:$1,0)+1,FALSE)</f>
        <v>10</v>
      </c>
      <c r="J221" s="48" t="str">
        <f ca="1">VLOOKUP($F221,OFFSET(enemy_skill_triggers!$A$1,0,0,COUNTA(enemy_skill_triggers!$A:$A),MATCH(J$1,enemy_skill_triggers!$1:$1,0)-MATCH($F$1,enemy_skill_triggers!$1:$1,0)+1),MATCH(J$1,enemy_skill_triggers!$1:$1,0)-MATCH($F$1,enemy_skill_triggers!$1:$1,0)+1,FALSE)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1" s="48" t="str">
        <f ca="1">VLOOKUP($F221,OFFSET(enemy_skill_triggers!$A$1,0,0,COUNTA(enemy_skill_triggers!$A:$A),MATCH(K$1,enemy_skill_triggers!$1:$1,0)-MATCH($F$1,enemy_skill_triggers!$1:$1,0)+1),MATCH(K$1,enemy_skill_triggers!$1:$1,0)-MATCH($F$1,enemy_skill_triggers!$1:$1,0)+1,FALSE)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1" s="48">
        <f ca="1">VLOOKUP($F221,OFFSET(enemy_skill_triggers!$A$1,0,0,COUNTA(enemy_skill_triggers!$A:$A),MATCH(L$1,enemy_skill_triggers!$1:$1,0)-MATCH($F$1,enemy_skill_triggers!$1:$1,0)+1),MATCH(L$1,enemy_skill_triggers!$1:$1,0)-MATCH($F$1,enemy_skill_triggers!$1:$1,0)+1,FALSE)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1" s="48">
        <f ca="1">VLOOKUP($F221,OFFSET(enemy_skill_triggers!$A$1,0,0,COUNTA(enemy_skill_triggers!$A:$A),MATCH(M$1,enemy_skill_triggers!$1:$1,0)-MATCH($F$1,enemy_skill_triggers!$1:$1,0)+1),MATCH(M$1,enemy_skill_triggers!$1:$1,0)-MATCH($F$1,enemy_skill_triggers!$1:$1,0)+1,FALSE)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1" s="48" t="str">
        <f ca="1">VLOOKUP($F221,OFFSET(enemy_skill_triggers!$A$1,0,0,COUNTA(enemy_skill_triggers!$A:$A),MATCH(N$1,enemy_skill_triggers!$1:$1,0)-MATCH($F$1,enemy_skill_triggers!$1:$1,0)+1),MATCH(N$1,enemy_skill_triggers!$1:$1,0)-MATCH($F$1,enemy_skill_triggers!$1:$1,0)+1,FALSE)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1" s="48">
        <f ca="1">VLOOKUP($F221,OFFSET(enemy_skill_triggers!$A$1,0,0,COUNTA(enemy_skill_triggers!$A:$A),MATCH(O$1,enemy_skill_triggers!$1:$1,0)-MATCH($F$1,enemy_skill_triggers!$1:$1,0)+1),MATCH(O$1,enemy_skill_triggers!$1:$1,0)-MATCH($F$1,enemy_skill_triggers!$1:$1,0)+1,FALSE)</f>
        <v>10</v>
      </c>
      <c r="P221" s="47"/>
      <c r="Q221" s="47"/>
      <c r="R221" s="47"/>
    </row>
    <row r="222" spans="1:18" ht="21" customHeight="1" x14ac:dyDescent="0.15">
      <c r="A222" s="39" t="str">
        <f t="shared" si="17"/>
        <v>47007215_47007501</v>
      </c>
      <c r="B222" s="169">
        <v>47007215</v>
      </c>
      <c r="C222" s="169">
        <v>47007501</v>
      </c>
      <c r="D222" s="46" t="str">
        <f ca="1">VLOOKUP($C222,OFFSET(enemy_skills!$A$1,0,0,COUNTA(enemy_skills!$A:$A),MATCH(D$1,enemy_skills!$1:$1,0)-MATCH("enemy_skill_id",enemy_skills!$1:$1,0)+1),MATCH(D$1,enemy_skills!$1:$1,0)-MATCH("enemy_skill_id",enemy_skills!$1:$1,0)+1,FALSE)</f>
        <v>大丈夫…落ち着けアタシ…</v>
      </c>
      <c r="E222" s="46" t="str">
        <f ca="1">VLOOKUP($C222,OFFSET(enemy_skills!$A$1,0,0,COUNTA(enemy_skills!$A:$A),MATCH(E$1,enemy_skills!$1:$1,0)-MATCH("enemy_skill_id",enemy_skills!$1:$1,0)+1),MATCH(E$1,enemy_skills!$1:$1,0)-MATCH("enemy_skill_id",enemy_skills!$1:$1,0)+1,FALSE)</f>
        <v>状態異常耐性+3ターン全属性の攻撃をカウンター</v>
      </c>
      <c r="F222" s="180">
        <v>47007501</v>
      </c>
      <c r="G222" s="48">
        <f ca="1">VLOOKUP($F222,OFFSET(enemy_skill_triggers!$A$1,0,0,COUNTA(enemy_skill_triggers!$A:$A),MATCH(G$1,enemy_skill_triggers!$1:$1,0)-MATCH($F$1,enemy_skill_triggers!$1:$1,0)+1),MATCH(G$1,enemy_skill_triggers!$1:$1,0)-MATCH($F$1,enemy_skill_triggers!$1:$1,0)+1,FALSE)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2" s="48" t="str">
        <f ca="1">VLOOKUP($F222,OFFSET(enemy_skill_triggers!$A$1,0,0,COUNTA(enemy_skill_triggers!$A:$A),MATCH(H$1,enemy_skill_triggers!$1:$1,0)-MATCH($F$1,enemy_skill_triggers!$1:$1,0)+1),MATCH(H$1,enemy_skill_triggers!$1:$1,0)-MATCH($F$1,enemy_skill_triggers!$1:$1,0)+1,FALSE)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2" s="48">
        <f ca="1">VLOOKUP($F222,OFFSET(enemy_skill_triggers!$A$1,0,0,COUNTA(enemy_skill_triggers!$A:$A),MATCH(I$1,enemy_skill_triggers!$1:$1,0)-MATCH($F$1,enemy_skill_triggers!$1:$1,0)+1),MATCH(I$1,enemy_skill_triggers!$1:$1,0)-MATCH($F$1,enemy_skill_triggers!$1:$1,0)+1,FALSE)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2" s="48" t="str">
        <f ca="1">VLOOKUP($F222,OFFSET(enemy_skill_triggers!$A$1,0,0,COUNTA(enemy_skill_triggers!$A:$A),MATCH(J$1,enemy_skill_triggers!$1:$1,0)-MATCH($F$1,enemy_skill_triggers!$1:$1,0)+1),MATCH(J$1,enemy_skill_triggers!$1:$1,0)-MATCH($F$1,enemy_skill_triggers!$1:$1,0)+1,FALSE)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2" s="48" t="str">
        <f ca="1">VLOOKUP($F222,OFFSET(enemy_skill_triggers!$A$1,0,0,COUNTA(enemy_skill_triggers!$A:$A),MATCH(K$1,enemy_skill_triggers!$1:$1,0)-MATCH($F$1,enemy_skill_triggers!$1:$1,0)+1),MATCH(K$1,enemy_skill_triggers!$1:$1,0)-MATCH($F$1,enemy_skill_triggers!$1:$1,0)+1,FALSE)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2" s="48">
        <f ca="1">VLOOKUP($F222,OFFSET(enemy_skill_triggers!$A$1,0,0,COUNTA(enemy_skill_triggers!$A:$A),MATCH(L$1,enemy_skill_triggers!$1:$1,0)-MATCH($F$1,enemy_skill_triggers!$1:$1,0)+1),MATCH(L$1,enemy_skill_triggers!$1:$1,0)-MATCH($F$1,enemy_skill_triggers!$1:$1,0)+1,FALSE)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2" s="48" t="str">
        <f ca="1">VLOOKUP($F222,OFFSET(enemy_skill_triggers!$A$1,0,0,COUNTA(enemy_skill_triggers!$A:$A),MATCH(M$1,enemy_skill_triggers!$1:$1,0)-MATCH($F$1,enemy_skill_triggers!$1:$1,0)+1),MATCH(M$1,enemy_skill_triggers!$1:$1,0)-MATCH($F$1,enemy_skill_triggers!$1:$1,0)+1,FALSE)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2" s="48" t="str">
        <f ca="1">VLOOKUP($F222,OFFSET(enemy_skill_triggers!$A$1,0,0,COUNTA(enemy_skill_triggers!$A:$A),MATCH(N$1,enemy_skill_triggers!$1:$1,0)-MATCH($F$1,enemy_skill_triggers!$1:$1,0)+1),MATCH(N$1,enemy_skill_triggers!$1:$1,0)-MATCH($F$1,enemy_skill_triggers!$1:$1,0)+1,FALSE)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2" s="48">
        <f ca="1">VLOOKUP($F222,OFFSET(enemy_skill_triggers!$A$1,0,0,COUNTA(enemy_skill_triggers!$A:$A),MATCH(O$1,enemy_skill_triggers!$1:$1,0)-MATCH($F$1,enemy_skill_triggers!$1:$1,0)+1),MATCH(O$1,enemy_skill_triggers!$1:$1,0)-MATCH($F$1,enemy_skill_triggers!$1:$1,0)+1,FALSE)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2" s="47"/>
      <c r="Q222" s="47"/>
      <c r="R222" s="47"/>
    </row>
    <row r="223" spans="1:18" ht="21" customHeight="1" x14ac:dyDescent="0.15">
      <c r="A223" s="39" t="str">
        <f t="shared" si="17"/>
        <v>47007215_47007581</v>
      </c>
      <c r="B223" s="169">
        <v>47007215</v>
      </c>
      <c r="C223" s="169">
        <v>47007581</v>
      </c>
      <c r="D223" s="46" t="str">
        <f ca="1">VLOOKUP($C223,OFFSET(enemy_skills!$A$1,0,0,COUNTA(enemy_skills!$A:$A),MATCH(D$1,enemy_skills!$1:$1,0)-MATCH("enemy_skill_id",enemy_skills!$1:$1,0)+1),MATCH(D$1,enemy_skills!$1:$1,0)-MATCH("enemy_skill_id",enemy_skills!$1:$1,0)+1,FALSE)</f>
        <v>う、受け取りなさいよ…！_x000D_じゃなくて、受け取って…！</v>
      </c>
      <c r="E223" s="46" t="str">
        <f ca="1">VLOOKUP($C223,OFFSET(enemy_skills!$A$1,0,0,COUNTA(enemy_skills!$A:$A),MATCH(E$1,enemy_skills!$1:$1,0)-MATCH("enemy_skill_id",enemy_skills!$1:$1,0)+1),MATCH(E$1,enemy_skills!$1:$1,0)-MATCH("enemy_skill_id",enemy_skills!$1:$1,0)+1,FALSE)</f>
        <v>5ターン回復効果付与</v>
      </c>
      <c r="F223" s="180">
        <v>47007502</v>
      </c>
      <c r="G223" s="48">
        <f ca="1">VLOOKUP($F223,OFFSET(enemy_skill_triggers!$A$1,0,0,COUNTA(enemy_skill_triggers!$A:$A),MATCH(G$1,enemy_skill_triggers!$1:$1,0)-MATCH($F$1,enemy_skill_triggers!$1:$1,0)+1),MATCH(G$1,enemy_skill_triggers!$1:$1,0)-MATCH($F$1,enemy_skill_triggers!$1:$1,0)+1,FALSE)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3" s="48">
        <f ca="1">VLOOKUP($F223,OFFSET(enemy_skill_triggers!$A$1,0,0,COUNTA(enemy_skill_triggers!$A:$A),MATCH(H$1,enemy_skill_triggers!$1:$1,0)-MATCH($F$1,enemy_skill_triggers!$1:$1,0)+1),MATCH(H$1,enemy_skill_triggers!$1:$1,0)-MATCH($F$1,enemy_skill_triggers!$1:$1,0)+1,FALSE)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23" s="48">
        <f ca="1">VLOOKUP($F223,OFFSET(enemy_skill_triggers!$A$1,0,0,COUNTA(enemy_skill_triggers!$A:$A),MATCH(I$1,enemy_skill_triggers!$1:$1,0)-MATCH($F$1,enemy_skill_triggers!$1:$1,0)+1),MATCH(I$1,enemy_skill_triggers!$1:$1,0)-MATCH($F$1,enemy_skill_triggers!$1:$1,0)+1,FALSE)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3" s="48" t="str">
        <f ca="1">VLOOKUP($F223,OFFSET(enemy_skill_triggers!$A$1,0,0,COUNTA(enemy_skill_triggers!$A:$A),MATCH(J$1,enemy_skill_triggers!$1:$1,0)-MATCH($F$1,enemy_skill_triggers!$1:$1,0)+1),MATCH(J$1,enemy_skill_triggers!$1:$1,0)-MATCH($F$1,enemy_skill_triggers!$1:$1,0)+1,FALSE)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3" s="48" t="str">
        <f ca="1">VLOOKUP($F223,OFFSET(enemy_skill_triggers!$A$1,0,0,COUNTA(enemy_skill_triggers!$A:$A),MATCH(K$1,enemy_skill_triggers!$1:$1,0)-MATCH($F$1,enemy_skill_triggers!$1:$1,0)+1),MATCH(K$1,enemy_skill_triggers!$1:$1,0)-MATCH($F$1,enemy_skill_triggers!$1:$1,0)+1,FALSE)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3" s="48">
        <f ca="1">VLOOKUP($F223,OFFSET(enemy_skill_triggers!$A$1,0,0,COUNTA(enemy_skill_triggers!$A:$A),MATCH(L$1,enemy_skill_triggers!$1:$1,0)-MATCH($F$1,enemy_skill_triggers!$1:$1,0)+1),MATCH(L$1,enemy_skill_triggers!$1:$1,0)-MATCH($F$1,enemy_skill_triggers!$1:$1,0)+1,FALSE)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3" s="48" t="str">
        <f ca="1">VLOOKUP($F223,OFFSET(enemy_skill_triggers!$A$1,0,0,COUNTA(enemy_skill_triggers!$A:$A),MATCH(M$1,enemy_skill_triggers!$1:$1,0)-MATCH($F$1,enemy_skill_triggers!$1:$1,0)+1),MATCH(M$1,enemy_skill_triggers!$1:$1,0)-MATCH($F$1,enemy_skill_triggers!$1:$1,0)+1,FALSE)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3" s="48" t="str">
        <f ca="1">VLOOKUP($F223,OFFSET(enemy_skill_triggers!$A$1,0,0,COUNTA(enemy_skill_triggers!$A:$A),MATCH(N$1,enemy_skill_triggers!$1:$1,0)-MATCH($F$1,enemy_skill_triggers!$1:$1,0)+1),MATCH(N$1,enemy_skill_triggers!$1:$1,0)-MATCH($F$1,enemy_skill_triggers!$1:$1,0)+1,FALSE)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3" s="48">
        <f ca="1">VLOOKUP($F223,OFFSET(enemy_skill_triggers!$A$1,0,0,COUNTA(enemy_skill_triggers!$A:$A),MATCH(O$1,enemy_skill_triggers!$1:$1,0)-MATCH($F$1,enemy_skill_triggers!$1:$1,0)+1),MATCH(O$1,enemy_skill_triggers!$1:$1,0)-MATCH($F$1,enemy_skill_triggers!$1:$1,0)+1,FALSE)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3" s="47"/>
      <c r="Q223" s="47"/>
      <c r="R223" s="47"/>
    </row>
    <row r="224" spans="1:18" ht="21" customHeight="1" x14ac:dyDescent="0.15">
      <c r="A224" s="39" t="str">
        <f t="shared" si="17"/>
        <v>47007215_47007503</v>
      </c>
      <c r="B224" s="169">
        <v>47007215</v>
      </c>
      <c r="C224" s="169">
        <v>47007503</v>
      </c>
      <c r="D224" s="46" t="str">
        <f ca="1">VLOOKUP($C224,OFFSET(enemy_skills!$A$1,0,0,COUNTA(enemy_skills!$A:$A),MATCH(D$1,enemy_skills!$1:$1,0)-MATCH("enemy_skill_id",enemy_skills!$1:$1,0)+1),MATCH(D$1,enemy_skills!$1:$1,0)-MATCH("enemy_skill_id",enemy_skills!$1:$1,0)+1,FALSE)</f>
        <v>あ…それ失敗作…！かかか返して…！</v>
      </c>
      <c r="E224" s="46" t="str">
        <f ca="1">VLOOKUP($C224,OFFSET(enemy_skills!$A$1,0,0,COUNTA(enemy_skills!$A:$A),MATCH(E$1,enemy_skills!$1:$1,0)-MATCH("enemy_skill_id",enemy_skills!$1:$1,0)+1),MATCH(E$1,enemy_skills!$1:$1,0)-MATCH("enemy_skill_id",enemy_skills!$1:$1,0)+1,FALSE)</f>
        <v>強力な全体攻撃+5ターンウィルス</v>
      </c>
      <c r="F224" s="180">
        <v>47007503</v>
      </c>
      <c r="G224" s="48">
        <f ca="1">VLOOKUP($F224,OFFSET(enemy_skill_triggers!$A$1,0,0,COUNTA(enemy_skill_triggers!$A:$A),MATCH(G$1,enemy_skill_triggers!$1:$1,0)-MATCH($F$1,enemy_skill_triggers!$1:$1,0)+1),MATCH(G$1,enemy_skill_triggers!$1:$1,0)-MATCH($F$1,enemy_skill_triggers!$1:$1,0)+1,FALSE)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4" s="48">
        <f ca="1">VLOOKUP($F224,OFFSET(enemy_skill_triggers!$A$1,0,0,COUNTA(enemy_skill_triggers!$A:$A),MATCH(H$1,enemy_skill_triggers!$1:$1,0)-MATCH($F$1,enemy_skill_triggers!$1:$1,0)+1),MATCH(H$1,enemy_skill_triggers!$1:$1,0)-MATCH($F$1,enemy_skill_triggers!$1:$1,0)+1,FALSE)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224" s="48">
        <f ca="1">VLOOKUP($F224,OFFSET(enemy_skill_triggers!$A$1,0,0,COUNTA(enemy_skill_triggers!$A:$A),MATCH(I$1,enemy_skill_triggers!$1:$1,0)-MATCH($F$1,enemy_skill_triggers!$1:$1,0)+1),MATCH(I$1,enemy_skill_triggers!$1:$1,0)-MATCH($F$1,enemy_skill_triggers!$1:$1,0)+1,FALSE)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4" s="48" t="str">
        <f ca="1">VLOOKUP($F224,OFFSET(enemy_skill_triggers!$A$1,0,0,COUNTA(enemy_skill_triggers!$A:$A),MATCH(J$1,enemy_skill_triggers!$1:$1,0)-MATCH($F$1,enemy_skill_triggers!$1:$1,0)+1),MATCH(J$1,enemy_skill_triggers!$1:$1,0)-MATCH($F$1,enemy_skill_triggers!$1:$1,0)+1,FALSE)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4" s="48" t="str">
        <f ca="1">VLOOKUP($F224,OFFSET(enemy_skill_triggers!$A$1,0,0,COUNTA(enemy_skill_triggers!$A:$A),MATCH(K$1,enemy_skill_triggers!$1:$1,0)-MATCH($F$1,enemy_skill_triggers!$1:$1,0)+1),MATCH(K$1,enemy_skill_triggers!$1:$1,0)-MATCH($F$1,enemy_skill_triggers!$1:$1,0)+1,FALSE)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4" s="48">
        <f ca="1">VLOOKUP($F224,OFFSET(enemy_skill_triggers!$A$1,0,0,COUNTA(enemy_skill_triggers!$A:$A),MATCH(L$1,enemy_skill_triggers!$1:$1,0)-MATCH($F$1,enemy_skill_triggers!$1:$1,0)+1),MATCH(L$1,enemy_skill_triggers!$1:$1,0)-MATCH($F$1,enemy_skill_triggers!$1:$1,0)+1,FALSE)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4" s="48" t="str">
        <f ca="1">VLOOKUP($F224,OFFSET(enemy_skill_triggers!$A$1,0,0,COUNTA(enemy_skill_triggers!$A:$A),MATCH(M$1,enemy_skill_triggers!$1:$1,0)-MATCH($F$1,enemy_skill_triggers!$1:$1,0)+1),MATCH(M$1,enemy_skill_triggers!$1:$1,0)-MATCH($F$1,enemy_skill_triggers!$1:$1,0)+1,FALSE)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4" s="48" t="str">
        <f ca="1">VLOOKUP($F224,OFFSET(enemy_skill_triggers!$A$1,0,0,COUNTA(enemy_skill_triggers!$A:$A),MATCH(N$1,enemy_skill_triggers!$1:$1,0)-MATCH($F$1,enemy_skill_triggers!$1:$1,0)+1),MATCH(N$1,enemy_skill_triggers!$1:$1,0)-MATCH($F$1,enemy_skill_triggers!$1:$1,0)+1,FALSE)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4" s="48">
        <f ca="1">VLOOKUP($F224,OFFSET(enemy_skill_triggers!$A$1,0,0,COUNTA(enemy_skill_triggers!$A:$A),MATCH(O$1,enemy_skill_triggers!$1:$1,0)-MATCH($F$1,enemy_skill_triggers!$1:$1,0)+1),MATCH(O$1,enemy_skill_triggers!$1:$1,0)-MATCH($F$1,enemy_skill_triggers!$1:$1,0)+1,FALSE)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4" s="47"/>
      <c r="Q224" s="47"/>
      <c r="R224" s="47"/>
    </row>
    <row r="225" spans="1:18" ht="21" customHeight="1" x14ac:dyDescent="0.15">
      <c r="A225" s="39" t="str">
        <f t="shared" si="17"/>
        <v>47007215_47007504</v>
      </c>
      <c r="B225" s="169">
        <v>47007215</v>
      </c>
      <c r="C225" s="169">
        <v>47007504</v>
      </c>
      <c r="D225" s="46" t="str">
        <f ca="1">VLOOKUP($C225,OFFSET(enemy_skills!$A$1,0,0,COUNTA(enemy_skills!$A:$A),MATCH(D$1,enemy_skills!$1:$1,0)-MATCH("enemy_skill_id",enemy_skills!$1:$1,0)+1),MATCH(D$1,enemy_skills!$1:$1,0)-MATCH("enemy_skill_id",enemy_skills!$1:$1,0)+1,FALSE)</f>
        <v>ご…ごめん！怪我はない…？</v>
      </c>
      <c r="E225" s="46" t="str">
        <f ca="1">VLOOKUP($C225,OFFSET(enemy_skills!$A$1,0,0,COUNTA(enemy_skills!$A:$A),MATCH(E$1,enemy_skills!$1:$1,0)-MATCH("enemy_skill_id",enemy_skills!$1:$1,0)+1),MATCH(E$1,enemy_skills!$1:$1,0)-MATCH("enemy_skill_id",enemy_skills!$1:$1,0)+1,FALSE)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ランダムでハートパネルに最大10個変換</v>
      </c>
      <c r="F225" s="180">
        <v>47007504</v>
      </c>
      <c r="G225" s="48">
        <f ca="1">VLOOKUP($F225,OFFSET(enemy_skill_triggers!$A$1,0,0,COUNTA(enemy_skill_triggers!$A:$A),MATCH(G$1,enemy_skill_triggers!$1:$1,0)-MATCH($F$1,enemy_skill_triggers!$1:$1,0)+1),MATCH(G$1,enemy_skill_triggers!$1:$1,0)-MATCH($F$1,enemy_skill_triggers!$1:$1,0)+1,FALSE)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5" s="48">
        <f ca="1">VLOOKUP($F225,OFFSET(enemy_skill_triggers!$A$1,0,0,COUNTA(enemy_skill_triggers!$A:$A),MATCH(H$1,enemy_skill_triggers!$1:$1,0)-MATCH($F$1,enemy_skill_triggers!$1:$1,0)+1),MATCH(H$1,enemy_skill_triggers!$1:$1,0)-MATCH($F$1,enemy_skill_triggers!$1:$1,0)+1,FALSE)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225" s="48">
        <f ca="1">VLOOKUP($F225,OFFSET(enemy_skill_triggers!$A$1,0,0,COUNTA(enemy_skill_triggers!$A:$A),MATCH(I$1,enemy_skill_triggers!$1:$1,0)-MATCH($F$1,enemy_skill_triggers!$1:$1,0)+1),MATCH(I$1,enemy_skill_triggers!$1:$1,0)-MATCH($F$1,enemy_skill_triggers!$1:$1,0)+1,FALSE)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5" s="48" t="str">
        <f ca="1">VLOOKUP($F225,OFFSET(enemy_skill_triggers!$A$1,0,0,COUNTA(enemy_skill_triggers!$A:$A),MATCH(J$1,enemy_skill_triggers!$1:$1,0)-MATCH($F$1,enemy_skill_triggers!$1:$1,0)+1),MATCH(J$1,enemy_skill_triggers!$1:$1,0)-MATCH($F$1,enemy_skill_triggers!$1:$1,0)+1,FALSE)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5" s="48" t="str">
        <f ca="1">VLOOKUP($F225,OFFSET(enemy_skill_triggers!$A$1,0,0,COUNTA(enemy_skill_triggers!$A:$A),MATCH(K$1,enemy_skill_triggers!$1:$1,0)-MATCH($F$1,enemy_skill_triggers!$1:$1,0)+1),MATCH(K$1,enemy_skill_triggers!$1:$1,0)-MATCH($F$1,enemy_skill_triggers!$1:$1,0)+1,FALSE)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5" s="48">
        <f ca="1">VLOOKUP($F225,OFFSET(enemy_skill_triggers!$A$1,0,0,COUNTA(enemy_skill_triggers!$A:$A),MATCH(L$1,enemy_skill_triggers!$1:$1,0)-MATCH($F$1,enemy_skill_triggers!$1:$1,0)+1),MATCH(L$1,enemy_skill_triggers!$1:$1,0)-MATCH($F$1,enemy_skill_triggers!$1:$1,0)+1,FALSE)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5" s="48" t="str">
        <f ca="1">VLOOKUP($F225,OFFSET(enemy_skill_triggers!$A$1,0,0,COUNTA(enemy_skill_triggers!$A:$A),MATCH(M$1,enemy_skill_triggers!$1:$1,0)-MATCH($F$1,enemy_skill_triggers!$1:$1,0)+1),MATCH(M$1,enemy_skill_triggers!$1:$1,0)-MATCH($F$1,enemy_skill_triggers!$1:$1,0)+1,FALSE)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5" s="48" t="str">
        <f ca="1">VLOOKUP($F225,OFFSET(enemy_skill_triggers!$A$1,0,0,COUNTA(enemy_skill_triggers!$A:$A),MATCH(N$1,enemy_skill_triggers!$1:$1,0)-MATCH($F$1,enemy_skill_triggers!$1:$1,0)+1),MATCH(N$1,enemy_skill_triggers!$1:$1,0)-MATCH($F$1,enemy_skill_triggers!$1:$1,0)+1,FALSE)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5" s="48">
        <f ca="1">VLOOKUP($F225,OFFSET(enemy_skill_triggers!$A$1,0,0,COUNTA(enemy_skill_triggers!$A:$A),MATCH(O$1,enemy_skill_triggers!$1:$1,0)-MATCH($F$1,enemy_skill_triggers!$1:$1,0)+1),MATCH(O$1,enemy_skill_triggers!$1:$1,0)-MATCH($F$1,enemy_skill_triggers!$1:$1,0)+1,FALSE)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5" s="47"/>
      <c r="Q225" s="47"/>
      <c r="R225" s="47"/>
    </row>
    <row r="226" spans="1:18" ht="21" customHeight="1" x14ac:dyDescent="0.15">
      <c r="A226" s="39" t="str">
        <f t="shared" si="17"/>
        <v>47007215_47007582</v>
      </c>
      <c r="B226" s="169">
        <v>47007215</v>
      </c>
      <c r="C226" s="169">
        <v>47007582</v>
      </c>
      <c r="D226" s="46" t="str">
        <f ca="1">VLOOKUP($C226,OFFSET(enemy_skills!$A$1,0,0,COUNTA(enemy_skills!$A:$A),MATCH(D$1,enemy_skills!$1:$1,0)-MATCH("enemy_skill_id",enemy_skills!$1:$1,0)+1),MATCH(D$1,enemy_skills!$1:$1,0)-MATCH("enemy_skill_id",enemy_skills!$1:$1,0)+1,FALSE)</f>
        <v>…って近い！近いっ！_x000D_(…顔赤いのバレてないかなぁ)</v>
      </c>
      <c r="E226" s="46" t="str">
        <f ca="1">VLOOKUP($C226,OFFSET(enemy_skills!$A$1,0,0,COUNTA(enemy_skills!$A:$A),MATCH(E$1,enemy_skills!$1:$1,0)-MATCH("enemy_skill_id",enemy_skills!$1:$1,0)+1),MATCH(E$1,enemy_skills!$1:$1,0)-MATCH("enemy_skill_id",enemy_skills!$1:$1,0)+1,FALSE)</f>
        <v>強力なクリティカル！</v>
      </c>
      <c r="F226" s="180">
        <v>47007505</v>
      </c>
      <c r="G226" s="48">
        <f ca="1">VLOOKUP($F226,OFFSET(enemy_skill_triggers!$A$1,0,0,COUNTA(enemy_skill_triggers!$A:$A),MATCH(G$1,enemy_skill_triggers!$1:$1,0)-MATCH($F$1,enemy_skill_triggers!$1:$1,0)+1),MATCH(G$1,enemy_skill_triggers!$1:$1,0)-MATCH($F$1,enemy_skill_triggers!$1:$1,0)+1,FALSE)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6" s="48">
        <f ca="1">VLOOKUP($F226,OFFSET(enemy_skill_triggers!$A$1,0,0,COUNTA(enemy_skill_triggers!$A:$A),MATCH(H$1,enemy_skill_triggers!$1:$1,0)-MATCH($F$1,enemy_skill_triggers!$1:$1,0)+1),MATCH(H$1,enemy_skill_triggers!$1:$1,0)-MATCH($F$1,enemy_skill_triggers!$1:$1,0)+1,FALSE)</f>
        <v>47</v>
      </c>
      <c r="I226" s="48">
        <f ca="1">VLOOKUP($F226,OFFSET(enemy_skill_triggers!$A$1,0,0,COUNTA(enemy_skill_triggers!$A:$A),MATCH(I$1,enemy_skill_triggers!$1:$1,0)-MATCH($F$1,enemy_skill_triggers!$1:$1,0)+1),MATCH(I$1,enemy_skill_triggers!$1:$1,0)-MATCH($F$1,enemy_skill_triggers!$1:$1,0)+1,FALSE)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6" s="48" t="str">
        <f ca="1">VLOOKUP($F226,OFFSET(enemy_skill_triggers!$A$1,0,0,COUNTA(enemy_skill_triggers!$A:$A),MATCH(J$1,enemy_skill_triggers!$1:$1,0)-MATCH($F$1,enemy_skill_triggers!$1:$1,0)+1),MATCH(J$1,enemy_skill_triggers!$1:$1,0)-MATCH($F$1,enemy_skill_triggers!$1:$1,0)+1,FALSE)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6" s="48" t="str">
        <f ca="1">VLOOKUP($F226,OFFSET(enemy_skill_triggers!$A$1,0,0,COUNTA(enemy_skill_triggers!$A:$A),MATCH(K$1,enemy_skill_triggers!$1:$1,0)-MATCH($F$1,enemy_skill_triggers!$1:$1,0)+1),MATCH(K$1,enemy_skill_triggers!$1:$1,0)-MATCH($F$1,enemy_skill_triggers!$1:$1,0)+1,FALSE)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6" s="48">
        <f ca="1">VLOOKUP($F226,OFFSET(enemy_skill_triggers!$A$1,0,0,COUNTA(enemy_skill_triggers!$A:$A),MATCH(L$1,enemy_skill_triggers!$1:$1,0)-MATCH($F$1,enemy_skill_triggers!$1:$1,0)+1),MATCH(L$1,enemy_skill_triggers!$1:$1,0)-MATCH($F$1,enemy_skill_triggers!$1:$1,0)+1,FALSE)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6" s="48" t="str">
        <f ca="1">VLOOKUP($F226,OFFSET(enemy_skill_triggers!$A$1,0,0,COUNTA(enemy_skill_triggers!$A:$A),MATCH(M$1,enemy_skill_triggers!$1:$1,0)-MATCH($F$1,enemy_skill_triggers!$1:$1,0)+1),MATCH(M$1,enemy_skill_triggers!$1:$1,0)-MATCH($F$1,enemy_skill_triggers!$1:$1,0)+1,FALSE)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6" s="48" t="str">
        <f ca="1">VLOOKUP($F226,OFFSET(enemy_skill_triggers!$A$1,0,0,COUNTA(enemy_skill_triggers!$A:$A),MATCH(N$1,enemy_skill_triggers!$1:$1,0)-MATCH($F$1,enemy_skill_triggers!$1:$1,0)+1),MATCH(N$1,enemy_skill_triggers!$1:$1,0)-MATCH($F$1,enemy_skill_triggers!$1:$1,0)+1,FALSE)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6" s="48">
        <f ca="1">VLOOKUP($F226,OFFSET(enemy_skill_triggers!$A$1,0,0,COUNTA(enemy_skill_triggers!$A:$A),MATCH(O$1,enemy_skill_triggers!$1:$1,0)-MATCH($F$1,enemy_skill_triggers!$1:$1,0)+1),MATCH(O$1,enemy_skill_triggers!$1:$1,0)-MATCH($F$1,enemy_skill_triggers!$1:$1,0)+1,FALSE)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6" s="47"/>
      <c r="Q226" s="47"/>
      <c r="R226" s="47"/>
    </row>
    <row r="227" spans="1:18" ht="21" customHeight="1" x14ac:dyDescent="0.15">
      <c r="A227" s="39" t="str">
        <f t="shared" si="17"/>
        <v>47007215_47007506</v>
      </c>
      <c r="B227" s="169">
        <v>47007215</v>
      </c>
      <c r="C227" s="171">
        <v>47007506</v>
      </c>
      <c r="D227" s="46" t="str">
        <f ca="1">VLOOKUP($C227,OFFSET(enemy_skills!$A$1,0,0,COUNTA(enemy_skills!$A:$A),MATCH(D$1,enemy_skills!$1:$1,0)-MATCH("enemy_skill_id",enemy_skills!$1:$1,0)+1),MATCH(D$1,enemy_skills!$1:$1,0)-MATCH("enemy_skill_id",enemy_skills!$1:$1,0)+1,FALSE)</f>
        <v>(仕切り直しよ…仕切り直し…！)</v>
      </c>
      <c r="E227" s="46" t="str">
        <f ca="1">VLOOKUP($C227,OFFSET(enemy_skills!$A$1,0,0,COUNTA(enemy_skills!$A:$A),MATCH(E$1,enemy_skills!$1:$1,0)-MATCH("enemy_skill_id",enemy_skills!$1:$1,0)+1),MATCH(E$1,enemy_skills!$1:$1,0)-MATCH("enemy_skill_id",enemy_skills!$1:$1,0)+1,FALSE)</f>
        <v>黄パネルを吸収する程、ダメージがDOWNする攻撃</v>
      </c>
      <c r="F227" s="180">
        <v>47007506</v>
      </c>
      <c r="G227" s="48">
        <f ca="1">VLOOKUP($F227,OFFSET(enemy_skill_triggers!$A$1,0,0,COUNTA(enemy_skill_triggers!$A:$A),MATCH(G$1,enemy_skill_triggers!$1:$1,0)-MATCH($F$1,enemy_skill_triggers!$1:$1,0)+1),MATCH(G$1,enemy_skill_triggers!$1:$1,0)-MATCH($F$1,enemy_skill_triggers!$1:$1,0)+1,FALSE)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7" s="48">
        <f ca="1">VLOOKUP($F227,OFFSET(enemy_skill_triggers!$A$1,0,0,COUNTA(enemy_skill_triggers!$A:$A),MATCH(H$1,enemy_skill_triggers!$1:$1,0)-MATCH($F$1,enemy_skill_triggers!$1:$1,0)+1),MATCH(H$1,enemy_skill_triggers!$1:$1,0)-MATCH($F$1,enemy_skill_triggers!$1:$1,0)+1,FALSE)</f>
        <v>46</v>
      </c>
      <c r="I227" s="48">
        <f ca="1">VLOOKUP($F227,OFFSET(enemy_skill_triggers!$A$1,0,0,COUNTA(enemy_skill_triggers!$A:$A),MATCH(I$1,enemy_skill_triggers!$1:$1,0)-MATCH($F$1,enemy_skill_triggers!$1:$1,0)+1),MATCH(I$1,enemy_skill_triggers!$1:$1,0)-MATCH($F$1,enemy_skill_triggers!$1:$1,0)+1,FALSE)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7" s="48" t="str">
        <f ca="1">VLOOKUP($F227,OFFSET(enemy_skill_triggers!$A$1,0,0,COUNTA(enemy_skill_triggers!$A:$A),MATCH(J$1,enemy_skill_triggers!$1:$1,0)-MATCH($F$1,enemy_skill_triggers!$1:$1,0)+1),MATCH(J$1,enemy_skill_triggers!$1:$1,0)-MATCH($F$1,enemy_skill_triggers!$1:$1,0)+1,FALSE)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7" s="48" t="str">
        <f ca="1">VLOOKUP($F227,OFFSET(enemy_skill_triggers!$A$1,0,0,COUNTA(enemy_skill_triggers!$A:$A),MATCH(K$1,enemy_skill_triggers!$1:$1,0)-MATCH($F$1,enemy_skill_triggers!$1:$1,0)+1),MATCH(K$1,enemy_skill_triggers!$1:$1,0)-MATCH($F$1,enemy_skill_triggers!$1:$1,0)+1,FALSE)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7" s="48" t="str">
        <f ca="1">VLOOKUP($F227,OFFSET(enemy_skill_triggers!$A$1,0,0,COUNTA(enemy_skill_triggers!$A:$A),MATCH(L$1,enemy_skill_triggers!$1:$1,0)-MATCH($F$1,enemy_skill_triggers!$1:$1,0)+1),MATCH(L$1,enemy_skill_triggers!$1:$1,0)-MATCH($F$1,enemy_skill_triggers!$1:$1,0)+1,FALSE)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7" s="48" t="str">
        <f ca="1">VLOOKUP($F227,OFFSET(enemy_skill_triggers!$A$1,0,0,COUNTA(enemy_skill_triggers!$A:$A),MATCH(M$1,enemy_skill_triggers!$1:$1,0)-MATCH($F$1,enemy_skill_triggers!$1:$1,0)+1),MATCH(M$1,enemy_skill_triggers!$1:$1,0)-MATCH($F$1,enemy_skill_triggers!$1:$1,0)+1,FALSE)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7" s="48" t="str">
        <f ca="1">VLOOKUP($F227,OFFSET(enemy_skill_triggers!$A$1,0,0,COUNTA(enemy_skill_triggers!$A:$A),MATCH(N$1,enemy_skill_triggers!$1:$1,0)-MATCH($F$1,enemy_skill_triggers!$1:$1,0)+1),MATCH(N$1,enemy_skill_triggers!$1:$1,0)-MATCH($F$1,enemy_skill_triggers!$1:$1,0)+1,FALSE)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7" s="48">
        <f ca="1">VLOOKUP($F227,OFFSET(enemy_skill_triggers!$A$1,0,0,COUNTA(enemy_skill_triggers!$A:$A),MATCH(O$1,enemy_skill_triggers!$1:$1,0)-MATCH($F$1,enemy_skill_triggers!$1:$1,0)+1),MATCH(O$1,enemy_skill_triggers!$1:$1,0)-MATCH($F$1,enemy_skill_triggers!$1:$1,0)+1,FALSE)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7" s="47"/>
      <c r="Q227" s="47"/>
      <c r="R227" s="47"/>
    </row>
    <row r="228" spans="1:18" ht="21" customHeight="1" x14ac:dyDescent="0.15">
      <c r="A228" s="39" t="str">
        <f t="shared" si="17"/>
        <v>47007216_47007601</v>
      </c>
      <c r="B228" s="169">
        <v>47007216</v>
      </c>
      <c r="C228" s="169">
        <v>47007601</v>
      </c>
      <c r="D228" s="46" t="str">
        <f ca="1">VLOOKUP($C228,OFFSET(enemy_skills!$A$1,0,0,COUNTA(enemy_skills!$A:$A),MATCH(D$1,enemy_skills!$1:$1,0)-MATCH("enemy_skill_id",enemy_skills!$1:$1,0)+1),MATCH(D$1,enemy_skills!$1:$1,0)-MATCH("enemy_skill_id",enemy_skills!$1:$1,0)+1,FALSE)</f>
        <v>こ、これ！チョコ！_x000D_あんたのために…作ったの…！</v>
      </c>
      <c r="E228" s="46" t="str">
        <f ca="1">VLOOKUP($C228,OFFSET(enemy_skills!$A$1,0,0,COUNTA(enemy_skills!$A:$A),MATCH(E$1,enemy_skills!$1:$1,0)-MATCH("enemy_skill_id",enemy_skills!$1:$1,0)+1),MATCH(E$1,enemy_skills!$1:$1,0)-MATCH("enemy_skill_id",enemy_skills!$1:$1,0)+1,FALSE)</f>
        <v>状態異常耐性+3ターン後に残りHPの200%ダメージ！_x000D_【目をつむって真っ赤になっている…】</v>
      </c>
      <c r="F228" s="180">
        <v>47007601</v>
      </c>
      <c r="G228" s="48">
        <f ca="1">VLOOKUP($F228,OFFSET(enemy_skill_triggers!$A$1,0,0,COUNTA(enemy_skill_triggers!$A:$A),MATCH(G$1,enemy_skill_triggers!$1:$1,0)-MATCH($F$1,enemy_skill_triggers!$1:$1,0)+1),MATCH(G$1,enemy_skill_triggers!$1:$1,0)-MATCH($F$1,enemy_skill_triggers!$1:$1,0)+1,FALSE)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8" s="48" t="str">
        <f ca="1">VLOOKUP($F228,OFFSET(enemy_skill_triggers!$A$1,0,0,COUNTA(enemy_skill_triggers!$A:$A),MATCH(H$1,enemy_skill_triggers!$1:$1,0)-MATCH($F$1,enemy_skill_triggers!$1:$1,0)+1),MATCH(H$1,enemy_skill_triggers!$1:$1,0)-MATCH($F$1,enemy_skill_triggers!$1:$1,0)+1,FALSE)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8" s="48">
        <f ca="1">VLOOKUP($F228,OFFSET(enemy_skill_triggers!$A$1,0,0,COUNTA(enemy_skill_triggers!$A:$A),MATCH(I$1,enemy_skill_triggers!$1:$1,0)-MATCH($F$1,enemy_skill_triggers!$1:$1,0)+1),MATCH(I$1,enemy_skill_triggers!$1:$1,0)-MATCH($F$1,enemy_skill_triggers!$1:$1,0)+1,FALSE)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8" s="48" t="str">
        <f ca="1">VLOOKUP($F228,OFFSET(enemy_skill_triggers!$A$1,0,0,COUNTA(enemy_skill_triggers!$A:$A),MATCH(J$1,enemy_skill_triggers!$1:$1,0)-MATCH($F$1,enemy_skill_triggers!$1:$1,0)+1),MATCH(J$1,enemy_skill_triggers!$1:$1,0)-MATCH($F$1,enemy_skill_triggers!$1:$1,0)+1,FALSE)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8" s="48" t="str">
        <f ca="1">VLOOKUP($F228,OFFSET(enemy_skill_triggers!$A$1,0,0,COUNTA(enemy_skill_triggers!$A:$A),MATCH(K$1,enemy_skill_triggers!$1:$1,0)-MATCH($F$1,enemy_skill_triggers!$1:$1,0)+1),MATCH(K$1,enemy_skill_triggers!$1:$1,0)-MATCH($F$1,enemy_skill_triggers!$1:$1,0)+1,FALSE)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8" s="48">
        <f ca="1">VLOOKUP($F228,OFFSET(enemy_skill_triggers!$A$1,0,0,COUNTA(enemy_skill_triggers!$A:$A),MATCH(L$1,enemy_skill_triggers!$1:$1,0)-MATCH($F$1,enemy_skill_triggers!$1:$1,0)+1),MATCH(L$1,enemy_skill_triggers!$1:$1,0)-MATCH($F$1,enemy_skill_triggers!$1:$1,0)+1,FALSE)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8" s="48" t="str">
        <f ca="1">VLOOKUP($F228,OFFSET(enemy_skill_triggers!$A$1,0,0,COUNTA(enemy_skill_triggers!$A:$A),MATCH(M$1,enemy_skill_triggers!$1:$1,0)-MATCH($F$1,enemy_skill_triggers!$1:$1,0)+1),MATCH(M$1,enemy_skill_triggers!$1:$1,0)-MATCH($F$1,enemy_skill_triggers!$1:$1,0)+1,FALSE)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8" s="48" t="str">
        <f ca="1">VLOOKUP($F228,OFFSET(enemy_skill_triggers!$A$1,0,0,COUNTA(enemy_skill_triggers!$A:$A),MATCH(N$1,enemy_skill_triggers!$1:$1,0)-MATCH($F$1,enemy_skill_triggers!$1:$1,0)+1),MATCH(N$1,enemy_skill_triggers!$1:$1,0)-MATCH($F$1,enemy_skill_triggers!$1:$1,0)+1,FALSE)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8" s="48">
        <f ca="1">VLOOKUP($F228,OFFSET(enemy_skill_triggers!$A$1,0,0,COUNTA(enemy_skill_triggers!$A:$A),MATCH(O$1,enemy_skill_triggers!$1:$1,0)-MATCH($F$1,enemy_skill_triggers!$1:$1,0)+1),MATCH(O$1,enemy_skill_triggers!$1:$1,0)-MATCH($F$1,enemy_skill_triggers!$1:$1,0)+1,FALSE)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8" s="47"/>
      <c r="Q228" s="47"/>
      <c r="R228" s="47"/>
    </row>
    <row r="229" spans="1:18" ht="21" customHeight="1" x14ac:dyDescent="0.15">
      <c r="A229" s="39" t="str">
        <f t="shared" si="17"/>
        <v>47007216_47007681</v>
      </c>
      <c r="B229" s="169">
        <v>47007216</v>
      </c>
      <c r="C229" s="169">
        <v>47007681</v>
      </c>
      <c r="D229" s="46" t="str">
        <f ca="1">VLOOKUP($C229,OFFSET(enemy_skills!$A$1,0,0,COUNTA(enemy_skills!$A:$A),MATCH(D$1,enemy_skills!$1:$1,0)-MATCH("enemy_skill_id",enemy_skills!$1:$1,0)+1),MATCH(D$1,enemy_skills!$1:$1,0)-MATCH("enemy_skill_id",enemy_skills!$1:$1,0)+1,FALSE)</f>
        <v>(お願い…受け取って…！)</v>
      </c>
      <c r="E229" s="46" t="str">
        <f ca="1">VLOOKUP($C229,OFFSET(enemy_skills!$A$1,0,0,COUNTA(enemy_skills!$A:$A),MATCH(E$1,enemy_skills!$1:$1,0)-MATCH("enemy_skill_id",enemy_skills!$1:$1,0)+1),MATCH(E$1,enemy_skills!$1:$1,0)-MATCH("enemy_skill_id",enemy_skills!$1:$1,0)+1,FALSE)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ランダムでハートパネルに最大23個変換_x000D_【両肩が小刻みに震えている…】</v>
      </c>
      <c r="F229" s="180">
        <v>47007602</v>
      </c>
      <c r="G229" s="48">
        <f ca="1">VLOOKUP($F229,OFFSET(enemy_skill_triggers!$A$1,0,0,COUNTA(enemy_skill_triggers!$A:$A),MATCH(G$1,enemy_skill_triggers!$1:$1,0)-MATCH($F$1,enemy_skill_triggers!$1:$1,0)+1),MATCH(G$1,enemy_skill_triggers!$1:$1,0)-MATCH($F$1,enemy_skill_triggers!$1:$1,0)+1,FALSE)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9" s="48">
        <f ca="1">VLOOKUP($F229,OFFSET(enemy_skill_triggers!$A$1,0,0,COUNTA(enemy_skill_triggers!$A:$A),MATCH(H$1,enemy_skill_triggers!$1:$1,0)-MATCH($F$1,enemy_skill_triggers!$1:$1,0)+1),MATCH(H$1,enemy_skill_triggers!$1:$1,0)-MATCH($F$1,enemy_skill_triggers!$1:$1,0)+1,FALSE)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29" s="48">
        <f ca="1">VLOOKUP($F229,OFFSET(enemy_skill_triggers!$A$1,0,0,COUNTA(enemy_skill_triggers!$A:$A),MATCH(I$1,enemy_skill_triggers!$1:$1,0)-MATCH($F$1,enemy_skill_triggers!$1:$1,0)+1),MATCH(I$1,enemy_skill_triggers!$1:$1,0)-MATCH($F$1,enemy_skill_triggers!$1:$1,0)+1,FALSE)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9" s="48" t="str">
        <f ca="1">VLOOKUP($F229,OFFSET(enemy_skill_triggers!$A$1,0,0,COUNTA(enemy_skill_triggers!$A:$A),MATCH(J$1,enemy_skill_triggers!$1:$1,0)-MATCH($F$1,enemy_skill_triggers!$1:$1,0)+1),MATCH(J$1,enemy_skill_triggers!$1:$1,0)-MATCH($F$1,enemy_skill_triggers!$1:$1,0)+1,FALSE)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9" s="48" t="str">
        <f ca="1">VLOOKUP($F229,OFFSET(enemy_skill_triggers!$A$1,0,0,COUNTA(enemy_skill_triggers!$A:$A),MATCH(K$1,enemy_skill_triggers!$1:$1,0)-MATCH($F$1,enemy_skill_triggers!$1:$1,0)+1),MATCH(K$1,enemy_skill_triggers!$1:$1,0)-MATCH($F$1,enemy_skill_triggers!$1:$1,0)+1,FALSE)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9" s="48">
        <f ca="1">VLOOKUP($F229,OFFSET(enemy_skill_triggers!$A$1,0,0,COUNTA(enemy_skill_triggers!$A:$A),MATCH(L$1,enemy_skill_triggers!$1:$1,0)-MATCH($F$1,enemy_skill_triggers!$1:$1,0)+1),MATCH(L$1,enemy_skill_triggers!$1:$1,0)-MATCH($F$1,enemy_skill_triggers!$1:$1,0)+1,FALSE)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9" s="48">
        <f ca="1">VLOOKUP($F229,OFFSET(enemy_skill_triggers!$A$1,0,0,COUNTA(enemy_skill_triggers!$A:$A),MATCH(M$1,enemy_skill_triggers!$1:$1,0)-MATCH($F$1,enemy_skill_triggers!$1:$1,0)+1),MATCH(M$1,enemy_skill_triggers!$1:$1,0)-MATCH($F$1,enemy_skill_triggers!$1:$1,0)+1,FALSE)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9" s="48" t="str">
        <f ca="1">VLOOKUP($F229,OFFSET(enemy_skill_triggers!$A$1,0,0,COUNTA(enemy_skill_triggers!$A:$A),MATCH(N$1,enemy_skill_triggers!$1:$1,0)-MATCH($F$1,enemy_skill_triggers!$1:$1,0)+1),MATCH(N$1,enemy_skill_triggers!$1:$1,0)-MATCH($F$1,enemy_skill_triggers!$1:$1,0)+1,FALSE)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9" s="48">
        <f ca="1">VLOOKUP($F229,OFFSET(enemy_skill_triggers!$A$1,0,0,COUNTA(enemy_skill_triggers!$A:$A),MATCH(O$1,enemy_skill_triggers!$1:$1,0)-MATCH($F$1,enemy_skill_triggers!$1:$1,0)+1),MATCH(O$1,enemy_skill_triggers!$1:$1,0)-MATCH($F$1,enemy_skill_triggers!$1:$1,0)+1,FALSE)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9" s="47"/>
      <c r="Q229" s="47"/>
      <c r="R229" s="47"/>
    </row>
    <row r="230" spans="1:18" ht="21" customHeight="1" x14ac:dyDescent="0.15">
      <c r="A230" s="39" t="str">
        <f t="shared" si="17"/>
        <v>47007216_47007603</v>
      </c>
      <c r="B230" s="169">
        <v>47007216</v>
      </c>
      <c r="C230" s="171">
        <v>47007603</v>
      </c>
      <c r="D230" s="46" t="str">
        <f ca="1">VLOOKUP($C230,OFFSET(enemy_skills!$A$1,0,0,COUNTA(enemy_skills!$A:$A),MATCH(D$1,enemy_skills!$1:$1,0)-MATCH("enemy_skill_id",enemy_skills!$1:$1,0)+1),MATCH(D$1,enemy_skills!$1:$1,0)-MATCH("enemy_skill_id",enemy_skills!$1:$1,0)+1,FALSE)</f>
        <v>(早く…はやくはやくぅ…！)</v>
      </c>
      <c r="E230" s="46" t="str">
        <f ca="1">VLOOKUP($C230,OFFSET(enemy_skills!$A$1,0,0,COUNTA(enemy_skills!$A:$A),MATCH(E$1,enemy_skills!$1:$1,0)-MATCH("enemy_skill_id",enemy_skills!$1:$1,0)+1),MATCH(E$1,enemy_skills!$1:$1,0)-MATCH("enemy_skill_id",enemy_skills!$1:$1,0)+1,FALSE)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ランダムでハートパネルに最大23個変換_x000D_【煮え切らない態度に遂にプラリーヌが…！】</v>
      </c>
      <c r="F230" s="180">
        <v>47007603</v>
      </c>
      <c r="G230" s="48">
        <f ca="1">VLOOKUP($F230,OFFSET(enemy_skill_triggers!$A$1,0,0,COUNTA(enemy_skill_triggers!$A:$A),MATCH(G$1,enemy_skill_triggers!$1:$1,0)-MATCH($F$1,enemy_skill_triggers!$1:$1,0)+1),MATCH(G$1,enemy_skill_triggers!$1:$1,0)-MATCH($F$1,enemy_skill_triggers!$1:$1,0)+1,FALSE)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0" s="48">
        <f ca="1">VLOOKUP($F230,OFFSET(enemy_skill_triggers!$A$1,0,0,COUNTA(enemy_skill_triggers!$A:$A),MATCH(H$1,enemy_skill_triggers!$1:$1,0)-MATCH($F$1,enemy_skill_triggers!$1:$1,0)+1),MATCH(H$1,enemy_skill_triggers!$1:$1,0)-MATCH($F$1,enemy_skill_triggers!$1:$1,0)+1,FALSE)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230" s="48">
        <f ca="1">VLOOKUP($F230,OFFSET(enemy_skill_triggers!$A$1,0,0,COUNTA(enemy_skill_triggers!$A:$A),MATCH(I$1,enemy_skill_triggers!$1:$1,0)-MATCH($F$1,enemy_skill_triggers!$1:$1,0)+1),MATCH(I$1,enemy_skill_triggers!$1:$1,0)-MATCH($F$1,enemy_skill_triggers!$1:$1,0)+1,FALSE)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0" s="48" t="str">
        <f ca="1">VLOOKUP($F230,OFFSET(enemy_skill_triggers!$A$1,0,0,COUNTA(enemy_skill_triggers!$A:$A),MATCH(J$1,enemy_skill_triggers!$1:$1,0)-MATCH($F$1,enemy_skill_triggers!$1:$1,0)+1),MATCH(J$1,enemy_skill_triggers!$1:$1,0)-MATCH($F$1,enemy_skill_triggers!$1:$1,0)+1,FALSE)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0" s="48" t="str">
        <f ca="1">VLOOKUP($F230,OFFSET(enemy_skill_triggers!$A$1,0,0,COUNTA(enemy_skill_triggers!$A:$A),MATCH(K$1,enemy_skill_triggers!$1:$1,0)-MATCH($F$1,enemy_skill_triggers!$1:$1,0)+1),MATCH(K$1,enemy_skill_triggers!$1:$1,0)-MATCH($F$1,enemy_skill_triggers!$1:$1,0)+1,FALSE)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0" s="48">
        <f ca="1">VLOOKUP($F230,OFFSET(enemy_skill_triggers!$A$1,0,0,COUNTA(enemy_skill_triggers!$A:$A),MATCH(L$1,enemy_skill_triggers!$1:$1,0)-MATCH($F$1,enemy_skill_triggers!$1:$1,0)+1),MATCH(L$1,enemy_skill_triggers!$1:$1,0)-MATCH($F$1,enemy_skill_triggers!$1:$1,0)+1,FALSE)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0" s="48">
        <f ca="1">VLOOKUP($F230,OFFSET(enemy_skill_triggers!$A$1,0,0,COUNTA(enemy_skill_triggers!$A:$A),MATCH(M$1,enemy_skill_triggers!$1:$1,0)-MATCH($F$1,enemy_skill_triggers!$1:$1,0)+1),MATCH(M$1,enemy_skill_triggers!$1:$1,0)-MATCH($F$1,enemy_skill_triggers!$1:$1,0)+1,FALSE)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0" s="48" t="str">
        <f ca="1">VLOOKUP($F230,OFFSET(enemy_skill_triggers!$A$1,0,0,COUNTA(enemy_skill_triggers!$A:$A),MATCH(N$1,enemy_skill_triggers!$1:$1,0)-MATCH($F$1,enemy_skill_triggers!$1:$1,0)+1),MATCH(N$1,enemy_skill_triggers!$1:$1,0)-MATCH($F$1,enemy_skill_triggers!$1:$1,0)+1,FALSE)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0" s="48">
        <f ca="1">VLOOKUP($F230,OFFSET(enemy_skill_triggers!$A$1,0,0,COUNTA(enemy_skill_triggers!$A:$A),MATCH(O$1,enemy_skill_triggers!$1:$1,0)-MATCH($F$1,enemy_skill_triggers!$1:$1,0)+1),MATCH(O$1,enemy_skill_triggers!$1:$1,0)-MATCH($F$1,enemy_skill_triggers!$1:$1,0)+1,FALSE)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0" s="47"/>
      <c r="Q230" s="47"/>
      <c r="R230" s="47"/>
    </row>
    <row r="231" spans="1:18" ht="21" customHeight="1" x14ac:dyDescent="0.15">
      <c r="A231" s="39" t="str">
        <f t="shared" si="17"/>
        <v>47007216_47007604</v>
      </c>
      <c r="B231" s="169">
        <v>47007216</v>
      </c>
      <c r="C231" s="169">
        <v>47007604</v>
      </c>
      <c r="D231" s="46" t="str">
        <f ca="1">VLOOKUP($C231,OFFSET(enemy_skills!$A$1,0,0,COUNTA(enemy_skills!$A:$A),MATCH(D$1,enemy_skills!$1:$1,0)-MATCH("enemy_skill_id",enemy_skills!$1:$1,0)+1),MATCH(D$1,enemy_skills!$1:$1,0)-MATCH("enemy_skill_id",enemy_skills!$1:$1,0)+1,FALSE)</f>
        <v>さっさと受け取りなさいよぉ！_x000D_バカーーーッッ！！！</v>
      </c>
      <c r="E231" s="46" t="str">
        <f ca="1">VLOOKUP($C231,OFFSET(enemy_skills!$A$1,0,0,COUNTA(enemy_skills!$A:$A),MATCH(E$1,enemy_skills!$1:$1,0)-MATCH("enemy_skill_id",enemy_skills!$1:$1,0)+1),MATCH(E$1,enemy_skills!$1:$1,0)-MATCH("enemy_skill_id",enemy_skills!$1:$1,0)+1,FALSE)</f>
        <v>残りHPの200%ダメージ！</v>
      </c>
      <c r="F231" s="180">
        <v>47007604</v>
      </c>
      <c r="G231" s="48">
        <f ca="1">VLOOKUP($F231,OFFSET(enemy_skill_triggers!$A$1,0,0,COUNTA(enemy_skill_triggers!$A:$A),MATCH(G$1,enemy_skill_triggers!$1:$1,0)-MATCH($F$1,enemy_skill_triggers!$1:$1,0)+1),MATCH(G$1,enemy_skill_triggers!$1:$1,0)-MATCH($F$1,enemy_skill_triggers!$1:$1,0)+1,FALSE)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1" s="48">
        <f ca="1">VLOOKUP($F231,OFFSET(enemy_skill_triggers!$A$1,0,0,COUNTA(enemy_skill_triggers!$A:$A),MATCH(H$1,enemy_skill_triggers!$1:$1,0)-MATCH($F$1,enemy_skill_triggers!$1:$1,0)+1),MATCH(H$1,enemy_skill_triggers!$1:$1,0)-MATCH($F$1,enemy_skill_triggers!$1:$1,0)+1,FALSE)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231" s="48">
        <f ca="1">VLOOKUP($F231,OFFSET(enemy_skill_triggers!$A$1,0,0,COUNTA(enemy_skill_triggers!$A:$A),MATCH(I$1,enemy_skill_triggers!$1:$1,0)-MATCH($F$1,enemy_skill_triggers!$1:$1,0)+1),MATCH(I$1,enemy_skill_triggers!$1:$1,0)-MATCH($F$1,enemy_skill_triggers!$1:$1,0)+1,FALSE)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1" s="48" t="str">
        <f ca="1">VLOOKUP($F231,OFFSET(enemy_skill_triggers!$A$1,0,0,COUNTA(enemy_skill_triggers!$A:$A),MATCH(J$1,enemy_skill_triggers!$1:$1,0)-MATCH($F$1,enemy_skill_triggers!$1:$1,0)+1),MATCH(J$1,enemy_skill_triggers!$1:$1,0)-MATCH($F$1,enemy_skill_triggers!$1:$1,0)+1,FALSE)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1" s="48" t="str">
        <f ca="1">VLOOKUP($F231,OFFSET(enemy_skill_triggers!$A$1,0,0,COUNTA(enemy_skill_triggers!$A:$A),MATCH(K$1,enemy_skill_triggers!$1:$1,0)-MATCH($F$1,enemy_skill_triggers!$1:$1,0)+1),MATCH(K$1,enemy_skill_triggers!$1:$1,0)-MATCH($F$1,enemy_skill_triggers!$1:$1,0)+1,FALSE)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1" s="48">
        <f ca="1">VLOOKUP($F231,OFFSET(enemy_skill_triggers!$A$1,0,0,COUNTA(enemy_skill_triggers!$A:$A),MATCH(L$1,enemy_skill_triggers!$1:$1,0)-MATCH($F$1,enemy_skill_triggers!$1:$1,0)+1),MATCH(L$1,enemy_skill_triggers!$1:$1,0)-MATCH($F$1,enemy_skill_triggers!$1:$1,0)+1,FALSE)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1" s="48">
        <f ca="1">VLOOKUP($F231,OFFSET(enemy_skill_triggers!$A$1,0,0,COUNTA(enemy_skill_triggers!$A:$A),MATCH(M$1,enemy_skill_triggers!$1:$1,0)-MATCH($F$1,enemy_skill_triggers!$1:$1,0)+1),MATCH(M$1,enemy_skill_triggers!$1:$1,0)-MATCH($F$1,enemy_skill_triggers!$1:$1,0)+1,FALSE)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1" s="48" t="str">
        <f ca="1">VLOOKUP($F231,OFFSET(enemy_skill_triggers!$A$1,0,0,COUNTA(enemy_skill_triggers!$A:$A),MATCH(N$1,enemy_skill_triggers!$1:$1,0)-MATCH($F$1,enemy_skill_triggers!$1:$1,0)+1),MATCH(N$1,enemy_skill_triggers!$1:$1,0)-MATCH($F$1,enemy_skill_triggers!$1:$1,0)+1,FALSE)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1" s="48">
        <f ca="1">VLOOKUP($F231,OFFSET(enemy_skill_triggers!$A$1,0,0,COUNTA(enemy_skill_triggers!$A:$A),MATCH(O$1,enemy_skill_triggers!$1:$1,0)-MATCH($F$1,enemy_skill_triggers!$1:$1,0)+1),MATCH(O$1,enemy_skill_triggers!$1:$1,0)-MATCH($F$1,enemy_skill_triggers!$1:$1,0)+1,FALSE)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1" s="47"/>
      <c r="Q231" s="47"/>
      <c r="R231" s="47"/>
    </row>
    <row r="232" spans="1:18" ht="21" customHeight="1" x14ac:dyDescent="0.15">
      <c r="A232" s="39" t="str">
        <f t="shared" si="17"/>
        <v>47007216_47007605</v>
      </c>
      <c r="B232" s="169">
        <v>47007216</v>
      </c>
      <c r="C232" s="169">
        <v>47007605</v>
      </c>
      <c r="D232" s="46" t="str">
        <f ca="1">VLOOKUP($C232,OFFSET(enemy_skills!$A$1,0,0,COUNTA(enemy_skills!$A:$A),MATCH(D$1,enemy_skills!$1:$1,0)-MATCH("enemy_skill_id",enemy_skills!$1:$1,0)+1),MATCH(D$1,enemy_skills!$1:$1,0)-MATCH("enemy_skill_id",enemy_skills!$1:$1,0)+1,FALSE)</f>
        <v>考え直して…くれたの…？</v>
      </c>
      <c r="E232" s="46" t="str">
        <f ca="1">VLOOKUP($C232,OFFSET(enemy_skills!$A$1,0,0,COUNTA(enemy_skills!$A:$A),MATCH(E$1,enemy_skills!$1:$1,0)-MATCH("enemy_skill_id",enemy_skills!$1:$1,0)+1),MATCH(E$1,enemy_skills!$1:$1,0)-MATCH("enemy_skill_id",enemy_skills!$1:$1,0)+1,FALSE)</f>
        <v>このターンでプラリーヌのHPを削りきろう！</v>
      </c>
      <c r="F232" s="180">
        <v>47007605</v>
      </c>
      <c r="G232" s="48">
        <f ca="1">VLOOKUP($F232,OFFSET(enemy_skill_triggers!$A$1,0,0,COUNTA(enemy_skill_triggers!$A:$A),MATCH(G$1,enemy_skill_triggers!$1:$1,0)-MATCH($F$1,enemy_skill_triggers!$1:$1,0)+1),MATCH(G$1,enemy_skill_triggers!$1:$1,0)-MATCH($F$1,enemy_skill_triggers!$1:$1,0)+1,FALSE)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2" s="48">
        <f ca="1">VLOOKUP($F232,OFFSET(enemy_skill_triggers!$A$1,0,0,COUNTA(enemy_skill_triggers!$A:$A),MATCH(H$1,enemy_skill_triggers!$1:$1,0)-MATCH($F$1,enemy_skill_triggers!$1:$1,0)+1),MATCH(H$1,enemy_skill_triggers!$1:$1,0)-MATCH($F$1,enemy_skill_triggers!$1:$1,0)+1,FALSE)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32" s="48">
        <f ca="1">VLOOKUP($F232,OFFSET(enemy_skill_triggers!$A$1,0,0,COUNTA(enemy_skill_triggers!$A:$A),MATCH(I$1,enemy_skill_triggers!$1:$1,0)-MATCH($F$1,enemy_skill_triggers!$1:$1,0)+1),MATCH(I$1,enemy_skill_triggers!$1:$1,0)-MATCH($F$1,enemy_skill_triggers!$1:$1,0)+1,FALSE)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2" s="48" t="str">
        <f ca="1">VLOOKUP($F232,OFFSET(enemy_skill_triggers!$A$1,0,0,COUNTA(enemy_skill_triggers!$A:$A),MATCH(J$1,enemy_skill_triggers!$1:$1,0)-MATCH($F$1,enemy_skill_triggers!$1:$1,0)+1),MATCH(J$1,enemy_skill_triggers!$1:$1,0)-MATCH($F$1,enemy_skill_triggers!$1:$1,0)+1,FALSE)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2" s="48" t="str">
        <f ca="1">VLOOKUP($F232,OFFSET(enemy_skill_triggers!$A$1,0,0,COUNTA(enemy_skill_triggers!$A:$A),MATCH(K$1,enemy_skill_triggers!$1:$1,0)-MATCH($F$1,enemy_skill_triggers!$1:$1,0)+1),MATCH(K$1,enemy_skill_triggers!$1:$1,0)-MATCH($F$1,enemy_skill_triggers!$1:$1,0)+1,FALSE)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2" s="48" t="str">
        <f ca="1">VLOOKUP($F232,OFFSET(enemy_skill_triggers!$A$1,0,0,COUNTA(enemy_skill_triggers!$A:$A),MATCH(L$1,enemy_skill_triggers!$1:$1,0)-MATCH($F$1,enemy_skill_triggers!$1:$1,0)+1),MATCH(L$1,enemy_skill_triggers!$1:$1,0)-MATCH($F$1,enemy_skill_triggers!$1:$1,0)+1,FALSE)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2" s="48">
        <f ca="1">VLOOKUP($F232,OFFSET(enemy_skill_triggers!$A$1,0,0,COUNTA(enemy_skill_triggers!$A:$A),MATCH(M$1,enemy_skill_triggers!$1:$1,0)-MATCH($F$1,enemy_skill_triggers!$1:$1,0)+1),MATCH(M$1,enemy_skill_triggers!$1:$1,0)-MATCH($F$1,enemy_skill_triggers!$1:$1,0)+1,FALSE)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32" s="48" t="str">
        <f ca="1">VLOOKUP($F232,OFFSET(enemy_skill_triggers!$A$1,0,0,COUNTA(enemy_skill_triggers!$A:$A),MATCH(N$1,enemy_skill_triggers!$1:$1,0)-MATCH($F$1,enemy_skill_triggers!$1:$1,0)+1),MATCH(N$1,enemy_skill_triggers!$1:$1,0)-MATCH($F$1,enemy_skill_triggers!$1:$1,0)+1,FALSE)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2" s="48">
        <f ca="1">VLOOKUP($F232,OFFSET(enemy_skill_triggers!$A$1,0,0,COUNTA(enemy_skill_triggers!$A:$A),MATCH(O$1,enemy_skill_triggers!$1:$1,0)-MATCH($F$1,enemy_skill_triggers!$1:$1,0)+1),MATCH(O$1,enemy_skill_triggers!$1:$1,0)-MATCH($F$1,enemy_skill_triggers!$1:$1,0)+1,FALSE)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2" s="47"/>
      <c r="Q232" s="47"/>
      <c r="R232" s="47"/>
    </row>
    <row r="233" spans="1:18" ht="21" customHeight="1" x14ac:dyDescent="0.15">
      <c r="A233" s="39" t="str">
        <f t="shared" si="17"/>
        <v>47007216_47007606</v>
      </c>
      <c r="B233" s="169">
        <v>47007216</v>
      </c>
      <c r="C233" s="169">
        <v>47007606</v>
      </c>
      <c r="D233" s="46" t="str">
        <f ca="1">VLOOKUP($C233,OFFSET(enemy_skills!$A$1,0,0,COUNTA(enemy_skills!$A:$A),MATCH(D$1,enemy_skills!$1:$1,0)-MATCH("enemy_skill_id",enemy_skills!$1:$1,0)+1),MATCH(D$1,enemy_skills!$1:$1,0)-MATCH("enemy_skill_id",enemy_skills!$1:$1,0)+1,FALSE)</f>
        <v>アタシをからかって楽しい…！？_x000D_ホント…バカァ！！！</v>
      </c>
      <c r="E233" s="46" t="str">
        <f ca="1">VLOOKUP($C233,OFFSET(enemy_skills!$A$1,0,0,COUNTA(enemy_skills!$A:$A),MATCH(E$1,enemy_skills!$1:$1,0)-MATCH("enemy_skill_id",enemy_skills!$1:$1,0)+1),MATCH(E$1,enemy_skills!$1:$1,0)-MATCH("enemy_skill_id",enemy_skills!$1:$1,0)+1,FALSE)</f>
        <v>残りHPの200%ダメージ！</v>
      </c>
      <c r="F233" s="180">
        <v>47007606</v>
      </c>
      <c r="G233" s="48">
        <f ca="1">VLOOKUP($F233,OFFSET(enemy_skill_triggers!$A$1,0,0,COUNTA(enemy_skill_triggers!$A:$A),MATCH(G$1,enemy_skill_triggers!$1:$1,0)-MATCH($F$1,enemy_skill_triggers!$1:$1,0)+1),MATCH(G$1,enemy_skill_triggers!$1:$1,0)-MATCH($F$1,enemy_skill_triggers!$1:$1,0)+1,FALSE)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3" s="48">
        <f ca="1">VLOOKUP($F233,OFFSET(enemy_skill_triggers!$A$1,0,0,COUNTA(enemy_skill_triggers!$A:$A),MATCH(H$1,enemy_skill_triggers!$1:$1,0)-MATCH($F$1,enemy_skill_triggers!$1:$1,0)+1),MATCH(H$1,enemy_skill_triggers!$1:$1,0)-MATCH($F$1,enemy_skill_triggers!$1:$1,0)+1,FALSE)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233" s="48">
        <f ca="1">VLOOKUP($F233,OFFSET(enemy_skill_triggers!$A$1,0,0,COUNTA(enemy_skill_triggers!$A:$A),MATCH(I$1,enemy_skill_triggers!$1:$1,0)-MATCH($F$1,enemy_skill_triggers!$1:$1,0)+1),MATCH(I$1,enemy_skill_triggers!$1:$1,0)-MATCH($F$1,enemy_skill_triggers!$1:$1,0)+1,FALSE)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3" s="48" t="str">
        <f ca="1">VLOOKUP($F233,OFFSET(enemy_skill_triggers!$A$1,0,0,COUNTA(enemy_skill_triggers!$A:$A),MATCH(J$1,enemy_skill_triggers!$1:$1,0)-MATCH($F$1,enemy_skill_triggers!$1:$1,0)+1),MATCH(J$1,enemy_skill_triggers!$1:$1,0)-MATCH($F$1,enemy_skill_triggers!$1:$1,0)+1,FALSE)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3" s="48" t="str">
        <f ca="1">VLOOKUP($F233,OFFSET(enemy_skill_triggers!$A$1,0,0,COUNTA(enemy_skill_triggers!$A:$A),MATCH(K$1,enemy_skill_triggers!$1:$1,0)-MATCH($F$1,enemy_skill_triggers!$1:$1,0)+1),MATCH(K$1,enemy_skill_triggers!$1:$1,0)-MATCH($F$1,enemy_skill_triggers!$1:$1,0)+1,FALSE)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3" s="48" t="str">
        <f ca="1">VLOOKUP($F233,OFFSET(enemy_skill_triggers!$A$1,0,0,COUNTA(enemy_skill_triggers!$A:$A),MATCH(L$1,enemy_skill_triggers!$1:$1,0)-MATCH($F$1,enemy_skill_triggers!$1:$1,0)+1),MATCH(L$1,enemy_skill_triggers!$1:$1,0)-MATCH($F$1,enemy_skill_triggers!$1:$1,0)+1,FALSE)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3" s="48">
        <f ca="1">VLOOKUP($F233,OFFSET(enemy_skill_triggers!$A$1,0,0,COUNTA(enemy_skill_triggers!$A:$A),MATCH(M$1,enemy_skill_triggers!$1:$1,0)-MATCH($F$1,enemy_skill_triggers!$1:$1,0)+1),MATCH(M$1,enemy_skill_triggers!$1:$1,0)-MATCH($F$1,enemy_skill_triggers!$1:$1,0)+1,FALSE)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3" s="48" t="str">
        <f ca="1">VLOOKUP($F233,OFFSET(enemy_skill_triggers!$A$1,0,0,COUNTA(enemy_skill_triggers!$A:$A),MATCH(N$1,enemy_skill_triggers!$1:$1,0)-MATCH($F$1,enemy_skill_triggers!$1:$1,0)+1),MATCH(N$1,enemy_skill_triggers!$1:$1,0)-MATCH($F$1,enemy_skill_triggers!$1:$1,0)+1,FALSE)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3" s="48">
        <f ca="1">VLOOKUP($F233,OFFSET(enemy_skill_triggers!$A$1,0,0,COUNTA(enemy_skill_triggers!$A:$A),MATCH(O$1,enemy_skill_triggers!$1:$1,0)-MATCH($F$1,enemy_skill_triggers!$1:$1,0)+1),MATCH(O$1,enemy_skill_triggers!$1:$1,0)-MATCH($F$1,enemy_skill_triggers!$1:$1,0)+1,FALSE)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3" s="47"/>
      <c r="Q233" s="47"/>
      <c r="R233" s="47"/>
    </row>
    <row r="234" spans="1:18" ht="21" customHeight="1" x14ac:dyDescent="0.15">
      <c r="A234" s="39" t="str">
        <f t="shared" si="17"/>
        <v>47007216_47007682</v>
      </c>
      <c r="B234" s="169">
        <v>47007216</v>
      </c>
      <c r="C234" s="169">
        <v>47007682</v>
      </c>
      <c r="D234" s="46" t="str">
        <f ca="1">VLOOKUP($C234,OFFSET(enemy_skills!$A$1,0,0,COUNTA(enemy_skills!$A:$A),MATCH(D$1,enemy_skills!$1:$1,0)-MATCH("enemy_skill_id",enemy_skills!$1:$1,0)+1),MATCH(D$1,enemy_skills!$1:$1,0)-MATCH("enemy_skill_id",enemy_skills!$1:$1,0)+1,FALSE)</f>
        <v>う、受け取って…くれた…？</v>
      </c>
      <c r="E234" s="46" t="str">
        <f ca="1">VLOOKUP($C234,OFFSET(enemy_skills!$A$1,0,0,COUNTA(enemy_skills!$A:$A),MATCH(E$1,enemy_skills!$1:$1,0)-MATCH("enemy_skill_id",enemy_skills!$1:$1,0)+1),MATCH(E$1,enemy_skills!$1:$1,0)-MATCH("enemy_skill_id",enemy_skills!$1:$1,0)+1,FALSE)</f>
        <v>こっこれは義理…！_x000D_なんかじゃない…んだから…</v>
      </c>
      <c r="F234" s="180">
        <v>47007607</v>
      </c>
      <c r="G234" s="48">
        <f ca="1">VLOOKUP($F234,OFFSET(enemy_skill_triggers!$A$1,0,0,COUNTA(enemy_skill_triggers!$A:$A),MATCH(G$1,enemy_skill_triggers!$1:$1,0)-MATCH($F$1,enemy_skill_triggers!$1:$1,0)+1),MATCH(G$1,enemy_skill_triggers!$1:$1,0)-MATCH($F$1,enemy_skill_triggers!$1:$1,0)+1,FALSE)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4" s="48" t="str">
        <f ca="1">VLOOKUP($F234,OFFSET(enemy_skill_triggers!$A$1,0,0,COUNTA(enemy_skill_triggers!$A:$A),MATCH(H$1,enemy_skill_triggers!$1:$1,0)-MATCH($F$1,enemy_skill_triggers!$1:$1,0)+1),MATCH(H$1,enemy_skill_triggers!$1:$1,0)-MATCH($F$1,enemy_skill_triggers!$1:$1,0)+1,FALSE)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4" s="48">
        <f ca="1">VLOOKUP($F234,OFFSET(enemy_skill_triggers!$A$1,0,0,COUNTA(enemy_skill_triggers!$A:$A),MATCH(I$1,enemy_skill_triggers!$1:$1,0)-MATCH($F$1,enemy_skill_triggers!$1:$1,0)+1),MATCH(I$1,enemy_skill_triggers!$1:$1,0)-MATCH($F$1,enemy_skill_triggers!$1:$1,0)+1,FALSE)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4" s="48" t="str">
        <f ca="1">VLOOKUP($F234,OFFSET(enemy_skill_triggers!$A$1,0,0,COUNTA(enemy_skill_triggers!$A:$A),MATCH(J$1,enemy_skill_triggers!$1:$1,0)-MATCH($F$1,enemy_skill_triggers!$1:$1,0)+1),MATCH(J$1,enemy_skill_triggers!$1:$1,0)-MATCH($F$1,enemy_skill_triggers!$1:$1,0)+1,FALSE)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4" s="48" t="str">
        <f ca="1">VLOOKUP($F234,OFFSET(enemy_skill_triggers!$A$1,0,0,COUNTA(enemy_skill_triggers!$A:$A),MATCH(K$1,enemy_skill_triggers!$1:$1,0)-MATCH($F$1,enemy_skill_triggers!$1:$1,0)+1),MATCH(K$1,enemy_skill_triggers!$1:$1,0)-MATCH($F$1,enemy_skill_triggers!$1:$1,0)+1,FALSE)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4" s="48">
        <f ca="1">VLOOKUP($F234,OFFSET(enemy_skill_triggers!$A$1,0,0,COUNTA(enemy_skill_triggers!$A:$A),MATCH(L$1,enemy_skill_triggers!$1:$1,0)-MATCH($F$1,enemy_skill_triggers!$1:$1,0)+1),MATCH(L$1,enemy_skill_triggers!$1:$1,0)-MATCH($F$1,enemy_skill_triggers!$1:$1,0)+1,FALSE)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4" s="48" t="str">
        <f ca="1">VLOOKUP($F234,OFFSET(enemy_skill_triggers!$A$1,0,0,COUNTA(enemy_skill_triggers!$A:$A),MATCH(M$1,enemy_skill_triggers!$1:$1,0)-MATCH($F$1,enemy_skill_triggers!$1:$1,0)+1),MATCH(M$1,enemy_skill_triggers!$1:$1,0)-MATCH($F$1,enemy_skill_triggers!$1:$1,0)+1,FALSE)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4" s="48">
        <f ca="1">VLOOKUP($F234,OFFSET(enemy_skill_triggers!$A$1,0,0,COUNTA(enemy_skill_triggers!$A:$A),MATCH(N$1,enemy_skill_triggers!$1:$1,0)-MATCH($F$1,enemy_skill_triggers!$1:$1,0)+1),MATCH(N$1,enemy_skill_triggers!$1:$1,0)-MATCH($F$1,enemy_skill_triggers!$1:$1,0)+1,FALSE)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34" s="48">
        <f ca="1">VLOOKUP($F234,OFFSET(enemy_skill_triggers!$A$1,0,0,COUNTA(enemy_skill_triggers!$A:$A),MATCH(O$1,enemy_skill_triggers!$1:$1,0)-MATCH($F$1,enemy_skill_triggers!$1:$1,0)+1),MATCH(O$1,enemy_skill_triggers!$1:$1,0)-MATCH($F$1,enemy_skill_triggers!$1:$1,0)+1,FALSE)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4" s="47"/>
      <c r="Q234" s="47"/>
      <c r="R234" s="47"/>
    </row>
    <row r="235" spans="1:18" ht="21" customHeight="1" x14ac:dyDescent="0.15">
      <c r="A235" s="39" t="str">
        <f t="shared" si="17"/>
        <v>47007216_47007683</v>
      </c>
      <c r="B235" s="169">
        <v>47007216</v>
      </c>
      <c r="C235" s="171">
        <v>47007683</v>
      </c>
      <c r="D235" s="46" t="str">
        <f ca="1">VLOOKUP($C235,OFFSET(enemy_skills!$A$1,0,0,COUNTA(enemy_skills!$A:$A),MATCH(D$1,enemy_skills!$1:$1,0)-MATCH("enemy_skill_id",enemy_skills!$1:$1,0)+1),MATCH(D$1,enemy_skills!$1:$1,0)-MATCH("enemy_skill_id",enemy_skills!$1:$1,0)+1,FALSE)</f>
        <v>…[player_name]…_x000D_受け取ってくれた…？</v>
      </c>
      <c r="E235" s="46" t="str">
        <f ca="1">VLOOKUP($C235,OFFSET(enemy_skills!$A$1,0,0,COUNTA(enemy_skills!$A:$A),MATCH(E$1,enemy_skills!$1:$1,0)-MATCH("enemy_skill_id",enemy_skills!$1:$1,0)+1),MATCH(E$1,enemy_skills!$1:$1,0)-MATCH("enemy_skill_id",enemy_skills!$1:$1,0)+1,FALSE)</f>
        <v>も、もっと早く受け取ってよね…バカ…</v>
      </c>
      <c r="F235" s="180">
        <v>47007608</v>
      </c>
      <c r="G235" s="48">
        <f ca="1">VLOOKUP($F235,OFFSET(enemy_skill_triggers!$A$1,0,0,COUNTA(enemy_skill_triggers!$A:$A),MATCH(G$1,enemy_skill_triggers!$1:$1,0)-MATCH($F$1,enemy_skill_triggers!$1:$1,0)+1),MATCH(G$1,enemy_skill_triggers!$1:$1,0)-MATCH($F$1,enemy_skill_triggers!$1:$1,0)+1,FALSE)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5" s="48">
        <f ca="1">VLOOKUP($F235,OFFSET(enemy_skill_triggers!$A$1,0,0,COUNTA(enemy_skill_triggers!$A:$A),MATCH(H$1,enemy_skill_triggers!$1:$1,0)-MATCH($F$1,enemy_skill_triggers!$1:$1,0)+1),MATCH(H$1,enemy_skill_triggers!$1:$1,0)-MATCH($F$1,enemy_skill_triggers!$1:$1,0)+1,FALSE)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35" s="48">
        <f ca="1">VLOOKUP($F235,OFFSET(enemy_skill_triggers!$A$1,0,0,COUNTA(enemy_skill_triggers!$A:$A),MATCH(I$1,enemy_skill_triggers!$1:$1,0)-MATCH($F$1,enemy_skill_triggers!$1:$1,0)+1),MATCH(I$1,enemy_skill_triggers!$1:$1,0)-MATCH($F$1,enemy_skill_triggers!$1:$1,0)+1,FALSE)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5" s="48" t="str">
        <f ca="1">VLOOKUP($F235,OFFSET(enemy_skill_triggers!$A$1,0,0,COUNTA(enemy_skill_triggers!$A:$A),MATCH(J$1,enemy_skill_triggers!$1:$1,0)-MATCH($F$1,enemy_skill_triggers!$1:$1,0)+1),MATCH(J$1,enemy_skill_triggers!$1:$1,0)-MATCH($F$1,enemy_skill_triggers!$1:$1,0)+1,FALSE)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5" s="48" t="str">
        <f ca="1">VLOOKUP($F235,OFFSET(enemy_skill_triggers!$A$1,0,0,COUNTA(enemy_skill_triggers!$A:$A),MATCH(K$1,enemy_skill_triggers!$1:$1,0)-MATCH($F$1,enemy_skill_triggers!$1:$1,0)+1),MATCH(K$1,enemy_skill_triggers!$1:$1,0)-MATCH($F$1,enemy_skill_triggers!$1:$1,0)+1,FALSE)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5" s="48">
        <f ca="1">VLOOKUP($F235,OFFSET(enemy_skill_triggers!$A$1,0,0,COUNTA(enemy_skill_triggers!$A:$A),MATCH(L$1,enemy_skill_triggers!$1:$1,0)-MATCH($F$1,enemy_skill_triggers!$1:$1,0)+1),MATCH(L$1,enemy_skill_triggers!$1:$1,0)-MATCH($F$1,enemy_skill_triggers!$1:$1,0)+1,FALSE)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5" s="48" t="str">
        <f ca="1">VLOOKUP($F235,OFFSET(enemy_skill_triggers!$A$1,0,0,COUNTA(enemy_skill_triggers!$A:$A),MATCH(M$1,enemy_skill_triggers!$1:$1,0)-MATCH($F$1,enemy_skill_triggers!$1:$1,0)+1),MATCH(M$1,enemy_skill_triggers!$1:$1,0)-MATCH($F$1,enemy_skill_triggers!$1:$1,0)+1,FALSE)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5" s="48">
        <f ca="1">VLOOKUP($F235,OFFSET(enemy_skill_triggers!$A$1,0,0,COUNTA(enemy_skill_triggers!$A:$A),MATCH(N$1,enemy_skill_triggers!$1:$1,0)-MATCH($F$1,enemy_skill_triggers!$1:$1,0)+1),MATCH(N$1,enemy_skill_triggers!$1:$1,0)-MATCH($F$1,enemy_skill_triggers!$1:$1,0)+1,FALSE)</f>
        <v>1352</v>
      </c>
      <c r="O235" s="48">
        <f ca="1">VLOOKUP($F235,OFFSET(enemy_skill_triggers!$A$1,0,0,COUNTA(enemy_skill_triggers!$A:$A),MATCH(O$1,enemy_skill_triggers!$1:$1,0)-MATCH($F$1,enemy_skill_triggers!$1:$1,0)+1),MATCH(O$1,enemy_skill_triggers!$1:$1,0)-MATCH($F$1,enemy_skill_triggers!$1:$1,0)+1,FALSE)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5" s="47"/>
      <c r="Q235" s="47"/>
      <c r="R235" s="47"/>
    </row>
    <row r="236" spans="1:18" ht="21" customHeight="1" x14ac:dyDescent="0.15">
      <c r="A236" s="39" t="str">
        <f t="shared" si="17"/>
        <v>47007216_47007683</v>
      </c>
      <c r="B236" s="169">
        <v>47007216</v>
      </c>
      <c r="C236" s="171">
        <v>47007683</v>
      </c>
      <c r="D236" s="46" t="str">
        <f ca="1">VLOOKUP($C236,OFFSET(enemy_skills!$A$1,0,0,COUNTA(enemy_skills!$A:$A),MATCH(D$1,enemy_skills!$1:$1,0)-MATCH("enemy_skill_id",enemy_skills!$1:$1,0)+1),MATCH(D$1,enemy_skills!$1:$1,0)-MATCH("enemy_skill_id",enemy_skills!$1:$1,0)+1,FALSE)</f>
        <v>…[player_name]…_x000D_受け取ってくれた…？</v>
      </c>
      <c r="E236" s="46" t="str">
        <f ca="1">VLOOKUP($C236,OFFSET(enemy_skills!$A$1,0,0,COUNTA(enemy_skills!$A:$A),MATCH(E$1,enemy_skills!$1:$1,0)-MATCH("enemy_skill_id",enemy_skills!$1:$1,0)+1),MATCH(E$1,enemy_skills!$1:$1,0)-MATCH("enemy_skill_id",enemy_skills!$1:$1,0)+1,FALSE)</f>
        <v>も、もっと早く受け取ってよね…バカ…</v>
      </c>
      <c r="F236" s="180">
        <v>47007609</v>
      </c>
      <c r="G236" s="48">
        <f ca="1">VLOOKUP($F236,OFFSET(enemy_skill_triggers!$A$1,0,0,COUNTA(enemy_skill_triggers!$A:$A),MATCH(G$1,enemy_skill_triggers!$1:$1,0)-MATCH($F$1,enemy_skill_triggers!$1:$1,0)+1),MATCH(G$1,enemy_skill_triggers!$1:$1,0)-MATCH($F$1,enemy_skill_triggers!$1:$1,0)+1,FALSE)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6" s="48">
        <f ca="1">VLOOKUP($F236,OFFSET(enemy_skill_triggers!$A$1,0,0,COUNTA(enemy_skill_triggers!$A:$A),MATCH(H$1,enemy_skill_triggers!$1:$1,0)-MATCH($F$1,enemy_skill_triggers!$1:$1,0)+1),MATCH(H$1,enemy_skill_triggers!$1:$1,0)-MATCH($F$1,enemy_skill_triggers!$1:$1,0)+1,FALSE)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236" s="48">
        <f ca="1">VLOOKUP($F236,OFFSET(enemy_skill_triggers!$A$1,0,0,COUNTA(enemy_skill_triggers!$A:$A),MATCH(I$1,enemy_skill_triggers!$1:$1,0)-MATCH($F$1,enemy_skill_triggers!$1:$1,0)+1),MATCH(I$1,enemy_skill_triggers!$1:$1,0)-MATCH($F$1,enemy_skill_triggers!$1:$1,0)+1,FALSE)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6" s="48" t="str">
        <f ca="1">VLOOKUP($F236,OFFSET(enemy_skill_triggers!$A$1,0,0,COUNTA(enemy_skill_triggers!$A:$A),MATCH(J$1,enemy_skill_triggers!$1:$1,0)-MATCH($F$1,enemy_skill_triggers!$1:$1,0)+1),MATCH(J$1,enemy_skill_triggers!$1:$1,0)-MATCH($F$1,enemy_skill_triggers!$1:$1,0)+1,FALSE)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6" s="48" t="str">
        <f ca="1">VLOOKUP($F236,OFFSET(enemy_skill_triggers!$A$1,0,0,COUNTA(enemy_skill_triggers!$A:$A),MATCH(K$1,enemy_skill_triggers!$1:$1,0)-MATCH($F$1,enemy_skill_triggers!$1:$1,0)+1),MATCH(K$1,enemy_skill_triggers!$1:$1,0)-MATCH($F$1,enemy_skill_triggers!$1:$1,0)+1,FALSE)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6" s="48">
        <f ca="1">VLOOKUP($F236,OFFSET(enemy_skill_triggers!$A$1,0,0,COUNTA(enemy_skill_triggers!$A:$A),MATCH(L$1,enemy_skill_triggers!$1:$1,0)-MATCH($F$1,enemy_skill_triggers!$1:$1,0)+1),MATCH(L$1,enemy_skill_triggers!$1:$1,0)-MATCH($F$1,enemy_skill_triggers!$1:$1,0)+1,FALSE)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6" s="48" t="str">
        <f ca="1">VLOOKUP($F236,OFFSET(enemy_skill_triggers!$A$1,0,0,COUNTA(enemy_skill_triggers!$A:$A),MATCH(M$1,enemy_skill_triggers!$1:$1,0)-MATCH($F$1,enemy_skill_triggers!$1:$1,0)+1),MATCH(M$1,enemy_skill_triggers!$1:$1,0)-MATCH($F$1,enemy_skill_triggers!$1:$1,0)+1,FALSE)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6" s="48">
        <f ca="1">VLOOKUP($F236,OFFSET(enemy_skill_triggers!$A$1,0,0,COUNTA(enemy_skill_triggers!$A:$A),MATCH(N$1,enemy_skill_triggers!$1:$1,0)-MATCH($F$1,enemy_skill_triggers!$1:$1,0)+1),MATCH(N$1,enemy_skill_triggers!$1:$1,0)-MATCH($F$1,enemy_skill_triggers!$1:$1,0)+1,FALSE)</f>
        <v>1353</v>
      </c>
      <c r="O236" s="48">
        <f ca="1">VLOOKUP($F236,OFFSET(enemy_skill_triggers!$A$1,0,0,COUNTA(enemy_skill_triggers!$A:$A),MATCH(O$1,enemy_skill_triggers!$1:$1,0)-MATCH($F$1,enemy_skill_triggers!$1:$1,0)+1),MATCH(O$1,enemy_skill_triggers!$1:$1,0)-MATCH($F$1,enemy_skill_triggers!$1:$1,0)+1,FALSE)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6" s="47"/>
      <c r="Q236" s="47"/>
      <c r="R236" s="47"/>
    </row>
    <row r="237" spans="1:18" ht="21" customHeight="1" x14ac:dyDescent="0.15">
      <c r="A237" s="39" t="str">
        <f t="shared" ref="A237:A271" si="18">B237&amp;"_"&amp;C237</f>
        <v>47007216_47007684</v>
      </c>
      <c r="B237" s="169">
        <v>47007216</v>
      </c>
      <c r="C237" s="171">
        <v>47007684</v>
      </c>
      <c r="D237" s="46" t="str">
        <f ca="1">VLOOKUP($C237,OFFSET(enemy_skills!$A$1,0,0,COUNTA(enemy_skills!$A:$A),MATCH(D$1,enemy_skills!$1:$1,0)-MATCH("enemy_skill_id",enemy_skills!$1:$1,0)+1),MATCH(D$1,enemy_skills!$1:$1,0)-MATCH("enemy_skill_id",enemy_skills!$1:$1,0)+1,FALSE)</f>
        <v>…[player_name]…_x000D_受け取ってくれた…？</v>
      </c>
      <c r="E237" s="46" t="str">
        <f ca="1">VLOOKUP($C237,OFFSET(enemy_skills!$A$1,0,0,COUNTA(enemy_skills!$A:$A),MATCH(E$1,enemy_skills!$1:$1,0)-MATCH("enemy_skill_id",enemy_skills!$1:$1,0)+1),MATCH(E$1,enemy_skills!$1:$1,0)-MATCH("enemy_skill_id",enemy_skills!$1:$1,0)+1,FALSE)</f>
        <v>あんたの事本当は…うぅ、何もないんだから…！</v>
      </c>
      <c r="F237" s="180">
        <v>47007610</v>
      </c>
      <c r="G237" s="48">
        <f ca="1">VLOOKUP($F237,OFFSET(enemy_skill_triggers!$A$1,0,0,COUNTA(enemy_skill_triggers!$A:$A),MATCH(G$1,enemy_skill_triggers!$1:$1,0)-MATCH($F$1,enemy_skill_triggers!$1:$1,0)+1),MATCH(G$1,enemy_skill_triggers!$1:$1,0)-MATCH($F$1,enemy_skill_triggers!$1:$1,0)+1,FALSE)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7" s="48">
        <f ca="1">VLOOKUP($F237,OFFSET(enemy_skill_triggers!$A$1,0,0,COUNTA(enemy_skill_triggers!$A:$A),MATCH(H$1,enemy_skill_triggers!$1:$1,0)-MATCH($F$1,enemy_skill_triggers!$1:$1,0)+1),MATCH(H$1,enemy_skill_triggers!$1:$1,0)-MATCH($F$1,enemy_skill_triggers!$1:$1,0)+1,FALSE)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237" s="48">
        <f ca="1">VLOOKUP($F237,OFFSET(enemy_skill_triggers!$A$1,0,0,COUNTA(enemy_skill_triggers!$A:$A),MATCH(I$1,enemy_skill_triggers!$1:$1,0)-MATCH($F$1,enemy_skill_triggers!$1:$1,0)+1),MATCH(I$1,enemy_skill_triggers!$1:$1,0)-MATCH($F$1,enemy_skill_triggers!$1:$1,0)+1,FALSE)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7" s="48" t="str">
        <f ca="1">VLOOKUP($F237,OFFSET(enemy_skill_triggers!$A$1,0,0,COUNTA(enemy_skill_triggers!$A:$A),MATCH(J$1,enemy_skill_triggers!$1:$1,0)-MATCH($F$1,enemy_skill_triggers!$1:$1,0)+1),MATCH(J$1,enemy_skill_triggers!$1:$1,0)-MATCH($F$1,enemy_skill_triggers!$1:$1,0)+1,FALSE)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7" s="48" t="str">
        <f ca="1">VLOOKUP($F237,OFFSET(enemy_skill_triggers!$A$1,0,0,COUNTA(enemy_skill_triggers!$A:$A),MATCH(K$1,enemy_skill_triggers!$1:$1,0)-MATCH($F$1,enemy_skill_triggers!$1:$1,0)+1),MATCH(K$1,enemy_skill_triggers!$1:$1,0)-MATCH($F$1,enemy_skill_triggers!$1:$1,0)+1,FALSE)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7" s="48">
        <f ca="1">VLOOKUP($F237,OFFSET(enemy_skill_triggers!$A$1,0,0,COUNTA(enemy_skill_triggers!$A:$A),MATCH(L$1,enemy_skill_triggers!$1:$1,0)-MATCH($F$1,enemy_skill_triggers!$1:$1,0)+1),MATCH(L$1,enemy_skill_triggers!$1:$1,0)-MATCH($F$1,enemy_skill_triggers!$1:$1,0)+1,FALSE)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7" s="48" t="str">
        <f ca="1">VLOOKUP($F237,OFFSET(enemy_skill_triggers!$A$1,0,0,COUNTA(enemy_skill_triggers!$A:$A),MATCH(M$1,enemy_skill_triggers!$1:$1,0)-MATCH($F$1,enemy_skill_triggers!$1:$1,0)+1),MATCH(M$1,enemy_skill_triggers!$1:$1,0)-MATCH($F$1,enemy_skill_triggers!$1:$1,0)+1,FALSE)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7" s="48">
        <f ca="1">VLOOKUP($F237,OFFSET(enemy_skill_triggers!$A$1,0,0,COUNTA(enemy_skill_triggers!$A:$A),MATCH(N$1,enemy_skill_triggers!$1:$1,0)-MATCH($F$1,enemy_skill_triggers!$1:$1,0)+1),MATCH(N$1,enemy_skill_triggers!$1:$1,0)-MATCH($F$1,enemy_skill_triggers!$1:$1,0)+1,FALSE)</f>
        <v>1363</v>
      </c>
      <c r="O237" s="48">
        <f ca="1">VLOOKUP($F237,OFFSET(enemy_skill_triggers!$A$1,0,0,COUNTA(enemy_skill_triggers!$A:$A),MATCH(O$1,enemy_skill_triggers!$1:$1,0)-MATCH($F$1,enemy_skill_triggers!$1:$1,0)+1),MATCH(O$1,enemy_skill_triggers!$1:$1,0)-MATCH($F$1,enemy_skill_triggers!$1:$1,0)+1,FALSE)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7" s="47"/>
      <c r="Q237" s="47"/>
      <c r="R237" s="47"/>
    </row>
    <row r="238" spans="1:18" ht="21" customHeight="1" x14ac:dyDescent="0.15">
      <c r="A238" s="39" t="str">
        <f t="shared" si="18"/>
        <v>47007216_47007685</v>
      </c>
      <c r="B238" s="169">
        <v>47007216</v>
      </c>
      <c r="C238" s="171">
        <v>47007685</v>
      </c>
      <c r="D238" s="46" t="str">
        <f ca="1">VLOOKUP($C238,OFFSET(enemy_skills!$A$1,0,0,COUNTA(enemy_skills!$A:$A),MATCH(D$1,enemy_skills!$1:$1,0)-MATCH("enemy_skill_id",enemy_skills!$1:$1,0)+1),MATCH(D$1,enemy_skills!$1:$1,0)-MATCH("enemy_skill_id",enemy_skills!$1:$1,0)+1,FALSE)</f>
        <v>…受け取って…くれた…？</v>
      </c>
      <c r="E238" s="46" t="str">
        <f ca="1">VLOOKUP($C238,OFFSET(enemy_skills!$A$1,0,0,COUNTA(enemy_skills!$A:$A),MATCH(E$1,enemy_skills!$1:$1,0)-MATCH("enemy_skill_id",enemy_skills!$1:$1,0)+1),MATCH(E$1,enemy_skills!$1:$1,0)-MATCH("enemy_skill_id",enemy_skills!$1:$1,0)+1,FALSE)</f>
        <v>これは友チョコなんだから！友達…だし…！</v>
      </c>
      <c r="F238" s="180">
        <v>47007611</v>
      </c>
      <c r="G238" s="48">
        <f ca="1">VLOOKUP($F238,OFFSET(enemy_skill_triggers!$A$1,0,0,COUNTA(enemy_skill_triggers!$A:$A),MATCH(G$1,enemy_skill_triggers!$1:$1,0)-MATCH($F$1,enemy_skill_triggers!$1:$1,0)+1),MATCH(G$1,enemy_skill_triggers!$1:$1,0)-MATCH($F$1,enemy_skill_triggers!$1:$1,0)+1,FALSE)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8" s="48">
        <f ca="1">VLOOKUP($F238,OFFSET(enemy_skill_triggers!$A$1,0,0,COUNTA(enemy_skill_triggers!$A:$A),MATCH(H$1,enemy_skill_triggers!$1:$1,0)-MATCH($F$1,enemy_skill_triggers!$1:$1,0)+1),MATCH(H$1,enemy_skill_triggers!$1:$1,0)-MATCH($F$1,enemy_skill_triggers!$1:$1,0)+1,FALSE)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238" s="48">
        <f ca="1">VLOOKUP($F238,OFFSET(enemy_skill_triggers!$A$1,0,0,COUNTA(enemy_skill_triggers!$A:$A),MATCH(I$1,enemy_skill_triggers!$1:$1,0)-MATCH($F$1,enemy_skill_triggers!$1:$1,0)+1),MATCH(I$1,enemy_skill_triggers!$1:$1,0)-MATCH($F$1,enemy_skill_triggers!$1:$1,0)+1,FALSE)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8" s="48" t="str">
        <f ca="1">VLOOKUP($F238,OFFSET(enemy_skill_triggers!$A$1,0,0,COUNTA(enemy_skill_triggers!$A:$A),MATCH(J$1,enemy_skill_triggers!$1:$1,0)-MATCH($F$1,enemy_skill_triggers!$1:$1,0)+1),MATCH(J$1,enemy_skill_triggers!$1:$1,0)-MATCH($F$1,enemy_skill_triggers!$1:$1,0)+1,FALSE)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8" s="48" t="str">
        <f ca="1">VLOOKUP($F238,OFFSET(enemy_skill_triggers!$A$1,0,0,COUNTA(enemy_skill_triggers!$A:$A),MATCH(K$1,enemy_skill_triggers!$1:$1,0)-MATCH($F$1,enemy_skill_triggers!$1:$1,0)+1),MATCH(K$1,enemy_skill_triggers!$1:$1,0)-MATCH($F$1,enemy_skill_triggers!$1:$1,0)+1,FALSE)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8" s="48">
        <f ca="1">VLOOKUP($F238,OFFSET(enemy_skill_triggers!$A$1,0,0,COUNTA(enemy_skill_triggers!$A:$A),MATCH(L$1,enemy_skill_triggers!$1:$1,0)-MATCH($F$1,enemy_skill_triggers!$1:$1,0)+1),MATCH(L$1,enemy_skill_triggers!$1:$1,0)-MATCH($F$1,enemy_skill_triggers!$1:$1,0)+1,FALSE)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8" s="48" t="str">
        <f ca="1">VLOOKUP($F238,OFFSET(enemy_skill_triggers!$A$1,0,0,COUNTA(enemy_skill_triggers!$A:$A),MATCH(M$1,enemy_skill_triggers!$1:$1,0)-MATCH($F$1,enemy_skill_triggers!$1:$1,0)+1),MATCH(M$1,enemy_skill_triggers!$1:$1,0)-MATCH($F$1,enemy_skill_triggers!$1:$1,0)+1,FALSE)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8" s="48">
        <f ca="1">VLOOKUP($F238,OFFSET(enemy_skill_triggers!$A$1,0,0,COUNTA(enemy_skill_triggers!$A:$A),MATCH(N$1,enemy_skill_triggers!$1:$1,0)-MATCH($F$1,enemy_skill_triggers!$1:$1,0)+1),MATCH(N$1,enemy_skill_triggers!$1:$1,0)-MATCH($F$1,enemy_skill_triggers!$1:$1,0)+1,FALSE)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238" s="48">
        <f ca="1">VLOOKUP($F238,OFFSET(enemy_skill_triggers!$A$1,0,0,COUNTA(enemy_skill_triggers!$A:$A),MATCH(O$1,enemy_skill_triggers!$1:$1,0)-MATCH($F$1,enemy_skill_triggers!$1:$1,0)+1),MATCH(O$1,enemy_skill_triggers!$1:$1,0)-MATCH($F$1,enemy_skill_triggers!$1:$1,0)+1,FALSE)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8" s="47"/>
      <c r="Q238" s="47"/>
      <c r="R238" s="47"/>
    </row>
    <row r="239" spans="1:18" ht="21" customHeight="1" x14ac:dyDescent="0.15">
      <c r="A239" s="39" t="str">
        <f t="shared" si="18"/>
        <v>47007216_47007685</v>
      </c>
      <c r="B239" s="169">
        <v>47007216</v>
      </c>
      <c r="C239" s="171">
        <v>47007685</v>
      </c>
      <c r="D239" s="46" t="str">
        <f ca="1">VLOOKUP($C239,OFFSET(enemy_skills!$A$1,0,0,COUNTA(enemy_skills!$A:$A),MATCH(D$1,enemy_skills!$1:$1,0)-MATCH("enemy_skill_id",enemy_skills!$1:$1,0)+1),MATCH(D$1,enemy_skills!$1:$1,0)-MATCH("enemy_skill_id",enemy_skills!$1:$1,0)+1,FALSE)</f>
        <v>…受け取って…くれた…？</v>
      </c>
      <c r="E239" s="46" t="str">
        <f ca="1">VLOOKUP($C239,OFFSET(enemy_skills!$A$1,0,0,COUNTA(enemy_skills!$A:$A),MATCH(E$1,enemy_skills!$1:$1,0)-MATCH("enemy_skill_id",enemy_skills!$1:$1,0)+1),MATCH(E$1,enemy_skills!$1:$1,0)-MATCH("enemy_skill_id",enemy_skills!$1:$1,0)+1,FALSE)</f>
        <v>これは友チョコなんだから！友達…だし…！</v>
      </c>
      <c r="F239" s="180">
        <v>47007612</v>
      </c>
      <c r="G239" s="48">
        <f ca="1">VLOOKUP($F239,OFFSET(enemy_skill_triggers!$A$1,0,0,COUNTA(enemy_skill_triggers!$A:$A),MATCH(G$1,enemy_skill_triggers!$1:$1,0)-MATCH($F$1,enemy_skill_triggers!$1:$1,0)+1),MATCH(G$1,enemy_skill_triggers!$1:$1,0)-MATCH($F$1,enemy_skill_triggers!$1:$1,0)+1,FALSE)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9" s="48">
        <f ca="1">VLOOKUP($F239,OFFSET(enemy_skill_triggers!$A$1,0,0,COUNTA(enemy_skill_triggers!$A:$A),MATCH(H$1,enemy_skill_triggers!$1:$1,0)-MATCH($F$1,enemy_skill_triggers!$1:$1,0)+1),MATCH(H$1,enemy_skill_triggers!$1:$1,0)-MATCH($F$1,enemy_skill_triggers!$1:$1,0)+1,FALSE)</f>
        <v>299</v>
      </c>
      <c r="I239" s="48">
        <f ca="1">VLOOKUP($F239,OFFSET(enemy_skill_triggers!$A$1,0,0,COUNTA(enemy_skill_triggers!$A:$A),MATCH(I$1,enemy_skill_triggers!$1:$1,0)-MATCH($F$1,enemy_skill_triggers!$1:$1,0)+1),MATCH(I$1,enemy_skill_triggers!$1:$1,0)-MATCH($F$1,enemy_skill_triggers!$1:$1,0)+1,FALSE)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9" s="48" t="str">
        <f ca="1">VLOOKUP($F239,OFFSET(enemy_skill_triggers!$A$1,0,0,COUNTA(enemy_skill_triggers!$A:$A),MATCH(J$1,enemy_skill_triggers!$1:$1,0)-MATCH($F$1,enemy_skill_triggers!$1:$1,0)+1),MATCH(J$1,enemy_skill_triggers!$1:$1,0)-MATCH($F$1,enemy_skill_triggers!$1:$1,0)+1,FALSE)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9" s="48" t="str">
        <f ca="1">VLOOKUP($F239,OFFSET(enemy_skill_triggers!$A$1,0,0,COUNTA(enemy_skill_triggers!$A:$A),MATCH(K$1,enemy_skill_triggers!$1:$1,0)-MATCH($F$1,enemy_skill_triggers!$1:$1,0)+1),MATCH(K$1,enemy_skill_triggers!$1:$1,0)-MATCH($F$1,enemy_skill_triggers!$1:$1,0)+1,FALSE)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9" s="48">
        <f ca="1">VLOOKUP($F239,OFFSET(enemy_skill_triggers!$A$1,0,0,COUNTA(enemy_skill_triggers!$A:$A),MATCH(L$1,enemy_skill_triggers!$1:$1,0)-MATCH($F$1,enemy_skill_triggers!$1:$1,0)+1),MATCH(L$1,enemy_skill_triggers!$1:$1,0)-MATCH($F$1,enemy_skill_triggers!$1:$1,0)+1,FALSE)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9" s="48" t="str">
        <f ca="1">VLOOKUP($F239,OFFSET(enemy_skill_triggers!$A$1,0,0,COUNTA(enemy_skill_triggers!$A:$A),MATCH(M$1,enemy_skill_triggers!$1:$1,0)-MATCH($F$1,enemy_skill_triggers!$1:$1,0)+1),MATCH(M$1,enemy_skill_triggers!$1:$1,0)-MATCH($F$1,enemy_skill_triggers!$1:$1,0)+1,FALSE)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9" s="48">
        <f ca="1">VLOOKUP($F239,OFFSET(enemy_skill_triggers!$A$1,0,0,COUNTA(enemy_skill_triggers!$A:$A),MATCH(N$1,enemy_skill_triggers!$1:$1,0)-MATCH($F$1,enemy_skill_triggers!$1:$1,0)+1),MATCH(N$1,enemy_skill_triggers!$1:$1,0)-MATCH($F$1,enemy_skill_triggers!$1:$1,0)+1,FALSE)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239" s="48">
        <f ca="1">VLOOKUP($F239,OFFSET(enemy_skill_triggers!$A$1,0,0,COUNTA(enemy_skill_triggers!$A:$A),MATCH(O$1,enemy_skill_triggers!$1:$1,0)-MATCH($F$1,enemy_skill_triggers!$1:$1,0)+1),MATCH(O$1,enemy_skill_triggers!$1:$1,0)-MATCH($F$1,enemy_skill_triggers!$1:$1,0)+1,FALSE)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9" s="47"/>
      <c r="Q239" s="47"/>
      <c r="R239" s="47"/>
    </row>
    <row r="240" spans="1:18" ht="21" customHeight="1" x14ac:dyDescent="0.15">
      <c r="A240" s="39" t="str">
        <f t="shared" si="18"/>
        <v>47007216_47007685</v>
      </c>
      <c r="B240" s="169">
        <v>47007216</v>
      </c>
      <c r="C240" s="171">
        <v>47007685</v>
      </c>
      <c r="D240" s="46" t="str">
        <f ca="1">VLOOKUP($C240,OFFSET(enemy_skills!$A$1,0,0,COUNTA(enemy_skills!$A:$A),MATCH(D$1,enemy_skills!$1:$1,0)-MATCH("enemy_skill_id",enemy_skills!$1:$1,0)+1),MATCH(D$1,enemy_skills!$1:$1,0)-MATCH("enemy_skill_id",enemy_skills!$1:$1,0)+1,FALSE)</f>
        <v>…受け取って…くれた…？</v>
      </c>
      <c r="E240" s="46" t="str">
        <f ca="1">VLOOKUP($C240,OFFSET(enemy_skills!$A$1,0,0,COUNTA(enemy_skills!$A:$A),MATCH(E$1,enemy_skills!$1:$1,0)-MATCH("enemy_skill_id",enemy_skills!$1:$1,0)+1),MATCH(E$1,enemy_skills!$1:$1,0)-MATCH("enemy_skill_id",enemy_skills!$1:$1,0)+1,FALSE)</f>
        <v>これは友チョコなんだから！友達…だし…！</v>
      </c>
      <c r="F240" s="180">
        <v>47007613</v>
      </c>
      <c r="G240" s="48">
        <f ca="1">VLOOKUP($F240,OFFSET(enemy_skill_triggers!$A$1,0,0,COUNTA(enemy_skill_triggers!$A:$A),MATCH(G$1,enemy_skill_triggers!$1:$1,0)-MATCH($F$1,enemy_skill_triggers!$1:$1,0)+1),MATCH(G$1,enemy_skill_triggers!$1:$1,0)-MATCH($F$1,enemy_skill_triggers!$1:$1,0)+1,FALSE)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0" s="48">
        <f ca="1">VLOOKUP($F240,OFFSET(enemy_skill_triggers!$A$1,0,0,COUNTA(enemy_skill_triggers!$A:$A),MATCH(H$1,enemy_skill_triggers!$1:$1,0)-MATCH($F$1,enemy_skill_triggers!$1:$1,0)+1),MATCH(H$1,enemy_skill_triggers!$1:$1,0)-MATCH($F$1,enemy_skill_triggers!$1:$1,0)+1,FALSE)</f>
        <v>298</v>
      </c>
      <c r="I240" s="48">
        <f ca="1">VLOOKUP($F240,OFFSET(enemy_skill_triggers!$A$1,0,0,COUNTA(enemy_skill_triggers!$A:$A),MATCH(I$1,enemy_skill_triggers!$1:$1,0)-MATCH($F$1,enemy_skill_triggers!$1:$1,0)+1),MATCH(I$1,enemy_skill_triggers!$1:$1,0)-MATCH($F$1,enemy_skill_triggers!$1:$1,0)+1,FALSE)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0" s="48" t="str">
        <f ca="1">VLOOKUP($F240,OFFSET(enemy_skill_triggers!$A$1,0,0,COUNTA(enemy_skill_triggers!$A:$A),MATCH(J$1,enemy_skill_triggers!$1:$1,0)-MATCH($F$1,enemy_skill_triggers!$1:$1,0)+1),MATCH(J$1,enemy_skill_triggers!$1:$1,0)-MATCH($F$1,enemy_skill_triggers!$1:$1,0)+1,FALSE)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0" s="48" t="str">
        <f ca="1">VLOOKUP($F240,OFFSET(enemy_skill_triggers!$A$1,0,0,COUNTA(enemy_skill_triggers!$A:$A),MATCH(K$1,enemy_skill_triggers!$1:$1,0)-MATCH($F$1,enemy_skill_triggers!$1:$1,0)+1),MATCH(K$1,enemy_skill_triggers!$1:$1,0)-MATCH($F$1,enemy_skill_triggers!$1:$1,0)+1,FALSE)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0" s="48">
        <f ca="1">VLOOKUP($F240,OFFSET(enemy_skill_triggers!$A$1,0,0,COUNTA(enemy_skill_triggers!$A:$A),MATCH(L$1,enemy_skill_triggers!$1:$1,0)-MATCH($F$1,enemy_skill_triggers!$1:$1,0)+1),MATCH(L$1,enemy_skill_triggers!$1:$1,0)-MATCH($F$1,enemy_skill_triggers!$1:$1,0)+1,FALSE)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0" s="48" t="str">
        <f ca="1">VLOOKUP($F240,OFFSET(enemy_skill_triggers!$A$1,0,0,COUNTA(enemy_skill_triggers!$A:$A),MATCH(M$1,enemy_skill_triggers!$1:$1,0)-MATCH($F$1,enemy_skill_triggers!$1:$1,0)+1),MATCH(M$1,enemy_skill_triggers!$1:$1,0)-MATCH($F$1,enemy_skill_triggers!$1:$1,0)+1,FALSE)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0" s="48">
        <f ca="1">VLOOKUP($F240,OFFSET(enemy_skill_triggers!$A$1,0,0,COUNTA(enemy_skill_triggers!$A:$A),MATCH(N$1,enemy_skill_triggers!$1:$1,0)-MATCH($F$1,enemy_skill_triggers!$1:$1,0)+1),MATCH(N$1,enemy_skill_triggers!$1:$1,0)-MATCH($F$1,enemy_skill_triggers!$1:$1,0)+1,FALSE)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240" s="48">
        <f ca="1">VLOOKUP($F240,OFFSET(enemy_skill_triggers!$A$1,0,0,COUNTA(enemy_skill_triggers!$A:$A),MATCH(O$1,enemy_skill_triggers!$1:$1,0)-MATCH($F$1,enemy_skill_triggers!$1:$1,0)+1),MATCH(O$1,enemy_skill_triggers!$1:$1,0)-MATCH($F$1,enemy_skill_triggers!$1:$1,0)+1,FALSE)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0" s="47"/>
      <c r="Q240" s="47"/>
      <c r="R240" s="47"/>
    </row>
    <row r="241" spans="1:18" ht="21" customHeight="1" x14ac:dyDescent="0.15">
      <c r="A241" s="39" t="str">
        <f t="shared" si="18"/>
        <v>47007216_47007685</v>
      </c>
      <c r="B241" s="169">
        <v>47007216</v>
      </c>
      <c r="C241" s="171">
        <v>47007685</v>
      </c>
      <c r="D241" s="46" t="str">
        <f ca="1">VLOOKUP($C241,OFFSET(enemy_skills!$A$1,0,0,COUNTA(enemy_skills!$A:$A),MATCH(D$1,enemy_skills!$1:$1,0)-MATCH("enemy_skill_id",enemy_skills!$1:$1,0)+1),MATCH(D$1,enemy_skills!$1:$1,0)-MATCH("enemy_skill_id",enemy_skills!$1:$1,0)+1,FALSE)</f>
        <v>…受け取って…くれた…？</v>
      </c>
      <c r="E241" s="46" t="str">
        <f ca="1">VLOOKUP($C241,OFFSET(enemy_skills!$A$1,0,0,COUNTA(enemy_skills!$A:$A),MATCH(E$1,enemy_skills!$1:$1,0)-MATCH("enemy_skill_id",enemy_skills!$1:$1,0)+1),MATCH(E$1,enemy_skills!$1:$1,0)-MATCH("enemy_skill_id",enemy_skills!$1:$1,0)+1,FALSE)</f>
        <v>これは友チョコなんだから！友達…だし…！</v>
      </c>
      <c r="F241" s="180">
        <v>47007614</v>
      </c>
      <c r="G241" s="48">
        <f ca="1">VLOOKUP($F241,OFFSET(enemy_skill_triggers!$A$1,0,0,COUNTA(enemy_skill_triggers!$A:$A),MATCH(G$1,enemy_skill_triggers!$1:$1,0)-MATCH($F$1,enemy_skill_triggers!$1:$1,0)+1),MATCH(G$1,enemy_skill_triggers!$1:$1,0)-MATCH($F$1,enemy_skill_triggers!$1:$1,0)+1,FALSE)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1" s="48">
        <f ca="1">VLOOKUP($F241,OFFSET(enemy_skill_triggers!$A$1,0,0,COUNTA(enemy_skill_triggers!$A:$A),MATCH(H$1,enemy_skill_triggers!$1:$1,0)-MATCH($F$1,enemy_skill_triggers!$1:$1,0)+1),MATCH(H$1,enemy_skill_triggers!$1:$1,0)-MATCH($F$1,enemy_skill_triggers!$1:$1,0)+1,FALSE)</f>
        <v>297</v>
      </c>
      <c r="I241" s="48">
        <f ca="1">VLOOKUP($F241,OFFSET(enemy_skill_triggers!$A$1,0,0,COUNTA(enemy_skill_triggers!$A:$A),MATCH(I$1,enemy_skill_triggers!$1:$1,0)-MATCH($F$1,enemy_skill_triggers!$1:$1,0)+1),MATCH(I$1,enemy_skill_triggers!$1:$1,0)-MATCH($F$1,enemy_skill_triggers!$1:$1,0)+1,FALSE)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1" s="48" t="str">
        <f ca="1">VLOOKUP($F241,OFFSET(enemy_skill_triggers!$A$1,0,0,COUNTA(enemy_skill_triggers!$A:$A),MATCH(J$1,enemy_skill_triggers!$1:$1,0)-MATCH($F$1,enemy_skill_triggers!$1:$1,0)+1),MATCH(J$1,enemy_skill_triggers!$1:$1,0)-MATCH($F$1,enemy_skill_triggers!$1:$1,0)+1,FALSE)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1" s="48" t="str">
        <f ca="1">VLOOKUP($F241,OFFSET(enemy_skill_triggers!$A$1,0,0,COUNTA(enemy_skill_triggers!$A:$A),MATCH(K$1,enemy_skill_triggers!$1:$1,0)-MATCH($F$1,enemy_skill_triggers!$1:$1,0)+1),MATCH(K$1,enemy_skill_triggers!$1:$1,0)-MATCH($F$1,enemy_skill_triggers!$1:$1,0)+1,FALSE)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1" s="48">
        <f ca="1">VLOOKUP($F241,OFFSET(enemy_skill_triggers!$A$1,0,0,COUNTA(enemy_skill_triggers!$A:$A),MATCH(L$1,enemy_skill_triggers!$1:$1,0)-MATCH($F$1,enemy_skill_triggers!$1:$1,0)+1),MATCH(L$1,enemy_skill_triggers!$1:$1,0)-MATCH($F$1,enemy_skill_triggers!$1:$1,0)+1,FALSE)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1" s="48" t="str">
        <f ca="1">VLOOKUP($F241,OFFSET(enemy_skill_triggers!$A$1,0,0,COUNTA(enemy_skill_triggers!$A:$A),MATCH(M$1,enemy_skill_triggers!$1:$1,0)-MATCH($F$1,enemy_skill_triggers!$1:$1,0)+1),MATCH(M$1,enemy_skill_triggers!$1:$1,0)-MATCH($F$1,enemy_skill_triggers!$1:$1,0)+1,FALSE)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1" s="48">
        <f ca="1">VLOOKUP($F241,OFFSET(enemy_skill_triggers!$A$1,0,0,COUNTA(enemy_skill_triggers!$A:$A),MATCH(N$1,enemy_skill_triggers!$1:$1,0)-MATCH($F$1,enemy_skill_triggers!$1:$1,0)+1),MATCH(N$1,enemy_skill_triggers!$1:$1,0)-MATCH($F$1,enemy_skill_triggers!$1:$1,0)+1,FALSE)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241" s="48">
        <f ca="1">VLOOKUP($F241,OFFSET(enemy_skill_triggers!$A$1,0,0,COUNTA(enemy_skill_triggers!$A:$A),MATCH(O$1,enemy_skill_triggers!$1:$1,0)-MATCH($F$1,enemy_skill_triggers!$1:$1,0)+1),MATCH(O$1,enemy_skill_triggers!$1:$1,0)-MATCH($F$1,enemy_skill_triggers!$1:$1,0)+1,FALSE)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1" s="47"/>
      <c r="Q241" s="47"/>
      <c r="R241" s="47"/>
    </row>
    <row r="242" spans="1:18" ht="21" customHeight="1" x14ac:dyDescent="0.15">
      <c r="A242" s="178" t="str">
        <f t="shared" si="18"/>
        <v>47007216_47007685</v>
      </c>
      <c r="B242" s="169">
        <v>47007216</v>
      </c>
      <c r="C242" s="171">
        <v>47007685</v>
      </c>
      <c r="D242" s="46" t="str">
        <f ca="1">VLOOKUP($C242,OFFSET(enemy_skills!$A$1,0,0,COUNTA(enemy_skills!$A:$A),MATCH(D$1,enemy_skills!$1:$1,0)-MATCH("enemy_skill_id",enemy_skills!$1:$1,0)+1),MATCH(D$1,enemy_skills!$1:$1,0)-MATCH("enemy_skill_id",enemy_skills!$1:$1,0)+1,FALSE)</f>
        <v>…受け取って…くれた…？</v>
      </c>
      <c r="E242" s="46" t="str">
        <f ca="1">VLOOKUP($C242,OFFSET(enemy_skills!$A$1,0,0,COUNTA(enemy_skills!$A:$A),MATCH(E$1,enemy_skills!$1:$1,0)-MATCH("enemy_skill_id",enemy_skills!$1:$1,0)+1),MATCH(E$1,enemy_skills!$1:$1,0)-MATCH("enemy_skill_id",enemy_skills!$1:$1,0)+1,FALSE)</f>
        <v>これは友チョコなんだから！友達…だし…！</v>
      </c>
      <c r="F242" s="180">
        <v>47007615</v>
      </c>
      <c r="G242" s="48">
        <f ca="1">VLOOKUP($F242,OFFSET(enemy_skill_triggers!$A$1,0,0,COUNTA(enemy_skill_triggers!$A:$A),MATCH(G$1,enemy_skill_triggers!$1:$1,0)-MATCH($F$1,enemy_skill_triggers!$1:$1,0)+1),MATCH(G$1,enemy_skill_triggers!$1:$1,0)-MATCH($F$1,enemy_skill_triggers!$1:$1,0)+1,FALSE)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2" s="48">
        <f ca="1">VLOOKUP($F242,OFFSET(enemy_skill_triggers!$A$1,0,0,COUNTA(enemy_skill_triggers!$A:$A),MATCH(H$1,enemy_skill_triggers!$1:$1,0)-MATCH($F$1,enemy_skill_triggers!$1:$1,0)+1),MATCH(H$1,enemy_skill_triggers!$1:$1,0)-MATCH($F$1,enemy_skill_triggers!$1:$1,0)+1,FALSE)</f>
        <v>296</v>
      </c>
      <c r="I242" s="48">
        <f ca="1">VLOOKUP($F242,OFFSET(enemy_skill_triggers!$A$1,0,0,COUNTA(enemy_skill_triggers!$A:$A),MATCH(I$1,enemy_skill_triggers!$1:$1,0)-MATCH($F$1,enemy_skill_triggers!$1:$1,0)+1),MATCH(I$1,enemy_skill_triggers!$1:$1,0)-MATCH($F$1,enemy_skill_triggers!$1:$1,0)+1,FALSE)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2" s="48" t="str">
        <f ca="1">VLOOKUP($F242,OFFSET(enemy_skill_triggers!$A$1,0,0,COUNTA(enemy_skill_triggers!$A:$A),MATCH(J$1,enemy_skill_triggers!$1:$1,0)-MATCH($F$1,enemy_skill_triggers!$1:$1,0)+1),MATCH(J$1,enemy_skill_triggers!$1:$1,0)-MATCH($F$1,enemy_skill_triggers!$1:$1,0)+1,FALSE)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2" s="48" t="str">
        <f ca="1">VLOOKUP($F242,OFFSET(enemy_skill_triggers!$A$1,0,0,COUNTA(enemy_skill_triggers!$A:$A),MATCH(K$1,enemy_skill_triggers!$1:$1,0)-MATCH($F$1,enemy_skill_triggers!$1:$1,0)+1),MATCH(K$1,enemy_skill_triggers!$1:$1,0)-MATCH($F$1,enemy_skill_triggers!$1:$1,0)+1,FALSE)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2" s="48">
        <f ca="1">VLOOKUP($F242,OFFSET(enemy_skill_triggers!$A$1,0,0,COUNTA(enemy_skill_triggers!$A:$A),MATCH(L$1,enemy_skill_triggers!$1:$1,0)-MATCH($F$1,enemy_skill_triggers!$1:$1,0)+1),MATCH(L$1,enemy_skill_triggers!$1:$1,0)-MATCH($F$1,enemy_skill_triggers!$1:$1,0)+1,FALSE)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2" s="48" t="str">
        <f ca="1">VLOOKUP($F242,OFFSET(enemy_skill_triggers!$A$1,0,0,COUNTA(enemy_skill_triggers!$A:$A),MATCH(M$1,enemy_skill_triggers!$1:$1,0)-MATCH($F$1,enemy_skill_triggers!$1:$1,0)+1),MATCH(M$1,enemy_skill_triggers!$1:$1,0)-MATCH($F$1,enemy_skill_triggers!$1:$1,0)+1,FALSE)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2" s="48">
        <f ca="1">VLOOKUP($F242,OFFSET(enemy_skill_triggers!$A$1,0,0,COUNTA(enemy_skill_triggers!$A:$A),MATCH(N$1,enemy_skill_triggers!$1:$1,0)-MATCH($F$1,enemy_skill_triggers!$1:$1,0)+1),MATCH(N$1,enemy_skill_triggers!$1:$1,0)-MATCH($F$1,enemy_skill_triggers!$1:$1,0)+1,FALSE)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242" s="48">
        <f ca="1">VLOOKUP($F242,OFFSET(enemy_skill_triggers!$A$1,0,0,COUNTA(enemy_skill_triggers!$A:$A),MATCH(O$1,enemy_skill_triggers!$1:$1,0)-MATCH($F$1,enemy_skill_triggers!$1:$1,0)+1),MATCH(O$1,enemy_skill_triggers!$1:$1,0)-MATCH($F$1,enemy_skill_triggers!$1:$1,0)+1,FALSE)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2" s="47"/>
      <c r="Q242" s="47"/>
      <c r="R242" s="47"/>
    </row>
    <row r="243" spans="1:18" ht="21" customHeight="1" x14ac:dyDescent="0.15">
      <c r="A243" s="179" t="str">
        <f t="shared" si="18"/>
        <v>47007224_47007491</v>
      </c>
      <c r="B243" s="174">
        <v>47007224</v>
      </c>
      <c r="C243" s="174">
        <v>47007491</v>
      </c>
      <c r="D243" s="46" t="str">
        <f ca="1">VLOOKUP($C243,OFFSET(enemy_skills!$A$1,0,0,COUNTA(enemy_skills!$A:$A),MATCH(D$1,enemy_skills!$1:$1,0)-MATCH("enemy_skill_id",enemy_skills!$1:$1,0)+1),MATCH(D$1,enemy_skills!$1:$1,0)-MATCH("enemy_skill_id",enemy_skills!$1:$1,0)+1,FALSE)</f>
        <v>き、来てくれたの…！！_x000D_…今度こそ素直に…！！</v>
      </c>
      <c r="E243" s="46" t="str">
        <f ca="1">VLOOKUP($C243,OFFSET(enemy_skills!$A$1,0,0,COUNTA(enemy_skills!$A:$A),MATCH(E$1,enemy_skills!$1:$1,0)-MATCH("enemy_skill_id",enemy_skills!$1:$1,0)+1),MATCH(E$1,enemy_skills!$1:$1,0)-MATCH("enemy_skill_id",enemy_skills!$1:$1,0)+1,FALSE)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243" s="180">
        <v>47007401</v>
      </c>
      <c r="G243" s="48">
        <f ca="1">VLOOKUP($F243,OFFSET(enemy_skill_triggers!$A$1,0,0,COUNTA(enemy_skill_triggers!$A:$A),MATCH(G$1,enemy_skill_triggers!$1:$1,0)-MATCH($F$1,enemy_skill_triggers!$1:$1,0)+1),MATCH(G$1,enemy_skill_triggers!$1:$1,0)-MATCH($F$1,enemy_skill_triggers!$1:$1,0)+1,FALSE)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3" s="48" t="str">
        <f ca="1">VLOOKUP($F243,OFFSET(enemy_skill_triggers!$A$1,0,0,COUNTA(enemy_skill_triggers!$A:$A),MATCH(H$1,enemy_skill_triggers!$1:$1,0)-MATCH($F$1,enemy_skill_triggers!$1:$1,0)+1),MATCH(H$1,enemy_skill_triggers!$1:$1,0)-MATCH($F$1,enemy_skill_triggers!$1:$1,0)+1,FALSE)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3" s="48">
        <f ca="1">VLOOKUP($F243,OFFSET(enemy_skill_triggers!$A$1,0,0,COUNTA(enemy_skill_triggers!$A:$A),MATCH(I$1,enemy_skill_triggers!$1:$1,0)-MATCH($F$1,enemy_skill_triggers!$1:$1,0)+1),MATCH(I$1,enemy_skill_triggers!$1:$1,0)-MATCH($F$1,enemy_skill_triggers!$1:$1,0)+1,FALSE)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3" s="48" t="str">
        <f ca="1">VLOOKUP($F243,OFFSET(enemy_skill_triggers!$A$1,0,0,COUNTA(enemy_skill_triggers!$A:$A),MATCH(J$1,enemy_skill_triggers!$1:$1,0)-MATCH($F$1,enemy_skill_triggers!$1:$1,0)+1),MATCH(J$1,enemy_skill_triggers!$1:$1,0)-MATCH($F$1,enemy_skill_triggers!$1:$1,0)+1,FALSE)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3" s="48" t="str">
        <f ca="1">VLOOKUP($F243,OFFSET(enemy_skill_triggers!$A$1,0,0,COUNTA(enemy_skill_triggers!$A:$A),MATCH(K$1,enemy_skill_triggers!$1:$1,0)-MATCH($F$1,enemy_skill_triggers!$1:$1,0)+1),MATCH(K$1,enemy_skill_triggers!$1:$1,0)-MATCH($F$1,enemy_skill_triggers!$1:$1,0)+1,FALSE)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3" s="48">
        <f ca="1">VLOOKUP($F243,OFFSET(enemy_skill_triggers!$A$1,0,0,COUNTA(enemy_skill_triggers!$A:$A),MATCH(L$1,enemy_skill_triggers!$1:$1,0)-MATCH($F$1,enemy_skill_triggers!$1:$1,0)+1),MATCH(L$1,enemy_skill_triggers!$1:$1,0)-MATCH($F$1,enemy_skill_triggers!$1:$1,0)+1,FALSE)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3" s="48" t="str">
        <f ca="1">VLOOKUP($F243,OFFSET(enemy_skill_triggers!$A$1,0,0,COUNTA(enemy_skill_triggers!$A:$A),MATCH(M$1,enemy_skill_triggers!$1:$1,0)-MATCH($F$1,enemy_skill_triggers!$1:$1,0)+1),MATCH(M$1,enemy_skill_triggers!$1:$1,0)-MATCH($F$1,enemy_skill_triggers!$1:$1,0)+1,FALSE)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3" s="48" t="str">
        <f ca="1">VLOOKUP($F243,OFFSET(enemy_skill_triggers!$A$1,0,0,COUNTA(enemy_skill_triggers!$A:$A),MATCH(N$1,enemy_skill_triggers!$1:$1,0)-MATCH($F$1,enemy_skill_triggers!$1:$1,0)+1),MATCH(N$1,enemy_skill_triggers!$1:$1,0)-MATCH($F$1,enemy_skill_triggers!$1:$1,0)+1,FALSE)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3" s="48">
        <f ca="1">VLOOKUP($F243,OFFSET(enemy_skill_triggers!$A$1,0,0,COUNTA(enemy_skill_triggers!$A:$A),MATCH(O$1,enemy_skill_triggers!$1:$1,0)-MATCH($F$1,enemy_skill_triggers!$1:$1,0)+1),MATCH(O$1,enemy_skill_triggers!$1:$1,0)-MATCH($F$1,enemy_skill_triggers!$1:$1,0)+1,FALSE)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3" s="47"/>
      <c r="Q243" s="47"/>
      <c r="R243" s="47"/>
    </row>
    <row r="244" spans="1:18" ht="21" customHeight="1" x14ac:dyDescent="0.15">
      <c r="A244" s="39" t="str">
        <f t="shared" si="18"/>
        <v>47007224_47007492</v>
      </c>
      <c r="B244" s="174">
        <v>47007224</v>
      </c>
      <c r="C244" s="176">
        <v>47007492</v>
      </c>
      <c r="D244" s="46" t="str">
        <f ca="1">VLOOKUP($C244,OFFSET(enemy_skills!$A$1,0,0,COUNTA(enemy_skills!$A:$A),MATCH(D$1,enemy_skills!$1:$1,0)-MATCH("enemy_skill_id",enemy_skills!$1:$1,0)+1),MATCH(D$1,enemy_skills!$1:$1,0)-MATCH("enemy_skill_id",enemy_skills!$1:$1,0)+1,FALSE)</f>
        <v>[player_name]…_x000D_…気持ち…絶対伝えるの…！</v>
      </c>
      <c r="E244" s="46" t="str">
        <f ca="1">VLOOKUP($C244,OFFSET(enemy_skills!$A$1,0,0,COUNTA(enemy_skills!$A:$A),MATCH(E$1,enemy_skills!$1:$1,0)-MATCH("enemy_skill_id",enemy_skills!$1:$1,0)+1),MATCH(E$1,enemy_skills!$1:$1,0)-MATCH("enemy_skill_id",enemy_skills!$1:$1,0)+1,FALSE)</f>
        <v>青パネルをハートパネルに、黄パネルを赤パネルに変換+_x000D_全ユニットのスキルゲージを4ターン減少！</v>
      </c>
      <c r="F244" s="180">
        <v>47007402</v>
      </c>
      <c r="G244" s="48">
        <f ca="1">VLOOKUP($F244,OFFSET(enemy_skill_triggers!$A$1,0,0,COUNTA(enemy_skill_triggers!$A:$A),MATCH(G$1,enemy_skill_triggers!$1:$1,0)-MATCH($F$1,enemy_skill_triggers!$1:$1,0)+1),MATCH(G$1,enemy_skill_triggers!$1:$1,0)-MATCH($F$1,enemy_skill_triggers!$1:$1,0)+1,FALSE)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4" s="48">
        <f ca="1">VLOOKUP($F244,OFFSET(enemy_skill_triggers!$A$1,0,0,COUNTA(enemy_skill_triggers!$A:$A),MATCH(H$1,enemy_skill_triggers!$1:$1,0)-MATCH($F$1,enemy_skill_triggers!$1:$1,0)+1),MATCH(H$1,enemy_skill_triggers!$1:$1,0)-MATCH($F$1,enemy_skill_triggers!$1:$1,0)+1,FALSE)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44" s="48">
        <f ca="1">VLOOKUP($F244,OFFSET(enemy_skill_triggers!$A$1,0,0,COUNTA(enemy_skill_triggers!$A:$A),MATCH(I$1,enemy_skill_triggers!$1:$1,0)-MATCH($F$1,enemy_skill_triggers!$1:$1,0)+1),MATCH(I$1,enemy_skill_triggers!$1:$1,0)-MATCH($F$1,enemy_skill_triggers!$1:$1,0)+1,FALSE)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4" s="48" t="str">
        <f ca="1">VLOOKUP($F244,OFFSET(enemy_skill_triggers!$A$1,0,0,COUNTA(enemy_skill_triggers!$A:$A),MATCH(J$1,enemy_skill_triggers!$1:$1,0)-MATCH($F$1,enemy_skill_triggers!$1:$1,0)+1),MATCH(J$1,enemy_skill_triggers!$1:$1,0)-MATCH($F$1,enemy_skill_triggers!$1:$1,0)+1,FALSE)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4" s="48" t="str">
        <f ca="1">VLOOKUP($F244,OFFSET(enemy_skill_triggers!$A$1,0,0,COUNTA(enemy_skill_triggers!$A:$A),MATCH(K$1,enemy_skill_triggers!$1:$1,0)-MATCH($F$1,enemy_skill_triggers!$1:$1,0)+1),MATCH(K$1,enemy_skill_triggers!$1:$1,0)-MATCH($F$1,enemy_skill_triggers!$1:$1,0)+1,FALSE)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4" s="48">
        <f ca="1">VLOOKUP($F244,OFFSET(enemy_skill_triggers!$A$1,0,0,COUNTA(enemy_skill_triggers!$A:$A),MATCH(L$1,enemy_skill_triggers!$1:$1,0)-MATCH($F$1,enemy_skill_triggers!$1:$1,0)+1),MATCH(L$1,enemy_skill_triggers!$1:$1,0)-MATCH($F$1,enemy_skill_triggers!$1:$1,0)+1,FALSE)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4" s="48" t="str">
        <f ca="1">VLOOKUP($F244,OFFSET(enemy_skill_triggers!$A$1,0,0,COUNTA(enemy_skill_triggers!$A:$A),MATCH(M$1,enemy_skill_triggers!$1:$1,0)-MATCH($F$1,enemy_skill_triggers!$1:$1,0)+1),MATCH(M$1,enemy_skill_triggers!$1:$1,0)-MATCH($F$1,enemy_skill_triggers!$1:$1,0)+1,FALSE)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4" s="48">
        <f ca="1">VLOOKUP($F244,OFFSET(enemy_skill_triggers!$A$1,0,0,COUNTA(enemy_skill_triggers!$A:$A),MATCH(N$1,enemy_skill_triggers!$1:$1,0)-MATCH($F$1,enemy_skill_triggers!$1:$1,0)+1),MATCH(N$1,enemy_skill_triggers!$1:$1,0)-MATCH($F$1,enemy_skill_triggers!$1:$1,0)+1,FALSE)</f>
        <v>1352</v>
      </c>
      <c r="O244" s="48">
        <f ca="1">VLOOKUP($F244,OFFSET(enemy_skill_triggers!$A$1,0,0,COUNTA(enemy_skill_triggers!$A:$A),MATCH(O$1,enemy_skill_triggers!$1:$1,0)-MATCH($F$1,enemy_skill_triggers!$1:$1,0)+1),MATCH(O$1,enemy_skill_triggers!$1:$1,0)-MATCH($F$1,enemy_skill_triggers!$1:$1,0)+1,FALSE)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4" s="47"/>
      <c r="Q244" s="47"/>
      <c r="R244" s="47"/>
    </row>
    <row r="245" spans="1:18" ht="21" customHeight="1" x14ac:dyDescent="0.15">
      <c r="A245" s="39" t="str">
        <f t="shared" si="18"/>
        <v>47007224_47007492</v>
      </c>
      <c r="B245" s="174">
        <v>47007224</v>
      </c>
      <c r="C245" s="176">
        <v>47007492</v>
      </c>
      <c r="D245" s="46" t="str">
        <f ca="1">VLOOKUP($C245,OFFSET(enemy_skills!$A$1,0,0,COUNTA(enemy_skills!$A:$A),MATCH(D$1,enemy_skills!$1:$1,0)-MATCH("enemy_skill_id",enemy_skills!$1:$1,0)+1),MATCH(D$1,enemy_skills!$1:$1,0)-MATCH("enemy_skill_id",enemy_skills!$1:$1,0)+1,FALSE)</f>
        <v>[player_name]…_x000D_…気持ち…絶対伝えるの…！</v>
      </c>
      <c r="E245" s="46" t="str">
        <f ca="1">VLOOKUP($C245,OFFSET(enemy_skills!$A$1,0,0,COUNTA(enemy_skills!$A:$A),MATCH(E$1,enemy_skills!$1:$1,0)-MATCH("enemy_skill_id",enemy_skills!$1:$1,0)+1),MATCH(E$1,enemy_skills!$1:$1,0)-MATCH("enemy_skill_id",enemy_skills!$1:$1,0)+1,FALSE)</f>
        <v>青パネルをハートパネルに、黄パネルを赤パネルに変換+_x000D_全ユニットのスキルゲージを4ターン減少！</v>
      </c>
      <c r="F245" s="180">
        <v>47007403</v>
      </c>
      <c r="G245" s="48">
        <f ca="1">VLOOKUP($F245,OFFSET(enemy_skill_triggers!$A$1,0,0,COUNTA(enemy_skill_triggers!$A:$A),MATCH(G$1,enemy_skill_triggers!$1:$1,0)-MATCH($F$1,enemy_skill_triggers!$1:$1,0)+1),MATCH(G$1,enemy_skill_triggers!$1:$1,0)-MATCH($F$1,enemy_skill_triggers!$1:$1,0)+1,FALSE)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5" s="48">
        <f ca="1">VLOOKUP($F245,OFFSET(enemy_skill_triggers!$A$1,0,0,COUNTA(enemy_skill_triggers!$A:$A),MATCH(H$1,enemy_skill_triggers!$1:$1,0)-MATCH($F$1,enemy_skill_triggers!$1:$1,0)+1),MATCH(H$1,enemy_skill_triggers!$1:$1,0)-MATCH($F$1,enemy_skill_triggers!$1:$1,0)+1,FALSE)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245" s="48">
        <f ca="1">VLOOKUP($F245,OFFSET(enemy_skill_triggers!$A$1,0,0,COUNTA(enemy_skill_triggers!$A:$A),MATCH(I$1,enemy_skill_triggers!$1:$1,0)-MATCH($F$1,enemy_skill_triggers!$1:$1,0)+1),MATCH(I$1,enemy_skill_triggers!$1:$1,0)-MATCH($F$1,enemy_skill_triggers!$1:$1,0)+1,FALSE)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5" s="48" t="str">
        <f ca="1">VLOOKUP($F245,OFFSET(enemy_skill_triggers!$A$1,0,0,COUNTA(enemy_skill_triggers!$A:$A),MATCH(J$1,enemy_skill_triggers!$1:$1,0)-MATCH($F$1,enemy_skill_triggers!$1:$1,0)+1),MATCH(J$1,enemy_skill_triggers!$1:$1,0)-MATCH($F$1,enemy_skill_triggers!$1:$1,0)+1,FALSE)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5" s="48" t="str">
        <f ca="1">VLOOKUP($F245,OFFSET(enemy_skill_triggers!$A$1,0,0,COUNTA(enemy_skill_triggers!$A:$A),MATCH(K$1,enemy_skill_triggers!$1:$1,0)-MATCH($F$1,enemy_skill_triggers!$1:$1,0)+1),MATCH(K$1,enemy_skill_triggers!$1:$1,0)-MATCH($F$1,enemy_skill_triggers!$1:$1,0)+1,FALSE)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5" s="48">
        <f ca="1">VLOOKUP($F245,OFFSET(enemy_skill_triggers!$A$1,0,0,COUNTA(enemy_skill_triggers!$A:$A),MATCH(L$1,enemy_skill_triggers!$1:$1,0)-MATCH($F$1,enemy_skill_triggers!$1:$1,0)+1),MATCH(L$1,enemy_skill_triggers!$1:$1,0)-MATCH($F$1,enemy_skill_triggers!$1:$1,0)+1,FALSE)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5" s="48" t="str">
        <f ca="1">VLOOKUP($F245,OFFSET(enemy_skill_triggers!$A$1,0,0,COUNTA(enemy_skill_triggers!$A:$A),MATCH(M$1,enemy_skill_triggers!$1:$1,0)-MATCH($F$1,enemy_skill_triggers!$1:$1,0)+1),MATCH(M$1,enemy_skill_triggers!$1:$1,0)-MATCH($F$1,enemy_skill_triggers!$1:$1,0)+1,FALSE)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5" s="48">
        <f ca="1">VLOOKUP($F245,OFFSET(enemy_skill_triggers!$A$1,0,0,COUNTA(enemy_skill_triggers!$A:$A),MATCH(N$1,enemy_skill_triggers!$1:$1,0)-MATCH($F$1,enemy_skill_triggers!$1:$1,0)+1),MATCH(N$1,enemy_skill_triggers!$1:$1,0)-MATCH($F$1,enemy_skill_triggers!$1:$1,0)+1,FALSE)</f>
        <v>1353</v>
      </c>
      <c r="O245" s="48">
        <f ca="1">VLOOKUP($F245,OFFSET(enemy_skill_triggers!$A$1,0,0,COUNTA(enemy_skill_triggers!$A:$A),MATCH(O$1,enemy_skill_triggers!$1:$1,0)-MATCH($F$1,enemy_skill_triggers!$1:$1,0)+1),MATCH(O$1,enemy_skill_triggers!$1:$1,0)-MATCH($F$1,enemy_skill_triggers!$1:$1,0)+1,FALSE)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5" s="47"/>
      <c r="Q245" s="47"/>
      <c r="R245" s="47"/>
    </row>
    <row r="246" spans="1:18" ht="21" customHeight="1" x14ac:dyDescent="0.15">
      <c r="A246" s="39" t="str">
        <f t="shared" si="18"/>
        <v>47007224_47007493</v>
      </c>
      <c r="B246" s="174">
        <v>47007224</v>
      </c>
      <c r="C246" s="176">
        <v>47007493</v>
      </c>
      <c r="D246" s="46" t="str">
        <f ca="1">VLOOKUP($C246,OFFSET(enemy_skills!$A$1,0,0,COUNTA(enemy_skills!$A:$A),MATCH(D$1,enemy_skills!$1:$1,0)-MATCH("enemy_skill_id",enemy_skills!$1:$1,0)+1),MATCH(D$1,enemy_skills!$1:$1,0)-MATCH("enemy_skill_id",enemy_skills!$1:$1,0)+1,FALSE)</f>
        <v>[player_name]…！！_x000D_あ、アタシの気持ちを…！</v>
      </c>
      <c r="E246" s="46" t="str">
        <f ca="1">VLOOKUP($C246,OFFSET(enemy_skills!$A$1,0,0,COUNTA(enemy_skills!$A:$A),MATCH(E$1,enemy_skills!$1:$1,0)-MATCH("enemy_skill_id",enemy_skills!$1:$1,0)+1),MATCH(E$1,enemy_skills!$1:$1,0)-MATCH("enemy_skill_id",enemy_skills!$1:$1,0)+1,FALSE)</f>
        <v>青パネルをハートパネルに、黄パネルを赤パネルに変換+_x000D_全ユニットのスキルゲージを2ターン減少！</v>
      </c>
      <c r="F246" s="180">
        <v>47007404</v>
      </c>
      <c r="G246" s="48">
        <f ca="1">VLOOKUP($F246,OFFSET(enemy_skill_triggers!$A$1,0,0,COUNTA(enemy_skill_triggers!$A:$A),MATCH(G$1,enemy_skill_triggers!$1:$1,0)-MATCH($F$1,enemy_skill_triggers!$1:$1,0)+1),MATCH(G$1,enemy_skill_triggers!$1:$1,0)-MATCH($F$1,enemy_skill_triggers!$1:$1,0)+1,FALSE)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6" s="48">
        <f ca="1">VLOOKUP($F246,OFFSET(enemy_skill_triggers!$A$1,0,0,COUNTA(enemy_skill_triggers!$A:$A),MATCH(H$1,enemy_skill_triggers!$1:$1,0)-MATCH($F$1,enemy_skill_triggers!$1:$1,0)+1),MATCH(H$1,enemy_skill_triggers!$1:$1,0)-MATCH($F$1,enemy_skill_triggers!$1:$1,0)+1,FALSE)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246" s="48">
        <f ca="1">VLOOKUP($F246,OFFSET(enemy_skill_triggers!$A$1,0,0,COUNTA(enemy_skill_triggers!$A:$A),MATCH(I$1,enemy_skill_triggers!$1:$1,0)-MATCH($F$1,enemy_skill_triggers!$1:$1,0)+1),MATCH(I$1,enemy_skill_triggers!$1:$1,0)-MATCH($F$1,enemy_skill_triggers!$1:$1,0)+1,FALSE)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6" s="48" t="str">
        <f ca="1">VLOOKUP($F246,OFFSET(enemy_skill_triggers!$A$1,0,0,COUNTA(enemy_skill_triggers!$A:$A),MATCH(J$1,enemy_skill_triggers!$1:$1,0)-MATCH($F$1,enemy_skill_triggers!$1:$1,0)+1),MATCH(J$1,enemy_skill_triggers!$1:$1,0)-MATCH($F$1,enemy_skill_triggers!$1:$1,0)+1,FALSE)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6" s="48" t="str">
        <f ca="1">VLOOKUP($F246,OFFSET(enemy_skill_triggers!$A$1,0,0,COUNTA(enemy_skill_triggers!$A:$A),MATCH(K$1,enemy_skill_triggers!$1:$1,0)-MATCH($F$1,enemy_skill_triggers!$1:$1,0)+1),MATCH(K$1,enemy_skill_triggers!$1:$1,0)-MATCH($F$1,enemy_skill_triggers!$1:$1,0)+1,FALSE)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6" s="48">
        <f ca="1">VLOOKUP($F246,OFFSET(enemy_skill_triggers!$A$1,0,0,COUNTA(enemy_skill_triggers!$A:$A),MATCH(L$1,enemy_skill_triggers!$1:$1,0)-MATCH($F$1,enemy_skill_triggers!$1:$1,0)+1),MATCH(L$1,enemy_skill_triggers!$1:$1,0)-MATCH($F$1,enemy_skill_triggers!$1:$1,0)+1,FALSE)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6" s="48" t="str">
        <f ca="1">VLOOKUP($F246,OFFSET(enemy_skill_triggers!$A$1,0,0,COUNTA(enemy_skill_triggers!$A:$A),MATCH(M$1,enemy_skill_triggers!$1:$1,0)-MATCH($F$1,enemy_skill_triggers!$1:$1,0)+1),MATCH(M$1,enemy_skill_triggers!$1:$1,0)-MATCH($F$1,enemy_skill_triggers!$1:$1,0)+1,FALSE)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6" s="48">
        <f ca="1">VLOOKUP($F246,OFFSET(enemy_skill_triggers!$A$1,0,0,COUNTA(enemy_skill_triggers!$A:$A),MATCH(N$1,enemy_skill_triggers!$1:$1,0)-MATCH($F$1,enemy_skill_triggers!$1:$1,0)+1),MATCH(N$1,enemy_skill_triggers!$1:$1,0)-MATCH($F$1,enemy_skill_triggers!$1:$1,0)+1,FALSE)</f>
        <v>1363</v>
      </c>
      <c r="O246" s="48">
        <f ca="1">VLOOKUP($F246,OFFSET(enemy_skill_triggers!$A$1,0,0,COUNTA(enemy_skill_triggers!$A:$A),MATCH(O$1,enemy_skill_triggers!$1:$1,0)-MATCH($F$1,enemy_skill_triggers!$1:$1,0)+1),MATCH(O$1,enemy_skill_triggers!$1:$1,0)-MATCH($F$1,enemy_skill_triggers!$1:$1,0)+1,FALSE)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6" s="47"/>
      <c r="Q246" s="47"/>
      <c r="R246" s="47"/>
    </row>
    <row r="247" spans="1:18" ht="21" customHeight="1" x14ac:dyDescent="0.15">
      <c r="A247" s="39" t="str">
        <f t="shared" si="18"/>
        <v>47007224_47007494</v>
      </c>
      <c r="B247" s="174">
        <v>47007224</v>
      </c>
      <c r="C247" s="176">
        <v>47007494</v>
      </c>
      <c r="D247" s="46" t="str">
        <f ca="1">VLOOKUP($C247,OFFSET(enemy_skills!$A$1,0,0,COUNTA(enemy_skills!$A:$A),MATCH(D$1,enemy_skills!$1:$1,0)-MATCH("enemy_skill_id",enemy_skills!$1:$1,0)+1),MATCH(D$1,enemy_skills!$1:$1,0)-MATCH("enemy_skill_id",enemy_skills!$1:$1,0)+1,FALSE)</f>
        <v>あ、あんた…！_x000D_ま、また来てくれたの…？</v>
      </c>
      <c r="E247" s="46" t="str">
        <f ca="1">VLOOKUP($C247,OFFSET(enemy_skills!$A$1,0,0,COUNTA(enemy_skills!$A:$A),MATCH(E$1,enemy_skills!$1:$1,0)-MATCH("enemy_skill_id",enemy_skills!$1:$1,0)+1),MATCH(E$1,enemy_skills!$1:$1,0)-MATCH("enemy_skill_id",enemy_skills!$1:$1,0)+1,FALSE)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247" s="180">
        <v>47007110</v>
      </c>
      <c r="G247" s="48">
        <f ca="1">VLOOKUP($F247,OFFSET(enemy_skill_triggers!$A$1,0,0,COUNTA(enemy_skill_triggers!$A:$A),MATCH(G$1,enemy_skill_triggers!$1:$1,0)-MATCH($F$1,enemy_skill_triggers!$1:$1,0)+1),MATCH(G$1,enemy_skill_triggers!$1:$1,0)-MATCH($F$1,enemy_skill_triggers!$1:$1,0)+1,FALSE)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7" s="48">
        <f ca="1">VLOOKUP($F247,OFFSET(enemy_skill_triggers!$A$1,0,0,COUNTA(enemy_skill_triggers!$A:$A),MATCH(H$1,enemy_skill_triggers!$1:$1,0)-MATCH($F$1,enemy_skill_triggers!$1:$1,0)+1),MATCH(H$1,enemy_skill_triggers!$1:$1,0)-MATCH($F$1,enemy_skill_triggers!$1:$1,0)+1,FALSE)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247" s="48">
        <f ca="1">VLOOKUP($F247,OFFSET(enemy_skill_triggers!$A$1,0,0,COUNTA(enemy_skill_triggers!$A:$A),MATCH(I$1,enemy_skill_triggers!$1:$1,0)-MATCH($F$1,enemy_skill_triggers!$1:$1,0)+1),MATCH(I$1,enemy_skill_triggers!$1:$1,0)-MATCH($F$1,enemy_skill_triggers!$1:$1,0)+1,FALSE)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7" s="48" t="str">
        <f ca="1">VLOOKUP($F247,OFFSET(enemy_skill_triggers!$A$1,0,0,COUNTA(enemy_skill_triggers!$A:$A),MATCH(J$1,enemy_skill_triggers!$1:$1,0)-MATCH($F$1,enemy_skill_triggers!$1:$1,0)+1),MATCH(J$1,enemy_skill_triggers!$1:$1,0)-MATCH($F$1,enemy_skill_triggers!$1:$1,0)+1,FALSE)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7" s="48" t="str">
        <f ca="1">VLOOKUP($F247,OFFSET(enemy_skill_triggers!$A$1,0,0,COUNTA(enemy_skill_triggers!$A:$A),MATCH(K$1,enemy_skill_triggers!$1:$1,0)-MATCH($F$1,enemy_skill_triggers!$1:$1,0)+1),MATCH(K$1,enemy_skill_triggers!$1:$1,0)-MATCH($F$1,enemy_skill_triggers!$1:$1,0)+1,FALSE)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7" s="48">
        <f ca="1">VLOOKUP($F247,OFFSET(enemy_skill_triggers!$A$1,0,0,COUNTA(enemy_skill_triggers!$A:$A),MATCH(L$1,enemy_skill_triggers!$1:$1,0)-MATCH($F$1,enemy_skill_triggers!$1:$1,0)+1),MATCH(L$1,enemy_skill_triggers!$1:$1,0)-MATCH($F$1,enemy_skill_triggers!$1:$1,0)+1,FALSE)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7" s="48" t="str">
        <f ca="1">VLOOKUP($F247,OFFSET(enemy_skill_triggers!$A$1,0,0,COUNTA(enemy_skill_triggers!$A:$A),MATCH(M$1,enemy_skill_triggers!$1:$1,0)-MATCH($F$1,enemy_skill_triggers!$1:$1,0)+1),MATCH(M$1,enemy_skill_triggers!$1:$1,0)-MATCH($F$1,enemy_skill_triggers!$1:$1,0)+1,FALSE)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7" s="48">
        <f ca="1">VLOOKUP($F247,OFFSET(enemy_skill_triggers!$A$1,0,0,COUNTA(enemy_skill_triggers!$A:$A),MATCH(N$1,enemy_skill_triggers!$1:$1,0)-MATCH($F$1,enemy_skill_triggers!$1:$1,0)+1),MATCH(N$1,enemy_skill_triggers!$1:$1,0)-MATCH($F$1,enemy_skill_triggers!$1:$1,0)+1,FALSE)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247" s="48">
        <f ca="1">VLOOKUP($F247,OFFSET(enemy_skill_triggers!$A$1,0,0,COUNTA(enemy_skill_triggers!$A:$A),MATCH(O$1,enemy_skill_triggers!$1:$1,0)-MATCH($F$1,enemy_skill_triggers!$1:$1,0)+1),MATCH(O$1,enemy_skill_triggers!$1:$1,0)-MATCH($F$1,enemy_skill_triggers!$1:$1,0)+1,FALSE)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7" s="47"/>
      <c r="Q247" s="47"/>
      <c r="R247" s="47"/>
    </row>
    <row r="248" spans="1:18" ht="21" customHeight="1" x14ac:dyDescent="0.15">
      <c r="A248" s="39" t="str">
        <f t="shared" si="18"/>
        <v>47007224_47007494</v>
      </c>
      <c r="B248" s="174">
        <v>47007224</v>
      </c>
      <c r="C248" s="176">
        <v>47007494</v>
      </c>
      <c r="D248" s="46" t="str">
        <f ca="1">VLOOKUP($C248,OFFSET(enemy_skills!$A$1,0,0,COUNTA(enemy_skills!$A:$A),MATCH(D$1,enemy_skills!$1:$1,0)-MATCH("enemy_skill_id",enemy_skills!$1:$1,0)+1),MATCH(D$1,enemy_skills!$1:$1,0)-MATCH("enemy_skill_id",enemy_skills!$1:$1,0)+1,FALSE)</f>
        <v>あ、あんた…！_x000D_ま、また来てくれたの…？</v>
      </c>
      <c r="E248" s="46" t="str">
        <f ca="1">VLOOKUP($C248,OFFSET(enemy_skills!$A$1,0,0,COUNTA(enemy_skills!$A:$A),MATCH(E$1,enemy_skills!$1:$1,0)-MATCH("enemy_skill_id",enemy_skills!$1:$1,0)+1),MATCH(E$1,enemy_skills!$1:$1,0)-MATCH("enemy_skill_id",enemy_skills!$1:$1,0)+1,FALSE)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248" s="180">
        <v>47007111</v>
      </c>
      <c r="G248" s="48">
        <f ca="1">VLOOKUP($F248,OFFSET(enemy_skill_triggers!$A$1,0,0,COUNTA(enemy_skill_triggers!$A:$A),MATCH(G$1,enemy_skill_triggers!$1:$1,0)-MATCH($F$1,enemy_skill_triggers!$1:$1,0)+1),MATCH(G$1,enemy_skill_triggers!$1:$1,0)-MATCH($F$1,enemy_skill_triggers!$1:$1,0)+1,FALSE)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8" s="48">
        <f ca="1">VLOOKUP($F248,OFFSET(enemy_skill_triggers!$A$1,0,0,COUNTA(enemy_skill_triggers!$A:$A),MATCH(H$1,enemy_skill_triggers!$1:$1,0)-MATCH($F$1,enemy_skill_triggers!$1:$1,0)+1),MATCH(H$1,enemy_skill_triggers!$1:$1,0)-MATCH($F$1,enemy_skill_triggers!$1:$1,0)+1,FALSE)</f>
        <v>299</v>
      </c>
      <c r="I248" s="48">
        <f ca="1">VLOOKUP($F248,OFFSET(enemy_skill_triggers!$A$1,0,0,COUNTA(enemy_skill_triggers!$A:$A),MATCH(I$1,enemy_skill_triggers!$1:$1,0)-MATCH($F$1,enemy_skill_triggers!$1:$1,0)+1),MATCH(I$1,enemy_skill_triggers!$1:$1,0)-MATCH($F$1,enemy_skill_triggers!$1:$1,0)+1,FALSE)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8" s="48" t="str">
        <f ca="1">VLOOKUP($F248,OFFSET(enemy_skill_triggers!$A$1,0,0,COUNTA(enemy_skill_triggers!$A:$A),MATCH(J$1,enemy_skill_triggers!$1:$1,0)-MATCH($F$1,enemy_skill_triggers!$1:$1,0)+1),MATCH(J$1,enemy_skill_triggers!$1:$1,0)-MATCH($F$1,enemy_skill_triggers!$1:$1,0)+1,FALSE)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8" s="48" t="str">
        <f ca="1">VLOOKUP($F248,OFFSET(enemy_skill_triggers!$A$1,0,0,COUNTA(enemy_skill_triggers!$A:$A),MATCH(K$1,enemy_skill_triggers!$1:$1,0)-MATCH($F$1,enemy_skill_triggers!$1:$1,0)+1),MATCH(K$1,enemy_skill_triggers!$1:$1,0)-MATCH($F$1,enemy_skill_triggers!$1:$1,0)+1,FALSE)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8" s="48">
        <f ca="1">VLOOKUP($F248,OFFSET(enemy_skill_triggers!$A$1,0,0,COUNTA(enemy_skill_triggers!$A:$A),MATCH(L$1,enemy_skill_triggers!$1:$1,0)-MATCH($F$1,enemy_skill_triggers!$1:$1,0)+1),MATCH(L$1,enemy_skill_triggers!$1:$1,0)-MATCH($F$1,enemy_skill_triggers!$1:$1,0)+1,FALSE)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8" s="48" t="str">
        <f ca="1">VLOOKUP($F248,OFFSET(enemy_skill_triggers!$A$1,0,0,COUNTA(enemy_skill_triggers!$A:$A),MATCH(M$1,enemy_skill_triggers!$1:$1,0)-MATCH($F$1,enemy_skill_triggers!$1:$1,0)+1),MATCH(M$1,enemy_skill_triggers!$1:$1,0)-MATCH($F$1,enemy_skill_triggers!$1:$1,0)+1,FALSE)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8" s="48">
        <f ca="1">VLOOKUP($F248,OFFSET(enemy_skill_triggers!$A$1,0,0,COUNTA(enemy_skill_triggers!$A:$A),MATCH(N$1,enemy_skill_triggers!$1:$1,0)-MATCH($F$1,enemy_skill_triggers!$1:$1,0)+1),MATCH(N$1,enemy_skill_triggers!$1:$1,0)-MATCH($F$1,enemy_skill_triggers!$1:$1,0)+1,FALSE)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248" s="48">
        <f ca="1">VLOOKUP($F248,OFFSET(enemy_skill_triggers!$A$1,0,0,COUNTA(enemy_skill_triggers!$A:$A),MATCH(O$1,enemy_skill_triggers!$1:$1,0)-MATCH($F$1,enemy_skill_triggers!$1:$1,0)+1),MATCH(O$1,enemy_skill_triggers!$1:$1,0)-MATCH($F$1,enemy_skill_triggers!$1:$1,0)+1,FALSE)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8" s="47"/>
      <c r="Q248" s="47"/>
      <c r="R248" s="47"/>
    </row>
    <row r="249" spans="1:18" ht="21" customHeight="1" x14ac:dyDescent="0.15">
      <c r="A249" s="39" t="str">
        <f t="shared" si="18"/>
        <v>47007224_47007494</v>
      </c>
      <c r="B249" s="174">
        <v>47007224</v>
      </c>
      <c r="C249" s="176">
        <v>47007494</v>
      </c>
      <c r="D249" s="46" t="str">
        <f ca="1">VLOOKUP($C249,OFFSET(enemy_skills!$A$1,0,0,COUNTA(enemy_skills!$A:$A),MATCH(D$1,enemy_skills!$1:$1,0)-MATCH("enemy_skill_id",enemy_skills!$1:$1,0)+1),MATCH(D$1,enemy_skills!$1:$1,0)-MATCH("enemy_skill_id",enemy_skills!$1:$1,0)+1,FALSE)</f>
        <v>あ、あんた…！_x000D_ま、また来てくれたの…？</v>
      </c>
      <c r="E249" s="46" t="str">
        <f ca="1">VLOOKUP($C249,OFFSET(enemy_skills!$A$1,0,0,COUNTA(enemy_skills!$A:$A),MATCH(E$1,enemy_skills!$1:$1,0)-MATCH("enemy_skill_id",enemy_skills!$1:$1,0)+1),MATCH(E$1,enemy_skills!$1:$1,0)-MATCH("enemy_skill_id",enemy_skills!$1:$1,0)+1,FALSE)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249" s="180">
        <v>47007112</v>
      </c>
      <c r="G249" s="48">
        <f ca="1">VLOOKUP($F249,OFFSET(enemy_skill_triggers!$A$1,0,0,COUNTA(enemy_skill_triggers!$A:$A),MATCH(G$1,enemy_skill_triggers!$1:$1,0)-MATCH($F$1,enemy_skill_triggers!$1:$1,0)+1),MATCH(G$1,enemy_skill_triggers!$1:$1,0)-MATCH($F$1,enemy_skill_triggers!$1:$1,0)+1,FALSE)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9" s="48">
        <f ca="1">VLOOKUP($F249,OFFSET(enemy_skill_triggers!$A$1,0,0,COUNTA(enemy_skill_triggers!$A:$A),MATCH(H$1,enemy_skill_triggers!$1:$1,0)-MATCH($F$1,enemy_skill_triggers!$1:$1,0)+1),MATCH(H$1,enemy_skill_triggers!$1:$1,0)-MATCH($F$1,enemy_skill_triggers!$1:$1,0)+1,FALSE)</f>
        <v>298</v>
      </c>
      <c r="I249" s="48">
        <f ca="1">VLOOKUP($F249,OFFSET(enemy_skill_triggers!$A$1,0,0,COUNTA(enemy_skill_triggers!$A:$A),MATCH(I$1,enemy_skill_triggers!$1:$1,0)-MATCH($F$1,enemy_skill_triggers!$1:$1,0)+1),MATCH(I$1,enemy_skill_triggers!$1:$1,0)-MATCH($F$1,enemy_skill_triggers!$1:$1,0)+1,FALSE)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9" s="48" t="str">
        <f ca="1">VLOOKUP($F249,OFFSET(enemy_skill_triggers!$A$1,0,0,COUNTA(enemy_skill_triggers!$A:$A),MATCH(J$1,enemy_skill_triggers!$1:$1,0)-MATCH($F$1,enemy_skill_triggers!$1:$1,0)+1),MATCH(J$1,enemy_skill_triggers!$1:$1,0)-MATCH($F$1,enemy_skill_triggers!$1:$1,0)+1,FALSE)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9" s="48" t="str">
        <f ca="1">VLOOKUP($F249,OFFSET(enemy_skill_triggers!$A$1,0,0,COUNTA(enemy_skill_triggers!$A:$A),MATCH(K$1,enemy_skill_triggers!$1:$1,0)-MATCH($F$1,enemy_skill_triggers!$1:$1,0)+1),MATCH(K$1,enemy_skill_triggers!$1:$1,0)-MATCH($F$1,enemy_skill_triggers!$1:$1,0)+1,FALSE)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9" s="48">
        <f ca="1">VLOOKUP($F249,OFFSET(enemy_skill_triggers!$A$1,0,0,COUNTA(enemy_skill_triggers!$A:$A),MATCH(L$1,enemy_skill_triggers!$1:$1,0)-MATCH($F$1,enemy_skill_triggers!$1:$1,0)+1),MATCH(L$1,enemy_skill_triggers!$1:$1,0)-MATCH($F$1,enemy_skill_triggers!$1:$1,0)+1,FALSE)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9" s="48" t="str">
        <f ca="1">VLOOKUP($F249,OFFSET(enemy_skill_triggers!$A$1,0,0,COUNTA(enemy_skill_triggers!$A:$A),MATCH(M$1,enemy_skill_triggers!$1:$1,0)-MATCH($F$1,enemy_skill_triggers!$1:$1,0)+1),MATCH(M$1,enemy_skill_triggers!$1:$1,0)-MATCH($F$1,enemy_skill_triggers!$1:$1,0)+1,FALSE)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9" s="48">
        <f ca="1">VLOOKUP($F249,OFFSET(enemy_skill_triggers!$A$1,0,0,COUNTA(enemy_skill_triggers!$A:$A),MATCH(N$1,enemy_skill_triggers!$1:$1,0)-MATCH($F$1,enemy_skill_triggers!$1:$1,0)+1),MATCH(N$1,enemy_skill_triggers!$1:$1,0)-MATCH($F$1,enemy_skill_triggers!$1:$1,0)+1,FALSE)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249" s="48">
        <f ca="1">VLOOKUP($F249,OFFSET(enemy_skill_triggers!$A$1,0,0,COUNTA(enemy_skill_triggers!$A:$A),MATCH(O$1,enemy_skill_triggers!$1:$1,0)-MATCH($F$1,enemy_skill_triggers!$1:$1,0)+1),MATCH(O$1,enemy_skill_triggers!$1:$1,0)-MATCH($F$1,enemy_skill_triggers!$1:$1,0)+1,FALSE)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9" s="47"/>
      <c r="Q249" s="47"/>
      <c r="R249" s="47"/>
    </row>
    <row r="250" spans="1:18" ht="21" customHeight="1" x14ac:dyDescent="0.15">
      <c r="A250" s="39" t="str">
        <f t="shared" si="18"/>
        <v>47007224_47007494</v>
      </c>
      <c r="B250" s="174">
        <v>47007224</v>
      </c>
      <c r="C250" s="176">
        <v>47007494</v>
      </c>
      <c r="D250" s="46" t="str">
        <f ca="1">VLOOKUP($C250,OFFSET(enemy_skills!$A$1,0,0,COUNTA(enemy_skills!$A:$A),MATCH(D$1,enemy_skills!$1:$1,0)-MATCH("enemy_skill_id",enemy_skills!$1:$1,0)+1),MATCH(D$1,enemy_skills!$1:$1,0)-MATCH("enemy_skill_id",enemy_skills!$1:$1,0)+1,FALSE)</f>
        <v>あ、あんた…！_x000D_ま、また来てくれたの…？</v>
      </c>
      <c r="E250" s="46" t="str">
        <f ca="1">VLOOKUP($C250,OFFSET(enemy_skills!$A$1,0,0,COUNTA(enemy_skills!$A:$A),MATCH(E$1,enemy_skills!$1:$1,0)-MATCH("enemy_skill_id",enemy_skills!$1:$1,0)+1),MATCH(E$1,enemy_skills!$1:$1,0)-MATCH("enemy_skill_id",enemy_skills!$1:$1,0)+1,FALSE)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250" s="180">
        <v>47007113</v>
      </c>
      <c r="G250" s="48">
        <f ca="1">VLOOKUP($F250,OFFSET(enemy_skill_triggers!$A$1,0,0,COUNTA(enemy_skill_triggers!$A:$A),MATCH(G$1,enemy_skill_triggers!$1:$1,0)-MATCH($F$1,enemy_skill_triggers!$1:$1,0)+1),MATCH(G$1,enemy_skill_triggers!$1:$1,0)-MATCH($F$1,enemy_skill_triggers!$1:$1,0)+1,FALSE)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0" s="48">
        <f ca="1">VLOOKUP($F250,OFFSET(enemy_skill_triggers!$A$1,0,0,COUNTA(enemy_skill_triggers!$A:$A),MATCH(H$1,enemy_skill_triggers!$1:$1,0)-MATCH($F$1,enemy_skill_triggers!$1:$1,0)+1),MATCH(H$1,enemy_skill_triggers!$1:$1,0)-MATCH($F$1,enemy_skill_triggers!$1:$1,0)+1,FALSE)</f>
        <v>297</v>
      </c>
      <c r="I250" s="48">
        <f ca="1">VLOOKUP($F250,OFFSET(enemy_skill_triggers!$A$1,0,0,COUNTA(enemy_skill_triggers!$A:$A),MATCH(I$1,enemy_skill_triggers!$1:$1,0)-MATCH($F$1,enemy_skill_triggers!$1:$1,0)+1),MATCH(I$1,enemy_skill_triggers!$1:$1,0)-MATCH($F$1,enemy_skill_triggers!$1:$1,0)+1,FALSE)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0" s="48" t="str">
        <f ca="1">VLOOKUP($F250,OFFSET(enemy_skill_triggers!$A$1,0,0,COUNTA(enemy_skill_triggers!$A:$A),MATCH(J$1,enemy_skill_triggers!$1:$1,0)-MATCH($F$1,enemy_skill_triggers!$1:$1,0)+1),MATCH(J$1,enemy_skill_triggers!$1:$1,0)-MATCH($F$1,enemy_skill_triggers!$1:$1,0)+1,FALSE)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0" s="48" t="str">
        <f ca="1">VLOOKUP($F250,OFFSET(enemy_skill_triggers!$A$1,0,0,COUNTA(enemy_skill_triggers!$A:$A),MATCH(K$1,enemy_skill_triggers!$1:$1,0)-MATCH($F$1,enemy_skill_triggers!$1:$1,0)+1),MATCH(K$1,enemy_skill_triggers!$1:$1,0)-MATCH($F$1,enemy_skill_triggers!$1:$1,0)+1,FALSE)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0" s="48">
        <f ca="1">VLOOKUP($F250,OFFSET(enemy_skill_triggers!$A$1,0,0,COUNTA(enemy_skill_triggers!$A:$A),MATCH(L$1,enemy_skill_triggers!$1:$1,0)-MATCH($F$1,enemy_skill_triggers!$1:$1,0)+1),MATCH(L$1,enemy_skill_triggers!$1:$1,0)-MATCH($F$1,enemy_skill_triggers!$1:$1,0)+1,FALSE)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0" s="48" t="str">
        <f ca="1">VLOOKUP($F250,OFFSET(enemy_skill_triggers!$A$1,0,0,COUNTA(enemy_skill_triggers!$A:$A),MATCH(M$1,enemy_skill_triggers!$1:$1,0)-MATCH($F$1,enemy_skill_triggers!$1:$1,0)+1),MATCH(M$1,enemy_skill_triggers!$1:$1,0)-MATCH($F$1,enemy_skill_triggers!$1:$1,0)+1,FALSE)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0" s="48">
        <f ca="1">VLOOKUP($F250,OFFSET(enemy_skill_triggers!$A$1,0,0,COUNTA(enemy_skill_triggers!$A:$A),MATCH(N$1,enemy_skill_triggers!$1:$1,0)-MATCH($F$1,enemy_skill_triggers!$1:$1,0)+1),MATCH(N$1,enemy_skill_triggers!$1:$1,0)-MATCH($F$1,enemy_skill_triggers!$1:$1,0)+1,FALSE)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250" s="48">
        <f ca="1">VLOOKUP($F250,OFFSET(enemy_skill_triggers!$A$1,0,0,COUNTA(enemy_skill_triggers!$A:$A),MATCH(O$1,enemy_skill_triggers!$1:$1,0)-MATCH($F$1,enemy_skill_triggers!$1:$1,0)+1),MATCH(O$1,enemy_skill_triggers!$1:$1,0)-MATCH($F$1,enemy_skill_triggers!$1:$1,0)+1,FALSE)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0" s="47"/>
      <c r="Q250" s="47"/>
      <c r="R250" s="47"/>
    </row>
    <row r="251" spans="1:18" ht="21" customHeight="1" x14ac:dyDescent="0.15">
      <c r="A251" s="39" t="str">
        <f t="shared" si="18"/>
        <v>47007224_47007494</v>
      </c>
      <c r="B251" s="174">
        <v>47007224</v>
      </c>
      <c r="C251" s="176">
        <v>47007494</v>
      </c>
      <c r="D251" s="46" t="str">
        <f ca="1">VLOOKUP($C251,OFFSET(enemy_skills!$A$1,0,0,COUNTA(enemy_skills!$A:$A),MATCH(D$1,enemy_skills!$1:$1,0)-MATCH("enemy_skill_id",enemy_skills!$1:$1,0)+1),MATCH(D$1,enemy_skills!$1:$1,0)-MATCH("enemy_skill_id",enemy_skills!$1:$1,0)+1,FALSE)</f>
        <v>あ、あんた…！_x000D_ま、また来てくれたの…？</v>
      </c>
      <c r="E251" s="46" t="str">
        <f ca="1">VLOOKUP($C251,OFFSET(enemy_skills!$A$1,0,0,COUNTA(enemy_skills!$A:$A),MATCH(E$1,enemy_skills!$1:$1,0)-MATCH("enemy_skill_id",enemy_skills!$1:$1,0)+1),MATCH(E$1,enemy_skills!$1:$1,0)-MATCH("enemy_skill_id",enemy_skills!$1:$1,0)+1,FALSE)</f>
        <v>状態異常耐性+_x000D_青パネルをハートパネルに、黄パネルを赤パネルに変換</v>
      </c>
      <c r="F251" s="180">
        <v>47007114</v>
      </c>
      <c r="G251" s="48">
        <f ca="1">VLOOKUP($F251,OFFSET(enemy_skill_triggers!$A$1,0,0,COUNTA(enemy_skill_triggers!$A:$A),MATCH(G$1,enemy_skill_triggers!$1:$1,0)-MATCH($F$1,enemy_skill_triggers!$1:$1,0)+1),MATCH(G$1,enemy_skill_triggers!$1:$1,0)-MATCH($F$1,enemy_skill_triggers!$1:$1,0)+1,FALSE)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1" s="48">
        <f ca="1">VLOOKUP($F251,OFFSET(enemy_skill_triggers!$A$1,0,0,COUNTA(enemy_skill_triggers!$A:$A),MATCH(H$1,enemy_skill_triggers!$1:$1,0)-MATCH($F$1,enemy_skill_triggers!$1:$1,0)+1),MATCH(H$1,enemy_skill_triggers!$1:$1,0)-MATCH($F$1,enemy_skill_triggers!$1:$1,0)+1,FALSE)</f>
        <v>296</v>
      </c>
      <c r="I251" s="48">
        <f ca="1">VLOOKUP($F251,OFFSET(enemy_skill_triggers!$A$1,0,0,COUNTA(enemy_skill_triggers!$A:$A),MATCH(I$1,enemy_skill_triggers!$1:$1,0)-MATCH($F$1,enemy_skill_triggers!$1:$1,0)+1),MATCH(I$1,enemy_skill_triggers!$1:$1,0)-MATCH($F$1,enemy_skill_triggers!$1:$1,0)+1,FALSE)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1" s="48" t="str">
        <f ca="1">VLOOKUP($F251,OFFSET(enemy_skill_triggers!$A$1,0,0,COUNTA(enemy_skill_triggers!$A:$A),MATCH(J$1,enemy_skill_triggers!$1:$1,0)-MATCH($F$1,enemy_skill_triggers!$1:$1,0)+1),MATCH(J$1,enemy_skill_triggers!$1:$1,0)-MATCH($F$1,enemy_skill_triggers!$1:$1,0)+1,FALSE)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1" s="48" t="str">
        <f ca="1">VLOOKUP($F251,OFFSET(enemy_skill_triggers!$A$1,0,0,COUNTA(enemy_skill_triggers!$A:$A),MATCH(K$1,enemy_skill_triggers!$1:$1,0)-MATCH($F$1,enemy_skill_triggers!$1:$1,0)+1),MATCH(K$1,enemy_skill_triggers!$1:$1,0)-MATCH($F$1,enemy_skill_triggers!$1:$1,0)+1,FALSE)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1" s="48">
        <f ca="1">VLOOKUP($F251,OFFSET(enemy_skill_triggers!$A$1,0,0,COUNTA(enemy_skill_triggers!$A:$A),MATCH(L$1,enemy_skill_triggers!$1:$1,0)-MATCH($F$1,enemy_skill_triggers!$1:$1,0)+1),MATCH(L$1,enemy_skill_triggers!$1:$1,0)-MATCH($F$1,enemy_skill_triggers!$1:$1,0)+1,FALSE)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1" s="48" t="str">
        <f ca="1">VLOOKUP($F251,OFFSET(enemy_skill_triggers!$A$1,0,0,COUNTA(enemy_skill_triggers!$A:$A),MATCH(M$1,enemy_skill_triggers!$1:$1,0)-MATCH($F$1,enemy_skill_triggers!$1:$1,0)+1),MATCH(M$1,enemy_skill_triggers!$1:$1,0)-MATCH($F$1,enemy_skill_triggers!$1:$1,0)+1,FALSE)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1" s="48">
        <f ca="1">VLOOKUP($F251,OFFSET(enemy_skill_triggers!$A$1,0,0,COUNTA(enemy_skill_triggers!$A:$A),MATCH(N$1,enemy_skill_triggers!$1:$1,0)-MATCH($F$1,enemy_skill_triggers!$1:$1,0)+1),MATCH(N$1,enemy_skill_triggers!$1:$1,0)-MATCH($F$1,enemy_skill_triggers!$1:$1,0)+1,FALSE)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251" s="48">
        <f ca="1">VLOOKUP($F251,OFFSET(enemy_skill_triggers!$A$1,0,0,COUNTA(enemy_skill_triggers!$A:$A),MATCH(O$1,enemy_skill_triggers!$1:$1,0)-MATCH($F$1,enemy_skill_triggers!$1:$1,0)+1),MATCH(O$1,enemy_skill_triggers!$1:$1,0)-MATCH($F$1,enemy_skill_triggers!$1:$1,0)+1,FALSE)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1" s="47"/>
      <c r="Q251" s="47"/>
      <c r="R251" s="47"/>
    </row>
    <row r="252" spans="1:18" ht="21" customHeight="1" x14ac:dyDescent="0.15">
      <c r="A252" s="39" t="str">
        <f t="shared" si="18"/>
        <v>47007224_47007495</v>
      </c>
      <c r="B252" s="174">
        <v>47007224</v>
      </c>
      <c r="C252" s="174">
        <v>47007495</v>
      </c>
      <c r="D252" s="46" t="str">
        <f ca="1">VLOOKUP($C252,OFFSET(enemy_skills!$A$1,0,0,COUNTA(enemy_skills!$A:$A),MATCH(D$1,enemy_skills!$1:$1,0)-MATCH("enemy_skill_id",enemy_skills!$1:$1,0)+1),MATCH(D$1,enemy_skills!$1:$1,0)-MATCH("enemy_skill_id",enemy_skills!$1:$1,0)+1,FALSE)</f>
        <v>あんたの事なんて…！_x000D_す、好きなんかじゃ…うぅ</v>
      </c>
      <c r="E252" s="46" t="str">
        <f ca="1">VLOOKUP($C252,OFFSET(enemy_skills!$A$1,0,0,COUNTA(enemy_skills!$A:$A),MATCH(E$1,enemy_skills!$1:$1,0)-MATCH("enemy_skill_id",enemy_skills!$1:$1,0)+1),MATCH(E$1,enemy_skills!$1:$1,0)-MATCH("enemy_skill_id",enemy_skills!$1:$1,0)+1,FALSE)</f>
        <v>属性パネルプロテクト(最大10個)+全体攻撃</v>
      </c>
      <c r="F252" s="180">
        <v>47007405</v>
      </c>
      <c r="G252" s="48">
        <f ca="1">VLOOKUP($F252,OFFSET(enemy_skill_triggers!$A$1,0,0,COUNTA(enemy_skill_triggers!$A:$A),MATCH(G$1,enemy_skill_triggers!$1:$1,0)-MATCH($F$1,enemy_skill_triggers!$1:$1,0)+1),MATCH(G$1,enemy_skill_triggers!$1:$1,0)-MATCH($F$1,enemy_skill_triggers!$1:$1,0)+1,FALSE)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2" s="48">
        <f ca="1">VLOOKUP($F252,OFFSET(enemy_skill_triggers!$A$1,0,0,COUNTA(enemy_skill_triggers!$A:$A),MATCH(H$1,enemy_skill_triggers!$1:$1,0)-MATCH($F$1,enemy_skill_triggers!$1:$1,0)+1),MATCH(H$1,enemy_skill_triggers!$1:$1,0)-MATCH($F$1,enemy_skill_triggers!$1:$1,0)+1,FALSE)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52" s="48">
        <f ca="1">VLOOKUP($F252,OFFSET(enemy_skill_triggers!$A$1,0,0,COUNTA(enemy_skill_triggers!$A:$A),MATCH(I$1,enemy_skill_triggers!$1:$1,0)-MATCH($F$1,enemy_skill_triggers!$1:$1,0)+1),MATCH(I$1,enemy_skill_triggers!$1:$1,0)-MATCH($F$1,enemy_skill_triggers!$1:$1,0)+1,FALSE)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2" s="48" t="str">
        <f ca="1">VLOOKUP($F252,OFFSET(enemy_skill_triggers!$A$1,0,0,COUNTA(enemy_skill_triggers!$A:$A),MATCH(J$1,enemy_skill_triggers!$1:$1,0)-MATCH($F$1,enemy_skill_triggers!$1:$1,0)+1),MATCH(J$1,enemy_skill_triggers!$1:$1,0)-MATCH($F$1,enemy_skill_triggers!$1:$1,0)+1,FALSE)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2" s="48" t="str">
        <f ca="1">VLOOKUP($F252,OFFSET(enemy_skill_triggers!$A$1,0,0,COUNTA(enemy_skill_triggers!$A:$A),MATCH(K$1,enemy_skill_triggers!$1:$1,0)-MATCH($F$1,enemy_skill_triggers!$1:$1,0)+1),MATCH(K$1,enemy_skill_triggers!$1:$1,0)-MATCH($F$1,enemy_skill_triggers!$1:$1,0)+1,FALSE)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2" s="48" t="str">
        <f ca="1">VLOOKUP($F252,OFFSET(enemy_skill_triggers!$A$1,0,0,COUNTA(enemy_skill_triggers!$A:$A),MATCH(L$1,enemy_skill_triggers!$1:$1,0)-MATCH($F$1,enemy_skill_triggers!$1:$1,0)+1),MATCH(L$1,enemy_skill_triggers!$1:$1,0)-MATCH($F$1,enemy_skill_triggers!$1:$1,0)+1,FALSE)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2" s="48" t="str">
        <f ca="1">VLOOKUP($F252,OFFSET(enemy_skill_triggers!$A$1,0,0,COUNTA(enemy_skill_triggers!$A:$A),MATCH(M$1,enemy_skill_triggers!$1:$1,0)-MATCH($F$1,enemy_skill_triggers!$1:$1,0)+1),MATCH(M$1,enemy_skill_triggers!$1:$1,0)-MATCH($F$1,enemy_skill_triggers!$1:$1,0)+1,FALSE)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2" s="48" t="str">
        <f ca="1">VLOOKUP($F252,OFFSET(enemy_skill_triggers!$A$1,0,0,COUNTA(enemy_skill_triggers!$A:$A),MATCH(N$1,enemy_skill_triggers!$1:$1,0)-MATCH($F$1,enemy_skill_triggers!$1:$1,0)+1),MATCH(N$1,enemy_skill_triggers!$1:$1,0)-MATCH($F$1,enemy_skill_triggers!$1:$1,0)+1,FALSE)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2" s="48">
        <f ca="1">VLOOKUP($F252,OFFSET(enemy_skill_triggers!$A$1,0,0,COUNTA(enemy_skill_triggers!$A:$A),MATCH(O$1,enemy_skill_triggers!$1:$1,0)-MATCH($F$1,enemy_skill_triggers!$1:$1,0)+1),MATCH(O$1,enemy_skill_triggers!$1:$1,0)-MATCH($F$1,enemy_skill_triggers!$1:$1,0)+1,FALSE)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2" s="47"/>
      <c r="Q252" s="47"/>
      <c r="R252" s="47"/>
    </row>
    <row r="253" spans="1:18" ht="21" customHeight="1" x14ac:dyDescent="0.15">
      <c r="A253" s="39" t="str">
        <f t="shared" si="18"/>
        <v>47007224_47007405</v>
      </c>
      <c r="B253" s="174">
        <v>47007224</v>
      </c>
      <c r="C253" s="176">
        <v>47007405</v>
      </c>
      <c r="D253" s="46" t="str">
        <f ca="1">VLOOKUP($C253,OFFSET(enemy_skills!$A$1,0,0,COUNTA(enemy_skills!$A:$A),MATCH(D$1,enemy_skills!$1:$1,0)-MATCH("enemy_skill_id",enemy_skills!$1:$1,0)+1),MATCH(D$1,enemy_skills!$1:$1,0)-MATCH("enemy_skill_id",enemy_skills!$1:$1,0)+1,FALSE)</f>
        <v>そ、そんなに見るな…見つめるな…！</v>
      </c>
      <c r="E253" s="46" t="str">
        <f ca="1">VLOOKUP($C253,OFFSET(enemy_skills!$A$1,0,0,COUNTA(enemy_skills!$A:$A),MATCH(E$1,enemy_skills!$1:$1,0)-MATCH("enemy_skill_id",enemy_skills!$1:$1,0)+1),MATCH(E$1,enemy_skills!$1:$1,0)-MATCH("enemy_skill_id",enemy_skills!$1:$1,0)+1,FALSE)</f>
        <v>赤パネルを吸収して攻撃(最大15個)</v>
      </c>
      <c r="F253" s="180">
        <v>47007406</v>
      </c>
      <c r="G253" s="48">
        <f ca="1">VLOOKUP($F253,OFFSET(enemy_skill_triggers!$A$1,0,0,COUNTA(enemy_skill_triggers!$A:$A),MATCH(G$1,enemy_skill_triggers!$1:$1,0)-MATCH($F$1,enemy_skill_triggers!$1:$1,0)+1),MATCH(G$1,enemy_skill_triggers!$1:$1,0)-MATCH($F$1,enemy_skill_triggers!$1:$1,0)+1,FALSE)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3" s="48">
        <f ca="1">VLOOKUP($F253,OFFSET(enemy_skill_triggers!$A$1,0,0,COUNTA(enemy_skill_triggers!$A:$A),MATCH(H$1,enemy_skill_triggers!$1:$1,0)-MATCH($F$1,enemy_skill_triggers!$1:$1,0)+1),MATCH(H$1,enemy_skill_triggers!$1:$1,0)-MATCH($F$1,enemy_skill_triggers!$1:$1,0)+1,FALSE)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53" s="48">
        <f ca="1">VLOOKUP($F253,OFFSET(enemy_skill_triggers!$A$1,0,0,COUNTA(enemy_skill_triggers!$A:$A),MATCH(I$1,enemy_skill_triggers!$1:$1,0)-MATCH($F$1,enemy_skill_triggers!$1:$1,0)+1),MATCH(I$1,enemy_skill_triggers!$1:$1,0)-MATCH($F$1,enemy_skill_triggers!$1:$1,0)+1,FALSE)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3" s="48" t="str">
        <f ca="1">VLOOKUP($F253,OFFSET(enemy_skill_triggers!$A$1,0,0,COUNTA(enemy_skill_triggers!$A:$A),MATCH(J$1,enemy_skill_triggers!$1:$1,0)-MATCH($F$1,enemy_skill_triggers!$1:$1,0)+1),MATCH(J$1,enemy_skill_triggers!$1:$1,0)-MATCH($F$1,enemy_skill_triggers!$1:$1,0)+1,FALSE)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3" s="48" t="str">
        <f ca="1">VLOOKUP($F253,OFFSET(enemy_skill_triggers!$A$1,0,0,COUNTA(enemy_skill_triggers!$A:$A),MATCH(K$1,enemy_skill_triggers!$1:$1,0)-MATCH($F$1,enemy_skill_triggers!$1:$1,0)+1),MATCH(K$1,enemy_skill_triggers!$1:$1,0)-MATCH($F$1,enemy_skill_triggers!$1:$1,0)+1,FALSE)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3" s="48" t="str">
        <f ca="1">VLOOKUP($F253,OFFSET(enemy_skill_triggers!$A$1,0,0,COUNTA(enemy_skill_triggers!$A:$A),MATCH(L$1,enemy_skill_triggers!$1:$1,0)-MATCH($F$1,enemy_skill_triggers!$1:$1,0)+1),MATCH(L$1,enemy_skill_triggers!$1:$1,0)-MATCH($F$1,enemy_skill_triggers!$1:$1,0)+1,FALSE)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3" s="48" t="str">
        <f ca="1">VLOOKUP($F253,OFFSET(enemy_skill_triggers!$A$1,0,0,COUNTA(enemy_skill_triggers!$A:$A),MATCH(M$1,enemy_skill_triggers!$1:$1,0)-MATCH($F$1,enemy_skill_triggers!$1:$1,0)+1),MATCH(M$1,enemy_skill_triggers!$1:$1,0)-MATCH($F$1,enemy_skill_triggers!$1:$1,0)+1,FALSE)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3" s="48" t="str">
        <f ca="1">VLOOKUP($F253,OFFSET(enemy_skill_triggers!$A$1,0,0,COUNTA(enemy_skill_triggers!$A:$A),MATCH(N$1,enemy_skill_triggers!$1:$1,0)-MATCH($F$1,enemy_skill_triggers!$1:$1,0)+1),MATCH(N$1,enemy_skill_triggers!$1:$1,0)-MATCH($F$1,enemy_skill_triggers!$1:$1,0)+1,FALSE)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3" s="48">
        <f ca="1">VLOOKUP($F253,OFFSET(enemy_skill_triggers!$A$1,0,0,COUNTA(enemy_skill_triggers!$A:$A),MATCH(O$1,enemy_skill_triggers!$1:$1,0)-MATCH($F$1,enemy_skill_triggers!$1:$1,0)+1),MATCH(O$1,enemy_skill_triggers!$1:$1,0)-MATCH($F$1,enemy_skill_triggers!$1:$1,0)+1,FALSE)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3" s="47"/>
      <c r="Q253" s="47"/>
      <c r="R253" s="47"/>
    </row>
    <row r="254" spans="1:18" ht="21" customHeight="1" x14ac:dyDescent="0.15">
      <c r="A254" s="39" t="str">
        <f t="shared" si="18"/>
        <v>47007224_47007406</v>
      </c>
      <c r="B254" s="174">
        <v>47007224</v>
      </c>
      <c r="C254" s="176">
        <v>47007406</v>
      </c>
      <c r="D254" s="46" t="str">
        <f ca="1">VLOOKUP($C254,OFFSET(enemy_skills!$A$1,0,0,COUNTA(enemy_skills!$A:$A),MATCH(D$1,enemy_skills!$1:$1,0)-MATCH("enemy_skill_id",enemy_skills!$1:$1,0)+1),MATCH(D$1,enemy_skills!$1:$1,0)-MATCH("enemy_skill_id",enemy_skills!$1:$1,0)+1,FALSE)</f>
        <v>だらしないわね！しっかりしなさいよ！</v>
      </c>
      <c r="E254" s="46" t="str">
        <f ca="1">VLOOKUP($C254,OFFSET(enemy_skills!$A$1,0,0,COUNTA(enemy_skills!$A:$A),MATCH(E$1,enemy_skills!$1:$1,0)-MATCH("enemy_skill_id",enemy_skills!$1:$1,0)+1),MATCH(E$1,enemy_skills!$1:$1,0)-MATCH("enemy_skill_id",enemy_skills!$1:$1,0)+1,FALSE)</f>
        <v>クリティカル！_x000D_(命中したユニットの攻撃力30%UP)</v>
      </c>
      <c r="F254" s="180">
        <v>47007407</v>
      </c>
      <c r="G254" s="48">
        <f ca="1">VLOOKUP($F254,OFFSET(enemy_skill_triggers!$A$1,0,0,COUNTA(enemy_skill_triggers!$A:$A),MATCH(G$1,enemy_skill_triggers!$1:$1,0)-MATCH($F$1,enemy_skill_triggers!$1:$1,0)+1),MATCH(G$1,enemy_skill_triggers!$1:$1,0)-MATCH($F$1,enemy_skill_triggers!$1:$1,0)+1,FALSE)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4" s="48">
        <f ca="1">VLOOKUP($F254,OFFSET(enemy_skill_triggers!$A$1,0,0,COUNTA(enemy_skill_triggers!$A:$A),MATCH(H$1,enemy_skill_triggers!$1:$1,0)-MATCH($F$1,enemy_skill_triggers!$1:$1,0)+1),MATCH(H$1,enemy_skill_triggers!$1:$1,0)-MATCH($F$1,enemy_skill_triggers!$1:$1,0)+1,FALSE)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54" s="48">
        <f ca="1">VLOOKUP($F254,OFFSET(enemy_skill_triggers!$A$1,0,0,COUNTA(enemy_skill_triggers!$A:$A),MATCH(I$1,enemy_skill_triggers!$1:$1,0)-MATCH($F$1,enemy_skill_triggers!$1:$1,0)+1),MATCH(I$1,enemy_skill_triggers!$1:$1,0)-MATCH($F$1,enemy_skill_triggers!$1:$1,0)+1,FALSE)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4" s="48" t="str">
        <f ca="1">VLOOKUP($F254,OFFSET(enemy_skill_triggers!$A$1,0,0,COUNTA(enemy_skill_triggers!$A:$A),MATCH(J$1,enemy_skill_triggers!$1:$1,0)-MATCH($F$1,enemy_skill_triggers!$1:$1,0)+1),MATCH(J$1,enemy_skill_triggers!$1:$1,0)-MATCH($F$1,enemy_skill_triggers!$1:$1,0)+1,FALSE)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4" s="48" t="str">
        <f ca="1">VLOOKUP($F254,OFFSET(enemy_skill_triggers!$A$1,0,0,COUNTA(enemy_skill_triggers!$A:$A),MATCH(K$1,enemy_skill_triggers!$1:$1,0)-MATCH($F$1,enemy_skill_triggers!$1:$1,0)+1),MATCH(K$1,enemy_skill_triggers!$1:$1,0)-MATCH($F$1,enemy_skill_triggers!$1:$1,0)+1,FALSE)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4" s="48" t="str">
        <f ca="1">VLOOKUP($F254,OFFSET(enemy_skill_triggers!$A$1,0,0,COUNTA(enemy_skill_triggers!$A:$A),MATCH(L$1,enemy_skill_triggers!$1:$1,0)-MATCH($F$1,enemy_skill_triggers!$1:$1,0)+1),MATCH(L$1,enemy_skill_triggers!$1:$1,0)-MATCH($F$1,enemy_skill_triggers!$1:$1,0)+1,FALSE)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4" s="48">
        <f ca="1">VLOOKUP($F254,OFFSET(enemy_skill_triggers!$A$1,0,0,COUNTA(enemy_skill_triggers!$A:$A),MATCH(M$1,enemy_skill_triggers!$1:$1,0)-MATCH($F$1,enemy_skill_triggers!$1:$1,0)+1),MATCH(M$1,enemy_skill_triggers!$1:$1,0)-MATCH($F$1,enemy_skill_triggers!$1:$1,0)+1,FALSE)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54" s="48" t="str">
        <f ca="1">VLOOKUP($F254,OFFSET(enemy_skill_triggers!$A$1,0,0,COUNTA(enemy_skill_triggers!$A:$A),MATCH(N$1,enemy_skill_triggers!$1:$1,0)-MATCH($F$1,enemy_skill_triggers!$1:$1,0)+1),MATCH(N$1,enemy_skill_triggers!$1:$1,0)-MATCH($F$1,enemy_skill_triggers!$1:$1,0)+1,FALSE)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4" s="48">
        <f ca="1">VLOOKUP($F254,OFFSET(enemy_skill_triggers!$A$1,0,0,COUNTA(enemy_skill_triggers!$A:$A),MATCH(O$1,enemy_skill_triggers!$1:$1,0)-MATCH($F$1,enemy_skill_triggers!$1:$1,0)+1),MATCH(O$1,enemy_skill_triggers!$1:$1,0)-MATCH($F$1,enemy_skill_triggers!$1:$1,0)+1,FALSE)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4" s="47"/>
      <c r="Q254" s="47"/>
      <c r="R254" s="47"/>
    </row>
    <row r="255" spans="1:18" ht="21" customHeight="1" x14ac:dyDescent="0.15">
      <c r="A255" s="39" t="str">
        <f t="shared" si="18"/>
        <v>47007224_47007496</v>
      </c>
      <c r="B255" s="174">
        <v>47007224</v>
      </c>
      <c r="C255" s="176">
        <v>47007496</v>
      </c>
      <c r="D255" s="46" t="str">
        <f ca="1">VLOOKUP($C255,OFFSET(enemy_skills!$A$1,0,0,COUNTA(enemy_skills!$A:$A),MATCH(D$1,enemy_skills!$1:$1,0)-MATCH("enemy_skill_id",enemy_skills!$1:$1,0)+1),MATCH(D$1,enemy_skills!$1:$1,0)-MATCH("enemy_skill_id",enemy_skills!$1:$1,0)+1,FALSE)</f>
        <v>呼ばれた理由…_x000D_もう…わかったでしょ…？</v>
      </c>
      <c r="E255" s="46" t="str">
        <f ca="1">VLOOKUP($C255,OFFSET(enemy_skills!$A$1,0,0,COUNTA(enemy_skills!$A:$A),MATCH(E$1,enemy_skills!$1:$1,0)-MATCH("enemy_skill_id",enemy_skills!$1:$1,0)+1),MATCH(E$1,enemy_skills!$1:$1,0)-MATCH("enemy_skill_id",enemy_skills!$1:$1,0)+1,FALSE)</f>
        <v>クリティカル！_x000D_(命中したユニットの回復力30%UP)</v>
      </c>
      <c r="F255" s="180">
        <v>47007408</v>
      </c>
      <c r="G255" s="48">
        <f ca="1">VLOOKUP($F255,OFFSET(enemy_skill_triggers!$A$1,0,0,COUNTA(enemy_skill_triggers!$A:$A),MATCH(G$1,enemy_skill_triggers!$1:$1,0)-MATCH($F$1,enemy_skill_triggers!$1:$1,0)+1),MATCH(G$1,enemy_skill_triggers!$1:$1,0)-MATCH($F$1,enemy_skill_triggers!$1:$1,0)+1,FALSE)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5" s="48">
        <f ca="1">VLOOKUP($F255,OFFSET(enemy_skill_triggers!$A$1,0,0,COUNTA(enemy_skill_triggers!$A:$A),MATCH(H$1,enemy_skill_triggers!$1:$1,0)-MATCH($F$1,enemy_skill_triggers!$1:$1,0)+1),MATCH(H$1,enemy_skill_triggers!$1:$1,0)-MATCH($F$1,enemy_skill_triggers!$1:$1,0)+1,FALSE)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55" s="48">
        <f ca="1">VLOOKUP($F255,OFFSET(enemy_skill_triggers!$A$1,0,0,COUNTA(enemy_skill_triggers!$A:$A),MATCH(I$1,enemy_skill_triggers!$1:$1,0)-MATCH($F$1,enemy_skill_triggers!$1:$1,0)+1),MATCH(I$1,enemy_skill_triggers!$1:$1,0)-MATCH($F$1,enemy_skill_triggers!$1:$1,0)+1,FALSE)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5" s="48" t="str">
        <f ca="1">VLOOKUP($F255,OFFSET(enemy_skill_triggers!$A$1,0,0,COUNTA(enemy_skill_triggers!$A:$A),MATCH(J$1,enemy_skill_triggers!$1:$1,0)-MATCH($F$1,enemy_skill_triggers!$1:$1,0)+1),MATCH(J$1,enemy_skill_triggers!$1:$1,0)-MATCH($F$1,enemy_skill_triggers!$1:$1,0)+1,FALSE)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5" s="48" t="str">
        <f ca="1">VLOOKUP($F255,OFFSET(enemy_skill_triggers!$A$1,0,0,COUNTA(enemy_skill_triggers!$A:$A),MATCH(K$1,enemy_skill_triggers!$1:$1,0)-MATCH($F$1,enemy_skill_triggers!$1:$1,0)+1),MATCH(K$1,enemy_skill_triggers!$1:$1,0)-MATCH($F$1,enemy_skill_triggers!$1:$1,0)+1,FALSE)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5" s="48" t="str">
        <f ca="1">VLOOKUP($F255,OFFSET(enemy_skill_triggers!$A$1,0,0,COUNTA(enemy_skill_triggers!$A:$A),MATCH(L$1,enemy_skill_triggers!$1:$1,0)-MATCH($F$1,enemy_skill_triggers!$1:$1,0)+1),MATCH(L$1,enemy_skill_triggers!$1:$1,0)-MATCH($F$1,enemy_skill_triggers!$1:$1,0)+1,FALSE)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5" s="48">
        <f ca="1">VLOOKUP($F255,OFFSET(enemy_skill_triggers!$A$1,0,0,COUNTA(enemy_skill_triggers!$A:$A),MATCH(M$1,enemy_skill_triggers!$1:$1,0)-MATCH($F$1,enemy_skill_triggers!$1:$1,0)+1),MATCH(M$1,enemy_skill_triggers!$1:$1,0)-MATCH($F$1,enemy_skill_triggers!$1:$1,0)+1,FALSE)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55" s="48" t="str">
        <f ca="1">VLOOKUP($F255,OFFSET(enemy_skill_triggers!$A$1,0,0,COUNTA(enemy_skill_triggers!$A:$A),MATCH(N$1,enemy_skill_triggers!$1:$1,0)-MATCH($F$1,enemy_skill_triggers!$1:$1,0)+1),MATCH(N$1,enemy_skill_triggers!$1:$1,0)-MATCH($F$1,enemy_skill_triggers!$1:$1,0)+1,FALSE)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5" s="48">
        <f ca="1">VLOOKUP($F255,OFFSET(enemy_skill_triggers!$A$1,0,0,COUNTA(enemy_skill_triggers!$A:$A),MATCH(O$1,enemy_skill_triggers!$1:$1,0)-MATCH($F$1,enemy_skill_triggers!$1:$1,0)+1),MATCH(O$1,enemy_skill_triggers!$1:$1,0)-MATCH($F$1,enemy_skill_triggers!$1:$1,0)+1,FALSE)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5" s="47"/>
      <c r="Q255" s="47"/>
      <c r="R255" s="47"/>
    </row>
    <row r="256" spans="1:18" ht="21" customHeight="1" x14ac:dyDescent="0.15">
      <c r="A256" s="39" t="str">
        <f t="shared" si="18"/>
        <v>47007224_47007497</v>
      </c>
      <c r="B256" s="174">
        <v>47007224</v>
      </c>
      <c r="C256" s="176">
        <v>47007497</v>
      </c>
      <c r="D256" s="46" t="str">
        <f ca="1">VLOOKUP($C256,OFFSET(enemy_skills!$A$1,0,0,COUNTA(enemy_skills!$A:$A),MATCH(D$1,enemy_skills!$1:$1,0)-MATCH("enemy_skill_id",enemy_skills!$1:$1,0)+1),MATCH(D$1,enemy_skills!$1:$1,0)-MATCH("enemy_skill_id",enemy_skills!$1:$1,0)+1,FALSE)</f>
        <v>(今度こそ…今度こそ！)</v>
      </c>
      <c r="E256" s="46" t="str">
        <f ca="1">VLOOKUP($C256,OFFSET(enemy_skills!$A$1,0,0,COUNTA(enemy_skills!$A:$A),MATCH(E$1,enemy_skills!$1:$1,0)-MATCH("enemy_skill_id",enemy_skills!$1:$1,0)+1),MATCH(E$1,enemy_skills!$1:$1,0)-MATCH("enemy_skill_id",enemy_skills!$1:$1,0)+1,FALSE)</f>
        <v>(想いを伝えるの！絶対！)</v>
      </c>
      <c r="F256" s="180">
        <v>47007409</v>
      </c>
      <c r="G256" s="48">
        <f ca="1">VLOOKUP($F256,OFFSET(enemy_skill_triggers!$A$1,0,0,COUNTA(enemy_skill_triggers!$A:$A),MATCH(G$1,enemy_skill_triggers!$1:$1,0)-MATCH($F$1,enemy_skill_triggers!$1:$1,0)+1),MATCH(G$1,enemy_skill_triggers!$1:$1,0)-MATCH($F$1,enemy_skill_triggers!$1:$1,0)+1,FALSE)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6" s="48">
        <f ca="1">VLOOKUP($F256,OFFSET(enemy_skill_triggers!$A$1,0,0,COUNTA(enemy_skill_triggers!$A:$A),MATCH(H$1,enemy_skill_triggers!$1:$1,0)-MATCH($F$1,enemy_skill_triggers!$1:$1,0)+1),MATCH(H$1,enemy_skill_triggers!$1:$1,0)-MATCH($F$1,enemy_skill_triggers!$1:$1,0)+1,FALSE)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56" s="48">
        <f ca="1">VLOOKUP($F256,OFFSET(enemy_skill_triggers!$A$1,0,0,COUNTA(enemy_skill_triggers!$A:$A),MATCH(I$1,enemy_skill_triggers!$1:$1,0)-MATCH($F$1,enemy_skill_triggers!$1:$1,0)+1),MATCH(I$1,enemy_skill_triggers!$1:$1,0)-MATCH($F$1,enemy_skill_triggers!$1:$1,0)+1,FALSE)</f>
        <v>10</v>
      </c>
      <c r="J256" s="48" t="str">
        <f ca="1">VLOOKUP($F256,OFFSET(enemy_skill_triggers!$A$1,0,0,COUNTA(enemy_skill_triggers!$A:$A),MATCH(J$1,enemy_skill_triggers!$1:$1,0)-MATCH($F$1,enemy_skill_triggers!$1:$1,0)+1),MATCH(J$1,enemy_skill_triggers!$1:$1,0)-MATCH($F$1,enemy_skill_triggers!$1:$1,0)+1,FALSE)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6" s="48" t="str">
        <f ca="1">VLOOKUP($F256,OFFSET(enemy_skill_triggers!$A$1,0,0,COUNTA(enemy_skill_triggers!$A:$A),MATCH(K$1,enemy_skill_triggers!$1:$1,0)-MATCH($F$1,enemy_skill_triggers!$1:$1,0)+1),MATCH(K$1,enemy_skill_triggers!$1:$1,0)-MATCH($F$1,enemy_skill_triggers!$1:$1,0)+1,FALSE)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6" s="48">
        <f ca="1">VLOOKUP($F256,OFFSET(enemy_skill_triggers!$A$1,0,0,COUNTA(enemy_skill_triggers!$A:$A),MATCH(L$1,enemy_skill_triggers!$1:$1,0)-MATCH($F$1,enemy_skill_triggers!$1:$1,0)+1),MATCH(L$1,enemy_skill_triggers!$1:$1,0)-MATCH($F$1,enemy_skill_triggers!$1:$1,0)+1,FALSE)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6" s="48">
        <f ca="1">VLOOKUP($F256,OFFSET(enemy_skill_triggers!$A$1,0,0,COUNTA(enemy_skill_triggers!$A:$A),MATCH(M$1,enemy_skill_triggers!$1:$1,0)-MATCH($F$1,enemy_skill_triggers!$1:$1,0)+1),MATCH(M$1,enemy_skill_triggers!$1:$1,0)-MATCH($F$1,enemy_skill_triggers!$1:$1,0)+1,FALSE)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6" s="48" t="str">
        <f ca="1">VLOOKUP($F256,OFFSET(enemy_skill_triggers!$A$1,0,0,COUNTA(enemy_skill_triggers!$A:$A),MATCH(N$1,enemy_skill_triggers!$1:$1,0)-MATCH($F$1,enemy_skill_triggers!$1:$1,0)+1),MATCH(N$1,enemy_skill_triggers!$1:$1,0)-MATCH($F$1,enemy_skill_triggers!$1:$1,0)+1,FALSE)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6" s="48">
        <f ca="1">VLOOKUP($F256,OFFSET(enemy_skill_triggers!$A$1,0,0,COUNTA(enemy_skill_triggers!$A:$A),MATCH(O$1,enemy_skill_triggers!$1:$1,0)-MATCH($F$1,enemy_skill_triggers!$1:$1,0)+1),MATCH(O$1,enemy_skill_triggers!$1:$1,0)-MATCH($F$1,enemy_skill_triggers!$1:$1,0)+1,FALSE)</f>
        <v>10</v>
      </c>
      <c r="P256" s="47"/>
      <c r="Q256" s="47"/>
      <c r="R256" s="47"/>
    </row>
    <row r="257" spans="1:18" ht="21" customHeight="1" x14ac:dyDescent="0.15">
      <c r="A257" s="39" t="str">
        <f t="shared" si="18"/>
        <v>47007225_47007501</v>
      </c>
      <c r="B257" s="174">
        <v>47007225</v>
      </c>
      <c r="C257" s="176">
        <v>47007501</v>
      </c>
      <c r="D257" s="46" t="str">
        <f ca="1">VLOOKUP($C257,OFFSET(enemy_skills!$A$1,0,0,COUNTA(enemy_skills!$A:$A),MATCH(D$1,enemy_skills!$1:$1,0)-MATCH("enemy_skill_id",enemy_skills!$1:$1,0)+1),MATCH(D$1,enemy_skills!$1:$1,0)-MATCH("enemy_skill_id",enemy_skills!$1:$1,0)+1,FALSE)</f>
        <v>大丈夫…落ち着けアタシ…</v>
      </c>
      <c r="E257" s="46" t="str">
        <f ca="1">VLOOKUP($C257,OFFSET(enemy_skills!$A$1,0,0,COUNTA(enemy_skills!$A:$A),MATCH(E$1,enemy_skills!$1:$1,0)-MATCH("enemy_skill_id",enemy_skills!$1:$1,0)+1),MATCH(E$1,enemy_skills!$1:$1,0)-MATCH("enemy_skill_id",enemy_skills!$1:$1,0)+1,FALSE)</f>
        <v>状態異常耐性+3ターン全属性の攻撃をカウンター</v>
      </c>
      <c r="F257" s="180">
        <v>47007501</v>
      </c>
      <c r="G257" s="48">
        <f ca="1">VLOOKUP($F257,OFFSET(enemy_skill_triggers!$A$1,0,0,COUNTA(enemy_skill_triggers!$A:$A),MATCH(G$1,enemy_skill_triggers!$1:$1,0)-MATCH($F$1,enemy_skill_triggers!$1:$1,0)+1),MATCH(G$1,enemy_skill_triggers!$1:$1,0)-MATCH($F$1,enemy_skill_triggers!$1:$1,0)+1,FALSE)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7" s="48" t="str">
        <f ca="1">VLOOKUP($F257,OFFSET(enemy_skill_triggers!$A$1,0,0,COUNTA(enemy_skill_triggers!$A:$A),MATCH(H$1,enemy_skill_triggers!$1:$1,0)-MATCH($F$1,enemy_skill_triggers!$1:$1,0)+1),MATCH(H$1,enemy_skill_triggers!$1:$1,0)-MATCH($F$1,enemy_skill_triggers!$1:$1,0)+1,FALSE)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7" s="48">
        <f ca="1">VLOOKUP($F257,OFFSET(enemy_skill_triggers!$A$1,0,0,COUNTA(enemy_skill_triggers!$A:$A),MATCH(I$1,enemy_skill_triggers!$1:$1,0)-MATCH($F$1,enemy_skill_triggers!$1:$1,0)+1),MATCH(I$1,enemy_skill_triggers!$1:$1,0)-MATCH($F$1,enemy_skill_triggers!$1:$1,0)+1,FALSE)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7" s="48" t="str">
        <f ca="1">VLOOKUP($F257,OFFSET(enemy_skill_triggers!$A$1,0,0,COUNTA(enemy_skill_triggers!$A:$A),MATCH(J$1,enemy_skill_triggers!$1:$1,0)-MATCH($F$1,enemy_skill_triggers!$1:$1,0)+1),MATCH(J$1,enemy_skill_triggers!$1:$1,0)-MATCH($F$1,enemy_skill_triggers!$1:$1,0)+1,FALSE)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7" s="48" t="str">
        <f ca="1">VLOOKUP($F257,OFFSET(enemy_skill_triggers!$A$1,0,0,COUNTA(enemy_skill_triggers!$A:$A),MATCH(K$1,enemy_skill_triggers!$1:$1,0)-MATCH($F$1,enemy_skill_triggers!$1:$1,0)+1),MATCH(K$1,enemy_skill_triggers!$1:$1,0)-MATCH($F$1,enemy_skill_triggers!$1:$1,0)+1,FALSE)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7" s="48">
        <f ca="1">VLOOKUP($F257,OFFSET(enemy_skill_triggers!$A$1,0,0,COUNTA(enemy_skill_triggers!$A:$A),MATCH(L$1,enemy_skill_triggers!$1:$1,0)-MATCH($F$1,enemy_skill_triggers!$1:$1,0)+1),MATCH(L$1,enemy_skill_triggers!$1:$1,0)-MATCH($F$1,enemy_skill_triggers!$1:$1,0)+1,FALSE)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7" s="48" t="str">
        <f ca="1">VLOOKUP($F257,OFFSET(enemy_skill_triggers!$A$1,0,0,COUNTA(enemy_skill_triggers!$A:$A),MATCH(M$1,enemy_skill_triggers!$1:$1,0)-MATCH($F$1,enemy_skill_triggers!$1:$1,0)+1),MATCH(M$1,enemy_skill_triggers!$1:$1,0)-MATCH($F$1,enemy_skill_triggers!$1:$1,0)+1,FALSE)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7" s="48" t="str">
        <f ca="1">VLOOKUP($F257,OFFSET(enemy_skill_triggers!$A$1,0,0,COUNTA(enemy_skill_triggers!$A:$A),MATCH(N$1,enemy_skill_triggers!$1:$1,0)-MATCH($F$1,enemy_skill_triggers!$1:$1,0)+1),MATCH(N$1,enemy_skill_triggers!$1:$1,0)-MATCH($F$1,enemy_skill_triggers!$1:$1,0)+1,FALSE)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7" s="48">
        <f ca="1">VLOOKUP($F257,OFFSET(enemy_skill_triggers!$A$1,0,0,COUNTA(enemy_skill_triggers!$A:$A),MATCH(O$1,enemy_skill_triggers!$1:$1,0)-MATCH($F$1,enemy_skill_triggers!$1:$1,0)+1),MATCH(O$1,enemy_skill_triggers!$1:$1,0)-MATCH($F$1,enemy_skill_triggers!$1:$1,0)+1,FALSE)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7" s="47"/>
      <c r="Q257" s="47"/>
      <c r="R257" s="47"/>
    </row>
    <row r="258" spans="1:18" ht="21" customHeight="1" x14ac:dyDescent="0.15">
      <c r="A258" s="39" t="str">
        <f t="shared" si="18"/>
        <v>47007225_47007591</v>
      </c>
      <c r="B258" s="174">
        <v>47007225</v>
      </c>
      <c r="C258" s="176">
        <v>47007591</v>
      </c>
      <c r="D258" s="46" t="str">
        <f ca="1">VLOOKUP($C258,OFFSET(enemy_skills!$A$1,0,0,COUNTA(enemy_skills!$A:$A),MATCH(D$1,enemy_skills!$1:$1,0)-MATCH("enemy_skill_id",enemy_skills!$1:$1,0)+1),MATCH(D$1,enemy_skills!$1:$1,0)-MATCH("enemy_skill_id",enemy_skills!$1:$1,0)+1,FALSE)</f>
        <v>ううううう受け取って…！_x000D_受け取って…ほしいの…</v>
      </c>
      <c r="E258" s="46" t="str">
        <f ca="1">VLOOKUP($C258,OFFSET(enemy_skills!$A$1,0,0,COUNTA(enemy_skills!$A:$A),MATCH(E$1,enemy_skills!$1:$1,0)-MATCH("enemy_skill_id",enemy_skills!$1:$1,0)+1),MATCH(E$1,enemy_skills!$1:$1,0)-MATCH("enemy_skill_id",enemy_skills!$1:$1,0)+1,FALSE)</f>
        <v>5ターン回復効果付与</v>
      </c>
      <c r="F258" s="180">
        <v>47007502</v>
      </c>
      <c r="G258" s="48">
        <f ca="1">VLOOKUP($F258,OFFSET(enemy_skill_triggers!$A$1,0,0,COUNTA(enemy_skill_triggers!$A:$A),MATCH(G$1,enemy_skill_triggers!$1:$1,0)-MATCH($F$1,enemy_skill_triggers!$1:$1,0)+1),MATCH(G$1,enemy_skill_triggers!$1:$1,0)-MATCH($F$1,enemy_skill_triggers!$1:$1,0)+1,FALSE)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8" s="48">
        <f ca="1">VLOOKUP($F258,OFFSET(enemy_skill_triggers!$A$1,0,0,COUNTA(enemy_skill_triggers!$A:$A),MATCH(H$1,enemy_skill_triggers!$1:$1,0)-MATCH($F$1,enemy_skill_triggers!$1:$1,0)+1),MATCH(H$1,enemy_skill_triggers!$1:$1,0)-MATCH($F$1,enemy_skill_triggers!$1:$1,0)+1,FALSE)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58" s="48">
        <f ca="1">VLOOKUP($F258,OFFSET(enemy_skill_triggers!$A$1,0,0,COUNTA(enemy_skill_triggers!$A:$A),MATCH(I$1,enemy_skill_triggers!$1:$1,0)-MATCH($F$1,enemy_skill_triggers!$1:$1,0)+1),MATCH(I$1,enemy_skill_triggers!$1:$1,0)-MATCH($F$1,enemy_skill_triggers!$1:$1,0)+1,FALSE)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8" s="48" t="str">
        <f ca="1">VLOOKUP($F258,OFFSET(enemy_skill_triggers!$A$1,0,0,COUNTA(enemy_skill_triggers!$A:$A),MATCH(J$1,enemy_skill_triggers!$1:$1,0)-MATCH($F$1,enemy_skill_triggers!$1:$1,0)+1),MATCH(J$1,enemy_skill_triggers!$1:$1,0)-MATCH($F$1,enemy_skill_triggers!$1:$1,0)+1,FALSE)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8" s="48" t="str">
        <f ca="1">VLOOKUP($F258,OFFSET(enemy_skill_triggers!$A$1,0,0,COUNTA(enemy_skill_triggers!$A:$A),MATCH(K$1,enemy_skill_triggers!$1:$1,0)-MATCH($F$1,enemy_skill_triggers!$1:$1,0)+1),MATCH(K$1,enemy_skill_triggers!$1:$1,0)-MATCH($F$1,enemy_skill_triggers!$1:$1,0)+1,FALSE)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8" s="48">
        <f ca="1">VLOOKUP($F258,OFFSET(enemy_skill_triggers!$A$1,0,0,COUNTA(enemy_skill_triggers!$A:$A),MATCH(L$1,enemy_skill_triggers!$1:$1,0)-MATCH($F$1,enemy_skill_triggers!$1:$1,0)+1),MATCH(L$1,enemy_skill_triggers!$1:$1,0)-MATCH($F$1,enemy_skill_triggers!$1:$1,0)+1,FALSE)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8" s="48" t="str">
        <f ca="1">VLOOKUP($F258,OFFSET(enemy_skill_triggers!$A$1,0,0,COUNTA(enemy_skill_triggers!$A:$A),MATCH(M$1,enemy_skill_triggers!$1:$1,0)-MATCH($F$1,enemy_skill_triggers!$1:$1,0)+1),MATCH(M$1,enemy_skill_triggers!$1:$1,0)-MATCH($F$1,enemy_skill_triggers!$1:$1,0)+1,FALSE)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8" s="48" t="str">
        <f ca="1">VLOOKUP($F258,OFFSET(enemy_skill_triggers!$A$1,0,0,COUNTA(enemy_skill_triggers!$A:$A),MATCH(N$1,enemy_skill_triggers!$1:$1,0)-MATCH($F$1,enemy_skill_triggers!$1:$1,0)+1),MATCH(N$1,enemy_skill_triggers!$1:$1,0)-MATCH($F$1,enemy_skill_triggers!$1:$1,0)+1,FALSE)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8" s="48">
        <f ca="1">VLOOKUP($F258,OFFSET(enemy_skill_triggers!$A$1,0,0,COUNTA(enemy_skill_triggers!$A:$A),MATCH(O$1,enemy_skill_triggers!$1:$1,0)-MATCH($F$1,enemy_skill_triggers!$1:$1,0)+1),MATCH(O$1,enemy_skill_triggers!$1:$1,0)-MATCH($F$1,enemy_skill_triggers!$1:$1,0)+1,FALSE)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8" s="47"/>
      <c r="Q258" s="47"/>
      <c r="R258" s="47"/>
    </row>
    <row r="259" spans="1:18" ht="21" customHeight="1" x14ac:dyDescent="0.15">
      <c r="A259" s="39" t="str">
        <f t="shared" si="18"/>
        <v>47007225_47007503</v>
      </c>
      <c r="B259" s="174">
        <v>47007225</v>
      </c>
      <c r="C259" s="176">
        <v>47007503</v>
      </c>
      <c r="D259" s="46" t="str">
        <f ca="1">VLOOKUP($C259,OFFSET(enemy_skills!$A$1,0,0,COUNTA(enemy_skills!$A:$A),MATCH(D$1,enemy_skills!$1:$1,0)-MATCH("enemy_skill_id",enemy_skills!$1:$1,0)+1),MATCH(D$1,enemy_skills!$1:$1,0)-MATCH("enemy_skill_id",enemy_skills!$1:$1,0)+1,FALSE)</f>
        <v>あ…それ失敗作…！かかか返して…！</v>
      </c>
      <c r="E259" s="46" t="str">
        <f ca="1">VLOOKUP($C259,OFFSET(enemy_skills!$A$1,0,0,COUNTA(enemy_skills!$A:$A),MATCH(E$1,enemy_skills!$1:$1,0)-MATCH("enemy_skill_id",enemy_skills!$1:$1,0)+1),MATCH(E$1,enemy_skills!$1:$1,0)-MATCH("enemy_skill_id",enemy_skills!$1:$1,0)+1,FALSE)</f>
        <v>強力な全体攻撃+5ターンウィルス</v>
      </c>
      <c r="F259" s="180">
        <v>47007503</v>
      </c>
      <c r="G259" s="48">
        <f ca="1">VLOOKUP($F259,OFFSET(enemy_skill_triggers!$A$1,0,0,COUNTA(enemy_skill_triggers!$A:$A),MATCH(G$1,enemy_skill_triggers!$1:$1,0)-MATCH($F$1,enemy_skill_triggers!$1:$1,0)+1),MATCH(G$1,enemy_skill_triggers!$1:$1,0)-MATCH($F$1,enemy_skill_triggers!$1:$1,0)+1,FALSE)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9" s="48">
        <f ca="1">VLOOKUP($F259,OFFSET(enemy_skill_triggers!$A$1,0,0,COUNTA(enemy_skill_triggers!$A:$A),MATCH(H$1,enemy_skill_triggers!$1:$1,0)-MATCH($F$1,enemy_skill_triggers!$1:$1,0)+1),MATCH(H$1,enemy_skill_triggers!$1:$1,0)-MATCH($F$1,enemy_skill_triggers!$1:$1,0)+1,FALSE)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259" s="48">
        <f ca="1">VLOOKUP($F259,OFFSET(enemy_skill_triggers!$A$1,0,0,COUNTA(enemy_skill_triggers!$A:$A),MATCH(I$1,enemy_skill_triggers!$1:$1,0)-MATCH($F$1,enemy_skill_triggers!$1:$1,0)+1),MATCH(I$1,enemy_skill_triggers!$1:$1,0)-MATCH($F$1,enemy_skill_triggers!$1:$1,0)+1,FALSE)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9" s="48" t="str">
        <f ca="1">VLOOKUP($F259,OFFSET(enemy_skill_triggers!$A$1,0,0,COUNTA(enemy_skill_triggers!$A:$A),MATCH(J$1,enemy_skill_triggers!$1:$1,0)-MATCH($F$1,enemy_skill_triggers!$1:$1,0)+1),MATCH(J$1,enemy_skill_triggers!$1:$1,0)-MATCH($F$1,enemy_skill_triggers!$1:$1,0)+1,FALSE)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9" s="48" t="str">
        <f ca="1">VLOOKUP($F259,OFFSET(enemy_skill_triggers!$A$1,0,0,COUNTA(enemy_skill_triggers!$A:$A),MATCH(K$1,enemy_skill_triggers!$1:$1,0)-MATCH($F$1,enemy_skill_triggers!$1:$1,0)+1),MATCH(K$1,enemy_skill_triggers!$1:$1,0)-MATCH($F$1,enemy_skill_triggers!$1:$1,0)+1,FALSE)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9" s="48">
        <f ca="1">VLOOKUP($F259,OFFSET(enemy_skill_triggers!$A$1,0,0,COUNTA(enemy_skill_triggers!$A:$A),MATCH(L$1,enemy_skill_triggers!$1:$1,0)-MATCH($F$1,enemy_skill_triggers!$1:$1,0)+1),MATCH(L$1,enemy_skill_triggers!$1:$1,0)-MATCH($F$1,enemy_skill_triggers!$1:$1,0)+1,FALSE)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9" s="48" t="str">
        <f ca="1">VLOOKUP($F259,OFFSET(enemy_skill_triggers!$A$1,0,0,COUNTA(enemy_skill_triggers!$A:$A),MATCH(M$1,enemy_skill_triggers!$1:$1,0)-MATCH($F$1,enemy_skill_triggers!$1:$1,0)+1),MATCH(M$1,enemy_skill_triggers!$1:$1,0)-MATCH($F$1,enemy_skill_triggers!$1:$1,0)+1,FALSE)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9" s="48" t="str">
        <f ca="1">VLOOKUP($F259,OFFSET(enemy_skill_triggers!$A$1,0,0,COUNTA(enemy_skill_triggers!$A:$A),MATCH(N$1,enemy_skill_triggers!$1:$1,0)-MATCH($F$1,enemy_skill_triggers!$1:$1,0)+1),MATCH(N$1,enemy_skill_triggers!$1:$1,0)-MATCH($F$1,enemy_skill_triggers!$1:$1,0)+1,FALSE)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9" s="48">
        <f ca="1">VLOOKUP($F259,OFFSET(enemy_skill_triggers!$A$1,0,0,COUNTA(enemy_skill_triggers!$A:$A),MATCH(O$1,enemy_skill_triggers!$1:$1,0)-MATCH($F$1,enemy_skill_triggers!$1:$1,0)+1),MATCH(O$1,enemy_skill_triggers!$1:$1,0)-MATCH($F$1,enemy_skill_triggers!$1:$1,0)+1,FALSE)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9" s="47"/>
      <c r="Q259" s="47"/>
      <c r="R259" s="47"/>
    </row>
    <row r="260" spans="1:18" ht="21" customHeight="1" x14ac:dyDescent="0.15">
      <c r="A260" s="39" t="str">
        <f t="shared" si="18"/>
        <v>47007225_47007504</v>
      </c>
      <c r="B260" s="174">
        <v>47007225</v>
      </c>
      <c r="C260" s="176">
        <v>47007504</v>
      </c>
      <c r="D260" s="46" t="str">
        <f ca="1">VLOOKUP($C260,OFFSET(enemy_skills!$A$1,0,0,COUNTA(enemy_skills!$A:$A),MATCH(D$1,enemy_skills!$1:$1,0)-MATCH("enemy_skill_id",enemy_skills!$1:$1,0)+1),MATCH(D$1,enemy_skills!$1:$1,0)-MATCH("enemy_skill_id",enemy_skills!$1:$1,0)+1,FALSE)</f>
        <v>ご…ごめん！怪我はない…？</v>
      </c>
      <c r="E260" s="46" t="str">
        <f ca="1">VLOOKUP($C260,OFFSET(enemy_skills!$A$1,0,0,COUNTA(enemy_skills!$A:$A),MATCH(E$1,enemy_skills!$1:$1,0)-MATCH("enemy_skill_id",enemy_skills!$1:$1,0)+1),MATCH(E$1,enemy_skills!$1:$1,0)-MATCH("enemy_skill_id",enemy_skills!$1:$1,0)+1,FALSE)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ランダムでハートパネルに最大10個変換</v>
      </c>
      <c r="F260" s="180">
        <v>47007504</v>
      </c>
      <c r="G260" s="48">
        <f ca="1">VLOOKUP($F260,OFFSET(enemy_skill_triggers!$A$1,0,0,COUNTA(enemy_skill_triggers!$A:$A),MATCH(G$1,enemy_skill_triggers!$1:$1,0)-MATCH($F$1,enemy_skill_triggers!$1:$1,0)+1),MATCH(G$1,enemy_skill_triggers!$1:$1,0)-MATCH($F$1,enemy_skill_triggers!$1:$1,0)+1,FALSE)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0" s="48">
        <f ca="1">VLOOKUP($F260,OFFSET(enemy_skill_triggers!$A$1,0,0,COUNTA(enemy_skill_triggers!$A:$A),MATCH(H$1,enemy_skill_triggers!$1:$1,0)-MATCH($F$1,enemy_skill_triggers!$1:$1,0)+1),MATCH(H$1,enemy_skill_triggers!$1:$1,0)-MATCH($F$1,enemy_skill_triggers!$1:$1,0)+1,FALSE)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260" s="48">
        <f ca="1">VLOOKUP($F260,OFFSET(enemy_skill_triggers!$A$1,0,0,COUNTA(enemy_skill_triggers!$A:$A),MATCH(I$1,enemy_skill_triggers!$1:$1,0)-MATCH($F$1,enemy_skill_triggers!$1:$1,0)+1),MATCH(I$1,enemy_skill_triggers!$1:$1,0)-MATCH($F$1,enemy_skill_triggers!$1:$1,0)+1,FALSE)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0" s="48" t="str">
        <f ca="1">VLOOKUP($F260,OFFSET(enemy_skill_triggers!$A$1,0,0,COUNTA(enemy_skill_triggers!$A:$A),MATCH(J$1,enemy_skill_triggers!$1:$1,0)-MATCH($F$1,enemy_skill_triggers!$1:$1,0)+1),MATCH(J$1,enemy_skill_triggers!$1:$1,0)-MATCH($F$1,enemy_skill_triggers!$1:$1,0)+1,FALSE)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0" s="48" t="str">
        <f ca="1">VLOOKUP($F260,OFFSET(enemy_skill_triggers!$A$1,0,0,COUNTA(enemy_skill_triggers!$A:$A),MATCH(K$1,enemy_skill_triggers!$1:$1,0)-MATCH($F$1,enemy_skill_triggers!$1:$1,0)+1),MATCH(K$1,enemy_skill_triggers!$1:$1,0)-MATCH($F$1,enemy_skill_triggers!$1:$1,0)+1,FALSE)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0" s="48">
        <f ca="1">VLOOKUP($F260,OFFSET(enemy_skill_triggers!$A$1,0,0,COUNTA(enemy_skill_triggers!$A:$A),MATCH(L$1,enemy_skill_triggers!$1:$1,0)-MATCH($F$1,enemy_skill_triggers!$1:$1,0)+1),MATCH(L$1,enemy_skill_triggers!$1:$1,0)-MATCH($F$1,enemy_skill_triggers!$1:$1,0)+1,FALSE)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0" s="48" t="str">
        <f ca="1">VLOOKUP($F260,OFFSET(enemy_skill_triggers!$A$1,0,0,COUNTA(enemy_skill_triggers!$A:$A),MATCH(M$1,enemy_skill_triggers!$1:$1,0)-MATCH($F$1,enemy_skill_triggers!$1:$1,0)+1),MATCH(M$1,enemy_skill_triggers!$1:$1,0)-MATCH($F$1,enemy_skill_triggers!$1:$1,0)+1,FALSE)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0" s="48" t="str">
        <f ca="1">VLOOKUP($F260,OFFSET(enemy_skill_triggers!$A$1,0,0,COUNTA(enemy_skill_triggers!$A:$A),MATCH(N$1,enemy_skill_triggers!$1:$1,0)-MATCH($F$1,enemy_skill_triggers!$1:$1,0)+1),MATCH(N$1,enemy_skill_triggers!$1:$1,0)-MATCH($F$1,enemy_skill_triggers!$1:$1,0)+1,FALSE)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0" s="48">
        <f ca="1">VLOOKUP($F260,OFFSET(enemy_skill_triggers!$A$1,0,0,COUNTA(enemy_skill_triggers!$A:$A),MATCH(O$1,enemy_skill_triggers!$1:$1,0)-MATCH($F$1,enemy_skill_triggers!$1:$1,0)+1),MATCH(O$1,enemy_skill_triggers!$1:$1,0)-MATCH($F$1,enemy_skill_triggers!$1:$1,0)+1,FALSE)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0" s="47"/>
      <c r="Q260" s="47"/>
      <c r="R260" s="47"/>
    </row>
    <row r="261" spans="1:18" ht="21" customHeight="1" x14ac:dyDescent="0.15">
      <c r="A261" s="39" t="str">
        <f t="shared" si="18"/>
        <v>47007225_47007592</v>
      </c>
      <c r="B261" s="174">
        <v>47007225</v>
      </c>
      <c r="C261" s="176">
        <v>47007592</v>
      </c>
      <c r="D261" s="46" t="str">
        <f ca="1">VLOOKUP($C261,OFFSET(enemy_skills!$A$1,0,0,COUNTA(enemy_skills!$A:$A),MATCH(D$1,enemy_skills!$1:$1,0)-MATCH("enemy_skill_id",enemy_skills!$1:$1,0)+1),MATCH(D$1,enemy_skills!$1:$1,0)-MATCH("enemy_skill_id",enemy_skills!$1:$1,0)+1,FALSE)</f>
        <v>…ってもう！近い！近いっ！_x000D_(ううぅ、ヤバいドキドキする…！)</v>
      </c>
      <c r="E261" s="46" t="str">
        <f ca="1">VLOOKUP($C261,OFFSET(enemy_skills!$A$1,0,0,COUNTA(enemy_skills!$A:$A),MATCH(E$1,enemy_skills!$1:$1,0)-MATCH("enemy_skill_id",enemy_skills!$1:$1,0)+1),MATCH(E$1,enemy_skills!$1:$1,0)-MATCH("enemy_skill_id",enemy_skills!$1:$1,0)+1,FALSE)</f>
        <v>強力なクリティカル！</v>
      </c>
      <c r="F261" s="180">
        <v>47007505</v>
      </c>
      <c r="G261" s="48">
        <f ca="1">VLOOKUP($F261,OFFSET(enemy_skill_triggers!$A$1,0,0,COUNTA(enemy_skill_triggers!$A:$A),MATCH(G$1,enemy_skill_triggers!$1:$1,0)-MATCH($F$1,enemy_skill_triggers!$1:$1,0)+1),MATCH(G$1,enemy_skill_triggers!$1:$1,0)-MATCH($F$1,enemy_skill_triggers!$1:$1,0)+1,FALSE)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1" s="48">
        <f ca="1">VLOOKUP($F261,OFFSET(enemy_skill_triggers!$A$1,0,0,COUNTA(enemy_skill_triggers!$A:$A),MATCH(H$1,enemy_skill_triggers!$1:$1,0)-MATCH($F$1,enemy_skill_triggers!$1:$1,0)+1),MATCH(H$1,enemy_skill_triggers!$1:$1,0)-MATCH($F$1,enemy_skill_triggers!$1:$1,0)+1,FALSE)</f>
        <v>47</v>
      </c>
      <c r="I261" s="48">
        <f ca="1">VLOOKUP($F261,OFFSET(enemy_skill_triggers!$A$1,0,0,COUNTA(enemy_skill_triggers!$A:$A),MATCH(I$1,enemy_skill_triggers!$1:$1,0)-MATCH($F$1,enemy_skill_triggers!$1:$1,0)+1),MATCH(I$1,enemy_skill_triggers!$1:$1,0)-MATCH($F$1,enemy_skill_triggers!$1:$1,0)+1,FALSE)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1" s="48" t="str">
        <f ca="1">VLOOKUP($F261,OFFSET(enemy_skill_triggers!$A$1,0,0,COUNTA(enemy_skill_triggers!$A:$A),MATCH(J$1,enemy_skill_triggers!$1:$1,0)-MATCH($F$1,enemy_skill_triggers!$1:$1,0)+1),MATCH(J$1,enemy_skill_triggers!$1:$1,0)-MATCH($F$1,enemy_skill_triggers!$1:$1,0)+1,FALSE)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1" s="48" t="str">
        <f ca="1">VLOOKUP($F261,OFFSET(enemy_skill_triggers!$A$1,0,0,COUNTA(enemy_skill_triggers!$A:$A),MATCH(K$1,enemy_skill_triggers!$1:$1,0)-MATCH($F$1,enemy_skill_triggers!$1:$1,0)+1),MATCH(K$1,enemy_skill_triggers!$1:$1,0)-MATCH($F$1,enemy_skill_triggers!$1:$1,0)+1,FALSE)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1" s="48">
        <f ca="1">VLOOKUP($F261,OFFSET(enemy_skill_triggers!$A$1,0,0,COUNTA(enemy_skill_triggers!$A:$A),MATCH(L$1,enemy_skill_triggers!$1:$1,0)-MATCH($F$1,enemy_skill_triggers!$1:$1,0)+1),MATCH(L$1,enemy_skill_triggers!$1:$1,0)-MATCH($F$1,enemy_skill_triggers!$1:$1,0)+1,FALSE)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1" s="48" t="str">
        <f ca="1">VLOOKUP($F261,OFFSET(enemy_skill_triggers!$A$1,0,0,COUNTA(enemy_skill_triggers!$A:$A),MATCH(M$1,enemy_skill_triggers!$1:$1,0)-MATCH($F$1,enemy_skill_triggers!$1:$1,0)+1),MATCH(M$1,enemy_skill_triggers!$1:$1,0)-MATCH($F$1,enemy_skill_triggers!$1:$1,0)+1,FALSE)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1" s="48" t="str">
        <f ca="1">VLOOKUP($F261,OFFSET(enemy_skill_triggers!$A$1,0,0,COUNTA(enemy_skill_triggers!$A:$A),MATCH(N$1,enemy_skill_triggers!$1:$1,0)-MATCH($F$1,enemy_skill_triggers!$1:$1,0)+1),MATCH(N$1,enemy_skill_triggers!$1:$1,0)-MATCH($F$1,enemy_skill_triggers!$1:$1,0)+1,FALSE)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1" s="48">
        <f ca="1">VLOOKUP($F261,OFFSET(enemy_skill_triggers!$A$1,0,0,COUNTA(enemy_skill_triggers!$A:$A),MATCH(O$1,enemy_skill_triggers!$1:$1,0)-MATCH($F$1,enemy_skill_triggers!$1:$1,0)+1),MATCH(O$1,enemy_skill_triggers!$1:$1,0)-MATCH($F$1,enemy_skill_triggers!$1:$1,0)+1,FALSE)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1" s="47"/>
      <c r="Q261" s="47"/>
      <c r="R261" s="47"/>
    </row>
    <row r="262" spans="1:18" ht="21" customHeight="1" x14ac:dyDescent="0.15">
      <c r="A262" s="39" t="str">
        <f t="shared" si="18"/>
        <v>47007225_47007506</v>
      </c>
      <c r="B262" s="174">
        <v>47007225</v>
      </c>
      <c r="C262" s="176">
        <v>47007506</v>
      </c>
      <c r="D262" s="46" t="str">
        <f ca="1">VLOOKUP($C262,OFFSET(enemy_skills!$A$1,0,0,COUNTA(enemy_skills!$A:$A),MATCH(D$1,enemy_skills!$1:$1,0)-MATCH("enemy_skill_id",enemy_skills!$1:$1,0)+1),MATCH(D$1,enemy_skills!$1:$1,0)-MATCH("enemy_skill_id",enemy_skills!$1:$1,0)+1,FALSE)</f>
        <v>(仕切り直しよ…仕切り直し…！)</v>
      </c>
      <c r="E262" s="46" t="str">
        <f ca="1">VLOOKUP($C262,OFFSET(enemy_skills!$A$1,0,0,COUNTA(enemy_skills!$A:$A),MATCH(E$1,enemy_skills!$1:$1,0)-MATCH("enemy_skill_id",enemy_skills!$1:$1,0)+1),MATCH(E$1,enemy_skills!$1:$1,0)-MATCH("enemy_skill_id",enemy_skills!$1:$1,0)+1,FALSE)</f>
        <v>黄パネルを吸収する程、ダメージがDOWNする攻撃</v>
      </c>
      <c r="F262" s="180">
        <v>47007506</v>
      </c>
      <c r="G262" s="48">
        <f ca="1">VLOOKUP($F262,OFFSET(enemy_skill_triggers!$A$1,0,0,COUNTA(enemy_skill_triggers!$A:$A),MATCH(G$1,enemy_skill_triggers!$1:$1,0)-MATCH($F$1,enemy_skill_triggers!$1:$1,0)+1),MATCH(G$1,enemy_skill_triggers!$1:$1,0)-MATCH($F$1,enemy_skill_triggers!$1:$1,0)+1,FALSE)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2" s="48">
        <f ca="1">VLOOKUP($F262,OFFSET(enemy_skill_triggers!$A$1,0,0,COUNTA(enemy_skill_triggers!$A:$A),MATCH(H$1,enemy_skill_triggers!$1:$1,0)-MATCH($F$1,enemy_skill_triggers!$1:$1,0)+1),MATCH(H$1,enemy_skill_triggers!$1:$1,0)-MATCH($F$1,enemy_skill_triggers!$1:$1,0)+1,FALSE)</f>
        <v>46</v>
      </c>
      <c r="I262" s="48">
        <f ca="1">VLOOKUP($F262,OFFSET(enemy_skill_triggers!$A$1,0,0,COUNTA(enemy_skill_triggers!$A:$A),MATCH(I$1,enemy_skill_triggers!$1:$1,0)-MATCH($F$1,enemy_skill_triggers!$1:$1,0)+1),MATCH(I$1,enemy_skill_triggers!$1:$1,0)-MATCH($F$1,enemy_skill_triggers!$1:$1,0)+1,FALSE)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2" s="48" t="str">
        <f ca="1">VLOOKUP($F262,OFFSET(enemy_skill_triggers!$A$1,0,0,COUNTA(enemy_skill_triggers!$A:$A),MATCH(J$1,enemy_skill_triggers!$1:$1,0)-MATCH($F$1,enemy_skill_triggers!$1:$1,0)+1),MATCH(J$1,enemy_skill_triggers!$1:$1,0)-MATCH($F$1,enemy_skill_triggers!$1:$1,0)+1,FALSE)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2" s="48" t="str">
        <f ca="1">VLOOKUP($F262,OFFSET(enemy_skill_triggers!$A$1,0,0,COUNTA(enemy_skill_triggers!$A:$A),MATCH(K$1,enemy_skill_triggers!$1:$1,0)-MATCH($F$1,enemy_skill_triggers!$1:$1,0)+1),MATCH(K$1,enemy_skill_triggers!$1:$1,0)-MATCH($F$1,enemy_skill_triggers!$1:$1,0)+1,FALSE)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2" s="48" t="str">
        <f ca="1">VLOOKUP($F262,OFFSET(enemy_skill_triggers!$A$1,0,0,COUNTA(enemy_skill_triggers!$A:$A),MATCH(L$1,enemy_skill_triggers!$1:$1,0)-MATCH($F$1,enemy_skill_triggers!$1:$1,0)+1),MATCH(L$1,enemy_skill_triggers!$1:$1,0)-MATCH($F$1,enemy_skill_triggers!$1:$1,0)+1,FALSE)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2" s="48" t="str">
        <f ca="1">VLOOKUP($F262,OFFSET(enemy_skill_triggers!$A$1,0,0,COUNTA(enemy_skill_triggers!$A:$A),MATCH(M$1,enemy_skill_triggers!$1:$1,0)-MATCH($F$1,enemy_skill_triggers!$1:$1,0)+1),MATCH(M$1,enemy_skill_triggers!$1:$1,0)-MATCH($F$1,enemy_skill_triggers!$1:$1,0)+1,FALSE)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2" s="48" t="str">
        <f ca="1">VLOOKUP($F262,OFFSET(enemy_skill_triggers!$A$1,0,0,COUNTA(enemy_skill_triggers!$A:$A),MATCH(N$1,enemy_skill_triggers!$1:$1,0)-MATCH($F$1,enemy_skill_triggers!$1:$1,0)+1),MATCH(N$1,enemy_skill_triggers!$1:$1,0)-MATCH($F$1,enemy_skill_triggers!$1:$1,0)+1,FALSE)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2" s="48">
        <f ca="1">VLOOKUP($F262,OFFSET(enemy_skill_triggers!$A$1,0,0,COUNTA(enemy_skill_triggers!$A:$A),MATCH(O$1,enemy_skill_triggers!$1:$1,0)-MATCH($F$1,enemy_skill_triggers!$1:$1,0)+1),MATCH(O$1,enemy_skill_triggers!$1:$1,0)-MATCH($F$1,enemy_skill_triggers!$1:$1,0)+1,FALSE)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2" s="47"/>
      <c r="Q262" s="47"/>
      <c r="R262" s="47"/>
    </row>
    <row r="263" spans="1:18" ht="21" customHeight="1" x14ac:dyDescent="0.15">
      <c r="A263" s="39" t="str">
        <f t="shared" si="18"/>
        <v>47007226_47007601</v>
      </c>
      <c r="B263" s="174">
        <v>47007226</v>
      </c>
      <c r="C263" s="176">
        <v>47007601</v>
      </c>
      <c r="D263" s="46" t="str">
        <f ca="1">VLOOKUP($C263,OFFSET(enemy_skills!$A$1,0,0,COUNTA(enemy_skills!$A:$A),MATCH(D$1,enemy_skills!$1:$1,0)-MATCH("enemy_skill_id",enemy_skills!$1:$1,0)+1),MATCH(D$1,enemy_skills!$1:$1,0)-MATCH("enemy_skill_id",enemy_skills!$1:$1,0)+1,FALSE)</f>
        <v>こ、これ！チョコ！_x000D_あんたのために…作ったの…！</v>
      </c>
      <c r="E263" s="46" t="str">
        <f ca="1">VLOOKUP($C263,OFFSET(enemy_skills!$A$1,0,0,COUNTA(enemy_skills!$A:$A),MATCH(E$1,enemy_skills!$1:$1,0)-MATCH("enemy_skill_id",enemy_skills!$1:$1,0)+1),MATCH(E$1,enemy_skills!$1:$1,0)-MATCH("enemy_skill_id",enemy_skills!$1:$1,0)+1,FALSE)</f>
        <v>状態異常耐性+3ターン後に残りHPの200%ダメージ！_x000D_【目をつむって真っ赤になっている…】</v>
      </c>
      <c r="F263" s="180">
        <v>47007601</v>
      </c>
      <c r="G263" s="48">
        <f ca="1">VLOOKUP($F263,OFFSET(enemy_skill_triggers!$A$1,0,0,COUNTA(enemy_skill_triggers!$A:$A),MATCH(G$1,enemy_skill_triggers!$1:$1,0)-MATCH($F$1,enemy_skill_triggers!$1:$1,0)+1),MATCH(G$1,enemy_skill_triggers!$1:$1,0)-MATCH($F$1,enemy_skill_triggers!$1:$1,0)+1,FALSE)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3" s="48" t="str">
        <f ca="1">VLOOKUP($F263,OFFSET(enemy_skill_triggers!$A$1,0,0,COUNTA(enemy_skill_triggers!$A:$A),MATCH(H$1,enemy_skill_triggers!$1:$1,0)-MATCH($F$1,enemy_skill_triggers!$1:$1,0)+1),MATCH(H$1,enemy_skill_triggers!$1:$1,0)-MATCH($F$1,enemy_skill_triggers!$1:$1,0)+1,FALSE)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3" s="48">
        <f ca="1">VLOOKUP($F263,OFFSET(enemy_skill_triggers!$A$1,0,0,COUNTA(enemy_skill_triggers!$A:$A),MATCH(I$1,enemy_skill_triggers!$1:$1,0)-MATCH($F$1,enemy_skill_triggers!$1:$1,0)+1),MATCH(I$1,enemy_skill_triggers!$1:$1,0)-MATCH($F$1,enemy_skill_triggers!$1:$1,0)+1,FALSE)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3" s="48" t="str">
        <f ca="1">VLOOKUP($F263,OFFSET(enemy_skill_triggers!$A$1,0,0,COUNTA(enemy_skill_triggers!$A:$A),MATCH(J$1,enemy_skill_triggers!$1:$1,0)-MATCH($F$1,enemy_skill_triggers!$1:$1,0)+1),MATCH(J$1,enemy_skill_triggers!$1:$1,0)-MATCH($F$1,enemy_skill_triggers!$1:$1,0)+1,FALSE)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3" s="48" t="str">
        <f ca="1">VLOOKUP($F263,OFFSET(enemy_skill_triggers!$A$1,0,0,COUNTA(enemy_skill_triggers!$A:$A),MATCH(K$1,enemy_skill_triggers!$1:$1,0)-MATCH($F$1,enemy_skill_triggers!$1:$1,0)+1),MATCH(K$1,enemy_skill_triggers!$1:$1,0)-MATCH($F$1,enemy_skill_triggers!$1:$1,0)+1,FALSE)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3" s="48">
        <f ca="1">VLOOKUP($F263,OFFSET(enemy_skill_triggers!$A$1,0,0,COUNTA(enemy_skill_triggers!$A:$A),MATCH(L$1,enemy_skill_triggers!$1:$1,0)-MATCH($F$1,enemy_skill_triggers!$1:$1,0)+1),MATCH(L$1,enemy_skill_triggers!$1:$1,0)-MATCH($F$1,enemy_skill_triggers!$1:$1,0)+1,FALSE)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3" s="48" t="str">
        <f ca="1">VLOOKUP($F263,OFFSET(enemy_skill_triggers!$A$1,0,0,COUNTA(enemy_skill_triggers!$A:$A),MATCH(M$1,enemy_skill_triggers!$1:$1,0)-MATCH($F$1,enemy_skill_triggers!$1:$1,0)+1),MATCH(M$1,enemy_skill_triggers!$1:$1,0)-MATCH($F$1,enemy_skill_triggers!$1:$1,0)+1,FALSE)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3" s="48" t="str">
        <f ca="1">VLOOKUP($F263,OFFSET(enemy_skill_triggers!$A$1,0,0,COUNTA(enemy_skill_triggers!$A:$A),MATCH(N$1,enemy_skill_triggers!$1:$1,0)-MATCH($F$1,enemy_skill_triggers!$1:$1,0)+1),MATCH(N$1,enemy_skill_triggers!$1:$1,0)-MATCH($F$1,enemy_skill_triggers!$1:$1,0)+1,FALSE)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3" s="48">
        <f ca="1">VLOOKUP($F263,OFFSET(enemy_skill_triggers!$A$1,0,0,COUNTA(enemy_skill_triggers!$A:$A),MATCH(O$1,enemy_skill_triggers!$1:$1,0)-MATCH($F$1,enemy_skill_triggers!$1:$1,0)+1),MATCH(O$1,enemy_skill_triggers!$1:$1,0)-MATCH($F$1,enemy_skill_triggers!$1:$1,0)+1,FALSE)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3" s="47"/>
      <c r="Q263" s="47"/>
      <c r="R263" s="47"/>
    </row>
    <row r="264" spans="1:18" ht="21" customHeight="1" x14ac:dyDescent="0.15">
      <c r="A264" s="39" t="str">
        <f t="shared" si="18"/>
        <v>47007226_47007691</v>
      </c>
      <c r="B264" s="174">
        <v>47007226</v>
      </c>
      <c r="C264" s="176">
        <v>47007691</v>
      </c>
      <c r="D264" s="46" t="str">
        <f ca="1">VLOOKUP($C264,OFFSET(enemy_skills!$A$1,0,0,COUNTA(enemy_skills!$A:$A),MATCH(D$1,enemy_skills!$1:$1,0)-MATCH("enemy_skill_id",enemy_skills!$1:$1,0)+1),MATCH(D$1,enemy_skills!$1:$1,0)-MATCH("enemy_skill_id",enemy_skills!$1:$1,0)+1,FALSE)</f>
        <v>(受け取って…くれるかな？)</v>
      </c>
      <c r="E264" s="46" t="str">
        <f ca="1">VLOOKUP($C264,OFFSET(enemy_skills!$A$1,0,0,COUNTA(enemy_skills!$A:$A),MATCH(E$1,enemy_skills!$1:$1,0)-MATCH("enemy_skill_id",enemy_skills!$1:$1,0)+1),MATCH(E$1,enemy_skills!$1:$1,0)-MATCH("enemy_skill_id",enemy_skills!$1:$1,0)+1,FALSE)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ランダムでハートパネルに最大23個変換_x000D_【両肩が小刻みに震えている…】</v>
      </c>
      <c r="F264" s="180">
        <v>47007602</v>
      </c>
      <c r="G264" s="48">
        <f ca="1">VLOOKUP($F264,OFFSET(enemy_skill_triggers!$A$1,0,0,COUNTA(enemy_skill_triggers!$A:$A),MATCH(G$1,enemy_skill_triggers!$1:$1,0)-MATCH($F$1,enemy_skill_triggers!$1:$1,0)+1),MATCH(G$1,enemy_skill_triggers!$1:$1,0)-MATCH($F$1,enemy_skill_triggers!$1:$1,0)+1,FALSE)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4" s="48">
        <f ca="1">VLOOKUP($F264,OFFSET(enemy_skill_triggers!$A$1,0,0,COUNTA(enemy_skill_triggers!$A:$A),MATCH(H$1,enemy_skill_triggers!$1:$1,0)-MATCH($F$1,enemy_skill_triggers!$1:$1,0)+1),MATCH(H$1,enemy_skill_triggers!$1:$1,0)-MATCH($F$1,enemy_skill_triggers!$1:$1,0)+1,FALSE)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64" s="48">
        <f ca="1">VLOOKUP($F264,OFFSET(enemy_skill_triggers!$A$1,0,0,COUNTA(enemy_skill_triggers!$A:$A),MATCH(I$1,enemy_skill_triggers!$1:$1,0)-MATCH($F$1,enemy_skill_triggers!$1:$1,0)+1),MATCH(I$1,enemy_skill_triggers!$1:$1,0)-MATCH($F$1,enemy_skill_triggers!$1:$1,0)+1,FALSE)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4" s="48" t="str">
        <f ca="1">VLOOKUP($F264,OFFSET(enemy_skill_triggers!$A$1,0,0,COUNTA(enemy_skill_triggers!$A:$A),MATCH(J$1,enemy_skill_triggers!$1:$1,0)-MATCH($F$1,enemy_skill_triggers!$1:$1,0)+1),MATCH(J$1,enemy_skill_triggers!$1:$1,0)-MATCH($F$1,enemy_skill_triggers!$1:$1,0)+1,FALSE)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4" s="48" t="str">
        <f ca="1">VLOOKUP($F264,OFFSET(enemy_skill_triggers!$A$1,0,0,COUNTA(enemy_skill_triggers!$A:$A),MATCH(K$1,enemy_skill_triggers!$1:$1,0)-MATCH($F$1,enemy_skill_triggers!$1:$1,0)+1),MATCH(K$1,enemy_skill_triggers!$1:$1,0)-MATCH($F$1,enemy_skill_triggers!$1:$1,0)+1,FALSE)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4" s="48">
        <f ca="1">VLOOKUP($F264,OFFSET(enemy_skill_triggers!$A$1,0,0,COUNTA(enemy_skill_triggers!$A:$A),MATCH(L$1,enemy_skill_triggers!$1:$1,0)-MATCH($F$1,enemy_skill_triggers!$1:$1,0)+1),MATCH(L$1,enemy_skill_triggers!$1:$1,0)-MATCH($F$1,enemy_skill_triggers!$1:$1,0)+1,FALSE)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4" s="48">
        <f ca="1">VLOOKUP($F264,OFFSET(enemy_skill_triggers!$A$1,0,0,COUNTA(enemy_skill_triggers!$A:$A),MATCH(M$1,enemy_skill_triggers!$1:$1,0)-MATCH($F$1,enemy_skill_triggers!$1:$1,0)+1),MATCH(M$1,enemy_skill_triggers!$1:$1,0)-MATCH($F$1,enemy_skill_triggers!$1:$1,0)+1,FALSE)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4" s="48" t="str">
        <f ca="1">VLOOKUP($F264,OFFSET(enemy_skill_triggers!$A$1,0,0,COUNTA(enemy_skill_triggers!$A:$A),MATCH(N$1,enemy_skill_triggers!$1:$1,0)-MATCH($F$1,enemy_skill_triggers!$1:$1,0)+1),MATCH(N$1,enemy_skill_triggers!$1:$1,0)-MATCH($F$1,enemy_skill_triggers!$1:$1,0)+1,FALSE)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4" s="48">
        <f ca="1">VLOOKUP($F264,OFFSET(enemy_skill_triggers!$A$1,0,0,COUNTA(enemy_skill_triggers!$A:$A),MATCH(O$1,enemy_skill_triggers!$1:$1,0)-MATCH($F$1,enemy_skill_triggers!$1:$1,0)+1),MATCH(O$1,enemy_skill_triggers!$1:$1,0)-MATCH($F$1,enemy_skill_triggers!$1:$1,0)+1,FALSE)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4" s="47"/>
      <c r="Q264" s="47"/>
      <c r="R264" s="47"/>
    </row>
    <row r="265" spans="1:18" ht="21" customHeight="1" x14ac:dyDescent="0.15">
      <c r="A265" s="39" t="str">
        <f t="shared" si="18"/>
        <v>47007226_47007603</v>
      </c>
      <c r="B265" s="174">
        <v>47007226</v>
      </c>
      <c r="C265" s="176">
        <v>47007603</v>
      </c>
      <c r="D265" s="46" t="str">
        <f ca="1">VLOOKUP($C265,OFFSET(enemy_skills!$A$1,0,0,COUNTA(enemy_skills!$A:$A),MATCH(D$1,enemy_skills!$1:$1,0)-MATCH("enemy_skill_id",enemy_skills!$1:$1,0)+1),MATCH(D$1,enemy_skills!$1:$1,0)-MATCH("enemy_skill_id",enemy_skills!$1:$1,0)+1,FALSE)</f>
        <v>(早く…はやくはやくぅ…！)</v>
      </c>
      <c r="E265" s="46" t="str">
        <f ca="1">VLOOKUP($C265,OFFSET(enemy_skills!$A$1,0,0,COUNTA(enemy_skills!$A:$A),MATCH(E$1,enemy_skills!$1:$1,0)-MATCH("enemy_skill_id",enemy_skills!$1:$1,0)+1),MATCH(E$1,enemy_skills!$1:$1,0)-MATCH("enemy_skill_id",enemy_skills!$1:$1,0)+1,FALSE)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ランダムでハートパネルに最大23個変換_x000D_【煮え切らない態度に遂にプラリーヌが…！】</v>
      </c>
      <c r="F265" s="180">
        <v>47007603</v>
      </c>
      <c r="G265" s="48">
        <f ca="1">VLOOKUP($F265,OFFSET(enemy_skill_triggers!$A$1,0,0,COUNTA(enemy_skill_triggers!$A:$A),MATCH(G$1,enemy_skill_triggers!$1:$1,0)-MATCH($F$1,enemy_skill_triggers!$1:$1,0)+1),MATCH(G$1,enemy_skill_triggers!$1:$1,0)-MATCH($F$1,enemy_skill_triggers!$1:$1,0)+1,FALSE)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5" s="48">
        <f ca="1">VLOOKUP($F265,OFFSET(enemy_skill_triggers!$A$1,0,0,COUNTA(enemy_skill_triggers!$A:$A),MATCH(H$1,enemy_skill_triggers!$1:$1,0)-MATCH($F$1,enemy_skill_triggers!$1:$1,0)+1),MATCH(H$1,enemy_skill_triggers!$1:$1,0)-MATCH($F$1,enemy_skill_triggers!$1:$1,0)+1,FALSE)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265" s="48">
        <f ca="1">VLOOKUP($F265,OFFSET(enemy_skill_triggers!$A$1,0,0,COUNTA(enemy_skill_triggers!$A:$A),MATCH(I$1,enemy_skill_triggers!$1:$1,0)-MATCH($F$1,enemy_skill_triggers!$1:$1,0)+1),MATCH(I$1,enemy_skill_triggers!$1:$1,0)-MATCH($F$1,enemy_skill_triggers!$1:$1,0)+1,FALSE)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5" s="48" t="str">
        <f ca="1">VLOOKUP($F265,OFFSET(enemy_skill_triggers!$A$1,0,0,COUNTA(enemy_skill_triggers!$A:$A),MATCH(J$1,enemy_skill_triggers!$1:$1,0)-MATCH($F$1,enemy_skill_triggers!$1:$1,0)+1),MATCH(J$1,enemy_skill_triggers!$1:$1,0)-MATCH($F$1,enemy_skill_triggers!$1:$1,0)+1,FALSE)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5" s="48" t="str">
        <f ca="1">VLOOKUP($F265,OFFSET(enemy_skill_triggers!$A$1,0,0,COUNTA(enemy_skill_triggers!$A:$A),MATCH(K$1,enemy_skill_triggers!$1:$1,0)-MATCH($F$1,enemy_skill_triggers!$1:$1,0)+1),MATCH(K$1,enemy_skill_triggers!$1:$1,0)-MATCH($F$1,enemy_skill_triggers!$1:$1,0)+1,FALSE)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5" s="48">
        <f ca="1">VLOOKUP($F265,OFFSET(enemy_skill_triggers!$A$1,0,0,COUNTA(enemy_skill_triggers!$A:$A),MATCH(L$1,enemy_skill_triggers!$1:$1,0)-MATCH($F$1,enemy_skill_triggers!$1:$1,0)+1),MATCH(L$1,enemy_skill_triggers!$1:$1,0)-MATCH($F$1,enemy_skill_triggers!$1:$1,0)+1,FALSE)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5" s="48">
        <f ca="1">VLOOKUP($F265,OFFSET(enemy_skill_triggers!$A$1,0,0,COUNTA(enemy_skill_triggers!$A:$A),MATCH(M$1,enemy_skill_triggers!$1:$1,0)-MATCH($F$1,enemy_skill_triggers!$1:$1,0)+1),MATCH(M$1,enemy_skill_triggers!$1:$1,0)-MATCH($F$1,enemy_skill_triggers!$1:$1,0)+1,FALSE)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5" s="48" t="str">
        <f ca="1">VLOOKUP($F265,OFFSET(enemy_skill_triggers!$A$1,0,0,COUNTA(enemy_skill_triggers!$A:$A),MATCH(N$1,enemy_skill_triggers!$1:$1,0)-MATCH($F$1,enemy_skill_triggers!$1:$1,0)+1),MATCH(N$1,enemy_skill_triggers!$1:$1,0)-MATCH($F$1,enemy_skill_triggers!$1:$1,0)+1,FALSE)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5" s="48">
        <f ca="1">VLOOKUP($F265,OFFSET(enemy_skill_triggers!$A$1,0,0,COUNTA(enemy_skill_triggers!$A:$A),MATCH(O$1,enemy_skill_triggers!$1:$1,0)-MATCH($F$1,enemy_skill_triggers!$1:$1,0)+1),MATCH(O$1,enemy_skill_triggers!$1:$1,0)-MATCH($F$1,enemy_skill_triggers!$1:$1,0)+1,FALSE)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5" s="47"/>
      <c r="Q265" s="47"/>
      <c r="R265" s="47"/>
    </row>
    <row r="266" spans="1:18" ht="21" customHeight="1" x14ac:dyDescent="0.15">
      <c r="A266" s="39" t="str">
        <f t="shared" si="18"/>
        <v>47007226_47007604</v>
      </c>
      <c r="B266" s="174">
        <v>47007226</v>
      </c>
      <c r="C266" s="174">
        <v>47007604</v>
      </c>
      <c r="D266" s="46" t="str">
        <f ca="1">VLOOKUP($C266,OFFSET(enemy_skills!$A$1,0,0,COUNTA(enemy_skills!$A:$A),MATCH(D$1,enemy_skills!$1:$1,0)-MATCH("enemy_skill_id",enemy_skills!$1:$1,0)+1),MATCH(D$1,enemy_skills!$1:$1,0)-MATCH("enemy_skill_id",enemy_skills!$1:$1,0)+1,FALSE)</f>
        <v>さっさと受け取りなさいよぉ！_x000D_バカーーーッッ！！！</v>
      </c>
      <c r="E266" s="46" t="str">
        <f ca="1">VLOOKUP($C266,OFFSET(enemy_skills!$A$1,0,0,COUNTA(enemy_skills!$A:$A),MATCH(E$1,enemy_skills!$1:$1,0)-MATCH("enemy_skill_id",enemy_skills!$1:$1,0)+1),MATCH(E$1,enemy_skills!$1:$1,0)-MATCH("enemy_skill_id",enemy_skills!$1:$1,0)+1,FALSE)</f>
        <v>残りHPの200%ダメージ！</v>
      </c>
      <c r="F266" s="180">
        <v>47007604</v>
      </c>
      <c r="G266" s="48">
        <f ca="1">VLOOKUP($F266,OFFSET(enemy_skill_triggers!$A$1,0,0,COUNTA(enemy_skill_triggers!$A:$A),MATCH(G$1,enemy_skill_triggers!$1:$1,0)-MATCH($F$1,enemy_skill_triggers!$1:$1,0)+1),MATCH(G$1,enemy_skill_triggers!$1:$1,0)-MATCH($F$1,enemy_skill_triggers!$1:$1,0)+1,FALSE)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6" s="48">
        <f ca="1">VLOOKUP($F266,OFFSET(enemy_skill_triggers!$A$1,0,0,COUNTA(enemy_skill_triggers!$A:$A),MATCH(H$1,enemy_skill_triggers!$1:$1,0)-MATCH($F$1,enemy_skill_triggers!$1:$1,0)+1),MATCH(H$1,enemy_skill_triggers!$1:$1,0)-MATCH($F$1,enemy_skill_triggers!$1:$1,0)+1,FALSE)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266" s="48">
        <f ca="1">VLOOKUP($F266,OFFSET(enemy_skill_triggers!$A$1,0,0,COUNTA(enemy_skill_triggers!$A:$A),MATCH(I$1,enemy_skill_triggers!$1:$1,0)-MATCH($F$1,enemy_skill_triggers!$1:$1,0)+1),MATCH(I$1,enemy_skill_triggers!$1:$1,0)-MATCH($F$1,enemy_skill_triggers!$1:$1,0)+1,FALSE)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6" s="48" t="str">
        <f ca="1">VLOOKUP($F266,OFFSET(enemy_skill_triggers!$A$1,0,0,COUNTA(enemy_skill_triggers!$A:$A),MATCH(J$1,enemy_skill_triggers!$1:$1,0)-MATCH($F$1,enemy_skill_triggers!$1:$1,0)+1),MATCH(J$1,enemy_skill_triggers!$1:$1,0)-MATCH($F$1,enemy_skill_triggers!$1:$1,0)+1,FALSE)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6" s="48" t="str">
        <f ca="1">VLOOKUP($F266,OFFSET(enemy_skill_triggers!$A$1,0,0,COUNTA(enemy_skill_triggers!$A:$A),MATCH(K$1,enemy_skill_triggers!$1:$1,0)-MATCH($F$1,enemy_skill_triggers!$1:$1,0)+1),MATCH(K$1,enemy_skill_triggers!$1:$1,0)-MATCH($F$1,enemy_skill_triggers!$1:$1,0)+1,FALSE)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6" s="48">
        <f ca="1">VLOOKUP($F266,OFFSET(enemy_skill_triggers!$A$1,0,0,COUNTA(enemy_skill_triggers!$A:$A),MATCH(L$1,enemy_skill_triggers!$1:$1,0)-MATCH($F$1,enemy_skill_triggers!$1:$1,0)+1),MATCH(L$1,enemy_skill_triggers!$1:$1,0)-MATCH($F$1,enemy_skill_triggers!$1:$1,0)+1,FALSE)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6" s="48">
        <f ca="1">VLOOKUP($F266,OFFSET(enemy_skill_triggers!$A$1,0,0,COUNTA(enemy_skill_triggers!$A:$A),MATCH(M$1,enemy_skill_triggers!$1:$1,0)-MATCH($F$1,enemy_skill_triggers!$1:$1,0)+1),MATCH(M$1,enemy_skill_triggers!$1:$1,0)-MATCH($F$1,enemy_skill_triggers!$1:$1,0)+1,FALSE)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6" s="48" t="str">
        <f ca="1">VLOOKUP($F266,OFFSET(enemy_skill_triggers!$A$1,0,0,COUNTA(enemy_skill_triggers!$A:$A),MATCH(N$1,enemy_skill_triggers!$1:$1,0)-MATCH($F$1,enemy_skill_triggers!$1:$1,0)+1),MATCH(N$1,enemy_skill_triggers!$1:$1,0)-MATCH($F$1,enemy_skill_triggers!$1:$1,0)+1,FALSE)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6" s="48">
        <f ca="1">VLOOKUP($F266,OFFSET(enemy_skill_triggers!$A$1,0,0,COUNTA(enemy_skill_triggers!$A:$A),MATCH(O$1,enemy_skill_triggers!$1:$1,0)-MATCH($F$1,enemy_skill_triggers!$1:$1,0)+1),MATCH(O$1,enemy_skill_triggers!$1:$1,0)-MATCH($F$1,enemy_skill_triggers!$1:$1,0)+1,FALSE)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6" s="47"/>
      <c r="Q266" s="47"/>
      <c r="R266" s="47"/>
    </row>
    <row r="267" spans="1:18" ht="21" customHeight="1" x14ac:dyDescent="0.15">
      <c r="A267" s="39" t="str">
        <f t="shared" si="18"/>
        <v>47007226_47007605</v>
      </c>
      <c r="B267" s="174">
        <v>47007226</v>
      </c>
      <c r="C267" s="174">
        <v>47007605</v>
      </c>
      <c r="D267" s="46" t="str">
        <f ca="1">VLOOKUP($C267,OFFSET(enemy_skills!$A$1,0,0,COUNTA(enemy_skills!$A:$A),MATCH(D$1,enemy_skills!$1:$1,0)-MATCH("enemy_skill_id",enemy_skills!$1:$1,0)+1),MATCH(D$1,enemy_skills!$1:$1,0)-MATCH("enemy_skill_id",enemy_skills!$1:$1,0)+1,FALSE)</f>
        <v>考え直して…くれたの…？</v>
      </c>
      <c r="E267" s="46" t="str">
        <f ca="1">VLOOKUP($C267,OFFSET(enemy_skills!$A$1,0,0,COUNTA(enemy_skills!$A:$A),MATCH(E$1,enemy_skills!$1:$1,0)-MATCH("enemy_skill_id",enemy_skills!$1:$1,0)+1),MATCH(E$1,enemy_skills!$1:$1,0)-MATCH("enemy_skill_id",enemy_skills!$1:$1,0)+1,FALSE)</f>
        <v>このターンでプラリーヌのHPを削りきろう！</v>
      </c>
      <c r="F267" s="180">
        <v>47007605</v>
      </c>
      <c r="G267" s="48">
        <f ca="1">VLOOKUP($F267,OFFSET(enemy_skill_triggers!$A$1,0,0,COUNTA(enemy_skill_triggers!$A:$A),MATCH(G$1,enemy_skill_triggers!$1:$1,0)-MATCH($F$1,enemy_skill_triggers!$1:$1,0)+1),MATCH(G$1,enemy_skill_triggers!$1:$1,0)-MATCH($F$1,enemy_skill_triggers!$1:$1,0)+1,FALSE)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7" s="48">
        <f ca="1">VLOOKUP($F267,OFFSET(enemy_skill_triggers!$A$1,0,0,COUNTA(enemy_skill_triggers!$A:$A),MATCH(H$1,enemy_skill_triggers!$1:$1,0)-MATCH($F$1,enemy_skill_triggers!$1:$1,0)+1),MATCH(H$1,enemy_skill_triggers!$1:$1,0)-MATCH($F$1,enemy_skill_triggers!$1:$1,0)+1,FALSE)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67" s="48">
        <f ca="1">VLOOKUP($F267,OFFSET(enemy_skill_triggers!$A$1,0,0,COUNTA(enemy_skill_triggers!$A:$A),MATCH(I$1,enemy_skill_triggers!$1:$1,0)-MATCH($F$1,enemy_skill_triggers!$1:$1,0)+1),MATCH(I$1,enemy_skill_triggers!$1:$1,0)-MATCH($F$1,enemy_skill_triggers!$1:$1,0)+1,FALSE)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7" s="48" t="str">
        <f ca="1">VLOOKUP($F267,OFFSET(enemy_skill_triggers!$A$1,0,0,COUNTA(enemy_skill_triggers!$A:$A),MATCH(J$1,enemy_skill_triggers!$1:$1,0)-MATCH($F$1,enemy_skill_triggers!$1:$1,0)+1),MATCH(J$1,enemy_skill_triggers!$1:$1,0)-MATCH($F$1,enemy_skill_triggers!$1:$1,0)+1,FALSE)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7" s="48" t="str">
        <f ca="1">VLOOKUP($F267,OFFSET(enemy_skill_triggers!$A$1,0,0,COUNTA(enemy_skill_triggers!$A:$A),MATCH(K$1,enemy_skill_triggers!$1:$1,0)-MATCH($F$1,enemy_skill_triggers!$1:$1,0)+1),MATCH(K$1,enemy_skill_triggers!$1:$1,0)-MATCH($F$1,enemy_skill_triggers!$1:$1,0)+1,FALSE)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7" s="48" t="str">
        <f ca="1">VLOOKUP($F267,OFFSET(enemy_skill_triggers!$A$1,0,0,COUNTA(enemy_skill_triggers!$A:$A),MATCH(L$1,enemy_skill_triggers!$1:$1,0)-MATCH($F$1,enemy_skill_triggers!$1:$1,0)+1),MATCH(L$1,enemy_skill_triggers!$1:$1,0)-MATCH($F$1,enemy_skill_triggers!$1:$1,0)+1,FALSE)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7" s="48">
        <f ca="1">VLOOKUP($F267,OFFSET(enemy_skill_triggers!$A$1,0,0,COUNTA(enemy_skill_triggers!$A:$A),MATCH(M$1,enemy_skill_triggers!$1:$1,0)-MATCH($F$1,enemy_skill_triggers!$1:$1,0)+1),MATCH(M$1,enemy_skill_triggers!$1:$1,0)-MATCH($F$1,enemy_skill_triggers!$1:$1,0)+1,FALSE)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67" s="48" t="str">
        <f ca="1">VLOOKUP($F267,OFFSET(enemy_skill_triggers!$A$1,0,0,COUNTA(enemy_skill_triggers!$A:$A),MATCH(N$1,enemy_skill_triggers!$1:$1,0)-MATCH($F$1,enemy_skill_triggers!$1:$1,0)+1),MATCH(N$1,enemy_skill_triggers!$1:$1,0)-MATCH($F$1,enemy_skill_triggers!$1:$1,0)+1,FALSE)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7" s="48">
        <f ca="1">VLOOKUP($F267,OFFSET(enemy_skill_triggers!$A$1,0,0,COUNTA(enemy_skill_triggers!$A:$A),MATCH(O$1,enemy_skill_triggers!$1:$1,0)-MATCH($F$1,enemy_skill_triggers!$1:$1,0)+1),MATCH(O$1,enemy_skill_triggers!$1:$1,0)-MATCH($F$1,enemy_skill_triggers!$1:$1,0)+1,FALSE)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7" s="47"/>
      <c r="Q267" s="47"/>
      <c r="R267" s="47"/>
    </row>
    <row r="268" spans="1:18" ht="21" customHeight="1" x14ac:dyDescent="0.15">
      <c r="A268" s="39" t="str">
        <f t="shared" si="18"/>
        <v>47007226_47007606</v>
      </c>
      <c r="B268" s="174">
        <v>47007226</v>
      </c>
      <c r="C268" s="174">
        <v>47007606</v>
      </c>
      <c r="D268" s="46" t="str">
        <f ca="1">VLOOKUP($C268,OFFSET(enemy_skills!$A$1,0,0,COUNTA(enemy_skills!$A:$A),MATCH(D$1,enemy_skills!$1:$1,0)-MATCH("enemy_skill_id",enemy_skills!$1:$1,0)+1),MATCH(D$1,enemy_skills!$1:$1,0)-MATCH("enemy_skill_id",enemy_skills!$1:$1,0)+1,FALSE)</f>
        <v>アタシをからかって楽しい…！？_x000D_ホント…バカァ！！！</v>
      </c>
      <c r="E268" s="46" t="str">
        <f ca="1">VLOOKUP($C268,OFFSET(enemy_skills!$A$1,0,0,COUNTA(enemy_skills!$A:$A),MATCH(E$1,enemy_skills!$1:$1,0)-MATCH("enemy_skill_id",enemy_skills!$1:$1,0)+1),MATCH(E$1,enemy_skills!$1:$1,0)-MATCH("enemy_skill_id",enemy_skills!$1:$1,0)+1,FALSE)</f>
        <v>残りHPの200%ダメージ！</v>
      </c>
      <c r="F268" s="180">
        <v>47007606</v>
      </c>
      <c r="G268" s="48">
        <f ca="1">VLOOKUP($F268,OFFSET(enemy_skill_triggers!$A$1,0,0,COUNTA(enemy_skill_triggers!$A:$A),MATCH(G$1,enemy_skill_triggers!$1:$1,0)-MATCH($F$1,enemy_skill_triggers!$1:$1,0)+1),MATCH(G$1,enemy_skill_triggers!$1:$1,0)-MATCH($F$1,enemy_skill_triggers!$1:$1,0)+1,FALSE)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8" s="48">
        <f ca="1">VLOOKUP($F268,OFFSET(enemy_skill_triggers!$A$1,0,0,COUNTA(enemy_skill_triggers!$A:$A),MATCH(H$1,enemy_skill_triggers!$1:$1,0)-MATCH($F$1,enemy_skill_triggers!$1:$1,0)+1),MATCH(H$1,enemy_skill_triggers!$1:$1,0)-MATCH($F$1,enemy_skill_triggers!$1:$1,0)+1,FALSE)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268" s="48">
        <f ca="1">VLOOKUP($F268,OFFSET(enemy_skill_triggers!$A$1,0,0,COUNTA(enemy_skill_triggers!$A:$A),MATCH(I$1,enemy_skill_triggers!$1:$1,0)-MATCH($F$1,enemy_skill_triggers!$1:$1,0)+1),MATCH(I$1,enemy_skill_triggers!$1:$1,0)-MATCH($F$1,enemy_skill_triggers!$1:$1,0)+1,FALSE)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8" s="48" t="str">
        <f ca="1">VLOOKUP($F268,OFFSET(enemy_skill_triggers!$A$1,0,0,COUNTA(enemy_skill_triggers!$A:$A),MATCH(J$1,enemy_skill_triggers!$1:$1,0)-MATCH($F$1,enemy_skill_triggers!$1:$1,0)+1),MATCH(J$1,enemy_skill_triggers!$1:$1,0)-MATCH($F$1,enemy_skill_triggers!$1:$1,0)+1,FALSE)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8" s="48" t="str">
        <f ca="1">VLOOKUP($F268,OFFSET(enemy_skill_triggers!$A$1,0,0,COUNTA(enemy_skill_triggers!$A:$A),MATCH(K$1,enemy_skill_triggers!$1:$1,0)-MATCH($F$1,enemy_skill_triggers!$1:$1,0)+1),MATCH(K$1,enemy_skill_triggers!$1:$1,0)-MATCH($F$1,enemy_skill_triggers!$1:$1,0)+1,FALSE)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8" s="48" t="str">
        <f ca="1">VLOOKUP($F268,OFFSET(enemy_skill_triggers!$A$1,0,0,COUNTA(enemy_skill_triggers!$A:$A),MATCH(L$1,enemy_skill_triggers!$1:$1,0)-MATCH($F$1,enemy_skill_triggers!$1:$1,0)+1),MATCH(L$1,enemy_skill_triggers!$1:$1,0)-MATCH($F$1,enemy_skill_triggers!$1:$1,0)+1,FALSE)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8" s="48">
        <f ca="1">VLOOKUP($F268,OFFSET(enemy_skill_triggers!$A$1,0,0,COUNTA(enemy_skill_triggers!$A:$A),MATCH(M$1,enemy_skill_triggers!$1:$1,0)-MATCH($F$1,enemy_skill_triggers!$1:$1,0)+1),MATCH(M$1,enemy_skill_triggers!$1:$1,0)-MATCH($F$1,enemy_skill_triggers!$1:$1,0)+1,FALSE)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8" s="48" t="str">
        <f ca="1">VLOOKUP($F268,OFFSET(enemy_skill_triggers!$A$1,0,0,COUNTA(enemy_skill_triggers!$A:$A),MATCH(N$1,enemy_skill_triggers!$1:$1,0)-MATCH($F$1,enemy_skill_triggers!$1:$1,0)+1),MATCH(N$1,enemy_skill_triggers!$1:$1,0)-MATCH($F$1,enemy_skill_triggers!$1:$1,0)+1,FALSE)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8" s="48">
        <f ca="1">VLOOKUP($F268,OFFSET(enemy_skill_triggers!$A$1,0,0,COUNTA(enemy_skill_triggers!$A:$A),MATCH(O$1,enemy_skill_triggers!$1:$1,0)-MATCH($F$1,enemy_skill_triggers!$1:$1,0)+1),MATCH(O$1,enemy_skill_triggers!$1:$1,0)-MATCH($F$1,enemy_skill_triggers!$1:$1,0)+1,FALSE)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8" s="47"/>
      <c r="Q268" s="47"/>
      <c r="R268" s="47"/>
    </row>
    <row r="269" spans="1:18" ht="21" customHeight="1" x14ac:dyDescent="0.15">
      <c r="A269" s="39" t="str">
        <f t="shared" si="18"/>
        <v>47007226_47007692</v>
      </c>
      <c r="B269" s="174">
        <v>47007226</v>
      </c>
      <c r="C269" s="174">
        <v>47007692</v>
      </c>
      <c r="D269" s="46" t="str">
        <f ca="1">VLOOKUP($C269,OFFSET(enemy_skills!$A$1,0,0,COUNTA(enemy_skills!$A:$A),MATCH(D$1,enemy_skills!$1:$1,0)-MATCH("enemy_skill_id",enemy_skills!$1:$1,0)+1),MATCH(D$1,enemy_skills!$1:$1,0)-MATCH("enemy_skill_id",enemy_skills!$1:$1,0)+1,FALSE)</f>
        <v>受け取って…くれた？</v>
      </c>
      <c r="E269" s="46" t="str">
        <f ca="1">VLOOKUP($C269,OFFSET(enemy_skills!$A$1,0,0,COUNTA(enemy_skills!$A:$A),MATCH(E$1,enemy_skills!$1:$1,0)-MATCH("enemy_skill_id",enemy_skills!$1:$1,0)+1),MATCH(E$1,enemy_skills!$1:$1,0)-MATCH("enemy_skill_id",enemy_skills!$1:$1,0)+1,FALSE)</f>
        <v>これは……ほ、本命…なんだからぁ…</v>
      </c>
      <c r="F269" s="180">
        <v>47007607</v>
      </c>
      <c r="G269" s="48">
        <f ca="1">VLOOKUP($F269,OFFSET(enemy_skill_triggers!$A$1,0,0,COUNTA(enemy_skill_triggers!$A:$A),MATCH(G$1,enemy_skill_triggers!$1:$1,0)-MATCH($F$1,enemy_skill_triggers!$1:$1,0)+1),MATCH(G$1,enemy_skill_triggers!$1:$1,0)-MATCH($F$1,enemy_skill_triggers!$1:$1,0)+1,FALSE)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9" s="48" t="str">
        <f ca="1">VLOOKUP($F269,OFFSET(enemy_skill_triggers!$A$1,0,0,COUNTA(enemy_skill_triggers!$A:$A),MATCH(H$1,enemy_skill_triggers!$1:$1,0)-MATCH($F$1,enemy_skill_triggers!$1:$1,0)+1),MATCH(H$1,enemy_skill_triggers!$1:$1,0)-MATCH($F$1,enemy_skill_triggers!$1:$1,0)+1,FALSE)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9" s="48">
        <f ca="1">VLOOKUP($F269,OFFSET(enemy_skill_triggers!$A$1,0,0,COUNTA(enemy_skill_triggers!$A:$A),MATCH(I$1,enemy_skill_triggers!$1:$1,0)-MATCH($F$1,enemy_skill_triggers!$1:$1,0)+1),MATCH(I$1,enemy_skill_triggers!$1:$1,0)-MATCH($F$1,enemy_skill_triggers!$1:$1,0)+1,FALSE)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9" s="48" t="str">
        <f ca="1">VLOOKUP($F269,OFFSET(enemy_skill_triggers!$A$1,0,0,COUNTA(enemy_skill_triggers!$A:$A),MATCH(J$1,enemy_skill_triggers!$1:$1,0)-MATCH($F$1,enemy_skill_triggers!$1:$1,0)+1),MATCH(J$1,enemy_skill_triggers!$1:$1,0)-MATCH($F$1,enemy_skill_triggers!$1:$1,0)+1,FALSE)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9" s="48" t="str">
        <f ca="1">VLOOKUP($F269,OFFSET(enemy_skill_triggers!$A$1,0,0,COUNTA(enemy_skill_triggers!$A:$A),MATCH(K$1,enemy_skill_triggers!$1:$1,0)-MATCH($F$1,enemy_skill_triggers!$1:$1,0)+1),MATCH(K$1,enemy_skill_triggers!$1:$1,0)-MATCH($F$1,enemy_skill_triggers!$1:$1,0)+1,FALSE)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9" s="48">
        <f ca="1">VLOOKUP($F269,OFFSET(enemy_skill_triggers!$A$1,0,0,COUNTA(enemy_skill_triggers!$A:$A),MATCH(L$1,enemy_skill_triggers!$1:$1,0)-MATCH($F$1,enemy_skill_triggers!$1:$1,0)+1),MATCH(L$1,enemy_skill_triggers!$1:$1,0)-MATCH($F$1,enemy_skill_triggers!$1:$1,0)+1,FALSE)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9" s="48" t="str">
        <f ca="1">VLOOKUP($F269,OFFSET(enemy_skill_triggers!$A$1,0,0,COUNTA(enemy_skill_triggers!$A:$A),MATCH(M$1,enemy_skill_triggers!$1:$1,0)-MATCH($F$1,enemy_skill_triggers!$1:$1,0)+1),MATCH(M$1,enemy_skill_triggers!$1:$1,0)-MATCH($F$1,enemy_skill_triggers!$1:$1,0)+1,FALSE)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9" s="48">
        <f ca="1">VLOOKUP($F269,OFFSET(enemy_skill_triggers!$A$1,0,0,COUNTA(enemy_skill_triggers!$A:$A),MATCH(N$1,enemy_skill_triggers!$1:$1,0)-MATCH($F$1,enemy_skill_triggers!$1:$1,0)+1),MATCH(N$1,enemy_skill_triggers!$1:$1,0)-MATCH($F$1,enemy_skill_triggers!$1:$1,0)+1,FALSE)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69" s="48">
        <f ca="1">VLOOKUP($F269,OFFSET(enemy_skill_triggers!$A$1,0,0,COUNTA(enemy_skill_triggers!$A:$A),MATCH(O$1,enemy_skill_triggers!$1:$1,0)-MATCH($F$1,enemy_skill_triggers!$1:$1,0)+1),MATCH(O$1,enemy_skill_triggers!$1:$1,0)-MATCH($F$1,enemy_skill_triggers!$1:$1,0)+1,FALSE)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9" s="47"/>
      <c r="Q269" s="47"/>
      <c r="R269" s="47"/>
    </row>
    <row r="270" spans="1:18" ht="21" customHeight="1" x14ac:dyDescent="0.15">
      <c r="A270" s="39" t="str">
        <f t="shared" si="18"/>
        <v>47007226_47007693</v>
      </c>
      <c r="B270" s="174">
        <v>47007226</v>
      </c>
      <c r="C270" s="176">
        <v>47007693</v>
      </c>
      <c r="D270" s="46" t="str">
        <f ca="1">VLOOKUP($C270,OFFSET(enemy_skills!$A$1,0,0,COUNTA(enemy_skills!$A:$A),MATCH(D$1,enemy_skills!$1:$1,0)-MATCH("enemy_skill_id",enemy_skills!$1:$1,0)+1),MATCH(D$1,enemy_skills!$1:$1,0)-MATCH("enemy_skill_id",enemy_skills!$1:$1,0)+1,FALSE)</f>
        <v>[player_name]…_x000D_受け取ってくれた…？</v>
      </c>
      <c r="E270" s="46" t="str">
        <f ca="1">VLOOKUP($C270,OFFSET(enemy_skills!$A$1,0,0,COUNTA(enemy_skills!$A:$A),MATCH(E$1,enemy_skills!$1:$1,0)-MATCH("enemy_skill_id",enemy_skills!$1:$1,0)+1),MATCH(E$1,enemy_skills!$1:$1,0)-MATCH("enemy_skill_id",enemy_skills!$1:$1,0)+1,FALSE)</f>
        <v>う、嬉しいなんて思ってないもん…バカ…</v>
      </c>
      <c r="F270" s="180">
        <v>47007608</v>
      </c>
      <c r="G270" s="48">
        <f ca="1">VLOOKUP($F270,OFFSET(enemy_skill_triggers!$A$1,0,0,COUNTA(enemy_skill_triggers!$A:$A),MATCH(G$1,enemy_skill_triggers!$1:$1,0)-MATCH($F$1,enemy_skill_triggers!$1:$1,0)+1),MATCH(G$1,enemy_skill_triggers!$1:$1,0)-MATCH($F$1,enemy_skill_triggers!$1:$1,0)+1,FALSE)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0" s="48">
        <f ca="1">VLOOKUP($F270,OFFSET(enemy_skill_triggers!$A$1,0,0,COUNTA(enemy_skill_triggers!$A:$A),MATCH(H$1,enemy_skill_triggers!$1:$1,0)-MATCH($F$1,enemy_skill_triggers!$1:$1,0)+1),MATCH(H$1,enemy_skill_triggers!$1:$1,0)-MATCH($F$1,enemy_skill_triggers!$1:$1,0)+1,FALSE)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70" s="48">
        <f ca="1">VLOOKUP($F270,OFFSET(enemy_skill_triggers!$A$1,0,0,COUNTA(enemy_skill_triggers!$A:$A),MATCH(I$1,enemy_skill_triggers!$1:$1,0)-MATCH($F$1,enemy_skill_triggers!$1:$1,0)+1),MATCH(I$1,enemy_skill_triggers!$1:$1,0)-MATCH($F$1,enemy_skill_triggers!$1:$1,0)+1,FALSE)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0" s="48" t="str">
        <f ca="1">VLOOKUP($F270,OFFSET(enemy_skill_triggers!$A$1,0,0,COUNTA(enemy_skill_triggers!$A:$A),MATCH(J$1,enemy_skill_triggers!$1:$1,0)-MATCH($F$1,enemy_skill_triggers!$1:$1,0)+1),MATCH(J$1,enemy_skill_triggers!$1:$1,0)-MATCH($F$1,enemy_skill_triggers!$1:$1,0)+1,FALSE)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0" s="48" t="str">
        <f ca="1">VLOOKUP($F270,OFFSET(enemy_skill_triggers!$A$1,0,0,COUNTA(enemy_skill_triggers!$A:$A),MATCH(K$1,enemy_skill_triggers!$1:$1,0)-MATCH($F$1,enemy_skill_triggers!$1:$1,0)+1),MATCH(K$1,enemy_skill_triggers!$1:$1,0)-MATCH($F$1,enemy_skill_triggers!$1:$1,0)+1,FALSE)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0" s="48">
        <f ca="1">VLOOKUP($F270,OFFSET(enemy_skill_triggers!$A$1,0,0,COUNTA(enemy_skill_triggers!$A:$A),MATCH(L$1,enemy_skill_triggers!$1:$1,0)-MATCH($F$1,enemy_skill_triggers!$1:$1,0)+1),MATCH(L$1,enemy_skill_triggers!$1:$1,0)-MATCH($F$1,enemy_skill_triggers!$1:$1,0)+1,FALSE)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0" s="48" t="str">
        <f ca="1">VLOOKUP($F270,OFFSET(enemy_skill_triggers!$A$1,0,0,COUNTA(enemy_skill_triggers!$A:$A),MATCH(M$1,enemy_skill_triggers!$1:$1,0)-MATCH($F$1,enemy_skill_triggers!$1:$1,0)+1),MATCH(M$1,enemy_skill_triggers!$1:$1,0)-MATCH($F$1,enemy_skill_triggers!$1:$1,0)+1,FALSE)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0" s="48">
        <f ca="1">VLOOKUP($F270,OFFSET(enemy_skill_triggers!$A$1,0,0,COUNTA(enemy_skill_triggers!$A:$A),MATCH(N$1,enemy_skill_triggers!$1:$1,0)-MATCH($F$1,enemy_skill_triggers!$1:$1,0)+1),MATCH(N$1,enemy_skill_triggers!$1:$1,0)-MATCH($F$1,enemy_skill_triggers!$1:$1,0)+1,FALSE)</f>
        <v>1352</v>
      </c>
      <c r="O270" s="48">
        <f ca="1">VLOOKUP($F270,OFFSET(enemy_skill_triggers!$A$1,0,0,COUNTA(enemy_skill_triggers!$A:$A),MATCH(O$1,enemy_skill_triggers!$1:$1,0)-MATCH($F$1,enemy_skill_triggers!$1:$1,0)+1),MATCH(O$1,enemy_skill_triggers!$1:$1,0)-MATCH($F$1,enemy_skill_triggers!$1:$1,0)+1,FALSE)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0" s="47"/>
      <c r="Q270" s="47"/>
      <c r="R270" s="47"/>
    </row>
    <row r="271" spans="1:18" ht="21" customHeight="1" x14ac:dyDescent="0.15">
      <c r="A271" s="39" t="str">
        <f t="shared" si="18"/>
        <v>47007226_47007693</v>
      </c>
      <c r="B271" s="174">
        <v>47007226</v>
      </c>
      <c r="C271" s="176">
        <v>47007693</v>
      </c>
      <c r="D271" s="46" t="str">
        <f ca="1">VLOOKUP($C271,OFFSET(enemy_skills!$A$1,0,0,COUNTA(enemy_skills!$A:$A),MATCH(D$1,enemy_skills!$1:$1,0)-MATCH("enemy_skill_id",enemy_skills!$1:$1,0)+1),MATCH(D$1,enemy_skills!$1:$1,0)-MATCH("enemy_skill_id",enemy_skills!$1:$1,0)+1,FALSE)</f>
        <v>[player_name]…_x000D_受け取ってくれた…？</v>
      </c>
      <c r="E271" s="46" t="str">
        <f ca="1">VLOOKUP($C271,OFFSET(enemy_skills!$A$1,0,0,COUNTA(enemy_skills!$A:$A),MATCH(E$1,enemy_skills!$1:$1,0)-MATCH("enemy_skill_id",enemy_skills!$1:$1,0)+1),MATCH(E$1,enemy_skills!$1:$1,0)-MATCH("enemy_skill_id",enemy_skills!$1:$1,0)+1,FALSE)</f>
        <v>う、嬉しいなんて思ってないもん…バカ…</v>
      </c>
      <c r="F271" s="180">
        <v>47007609</v>
      </c>
      <c r="G271" s="48">
        <f ca="1">VLOOKUP($F271,OFFSET(enemy_skill_triggers!$A$1,0,0,COUNTA(enemy_skill_triggers!$A:$A),MATCH(G$1,enemy_skill_triggers!$1:$1,0)-MATCH($F$1,enemy_skill_triggers!$1:$1,0)+1),MATCH(G$1,enemy_skill_triggers!$1:$1,0)-MATCH($F$1,enemy_skill_triggers!$1:$1,0)+1,FALSE)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1" s="48">
        <f ca="1">VLOOKUP($F271,OFFSET(enemy_skill_triggers!$A$1,0,0,COUNTA(enemy_skill_triggers!$A:$A),MATCH(H$1,enemy_skill_triggers!$1:$1,0)-MATCH($F$1,enemy_skill_triggers!$1:$1,0)+1),MATCH(H$1,enemy_skill_triggers!$1:$1,0)-MATCH($F$1,enemy_skill_triggers!$1:$1,0)+1,FALSE)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271" s="48">
        <f ca="1">VLOOKUP($F271,OFFSET(enemy_skill_triggers!$A$1,0,0,COUNTA(enemy_skill_triggers!$A:$A),MATCH(I$1,enemy_skill_triggers!$1:$1,0)-MATCH($F$1,enemy_skill_triggers!$1:$1,0)+1),MATCH(I$1,enemy_skill_triggers!$1:$1,0)-MATCH($F$1,enemy_skill_triggers!$1:$1,0)+1,FALSE)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1" s="48" t="str">
        <f ca="1">VLOOKUP($F271,OFFSET(enemy_skill_triggers!$A$1,0,0,COUNTA(enemy_skill_triggers!$A:$A),MATCH(J$1,enemy_skill_triggers!$1:$1,0)-MATCH($F$1,enemy_skill_triggers!$1:$1,0)+1),MATCH(J$1,enemy_skill_triggers!$1:$1,0)-MATCH($F$1,enemy_skill_triggers!$1:$1,0)+1,FALSE)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1" s="48" t="str">
        <f ca="1">VLOOKUP($F271,OFFSET(enemy_skill_triggers!$A$1,0,0,COUNTA(enemy_skill_triggers!$A:$A),MATCH(K$1,enemy_skill_triggers!$1:$1,0)-MATCH($F$1,enemy_skill_triggers!$1:$1,0)+1),MATCH(K$1,enemy_skill_triggers!$1:$1,0)-MATCH($F$1,enemy_skill_triggers!$1:$1,0)+1,FALSE)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1" s="48">
        <f ca="1">VLOOKUP($F271,OFFSET(enemy_skill_triggers!$A$1,0,0,COUNTA(enemy_skill_triggers!$A:$A),MATCH(L$1,enemy_skill_triggers!$1:$1,0)-MATCH($F$1,enemy_skill_triggers!$1:$1,0)+1),MATCH(L$1,enemy_skill_triggers!$1:$1,0)-MATCH($F$1,enemy_skill_triggers!$1:$1,0)+1,FALSE)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1" s="48" t="str">
        <f ca="1">VLOOKUP($F271,OFFSET(enemy_skill_triggers!$A$1,0,0,COUNTA(enemy_skill_triggers!$A:$A),MATCH(M$1,enemy_skill_triggers!$1:$1,0)-MATCH($F$1,enemy_skill_triggers!$1:$1,0)+1),MATCH(M$1,enemy_skill_triggers!$1:$1,0)-MATCH($F$1,enemy_skill_triggers!$1:$1,0)+1,FALSE)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1" s="48">
        <f ca="1">VLOOKUP($F271,OFFSET(enemy_skill_triggers!$A$1,0,0,COUNTA(enemy_skill_triggers!$A:$A),MATCH(N$1,enemy_skill_triggers!$1:$1,0)-MATCH($F$1,enemy_skill_triggers!$1:$1,0)+1),MATCH(N$1,enemy_skill_triggers!$1:$1,0)-MATCH($F$1,enemy_skill_triggers!$1:$1,0)+1,FALSE)</f>
        <v>1353</v>
      </c>
      <c r="O271" s="48">
        <f ca="1">VLOOKUP($F271,OFFSET(enemy_skill_triggers!$A$1,0,0,COUNTA(enemy_skill_triggers!$A:$A),MATCH(O$1,enemy_skill_triggers!$1:$1,0)-MATCH($F$1,enemy_skill_triggers!$1:$1,0)+1),MATCH(O$1,enemy_skill_triggers!$1:$1,0)-MATCH($F$1,enemy_skill_triggers!$1:$1,0)+1,FALSE)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1" s="47"/>
      <c r="Q271" s="47"/>
      <c r="R271" s="47"/>
    </row>
    <row r="272" spans="1:18" ht="21" customHeight="1" x14ac:dyDescent="0.15">
      <c r="A272" s="39" t="str">
        <f t="shared" ref="A272:A277" si="19">B272&amp;"_"&amp;C272</f>
        <v>47007226_47007694</v>
      </c>
      <c r="B272" s="174">
        <v>47007226</v>
      </c>
      <c r="C272" s="176">
        <v>47007694</v>
      </c>
      <c r="D272" s="46" t="str">
        <f ca="1">VLOOKUP($C272,OFFSET(enemy_skills!$A$1,0,0,COUNTA(enemy_skills!$A:$A),MATCH(D$1,enemy_skills!$1:$1,0)-MATCH("enemy_skill_id",enemy_skills!$1:$1,0)+1),MATCH(D$1,enemy_skills!$1:$1,0)-MATCH("enemy_skill_id",enemy_skills!$1:$1,0)+1,FALSE)</f>
        <v>[player_name]…_x000D_受け取ってくれた…？</v>
      </c>
      <c r="E272" s="46" t="str">
        <f ca="1">VLOOKUP($C272,OFFSET(enemy_skills!$A$1,0,0,COUNTA(enemy_skills!$A:$A),MATCH(E$1,enemy_skills!$1:$1,0)-MATCH("enemy_skill_id",enemy_skills!$1:$1,0)+1),MATCH(E$1,enemy_skills!$1:$1,0)-MATCH("enemy_skill_id",enemy_skills!$1:$1,0)+1,FALSE)</f>
        <v>あんたの事…すすすす好き…なんだから…</v>
      </c>
      <c r="F272" s="180">
        <v>47007610</v>
      </c>
      <c r="G272" s="48">
        <f ca="1">VLOOKUP($F272,OFFSET(enemy_skill_triggers!$A$1,0,0,COUNTA(enemy_skill_triggers!$A:$A),MATCH(G$1,enemy_skill_triggers!$1:$1,0)-MATCH($F$1,enemy_skill_triggers!$1:$1,0)+1),MATCH(G$1,enemy_skill_triggers!$1:$1,0)-MATCH($F$1,enemy_skill_triggers!$1:$1,0)+1,FALSE)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2" s="48">
        <f ca="1">VLOOKUP($F272,OFFSET(enemy_skill_triggers!$A$1,0,0,COUNTA(enemy_skill_triggers!$A:$A),MATCH(H$1,enemy_skill_triggers!$1:$1,0)-MATCH($F$1,enemy_skill_triggers!$1:$1,0)+1),MATCH(H$1,enemy_skill_triggers!$1:$1,0)-MATCH($F$1,enemy_skill_triggers!$1:$1,0)+1,FALSE)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272" s="48">
        <f ca="1">VLOOKUP($F272,OFFSET(enemy_skill_triggers!$A$1,0,0,COUNTA(enemy_skill_triggers!$A:$A),MATCH(I$1,enemy_skill_triggers!$1:$1,0)-MATCH($F$1,enemy_skill_triggers!$1:$1,0)+1),MATCH(I$1,enemy_skill_triggers!$1:$1,0)-MATCH($F$1,enemy_skill_triggers!$1:$1,0)+1,FALSE)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2" s="48" t="str">
        <f ca="1">VLOOKUP($F272,OFFSET(enemy_skill_triggers!$A$1,0,0,COUNTA(enemy_skill_triggers!$A:$A),MATCH(J$1,enemy_skill_triggers!$1:$1,0)-MATCH($F$1,enemy_skill_triggers!$1:$1,0)+1),MATCH(J$1,enemy_skill_triggers!$1:$1,0)-MATCH($F$1,enemy_skill_triggers!$1:$1,0)+1,FALSE)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2" s="48" t="str">
        <f ca="1">VLOOKUP($F272,OFFSET(enemy_skill_triggers!$A$1,0,0,COUNTA(enemy_skill_triggers!$A:$A),MATCH(K$1,enemy_skill_triggers!$1:$1,0)-MATCH($F$1,enemy_skill_triggers!$1:$1,0)+1),MATCH(K$1,enemy_skill_triggers!$1:$1,0)-MATCH($F$1,enemy_skill_triggers!$1:$1,0)+1,FALSE)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2" s="48">
        <f ca="1">VLOOKUP($F272,OFFSET(enemy_skill_triggers!$A$1,0,0,COUNTA(enemy_skill_triggers!$A:$A),MATCH(L$1,enemy_skill_triggers!$1:$1,0)-MATCH($F$1,enemy_skill_triggers!$1:$1,0)+1),MATCH(L$1,enemy_skill_triggers!$1:$1,0)-MATCH($F$1,enemy_skill_triggers!$1:$1,0)+1,FALSE)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2" s="48" t="str">
        <f ca="1">VLOOKUP($F272,OFFSET(enemy_skill_triggers!$A$1,0,0,COUNTA(enemy_skill_triggers!$A:$A),MATCH(M$1,enemy_skill_triggers!$1:$1,0)-MATCH($F$1,enemy_skill_triggers!$1:$1,0)+1),MATCH(M$1,enemy_skill_triggers!$1:$1,0)-MATCH($F$1,enemy_skill_triggers!$1:$1,0)+1,FALSE)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2" s="48">
        <f ca="1">VLOOKUP($F272,OFFSET(enemy_skill_triggers!$A$1,0,0,COUNTA(enemy_skill_triggers!$A:$A),MATCH(N$1,enemy_skill_triggers!$1:$1,0)-MATCH($F$1,enemy_skill_triggers!$1:$1,0)+1),MATCH(N$1,enemy_skill_triggers!$1:$1,0)-MATCH($F$1,enemy_skill_triggers!$1:$1,0)+1,FALSE)</f>
        <v>1363</v>
      </c>
      <c r="O272" s="48">
        <f ca="1">VLOOKUP($F272,OFFSET(enemy_skill_triggers!$A$1,0,0,COUNTA(enemy_skill_triggers!$A:$A),MATCH(O$1,enemy_skill_triggers!$1:$1,0)-MATCH($F$1,enemy_skill_triggers!$1:$1,0)+1),MATCH(O$1,enemy_skill_triggers!$1:$1,0)-MATCH($F$1,enemy_skill_triggers!$1:$1,0)+1,FALSE)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2" s="47"/>
      <c r="Q272" s="47"/>
      <c r="R272" s="47"/>
    </row>
    <row r="273" spans="1:18" ht="21" customHeight="1" x14ac:dyDescent="0.15">
      <c r="A273" s="39" t="str">
        <f t="shared" si="19"/>
        <v>47007226_47007695</v>
      </c>
      <c r="B273" s="174">
        <v>47007226</v>
      </c>
      <c r="C273" s="176">
        <v>47007695</v>
      </c>
      <c r="D273" s="46" t="str">
        <f ca="1">VLOOKUP($C273,OFFSET(enemy_skills!$A$1,0,0,COUNTA(enemy_skills!$A:$A),MATCH(D$1,enemy_skills!$1:$1,0)-MATCH("enemy_skill_id",enemy_skills!$1:$1,0)+1),MATCH(D$1,enemy_skills!$1:$1,0)-MATCH("enemy_skill_id",enemy_skills!$1:$1,0)+1,FALSE)</f>
        <v>受け取って…くれた…？</v>
      </c>
      <c r="E273" s="46" t="str">
        <f ca="1">VLOOKUP($C273,OFFSET(enemy_skills!$A$1,0,0,COUNTA(enemy_skills!$A:$A),MATCH(E$1,enemy_skills!$1:$1,0)-MATCH("enemy_skill_id",enemy_skills!$1:$1,0)+1),MATCH(E$1,enemy_skills!$1:$1,0)-MATCH("enemy_skill_id",enemy_skills!$1:$1,0)+1,FALSE)</f>
        <v>だ、大事な友達だし…！これからもよろしくね…</v>
      </c>
      <c r="F273" s="180">
        <v>47007611</v>
      </c>
      <c r="G273" s="48">
        <f ca="1">VLOOKUP($F273,OFFSET(enemy_skill_triggers!$A$1,0,0,COUNTA(enemy_skill_triggers!$A:$A),MATCH(G$1,enemy_skill_triggers!$1:$1,0)-MATCH($F$1,enemy_skill_triggers!$1:$1,0)+1),MATCH(G$1,enemy_skill_triggers!$1:$1,0)-MATCH($F$1,enemy_skill_triggers!$1:$1,0)+1,FALSE)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3" s="48">
        <f ca="1">VLOOKUP($F273,OFFSET(enemy_skill_triggers!$A$1,0,0,COUNTA(enemy_skill_triggers!$A:$A),MATCH(H$1,enemy_skill_triggers!$1:$1,0)-MATCH($F$1,enemy_skill_triggers!$1:$1,0)+1),MATCH(H$1,enemy_skill_triggers!$1:$1,0)-MATCH($F$1,enemy_skill_triggers!$1:$1,0)+1,FALSE)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273" s="48">
        <f ca="1">VLOOKUP($F273,OFFSET(enemy_skill_triggers!$A$1,0,0,COUNTA(enemy_skill_triggers!$A:$A),MATCH(I$1,enemy_skill_triggers!$1:$1,0)-MATCH($F$1,enemy_skill_triggers!$1:$1,0)+1),MATCH(I$1,enemy_skill_triggers!$1:$1,0)-MATCH($F$1,enemy_skill_triggers!$1:$1,0)+1,FALSE)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3" s="48" t="str">
        <f ca="1">VLOOKUP($F273,OFFSET(enemy_skill_triggers!$A$1,0,0,COUNTA(enemy_skill_triggers!$A:$A),MATCH(J$1,enemy_skill_triggers!$1:$1,0)-MATCH($F$1,enemy_skill_triggers!$1:$1,0)+1),MATCH(J$1,enemy_skill_triggers!$1:$1,0)-MATCH($F$1,enemy_skill_triggers!$1:$1,0)+1,FALSE)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3" s="48" t="str">
        <f ca="1">VLOOKUP($F273,OFFSET(enemy_skill_triggers!$A$1,0,0,COUNTA(enemy_skill_triggers!$A:$A),MATCH(K$1,enemy_skill_triggers!$1:$1,0)-MATCH($F$1,enemy_skill_triggers!$1:$1,0)+1),MATCH(K$1,enemy_skill_triggers!$1:$1,0)-MATCH($F$1,enemy_skill_triggers!$1:$1,0)+1,FALSE)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3" s="48">
        <f ca="1">VLOOKUP($F273,OFFSET(enemy_skill_triggers!$A$1,0,0,COUNTA(enemy_skill_triggers!$A:$A),MATCH(L$1,enemy_skill_triggers!$1:$1,0)-MATCH($F$1,enemy_skill_triggers!$1:$1,0)+1),MATCH(L$1,enemy_skill_triggers!$1:$1,0)-MATCH($F$1,enemy_skill_triggers!$1:$1,0)+1,FALSE)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3" s="48" t="str">
        <f ca="1">VLOOKUP($F273,OFFSET(enemy_skill_triggers!$A$1,0,0,COUNTA(enemy_skill_triggers!$A:$A),MATCH(M$1,enemy_skill_triggers!$1:$1,0)-MATCH($F$1,enemy_skill_triggers!$1:$1,0)+1),MATCH(M$1,enemy_skill_triggers!$1:$1,0)-MATCH($F$1,enemy_skill_triggers!$1:$1,0)+1,FALSE)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3" s="48">
        <f ca="1">VLOOKUP($F273,OFFSET(enemy_skill_triggers!$A$1,0,0,COUNTA(enemy_skill_triggers!$A:$A),MATCH(N$1,enemy_skill_triggers!$1:$1,0)-MATCH($F$1,enemy_skill_triggers!$1:$1,0)+1),MATCH(N$1,enemy_skill_triggers!$1:$1,0)-MATCH($F$1,enemy_skill_triggers!$1:$1,0)+1,FALSE)</f>
        <v>1354</v>
      </c>
      <c r="O273" s="48">
        <f ca="1">VLOOKUP($F273,OFFSET(enemy_skill_triggers!$A$1,0,0,COUNTA(enemy_skill_triggers!$A:$A),MATCH(O$1,enemy_skill_triggers!$1:$1,0)-MATCH($F$1,enemy_skill_triggers!$1:$1,0)+1),MATCH(O$1,enemy_skill_triggers!$1:$1,0)-MATCH($F$1,enemy_skill_triggers!$1:$1,0)+1,FALSE)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3" s="47"/>
      <c r="Q273" s="47"/>
      <c r="R273" s="47"/>
    </row>
    <row r="274" spans="1:18" ht="21" customHeight="1" x14ac:dyDescent="0.15">
      <c r="A274" s="39" t="str">
        <f t="shared" si="19"/>
        <v>47007226_47007695</v>
      </c>
      <c r="B274" s="174">
        <v>47007226</v>
      </c>
      <c r="C274" s="176">
        <v>47007695</v>
      </c>
      <c r="D274" s="46" t="str">
        <f ca="1">VLOOKUP($C274,OFFSET(enemy_skills!$A$1,0,0,COUNTA(enemy_skills!$A:$A),MATCH(D$1,enemy_skills!$1:$1,0)-MATCH("enemy_skill_id",enemy_skills!$1:$1,0)+1),MATCH(D$1,enemy_skills!$1:$1,0)-MATCH("enemy_skill_id",enemy_skills!$1:$1,0)+1,FALSE)</f>
        <v>受け取って…くれた…？</v>
      </c>
      <c r="E274" s="46" t="str">
        <f ca="1">VLOOKUP($C274,OFFSET(enemy_skills!$A$1,0,0,COUNTA(enemy_skills!$A:$A),MATCH(E$1,enemy_skills!$1:$1,0)-MATCH("enemy_skill_id",enemy_skills!$1:$1,0)+1),MATCH(E$1,enemy_skills!$1:$1,0)-MATCH("enemy_skill_id",enemy_skills!$1:$1,0)+1,FALSE)</f>
        <v>だ、大事な友達だし…！これからもよろしくね…</v>
      </c>
      <c r="F274" s="180">
        <v>47007612</v>
      </c>
      <c r="G274" s="48">
        <f ca="1">VLOOKUP($F274,OFFSET(enemy_skill_triggers!$A$1,0,0,COUNTA(enemy_skill_triggers!$A:$A),MATCH(G$1,enemy_skill_triggers!$1:$1,0)-MATCH($F$1,enemy_skill_triggers!$1:$1,0)+1),MATCH(G$1,enemy_skill_triggers!$1:$1,0)-MATCH($F$1,enemy_skill_triggers!$1:$1,0)+1,FALSE)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4" s="48">
        <f ca="1">VLOOKUP($F274,OFFSET(enemy_skill_triggers!$A$1,0,0,COUNTA(enemy_skill_triggers!$A:$A),MATCH(H$1,enemy_skill_triggers!$1:$1,0)-MATCH($F$1,enemy_skill_triggers!$1:$1,0)+1),MATCH(H$1,enemy_skill_triggers!$1:$1,0)-MATCH($F$1,enemy_skill_triggers!$1:$1,0)+1,FALSE)</f>
        <v>299</v>
      </c>
      <c r="I274" s="48">
        <f ca="1">VLOOKUP($F274,OFFSET(enemy_skill_triggers!$A$1,0,0,COUNTA(enemy_skill_triggers!$A:$A),MATCH(I$1,enemy_skill_triggers!$1:$1,0)-MATCH($F$1,enemy_skill_triggers!$1:$1,0)+1),MATCH(I$1,enemy_skill_triggers!$1:$1,0)-MATCH($F$1,enemy_skill_triggers!$1:$1,0)+1,FALSE)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4" s="48" t="str">
        <f ca="1">VLOOKUP($F274,OFFSET(enemy_skill_triggers!$A$1,0,0,COUNTA(enemy_skill_triggers!$A:$A),MATCH(J$1,enemy_skill_triggers!$1:$1,0)-MATCH($F$1,enemy_skill_triggers!$1:$1,0)+1),MATCH(J$1,enemy_skill_triggers!$1:$1,0)-MATCH($F$1,enemy_skill_triggers!$1:$1,0)+1,FALSE)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4" s="48" t="str">
        <f ca="1">VLOOKUP($F274,OFFSET(enemy_skill_triggers!$A$1,0,0,COUNTA(enemy_skill_triggers!$A:$A),MATCH(K$1,enemy_skill_triggers!$1:$1,0)-MATCH($F$1,enemy_skill_triggers!$1:$1,0)+1),MATCH(K$1,enemy_skill_triggers!$1:$1,0)-MATCH($F$1,enemy_skill_triggers!$1:$1,0)+1,FALSE)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4" s="48">
        <f ca="1">VLOOKUP($F274,OFFSET(enemy_skill_triggers!$A$1,0,0,COUNTA(enemy_skill_triggers!$A:$A),MATCH(L$1,enemy_skill_triggers!$1:$1,0)-MATCH($F$1,enemy_skill_triggers!$1:$1,0)+1),MATCH(L$1,enemy_skill_triggers!$1:$1,0)-MATCH($F$1,enemy_skill_triggers!$1:$1,0)+1,FALSE)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4" s="48" t="str">
        <f ca="1">VLOOKUP($F274,OFFSET(enemy_skill_triggers!$A$1,0,0,COUNTA(enemy_skill_triggers!$A:$A),MATCH(M$1,enemy_skill_triggers!$1:$1,0)-MATCH($F$1,enemy_skill_triggers!$1:$1,0)+1),MATCH(M$1,enemy_skill_triggers!$1:$1,0)-MATCH($F$1,enemy_skill_triggers!$1:$1,0)+1,FALSE)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4" s="48">
        <f ca="1">VLOOKUP($F274,OFFSET(enemy_skill_triggers!$A$1,0,0,COUNTA(enemy_skill_triggers!$A:$A),MATCH(N$1,enemy_skill_triggers!$1:$1,0)-MATCH($F$1,enemy_skill_triggers!$1:$1,0)+1),MATCH(N$1,enemy_skill_triggers!$1:$1,0)-MATCH($F$1,enemy_skill_triggers!$1:$1,0)+1,FALSE)</f>
        <v>1355</v>
      </c>
      <c r="O274" s="48">
        <f ca="1">VLOOKUP($F274,OFFSET(enemy_skill_triggers!$A$1,0,0,COUNTA(enemy_skill_triggers!$A:$A),MATCH(O$1,enemy_skill_triggers!$1:$1,0)-MATCH($F$1,enemy_skill_triggers!$1:$1,0)+1),MATCH(O$1,enemy_skill_triggers!$1:$1,0)-MATCH($F$1,enemy_skill_triggers!$1:$1,0)+1,FALSE)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4" s="47"/>
      <c r="Q274" s="47"/>
      <c r="R274" s="47"/>
    </row>
    <row r="275" spans="1:18" ht="21" customHeight="1" x14ac:dyDescent="0.15">
      <c r="A275" s="39" t="str">
        <f t="shared" si="19"/>
        <v>47007226_47007695</v>
      </c>
      <c r="B275" s="174">
        <v>47007226</v>
      </c>
      <c r="C275" s="176">
        <v>47007695</v>
      </c>
      <c r="D275" s="46" t="str">
        <f ca="1">VLOOKUP($C275,OFFSET(enemy_skills!$A$1,0,0,COUNTA(enemy_skills!$A:$A),MATCH(D$1,enemy_skills!$1:$1,0)-MATCH("enemy_skill_id",enemy_skills!$1:$1,0)+1),MATCH(D$1,enemy_skills!$1:$1,0)-MATCH("enemy_skill_id",enemy_skills!$1:$1,0)+1,FALSE)</f>
        <v>受け取って…くれた…？</v>
      </c>
      <c r="E275" s="46" t="str">
        <f ca="1">VLOOKUP($C275,OFFSET(enemy_skills!$A$1,0,0,COUNTA(enemy_skills!$A:$A),MATCH(E$1,enemy_skills!$1:$1,0)-MATCH("enemy_skill_id",enemy_skills!$1:$1,0)+1),MATCH(E$1,enemy_skills!$1:$1,0)-MATCH("enemy_skill_id",enemy_skills!$1:$1,0)+1,FALSE)</f>
        <v>だ、大事な友達だし…！これからもよろしくね…</v>
      </c>
      <c r="F275" s="180">
        <v>47007613</v>
      </c>
      <c r="G275" s="48">
        <f ca="1">VLOOKUP($F275,OFFSET(enemy_skill_triggers!$A$1,0,0,COUNTA(enemy_skill_triggers!$A:$A),MATCH(G$1,enemy_skill_triggers!$1:$1,0)-MATCH($F$1,enemy_skill_triggers!$1:$1,0)+1),MATCH(G$1,enemy_skill_triggers!$1:$1,0)-MATCH($F$1,enemy_skill_triggers!$1:$1,0)+1,FALSE)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5" s="48">
        <f ca="1">VLOOKUP($F275,OFFSET(enemy_skill_triggers!$A$1,0,0,COUNTA(enemy_skill_triggers!$A:$A),MATCH(H$1,enemy_skill_triggers!$1:$1,0)-MATCH($F$1,enemy_skill_triggers!$1:$1,0)+1),MATCH(H$1,enemy_skill_triggers!$1:$1,0)-MATCH($F$1,enemy_skill_triggers!$1:$1,0)+1,FALSE)</f>
        <v>298</v>
      </c>
      <c r="I275" s="48">
        <f ca="1">VLOOKUP($F275,OFFSET(enemy_skill_triggers!$A$1,0,0,COUNTA(enemy_skill_triggers!$A:$A),MATCH(I$1,enemy_skill_triggers!$1:$1,0)-MATCH($F$1,enemy_skill_triggers!$1:$1,0)+1),MATCH(I$1,enemy_skill_triggers!$1:$1,0)-MATCH($F$1,enemy_skill_triggers!$1:$1,0)+1,FALSE)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5" s="48" t="str">
        <f ca="1">VLOOKUP($F275,OFFSET(enemy_skill_triggers!$A$1,0,0,COUNTA(enemy_skill_triggers!$A:$A),MATCH(J$1,enemy_skill_triggers!$1:$1,0)-MATCH($F$1,enemy_skill_triggers!$1:$1,0)+1),MATCH(J$1,enemy_skill_triggers!$1:$1,0)-MATCH($F$1,enemy_skill_triggers!$1:$1,0)+1,FALSE)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5" s="48" t="str">
        <f ca="1">VLOOKUP($F275,OFFSET(enemy_skill_triggers!$A$1,0,0,COUNTA(enemy_skill_triggers!$A:$A),MATCH(K$1,enemy_skill_triggers!$1:$1,0)-MATCH($F$1,enemy_skill_triggers!$1:$1,0)+1),MATCH(K$1,enemy_skill_triggers!$1:$1,0)-MATCH($F$1,enemy_skill_triggers!$1:$1,0)+1,FALSE)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5" s="48">
        <f ca="1">VLOOKUP($F275,OFFSET(enemy_skill_triggers!$A$1,0,0,COUNTA(enemy_skill_triggers!$A:$A),MATCH(L$1,enemy_skill_triggers!$1:$1,0)-MATCH($F$1,enemy_skill_triggers!$1:$1,0)+1),MATCH(L$1,enemy_skill_triggers!$1:$1,0)-MATCH($F$1,enemy_skill_triggers!$1:$1,0)+1,FALSE)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5" s="48" t="str">
        <f ca="1">VLOOKUP($F275,OFFSET(enemy_skill_triggers!$A$1,0,0,COUNTA(enemy_skill_triggers!$A:$A),MATCH(M$1,enemy_skill_triggers!$1:$1,0)-MATCH($F$1,enemy_skill_triggers!$1:$1,0)+1),MATCH(M$1,enemy_skill_triggers!$1:$1,0)-MATCH($F$1,enemy_skill_triggers!$1:$1,0)+1,FALSE)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5" s="48">
        <f ca="1">VLOOKUP($F275,OFFSET(enemy_skill_triggers!$A$1,0,0,COUNTA(enemy_skill_triggers!$A:$A),MATCH(N$1,enemy_skill_triggers!$1:$1,0)-MATCH($F$1,enemy_skill_triggers!$1:$1,0)+1),MATCH(N$1,enemy_skill_triggers!$1:$1,0)-MATCH($F$1,enemy_skill_triggers!$1:$1,0)+1,FALSE)</f>
        <v>1356</v>
      </c>
      <c r="O275" s="48">
        <f ca="1">VLOOKUP($F275,OFFSET(enemy_skill_triggers!$A$1,0,0,COUNTA(enemy_skill_triggers!$A:$A),MATCH(O$1,enemy_skill_triggers!$1:$1,0)-MATCH($F$1,enemy_skill_triggers!$1:$1,0)+1),MATCH(O$1,enemy_skill_triggers!$1:$1,0)-MATCH($F$1,enemy_skill_triggers!$1:$1,0)+1,FALSE)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5" s="47"/>
      <c r="Q275" s="47"/>
      <c r="R275" s="47"/>
    </row>
    <row r="276" spans="1:18" ht="21" customHeight="1" x14ac:dyDescent="0.15">
      <c r="A276" s="39" t="str">
        <f t="shared" si="19"/>
        <v>47007226_47007695</v>
      </c>
      <c r="B276" s="174">
        <v>47007226</v>
      </c>
      <c r="C276" s="176">
        <v>47007695</v>
      </c>
      <c r="D276" s="46" t="str">
        <f ca="1">VLOOKUP($C276,OFFSET(enemy_skills!$A$1,0,0,COUNTA(enemy_skills!$A:$A),MATCH(D$1,enemy_skills!$1:$1,0)-MATCH("enemy_skill_id",enemy_skills!$1:$1,0)+1),MATCH(D$1,enemy_skills!$1:$1,0)-MATCH("enemy_skill_id",enemy_skills!$1:$1,0)+1,FALSE)</f>
        <v>受け取って…くれた…？</v>
      </c>
      <c r="E276" s="46" t="str">
        <f ca="1">VLOOKUP($C276,OFFSET(enemy_skills!$A$1,0,0,COUNTA(enemy_skills!$A:$A),MATCH(E$1,enemy_skills!$1:$1,0)-MATCH("enemy_skill_id",enemy_skills!$1:$1,0)+1),MATCH(E$1,enemy_skills!$1:$1,0)-MATCH("enemy_skill_id",enemy_skills!$1:$1,0)+1,FALSE)</f>
        <v>だ、大事な友達だし…！これからもよろしくね…</v>
      </c>
      <c r="F276" s="180">
        <v>47007614</v>
      </c>
      <c r="G276" s="48">
        <f ca="1">VLOOKUP($F276,OFFSET(enemy_skill_triggers!$A$1,0,0,COUNTA(enemy_skill_triggers!$A:$A),MATCH(G$1,enemy_skill_triggers!$1:$1,0)-MATCH($F$1,enemy_skill_triggers!$1:$1,0)+1),MATCH(G$1,enemy_skill_triggers!$1:$1,0)-MATCH($F$1,enemy_skill_triggers!$1:$1,0)+1,FALSE)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6" s="48">
        <f ca="1">VLOOKUP($F276,OFFSET(enemy_skill_triggers!$A$1,0,0,COUNTA(enemy_skill_triggers!$A:$A),MATCH(H$1,enemy_skill_triggers!$1:$1,0)-MATCH($F$1,enemy_skill_triggers!$1:$1,0)+1),MATCH(H$1,enemy_skill_triggers!$1:$1,0)-MATCH($F$1,enemy_skill_triggers!$1:$1,0)+1,FALSE)</f>
        <v>297</v>
      </c>
      <c r="I276" s="48">
        <f ca="1">VLOOKUP($F276,OFFSET(enemy_skill_triggers!$A$1,0,0,COUNTA(enemy_skill_triggers!$A:$A),MATCH(I$1,enemy_skill_triggers!$1:$1,0)-MATCH($F$1,enemy_skill_triggers!$1:$1,0)+1),MATCH(I$1,enemy_skill_triggers!$1:$1,0)-MATCH($F$1,enemy_skill_triggers!$1:$1,0)+1,FALSE)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6" s="48" t="str">
        <f ca="1">VLOOKUP($F276,OFFSET(enemy_skill_triggers!$A$1,0,0,COUNTA(enemy_skill_triggers!$A:$A),MATCH(J$1,enemy_skill_triggers!$1:$1,0)-MATCH($F$1,enemy_skill_triggers!$1:$1,0)+1),MATCH(J$1,enemy_skill_triggers!$1:$1,0)-MATCH($F$1,enemy_skill_triggers!$1:$1,0)+1,FALSE)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6" s="48" t="str">
        <f ca="1">VLOOKUP($F276,OFFSET(enemy_skill_triggers!$A$1,0,0,COUNTA(enemy_skill_triggers!$A:$A),MATCH(K$1,enemy_skill_triggers!$1:$1,0)-MATCH($F$1,enemy_skill_triggers!$1:$1,0)+1),MATCH(K$1,enemy_skill_triggers!$1:$1,0)-MATCH($F$1,enemy_skill_triggers!$1:$1,0)+1,FALSE)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6" s="48">
        <f ca="1">VLOOKUP($F276,OFFSET(enemy_skill_triggers!$A$1,0,0,COUNTA(enemy_skill_triggers!$A:$A),MATCH(L$1,enemy_skill_triggers!$1:$1,0)-MATCH($F$1,enemy_skill_triggers!$1:$1,0)+1),MATCH(L$1,enemy_skill_triggers!$1:$1,0)-MATCH($F$1,enemy_skill_triggers!$1:$1,0)+1,FALSE)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6" s="48" t="str">
        <f ca="1">VLOOKUP($F276,OFFSET(enemy_skill_triggers!$A$1,0,0,COUNTA(enemy_skill_triggers!$A:$A),MATCH(M$1,enemy_skill_triggers!$1:$1,0)-MATCH($F$1,enemy_skill_triggers!$1:$1,0)+1),MATCH(M$1,enemy_skill_triggers!$1:$1,0)-MATCH($F$1,enemy_skill_triggers!$1:$1,0)+1,FALSE)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6" s="48">
        <f ca="1">VLOOKUP($F276,OFFSET(enemy_skill_triggers!$A$1,0,0,COUNTA(enemy_skill_triggers!$A:$A),MATCH(N$1,enemy_skill_triggers!$1:$1,0)-MATCH($F$1,enemy_skill_triggers!$1:$1,0)+1),MATCH(N$1,enemy_skill_triggers!$1:$1,0)-MATCH($F$1,enemy_skill_triggers!$1:$1,0)+1,FALSE)</f>
        <v>1357</v>
      </c>
      <c r="O276" s="48">
        <f ca="1">VLOOKUP($F276,OFFSET(enemy_skill_triggers!$A$1,0,0,COUNTA(enemy_skill_triggers!$A:$A),MATCH(O$1,enemy_skill_triggers!$1:$1,0)-MATCH($F$1,enemy_skill_triggers!$1:$1,0)+1),MATCH(O$1,enemy_skill_triggers!$1:$1,0)-MATCH($F$1,enemy_skill_triggers!$1:$1,0)+1,FALSE)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6" s="47"/>
      <c r="Q276" s="47"/>
      <c r="R276" s="47"/>
    </row>
    <row r="277" spans="1:18" ht="21" customHeight="1" x14ac:dyDescent="0.15">
      <c r="A277" s="178" t="str">
        <f t="shared" si="19"/>
        <v>47007226_47007695</v>
      </c>
      <c r="B277" s="174">
        <v>47007226</v>
      </c>
      <c r="C277" s="174">
        <v>47007695</v>
      </c>
      <c r="D277" s="46" t="str">
        <f ca="1">VLOOKUP($C277,OFFSET(enemy_skills!$A$1,0,0,COUNTA(enemy_skills!$A:$A),MATCH(D$1,enemy_skills!$1:$1,0)-MATCH("enemy_skill_id",enemy_skills!$1:$1,0)+1),MATCH(D$1,enemy_skills!$1:$1,0)-MATCH("enemy_skill_id",enemy_skills!$1:$1,0)+1,FALSE)</f>
        <v>受け取って…くれた…？</v>
      </c>
      <c r="E277" s="46" t="str">
        <f ca="1">VLOOKUP($C277,OFFSET(enemy_skills!$A$1,0,0,COUNTA(enemy_skills!$A:$A),MATCH(E$1,enemy_skills!$1:$1,0)-MATCH("enemy_skill_id",enemy_skills!$1:$1,0)+1),MATCH(E$1,enemy_skills!$1:$1,0)-MATCH("enemy_skill_id",enemy_skills!$1:$1,0)+1,FALSE)</f>
        <v>だ、大事な友達だし…！これからもよろしくね…</v>
      </c>
      <c r="F277" s="180">
        <v>47007615</v>
      </c>
      <c r="G277" s="48">
        <f ca="1">VLOOKUP($F277,OFFSET(enemy_skill_triggers!$A$1,0,0,COUNTA(enemy_skill_triggers!$A:$A),MATCH(G$1,enemy_skill_triggers!$1:$1,0)-MATCH($F$1,enemy_skill_triggers!$1:$1,0)+1),MATCH(G$1,enemy_skill_triggers!$1:$1,0)-MATCH($F$1,enemy_skill_triggers!$1:$1,0)+1,FALSE)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7" s="48">
        <f ca="1">VLOOKUP($F277,OFFSET(enemy_skill_triggers!$A$1,0,0,COUNTA(enemy_skill_triggers!$A:$A),MATCH(H$1,enemy_skill_triggers!$1:$1,0)-MATCH($F$1,enemy_skill_triggers!$1:$1,0)+1),MATCH(H$1,enemy_skill_triggers!$1:$1,0)-MATCH($F$1,enemy_skill_triggers!$1:$1,0)+1,FALSE)</f>
        <v>296</v>
      </c>
      <c r="I277" s="48">
        <f ca="1">VLOOKUP($F277,OFFSET(enemy_skill_triggers!$A$1,0,0,COUNTA(enemy_skill_triggers!$A:$A),MATCH(I$1,enemy_skill_triggers!$1:$1,0)-MATCH($F$1,enemy_skill_triggers!$1:$1,0)+1),MATCH(I$1,enemy_skill_triggers!$1:$1,0)-MATCH($F$1,enemy_skill_triggers!$1:$1,0)+1,FALSE)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7" s="48" t="str">
        <f ca="1">VLOOKUP($F277,OFFSET(enemy_skill_triggers!$A$1,0,0,COUNTA(enemy_skill_triggers!$A:$A),MATCH(J$1,enemy_skill_triggers!$1:$1,0)-MATCH($F$1,enemy_skill_triggers!$1:$1,0)+1),MATCH(J$1,enemy_skill_triggers!$1:$1,0)-MATCH($F$1,enemy_skill_triggers!$1:$1,0)+1,FALSE)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7" s="48" t="str">
        <f ca="1">VLOOKUP($F277,OFFSET(enemy_skill_triggers!$A$1,0,0,COUNTA(enemy_skill_triggers!$A:$A),MATCH(K$1,enemy_skill_triggers!$1:$1,0)-MATCH($F$1,enemy_skill_triggers!$1:$1,0)+1),MATCH(K$1,enemy_skill_triggers!$1:$1,0)-MATCH($F$1,enemy_skill_triggers!$1:$1,0)+1,FALSE)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7" s="48">
        <f ca="1">VLOOKUP($F277,OFFSET(enemy_skill_triggers!$A$1,0,0,COUNTA(enemy_skill_triggers!$A:$A),MATCH(L$1,enemy_skill_triggers!$1:$1,0)-MATCH($F$1,enemy_skill_triggers!$1:$1,0)+1),MATCH(L$1,enemy_skill_triggers!$1:$1,0)-MATCH($F$1,enemy_skill_triggers!$1:$1,0)+1,FALSE)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7" s="48" t="str">
        <f ca="1">VLOOKUP($F277,OFFSET(enemy_skill_triggers!$A$1,0,0,COUNTA(enemy_skill_triggers!$A:$A),MATCH(M$1,enemy_skill_triggers!$1:$1,0)-MATCH($F$1,enemy_skill_triggers!$1:$1,0)+1),MATCH(M$1,enemy_skill_triggers!$1:$1,0)-MATCH($F$1,enemy_skill_triggers!$1:$1,0)+1,FALSE)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7" s="48">
        <f ca="1">VLOOKUP($F277,OFFSET(enemy_skill_triggers!$A$1,0,0,COUNTA(enemy_skill_triggers!$A:$A),MATCH(N$1,enemy_skill_triggers!$1:$1,0)-MATCH($F$1,enemy_skill_triggers!$1:$1,0)+1),MATCH(N$1,enemy_skill_triggers!$1:$1,0)-MATCH($F$1,enemy_skill_triggers!$1:$1,0)+1,FALSE)</f>
        <v>1358</v>
      </c>
      <c r="O277" s="48">
        <f ca="1">VLOOKUP($F277,OFFSET(enemy_skill_triggers!$A$1,0,0,COUNTA(enemy_skill_triggers!$A:$A),MATCH(O$1,enemy_skill_triggers!$1:$1,0)-MATCH($F$1,enemy_skill_triggers!$1:$1,0)+1),MATCH(O$1,enemy_skill_triggers!$1:$1,0)-MATCH($F$1,enemy_skill_triggers!$1:$1,0)+1,FALSE)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7" s="47"/>
      <c r="Q277" s="47"/>
      <c r="R277" s="47"/>
    </row>
    <row r="278" spans="1:18" ht="21" customHeight="1" x14ac:dyDescent="0.15">
      <c r="A278" s="179"/>
      <c r="B278" s="120"/>
      <c r="C278" s="199"/>
      <c r="D278" s="120"/>
      <c r="E278" s="120"/>
      <c r="F278" s="120"/>
      <c r="G278" s="120"/>
      <c r="H278" s="120"/>
      <c r="I278" s="120"/>
      <c r="J278" s="120"/>
      <c r="K278" s="120"/>
      <c r="L278" s="120"/>
      <c r="M278" s="120"/>
      <c r="N278" s="120"/>
      <c r="O278" s="120"/>
      <c r="P278" s="172"/>
      <c r="Q278" s="172"/>
      <c r="R278" s="172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88"/>
  <sheetViews>
    <sheetView showGridLines="0" workbookViewId="0">
      <pane ySplit="1" topLeftCell="A27" activePane="bottomLeft" state="frozenSplit"/>
      <selection pane="bottomLeft" activeCell="F78" sqref="F78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153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148" t="s">
        <v>79</v>
      </c>
      <c r="C1" s="40" t="s">
        <v>80</v>
      </c>
      <c r="D1" s="40" t="s">
        <v>126</v>
      </c>
      <c r="E1" s="40" t="s">
        <v>81</v>
      </c>
      <c r="F1" s="40" t="s">
        <v>82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47">
        <v>47007101</v>
      </c>
      <c r="B2" s="149" t="s">
        <v>366</v>
      </c>
      <c r="C2" s="50">
        <v>3</v>
      </c>
      <c r="D2" s="50" t="s">
        <v>127</v>
      </c>
      <c r="E2" s="51" t="s">
        <v>340</v>
      </c>
      <c r="F2" s="51" t="s">
        <v>267</v>
      </c>
      <c r="G2" s="64" t="str">
        <f t="shared" ref="G2:G33" si="0">IFERROR(LEFT(B2,FIND("],",B2)),B2)</f>
        <v>[effect:enemy_message, val1:1.6, val2:1.2]</v>
      </c>
      <c r="H2" s="64">
        <f>FIND("effect:",G2)+7</f>
        <v>9</v>
      </c>
      <c r="I2" s="64">
        <f>IFERROR(FIND(",",G2),LEN(G2))</f>
        <v>22</v>
      </c>
      <c r="J2" s="64" t="e">
        <f>FIND("target:",G2)+7</f>
        <v>#VALUE!</v>
      </c>
      <c r="K2" s="64">
        <f>FIND(",",G2,I2+1)</f>
        <v>32</v>
      </c>
      <c r="L2" s="64" t="str">
        <f>IFERROR(VLOOKUP(MID(G2,J2,K2-J2),[5]skilldef!$C:$D,2,FALSE),"-") &amp; " / " &amp; IFERROR(VLOOKUP(MID(G2,H2,I2-H2),[5]skilldef!$A:$B,2,FALSE),"-")</f>
        <v>- / -</v>
      </c>
      <c r="M2" s="64" t="str">
        <f t="shared" ref="M2:M33" si="1">IFERROR(RIGHT(B2,LEN(B2)-FIND("],",B2)-1),"none")</f>
        <v>[effect:fix_speed, target:myself, turn:1],[effect:tolerance, target:myself, turn:-1, count:-1, tolerance_effect:all, animation:enemy_tolerance]</v>
      </c>
      <c r="N2" s="48" t="str">
        <f>IFERROR(LEFT(M2,FIND("],",M2)+S16),M2)</f>
        <v>[effect:fix_speed, target:myself, turn:1],[effect:tolerance, target:myself, turn:-1, count:-1, tolerance_effect:all, animation:enemy_tolerance]</v>
      </c>
      <c r="O2" s="64">
        <f>FIND("effect:",N2)+7</f>
        <v>9</v>
      </c>
      <c r="P2" s="64">
        <f>IFERROR(FIND(",",N2),LEN(N2))</f>
        <v>18</v>
      </c>
      <c r="Q2" s="64">
        <f>FIND("target:",N2)+7</f>
        <v>27</v>
      </c>
      <c r="R2" s="64">
        <f>FIND(",",N2,P2+1)</f>
        <v>33</v>
      </c>
      <c r="S2" s="64" t="str">
        <f>IFERROR(VLOOKUP(MID(N2,Q2,R2-Q2),[5]skilldef!$C:$D,2,FALSE),"-") &amp; " / " &amp; IFERROR(VLOOKUP(MID(N2,O2,P2-O2),[5]skilldef!$A:$B,2,FALSE),"-")</f>
        <v>自分自身に / 行動値設定</v>
      </c>
      <c r="T2" s="48" t="str">
        <f>IFERROR(RIGHT(M2,LEN(M2)-FIND("],",M2)-1),"none")</f>
        <v>[effect:tolerance, target:myself, turn:-1, count:-1, tolerance_effect:all, animation:enemy_tolerance]</v>
      </c>
      <c r="U2" s="64">
        <f>FIND("effect:",T2)+7</f>
        <v>9</v>
      </c>
      <c r="V2" s="64">
        <f>IFERROR(FIND(",",T2),LEN(T2))</f>
        <v>18</v>
      </c>
      <c r="W2" s="64">
        <f>FIND("target:",T2)+7</f>
        <v>27</v>
      </c>
      <c r="X2" s="64">
        <f>FIND(",",T2,V2+1)</f>
        <v>33</v>
      </c>
      <c r="Y2" s="64" t="str">
        <f>IFERROR(VLOOKUP(MID(T2,W2,X2-W2),[5]skilldef!$C:$D,2,FALSE),"-") &amp; " / " &amp; IFERROR(VLOOKUP(MID(T2,U2,V2-U2),[5]skilldef!$A:$B,2,FALSE),"-")</f>
        <v>自分自身に / 状態異常耐性</v>
      </c>
      <c r="Z2" s="50"/>
      <c r="AA2" s="52"/>
      <c r="AB2" s="50"/>
    </row>
    <row r="3" spans="1:28" ht="21" customHeight="1" x14ac:dyDescent="0.15">
      <c r="A3" s="118">
        <v>47007102</v>
      </c>
      <c r="B3" s="150" t="s">
        <v>408</v>
      </c>
      <c r="C3" s="121">
        <v>3</v>
      </c>
      <c r="D3" s="121" t="s">
        <v>127</v>
      </c>
      <c r="E3" s="117" t="s">
        <v>344</v>
      </c>
      <c r="F3" s="117" t="s">
        <v>349</v>
      </c>
      <c r="G3" s="64" t="str">
        <f t="shared" si="0"/>
        <v>[effect:enemy_message, val1:1.8, val2:2.8]</v>
      </c>
      <c r="H3" s="64">
        <f t="shared" ref="H3:H46" si="2">FIND("effect:",G3)+7</f>
        <v>9</v>
      </c>
      <c r="I3" s="64">
        <f t="shared" ref="I3:I44" si="3">IFERROR(FIND(",",G3),LEN(G3))</f>
        <v>22</v>
      </c>
      <c r="J3" s="64" t="e">
        <f t="shared" ref="J3:J44" si="4">FIND("target:",G3)+7</f>
        <v>#VALUE!</v>
      </c>
      <c r="K3" s="64">
        <f t="shared" ref="K3:K44" si="5">FIND(",",G3,I3+1)</f>
        <v>32</v>
      </c>
      <c r="L3" s="64" t="str">
        <f>IFERROR(VLOOKUP(MID(G3,J3,K3-J3),[5]skilldef!$C:$D,2,FALSE),"-") &amp; " / " &amp; IFERROR(VLOOKUP(MID(G3,H3,I3-H3),[5]skilldef!$A:$B,2,FALSE),"-")</f>
        <v>- / -</v>
      </c>
      <c r="M3" s="64" t="str">
        <f t="shared" si="1"/>
        <v>[effect:fix_speed, target:myself, turn:1],[effect:tolerance, target:myself, turn:-1, count:-1, tolerance_effect:all, animation:enemy_tolerance],[effect:sp_boost, target:unit_all, val:2]</v>
      </c>
      <c r="N3" s="48" t="str">
        <f>IFERROR(LEFT(M3,FIND("],",M3)+S17),M3)</f>
        <v>[effect:fix_speed, target:myself, turn:1],[effect:tolerance, target:myself, turn:-1, count:-1, tolerance_effect:all, animation:enemy_tolerance],[effect:sp_boost, target:unit_all, val:2]</v>
      </c>
      <c r="O3" s="64">
        <f t="shared" ref="O3:O46" si="6">FIND("effect:",N3)+7</f>
        <v>9</v>
      </c>
      <c r="P3" s="64">
        <f t="shared" ref="P3:P44" si="7">IFERROR(FIND(",",N3),LEN(N3))</f>
        <v>18</v>
      </c>
      <c r="Q3" s="64">
        <f t="shared" ref="Q3:Q44" si="8">FIND("target:",N3)+7</f>
        <v>27</v>
      </c>
      <c r="R3" s="64">
        <f t="shared" ref="R3:R44" si="9">FIND(",",N3,P3+1)</f>
        <v>33</v>
      </c>
      <c r="S3" s="64" t="str">
        <f>IFERROR(VLOOKUP(MID(N3,Q3,R3-Q3),[5]skilldef!$C:$D,2,FALSE),"-") &amp; " / " &amp; IFERROR(VLOOKUP(MID(N3,O3,P3-O3),[5]skilldef!$A:$B,2,FALSE),"-")</f>
        <v>自分自身に / 行動値設定</v>
      </c>
      <c r="T3" s="48" t="str">
        <f t="shared" ref="T3:T44" si="10">IFERROR(RIGHT(M3,LEN(M3)-FIND("],",M3)-1),"none")</f>
        <v>[effect:tolerance, target:myself, turn:-1, count:-1, tolerance_effect:all, animation:enemy_tolerance],[effect:sp_boost, target:unit_all, val:2]</v>
      </c>
      <c r="U3" s="64">
        <f t="shared" ref="U3:U46" si="11">FIND("effect:",T3)+7</f>
        <v>9</v>
      </c>
      <c r="V3" s="64">
        <f t="shared" ref="V3:V44" si="12">IFERROR(FIND(",",T3),LEN(T3))</f>
        <v>18</v>
      </c>
      <c r="W3" s="64">
        <f t="shared" ref="W3:W44" si="13">FIND("target:",T3)+7</f>
        <v>27</v>
      </c>
      <c r="X3" s="64">
        <f t="shared" ref="X3:X44" si="14">FIND(",",T3,V3+1)</f>
        <v>33</v>
      </c>
      <c r="Y3" s="64" t="str">
        <f>IFERROR(VLOOKUP(MID(T3,W3,X3-W3),[5]skilldef!$C:$D,2,FALSE),"-") &amp; " / " &amp; IFERROR(VLOOKUP(MID(T3,U3,V3-U3),[5]skilldef!$A:$B,2,FALSE),"-")</f>
        <v>自分自身に / 状態異常耐性</v>
      </c>
      <c r="Z3" s="50"/>
      <c r="AA3" s="52"/>
      <c r="AB3" s="50"/>
    </row>
    <row r="4" spans="1:28" ht="21" customHeight="1" x14ac:dyDescent="0.15">
      <c r="A4" s="118">
        <v>47007103</v>
      </c>
      <c r="B4" s="150" t="s">
        <v>409</v>
      </c>
      <c r="C4" s="121">
        <v>3</v>
      </c>
      <c r="D4" s="121" t="s">
        <v>127</v>
      </c>
      <c r="E4" s="117" t="s">
        <v>338</v>
      </c>
      <c r="F4" s="117" t="s">
        <v>350</v>
      </c>
      <c r="G4" s="64" t="str">
        <f t="shared" si="0"/>
        <v>[effect:enemy_message, val1:2.0, val2:2.8]</v>
      </c>
      <c r="H4" s="64">
        <f t="shared" si="2"/>
        <v>9</v>
      </c>
      <c r="I4" s="64">
        <f t="shared" si="3"/>
        <v>22</v>
      </c>
      <c r="J4" s="64" t="e">
        <f t="shared" si="4"/>
        <v>#VALUE!</v>
      </c>
      <c r="K4" s="64">
        <f t="shared" si="5"/>
        <v>32</v>
      </c>
      <c r="L4" s="64" t="str">
        <f>IFERROR(VLOOKUP(MID(G4,J4,K4-J4),[5]skilldef!$C:$D,2,FALSE),"-") &amp; " / " &amp; IFERROR(VLOOKUP(MID(G4,H4,I4-H4),[5]skilldef!$A:$B,2,FALSE),"-")</f>
        <v>- / -</v>
      </c>
      <c r="M4" s="64" t="str">
        <f t="shared" si="1"/>
        <v>[effect:fix_speed, target:myself, turn:1],[effect:tolerance, target:myself, turn:-1, count:-1, tolerance_effect:all, animation:enemy_tolerance],[effect:sp_boost, target:unit_all, val:1]</v>
      </c>
      <c r="N4" s="48" t="str">
        <f>IFERROR(LEFT(M4,FIND("],",M4)+S18),M4)</f>
        <v>[effect:fix_speed, target:myself, turn:1],[effect:tolerance, target:myself, turn:-1, count:-1, tolerance_effect:all, animation:enemy_tolerance],[effect:sp_boost, target:unit_all, val:1]</v>
      </c>
      <c r="O4" s="64">
        <f t="shared" si="6"/>
        <v>9</v>
      </c>
      <c r="P4" s="64">
        <f t="shared" si="7"/>
        <v>18</v>
      </c>
      <c r="Q4" s="64">
        <f t="shared" si="8"/>
        <v>27</v>
      </c>
      <c r="R4" s="64">
        <f t="shared" si="9"/>
        <v>33</v>
      </c>
      <c r="S4" s="64" t="str">
        <f>IFERROR(VLOOKUP(MID(N4,Q4,R4-Q4),[5]skilldef!$C:$D,2,FALSE),"-") &amp; " / " &amp; IFERROR(VLOOKUP(MID(N4,O4,P4-O4),[5]skilldef!$A:$B,2,FALSE),"-")</f>
        <v>自分自身に / 行動値設定</v>
      </c>
      <c r="T4" s="48" t="str">
        <f t="shared" si="10"/>
        <v>[effect:tolerance, target:myself, turn:-1, count:-1, tolerance_effect:all, animation:enemy_tolerance],[effect:sp_boost, target:unit_all, val:1]</v>
      </c>
      <c r="U4" s="64">
        <f t="shared" si="11"/>
        <v>9</v>
      </c>
      <c r="V4" s="64">
        <f t="shared" si="12"/>
        <v>18</v>
      </c>
      <c r="W4" s="64">
        <f t="shared" si="13"/>
        <v>27</v>
      </c>
      <c r="X4" s="64">
        <f t="shared" si="14"/>
        <v>33</v>
      </c>
      <c r="Y4" s="64" t="str">
        <f>IFERROR(VLOOKUP(MID(T4,W4,X4-W4),[5]skilldef!$C:$D,2,FALSE),"-") &amp; " / " &amp; IFERROR(VLOOKUP(MID(T4,U4,V4-U4),[5]skilldef!$A:$B,2,FALSE),"-")</f>
        <v>自分自身に / 状態異常耐性</v>
      </c>
      <c r="Z4" s="50"/>
      <c r="AA4" s="52"/>
      <c r="AB4" s="50"/>
    </row>
    <row r="5" spans="1:28" ht="21" customHeight="1" x14ac:dyDescent="0.15">
      <c r="A5" s="118">
        <v>47007109</v>
      </c>
      <c r="B5" s="150" t="s">
        <v>407</v>
      </c>
      <c r="C5" s="121">
        <v>3</v>
      </c>
      <c r="D5" s="121" t="s">
        <v>127</v>
      </c>
      <c r="E5" s="117" t="s">
        <v>335</v>
      </c>
      <c r="F5" s="117" t="s">
        <v>267</v>
      </c>
      <c r="G5" s="64" t="str">
        <f t="shared" si="0"/>
        <v>[effect:enemy_message, val1:2.4, val2:1.2]</v>
      </c>
      <c r="H5" s="64">
        <f>FIND("effect:",G5)+7</f>
        <v>9</v>
      </c>
      <c r="I5" s="64">
        <f>IFERROR(FIND(",",G5),LEN(G5))</f>
        <v>22</v>
      </c>
      <c r="J5" s="64" t="e">
        <f>FIND("target:",G5)+7</f>
        <v>#VALUE!</v>
      </c>
      <c r="K5" s="64">
        <f>FIND(",",G5,I5+1)</f>
        <v>32</v>
      </c>
      <c r="L5" s="64" t="str">
        <f>IFERROR(VLOOKUP(MID(G5,J5,K5-J5),[5]skilldef!$C:$D,2,FALSE),"-") &amp; " / " &amp; IFERROR(VLOOKUP(MID(G5,H5,I5-H5),[5]skilldef!$A:$B,2,FALSE),"-")</f>
        <v>- / -</v>
      </c>
      <c r="M5" s="64" t="str">
        <f t="shared" si="1"/>
        <v>[effect:fix_speed, target:myself, turn:1],[effect:tolerance, target:myself, turn:-1, count:-1, tolerance_effect:all, animation:enemy_tolerance]</v>
      </c>
      <c r="N5" s="48" t="str">
        <f>IFERROR(LEFT(M5,FIND("],",M5)+#REF!),M5)</f>
        <v>[effect:fix_speed, target:myself, turn:1],[effect:tolerance, target:myself, turn:-1, count:-1, tolerance_effect:all, animation:enemy_tolerance]</v>
      </c>
      <c r="O5" s="64">
        <f>FIND("effect:",N5)+7</f>
        <v>9</v>
      </c>
      <c r="P5" s="64">
        <f>IFERROR(FIND(",",N5),LEN(N5))</f>
        <v>18</v>
      </c>
      <c r="Q5" s="64">
        <f>FIND("target:",N5)+7</f>
        <v>27</v>
      </c>
      <c r="R5" s="64">
        <f>FIND(",",N5,P5+1)</f>
        <v>33</v>
      </c>
      <c r="S5" s="64" t="str">
        <f>IFERROR(VLOOKUP(MID(N5,Q5,R5-Q5),[5]skilldef!$C:$D,2,FALSE),"-") &amp; " / " &amp; IFERROR(VLOOKUP(MID(N5,O5,P5-O5),[5]skilldef!$A:$B,2,FALSE),"-")</f>
        <v>自分自身に / 行動値設定</v>
      </c>
      <c r="T5" s="48" t="str">
        <f>IFERROR(RIGHT(M5,LEN(M5)-FIND("],",M5)-1),"none")</f>
        <v>[effect:tolerance, target:myself, turn:-1, count:-1, tolerance_effect:all, animation:enemy_tolerance]</v>
      </c>
      <c r="U5" s="64">
        <f>FIND("effect:",T5)+7</f>
        <v>9</v>
      </c>
      <c r="V5" s="64">
        <f>IFERROR(FIND(",",T5),LEN(T5))</f>
        <v>18</v>
      </c>
      <c r="W5" s="64">
        <f>FIND("target:",T5)+7</f>
        <v>27</v>
      </c>
      <c r="X5" s="64">
        <f>FIND(",",T5,V5+1)</f>
        <v>33</v>
      </c>
      <c r="Y5" s="64" t="str">
        <f>IFERROR(VLOOKUP(MID(T5,W5,X5-W5),[5]skilldef!$C:$D,2,FALSE),"-") &amp; " / " &amp; IFERROR(VLOOKUP(MID(T5,U5,V5-U5),[5]skilldef!$A:$B,2,FALSE),"-")</f>
        <v>自分自身に / 状態異常耐性</v>
      </c>
      <c r="Z5" s="50"/>
      <c r="AA5" s="52"/>
      <c r="AB5" s="50"/>
    </row>
    <row r="6" spans="1:28" ht="21" customHeight="1" x14ac:dyDescent="0.15">
      <c r="A6" s="47">
        <v>47007104</v>
      </c>
      <c r="B6" s="149" t="s">
        <v>471</v>
      </c>
      <c r="C6" s="50">
        <v>3</v>
      </c>
      <c r="D6" s="50" t="s">
        <v>127</v>
      </c>
      <c r="E6" s="51" t="s">
        <v>280</v>
      </c>
      <c r="F6" s="51" t="s">
        <v>270</v>
      </c>
      <c r="G6" s="64" t="str">
        <f t="shared" si="0"/>
        <v>[effect:enemy_message, val1:1.2, val2:2.3]</v>
      </c>
      <c r="H6" s="64">
        <f t="shared" si="2"/>
        <v>9</v>
      </c>
      <c r="I6" s="64">
        <f t="shared" si="3"/>
        <v>22</v>
      </c>
      <c r="J6" s="64" t="e">
        <f t="shared" si="4"/>
        <v>#VALUE!</v>
      </c>
      <c r="K6" s="64">
        <f t="shared" si="5"/>
        <v>32</v>
      </c>
      <c r="L6" s="64" t="str">
        <f>IFERROR(VLOOKUP(MID(G6,J6,K6-J6),[5]skilldef!$C:$D,2,FALSE),"-") &amp; " / " &amp; IFERROR(VLOOKUP(MID(G6,H6,I6-H6),[5]skilldef!$A:$B,2,FALSE),"-")</f>
        <v>- / -</v>
      </c>
      <c r="M6" s="64" t="str">
        <f t="shared" si="1"/>
        <v>[effect:drop_freeze, turn:-1, block_type:normal, block_color:block_red, rate:0.3, animation:drop_protect]</v>
      </c>
      <c r="N6" s="48" t="str">
        <f t="shared" ref="N6:N14" si="15">IFERROR(LEFT(M6,FIND("],",M6)+S19),M6)</f>
        <v>[effect:drop_freeze, turn:-1, block_type:normal, block_color:block_red, rate:0.3, animation:drop_protect]</v>
      </c>
      <c r="O6" s="64">
        <f t="shared" si="6"/>
        <v>9</v>
      </c>
      <c r="P6" s="64">
        <f t="shared" si="7"/>
        <v>20</v>
      </c>
      <c r="Q6" s="64" t="e">
        <f t="shared" si="8"/>
        <v>#VALUE!</v>
      </c>
      <c r="R6" s="64">
        <f t="shared" si="9"/>
        <v>29</v>
      </c>
      <c r="S6" s="64" t="str">
        <f>IFERROR(VLOOKUP(MID(N6,Q6,R6-Q6),[5]skilldef!$C:$D,2,FALSE),"-") &amp; " / " &amp; IFERROR(VLOOKUP(MID(N6,O6,P6-O6),[5]skilldef!$A:$B,2,FALSE),"-")</f>
        <v>- / -</v>
      </c>
      <c r="T6" s="48" t="str">
        <f t="shared" si="10"/>
        <v>none</v>
      </c>
      <c r="U6" s="64" t="e">
        <f t="shared" si="11"/>
        <v>#VALUE!</v>
      </c>
      <c r="V6" s="64">
        <f t="shared" si="12"/>
        <v>4</v>
      </c>
      <c r="W6" s="64" t="e">
        <f t="shared" si="13"/>
        <v>#VALUE!</v>
      </c>
      <c r="X6" s="64" t="e">
        <f t="shared" si="14"/>
        <v>#VALUE!</v>
      </c>
      <c r="Y6" s="64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47">
        <v>47007105</v>
      </c>
      <c r="B7" s="149" t="s">
        <v>430</v>
      </c>
      <c r="C7" s="50">
        <v>3</v>
      </c>
      <c r="D7" s="50" t="s">
        <v>127</v>
      </c>
      <c r="E7" s="51" t="s">
        <v>281</v>
      </c>
      <c r="F7" s="51" t="s">
        <v>429</v>
      </c>
      <c r="G7" s="64" t="str">
        <f t="shared" si="0"/>
        <v>[effect:enemy_message, val1:1.2, val2:2.2]</v>
      </c>
      <c r="H7" s="64">
        <f t="shared" si="2"/>
        <v>9</v>
      </c>
      <c r="I7" s="64">
        <f t="shared" si="3"/>
        <v>22</v>
      </c>
      <c r="J7" s="64" t="e">
        <f t="shared" si="4"/>
        <v>#VALUE!</v>
      </c>
      <c r="K7" s="64">
        <f t="shared" si="5"/>
        <v>32</v>
      </c>
      <c r="L7" s="64" t="str">
        <f>IFERROR(VLOOKUP(MID(G7,J7,K7-J7),[5]skilldef!$C:$D,2,FALSE),"-") &amp; " / " &amp; IFERROR(VLOOKUP(MID(G7,H7,I7-H7),[5]skilldef!$A:$B,2,FALSE),"-")</f>
        <v>- / -</v>
      </c>
      <c r="M7" s="64" t="str">
        <f t="shared" si="1"/>
        <v>[effect:break_attack_fix, target:unit_one, val:-500, lowest_val:13000, count:-1, block01:block_yellow]</v>
      </c>
      <c r="N7" s="48" t="str">
        <f t="shared" si="15"/>
        <v>[effect:break_attack_fix, target:unit_one, val:-500, lowest_val:13000, count:-1, block01:block_yellow]</v>
      </c>
      <c r="O7" s="64">
        <f t="shared" si="6"/>
        <v>9</v>
      </c>
      <c r="P7" s="64">
        <f t="shared" si="7"/>
        <v>25</v>
      </c>
      <c r="Q7" s="64">
        <f t="shared" si="8"/>
        <v>34</v>
      </c>
      <c r="R7" s="64">
        <f t="shared" si="9"/>
        <v>42</v>
      </c>
      <c r="S7" s="64" t="str">
        <f>IFERROR(VLOOKUP(MID(N7,Q7,R7-Q7),[5]skilldef!$C:$D,2,FALSE),"-") &amp; " / " &amp; IFERROR(VLOOKUP(MID(N7,O7,P7-O7),[5]skilldef!$A:$B,2,FALSE),"-")</f>
        <v>味方単体に / -</v>
      </c>
      <c r="T7" s="48" t="str">
        <f t="shared" si="10"/>
        <v>none</v>
      </c>
      <c r="U7" s="64" t="e">
        <f t="shared" si="11"/>
        <v>#VALUE!</v>
      </c>
      <c r="V7" s="64">
        <f t="shared" si="12"/>
        <v>4</v>
      </c>
      <c r="W7" s="64" t="e">
        <f t="shared" si="13"/>
        <v>#VALUE!</v>
      </c>
      <c r="X7" s="64" t="e">
        <f t="shared" si="14"/>
        <v>#VALUE!</v>
      </c>
      <c r="Y7" s="64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47">
        <v>47007106</v>
      </c>
      <c r="B8" s="149" t="s">
        <v>395</v>
      </c>
      <c r="C8" s="50">
        <v>3</v>
      </c>
      <c r="D8" s="50" t="s">
        <v>127</v>
      </c>
      <c r="E8" s="51" t="s">
        <v>386</v>
      </c>
      <c r="F8" s="51" t="s">
        <v>305</v>
      </c>
      <c r="G8" s="64" t="str">
        <f t="shared" si="0"/>
        <v>[effect:enemy_message, val1:1.6, val2:1.8]</v>
      </c>
      <c r="H8" s="64">
        <f t="shared" si="2"/>
        <v>9</v>
      </c>
      <c r="I8" s="64">
        <f t="shared" si="3"/>
        <v>22</v>
      </c>
      <c r="J8" s="64" t="e">
        <f t="shared" si="4"/>
        <v>#VALUE!</v>
      </c>
      <c r="K8" s="64">
        <f t="shared" si="5"/>
        <v>32</v>
      </c>
      <c r="L8" s="64" t="str">
        <f>IFERROR(VLOOKUP(MID(G8,J8,K8-J8),[5]skilldef!$C:$D,2,FALSE),"-") &amp; " / " &amp; IFERROR(VLOOKUP(MID(G8,H8,I8-H8),[5]skilldef!$A:$B,2,FALSE),"-")</f>
        <v>- / -</v>
      </c>
      <c r="M8" s="64" t="str">
        <f t="shared" si="1"/>
        <v>[effect:break_attack_fix, target:unit_one, val:500, lowest_val:4000, count:15, block01:block_red]</v>
      </c>
      <c r="N8" s="48" t="str">
        <f t="shared" si="15"/>
        <v>[effect:break_attack_fix, target:unit_one, val:500, lowest_val:4000, count:15, block01:block_red]</v>
      </c>
      <c r="O8" s="64">
        <f t="shared" si="6"/>
        <v>9</v>
      </c>
      <c r="P8" s="64">
        <f t="shared" si="7"/>
        <v>25</v>
      </c>
      <c r="Q8" s="64">
        <f t="shared" si="8"/>
        <v>34</v>
      </c>
      <c r="R8" s="64">
        <f t="shared" si="9"/>
        <v>42</v>
      </c>
      <c r="S8" s="64" t="str">
        <f>IFERROR(VLOOKUP(MID(N8,Q8,R8-Q8),[5]skilldef!$C:$D,2,FALSE),"-") &amp; " / " &amp; IFERROR(VLOOKUP(MID(N8,O8,P8-O8),[5]skilldef!$A:$B,2,FALSE),"-")</f>
        <v>味方単体に / -</v>
      </c>
      <c r="T8" s="48" t="str">
        <f t="shared" si="10"/>
        <v>none</v>
      </c>
      <c r="U8" s="64" t="e">
        <f t="shared" si="11"/>
        <v>#VALUE!</v>
      </c>
      <c r="V8" s="64">
        <f t="shared" si="12"/>
        <v>4</v>
      </c>
      <c r="W8" s="64" t="e">
        <f t="shared" si="13"/>
        <v>#VALUE!</v>
      </c>
      <c r="X8" s="64" t="e">
        <f t="shared" si="14"/>
        <v>#VALUE!</v>
      </c>
      <c r="Y8" s="64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47007107</v>
      </c>
      <c r="B9" s="149" t="s">
        <v>396</v>
      </c>
      <c r="C9" s="50">
        <v>3</v>
      </c>
      <c r="D9" s="50" t="s">
        <v>127</v>
      </c>
      <c r="E9" s="51" t="s">
        <v>282</v>
      </c>
      <c r="F9" s="51" t="s">
        <v>378</v>
      </c>
      <c r="G9" s="64" t="str">
        <f t="shared" si="0"/>
        <v>[effect:enemy_message, val1:1.2, val2:2.4]</v>
      </c>
      <c r="H9" s="64">
        <f t="shared" si="2"/>
        <v>9</v>
      </c>
      <c r="I9" s="64">
        <f t="shared" si="3"/>
        <v>22</v>
      </c>
      <c r="J9" s="64" t="e">
        <f t="shared" si="4"/>
        <v>#VALUE!</v>
      </c>
      <c r="K9" s="64">
        <f t="shared" si="5"/>
        <v>32</v>
      </c>
      <c r="L9" s="64" t="str">
        <f>IFERROR(VLOOKUP(MID(G9,J9,K9-J9),[5]skilldef!$C:$D,2,FALSE),"-") &amp; " / " &amp; IFERROR(VLOOKUP(MID(G9,H9,I9-H9),[5]skilldef!$A:$B,2,FALSE),"-")</f>
        <v>- / -</v>
      </c>
      <c r="M9" s="64" t="str">
        <f t="shared" si="1"/>
        <v>[effect:panel_freeze, target:normal, count:10],[effect:rush, count:1, val:0.7]</v>
      </c>
      <c r="N9" s="48" t="str">
        <f t="shared" si="15"/>
        <v>[effect:panel_freeze, target:normal, count:10],[effect:rush, count:1, val:0.7]</v>
      </c>
      <c r="O9" s="64">
        <f t="shared" si="6"/>
        <v>9</v>
      </c>
      <c r="P9" s="64">
        <f t="shared" si="7"/>
        <v>21</v>
      </c>
      <c r="Q9" s="64">
        <f t="shared" si="8"/>
        <v>30</v>
      </c>
      <c r="R9" s="64">
        <f t="shared" si="9"/>
        <v>36</v>
      </c>
      <c r="S9" s="64" t="str">
        <f>IFERROR(VLOOKUP(MID(N9,Q9,R9-Q9),[5]skilldef!$C:$D,2,FALSE),"-") &amp; " / " &amp; IFERROR(VLOOKUP(MID(N9,O9,P9-O9),[5]skilldef!$A:$B,2,FALSE),"-")</f>
        <v>- / -</v>
      </c>
      <c r="T9" s="48" t="str">
        <f t="shared" si="10"/>
        <v>[effect:rush, count:1, val:0.7]</v>
      </c>
      <c r="U9" s="64">
        <f t="shared" si="11"/>
        <v>9</v>
      </c>
      <c r="V9" s="64">
        <f t="shared" si="12"/>
        <v>13</v>
      </c>
      <c r="W9" s="64" t="e">
        <f t="shared" si="13"/>
        <v>#VALUE!</v>
      </c>
      <c r="X9" s="64">
        <f t="shared" si="14"/>
        <v>22</v>
      </c>
      <c r="Y9" s="64" t="str">
        <f>IFERROR(VLOOKUP(MID(T9,W9,X9-W9),[5]skilldef!$C:$D,2,FALSE),"-") &amp; " / " &amp; IFERROR(VLOOKUP(MID(T9,U9,V9-U9),[5]skilldef!$A:$B,2,FALSE),"-")</f>
        <v>- / 連続攻撃</v>
      </c>
      <c r="Z9" s="50"/>
      <c r="AA9" s="52"/>
      <c r="AB9" s="50"/>
    </row>
    <row r="10" spans="1:28" ht="21" customHeight="1" x14ac:dyDescent="0.15">
      <c r="A10" s="47">
        <v>47007108</v>
      </c>
      <c r="B10" s="149" t="s">
        <v>368</v>
      </c>
      <c r="C10" s="50">
        <v>3</v>
      </c>
      <c r="D10" s="50" t="s">
        <v>127</v>
      </c>
      <c r="E10" s="51" t="s">
        <v>283</v>
      </c>
      <c r="F10" s="51" t="s">
        <v>261</v>
      </c>
      <c r="G10" s="64" t="str">
        <f t="shared" si="0"/>
        <v>[effect:enemy_message, val1:1.5, val2:1.6]</v>
      </c>
      <c r="H10" s="64">
        <f t="shared" si="2"/>
        <v>9</v>
      </c>
      <c r="I10" s="64">
        <f t="shared" si="3"/>
        <v>22</v>
      </c>
      <c r="J10" s="64" t="e">
        <f t="shared" si="4"/>
        <v>#VALUE!</v>
      </c>
      <c r="K10" s="64">
        <f t="shared" si="5"/>
        <v>32</v>
      </c>
      <c r="L10" s="64" t="str">
        <f>IFERROR(VLOOKUP(MID(G10,J10,K10-J10),[5]skilldef!$C:$D,2,FALSE),"-") &amp; " / " &amp; IFERROR(VLOOKUP(MID(G10,H10,I10-H10),[5]skilldef!$A:$B,2,FALSE),"-")</f>
        <v>- / -</v>
      </c>
      <c r="M10" s="64" t="str">
        <f t="shared" si="1"/>
        <v>[effect:force_change_block, new_block:block_heart, target:block_all, ignore01:crash, ignore02:crack_bomb, ignore03:color_break, ignore04:magnet, ignore05:block_heart, count:10, val:0],[effect:suicide, target:myself, val:1, dead_type:escape]</v>
      </c>
      <c r="N10" s="48" t="str">
        <f t="shared" si="15"/>
        <v>[effect:force_change_block, new_block:block_heart, target:block_all, ignore01:crash, ignore02:crack_bomb, ignore03:color_break, ignore04:magnet, ignore05:block_heart, count:10, val:0],[effect:suicide, target:myself, val:1, dead_type:escape]</v>
      </c>
      <c r="O10" s="64">
        <f t="shared" si="6"/>
        <v>9</v>
      </c>
      <c r="P10" s="64">
        <f t="shared" si="7"/>
        <v>27</v>
      </c>
      <c r="Q10" s="64">
        <f t="shared" si="8"/>
        <v>59</v>
      </c>
      <c r="R10" s="64">
        <f t="shared" si="9"/>
        <v>50</v>
      </c>
      <c r="S10" s="64" t="str">
        <f>IFERROR(VLOOKUP(MID(N10,Q10,R10-Q10),[5]skilldef!$C:$D,2,FALSE),"-") &amp; " / " &amp; IFERROR(VLOOKUP(MID(N10,O10,P10-O10),[5]skilldef!$A:$B,2,FALSE),"-")</f>
        <v>- / -</v>
      </c>
      <c r="T10" s="48" t="str">
        <f t="shared" si="10"/>
        <v>[effect:suicide, target:myself, val:1, dead_type:escape]</v>
      </c>
      <c r="U10" s="64">
        <f t="shared" si="11"/>
        <v>9</v>
      </c>
      <c r="V10" s="64">
        <f t="shared" si="12"/>
        <v>16</v>
      </c>
      <c r="W10" s="64">
        <f t="shared" si="13"/>
        <v>25</v>
      </c>
      <c r="X10" s="64">
        <f t="shared" si="14"/>
        <v>31</v>
      </c>
      <c r="Y10" s="64" t="str">
        <f>IFERROR(VLOOKUP(MID(T10,W10,X10-W10),[5]skilldef!$C:$D,2,FALSE),"-") &amp; " / " &amp; IFERROR(VLOOKUP(MID(T10,U10,V10-U10),[5]skilldef!$A:$B,2,FALSE),"-")</f>
        <v>自分自身に / -</v>
      </c>
      <c r="Z10" s="50"/>
      <c r="AA10" s="52"/>
      <c r="AB10" s="50"/>
    </row>
    <row r="11" spans="1:28" ht="21" customHeight="1" x14ac:dyDescent="0.15">
      <c r="A11" s="47">
        <v>47007201</v>
      </c>
      <c r="B11" s="149" t="s">
        <v>422</v>
      </c>
      <c r="C11" s="50">
        <v>3</v>
      </c>
      <c r="D11" s="50" t="s">
        <v>127</v>
      </c>
      <c r="E11" s="51" t="s">
        <v>268</v>
      </c>
      <c r="F11" s="51" t="s">
        <v>306</v>
      </c>
      <c r="G11" s="64" t="str">
        <f t="shared" si="0"/>
        <v>[effect:enemy_message, val1:1.5, val2:3.0]</v>
      </c>
      <c r="H11" s="64">
        <f t="shared" si="2"/>
        <v>9</v>
      </c>
      <c r="I11" s="64">
        <f t="shared" si="3"/>
        <v>22</v>
      </c>
      <c r="J11" s="64" t="e">
        <f t="shared" si="4"/>
        <v>#VALUE!</v>
      </c>
      <c r="K11" s="64">
        <f t="shared" si="5"/>
        <v>32</v>
      </c>
      <c r="L11" s="64" t="str">
        <f>IFERROR(VLOOKUP(MID(G11,J11,K11-J11),[5]skilldef!$C:$D,2,FALSE),"-") &amp; " / " &amp; IFERROR(VLOOKUP(MID(G11,H11,I11-H11),[5]skilldef!$A:$B,2,FALSE),"-")</f>
        <v>- / -</v>
      </c>
      <c r="M11" s="64" t="str">
        <f t="shared" si="1"/>
        <v>[effect:fix_speed, target:myself, turn:2],[effect:tolerance, target:myself, turn:-1, count:-1, tolerance_effect:all, animation:enemy_tolerance],[effect:crash_condition, target:unit_all, turn:5, val:4, animation:enemy_crash_reduce03]</v>
      </c>
      <c r="N11" s="48" t="str">
        <f t="shared" si="15"/>
        <v>[effect:fix_speed, target:myself, turn:2],[effect:tolerance, target:myself, turn:-1, count:-1, tolerance_effect:all, animation:enemy_tolerance],[effect:crash_condition, target:unit_all, turn:5, val:4, animation:enemy_crash_reduce03]</v>
      </c>
      <c r="O11" s="64">
        <f t="shared" si="6"/>
        <v>9</v>
      </c>
      <c r="P11" s="64">
        <f t="shared" si="7"/>
        <v>18</v>
      </c>
      <c r="Q11" s="64">
        <f t="shared" si="8"/>
        <v>27</v>
      </c>
      <c r="R11" s="64">
        <f t="shared" si="9"/>
        <v>33</v>
      </c>
      <c r="S11" s="64" t="str">
        <f>IFERROR(VLOOKUP(MID(N11,Q11,R11-Q11),[5]skilldef!$C:$D,2,FALSE),"-") &amp; " / " &amp; IFERROR(VLOOKUP(MID(N11,O11,P11-O11),[5]skilldef!$A:$B,2,FALSE),"-")</f>
        <v>自分自身に / 行動値設定</v>
      </c>
      <c r="T11" s="48" t="str">
        <f t="shared" si="10"/>
        <v>[effect:tolerance, target:myself, turn:-1, count:-1, tolerance_effect:all, animation:enemy_tolerance],[effect:crash_condition, target:unit_all, turn:5, val:4, animation:enemy_crash_reduce03]</v>
      </c>
      <c r="U11" s="64">
        <f t="shared" si="11"/>
        <v>9</v>
      </c>
      <c r="V11" s="64">
        <f t="shared" si="12"/>
        <v>18</v>
      </c>
      <c r="W11" s="64">
        <f t="shared" si="13"/>
        <v>27</v>
      </c>
      <c r="X11" s="64">
        <f t="shared" si="14"/>
        <v>33</v>
      </c>
      <c r="Y11" s="64" t="str">
        <f>IFERROR(VLOOKUP(MID(T11,W11,X11-W11),[5]skilldef!$C:$D,2,FALSE),"-") &amp; " / " &amp; IFERROR(VLOOKUP(MID(T11,U11,V11-U11),[5]skilldef!$A:$B,2,FALSE),"-")</f>
        <v>自分自身に / 状態異常耐性</v>
      </c>
      <c r="Z11" s="50"/>
      <c r="AA11" s="52"/>
      <c r="AB11" s="50"/>
    </row>
    <row r="12" spans="1:28" ht="21" customHeight="1" x14ac:dyDescent="0.15">
      <c r="A12" s="118">
        <v>47007202</v>
      </c>
      <c r="B12" s="150" t="s">
        <v>421</v>
      </c>
      <c r="C12" s="121">
        <v>3</v>
      </c>
      <c r="D12" s="121" t="s">
        <v>127</v>
      </c>
      <c r="E12" s="117" t="s">
        <v>341</v>
      </c>
      <c r="F12" s="117" t="s">
        <v>307</v>
      </c>
      <c r="G12" s="64" t="str">
        <f t="shared" si="0"/>
        <v>[effect:enemy_message, val1:1.8, val2:2.7]</v>
      </c>
      <c r="H12" s="64">
        <f t="shared" ref="H12:H14" si="16">FIND("effect:",G12)+7</f>
        <v>9</v>
      </c>
      <c r="I12" s="64">
        <f t="shared" ref="I12:I14" si="17">IFERROR(FIND(",",G12),LEN(G12))</f>
        <v>22</v>
      </c>
      <c r="J12" s="64" t="e">
        <f t="shared" ref="J12:J14" si="18">FIND("target:",G12)+7</f>
        <v>#VALUE!</v>
      </c>
      <c r="K12" s="64">
        <f t="shared" ref="K12:K14" si="19">FIND(",",G12,I12+1)</f>
        <v>32</v>
      </c>
      <c r="L12" s="64" t="str">
        <f>IFERROR(VLOOKUP(MID(G12,J12,K12-J12),[5]skilldef!$C:$D,2,FALSE),"-") &amp; " / " &amp; IFERROR(VLOOKUP(MID(G12,H12,I12-H12),[5]skilldef!$A:$B,2,FALSE),"-")</f>
        <v>- / -</v>
      </c>
      <c r="M12" s="64" t="str">
        <f t="shared" si="1"/>
        <v>[effect:fix_speed, target:myself, turn:2],[effect:tolerance, target:myself, turn:-1, count:-1, tolerance_effect:all, animation:enemy_tolerance],[effect:crash_condition, target:unit_all, turn:-1, val:-4, animation:enemy_crash_reduce03]</v>
      </c>
      <c r="N12" s="48" t="str">
        <f t="shared" si="15"/>
        <v>[effect:fix_speed, target:myself, turn:2],[effect:tolerance, target:myself, turn:-1, count:-1, tolerance_effect:all, animation:enemy_tolerance],[effect:crash_condition, target:unit_all, turn:-1, val:-4, animation:enemy_crash_reduce03]</v>
      </c>
      <c r="O12" s="64">
        <f t="shared" ref="O12:O14" si="20">FIND("effect:",N12)+7</f>
        <v>9</v>
      </c>
      <c r="P12" s="64">
        <f t="shared" ref="P12:P14" si="21">IFERROR(FIND(",",N12),LEN(N12))</f>
        <v>18</v>
      </c>
      <c r="Q12" s="64">
        <f t="shared" ref="Q12:Q14" si="22">FIND("target:",N12)+7</f>
        <v>27</v>
      </c>
      <c r="R12" s="64">
        <f t="shared" ref="R12:R14" si="23">FIND(",",N12,P12+1)</f>
        <v>33</v>
      </c>
      <c r="S12" s="64" t="str">
        <f>IFERROR(VLOOKUP(MID(N12,Q12,R12-Q12),[5]skilldef!$C:$D,2,FALSE),"-") &amp; " / " &amp; IFERROR(VLOOKUP(MID(N12,O12,P12-O12),[5]skilldef!$A:$B,2,FALSE),"-")</f>
        <v>自分自身に / 行動値設定</v>
      </c>
      <c r="T12" s="48" t="str">
        <f t="shared" ref="T12:T14" si="24">IFERROR(RIGHT(M12,LEN(M12)-FIND("],",M12)-1),"none")</f>
        <v>[effect:tolerance, target:myself, turn:-1, count:-1, tolerance_effect:all, animation:enemy_tolerance],[effect:crash_condition, target:unit_all, turn:-1, val:-4, animation:enemy_crash_reduce03]</v>
      </c>
      <c r="U12" s="64">
        <f t="shared" ref="U12:U14" si="25">FIND("effect:",T12)+7</f>
        <v>9</v>
      </c>
      <c r="V12" s="64">
        <f t="shared" ref="V12:V14" si="26">IFERROR(FIND(",",T12),LEN(T12))</f>
        <v>18</v>
      </c>
      <c r="W12" s="64">
        <f t="shared" ref="W12:W14" si="27">FIND("target:",T12)+7</f>
        <v>27</v>
      </c>
      <c r="X12" s="64">
        <f t="shared" ref="X12:X14" si="28">FIND(",",T12,V12+1)</f>
        <v>33</v>
      </c>
      <c r="Y12" s="64" t="str">
        <f>IFERROR(VLOOKUP(MID(T12,W12,X12-W12),[5]skilldef!$C:$D,2,FALSE),"-") &amp; " / " &amp; IFERROR(VLOOKUP(MID(T12,U12,V12-U12),[5]skilldef!$A:$B,2,FALSE),"-")</f>
        <v>自分自身に / 状態異常耐性</v>
      </c>
      <c r="Z12" s="50"/>
      <c r="AA12" s="52"/>
      <c r="AB12" s="50"/>
    </row>
    <row r="13" spans="1:28" ht="21" customHeight="1" x14ac:dyDescent="0.15">
      <c r="A13" s="118">
        <v>47007203</v>
      </c>
      <c r="B13" s="150" t="s">
        <v>420</v>
      </c>
      <c r="C13" s="121">
        <v>3</v>
      </c>
      <c r="D13" s="121" t="s">
        <v>127</v>
      </c>
      <c r="E13" s="117" t="s">
        <v>364</v>
      </c>
      <c r="F13" s="117" t="s">
        <v>308</v>
      </c>
      <c r="G13" s="64" t="str">
        <f t="shared" si="0"/>
        <v>[effect:enemy_message, val1:1.6, val2:2.6]</v>
      </c>
      <c r="H13" s="64">
        <f t="shared" si="16"/>
        <v>9</v>
      </c>
      <c r="I13" s="64">
        <f t="shared" si="17"/>
        <v>22</v>
      </c>
      <c r="J13" s="64" t="e">
        <f t="shared" si="18"/>
        <v>#VALUE!</v>
      </c>
      <c r="K13" s="64">
        <f t="shared" si="19"/>
        <v>32</v>
      </c>
      <c r="L13" s="64" t="str">
        <f>IFERROR(VLOOKUP(MID(G13,J13,K13-J13),[5]skilldef!$C:$D,2,FALSE),"-") &amp; " / " &amp; IFERROR(VLOOKUP(MID(G13,H13,I13-H13),[5]skilldef!$A:$B,2,FALSE),"-")</f>
        <v>- / -</v>
      </c>
      <c r="M13" s="64" t="str">
        <f t="shared" si="1"/>
        <v>[effect:fix_speed, target:myself, turn:2],[effect:tolerance, target:myself, turn:-1, count:-1, tolerance_effect:all, animation:enemy_tolerance],[effect:crash_condition, target:unit_all, turn:-1, val:-2, animation:enemy_crash_reduce03]</v>
      </c>
      <c r="N13" s="48" t="str">
        <f t="shared" si="15"/>
        <v>[effect:fix_speed, target:myself, turn:2],[effect:tolerance, target:myself, turn:-1, count:-1, tolerance_effect:all, animation:enemy_tolerance],[effect:crash_condition, target:unit_all, turn:-1, val:-2, animation:enemy_crash_reduce03]</v>
      </c>
      <c r="O13" s="64">
        <f t="shared" si="20"/>
        <v>9</v>
      </c>
      <c r="P13" s="64">
        <f t="shared" si="21"/>
        <v>18</v>
      </c>
      <c r="Q13" s="64">
        <f t="shared" si="22"/>
        <v>27</v>
      </c>
      <c r="R13" s="64">
        <f t="shared" si="23"/>
        <v>33</v>
      </c>
      <c r="S13" s="64" t="str">
        <f>IFERROR(VLOOKUP(MID(N13,Q13,R13-Q13),[5]skilldef!$C:$D,2,FALSE),"-") &amp; " / " &amp; IFERROR(VLOOKUP(MID(N13,O13,P13-O13),[5]skilldef!$A:$B,2,FALSE),"-")</f>
        <v>自分自身に / 行動値設定</v>
      </c>
      <c r="T13" s="48" t="str">
        <f t="shared" si="24"/>
        <v>[effect:tolerance, target:myself, turn:-1, count:-1, tolerance_effect:all, animation:enemy_tolerance],[effect:crash_condition, target:unit_all, turn:-1, val:-2, animation:enemy_crash_reduce03]</v>
      </c>
      <c r="U13" s="64">
        <f t="shared" si="25"/>
        <v>9</v>
      </c>
      <c r="V13" s="64">
        <f t="shared" si="26"/>
        <v>18</v>
      </c>
      <c r="W13" s="64">
        <f t="shared" si="27"/>
        <v>27</v>
      </c>
      <c r="X13" s="64">
        <f t="shared" si="28"/>
        <v>33</v>
      </c>
      <c r="Y13" s="64" t="str">
        <f>IFERROR(VLOOKUP(MID(T13,W13,X13-W13),[5]skilldef!$C:$D,2,FALSE),"-") &amp; " / " &amp; IFERROR(VLOOKUP(MID(T13,U13,V13-U13),[5]skilldef!$A:$B,2,FALSE),"-")</f>
        <v>自分自身に / 状態異常耐性</v>
      </c>
      <c r="Z13" s="50"/>
      <c r="AA13" s="52"/>
      <c r="AB13" s="50"/>
    </row>
    <row r="14" spans="1:28" ht="21" customHeight="1" x14ac:dyDescent="0.15">
      <c r="A14" s="118">
        <v>47007208</v>
      </c>
      <c r="B14" s="150" t="s">
        <v>406</v>
      </c>
      <c r="C14" s="121">
        <v>3</v>
      </c>
      <c r="D14" s="121" t="s">
        <v>127</v>
      </c>
      <c r="E14" s="117" t="s">
        <v>339</v>
      </c>
      <c r="F14" s="117" t="s">
        <v>269</v>
      </c>
      <c r="G14" s="64" t="str">
        <f t="shared" si="0"/>
        <v>[effect:enemy_message, val1:2.5, val2:1.2]</v>
      </c>
      <c r="H14" s="64">
        <f t="shared" si="16"/>
        <v>9</v>
      </c>
      <c r="I14" s="64">
        <f t="shared" si="17"/>
        <v>22</v>
      </c>
      <c r="J14" s="64" t="e">
        <f t="shared" si="18"/>
        <v>#VALUE!</v>
      </c>
      <c r="K14" s="64">
        <f t="shared" si="19"/>
        <v>32</v>
      </c>
      <c r="L14" s="64" t="str">
        <f>IFERROR(VLOOKUP(MID(G14,J14,K14-J14),[5]skilldef!$C:$D,2,FALSE),"-") &amp; " / " &amp; IFERROR(VLOOKUP(MID(G14,H14,I14-H14),[5]skilldef!$A:$B,2,FALSE),"-")</f>
        <v>- / -</v>
      </c>
      <c r="M14" s="64" t="str">
        <f t="shared" si="1"/>
        <v>[effect:fix_speed, target:myself, turn:2],[effect:tolerance, target:myself, turn:-1, count:-1, tolerance_effect:all, animation:enemy_tolerance]</v>
      </c>
      <c r="N14" s="48" t="str">
        <f t="shared" si="15"/>
        <v>[effect:fix_speed, target:myself, turn:2],[effect:tolerance, target:myself, turn:-1, count:-1, tolerance_effect:all, animation:enemy_tolerance]</v>
      </c>
      <c r="O14" s="64">
        <f t="shared" si="20"/>
        <v>9</v>
      </c>
      <c r="P14" s="64">
        <f t="shared" si="21"/>
        <v>18</v>
      </c>
      <c r="Q14" s="64">
        <f t="shared" si="22"/>
        <v>27</v>
      </c>
      <c r="R14" s="64">
        <f t="shared" si="23"/>
        <v>33</v>
      </c>
      <c r="S14" s="64" t="str">
        <f>IFERROR(VLOOKUP(MID(N14,Q14,R14-Q14),[5]skilldef!$C:$D,2,FALSE),"-") &amp; " / " &amp; IFERROR(VLOOKUP(MID(N14,O14,P14-O14),[5]skilldef!$A:$B,2,FALSE),"-")</f>
        <v>自分自身に / 行動値設定</v>
      </c>
      <c r="T14" s="48" t="str">
        <f t="shared" si="24"/>
        <v>[effect:tolerance, target:myself, turn:-1, count:-1, tolerance_effect:all, animation:enemy_tolerance]</v>
      </c>
      <c r="U14" s="64">
        <f t="shared" si="25"/>
        <v>9</v>
      </c>
      <c r="V14" s="64">
        <f t="shared" si="26"/>
        <v>18</v>
      </c>
      <c r="W14" s="64">
        <f t="shared" si="27"/>
        <v>27</v>
      </c>
      <c r="X14" s="64">
        <f t="shared" si="28"/>
        <v>33</v>
      </c>
      <c r="Y14" s="64" t="str">
        <f>IFERROR(VLOOKUP(MID(T14,W14,X14-W14),[5]skilldef!$C:$D,2,FALSE),"-") &amp; " / " &amp; IFERROR(VLOOKUP(MID(T14,U14,V14-U14),[5]skilldef!$A:$B,2,FALSE),"-")</f>
        <v>自分自身に / 状態異常耐性</v>
      </c>
      <c r="Z14" s="50"/>
      <c r="AA14" s="52"/>
      <c r="AB14" s="50"/>
    </row>
    <row r="15" spans="1:28" ht="21" customHeight="1" x14ac:dyDescent="0.15">
      <c r="A15" s="47">
        <v>47007204</v>
      </c>
      <c r="B15" s="149" t="s">
        <v>380</v>
      </c>
      <c r="C15" s="50">
        <v>3</v>
      </c>
      <c r="D15" s="50" t="s">
        <v>127</v>
      </c>
      <c r="E15" s="51" t="s">
        <v>363</v>
      </c>
      <c r="F15" s="51" t="s">
        <v>377</v>
      </c>
      <c r="G15" s="64" t="str">
        <f t="shared" si="0"/>
        <v>[effect:enemy_message, val1:1.2, val2:2.3]</v>
      </c>
      <c r="H15" s="64">
        <f t="shared" si="2"/>
        <v>9</v>
      </c>
      <c r="I15" s="64">
        <f t="shared" si="3"/>
        <v>22</v>
      </c>
      <c r="J15" s="64" t="e">
        <f t="shared" si="4"/>
        <v>#VALUE!</v>
      </c>
      <c r="K15" s="64">
        <f t="shared" si="5"/>
        <v>32</v>
      </c>
      <c r="L15" s="64" t="str">
        <f>IFERROR(VLOOKUP(MID(G15,J15,K15-J15),[5]skilldef!$C:$D,2,FALSE),"-") &amp; " / " &amp; IFERROR(VLOOKUP(MID(G15,H15,I15-H15),[5]skilldef!$A:$B,2,FALSE),"-")</f>
        <v>- / -</v>
      </c>
      <c r="M15" s="64" t="str">
        <f t="shared" si="1"/>
        <v>[effect:force_change_block, new_block:color_break, target:block_heart, color:block_red, count:1, val:0],[effect:force_change_block, new_block:color_break, target:block_heart, color:block_blue, count:1, val:0],[effect:force_change_block, new_block:color_break, target:block_heart, color:block_yellow, count:1, val:0]</v>
      </c>
      <c r="N15" s="48" t="str">
        <f t="shared" ref="N15:N39" si="29">IFERROR(LEFT(M15,FIND("],",M15)+S25),M15)</f>
        <v>[effect:force_change_block, new_block:color_break, target:block_heart, color:block_red, count:1, val:0],[effect:force_change_block, new_block:color_break, target:block_heart, color:block_blue, count:1, val:0],[effect:force_change_block, new_block:color_break, target:block_heart, color:block_yellow, count:1, val:0]</v>
      </c>
      <c r="O15" s="64">
        <f t="shared" si="6"/>
        <v>9</v>
      </c>
      <c r="P15" s="64">
        <f t="shared" si="7"/>
        <v>27</v>
      </c>
      <c r="Q15" s="64">
        <f t="shared" si="8"/>
        <v>59</v>
      </c>
      <c r="R15" s="64">
        <f t="shared" si="9"/>
        <v>50</v>
      </c>
      <c r="S15" s="64" t="str">
        <f>IFERROR(VLOOKUP(MID(N15,Q15,R15-Q15),[5]skilldef!$C:$D,2,FALSE),"-") &amp; " / " &amp; IFERROR(VLOOKUP(MID(N15,O15,P15-O15),[5]skilldef!$A:$B,2,FALSE),"-")</f>
        <v>- / -</v>
      </c>
      <c r="T15" s="48" t="str">
        <f t="shared" si="10"/>
        <v>[effect:force_change_block, new_block:color_break, target:block_heart, color:block_blue, count:1, val:0],[effect:force_change_block, new_block:color_break, target:block_heart, color:block_yellow, count:1, val:0]</v>
      </c>
      <c r="U15" s="64">
        <f t="shared" si="11"/>
        <v>9</v>
      </c>
      <c r="V15" s="64">
        <f t="shared" si="12"/>
        <v>27</v>
      </c>
      <c r="W15" s="64">
        <f t="shared" si="13"/>
        <v>59</v>
      </c>
      <c r="X15" s="64">
        <f t="shared" si="14"/>
        <v>50</v>
      </c>
      <c r="Y15" s="64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 x14ac:dyDescent="0.15">
      <c r="A16" s="47">
        <v>47007205</v>
      </c>
      <c r="B16" s="149" t="s">
        <v>369</v>
      </c>
      <c r="C16" s="50">
        <v>3</v>
      </c>
      <c r="D16" s="50" t="s">
        <v>127</v>
      </c>
      <c r="E16" s="51" t="s">
        <v>315</v>
      </c>
      <c r="F16" s="51" t="s">
        <v>266</v>
      </c>
      <c r="G16" s="64" t="str">
        <f t="shared" si="0"/>
        <v>[effect:enemy_message, val1:1.3, val2:2.3]</v>
      </c>
      <c r="H16" s="64">
        <f t="shared" si="2"/>
        <v>9</v>
      </c>
      <c r="I16" s="64">
        <f t="shared" si="3"/>
        <v>22</v>
      </c>
      <c r="J16" s="64" t="e">
        <f t="shared" si="4"/>
        <v>#VALUE!</v>
      </c>
      <c r="K16" s="64">
        <f t="shared" si="5"/>
        <v>32</v>
      </c>
      <c r="L16" s="64" t="str">
        <f>IFERROR(VLOOKUP(MID(G16,J16,K16-J16),[5]skilldef!$C:$D,2,FALSE),"-") &amp; " / " &amp; IFERROR(VLOOKUP(MID(G16,H16,I16-H16),[5]skilldef!$A:$B,2,FALSE),"-")</f>
        <v>- / -</v>
      </c>
      <c r="M16" s="64" t="str">
        <f t="shared" si="1"/>
        <v>[effect:damage_gravity, val:0.5, animation:fevergauge_down],[effect:freq_turn, target:myself, turn:5, val:1, animation:enemy_freq_turn]</v>
      </c>
      <c r="N16" s="48" t="str">
        <f t="shared" si="29"/>
        <v>[effect:damage_gravity, val:0.5, animation:fevergauge_down],[effect:freq_turn, target:myself, turn:5, val:1, animation:enemy_freq_turn]</v>
      </c>
      <c r="O16" s="64">
        <f t="shared" si="6"/>
        <v>9</v>
      </c>
      <c r="P16" s="64">
        <f t="shared" si="7"/>
        <v>23</v>
      </c>
      <c r="Q16" s="64">
        <f t="shared" si="8"/>
        <v>87</v>
      </c>
      <c r="R16" s="64">
        <f t="shared" si="9"/>
        <v>32</v>
      </c>
      <c r="S16" s="64" t="str">
        <f>IFERROR(VLOOKUP(MID(N16,Q16,R16-Q16),[5]skilldef!$C:$D,2,FALSE),"-") &amp; " / " &amp; IFERROR(VLOOKUP(MID(N16,O16,P16-O16),[5]skilldef!$A:$B,2,FALSE),"-")</f>
        <v>- / 割合ダメージ</v>
      </c>
      <c r="T16" s="48" t="str">
        <f t="shared" si="10"/>
        <v>[effect:freq_turn, target:myself, turn:5, val:1, animation:enemy_freq_turn]</v>
      </c>
      <c r="U16" s="64">
        <f t="shared" si="11"/>
        <v>9</v>
      </c>
      <c r="V16" s="64">
        <f t="shared" si="12"/>
        <v>18</v>
      </c>
      <c r="W16" s="64">
        <f t="shared" si="13"/>
        <v>27</v>
      </c>
      <c r="X16" s="64">
        <f t="shared" si="14"/>
        <v>33</v>
      </c>
      <c r="Y16" s="64" t="str">
        <f>IFERROR(VLOOKUP(MID(T16,W16,X16-W16),[5]skilldef!$C:$D,2,FALSE),"-") &amp; " / " &amp; IFERROR(VLOOKUP(MID(T16,U16,V16-U16),[5]skilldef!$A:$B,2,FALSE),"-")</f>
        <v>自分自身に / 攻撃頻度がUP</v>
      </c>
      <c r="Z16" s="50"/>
      <c r="AA16" s="52"/>
      <c r="AB16" s="50"/>
    </row>
    <row r="17" spans="1:28" ht="21" customHeight="1" x14ac:dyDescent="0.15">
      <c r="A17" s="47">
        <v>47007206</v>
      </c>
      <c r="B17" s="149" t="s">
        <v>410</v>
      </c>
      <c r="C17" s="50">
        <v>3</v>
      </c>
      <c r="D17" s="50" t="s">
        <v>127</v>
      </c>
      <c r="E17" s="51" t="s">
        <v>316</v>
      </c>
      <c r="F17" s="51" t="s">
        <v>394</v>
      </c>
      <c r="G17" s="64" t="str">
        <f t="shared" si="0"/>
        <v>[effect:enemy_message, val1:1.3, val2:3.3]</v>
      </c>
      <c r="H17" s="64">
        <f t="shared" si="2"/>
        <v>9</v>
      </c>
      <c r="I17" s="64">
        <f t="shared" si="3"/>
        <v>22</v>
      </c>
      <c r="J17" s="64" t="e">
        <f t="shared" si="4"/>
        <v>#VALUE!</v>
      </c>
      <c r="K17" s="64">
        <f t="shared" si="5"/>
        <v>32</v>
      </c>
      <c r="L17" s="64" t="str">
        <f>IFERROR(VLOOKUP(MID(G17,J17,K17-J17),[5]skilldef!$C:$D,2,FALSE),"-") &amp; " / " &amp; IFERROR(VLOOKUP(MID(G17,H17,I17-H17),[5]skilldef!$A:$B,2,FALSE),"-")</f>
        <v>- / -</v>
      </c>
      <c r="M17" s="64" t="str">
        <f t="shared" si="1"/>
        <v>[effect:force_change_block, new_block:crack_bomb, target:block_all, ignore01:crash, ignore02:crack_bomb, ignore03:color_break, ignore04:magnet, color:block_heart, count:1, val:24],[effect:critical, val:1.3, animation:enemy_critical]</v>
      </c>
      <c r="N17" s="48" t="str">
        <f t="shared" si="29"/>
        <v>[effect:force_change_block, new_block:crack_bomb, target:block_all, ignore01:crash, ignore02:crack_bomb, ignore03:color_break, ignore04:magnet, color:block_heart, count:1, val:24],[effect:critical, val:1.3, animation:enemy_critical]</v>
      </c>
      <c r="O17" s="64">
        <f t="shared" si="6"/>
        <v>9</v>
      </c>
      <c r="P17" s="64">
        <f t="shared" si="7"/>
        <v>27</v>
      </c>
      <c r="Q17" s="64">
        <f t="shared" si="8"/>
        <v>58</v>
      </c>
      <c r="R17" s="64">
        <f t="shared" si="9"/>
        <v>49</v>
      </c>
      <c r="S17" s="64" t="str">
        <f>IFERROR(VLOOKUP(MID(N17,Q17,R17-Q17),[5]skilldef!$C:$D,2,FALSE),"-") &amp; " / " &amp; IFERROR(VLOOKUP(MID(N17,O17,P17-O17),[5]skilldef!$A:$B,2,FALSE),"-")</f>
        <v>- / -</v>
      </c>
      <c r="T17" s="48" t="str">
        <f t="shared" si="10"/>
        <v>[effect:critical, val:1.3, animation:enemy_critical]</v>
      </c>
      <c r="U17" s="64">
        <f t="shared" si="11"/>
        <v>9</v>
      </c>
      <c r="V17" s="64">
        <f t="shared" si="12"/>
        <v>17</v>
      </c>
      <c r="W17" s="64" t="e">
        <f t="shared" si="13"/>
        <v>#VALUE!</v>
      </c>
      <c r="X17" s="64">
        <f t="shared" si="14"/>
        <v>26</v>
      </c>
      <c r="Y17" s="64" t="str">
        <f>IFERROR(VLOOKUP(MID(T17,W17,X17-W17),[5]skilldef!$C:$D,2,FALSE),"-") &amp; " / " &amp; IFERROR(VLOOKUP(MID(T17,U17,V17-U17),[5]skilldef!$A:$B,2,FALSE),"-")</f>
        <v>- / 大攻撃</v>
      </c>
      <c r="Z17" s="50"/>
      <c r="AA17" s="52"/>
      <c r="AB17" s="50"/>
    </row>
    <row r="18" spans="1:28" ht="21" customHeight="1" x14ac:dyDescent="0.15">
      <c r="A18" s="47">
        <v>47007207</v>
      </c>
      <c r="B18" s="149" t="s">
        <v>411</v>
      </c>
      <c r="C18" s="50">
        <v>3</v>
      </c>
      <c r="D18" s="50" t="s">
        <v>127</v>
      </c>
      <c r="E18" s="51" t="s">
        <v>319</v>
      </c>
      <c r="F18" s="51" t="s">
        <v>262</v>
      </c>
      <c r="G18" s="64" t="str">
        <f t="shared" si="0"/>
        <v>[effect:enemy_message, val1:1.2, val2:2.6]</v>
      </c>
      <c r="H18" s="64">
        <f t="shared" si="2"/>
        <v>9</v>
      </c>
      <c r="I18" s="64">
        <f t="shared" si="3"/>
        <v>22</v>
      </c>
      <c r="J18" s="64" t="e">
        <f t="shared" si="4"/>
        <v>#VALUE!</v>
      </c>
      <c r="K18" s="64">
        <f t="shared" si="5"/>
        <v>32</v>
      </c>
      <c r="L18" s="64" t="str">
        <f>IFERROR(VLOOKUP(MID(G18,J18,K18-J18),[5]skilldef!$C:$D,2,FALSE),"-") &amp; " / " &amp; IFERROR(VLOOKUP(MID(G18,H18,I18-H18),[5]skilldef!$A:$B,2,FALSE),"-")</f>
        <v>- / -</v>
      </c>
      <c r="M18" s="64" t="str">
        <f t="shared" si="1"/>
        <v>[effect:break_enchance_enemy, target:myself, val:0.02, lowest_val:0.1, count:-1, status:attack, turn:1, block01:block_heart, calc:mul, animation:enemy_enhance_attack],[effect:rush, count:1, val:0.9]</v>
      </c>
      <c r="N18" s="48" t="str">
        <f t="shared" ref="N18:N28" si="30">IFERROR(LEFT(M18,FIND("],",M18)+S29),M18)</f>
        <v>[effect:break_enchance_enemy, target:myself, val:0.02, lowest_val:0.1, count:-1, status:attack, turn:1, block01:block_heart, calc:mul, animation:enemy_enhance_attack],[effect:rush, count:1, val:0.9]</v>
      </c>
      <c r="O18" s="64">
        <f t="shared" si="6"/>
        <v>9</v>
      </c>
      <c r="P18" s="64">
        <f t="shared" si="7"/>
        <v>29</v>
      </c>
      <c r="Q18" s="64">
        <f t="shared" si="8"/>
        <v>38</v>
      </c>
      <c r="R18" s="64">
        <f t="shared" si="9"/>
        <v>44</v>
      </c>
      <c r="S18" s="64" t="str">
        <f>IFERROR(VLOOKUP(MID(N18,Q18,R18-Q18),[5]skilldef!$C:$D,2,FALSE),"-") &amp; " / " &amp; IFERROR(VLOOKUP(MID(N18,O18,P18-O18),[5]skilldef!$A:$B,2,FALSE),"-")</f>
        <v>自分自身に / -</v>
      </c>
      <c r="T18" s="48" t="str">
        <f t="shared" si="10"/>
        <v>[effect:rush, count:1, val:0.9]</v>
      </c>
      <c r="U18" s="64">
        <f t="shared" si="11"/>
        <v>9</v>
      </c>
      <c r="V18" s="64">
        <f t="shared" si="12"/>
        <v>13</v>
      </c>
      <c r="W18" s="64" t="e">
        <f t="shared" si="13"/>
        <v>#VALUE!</v>
      </c>
      <c r="X18" s="64">
        <f t="shared" si="14"/>
        <v>22</v>
      </c>
      <c r="Y18" s="64" t="str">
        <f>IFERROR(VLOOKUP(MID(T18,W18,X18-W18),[5]skilldef!$C:$D,2,FALSE),"-") &amp; " / " &amp; IFERROR(VLOOKUP(MID(T18,U18,V18-U18),[5]skilldef!$A:$B,2,FALSE),"-")</f>
        <v>- / 連続攻撃</v>
      </c>
      <c r="Z18" s="50"/>
      <c r="AA18" s="52"/>
      <c r="AB18" s="50"/>
    </row>
    <row r="19" spans="1:28" ht="21" customHeight="1" x14ac:dyDescent="0.15">
      <c r="A19" s="47">
        <v>47007301</v>
      </c>
      <c r="B19" s="149" t="s">
        <v>405</v>
      </c>
      <c r="C19" s="50">
        <v>3</v>
      </c>
      <c r="D19" s="50" t="s">
        <v>127</v>
      </c>
      <c r="E19" s="51" t="s">
        <v>365</v>
      </c>
      <c r="F19" s="51" t="s">
        <v>263</v>
      </c>
      <c r="G19" s="64" t="str">
        <f t="shared" si="0"/>
        <v>[effect:enemy_message, val1:2.3, val2:1.2]</v>
      </c>
      <c r="H19" s="64">
        <f t="shared" si="2"/>
        <v>9</v>
      </c>
      <c r="I19" s="64">
        <f t="shared" si="3"/>
        <v>22</v>
      </c>
      <c r="J19" s="64" t="e">
        <f t="shared" si="4"/>
        <v>#VALUE!</v>
      </c>
      <c r="K19" s="64">
        <f t="shared" si="5"/>
        <v>32</v>
      </c>
      <c r="L19" s="64" t="str">
        <f>IFERROR(VLOOKUP(MID(G19,J19,K19-J19),[5]skilldef!$C:$D,2,FALSE),"-") &amp; " / " &amp; IFERROR(VLOOKUP(MID(G19,H19,I19-H19),[5]skilldef!$A:$B,2,FALSE),"-")</f>
        <v>- / -</v>
      </c>
      <c r="M19" s="64" t="str">
        <f t="shared" si="1"/>
        <v>[effect:fix_speed, target:myself, turn:1],[effect:tolerance, target:myself, turn:-1, count:-1, tolerance_effect:all, animation:enemy_tolerance]</v>
      </c>
      <c r="N19" s="48" t="str">
        <f t="shared" si="30"/>
        <v>[effect:fix_speed, target:myself, turn:1],[effect:tolerance, target:myself, turn:-1, count:-1, tolerance_effect:all, animation:enemy_tolerance]</v>
      </c>
      <c r="O19" s="64">
        <f t="shared" si="6"/>
        <v>9</v>
      </c>
      <c r="P19" s="64">
        <f t="shared" si="7"/>
        <v>18</v>
      </c>
      <c r="Q19" s="64">
        <f t="shared" si="8"/>
        <v>27</v>
      </c>
      <c r="R19" s="64">
        <f t="shared" si="9"/>
        <v>33</v>
      </c>
      <c r="S19" s="64" t="str">
        <f>IFERROR(VLOOKUP(MID(N19,Q19,R19-Q19),[5]skilldef!$C:$D,2,FALSE),"-") &amp; " / " &amp; IFERROR(VLOOKUP(MID(N19,O19,P19-O19),[5]skilldef!$A:$B,2,FALSE),"-")</f>
        <v>自分自身に / 行動値設定</v>
      </c>
      <c r="T19" s="48" t="str">
        <f t="shared" si="10"/>
        <v>[effect:tolerance, target:myself, turn:-1, count:-1, tolerance_effect:all, animation:enemy_tolerance]</v>
      </c>
      <c r="U19" s="64">
        <f t="shared" si="11"/>
        <v>9</v>
      </c>
      <c r="V19" s="64">
        <f t="shared" si="12"/>
        <v>18</v>
      </c>
      <c r="W19" s="64">
        <f t="shared" si="13"/>
        <v>27</v>
      </c>
      <c r="X19" s="64">
        <f t="shared" si="14"/>
        <v>33</v>
      </c>
      <c r="Y19" s="64" t="str">
        <f>IFERROR(VLOOKUP(MID(T19,W19,X19-W19),[5]skilldef!$C:$D,2,FALSE),"-") &amp; " / " &amp; IFERROR(VLOOKUP(MID(T19,U19,V19-U19),[5]skilldef!$A:$B,2,FALSE),"-")</f>
        <v>自分自身に / 状態異常耐性</v>
      </c>
      <c r="Z19" s="50"/>
      <c r="AA19" s="52"/>
      <c r="AB19" s="50"/>
    </row>
    <row r="20" spans="1:28" ht="21" customHeight="1" x14ac:dyDescent="0.15">
      <c r="A20" s="47">
        <v>47007302</v>
      </c>
      <c r="B20" s="149" t="s">
        <v>431</v>
      </c>
      <c r="C20" s="50">
        <v>3</v>
      </c>
      <c r="D20" s="50" t="s">
        <v>127</v>
      </c>
      <c r="E20" s="51" t="s">
        <v>320</v>
      </c>
      <c r="F20" s="51" t="s">
        <v>429</v>
      </c>
      <c r="G20" s="64" t="str">
        <f t="shared" si="0"/>
        <v>[effect:enemy_message, val1:1.3, val2:2.2]</v>
      </c>
      <c r="H20" s="64">
        <f t="shared" si="2"/>
        <v>9</v>
      </c>
      <c r="I20" s="64">
        <f t="shared" si="3"/>
        <v>22</v>
      </c>
      <c r="J20" s="64" t="e">
        <f t="shared" si="4"/>
        <v>#VALUE!</v>
      </c>
      <c r="K20" s="64">
        <f t="shared" si="5"/>
        <v>32</v>
      </c>
      <c r="L20" s="64" t="str">
        <f>IFERROR(VLOOKUP(MID(G20,J20,K20-J20),[5]skilldef!$C:$D,2,FALSE),"-") &amp; " / " &amp; IFERROR(VLOOKUP(MID(G20,H20,I20-H20),[5]skilldef!$A:$B,2,FALSE),"-")</f>
        <v>- / -</v>
      </c>
      <c r="M20" s="64" t="str">
        <f t="shared" si="1"/>
        <v>[effect:break_attack_fix, target:unit_one, val:-500, lowest_val:15000, count:-1, block01:block_yellow]</v>
      </c>
      <c r="N20" s="48" t="str">
        <f t="shared" si="30"/>
        <v>[effect:break_attack_fix, target:unit_one, val:-500, lowest_val:15000, count:-1, block01:block_yellow]</v>
      </c>
      <c r="O20" s="64">
        <f t="shared" si="6"/>
        <v>9</v>
      </c>
      <c r="P20" s="64">
        <f t="shared" si="7"/>
        <v>25</v>
      </c>
      <c r="Q20" s="64">
        <f t="shared" si="8"/>
        <v>34</v>
      </c>
      <c r="R20" s="64">
        <f t="shared" si="9"/>
        <v>42</v>
      </c>
      <c r="S20" s="64" t="str">
        <f>IFERROR(VLOOKUP(MID(N20,Q20,R20-Q20),[5]skilldef!$C:$D,2,FALSE),"-") &amp; " / " &amp; IFERROR(VLOOKUP(MID(N20,O20,P20-O20),[5]skilldef!$A:$B,2,FALSE),"-")</f>
        <v>味方単体に / -</v>
      </c>
      <c r="T20" s="48" t="str">
        <f t="shared" si="10"/>
        <v>none</v>
      </c>
      <c r="U20" s="64" t="e">
        <f t="shared" si="11"/>
        <v>#VALUE!</v>
      </c>
      <c r="V20" s="64">
        <f t="shared" si="12"/>
        <v>4</v>
      </c>
      <c r="W20" s="64" t="e">
        <f t="shared" si="13"/>
        <v>#VALUE!</v>
      </c>
      <c r="X20" s="64" t="e">
        <f t="shared" si="14"/>
        <v>#VALUE!</v>
      </c>
      <c r="Y20" s="64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15">
      <c r="A21" s="47">
        <v>47007303</v>
      </c>
      <c r="B21" s="149" t="s">
        <v>367</v>
      </c>
      <c r="C21" s="50">
        <v>3</v>
      </c>
      <c r="D21" s="50" t="s">
        <v>127</v>
      </c>
      <c r="E21" s="51" t="s">
        <v>321</v>
      </c>
      <c r="F21" s="51" t="s">
        <v>305</v>
      </c>
      <c r="G21" s="64" t="str">
        <f t="shared" si="0"/>
        <v>[effect:enemy_message, val1:1.2, val2:1.8]</v>
      </c>
      <c r="H21" s="64">
        <f t="shared" si="2"/>
        <v>9</v>
      </c>
      <c r="I21" s="64">
        <f t="shared" si="3"/>
        <v>22</v>
      </c>
      <c r="J21" s="64" t="e">
        <f t="shared" si="4"/>
        <v>#VALUE!</v>
      </c>
      <c r="K21" s="64">
        <f t="shared" si="5"/>
        <v>32</v>
      </c>
      <c r="L21" s="64" t="str">
        <f>IFERROR(VLOOKUP(MID(G21,J21,K21-J21),[5]skilldef!$C:$D,2,FALSE),"-") &amp; " / " &amp; IFERROR(VLOOKUP(MID(G21,H21,I21-H21),[5]skilldef!$A:$B,2,FALSE),"-")</f>
        <v>- / -</v>
      </c>
      <c r="M21" s="64" t="str">
        <f t="shared" si="1"/>
        <v>[effect:break_attack_fix, target:unit_one, val:500, lowest_val:6000, count:15, block01:block_red]</v>
      </c>
      <c r="N21" s="48" t="str">
        <f t="shared" si="30"/>
        <v>[effect:break_attack_fix, target:unit_one, val:500, lowest_val:6000, count:15, block01:block_red]</v>
      </c>
      <c r="O21" s="64">
        <f t="shared" si="6"/>
        <v>9</v>
      </c>
      <c r="P21" s="64">
        <f t="shared" si="7"/>
        <v>25</v>
      </c>
      <c r="Q21" s="64">
        <f t="shared" si="8"/>
        <v>34</v>
      </c>
      <c r="R21" s="64">
        <f t="shared" si="9"/>
        <v>42</v>
      </c>
      <c r="S21" s="64" t="str">
        <f>IFERROR(VLOOKUP(MID(N21,Q21,R21-Q21),[5]skilldef!$C:$D,2,FALSE),"-") &amp; " / " &amp; IFERROR(VLOOKUP(MID(N21,O21,P21-O21),[5]skilldef!$A:$B,2,FALSE),"-")</f>
        <v>味方単体に / -</v>
      </c>
      <c r="T21" s="48" t="str">
        <f t="shared" si="10"/>
        <v>none</v>
      </c>
      <c r="U21" s="64" t="e">
        <f t="shared" si="11"/>
        <v>#VALUE!</v>
      </c>
      <c r="V21" s="64">
        <f t="shared" si="12"/>
        <v>4</v>
      </c>
      <c r="W21" s="64" t="e">
        <f t="shared" si="13"/>
        <v>#VALUE!</v>
      </c>
      <c r="X21" s="64" t="e">
        <f t="shared" si="14"/>
        <v>#VALUE!</v>
      </c>
      <c r="Y21" s="64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 x14ac:dyDescent="0.15">
      <c r="A22" s="47">
        <v>47007304</v>
      </c>
      <c r="B22" s="149" t="s">
        <v>404</v>
      </c>
      <c r="C22" s="50">
        <v>3</v>
      </c>
      <c r="D22" s="50" t="s">
        <v>127</v>
      </c>
      <c r="E22" s="51" t="s">
        <v>322</v>
      </c>
      <c r="F22" s="51" t="s">
        <v>353</v>
      </c>
      <c r="G22" s="64" t="str">
        <f t="shared" si="0"/>
        <v>[effect:enemy_message, val1:1.7, val2:2.5]</v>
      </c>
      <c r="H22" s="64">
        <f t="shared" si="2"/>
        <v>9</v>
      </c>
      <c r="I22" s="64">
        <f t="shared" si="3"/>
        <v>22</v>
      </c>
      <c r="J22" s="64" t="e">
        <f t="shared" si="4"/>
        <v>#VALUE!</v>
      </c>
      <c r="K22" s="64">
        <f t="shared" si="5"/>
        <v>32</v>
      </c>
      <c r="L22" s="64" t="str">
        <f>IFERROR(VLOOKUP(MID(G22,J22,K22-J22),[5]skilldef!$C:$D,2,FALSE),"-") &amp; " / " &amp; IFERROR(VLOOKUP(MID(G22,H22,I22-H22),[5]skilldef!$A:$B,2,FALSE),"-")</f>
        <v>- / -</v>
      </c>
      <c r="M22" s="64" t="str">
        <f t="shared" si="1"/>
        <v>[effect:spread, val:0.3],[effect:degrade_unit, target:unit_all, turn:5, status:heal, val:0.3, animation:degrade_unit_all_heal]</v>
      </c>
      <c r="N22" s="48" t="str">
        <f t="shared" si="30"/>
        <v>[effect:spread, val:0.3],[effect:degrade_unit, target:unit_all, turn:5, status:heal, val:0.3, animation:degrade_unit_all_heal]</v>
      </c>
      <c r="O22" s="64">
        <f t="shared" si="6"/>
        <v>9</v>
      </c>
      <c r="P22" s="64">
        <f t="shared" si="7"/>
        <v>15</v>
      </c>
      <c r="Q22" s="64">
        <f t="shared" si="8"/>
        <v>55</v>
      </c>
      <c r="R22" s="64">
        <f t="shared" si="9"/>
        <v>25</v>
      </c>
      <c r="S22" s="64" t="str">
        <f>IFERROR(VLOOKUP(MID(N22,Q22,R22-Q22),[5]skilldef!$C:$D,2,FALSE),"-") &amp; " / " &amp; IFERROR(VLOOKUP(MID(N22,O22,P22-O22),[5]skilldef!$A:$B,2,FALSE),"-")</f>
        <v>- / 全体攻撃</v>
      </c>
      <c r="T22" s="48" t="str">
        <f t="shared" si="10"/>
        <v>[effect:degrade_unit, target:unit_all, turn:5, status:heal, val:0.3, animation:degrade_unit_all_heal]</v>
      </c>
      <c r="U22" s="64">
        <f t="shared" si="11"/>
        <v>9</v>
      </c>
      <c r="V22" s="64">
        <f t="shared" si="12"/>
        <v>21</v>
      </c>
      <c r="W22" s="64">
        <f t="shared" si="13"/>
        <v>30</v>
      </c>
      <c r="X22" s="64">
        <f t="shared" si="14"/>
        <v>38</v>
      </c>
      <c r="Y22" s="64" t="str">
        <f>IFERROR(VLOOKUP(MID(T22,W22,X22-W22),[5]skilldef!$C:$D,2,FALSE),"-") &amp; " / " &amp; IFERROR(VLOOKUP(MID(T22,U22,V22-U22),[5]skilldef!$A:$B,2,FALSE),"-")</f>
        <v>味方全体に / ステータスDOWN</v>
      </c>
      <c r="Z22" s="50"/>
      <c r="AA22" s="52"/>
      <c r="AB22" s="50"/>
    </row>
    <row r="23" spans="1:28" ht="21" customHeight="1" x14ac:dyDescent="0.15">
      <c r="A23" s="47">
        <v>47007305</v>
      </c>
      <c r="B23" s="149" t="s">
        <v>412</v>
      </c>
      <c r="C23" s="50">
        <v>3</v>
      </c>
      <c r="D23" s="50" t="s">
        <v>127</v>
      </c>
      <c r="E23" s="51" t="s">
        <v>317</v>
      </c>
      <c r="F23" s="51" t="s">
        <v>362</v>
      </c>
      <c r="G23" s="64" t="str">
        <f t="shared" si="0"/>
        <v>[effect:enemy_message, val1:1.5, val2:4.0]</v>
      </c>
      <c r="H23" s="64">
        <f t="shared" si="2"/>
        <v>9</v>
      </c>
      <c r="I23" s="64">
        <f t="shared" si="3"/>
        <v>22</v>
      </c>
      <c r="J23" s="64" t="e">
        <f t="shared" si="4"/>
        <v>#VALUE!</v>
      </c>
      <c r="K23" s="64">
        <f t="shared" si="5"/>
        <v>32</v>
      </c>
      <c r="L23" s="64" t="str">
        <f>IFERROR(VLOOKUP(MID(G23,J23,K23-J23),[5]skilldef!$C:$D,2,FALSE),"-") &amp; " / " &amp; IFERROR(VLOOKUP(MID(G23,H23,I23-H23),[5]skilldef!$A:$B,2,FALSE),"-")</f>
        <v>- / -</v>
      </c>
      <c r="M23" s="64" t="str">
        <f t="shared" si="1"/>
        <v>[effect:panel_freeze, target:normal, count:10]</v>
      </c>
      <c r="N23" s="48" t="str">
        <f t="shared" si="30"/>
        <v>[effect:panel_freeze, target:normal, count:10]</v>
      </c>
      <c r="O23" s="64">
        <f t="shared" si="6"/>
        <v>9</v>
      </c>
      <c r="P23" s="64">
        <f t="shared" si="7"/>
        <v>21</v>
      </c>
      <c r="Q23" s="64">
        <f t="shared" si="8"/>
        <v>30</v>
      </c>
      <c r="R23" s="64">
        <f t="shared" si="9"/>
        <v>36</v>
      </c>
      <c r="S23" s="64" t="str">
        <f>IFERROR(VLOOKUP(MID(N23,Q23,R23-Q23),[5]skilldef!$C:$D,2,FALSE),"-") &amp; " / " &amp; IFERROR(VLOOKUP(MID(N23,O23,P23-O23),[5]skilldef!$A:$B,2,FALSE),"-")</f>
        <v>- / -</v>
      </c>
      <c r="T23" s="48" t="str">
        <f t="shared" si="10"/>
        <v>none</v>
      </c>
      <c r="U23" s="64" t="e">
        <f t="shared" si="11"/>
        <v>#VALUE!</v>
      </c>
      <c r="V23" s="64">
        <f t="shared" si="12"/>
        <v>4</v>
      </c>
      <c r="W23" s="64" t="e">
        <f t="shared" si="13"/>
        <v>#VALUE!</v>
      </c>
      <c r="X23" s="64" t="e">
        <f t="shared" si="14"/>
        <v>#VALUE!</v>
      </c>
      <c r="Y23" s="64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 x14ac:dyDescent="0.15">
      <c r="A24" s="47">
        <v>47007306</v>
      </c>
      <c r="B24" s="149" t="s">
        <v>370</v>
      </c>
      <c r="C24" s="50">
        <v>3</v>
      </c>
      <c r="D24" s="50" t="s">
        <v>127</v>
      </c>
      <c r="E24" s="51" t="s">
        <v>318</v>
      </c>
      <c r="F24" s="51" t="s">
        <v>357</v>
      </c>
      <c r="G24" s="64" t="str">
        <f t="shared" si="0"/>
        <v>[effect:enemy_message, val1:1.4, val2:1.2]</v>
      </c>
      <c r="H24" s="64">
        <f t="shared" si="2"/>
        <v>9</v>
      </c>
      <c r="I24" s="64">
        <f t="shared" si="3"/>
        <v>22</v>
      </c>
      <c r="J24" s="64" t="e">
        <f t="shared" si="4"/>
        <v>#VALUE!</v>
      </c>
      <c r="K24" s="64">
        <f t="shared" si="5"/>
        <v>32</v>
      </c>
      <c r="L24" s="64" t="str">
        <f>IFERROR(VLOOKUP(MID(G24,J24,K24-J24),[5]skilldef!$C:$D,2,FALSE),"-") &amp; " / " &amp; IFERROR(VLOOKUP(MID(G24,H24,I24-H24),[5]skilldef!$A:$B,2,FALSE),"-")</f>
        <v>- / -</v>
      </c>
      <c r="M24" s="64" t="str">
        <f t="shared" si="1"/>
        <v>[effect:damage_fix_absolute, target:unit_one, val:10000]</v>
      </c>
      <c r="N24" s="48" t="str">
        <f t="shared" si="30"/>
        <v>[effect:damage_fix_absolute, target:unit_one, val:10000]</v>
      </c>
      <c r="O24" s="64">
        <f t="shared" si="6"/>
        <v>9</v>
      </c>
      <c r="P24" s="64">
        <f t="shared" si="7"/>
        <v>28</v>
      </c>
      <c r="Q24" s="64">
        <f t="shared" si="8"/>
        <v>37</v>
      </c>
      <c r="R24" s="64">
        <f t="shared" si="9"/>
        <v>45</v>
      </c>
      <c r="S24" s="64" t="str">
        <f>IFERROR(VLOOKUP(MID(N24,Q24,R24-Q24),[5]skilldef!$C:$D,2,FALSE),"-") &amp; " / " &amp; IFERROR(VLOOKUP(MID(N24,O24,P24-O24),[5]skilldef!$A:$B,2,FALSE),"-")</f>
        <v>味方単体に / -</v>
      </c>
      <c r="T24" s="48" t="str">
        <f t="shared" si="10"/>
        <v>none</v>
      </c>
      <c r="U24" s="64" t="e">
        <f t="shared" si="11"/>
        <v>#VALUE!</v>
      </c>
      <c r="V24" s="64">
        <f t="shared" si="12"/>
        <v>4</v>
      </c>
      <c r="W24" s="64" t="e">
        <f t="shared" si="13"/>
        <v>#VALUE!</v>
      </c>
      <c r="X24" s="64" t="e">
        <f t="shared" si="14"/>
        <v>#VALUE!</v>
      </c>
      <c r="Y24" s="64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 x14ac:dyDescent="0.15">
      <c r="A25" s="47">
        <v>47007401</v>
      </c>
      <c r="B25" s="149" t="s">
        <v>419</v>
      </c>
      <c r="C25" s="50">
        <v>3</v>
      </c>
      <c r="D25" s="50" t="s">
        <v>127</v>
      </c>
      <c r="E25" s="51" t="s">
        <v>296</v>
      </c>
      <c r="F25" s="51" t="s">
        <v>264</v>
      </c>
      <c r="G25" s="64" t="str">
        <f t="shared" si="0"/>
        <v>[effect:enemy_message, val1:2.1, val2:3.3]</v>
      </c>
      <c r="H25" s="64">
        <f t="shared" si="2"/>
        <v>9</v>
      </c>
      <c r="I25" s="64">
        <f t="shared" si="3"/>
        <v>22</v>
      </c>
      <c r="J25" s="64" t="e">
        <f t="shared" si="4"/>
        <v>#VALUE!</v>
      </c>
      <c r="K25" s="64">
        <f t="shared" si="5"/>
        <v>32</v>
      </c>
      <c r="L25" s="64" t="str">
        <f>IFERROR(VLOOKUP(MID(G25,J25,K25-J25),[5]skilldef!$C:$D,2,FALSE),"-") &amp; " / " &amp; IFERROR(VLOOKUP(MID(G25,H25,I25-H25),[5]skilldef!$A:$B,2,FALSE),"-")</f>
        <v>- / -</v>
      </c>
      <c r="M25" s="64" t="str">
        <f t="shared" si="1"/>
        <v>[effect:fix_speed, target:myself, turn:1],[effect:tolerance, target:myself, turn:-1, count:-1, tolerance_effect:all, animation:enemy_tolerance],[effect:force_change_block, new_block:block_heart, target:block_blue, count:0, val:0],[effect:force_change_block, new_block:block_red, target:block_yellow, count:0, val:0]</v>
      </c>
      <c r="N25" s="48" t="str">
        <f t="shared" si="30"/>
        <v>[effect:fix_speed, target:myself, turn:1],[effect:tolerance, target:myself, turn:-1, count:-1, tolerance_effect:all, animation:enemy_tolerance],[effect:force_change_block, new_block:block_heart, target:block_blue, count:0, val:0],[effect:force_change_block, new_block:block_red, target:block_yellow, count:0, val:0]</v>
      </c>
      <c r="O25" s="64">
        <f t="shared" si="6"/>
        <v>9</v>
      </c>
      <c r="P25" s="64">
        <f t="shared" si="7"/>
        <v>18</v>
      </c>
      <c r="Q25" s="64">
        <f t="shared" si="8"/>
        <v>27</v>
      </c>
      <c r="R25" s="64">
        <f t="shared" si="9"/>
        <v>33</v>
      </c>
      <c r="S25" s="64" t="str">
        <f>IFERROR(VLOOKUP(MID(N25,Q25,R25-Q25),[5]skilldef!$C:$D,2,FALSE),"-") &amp; " / " &amp; IFERROR(VLOOKUP(MID(N25,O25,P25-O25),[5]skilldef!$A:$B,2,FALSE),"-")</f>
        <v>自分自身に / 行動値設定</v>
      </c>
      <c r="T25" s="48" t="str">
        <f t="shared" si="10"/>
        <v>[effect:tolerance, target:myself, turn:-1, count:-1, tolerance_effect:all, animation:enemy_tolerance],[effect:force_change_block, new_block:block_heart, target:block_blue, count:0, val:0],[effect:force_change_block, new_block:block_red, target:block_yellow, count:0, val:0]</v>
      </c>
      <c r="U25" s="64">
        <f t="shared" si="11"/>
        <v>9</v>
      </c>
      <c r="V25" s="64">
        <f t="shared" si="12"/>
        <v>18</v>
      </c>
      <c r="W25" s="64">
        <f t="shared" si="13"/>
        <v>27</v>
      </c>
      <c r="X25" s="64">
        <f t="shared" si="14"/>
        <v>33</v>
      </c>
      <c r="Y25" s="64" t="str">
        <f>IFERROR(VLOOKUP(MID(T25,W25,X25-W25),[5]skilldef!$C:$D,2,FALSE),"-") &amp; " / " &amp; IFERROR(VLOOKUP(MID(T25,U25,V25-U25),[5]skilldef!$A:$B,2,FALSE),"-")</f>
        <v>自分自身に / 状態異常耐性</v>
      </c>
      <c r="Z25" s="50"/>
      <c r="AA25" s="52"/>
      <c r="AB25" s="50"/>
    </row>
    <row r="26" spans="1:28" ht="21" customHeight="1" x14ac:dyDescent="0.15">
      <c r="A26" s="118">
        <v>47007402</v>
      </c>
      <c r="B26" s="154" t="s">
        <v>418</v>
      </c>
      <c r="C26" s="121">
        <v>3</v>
      </c>
      <c r="D26" s="121" t="s">
        <v>127</v>
      </c>
      <c r="E26" s="117" t="s">
        <v>336</v>
      </c>
      <c r="F26" s="117" t="s">
        <v>351</v>
      </c>
      <c r="G26" s="64" t="str">
        <f t="shared" si="0"/>
        <v>[effect:enemy_message, val1:2.8, val2:4.7]</v>
      </c>
      <c r="H26" s="64">
        <f t="shared" si="2"/>
        <v>9</v>
      </c>
      <c r="I26" s="64">
        <f t="shared" si="3"/>
        <v>22</v>
      </c>
      <c r="J26" s="64" t="e">
        <f t="shared" si="4"/>
        <v>#VALUE!</v>
      </c>
      <c r="K26" s="64">
        <f t="shared" si="5"/>
        <v>32</v>
      </c>
      <c r="L26" s="64" t="str">
        <f>IFERROR(VLOOKUP(MID(G26,J26,K26-J26),[5]skilldef!$C:$D,2,FALSE),"-") &amp; " / " &amp; IFERROR(VLOOKUP(MID(G26,H26,I26-H26),[5]skilldef!$A:$B,2,FALSE),"-")</f>
        <v>- / -</v>
      </c>
      <c r="M26" s="64" t="str">
        <f t="shared" si="1"/>
        <v>[effect:fix_speed, target:myself, turn:1],[effect:sp_boost, target:unit_all, val:4],[effect:force_change_block, new_block:block_heart, target:block_blue, count:0, val:0],[effect:force_change_block, new_block:block_red, target:block_yellow, count:0, val:0]</v>
      </c>
      <c r="N26" s="48" t="str">
        <f t="shared" si="30"/>
        <v>[effect:fix_speed, target:myself, turn:1],[effect:sp_boost, target:unit_all, val:4],[effect:force_change_block, new_block:block_heart, target:block_blue, count:0, val:0],[effect:force_change_block, new_block:block_red, target:block_yellow, count:0, val:0]</v>
      </c>
      <c r="O26" s="64">
        <f t="shared" si="6"/>
        <v>9</v>
      </c>
      <c r="P26" s="64">
        <f t="shared" si="7"/>
        <v>18</v>
      </c>
      <c r="Q26" s="64">
        <f t="shared" si="8"/>
        <v>27</v>
      </c>
      <c r="R26" s="64">
        <f t="shared" si="9"/>
        <v>33</v>
      </c>
      <c r="S26" s="64" t="str">
        <f>IFERROR(VLOOKUP(MID(N26,Q26,R26-Q26),[5]skilldef!$C:$D,2,FALSE),"-") &amp; " / " &amp; IFERROR(VLOOKUP(MID(N26,O26,P26-O26),[5]skilldef!$A:$B,2,FALSE),"-")</f>
        <v>自分自身に / 行動値設定</v>
      </c>
      <c r="T26" s="48" t="str">
        <f t="shared" si="10"/>
        <v>[effect:sp_boost, target:unit_all, val:4],[effect:force_change_block, new_block:block_heart, target:block_blue, count:0, val:0],[effect:force_change_block, new_block:block_red, target:block_yellow, count:0, val:0]</v>
      </c>
      <c r="U26" s="64">
        <f t="shared" si="11"/>
        <v>9</v>
      </c>
      <c r="V26" s="64">
        <f t="shared" si="12"/>
        <v>17</v>
      </c>
      <c r="W26" s="64">
        <f t="shared" si="13"/>
        <v>26</v>
      </c>
      <c r="X26" s="64">
        <f t="shared" si="14"/>
        <v>34</v>
      </c>
      <c r="Y26" s="64" t="str">
        <f>IFERROR(VLOOKUP(MID(T26,W26,X26-W26),[5]skilldef!$C:$D,2,FALSE),"-") &amp; " / " &amp; IFERROR(VLOOKUP(MID(T26,U26,V26-U26),[5]skilldef!$A:$B,2,FALSE),"-")</f>
        <v>味方全体に / -</v>
      </c>
      <c r="Z26" s="50"/>
      <c r="AA26" s="52"/>
      <c r="AB26" s="50"/>
    </row>
    <row r="27" spans="1:28" ht="21" customHeight="1" x14ac:dyDescent="0.15">
      <c r="A27" s="118">
        <v>47007403</v>
      </c>
      <c r="B27" s="154" t="s">
        <v>417</v>
      </c>
      <c r="C27" s="121">
        <v>3</v>
      </c>
      <c r="D27" s="121" t="s">
        <v>127</v>
      </c>
      <c r="E27" s="117" t="s">
        <v>345</v>
      </c>
      <c r="F27" s="117" t="s">
        <v>352</v>
      </c>
      <c r="G27" s="64" t="str">
        <f t="shared" si="0"/>
        <v>[effect:enemy_message, val1:2.7, val2:4.7]</v>
      </c>
      <c r="H27" s="64">
        <f t="shared" si="2"/>
        <v>9</v>
      </c>
      <c r="I27" s="64">
        <f t="shared" si="3"/>
        <v>22</v>
      </c>
      <c r="J27" s="64" t="e">
        <f t="shared" si="4"/>
        <v>#VALUE!</v>
      </c>
      <c r="K27" s="64">
        <f t="shared" si="5"/>
        <v>32</v>
      </c>
      <c r="L27" s="64" t="str">
        <f>IFERROR(VLOOKUP(MID(G27,J27,K27-J27),[5]skilldef!$C:$D,2,FALSE),"-") &amp; " / " &amp; IFERROR(VLOOKUP(MID(G27,H27,I27-H27),[5]skilldef!$A:$B,2,FALSE),"-")</f>
        <v>- / -</v>
      </c>
      <c r="M27" s="64" t="str">
        <f t="shared" si="1"/>
        <v>[effect:fix_speed, target:myself, turn:1],[effect:sp_boost, target:unit_all, val:2],[effect:force_change_block, new_block:block_heart, target:block_blue, count:0, val:0],[effect:force_change_block, new_block:block_red, target:block_yellow, count:0, val:0]</v>
      </c>
      <c r="N27" s="48" t="str">
        <f t="shared" si="30"/>
        <v>[effect:fix_speed, target:myself, turn:1],[effect:sp_boost, target:unit_all, val:2],[effect:force_change_block, new_block:block_heart, target:block_blue, count:0, val:0],[effect:force_change_block, new_block:block_red, target:block_yellow, count:0, val:0]</v>
      </c>
      <c r="O27" s="64">
        <f t="shared" si="6"/>
        <v>9</v>
      </c>
      <c r="P27" s="64">
        <f t="shared" si="7"/>
        <v>18</v>
      </c>
      <c r="Q27" s="64">
        <f t="shared" si="8"/>
        <v>27</v>
      </c>
      <c r="R27" s="64">
        <f t="shared" si="9"/>
        <v>33</v>
      </c>
      <c r="S27" s="64" t="str">
        <f>IFERROR(VLOOKUP(MID(N27,Q27,R27-Q27),[5]skilldef!$C:$D,2,FALSE),"-") &amp; " / " &amp; IFERROR(VLOOKUP(MID(N27,O27,P27-O27),[5]skilldef!$A:$B,2,FALSE),"-")</f>
        <v>自分自身に / 行動値設定</v>
      </c>
      <c r="T27" s="48" t="str">
        <f t="shared" si="10"/>
        <v>[effect:sp_boost, target:unit_all, val:2],[effect:force_change_block, new_block:block_heart, target:block_blue, count:0, val:0],[effect:force_change_block, new_block:block_red, target:block_yellow, count:0, val:0]</v>
      </c>
      <c r="U27" s="64">
        <f t="shared" si="11"/>
        <v>9</v>
      </c>
      <c r="V27" s="64">
        <f t="shared" si="12"/>
        <v>17</v>
      </c>
      <c r="W27" s="64">
        <f t="shared" si="13"/>
        <v>26</v>
      </c>
      <c r="X27" s="64">
        <f t="shared" si="14"/>
        <v>34</v>
      </c>
      <c r="Y27" s="64" t="str">
        <f>IFERROR(VLOOKUP(MID(T27,W27,X27-W27),[5]skilldef!$C:$D,2,FALSE),"-") &amp; " / " &amp; IFERROR(VLOOKUP(MID(T27,U27,V27-U27),[5]skilldef!$A:$B,2,FALSE),"-")</f>
        <v>味方全体に / -</v>
      </c>
      <c r="Z27" s="50"/>
      <c r="AA27" s="52"/>
      <c r="AB27" s="50"/>
    </row>
    <row r="28" spans="1:28" ht="21" customHeight="1" x14ac:dyDescent="0.15">
      <c r="A28" s="118">
        <v>47007409</v>
      </c>
      <c r="B28" s="150" t="s">
        <v>416</v>
      </c>
      <c r="C28" s="121">
        <v>3</v>
      </c>
      <c r="D28" s="121" t="s">
        <v>127</v>
      </c>
      <c r="E28" s="117" t="s">
        <v>342</v>
      </c>
      <c r="F28" s="117" t="s">
        <v>264</v>
      </c>
      <c r="G28" s="64" t="str">
        <f t="shared" si="0"/>
        <v>[effect:enemy_message, val1:2.4, val2:3.3]</v>
      </c>
      <c r="H28" s="64">
        <f t="shared" ref="H28" si="31">FIND("effect:",G28)+7</f>
        <v>9</v>
      </c>
      <c r="I28" s="64">
        <f t="shared" ref="I28" si="32">IFERROR(FIND(",",G28),LEN(G28))</f>
        <v>22</v>
      </c>
      <c r="J28" s="64" t="e">
        <f t="shared" ref="J28" si="33">FIND("target:",G28)+7</f>
        <v>#VALUE!</v>
      </c>
      <c r="K28" s="64">
        <f t="shared" ref="K28" si="34">FIND(",",G28,I28+1)</f>
        <v>32</v>
      </c>
      <c r="L28" s="64" t="str">
        <f>IFERROR(VLOOKUP(MID(G28,J28,K28-J28),[5]skilldef!$C:$D,2,FALSE),"-") &amp; " / " &amp; IFERROR(VLOOKUP(MID(G28,H28,I28-H28),[5]skilldef!$A:$B,2,FALSE),"-")</f>
        <v>- / -</v>
      </c>
      <c r="M28" s="64" t="str">
        <f t="shared" si="1"/>
        <v>[effect:fix_speed, target:myself, turn:1],[effect:tolerance, target:myself, turn:-1, count:-1, tolerance_effect:all, animation:enemy_tolerance],[effect:force_change_block, new_block:block_heart, target:block_blue, count:0, val:0],[effect:force_change_block, new_block:block_red, target:block_yellow, count:0, val:0]</v>
      </c>
      <c r="N28" s="48" t="str">
        <f t="shared" si="30"/>
        <v>[effect:fix_speed, target:myself, turn:1],[effect:tolerance, target:myself, turn:-1, count:-1, tolerance_effect:all, animation:enemy_tolerance],[effect:force_change_block, new_block:block_heart, target:block_blue, count:0, val:0],[effect:force_change_block, new_block:block_red, target:block_yellow, count:0, val:0]</v>
      </c>
      <c r="O28" s="64">
        <f t="shared" ref="O28" si="35">FIND("effect:",N28)+7</f>
        <v>9</v>
      </c>
      <c r="P28" s="64">
        <f t="shared" ref="P28" si="36">IFERROR(FIND(",",N28),LEN(N28))</f>
        <v>18</v>
      </c>
      <c r="Q28" s="64">
        <f t="shared" ref="Q28" si="37">FIND("target:",N28)+7</f>
        <v>27</v>
      </c>
      <c r="R28" s="64">
        <f t="shared" ref="R28" si="38">FIND(",",N28,P28+1)</f>
        <v>33</v>
      </c>
      <c r="S28" s="64" t="str">
        <f>IFERROR(VLOOKUP(MID(N28,Q28,R28-Q28),[5]skilldef!$C:$D,2,FALSE),"-") &amp; " / " &amp; IFERROR(VLOOKUP(MID(N28,O28,P28-O28),[5]skilldef!$A:$B,2,FALSE),"-")</f>
        <v>自分自身に / 行動値設定</v>
      </c>
      <c r="T28" s="48" t="str">
        <f t="shared" ref="T28" si="39">IFERROR(RIGHT(M28,LEN(M28)-FIND("],",M28)-1),"none")</f>
        <v>[effect:tolerance, target:myself, turn:-1, count:-1, tolerance_effect:all, animation:enemy_tolerance],[effect:force_change_block, new_block:block_heart, target:block_blue, count:0, val:0],[effect:force_change_block, new_block:block_red, target:block_yellow, count:0, val:0]</v>
      </c>
      <c r="U28" s="64">
        <f t="shared" ref="U28" si="40">FIND("effect:",T28)+7</f>
        <v>9</v>
      </c>
      <c r="V28" s="64">
        <f t="shared" ref="V28" si="41">IFERROR(FIND(",",T28),LEN(T28))</f>
        <v>18</v>
      </c>
      <c r="W28" s="64">
        <f t="shared" ref="W28" si="42">FIND("target:",T28)+7</f>
        <v>27</v>
      </c>
      <c r="X28" s="64">
        <f t="shared" ref="X28" si="43">FIND(",",T28,V28+1)</f>
        <v>33</v>
      </c>
      <c r="Y28" s="64" t="str">
        <f>IFERROR(VLOOKUP(MID(T28,W28,X28-W28),[5]skilldef!$C:$D,2,FALSE),"-") &amp; " / " &amp; IFERROR(VLOOKUP(MID(T28,U28,V28-U28),[5]skilldef!$A:$B,2,FALSE),"-")</f>
        <v>自分自身に / 状態異常耐性</v>
      </c>
      <c r="Z28" s="50"/>
      <c r="AA28" s="52"/>
      <c r="AB28" s="50"/>
    </row>
    <row r="29" spans="1:28" ht="21" customHeight="1" x14ac:dyDescent="0.15">
      <c r="A29" s="47">
        <v>47007404</v>
      </c>
      <c r="B29" s="149" t="s">
        <v>379</v>
      </c>
      <c r="C29" s="50">
        <v>3</v>
      </c>
      <c r="D29" s="50" t="s">
        <v>127</v>
      </c>
      <c r="E29" s="51" t="s">
        <v>292</v>
      </c>
      <c r="F29" s="51" t="s">
        <v>361</v>
      </c>
      <c r="G29" s="64" t="str">
        <f t="shared" si="0"/>
        <v>[effect:enemy_message, val1:1.3, val2:2.2]</v>
      </c>
      <c r="H29" s="64">
        <f t="shared" si="2"/>
        <v>9</v>
      </c>
      <c r="I29" s="64">
        <f t="shared" si="3"/>
        <v>22</v>
      </c>
      <c r="J29" s="64" t="e">
        <f t="shared" si="4"/>
        <v>#VALUE!</v>
      </c>
      <c r="K29" s="64">
        <f t="shared" si="5"/>
        <v>32</v>
      </c>
      <c r="L29" s="64" t="str">
        <f>IFERROR(VLOOKUP(MID(G29,J29,K29-J29),[5]skilldef!$C:$D,2,FALSE),"-") &amp; " / " &amp; IFERROR(VLOOKUP(MID(G29,H29,I29-H29),[5]skilldef!$A:$B,2,FALSE),"-")</f>
        <v>- / -</v>
      </c>
      <c r="M29" s="64" t="str">
        <f t="shared" si="1"/>
        <v>[effect:panel_freeze, target:normal, count:10],[effect:spread, val:0.4]</v>
      </c>
      <c r="N29" s="48" t="str">
        <f t="shared" si="29"/>
        <v>[effect:panel_freeze, target:normal, count:10],[effect:spread, val:0.4]</v>
      </c>
      <c r="O29" s="64">
        <f t="shared" si="6"/>
        <v>9</v>
      </c>
      <c r="P29" s="64">
        <f t="shared" si="7"/>
        <v>21</v>
      </c>
      <c r="Q29" s="64">
        <f t="shared" si="8"/>
        <v>30</v>
      </c>
      <c r="R29" s="64">
        <f t="shared" si="9"/>
        <v>36</v>
      </c>
      <c r="S29" s="64" t="str">
        <f>IFERROR(VLOOKUP(MID(N29,Q29,R29-Q29),[5]skilldef!$C:$D,2,FALSE),"-") &amp; " / " &amp; IFERROR(VLOOKUP(MID(N29,O29,P29-O29),[5]skilldef!$A:$B,2,FALSE),"-")</f>
        <v>- / -</v>
      </c>
      <c r="T29" s="48" t="str">
        <f t="shared" si="10"/>
        <v>[effect:spread, val:0.4]</v>
      </c>
      <c r="U29" s="64">
        <f t="shared" si="11"/>
        <v>9</v>
      </c>
      <c r="V29" s="64">
        <f t="shared" si="12"/>
        <v>15</v>
      </c>
      <c r="W29" s="64" t="e">
        <f t="shared" si="13"/>
        <v>#VALUE!</v>
      </c>
      <c r="X29" s="64" t="e">
        <f t="shared" si="14"/>
        <v>#VALUE!</v>
      </c>
      <c r="Y29" s="64" t="str">
        <f>IFERROR(VLOOKUP(MID(T29,W29,X29-W29),[5]skilldef!$C:$D,2,FALSE),"-") &amp; " / " &amp; IFERROR(VLOOKUP(MID(T29,U29,V29-U29),[5]skilldef!$A:$B,2,FALSE),"-")</f>
        <v>- / 全体攻撃</v>
      </c>
      <c r="Z29" s="50"/>
      <c r="AA29" s="52"/>
      <c r="AB29" s="50"/>
    </row>
    <row r="30" spans="1:28" ht="21" customHeight="1" x14ac:dyDescent="0.15">
      <c r="A30" s="47">
        <v>47007405</v>
      </c>
      <c r="B30" s="149" t="s">
        <v>371</v>
      </c>
      <c r="C30" s="50">
        <v>3</v>
      </c>
      <c r="D30" s="50" t="s">
        <v>127</v>
      </c>
      <c r="E30" s="51" t="s">
        <v>297</v>
      </c>
      <c r="F30" s="51" t="s">
        <v>309</v>
      </c>
      <c r="G30" s="64" t="str">
        <f t="shared" si="0"/>
        <v>[effect:enemy_message, val1:1.7, val2:1.8]</v>
      </c>
      <c r="H30" s="64">
        <f t="shared" si="2"/>
        <v>9</v>
      </c>
      <c r="I30" s="64">
        <f t="shared" si="3"/>
        <v>22</v>
      </c>
      <c r="J30" s="64" t="e">
        <f t="shared" si="4"/>
        <v>#VALUE!</v>
      </c>
      <c r="K30" s="64">
        <f t="shared" si="5"/>
        <v>32</v>
      </c>
      <c r="L30" s="64" t="str">
        <f>IFERROR(VLOOKUP(MID(G30,J30,K30-J30),[5]skilldef!$C:$D,2,FALSE),"-") &amp; " / " &amp; IFERROR(VLOOKUP(MID(G30,H30,I30-H30),[5]skilldef!$A:$B,2,FALSE),"-")</f>
        <v>- / -</v>
      </c>
      <c r="M30" s="64" t="str">
        <f t="shared" si="1"/>
        <v>[effect:break_attack_fix, target:unit_one, val:500, lowest_val:11000, count:15, block01:block_red]</v>
      </c>
      <c r="N30" s="48" t="str">
        <f t="shared" si="29"/>
        <v>[effect:break_attack_fix, target:unit_one, val:500, lowest_val:11000, count:15, block01:block_red]</v>
      </c>
      <c r="O30" s="64">
        <f t="shared" si="6"/>
        <v>9</v>
      </c>
      <c r="P30" s="64">
        <f t="shared" si="7"/>
        <v>25</v>
      </c>
      <c r="Q30" s="64">
        <f t="shared" si="8"/>
        <v>34</v>
      </c>
      <c r="R30" s="64">
        <f t="shared" si="9"/>
        <v>42</v>
      </c>
      <c r="S30" s="64" t="str">
        <f>IFERROR(VLOOKUP(MID(N30,Q30,R30-Q30),[5]skilldef!$C:$D,2,FALSE),"-") &amp; " / " &amp; IFERROR(VLOOKUP(MID(N30,O30,P30-O30),[5]skilldef!$A:$B,2,FALSE),"-")</f>
        <v>味方単体に / -</v>
      </c>
      <c r="T30" s="48" t="str">
        <f t="shared" si="10"/>
        <v>none</v>
      </c>
      <c r="U30" s="64" t="e">
        <f t="shared" si="11"/>
        <v>#VALUE!</v>
      </c>
      <c r="V30" s="64">
        <f t="shared" si="12"/>
        <v>4</v>
      </c>
      <c r="W30" s="64" t="e">
        <f t="shared" si="13"/>
        <v>#VALUE!</v>
      </c>
      <c r="X30" s="64" t="e">
        <f t="shared" si="14"/>
        <v>#VALUE!</v>
      </c>
      <c r="Y30" s="64" t="str">
        <f>IFERROR(VLOOKUP(MID(T30,W30,X30-W30),[5]skilldef!$C:$D,2,FALSE),"-") &amp; " / " &amp; IFERROR(VLOOKUP(MID(T30,U30,V30-U30),[5]skilldef!$A:$B,2,FALSE),"-")</f>
        <v>- / -</v>
      </c>
      <c r="Z30" s="50"/>
      <c r="AA30" s="52"/>
      <c r="AB30" s="50"/>
    </row>
    <row r="31" spans="1:28" ht="21" customHeight="1" x14ac:dyDescent="0.15">
      <c r="A31" s="47">
        <v>47007406</v>
      </c>
      <c r="B31" s="149" t="s">
        <v>413</v>
      </c>
      <c r="C31" s="50">
        <v>3</v>
      </c>
      <c r="D31" s="50" t="s">
        <v>127</v>
      </c>
      <c r="E31" s="51" t="s">
        <v>291</v>
      </c>
      <c r="F31" s="51" t="s">
        <v>310</v>
      </c>
      <c r="G31" s="64" t="str">
        <f t="shared" si="0"/>
        <v>[effect:enemy_message, val1:1.8, val2:2.7]</v>
      </c>
      <c r="H31" s="64">
        <f t="shared" si="2"/>
        <v>9</v>
      </c>
      <c r="I31" s="64">
        <f t="shared" si="3"/>
        <v>22</v>
      </c>
      <c r="J31" s="64" t="e">
        <f t="shared" si="4"/>
        <v>#VALUE!</v>
      </c>
      <c r="K31" s="64">
        <f t="shared" si="5"/>
        <v>32</v>
      </c>
      <c r="L31" s="64" t="str">
        <f>IFERROR(VLOOKUP(MID(G31,J31,K31-J31),[5]skilldef!$C:$D,2,FALSE),"-") &amp; " / " &amp; IFERROR(VLOOKUP(MID(G31,H31,I31-H31),[5]skilldef!$A:$B,2,FALSE),"-")</f>
        <v>- / -</v>
      </c>
      <c r="M31" s="64" t="str">
        <f t="shared" si="1"/>
        <v>[effect:damage_abnormal, target:unit_one, val:1.3, status:attack, turn:-1, rate:1, val_abnormal:-0.3]</v>
      </c>
      <c r="N31" s="48" t="str">
        <f t="shared" si="29"/>
        <v>[effect:damage_abnormal, target:unit_one, val:1.3, status:attack, turn:-1, rate:1, val_abnormal:-0.3]</v>
      </c>
      <c r="O31" s="64">
        <f t="shared" si="6"/>
        <v>9</v>
      </c>
      <c r="P31" s="64">
        <f t="shared" si="7"/>
        <v>24</v>
      </c>
      <c r="Q31" s="64">
        <f t="shared" si="8"/>
        <v>33</v>
      </c>
      <c r="R31" s="64">
        <f t="shared" si="9"/>
        <v>41</v>
      </c>
      <c r="S31" s="64" t="str">
        <f>IFERROR(VLOOKUP(MID(N31,Q31,R31-Q31),[5]skilldef!$C:$D,2,FALSE),"-") &amp; " / " &amp; IFERROR(VLOOKUP(MID(N31,O31,P31-O31),[5]skilldef!$A:$B,2,FALSE),"-")</f>
        <v>味方単体に / -</v>
      </c>
      <c r="T31" s="48" t="str">
        <f t="shared" si="10"/>
        <v>none</v>
      </c>
      <c r="U31" s="64" t="e">
        <f t="shared" si="11"/>
        <v>#VALUE!</v>
      </c>
      <c r="V31" s="64">
        <f t="shared" si="12"/>
        <v>4</v>
      </c>
      <c r="W31" s="64" t="e">
        <f t="shared" si="13"/>
        <v>#VALUE!</v>
      </c>
      <c r="X31" s="64" t="e">
        <f t="shared" si="14"/>
        <v>#VALUE!</v>
      </c>
      <c r="Y31" s="64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</row>
    <row r="32" spans="1:28" ht="21" customHeight="1" x14ac:dyDescent="0.15">
      <c r="A32" s="47">
        <v>47007407</v>
      </c>
      <c r="B32" s="149" t="s">
        <v>414</v>
      </c>
      <c r="C32" s="50">
        <v>3</v>
      </c>
      <c r="D32" s="50" t="s">
        <v>127</v>
      </c>
      <c r="E32" s="51" t="s">
        <v>298</v>
      </c>
      <c r="F32" s="51" t="s">
        <v>311</v>
      </c>
      <c r="G32" s="64" t="str">
        <f t="shared" si="0"/>
        <v>[effect:enemy_message, val1:1.7, val2:2.7]</v>
      </c>
      <c r="H32" s="64">
        <f t="shared" si="2"/>
        <v>9</v>
      </c>
      <c r="I32" s="64">
        <f t="shared" si="3"/>
        <v>22</v>
      </c>
      <c r="J32" s="64" t="e">
        <f t="shared" si="4"/>
        <v>#VALUE!</v>
      </c>
      <c r="K32" s="64">
        <f t="shared" si="5"/>
        <v>32</v>
      </c>
      <c r="L32" s="64" t="str">
        <f>IFERROR(VLOOKUP(MID(G32,J32,K32-J32),[5]skilldef!$C:$D,2,FALSE),"-") &amp; " / " &amp; IFERROR(VLOOKUP(MID(G32,H32,I32-H32),[5]skilldef!$A:$B,2,FALSE),"-")</f>
        <v>- / -</v>
      </c>
      <c r="M32" s="64" t="str">
        <f t="shared" si="1"/>
        <v>[effect:damage_abnormal, target:unit_one, val:1.3, status:heal, turn:-1, rate:1, val_abnormal:-0.3]</v>
      </c>
      <c r="N32" s="48" t="str">
        <f t="shared" si="29"/>
        <v>[effect:damage_abnormal, target:unit_one, val:1.3, status:heal, turn:-1, rate:1, val_abnormal:-0.3]</v>
      </c>
      <c r="O32" s="64">
        <f t="shared" si="6"/>
        <v>9</v>
      </c>
      <c r="P32" s="64">
        <f t="shared" si="7"/>
        <v>24</v>
      </c>
      <c r="Q32" s="64">
        <f t="shared" si="8"/>
        <v>33</v>
      </c>
      <c r="R32" s="64">
        <f t="shared" si="9"/>
        <v>41</v>
      </c>
      <c r="S32" s="64" t="str">
        <f>IFERROR(VLOOKUP(MID(N32,Q32,R32-Q32),[5]skilldef!$C:$D,2,FALSE),"-") &amp; " / " &amp; IFERROR(VLOOKUP(MID(N32,O32,P32-O32),[5]skilldef!$A:$B,2,FALSE),"-")</f>
        <v>味方単体に / -</v>
      </c>
      <c r="T32" s="48" t="str">
        <f t="shared" si="10"/>
        <v>none</v>
      </c>
      <c r="U32" s="64" t="e">
        <f t="shared" si="11"/>
        <v>#VALUE!</v>
      </c>
      <c r="V32" s="64">
        <f t="shared" si="12"/>
        <v>4</v>
      </c>
      <c r="W32" s="64" t="e">
        <f t="shared" si="13"/>
        <v>#VALUE!</v>
      </c>
      <c r="X32" s="64" t="e">
        <f t="shared" si="14"/>
        <v>#VALUE!</v>
      </c>
      <c r="Y32" s="64" t="str">
        <f>IFERROR(VLOOKUP(MID(T32,W32,X32-W32),[5]skilldef!$C:$D,2,FALSE),"-") &amp; " / " &amp; IFERROR(VLOOKUP(MID(T32,U32,V32-U32),[5]skilldef!$A:$B,2,FALSE),"-")</f>
        <v>- / -</v>
      </c>
      <c r="Z32" s="50"/>
      <c r="AA32" s="52"/>
      <c r="AB32" s="50"/>
    </row>
    <row r="33" spans="1:28" ht="21" customHeight="1" x14ac:dyDescent="0.15">
      <c r="A33" s="47">
        <v>47007408</v>
      </c>
      <c r="B33" s="149" t="s">
        <v>372</v>
      </c>
      <c r="C33" s="50">
        <v>3</v>
      </c>
      <c r="D33" s="50" t="s">
        <v>127</v>
      </c>
      <c r="E33" s="51" t="s">
        <v>289</v>
      </c>
      <c r="F33" s="51" t="s">
        <v>290</v>
      </c>
      <c r="G33" s="64" t="str">
        <f t="shared" si="0"/>
        <v>[effect:enemy_message, val1:1.5, val2:2.0]</v>
      </c>
      <c r="H33" s="64">
        <f t="shared" si="2"/>
        <v>9</v>
      </c>
      <c r="I33" s="64">
        <f t="shared" si="3"/>
        <v>22</v>
      </c>
      <c r="J33" s="64" t="e">
        <f t="shared" si="4"/>
        <v>#VALUE!</v>
      </c>
      <c r="K33" s="64">
        <f t="shared" si="5"/>
        <v>32</v>
      </c>
      <c r="L33" s="64" t="str">
        <f>IFERROR(VLOOKUP(MID(G33,J33,K33-J33),[5]skilldef!$C:$D,2,FALSE),"-") &amp; " / " &amp; IFERROR(VLOOKUP(MID(G33,H33,I33-H33),[5]skilldef!$A:$B,2,FALSE),"-")</f>
        <v>- / -</v>
      </c>
      <c r="M33" s="64" t="str">
        <f t="shared" si="1"/>
        <v>[effect:force_change_block, new_block:block_heart, target:block_all, ignore01:crash, ignore02:crack_bomb, ignore03:color_break, ignore04:magnet, ignore05:block_heart, count:0, val:0]</v>
      </c>
      <c r="N33" s="48" t="str">
        <f t="shared" si="29"/>
        <v>[effect:force_change_block, new_block:block_heart, target:block_all, ignore01:crash, ignore02:crack_bomb, ignore03:color_break, ignore04:magnet, ignore05:block_heart, count:0, val:0]</v>
      </c>
      <c r="O33" s="64">
        <f t="shared" si="6"/>
        <v>9</v>
      </c>
      <c r="P33" s="64">
        <f t="shared" si="7"/>
        <v>27</v>
      </c>
      <c r="Q33" s="64">
        <f t="shared" si="8"/>
        <v>59</v>
      </c>
      <c r="R33" s="64">
        <f t="shared" si="9"/>
        <v>50</v>
      </c>
      <c r="S33" s="64" t="str">
        <f>IFERROR(VLOOKUP(MID(N33,Q33,R33-Q33),[5]skilldef!$C:$D,2,FALSE),"-") &amp; " / " &amp; IFERROR(VLOOKUP(MID(N33,O33,P33-O33),[5]skilldef!$A:$B,2,FALSE),"-")</f>
        <v>- / -</v>
      </c>
      <c r="T33" s="48" t="str">
        <f t="shared" si="10"/>
        <v>none</v>
      </c>
      <c r="U33" s="64" t="e">
        <f t="shared" si="11"/>
        <v>#VALUE!</v>
      </c>
      <c r="V33" s="64">
        <f t="shared" si="12"/>
        <v>4</v>
      </c>
      <c r="W33" s="64" t="e">
        <f t="shared" si="13"/>
        <v>#VALUE!</v>
      </c>
      <c r="X33" s="64" t="e">
        <f t="shared" si="14"/>
        <v>#VALUE!</v>
      </c>
      <c r="Y33" s="64" t="str">
        <f>IFERROR(VLOOKUP(MID(T33,W33,X33-W33),[5]skilldef!$C:$D,2,FALSE),"-") &amp; " / " &amp; IFERROR(VLOOKUP(MID(T33,U33,V33-U33),[5]skilldef!$A:$B,2,FALSE),"-")</f>
        <v>- / -</v>
      </c>
      <c r="Z33" s="50"/>
      <c r="AA33" s="52"/>
      <c r="AB33" s="50"/>
    </row>
    <row r="34" spans="1:28" ht="21" customHeight="1" x14ac:dyDescent="0.15">
      <c r="A34" s="47">
        <v>47007501</v>
      </c>
      <c r="B34" s="149" t="s">
        <v>415</v>
      </c>
      <c r="C34" s="50">
        <v>3</v>
      </c>
      <c r="D34" s="50" t="s">
        <v>127</v>
      </c>
      <c r="E34" s="51" t="s">
        <v>299</v>
      </c>
      <c r="F34" s="51" t="s">
        <v>265</v>
      </c>
      <c r="G34" s="64" t="str">
        <f t="shared" ref="G34:G67" si="44">IFERROR(LEFT(B34,FIND("],",B34)),B34)</f>
        <v>[effect:enemy_message, val1:1.2, val2:2.3]</v>
      </c>
      <c r="H34" s="64">
        <f t="shared" si="2"/>
        <v>9</v>
      </c>
      <c r="I34" s="64">
        <f t="shared" si="3"/>
        <v>22</v>
      </c>
      <c r="J34" s="64" t="e">
        <f t="shared" si="4"/>
        <v>#VALUE!</v>
      </c>
      <c r="K34" s="64">
        <f t="shared" si="5"/>
        <v>32</v>
      </c>
      <c r="L34" s="64" t="str">
        <f>IFERROR(VLOOKUP(MID(G34,J34,K34-J34),[5]skilldef!$C:$D,2,FALSE),"-") &amp; " / " &amp; IFERROR(VLOOKUP(MID(G34,H34,I34-H34),[5]skilldef!$A:$B,2,FALSE),"-")</f>
        <v>- / -</v>
      </c>
      <c r="M34" s="64" t="str">
        <f t="shared" ref="M34:M67" si="45">IFERROR(RIGHT(B34,LEN(B34)-FIND("],",B34)-1),"none")</f>
        <v>[effect:fix_speed, target:myself, turn:1],[effect:tolerance, target:myself, turn:-1, count:-1, tolerance_effect:all, animation:enemy_tolerance],[effect:enemy_counter, target:myself, invoke_condition:unit_all, counter_target:attacker, turn:3, val:0.2, animation:enemy_counter]</v>
      </c>
      <c r="N34" s="48" t="str">
        <f t="shared" si="29"/>
        <v>[effect:fix_speed, target:myself, turn:1],[effect:tolerance, target:myself, turn:-1, count:-1, tolerance_effect:all, animation:enemy_tolerance],[effect:enemy_counter, target:myself, invoke_condition:unit_all, counter_target:attacker, turn:3, val:0.2, animation:enemy_counter]</v>
      </c>
      <c r="O34" s="64">
        <f t="shared" si="6"/>
        <v>9</v>
      </c>
      <c r="P34" s="64">
        <f t="shared" si="7"/>
        <v>18</v>
      </c>
      <c r="Q34" s="64">
        <f t="shared" si="8"/>
        <v>27</v>
      </c>
      <c r="R34" s="64">
        <f t="shared" si="9"/>
        <v>33</v>
      </c>
      <c r="S34" s="64" t="str">
        <f>IFERROR(VLOOKUP(MID(N34,Q34,R34-Q34),[5]skilldef!$C:$D,2,FALSE),"-") &amp; " / " &amp; IFERROR(VLOOKUP(MID(N34,O34,P34-O34),[5]skilldef!$A:$B,2,FALSE),"-")</f>
        <v>自分自身に / 行動値設定</v>
      </c>
      <c r="T34" s="48" t="str">
        <f t="shared" si="10"/>
        <v>[effect:tolerance, target:myself, turn:-1, count:-1, tolerance_effect:all, animation:enemy_tolerance],[effect:enemy_counter, target:myself, invoke_condition:unit_all, counter_target:attacker, turn:3, val:0.2, animation:enemy_counter]</v>
      </c>
      <c r="U34" s="64">
        <f t="shared" si="11"/>
        <v>9</v>
      </c>
      <c r="V34" s="64">
        <f t="shared" si="12"/>
        <v>18</v>
      </c>
      <c r="W34" s="64">
        <f t="shared" si="13"/>
        <v>27</v>
      </c>
      <c r="X34" s="64">
        <f t="shared" si="14"/>
        <v>33</v>
      </c>
      <c r="Y34" s="64" t="str">
        <f>IFERROR(VLOOKUP(MID(T34,W34,X34-W34),[5]skilldef!$C:$D,2,FALSE),"-") &amp; " / " &amp; IFERROR(VLOOKUP(MID(T34,U34,V34-U34),[5]skilldef!$A:$B,2,FALSE),"-")</f>
        <v>自分自身に / 状態異常耐性</v>
      </c>
      <c r="Z34" s="50"/>
      <c r="AA34" s="52"/>
      <c r="AB34" s="50"/>
    </row>
    <row r="35" spans="1:28" ht="21" customHeight="1" x14ac:dyDescent="0.15">
      <c r="A35" s="47">
        <v>47007502</v>
      </c>
      <c r="B35" s="149" t="s">
        <v>383</v>
      </c>
      <c r="C35" s="50">
        <v>3</v>
      </c>
      <c r="D35" s="50" t="s">
        <v>127</v>
      </c>
      <c r="E35" s="51" t="s">
        <v>286</v>
      </c>
      <c r="F35" s="51" t="s">
        <v>381</v>
      </c>
      <c r="G35" s="64" t="str">
        <f t="shared" si="44"/>
        <v>[effect:enemy_message, val1:1.4, val2:1.2]</v>
      </c>
      <c r="H35" s="64">
        <f t="shared" si="2"/>
        <v>9</v>
      </c>
      <c r="I35" s="64">
        <f t="shared" si="3"/>
        <v>22</v>
      </c>
      <c r="J35" s="64" t="e">
        <f t="shared" si="4"/>
        <v>#VALUE!</v>
      </c>
      <c r="K35" s="64">
        <f t="shared" si="5"/>
        <v>32</v>
      </c>
      <c r="L35" s="64" t="str">
        <f>IFERROR(VLOOKUP(MID(G35,J35,K35-J35),[5]skilldef!$C:$D,2,FALSE),"-") &amp; " / " &amp; IFERROR(VLOOKUP(MID(G35,H35,I35-H35),[5]skilldef!$A:$B,2,FALSE),"-")</f>
        <v>- / -</v>
      </c>
      <c r="M35" s="64" t="str">
        <f t="shared" si="45"/>
        <v>[effect:regenerate, target:unit_all, turn:5, val:0.2, type:hp_ratio, animation:heal03_unit01]</v>
      </c>
      <c r="N35" s="48" t="str">
        <f t="shared" si="29"/>
        <v>[effect:regenerate, target:unit_all, turn:5, val:0.2, type:hp_ratio, animation:heal03_unit01]</v>
      </c>
      <c r="O35" s="64">
        <f t="shared" si="6"/>
        <v>9</v>
      </c>
      <c r="P35" s="64">
        <f t="shared" si="7"/>
        <v>19</v>
      </c>
      <c r="Q35" s="64">
        <f t="shared" si="8"/>
        <v>28</v>
      </c>
      <c r="R35" s="64">
        <f t="shared" si="9"/>
        <v>36</v>
      </c>
      <c r="S35" s="64" t="str">
        <f>IFERROR(VLOOKUP(MID(N35,Q35,R35-Q35),[5]skilldef!$C:$D,2,FALSE),"-") &amp; " / " &amp; IFERROR(VLOOKUP(MID(N35,O35,P35-O35),[5]skilldef!$A:$B,2,FALSE),"-")</f>
        <v>味方全体に / -</v>
      </c>
      <c r="T35" s="48" t="str">
        <f t="shared" si="10"/>
        <v>none</v>
      </c>
      <c r="U35" s="64" t="e">
        <f t="shared" si="11"/>
        <v>#VALUE!</v>
      </c>
      <c r="V35" s="64">
        <f t="shared" si="12"/>
        <v>4</v>
      </c>
      <c r="W35" s="64" t="e">
        <f t="shared" si="13"/>
        <v>#VALUE!</v>
      </c>
      <c r="X35" s="64" t="e">
        <f t="shared" si="14"/>
        <v>#VALUE!</v>
      </c>
      <c r="Y35" s="64" t="str">
        <f>IFERROR(VLOOKUP(MID(T35,W35,X35-W35),[5]skilldef!$C:$D,2,FALSE),"-") &amp; " / " &amp; IFERROR(VLOOKUP(MID(T35,U35,V35-U35),[5]skilldef!$A:$B,2,FALSE),"-")</f>
        <v>- / -</v>
      </c>
      <c r="Z35" s="50"/>
      <c r="AA35" s="52"/>
      <c r="AB35" s="50"/>
    </row>
    <row r="36" spans="1:28" ht="21" customHeight="1" x14ac:dyDescent="0.15">
      <c r="A36" s="47">
        <v>47007503</v>
      </c>
      <c r="B36" s="149" t="s">
        <v>384</v>
      </c>
      <c r="C36" s="50">
        <v>3</v>
      </c>
      <c r="D36" s="50" t="s">
        <v>127</v>
      </c>
      <c r="E36" s="51" t="s">
        <v>312</v>
      </c>
      <c r="F36" s="51" t="s">
        <v>382</v>
      </c>
      <c r="G36" s="64" t="str">
        <f t="shared" si="44"/>
        <v>[effect:enemy_message, val1:1.7, val2:1.6]</v>
      </c>
      <c r="H36" s="64">
        <f t="shared" si="2"/>
        <v>9</v>
      </c>
      <c r="I36" s="64">
        <f t="shared" si="3"/>
        <v>22</v>
      </c>
      <c r="J36" s="64" t="e">
        <f t="shared" si="4"/>
        <v>#VALUE!</v>
      </c>
      <c r="K36" s="64">
        <f t="shared" si="5"/>
        <v>32</v>
      </c>
      <c r="L36" s="64" t="str">
        <f>IFERROR(VLOOKUP(MID(G36,J36,K36-J36),[5]skilldef!$C:$D,2,FALSE),"-") &amp; " / " &amp; IFERROR(VLOOKUP(MID(G36,H36,I36-H36),[5]skilldef!$A:$B,2,FALSE),"-")</f>
        <v>- / -</v>
      </c>
      <c r="M36" s="64" t="str">
        <f t="shared" si="45"/>
        <v>[effect:spread, val:0.4],[effect:virus, target:unit_all, turn:5, rate:1, val:0.3, animation:enemy_virus]</v>
      </c>
      <c r="N36" s="48" t="str">
        <f t="shared" si="29"/>
        <v>[effect:spread, val:0.4],[effect:virus, target:unit_all, turn:5, rate:1, val:0.3, animation:enemy_virus]</v>
      </c>
      <c r="O36" s="64">
        <f t="shared" si="6"/>
        <v>9</v>
      </c>
      <c r="P36" s="64">
        <f t="shared" si="7"/>
        <v>15</v>
      </c>
      <c r="Q36" s="64">
        <f t="shared" si="8"/>
        <v>48</v>
      </c>
      <c r="R36" s="64">
        <f t="shared" si="9"/>
        <v>25</v>
      </c>
      <c r="S36" s="64" t="str">
        <f>IFERROR(VLOOKUP(MID(N36,Q36,R36-Q36),[5]skilldef!$C:$D,2,FALSE),"-") &amp; " / " &amp; IFERROR(VLOOKUP(MID(N36,O36,P36-O36),[5]skilldef!$A:$B,2,FALSE),"-")</f>
        <v>- / 全体攻撃</v>
      </c>
      <c r="T36" s="48" t="str">
        <f t="shared" si="10"/>
        <v>[effect:virus, target:unit_all, turn:5, rate:1, val:0.3, animation:enemy_virus]</v>
      </c>
      <c r="U36" s="64">
        <f t="shared" si="11"/>
        <v>9</v>
      </c>
      <c r="V36" s="64">
        <f t="shared" si="12"/>
        <v>14</v>
      </c>
      <c r="W36" s="64">
        <f t="shared" si="13"/>
        <v>23</v>
      </c>
      <c r="X36" s="64">
        <f t="shared" si="14"/>
        <v>31</v>
      </c>
      <c r="Y36" s="64" t="str">
        <f>IFERROR(VLOOKUP(MID(T36,W36,X36-W36),[5]skilldef!$C:$D,2,FALSE),"-") &amp; " / " &amp; IFERROR(VLOOKUP(MID(T36,U36,V36-U36),[5]skilldef!$A:$B,2,FALSE),"-")</f>
        <v>味方全体に / ウィルス</v>
      </c>
      <c r="Z36" s="50"/>
      <c r="AA36" s="52"/>
      <c r="AB36" s="50"/>
    </row>
    <row r="37" spans="1:28" ht="21" customHeight="1" x14ac:dyDescent="0.15">
      <c r="A37" s="47">
        <v>47007504</v>
      </c>
      <c r="B37" s="149" t="s">
        <v>393</v>
      </c>
      <c r="C37" s="50">
        <v>3</v>
      </c>
      <c r="D37" s="50" t="s">
        <v>127</v>
      </c>
      <c r="E37" s="51" t="s">
        <v>300</v>
      </c>
      <c r="F37" s="51" t="s">
        <v>392</v>
      </c>
      <c r="G37" s="64" t="str">
        <f t="shared" si="44"/>
        <v>[effect:enemy_message, val1:1.3, val2:1.9]</v>
      </c>
      <c r="H37" s="64">
        <f t="shared" si="2"/>
        <v>9</v>
      </c>
      <c r="I37" s="64">
        <f t="shared" si="3"/>
        <v>22</v>
      </c>
      <c r="J37" s="64" t="e">
        <f t="shared" si="4"/>
        <v>#VALUE!</v>
      </c>
      <c r="K37" s="64">
        <f t="shared" si="5"/>
        <v>32</v>
      </c>
      <c r="L37" s="64" t="str">
        <f>IFERROR(VLOOKUP(MID(G37,J37,K37-J37),[5]skilldef!$C:$D,2,FALSE),"-") &amp; " / " &amp; IFERROR(VLOOKUP(MID(G37,H37,I37-H37),[5]skilldef!$A:$B,2,FALSE),"-")</f>
        <v>- / -</v>
      </c>
      <c r="M37" s="64" t="str">
        <f t="shared" si="45"/>
        <v>[effect:force_change_block, new_block:block_heart, target:block_all, ignore01:crash, ignore02:crack_bomb, ignore03:color_break, ignore04:magnet, ignore05:block_heart, count:10, val:0]</v>
      </c>
      <c r="N37" s="48" t="str">
        <f t="shared" si="29"/>
        <v>[effect:force_change_block, new_block:block_heart, target:block_all, ignore01:crash, ignore02:crack_bomb, ignore03:color_break, ignore04:magnet, ignore05:block_heart, count:10, val:0]</v>
      </c>
      <c r="O37" s="64">
        <f t="shared" si="6"/>
        <v>9</v>
      </c>
      <c r="P37" s="64">
        <f t="shared" si="7"/>
        <v>27</v>
      </c>
      <c r="Q37" s="64">
        <f t="shared" si="8"/>
        <v>59</v>
      </c>
      <c r="R37" s="64">
        <f t="shared" si="9"/>
        <v>50</v>
      </c>
      <c r="S37" s="64" t="str">
        <f>IFERROR(VLOOKUP(MID(N37,Q37,R37-Q37),[5]skilldef!$C:$D,2,FALSE),"-") &amp; " / " &amp; IFERROR(VLOOKUP(MID(N37,O37,P37-O37),[5]skilldef!$A:$B,2,FALSE),"-")</f>
        <v>- / -</v>
      </c>
      <c r="T37" s="48" t="str">
        <f t="shared" si="10"/>
        <v>none</v>
      </c>
      <c r="U37" s="64" t="e">
        <f t="shared" si="11"/>
        <v>#VALUE!</v>
      </c>
      <c r="V37" s="64">
        <f t="shared" si="12"/>
        <v>4</v>
      </c>
      <c r="W37" s="64" t="e">
        <f t="shared" si="13"/>
        <v>#VALUE!</v>
      </c>
      <c r="X37" s="64" t="e">
        <f t="shared" si="14"/>
        <v>#VALUE!</v>
      </c>
      <c r="Y37" s="64" t="str">
        <f>IFERROR(VLOOKUP(MID(T37,W37,X37-W37),[5]skilldef!$C:$D,2,FALSE),"-") &amp; " / " &amp; IFERROR(VLOOKUP(MID(T37,U37,V37-U37),[5]skilldef!$A:$B,2,FALSE),"-")</f>
        <v>- / -</v>
      </c>
      <c r="Z37" s="50"/>
      <c r="AA37" s="52"/>
      <c r="AB37" s="50"/>
    </row>
    <row r="38" spans="1:28" ht="21" customHeight="1" x14ac:dyDescent="0.15">
      <c r="A38" s="47">
        <v>47007505</v>
      </c>
      <c r="B38" s="149" t="s">
        <v>403</v>
      </c>
      <c r="C38" s="50">
        <v>3</v>
      </c>
      <c r="D38" s="50" t="s">
        <v>127</v>
      </c>
      <c r="E38" s="51" t="s">
        <v>301</v>
      </c>
      <c r="F38" s="51" t="s">
        <v>355</v>
      </c>
      <c r="G38" s="64" t="str">
        <f t="shared" si="44"/>
        <v>[effect:enemy_message, val1:2.5, val2:1.2]</v>
      </c>
      <c r="H38" s="64">
        <f t="shared" si="2"/>
        <v>9</v>
      </c>
      <c r="I38" s="64">
        <f t="shared" si="3"/>
        <v>22</v>
      </c>
      <c r="J38" s="64" t="e">
        <f t="shared" si="4"/>
        <v>#VALUE!</v>
      </c>
      <c r="K38" s="64">
        <f t="shared" si="5"/>
        <v>32</v>
      </c>
      <c r="L38" s="64" t="str">
        <f>IFERROR(VLOOKUP(MID(G38,J38,K38-J38),[5]skilldef!$C:$D,2,FALSE),"-") &amp; " / " &amp; IFERROR(VLOOKUP(MID(G38,H38,I38-H38),[5]skilldef!$A:$B,2,FALSE),"-")</f>
        <v>- / -</v>
      </c>
      <c r="M38" s="64" t="str">
        <f t="shared" si="45"/>
        <v>[effect:critical, val:1.5, animation:enemy_critical]</v>
      </c>
      <c r="N38" s="48" t="str">
        <f t="shared" si="29"/>
        <v>[effect:critical, val:1.5, animation:enemy_critical]</v>
      </c>
      <c r="O38" s="64">
        <f t="shared" si="6"/>
        <v>9</v>
      </c>
      <c r="P38" s="64">
        <f t="shared" si="7"/>
        <v>17</v>
      </c>
      <c r="Q38" s="64" t="e">
        <f t="shared" si="8"/>
        <v>#VALUE!</v>
      </c>
      <c r="R38" s="64">
        <f t="shared" si="9"/>
        <v>26</v>
      </c>
      <c r="S38" s="64" t="str">
        <f>IFERROR(VLOOKUP(MID(N38,Q38,R38-Q38),[5]skilldef!$C:$D,2,FALSE),"-") &amp; " / " &amp; IFERROR(VLOOKUP(MID(N38,O38,P38-O38),[5]skilldef!$A:$B,2,FALSE),"-")</f>
        <v>- / 大攻撃</v>
      </c>
      <c r="T38" s="48" t="str">
        <f t="shared" si="10"/>
        <v>none</v>
      </c>
      <c r="U38" s="64" t="e">
        <f t="shared" si="11"/>
        <v>#VALUE!</v>
      </c>
      <c r="V38" s="64">
        <f t="shared" si="12"/>
        <v>4</v>
      </c>
      <c r="W38" s="64" t="e">
        <f t="shared" si="13"/>
        <v>#VALUE!</v>
      </c>
      <c r="X38" s="64" t="e">
        <f t="shared" si="14"/>
        <v>#VALUE!</v>
      </c>
      <c r="Y38" s="64" t="str">
        <f>IFERROR(VLOOKUP(MID(T38,W38,X38-W38),[5]skilldef!$C:$D,2,FALSE),"-") &amp; " / " &amp; IFERROR(VLOOKUP(MID(T38,U38,V38-U38),[5]skilldef!$A:$B,2,FALSE),"-")</f>
        <v>- / -</v>
      </c>
      <c r="Z38" s="50"/>
      <c r="AA38" s="52"/>
      <c r="AB38" s="50"/>
    </row>
    <row r="39" spans="1:28" ht="21" customHeight="1" x14ac:dyDescent="0.15">
      <c r="A39" s="47">
        <v>47007506</v>
      </c>
      <c r="B39" s="149" t="s">
        <v>432</v>
      </c>
      <c r="C39" s="50">
        <v>3</v>
      </c>
      <c r="D39" s="50" t="s">
        <v>127</v>
      </c>
      <c r="E39" s="51" t="s">
        <v>302</v>
      </c>
      <c r="F39" s="51" t="s">
        <v>427</v>
      </c>
      <c r="G39" s="64" t="str">
        <f t="shared" si="44"/>
        <v>[effect:enemy_message, val1:1.6, val2:2.2]</v>
      </c>
      <c r="H39" s="64">
        <f t="shared" si="2"/>
        <v>9</v>
      </c>
      <c r="I39" s="64">
        <f t="shared" si="3"/>
        <v>22</v>
      </c>
      <c r="J39" s="64" t="e">
        <f t="shared" si="4"/>
        <v>#VALUE!</v>
      </c>
      <c r="K39" s="64">
        <f t="shared" si="5"/>
        <v>32</v>
      </c>
      <c r="L39" s="64" t="str">
        <f>IFERROR(VLOOKUP(MID(G39,J39,K39-J39),[5]skilldef!$C:$D,2,FALSE),"-") &amp; " / " &amp; IFERROR(VLOOKUP(MID(G39,H39,I39-H39),[5]skilldef!$A:$B,2,FALSE),"-")</f>
        <v>- / -</v>
      </c>
      <c r="M39" s="64" t="str">
        <f t="shared" si="45"/>
        <v>[effect:break_attack_fix, target:unit_one, val:-500, lowest_val:20000, count:-1, block01:block_yellow]</v>
      </c>
      <c r="N39" s="48" t="str">
        <f t="shared" si="29"/>
        <v>[effect:break_attack_fix, target:unit_one, val:-500, lowest_val:20000, count:-1, block01:block_yellow]</v>
      </c>
      <c r="O39" s="64">
        <f t="shared" si="6"/>
        <v>9</v>
      </c>
      <c r="P39" s="64">
        <f t="shared" si="7"/>
        <v>25</v>
      </c>
      <c r="Q39" s="64">
        <f t="shared" si="8"/>
        <v>34</v>
      </c>
      <c r="R39" s="64">
        <f t="shared" si="9"/>
        <v>42</v>
      </c>
      <c r="S39" s="64" t="str">
        <f>IFERROR(VLOOKUP(MID(N39,Q39,R39-Q39),[5]skilldef!$C:$D,2,FALSE),"-") &amp; " / " &amp; IFERROR(VLOOKUP(MID(N39,O39,P39-O39),[5]skilldef!$A:$B,2,FALSE),"-")</f>
        <v>味方単体に / -</v>
      </c>
      <c r="T39" s="48" t="str">
        <f t="shared" si="10"/>
        <v>none</v>
      </c>
      <c r="U39" s="64" t="e">
        <f t="shared" si="11"/>
        <v>#VALUE!</v>
      </c>
      <c r="V39" s="64">
        <f t="shared" si="12"/>
        <v>4</v>
      </c>
      <c r="W39" s="64" t="e">
        <f t="shared" si="13"/>
        <v>#VALUE!</v>
      </c>
      <c r="X39" s="64" t="e">
        <f t="shared" si="14"/>
        <v>#VALUE!</v>
      </c>
      <c r="Y39" s="64" t="str">
        <f>IFERROR(VLOOKUP(MID(T39,W39,X39-W39),[5]skilldef!$C:$D,2,FALSE),"-") &amp; " / " &amp; IFERROR(VLOOKUP(MID(T39,U39,V39-U39),[5]skilldef!$A:$B,2,FALSE),"-")</f>
        <v>- / -</v>
      </c>
      <c r="Z39" s="50"/>
      <c r="AA39" s="52"/>
      <c r="AB39" s="50"/>
    </row>
    <row r="40" spans="1:28" ht="21" customHeight="1" x14ac:dyDescent="0.15">
      <c r="A40" s="47">
        <v>47007601</v>
      </c>
      <c r="B40" s="149" t="s">
        <v>437</v>
      </c>
      <c r="C40" s="50">
        <v>3</v>
      </c>
      <c r="D40" s="50" t="s">
        <v>127</v>
      </c>
      <c r="E40" s="51" t="s">
        <v>287</v>
      </c>
      <c r="F40" s="51" t="s">
        <v>438</v>
      </c>
      <c r="G40" s="64" t="str">
        <f t="shared" si="44"/>
        <v>[effect:enemy_message, val1:2.4, val2:3.1]</v>
      </c>
      <c r="H40" s="64">
        <f t="shared" si="2"/>
        <v>9</v>
      </c>
      <c r="I40" s="64">
        <f t="shared" si="3"/>
        <v>22</v>
      </c>
      <c r="J40" s="64" t="e">
        <f t="shared" si="4"/>
        <v>#VALUE!</v>
      </c>
      <c r="K40" s="64">
        <f t="shared" si="5"/>
        <v>32</v>
      </c>
      <c r="L40" s="64" t="str">
        <f>IFERROR(VLOOKUP(MID(G40,J40,K40-J40),[5]skilldef!$C:$D,2,FALSE),"-") &amp; " / " &amp; IFERROR(VLOOKUP(MID(G40,H40,I40-H40),[5]skilldef!$A:$B,2,FALSE),"-")</f>
        <v>- / -</v>
      </c>
      <c r="M40" s="64" t="str">
        <f t="shared" si="45"/>
        <v>[effect:fix_speed, target:myself, turn:1],[effect:tolerance, target:myself, turn:-1, count:-1, tolerance_effect:all, animation:enemy_tolerance]</v>
      </c>
      <c r="N40" s="48" t="str">
        <f>IFERROR(LEFT(M40,FIND("],",M40)+S5),M40)</f>
        <v>[effect:fix_speed, target:myself, turn:1],[effect:tolerance, target:myself, turn:-1, count:-1, tolerance_effect:all, animation:enemy_tolerance]</v>
      </c>
      <c r="O40" s="64">
        <f t="shared" si="6"/>
        <v>9</v>
      </c>
      <c r="P40" s="64">
        <f t="shared" si="7"/>
        <v>18</v>
      </c>
      <c r="Q40" s="64">
        <f t="shared" si="8"/>
        <v>27</v>
      </c>
      <c r="R40" s="64">
        <f t="shared" si="9"/>
        <v>33</v>
      </c>
      <c r="S40" s="64" t="str">
        <f>IFERROR(VLOOKUP(MID(N40,Q40,R40-Q40),[5]skilldef!$C:$D,2,FALSE),"-") &amp; " / " &amp; IFERROR(VLOOKUP(MID(N40,O40,P40-O40),[5]skilldef!$A:$B,2,FALSE),"-")</f>
        <v>自分自身に / 行動値設定</v>
      </c>
      <c r="T40" s="48" t="str">
        <f t="shared" si="10"/>
        <v>[effect:tolerance, target:myself, turn:-1, count:-1, tolerance_effect:all, animation:enemy_tolerance]</v>
      </c>
      <c r="U40" s="64">
        <f t="shared" si="11"/>
        <v>9</v>
      </c>
      <c r="V40" s="64">
        <f t="shared" si="12"/>
        <v>18</v>
      </c>
      <c r="W40" s="64">
        <f t="shared" si="13"/>
        <v>27</v>
      </c>
      <c r="X40" s="64">
        <f t="shared" si="14"/>
        <v>33</v>
      </c>
      <c r="Y40" s="64" t="str">
        <f>IFERROR(VLOOKUP(MID(T40,W40,X40-W40),[5]skilldef!$C:$D,2,FALSE),"-") &amp; " / " &amp; IFERROR(VLOOKUP(MID(T40,U40,V40-U40),[5]skilldef!$A:$B,2,FALSE),"-")</f>
        <v>自分自身に / 状態異常耐性</v>
      </c>
      <c r="Z40" s="50"/>
      <c r="AA40" s="52"/>
      <c r="AB40" s="50"/>
    </row>
    <row r="41" spans="1:28" ht="21" customHeight="1" x14ac:dyDescent="0.15">
      <c r="A41" s="47">
        <v>47007602</v>
      </c>
      <c r="B41" s="149" t="s">
        <v>390</v>
      </c>
      <c r="C41" s="50">
        <v>3</v>
      </c>
      <c r="D41" s="50" t="s">
        <v>127</v>
      </c>
      <c r="E41" s="51" t="s">
        <v>303</v>
      </c>
      <c r="F41" s="51" t="s">
        <v>389</v>
      </c>
      <c r="G41" s="64" t="str">
        <f t="shared" si="44"/>
        <v>[effect:enemy_message, val1:1.2, val2:3.5]</v>
      </c>
      <c r="H41" s="64">
        <f t="shared" si="2"/>
        <v>9</v>
      </c>
      <c r="I41" s="64">
        <f t="shared" si="3"/>
        <v>22</v>
      </c>
      <c r="J41" s="64" t="e">
        <f t="shared" si="4"/>
        <v>#VALUE!</v>
      </c>
      <c r="K41" s="64">
        <f t="shared" si="5"/>
        <v>32</v>
      </c>
      <c r="L41" s="64" t="str">
        <f>IFERROR(VLOOKUP(MID(G41,J41,K41-J41),[5]skilldef!$C:$D,2,FALSE),"-") &amp; " / " &amp; IFERROR(VLOOKUP(MID(G41,H41,I41-H41),[5]skilldef!$A:$B,2,FALSE),"-")</f>
        <v>- / -</v>
      </c>
      <c r="M41" s="64" t="str">
        <f t="shared" si="45"/>
        <v>[effect:force_change_block, new_block:block_heart, target:block_all, ignore01:crash, ignore02:crack_bomb, ignore03:color_break, ignore04:magnet, count:23, val:0, animation:change_block]</v>
      </c>
      <c r="N41" s="48" t="str">
        <f t="shared" ref="N41:N49" si="46">IFERROR(LEFT(M41,FIND("],",M41)+S50),M41)</f>
        <v>[effect:force_change_block, new_block:block_heart, target:block_all, ignore01:crash, ignore02:crack_bomb, ignore03:color_break, ignore04:magnet, count:23, val:0, animation:change_block]</v>
      </c>
      <c r="O41" s="64">
        <f t="shared" si="6"/>
        <v>9</v>
      </c>
      <c r="P41" s="64">
        <f t="shared" si="7"/>
        <v>27</v>
      </c>
      <c r="Q41" s="64">
        <f t="shared" si="8"/>
        <v>59</v>
      </c>
      <c r="R41" s="64">
        <f t="shared" si="9"/>
        <v>50</v>
      </c>
      <c r="S41" s="64" t="str">
        <f>IFERROR(VLOOKUP(MID(N41,Q41,R41-Q41),[5]skilldef!$C:$D,2,FALSE),"-") &amp; " / " &amp; IFERROR(VLOOKUP(MID(N41,O41,P41-O41),[5]skilldef!$A:$B,2,FALSE),"-")</f>
        <v>- / -</v>
      </c>
      <c r="T41" s="48" t="str">
        <f t="shared" si="10"/>
        <v>none</v>
      </c>
      <c r="U41" s="64" t="e">
        <f t="shared" si="11"/>
        <v>#VALUE!</v>
      </c>
      <c r="V41" s="64">
        <f t="shared" si="12"/>
        <v>4</v>
      </c>
      <c r="W41" s="64" t="e">
        <f t="shared" si="13"/>
        <v>#VALUE!</v>
      </c>
      <c r="X41" s="64" t="e">
        <f t="shared" si="14"/>
        <v>#VALUE!</v>
      </c>
      <c r="Y41" s="64" t="str">
        <f>IFERROR(VLOOKUP(MID(T41,W41,X41-W41),[5]skilldef!$C:$D,2,FALSE),"-") &amp; " / " &amp; IFERROR(VLOOKUP(MID(T41,U41,V41-U41),[5]skilldef!$A:$B,2,FALSE),"-")</f>
        <v>- / -</v>
      </c>
      <c r="Z41" s="50"/>
      <c r="AA41" s="52"/>
      <c r="AB41" s="50"/>
    </row>
    <row r="42" spans="1:28" ht="21" customHeight="1" x14ac:dyDescent="0.15">
      <c r="A42" s="47">
        <v>47007603</v>
      </c>
      <c r="B42" s="149" t="s">
        <v>391</v>
      </c>
      <c r="C42" s="50">
        <v>3</v>
      </c>
      <c r="D42" s="50" t="s">
        <v>127</v>
      </c>
      <c r="E42" s="51" t="s">
        <v>304</v>
      </c>
      <c r="F42" s="51" t="s">
        <v>388</v>
      </c>
      <c r="G42" s="64" t="str">
        <f t="shared" si="44"/>
        <v>[effect:enemy_message, val1:1.4, val2:4.1]</v>
      </c>
      <c r="H42" s="64">
        <f t="shared" si="2"/>
        <v>9</v>
      </c>
      <c r="I42" s="64">
        <f t="shared" si="3"/>
        <v>22</v>
      </c>
      <c r="J42" s="64" t="e">
        <f t="shared" si="4"/>
        <v>#VALUE!</v>
      </c>
      <c r="K42" s="64">
        <f t="shared" si="5"/>
        <v>32</v>
      </c>
      <c r="L42" s="64" t="str">
        <f>IFERROR(VLOOKUP(MID(G42,J42,K42-J42),[5]skilldef!$C:$D,2,FALSE),"-") &amp; " / " &amp; IFERROR(VLOOKUP(MID(G42,H42,I42-H42),[5]skilldef!$A:$B,2,FALSE),"-")</f>
        <v>- / -</v>
      </c>
      <c r="M42" s="64" t="str">
        <f t="shared" si="45"/>
        <v>[effect:force_change_block, new_block:block_heart, target:block_all, ignore01:crash, ignore02:crack_bomb, ignore03:color_break, ignore04:magnet, count:23, val:0, animation:change_block]</v>
      </c>
      <c r="N42" s="48" t="str">
        <f t="shared" si="46"/>
        <v>[effect:force_change_block, new_block:block_heart, target:block_all, ignore01:crash, ignore02:crack_bomb, ignore03:color_break, ignore04:magnet, count:23, val:0, animation:change_block]</v>
      </c>
      <c r="O42" s="64">
        <f t="shared" si="6"/>
        <v>9</v>
      </c>
      <c r="P42" s="64">
        <f t="shared" si="7"/>
        <v>27</v>
      </c>
      <c r="Q42" s="64">
        <f t="shared" si="8"/>
        <v>59</v>
      </c>
      <c r="R42" s="64">
        <f t="shared" si="9"/>
        <v>50</v>
      </c>
      <c r="S42" s="64" t="str">
        <f>IFERROR(VLOOKUP(MID(N42,Q42,R42-Q42),[5]skilldef!$C:$D,2,FALSE),"-") &amp; " / " &amp; IFERROR(VLOOKUP(MID(N42,O42,P42-O42),[5]skilldef!$A:$B,2,FALSE),"-")</f>
        <v>- / -</v>
      </c>
      <c r="T42" s="48" t="str">
        <f t="shared" si="10"/>
        <v>none</v>
      </c>
      <c r="U42" s="64" t="e">
        <f t="shared" si="11"/>
        <v>#VALUE!</v>
      </c>
      <c r="V42" s="64">
        <f t="shared" si="12"/>
        <v>4</v>
      </c>
      <c r="W42" s="64" t="e">
        <f t="shared" si="13"/>
        <v>#VALUE!</v>
      </c>
      <c r="X42" s="64" t="e">
        <f t="shared" si="14"/>
        <v>#VALUE!</v>
      </c>
      <c r="Y42" s="64" t="str">
        <f>IFERROR(VLOOKUP(MID(T42,W42,X42-W42),[5]skilldef!$C:$D,2,FALSE),"-") &amp; " / " &amp; IFERROR(VLOOKUP(MID(T42,U42,V42-U42),[5]skilldef!$A:$B,2,FALSE),"-")</f>
        <v>- / -</v>
      </c>
      <c r="Z42" s="50"/>
      <c r="AA42" s="52"/>
      <c r="AB42" s="50"/>
    </row>
    <row r="43" spans="1:28" ht="21" customHeight="1" x14ac:dyDescent="0.15">
      <c r="A43" s="47">
        <v>47007604</v>
      </c>
      <c r="B43" s="149" t="s">
        <v>402</v>
      </c>
      <c r="C43" s="50">
        <v>3</v>
      </c>
      <c r="D43" s="50" t="s">
        <v>127</v>
      </c>
      <c r="E43" s="51" t="s">
        <v>284</v>
      </c>
      <c r="F43" s="51" t="s">
        <v>285</v>
      </c>
      <c r="G43" s="64" t="str">
        <f t="shared" si="44"/>
        <v>[effect:enemy_message, val1:2.5, val2:1.4]</v>
      </c>
      <c r="H43" s="64">
        <f t="shared" si="2"/>
        <v>9</v>
      </c>
      <c r="I43" s="64">
        <f t="shared" si="3"/>
        <v>22</v>
      </c>
      <c r="J43" s="64" t="e">
        <f t="shared" si="4"/>
        <v>#VALUE!</v>
      </c>
      <c r="K43" s="64">
        <f t="shared" si="5"/>
        <v>32</v>
      </c>
      <c r="L43" s="64" t="str">
        <f>IFERROR(VLOOKUP(MID(G43,J43,K43-J43),[5]skilldef!$C:$D,2,FALSE),"-") &amp; " / " &amp; IFERROR(VLOOKUP(MID(G43,H43,I43-H43),[5]skilldef!$A:$B,2,FALSE),"-")</f>
        <v>- / -</v>
      </c>
      <c r="M43" s="64" t="str">
        <f t="shared" si="45"/>
        <v>[effect:damage_gravity, val:2.0, animation:fevergauge_down]</v>
      </c>
      <c r="N43" s="48" t="str">
        <f t="shared" si="46"/>
        <v>[effect:damage_gravity, val:2.0, animation:fevergauge_down]</v>
      </c>
      <c r="O43" s="64">
        <f t="shared" si="6"/>
        <v>9</v>
      </c>
      <c r="P43" s="64">
        <f t="shared" si="7"/>
        <v>23</v>
      </c>
      <c r="Q43" s="64" t="e">
        <f t="shared" si="8"/>
        <v>#VALUE!</v>
      </c>
      <c r="R43" s="64">
        <f t="shared" si="9"/>
        <v>32</v>
      </c>
      <c r="S43" s="64" t="str">
        <f>IFERROR(VLOOKUP(MID(N43,Q43,R43-Q43),[5]skilldef!$C:$D,2,FALSE),"-") &amp; " / " &amp; IFERROR(VLOOKUP(MID(N43,O43,P43-O43),[5]skilldef!$A:$B,2,FALSE),"-")</f>
        <v>- / 割合ダメージ</v>
      </c>
      <c r="T43" s="48" t="str">
        <f t="shared" si="10"/>
        <v>none</v>
      </c>
      <c r="U43" s="64" t="e">
        <f t="shared" si="11"/>
        <v>#VALUE!</v>
      </c>
      <c r="V43" s="64">
        <f t="shared" si="12"/>
        <v>4</v>
      </c>
      <c r="W43" s="64" t="e">
        <f t="shared" si="13"/>
        <v>#VALUE!</v>
      </c>
      <c r="X43" s="64" t="e">
        <f t="shared" si="14"/>
        <v>#VALUE!</v>
      </c>
      <c r="Y43" s="64" t="str">
        <f>IFERROR(VLOOKUP(MID(T43,W43,X43-W43),[5]skilldef!$C:$D,2,FALSE),"-") &amp; " / " &amp; IFERROR(VLOOKUP(MID(T43,U43,V43-U43),[5]skilldef!$A:$B,2,FALSE),"-")</f>
        <v>- / -</v>
      </c>
      <c r="Z43" s="50"/>
      <c r="AA43" s="52"/>
      <c r="AB43" s="50"/>
    </row>
    <row r="44" spans="1:28" ht="21" customHeight="1" x14ac:dyDescent="0.15">
      <c r="A44" s="47">
        <v>47007605</v>
      </c>
      <c r="B44" s="149" t="s">
        <v>376</v>
      </c>
      <c r="C44" s="50">
        <v>3</v>
      </c>
      <c r="D44" s="50" t="s">
        <v>127</v>
      </c>
      <c r="E44" s="51" t="s">
        <v>332</v>
      </c>
      <c r="F44" s="51" t="s">
        <v>333</v>
      </c>
      <c r="G44" s="64" t="str">
        <f t="shared" si="44"/>
        <v>[effect:enemy_message, val1:1.2, val2:2.1]</v>
      </c>
      <c r="H44" s="64">
        <f t="shared" si="2"/>
        <v>9</v>
      </c>
      <c r="I44" s="64">
        <f t="shared" si="3"/>
        <v>22</v>
      </c>
      <c r="J44" s="64" t="e">
        <f t="shared" si="4"/>
        <v>#VALUE!</v>
      </c>
      <c r="K44" s="64">
        <f t="shared" si="5"/>
        <v>32</v>
      </c>
      <c r="L44" s="64" t="str">
        <f>IFERROR(VLOOKUP(MID(G44,J44,K44-J44),[5]skilldef!$C:$D,2,FALSE),"-") &amp; " / " &amp; IFERROR(VLOOKUP(MID(G44,H44,I44-H44),[5]skilldef!$A:$B,2,FALSE),"-")</f>
        <v>- / -</v>
      </c>
      <c r="M44" s="64" t="str">
        <f t="shared" si="45"/>
        <v>none</v>
      </c>
      <c r="N44" s="48" t="str">
        <f t="shared" si="46"/>
        <v>none</v>
      </c>
      <c r="O44" s="64" t="e">
        <f t="shared" si="6"/>
        <v>#VALUE!</v>
      </c>
      <c r="P44" s="64">
        <f t="shared" si="7"/>
        <v>4</v>
      </c>
      <c r="Q44" s="64" t="e">
        <f t="shared" si="8"/>
        <v>#VALUE!</v>
      </c>
      <c r="R44" s="64" t="e">
        <f t="shared" si="9"/>
        <v>#VALUE!</v>
      </c>
      <c r="S44" s="64" t="str">
        <f>IFERROR(VLOOKUP(MID(N44,Q44,R44-Q44),[5]skilldef!$C:$D,2,FALSE),"-") &amp; " / " &amp; IFERROR(VLOOKUP(MID(N44,O44,P44-O44),[5]skilldef!$A:$B,2,FALSE),"-")</f>
        <v>- / -</v>
      </c>
      <c r="T44" s="48" t="str">
        <f t="shared" si="10"/>
        <v>none</v>
      </c>
      <c r="U44" s="64" t="e">
        <f t="shared" si="11"/>
        <v>#VALUE!</v>
      </c>
      <c r="V44" s="64">
        <f t="shared" si="12"/>
        <v>4</v>
      </c>
      <c r="W44" s="64" t="e">
        <f t="shared" si="13"/>
        <v>#VALUE!</v>
      </c>
      <c r="X44" s="64" t="e">
        <f t="shared" si="14"/>
        <v>#VALUE!</v>
      </c>
      <c r="Y44" s="64" t="str">
        <f>IFERROR(VLOOKUP(MID(T44,W44,X44-W44),[5]skilldef!$C:$D,2,FALSE),"-") &amp; " / " &amp; IFERROR(VLOOKUP(MID(T44,U44,V44-U44),[5]skilldef!$A:$B,2,FALSE),"-")</f>
        <v>- / -</v>
      </c>
      <c r="Z44" s="50"/>
      <c r="AA44" s="52"/>
      <c r="AB44" s="50"/>
    </row>
    <row r="45" spans="1:28" ht="21" customHeight="1" x14ac:dyDescent="0.15">
      <c r="A45" s="47">
        <v>47007606</v>
      </c>
      <c r="B45" s="149" t="s">
        <v>401</v>
      </c>
      <c r="C45" s="50">
        <v>3</v>
      </c>
      <c r="D45" s="50" t="s">
        <v>127</v>
      </c>
      <c r="E45" s="51" t="s">
        <v>334</v>
      </c>
      <c r="F45" s="51" t="s">
        <v>285</v>
      </c>
      <c r="G45" s="64" t="str">
        <f t="shared" si="44"/>
        <v>[effect:enemy_message, val1:2.6, val2:1.4]</v>
      </c>
      <c r="H45" s="64">
        <f t="shared" si="2"/>
        <v>9</v>
      </c>
      <c r="I45" s="64">
        <f t="shared" ref="I45" si="47">IFERROR(FIND(",",G45),LEN(G45))</f>
        <v>22</v>
      </c>
      <c r="J45" s="64" t="e">
        <f t="shared" ref="J45" si="48">FIND("target:",G45)+7</f>
        <v>#VALUE!</v>
      </c>
      <c r="K45" s="64">
        <f t="shared" ref="K45" si="49">FIND(",",G45,I45+1)</f>
        <v>32</v>
      </c>
      <c r="L45" s="64" t="str">
        <f>IFERROR(VLOOKUP(MID(G45,J45,K45-J45),[5]skilldef!$C:$D,2,FALSE),"-") &amp; " / " &amp; IFERROR(VLOOKUP(MID(G45,H45,I45-H45),[5]skilldef!$A:$B,2,FALSE),"-")</f>
        <v>- / -</v>
      </c>
      <c r="M45" s="64" t="str">
        <f t="shared" si="45"/>
        <v>[effect:damage_gravity, val:2.0, animation:fevergauge_down]</v>
      </c>
      <c r="N45" s="48" t="str">
        <f t="shared" si="46"/>
        <v>[effect:damage_gravity, val:2.0, animation:fevergauge_down]</v>
      </c>
      <c r="O45" s="64">
        <f t="shared" si="6"/>
        <v>9</v>
      </c>
      <c r="P45" s="64">
        <f t="shared" ref="P45" si="50">IFERROR(FIND(",",N45),LEN(N45))</f>
        <v>23</v>
      </c>
      <c r="Q45" s="64" t="e">
        <f t="shared" ref="Q45" si="51">FIND("target:",N45)+7</f>
        <v>#VALUE!</v>
      </c>
      <c r="R45" s="64">
        <f t="shared" ref="R45" si="52">FIND(",",N45,P45+1)</f>
        <v>32</v>
      </c>
      <c r="S45" s="64" t="str">
        <f>IFERROR(VLOOKUP(MID(N45,Q45,R45-Q45),[5]skilldef!$C:$D,2,FALSE),"-") &amp; " / " &amp; IFERROR(VLOOKUP(MID(N45,O45,P45-O45),[5]skilldef!$A:$B,2,FALSE),"-")</f>
        <v>- / 割合ダメージ</v>
      </c>
      <c r="T45" s="48" t="str">
        <f t="shared" ref="T45" si="53">IFERROR(RIGHT(M45,LEN(M45)-FIND("],",M45)-1),"none")</f>
        <v>none</v>
      </c>
      <c r="U45" s="64" t="e">
        <f t="shared" si="11"/>
        <v>#VALUE!</v>
      </c>
      <c r="V45" s="64">
        <f t="shared" ref="V45" si="54">IFERROR(FIND(",",T45),LEN(T45))</f>
        <v>4</v>
      </c>
      <c r="W45" s="64" t="e">
        <f t="shared" ref="W45" si="55">FIND("target:",T45)+7</f>
        <v>#VALUE!</v>
      </c>
      <c r="X45" s="64" t="e">
        <f t="shared" ref="X45" si="56">FIND(",",T45,V45+1)</f>
        <v>#VALUE!</v>
      </c>
      <c r="Y45" s="64" t="str">
        <f>IFERROR(VLOOKUP(MID(T45,W45,X45-W45),[5]skilldef!$C:$D,2,FALSE),"-") &amp; " / " &amp; IFERROR(VLOOKUP(MID(T45,U45,V45-U45),[5]skilldef!$A:$B,2,FALSE),"-")</f>
        <v>- / -</v>
      </c>
      <c r="Z45" s="50"/>
      <c r="AA45" s="52"/>
      <c r="AB45" s="50"/>
    </row>
    <row r="46" spans="1:28" s="119" customFormat="1" ht="21" customHeight="1" x14ac:dyDescent="0.15">
      <c r="A46" s="47">
        <v>47007607</v>
      </c>
      <c r="B46" s="149" t="s">
        <v>423</v>
      </c>
      <c r="C46" s="50">
        <v>3</v>
      </c>
      <c r="D46" s="50" t="s">
        <v>127</v>
      </c>
      <c r="E46" s="51" t="s">
        <v>293</v>
      </c>
      <c r="F46" s="51" t="s">
        <v>288</v>
      </c>
      <c r="G46" s="64" t="str">
        <f t="shared" si="44"/>
        <v>[effect:enemy_message, val1:1.8, val2:3.9, dead_type:escape]</v>
      </c>
      <c r="H46" s="64">
        <f t="shared" si="2"/>
        <v>9</v>
      </c>
      <c r="I46" s="64">
        <f t="shared" ref="I46" si="57">IFERROR(FIND(",",G46),LEN(G46))</f>
        <v>22</v>
      </c>
      <c r="J46" s="64" t="e">
        <f t="shared" ref="J46" si="58">FIND("target:",G46)+7</f>
        <v>#VALUE!</v>
      </c>
      <c r="K46" s="64">
        <f t="shared" ref="K46" si="59">FIND(",",G46,I46+1)</f>
        <v>32</v>
      </c>
      <c r="L46" s="64" t="str">
        <f>IFERROR(VLOOKUP(MID(G46,J46,K46-J46),[5]skilldef!$C:$D,2,FALSE),"-") &amp; " / " &amp; IFERROR(VLOOKUP(MID(G46,H46,I46-H46),[5]skilldef!$A:$B,2,FALSE),"-")</f>
        <v>- / -</v>
      </c>
      <c r="M46" s="64" t="str">
        <f t="shared" si="45"/>
        <v>none</v>
      </c>
      <c r="N46" s="48" t="str">
        <f t="shared" si="46"/>
        <v>none</v>
      </c>
      <c r="O46" s="64" t="e">
        <f t="shared" si="6"/>
        <v>#VALUE!</v>
      </c>
      <c r="P46" s="64">
        <f t="shared" ref="P46" si="60">IFERROR(FIND(",",N46),LEN(N46))</f>
        <v>4</v>
      </c>
      <c r="Q46" s="64" t="e">
        <f t="shared" ref="Q46" si="61">FIND("target:",N46)+7</f>
        <v>#VALUE!</v>
      </c>
      <c r="R46" s="64" t="e">
        <f t="shared" ref="R46" si="62">FIND(",",N46,P46+1)</f>
        <v>#VALUE!</v>
      </c>
      <c r="S46" s="64" t="str">
        <f>IFERROR(VLOOKUP(MID(N46,Q46,R46-Q46),[5]skilldef!$C:$D,2,FALSE),"-") &amp; " / " &amp; IFERROR(VLOOKUP(MID(N46,O46,P46-O46),[5]skilldef!$A:$B,2,FALSE),"-")</f>
        <v>- / -</v>
      </c>
      <c r="T46" s="48" t="str">
        <f t="shared" ref="T46" si="63">IFERROR(RIGHT(M46,LEN(M46)-FIND("],",M46)-1),"none")</f>
        <v>none</v>
      </c>
      <c r="U46" s="64" t="e">
        <f t="shared" si="11"/>
        <v>#VALUE!</v>
      </c>
      <c r="V46" s="64">
        <f t="shared" ref="V46" si="64">IFERROR(FIND(",",T46),LEN(T46))</f>
        <v>4</v>
      </c>
      <c r="W46" s="64" t="e">
        <f t="shared" ref="W46" si="65">FIND("target:",T46)+7</f>
        <v>#VALUE!</v>
      </c>
      <c r="X46" s="64" t="e">
        <f t="shared" ref="X46" si="66">FIND(",",T46,V46+1)</f>
        <v>#VALUE!</v>
      </c>
      <c r="Y46" s="64" t="str">
        <f>IFERROR(VLOOKUP(MID(T46,W46,X46-W46),[5]skilldef!$C:$D,2,FALSE),"-") &amp; " / " &amp; IFERROR(VLOOKUP(MID(T46,U46,V46-U46),[5]skilldef!$A:$B,2,FALSE),"-")</f>
        <v>- / -</v>
      </c>
      <c r="Z46" s="50"/>
      <c r="AA46" s="52"/>
      <c r="AB46" s="50"/>
    </row>
    <row r="47" spans="1:28" s="120" customFormat="1" ht="21" customHeight="1" x14ac:dyDescent="0.15">
      <c r="A47" s="122">
        <v>47007608</v>
      </c>
      <c r="B47" s="155" t="s">
        <v>424</v>
      </c>
      <c r="C47" s="123">
        <v>3</v>
      </c>
      <c r="D47" s="121" t="s">
        <v>127</v>
      </c>
      <c r="E47" s="124" t="s">
        <v>294</v>
      </c>
      <c r="F47" s="117" t="s">
        <v>295</v>
      </c>
      <c r="G47" s="114" t="str">
        <f t="shared" si="44"/>
        <v>[effect:enemy_message, val1:2.8, val2:3.4, dead_type:escape]</v>
      </c>
      <c r="H47" s="114">
        <f t="shared" ref="H47" si="67">FIND("effect:",G47)+7</f>
        <v>9</v>
      </c>
      <c r="I47" s="114">
        <f t="shared" ref="I47" si="68">IFERROR(FIND(",",G47),LEN(G47))</f>
        <v>22</v>
      </c>
      <c r="J47" s="114" t="e">
        <f t="shared" ref="J47" si="69">FIND("target:",G47)+7</f>
        <v>#VALUE!</v>
      </c>
      <c r="K47" s="114">
        <f t="shared" ref="K47" si="70">FIND(",",G47,I47+1)</f>
        <v>32</v>
      </c>
      <c r="L47" s="114" t="str">
        <f>IFERROR(VLOOKUP(MID(G47,J47,K47-J47),[5]skilldef!$C:$D,2,FALSE),"-") &amp; " / " &amp; IFERROR(VLOOKUP(MID(G47,H47,I47-H47),[5]skilldef!$A:$B,2,FALSE),"-")</f>
        <v>- / -</v>
      </c>
      <c r="M47" s="114" t="str">
        <f t="shared" si="45"/>
        <v>none</v>
      </c>
      <c r="N47" s="115" t="str">
        <f t="shared" si="46"/>
        <v>none</v>
      </c>
      <c r="O47" s="114" t="e">
        <f t="shared" ref="O47" si="71">FIND("effect:",N47)+7</f>
        <v>#VALUE!</v>
      </c>
      <c r="P47" s="114">
        <f t="shared" ref="P47" si="72">IFERROR(FIND(",",N47),LEN(N47))</f>
        <v>4</v>
      </c>
      <c r="Q47" s="114" t="e">
        <f t="shared" ref="Q47" si="73">FIND("target:",N47)+7</f>
        <v>#VALUE!</v>
      </c>
      <c r="R47" s="114" t="e">
        <f t="shared" ref="R47" si="74">FIND(",",N47,P47+1)</f>
        <v>#VALUE!</v>
      </c>
      <c r="S47" s="114" t="str">
        <f>IFERROR(VLOOKUP(MID(N47,Q47,R47-Q47),[5]skilldef!$C:$D,2,FALSE),"-") &amp; " / " &amp; IFERROR(VLOOKUP(MID(N47,O47,P47-O47),[5]skilldef!$A:$B,2,FALSE),"-")</f>
        <v>- / -</v>
      </c>
      <c r="T47" s="115" t="str">
        <f t="shared" ref="T47" si="75">IFERROR(RIGHT(M47,LEN(M47)-FIND("],",M47)-1),"none")</f>
        <v>none</v>
      </c>
      <c r="U47" s="114" t="e">
        <f t="shared" ref="U47" si="76">FIND("effect:",T47)+7</f>
        <v>#VALUE!</v>
      </c>
      <c r="V47" s="114">
        <f t="shared" ref="V47" si="77">IFERROR(FIND(",",T47),LEN(T47))</f>
        <v>4</v>
      </c>
      <c r="W47" s="114" t="e">
        <f t="shared" ref="W47" si="78">FIND("target:",T47)+7</f>
        <v>#VALUE!</v>
      </c>
      <c r="X47" s="114" t="e">
        <f t="shared" ref="X47" si="79">FIND(",",T47,V47+1)</f>
        <v>#VALUE!</v>
      </c>
      <c r="Y47" s="114" t="str">
        <f>IFERROR(VLOOKUP(MID(T47,W47,X47-W47),[5]skilldef!$C:$D,2,FALSE),"-") &amp; " / " &amp; IFERROR(VLOOKUP(MID(T47,U47,V47-U47),[5]skilldef!$A:$B,2,FALSE),"-")</f>
        <v>- / -</v>
      </c>
      <c r="Z47" s="113"/>
      <c r="AA47" s="116"/>
      <c r="AB47" s="113"/>
    </row>
    <row r="48" spans="1:28" ht="21" customHeight="1" x14ac:dyDescent="0.15">
      <c r="A48" s="122">
        <v>47007609</v>
      </c>
      <c r="B48" s="155" t="s">
        <v>425</v>
      </c>
      <c r="C48" s="123">
        <v>3</v>
      </c>
      <c r="D48" s="121" t="s">
        <v>127</v>
      </c>
      <c r="E48" s="124" t="s">
        <v>294</v>
      </c>
      <c r="F48" s="117" t="s">
        <v>337</v>
      </c>
      <c r="G48" s="114" t="str">
        <f t="shared" si="44"/>
        <v>[effect:enemy_message, val1:2.8, val2:3.5, dead_type:escape]</v>
      </c>
      <c r="H48" s="114">
        <f t="shared" ref="H48:H52" si="80">FIND("effect:",G48)+7</f>
        <v>9</v>
      </c>
      <c r="I48" s="114">
        <f t="shared" ref="I48:I52" si="81">IFERROR(FIND(",",G48),LEN(G48))</f>
        <v>22</v>
      </c>
      <c r="J48" s="114" t="e">
        <f t="shared" ref="J48:J52" si="82">FIND("target:",G48)+7</f>
        <v>#VALUE!</v>
      </c>
      <c r="K48" s="114">
        <f t="shared" ref="K48:K52" si="83">FIND(",",G48,I48+1)</f>
        <v>32</v>
      </c>
      <c r="L48" s="114" t="str">
        <f>IFERROR(VLOOKUP(MID(G48,J48,K48-J48),[5]skilldef!$C:$D,2,FALSE),"-") &amp; " / " &amp; IFERROR(VLOOKUP(MID(G48,H48,I48-H48),[5]skilldef!$A:$B,2,FALSE),"-")</f>
        <v>- / -</v>
      </c>
      <c r="M48" s="114" t="str">
        <f t="shared" si="45"/>
        <v>none</v>
      </c>
      <c r="N48" s="115" t="str">
        <f t="shared" si="46"/>
        <v>none</v>
      </c>
      <c r="O48" s="114" t="e">
        <f t="shared" ref="O48:O52" si="84">FIND("effect:",N48)+7</f>
        <v>#VALUE!</v>
      </c>
      <c r="P48" s="114">
        <f t="shared" ref="P48:P52" si="85">IFERROR(FIND(",",N48),LEN(N48))</f>
        <v>4</v>
      </c>
      <c r="Q48" s="114" t="e">
        <f t="shared" ref="Q48:Q52" si="86">FIND("target:",N48)+7</f>
        <v>#VALUE!</v>
      </c>
      <c r="R48" s="114" t="e">
        <f t="shared" ref="R48:R52" si="87">FIND(",",N48,P48+1)</f>
        <v>#VALUE!</v>
      </c>
      <c r="S48" s="114" t="str">
        <f>IFERROR(VLOOKUP(MID(N48,Q48,R48-Q48),[5]skilldef!$C:$D,2,FALSE),"-") &amp; " / " &amp; IFERROR(VLOOKUP(MID(N48,O48,P48-O48),[5]skilldef!$A:$B,2,FALSE),"-")</f>
        <v>- / -</v>
      </c>
      <c r="T48" s="115" t="str">
        <f t="shared" ref="T48:T52" si="88">IFERROR(RIGHT(M48,LEN(M48)-FIND("],",M48)-1),"none")</f>
        <v>none</v>
      </c>
      <c r="U48" s="114" t="e">
        <f t="shared" ref="U48:U52" si="89">FIND("effect:",T48)+7</f>
        <v>#VALUE!</v>
      </c>
      <c r="V48" s="114">
        <f t="shared" ref="V48:V52" si="90">IFERROR(FIND(",",T48),LEN(T48))</f>
        <v>4</v>
      </c>
      <c r="W48" s="114" t="e">
        <f t="shared" ref="W48:W52" si="91">FIND("target:",T48)+7</f>
        <v>#VALUE!</v>
      </c>
      <c r="X48" s="114" t="e">
        <f t="shared" ref="X48:X52" si="92">FIND(",",T48,V48+1)</f>
        <v>#VALUE!</v>
      </c>
      <c r="Y48" s="114" t="str">
        <f>IFERROR(VLOOKUP(MID(T48,W48,X48-W48),[5]skilldef!$C:$D,2,FALSE),"-") &amp; " / " &amp; IFERROR(VLOOKUP(MID(T48,U48,V48-U48),[5]skilldef!$A:$B,2,FALSE),"-")</f>
        <v>- / -</v>
      </c>
      <c r="Z48" s="113"/>
      <c r="AA48" s="116"/>
      <c r="AB48" s="113"/>
    </row>
    <row r="49" spans="1:28" ht="21" customHeight="1" thickBot="1" x14ac:dyDescent="0.2">
      <c r="A49" s="131">
        <v>47007610</v>
      </c>
      <c r="B49" s="151" t="s">
        <v>426</v>
      </c>
      <c r="C49" s="132">
        <v>3</v>
      </c>
      <c r="D49" s="132" t="s">
        <v>127</v>
      </c>
      <c r="E49" s="133" t="s">
        <v>293</v>
      </c>
      <c r="F49" s="133" t="s">
        <v>343</v>
      </c>
      <c r="G49" s="110" t="str">
        <f t="shared" si="44"/>
        <v>[effect:enemy_message, val1:1.8, val2:4.0, dead_type:escape]</v>
      </c>
      <c r="H49" s="110">
        <f t="shared" si="80"/>
        <v>9</v>
      </c>
      <c r="I49" s="110">
        <f t="shared" si="81"/>
        <v>22</v>
      </c>
      <c r="J49" s="110" t="e">
        <f t="shared" si="82"/>
        <v>#VALUE!</v>
      </c>
      <c r="K49" s="110">
        <f t="shared" si="83"/>
        <v>32</v>
      </c>
      <c r="L49" s="110" t="str">
        <f>IFERROR(VLOOKUP(MID(G49,J49,K49-J49),[5]skilldef!$C:$D,2,FALSE),"-") &amp; " / " &amp; IFERROR(VLOOKUP(MID(G49,H49,I49-H49),[5]skilldef!$A:$B,2,FALSE),"-")</f>
        <v>- / -</v>
      </c>
      <c r="M49" s="110" t="str">
        <f t="shared" si="45"/>
        <v>none</v>
      </c>
      <c r="N49" s="111" t="str">
        <f t="shared" si="46"/>
        <v>none</v>
      </c>
      <c r="O49" s="110" t="e">
        <f t="shared" si="84"/>
        <v>#VALUE!</v>
      </c>
      <c r="P49" s="110">
        <f t="shared" si="85"/>
        <v>4</v>
      </c>
      <c r="Q49" s="110" t="e">
        <f t="shared" si="86"/>
        <v>#VALUE!</v>
      </c>
      <c r="R49" s="110" t="e">
        <f t="shared" si="87"/>
        <v>#VALUE!</v>
      </c>
      <c r="S49" s="110" t="str">
        <f>IFERROR(VLOOKUP(MID(N49,Q49,R49-Q49),[5]skilldef!$C:$D,2,FALSE),"-") &amp; " / " &amp; IFERROR(VLOOKUP(MID(N49,O49,P49-O49),[5]skilldef!$A:$B,2,FALSE),"-")</f>
        <v>- / -</v>
      </c>
      <c r="T49" s="111" t="str">
        <f t="shared" si="88"/>
        <v>none</v>
      </c>
      <c r="U49" s="110" t="e">
        <f t="shared" si="89"/>
        <v>#VALUE!</v>
      </c>
      <c r="V49" s="110">
        <f t="shared" si="90"/>
        <v>4</v>
      </c>
      <c r="W49" s="110" t="e">
        <f t="shared" si="91"/>
        <v>#VALUE!</v>
      </c>
      <c r="X49" s="110" t="e">
        <f t="shared" si="92"/>
        <v>#VALUE!</v>
      </c>
      <c r="Y49" s="110" t="str">
        <f>IFERROR(VLOOKUP(MID(T49,W49,X49-W49),[5]skilldef!$C:$D,2,FALSE),"-") &amp; " / " &amp; IFERROR(VLOOKUP(MID(T49,U49,V49-U49),[5]skilldef!$A:$B,2,FALSE),"-")</f>
        <v>- / -</v>
      </c>
      <c r="Z49" s="109"/>
      <c r="AA49" s="112"/>
      <c r="AB49" s="109"/>
    </row>
    <row r="50" spans="1:28" ht="21" customHeight="1" x14ac:dyDescent="0.15">
      <c r="A50" s="128">
        <v>47007110</v>
      </c>
      <c r="B50" s="152" t="s">
        <v>373</v>
      </c>
      <c r="C50" s="134">
        <v>3</v>
      </c>
      <c r="D50" s="134" t="s">
        <v>127</v>
      </c>
      <c r="E50" s="135" t="s">
        <v>280</v>
      </c>
      <c r="F50" s="135" t="s">
        <v>270</v>
      </c>
      <c r="G50" s="136" t="str">
        <f t="shared" si="44"/>
        <v>[effect:enemy_message, val1:1.2, val2:2.0]</v>
      </c>
      <c r="H50" s="136">
        <f t="shared" si="80"/>
        <v>9</v>
      </c>
      <c r="I50" s="136">
        <f t="shared" si="81"/>
        <v>22</v>
      </c>
      <c r="J50" s="136" t="e">
        <f t="shared" si="82"/>
        <v>#VALUE!</v>
      </c>
      <c r="K50" s="136">
        <f t="shared" si="83"/>
        <v>32</v>
      </c>
      <c r="L50" s="136" t="str">
        <f>IFERROR(VLOOKUP(MID(G50,J50,K50-J50),[5]skilldef!$C:$D,2,FALSE),"-") &amp; " / " &amp; IFERROR(VLOOKUP(MID(G50,H50,I50-H50),[5]skilldef!$A:$B,2,FALSE),"-")</f>
        <v>- / -</v>
      </c>
      <c r="M50" s="136" t="str">
        <f t="shared" si="45"/>
        <v>[effect:drop_freeze, turn:-1, block_type:normal, block_color:block_red, rate:0.3, animation:drop_protect]</v>
      </c>
      <c r="N50" s="130" t="str">
        <f>IFERROR(LEFT(M50,FIND("],",M50)+#REF!),M50)</f>
        <v>[effect:drop_freeze, turn:-1, block_type:normal, block_color:block_red, rate:0.3, animation:drop_protect]</v>
      </c>
      <c r="O50" s="136">
        <f t="shared" si="84"/>
        <v>9</v>
      </c>
      <c r="P50" s="136">
        <f t="shared" si="85"/>
        <v>20</v>
      </c>
      <c r="Q50" s="136" t="e">
        <f t="shared" si="86"/>
        <v>#VALUE!</v>
      </c>
      <c r="R50" s="136">
        <f t="shared" si="87"/>
        <v>29</v>
      </c>
      <c r="S50" s="136" t="str">
        <f>IFERROR(VLOOKUP(MID(N50,Q50,R50-Q50),[5]skilldef!$C:$D,2,FALSE),"-") &amp; " / " &amp; IFERROR(VLOOKUP(MID(N50,O50,P50-O50),[5]skilldef!$A:$B,2,FALSE),"-")</f>
        <v>- / -</v>
      </c>
      <c r="T50" s="130" t="str">
        <f t="shared" si="88"/>
        <v>none</v>
      </c>
      <c r="U50" s="136" t="e">
        <f t="shared" si="89"/>
        <v>#VALUE!</v>
      </c>
      <c r="V50" s="136">
        <f t="shared" si="90"/>
        <v>4</v>
      </c>
      <c r="W50" s="136" t="e">
        <f t="shared" si="91"/>
        <v>#VALUE!</v>
      </c>
      <c r="X50" s="136" t="e">
        <f t="shared" si="92"/>
        <v>#VALUE!</v>
      </c>
      <c r="Y50" s="136" t="str">
        <f>IFERROR(VLOOKUP(MID(T50,W50,X50-W50),[5]skilldef!$C:$D,2,FALSE),"-") &amp; " / " &amp; IFERROR(VLOOKUP(MID(T50,U50,V50-U50),[5]skilldef!$A:$B,2,FALSE),"-")</f>
        <v>- / -</v>
      </c>
      <c r="Z50" s="134"/>
      <c r="AA50" s="137"/>
      <c r="AB50" s="134"/>
    </row>
    <row r="51" spans="1:28" ht="21" customHeight="1" x14ac:dyDescent="0.15">
      <c r="A51" s="47">
        <v>47007111</v>
      </c>
      <c r="B51" s="149" t="s">
        <v>433</v>
      </c>
      <c r="C51" s="50">
        <v>3</v>
      </c>
      <c r="D51" s="50" t="s">
        <v>127</v>
      </c>
      <c r="E51" s="51" t="s">
        <v>385</v>
      </c>
      <c r="F51" s="51" t="s">
        <v>427</v>
      </c>
      <c r="G51" s="64" t="str">
        <f t="shared" si="44"/>
        <v>[effect:enemy_message, val1:1.2, val2:2.2]</v>
      </c>
      <c r="H51" s="64">
        <f t="shared" si="80"/>
        <v>9</v>
      </c>
      <c r="I51" s="64">
        <f t="shared" si="81"/>
        <v>22</v>
      </c>
      <c r="J51" s="64" t="e">
        <f t="shared" si="82"/>
        <v>#VALUE!</v>
      </c>
      <c r="K51" s="64">
        <f t="shared" si="83"/>
        <v>32</v>
      </c>
      <c r="L51" s="64" t="str">
        <f>IFERROR(VLOOKUP(MID(G51,J51,K51-J51),[5]skilldef!$C:$D,2,FALSE),"-") &amp; " / " &amp; IFERROR(VLOOKUP(MID(G51,H51,I51-H51),[5]skilldef!$A:$B,2,FALSE),"-")</f>
        <v>- / -</v>
      </c>
      <c r="M51" s="64" t="str">
        <f t="shared" si="45"/>
        <v>[effect:break_attack_fix, target:unit_one, val:-150, lowest_val:4500, count:-1, block01:block_yellow]</v>
      </c>
      <c r="N51" s="48" t="str">
        <f>IFERROR(LEFT(M51,FIND("],",M51)+#REF!),M51)</f>
        <v>[effect:break_attack_fix, target:unit_one, val:-150, lowest_val:4500, count:-1, block01:block_yellow]</v>
      </c>
      <c r="O51" s="64">
        <f t="shared" si="84"/>
        <v>9</v>
      </c>
      <c r="P51" s="64">
        <f t="shared" si="85"/>
        <v>25</v>
      </c>
      <c r="Q51" s="64">
        <f t="shared" si="86"/>
        <v>34</v>
      </c>
      <c r="R51" s="64">
        <f t="shared" si="87"/>
        <v>42</v>
      </c>
      <c r="S51" s="64" t="str">
        <f>IFERROR(VLOOKUP(MID(N51,Q51,R51-Q51),[5]skilldef!$C:$D,2,FALSE),"-") &amp; " / " &amp; IFERROR(VLOOKUP(MID(N51,O51,P51-O51),[5]skilldef!$A:$B,2,FALSE),"-")</f>
        <v>味方単体に / -</v>
      </c>
      <c r="T51" s="48" t="str">
        <f t="shared" si="88"/>
        <v>none</v>
      </c>
      <c r="U51" s="64" t="e">
        <f t="shared" si="89"/>
        <v>#VALUE!</v>
      </c>
      <c r="V51" s="64">
        <f t="shared" si="90"/>
        <v>4</v>
      </c>
      <c r="W51" s="64" t="e">
        <f t="shared" si="91"/>
        <v>#VALUE!</v>
      </c>
      <c r="X51" s="64" t="e">
        <f t="shared" si="92"/>
        <v>#VALUE!</v>
      </c>
      <c r="Y51" s="64" t="str">
        <f>IFERROR(VLOOKUP(MID(T51,W51,X51-W51),[5]skilldef!$C:$D,2,FALSE),"-") &amp; " / " &amp; IFERROR(VLOOKUP(MID(T51,U51,V51-U51),[5]skilldef!$A:$B,2,FALSE),"-")</f>
        <v>- / -</v>
      </c>
      <c r="Z51" s="50"/>
      <c r="AA51" s="52"/>
      <c r="AB51" s="50"/>
    </row>
    <row r="52" spans="1:28" ht="21" customHeight="1" x14ac:dyDescent="0.15">
      <c r="A52" s="47">
        <v>47007112</v>
      </c>
      <c r="B52" s="149" t="s">
        <v>397</v>
      </c>
      <c r="C52" s="50">
        <v>3</v>
      </c>
      <c r="D52" s="50" t="s">
        <v>127</v>
      </c>
      <c r="E52" s="51" t="s">
        <v>386</v>
      </c>
      <c r="F52" s="51" t="s">
        <v>305</v>
      </c>
      <c r="G52" s="64" t="str">
        <f t="shared" si="44"/>
        <v>[effect:enemy_message, val1:1.6, val2:1.8]</v>
      </c>
      <c r="H52" s="64">
        <f t="shared" si="80"/>
        <v>9</v>
      </c>
      <c r="I52" s="64">
        <f t="shared" si="81"/>
        <v>22</v>
      </c>
      <c r="J52" s="64" t="e">
        <f t="shared" si="82"/>
        <v>#VALUE!</v>
      </c>
      <c r="K52" s="64">
        <f t="shared" si="83"/>
        <v>32</v>
      </c>
      <c r="L52" s="64" t="str">
        <f>IFERROR(VLOOKUP(MID(G52,J52,K52-J52),[5]skilldef!$C:$D,2,FALSE),"-") &amp; " / " &amp; IFERROR(VLOOKUP(MID(G52,H52,I52-H52),[5]skilldef!$A:$B,2,FALSE),"-")</f>
        <v>- / -</v>
      </c>
      <c r="M52" s="64" t="str">
        <f t="shared" si="45"/>
        <v>[effect:break_attack_fix, target:unit_one, val:200, lowest_val:1500, count:15, block01:block_red]</v>
      </c>
      <c r="N52" s="48" t="str">
        <f>IFERROR(LEFT(M52,FIND("],",M52)+#REF!),M52)</f>
        <v>[effect:break_attack_fix, target:unit_one, val:200, lowest_val:1500, count:15, block01:block_red]</v>
      </c>
      <c r="O52" s="64">
        <f t="shared" si="84"/>
        <v>9</v>
      </c>
      <c r="P52" s="64">
        <f t="shared" si="85"/>
        <v>25</v>
      </c>
      <c r="Q52" s="64">
        <f t="shared" si="86"/>
        <v>34</v>
      </c>
      <c r="R52" s="64">
        <f t="shared" si="87"/>
        <v>42</v>
      </c>
      <c r="S52" s="64" t="str">
        <f>IFERROR(VLOOKUP(MID(N52,Q52,R52-Q52),[5]skilldef!$C:$D,2,FALSE),"-") &amp; " / " &amp; IFERROR(VLOOKUP(MID(N52,O52,P52-O52),[5]skilldef!$A:$B,2,FALSE),"-")</f>
        <v>味方単体に / -</v>
      </c>
      <c r="T52" s="48" t="str">
        <f t="shared" si="88"/>
        <v>none</v>
      </c>
      <c r="U52" s="64" t="e">
        <f t="shared" si="89"/>
        <v>#VALUE!</v>
      </c>
      <c r="V52" s="64">
        <f t="shared" si="90"/>
        <v>4</v>
      </c>
      <c r="W52" s="64" t="e">
        <f t="shared" si="91"/>
        <v>#VALUE!</v>
      </c>
      <c r="X52" s="64" t="e">
        <f t="shared" si="92"/>
        <v>#VALUE!</v>
      </c>
      <c r="Y52" s="64" t="str">
        <f>IFERROR(VLOOKUP(MID(T52,W52,X52-W52),[5]skilldef!$C:$D,2,FALSE),"-") &amp; " / " &amp; IFERROR(VLOOKUP(MID(T52,U52,V52-U52),[5]skilldef!$A:$B,2,FALSE),"-")</f>
        <v>- / -</v>
      </c>
      <c r="Z52" s="50"/>
      <c r="AA52" s="52"/>
      <c r="AB52" s="50"/>
    </row>
    <row r="53" spans="1:28" ht="21" customHeight="1" x14ac:dyDescent="0.15">
      <c r="A53" s="47">
        <v>47007209</v>
      </c>
      <c r="B53" s="149" t="s">
        <v>374</v>
      </c>
      <c r="C53" s="50">
        <v>3</v>
      </c>
      <c r="D53" s="50" t="s">
        <v>127</v>
      </c>
      <c r="E53" s="51" t="s">
        <v>315</v>
      </c>
      <c r="F53" s="51" t="s">
        <v>271</v>
      </c>
      <c r="G53" s="64" t="str">
        <f t="shared" si="44"/>
        <v>[effect:enemy_message, val1:1.3, val2:2.3]</v>
      </c>
      <c r="H53" s="64">
        <f t="shared" ref="H53:H74" si="93">FIND("effect:",G53)+7</f>
        <v>9</v>
      </c>
      <c r="I53" s="64">
        <f t="shared" ref="I53:I74" si="94">IFERROR(FIND(",",G53),LEN(G53))</f>
        <v>22</v>
      </c>
      <c r="J53" s="64" t="e">
        <f t="shared" ref="J53:J74" si="95">FIND("target:",G53)+7</f>
        <v>#VALUE!</v>
      </c>
      <c r="K53" s="64">
        <f t="shared" ref="K53:K74" si="96">FIND(",",G53,I53+1)</f>
        <v>32</v>
      </c>
      <c r="L53" s="64" t="str">
        <f>IFERROR(VLOOKUP(MID(G53,J53,K53-J53),[5]skilldef!$C:$D,2,FALSE),"-") &amp; " / " &amp; IFERROR(VLOOKUP(MID(G53,H53,I53-H53),[5]skilldef!$A:$B,2,FALSE),"-")</f>
        <v>- / -</v>
      </c>
      <c r="M53" s="64" t="str">
        <f t="shared" si="45"/>
        <v>[effect:damage_gravity, val:0.3, animation:fevergauge_down],[effect:freq_turn, target:myself, turn:5, val:1, animation:enemy_freq_turn]</v>
      </c>
      <c r="N53" s="48" t="str">
        <f>IFERROR(LEFT(M53,FIND("],",M53)+#REF!),M53)</f>
        <v>[effect:damage_gravity, val:0.3, animation:fevergauge_down],[effect:freq_turn, target:myself, turn:5, val:1, animation:enemy_freq_turn]</v>
      </c>
      <c r="O53" s="64">
        <f t="shared" ref="O53:O74" si="97">FIND("effect:",N53)+7</f>
        <v>9</v>
      </c>
      <c r="P53" s="64">
        <f t="shared" ref="P53:P74" si="98">IFERROR(FIND(",",N53),LEN(N53))</f>
        <v>23</v>
      </c>
      <c r="Q53" s="64">
        <f t="shared" ref="Q53:Q74" si="99">FIND("target:",N53)+7</f>
        <v>87</v>
      </c>
      <c r="R53" s="64">
        <f t="shared" ref="R53:R74" si="100">FIND(",",N53,P53+1)</f>
        <v>32</v>
      </c>
      <c r="S53" s="64" t="str">
        <f>IFERROR(VLOOKUP(MID(N53,Q53,R53-Q53),[5]skilldef!$C:$D,2,FALSE),"-") &amp; " / " &amp; IFERROR(VLOOKUP(MID(N53,O53,P53-O53),[5]skilldef!$A:$B,2,FALSE),"-")</f>
        <v>- / 割合ダメージ</v>
      </c>
      <c r="T53" s="48" t="str">
        <f t="shared" ref="T53:T74" si="101">IFERROR(RIGHT(M53,LEN(M53)-FIND("],",M53)-1),"none")</f>
        <v>[effect:freq_turn, target:myself, turn:5, val:1, animation:enemy_freq_turn]</v>
      </c>
      <c r="U53" s="64">
        <f t="shared" ref="U53:U74" si="102">FIND("effect:",T53)+7</f>
        <v>9</v>
      </c>
      <c r="V53" s="64">
        <f t="shared" ref="V53:V74" si="103">IFERROR(FIND(",",T53),LEN(T53))</f>
        <v>18</v>
      </c>
      <c r="W53" s="64">
        <f t="shared" ref="W53:W74" si="104">FIND("target:",T53)+7</f>
        <v>27</v>
      </c>
      <c r="X53" s="64">
        <f t="shared" ref="X53:X74" si="105">FIND(",",T53,V53+1)</f>
        <v>33</v>
      </c>
      <c r="Y53" s="64" t="str">
        <f>IFERROR(VLOOKUP(MID(T53,W53,X53-W53),[5]skilldef!$C:$D,2,FALSE),"-") &amp; " / " &amp; IFERROR(VLOOKUP(MID(T53,U53,V53-U53),[5]skilldef!$A:$B,2,FALSE),"-")</f>
        <v>自分自身に / 攻撃頻度がUP</v>
      </c>
      <c r="Z53" s="50"/>
      <c r="AA53" s="52"/>
      <c r="AB53" s="50"/>
    </row>
    <row r="54" spans="1:28" ht="21" customHeight="1" x14ac:dyDescent="0.15">
      <c r="A54" s="47">
        <v>47007307</v>
      </c>
      <c r="B54" s="149" t="s">
        <v>434</v>
      </c>
      <c r="C54" s="50">
        <v>3</v>
      </c>
      <c r="D54" s="50" t="s">
        <v>127</v>
      </c>
      <c r="E54" s="51" t="s">
        <v>320</v>
      </c>
      <c r="F54" s="51" t="s">
        <v>429</v>
      </c>
      <c r="G54" s="64" t="str">
        <f t="shared" si="44"/>
        <v>[effect:enemy_message, val1:1.3, val2:2.2]</v>
      </c>
      <c r="H54" s="64">
        <f t="shared" si="93"/>
        <v>9</v>
      </c>
      <c r="I54" s="64">
        <f t="shared" si="94"/>
        <v>22</v>
      </c>
      <c r="J54" s="64" t="e">
        <f t="shared" si="95"/>
        <v>#VALUE!</v>
      </c>
      <c r="K54" s="64">
        <f t="shared" si="96"/>
        <v>32</v>
      </c>
      <c r="L54" s="64" t="str">
        <f>IFERROR(VLOOKUP(MID(G54,J54,K54-J54),[5]skilldef!$C:$D,2,FALSE),"-") &amp; " / " &amp; IFERROR(VLOOKUP(MID(G54,H54,I54-H54),[5]skilldef!$A:$B,2,FALSE),"-")</f>
        <v>- / -</v>
      </c>
      <c r="M54" s="64" t="str">
        <f t="shared" si="45"/>
        <v>[effect:break_attack_fix, target:unit_one, val:-150, lowest_val:6000, count:-1, block01:block_yellow]</v>
      </c>
      <c r="N54" s="48" t="str">
        <f>IFERROR(LEFT(M54,FIND("],",M54)+#REF!),M54)</f>
        <v>[effect:break_attack_fix, target:unit_one, val:-150, lowest_val:6000, count:-1, block01:block_yellow]</v>
      </c>
      <c r="O54" s="64">
        <f t="shared" si="97"/>
        <v>9</v>
      </c>
      <c r="P54" s="64">
        <f t="shared" si="98"/>
        <v>25</v>
      </c>
      <c r="Q54" s="64">
        <f t="shared" si="99"/>
        <v>34</v>
      </c>
      <c r="R54" s="64">
        <f t="shared" si="100"/>
        <v>42</v>
      </c>
      <c r="S54" s="64" t="str">
        <f>IFERROR(VLOOKUP(MID(N54,Q54,R54-Q54),[5]skilldef!$C:$D,2,FALSE),"-") &amp; " / " &amp; IFERROR(VLOOKUP(MID(N54,O54,P54-O54),[5]skilldef!$A:$B,2,FALSE),"-")</f>
        <v>味方単体に / -</v>
      </c>
      <c r="T54" s="48" t="str">
        <f t="shared" si="101"/>
        <v>none</v>
      </c>
      <c r="U54" s="64" t="e">
        <f t="shared" si="102"/>
        <v>#VALUE!</v>
      </c>
      <c r="V54" s="64">
        <f t="shared" si="103"/>
        <v>4</v>
      </c>
      <c r="W54" s="64" t="e">
        <f t="shared" si="104"/>
        <v>#VALUE!</v>
      </c>
      <c r="X54" s="64" t="e">
        <f t="shared" si="105"/>
        <v>#VALUE!</v>
      </c>
      <c r="Y54" s="64" t="str">
        <f>IFERROR(VLOOKUP(MID(T54,W54,X54-W54),[5]skilldef!$C:$D,2,FALSE),"-") &amp; " / " &amp; IFERROR(VLOOKUP(MID(T54,U54,V54-U54),[5]skilldef!$A:$B,2,FALSE),"-")</f>
        <v>- / -</v>
      </c>
      <c r="Z54" s="50"/>
      <c r="AA54" s="52"/>
      <c r="AB54" s="50"/>
    </row>
    <row r="55" spans="1:28" ht="21" customHeight="1" x14ac:dyDescent="0.15">
      <c r="A55" s="47">
        <v>47007308</v>
      </c>
      <c r="B55" s="149" t="s">
        <v>398</v>
      </c>
      <c r="C55" s="50">
        <v>3</v>
      </c>
      <c r="D55" s="50" t="s">
        <v>127</v>
      </c>
      <c r="E55" s="51" t="s">
        <v>321</v>
      </c>
      <c r="F55" s="51" t="s">
        <v>305</v>
      </c>
      <c r="G55" s="64" t="str">
        <f t="shared" si="44"/>
        <v>[effect:enemy_message, val1:1.2, val2:1.8]</v>
      </c>
      <c r="H55" s="64">
        <f t="shared" si="93"/>
        <v>9</v>
      </c>
      <c r="I55" s="64">
        <f t="shared" si="94"/>
        <v>22</v>
      </c>
      <c r="J55" s="64" t="e">
        <f t="shared" si="95"/>
        <v>#VALUE!</v>
      </c>
      <c r="K55" s="64">
        <f t="shared" si="96"/>
        <v>32</v>
      </c>
      <c r="L55" s="64" t="str">
        <f>IFERROR(VLOOKUP(MID(G55,J55,K55-J55),[5]skilldef!$C:$D,2,FALSE),"-") &amp; " / " &amp; IFERROR(VLOOKUP(MID(G55,H55,I55-H55),[5]skilldef!$A:$B,2,FALSE),"-")</f>
        <v>- / -</v>
      </c>
      <c r="M55" s="64" t="str">
        <f t="shared" si="45"/>
        <v>[effect:break_attack_fix, target:unit_one, val:200, lowest_val:2000, count:15, block01:block_red]</v>
      </c>
      <c r="N55" s="48" t="str">
        <f>IFERROR(LEFT(M55,FIND("],",M55)+#REF!),M55)</f>
        <v>[effect:break_attack_fix, target:unit_one, val:200, lowest_val:2000, count:15, block01:block_red]</v>
      </c>
      <c r="O55" s="64">
        <f t="shared" si="97"/>
        <v>9</v>
      </c>
      <c r="P55" s="64">
        <f t="shared" si="98"/>
        <v>25</v>
      </c>
      <c r="Q55" s="64">
        <f t="shared" si="99"/>
        <v>34</v>
      </c>
      <c r="R55" s="64">
        <f t="shared" si="100"/>
        <v>42</v>
      </c>
      <c r="S55" s="64" t="str">
        <f>IFERROR(VLOOKUP(MID(N55,Q55,R55-Q55),[5]skilldef!$C:$D,2,FALSE),"-") &amp; " / " &amp; IFERROR(VLOOKUP(MID(N55,O55,P55-O55),[5]skilldef!$A:$B,2,FALSE),"-")</f>
        <v>味方単体に / -</v>
      </c>
      <c r="T55" s="48" t="str">
        <f t="shared" si="101"/>
        <v>none</v>
      </c>
      <c r="U55" s="64" t="e">
        <f t="shared" si="102"/>
        <v>#VALUE!</v>
      </c>
      <c r="V55" s="64">
        <f t="shared" si="103"/>
        <v>4</v>
      </c>
      <c r="W55" s="64" t="e">
        <f t="shared" si="104"/>
        <v>#VALUE!</v>
      </c>
      <c r="X55" s="64" t="e">
        <f t="shared" si="105"/>
        <v>#VALUE!</v>
      </c>
      <c r="Y55" s="64" t="str">
        <f>IFERROR(VLOOKUP(MID(T55,W55,X55-W55),[5]skilldef!$C:$D,2,FALSE),"-") &amp; " / " &amp; IFERROR(VLOOKUP(MID(T55,U55,V55-U55),[5]skilldef!$A:$B,2,FALSE),"-")</f>
        <v>- / -</v>
      </c>
      <c r="Z55" s="50"/>
      <c r="AA55" s="52"/>
      <c r="AB55" s="50"/>
    </row>
    <row r="56" spans="1:28" ht="21" customHeight="1" x14ac:dyDescent="0.15">
      <c r="A56" s="47">
        <v>47007309</v>
      </c>
      <c r="B56" s="149" t="s">
        <v>400</v>
      </c>
      <c r="C56" s="50">
        <v>3</v>
      </c>
      <c r="D56" s="50" t="s">
        <v>127</v>
      </c>
      <c r="E56" s="51" t="s">
        <v>322</v>
      </c>
      <c r="F56" s="51" t="s">
        <v>354</v>
      </c>
      <c r="G56" s="64" t="str">
        <f t="shared" si="44"/>
        <v>[effect:enemy_message, val1:1.7, val2:2.5]</v>
      </c>
      <c r="H56" s="64">
        <f t="shared" si="93"/>
        <v>9</v>
      </c>
      <c r="I56" s="64">
        <f t="shared" si="94"/>
        <v>22</v>
      </c>
      <c r="J56" s="64" t="e">
        <f t="shared" si="95"/>
        <v>#VALUE!</v>
      </c>
      <c r="K56" s="64">
        <f t="shared" si="96"/>
        <v>32</v>
      </c>
      <c r="L56" s="64" t="str">
        <f>IFERROR(VLOOKUP(MID(G56,J56,K56-J56),[5]skilldef!$C:$D,2,FALSE),"-") &amp; " / " &amp; IFERROR(VLOOKUP(MID(G56,H56,I56-H56),[5]skilldef!$A:$B,2,FALSE),"-")</f>
        <v>- / -</v>
      </c>
      <c r="M56" s="64" t="str">
        <f t="shared" si="45"/>
        <v>[effect:spread, val:0.3],[effect:degrade_unit, target:unit_all, turn:3, status:heal, val:0.3, animation:degrade_unit_all_heal]</v>
      </c>
      <c r="N56" s="48" t="str">
        <f>IFERROR(LEFT(M56,FIND("],",M56)+#REF!),M56)</f>
        <v>[effect:spread, val:0.3],[effect:degrade_unit, target:unit_all, turn:3, status:heal, val:0.3, animation:degrade_unit_all_heal]</v>
      </c>
      <c r="O56" s="64">
        <f t="shared" si="97"/>
        <v>9</v>
      </c>
      <c r="P56" s="64">
        <f t="shared" si="98"/>
        <v>15</v>
      </c>
      <c r="Q56" s="64">
        <f t="shared" si="99"/>
        <v>55</v>
      </c>
      <c r="R56" s="64">
        <f t="shared" si="100"/>
        <v>25</v>
      </c>
      <c r="S56" s="64" t="str">
        <f>IFERROR(VLOOKUP(MID(N56,Q56,R56-Q56),[5]skilldef!$C:$D,2,FALSE),"-") &amp; " / " &amp; IFERROR(VLOOKUP(MID(N56,O56,P56-O56),[5]skilldef!$A:$B,2,FALSE),"-")</f>
        <v>- / 全体攻撃</v>
      </c>
      <c r="T56" s="48" t="str">
        <f t="shared" si="101"/>
        <v>[effect:degrade_unit, target:unit_all, turn:3, status:heal, val:0.3, animation:degrade_unit_all_heal]</v>
      </c>
      <c r="U56" s="64">
        <f t="shared" si="102"/>
        <v>9</v>
      </c>
      <c r="V56" s="64">
        <f t="shared" si="103"/>
        <v>21</v>
      </c>
      <c r="W56" s="64">
        <f t="shared" si="104"/>
        <v>30</v>
      </c>
      <c r="X56" s="64">
        <f t="shared" si="105"/>
        <v>38</v>
      </c>
      <c r="Y56" s="64" t="str">
        <f>IFERROR(VLOOKUP(MID(T56,W56,X56-W56),[5]skilldef!$C:$D,2,FALSE),"-") &amp; " / " &amp; IFERROR(VLOOKUP(MID(T56,U56,V56-U56),[5]skilldef!$A:$B,2,FALSE),"-")</f>
        <v>味方全体に / ステータスDOWN</v>
      </c>
      <c r="Z56" s="50"/>
      <c r="AA56" s="52"/>
      <c r="AB56" s="50"/>
    </row>
    <row r="57" spans="1:28" ht="21" customHeight="1" x14ac:dyDescent="0.15">
      <c r="A57" s="47">
        <v>47007310</v>
      </c>
      <c r="B57" s="149" t="s">
        <v>375</v>
      </c>
      <c r="C57" s="50">
        <v>3</v>
      </c>
      <c r="D57" s="50" t="s">
        <v>127</v>
      </c>
      <c r="E57" s="51" t="s">
        <v>318</v>
      </c>
      <c r="F57" s="51" t="s">
        <v>356</v>
      </c>
      <c r="G57" s="64" t="str">
        <f t="shared" si="44"/>
        <v>[effect:enemy_message, val1:1.4, val2:1.2]</v>
      </c>
      <c r="H57" s="64">
        <f t="shared" si="93"/>
        <v>9</v>
      </c>
      <c r="I57" s="64">
        <f t="shared" si="94"/>
        <v>22</v>
      </c>
      <c r="J57" s="64" t="e">
        <f t="shared" si="95"/>
        <v>#VALUE!</v>
      </c>
      <c r="K57" s="64">
        <f t="shared" si="96"/>
        <v>32</v>
      </c>
      <c r="L57" s="64" t="str">
        <f>IFERROR(VLOOKUP(MID(G57,J57,K57-J57),[5]skilldef!$C:$D,2,FALSE),"-") &amp; " / " &amp; IFERROR(VLOOKUP(MID(G57,H57,I57-H57),[5]skilldef!$A:$B,2,FALSE),"-")</f>
        <v>- / -</v>
      </c>
      <c r="M57" s="64" t="str">
        <f t="shared" si="45"/>
        <v>[effect:damage_fix_absolute, target:unit_one, val:5000]</v>
      </c>
      <c r="N57" s="48" t="str">
        <f>IFERROR(LEFT(M57,FIND("],",M57)+#REF!),M57)</f>
        <v>[effect:damage_fix_absolute, target:unit_one, val:5000]</v>
      </c>
      <c r="O57" s="64">
        <f t="shared" si="97"/>
        <v>9</v>
      </c>
      <c r="P57" s="64">
        <f t="shared" si="98"/>
        <v>28</v>
      </c>
      <c r="Q57" s="64">
        <f t="shared" si="99"/>
        <v>37</v>
      </c>
      <c r="R57" s="64">
        <f t="shared" si="100"/>
        <v>45</v>
      </c>
      <c r="S57" s="64" t="str">
        <f>IFERROR(VLOOKUP(MID(N57,Q57,R57-Q57),[5]skilldef!$C:$D,2,FALSE),"-") &amp; " / " &amp; IFERROR(VLOOKUP(MID(N57,O57,P57-O57),[5]skilldef!$A:$B,2,FALSE),"-")</f>
        <v>味方単体に / -</v>
      </c>
      <c r="T57" s="48" t="str">
        <f t="shared" si="101"/>
        <v>none</v>
      </c>
      <c r="U57" s="64" t="e">
        <f t="shared" si="102"/>
        <v>#VALUE!</v>
      </c>
      <c r="V57" s="64">
        <f t="shared" si="103"/>
        <v>4</v>
      </c>
      <c r="W57" s="64" t="e">
        <f t="shared" si="104"/>
        <v>#VALUE!</v>
      </c>
      <c r="X57" s="64" t="e">
        <f t="shared" si="105"/>
        <v>#VALUE!</v>
      </c>
      <c r="Y57" s="64" t="str">
        <f>IFERROR(VLOOKUP(MID(T57,W57,X57-W57),[5]skilldef!$C:$D,2,FALSE),"-") &amp; " / " &amp; IFERROR(VLOOKUP(MID(T57,U57,V57-U57),[5]skilldef!$A:$B,2,FALSE),"-")</f>
        <v>- / -</v>
      </c>
      <c r="Z57" s="50"/>
      <c r="AA57" s="52"/>
      <c r="AB57" s="50"/>
    </row>
    <row r="58" spans="1:28" ht="21" customHeight="1" x14ac:dyDescent="0.15">
      <c r="A58" s="47">
        <v>47007410</v>
      </c>
      <c r="B58" s="149" t="s">
        <v>399</v>
      </c>
      <c r="C58" s="50">
        <v>3</v>
      </c>
      <c r="D58" s="50" t="s">
        <v>127</v>
      </c>
      <c r="E58" s="51" t="s">
        <v>297</v>
      </c>
      <c r="F58" s="51" t="s">
        <v>309</v>
      </c>
      <c r="G58" s="64" t="str">
        <f t="shared" si="44"/>
        <v>[effect:enemy_message, val1:1.7, val2:1.8]</v>
      </c>
      <c r="H58" s="64">
        <f t="shared" si="93"/>
        <v>9</v>
      </c>
      <c r="I58" s="64">
        <f t="shared" si="94"/>
        <v>22</v>
      </c>
      <c r="J58" s="64" t="e">
        <f t="shared" si="95"/>
        <v>#VALUE!</v>
      </c>
      <c r="K58" s="64">
        <f t="shared" si="96"/>
        <v>32</v>
      </c>
      <c r="L58" s="64" t="str">
        <f>IFERROR(VLOOKUP(MID(G58,J58,K58-J58),[5]skilldef!$C:$D,2,FALSE),"-") &amp; " / " &amp; IFERROR(VLOOKUP(MID(G58,H58,I58-H58),[5]skilldef!$A:$B,2,FALSE),"-")</f>
        <v>- / -</v>
      </c>
      <c r="M58" s="64" t="str">
        <f t="shared" si="45"/>
        <v>[effect:break_attack_fix, target:unit_one, val:275, lowest_val:4000, count:15, block01:block_red]</v>
      </c>
      <c r="N58" s="48" t="str">
        <f>IFERROR(LEFT(M58,FIND("],",M58)+#REF!),M58)</f>
        <v>[effect:break_attack_fix, target:unit_one, val:275, lowest_val:4000, count:15, block01:block_red]</v>
      </c>
      <c r="O58" s="64">
        <f t="shared" si="97"/>
        <v>9</v>
      </c>
      <c r="P58" s="64">
        <f t="shared" si="98"/>
        <v>25</v>
      </c>
      <c r="Q58" s="64">
        <f t="shared" si="99"/>
        <v>34</v>
      </c>
      <c r="R58" s="64">
        <f t="shared" si="100"/>
        <v>42</v>
      </c>
      <c r="S58" s="64" t="str">
        <f>IFERROR(VLOOKUP(MID(N58,Q58,R58-Q58),[5]skilldef!$C:$D,2,FALSE),"-") &amp; " / " &amp; IFERROR(VLOOKUP(MID(N58,O58,P58-O58),[5]skilldef!$A:$B,2,FALSE),"-")</f>
        <v>味方単体に / -</v>
      </c>
      <c r="T58" s="48" t="str">
        <f t="shared" si="101"/>
        <v>none</v>
      </c>
      <c r="U58" s="64" t="e">
        <f t="shared" si="102"/>
        <v>#VALUE!</v>
      </c>
      <c r="V58" s="64">
        <f t="shared" si="103"/>
        <v>4</v>
      </c>
      <c r="W58" s="64" t="e">
        <f t="shared" si="104"/>
        <v>#VALUE!</v>
      </c>
      <c r="X58" s="64" t="e">
        <f t="shared" si="105"/>
        <v>#VALUE!</v>
      </c>
      <c r="Y58" s="64" t="str">
        <f>IFERROR(VLOOKUP(MID(T58,W58,X58-W58),[5]skilldef!$C:$D,2,FALSE),"-") &amp; " / " &amp; IFERROR(VLOOKUP(MID(T58,U58,V58-U58),[5]skilldef!$A:$B,2,FALSE),"-")</f>
        <v>- / -</v>
      </c>
      <c r="Z58" s="50"/>
      <c r="AA58" s="52"/>
      <c r="AB58" s="50"/>
    </row>
    <row r="59" spans="1:28" ht="21" customHeight="1" x14ac:dyDescent="0.15">
      <c r="A59" s="47">
        <v>47007507</v>
      </c>
      <c r="B59" s="149" t="s">
        <v>436</v>
      </c>
      <c r="C59" s="50">
        <v>3</v>
      </c>
      <c r="D59" s="50" t="s">
        <v>127</v>
      </c>
      <c r="E59" s="51" t="s">
        <v>435</v>
      </c>
      <c r="F59" s="51" t="s">
        <v>428</v>
      </c>
      <c r="G59" s="64" t="str">
        <f t="shared" si="44"/>
        <v>[effect:enemy_message, val1:1.6, val2:2.2]</v>
      </c>
      <c r="H59" s="64">
        <f t="shared" si="93"/>
        <v>9</v>
      </c>
      <c r="I59" s="64">
        <f t="shared" si="94"/>
        <v>22</v>
      </c>
      <c r="J59" s="64" t="e">
        <f t="shared" si="95"/>
        <v>#VALUE!</v>
      </c>
      <c r="K59" s="64">
        <f t="shared" si="96"/>
        <v>32</v>
      </c>
      <c r="L59" s="64" t="str">
        <f>IFERROR(VLOOKUP(MID(G59,J59,K59-J59),[5]skilldef!$C:$D,2,FALSE),"-") &amp; " / " &amp; IFERROR(VLOOKUP(MID(G59,H59,I59-H59),[5]skilldef!$A:$B,2,FALSE),"-")</f>
        <v>- / -</v>
      </c>
      <c r="M59" s="64" t="str">
        <f t="shared" si="45"/>
        <v>[effect:break_attack_fix, target:unit_one, val:-100, lowest_val:7000, count:-1, block01:block_yellow]</v>
      </c>
      <c r="N59" s="48" t="str">
        <f>IFERROR(LEFT(M59,FIND("],",M59)+#REF!),M59)</f>
        <v>[effect:break_attack_fix, target:unit_one, val:-100, lowest_val:7000, count:-1, block01:block_yellow]</v>
      </c>
      <c r="O59" s="64">
        <f t="shared" si="97"/>
        <v>9</v>
      </c>
      <c r="P59" s="64">
        <f t="shared" si="98"/>
        <v>25</v>
      </c>
      <c r="Q59" s="64">
        <f t="shared" si="99"/>
        <v>34</v>
      </c>
      <c r="R59" s="64">
        <f t="shared" si="100"/>
        <v>42</v>
      </c>
      <c r="S59" s="64" t="str">
        <f>IFERROR(VLOOKUP(MID(N59,Q59,R59-Q59),[5]skilldef!$C:$D,2,FALSE),"-") &amp; " / " &amp; IFERROR(VLOOKUP(MID(N59,O59,P59-O59),[5]skilldef!$A:$B,2,FALSE),"-")</f>
        <v>味方単体に / -</v>
      </c>
      <c r="T59" s="48" t="str">
        <f t="shared" si="101"/>
        <v>none</v>
      </c>
      <c r="U59" s="64" t="e">
        <f t="shared" si="102"/>
        <v>#VALUE!</v>
      </c>
      <c r="V59" s="64">
        <f t="shared" si="103"/>
        <v>4</v>
      </c>
      <c r="W59" s="64" t="e">
        <f t="shared" si="104"/>
        <v>#VALUE!</v>
      </c>
      <c r="X59" s="64" t="e">
        <f t="shared" si="105"/>
        <v>#VALUE!</v>
      </c>
      <c r="Y59" s="64" t="str">
        <f>IFERROR(VLOOKUP(MID(T59,W59,X59-W59),[5]skilldef!$C:$D,2,FALSE),"-") &amp; " / " &amp; IFERROR(VLOOKUP(MID(T59,U59,V59-U59),[5]skilldef!$A:$B,2,FALSE),"-")</f>
        <v>- / -</v>
      </c>
      <c r="Z59" s="50"/>
      <c r="AA59" s="52"/>
      <c r="AB59" s="50"/>
    </row>
    <row r="60" spans="1:28" ht="21" customHeight="1" thickBot="1" x14ac:dyDescent="0.2">
      <c r="A60" s="108">
        <v>47007508</v>
      </c>
      <c r="B60" s="166" t="s">
        <v>387</v>
      </c>
      <c r="C60" s="109">
        <v>3</v>
      </c>
      <c r="D60" s="109" t="s">
        <v>127</v>
      </c>
      <c r="E60" s="167" t="s">
        <v>286</v>
      </c>
      <c r="F60" s="167" t="s">
        <v>381</v>
      </c>
      <c r="G60" s="110" t="str">
        <f t="shared" si="44"/>
        <v>[effect:enemy_message, val1:1.4, val2:1.2]</v>
      </c>
      <c r="H60" s="110">
        <f t="shared" si="93"/>
        <v>9</v>
      </c>
      <c r="I60" s="110">
        <f t="shared" si="94"/>
        <v>22</v>
      </c>
      <c r="J60" s="110" t="e">
        <f t="shared" si="95"/>
        <v>#VALUE!</v>
      </c>
      <c r="K60" s="110">
        <f t="shared" si="96"/>
        <v>32</v>
      </c>
      <c r="L60" s="110" t="str">
        <f>IFERROR(VLOOKUP(MID(G60,J60,K60-J60),[5]skilldef!$C:$D,2,FALSE),"-") &amp; " / " &amp; IFERROR(VLOOKUP(MID(G60,H60,I60-H60),[5]skilldef!$A:$B,2,FALSE),"-")</f>
        <v>- / -</v>
      </c>
      <c r="M60" s="110" t="str">
        <f t="shared" si="45"/>
        <v>[effect:regenerate, target:unit_all, turn:5, val:0.2, type:hp_ratio, animation:heal03_unit01]</v>
      </c>
      <c r="N60" s="111" t="str">
        <f>IFERROR(LEFT(M60,FIND("],",M60)+#REF!),M60)</f>
        <v>[effect:regenerate, target:unit_all, turn:5, val:0.2, type:hp_ratio, animation:heal03_unit01]</v>
      </c>
      <c r="O60" s="110">
        <f t="shared" si="97"/>
        <v>9</v>
      </c>
      <c r="P60" s="110">
        <f t="shared" si="98"/>
        <v>19</v>
      </c>
      <c r="Q60" s="110">
        <f t="shared" si="99"/>
        <v>28</v>
      </c>
      <c r="R60" s="110">
        <f t="shared" si="100"/>
        <v>36</v>
      </c>
      <c r="S60" s="110" t="str">
        <f>IFERROR(VLOOKUP(MID(N60,Q60,R60-Q60),[5]skilldef!$C:$D,2,FALSE),"-") &amp; " / " &amp; IFERROR(VLOOKUP(MID(N60,O60,P60-O60),[5]skilldef!$A:$B,2,FALSE),"-")</f>
        <v>味方全体に / -</v>
      </c>
      <c r="T60" s="111" t="str">
        <f t="shared" si="101"/>
        <v>none</v>
      </c>
      <c r="U60" s="110" t="e">
        <f t="shared" si="102"/>
        <v>#VALUE!</v>
      </c>
      <c r="V60" s="110">
        <f t="shared" si="103"/>
        <v>4</v>
      </c>
      <c r="W60" s="110" t="e">
        <f t="shared" si="104"/>
        <v>#VALUE!</v>
      </c>
      <c r="X60" s="110" t="e">
        <f t="shared" si="105"/>
        <v>#VALUE!</v>
      </c>
      <c r="Y60" s="110" t="str">
        <f>IFERROR(VLOOKUP(MID(T60,W60,X60-W60),[5]skilldef!$C:$D,2,FALSE),"-") &amp; " / " &amp; IFERROR(VLOOKUP(MID(T60,U60,V60-U60),[5]skilldef!$A:$B,2,FALSE),"-")</f>
        <v>- / -</v>
      </c>
      <c r="Z60" s="109"/>
      <c r="AA60" s="112"/>
      <c r="AB60" s="109"/>
    </row>
    <row r="61" spans="1:28" ht="21" customHeight="1" x14ac:dyDescent="0.15">
      <c r="A61" s="169">
        <v>47007481</v>
      </c>
      <c r="B61" s="184" t="s">
        <v>472</v>
      </c>
      <c r="C61" s="185">
        <v>3</v>
      </c>
      <c r="D61" s="185" t="s">
        <v>127</v>
      </c>
      <c r="E61" s="186" t="s">
        <v>439</v>
      </c>
      <c r="F61" s="186" t="s">
        <v>264</v>
      </c>
      <c r="G61" s="64" t="str">
        <f t="shared" si="44"/>
        <v>[effect:enemy_message, val1:1.7, val2:3.3]</v>
      </c>
      <c r="H61" s="64">
        <f t="shared" si="93"/>
        <v>9</v>
      </c>
      <c r="I61" s="64">
        <f t="shared" si="94"/>
        <v>22</v>
      </c>
      <c r="J61" s="64" t="e">
        <f t="shared" si="95"/>
        <v>#VALUE!</v>
      </c>
      <c r="K61" s="64">
        <f t="shared" si="96"/>
        <v>32</v>
      </c>
      <c r="L61" s="64" t="str">
        <f>IFERROR(VLOOKUP(MID(G61,J61,K61-J61),[5]skilldef!$C:$D,2,FALSE),"-") &amp; " / " &amp; IFERROR(VLOOKUP(MID(G61,H61,I61-H61),[5]skilldef!$A:$B,2,FALSE),"-")</f>
        <v>- / -</v>
      </c>
      <c r="M61" s="64" t="str">
        <f t="shared" si="45"/>
        <v>[effect:fix_speed, target:myself, turn:1],[effect:tolerance, target:myself, turn:-1, count:-1, tolerance_effect:all, animation:enemy_tolerance],[effect:force_change_block, new_block:block_heart, target:block_blue, count:0, val:0],[effect:force_change_block, new_block:block_red, target:block_yellow, count:0, val:0]</v>
      </c>
      <c r="N61" s="48" t="str">
        <f t="shared" ref="N61:N64" si="106">IFERROR(LEFT(M61,FIND("],",M61)+S72),M61)</f>
        <v>[effect:fix_speed, target:myself, turn:1],[effect:tolerance, target:myself, turn:-1, count:-1, tolerance_effect:all, animation:enemy_tolerance],[effect:force_change_block, new_block:block_heart, target:block_blue, count:0, val:0],[effect:force_change_block, new_block:block_red, target:block_yellow, count:0, val:0]</v>
      </c>
      <c r="O61" s="64">
        <f t="shared" si="97"/>
        <v>9</v>
      </c>
      <c r="P61" s="64">
        <f t="shared" si="98"/>
        <v>18</v>
      </c>
      <c r="Q61" s="64">
        <f t="shared" si="99"/>
        <v>27</v>
      </c>
      <c r="R61" s="64">
        <f t="shared" si="100"/>
        <v>33</v>
      </c>
      <c r="S61" s="64" t="str">
        <f>IFERROR(VLOOKUP(MID(N61,Q61,R61-Q61),[5]skilldef!$C:$D,2,FALSE),"-") &amp; " / " &amp; IFERROR(VLOOKUP(MID(N61,O61,P61-O61),[5]skilldef!$A:$B,2,FALSE),"-")</f>
        <v>自分自身に / 行動値設定</v>
      </c>
      <c r="T61" s="48" t="str">
        <f t="shared" si="101"/>
        <v>[effect:tolerance, target:myself, turn:-1, count:-1, tolerance_effect:all, animation:enemy_tolerance],[effect:force_change_block, new_block:block_heart, target:block_blue, count:0, val:0],[effect:force_change_block, new_block:block_red, target:block_yellow, count:0, val:0]</v>
      </c>
      <c r="U61" s="64">
        <f t="shared" si="102"/>
        <v>9</v>
      </c>
      <c r="V61" s="64">
        <f t="shared" si="103"/>
        <v>18</v>
      </c>
      <c r="W61" s="64">
        <f t="shared" si="104"/>
        <v>27</v>
      </c>
      <c r="X61" s="64">
        <f t="shared" si="105"/>
        <v>33</v>
      </c>
      <c r="Y61" s="64" t="str">
        <f>IFERROR(VLOOKUP(MID(T61,W61,X61-W61),[5]skilldef!$C:$D,2,FALSE),"-") &amp; " / " &amp; IFERROR(VLOOKUP(MID(T61,U61,V61-U61),[5]skilldef!$A:$B,2,FALSE),"-")</f>
        <v>自分自身に / 状態異常耐性</v>
      </c>
      <c r="Z61" s="50"/>
      <c r="AA61" s="52"/>
      <c r="AB61" s="50"/>
    </row>
    <row r="62" spans="1:28" ht="21" customHeight="1" x14ac:dyDescent="0.15">
      <c r="A62" s="170">
        <v>47007482</v>
      </c>
      <c r="B62" s="187" t="s">
        <v>487</v>
      </c>
      <c r="C62" s="188">
        <v>3</v>
      </c>
      <c r="D62" s="188" t="s">
        <v>127</v>
      </c>
      <c r="E62" s="189" t="s">
        <v>499</v>
      </c>
      <c r="F62" s="189" t="s">
        <v>351</v>
      </c>
      <c r="G62" s="64" t="str">
        <f t="shared" si="44"/>
        <v>[effect:enemy_message, val1:3.3, val2:4.7]</v>
      </c>
      <c r="H62" s="64">
        <f t="shared" si="93"/>
        <v>9</v>
      </c>
      <c r="I62" s="64">
        <f t="shared" si="94"/>
        <v>22</v>
      </c>
      <c r="J62" s="64" t="e">
        <f t="shared" si="95"/>
        <v>#VALUE!</v>
      </c>
      <c r="K62" s="64">
        <f t="shared" si="96"/>
        <v>32</v>
      </c>
      <c r="L62" s="64" t="str">
        <f>IFERROR(VLOOKUP(MID(G62,J62,K62-J62),[5]skilldef!$C:$D,2,FALSE),"-") &amp; " / " &amp; IFERROR(VLOOKUP(MID(G62,H62,I62-H62),[5]skilldef!$A:$B,2,FALSE),"-")</f>
        <v>- / -</v>
      </c>
      <c r="M62" s="64" t="str">
        <f t="shared" si="45"/>
        <v>[effect:fix_speed, target:myself, turn:1],[effect:sp_boost, target:unit_all, val:4],[effect:force_change_block, new_block:block_heart, target:block_blue, count:0, val:0],[effect:force_change_block, new_block:block_red, target:block_yellow, count:0, val:0]</v>
      </c>
      <c r="N62" s="48" t="str">
        <f t="shared" si="106"/>
        <v>[effect:fix_speed, target:myself, turn:1],[effect:sp_boost, target:unit_all, val:4],[effect:force_change_block, new_block:block_heart, target:block_blue, count:0, val:0],[effect:force_change_block, new_block:block_red, target:block_yellow, count:0, val:0]</v>
      </c>
      <c r="O62" s="64">
        <f t="shared" si="97"/>
        <v>9</v>
      </c>
      <c r="P62" s="64">
        <f t="shared" si="98"/>
        <v>18</v>
      </c>
      <c r="Q62" s="64">
        <f t="shared" si="99"/>
        <v>27</v>
      </c>
      <c r="R62" s="64">
        <f t="shared" si="100"/>
        <v>33</v>
      </c>
      <c r="S62" s="64" t="str">
        <f>IFERROR(VLOOKUP(MID(N62,Q62,R62-Q62),[5]skilldef!$C:$D,2,FALSE),"-") &amp; " / " &amp; IFERROR(VLOOKUP(MID(N62,O62,P62-O62),[5]skilldef!$A:$B,2,FALSE),"-")</f>
        <v>自分自身に / 行動値設定</v>
      </c>
      <c r="T62" s="48" t="str">
        <f t="shared" si="101"/>
        <v>[effect:sp_boost, target:unit_all, val:4],[effect:force_change_block, new_block:block_heart, target:block_blue, count:0, val:0],[effect:force_change_block, new_block:block_red, target:block_yellow, count:0, val:0]</v>
      </c>
      <c r="U62" s="64">
        <f t="shared" si="102"/>
        <v>9</v>
      </c>
      <c r="V62" s="64">
        <f t="shared" si="103"/>
        <v>17</v>
      </c>
      <c r="W62" s="64">
        <f t="shared" si="104"/>
        <v>26</v>
      </c>
      <c r="X62" s="64">
        <f t="shared" si="105"/>
        <v>34</v>
      </c>
      <c r="Y62" s="64" t="str">
        <f>IFERROR(VLOOKUP(MID(T62,W62,X62-W62),[5]skilldef!$C:$D,2,FALSE),"-") &amp; " / " &amp; IFERROR(VLOOKUP(MID(T62,U62,V62-U62),[5]skilldef!$A:$B,2,FALSE),"-")</f>
        <v>味方全体に / -</v>
      </c>
      <c r="Z62" s="50"/>
      <c r="AA62" s="52"/>
      <c r="AB62" s="50"/>
    </row>
    <row r="63" spans="1:28" ht="21" customHeight="1" x14ac:dyDescent="0.15">
      <c r="A63" s="170">
        <v>47007483</v>
      </c>
      <c r="B63" s="187" t="s">
        <v>488</v>
      </c>
      <c r="C63" s="188">
        <v>3</v>
      </c>
      <c r="D63" s="188" t="s">
        <v>127</v>
      </c>
      <c r="E63" s="189" t="s">
        <v>440</v>
      </c>
      <c r="F63" s="189" t="s">
        <v>352</v>
      </c>
      <c r="G63" s="64" t="str">
        <f t="shared" si="44"/>
        <v>[effect:enemy_message, val1:2.6, val2:4.7]</v>
      </c>
      <c r="H63" s="64">
        <f t="shared" si="93"/>
        <v>9</v>
      </c>
      <c r="I63" s="64">
        <f t="shared" si="94"/>
        <v>22</v>
      </c>
      <c r="J63" s="64" t="e">
        <f t="shared" si="95"/>
        <v>#VALUE!</v>
      </c>
      <c r="K63" s="64">
        <f t="shared" si="96"/>
        <v>32</v>
      </c>
      <c r="L63" s="64" t="str">
        <f>IFERROR(VLOOKUP(MID(G63,J63,K63-J63),[5]skilldef!$C:$D,2,FALSE),"-") &amp; " / " &amp; IFERROR(VLOOKUP(MID(G63,H63,I63-H63),[5]skilldef!$A:$B,2,FALSE),"-")</f>
        <v>- / -</v>
      </c>
      <c r="M63" s="64" t="str">
        <f t="shared" si="45"/>
        <v>[effect:fix_speed, target:myself, turn:1],[effect:sp_boost, target:unit_all, val:2],[effect:force_change_block, new_block:block_heart, target:block_blue, count:0, val:0],[effect:force_change_block, new_block:block_red, target:block_yellow, count:0, val:0]</v>
      </c>
      <c r="N63" s="48" t="str">
        <f t="shared" si="106"/>
        <v>[effect:fix_speed, target:myself, turn:1],[effect:sp_boost, target:unit_all, val:2],[effect:force_change_block, new_block:block_heart, target:block_blue, count:0, val:0],[effect:force_change_block, new_block:block_red, target:block_yellow, count:0, val:0]</v>
      </c>
      <c r="O63" s="64">
        <f t="shared" si="97"/>
        <v>9</v>
      </c>
      <c r="P63" s="64">
        <f t="shared" si="98"/>
        <v>18</v>
      </c>
      <c r="Q63" s="64">
        <f t="shared" si="99"/>
        <v>27</v>
      </c>
      <c r="R63" s="64">
        <f t="shared" si="100"/>
        <v>33</v>
      </c>
      <c r="S63" s="64" t="str">
        <f>IFERROR(VLOOKUP(MID(N63,Q63,R63-Q63),[5]skilldef!$C:$D,2,FALSE),"-") &amp; " / " &amp; IFERROR(VLOOKUP(MID(N63,O63,P63-O63),[5]skilldef!$A:$B,2,FALSE),"-")</f>
        <v>自分自身に / 行動値設定</v>
      </c>
      <c r="T63" s="48" t="str">
        <f t="shared" si="101"/>
        <v>[effect:sp_boost, target:unit_all, val:2],[effect:force_change_block, new_block:block_heart, target:block_blue, count:0, val:0],[effect:force_change_block, new_block:block_red, target:block_yellow, count:0, val:0]</v>
      </c>
      <c r="U63" s="64">
        <f t="shared" si="102"/>
        <v>9</v>
      </c>
      <c r="V63" s="64">
        <f t="shared" si="103"/>
        <v>17</v>
      </c>
      <c r="W63" s="64">
        <f t="shared" si="104"/>
        <v>26</v>
      </c>
      <c r="X63" s="64">
        <f t="shared" si="105"/>
        <v>34</v>
      </c>
      <c r="Y63" s="64" t="str">
        <f>IFERROR(VLOOKUP(MID(T63,W63,X63-W63),[5]skilldef!$C:$D,2,FALSE),"-") &amp; " / " &amp; IFERROR(VLOOKUP(MID(T63,U63,V63-U63),[5]skilldef!$A:$B,2,FALSE),"-")</f>
        <v>味方全体に / -</v>
      </c>
      <c r="Z63" s="50"/>
      <c r="AA63" s="52"/>
      <c r="AB63" s="50"/>
    </row>
    <row r="64" spans="1:28" ht="21" customHeight="1" x14ac:dyDescent="0.15">
      <c r="A64" s="170">
        <v>47007484</v>
      </c>
      <c r="B64" s="187" t="s">
        <v>473</v>
      </c>
      <c r="C64" s="188">
        <v>3</v>
      </c>
      <c r="D64" s="188" t="s">
        <v>127</v>
      </c>
      <c r="E64" s="189" t="s">
        <v>441</v>
      </c>
      <c r="F64" s="189" t="s">
        <v>264</v>
      </c>
      <c r="G64" s="64" t="str">
        <f t="shared" si="44"/>
        <v>[effect:enemy_message, val1:1.9, val2:3.3]</v>
      </c>
      <c r="H64" s="64">
        <f t="shared" si="93"/>
        <v>9</v>
      </c>
      <c r="I64" s="64">
        <f t="shared" si="94"/>
        <v>22</v>
      </c>
      <c r="J64" s="64" t="e">
        <f t="shared" si="95"/>
        <v>#VALUE!</v>
      </c>
      <c r="K64" s="64">
        <f t="shared" si="96"/>
        <v>32</v>
      </c>
      <c r="L64" s="64" t="str">
        <f>IFERROR(VLOOKUP(MID(G64,J64,K64-J64),[5]skilldef!$C:$D,2,FALSE),"-") &amp; " / " &amp; IFERROR(VLOOKUP(MID(G64,H64,I64-H64),[5]skilldef!$A:$B,2,FALSE),"-")</f>
        <v>- / -</v>
      </c>
      <c r="M64" s="64" t="str">
        <f t="shared" si="45"/>
        <v>[effect:fix_speed, target:myself, turn:1],[effect:tolerance, target:myself, turn:-1, count:-1, tolerance_effect:all, animation:enemy_tolerance],[effect:force_change_block, new_block:block_heart, target:block_blue, count:0, val:0],[effect:force_change_block, new_block:block_red, target:block_yellow, count:0, val:0]</v>
      </c>
      <c r="N64" s="48" t="str">
        <f t="shared" si="106"/>
        <v>[effect:fix_speed, target:myself, turn:1],[effect:tolerance, target:myself, turn:-1, count:-1, tolerance_effect:all, animation:enemy_tolerance],[effect:force_change_block, new_block:block_heart, target:block_blue, count:0, val:0],[effect:force_change_block, new_block:block_red, target:block_yellow, count:0, val:0]</v>
      </c>
      <c r="O64" s="64">
        <f t="shared" si="97"/>
        <v>9</v>
      </c>
      <c r="P64" s="64">
        <f t="shared" si="98"/>
        <v>18</v>
      </c>
      <c r="Q64" s="64">
        <f t="shared" si="99"/>
        <v>27</v>
      </c>
      <c r="R64" s="64">
        <f t="shared" si="100"/>
        <v>33</v>
      </c>
      <c r="S64" s="64" t="str">
        <f>IFERROR(VLOOKUP(MID(N64,Q64,R64-Q64),[5]skilldef!$C:$D,2,FALSE),"-") &amp; " / " &amp; IFERROR(VLOOKUP(MID(N64,O64,P64-O64),[5]skilldef!$A:$B,2,FALSE),"-")</f>
        <v>自分自身に / 行動値設定</v>
      </c>
      <c r="T64" s="48" t="str">
        <f t="shared" si="101"/>
        <v>[effect:tolerance, target:myself, turn:-1, count:-1, tolerance_effect:all, animation:enemy_tolerance],[effect:force_change_block, new_block:block_heart, target:block_blue, count:0, val:0],[effect:force_change_block, new_block:block_red, target:block_yellow, count:0, val:0]</v>
      </c>
      <c r="U64" s="64">
        <f t="shared" si="102"/>
        <v>9</v>
      </c>
      <c r="V64" s="64">
        <f t="shared" si="103"/>
        <v>18</v>
      </c>
      <c r="W64" s="64">
        <f t="shared" si="104"/>
        <v>27</v>
      </c>
      <c r="X64" s="64">
        <f t="shared" si="105"/>
        <v>33</v>
      </c>
      <c r="Y64" s="64" t="str">
        <f>IFERROR(VLOOKUP(MID(T64,W64,X64-W64),[5]skilldef!$C:$D,2,FALSE),"-") &amp; " / " &amp; IFERROR(VLOOKUP(MID(T64,U64,V64-U64),[5]skilldef!$A:$B,2,FALSE),"-")</f>
        <v>自分自身に / 状態異常耐性</v>
      </c>
      <c r="Z64" s="50"/>
      <c r="AA64" s="52"/>
      <c r="AB64" s="50"/>
    </row>
    <row r="65" spans="1:28" ht="21" customHeight="1" x14ac:dyDescent="0.15">
      <c r="A65" s="171">
        <v>47007485</v>
      </c>
      <c r="B65" s="184" t="s">
        <v>474</v>
      </c>
      <c r="C65" s="185">
        <v>3</v>
      </c>
      <c r="D65" s="185" t="s">
        <v>127</v>
      </c>
      <c r="E65" s="186" t="s">
        <v>442</v>
      </c>
      <c r="F65" s="186" t="s">
        <v>361</v>
      </c>
      <c r="G65" s="64" t="str">
        <f t="shared" si="44"/>
        <v>[effect:enemy_message, val1:2.2, val2:2.2]</v>
      </c>
      <c r="H65" s="64">
        <f t="shared" si="93"/>
        <v>9</v>
      </c>
      <c r="I65" s="64">
        <f t="shared" si="94"/>
        <v>22</v>
      </c>
      <c r="J65" s="64" t="e">
        <f t="shared" si="95"/>
        <v>#VALUE!</v>
      </c>
      <c r="K65" s="64">
        <f t="shared" si="96"/>
        <v>32</v>
      </c>
      <c r="L65" s="64" t="str">
        <f>IFERROR(VLOOKUP(MID(G65,J65,K65-J65),[5]skilldef!$C:$D,2,FALSE),"-") &amp; " / " &amp; IFERROR(VLOOKUP(MID(G65,H65,I65-H65),[5]skilldef!$A:$B,2,FALSE),"-")</f>
        <v>- / -</v>
      </c>
      <c r="M65" s="64" t="str">
        <f t="shared" si="45"/>
        <v>[effect:panel_freeze, target:normal, count:10],[effect:spread, val:0.4]</v>
      </c>
      <c r="N65" s="48" t="str">
        <f t="shared" ref="N65:N69" si="107">IFERROR(LEFT(M65,FIND("],",M65)+S75),M65)</f>
        <v>[effect:panel_freeze, target:normal, count:10],[effect:spread, val:0.4]</v>
      </c>
      <c r="O65" s="64">
        <f t="shared" si="97"/>
        <v>9</v>
      </c>
      <c r="P65" s="64">
        <f t="shared" si="98"/>
        <v>21</v>
      </c>
      <c r="Q65" s="64">
        <f t="shared" si="99"/>
        <v>30</v>
      </c>
      <c r="R65" s="64">
        <f t="shared" si="100"/>
        <v>36</v>
      </c>
      <c r="S65" s="64" t="str">
        <f>IFERROR(VLOOKUP(MID(N65,Q65,R65-Q65),[5]skilldef!$C:$D,2,FALSE),"-") &amp; " / " &amp; IFERROR(VLOOKUP(MID(N65,O65,P65-O65),[5]skilldef!$A:$B,2,FALSE),"-")</f>
        <v>- / -</v>
      </c>
      <c r="T65" s="48" t="str">
        <f t="shared" si="101"/>
        <v>[effect:spread, val:0.4]</v>
      </c>
      <c r="U65" s="64">
        <f t="shared" si="102"/>
        <v>9</v>
      </c>
      <c r="V65" s="64">
        <f t="shared" si="103"/>
        <v>15</v>
      </c>
      <c r="W65" s="64" t="e">
        <f t="shared" si="104"/>
        <v>#VALUE!</v>
      </c>
      <c r="X65" s="64" t="e">
        <f t="shared" si="105"/>
        <v>#VALUE!</v>
      </c>
      <c r="Y65" s="64" t="str">
        <f>IFERROR(VLOOKUP(MID(T65,W65,X65-W65),[5]skilldef!$C:$D,2,FALSE),"-") &amp; " / " &amp; IFERROR(VLOOKUP(MID(T65,U65,V65-U65),[5]skilldef!$A:$B,2,FALSE),"-")</f>
        <v>- / 全体攻撃</v>
      </c>
      <c r="Z65" s="50"/>
      <c r="AA65" s="52"/>
      <c r="AB65" s="50"/>
    </row>
    <row r="66" spans="1:28" ht="21" customHeight="1" x14ac:dyDescent="0.15">
      <c r="A66" s="171">
        <v>47007486</v>
      </c>
      <c r="B66" s="184" t="s">
        <v>475</v>
      </c>
      <c r="C66" s="185">
        <v>3</v>
      </c>
      <c r="D66" s="185" t="s">
        <v>127</v>
      </c>
      <c r="E66" s="186" t="s">
        <v>443</v>
      </c>
      <c r="F66" s="186" t="s">
        <v>311</v>
      </c>
      <c r="G66" s="64" t="str">
        <f t="shared" si="44"/>
        <v>[effect:enemy_message, val1:2.0, val2:2.7]</v>
      </c>
      <c r="H66" s="64">
        <f t="shared" si="93"/>
        <v>9</v>
      </c>
      <c r="I66" s="64">
        <f t="shared" si="94"/>
        <v>22</v>
      </c>
      <c r="J66" s="64" t="e">
        <f t="shared" si="95"/>
        <v>#VALUE!</v>
      </c>
      <c r="K66" s="64">
        <f t="shared" si="96"/>
        <v>32</v>
      </c>
      <c r="L66" s="64" t="str">
        <f>IFERROR(VLOOKUP(MID(G66,J66,K66-J66),[5]skilldef!$C:$D,2,FALSE),"-") &amp; " / " &amp; IFERROR(VLOOKUP(MID(G66,H66,I66-H66),[5]skilldef!$A:$B,2,FALSE),"-")</f>
        <v>- / -</v>
      </c>
      <c r="M66" s="64" t="str">
        <f t="shared" si="45"/>
        <v>[effect:damage_abnormal, target:unit_one, val:1.3, status:heal, turn:-1, rate:1, val_abnormal:-0.3]</v>
      </c>
      <c r="N66" s="48" t="str">
        <f t="shared" si="107"/>
        <v>[effect:damage_abnormal, target:unit_one, val:1.3, status:heal, turn:-1, rate:1, val_abnormal:-0.3]</v>
      </c>
      <c r="O66" s="64">
        <f t="shared" si="97"/>
        <v>9</v>
      </c>
      <c r="P66" s="64">
        <f t="shared" si="98"/>
        <v>24</v>
      </c>
      <c r="Q66" s="64">
        <f t="shared" si="99"/>
        <v>33</v>
      </c>
      <c r="R66" s="64">
        <f t="shared" si="100"/>
        <v>41</v>
      </c>
      <c r="S66" s="64" t="str">
        <f>IFERROR(VLOOKUP(MID(N66,Q66,R66-Q66),[5]skilldef!$C:$D,2,FALSE),"-") &amp; " / " &amp; IFERROR(VLOOKUP(MID(N66,O66,P66-O66),[5]skilldef!$A:$B,2,FALSE),"-")</f>
        <v>味方単体に / -</v>
      </c>
      <c r="T66" s="48" t="str">
        <f t="shared" si="101"/>
        <v>none</v>
      </c>
      <c r="U66" s="64" t="e">
        <f t="shared" si="102"/>
        <v>#VALUE!</v>
      </c>
      <c r="V66" s="64">
        <f t="shared" si="103"/>
        <v>4</v>
      </c>
      <c r="W66" s="64" t="e">
        <f t="shared" si="104"/>
        <v>#VALUE!</v>
      </c>
      <c r="X66" s="64" t="e">
        <f t="shared" si="105"/>
        <v>#VALUE!</v>
      </c>
      <c r="Y66" s="64" t="str">
        <f>IFERROR(VLOOKUP(MID(T66,W66,X66-W66),[5]skilldef!$C:$D,2,FALSE),"-") &amp; " / " &amp; IFERROR(VLOOKUP(MID(T66,U66,V66-U66),[5]skilldef!$A:$B,2,FALSE),"-")</f>
        <v>- / -</v>
      </c>
      <c r="Z66" s="50"/>
      <c r="AA66" s="52"/>
      <c r="AB66" s="50"/>
    </row>
    <row r="67" spans="1:28" ht="21" customHeight="1" x14ac:dyDescent="0.15">
      <c r="A67" s="171">
        <v>47007487</v>
      </c>
      <c r="B67" s="184" t="s">
        <v>476</v>
      </c>
      <c r="C67" s="185">
        <v>3</v>
      </c>
      <c r="D67" s="185" t="s">
        <v>127</v>
      </c>
      <c r="E67" s="186" t="s">
        <v>444</v>
      </c>
      <c r="F67" s="186" t="s">
        <v>455</v>
      </c>
      <c r="G67" s="64" t="str">
        <f t="shared" si="44"/>
        <v>[effect:enemy_message, val1:1.4, val2:1.8]</v>
      </c>
      <c r="H67" s="64">
        <f t="shared" si="93"/>
        <v>9</v>
      </c>
      <c r="I67" s="64">
        <f t="shared" si="94"/>
        <v>22</v>
      </c>
      <c r="J67" s="64" t="e">
        <f t="shared" si="95"/>
        <v>#VALUE!</v>
      </c>
      <c r="K67" s="64">
        <f t="shared" si="96"/>
        <v>32</v>
      </c>
      <c r="L67" s="64" t="str">
        <f>IFERROR(VLOOKUP(MID(G67,J67,K67-J67),[5]skilldef!$C:$D,2,FALSE),"-") &amp; " / " &amp; IFERROR(VLOOKUP(MID(G67,H67,I67-H67),[5]skilldef!$A:$B,2,FALSE),"-")</f>
        <v>- / -</v>
      </c>
      <c r="M67" s="64" t="str">
        <f t="shared" si="45"/>
        <v>[effect:force_change_block, new_block:block_heart, target:block_all, ignore01:crash, ignore02:crack_bomb, ignore03:color_break, ignore04:magnet, ignore05:block_heart, count:0, val:0]</v>
      </c>
      <c r="N67" s="48" t="str">
        <f t="shared" si="107"/>
        <v>[effect:force_change_block, new_block:block_heart, target:block_all, ignore01:crash, ignore02:crack_bomb, ignore03:color_break, ignore04:magnet, ignore05:block_heart, count:0, val:0]</v>
      </c>
      <c r="O67" s="64">
        <f t="shared" si="97"/>
        <v>9</v>
      </c>
      <c r="P67" s="64">
        <f t="shared" si="98"/>
        <v>27</v>
      </c>
      <c r="Q67" s="64">
        <f t="shared" si="99"/>
        <v>59</v>
      </c>
      <c r="R67" s="64">
        <f t="shared" si="100"/>
        <v>50</v>
      </c>
      <c r="S67" s="64" t="str">
        <f>IFERROR(VLOOKUP(MID(N67,Q67,R67-Q67),[5]skilldef!$C:$D,2,FALSE),"-") &amp; " / " &amp; IFERROR(VLOOKUP(MID(N67,O67,P67-O67),[5]skilldef!$A:$B,2,FALSE),"-")</f>
        <v>- / -</v>
      </c>
      <c r="T67" s="48" t="str">
        <f t="shared" si="101"/>
        <v>none</v>
      </c>
      <c r="U67" s="64" t="e">
        <f t="shared" si="102"/>
        <v>#VALUE!</v>
      </c>
      <c r="V67" s="64">
        <f t="shared" si="103"/>
        <v>4</v>
      </c>
      <c r="W67" s="64" t="e">
        <f t="shared" si="104"/>
        <v>#VALUE!</v>
      </c>
      <c r="X67" s="64" t="e">
        <f t="shared" si="105"/>
        <v>#VALUE!</v>
      </c>
      <c r="Y67" s="64" t="str">
        <f>IFERROR(VLOOKUP(MID(T67,W67,X67-W67),[5]skilldef!$C:$D,2,FALSE),"-") &amp; " / " &amp; IFERROR(VLOOKUP(MID(T67,U67,V67-U67),[5]skilldef!$A:$B,2,FALSE),"-")</f>
        <v>- / -</v>
      </c>
      <c r="Z67" s="50"/>
      <c r="AA67" s="52"/>
      <c r="AB67" s="50"/>
    </row>
    <row r="68" spans="1:28" ht="21" customHeight="1" x14ac:dyDescent="0.15">
      <c r="A68" s="169">
        <v>47007581</v>
      </c>
      <c r="B68" s="184" t="s">
        <v>477</v>
      </c>
      <c r="C68" s="185">
        <v>3</v>
      </c>
      <c r="D68" s="185" t="s">
        <v>127</v>
      </c>
      <c r="E68" s="186" t="s">
        <v>445</v>
      </c>
      <c r="F68" s="186" t="s">
        <v>381</v>
      </c>
      <c r="G68" s="64" t="str">
        <f t="shared" ref="G68:G81" si="108">IFERROR(LEFT(B68,FIND("],",B68)),B68)</f>
        <v>[effect:enemy_message, val1:2.6, val2:1.2]</v>
      </c>
      <c r="H68" s="64">
        <f t="shared" si="93"/>
        <v>9</v>
      </c>
      <c r="I68" s="64">
        <f t="shared" si="94"/>
        <v>22</v>
      </c>
      <c r="J68" s="64" t="e">
        <f t="shared" si="95"/>
        <v>#VALUE!</v>
      </c>
      <c r="K68" s="64">
        <f t="shared" si="96"/>
        <v>32</v>
      </c>
      <c r="L68" s="64" t="str">
        <f>IFERROR(VLOOKUP(MID(G68,J68,K68-J68),[5]skilldef!$C:$D,2,FALSE),"-") &amp; " / " &amp; IFERROR(VLOOKUP(MID(G68,H68,I68-H68),[5]skilldef!$A:$B,2,FALSE),"-")</f>
        <v>- / -</v>
      </c>
      <c r="M68" s="64" t="str">
        <f t="shared" ref="M68:M81" si="109">IFERROR(RIGHT(B68,LEN(B68)-FIND("],",B68)-1),"none")</f>
        <v>[effect:regenerate, target:unit_all, turn:5, val:0.2, type:hp_ratio, animation:heal03_unit01]</v>
      </c>
      <c r="N68" s="48" t="str">
        <f t="shared" si="107"/>
        <v>[effect:regenerate, target:unit_all, turn:5, val:0.2, type:hp_ratio, animation:heal03_unit01]</v>
      </c>
      <c r="O68" s="64">
        <f t="shared" si="97"/>
        <v>9</v>
      </c>
      <c r="P68" s="64">
        <f t="shared" si="98"/>
        <v>19</v>
      </c>
      <c r="Q68" s="64">
        <f t="shared" si="99"/>
        <v>28</v>
      </c>
      <c r="R68" s="64">
        <f t="shared" si="100"/>
        <v>36</v>
      </c>
      <c r="S68" s="64" t="str">
        <f>IFERROR(VLOOKUP(MID(N68,Q68,R68-Q68),[5]skilldef!$C:$D,2,FALSE),"-") &amp; " / " &amp; IFERROR(VLOOKUP(MID(N68,O68,P68-O68),[5]skilldef!$A:$B,2,FALSE),"-")</f>
        <v>味方全体に / -</v>
      </c>
      <c r="T68" s="48" t="str">
        <f t="shared" si="101"/>
        <v>none</v>
      </c>
      <c r="U68" s="64" t="e">
        <f t="shared" si="102"/>
        <v>#VALUE!</v>
      </c>
      <c r="V68" s="64">
        <f t="shared" si="103"/>
        <v>4</v>
      </c>
      <c r="W68" s="64" t="e">
        <f t="shared" si="104"/>
        <v>#VALUE!</v>
      </c>
      <c r="X68" s="64" t="e">
        <f t="shared" si="105"/>
        <v>#VALUE!</v>
      </c>
      <c r="Y68" s="64" t="str">
        <f>IFERROR(VLOOKUP(MID(T68,W68,X68-W68),[5]skilldef!$C:$D,2,FALSE),"-") &amp; " / " &amp; IFERROR(VLOOKUP(MID(T68,U68,V68-U68),[5]skilldef!$A:$B,2,FALSE),"-")</f>
        <v>- / -</v>
      </c>
      <c r="Z68" s="50"/>
      <c r="AA68" s="52"/>
      <c r="AB68" s="50"/>
    </row>
    <row r="69" spans="1:28" ht="21" customHeight="1" x14ac:dyDescent="0.15">
      <c r="A69" s="169">
        <v>47007582</v>
      </c>
      <c r="B69" s="184" t="s">
        <v>478</v>
      </c>
      <c r="C69" s="185">
        <v>3</v>
      </c>
      <c r="D69" s="185" t="s">
        <v>127</v>
      </c>
      <c r="E69" s="186" t="s">
        <v>446</v>
      </c>
      <c r="F69" s="186" t="s">
        <v>355</v>
      </c>
      <c r="G69" s="64" t="str">
        <f t="shared" si="108"/>
        <v>[effect:enemy_message, val1:2.6, val2:1.2]</v>
      </c>
      <c r="H69" s="64">
        <f t="shared" si="93"/>
        <v>9</v>
      </c>
      <c r="I69" s="64">
        <f t="shared" si="94"/>
        <v>22</v>
      </c>
      <c r="J69" s="64" t="e">
        <f t="shared" si="95"/>
        <v>#VALUE!</v>
      </c>
      <c r="K69" s="64">
        <f t="shared" si="96"/>
        <v>32</v>
      </c>
      <c r="L69" s="64" t="str">
        <f>IFERROR(VLOOKUP(MID(G69,J69,K69-J69),[5]skilldef!$C:$D,2,FALSE),"-") &amp; " / " &amp; IFERROR(VLOOKUP(MID(G69,H69,I69-H69),[5]skilldef!$A:$B,2,FALSE),"-")</f>
        <v>- / -</v>
      </c>
      <c r="M69" s="64" t="str">
        <f t="shared" si="109"/>
        <v>[effect:critical, val:1.5, animation:enemy_critical]</v>
      </c>
      <c r="N69" s="48" t="str">
        <f t="shared" si="107"/>
        <v>[effect:critical, val:1.5, animation:enemy_critical]</v>
      </c>
      <c r="O69" s="64">
        <f t="shared" si="97"/>
        <v>9</v>
      </c>
      <c r="P69" s="64">
        <f t="shared" si="98"/>
        <v>17</v>
      </c>
      <c r="Q69" s="64" t="e">
        <f t="shared" si="99"/>
        <v>#VALUE!</v>
      </c>
      <c r="R69" s="64">
        <f t="shared" si="100"/>
        <v>26</v>
      </c>
      <c r="S69" s="64" t="str">
        <f>IFERROR(VLOOKUP(MID(N69,Q69,R69-Q69),[5]skilldef!$C:$D,2,FALSE),"-") &amp; " / " &amp; IFERROR(VLOOKUP(MID(N69,O69,P69-O69),[5]skilldef!$A:$B,2,FALSE),"-")</f>
        <v>- / 大攻撃</v>
      </c>
      <c r="T69" s="48" t="str">
        <f t="shared" si="101"/>
        <v>none</v>
      </c>
      <c r="U69" s="64" t="e">
        <f t="shared" si="102"/>
        <v>#VALUE!</v>
      </c>
      <c r="V69" s="64">
        <f t="shared" si="103"/>
        <v>4</v>
      </c>
      <c r="W69" s="64" t="e">
        <f t="shared" si="104"/>
        <v>#VALUE!</v>
      </c>
      <c r="X69" s="64" t="e">
        <f t="shared" si="105"/>
        <v>#VALUE!</v>
      </c>
      <c r="Y69" s="64" t="str">
        <f>IFERROR(VLOOKUP(MID(T69,W69,X69-W69),[5]skilldef!$C:$D,2,FALSE),"-") &amp; " / " &amp; IFERROR(VLOOKUP(MID(T69,U69,V69-U69),[5]skilldef!$A:$B,2,FALSE),"-")</f>
        <v>- / -</v>
      </c>
      <c r="Z69" s="50"/>
      <c r="AA69" s="52"/>
      <c r="AB69" s="50"/>
    </row>
    <row r="70" spans="1:28" ht="21" customHeight="1" x14ac:dyDescent="0.15">
      <c r="A70" s="169">
        <v>47007681</v>
      </c>
      <c r="B70" s="184" t="s">
        <v>479</v>
      </c>
      <c r="C70" s="185">
        <v>3</v>
      </c>
      <c r="D70" s="185" t="s">
        <v>127</v>
      </c>
      <c r="E70" s="198" t="s">
        <v>447</v>
      </c>
      <c r="F70" s="186" t="s">
        <v>389</v>
      </c>
      <c r="G70" s="64" t="str">
        <f t="shared" si="108"/>
        <v>[effect:enemy_message, val1:1.3, val2:3.5]</v>
      </c>
      <c r="H70" s="64">
        <f t="shared" si="93"/>
        <v>9</v>
      </c>
      <c r="I70" s="64">
        <f t="shared" si="94"/>
        <v>22</v>
      </c>
      <c r="J70" s="64" t="e">
        <f t="shared" si="95"/>
        <v>#VALUE!</v>
      </c>
      <c r="K70" s="64">
        <f t="shared" si="96"/>
        <v>32</v>
      </c>
      <c r="L70" s="64" t="str">
        <f>IFERROR(VLOOKUP(MID(G70,J70,K70-J70),[5]skilldef!$C:$D,2,FALSE),"-") &amp; " / " &amp; IFERROR(VLOOKUP(MID(G70,H70,I70-H70),[5]skilldef!$A:$B,2,FALSE),"-")</f>
        <v>- / -</v>
      </c>
      <c r="M70" s="64" t="str">
        <f t="shared" si="109"/>
        <v>[effect:force_change_block, new_block:block_heart, target:block_all, ignore01:crash, ignore02:crack_bomb, ignore03:color_break, ignore04:magnet, count:23, val:0, animation:change_block]</v>
      </c>
      <c r="N70" s="48" t="str">
        <f t="shared" ref="N70:N74" si="110">IFERROR(LEFT(M70,FIND("],",M70)+S79),M70)</f>
        <v>[effect:force_change_block, new_block:block_heart, target:block_all, ignore01:crash, ignore02:crack_bomb, ignore03:color_break, ignore04:magnet, count:23, val:0, animation:change_block]</v>
      </c>
      <c r="O70" s="64">
        <f t="shared" si="97"/>
        <v>9</v>
      </c>
      <c r="P70" s="64">
        <f t="shared" si="98"/>
        <v>27</v>
      </c>
      <c r="Q70" s="64">
        <f t="shared" si="99"/>
        <v>59</v>
      </c>
      <c r="R70" s="64">
        <f t="shared" si="100"/>
        <v>50</v>
      </c>
      <c r="S70" s="64" t="str">
        <f>IFERROR(VLOOKUP(MID(N70,Q70,R70-Q70),[5]skilldef!$C:$D,2,FALSE),"-") &amp; " / " &amp; IFERROR(VLOOKUP(MID(N70,O70,P70-O70),[5]skilldef!$A:$B,2,FALSE),"-")</f>
        <v>- / -</v>
      </c>
      <c r="T70" s="48" t="str">
        <f t="shared" si="101"/>
        <v>none</v>
      </c>
      <c r="U70" s="64" t="e">
        <f t="shared" si="102"/>
        <v>#VALUE!</v>
      </c>
      <c r="V70" s="64">
        <f t="shared" si="103"/>
        <v>4</v>
      </c>
      <c r="W70" s="64" t="e">
        <f t="shared" si="104"/>
        <v>#VALUE!</v>
      </c>
      <c r="X70" s="64" t="e">
        <f t="shared" si="105"/>
        <v>#VALUE!</v>
      </c>
      <c r="Y70" s="64" t="str">
        <f>IFERROR(VLOOKUP(MID(T70,W70,X70-W70),[5]skilldef!$C:$D,2,FALSE),"-") &amp; " / " &amp; IFERROR(VLOOKUP(MID(T70,U70,V70-U70),[5]skilldef!$A:$B,2,FALSE),"-")</f>
        <v>- / -</v>
      </c>
      <c r="Z70" s="50"/>
      <c r="AA70" s="52"/>
      <c r="AB70" s="50"/>
    </row>
    <row r="71" spans="1:28" s="119" customFormat="1" ht="21" customHeight="1" x14ac:dyDescent="0.15">
      <c r="A71" s="169">
        <v>47007682</v>
      </c>
      <c r="B71" s="184" t="s">
        <v>480</v>
      </c>
      <c r="C71" s="185">
        <v>3</v>
      </c>
      <c r="D71" s="185" t="s">
        <v>127</v>
      </c>
      <c r="E71" s="186" t="s">
        <v>448</v>
      </c>
      <c r="F71" s="186" t="s">
        <v>451</v>
      </c>
      <c r="G71" s="64" t="str">
        <f t="shared" si="108"/>
        <v>[effect:enemy_message, val1:1.8, val2:2.8, dead_type:escape]</v>
      </c>
      <c r="H71" s="64">
        <f t="shared" si="93"/>
        <v>9</v>
      </c>
      <c r="I71" s="64">
        <f t="shared" si="94"/>
        <v>22</v>
      </c>
      <c r="J71" s="64" t="e">
        <f t="shared" si="95"/>
        <v>#VALUE!</v>
      </c>
      <c r="K71" s="64">
        <f t="shared" si="96"/>
        <v>32</v>
      </c>
      <c r="L71" s="64" t="str">
        <f>IFERROR(VLOOKUP(MID(G71,J71,K71-J71),[5]skilldef!$C:$D,2,FALSE),"-") &amp; " / " &amp; IFERROR(VLOOKUP(MID(G71,H71,I71-H71),[5]skilldef!$A:$B,2,FALSE),"-")</f>
        <v>- / -</v>
      </c>
      <c r="M71" s="64" t="str">
        <f t="shared" si="109"/>
        <v>none</v>
      </c>
      <c r="N71" s="48" t="str">
        <f t="shared" si="110"/>
        <v>none</v>
      </c>
      <c r="O71" s="64" t="e">
        <f t="shared" si="97"/>
        <v>#VALUE!</v>
      </c>
      <c r="P71" s="64">
        <f t="shared" si="98"/>
        <v>4</v>
      </c>
      <c r="Q71" s="64" t="e">
        <f t="shared" si="99"/>
        <v>#VALUE!</v>
      </c>
      <c r="R71" s="64" t="e">
        <f t="shared" si="100"/>
        <v>#VALUE!</v>
      </c>
      <c r="S71" s="64" t="str">
        <f>IFERROR(VLOOKUP(MID(N71,Q71,R71-Q71),[5]skilldef!$C:$D,2,FALSE),"-") &amp; " / " &amp; IFERROR(VLOOKUP(MID(N71,O71,P71-O71),[5]skilldef!$A:$B,2,FALSE),"-")</f>
        <v>- / -</v>
      </c>
      <c r="T71" s="48" t="str">
        <f t="shared" si="101"/>
        <v>none</v>
      </c>
      <c r="U71" s="64" t="e">
        <f t="shared" si="102"/>
        <v>#VALUE!</v>
      </c>
      <c r="V71" s="64">
        <f t="shared" si="103"/>
        <v>4</v>
      </c>
      <c r="W71" s="64" t="e">
        <f t="shared" si="104"/>
        <v>#VALUE!</v>
      </c>
      <c r="X71" s="64" t="e">
        <f t="shared" si="105"/>
        <v>#VALUE!</v>
      </c>
      <c r="Y71" s="64" t="str">
        <f>IFERROR(VLOOKUP(MID(T71,W71,X71-W71),[5]skilldef!$C:$D,2,FALSE),"-") &amp; " / " &amp; IFERROR(VLOOKUP(MID(T71,U71,V71-U71),[5]skilldef!$A:$B,2,FALSE),"-")</f>
        <v>- / -</v>
      </c>
      <c r="Z71" s="50"/>
      <c r="AA71" s="52"/>
      <c r="AB71" s="50"/>
    </row>
    <row r="72" spans="1:28" s="120" customFormat="1" ht="21" customHeight="1" x14ac:dyDescent="0.15">
      <c r="A72" s="170">
        <v>47007683</v>
      </c>
      <c r="B72" s="190" t="s">
        <v>481</v>
      </c>
      <c r="C72" s="188">
        <v>3</v>
      </c>
      <c r="D72" s="188" t="s">
        <v>127</v>
      </c>
      <c r="E72" s="189" t="s">
        <v>450</v>
      </c>
      <c r="F72" s="189" t="s">
        <v>452</v>
      </c>
      <c r="G72" s="114" t="str">
        <f t="shared" si="108"/>
        <v>[effect:enemy_message, val1:2.9, val2:2.3, dead_type:escape]</v>
      </c>
      <c r="H72" s="114">
        <f t="shared" si="93"/>
        <v>9</v>
      </c>
      <c r="I72" s="114">
        <f t="shared" si="94"/>
        <v>22</v>
      </c>
      <c r="J72" s="114" t="e">
        <f t="shared" si="95"/>
        <v>#VALUE!</v>
      </c>
      <c r="K72" s="114">
        <f t="shared" si="96"/>
        <v>32</v>
      </c>
      <c r="L72" s="114" t="str">
        <f>IFERROR(VLOOKUP(MID(G72,J72,K72-J72),[5]skilldef!$C:$D,2,FALSE),"-") &amp; " / " &amp; IFERROR(VLOOKUP(MID(G72,H72,I72-H72),[5]skilldef!$A:$B,2,FALSE),"-")</f>
        <v>- / -</v>
      </c>
      <c r="M72" s="114" t="str">
        <f t="shared" si="109"/>
        <v>none</v>
      </c>
      <c r="N72" s="115" t="str">
        <f t="shared" si="110"/>
        <v>none</v>
      </c>
      <c r="O72" s="114" t="e">
        <f t="shared" si="97"/>
        <v>#VALUE!</v>
      </c>
      <c r="P72" s="114">
        <f t="shared" si="98"/>
        <v>4</v>
      </c>
      <c r="Q72" s="114" t="e">
        <f t="shared" si="99"/>
        <v>#VALUE!</v>
      </c>
      <c r="R72" s="114" t="e">
        <f t="shared" si="100"/>
        <v>#VALUE!</v>
      </c>
      <c r="S72" s="114" t="str">
        <f>IFERROR(VLOOKUP(MID(N72,Q72,R72-Q72),[5]skilldef!$C:$D,2,FALSE),"-") &amp; " / " &amp; IFERROR(VLOOKUP(MID(N72,O72,P72-O72),[5]skilldef!$A:$B,2,FALSE),"-")</f>
        <v>- / -</v>
      </c>
      <c r="T72" s="115" t="str">
        <f t="shared" si="101"/>
        <v>none</v>
      </c>
      <c r="U72" s="114" t="e">
        <f t="shared" si="102"/>
        <v>#VALUE!</v>
      </c>
      <c r="V72" s="114">
        <f t="shared" si="103"/>
        <v>4</v>
      </c>
      <c r="W72" s="114" t="e">
        <f t="shared" si="104"/>
        <v>#VALUE!</v>
      </c>
      <c r="X72" s="114" t="e">
        <f t="shared" si="105"/>
        <v>#VALUE!</v>
      </c>
      <c r="Y72" s="114" t="str">
        <f>IFERROR(VLOOKUP(MID(T72,W72,X72-W72),[5]skilldef!$C:$D,2,FALSE),"-") &amp; " / " &amp; IFERROR(VLOOKUP(MID(T72,U72,V72-U72),[5]skilldef!$A:$B,2,FALSE),"-")</f>
        <v>- / -</v>
      </c>
      <c r="Z72" s="113"/>
      <c r="AA72" s="116"/>
      <c r="AB72" s="113"/>
    </row>
    <row r="73" spans="1:28" ht="21" customHeight="1" x14ac:dyDescent="0.15">
      <c r="A73" s="170">
        <v>47007684</v>
      </c>
      <c r="B73" s="190" t="s">
        <v>482</v>
      </c>
      <c r="C73" s="188">
        <v>3</v>
      </c>
      <c r="D73" s="188" t="s">
        <v>127</v>
      </c>
      <c r="E73" s="189" t="s">
        <v>450</v>
      </c>
      <c r="F73" s="189" t="s">
        <v>453</v>
      </c>
      <c r="G73" s="114" t="str">
        <f t="shared" si="108"/>
        <v>[effect:enemy_message, val1:2.9, val2:2.7, dead_type:escape]</v>
      </c>
      <c r="H73" s="114">
        <f t="shared" si="93"/>
        <v>9</v>
      </c>
      <c r="I73" s="114">
        <f t="shared" si="94"/>
        <v>22</v>
      </c>
      <c r="J73" s="114" t="e">
        <f t="shared" si="95"/>
        <v>#VALUE!</v>
      </c>
      <c r="K73" s="114">
        <f t="shared" si="96"/>
        <v>32</v>
      </c>
      <c r="L73" s="114" t="str">
        <f>IFERROR(VLOOKUP(MID(G73,J73,K73-J73),[5]skilldef!$C:$D,2,FALSE),"-") &amp; " / " &amp; IFERROR(VLOOKUP(MID(G73,H73,I73-H73),[5]skilldef!$A:$B,2,FALSE),"-")</f>
        <v>- / -</v>
      </c>
      <c r="M73" s="114" t="str">
        <f t="shared" si="109"/>
        <v>none</v>
      </c>
      <c r="N73" s="115" t="str">
        <f t="shared" si="110"/>
        <v>none</v>
      </c>
      <c r="O73" s="114" t="e">
        <f t="shared" si="97"/>
        <v>#VALUE!</v>
      </c>
      <c r="P73" s="114">
        <f t="shared" si="98"/>
        <v>4</v>
      </c>
      <c r="Q73" s="114" t="e">
        <f t="shared" si="99"/>
        <v>#VALUE!</v>
      </c>
      <c r="R73" s="114" t="e">
        <f t="shared" si="100"/>
        <v>#VALUE!</v>
      </c>
      <c r="S73" s="114" t="str">
        <f>IFERROR(VLOOKUP(MID(N73,Q73,R73-Q73),[5]skilldef!$C:$D,2,FALSE),"-") &amp; " / " &amp; IFERROR(VLOOKUP(MID(N73,O73,P73-O73),[5]skilldef!$A:$B,2,FALSE),"-")</f>
        <v>- / -</v>
      </c>
      <c r="T73" s="115" t="str">
        <f t="shared" si="101"/>
        <v>none</v>
      </c>
      <c r="U73" s="114" t="e">
        <f t="shared" si="102"/>
        <v>#VALUE!</v>
      </c>
      <c r="V73" s="114">
        <f t="shared" si="103"/>
        <v>4</v>
      </c>
      <c r="W73" s="114" t="e">
        <f t="shared" si="104"/>
        <v>#VALUE!</v>
      </c>
      <c r="X73" s="114" t="e">
        <f t="shared" si="105"/>
        <v>#VALUE!</v>
      </c>
      <c r="Y73" s="114" t="str">
        <f>IFERROR(VLOOKUP(MID(T73,W73,X73-W73),[5]skilldef!$C:$D,2,FALSE),"-") &amp; " / " &amp; IFERROR(VLOOKUP(MID(T73,U73,V73-U73),[5]skilldef!$A:$B,2,FALSE),"-")</f>
        <v>- / -</v>
      </c>
      <c r="Z73" s="113"/>
      <c r="AA73" s="116"/>
      <c r="AB73" s="113"/>
    </row>
    <row r="74" spans="1:28" ht="21" customHeight="1" x14ac:dyDescent="0.15">
      <c r="A74" s="170">
        <v>47007685</v>
      </c>
      <c r="B74" s="187" t="s">
        <v>483</v>
      </c>
      <c r="C74" s="188">
        <v>3</v>
      </c>
      <c r="D74" s="188" t="s">
        <v>127</v>
      </c>
      <c r="E74" s="189" t="s">
        <v>449</v>
      </c>
      <c r="F74" s="189" t="s">
        <v>454</v>
      </c>
      <c r="G74" s="64" t="str">
        <f t="shared" si="108"/>
        <v>[effect:enemy_message, val1:1.7, val2:2.5, dead_type:escape]</v>
      </c>
      <c r="H74" s="64">
        <f t="shared" si="93"/>
        <v>9</v>
      </c>
      <c r="I74" s="64">
        <f t="shared" si="94"/>
        <v>22</v>
      </c>
      <c r="J74" s="64" t="e">
        <f t="shared" si="95"/>
        <v>#VALUE!</v>
      </c>
      <c r="K74" s="64">
        <f t="shared" si="96"/>
        <v>32</v>
      </c>
      <c r="L74" s="64" t="str">
        <f>IFERROR(VLOOKUP(MID(G74,J74,K74-J74),[5]skilldef!$C:$D,2,FALSE),"-") &amp; " / " &amp; IFERROR(VLOOKUP(MID(G74,H74,I74-H74),[5]skilldef!$A:$B,2,FALSE),"-")</f>
        <v>- / -</v>
      </c>
      <c r="M74" s="64" t="str">
        <f t="shared" si="109"/>
        <v>none</v>
      </c>
      <c r="N74" s="48" t="str">
        <f t="shared" si="110"/>
        <v>none</v>
      </c>
      <c r="O74" s="64" t="e">
        <f t="shared" si="97"/>
        <v>#VALUE!</v>
      </c>
      <c r="P74" s="64">
        <f t="shared" si="98"/>
        <v>4</v>
      </c>
      <c r="Q74" s="64" t="e">
        <f t="shared" si="99"/>
        <v>#VALUE!</v>
      </c>
      <c r="R74" s="64" t="e">
        <f t="shared" si="100"/>
        <v>#VALUE!</v>
      </c>
      <c r="S74" s="64" t="str">
        <f>IFERROR(VLOOKUP(MID(N74,Q74,R74-Q74),[5]skilldef!$C:$D,2,FALSE),"-") &amp; " / " &amp; IFERROR(VLOOKUP(MID(N74,O74,P74-O74),[5]skilldef!$A:$B,2,FALSE),"-")</f>
        <v>- / -</v>
      </c>
      <c r="T74" s="48" t="str">
        <f t="shared" si="101"/>
        <v>none</v>
      </c>
      <c r="U74" s="64" t="e">
        <f t="shared" si="102"/>
        <v>#VALUE!</v>
      </c>
      <c r="V74" s="64">
        <f t="shared" si="103"/>
        <v>4</v>
      </c>
      <c r="W74" s="64" t="e">
        <f t="shared" si="104"/>
        <v>#VALUE!</v>
      </c>
      <c r="X74" s="64" t="e">
        <f t="shared" si="105"/>
        <v>#VALUE!</v>
      </c>
      <c r="Y74" s="64" t="str">
        <f>IFERROR(VLOOKUP(MID(T74,W74,X74-W74),[5]skilldef!$C:$D,2,FALSE),"-") &amp; " / " &amp; IFERROR(VLOOKUP(MID(T74,U74,V74-U74),[5]skilldef!$A:$B,2,FALSE),"-")</f>
        <v>- / -</v>
      </c>
      <c r="Z74" s="50"/>
      <c r="AA74" s="52"/>
      <c r="AB74" s="50"/>
    </row>
    <row r="75" spans="1:28" ht="21" customHeight="1" x14ac:dyDescent="0.15">
      <c r="A75" s="174">
        <v>47007491</v>
      </c>
      <c r="B75" s="191" t="s">
        <v>484</v>
      </c>
      <c r="C75" s="192">
        <v>3</v>
      </c>
      <c r="D75" s="192" t="s">
        <v>498</v>
      </c>
      <c r="E75" s="193" t="s">
        <v>456</v>
      </c>
      <c r="F75" s="193" t="s">
        <v>264</v>
      </c>
      <c r="G75" s="64" t="str">
        <f t="shared" si="108"/>
        <v>[effect:enemy_message, val1:2.3, val2:3.3]</v>
      </c>
      <c r="H75" s="64">
        <f t="shared" ref="H75:H88" si="111">FIND("effect:",G75)+7</f>
        <v>9</v>
      </c>
      <c r="I75" s="64">
        <f t="shared" ref="I75:I88" si="112">IFERROR(FIND(",",G75),LEN(G75))</f>
        <v>22</v>
      </c>
      <c r="J75" s="64" t="e">
        <f t="shared" ref="J75:J88" si="113">FIND("target:",G75)+7</f>
        <v>#VALUE!</v>
      </c>
      <c r="K75" s="64">
        <f t="shared" ref="K75:K88" si="114">FIND(",",G75,I75+1)</f>
        <v>32</v>
      </c>
      <c r="L75" s="64" t="str">
        <f>IFERROR(VLOOKUP(MID(G75,J75,K75-J75),[5]skilldef!$C:$D,2,FALSE),"-") &amp; " / " &amp; IFERROR(VLOOKUP(MID(G75,H75,I75-H75),[5]skilldef!$A:$B,2,FALSE),"-")</f>
        <v>- / -</v>
      </c>
      <c r="M75" s="64" t="str">
        <f t="shared" si="109"/>
        <v>[effect:fix_speed, target:myself, turn:1],[effect:tolerance, target:myself, turn:-1, count:-1, tolerance_effect:all, animation:enemy_tolerance],[effect:force_change_block, new_block:block_heart, target:block_blue, count:0, val:0],[effect:force_change_block, new_block:block_red, target:block_yellow, count:0, val:0]</v>
      </c>
      <c r="N75" s="48" t="str">
        <f t="shared" ref="N75:N78" si="115">IFERROR(LEFT(M75,FIND("],",M75)+S86),M75)</f>
        <v>[effect:fix_speed, target:myself, turn:1],[effect:tolerance, target:myself, turn:-1, count:-1, tolerance_effect:all, animation:enemy_tolerance],[effect:force_change_block, new_block:block_heart, target:block_blue, count:0, val:0],[effect:force_change_block, new_block:block_red, target:block_yellow, count:0, val:0]</v>
      </c>
      <c r="O75" s="64">
        <f t="shared" ref="O75:O88" si="116">FIND("effect:",N75)+7</f>
        <v>9</v>
      </c>
      <c r="P75" s="64">
        <f t="shared" ref="P75:P88" si="117">IFERROR(FIND(",",N75),LEN(N75))</f>
        <v>18</v>
      </c>
      <c r="Q75" s="64">
        <f t="shared" ref="Q75:Q88" si="118">FIND("target:",N75)+7</f>
        <v>27</v>
      </c>
      <c r="R75" s="64">
        <f t="shared" ref="R75:R88" si="119">FIND(",",N75,P75+1)</f>
        <v>33</v>
      </c>
      <c r="S75" s="64" t="str">
        <f>IFERROR(VLOOKUP(MID(N75,Q75,R75-Q75),[5]skilldef!$C:$D,2,FALSE),"-") &amp; " / " &amp; IFERROR(VLOOKUP(MID(N75,O75,P75-O75),[5]skilldef!$A:$B,2,FALSE),"-")</f>
        <v>自分自身に / 行動値設定</v>
      </c>
      <c r="T75" s="48" t="str">
        <f t="shared" ref="T75:T88" si="120">IFERROR(RIGHT(M75,LEN(M75)-FIND("],",M75)-1),"none")</f>
        <v>[effect:tolerance, target:myself, turn:-1, count:-1, tolerance_effect:all, animation:enemy_tolerance],[effect:force_change_block, new_block:block_heart, target:block_blue, count:0, val:0],[effect:force_change_block, new_block:block_red, target:block_yellow, count:0, val:0]</v>
      </c>
      <c r="U75" s="64">
        <f t="shared" ref="U75:U88" si="121">FIND("effect:",T75)+7</f>
        <v>9</v>
      </c>
      <c r="V75" s="64">
        <f t="shared" ref="V75:V88" si="122">IFERROR(FIND(",",T75),LEN(T75))</f>
        <v>18</v>
      </c>
      <c r="W75" s="64">
        <f t="shared" ref="W75:W88" si="123">FIND("target:",T75)+7</f>
        <v>27</v>
      </c>
      <c r="X75" s="64">
        <f t="shared" ref="X75:X88" si="124">FIND(",",T75,V75+1)</f>
        <v>33</v>
      </c>
      <c r="Y75" s="64" t="str">
        <f>IFERROR(VLOOKUP(MID(T75,W75,X75-W75),[5]skilldef!$C:$D,2,FALSE),"-") &amp; " / " &amp; IFERROR(VLOOKUP(MID(T75,U75,V75-U75),[5]skilldef!$A:$B,2,FALSE),"-")</f>
        <v>自分自身に / 状態異常耐性</v>
      </c>
      <c r="Z75" s="50"/>
      <c r="AA75" s="52"/>
      <c r="AB75" s="50"/>
    </row>
    <row r="76" spans="1:28" ht="21" customHeight="1" x14ac:dyDescent="0.15">
      <c r="A76" s="175">
        <v>47007492</v>
      </c>
      <c r="B76" s="194" t="s">
        <v>485</v>
      </c>
      <c r="C76" s="195">
        <v>3</v>
      </c>
      <c r="D76" s="195" t="s">
        <v>498</v>
      </c>
      <c r="E76" s="196" t="s">
        <v>500</v>
      </c>
      <c r="F76" s="196" t="s">
        <v>351</v>
      </c>
      <c r="G76" s="64" t="str">
        <f t="shared" si="108"/>
        <v>[effect:enemy_message, val1:3.2, val2:4.7]</v>
      </c>
      <c r="H76" s="64">
        <f t="shared" si="111"/>
        <v>9</v>
      </c>
      <c r="I76" s="64">
        <f t="shared" si="112"/>
        <v>22</v>
      </c>
      <c r="J76" s="64" t="e">
        <f t="shared" si="113"/>
        <v>#VALUE!</v>
      </c>
      <c r="K76" s="64">
        <f t="shared" si="114"/>
        <v>32</v>
      </c>
      <c r="L76" s="64" t="str">
        <f>IFERROR(VLOOKUP(MID(G76,J76,K76-J76),[5]skilldef!$C:$D,2,FALSE),"-") &amp; " / " &amp; IFERROR(VLOOKUP(MID(G76,H76,I76-H76),[5]skilldef!$A:$B,2,FALSE),"-")</f>
        <v>- / -</v>
      </c>
      <c r="M76" s="64" t="str">
        <f t="shared" si="109"/>
        <v>[effect:fix_speed, target:myself, turn:1],[effect:sp_boost, target:unit_all, val:4],[effect:force_change_block, new_block:block_heart, target:block_blue, count:0, val:0],[effect:force_change_block, new_block:block_red, target:block_yellow, count:0, val:0]</v>
      </c>
      <c r="N76" s="48" t="str">
        <f t="shared" si="115"/>
        <v>[effect:fix_speed, target:myself, turn:1],[effect:sp_boost, target:unit_all, val:4],[effect:force_change_block, new_block:block_heart, target:block_blue, count:0, val:0],[effect:force_change_block, new_block:block_red, target:block_yellow, count:0, val:0]</v>
      </c>
      <c r="O76" s="64">
        <f t="shared" si="116"/>
        <v>9</v>
      </c>
      <c r="P76" s="64">
        <f t="shared" si="117"/>
        <v>18</v>
      </c>
      <c r="Q76" s="64">
        <f t="shared" si="118"/>
        <v>27</v>
      </c>
      <c r="R76" s="64">
        <f t="shared" si="119"/>
        <v>33</v>
      </c>
      <c r="S76" s="64" t="str">
        <f>IFERROR(VLOOKUP(MID(N76,Q76,R76-Q76),[5]skilldef!$C:$D,2,FALSE),"-") &amp; " / " &amp; IFERROR(VLOOKUP(MID(N76,O76,P76-O76),[5]skilldef!$A:$B,2,FALSE),"-")</f>
        <v>自分自身に / 行動値設定</v>
      </c>
      <c r="T76" s="48" t="str">
        <f t="shared" si="120"/>
        <v>[effect:sp_boost, target:unit_all, val:4],[effect:force_change_block, new_block:block_heart, target:block_blue, count:0, val:0],[effect:force_change_block, new_block:block_red, target:block_yellow, count:0, val:0]</v>
      </c>
      <c r="U76" s="64">
        <f t="shared" si="121"/>
        <v>9</v>
      </c>
      <c r="V76" s="64">
        <f t="shared" si="122"/>
        <v>17</v>
      </c>
      <c r="W76" s="64">
        <f t="shared" si="123"/>
        <v>26</v>
      </c>
      <c r="X76" s="64">
        <f t="shared" si="124"/>
        <v>34</v>
      </c>
      <c r="Y76" s="64" t="str">
        <f>IFERROR(VLOOKUP(MID(T76,W76,X76-W76),[5]skilldef!$C:$D,2,FALSE),"-") &amp; " / " &amp; IFERROR(VLOOKUP(MID(T76,U76,V76-U76),[5]skilldef!$A:$B,2,FALSE),"-")</f>
        <v>味方全体に / -</v>
      </c>
      <c r="Z76" s="50"/>
      <c r="AA76" s="52"/>
      <c r="AB76" s="50"/>
    </row>
    <row r="77" spans="1:28" ht="21" customHeight="1" x14ac:dyDescent="0.15">
      <c r="A77" s="175">
        <v>47007493</v>
      </c>
      <c r="B77" s="194" t="s">
        <v>417</v>
      </c>
      <c r="C77" s="195">
        <v>3</v>
      </c>
      <c r="D77" s="195" t="s">
        <v>498</v>
      </c>
      <c r="E77" s="196" t="s">
        <v>457</v>
      </c>
      <c r="F77" s="196" t="s">
        <v>352</v>
      </c>
      <c r="G77" s="64" t="str">
        <f t="shared" si="108"/>
        <v>[effect:enemy_message, val1:2.7, val2:4.7]</v>
      </c>
      <c r="H77" s="64">
        <f t="shared" si="111"/>
        <v>9</v>
      </c>
      <c r="I77" s="64">
        <f t="shared" si="112"/>
        <v>22</v>
      </c>
      <c r="J77" s="64" t="e">
        <f t="shared" si="113"/>
        <v>#VALUE!</v>
      </c>
      <c r="K77" s="64">
        <f t="shared" si="114"/>
        <v>32</v>
      </c>
      <c r="L77" s="64" t="str">
        <f>IFERROR(VLOOKUP(MID(G77,J77,K77-J77),[5]skilldef!$C:$D,2,FALSE),"-") &amp; " / " &amp; IFERROR(VLOOKUP(MID(G77,H77,I77-H77),[5]skilldef!$A:$B,2,FALSE),"-")</f>
        <v>- / -</v>
      </c>
      <c r="M77" s="64" t="str">
        <f t="shared" si="109"/>
        <v>[effect:fix_speed, target:myself, turn:1],[effect:sp_boost, target:unit_all, val:2],[effect:force_change_block, new_block:block_heart, target:block_blue, count:0, val:0],[effect:force_change_block, new_block:block_red, target:block_yellow, count:0, val:0]</v>
      </c>
      <c r="N77" s="48" t="str">
        <f t="shared" si="115"/>
        <v>[effect:fix_speed, target:myself, turn:1],[effect:sp_boost, target:unit_all, val:2],[effect:force_change_block, new_block:block_heart, target:block_blue, count:0, val:0],[effect:force_change_block, new_block:block_red, target:block_yellow, count:0, val:0]</v>
      </c>
      <c r="O77" s="64">
        <f t="shared" si="116"/>
        <v>9</v>
      </c>
      <c r="P77" s="64">
        <f t="shared" si="117"/>
        <v>18</v>
      </c>
      <c r="Q77" s="64">
        <f t="shared" si="118"/>
        <v>27</v>
      </c>
      <c r="R77" s="64">
        <f t="shared" si="119"/>
        <v>33</v>
      </c>
      <c r="S77" s="64" t="str">
        <f>IFERROR(VLOOKUP(MID(N77,Q77,R77-Q77),[5]skilldef!$C:$D,2,FALSE),"-") &amp; " / " &amp; IFERROR(VLOOKUP(MID(N77,O77,P77-O77),[5]skilldef!$A:$B,2,FALSE),"-")</f>
        <v>自分自身に / 行動値設定</v>
      </c>
      <c r="T77" s="48" t="str">
        <f t="shared" si="120"/>
        <v>[effect:sp_boost, target:unit_all, val:2],[effect:force_change_block, new_block:block_heart, target:block_blue, count:0, val:0],[effect:force_change_block, new_block:block_red, target:block_yellow, count:0, val:0]</v>
      </c>
      <c r="U77" s="64">
        <f t="shared" si="121"/>
        <v>9</v>
      </c>
      <c r="V77" s="64">
        <f t="shared" si="122"/>
        <v>17</v>
      </c>
      <c r="W77" s="64">
        <f t="shared" si="123"/>
        <v>26</v>
      </c>
      <c r="X77" s="64">
        <f t="shared" si="124"/>
        <v>34</v>
      </c>
      <c r="Y77" s="64" t="str">
        <f>IFERROR(VLOOKUP(MID(T77,W77,X77-W77),[5]skilldef!$C:$D,2,FALSE),"-") &amp; " / " &amp; IFERROR(VLOOKUP(MID(T77,U77,V77-U77),[5]skilldef!$A:$B,2,FALSE),"-")</f>
        <v>味方全体に / -</v>
      </c>
      <c r="Z77" s="50"/>
      <c r="AA77" s="52"/>
      <c r="AB77" s="50"/>
    </row>
    <row r="78" spans="1:28" ht="21" customHeight="1" x14ac:dyDescent="0.15">
      <c r="A78" s="175">
        <v>47007494</v>
      </c>
      <c r="B78" s="194" t="s">
        <v>486</v>
      </c>
      <c r="C78" s="195">
        <v>3</v>
      </c>
      <c r="D78" s="195" t="s">
        <v>498</v>
      </c>
      <c r="E78" s="196" t="s">
        <v>458</v>
      </c>
      <c r="F78" s="196" t="s">
        <v>264</v>
      </c>
      <c r="G78" s="64" t="str">
        <f t="shared" si="108"/>
        <v>[effect:enemy_message, val1:2.0, val2:3.3]</v>
      </c>
      <c r="H78" s="64">
        <f t="shared" si="111"/>
        <v>9</v>
      </c>
      <c r="I78" s="64">
        <f t="shared" si="112"/>
        <v>22</v>
      </c>
      <c r="J78" s="64" t="e">
        <f t="shared" si="113"/>
        <v>#VALUE!</v>
      </c>
      <c r="K78" s="64">
        <f t="shared" si="114"/>
        <v>32</v>
      </c>
      <c r="L78" s="64" t="str">
        <f>IFERROR(VLOOKUP(MID(G78,J78,K78-J78),[5]skilldef!$C:$D,2,FALSE),"-") &amp; " / " &amp; IFERROR(VLOOKUP(MID(G78,H78,I78-H78),[5]skilldef!$A:$B,2,FALSE),"-")</f>
        <v>- / -</v>
      </c>
      <c r="M78" s="64" t="str">
        <f t="shared" si="109"/>
        <v>[effect:fix_speed, target:myself, turn:1],[effect:tolerance, target:myself, turn:-1, count:-1, tolerance_effect:all, animation:enemy_tolerance],[effect:force_change_block, new_block:block_heart, target:block_blue, count:0, val:0],[effect:force_change_block, new_block:block_red, target:block_yellow, count:0, val:0]</v>
      </c>
      <c r="N78" s="48" t="str">
        <f t="shared" si="115"/>
        <v>[effect:fix_speed, target:myself, turn:1]</v>
      </c>
      <c r="O78" s="64">
        <f t="shared" si="116"/>
        <v>9</v>
      </c>
      <c r="P78" s="64">
        <f t="shared" si="117"/>
        <v>18</v>
      </c>
      <c r="Q78" s="64">
        <f t="shared" si="118"/>
        <v>27</v>
      </c>
      <c r="R78" s="64">
        <f t="shared" si="119"/>
        <v>33</v>
      </c>
      <c r="S78" s="64" t="str">
        <f>IFERROR(VLOOKUP(MID(N78,Q78,R78-Q78),[5]skilldef!$C:$D,2,FALSE),"-") &amp; " / " &amp; IFERROR(VLOOKUP(MID(N78,O78,P78-O78),[5]skilldef!$A:$B,2,FALSE),"-")</f>
        <v>自分自身に / 行動値設定</v>
      </c>
      <c r="T78" s="48" t="str">
        <f t="shared" si="120"/>
        <v>[effect:tolerance, target:myself, turn:-1, count:-1, tolerance_effect:all, animation:enemy_tolerance],[effect:force_change_block, new_block:block_heart, target:block_blue, count:0, val:0],[effect:force_change_block, new_block:block_red, target:block_yellow, count:0, val:0]</v>
      </c>
      <c r="U78" s="64">
        <f t="shared" si="121"/>
        <v>9</v>
      </c>
      <c r="V78" s="64">
        <f t="shared" si="122"/>
        <v>18</v>
      </c>
      <c r="W78" s="64">
        <f t="shared" si="123"/>
        <v>27</v>
      </c>
      <c r="X78" s="64">
        <f t="shared" si="124"/>
        <v>33</v>
      </c>
      <c r="Y78" s="64" t="str">
        <f>IFERROR(VLOOKUP(MID(T78,W78,X78-W78),[5]skilldef!$C:$D,2,FALSE),"-") &amp; " / " &amp; IFERROR(VLOOKUP(MID(T78,U78,V78-U78),[5]skilldef!$A:$B,2,FALSE),"-")</f>
        <v>自分自身に / 状態異常耐性</v>
      </c>
      <c r="Z78" s="50"/>
      <c r="AA78" s="52"/>
      <c r="AB78" s="50"/>
    </row>
    <row r="79" spans="1:28" ht="21" customHeight="1" x14ac:dyDescent="0.15">
      <c r="A79" s="176">
        <v>47007495</v>
      </c>
      <c r="B79" s="191" t="s">
        <v>489</v>
      </c>
      <c r="C79" s="192">
        <v>3</v>
      </c>
      <c r="D79" s="192" t="s">
        <v>498</v>
      </c>
      <c r="E79" s="193" t="s">
        <v>459</v>
      </c>
      <c r="F79" s="193" t="s">
        <v>361</v>
      </c>
      <c r="G79" s="64" t="str">
        <f t="shared" si="108"/>
        <v>[effect:enemy_message, val1:2.3, val2:2.2]</v>
      </c>
      <c r="H79" s="64">
        <f t="shared" si="111"/>
        <v>9</v>
      </c>
      <c r="I79" s="64">
        <f t="shared" si="112"/>
        <v>22</v>
      </c>
      <c r="J79" s="64" t="e">
        <f t="shared" si="113"/>
        <v>#VALUE!</v>
      </c>
      <c r="K79" s="64">
        <f t="shared" si="114"/>
        <v>32</v>
      </c>
      <c r="L79" s="64" t="str">
        <f>IFERROR(VLOOKUP(MID(G79,J79,K79-J79),[5]skilldef!$C:$D,2,FALSE),"-") &amp; " / " &amp; IFERROR(VLOOKUP(MID(G79,H79,I79-H79),[5]skilldef!$A:$B,2,FALSE),"-")</f>
        <v>- / -</v>
      </c>
      <c r="M79" s="64" t="str">
        <f t="shared" si="109"/>
        <v>[effect:panel_freeze, target:normal, count:10],[effect:spread, val:0.4]</v>
      </c>
      <c r="N79" s="48" t="str">
        <f t="shared" ref="N79:N83" si="125">IFERROR(LEFT(M79,FIND("],",M79)+S89),M79)</f>
        <v>[effect:panel_freeze, target:normal, count:10]</v>
      </c>
      <c r="O79" s="64">
        <f t="shared" si="116"/>
        <v>9</v>
      </c>
      <c r="P79" s="64">
        <f t="shared" si="117"/>
        <v>21</v>
      </c>
      <c r="Q79" s="64">
        <f t="shared" si="118"/>
        <v>30</v>
      </c>
      <c r="R79" s="64">
        <f t="shared" si="119"/>
        <v>36</v>
      </c>
      <c r="S79" s="64" t="str">
        <f>IFERROR(VLOOKUP(MID(N79,Q79,R79-Q79),[5]skilldef!$C:$D,2,FALSE),"-") &amp; " / " &amp; IFERROR(VLOOKUP(MID(N79,O79,P79-O79),[5]skilldef!$A:$B,2,FALSE),"-")</f>
        <v>- / -</v>
      </c>
      <c r="T79" s="48" t="str">
        <f t="shared" si="120"/>
        <v>[effect:spread, val:0.4]</v>
      </c>
      <c r="U79" s="64">
        <f t="shared" si="121"/>
        <v>9</v>
      </c>
      <c r="V79" s="64">
        <f t="shared" si="122"/>
        <v>15</v>
      </c>
      <c r="W79" s="64" t="e">
        <f t="shared" si="123"/>
        <v>#VALUE!</v>
      </c>
      <c r="X79" s="64" t="e">
        <f t="shared" si="124"/>
        <v>#VALUE!</v>
      </c>
      <c r="Y79" s="64" t="str">
        <f>IFERROR(VLOOKUP(MID(T79,W79,X79-W79),[5]skilldef!$C:$D,2,FALSE),"-") &amp; " / " &amp; IFERROR(VLOOKUP(MID(T79,U79,V79-U79),[5]skilldef!$A:$B,2,FALSE),"-")</f>
        <v>- / 全体攻撃</v>
      </c>
      <c r="Z79" s="50"/>
      <c r="AA79" s="52"/>
      <c r="AB79" s="50"/>
    </row>
    <row r="80" spans="1:28" ht="21" customHeight="1" x14ac:dyDescent="0.15">
      <c r="A80" s="176">
        <v>47007496</v>
      </c>
      <c r="B80" s="191" t="s">
        <v>490</v>
      </c>
      <c r="C80" s="192">
        <v>3</v>
      </c>
      <c r="D80" s="192" t="s">
        <v>498</v>
      </c>
      <c r="E80" s="193" t="s">
        <v>460</v>
      </c>
      <c r="F80" s="193" t="s">
        <v>311</v>
      </c>
      <c r="G80" s="64" t="str">
        <f t="shared" si="108"/>
        <v>[effect:enemy_message, val1:2.0, val2:2.7]</v>
      </c>
      <c r="H80" s="64">
        <f t="shared" si="111"/>
        <v>9</v>
      </c>
      <c r="I80" s="64">
        <f t="shared" si="112"/>
        <v>22</v>
      </c>
      <c r="J80" s="64" t="e">
        <f t="shared" si="113"/>
        <v>#VALUE!</v>
      </c>
      <c r="K80" s="64">
        <f t="shared" si="114"/>
        <v>32</v>
      </c>
      <c r="L80" s="64" t="str">
        <f>IFERROR(VLOOKUP(MID(G80,J80,K80-J80),[5]skilldef!$C:$D,2,FALSE),"-") &amp; " / " &amp; IFERROR(VLOOKUP(MID(G80,H80,I80-H80),[5]skilldef!$A:$B,2,FALSE),"-")</f>
        <v>- / -</v>
      </c>
      <c r="M80" s="64" t="str">
        <f t="shared" si="109"/>
        <v>[effect:damage_abnormal, target:unit_one, val:1.3, status:heal, turn:-1, rate:1, val_abnormal:-0.3]</v>
      </c>
      <c r="N80" s="48" t="str">
        <f t="shared" si="125"/>
        <v>[effect:damage_abnormal, target:unit_one, val:1.3, status:heal, turn:-1, rate:1, val_abnormal:-0.3]</v>
      </c>
      <c r="O80" s="64">
        <f t="shared" si="116"/>
        <v>9</v>
      </c>
      <c r="P80" s="64">
        <f t="shared" si="117"/>
        <v>24</v>
      </c>
      <c r="Q80" s="64">
        <f t="shared" si="118"/>
        <v>33</v>
      </c>
      <c r="R80" s="64">
        <f t="shared" si="119"/>
        <v>41</v>
      </c>
      <c r="S80" s="64" t="str">
        <f>IFERROR(VLOOKUP(MID(N80,Q80,R80-Q80),[5]skilldef!$C:$D,2,FALSE),"-") &amp; " / " &amp; IFERROR(VLOOKUP(MID(N80,O80,P80-O80),[5]skilldef!$A:$B,2,FALSE),"-")</f>
        <v>味方単体に / -</v>
      </c>
      <c r="T80" s="48" t="str">
        <f t="shared" si="120"/>
        <v>none</v>
      </c>
      <c r="U80" s="64" t="e">
        <f t="shared" si="121"/>
        <v>#VALUE!</v>
      </c>
      <c r="V80" s="64">
        <f t="shared" si="122"/>
        <v>4</v>
      </c>
      <c r="W80" s="64" t="e">
        <f t="shared" si="123"/>
        <v>#VALUE!</v>
      </c>
      <c r="X80" s="64" t="e">
        <f t="shared" si="124"/>
        <v>#VALUE!</v>
      </c>
      <c r="Y80" s="64" t="str">
        <f>IFERROR(VLOOKUP(MID(T80,W80,X80-W80),[5]skilldef!$C:$D,2,FALSE),"-") &amp; " / " &amp; IFERROR(VLOOKUP(MID(T80,U80,V80-U80),[5]skilldef!$A:$B,2,FALSE),"-")</f>
        <v>- / -</v>
      </c>
      <c r="Z80" s="50"/>
      <c r="AA80" s="52"/>
      <c r="AB80" s="50"/>
    </row>
    <row r="81" spans="1:28" ht="21" customHeight="1" x14ac:dyDescent="0.15">
      <c r="A81" s="176">
        <v>47007497</v>
      </c>
      <c r="B81" s="191" t="s">
        <v>491</v>
      </c>
      <c r="C81" s="192">
        <v>3</v>
      </c>
      <c r="D81" s="192" t="s">
        <v>498</v>
      </c>
      <c r="E81" s="193" t="s">
        <v>461</v>
      </c>
      <c r="F81" s="193" t="s">
        <v>502</v>
      </c>
      <c r="G81" s="64" t="str">
        <f t="shared" si="108"/>
        <v>[effect:enemy_message, val1:1.2, val2:2.0]</v>
      </c>
      <c r="H81" s="64">
        <f t="shared" si="111"/>
        <v>9</v>
      </c>
      <c r="I81" s="64">
        <f t="shared" si="112"/>
        <v>22</v>
      </c>
      <c r="J81" s="64" t="e">
        <f t="shared" si="113"/>
        <v>#VALUE!</v>
      </c>
      <c r="K81" s="64">
        <f t="shared" si="114"/>
        <v>32</v>
      </c>
      <c r="L81" s="64" t="str">
        <f>IFERROR(VLOOKUP(MID(G81,J81,K81-J81),[5]skilldef!$C:$D,2,FALSE),"-") &amp; " / " &amp; IFERROR(VLOOKUP(MID(G81,H81,I81-H81),[5]skilldef!$A:$B,2,FALSE),"-")</f>
        <v>- / -</v>
      </c>
      <c r="M81" s="64" t="str">
        <f t="shared" si="109"/>
        <v>[effect:force_change_block, new_block:block_heart, target:block_all, ignore01:crash, ignore02:crack_bomb, ignore03:color_break, ignore04:magnet, ignore05:block_heart, count:0, val:0]</v>
      </c>
      <c r="N81" s="48" t="str">
        <f t="shared" si="125"/>
        <v>[effect:force_change_block, new_block:block_heart, target:block_all, ignore01:crash, ignore02:crack_bomb, ignore03:color_break, ignore04:magnet, ignore05:block_heart, count:0, val:0]</v>
      </c>
      <c r="O81" s="64">
        <f t="shared" si="116"/>
        <v>9</v>
      </c>
      <c r="P81" s="64">
        <f t="shared" si="117"/>
        <v>27</v>
      </c>
      <c r="Q81" s="64">
        <f t="shared" si="118"/>
        <v>59</v>
      </c>
      <c r="R81" s="64">
        <f t="shared" si="119"/>
        <v>50</v>
      </c>
      <c r="S81" s="64" t="str">
        <f>IFERROR(VLOOKUP(MID(N81,Q81,R81-Q81),[5]skilldef!$C:$D,2,FALSE),"-") &amp; " / " &amp; IFERROR(VLOOKUP(MID(N81,O81,P81-O81),[5]skilldef!$A:$B,2,FALSE),"-")</f>
        <v>- / -</v>
      </c>
      <c r="T81" s="48" t="str">
        <f t="shared" si="120"/>
        <v>none</v>
      </c>
      <c r="U81" s="64" t="e">
        <f t="shared" si="121"/>
        <v>#VALUE!</v>
      </c>
      <c r="V81" s="64">
        <f t="shared" si="122"/>
        <v>4</v>
      </c>
      <c r="W81" s="64" t="e">
        <f t="shared" si="123"/>
        <v>#VALUE!</v>
      </c>
      <c r="X81" s="64" t="e">
        <f t="shared" si="124"/>
        <v>#VALUE!</v>
      </c>
      <c r="Y81" s="64" t="str">
        <f>IFERROR(VLOOKUP(MID(T81,W81,X81-W81),[5]skilldef!$C:$D,2,FALSE),"-") &amp; " / " &amp; IFERROR(VLOOKUP(MID(T81,U81,V81-U81),[5]skilldef!$A:$B,2,FALSE),"-")</f>
        <v>- / -</v>
      </c>
      <c r="Z81" s="50"/>
      <c r="AA81" s="52"/>
      <c r="AB81" s="50"/>
    </row>
    <row r="82" spans="1:28" ht="21" customHeight="1" x14ac:dyDescent="0.15">
      <c r="A82" s="174">
        <v>47007591</v>
      </c>
      <c r="B82" s="191" t="s">
        <v>492</v>
      </c>
      <c r="C82" s="192">
        <v>3</v>
      </c>
      <c r="D82" s="192" t="s">
        <v>498</v>
      </c>
      <c r="E82" s="193" t="s">
        <v>462</v>
      </c>
      <c r="F82" s="193" t="s">
        <v>381</v>
      </c>
      <c r="G82" s="64" t="str">
        <f t="shared" ref="G82:G88" si="126">IFERROR(LEFT(B82,FIND("],",B82)),B82)</f>
        <v>[effect:enemy_message, val1:2.4, val2:1.2]</v>
      </c>
      <c r="H82" s="64">
        <f t="shared" si="111"/>
        <v>9</v>
      </c>
      <c r="I82" s="64">
        <f t="shared" si="112"/>
        <v>22</v>
      </c>
      <c r="J82" s="64" t="e">
        <f t="shared" si="113"/>
        <v>#VALUE!</v>
      </c>
      <c r="K82" s="64">
        <f t="shared" si="114"/>
        <v>32</v>
      </c>
      <c r="L82" s="64" t="str">
        <f>IFERROR(VLOOKUP(MID(G82,J82,K82-J82),[5]skilldef!$C:$D,2,FALSE),"-") &amp; " / " &amp; IFERROR(VLOOKUP(MID(G82,H82,I82-H82),[5]skilldef!$A:$B,2,FALSE),"-")</f>
        <v>- / -</v>
      </c>
      <c r="M82" s="64" t="str">
        <f t="shared" ref="M82:M88" si="127">IFERROR(RIGHT(B82,LEN(B82)-FIND("],",B82)-1),"none")</f>
        <v>[effect:regenerate, target:unit_all, turn:5, val:0.2, type:hp_ratio, animation:heal03_unit01]</v>
      </c>
      <c r="N82" s="48" t="str">
        <f t="shared" si="125"/>
        <v>[effect:regenerate, target:unit_all, turn:5, val:0.2, type:hp_ratio, animation:heal03_unit01]</v>
      </c>
      <c r="O82" s="64">
        <f t="shared" si="116"/>
        <v>9</v>
      </c>
      <c r="P82" s="64">
        <f t="shared" si="117"/>
        <v>19</v>
      </c>
      <c r="Q82" s="64">
        <f t="shared" si="118"/>
        <v>28</v>
      </c>
      <c r="R82" s="64">
        <f t="shared" si="119"/>
        <v>36</v>
      </c>
      <c r="S82" s="64" t="str">
        <f>IFERROR(VLOOKUP(MID(N82,Q82,R82-Q82),[5]skilldef!$C:$D,2,FALSE),"-") &amp; " / " &amp; IFERROR(VLOOKUP(MID(N82,O82,P82-O82),[5]skilldef!$A:$B,2,FALSE),"-")</f>
        <v>味方全体に / -</v>
      </c>
      <c r="T82" s="48" t="str">
        <f t="shared" si="120"/>
        <v>none</v>
      </c>
      <c r="U82" s="64" t="e">
        <f t="shared" si="121"/>
        <v>#VALUE!</v>
      </c>
      <c r="V82" s="64">
        <f t="shared" si="122"/>
        <v>4</v>
      </c>
      <c r="W82" s="64" t="e">
        <f t="shared" si="123"/>
        <v>#VALUE!</v>
      </c>
      <c r="X82" s="64" t="e">
        <f t="shared" si="124"/>
        <v>#VALUE!</v>
      </c>
      <c r="Y82" s="64" t="str">
        <f>IFERROR(VLOOKUP(MID(T82,W82,X82-W82),[5]skilldef!$C:$D,2,FALSE),"-") &amp; " / " &amp; IFERROR(VLOOKUP(MID(T82,U82,V82-U82),[5]skilldef!$A:$B,2,FALSE),"-")</f>
        <v>- / -</v>
      </c>
      <c r="Z82" s="50"/>
      <c r="AA82" s="52"/>
      <c r="AB82" s="50"/>
    </row>
    <row r="83" spans="1:28" ht="21" customHeight="1" x14ac:dyDescent="0.15">
      <c r="A83" s="174">
        <v>47007592</v>
      </c>
      <c r="B83" s="191" t="s">
        <v>493</v>
      </c>
      <c r="C83" s="192">
        <v>3</v>
      </c>
      <c r="D83" s="192" t="s">
        <v>498</v>
      </c>
      <c r="E83" s="193" t="s">
        <v>501</v>
      </c>
      <c r="F83" s="193" t="s">
        <v>355</v>
      </c>
      <c r="G83" s="64" t="str">
        <f t="shared" si="126"/>
        <v>[effect:enemy_message, val1:3.1, val2:1.2]</v>
      </c>
      <c r="H83" s="64">
        <f t="shared" si="111"/>
        <v>9</v>
      </c>
      <c r="I83" s="64">
        <f t="shared" si="112"/>
        <v>22</v>
      </c>
      <c r="J83" s="64" t="e">
        <f t="shared" si="113"/>
        <v>#VALUE!</v>
      </c>
      <c r="K83" s="64">
        <f t="shared" si="114"/>
        <v>32</v>
      </c>
      <c r="L83" s="64" t="str">
        <f>IFERROR(VLOOKUP(MID(G83,J83,K83-J83),[5]skilldef!$C:$D,2,FALSE),"-") &amp; " / " &amp; IFERROR(VLOOKUP(MID(G83,H83,I83-H83),[5]skilldef!$A:$B,2,FALSE),"-")</f>
        <v>- / -</v>
      </c>
      <c r="M83" s="64" t="str">
        <f t="shared" si="127"/>
        <v>[effect:critical, val:1.5, animation:enemy_critical]</v>
      </c>
      <c r="N83" s="48" t="str">
        <f t="shared" si="125"/>
        <v>[effect:critical, val:1.5, animation:enemy_critical]</v>
      </c>
      <c r="O83" s="64">
        <f t="shared" si="116"/>
        <v>9</v>
      </c>
      <c r="P83" s="64">
        <f t="shared" si="117"/>
        <v>17</v>
      </c>
      <c r="Q83" s="64" t="e">
        <f t="shared" si="118"/>
        <v>#VALUE!</v>
      </c>
      <c r="R83" s="64">
        <f t="shared" si="119"/>
        <v>26</v>
      </c>
      <c r="S83" s="64" t="str">
        <f>IFERROR(VLOOKUP(MID(N83,Q83,R83-Q83),[5]skilldef!$C:$D,2,FALSE),"-") &amp; " / " &amp; IFERROR(VLOOKUP(MID(N83,O83,P83-O83),[5]skilldef!$A:$B,2,FALSE),"-")</f>
        <v>- / 大攻撃</v>
      </c>
      <c r="T83" s="48" t="str">
        <f t="shared" si="120"/>
        <v>none</v>
      </c>
      <c r="U83" s="64" t="e">
        <f t="shared" si="121"/>
        <v>#VALUE!</v>
      </c>
      <c r="V83" s="64">
        <f t="shared" si="122"/>
        <v>4</v>
      </c>
      <c r="W83" s="64" t="e">
        <f t="shared" si="123"/>
        <v>#VALUE!</v>
      </c>
      <c r="X83" s="64" t="e">
        <f t="shared" si="124"/>
        <v>#VALUE!</v>
      </c>
      <c r="Y83" s="64" t="str">
        <f>IFERROR(VLOOKUP(MID(T83,W83,X83-W83),[5]skilldef!$C:$D,2,FALSE),"-") &amp; " / " &amp; IFERROR(VLOOKUP(MID(T83,U83,V83-U83),[5]skilldef!$A:$B,2,FALSE),"-")</f>
        <v>- / -</v>
      </c>
      <c r="Z83" s="50"/>
      <c r="AA83" s="52"/>
      <c r="AB83" s="50"/>
    </row>
    <row r="84" spans="1:28" ht="21" customHeight="1" x14ac:dyDescent="0.15">
      <c r="A84" s="174">
        <v>47007691</v>
      </c>
      <c r="B84" s="191" t="s">
        <v>494</v>
      </c>
      <c r="C84" s="192">
        <v>3</v>
      </c>
      <c r="D84" s="192" t="s">
        <v>498</v>
      </c>
      <c r="E84" s="193" t="s">
        <v>463</v>
      </c>
      <c r="F84" s="193" t="s">
        <v>389</v>
      </c>
      <c r="G84" s="64" t="str">
        <f t="shared" si="126"/>
        <v>[effect:enemy_message, val1:1.4, val2:3.5]</v>
      </c>
      <c r="H84" s="64">
        <f t="shared" si="111"/>
        <v>9</v>
      </c>
      <c r="I84" s="64">
        <f t="shared" si="112"/>
        <v>22</v>
      </c>
      <c r="J84" s="64" t="e">
        <f t="shared" si="113"/>
        <v>#VALUE!</v>
      </c>
      <c r="K84" s="64">
        <f t="shared" si="114"/>
        <v>32</v>
      </c>
      <c r="L84" s="64" t="str">
        <f>IFERROR(VLOOKUP(MID(G84,J84,K84-J84),[5]skilldef!$C:$D,2,FALSE),"-") &amp; " / " &amp; IFERROR(VLOOKUP(MID(G84,H84,I84-H84),[5]skilldef!$A:$B,2,FALSE),"-")</f>
        <v>- / -</v>
      </c>
      <c r="M84" s="64" t="str">
        <f t="shared" si="127"/>
        <v>[effect:force_change_block, new_block:block_heart, target:block_all, ignore01:crash, ignore02:crack_bomb, ignore03:color_break, ignore04:magnet, count:23, val:0, animation:change_block]</v>
      </c>
      <c r="N84" s="48" t="str">
        <f t="shared" ref="N84:N88" si="128">IFERROR(LEFT(M84,FIND("],",M84)+S93),M84)</f>
        <v>[effect:force_change_block, new_block:block_heart, target:block_all, ignore01:crash, ignore02:crack_bomb, ignore03:color_break, ignore04:magnet, count:23, val:0, animation:change_block]</v>
      </c>
      <c r="O84" s="64">
        <f t="shared" si="116"/>
        <v>9</v>
      </c>
      <c r="P84" s="64">
        <f t="shared" si="117"/>
        <v>27</v>
      </c>
      <c r="Q84" s="64">
        <f t="shared" si="118"/>
        <v>59</v>
      </c>
      <c r="R84" s="64">
        <f t="shared" si="119"/>
        <v>50</v>
      </c>
      <c r="S84" s="64" t="str">
        <f>IFERROR(VLOOKUP(MID(N84,Q84,R84-Q84),[5]skilldef!$C:$D,2,FALSE),"-") &amp; " / " &amp; IFERROR(VLOOKUP(MID(N84,O84,P84-O84),[5]skilldef!$A:$B,2,FALSE),"-")</f>
        <v>- / -</v>
      </c>
      <c r="T84" s="48" t="str">
        <f t="shared" si="120"/>
        <v>none</v>
      </c>
      <c r="U84" s="64" t="e">
        <f t="shared" si="121"/>
        <v>#VALUE!</v>
      </c>
      <c r="V84" s="64">
        <f t="shared" si="122"/>
        <v>4</v>
      </c>
      <c r="W84" s="64" t="e">
        <f t="shared" si="123"/>
        <v>#VALUE!</v>
      </c>
      <c r="X84" s="64" t="e">
        <f t="shared" si="124"/>
        <v>#VALUE!</v>
      </c>
      <c r="Y84" s="64" t="str">
        <f>IFERROR(VLOOKUP(MID(T84,W84,X84-W84),[5]skilldef!$C:$D,2,FALSE),"-") &amp; " / " &amp; IFERROR(VLOOKUP(MID(T84,U84,V84-U84),[5]skilldef!$A:$B,2,FALSE),"-")</f>
        <v>- / -</v>
      </c>
      <c r="Z84" s="50"/>
      <c r="AA84" s="52"/>
      <c r="AB84" s="50"/>
    </row>
    <row r="85" spans="1:28" s="119" customFormat="1" ht="21" customHeight="1" x14ac:dyDescent="0.15">
      <c r="A85" s="174">
        <v>47007692</v>
      </c>
      <c r="B85" s="191" t="s">
        <v>495</v>
      </c>
      <c r="C85" s="192">
        <v>3</v>
      </c>
      <c r="D85" s="192" t="s">
        <v>498</v>
      </c>
      <c r="E85" s="193" t="s">
        <v>464</v>
      </c>
      <c r="F85" s="193" t="s">
        <v>467</v>
      </c>
      <c r="G85" s="64" t="str">
        <f t="shared" si="126"/>
        <v>[effect:enemy_message, val1:1.5, val2:2.2, dead_type:escape]</v>
      </c>
      <c r="H85" s="64">
        <f t="shared" si="111"/>
        <v>9</v>
      </c>
      <c r="I85" s="64">
        <f t="shared" si="112"/>
        <v>22</v>
      </c>
      <c r="J85" s="64" t="e">
        <f t="shared" si="113"/>
        <v>#VALUE!</v>
      </c>
      <c r="K85" s="64">
        <f t="shared" si="114"/>
        <v>32</v>
      </c>
      <c r="L85" s="64" t="str">
        <f>IFERROR(VLOOKUP(MID(G85,J85,K85-J85),[5]skilldef!$C:$D,2,FALSE),"-") &amp; " / " &amp; IFERROR(VLOOKUP(MID(G85,H85,I85-H85),[5]skilldef!$A:$B,2,FALSE),"-")</f>
        <v>- / -</v>
      </c>
      <c r="M85" s="64" t="str">
        <f t="shared" si="127"/>
        <v>none</v>
      </c>
      <c r="N85" s="48" t="str">
        <f t="shared" si="128"/>
        <v>none</v>
      </c>
      <c r="O85" s="64" t="e">
        <f t="shared" si="116"/>
        <v>#VALUE!</v>
      </c>
      <c r="P85" s="64">
        <f t="shared" si="117"/>
        <v>4</v>
      </c>
      <c r="Q85" s="64" t="e">
        <f t="shared" si="118"/>
        <v>#VALUE!</v>
      </c>
      <c r="R85" s="64" t="e">
        <f t="shared" si="119"/>
        <v>#VALUE!</v>
      </c>
      <c r="S85" s="64" t="str">
        <f>IFERROR(VLOOKUP(MID(N85,Q85,R85-Q85),[5]skilldef!$C:$D,2,FALSE),"-") &amp; " / " &amp; IFERROR(VLOOKUP(MID(N85,O85,P85-O85),[5]skilldef!$A:$B,2,FALSE),"-")</f>
        <v>- / -</v>
      </c>
      <c r="T85" s="48" t="str">
        <f t="shared" si="120"/>
        <v>none</v>
      </c>
      <c r="U85" s="64" t="e">
        <f t="shared" si="121"/>
        <v>#VALUE!</v>
      </c>
      <c r="V85" s="64">
        <f t="shared" si="122"/>
        <v>4</v>
      </c>
      <c r="W85" s="64" t="e">
        <f t="shared" si="123"/>
        <v>#VALUE!</v>
      </c>
      <c r="X85" s="64" t="e">
        <f t="shared" si="124"/>
        <v>#VALUE!</v>
      </c>
      <c r="Y85" s="64" t="str">
        <f>IFERROR(VLOOKUP(MID(T85,W85,X85-W85),[5]skilldef!$C:$D,2,FALSE),"-") &amp; " / " &amp; IFERROR(VLOOKUP(MID(T85,U85,V85-U85),[5]skilldef!$A:$B,2,FALSE),"-")</f>
        <v>- / -</v>
      </c>
      <c r="Z85" s="50"/>
      <c r="AA85" s="52"/>
      <c r="AB85" s="50"/>
    </row>
    <row r="86" spans="1:28" s="120" customFormat="1" ht="21" customHeight="1" x14ac:dyDescent="0.15">
      <c r="A86" s="175">
        <v>47007693</v>
      </c>
      <c r="B86" s="197" t="s">
        <v>496</v>
      </c>
      <c r="C86" s="195">
        <v>3</v>
      </c>
      <c r="D86" s="195" t="s">
        <v>498</v>
      </c>
      <c r="E86" s="196" t="s">
        <v>466</v>
      </c>
      <c r="F86" s="196" t="s">
        <v>468</v>
      </c>
      <c r="G86" s="114" t="str">
        <f t="shared" si="126"/>
        <v>[effect:enemy_message, val1:2.8, val2:2.4, dead_type:escape]</v>
      </c>
      <c r="H86" s="114">
        <f t="shared" si="111"/>
        <v>9</v>
      </c>
      <c r="I86" s="114">
        <f t="shared" si="112"/>
        <v>22</v>
      </c>
      <c r="J86" s="114" t="e">
        <f t="shared" si="113"/>
        <v>#VALUE!</v>
      </c>
      <c r="K86" s="114">
        <f t="shared" si="114"/>
        <v>32</v>
      </c>
      <c r="L86" s="114" t="str">
        <f>IFERROR(VLOOKUP(MID(G86,J86,K86-J86),[5]skilldef!$C:$D,2,FALSE),"-") &amp; " / " &amp; IFERROR(VLOOKUP(MID(G86,H86,I86-H86),[5]skilldef!$A:$B,2,FALSE),"-")</f>
        <v>- / -</v>
      </c>
      <c r="M86" s="114" t="str">
        <f t="shared" si="127"/>
        <v>none</v>
      </c>
      <c r="N86" s="115" t="str">
        <f t="shared" si="128"/>
        <v>none</v>
      </c>
      <c r="O86" s="114" t="e">
        <f t="shared" si="116"/>
        <v>#VALUE!</v>
      </c>
      <c r="P86" s="114">
        <f t="shared" si="117"/>
        <v>4</v>
      </c>
      <c r="Q86" s="114" t="e">
        <f t="shared" si="118"/>
        <v>#VALUE!</v>
      </c>
      <c r="R86" s="114" t="e">
        <f t="shared" si="119"/>
        <v>#VALUE!</v>
      </c>
      <c r="S86" s="114" t="str">
        <f>IFERROR(VLOOKUP(MID(N86,Q86,R86-Q86),[5]skilldef!$C:$D,2,FALSE),"-") &amp; " / " &amp; IFERROR(VLOOKUP(MID(N86,O86,P86-O86),[5]skilldef!$A:$B,2,FALSE),"-")</f>
        <v>- / -</v>
      </c>
      <c r="T86" s="115" t="str">
        <f t="shared" si="120"/>
        <v>none</v>
      </c>
      <c r="U86" s="114" t="e">
        <f t="shared" si="121"/>
        <v>#VALUE!</v>
      </c>
      <c r="V86" s="114">
        <f t="shared" si="122"/>
        <v>4</v>
      </c>
      <c r="W86" s="114" t="e">
        <f t="shared" si="123"/>
        <v>#VALUE!</v>
      </c>
      <c r="X86" s="114" t="e">
        <f t="shared" si="124"/>
        <v>#VALUE!</v>
      </c>
      <c r="Y86" s="114" t="str">
        <f>IFERROR(VLOOKUP(MID(T86,W86,X86-W86),[5]skilldef!$C:$D,2,FALSE),"-") &amp; " / " &amp; IFERROR(VLOOKUP(MID(T86,U86,V86-U86),[5]skilldef!$A:$B,2,FALSE),"-")</f>
        <v>- / -</v>
      </c>
      <c r="Z86" s="113"/>
      <c r="AA86" s="116"/>
      <c r="AB86" s="113"/>
    </row>
    <row r="87" spans="1:28" ht="21" customHeight="1" x14ac:dyDescent="0.15">
      <c r="A87" s="175">
        <v>47007694</v>
      </c>
      <c r="B87" s="197" t="s">
        <v>496</v>
      </c>
      <c r="C87" s="195">
        <v>3</v>
      </c>
      <c r="D87" s="195" t="s">
        <v>498</v>
      </c>
      <c r="E87" s="196" t="s">
        <v>466</v>
      </c>
      <c r="F87" s="196" t="s">
        <v>469</v>
      </c>
      <c r="G87" s="114" t="str">
        <f t="shared" si="126"/>
        <v>[effect:enemy_message, val1:2.8, val2:2.4, dead_type:escape]</v>
      </c>
      <c r="H87" s="114">
        <f t="shared" si="111"/>
        <v>9</v>
      </c>
      <c r="I87" s="114">
        <f t="shared" si="112"/>
        <v>22</v>
      </c>
      <c r="J87" s="114" t="e">
        <f t="shared" si="113"/>
        <v>#VALUE!</v>
      </c>
      <c r="K87" s="114">
        <f t="shared" si="114"/>
        <v>32</v>
      </c>
      <c r="L87" s="114" t="str">
        <f>IFERROR(VLOOKUP(MID(G87,J87,K87-J87),[5]skilldef!$C:$D,2,FALSE),"-") &amp; " / " &amp; IFERROR(VLOOKUP(MID(G87,H87,I87-H87),[5]skilldef!$A:$B,2,FALSE),"-")</f>
        <v>- / -</v>
      </c>
      <c r="M87" s="114" t="str">
        <f t="shared" si="127"/>
        <v>none</v>
      </c>
      <c r="N87" s="115" t="str">
        <f t="shared" si="128"/>
        <v>none</v>
      </c>
      <c r="O87" s="114" t="e">
        <f t="shared" si="116"/>
        <v>#VALUE!</v>
      </c>
      <c r="P87" s="114">
        <f t="shared" si="117"/>
        <v>4</v>
      </c>
      <c r="Q87" s="114" t="e">
        <f t="shared" si="118"/>
        <v>#VALUE!</v>
      </c>
      <c r="R87" s="114" t="e">
        <f t="shared" si="119"/>
        <v>#VALUE!</v>
      </c>
      <c r="S87" s="114" t="str">
        <f>IFERROR(VLOOKUP(MID(N87,Q87,R87-Q87),[5]skilldef!$C:$D,2,FALSE),"-") &amp; " / " &amp; IFERROR(VLOOKUP(MID(N87,O87,P87-O87),[5]skilldef!$A:$B,2,FALSE),"-")</f>
        <v>- / -</v>
      </c>
      <c r="T87" s="115" t="str">
        <f t="shared" si="120"/>
        <v>none</v>
      </c>
      <c r="U87" s="114" t="e">
        <f t="shared" si="121"/>
        <v>#VALUE!</v>
      </c>
      <c r="V87" s="114">
        <f t="shared" si="122"/>
        <v>4</v>
      </c>
      <c r="W87" s="114" t="e">
        <f t="shared" si="123"/>
        <v>#VALUE!</v>
      </c>
      <c r="X87" s="114" t="e">
        <f t="shared" si="124"/>
        <v>#VALUE!</v>
      </c>
      <c r="Y87" s="114" t="str">
        <f>IFERROR(VLOOKUP(MID(T87,W87,X87-W87),[5]skilldef!$C:$D,2,FALSE),"-") &amp; " / " &amp; IFERROR(VLOOKUP(MID(T87,U87,V87-U87),[5]skilldef!$A:$B,2,FALSE),"-")</f>
        <v>- / -</v>
      </c>
      <c r="Z87" s="113"/>
      <c r="AA87" s="116"/>
      <c r="AB87" s="113"/>
    </row>
    <row r="88" spans="1:28" ht="21" customHeight="1" x14ac:dyDescent="0.15">
      <c r="A88" s="175">
        <v>47007695</v>
      </c>
      <c r="B88" s="194" t="s">
        <v>497</v>
      </c>
      <c r="C88" s="195">
        <v>3</v>
      </c>
      <c r="D88" s="195" t="s">
        <v>498</v>
      </c>
      <c r="E88" s="196" t="s">
        <v>465</v>
      </c>
      <c r="F88" s="196" t="s">
        <v>470</v>
      </c>
      <c r="G88" s="64" t="str">
        <f t="shared" si="126"/>
        <v>[effect:enemy_message, val1:1.7, val2:2.7, dead_type:escape]</v>
      </c>
      <c r="H88" s="64">
        <f t="shared" si="111"/>
        <v>9</v>
      </c>
      <c r="I88" s="64">
        <f t="shared" si="112"/>
        <v>22</v>
      </c>
      <c r="J88" s="64" t="e">
        <f t="shared" si="113"/>
        <v>#VALUE!</v>
      </c>
      <c r="K88" s="64">
        <f t="shared" si="114"/>
        <v>32</v>
      </c>
      <c r="L88" s="64" t="str">
        <f>IFERROR(VLOOKUP(MID(G88,J88,K88-J88),[5]skilldef!$C:$D,2,FALSE),"-") &amp; " / " &amp; IFERROR(VLOOKUP(MID(G88,H88,I88-H88),[5]skilldef!$A:$B,2,FALSE),"-")</f>
        <v>- / -</v>
      </c>
      <c r="M88" s="64" t="str">
        <f t="shared" si="127"/>
        <v>none</v>
      </c>
      <c r="N88" s="48" t="str">
        <f t="shared" si="128"/>
        <v>none</v>
      </c>
      <c r="O88" s="64" t="e">
        <f t="shared" si="116"/>
        <v>#VALUE!</v>
      </c>
      <c r="P88" s="64">
        <f t="shared" si="117"/>
        <v>4</v>
      </c>
      <c r="Q88" s="64" t="e">
        <f t="shared" si="118"/>
        <v>#VALUE!</v>
      </c>
      <c r="R88" s="64" t="e">
        <f t="shared" si="119"/>
        <v>#VALUE!</v>
      </c>
      <c r="S88" s="64" t="str">
        <f>IFERROR(VLOOKUP(MID(N88,Q88,R88-Q88),[5]skilldef!$C:$D,2,FALSE),"-") &amp; " / " &amp; IFERROR(VLOOKUP(MID(N88,O88,P88-O88),[5]skilldef!$A:$B,2,FALSE),"-")</f>
        <v>- / -</v>
      </c>
      <c r="T88" s="48" t="str">
        <f t="shared" si="120"/>
        <v>none</v>
      </c>
      <c r="U88" s="64" t="e">
        <f t="shared" si="121"/>
        <v>#VALUE!</v>
      </c>
      <c r="V88" s="64">
        <f t="shared" si="122"/>
        <v>4</v>
      </c>
      <c r="W88" s="64" t="e">
        <f t="shared" si="123"/>
        <v>#VALUE!</v>
      </c>
      <c r="X88" s="64" t="e">
        <f t="shared" si="124"/>
        <v>#VALUE!</v>
      </c>
      <c r="Y88" s="64" t="str">
        <f>IFERROR(VLOOKUP(MID(T88,W88,X88-W88),[5]skilldef!$C:$D,2,FALSE),"-") &amp; " / " &amp; IFERROR(VLOOKUP(MID(T88,U88,V88-U88),[5]skilldef!$A:$B,2,FALSE),"-")</f>
        <v>- / -</v>
      </c>
      <c r="Z88" s="50"/>
      <c r="AA88" s="52"/>
      <c r="AB88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59"/>
  <sheetViews>
    <sheetView showGridLines="0" workbookViewId="0">
      <pane ySplit="1" topLeftCell="A2" activePane="bottomLeft" state="frozenSplit"/>
      <selection pane="bottomLeft" activeCell="J17" sqref="J17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1" ht="21" customHeight="1" x14ac:dyDescent="0.15">
      <c r="A2" s="47">
        <v>47007101</v>
      </c>
      <c r="B2" s="47">
        <v>1</v>
      </c>
      <c r="C2" s="47" t="s">
        <v>88</v>
      </c>
      <c r="D2" s="47">
        <v>100</v>
      </c>
      <c r="E2" s="47" t="s">
        <v>257</v>
      </c>
      <c r="F2" s="47" t="s">
        <v>89</v>
      </c>
      <c r="G2" s="47">
        <v>1</v>
      </c>
      <c r="H2" s="47" t="s">
        <v>89</v>
      </c>
      <c r="I2" s="47" t="s">
        <v>89</v>
      </c>
      <c r="J2" s="48">
        <f t="shared" ref="J2:J51" si="0">D2</f>
        <v>100</v>
      </c>
    </row>
    <row r="3" spans="1:11" ht="21" customHeight="1" x14ac:dyDescent="0.15">
      <c r="A3" s="47">
        <v>47007102</v>
      </c>
      <c r="B3" s="47">
        <v>1</v>
      </c>
      <c r="C3" s="47">
        <v>500</v>
      </c>
      <c r="D3" s="47">
        <v>100</v>
      </c>
      <c r="E3" s="47" t="s">
        <v>257</v>
      </c>
      <c r="F3" s="47" t="s">
        <v>88</v>
      </c>
      <c r="G3" s="47">
        <v>1</v>
      </c>
      <c r="H3" s="47" t="s">
        <v>88</v>
      </c>
      <c r="I3" s="47">
        <v>1352</v>
      </c>
      <c r="J3" s="48">
        <f t="shared" si="0"/>
        <v>100</v>
      </c>
    </row>
    <row r="4" spans="1:11" ht="21" customHeight="1" x14ac:dyDescent="0.15">
      <c r="A4" s="47">
        <v>47007103</v>
      </c>
      <c r="B4" s="47">
        <v>1</v>
      </c>
      <c r="C4" s="47">
        <v>501</v>
      </c>
      <c r="D4" s="47">
        <v>100</v>
      </c>
      <c r="E4" s="47" t="s">
        <v>169</v>
      </c>
      <c r="F4" s="47" t="s">
        <v>88</v>
      </c>
      <c r="G4" s="47">
        <v>1</v>
      </c>
      <c r="H4" s="47" t="s">
        <v>88</v>
      </c>
      <c r="I4" s="47">
        <v>1353</v>
      </c>
      <c r="J4" s="48">
        <f t="shared" ref="J4" si="1">D4</f>
        <v>100</v>
      </c>
    </row>
    <row r="5" spans="1:11" ht="21" customHeight="1" x14ac:dyDescent="0.15">
      <c r="A5" s="47">
        <v>47007104</v>
      </c>
      <c r="B5" s="47">
        <v>1</v>
      </c>
      <c r="C5" s="47">
        <v>400</v>
      </c>
      <c r="D5" s="47">
        <v>100</v>
      </c>
      <c r="E5" s="47" t="s">
        <v>257</v>
      </c>
      <c r="F5" s="47" t="s">
        <v>88</v>
      </c>
      <c r="G5" s="47">
        <v>1</v>
      </c>
      <c r="H5" s="47" t="s">
        <v>88</v>
      </c>
      <c r="I5" s="47">
        <v>1363</v>
      </c>
      <c r="J5" s="48">
        <f t="shared" si="0"/>
        <v>100</v>
      </c>
    </row>
    <row r="6" spans="1:11" ht="21" customHeight="1" x14ac:dyDescent="0.15">
      <c r="A6" s="47">
        <v>47007105</v>
      </c>
      <c r="B6" s="47">
        <v>0</v>
      </c>
      <c r="C6" s="47">
        <v>50</v>
      </c>
      <c r="D6" s="47">
        <v>100</v>
      </c>
      <c r="E6" s="47" t="s">
        <v>257</v>
      </c>
      <c r="F6" s="47" t="s">
        <v>88</v>
      </c>
      <c r="G6" s="47">
        <v>1</v>
      </c>
      <c r="H6" s="47">
        <v>1</v>
      </c>
      <c r="I6" s="47" t="s">
        <v>88</v>
      </c>
      <c r="J6" s="48">
        <f t="shared" si="0"/>
        <v>100</v>
      </c>
    </row>
    <row r="7" spans="1:11" ht="21" customHeight="1" x14ac:dyDescent="0.15">
      <c r="A7" s="47">
        <v>47007106</v>
      </c>
      <c r="B7" s="47">
        <v>0</v>
      </c>
      <c r="C7" s="47">
        <v>25</v>
      </c>
      <c r="D7" s="47">
        <v>100</v>
      </c>
      <c r="E7" s="47" t="s">
        <v>257</v>
      </c>
      <c r="F7" s="47" t="s">
        <v>88</v>
      </c>
      <c r="G7" s="47" t="s">
        <v>257</v>
      </c>
      <c r="H7" s="47" t="s">
        <v>88</v>
      </c>
      <c r="I7" s="47" t="s">
        <v>88</v>
      </c>
      <c r="J7" s="48">
        <f t="shared" si="0"/>
        <v>100</v>
      </c>
    </row>
    <row r="8" spans="1:11" ht="21" customHeight="1" x14ac:dyDescent="0.15">
      <c r="A8" s="47">
        <v>47007107</v>
      </c>
      <c r="B8" s="47">
        <v>0</v>
      </c>
      <c r="C8" s="47">
        <v>25</v>
      </c>
      <c r="D8" s="47">
        <v>100</v>
      </c>
      <c r="E8" s="47" t="s">
        <v>257</v>
      </c>
      <c r="F8" s="47" t="s">
        <v>88</v>
      </c>
      <c r="G8" s="47" t="s">
        <v>257</v>
      </c>
      <c r="H8" s="47" t="s">
        <v>88</v>
      </c>
      <c r="I8" s="47" t="s">
        <v>88</v>
      </c>
      <c r="J8" s="48">
        <f t="shared" si="0"/>
        <v>100</v>
      </c>
    </row>
    <row r="9" spans="1:11" ht="21" customHeight="1" x14ac:dyDescent="0.15">
      <c r="A9" s="47">
        <v>47007108</v>
      </c>
      <c r="B9" s="47">
        <v>0</v>
      </c>
      <c r="C9" s="47">
        <v>30</v>
      </c>
      <c r="D9" s="47">
        <v>100</v>
      </c>
      <c r="E9" s="47" t="s">
        <v>257</v>
      </c>
      <c r="F9" s="47" t="s">
        <v>88</v>
      </c>
      <c r="G9" s="47" t="s">
        <v>257</v>
      </c>
      <c r="H9" s="47">
        <v>3</v>
      </c>
      <c r="I9" s="47" t="s">
        <v>88</v>
      </c>
      <c r="J9" s="48">
        <f t="shared" si="0"/>
        <v>100</v>
      </c>
    </row>
    <row r="10" spans="1:11" ht="21" customHeight="1" x14ac:dyDescent="0.15">
      <c r="A10" s="47">
        <v>47007109</v>
      </c>
      <c r="B10" s="47">
        <v>0</v>
      </c>
      <c r="C10" s="47">
        <v>40</v>
      </c>
      <c r="D10" s="47">
        <v>100</v>
      </c>
      <c r="E10" s="47">
        <v>20</v>
      </c>
      <c r="F10" s="47" t="s">
        <v>88</v>
      </c>
      <c r="G10" s="47">
        <v>1</v>
      </c>
      <c r="H10" s="47">
        <v>1</v>
      </c>
      <c r="I10" s="47" t="s">
        <v>88</v>
      </c>
      <c r="J10" s="48">
        <f t="shared" si="0"/>
        <v>100</v>
      </c>
    </row>
    <row r="11" spans="1:11" ht="21" customHeight="1" x14ac:dyDescent="0.15">
      <c r="A11" s="47">
        <v>47007110</v>
      </c>
      <c r="B11" s="47">
        <v>1</v>
      </c>
      <c r="C11" s="47">
        <v>300</v>
      </c>
      <c r="D11" s="47">
        <v>100</v>
      </c>
      <c r="E11" s="47" t="s">
        <v>257</v>
      </c>
      <c r="F11" s="47" t="s">
        <v>88</v>
      </c>
      <c r="G11" s="47">
        <v>1</v>
      </c>
      <c r="H11" s="47" t="s">
        <v>88</v>
      </c>
      <c r="I11" s="47">
        <v>1354</v>
      </c>
      <c r="J11" s="48">
        <f t="shared" ref="J11" si="2">D11</f>
        <v>100</v>
      </c>
    </row>
    <row r="12" spans="1:11" ht="21" customHeight="1" x14ac:dyDescent="0.15">
      <c r="A12" s="47">
        <v>47007111</v>
      </c>
      <c r="B12" s="47">
        <v>1</v>
      </c>
      <c r="C12" s="47">
        <v>299</v>
      </c>
      <c r="D12" s="47">
        <v>100</v>
      </c>
      <c r="E12" s="47" t="s">
        <v>257</v>
      </c>
      <c r="F12" s="47" t="s">
        <v>88</v>
      </c>
      <c r="G12" s="47">
        <v>1</v>
      </c>
      <c r="H12" s="47" t="s">
        <v>88</v>
      </c>
      <c r="I12" s="47">
        <v>1355</v>
      </c>
      <c r="J12" s="48">
        <f t="shared" ref="J12" si="3">D12</f>
        <v>100</v>
      </c>
    </row>
    <row r="13" spans="1:11" ht="21" customHeight="1" x14ac:dyDescent="0.15">
      <c r="A13" s="47">
        <v>47007112</v>
      </c>
      <c r="B13" s="47">
        <v>1</v>
      </c>
      <c r="C13" s="47">
        <v>298</v>
      </c>
      <c r="D13" s="47">
        <v>100</v>
      </c>
      <c r="E13" s="47" t="s">
        <v>257</v>
      </c>
      <c r="F13" s="47" t="s">
        <v>88</v>
      </c>
      <c r="G13" s="47">
        <v>1</v>
      </c>
      <c r="H13" s="47" t="s">
        <v>88</v>
      </c>
      <c r="I13" s="47">
        <v>1356</v>
      </c>
      <c r="J13" s="48">
        <f t="shared" ref="J13:J15" si="4">D13</f>
        <v>100</v>
      </c>
    </row>
    <row r="14" spans="1:11" ht="21" customHeight="1" x14ac:dyDescent="0.15">
      <c r="A14" s="47">
        <v>47007113</v>
      </c>
      <c r="B14" s="47">
        <v>1</v>
      </c>
      <c r="C14" s="47">
        <v>297</v>
      </c>
      <c r="D14" s="47">
        <v>100</v>
      </c>
      <c r="E14" s="47" t="s">
        <v>257</v>
      </c>
      <c r="F14" s="47" t="s">
        <v>88</v>
      </c>
      <c r="G14" s="47">
        <v>1</v>
      </c>
      <c r="H14" s="47" t="s">
        <v>88</v>
      </c>
      <c r="I14" s="47">
        <v>1357</v>
      </c>
      <c r="J14" s="48">
        <f t="shared" si="4"/>
        <v>100</v>
      </c>
    </row>
    <row r="15" spans="1:11" ht="21" customHeight="1" x14ac:dyDescent="0.15">
      <c r="A15" s="47">
        <v>47007114</v>
      </c>
      <c r="B15" s="47">
        <v>1</v>
      </c>
      <c r="C15" s="47">
        <v>296</v>
      </c>
      <c r="D15" s="47">
        <v>100</v>
      </c>
      <c r="E15" s="47" t="s">
        <v>257</v>
      </c>
      <c r="F15" s="47" t="s">
        <v>88</v>
      </c>
      <c r="G15" s="47">
        <v>1</v>
      </c>
      <c r="H15" s="47" t="s">
        <v>88</v>
      </c>
      <c r="I15" s="47">
        <v>1358</v>
      </c>
      <c r="J15" s="48">
        <f t="shared" si="4"/>
        <v>100</v>
      </c>
    </row>
    <row r="16" spans="1:11" ht="21" customHeight="1" x14ac:dyDescent="0.15">
      <c r="A16" s="47">
        <v>47007201</v>
      </c>
      <c r="B16" s="47">
        <v>1</v>
      </c>
      <c r="C16" s="47" t="s">
        <v>88</v>
      </c>
      <c r="D16" s="47">
        <v>100</v>
      </c>
      <c r="E16" s="47" t="s">
        <v>257</v>
      </c>
      <c r="F16" s="47" t="s">
        <v>88</v>
      </c>
      <c r="G16" s="47">
        <v>1</v>
      </c>
      <c r="H16" s="47" t="s">
        <v>88</v>
      </c>
      <c r="I16" s="47" t="s">
        <v>88</v>
      </c>
      <c r="J16" s="48">
        <f t="shared" si="0"/>
        <v>100</v>
      </c>
    </row>
    <row r="17" spans="1:10" ht="21" customHeight="1" x14ac:dyDescent="0.15">
      <c r="A17" s="47">
        <v>47007202</v>
      </c>
      <c r="B17" s="47">
        <v>1</v>
      </c>
      <c r="C17" s="47">
        <v>500</v>
      </c>
      <c r="D17" s="47">
        <v>100</v>
      </c>
      <c r="E17" s="47" t="s">
        <v>169</v>
      </c>
      <c r="F17" s="47" t="s">
        <v>88</v>
      </c>
      <c r="G17" s="47">
        <v>1</v>
      </c>
      <c r="H17" s="47" t="s">
        <v>88</v>
      </c>
      <c r="I17" s="47">
        <v>1352</v>
      </c>
      <c r="J17" s="48">
        <f t="shared" ref="J17" si="5">D17</f>
        <v>100</v>
      </c>
    </row>
    <row r="18" spans="1:10" ht="21" customHeight="1" x14ac:dyDescent="0.15">
      <c r="A18" s="47">
        <v>47007203</v>
      </c>
      <c r="B18" s="47">
        <v>1</v>
      </c>
      <c r="C18" s="47">
        <v>501</v>
      </c>
      <c r="D18" s="47">
        <v>100</v>
      </c>
      <c r="E18" s="47" t="s">
        <v>169</v>
      </c>
      <c r="F18" s="47" t="s">
        <v>88</v>
      </c>
      <c r="G18" s="47">
        <v>1</v>
      </c>
      <c r="H18" s="47" t="s">
        <v>88</v>
      </c>
      <c r="I18" s="47">
        <v>1353</v>
      </c>
      <c r="J18" s="48">
        <f t="shared" ref="J18" si="6">D18</f>
        <v>100</v>
      </c>
    </row>
    <row r="19" spans="1:10" ht="21" customHeight="1" x14ac:dyDescent="0.15">
      <c r="A19" s="47">
        <v>47007204</v>
      </c>
      <c r="B19" s="47">
        <v>1</v>
      </c>
      <c r="C19" s="47">
        <v>400</v>
      </c>
      <c r="D19" s="47">
        <v>100</v>
      </c>
      <c r="E19" s="47" t="s">
        <v>169</v>
      </c>
      <c r="F19" s="47" t="s">
        <v>88</v>
      </c>
      <c r="G19" s="47">
        <v>1</v>
      </c>
      <c r="H19" s="47" t="s">
        <v>88</v>
      </c>
      <c r="I19" s="47">
        <v>1363</v>
      </c>
      <c r="J19" s="48">
        <f t="shared" ref="J19" si="7">D19</f>
        <v>100</v>
      </c>
    </row>
    <row r="20" spans="1:10" ht="21" customHeight="1" x14ac:dyDescent="0.15">
      <c r="A20" s="47">
        <v>47007205</v>
      </c>
      <c r="B20" s="47">
        <v>0</v>
      </c>
      <c r="C20" s="47">
        <v>50</v>
      </c>
      <c r="D20" s="47">
        <v>100</v>
      </c>
      <c r="E20" s="47" t="s">
        <v>257</v>
      </c>
      <c r="F20" s="47" t="s">
        <v>88</v>
      </c>
      <c r="G20" s="47">
        <v>1</v>
      </c>
      <c r="H20" s="47">
        <v>1</v>
      </c>
      <c r="I20" s="47" t="s">
        <v>88</v>
      </c>
      <c r="J20" s="48">
        <f t="shared" si="0"/>
        <v>100</v>
      </c>
    </row>
    <row r="21" spans="1:10" ht="21" customHeight="1" x14ac:dyDescent="0.15">
      <c r="A21" s="47">
        <v>47007206</v>
      </c>
      <c r="B21" s="47">
        <v>0</v>
      </c>
      <c r="C21" s="47">
        <v>49</v>
      </c>
      <c r="D21" s="47">
        <v>100</v>
      </c>
      <c r="E21" s="47" t="s">
        <v>257</v>
      </c>
      <c r="F21" s="47" t="s">
        <v>88</v>
      </c>
      <c r="G21" s="47">
        <v>1</v>
      </c>
      <c r="H21" s="47">
        <v>2</v>
      </c>
      <c r="I21" s="47" t="s">
        <v>88</v>
      </c>
      <c r="J21" s="48">
        <f t="shared" si="0"/>
        <v>100</v>
      </c>
    </row>
    <row r="22" spans="1:10" ht="21" customHeight="1" x14ac:dyDescent="0.15">
      <c r="A22" s="47">
        <v>47007207</v>
      </c>
      <c r="B22" s="47">
        <v>0</v>
      </c>
      <c r="C22" s="47">
        <v>25</v>
      </c>
      <c r="D22" s="47">
        <v>100</v>
      </c>
      <c r="E22" s="47" t="s">
        <v>257</v>
      </c>
      <c r="F22" s="47" t="s">
        <v>88</v>
      </c>
      <c r="G22" s="47" t="s">
        <v>257</v>
      </c>
      <c r="H22" s="47" t="s">
        <v>88</v>
      </c>
      <c r="I22" s="47" t="s">
        <v>88</v>
      </c>
      <c r="J22" s="48">
        <f t="shared" si="0"/>
        <v>100</v>
      </c>
    </row>
    <row r="23" spans="1:10" ht="21" customHeight="1" x14ac:dyDescent="0.15">
      <c r="A23" s="47">
        <v>47007208</v>
      </c>
      <c r="B23" s="47">
        <v>0</v>
      </c>
      <c r="C23" s="47">
        <v>30</v>
      </c>
      <c r="D23" s="47">
        <v>100</v>
      </c>
      <c r="E23" s="47" t="s">
        <v>257</v>
      </c>
      <c r="F23" s="47" t="s">
        <v>88</v>
      </c>
      <c r="G23" s="47" t="s">
        <v>257</v>
      </c>
      <c r="H23" s="47">
        <v>2</v>
      </c>
      <c r="I23" s="47" t="s">
        <v>88</v>
      </c>
      <c r="J23" s="48">
        <f t="shared" si="0"/>
        <v>100</v>
      </c>
    </row>
    <row r="24" spans="1:10" ht="21" customHeight="1" x14ac:dyDescent="0.15">
      <c r="A24" s="47">
        <v>47007301</v>
      </c>
      <c r="B24" s="47">
        <v>1</v>
      </c>
      <c r="C24" s="47" t="s">
        <v>88</v>
      </c>
      <c r="D24" s="47">
        <v>100</v>
      </c>
      <c r="E24" s="47" t="s">
        <v>257</v>
      </c>
      <c r="F24" s="47" t="s">
        <v>88</v>
      </c>
      <c r="G24" s="47">
        <v>1</v>
      </c>
      <c r="H24" s="47" t="s">
        <v>88</v>
      </c>
      <c r="I24" s="47" t="s">
        <v>88</v>
      </c>
      <c r="J24" s="48">
        <f t="shared" si="0"/>
        <v>100</v>
      </c>
    </row>
    <row r="25" spans="1:10" ht="21" customHeight="1" x14ac:dyDescent="0.15">
      <c r="A25" s="47">
        <v>47007302</v>
      </c>
      <c r="B25" s="47">
        <v>0</v>
      </c>
      <c r="C25" s="47">
        <v>25</v>
      </c>
      <c r="D25" s="47">
        <v>100</v>
      </c>
      <c r="E25" s="47" t="s">
        <v>257</v>
      </c>
      <c r="F25" s="47" t="s">
        <v>88</v>
      </c>
      <c r="G25" s="47" t="s">
        <v>257</v>
      </c>
      <c r="H25" s="47" t="s">
        <v>88</v>
      </c>
      <c r="I25" s="47" t="s">
        <v>88</v>
      </c>
      <c r="J25" s="48">
        <f t="shared" si="0"/>
        <v>100</v>
      </c>
    </row>
    <row r="26" spans="1:10" ht="21" customHeight="1" x14ac:dyDescent="0.15">
      <c r="A26" s="47">
        <v>47007303</v>
      </c>
      <c r="B26" s="47">
        <v>0</v>
      </c>
      <c r="C26" s="47">
        <v>30</v>
      </c>
      <c r="D26" s="47">
        <v>100</v>
      </c>
      <c r="E26" s="47" t="s">
        <v>257</v>
      </c>
      <c r="F26" s="47" t="s">
        <v>88</v>
      </c>
      <c r="G26" s="47" t="s">
        <v>257</v>
      </c>
      <c r="H26" s="47">
        <v>2</v>
      </c>
      <c r="I26" s="47" t="s">
        <v>88</v>
      </c>
      <c r="J26" s="48">
        <f t="shared" si="0"/>
        <v>100</v>
      </c>
    </row>
    <row r="27" spans="1:10" ht="21" customHeight="1" x14ac:dyDescent="0.15">
      <c r="A27" s="47">
        <v>47007304</v>
      </c>
      <c r="B27" s="47">
        <v>0</v>
      </c>
      <c r="C27" s="47">
        <v>50</v>
      </c>
      <c r="D27" s="47">
        <v>100</v>
      </c>
      <c r="E27" s="47">
        <v>75</v>
      </c>
      <c r="F27" s="47" t="s">
        <v>88</v>
      </c>
      <c r="G27" s="47">
        <v>1</v>
      </c>
      <c r="H27" s="47">
        <v>1</v>
      </c>
      <c r="I27" s="47" t="s">
        <v>88</v>
      </c>
      <c r="J27" s="48">
        <f t="shared" si="0"/>
        <v>100</v>
      </c>
    </row>
    <row r="28" spans="1:10" ht="21" customHeight="1" x14ac:dyDescent="0.15">
      <c r="A28" s="47">
        <v>47007305</v>
      </c>
      <c r="B28" s="47">
        <v>0</v>
      </c>
      <c r="C28" s="47">
        <v>40</v>
      </c>
      <c r="D28" s="47">
        <v>100</v>
      </c>
      <c r="E28" s="47">
        <v>50</v>
      </c>
      <c r="F28" s="47" t="s">
        <v>88</v>
      </c>
      <c r="G28" s="47">
        <v>1</v>
      </c>
      <c r="H28" s="47">
        <v>1</v>
      </c>
      <c r="I28" s="47" t="s">
        <v>88</v>
      </c>
      <c r="J28" s="48">
        <f t="shared" si="0"/>
        <v>100</v>
      </c>
    </row>
    <row r="29" spans="1:10" ht="21" customHeight="1" x14ac:dyDescent="0.15">
      <c r="A29" s="47">
        <v>47007306</v>
      </c>
      <c r="B29" s="47">
        <v>0</v>
      </c>
      <c r="C29" s="47">
        <v>39</v>
      </c>
      <c r="D29" s="47">
        <v>100</v>
      </c>
      <c r="E29" s="47">
        <v>50</v>
      </c>
      <c r="F29" s="47" t="s">
        <v>88</v>
      </c>
      <c r="G29" s="47" t="s">
        <v>257</v>
      </c>
      <c r="H29" s="47">
        <v>1</v>
      </c>
      <c r="I29" s="47" t="s">
        <v>88</v>
      </c>
      <c r="J29" s="48">
        <f t="shared" si="0"/>
        <v>100</v>
      </c>
    </row>
    <row r="30" spans="1:10" ht="21" customHeight="1" x14ac:dyDescent="0.15">
      <c r="A30" s="47">
        <v>47007401</v>
      </c>
      <c r="B30" s="47">
        <v>1</v>
      </c>
      <c r="C30" s="47" t="s">
        <v>88</v>
      </c>
      <c r="D30" s="47">
        <v>100</v>
      </c>
      <c r="E30" s="47" t="s">
        <v>257</v>
      </c>
      <c r="F30" s="47" t="s">
        <v>88</v>
      </c>
      <c r="G30" s="47">
        <v>1</v>
      </c>
      <c r="H30" s="47" t="s">
        <v>88</v>
      </c>
      <c r="I30" s="47" t="s">
        <v>88</v>
      </c>
      <c r="J30" s="48">
        <f t="shared" si="0"/>
        <v>100</v>
      </c>
    </row>
    <row r="31" spans="1:10" ht="21" customHeight="1" x14ac:dyDescent="0.15">
      <c r="A31" s="47">
        <v>47007402</v>
      </c>
      <c r="B31" s="47">
        <v>1</v>
      </c>
      <c r="C31" s="47">
        <v>500</v>
      </c>
      <c r="D31" s="47">
        <v>100</v>
      </c>
      <c r="E31" s="47" t="s">
        <v>257</v>
      </c>
      <c r="F31" s="47" t="s">
        <v>88</v>
      </c>
      <c r="G31" s="47">
        <v>1</v>
      </c>
      <c r="H31" s="47" t="s">
        <v>88</v>
      </c>
      <c r="I31" s="47">
        <v>1352</v>
      </c>
      <c r="J31" s="48">
        <f t="shared" si="0"/>
        <v>100</v>
      </c>
    </row>
    <row r="32" spans="1:10" ht="21" customHeight="1" x14ac:dyDescent="0.15">
      <c r="A32" s="47">
        <v>47007403</v>
      </c>
      <c r="B32" s="47">
        <v>1</v>
      </c>
      <c r="C32" s="47">
        <v>501</v>
      </c>
      <c r="D32" s="47">
        <v>100</v>
      </c>
      <c r="E32" s="47" t="s">
        <v>169</v>
      </c>
      <c r="F32" s="47" t="s">
        <v>88</v>
      </c>
      <c r="G32" s="47">
        <v>1</v>
      </c>
      <c r="H32" s="47" t="s">
        <v>88</v>
      </c>
      <c r="I32" s="47">
        <v>1353</v>
      </c>
      <c r="J32" s="48">
        <f t="shared" ref="J32" si="8">D32</f>
        <v>100</v>
      </c>
    </row>
    <row r="33" spans="1:10" ht="21" customHeight="1" x14ac:dyDescent="0.15">
      <c r="A33" s="47">
        <v>47007404</v>
      </c>
      <c r="B33" s="47">
        <v>1</v>
      </c>
      <c r="C33" s="47">
        <v>400</v>
      </c>
      <c r="D33" s="47">
        <v>100</v>
      </c>
      <c r="E33" s="47" t="s">
        <v>257</v>
      </c>
      <c r="F33" s="47" t="s">
        <v>88</v>
      </c>
      <c r="G33" s="47">
        <v>1</v>
      </c>
      <c r="H33" s="47" t="s">
        <v>88</v>
      </c>
      <c r="I33" s="47">
        <v>1363</v>
      </c>
      <c r="J33" s="48">
        <f t="shared" si="0"/>
        <v>100</v>
      </c>
    </row>
    <row r="34" spans="1:10" ht="21" customHeight="1" x14ac:dyDescent="0.15">
      <c r="A34" s="47">
        <v>47007405</v>
      </c>
      <c r="B34" s="47">
        <v>0</v>
      </c>
      <c r="C34" s="47">
        <v>25</v>
      </c>
      <c r="D34" s="47">
        <v>100</v>
      </c>
      <c r="E34" s="47" t="s">
        <v>257</v>
      </c>
      <c r="F34" s="47" t="s">
        <v>88</v>
      </c>
      <c r="G34" s="47" t="s">
        <v>257</v>
      </c>
      <c r="H34" s="47" t="s">
        <v>88</v>
      </c>
      <c r="I34" s="47" t="s">
        <v>88</v>
      </c>
      <c r="J34" s="48">
        <f t="shared" si="0"/>
        <v>100</v>
      </c>
    </row>
    <row r="35" spans="1:10" ht="21" customHeight="1" x14ac:dyDescent="0.15">
      <c r="A35" s="47">
        <v>47007406</v>
      </c>
      <c r="B35" s="47">
        <v>0</v>
      </c>
      <c r="C35" s="47">
        <v>25</v>
      </c>
      <c r="D35" s="47">
        <v>100</v>
      </c>
      <c r="E35" s="47" t="s">
        <v>257</v>
      </c>
      <c r="F35" s="47" t="s">
        <v>88</v>
      </c>
      <c r="G35" s="47" t="s">
        <v>257</v>
      </c>
      <c r="H35" s="47" t="s">
        <v>88</v>
      </c>
      <c r="I35" s="47" t="s">
        <v>88</v>
      </c>
      <c r="J35" s="48">
        <f t="shared" si="0"/>
        <v>100</v>
      </c>
    </row>
    <row r="36" spans="1:10" ht="21" customHeight="1" x14ac:dyDescent="0.15">
      <c r="A36" s="47">
        <v>47007407</v>
      </c>
      <c r="B36" s="47">
        <v>0</v>
      </c>
      <c r="C36" s="47">
        <v>30</v>
      </c>
      <c r="D36" s="47">
        <v>100</v>
      </c>
      <c r="E36" s="47" t="s">
        <v>257</v>
      </c>
      <c r="F36" s="47" t="s">
        <v>88</v>
      </c>
      <c r="G36" s="47" t="s">
        <v>257</v>
      </c>
      <c r="H36" s="47">
        <v>2</v>
      </c>
      <c r="I36" s="47" t="s">
        <v>88</v>
      </c>
      <c r="J36" s="48">
        <f t="shared" si="0"/>
        <v>100</v>
      </c>
    </row>
    <row r="37" spans="1:10" ht="21" customHeight="1" x14ac:dyDescent="0.15">
      <c r="A37" s="47">
        <v>47007408</v>
      </c>
      <c r="B37" s="47">
        <v>0</v>
      </c>
      <c r="C37" s="47">
        <v>30</v>
      </c>
      <c r="D37" s="47">
        <v>100</v>
      </c>
      <c r="E37" s="47" t="s">
        <v>257</v>
      </c>
      <c r="F37" s="47" t="s">
        <v>88</v>
      </c>
      <c r="G37" s="47" t="s">
        <v>257</v>
      </c>
      <c r="H37" s="47">
        <v>2</v>
      </c>
      <c r="I37" s="47" t="s">
        <v>88</v>
      </c>
      <c r="J37" s="48">
        <f t="shared" si="0"/>
        <v>100</v>
      </c>
    </row>
    <row r="38" spans="1:10" ht="21" customHeight="1" x14ac:dyDescent="0.15">
      <c r="A38" s="47">
        <v>47007409</v>
      </c>
      <c r="B38" s="47">
        <v>0</v>
      </c>
      <c r="C38" s="47">
        <v>40</v>
      </c>
      <c r="D38" s="47">
        <v>10</v>
      </c>
      <c r="E38" s="47" t="s">
        <v>257</v>
      </c>
      <c r="F38" s="47" t="s">
        <v>88</v>
      </c>
      <c r="G38" s="47">
        <v>1</v>
      </c>
      <c r="H38" s="47">
        <v>1</v>
      </c>
      <c r="I38" s="47" t="s">
        <v>88</v>
      </c>
      <c r="J38" s="48">
        <f t="shared" si="0"/>
        <v>10</v>
      </c>
    </row>
    <row r="39" spans="1:10" ht="21" customHeight="1" x14ac:dyDescent="0.15">
      <c r="A39" s="47">
        <v>47007501</v>
      </c>
      <c r="B39" s="47">
        <v>1</v>
      </c>
      <c r="C39" s="47" t="s">
        <v>88</v>
      </c>
      <c r="D39" s="47">
        <v>100</v>
      </c>
      <c r="E39" s="47" t="s">
        <v>257</v>
      </c>
      <c r="F39" s="47" t="s">
        <v>88</v>
      </c>
      <c r="G39" s="47">
        <v>1</v>
      </c>
      <c r="H39" s="47" t="s">
        <v>88</v>
      </c>
      <c r="I39" s="47" t="s">
        <v>88</v>
      </c>
      <c r="J39" s="48">
        <f t="shared" si="0"/>
        <v>100</v>
      </c>
    </row>
    <row r="40" spans="1:10" ht="21" customHeight="1" x14ac:dyDescent="0.15">
      <c r="A40" s="47">
        <v>47007502</v>
      </c>
      <c r="B40" s="47">
        <v>0</v>
      </c>
      <c r="C40" s="47">
        <v>50</v>
      </c>
      <c r="D40" s="47">
        <v>100</v>
      </c>
      <c r="E40" s="47" t="s">
        <v>257</v>
      </c>
      <c r="F40" s="47" t="s">
        <v>88</v>
      </c>
      <c r="G40" s="47">
        <v>1</v>
      </c>
      <c r="H40" s="47" t="s">
        <v>88</v>
      </c>
      <c r="I40" s="47" t="s">
        <v>88</v>
      </c>
      <c r="J40" s="48">
        <f t="shared" si="0"/>
        <v>100</v>
      </c>
    </row>
    <row r="41" spans="1:10" ht="21" customHeight="1" x14ac:dyDescent="0.15">
      <c r="A41" s="47">
        <v>47007503</v>
      </c>
      <c r="B41" s="47">
        <v>0</v>
      </c>
      <c r="C41" s="47">
        <v>49</v>
      </c>
      <c r="D41" s="47">
        <v>100</v>
      </c>
      <c r="E41" s="47" t="s">
        <v>257</v>
      </c>
      <c r="F41" s="47" t="s">
        <v>88</v>
      </c>
      <c r="G41" s="47">
        <v>1</v>
      </c>
      <c r="H41" s="47" t="s">
        <v>88</v>
      </c>
      <c r="I41" s="47" t="s">
        <v>88</v>
      </c>
      <c r="J41" s="48">
        <f t="shared" si="0"/>
        <v>100</v>
      </c>
    </row>
    <row r="42" spans="1:10" ht="21" customHeight="1" x14ac:dyDescent="0.15">
      <c r="A42" s="47">
        <v>47007504</v>
      </c>
      <c r="B42" s="47">
        <v>0</v>
      </c>
      <c r="C42" s="47">
        <v>48</v>
      </c>
      <c r="D42" s="47">
        <v>100</v>
      </c>
      <c r="E42" s="47" t="s">
        <v>257</v>
      </c>
      <c r="F42" s="47" t="s">
        <v>88</v>
      </c>
      <c r="G42" s="47">
        <v>1</v>
      </c>
      <c r="H42" s="47" t="s">
        <v>88</v>
      </c>
      <c r="I42" s="47" t="s">
        <v>88</v>
      </c>
      <c r="J42" s="48">
        <f t="shared" si="0"/>
        <v>100</v>
      </c>
    </row>
    <row r="43" spans="1:10" ht="21" customHeight="1" x14ac:dyDescent="0.15">
      <c r="A43" s="47">
        <v>47007505</v>
      </c>
      <c r="B43" s="47">
        <v>0</v>
      </c>
      <c r="C43" s="47">
        <v>47</v>
      </c>
      <c r="D43" s="47">
        <v>100</v>
      </c>
      <c r="E43" s="47" t="s">
        <v>257</v>
      </c>
      <c r="F43" s="47" t="s">
        <v>88</v>
      </c>
      <c r="G43" s="47">
        <v>1</v>
      </c>
      <c r="H43" s="47" t="s">
        <v>88</v>
      </c>
      <c r="I43" s="47" t="s">
        <v>88</v>
      </c>
      <c r="J43" s="48">
        <f t="shared" si="0"/>
        <v>100</v>
      </c>
    </row>
    <row r="44" spans="1:10" ht="21" customHeight="1" x14ac:dyDescent="0.15">
      <c r="A44" s="47">
        <v>47007506</v>
      </c>
      <c r="B44" s="47">
        <v>0</v>
      </c>
      <c r="C44" s="47">
        <v>46</v>
      </c>
      <c r="D44" s="47">
        <v>100</v>
      </c>
      <c r="E44" s="47" t="s">
        <v>257</v>
      </c>
      <c r="F44" s="47" t="s">
        <v>88</v>
      </c>
      <c r="G44" s="47" t="s">
        <v>257</v>
      </c>
      <c r="H44" s="47" t="s">
        <v>88</v>
      </c>
      <c r="I44" s="47" t="s">
        <v>88</v>
      </c>
      <c r="J44" s="48">
        <f t="shared" si="0"/>
        <v>100</v>
      </c>
    </row>
    <row r="45" spans="1:10" ht="21" customHeight="1" x14ac:dyDescent="0.15">
      <c r="A45" s="47">
        <v>47007601</v>
      </c>
      <c r="B45" s="47">
        <v>1</v>
      </c>
      <c r="C45" s="47" t="s">
        <v>88</v>
      </c>
      <c r="D45" s="47">
        <v>100</v>
      </c>
      <c r="E45" s="47" t="s">
        <v>257</v>
      </c>
      <c r="F45" s="47" t="s">
        <v>88</v>
      </c>
      <c r="G45" s="47">
        <v>1</v>
      </c>
      <c r="H45" s="47" t="s">
        <v>88</v>
      </c>
      <c r="I45" s="47" t="s">
        <v>88</v>
      </c>
      <c r="J45" s="48">
        <f t="shared" si="0"/>
        <v>100</v>
      </c>
    </row>
    <row r="46" spans="1:10" ht="21" customHeight="1" x14ac:dyDescent="0.15">
      <c r="A46" s="47">
        <v>47007602</v>
      </c>
      <c r="B46" s="47">
        <v>0</v>
      </c>
      <c r="C46" s="47">
        <v>50</v>
      </c>
      <c r="D46" s="47">
        <v>100</v>
      </c>
      <c r="E46" s="47" t="s">
        <v>257</v>
      </c>
      <c r="F46" s="47" t="s">
        <v>88</v>
      </c>
      <c r="G46" s="47">
        <v>1</v>
      </c>
      <c r="H46" s="47">
        <v>1</v>
      </c>
      <c r="I46" s="47" t="s">
        <v>88</v>
      </c>
      <c r="J46" s="48">
        <f t="shared" si="0"/>
        <v>100</v>
      </c>
    </row>
    <row r="47" spans="1:10" ht="21" customHeight="1" x14ac:dyDescent="0.15">
      <c r="A47" s="47">
        <v>47007603</v>
      </c>
      <c r="B47" s="47">
        <v>0</v>
      </c>
      <c r="C47" s="47">
        <v>49</v>
      </c>
      <c r="D47" s="47">
        <v>100</v>
      </c>
      <c r="E47" s="47" t="s">
        <v>257</v>
      </c>
      <c r="F47" s="47" t="s">
        <v>88</v>
      </c>
      <c r="G47" s="47">
        <v>1</v>
      </c>
      <c r="H47" s="47">
        <v>1</v>
      </c>
      <c r="I47" s="47" t="s">
        <v>88</v>
      </c>
      <c r="J47" s="48">
        <f t="shared" si="0"/>
        <v>100</v>
      </c>
    </row>
    <row r="48" spans="1:10" ht="21" customHeight="1" x14ac:dyDescent="0.15">
      <c r="A48" s="47">
        <v>47007604</v>
      </c>
      <c r="B48" s="47">
        <v>0</v>
      </c>
      <c r="C48" s="47">
        <v>48</v>
      </c>
      <c r="D48" s="47">
        <v>100</v>
      </c>
      <c r="E48" s="47" t="s">
        <v>257</v>
      </c>
      <c r="F48" s="47" t="s">
        <v>88</v>
      </c>
      <c r="G48" s="47">
        <v>1</v>
      </c>
      <c r="H48" s="47">
        <v>1</v>
      </c>
      <c r="I48" s="47" t="s">
        <v>88</v>
      </c>
      <c r="J48" s="48">
        <f t="shared" si="0"/>
        <v>100</v>
      </c>
    </row>
    <row r="49" spans="1:10" ht="21" customHeight="1" x14ac:dyDescent="0.15">
      <c r="A49" s="47">
        <v>47007605</v>
      </c>
      <c r="B49" s="47">
        <v>0</v>
      </c>
      <c r="C49" s="47">
        <v>40</v>
      </c>
      <c r="D49" s="47">
        <v>100</v>
      </c>
      <c r="E49" s="47" t="s">
        <v>257</v>
      </c>
      <c r="F49" s="47" t="s">
        <v>88</v>
      </c>
      <c r="G49" s="47" t="s">
        <v>88</v>
      </c>
      <c r="H49" s="47">
        <v>2</v>
      </c>
      <c r="I49" s="47" t="s">
        <v>88</v>
      </c>
      <c r="J49" s="48">
        <f t="shared" si="0"/>
        <v>100</v>
      </c>
    </row>
    <row r="50" spans="1:10" ht="21" customHeight="1" x14ac:dyDescent="0.15">
      <c r="A50" s="47">
        <v>47007606</v>
      </c>
      <c r="B50" s="47">
        <v>0</v>
      </c>
      <c r="C50" s="47">
        <v>39</v>
      </c>
      <c r="D50" s="47">
        <v>100</v>
      </c>
      <c r="E50" s="47" t="s">
        <v>257</v>
      </c>
      <c r="F50" s="47" t="s">
        <v>88</v>
      </c>
      <c r="G50" s="47" t="s">
        <v>88</v>
      </c>
      <c r="H50" s="47">
        <v>1</v>
      </c>
      <c r="I50" s="47" t="s">
        <v>88</v>
      </c>
      <c r="J50" s="48">
        <f t="shared" si="0"/>
        <v>100</v>
      </c>
    </row>
    <row r="51" spans="1:10" ht="21" customHeight="1" x14ac:dyDescent="0.15">
      <c r="A51" s="47">
        <v>47007607</v>
      </c>
      <c r="B51" s="47">
        <v>0</v>
      </c>
      <c r="C51" s="47" t="s">
        <v>88</v>
      </c>
      <c r="D51" s="47">
        <v>100</v>
      </c>
      <c r="E51" s="47" t="s">
        <v>257</v>
      </c>
      <c r="F51" s="47" t="s">
        <v>88</v>
      </c>
      <c r="G51" s="47">
        <v>0</v>
      </c>
      <c r="H51" s="47" t="s">
        <v>88</v>
      </c>
      <c r="I51" s="47">
        <v>0</v>
      </c>
      <c r="J51" s="48">
        <f t="shared" si="0"/>
        <v>100</v>
      </c>
    </row>
    <row r="52" spans="1:10" ht="21" customHeight="1" x14ac:dyDescent="0.15">
      <c r="A52" s="47">
        <v>47007608</v>
      </c>
      <c r="B52" s="47">
        <v>0</v>
      </c>
      <c r="C52" s="47">
        <v>500</v>
      </c>
      <c r="D52" s="47">
        <v>100</v>
      </c>
      <c r="E52" s="47" t="s">
        <v>257</v>
      </c>
      <c r="F52" s="47" t="s">
        <v>88</v>
      </c>
      <c r="G52" s="47">
        <v>0</v>
      </c>
      <c r="H52" s="47" t="s">
        <v>88</v>
      </c>
      <c r="I52" s="47">
        <v>1352</v>
      </c>
      <c r="J52" s="48">
        <f t="shared" ref="J52:J55" si="9">D52</f>
        <v>100</v>
      </c>
    </row>
    <row r="53" spans="1:10" ht="21" customHeight="1" x14ac:dyDescent="0.15">
      <c r="A53" s="47">
        <v>47007609</v>
      </c>
      <c r="B53" s="47">
        <v>0</v>
      </c>
      <c r="C53" s="47">
        <v>501</v>
      </c>
      <c r="D53" s="47">
        <v>100</v>
      </c>
      <c r="E53" s="47" t="s">
        <v>257</v>
      </c>
      <c r="F53" s="47" t="s">
        <v>88</v>
      </c>
      <c r="G53" s="47">
        <v>0</v>
      </c>
      <c r="H53" s="47" t="s">
        <v>88</v>
      </c>
      <c r="I53" s="47">
        <v>1353</v>
      </c>
      <c r="J53" s="48">
        <f t="shared" si="9"/>
        <v>100</v>
      </c>
    </row>
    <row r="54" spans="1:10" ht="21" customHeight="1" x14ac:dyDescent="0.15">
      <c r="A54" s="47">
        <v>47007610</v>
      </c>
      <c r="B54" s="47">
        <v>0</v>
      </c>
      <c r="C54" s="47">
        <v>400</v>
      </c>
      <c r="D54" s="47">
        <v>100</v>
      </c>
      <c r="E54" s="47" t="s">
        <v>257</v>
      </c>
      <c r="F54" s="47" t="s">
        <v>88</v>
      </c>
      <c r="G54" s="47">
        <v>0</v>
      </c>
      <c r="H54" s="47" t="s">
        <v>88</v>
      </c>
      <c r="I54" s="47">
        <v>1363</v>
      </c>
      <c r="J54" s="48">
        <f t="shared" si="9"/>
        <v>100</v>
      </c>
    </row>
    <row r="55" spans="1:10" ht="21" customHeight="1" x14ac:dyDescent="0.15">
      <c r="A55" s="47">
        <v>47007611</v>
      </c>
      <c r="B55" s="47">
        <v>0</v>
      </c>
      <c r="C55" s="47">
        <v>300</v>
      </c>
      <c r="D55" s="47">
        <v>100</v>
      </c>
      <c r="E55" s="47" t="s">
        <v>257</v>
      </c>
      <c r="F55" s="47" t="s">
        <v>88</v>
      </c>
      <c r="G55" s="47">
        <v>0</v>
      </c>
      <c r="H55" s="47" t="s">
        <v>88</v>
      </c>
      <c r="I55" s="47">
        <v>1354</v>
      </c>
      <c r="J55" s="48">
        <f t="shared" si="9"/>
        <v>100</v>
      </c>
    </row>
    <row r="56" spans="1:10" ht="21" customHeight="1" x14ac:dyDescent="0.15">
      <c r="A56" s="47">
        <v>47007612</v>
      </c>
      <c r="B56" s="47">
        <v>0</v>
      </c>
      <c r="C56" s="47">
        <v>299</v>
      </c>
      <c r="D56" s="47">
        <v>100</v>
      </c>
      <c r="E56" s="47" t="s">
        <v>257</v>
      </c>
      <c r="F56" s="47" t="s">
        <v>88</v>
      </c>
      <c r="G56" s="47">
        <v>0</v>
      </c>
      <c r="H56" s="47" t="s">
        <v>88</v>
      </c>
      <c r="I56" s="47">
        <v>1355</v>
      </c>
      <c r="J56" s="48">
        <f t="shared" ref="J56:J59" si="10">D56</f>
        <v>100</v>
      </c>
    </row>
    <row r="57" spans="1:10" ht="21" customHeight="1" x14ac:dyDescent="0.15">
      <c r="A57" s="47">
        <v>47007613</v>
      </c>
      <c r="B57" s="47">
        <v>0</v>
      </c>
      <c r="C57" s="47">
        <v>298</v>
      </c>
      <c r="D57" s="47">
        <v>100</v>
      </c>
      <c r="E57" s="47" t="s">
        <v>257</v>
      </c>
      <c r="F57" s="47" t="s">
        <v>88</v>
      </c>
      <c r="G57" s="47">
        <v>0</v>
      </c>
      <c r="H57" s="47" t="s">
        <v>88</v>
      </c>
      <c r="I57" s="47">
        <v>1356</v>
      </c>
      <c r="J57" s="48">
        <f t="shared" si="10"/>
        <v>100</v>
      </c>
    </row>
    <row r="58" spans="1:10" ht="21" customHeight="1" x14ac:dyDescent="0.15">
      <c r="A58" s="47">
        <v>47007614</v>
      </c>
      <c r="B58" s="47">
        <v>0</v>
      </c>
      <c r="C58" s="47">
        <v>297</v>
      </c>
      <c r="D58" s="47">
        <v>100</v>
      </c>
      <c r="E58" s="47" t="s">
        <v>257</v>
      </c>
      <c r="F58" s="47" t="s">
        <v>88</v>
      </c>
      <c r="G58" s="47">
        <v>0</v>
      </c>
      <c r="H58" s="47" t="s">
        <v>88</v>
      </c>
      <c r="I58" s="47">
        <v>1357</v>
      </c>
      <c r="J58" s="48">
        <f t="shared" si="10"/>
        <v>100</v>
      </c>
    </row>
    <row r="59" spans="1:10" ht="21" customHeight="1" x14ac:dyDescent="0.15">
      <c r="A59" s="47">
        <v>47007615</v>
      </c>
      <c r="B59" s="47">
        <v>0</v>
      </c>
      <c r="C59" s="47">
        <v>296</v>
      </c>
      <c r="D59" s="47">
        <v>100</v>
      </c>
      <c r="E59" s="47" t="s">
        <v>257</v>
      </c>
      <c r="F59" s="47" t="s">
        <v>88</v>
      </c>
      <c r="G59" s="47">
        <v>0</v>
      </c>
      <c r="H59" s="47" t="s">
        <v>88</v>
      </c>
      <c r="I59" s="47">
        <v>1358</v>
      </c>
      <c r="J59" s="48">
        <f t="shared" si="10"/>
        <v>100</v>
      </c>
    </row>
  </sheetData>
  <autoFilter ref="A1:G1"/>
  <phoneticPr fontId="5"/>
  <conditionalFormatting sqref="K33:K51 K1:K3 K5:K10 K20:K31 K16 K60:K1048576">
    <cfRule type="duplicateValues" dxfId="18" priority="21"/>
  </conditionalFormatting>
  <conditionalFormatting sqref="K4">
    <cfRule type="duplicateValues" dxfId="17" priority="20"/>
  </conditionalFormatting>
  <conditionalFormatting sqref="K32">
    <cfRule type="duplicateValues" dxfId="16" priority="19"/>
  </conditionalFormatting>
  <conditionalFormatting sqref="K17">
    <cfRule type="duplicateValues" dxfId="15" priority="18"/>
  </conditionalFormatting>
  <conditionalFormatting sqref="K18">
    <cfRule type="duplicateValues" dxfId="14" priority="17"/>
  </conditionalFormatting>
  <conditionalFormatting sqref="K19">
    <cfRule type="duplicateValues" dxfId="13" priority="16"/>
  </conditionalFormatting>
  <conditionalFormatting sqref="K11">
    <cfRule type="duplicateValues" dxfId="12" priority="15"/>
  </conditionalFormatting>
  <conditionalFormatting sqref="K12">
    <cfRule type="duplicateValues" dxfId="11" priority="14"/>
  </conditionalFormatting>
  <conditionalFormatting sqref="K13">
    <cfRule type="duplicateValues" dxfId="10" priority="13"/>
  </conditionalFormatting>
  <conditionalFormatting sqref="K14">
    <cfRule type="duplicateValues" dxfId="9" priority="12"/>
  </conditionalFormatting>
  <conditionalFormatting sqref="K15">
    <cfRule type="duplicateValues" dxfId="8" priority="11"/>
  </conditionalFormatting>
  <conditionalFormatting sqref="K52">
    <cfRule type="duplicateValues" dxfId="7" priority="8"/>
  </conditionalFormatting>
  <conditionalFormatting sqref="K53">
    <cfRule type="duplicateValues" dxfId="6" priority="7"/>
  </conditionalFormatting>
  <conditionalFormatting sqref="K54">
    <cfRule type="duplicateValues" dxfId="5" priority="6"/>
  </conditionalFormatting>
  <conditionalFormatting sqref="K55">
    <cfRule type="duplicateValues" dxfId="4" priority="5"/>
  </conditionalFormatting>
  <conditionalFormatting sqref="K56">
    <cfRule type="duplicateValues" dxfId="3" priority="4"/>
  </conditionalFormatting>
  <conditionalFormatting sqref="K57">
    <cfRule type="duplicateValues" dxfId="2" priority="3"/>
  </conditionalFormatting>
  <conditionalFormatting sqref="K58">
    <cfRule type="duplicateValues" dxfId="1" priority="2"/>
  </conditionalFormatting>
  <conditionalFormatting sqref="K5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6"/>
  <sheetViews>
    <sheetView workbookViewId="0">
      <selection activeCell="L24" sqref="L24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150</v>
      </c>
      <c r="B1" s="65" t="s">
        <v>151</v>
      </c>
      <c r="C1" s="66" t="s">
        <v>152</v>
      </c>
      <c r="D1" s="72" t="s">
        <v>153</v>
      </c>
      <c r="E1" s="67" t="s">
        <v>154</v>
      </c>
      <c r="F1" s="65" t="s">
        <v>155</v>
      </c>
      <c r="G1" s="65" t="s">
        <v>156</v>
      </c>
      <c r="H1" s="65" t="s">
        <v>157</v>
      </c>
      <c r="I1" s="65" t="s">
        <v>158</v>
      </c>
      <c r="J1" s="65" t="s">
        <v>159</v>
      </c>
      <c r="K1" s="65" t="s">
        <v>160</v>
      </c>
      <c r="L1" s="65" t="s">
        <v>161</v>
      </c>
      <c r="M1" s="65" t="s">
        <v>162</v>
      </c>
      <c r="N1" s="65" t="s">
        <v>163</v>
      </c>
      <c r="O1" s="65" t="s">
        <v>164</v>
      </c>
      <c r="P1" s="65" t="s">
        <v>165</v>
      </c>
      <c r="Q1" s="65" t="s">
        <v>166</v>
      </c>
      <c r="R1" s="65" t="s">
        <v>167</v>
      </c>
    </row>
    <row r="2" spans="1:18" x14ac:dyDescent="0.15">
      <c r="A2" s="57">
        <v>47007</v>
      </c>
      <c r="B2" s="57">
        <v>1</v>
      </c>
      <c r="C2" s="71" t="str">
        <f>A2&amp; "_"&amp;B2</f>
        <v>47007_1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168</v>
      </c>
      <c r="G2" s="57">
        <v>30214</v>
      </c>
      <c r="H2" s="57" t="s">
        <v>169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150</v>
      </c>
      <c r="Q2" s="57" t="s">
        <v>170</v>
      </c>
      <c r="R2" s="57" t="s">
        <v>171</v>
      </c>
    </row>
    <row r="3" spans="1:18" x14ac:dyDescent="0.15">
      <c r="A3" s="57">
        <v>47007</v>
      </c>
      <c r="B3" s="57">
        <v>1</v>
      </c>
      <c r="C3" s="71" t="str">
        <f t="shared" ref="C3:C12" si="0">A3&amp; "_"&amp;B3</f>
        <v>47007_1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359</v>
      </c>
      <c r="G3" s="57">
        <v>75</v>
      </c>
      <c r="H3" s="57" t="s">
        <v>88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150</v>
      </c>
      <c r="Q3" s="57" t="s">
        <v>170</v>
      </c>
      <c r="R3" s="57" t="s">
        <v>171</v>
      </c>
    </row>
    <row r="4" spans="1:18" x14ac:dyDescent="0.15">
      <c r="A4" s="57">
        <v>47007</v>
      </c>
      <c r="B4" s="57">
        <v>1</v>
      </c>
      <c r="C4" s="71" t="str">
        <f t="shared" si="0"/>
        <v>47007_1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360</v>
      </c>
      <c r="G4" s="57">
        <v>333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180</v>
      </c>
      <c r="Q4" s="57" t="s">
        <v>170</v>
      </c>
      <c r="R4" s="57" t="s">
        <v>171</v>
      </c>
    </row>
    <row r="5" spans="1:18" x14ac:dyDescent="0.15">
      <c r="A5" s="57">
        <v>47007</v>
      </c>
      <c r="B5" s="57">
        <v>1</v>
      </c>
      <c r="C5" s="71" t="str">
        <f t="shared" si="0"/>
        <v>47007_1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360</v>
      </c>
      <c r="G5" s="57">
        <v>334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200</v>
      </c>
      <c r="Q5" s="57" t="s">
        <v>170</v>
      </c>
      <c r="R5" s="57" t="s">
        <v>171</v>
      </c>
    </row>
    <row r="6" spans="1:18" x14ac:dyDescent="0.15">
      <c r="A6" s="57">
        <v>47007</v>
      </c>
      <c r="B6" s="57">
        <v>1</v>
      </c>
      <c r="C6" s="71" t="str">
        <f t="shared" si="0"/>
        <v>47007_1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360</v>
      </c>
      <c r="G6" s="57">
        <v>121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70</v>
      </c>
      <c r="Q6" s="57" t="s">
        <v>170</v>
      </c>
      <c r="R6" s="57" t="s">
        <v>171</v>
      </c>
    </row>
    <row r="7" spans="1:18" x14ac:dyDescent="0.15">
      <c r="A7" s="57">
        <v>47007</v>
      </c>
      <c r="B7" s="57">
        <v>1</v>
      </c>
      <c r="C7" s="71" t="str">
        <f t="shared" si="0"/>
        <v>47007_1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360</v>
      </c>
      <c r="G7" s="57">
        <v>122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70</v>
      </c>
      <c r="Q7" s="57" t="s">
        <v>170</v>
      </c>
      <c r="R7" s="57" t="s">
        <v>171</v>
      </c>
    </row>
    <row r="8" spans="1:18" x14ac:dyDescent="0.15">
      <c r="A8" s="57">
        <v>47007</v>
      </c>
      <c r="B8" s="57">
        <v>1</v>
      </c>
      <c r="C8" s="71" t="str">
        <f t="shared" si="0"/>
        <v>47007_1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360</v>
      </c>
      <c r="G8" s="57">
        <v>123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70</v>
      </c>
      <c r="Q8" s="57" t="s">
        <v>170</v>
      </c>
      <c r="R8" s="57" t="s">
        <v>171</v>
      </c>
    </row>
    <row r="9" spans="1:18" x14ac:dyDescent="0.15">
      <c r="A9" s="57">
        <v>47007</v>
      </c>
      <c r="B9" s="57">
        <v>1</v>
      </c>
      <c r="C9" s="71" t="str">
        <f t="shared" ref="C9:C11" si="1">A9&amp; "_"&amp;B9</f>
        <v>47007_1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360</v>
      </c>
      <c r="G9" s="57">
        <v>607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30</v>
      </c>
      <c r="Q9" s="57" t="s">
        <v>170</v>
      </c>
      <c r="R9" s="57" t="s">
        <v>171</v>
      </c>
    </row>
    <row r="10" spans="1:18" x14ac:dyDescent="0.15">
      <c r="A10" s="57">
        <v>47007</v>
      </c>
      <c r="B10" s="57">
        <v>1</v>
      </c>
      <c r="C10" s="71" t="str">
        <f t="shared" si="1"/>
        <v>47007_1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360</v>
      </c>
      <c r="G10" s="57">
        <v>608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30</v>
      </c>
      <c r="Q10" s="57" t="s">
        <v>170</v>
      </c>
      <c r="R10" s="57" t="s">
        <v>171</v>
      </c>
    </row>
    <row r="11" spans="1:18" x14ac:dyDescent="0.15">
      <c r="A11" s="57">
        <v>47007</v>
      </c>
      <c r="B11" s="57">
        <v>1</v>
      </c>
      <c r="C11" s="71" t="str">
        <f t="shared" si="1"/>
        <v>47007_1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57" t="s">
        <v>360</v>
      </c>
      <c r="G11" s="57">
        <v>609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30</v>
      </c>
      <c r="Q11" s="57" t="s">
        <v>170</v>
      </c>
      <c r="R11" s="57" t="s">
        <v>171</v>
      </c>
    </row>
    <row r="12" spans="1:18" ht="16" thickBot="1" x14ac:dyDescent="0.2">
      <c r="A12" s="142">
        <v>47007</v>
      </c>
      <c r="B12" s="142">
        <v>1</v>
      </c>
      <c r="C12" s="143" t="str">
        <f t="shared" si="0"/>
        <v>47007_1</v>
      </c>
      <c r="D12" s="144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42">
        <v>11</v>
      </c>
      <c r="F12" s="142" t="s">
        <v>360</v>
      </c>
      <c r="G12" s="142">
        <v>125</v>
      </c>
      <c r="H12" s="142">
        <v>1</v>
      </c>
      <c r="I12" s="142">
        <v>1</v>
      </c>
      <c r="J12" s="142">
        <v>1</v>
      </c>
      <c r="K12" s="142">
        <v>0</v>
      </c>
      <c r="L12" s="142">
        <v>0</v>
      </c>
      <c r="M12" s="142">
        <v>0</v>
      </c>
      <c r="N12" s="142">
        <v>0</v>
      </c>
      <c r="O12" s="142">
        <v>1</v>
      </c>
      <c r="P12" s="142">
        <v>20</v>
      </c>
      <c r="Q12" s="142" t="s">
        <v>170</v>
      </c>
      <c r="R12" s="142" t="s">
        <v>171</v>
      </c>
    </row>
    <row r="13" spans="1:18" x14ac:dyDescent="0.15">
      <c r="A13" s="145">
        <v>47007</v>
      </c>
      <c r="B13" s="145">
        <v>2</v>
      </c>
      <c r="C13" s="146" t="str">
        <f>A13&amp; "_"&amp;B13</f>
        <v>47007_2</v>
      </c>
      <c r="D13" s="147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145">
        <v>1</v>
      </c>
      <c r="F13" s="145" t="s">
        <v>168</v>
      </c>
      <c r="G13" s="145">
        <v>60214</v>
      </c>
      <c r="H13" s="145" t="s">
        <v>88</v>
      </c>
      <c r="I13" s="145">
        <v>1</v>
      </c>
      <c r="J13" s="145">
        <v>1</v>
      </c>
      <c r="K13" s="145">
        <v>0</v>
      </c>
      <c r="L13" s="145">
        <v>0</v>
      </c>
      <c r="M13" s="145">
        <v>0</v>
      </c>
      <c r="N13" s="145">
        <v>0</v>
      </c>
      <c r="O13" s="145">
        <v>1</v>
      </c>
      <c r="P13" s="145">
        <v>100</v>
      </c>
      <c r="Q13" s="145" t="s">
        <v>170</v>
      </c>
      <c r="R13" s="145" t="s">
        <v>171</v>
      </c>
    </row>
    <row r="14" spans="1:18" x14ac:dyDescent="0.15">
      <c r="A14" s="57">
        <v>47007</v>
      </c>
      <c r="B14" s="57">
        <v>2</v>
      </c>
      <c r="C14" s="71" t="str">
        <f t="shared" ref="C14:C24" si="2">A14&amp; "_"&amp;B14</f>
        <v>47007_2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2</v>
      </c>
      <c r="F14" s="57" t="s">
        <v>359</v>
      </c>
      <c r="G14" s="57">
        <v>150</v>
      </c>
      <c r="H14" s="57" t="s">
        <v>88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20</v>
      </c>
      <c r="Q14" s="57" t="s">
        <v>170</v>
      </c>
      <c r="R14" s="57" t="s">
        <v>171</v>
      </c>
    </row>
    <row r="15" spans="1:18" x14ac:dyDescent="0.15">
      <c r="A15" s="57">
        <v>47007</v>
      </c>
      <c r="B15" s="57">
        <v>2</v>
      </c>
      <c r="C15" s="71" t="str">
        <f t="shared" si="2"/>
        <v>47007_2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3</v>
      </c>
      <c r="F15" s="57" t="s">
        <v>360</v>
      </c>
      <c r="G15" s="141">
        <v>1351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170</v>
      </c>
      <c r="Q15" s="57" t="s">
        <v>170</v>
      </c>
      <c r="R15" s="57" t="s">
        <v>171</v>
      </c>
    </row>
    <row r="16" spans="1:18" x14ac:dyDescent="0.15">
      <c r="A16" s="57">
        <v>47007</v>
      </c>
      <c r="B16" s="57">
        <v>2</v>
      </c>
      <c r="C16" s="71" t="str">
        <f t="shared" si="2"/>
        <v>47007_2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4</v>
      </c>
      <c r="F16" s="57" t="s">
        <v>360</v>
      </c>
      <c r="G16" s="57">
        <v>334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160</v>
      </c>
      <c r="Q16" s="57" t="s">
        <v>170</v>
      </c>
      <c r="R16" s="57" t="s">
        <v>171</v>
      </c>
    </row>
    <row r="17" spans="1:18" x14ac:dyDescent="0.15">
      <c r="A17" s="57">
        <v>47007</v>
      </c>
      <c r="B17" s="57">
        <v>2</v>
      </c>
      <c r="C17" s="71" t="str">
        <f t="shared" si="2"/>
        <v>47007_2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5</v>
      </c>
      <c r="F17" s="57" t="s">
        <v>360</v>
      </c>
      <c r="G17" s="57">
        <v>335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40</v>
      </c>
      <c r="Q17" s="57" t="s">
        <v>170</v>
      </c>
      <c r="R17" s="57" t="s">
        <v>171</v>
      </c>
    </row>
    <row r="18" spans="1:18" x14ac:dyDescent="0.15">
      <c r="A18" s="57">
        <v>47007</v>
      </c>
      <c r="B18" s="57">
        <v>2</v>
      </c>
      <c r="C18" s="71" t="str">
        <f t="shared" si="2"/>
        <v>47007_2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7">
        <v>6</v>
      </c>
      <c r="F18" s="57" t="s">
        <v>360</v>
      </c>
      <c r="G18" s="57">
        <v>607</v>
      </c>
      <c r="H18" s="57">
        <v>1</v>
      </c>
      <c r="I18" s="57">
        <v>1</v>
      </c>
      <c r="J18" s="57">
        <v>1</v>
      </c>
      <c r="K18" s="57">
        <v>0</v>
      </c>
      <c r="L18" s="57">
        <v>0</v>
      </c>
      <c r="M18" s="57">
        <v>0</v>
      </c>
      <c r="N18" s="57">
        <v>0</v>
      </c>
      <c r="O18" s="57">
        <v>1</v>
      </c>
      <c r="P18" s="57">
        <v>110</v>
      </c>
      <c r="Q18" s="57" t="s">
        <v>170</v>
      </c>
      <c r="R18" s="57" t="s">
        <v>171</v>
      </c>
    </row>
    <row r="19" spans="1:18" x14ac:dyDescent="0.15">
      <c r="A19" s="57">
        <v>47007</v>
      </c>
      <c r="B19" s="57">
        <v>2</v>
      </c>
      <c r="C19" s="71" t="str">
        <f t="shared" si="2"/>
        <v>47007_2</v>
      </c>
      <c r="D19" s="11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57">
        <v>7</v>
      </c>
      <c r="F19" s="57" t="s">
        <v>360</v>
      </c>
      <c r="G19" s="57">
        <v>608</v>
      </c>
      <c r="H19" s="57">
        <v>1</v>
      </c>
      <c r="I19" s="57">
        <v>1</v>
      </c>
      <c r="J19" s="57">
        <v>1</v>
      </c>
      <c r="K19" s="57">
        <v>0</v>
      </c>
      <c r="L19" s="57">
        <v>0</v>
      </c>
      <c r="M19" s="57">
        <v>0</v>
      </c>
      <c r="N19" s="57">
        <v>0</v>
      </c>
      <c r="O19" s="57">
        <v>1</v>
      </c>
      <c r="P19" s="57">
        <v>110</v>
      </c>
      <c r="Q19" s="57" t="s">
        <v>170</v>
      </c>
      <c r="R19" s="57" t="s">
        <v>171</v>
      </c>
    </row>
    <row r="20" spans="1:18" x14ac:dyDescent="0.15">
      <c r="A20" s="57">
        <v>47007</v>
      </c>
      <c r="B20" s="57">
        <v>2</v>
      </c>
      <c r="C20" s="71" t="str">
        <f t="shared" si="2"/>
        <v>47007_2</v>
      </c>
      <c r="D20" s="11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57">
        <v>8</v>
      </c>
      <c r="F20" s="57" t="s">
        <v>360</v>
      </c>
      <c r="G20" s="57">
        <v>609</v>
      </c>
      <c r="H20" s="57">
        <v>1</v>
      </c>
      <c r="I20" s="57">
        <v>1</v>
      </c>
      <c r="J20" s="57">
        <v>1</v>
      </c>
      <c r="K20" s="57">
        <v>0</v>
      </c>
      <c r="L20" s="57">
        <v>0</v>
      </c>
      <c r="M20" s="57">
        <v>0</v>
      </c>
      <c r="N20" s="57">
        <v>0</v>
      </c>
      <c r="O20" s="57">
        <v>1</v>
      </c>
      <c r="P20" s="57">
        <v>110</v>
      </c>
      <c r="Q20" s="57" t="s">
        <v>170</v>
      </c>
      <c r="R20" s="57" t="s">
        <v>171</v>
      </c>
    </row>
    <row r="21" spans="1:18" x14ac:dyDescent="0.15">
      <c r="A21" s="57">
        <v>47007</v>
      </c>
      <c r="B21" s="57">
        <v>2</v>
      </c>
      <c r="C21" s="71" t="str">
        <f t="shared" ref="C21:C23" si="3">A21&amp; "_"&amp;B21</f>
        <v>47007_2</v>
      </c>
      <c r="D21" s="11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57">
        <v>9</v>
      </c>
      <c r="F21" s="57" t="s">
        <v>360</v>
      </c>
      <c r="G21" s="57">
        <v>611</v>
      </c>
      <c r="H21" s="57">
        <v>1</v>
      </c>
      <c r="I21" s="57">
        <v>1</v>
      </c>
      <c r="J21" s="57">
        <v>1</v>
      </c>
      <c r="K21" s="57">
        <v>0</v>
      </c>
      <c r="L21" s="57">
        <v>0</v>
      </c>
      <c r="M21" s="57">
        <v>0</v>
      </c>
      <c r="N21" s="57">
        <v>0</v>
      </c>
      <c r="O21" s="57">
        <v>1</v>
      </c>
      <c r="P21" s="57">
        <v>20</v>
      </c>
      <c r="Q21" s="57" t="s">
        <v>170</v>
      </c>
      <c r="R21" s="57" t="s">
        <v>171</v>
      </c>
    </row>
    <row r="22" spans="1:18" x14ac:dyDescent="0.15">
      <c r="A22" s="57">
        <v>47007</v>
      </c>
      <c r="B22" s="57">
        <v>2</v>
      </c>
      <c r="C22" s="71" t="str">
        <f t="shared" si="3"/>
        <v>47007_2</v>
      </c>
      <c r="D22" s="11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57">
        <v>10</v>
      </c>
      <c r="F22" s="57" t="s">
        <v>360</v>
      </c>
      <c r="G22" s="57">
        <v>612</v>
      </c>
      <c r="H22" s="57">
        <v>1</v>
      </c>
      <c r="I22" s="57">
        <v>1</v>
      </c>
      <c r="J22" s="57">
        <v>1</v>
      </c>
      <c r="K22" s="57">
        <v>0</v>
      </c>
      <c r="L22" s="57">
        <v>0</v>
      </c>
      <c r="M22" s="57">
        <v>0</v>
      </c>
      <c r="N22" s="57">
        <v>0</v>
      </c>
      <c r="O22" s="57">
        <v>1</v>
      </c>
      <c r="P22" s="57">
        <v>20</v>
      </c>
      <c r="Q22" s="57" t="s">
        <v>170</v>
      </c>
      <c r="R22" s="57" t="s">
        <v>171</v>
      </c>
    </row>
    <row r="23" spans="1:18" x14ac:dyDescent="0.15">
      <c r="A23" s="57">
        <v>47007</v>
      </c>
      <c r="B23" s="57">
        <v>2</v>
      </c>
      <c r="C23" s="71" t="str">
        <f t="shared" si="3"/>
        <v>47007_2</v>
      </c>
      <c r="D23" s="11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57">
        <v>11</v>
      </c>
      <c r="F23" s="57" t="s">
        <v>360</v>
      </c>
      <c r="G23" s="57">
        <v>613</v>
      </c>
      <c r="H23" s="57">
        <v>1</v>
      </c>
      <c r="I23" s="57">
        <v>1</v>
      </c>
      <c r="J23" s="57">
        <v>1</v>
      </c>
      <c r="K23" s="57">
        <v>0</v>
      </c>
      <c r="L23" s="57">
        <v>0</v>
      </c>
      <c r="M23" s="57">
        <v>0</v>
      </c>
      <c r="N23" s="57">
        <v>0</v>
      </c>
      <c r="O23" s="57">
        <v>1</v>
      </c>
      <c r="P23" s="57">
        <v>20</v>
      </c>
      <c r="Q23" s="57" t="s">
        <v>170</v>
      </c>
      <c r="R23" s="57" t="s">
        <v>171</v>
      </c>
    </row>
    <row r="24" spans="1:18" x14ac:dyDescent="0.15">
      <c r="A24" s="57">
        <v>47007</v>
      </c>
      <c r="B24" s="57">
        <v>2</v>
      </c>
      <c r="C24" s="71" t="str">
        <f t="shared" si="2"/>
        <v>47007_2</v>
      </c>
      <c r="D24" s="11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7">
        <v>12</v>
      </c>
      <c r="F24" s="57" t="s">
        <v>360</v>
      </c>
      <c r="G24" s="57">
        <v>125</v>
      </c>
      <c r="H24" s="57">
        <v>1</v>
      </c>
      <c r="I24" s="57">
        <v>1</v>
      </c>
      <c r="J24" s="57">
        <v>1</v>
      </c>
      <c r="K24" s="57">
        <v>0</v>
      </c>
      <c r="L24" s="57">
        <v>0</v>
      </c>
      <c r="M24" s="57">
        <v>0</v>
      </c>
      <c r="N24" s="57">
        <v>0</v>
      </c>
      <c r="O24" s="57">
        <v>1</v>
      </c>
      <c r="P24" s="57">
        <v>40</v>
      </c>
      <c r="Q24" s="57" t="s">
        <v>170</v>
      </c>
      <c r="R24" s="57" t="s">
        <v>171</v>
      </c>
    </row>
    <row r="25" spans="1:18" x14ac:dyDescent="0.15">
      <c r="A25" s="57">
        <v>47007</v>
      </c>
      <c r="B25" s="57">
        <v>2</v>
      </c>
      <c r="C25" s="71" t="str">
        <f t="shared" ref="C25:C26" si="4">A25&amp; "_"&amp;B25</f>
        <v>47007_2</v>
      </c>
      <c r="D25" s="11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7">
        <v>13</v>
      </c>
      <c r="F25" s="57" t="s">
        <v>360</v>
      </c>
      <c r="G25" s="57">
        <v>348</v>
      </c>
      <c r="H25" s="57">
        <v>1</v>
      </c>
      <c r="I25" s="57">
        <v>1</v>
      </c>
      <c r="J25" s="57">
        <v>1</v>
      </c>
      <c r="K25" s="57">
        <v>0</v>
      </c>
      <c r="L25" s="57">
        <v>0</v>
      </c>
      <c r="M25" s="57">
        <v>0</v>
      </c>
      <c r="N25" s="57">
        <v>0</v>
      </c>
      <c r="O25" s="57">
        <v>1</v>
      </c>
      <c r="P25" s="57">
        <v>40</v>
      </c>
      <c r="Q25" s="57" t="s">
        <v>170</v>
      </c>
      <c r="R25" s="57" t="s">
        <v>171</v>
      </c>
    </row>
    <row r="26" spans="1:18" x14ac:dyDescent="0.15">
      <c r="A26" s="57">
        <v>47007</v>
      </c>
      <c r="B26" s="57">
        <v>2</v>
      </c>
      <c r="C26" s="71" t="str">
        <f t="shared" si="4"/>
        <v>47007_2</v>
      </c>
      <c r="D26" s="11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7">
        <v>14</v>
      </c>
      <c r="F26" s="57" t="s">
        <v>360</v>
      </c>
      <c r="G26" s="57">
        <v>348</v>
      </c>
      <c r="H26" s="57">
        <v>1</v>
      </c>
      <c r="I26" s="57">
        <v>10</v>
      </c>
      <c r="J26" s="57">
        <v>1</v>
      </c>
      <c r="K26" s="57">
        <v>0</v>
      </c>
      <c r="L26" s="57">
        <v>0</v>
      </c>
      <c r="M26" s="57">
        <v>0</v>
      </c>
      <c r="N26" s="57">
        <v>0</v>
      </c>
      <c r="O26" s="57">
        <v>1</v>
      </c>
      <c r="P26" s="57">
        <v>40</v>
      </c>
      <c r="Q26" s="57" t="s">
        <v>170</v>
      </c>
      <c r="R26" s="57" t="s">
        <v>171</v>
      </c>
    </row>
  </sheetData>
  <phoneticPr fontId="5"/>
  <dataValidations count="1">
    <dataValidation type="list" allowBlank="1" showInputMessage="1" showErrorMessage="1" sqref="F2:F26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B45" sqref="B45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189</v>
      </c>
      <c r="B1" s="73" t="s">
        <v>190</v>
      </c>
      <c r="C1" s="77" t="s">
        <v>191</v>
      </c>
      <c r="D1" s="77" t="s">
        <v>33</v>
      </c>
      <c r="E1" s="73" t="s">
        <v>192</v>
      </c>
      <c r="F1" s="77" t="s">
        <v>193</v>
      </c>
      <c r="G1" s="77" t="s">
        <v>33</v>
      </c>
      <c r="H1" s="73" t="s">
        <v>194</v>
      </c>
      <c r="I1" s="91" t="s">
        <v>196</v>
      </c>
      <c r="J1" s="79" t="s">
        <v>126</v>
      </c>
      <c r="K1" s="78" t="s">
        <v>187</v>
      </c>
      <c r="L1" s="92" t="s">
        <v>186</v>
      </c>
      <c r="M1" s="80" t="s">
        <v>197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36"/>
  <sheetViews>
    <sheetView showGridLines="0" workbookViewId="0">
      <pane ySplit="1" topLeftCell="A2" activePane="bottomLeft" state="frozen"/>
      <selection pane="bottomLeft" activeCell="M8" sqref="M8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6" t="s">
        <v>189</v>
      </c>
      <c r="B1" s="73" t="s">
        <v>150</v>
      </c>
      <c r="C1" s="77" t="s">
        <v>191</v>
      </c>
      <c r="D1" s="77" t="s">
        <v>33</v>
      </c>
      <c r="E1" s="73" t="s">
        <v>192</v>
      </c>
      <c r="F1" s="77" t="s">
        <v>18</v>
      </c>
      <c r="G1" s="77" t="s">
        <v>33</v>
      </c>
      <c r="H1" s="73" t="s">
        <v>194</v>
      </c>
      <c r="I1" s="89" t="s">
        <v>195</v>
      </c>
      <c r="J1" s="91" t="s">
        <v>196</v>
      </c>
      <c r="K1" s="79" t="s">
        <v>126</v>
      </c>
      <c r="L1" s="78" t="s">
        <v>187</v>
      </c>
      <c r="M1" s="92" t="s">
        <v>186</v>
      </c>
      <c r="N1" s="80" t="s">
        <v>197</v>
      </c>
    </row>
    <row r="2" spans="1:15" ht="56" x14ac:dyDescent="0.15">
      <c r="A2" s="81" t="s">
        <v>198</v>
      </c>
      <c r="B2" s="82">
        <f>floors!$C$5</f>
        <v>47007</v>
      </c>
      <c r="C2" s="83" t="str">
        <f ca="1">VLOOKUP($B2,OFFSET([2]quests!$A$1,0,0,COUNTA([2]quests!$A:$A),MATCH(C$1,[2]quests!$1:$1,0)-MATCH($B$1,[2]quests!$1:$1,0)+1),MATCH(C$1,[2]quests!$1:$1,0)-MATCH($B$1,[2]quests!$1:$1,0)+1,FALSE)</f>
        <v>ツンデレ少女の恋心</v>
      </c>
      <c r="D2" s="83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【上級】ツンデレ少女の恋心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85">
        <v>0</v>
      </c>
      <c r="I2" s="90">
        <f t="shared" ref="I2:I15" si="0">ROW()-1</f>
        <v>1</v>
      </c>
      <c r="J2" s="86" t="str">
        <f t="shared" ref="J2:J16" si="1">B2&amp;TEXT(I2,"00")</f>
        <v>4700701</v>
      </c>
      <c r="K2" s="84" t="s">
        <v>127</v>
      </c>
      <c r="L2" s="87" t="s">
        <v>256</v>
      </c>
      <c r="M2" s="138" t="s">
        <v>274</v>
      </c>
      <c r="N2" s="57" t="s">
        <v>200</v>
      </c>
      <c r="O2">
        <f>LEN(M2)</f>
        <v>52</v>
      </c>
    </row>
    <row r="3" spans="1:15" ht="56" x14ac:dyDescent="0.15">
      <c r="A3" s="81" t="s">
        <v>198</v>
      </c>
      <c r="B3" s="82">
        <f>floors!$C$5</f>
        <v>47007</v>
      </c>
      <c r="C3" s="83" t="str">
        <f ca="1">VLOOKUP($B3,OFFSET([2]quests!$A$1,0,0,COUNTA([2]quests!$A:$A),MATCH(C$1,[2]quests!$1:$1,0)-MATCH($B$1,[2]quests!$1:$1,0)+1),MATCH(C$1,[2]quests!$1:$1,0)-MATCH($B$1,[2]quests!$1:$1,0)+1,FALSE)</f>
        <v>ツンデレ少女の恋心</v>
      </c>
      <c r="D3" s="83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【上級】ツンデレ少女の恋心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85">
        <v>1</v>
      </c>
      <c r="I3" s="90">
        <f t="shared" si="0"/>
        <v>2</v>
      </c>
      <c r="J3" s="86" t="str">
        <f t="shared" si="1"/>
        <v>4700702</v>
      </c>
      <c r="K3" s="84" t="s">
        <v>127</v>
      </c>
      <c r="L3" s="87" t="s">
        <v>256</v>
      </c>
      <c r="M3" s="138" t="s">
        <v>273</v>
      </c>
      <c r="N3" s="57" t="s">
        <v>200</v>
      </c>
      <c r="O3">
        <f t="shared" ref="O3:O30" si="2">LEN(M3)</f>
        <v>54</v>
      </c>
    </row>
    <row r="4" spans="1:15" ht="56" x14ac:dyDescent="0.15">
      <c r="A4" s="81" t="s">
        <v>198</v>
      </c>
      <c r="B4" s="82">
        <f>floors!$C$5</f>
        <v>47007</v>
      </c>
      <c r="C4" s="83" t="str">
        <f ca="1">VLOOKUP($B4,OFFSET([2]quests!$A$1,0,0,COUNTA([2]quests!$A:$A),MATCH(C$1,[2]quests!$1:$1,0)-MATCH($B$1,[2]quests!$1:$1,0)+1),MATCH(C$1,[2]quests!$1:$1,0)-MATCH($B$1,[2]quests!$1:$1,0)+1,FALSE)</f>
        <v>ツンデレ少女の恋心</v>
      </c>
      <c r="D4" s="83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【上級】ツンデレ少女の恋心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季節イベント</v>
      </c>
      <c r="H4" s="85">
        <v>1</v>
      </c>
      <c r="I4" s="90">
        <f t="shared" si="0"/>
        <v>3</v>
      </c>
      <c r="J4" s="86" t="str">
        <f t="shared" si="1"/>
        <v>4700703</v>
      </c>
      <c r="K4" s="84" t="s">
        <v>127</v>
      </c>
      <c r="L4" s="87" t="s">
        <v>256</v>
      </c>
      <c r="M4" s="138" t="s">
        <v>272</v>
      </c>
      <c r="N4" s="57" t="s">
        <v>200</v>
      </c>
      <c r="O4">
        <f t="shared" si="2"/>
        <v>55</v>
      </c>
    </row>
    <row r="5" spans="1:15" ht="70" x14ac:dyDescent="0.15">
      <c r="A5" s="81" t="s">
        <v>198</v>
      </c>
      <c r="B5" s="82">
        <f>floors!$C$5</f>
        <v>47007</v>
      </c>
      <c r="C5" s="83" t="str">
        <f ca="1">VLOOKUP($B5,OFFSET([2]quests!$A$1,0,0,COUNTA([2]quests!$A:$A),MATCH(C$1,[2]quests!$1:$1,0)-MATCH($B$1,[2]quests!$1:$1,0)+1),MATCH(C$1,[2]quests!$1:$1,0)-MATCH($B$1,[2]quests!$1:$1,0)+1,FALSE)</f>
        <v>ツンデレ少女の恋心</v>
      </c>
      <c r="D5" s="83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【上級】ツンデレ少女の恋心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季節イベント</v>
      </c>
      <c r="H5" s="85">
        <v>2</v>
      </c>
      <c r="I5" s="90">
        <f t="shared" si="0"/>
        <v>4</v>
      </c>
      <c r="J5" s="86" t="str">
        <f t="shared" si="1"/>
        <v>4700704</v>
      </c>
      <c r="K5" s="84" t="s">
        <v>127</v>
      </c>
      <c r="L5" s="87" t="s">
        <v>256</v>
      </c>
      <c r="M5" s="138" t="s">
        <v>275</v>
      </c>
      <c r="N5" s="57" t="s">
        <v>200</v>
      </c>
      <c r="O5">
        <f t="shared" si="2"/>
        <v>60</v>
      </c>
    </row>
    <row r="6" spans="1:15" ht="70" x14ac:dyDescent="0.15">
      <c r="A6" s="81" t="s">
        <v>198</v>
      </c>
      <c r="B6" s="82">
        <f>floors!$C$5</f>
        <v>47007</v>
      </c>
      <c r="C6" s="83" t="str">
        <f ca="1">VLOOKUP($B6,OFFSET([2]quests!$A$1,0,0,COUNTA([2]quests!$A:$A),MATCH(C$1,[2]quests!$1:$1,0)-MATCH($B$1,[2]quests!$1:$1,0)+1),MATCH(C$1,[2]quests!$1:$1,0)-MATCH($B$1,[2]quests!$1:$1,0)+1,FALSE)</f>
        <v>ツンデレ少女の恋心</v>
      </c>
      <c r="D6" s="83" t="str">
        <f ca="1">VLOOKUP($B6,OFFSET([2]quests!$A$1,0,0,COUNTA([2]quests!$A:$A),MATCH(D$1,[2]quests!$1:$1,0)-MATCH($B$1,[2]quests!$1:$1,0)+1),MATCH(D$1,[2]quests!$1:$1,0)-MATCH($B$1,[2]quests!$1:$1,0)+1,FALSE)</f>
        <v>季節イベント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【上級】ツンデレ少女の恋心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季節イベント</v>
      </c>
      <c r="H6" s="85">
        <v>2</v>
      </c>
      <c r="I6" s="90">
        <f t="shared" si="0"/>
        <v>5</v>
      </c>
      <c r="J6" s="86" t="str">
        <f t="shared" si="1"/>
        <v>4700705</v>
      </c>
      <c r="K6" s="84" t="s">
        <v>127</v>
      </c>
      <c r="L6" s="87" t="s">
        <v>256</v>
      </c>
      <c r="M6" s="138" t="s">
        <v>277</v>
      </c>
      <c r="N6" s="57" t="s">
        <v>200</v>
      </c>
      <c r="O6">
        <f t="shared" si="2"/>
        <v>60</v>
      </c>
    </row>
    <row r="7" spans="1:15" ht="70" x14ac:dyDescent="0.15">
      <c r="A7" s="81" t="s">
        <v>198</v>
      </c>
      <c r="B7" s="82">
        <f>floors!$C$5</f>
        <v>47007</v>
      </c>
      <c r="C7" s="83" t="str">
        <f ca="1">VLOOKUP($B7,OFFSET([2]quests!$A$1,0,0,COUNTA([2]quests!$A:$A),MATCH(C$1,[2]quests!$1:$1,0)-MATCH($B$1,[2]quests!$1:$1,0)+1),MATCH(C$1,[2]quests!$1:$1,0)-MATCH($B$1,[2]quests!$1:$1,0)+1,FALSE)</f>
        <v>ツンデレ少女の恋心</v>
      </c>
      <c r="D7" s="83" t="str">
        <f ca="1">VLOOKUP($B7,OFFSET([2]quests!$A$1,0,0,COUNTA([2]quests!$A:$A),MATCH(D$1,[2]quests!$1:$1,0)-MATCH($B$1,[2]quests!$1:$1,0)+1),MATCH(D$1,[2]quests!$1:$1,0)-MATCH($B$1,[2]quests!$1:$1,0)+1,FALSE)</f>
        <v>季節イベント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【上級】ツンデレ少女の恋心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季節イベント</v>
      </c>
      <c r="H7" s="85">
        <v>2</v>
      </c>
      <c r="I7" s="90">
        <f t="shared" si="0"/>
        <v>6</v>
      </c>
      <c r="J7" s="86" t="str">
        <f t="shared" si="1"/>
        <v>4700706</v>
      </c>
      <c r="K7" s="84" t="s">
        <v>127</v>
      </c>
      <c r="L7" s="87" t="s">
        <v>256</v>
      </c>
      <c r="M7" s="138" t="s">
        <v>278</v>
      </c>
      <c r="N7" s="57" t="s">
        <v>200</v>
      </c>
      <c r="O7">
        <f t="shared" si="2"/>
        <v>61</v>
      </c>
    </row>
    <row r="8" spans="1:15" ht="56" x14ac:dyDescent="0.15">
      <c r="A8" s="81" t="s">
        <v>198</v>
      </c>
      <c r="B8" s="82">
        <f>floors!$C$5</f>
        <v>47007</v>
      </c>
      <c r="C8" s="83" t="str">
        <f ca="1">VLOOKUP($B8,OFFSET([2]quests!$A$1,0,0,COUNTA([2]quests!$A:$A),MATCH(C$1,[2]quests!$1:$1,0)-MATCH($B$1,[2]quests!$1:$1,0)+1),MATCH(C$1,[2]quests!$1:$1,0)-MATCH($B$1,[2]quests!$1:$1,0)+1,FALSE)</f>
        <v>ツンデレ少女の恋心</v>
      </c>
      <c r="D8" s="83" t="str">
        <f ca="1">VLOOKUP($B8,OFFSET([2]quests!$A$1,0,0,COUNTA([2]quests!$A:$A),MATCH(D$1,[2]quests!$1:$1,0)-MATCH($B$1,[2]quests!$1:$1,0)+1),MATCH(D$1,[2]quests!$1:$1,0)-MATCH($B$1,[2]quests!$1:$1,0)+1,FALSE)</f>
        <v>季節イベント</v>
      </c>
      <c r="E8" s="84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【上級】ツンデレ少女の恋心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季節イベント</v>
      </c>
      <c r="H8" s="85">
        <v>2</v>
      </c>
      <c r="I8" s="90">
        <f t="shared" si="0"/>
        <v>7</v>
      </c>
      <c r="J8" s="86" t="str">
        <f t="shared" si="1"/>
        <v>4700707</v>
      </c>
      <c r="K8" s="84" t="s">
        <v>127</v>
      </c>
      <c r="L8" s="87" t="s">
        <v>256</v>
      </c>
      <c r="M8" s="138" t="s">
        <v>330</v>
      </c>
      <c r="N8" s="57" t="s">
        <v>200</v>
      </c>
      <c r="O8">
        <f t="shared" si="2"/>
        <v>50</v>
      </c>
    </row>
    <row r="9" spans="1:15" ht="70" x14ac:dyDescent="0.15">
      <c r="A9" s="81" t="s">
        <v>198</v>
      </c>
      <c r="B9" s="82">
        <f>floors!$C$5</f>
        <v>47007</v>
      </c>
      <c r="C9" s="83" t="str">
        <f ca="1">VLOOKUP($B9,OFFSET([2]quests!$A$1,0,0,COUNTA([2]quests!$A:$A),MATCH(C$1,[2]quests!$1:$1,0)-MATCH($B$1,[2]quests!$1:$1,0)+1),MATCH(C$1,[2]quests!$1:$1,0)-MATCH($B$1,[2]quests!$1:$1,0)+1,FALSE)</f>
        <v>ツンデレ少女の恋心</v>
      </c>
      <c r="D9" s="83" t="str">
        <f ca="1">VLOOKUP($B9,OFFSET([2]quests!$A$1,0,0,COUNTA([2]quests!$A:$A),MATCH(D$1,[2]quests!$1:$1,0)-MATCH($B$1,[2]quests!$1:$1,0)+1),MATCH(D$1,[2]quests!$1:$1,0)-MATCH($B$1,[2]quests!$1:$1,0)+1,FALSE)</f>
        <v>季節イベント</v>
      </c>
      <c r="E9" s="84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【上級】ツンデレ少女の恋心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季節イベント</v>
      </c>
      <c r="H9" s="85">
        <v>3</v>
      </c>
      <c r="I9" s="90">
        <f t="shared" si="0"/>
        <v>8</v>
      </c>
      <c r="J9" s="86" t="str">
        <f t="shared" si="1"/>
        <v>4700708</v>
      </c>
      <c r="K9" s="84" t="s">
        <v>127</v>
      </c>
      <c r="L9" s="87" t="s">
        <v>256</v>
      </c>
      <c r="M9" s="138" t="s">
        <v>313</v>
      </c>
      <c r="N9" s="57" t="s">
        <v>200</v>
      </c>
      <c r="O9">
        <f t="shared" si="2"/>
        <v>62</v>
      </c>
    </row>
    <row r="10" spans="1:15" ht="70" x14ac:dyDescent="0.15">
      <c r="A10" s="81" t="s">
        <v>198</v>
      </c>
      <c r="B10" s="82">
        <f>floors!$C$5</f>
        <v>47007</v>
      </c>
      <c r="C10" s="83" t="str">
        <f ca="1">VLOOKUP($B10,OFFSET([2]quests!$A$1,0,0,COUNTA([2]quests!$A:$A),MATCH(C$1,[2]quests!$1:$1,0)-MATCH($B$1,[2]quests!$1:$1,0)+1),MATCH(C$1,[2]quests!$1:$1,0)-MATCH($B$1,[2]quests!$1:$1,0)+1,FALSE)</f>
        <v>ツンデレ少女の恋心</v>
      </c>
      <c r="D10" s="83" t="str">
        <f ca="1">VLOOKUP($B10,OFFSET([2]quests!$A$1,0,0,COUNTA([2]quests!$A:$A),MATCH(D$1,[2]quests!$1:$1,0)-MATCH($B$1,[2]quests!$1:$1,0)+1),MATCH(D$1,[2]quests!$1:$1,0)-MATCH($B$1,[2]quests!$1:$1,0)+1,FALSE)</f>
        <v>季節イベント</v>
      </c>
      <c r="E10" s="84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【上級】ツンデレ少女の恋心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季節イベント</v>
      </c>
      <c r="H10" s="85">
        <v>3</v>
      </c>
      <c r="I10" s="90">
        <f t="shared" si="0"/>
        <v>9</v>
      </c>
      <c r="J10" s="86" t="str">
        <f t="shared" si="1"/>
        <v>4700709</v>
      </c>
      <c r="K10" s="84" t="s">
        <v>127</v>
      </c>
      <c r="L10" s="87" t="s">
        <v>256</v>
      </c>
      <c r="M10" s="138" t="s">
        <v>314</v>
      </c>
      <c r="N10" s="57" t="s">
        <v>200</v>
      </c>
      <c r="O10">
        <f t="shared" si="2"/>
        <v>61</v>
      </c>
    </row>
    <row r="11" spans="1:15" ht="70" x14ac:dyDescent="0.15">
      <c r="A11" s="81" t="s">
        <v>198</v>
      </c>
      <c r="B11" s="82">
        <f>floors!$C$5</f>
        <v>47007</v>
      </c>
      <c r="C11" s="83" t="str">
        <f ca="1">VLOOKUP($B11,OFFSET([2]quests!$A$1,0,0,COUNTA([2]quests!$A:$A),MATCH(C$1,[2]quests!$1:$1,0)-MATCH($B$1,[2]quests!$1:$1,0)+1),MATCH(C$1,[2]quests!$1:$1,0)-MATCH($B$1,[2]quests!$1:$1,0)+1,FALSE)</f>
        <v>ツンデレ少女の恋心</v>
      </c>
      <c r="D11" s="83" t="str">
        <f ca="1">VLOOKUP($B11,OFFSET([2]quests!$A$1,0,0,COUNTA([2]quests!$A:$A),MATCH(D$1,[2]quests!$1:$1,0)-MATCH($B$1,[2]quests!$1:$1,0)+1),MATCH(D$1,[2]quests!$1:$1,0)-MATCH($B$1,[2]quests!$1:$1,0)+1,FALSE)</f>
        <v>季節イベント</v>
      </c>
      <c r="E11" s="84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【上級】ツンデレ少女の恋心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季節イベント</v>
      </c>
      <c r="H11" s="85">
        <v>3</v>
      </c>
      <c r="I11" s="90">
        <f t="shared" si="0"/>
        <v>10</v>
      </c>
      <c r="J11" s="86" t="str">
        <f t="shared" si="1"/>
        <v>4700710</v>
      </c>
      <c r="K11" s="84" t="s">
        <v>127</v>
      </c>
      <c r="L11" s="87" t="s">
        <v>256</v>
      </c>
      <c r="M11" s="138" t="s">
        <v>331</v>
      </c>
      <c r="N11" s="57" t="s">
        <v>200</v>
      </c>
      <c r="O11">
        <f t="shared" si="2"/>
        <v>58</v>
      </c>
    </row>
    <row r="12" spans="1:15" ht="56" x14ac:dyDescent="0.15">
      <c r="A12" s="81" t="s">
        <v>201</v>
      </c>
      <c r="B12" s="82">
        <f>floors!$C$5</f>
        <v>47007</v>
      </c>
      <c r="C12" s="83" t="str">
        <f ca="1">VLOOKUP($B12,OFFSET([2]quests!$A$1,0,0,COUNTA([2]quests!$A:$A),MATCH(C$1,[2]quests!$1:$1,0)-MATCH($B$1,[2]quests!$1:$1,0)+1),MATCH(C$1,[2]quests!$1:$1,0)-MATCH($B$1,[2]quests!$1:$1,0)+1,FALSE)</f>
        <v>ツンデレ少女の恋心</v>
      </c>
      <c r="D12" s="83" t="str">
        <f ca="1">VLOOKUP($B12,OFFSET([2]quests!$A$1,0,0,COUNTA([2]quests!$A:$A),MATCH(D$1,[2]quests!$1:$1,0)-MATCH($B$1,[2]quests!$1:$1,0)+1),MATCH(D$1,[2]quests!$1:$1,0)-MATCH($B$1,[2]quests!$1:$1,0)+1,FALSE)</f>
        <v>季節イベント</v>
      </c>
      <c r="E12" s="84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【上級】ツンデレ少女の恋心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季節イベント</v>
      </c>
      <c r="H12" s="85">
        <v>0</v>
      </c>
      <c r="I12" s="90">
        <f t="shared" si="0"/>
        <v>11</v>
      </c>
      <c r="J12" s="86" t="str">
        <f t="shared" si="1"/>
        <v>4700711</v>
      </c>
      <c r="K12" s="84" t="s">
        <v>127</v>
      </c>
      <c r="L12" s="87" t="s">
        <v>326</v>
      </c>
      <c r="M12" s="138" t="s">
        <v>325</v>
      </c>
      <c r="N12" s="57" t="s">
        <v>200</v>
      </c>
      <c r="O12">
        <f t="shared" si="2"/>
        <v>63</v>
      </c>
    </row>
    <row r="13" spans="1:15" ht="42" x14ac:dyDescent="0.15">
      <c r="A13" s="81" t="s">
        <v>201</v>
      </c>
      <c r="B13" s="82">
        <f>floors!$C$5</f>
        <v>47007</v>
      </c>
      <c r="C13" s="83" t="str">
        <f ca="1">VLOOKUP($B13,OFFSET([2]quests!$A$1,0,0,COUNTA([2]quests!$A:$A),MATCH(C$1,[2]quests!$1:$1,0)-MATCH($B$1,[2]quests!$1:$1,0)+1),MATCH(C$1,[2]quests!$1:$1,0)-MATCH($B$1,[2]quests!$1:$1,0)+1,FALSE)</f>
        <v>ツンデレ少女の恋心</v>
      </c>
      <c r="D13" s="83" t="str">
        <f ca="1">VLOOKUP($B13,OFFSET([2]quests!$A$1,0,0,COUNTA([2]quests!$A:$A),MATCH(D$1,[2]quests!$1:$1,0)-MATCH($B$1,[2]quests!$1:$1,0)+1),MATCH(D$1,[2]quests!$1:$1,0)-MATCH($B$1,[2]quests!$1:$1,0)+1,FALSE)</f>
        <v>季節イベント</v>
      </c>
      <c r="E13" s="84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【上級】ツンデレ少女の恋心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季節イベント</v>
      </c>
      <c r="H13" s="85">
        <v>0</v>
      </c>
      <c r="I13" s="90">
        <f t="shared" si="0"/>
        <v>12</v>
      </c>
      <c r="J13" s="86" t="str">
        <f t="shared" si="1"/>
        <v>4700712</v>
      </c>
      <c r="K13" s="84" t="s">
        <v>127</v>
      </c>
      <c r="L13" s="87" t="s">
        <v>327</v>
      </c>
      <c r="M13" s="138" t="s">
        <v>324</v>
      </c>
      <c r="N13" s="57" t="s">
        <v>200</v>
      </c>
      <c r="O13">
        <f t="shared" si="2"/>
        <v>46</v>
      </c>
    </row>
    <row r="14" spans="1:15" ht="56" x14ac:dyDescent="0.15">
      <c r="A14" s="81" t="s">
        <v>201</v>
      </c>
      <c r="B14" s="82">
        <f>floors!$C$5</f>
        <v>47007</v>
      </c>
      <c r="C14" s="83" t="str">
        <f ca="1">VLOOKUP($B14,OFFSET([2]quests!$A$1,0,0,COUNTA([2]quests!$A:$A),MATCH(C$1,[2]quests!$1:$1,0)-MATCH($B$1,[2]quests!$1:$1,0)+1),MATCH(C$1,[2]quests!$1:$1,0)-MATCH($B$1,[2]quests!$1:$1,0)+1,FALSE)</f>
        <v>ツンデレ少女の恋心</v>
      </c>
      <c r="D14" s="83" t="str">
        <f ca="1">VLOOKUP($B14,OFFSET([2]quests!$A$1,0,0,COUNTA([2]quests!$A:$A),MATCH(D$1,[2]quests!$1:$1,0)-MATCH($B$1,[2]quests!$1:$1,0)+1),MATCH(D$1,[2]quests!$1:$1,0)-MATCH($B$1,[2]quests!$1:$1,0)+1,FALSE)</f>
        <v>季節イベント</v>
      </c>
      <c r="E14" s="84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【上級】ツンデレ少女の恋心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季節イベント</v>
      </c>
      <c r="H14" s="85">
        <v>0</v>
      </c>
      <c r="I14" s="90">
        <f t="shared" si="0"/>
        <v>13</v>
      </c>
      <c r="J14" s="86" t="str">
        <f t="shared" si="1"/>
        <v>4700713</v>
      </c>
      <c r="K14" s="84" t="s">
        <v>127</v>
      </c>
      <c r="L14" s="87" t="s">
        <v>279</v>
      </c>
      <c r="M14" s="138" t="s">
        <v>323</v>
      </c>
      <c r="N14" s="57" t="s">
        <v>200</v>
      </c>
      <c r="O14">
        <f t="shared" si="2"/>
        <v>62</v>
      </c>
    </row>
    <row r="15" spans="1:15" ht="56" x14ac:dyDescent="0.15">
      <c r="A15" s="81" t="s">
        <v>201</v>
      </c>
      <c r="B15" s="82">
        <f>floors!$C$5</f>
        <v>47007</v>
      </c>
      <c r="C15" s="83" t="str">
        <f ca="1">VLOOKUP($B15,OFFSET([2]quests!$A$1,0,0,COUNTA([2]quests!$A:$A),MATCH(C$1,[2]quests!$1:$1,0)-MATCH($B$1,[2]quests!$1:$1,0)+1),MATCH(C$1,[2]quests!$1:$1,0)-MATCH($B$1,[2]quests!$1:$1,0)+1,FALSE)</f>
        <v>ツンデレ少女の恋心</v>
      </c>
      <c r="D15" s="83" t="str">
        <f ca="1">VLOOKUP($B15,OFFSET([2]quests!$A$1,0,0,COUNTA([2]quests!$A:$A),MATCH(D$1,[2]quests!$1:$1,0)-MATCH($B$1,[2]quests!$1:$1,0)+1),MATCH(D$1,[2]quests!$1:$1,0)-MATCH($B$1,[2]quests!$1:$1,0)+1,FALSE)</f>
        <v>季節イベント</v>
      </c>
      <c r="E15" s="84">
        <v>1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【上級】ツンデレ少女の恋心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季節イベント</v>
      </c>
      <c r="H15" s="85">
        <v>0</v>
      </c>
      <c r="I15" s="90">
        <f t="shared" si="0"/>
        <v>14</v>
      </c>
      <c r="J15" s="86" t="str">
        <f t="shared" si="1"/>
        <v>4700714</v>
      </c>
      <c r="K15" s="84" t="s">
        <v>127</v>
      </c>
      <c r="L15" s="87" t="s">
        <v>328</v>
      </c>
      <c r="M15" s="138" t="s">
        <v>329</v>
      </c>
      <c r="N15" s="57" t="s">
        <v>200</v>
      </c>
      <c r="O15">
        <f t="shared" si="2"/>
        <v>59</v>
      </c>
    </row>
    <row r="16" spans="1:15" ht="56" x14ac:dyDescent="0.15">
      <c r="A16" s="81" t="s">
        <v>201</v>
      </c>
      <c r="B16" s="82">
        <f>floors!$C$5</f>
        <v>47007</v>
      </c>
      <c r="C16" s="83" t="str">
        <f ca="1">VLOOKUP($B16,OFFSET([2]quests!$A$1,0,0,COUNTA([2]quests!$A:$A),MATCH(C$1,[2]quests!$1:$1,0)-MATCH($B$1,[2]quests!$1:$1,0)+1),MATCH(C$1,[2]quests!$1:$1,0)-MATCH($B$1,[2]quests!$1:$1,0)+1,FALSE)</f>
        <v>ツンデレ少女の恋心</v>
      </c>
      <c r="D16" s="83" t="str">
        <f ca="1">VLOOKUP($B16,OFFSET([2]quests!$A$1,0,0,COUNTA([2]quests!$A:$A),MATCH(D$1,[2]quests!$1:$1,0)-MATCH($B$1,[2]quests!$1:$1,0)+1),MATCH(D$1,[2]quests!$1:$1,0)-MATCH($B$1,[2]quests!$1:$1,0)+1,FALSE)</f>
        <v>季節イベント</v>
      </c>
      <c r="E16" s="84">
        <v>1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【上級】ツンデレ少女の恋心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季節イベント</v>
      </c>
      <c r="H16" s="85">
        <v>0</v>
      </c>
      <c r="I16" s="90">
        <f t="shared" ref="I16:I31" si="3">ROW()-1</f>
        <v>15</v>
      </c>
      <c r="J16" s="86" t="str">
        <f t="shared" si="1"/>
        <v>4700715</v>
      </c>
      <c r="K16" s="84" t="s">
        <v>127</v>
      </c>
      <c r="L16" s="87" t="s">
        <v>347</v>
      </c>
      <c r="M16" s="138" t="s">
        <v>346</v>
      </c>
      <c r="N16" s="57" t="s">
        <v>200</v>
      </c>
      <c r="O16">
        <f t="shared" si="2"/>
        <v>58</v>
      </c>
    </row>
    <row r="17" spans="1:15" ht="56" x14ac:dyDescent="0.15">
      <c r="A17" s="81" t="s">
        <v>198</v>
      </c>
      <c r="B17" s="82">
        <f>floors!$C$5</f>
        <v>47007</v>
      </c>
      <c r="C17" s="83" t="str">
        <f ca="1">VLOOKUP($B17,OFFSET([2]quests!$A$1,0,0,COUNTA([2]quests!$A:$A),MATCH(C$1,[2]quests!$1:$1,0)-MATCH($B$1,[2]quests!$1:$1,0)+1),MATCH(C$1,[2]quests!$1:$1,0)-MATCH($B$1,[2]quests!$1:$1,0)+1,FALSE)</f>
        <v>ツンデレ少女の恋心</v>
      </c>
      <c r="D17" s="83" t="str">
        <f ca="1">VLOOKUP($B17,OFFSET([2]quests!$A$1,0,0,COUNTA([2]quests!$A:$A),MATCH(D$1,[2]quests!$1:$1,0)-MATCH($B$1,[2]quests!$1:$1,0)+1),MATCH(D$1,[2]quests!$1:$1,0)-MATCH($B$1,[2]quests!$1:$1,0)+1,FALSE)</f>
        <v>季節イベント</v>
      </c>
      <c r="E17" s="84">
        <v>2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【ウィザード級】ツンデレ少女の恋心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季節イベント</v>
      </c>
      <c r="H17" s="85">
        <v>0</v>
      </c>
      <c r="I17" s="90">
        <f t="shared" si="3"/>
        <v>16</v>
      </c>
      <c r="J17" s="86" t="str">
        <f t="shared" ref="J17:J30" si="4">B17&amp;TEXT(I17,"00")</f>
        <v>4700716</v>
      </c>
      <c r="K17" s="84" t="s">
        <v>127</v>
      </c>
      <c r="L17" s="87" t="s">
        <v>256</v>
      </c>
      <c r="M17" s="138" t="s">
        <v>274</v>
      </c>
      <c r="N17" s="57" t="s">
        <v>200</v>
      </c>
      <c r="O17">
        <f t="shared" si="2"/>
        <v>52</v>
      </c>
    </row>
    <row r="18" spans="1:15" ht="56" x14ac:dyDescent="0.15">
      <c r="A18" s="81" t="s">
        <v>198</v>
      </c>
      <c r="B18" s="82">
        <f>floors!$C$5</f>
        <v>47007</v>
      </c>
      <c r="C18" s="83" t="str">
        <f ca="1">VLOOKUP($B18,OFFSET([2]quests!$A$1,0,0,COUNTA([2]quests!$A:$A),MATCH(C$1,[2]quests!$1:$1,0)-MATCH($B$1,[2]quests!$1:$1,0)+1),MATCH(C$1,[2]quests!$1:$1,0)-MATCH($B$1,[2]quests!$1:$1,0)+1,FALSE)</f>
        <v>ツンデレ少女の恋心</v>
      </c>
      <c r="D18" s="83" t="str">
        <f ca="1">VLOOKUP($B18,OFFSET([2]quests!$A$1,0,0,COUNTA([2]quests!$A:$A),MATCH(D$1,[2]quests!$1:$1,0)-MATCH($B$1,[2]quests!$1:$1,0)+1),MATCH(D$1,[2]quests!$1:$1,0)-MATCH($B$1,[2]quests!$1:$1,0)+1,FALSE)</f>
        <v>季節イベント</v>
      </c>
      <c r="E18" s="84">
        <v>2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【ウィザード級】ツンデレ少女の恋心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季節イベント</v>
      </c>
      <c r="H18" s="85">
        <v>1</v>
      </c>
      <c r="I18" s="90">
        <f t="shared" si="3"/>
        <v>17</v>
      </c>
      <c r="J18" s="86" t="str">
        <f t="shared" si="4"/>
        <v>4700717</v>
      </c>
      <c r="K18" s="84" t="s">
        <v>199</v>
      </c>
      <c r="L18" s="87" t="s">
        <v>256</v>
      </c>
      <c r="M18" s="138" t="s">
        <v>273</v>
      </c>
      <c r="N18" s="57" t="s">
        <v>200</v>
      </c>
      <c r="O18">
        <f t="shared" si="2"/>
        <v>54</v>
      </c>
    </row>
    <row r="19" spans="1:15" ht="56" x14ac:dyDescent="0.15">
      <c r="A19" s="81" t="s">
        <v>198</v>
      </c>
      <c r="B19" s="82">
        <f>floors!$C$5</f>
        <v>47007</v>
      </c>
      <c r="C19" s="83" t="str">
        <f ca="1">VLOOKUP($B19,OFFSET([2]quests!$A$1,0,0,COUNTA([2]quests!$A:$A),MATCH(C$1,[2]quests!$1:$1,0)-MATCH($B$1,[2]quests!$1:$1,0)+1),MATCH(C$1,[2]quests!$1:$1,0)-MATCH($B$1,[2]quests!$1:$1,0)+1,FALSE)</f>
        <v>ツンデレ少女の恋心</v>
      </c>
      <c r="D19" s="83" t="str">
        <f ca="1">VLOOKUP($B19,OFFSET([2]quests!$A$1,0,0,COUNTA([2]quests!$A:$A),MATCH(D$1,[2]quests!$1:$1,0)-MATCH($B$1,[2]quests!$1:$1,0)+1),MATCH(D$1,[2]quests!$1:$1,0)-MATCH($B$1,[2]quests!$1:$1,0)+1,FALSE)</f>
        <v>季節イベント</v>
      </c>
      <c r="E19" s="84">
        <v>2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【ウィザード級】ツンデレ少女の恋心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季節イベント</v>
      </c>
      <c r="H19" s="85">
        <v>1</v>
      </c>
      <c r="I19" s="90">
        <f t="shared" si="3"/>
        <v>18</v>
      </c>
      <c r="J19" s="86" t="str">
        <f t="shared" si="4"/>
        <v>4700718</v>
      </c>
      <c r="K19" s="84" t="s">
        <v>127</v>
      </c>
      <c r="L19" s="87" t="s">
        <v>256</v>
      </c>
      <c r="M19" s="138" t="s">
        <v>272</v>
      </c>
      <c r="N19" s="57" t="s">
        <v>200</v>
      </c>
      <c r="O19">
        <f t="shared" si="2"/>
        <v>55</v>
      </c>
    </row>
    <row r="20" spans="1:15" ht="70" x14ac:dyDescent="0.15">
      <c r="A20" s="81" t="s">
        <v>198</v>
      </c>
      <c r="B20" s="82">
        <f>floors!$C$5</f>
        <v>47007</v>
      </c>
      <c r="C20" s="83" t="str">
        <f ca="1">VLOOKUP($B20,OFFSET([2]quests!$A$1,0,0,COUNTA([2]quests!$A:$A),MATCH(C$1,[2]quests!$1:$1,0)-MATCH($B$1,[2]quests!$1:$1,0)+1),MATCH(C$1,[2]quests!$1:$1,0)-MATCH($B$1,[2]quests!$1:$1,0)+1,FALSE)</f>
        <v>ツンデレ少女の恋心</v>
      </c>
      <c r="D20" s="83" t="str">
        <f ca="1">VLOOKUP($B20,OFFSET([2]quests!$A$1,0,0,COUNTA([2]quests!$A:$A),MATCH(D$1,[2]quests!$1:$1,0)-MATCH($B$1,[2]quests!$1:$1,0)+1),MATCH(D$1,[2]quests!$1:$1,0)-MATCH($B$1,[2]quests!$1:$1,0)+1,FALSE)</f>
        <v>季節イベント</v>
      </c>
      <c r="E20" s="84">
        <v>2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【ウィザード級】ツンデレ少女の恋心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季節イベント</v>
      </c>
      <c r="H20" s="85">
        <v>2</v>
      </c>
      <c r="I20" s="90">
        <f t="shared" si="3"/>
        <v>19</v>
      </c>
      <c r="J20" s="86" t="str">
        <f t="shared" si="4"/>
        <v>4700719</v>
      </c>
      <c r="K20" s="84" t="s">
        <v>127</v>
      </c>
      <c r="L20" s="87" t="s">
        <v>256</v>
      </c>
      <c r="M20" s="138" t="s">
        <v>275</v>
      </c>
      <c r="N20" s="57" t="s">
        <v>200</v>
      </c>
      <c r="O20">
        <f t="shared" si="2"/>
        <v>60</v>
      </c>
    </row>
    <row r="21" spans="1:15" ht="70" x14ac:dyDescent="0.15">
      <c r="A21" s="81" t="s">
        <v>198</v>
      </c>
      <c r="B21" s="82">
        <f>floors!$C$5</f>
        <v>47007</v>
      </c>
      <c r="C21" s="83" t="str">
        <f ca="1">VLOOKUP($B21,OFFSET([2]quests!$A$1,0,0,COUNTA([2]quests!$A:$A),MATCH(C$1,[2]quests!$1:$1,0)-MATCH($B$1,[2]quests!$1:$1,0)+1),MATCH(C$1,[2]quests!$1:$1,0)-MATCH($B$1,[2]quests!$1:$1,0)+1,FALSE)</f>
        <v>ツンデレ少女の恋心</v>
      </c>
      <c r="D21" s="83" t="str">
        <f ca="1">VLOOKUP($B21,OFFSET([2]quests!$A$1,0,0,COUNTA([2]quests!$A:$A),MATCH(D$1,[2]quests!$1:$1,0)-MATCH($B$1,[2]quests!$1:$1,0)+1),MATCH(D$1,[2]quests!$1:$1,0)-MATCH($B$1,[2]quests!$1:$1,0)+1,FALSE)</f>
        <v>季節イベント</v>
      </c>
      <c r="E21" s="84">
        <v>2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【ウィザード級】ツンデレ少女の恋心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季節イベント</v>
      </c>
      <c r="H21" s="85">
        <v>2</v>
      </c>
      <c r="I21" s="90">
        <f t="shared" si="3"/>
        <v>20</v>
      </c>
      <c r="J21" s="86" t="str">
        <f t="shared" si="4"/>
        <v>4700720</v>
      </c>
      <c r="K21" s="84" t="s">
        <v>127</v>
      </c>
      <c r="L21" s="87" t="s">
        <v>256</v>
      </c>
      <c r="M21" s="138" t="s">
        <v>277</v>
      </c>
      <c r="N21" s="57" t="s">
        <v>200</v>
      </c>
      <c r="O21">
        <f t="shared" si="2"/>
        <v>60</v>
      </c>
    </row>
    <row r="22" spans="1:15" ht="70" x14ac:dyDescent="0.15">
      <c r="A22" s="81" t="s">
        <v>198</v>
      </c>
      <c r="B22" s="82">
        <f>floors!$C$5</f>
        <v>47007</v>
      </c>
      <c r="C22" s="83" t="str">
        <f ca="1">VLOOKUP($B22,OFFSET([2]quests!$A$1,0,0,COUNTA([2]quests!$A:$A),MATCH(C$1,[2]quests!$1:$1,0)-MATCH($B$1,[2]quests!$1:$1,0)+1),MATCH(C$1,[2]quests!$1:$1,0)-MATCH($B$1,[2]quests!$1:$1,0)+1,FALSE)</f>
        <v>ツンデレ少女の恋心</v>
      </c>
      <c r="D22" s="83" t="str">
        <f ca="1">VLOOKUP($B22,OFFSET([2]quests!$A$1,0,0,COUNTA([2]quests!$A:$A),MATCH(D$1,[2]quests!$1:$1,0)-MATCH($B$1,[2]quests!$1:$1,0)+1),MATCH(D$1,[2]quests!$1:$1,0)-MATCH($B$1,[2]quests!$1:$1,0)+1,FALSE)</f>
        <v>季節イベント</v>
      </c>
      <c r="E22" s="84">
        <v>2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【ウィザード級】ツンデレ少女の恋心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季節イベント</v>
      </c>
      <c r="H22" s="85">
        <v>2</v>
      </c>
      <c r="I22" s="90">
        <f t="shared" si="3"/>
        <v>21</v>
      </c>
      <c r="J22" s="86" t="str">
        <f t="shared" si="4"/>
        <v>4700721</v>
      </c>
      <c r="K22" s="84" t="s">
        <v>127</v>
      </c>
      <c r="L22" s="87" t="s">
        <v>256</v>
      </c>
      <c r="M22" s="138" t="s">
        <v>278</v>
      </c>
      <c r="N22" s="57" t="s">
        <v>200</v>
      </c>
      <c r="O22">
        <f t="shared" si="2"/>
        <v>61</v>
      </c>
    </row>
    <row r="23" spans="1:15" ht="56" x14ac:dyDescent="0.15">
      <c r="A23" s="81" t="s">
        <v>198</v>
      </c>
      <c r="B23" s="82">
        <f>floors!$C$5</f>
        <v>47007</v>
      </c>
      <c r="C23" s="83" t="str">
        <f ca="1">VLOOKUP($B23,OFFSET([2]quests!$A$1,0,0,COUNTA([2]quests!$A:$A),MATCH(C$1,[2]quests!$1:$1,0)-MATCH($B$1,[2]quests!$1:$1,0)+1),MATCH(C$1,[2]quests!$1:$1,0)-MATCH($B$1,[2]quests!$1:$1,0)+1,FALSE)</f>
        <v>ツンデレ少女の恋心</v>
      </c>
      <c r="D23" s="83" t="str">
        <f ca="1">VLOOKUP($B23,OFFSET([2]quests!$A$1,0,0,COUNTA([2]quests!$A:$A),MATCH(D$1,[2]quests!$1:$1,0)-MATCH($B$1,[2]quests!$1:$1,0)+1),MATCH(D$1,[2]quests!$1:$1,0)-MATCH($B$1,[2]quests!$1:$1,0)+1,FALSE)</f>
        <v>季節イベント</v>
      </c>
      <c r="E23" s="84">
        <v>2</v>
      </c>
      <c r="F23" s="83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【ウィザード級】ツンデレ少女の恋心</v>
      </c>
      <c r="G23" s="83" t="str">
        <f ca="1">VLOOKUP($B23&amp;"_"&amp;$E23,OFFSET([2]stages!$A$1,0,0,COUNTA([2]stages!$A:$A),MATCH(G$1,[2]stages!$2:$2,0)-MATCH("temp_stage",[2]stages!$2:$2,0)+1),MATCH(G$1,[2]stages!$2:$2,0)-MATCH("temp_stage",[2]stages!$2:$2,0)+1,FALSE)</f>
        <v>季節イベント</v>
      </c>
      <c r="H23" s="85">
        <v>2</v>
      </c>
      <c r="I23" s="90">
        <f t="shared" si="3"/>
        <v>22</v>
      </c>
      <c r="J23" s="86" t="str">
        <f t="shared" si="4"/>
        <v>4700722</v>
      </c>
      <c r="K23" s="84" t="s">
        <v>127</v>
      </c>
      <c r="L23" s="87" t="s">
        <v>256</v>
      </c>
      <c r="M23" s="138" t="s">
        <v>276</v>
      </c>
      <c r="N23" s="57" t="s">
        <v>200</v>
      </c>
      <c r="O23">
        <f t="shared" si="2"/>
        <v>51</v>
      </c>
    </row>
    <row r="24" spans="1:15" ht="70" x14ac:dyDescent="0.15">
      <c r="A24" s="81" t="s">
        <v>198</v>
      </c>
      <c r="B24" s="82">
        <f>floors!$C$5</f>
        <v>47007</v>
      </c>
      <c r="C24" s="83" t="str">
        <f ca="1">VLOOKUP($B24,OFFSET([2]quests!$A$1,0,0,COUNTA([2]quests!$A:$A),MATCH(C$1,[2]quests!$1:$1,0)-MATCH($B$1,[2]quests!$1:$1,0)+1),MATCH(C$1,[2]quests!$1:$1,0)-MATCH($B$1,[2]quests!$1:$1,0)+1,FALSE)</f>
        <v>ツンデレ少女の恋心</v>
      </c>
      <c r="D24" s="83" t="str">
        <f ca="1">VLOOKUP($B24,OFFSET([2]quests!$A$1,0,0,COUNTA([2]quests!$A:$A),MATCH(D$1,[2]quests!$1:$1,0)-MATCH($B$1,[2]quests!$1:$1,0)+1),MATCH(D$1,[2]quests!$1:$1,0)-MATCH($B$1,[2]quests!$1:$1,0)+1,FALSE)</f>
        <v>季節イベント</v>
      </c>
      <c r="E24" s="84">
        <v>2</v>
      </c>
      <c r="F24" s="83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【ウィザード級】ツンデレ少女の恋心</v>
      </c>
      <c r="G24" s="83" t="str">
        <f ca="1">VLOOKUP($B24&amp;"_"&amp;$E24,OFFSET([2]stages!$A$1,0,0,COUNTA([2]stages!$A:$A),MATCH(G$1,[2]stages!$2:$2,0)-MATCH("temp_stage",[2]stages!$2:$2,0)+1),MATCH(G$1,[2]stages!$2:$2,0)-MATCH("temp_stage",[2]stages!$2:$2,0)+1,FALSE)</f>
        <v>季節イベント</v>
      </c>
      <c r="H24" s="85">
        <v>3</v>
      </c>
      <c r="I24" s="90">
        <f t="shared" si="3"/>
        <v>23</v>
      </c>
      <c r="J24" s="86" t="str">
        <f t="shared" si="4"/>
        <v>4700723</v>
      </c>
      <c r="K24" s="84" t="s">
        <v>127</v>
      </c>
      <c r="L24" s="87" t="s">
        <v>256</v>
      </c>
      <c r="M24" s="138" t="s">
        <v>313</v>
      </c>
      <c r="N24" s="57" t="s">
        <v>200</v>
      </c>
      <c r="O24">
        <f t="shared" si="2"/>
        <v>62</v>
      </c>
    </row>
    <row r="25" spans="1:15" ht="70" x14ac:dyDescent="0.15">
      <c r="A25" s="81" t="s">
        <v>198</v>
      </c>
      <c r="B25" s="82">
        <f>floors!$C$5</f>
        <v>47007</v>
      </c>
      <c r="C25" s="83" t="str">
        <f ca="1">VLOOKUP($B25,OFFSET([2]quests!$A$1,0,0,COUNTA([2]quests!$A:$A),MATCH(C$1,[2]quests!$1:$1,0)-MATCH($B$1,[2]quests!$1:$1,0)+1),MATCH(C$1,[2]quests!$1:$1,0)-MATCH($B$1,[2]quests!$1:$1,0)+1,FALSE)</f>
        <v>ツンデレ少女の恋心</v>
      </c>
      <c r="D25" s="83" t="str">
        <f ca="1">VLOOKUP($B25,OFFSET([2]quests!$A$1,0,0,COUNTA([2]quests!$A:$A),MATCH(D$1,[2]quests!$1:$1,0)-MATCH($B$1,[2]quests!$1:$1,0)+1),MATCH(D$1,[2]quests!$1:$1,0)-MATCH($B$1,[2]quests!$1:$1,0)+1,FALSE)</f>
        <v>季節イベント</v>
      </c>
      <c r="E25" s="84">
        <v>2</v>
      </c>
      <c r="F25" s="83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【ウィザード級】ツンデレ少女の恋心</v>
      </c>
      <c r="G25" s="83" t="str">
        <f ca="1">VLOOKUP($B25&amp;"_"&amp;$E25,OFFSET([2]stages!$A$1,0,0,COUNTA([2]stages!$A:$A),MATCH(G$1,[2]stages!$2:$2,0)-MATCH("temp_stage",[2]stages!$2:$2,0)+1),MATCH(G$1,[2]stages!$2:$2,0)-MATCH("temp_stage",[2]stages!$2:$2,0)+1,FALSE)</f>
        <v>季節イベント</v>
      </c>
      <c r="H25" s="85">
        <v>3</v>
      </c>
      <c r="I25" s="90">
        <f t="shared" si="3"/>
        <v>24</v>
      </c>
      <c r="J25" s="86" t="str">
        <f t="shared" si="4"/>
        <v>4700724</v>
      </c>
      <c r="K25" s="84" t="s">
        <v>127</v>
      </c>
      <c r="L25" s="87" t="s">
        <v>256</v>
      </c>
      <c r="M25" s="138" t="s">
        <v>314</v>
      </c>
      <c r="N25" s="57" t="s">
        <v>200</v>
      </c>
      <c r="O25">
        <f t="shared" si="2"/>
        <v>61</v>
      </c>
    </row>
    <row r="26" spans="1:15" ht="70" x14ac:dyDescent="0.15">
      <c r="A26" s="81" t="s">
        <v>198</v>
      </c>
      <c r="B26" s="82">
        <f>floors!$C$5</f>
        <v>47007</v>
      </c>
      <c r="C26" s="83" t="str">
        <f ca="1">VLOOKUP($B26,OFFSET([2]quests!$A$1,0,0,COUNTA([2]quests!$A:$A),MATCH(C$1,[2]quests!$1:$1,0)-MATCH($B$1,[2]quests!$1:$1,0)+1),MATCH(C$1,[2]quests!$1:$1,0)-MATCH($B$1,[2]quests!$1:$1,0)+1,FALSE)</f>
        <v>ツンデレ少女の恋心</v>
      </c>
      <c r="D26" s="83" t="str">
        <f ca="1">VLOOKUP($B26,OFFSET([2]quests!$A$1,0,0,COUNTA([2]quests!$A:$A),MATCH(D$1,[2]quests!$1:$1,0)-MATCH($B$1,[2]quests!$1:$1,0)+1),MATCH(D$1,[2]quests!$1:$1,0)-MATCH($B$1,[2]quests!$1:$1,0)+1,FALSE)</f>
        <v>季節イベント</v>
      </c>
      <c r="E26" s="84">
        <v>2</v>
      </c>
      <c r="F26" s="83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【ウィザード級】ツンデレ少女の恋心</v>
      </c>
      <c r="G26" s="83" t="str">
        <f ca="1">VLOOKUP($B26&amp;"_"&amp;$E26,OFFSET([2]stages!$A$1,0,0,COUNTA([2]stages!$A:$A),MATCH(G$1,[2]stages!$2:$2,0)-MATCH("temp_stage",[2]stages!$2:$2,0)+1),MATCH(G$1,[2]stages!$2:$2,0)-MATCH("temp_stage",[2]stages!$2:$2,0)+1,FALSE)</f>
        <v>季節イベント</v>
      </c>
      <c r="H26" s="85">
        <v>3</v>
      </c>
      <c r="I26" s="90">
        <f t="shared" si="3"/>
        <v>25</v>
      </c>
      <c r="J26" s="86" t="str">
        <f t="shared" si="4"/>
        <v>4700725</v>
      </c>
      <c r="K26" s="84" t="s">
        <v>127</v>
      </c>
      <c r="L26" s="87" t="s">
        <v>256</v>
      </c>
      <c r="M26" s="138" t="s">
        <v>331</v>
      </c>
      <c r="N26" s="57" t="s">
        <v>200</v>
      </c>
      <c r="O26">
        <f t="shared" si="2"/>
        <v>58</v>
      </c>
    </row>
    <row r="27" spans="1:15" ht="56" x14ac:dyDescent="0.15">
      <c r="A27" s="81" t="s">
        <v>201</v>
      </c>
      <c r="B27" s="82">
        <f>floors!$C$5</f>
        <v>47007</v>
      </c>
      <c r="C27" s="83" t="str">
        <f ca="1">VLOOKUP($B27,OFFSET([2]quests!$A$1,0,0,COUNTA([2]quests!$A:$A),MATCH(C$1,[2]quests!$1:$1,0)-MATCH($B$1,[2]quests!$1:$1,0)+1),MATCH(C$1,[2]quests!$1:$1,0)-MATCH($B$1,[2]quests!$1:$1,0)+1,FALSE)</f>
        <v>ツンデレ少女の恋心</v>
      </c>
      <c r="D27" s="83" t="str">
        <f ca="1">VLOOKUP($B27,OFFSET([2]quests!$A$1,0,0,COUNTA([2]quests!$A:$A),MATCH(D$1,[2]quests!$1:$1,0)-MATCH($B$1,[2]quests!$1:$1,0)+1),MATCH(D$1,[2]quests!$1:$1,0)-MATCH($B$1,[2]quests!$1:$1,0)+1,FALSE)</f>
        <v>季節イベント</v>
      </c>
      <c r="E27" s="84">
        <v>2</v>
      </c>
      <c r="F27" s="83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【ウィザード級】ツンデレ少女の恋心</v>
      </c>
      <c r="G27" s="83" t="str">
        <f ca="1">VLOOKUP($B27&amp;"_"&amp;$E27,OFFSET([2]stages!$A$1,0,0,COUNTA([2]stages!$A:$A),MATCH(G$1,[2]stages!$2:$2,0)-MATCH("temp_stage",[2]stages!$2:$2,0)+1),MATCH(G$1,[2]stages!$2:$2,0)-MATCH("temp_stage",[2]stages!$2:$2,0)+1,FALSE)</f>
        <v>季節イベント</v>
      </c>
      <c r="H27" s="85">
        <v>0</v>
      </c>
      <c r="I27" s="90">
        <f t="shared" si="3"/>
        <v>26</v>
      </c>
      <c r="J27" s="86" t="str">
        <f t="shared" si="4"/>
        <v>4700726</v>
      </c>
      <c r="K27" s="84" t="s">
        <v>127</v>
      </c>
      <c r="L27" s="87" t="s">
        <v>326</v>
      </c>
      <c r="M27" s="138" t="s">
        <v>325</v>
      </c>
      <c r="N27" s="57" t="s">
        <v>200</v>
      </c>
      <c r="O27">
        <f t="shared" si="2"/>
        <v>63</v>
      </c>
    </row>
    <row r="28" spans="1:15" ht="42" x14ac:dyDescent="0.15">
      <c r="A28" s="81" t="s">
        <v>201</v>
      </c>
      <c r="B28" s="82">
        <f>floors!$C$5</f>
        <v>47007</v>
      </c>
      <c r="C28" s="83" t="str">
        <f ca="1">VLOOKUP($B28,OFFSET([2]quests!$A$1,0,0,COUNTA([2]quests!$A:$A),MATCH(C$1,[2]quests!$1:$1,0)-MATCH($B$1,[2]quests!$1:$1,0)+1),MATCH(C$1,[2]quests!$1:$1,0)-MATCH($B$1,[2]quests!$1:$1,0)+1,FALSE)</f>
        <v>ツンデレ少女の恋心</v>
      </c>
      <c r="D28" s="83" t="str">
        <f ca="1">VLOOKUP($B28,OFFSET([2]quests!$A$1,0,0,COUNTA([2]quests!$A:$A),MATCH(D$1,[2]quests!$1:$1,0)-MATCH($B$1,[2]quests!$1:$1,0)+1),MATCH(D$1,[2]quests!$1:$1,0)-MATCH($B$1,[2]quests!$1:$1,0)+1,FALSE)</f>
        <v>季節イベント</v>
      </c>
      <c r="E28" s="84">
        <v>2</v>
      </c>
      <c r="F28" s="83" t="str">
        <f ca="1">VLOOKUP($B28&amp;"_"&amp;$E28,OFFSET([2]stages!$A$1,0,0,COUNTA([2]stages!$A:$A),MATCH(F$1,[2]stages!$2:$2,0)-MATCH("temp_stage",[2]stages!$2:$2,0)+1),MATCH(F$1,[2]stages!$2:$2,0)-MATCH("temp_stage",[2]stages!$2:$2,0)+1,FALSE)</f>
        <v>【ウィザード級】ツンデレ少女の恋心</v>
      </c>
      <c r="G28" s="83" t="str">
        <f ca="1">VLOOKUP($B28&amp;"_"&amp;$E28,OFFSET([2]stages!$A$1,0,0,COUNTA([2]stages!$A:$A),MATCH(G$1,[2]stages!$2:$2,0)-MATCH("temp_stage",[2]stages!$2:$2,0)+1),MATCH(G$1,[2]stages!$2:$2,0)-MATCH("temp_stage",[2]stages!$2:$2,0)+1,FALSE)</f>
        <v>季節イベント</v>
      </c>
      <c r="H28" s="85">
        <v>0</v>
      </c>
      <c r="I28" s="90">
        <f t="shared" si="3"/>
        <v>27</v>
      </c>
      <c r="J28" s="86" t="str">
        <f t="shared" si="4"/>
        <v>4700727</v>
      </c>
      <c r="K28" s="84" t="s">
        <v>127</v>
      </c>
      <c r="L28" s="87" t="s">
        <v>327</v>
      </c>
      <c r="M28" s="138" t="s">
        <v>324</v>
      </c>
      <c r="N28" s="57" t="s">
        <v>200</v>
      </c>
      <c r="O28">
        <f t="shared" si="2"/>
        <v>46</v>
      </c>
    </row>
    <row r="29" spans="1:15" ht="56" x14ac:dyDescent="0.15">
      <c r="A29" s="81" t="s">
        <v>201</v>
      </c>
      <c r="B29" s="82">
        <f>floors!$C$5</f>
        <v>47007</v>
      </c>
      <c r="C29" s="83" t="str">
        <f ca="1">VLOOKUP($B29,OFFSET([2]quests!$A$1,0,0,COUNTA([2]quests!$A:$A),MATCH(C$1,[2]quests!$1:$1,0)-MATCH($B$1,[2]quests!$1:$1,0)+1),MATCH(C$1,[2]quests!$1:$1,0)-MATCH($B$1,[2]quests!$1:$1,0)+1,FALSE)</f>
        <v>ツンデレ少女の恋心</v>
      </c>
      <c r="D29" s="83" t="str">
        <f ca="1">VLOOKUP($B29,OFFSET([2]quests!$A$1,0,0,COUNTA([2]quests!$A:$A),MATCH(D$1,[2]quests!$1:$1,0)-MATCH($B$1,[2]quests!$1:$1,0)+1),MATCH(D$1,[2]quests!$1:$1,0)-MATCH($B$1,[2]quests!$1:$1,0)+1,FALSE)</f>
        <v>季節イベント</v>
      </c>
      <c r="E29" s="84">
        <v>2</v>
      </c>
      <c r="F29" s="83" t="str">
        <f ca="1">VLOOKUP($B29&amp;"_"&amp;$E29,OFFSET([2]stages!$A$1,0,0,COUNTA([2]stages!$A:$A),MATCH(F$1,[2]stages!$2:$2,0)-MATCH("temp_stage",[2]stages!$2:$2,0)+1),MATCH(F$1,[2]stages!$2:$2,0)-MATCH("temp_stage",[2]stages!$2:$2,0)+1,FALSE)</f>
        <v>【ウィザード級】ツンデレ少女の恋心</v>
      </c>
      <c r="G29" s="83" t="str">
        <f ca="1">VLOOKUP($B29&amp;"_"&amp;$E29,OFFSET([2]stages!$A$1,0,0,COUNTA([2]stages!$A:$A),MATCH(G$1,[2]stages!$2:$2,0)-MATCH("temp_stage",[2]stages!$2:$2,0)+1),MATCH(G$1,[2]stages!$2:$2,0)-MATCH("temp_stage",[2]stages!$2:$2,0)+1,FALSE)</f>
        <v>季節イベント</v>
      </c>
      <c r="H29" s="85">
        <v>0</v>
      </c>
      <c r="I29" s="90">
        <f t="shared" si="3"/>
        <v>28</v>
      </c>
      <c r="J29" s="86" t="str">
        <f t="shared" si="4"/>
        <v>4700728</v>
      </c>
      <c r="K29" s="84" t="s">
        <v>127</v>
      </c>
      <c r="L29" s="87" t="s">
        <v>279</v>
      </c>
      <c r="M29" s="138" t="s">
        <v>323</v>
      </c>
      <c r="N29" s="57" t="s">
        <v>200</v>
      </c>
      <c r="O29">
        <f t="shared" si="2"/>
        <v>62</v>
      </c>
    </row>
    <row r="30" spans="1:15" ht="56" x14ac:dyDescent="0.15">
      <c r="A30" s="81" t="s">
        <v>201</v>
      </c>
      <c r="B30" s="82">
        <f>floors!$C$5</f>
        <v>47007</v>
      </c>
      <c r="C30" s="83" t="str">
        <f ca="1">VLOOKUP($B30,OFFSET([2]quests!$A$1,0,0,COUNTA([2]quests!$A:$A),MATCH(C$1,[2]quests!$1:$1,0)-MATCH($B$1,[2]quests!$1:$1,0)+1),MATCH(C$1,[2]quests!$1:$1,0)-MATCH($B$1,[2]quests!$1:$1,0)+1,FALSE)</f>
        <v>ツンデレ少女の恋心</v>
      </c>
      <c r="D30" s="83" t="str">
        <f ca="1">VLOOKUP($B30,OFFSET([2]quests!$A$1,0,0,COUNTA([2]quests!$A:$A),MATCH(D$1,[2]quests!$1:$1,0)-MATCH($B$1,[2]quests!$1:$1,0)+1),MATCH(D$1,[2]quests!$1:$1,0)-MATCH($B$1,[2]quests!$1:$1,0)+1,FALSE)</f>
        <v>季節イベント</v>
      </c>
      <c r="E30" s="84">
        <v>2</v>
      </c>
      <c r="F30" s="83" t="str">
        <f ca="1">VLOOKUP($B30&amp;"_"&amp;$E30,OFFSET([2]stages!$A$1,0,0,COUNTA([2]stages!$A:$A),MATCH(F$1,[2]stages!$2:$2,0)-MATCH("temp_stage",[2]stages!$2:$2,0)+1),MATCH(F$1,[2]stages!$2:$2,0)-MATCH("temp_stage",[2]stages!$2:$2,0)+1,FALSE)</f>
        <v>【ウィザード級】ツンデレ少女の恋心</v>
      </c>
      <c r="G30" s="83" t="str">
        <f ca="1">VLOOKUP($B30&amp;"_"&amp;$E30,OFFSET([2]stages!$A$1,0,0,COUNTA([2]stages!$A:$A),MATCH(G$1,[2]stages!$2:$2,0)-MATCH("temp_stage",[2]stages!$2:$2,0)+1),MATCH(G$1,[2]stages!$2:$2,0)-MATCH("temp_stage",[2]stages!$2:$2,0)+1,FALSE)</f>
        <v>季節イベント</v>
      </c>
      <c r="H30" s="85">
        <v>0</v>
      </c>
      <c r="I30" s="90">
        <f t="shared" si="3"/>
        <v>29</v>
      </c>
      <c r="J30" s="86" t="str">
        <f t="shared" si="4"/>
        <v>4700729</v>
      </c>
      <c r="K30" s="84" t="s">
        <v>127</v>
      </c>
      <c r="L30" s="87" t="s">
        <v>328</v>
      </c>
      <c r="M30" s="138" t="s">
        <v>329</v>
      </c>
      <c r="N30" s="57" t="s">
        <v>200</v>
      </c>
      <c r="O30">
        <f t="shared" si="2"/>
        <v>59</v>
      </c>
    </row>
    <row r="31" spans="1:15" ht="56" x14ac:dyDescent="0.15">
      <c r="A31" s="81" t="s">
        <v>201</v>
      </c>
      <c r="B31" s="82">
        <f>floors!$C$5</f>
        <v>47007</v>
      </c>
      <c r="C31" s="83" t="str">
        <f ca="1">VLOOKUP($B31,OFFSET([2]quests!$A$1,0,0,COUNTA([2]quests!$A:$A),MATCH(C$1,[2]quests!$1:$1,0)-MATCH($B$1,[2]quests!$1:$1,0)+1),MATCH(C$1,[2]quests!$1:$1,0)-MATCH($B$1,[2]quests!$1:$1,0)+1,FALSE)</f>
        <v>ツンデレ少女の恋心</v>
      </c>
      <c r="D31" s="83" t="str">
        <f ca="1">VLOOKUP($B31,OFFSET([2]quests!$A$1,0,0,COUNTA([2]quests!$A:$A),MATCH(D$1,[2]quests!$1:$1,0)-MATCH($B$1,[2]quests!$1:$1,0)+1),MATCH(D$1,[2]quests!$1:$1,0)-MATCH($B$1,[2]quests!$1:$1,0)+1,FALSE)</f>
        <v>季節イベント</v>
      </c>
      <c r="E31" s="84">
        <v>2</v>
      </c>
      <c r="F31" s="83" t="str">
        <f ca="1">VLOOKUP($B31&amp;"_"&amp;$E31,OFFSET([2]stages!$A$1,0,0,COUNTA([2]stages!$A:$A),MATCH(F$1,[2]stages!$2:$2,0)-MATCH("temp_stage",[2]stages!$2:$2,0)+1),MATCH(F$1,[2]stages!$2:$2,0)-MATCH("temp_stage",[2]stages!$2:$2,0)+1,FALSE)</f>
        <v>【ウィザード級】ツンデレ少女の恋心</v>
      </c>
      <c r="G31" s="83" t="str">
        <f ca="1">VLOOKUP($B31&amp;"_"&amp;$E31,OFFSET([2]stages!$A$1,0,0,COUNTA([2]stages!$A:$A),MATCH(G$1,[2]stages!$2:$2,0)-MATCH("temp_stage",[2]stages!$2:$2,0)+1),MATCH(G$1,[2]stages!$2:$2,0)-MATCH("temp_stage",[2]stages!$2:$2,0)+1,FALSE)</f>
        <v>季節イベント</v>
      </c>
      <c r="H31" s="85">
        <v>0</v>
      </c>
      <c r="I31" s="90">
        <f t="shared" si="3"/>
        <v>30</v>
      </c>
      <c r="J31" s="86" t="str">
        <f t="shared" ref="J31" si="5">B31&amp;TEXT(I31,"00")</f>
        <v>4700730</v>
      </c>
      <c r="K31" s="84" t="s">
        <v>127</v>
      </c>
      <c r="L31" s="87" t="s">
        <v>347</v>
      </c>
      <c r="M31" s="138" t="s">
        <v>348</v>
      </c>
      <c r="N31" s="57" t="s">
        <v>200</v>
      </c>
      <c r="O31">
        <f t="shared" ref="O31" si="6">LEN(M31)</f>
        <v>58</v>
      </c>
    </row>
    <row r="36" spans="13:13" x14ac:dyDescent="0.15">
      <c r="M36" s="140"/>
    </row>
  </sheetData>
  <phoneticPr fontId="5"/>
  <dataValidations count="1">
    <dataValidation type="list" allowBlank="1" showInputMessage="1" showErrorMessage="1" sqref="A2:A3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6"/>
  <sheetViews>
    <sheetView showGridLines="0" workbookViewId="0">
      <pane ySplit="1" topLeftCell="A2" activePane="bottomLeft" state="frozen"/>
      <selection pane="bottomLeft" activeCell="J25" sqref="J25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4.5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213</v>
      </c>
      <c r="B1" s="95" t="s">
        <v>214</v>
      </c>
      <c r="C1" s="77" t="s">
        <v>215</v>
      </c>
      <c r="D1" s="77" t="s">
        <v>33</v>
      </c>
      <c r="E1" s="95" t="s">
        <v>216</v>
      </c>
      <c r="F1" s="77" t="s">
        <v>217</v>
      </c>
      <c r="G1" s="77" t="s">
        <v>33</v>
      </c>
      <c r="H1" s="95" t="s">
        <v>218</v>
      </c>
      <c r="I1" s="95" t="s">
        <v>219</v>
      </c>
      <c r="J1" s="95" t="s">
        <v>220</v>
      </c>
      <c r="K1" s="73" t="s">
        <v>221</v>
      </c>
      <c r="L1" s="73" t="s">
        <v>222</v>
      </c>
      <c r="M1" s="73" t="s">
        <v>156</v>
      </c>
      <c r="N1" s="77" t="s">
        <v>16</v>
      </c>
      <c r="O1" s="73" t="s">
        <v>223</v>
      </c>
      <c r="P1" s="73" t="s">
        <v>56</v>
      </c>
      <c r="Q1" s="73" t="s">
        <v>224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225</v>
      </c>
      <c r="X1" s="73" t="s">
        <v>226</v>
      </c>
    </row>
    <row r="2" spans="1:24" x14ac:dyDescent="0.15">
      <c r="A2" s="96" t="str">
        <f>B2&amp;"_"&amp;E2&amp;"_"&amp;H2&amp;"_"&amp;I2&amp;"_"&amp;J2</f>
        <v>47007_2_everyone_no_continue_1</v>
      </c>
      <c r="B2" s="82">
        <v>47007</v>
      </c>
      <c r="C2" s="83" t="str">
        <f ca="1">VLOOKUP($B2,OFFSET([2]quests!$A$1,0,0,COUNTA([2]quests!$A:$A),MATCH(C$1,[2]quests!$1:$1,0)-MATCH($B$1,[2]quests!$1:$1,0)+1),MATCH(C$1,[2]quests!$1:$1,0)-MATCH($B$1,[2]quests!$1:$1,0)+1,FALSE)</f>
        <v>ツンデレ少女の恋心</v>
      </c>
      <c r="D2" s="83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84">
        <v>2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【ウィザード級】ツンデレ少女の恋心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85" t="s">
        <v>227</v>
      </c>
      <c r="I2" s="84" t="s">
        <v>232</v>
      </c>
      <c r="J2" s="84">
        <v>1</v>
      </c>
      <c r="K2" s="84">
        <v>100</v>
      </c>
      <c r="L2" s="84" t="s">
        <v>229</v>
      </c>
      <c r="M2" s="84">
        <v>1351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甘頬の魔糖菓 プラリーヌ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8" t="s">
        <v>230</v>
      </c>
      <c r="X2" s="99" t="s">
        <v>231</v>
      </c>
    </row>
    <row r="3" spans="1:24" x14ac:dyDescent="0.15">
      <c r="A3" s="96" t="str">
        <f>B3&amp;"_"&amp;E3&amp;"_"&amp;H3&amp;"_"&amp;I3&amp;"_"&amp;J3</f>
        <v>47007_2_everyone_full_member_1</v>
      </c>
      <c r="B3" s="82">
        <v>47007</v>
      </c>
      <c r="C3" s="83" t="str">
        <f ca="1">VLOOKUP($B3,OFFSET([2]quests!$A$1,0,0,COUNTA([2]quests!$A:$A),MATCH(C$1,[2]quests!$1:$1,0)-MATCH($B$1,[2]quests!$1:$1,0)+1),MATCH(C$1,[2]quests!$1:$1,0)-MATCH($B$1,[2]quests!$1:$1,0)+1,FALSE)</f>
        <v>ツンデレ少女の恋心</v>
      </c>
      <c r="D3" s="83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84">
        <v>2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【ウィザード級】ツンデレ少女の恋心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85" t="s">
        <v>227</v>
      </c>
      <c r="I3" s="84" t="s">
        <v>358</v>
      </c>
      <c r="J3" s="84">
        <v>1</v>
      </c>
      <c r="K3" s="84">
        <v>100</v>
      </c>
      <c r="L3" s="84" t="s">
        <v>229</v>
      </c>
      <c r="M3" s="84">
        <v>1351</v>
      </c>
      <c r="N3" s="97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甘頬の魔糖菓 プラリーヌ</v>
      </c>
      <c r="O3" s="84">
        <v>1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98" t="s">
        <v>230</v>
      </c>
      <c r="X3" s="99" t="s">
        <v>231</v>
      </c>
    </row>
    <row r="4" spans="1:24" x14ac:dyDescent="0.15">
      <c r="A4" s="96" t="str">
        <f>B4&amp;"_"&amp;E4&amp;"_"&amp;H4&amp;"_"&amp;I4&amp;"_"&amp;J4</f>
        <v>47007_2_everyone_clear_1</v>
      </c>
      <c r="B4" s="82">
        <v>47007</v>
      </c>
      <c r="C4" s="83" t="str">
        <f ca="1">VLOOKUP($B4,OFFSET([2]quests!$A$1,0,0,COUNTA([2]quests!$A:$A),MATCH(C$1,[2]quests!$1:$1,0)-MATCH($B$1,[2]quests!$1:$1,0)+1),MATCH(C$1,[2]quests!$1:$1,0)-MATCH($B$1,[2]quests!$1:$1,0)+1,FALSE)</f>
        <v>ツンデレ少女の恋心</v>
      </c>
      <c r="D4" s="83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84">
        <v>2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【ウィザード級】ツンデレ少女の恋心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季節イベント</v>
      </c>
      <c r="H4" s="85" t="s">
        <v>227</v>
      </c>
      <c r="I4" s="84" t="s">
        <v>228</v>
      </c>
      <c r="J4" s="84">
        <v>1</v>
      </c>
      <c r="K4" s="84">
        <v>70</v>
      </c>
      <c r="L4" s="84" t="s">
        <v>229</v>
      </c>
      <c r="M4" s="84">
        <v>1351</v>
      </c>
      <c r="N4" s="97" t="str">
        <f ca="1">IF(L4="unit",VLOOKUP($M4,OFFSET([4]characters!$A$1,0,0,COUNTA([4]characters!$A:$A),MATCH(N$1,[4]characters!$1:$1,0)-MATCH("character_id",[4]characters!$1:$1,0)+1),MATCH(N$1,[4]characters!$1:$1,0)-MATCH("character_id",[4]characters!$1:$1,0)+1,FALSE),"")</f>
        <v>甘頬の魔糖菓 プラリーヌ</v>
      </c>
      <c r="O4" s="84">
        <v>1</v>
      </c>
      <c r="P4" s="84">
        <v>1</v>
      </c>
      <c r="Q4" s="84">
        <v>1</v>
      </c>
      <c r="R4" s="84">
        <v>0</v>
      </c>
      <c r="S4" s="84">
        <v>0</v>
      </c>
      <c r="T4" s="84">
        <v>0</v>
      </c>
      <c r="U4" s="84">
        <v>0</v>
      </c>
      <c r="V4" s="84">
        <v>1</v>
      </c>
      <c r="W4" s="98" t="s">
        <v>230</v>
      </c>
      <c r="X4" s="99" t="s">
        <v>231</v>
      </c>
    </row>
    <row r="5" spans="1:24" x14ac:dyDescent="0.15">
      <c r="A5" s="96" t="str">
        <f>B5&amp;"_"&amp;E5&amp;"_"&amp;H5&amp;"_"&amp;I5&amp;"_"&amp;J5</f>
        <v>47007_2_everyone_clear_2</v>
      </c>
      <c r="B5" s="82">
        <v>47007</v>
      </c>
      <c r="C5" s="83" t="str">
        <f ca="1">VLOOKUP($B5,OFFSET([2]quests!$A$1,0,0,COUNTA([2]quests!$A:$A),MATCH(C$1,[2]quests!$1:$1,0)-MATCH($B$1,[2]quests!$1:$1,0)+1),MATCH(C$1,[2]quests!$1:$1,0)-MATCH($B$1,[2]quests!$1:$1,0)+1,FALSE)</f>
        <v>ツンデレ少女の恋心</v>
      </c>
      <c r="D5" s="83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84">
        <v>2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【ウィザード級】ツンデレ少女の恋心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季節イベント</v>
      </c>
      <c r="H5" s="85" t="s">
        <v>227</v>
      </c>
      <c r="I5" s="84" t="s">
        <v>228</v>
      </c>
      <c r="J5" s="84">
        <v>2</v>
      </c>
      <c r="K5" s="84">
        <v>20</v>
      </c>
      <c r="L5" s="84" t="s">
        <v>229</v>
      </c>
      <c r="M5" s="84">
        <v>1351</v>
      </c>
      <c r="N5" s="97" t="str">
        <f ca="1">IF(L5="unit",VLOOKUP($M5,OFFSET([4]characters!$A$1,0,0,COUNTA([4]characters!$A:$A),MATCH(N$1,[4]characters!$1:$1,0)-MATCH("character_id",[4]characters!$1:$1,0)+1),MATCH(N$1,[4]characters!$1:$1,0)-MATCH("character_id",[4]characters!$1:$1,0)+1,FALSE),"")</f>
        <v>甘頬の魔糖菓 プラリーヌ</v>
      </c>
      <c r="O5" s="84">
        <v>1</v>
      </c>
      <c r="P5" s="84">
        <v>1</v>
      </c>
      <c r="Q5" s="84">
        <v>1</v>
      </c>
      <c r="R5" s="84">
        <v>0</v>
      </c>
      <c r="S5" s="84">
        <v>0</v>
      </c>
      <c r="T5" s="84">
        <v>0</v>
      </c>
      <c r="U5" s="84">
        <v>0</v>
      </c>
      <c r="V5" s="84">
        <v>2</v>
      </c>
      <c r="W5" s="98" t="s">
        <v>230</v>
      </c>
      <c r="X5" s="99" t="s">
        <v>231</v>
      </c>
    </row>
    <row r="6" spans="1:24" x14ac:dyDescent="0.15">
      <c r="A6" s="96" t="str">
        <f>B6&amp;"_"&amp;E6&amp;"_"&amp;H6&amp;"_"&amp;I6&amp;"_"&amp;J6</f>
        <v>47007_2_everyone_clear_3</v>
      </c>
      <c r="B6" s="82">
        <v>47007</v>
      </c>
      <c r="C6" s="83" t="str">
        <f ca="1">VLOOKUP($B6,OFFSET([2]quests!$A$1,0,0,COUNTA([2]quests!$A:$A),MATCH(C$1,[2]quests!$1:$1,0)-MATCH($B$1,[2]quests!$1:$1,0)+1),MATCH(C$1,[2]quests!$1:$1,0)-MATCH($B$1,[2]quests!$1:$1,0)+1,FALSE)</f>
        <v>ツンデレ少女の恋心</v>
      </c>
      <c r="D6" s="83" t="str">
        <f ca="1">VLOOKUP($B6,OFFSET([2]quests!$A$1,0,0,COUNTA([2]quests!$A:$A),MATCH(D$1,[2]quests!$1:$1,0)-MATCH($B$1,[2]quests!$1:$1,0)+1),MATCH(D$1,[2]quests!$1:$1,0)-MATCH($B$1,[2]quests!$1:$1,0)+1,FALSE)</f>
        <v>季節イベント</v>
      </c>
      <c r="E6" s="84">
        <v>2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【ウィザード級】ツンデレ少女の恋心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季節イベント</v>
      </c>
      <c r="H6" s="85" t="s">
        <v>227</v>
      </c>
      <c r="I6" s="84" t="s">
        <v>228</v>
      </c>
      <c r="J6" s="84">
        <v>3</v>
      </c>
      <c r="K6" s="84">
        <v>10</v>
      </c>
      <c r="L6" s="84" t="s">
        <v>229</v>
      </c>
      <c r="M6" s="84">
        <v>1351</v>
      </c>
      <c r="N6" s="97" t="str">
        <f ca="1">IF(L6="unit",VLOOKUP($M6,OFFSET([4]characters!$A$1,0,0,COUNTA([4]characters!$A:$A),MATCH(N$1,[4]characters!$1:$1,0)-MATCH("character_id",[4]characters!$1:$1,0)+1),MATCH(N$1,[4]characters!$1:$1,0)-MATCH("character_id",[4]characters!$1:$1,0)+1,FALSE),"")</f>
        <v>甘頬の魔糖菓 プラリーヌ</v>
      </c>
      <c r="O6" s="84">
        <v>1</v>
      </c>
      <c r="P6" s="84">
        <v>1</v>
      </c>
      <c r="Q6" s="84">
        <v>1</v>
      </c>
      <c r="R6" s="84">
        <v>0</v>
      </c>
      <c r="S6" s="84">
        <v>0</v>
      </c>
      <c r="T6" s="84">
        <v>0</v>
      </c>
      <c r="U6" s="84">
        <v>0</v>
      </c>
      <c r="V6" s="84">
        <v>3</v>
      </c>
      <c r="W6" s="98" t="s">
        <v>230</v>
      </c>
      <c r="X6" s="99" t="s">
        <v>231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2017-02-17T06:55:47Z</dcterms:modified>
</cp:coreProperties>
</file>