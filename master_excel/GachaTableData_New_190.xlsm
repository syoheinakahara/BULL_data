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260" yWindow="0" windowWidth="25040" windowHeight="15440" tabRatio="943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</sheets>
  <externalReferences>
    <externalReference r:id="rId9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gacha_settle_tables!$A$1:$R$74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7" i="106" l="1"/>
  <c r="H2" i="82"/>
  <c r="H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E45" i="106"/>
  <c r="E44" i="10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E47" i="106"/>
  <c r="E46" i="106"/>
  <c r="F47" i="106"/>
  <c r="F49" i="106"/>
  <c r="F48" i="106"/>
  <c r="F45" i="106"/>
  <c r="H67" i="106"/>
  <c r="L73" i="96"/>
  <c r="L71" i="96"/>
  <c r="L70" i="96"/>
  <c r="L68" i="96"/>
  <c r="L67" i="96"/>
  <c r="L64" i="96"/>
  <c r="L61" i="96"/>
  <c r="L59" i="96"/>
  <c r="L57" i="96"/>
  <c r="L54" i="96"/>
  <c r="L52" i="96"/>
  <c r="L51" i="96"/>
  <c r="L48" i="96"/>
  <c r="L46" i="96"/>
  <c r="L44" i="96"/>
  <c r="L43" i="96"/>
  <c r="L41" i="96"/>
  <c r="L38" i="96"/>
  <c r="L33" i="96"/>
  <c r="L32" i="96"/>
  <c r="L31" i="96"/>
  <c r="L30" i="96"/>
  <c r="L29" i="96"/>
  <c r="L28" i="96"/>
  <c r="L27" i="96"/>
  <c r="L26" i="96"/>
  <c r="L25" i="96"/>
  <c r="L24" i="96"/>
  <c r="L23" i="96"/>
  <c r="L22" i="96"/>
  <c r="L21" i="96"/>
  <c r="L20" i="96"/>
  <c r="L19" i="96"/>
  <c r="L18" i="96"/>
  <c r="L17" i="96"/>
  <c r="L16" i="96"/>
  <c r="L15" i="96"/>
  <c r="L14" i="96"/>
  <c r="L13" i="96"/>
  <c r="L12" i="96"/>
  <c r="L11" i="96"/>
  <c r="L10" i="96"/>
  <c r="L9" i="96"/>
  <c r="L8" i="96"/>
  <c r="L7" i="96"/>
  <c r="L6" i="96"/>
  <c r="L5" i="96"/>
  <c r="L4" i="96"/>
  <c r="L3" i="96"/>
  <c r="L2" i="96"/>
  <c r="L72" i="96"/>
  <c r="L69" i="96"/>
  <c r="L66" i="96"/>
  <c r="L65" i="96"/>
  <c r="L63" i="96"/>
  <c r="L62" i="96"/>
  <c r="L60" i="96"/>
  <c r="L58" i="96"/>
  <c r="L56" i="96"/>
  <c r="L55" i="96"/>
  <c r="L53" i="96"/>
  <c r="L50" i="96"/>
  <c r="L49" i="96"/>
  <c r="L47" i="96"/>
  <c r="L45" i="96"/>
  <c r="L42" i="96"/>
  <c r="L40" i="96"/>
  <c r="L39" i="96"/>
  <c r="L37" i="96"/>
  <c r="L36" i="96"/>
  <c r="L35" i="96"/>
  <c r="L34" i="9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M10" i="96"/>
  <c r="N10" i="96"/>
  <c r="O10" i="96"/>
  <c r="P10" i="96"/>
  <c r="Q10" i="96"/>
  <c r="R10" i="96"/>
  <c r="M11" i="96"/>
  <c r="N11" i="96"/>
  <c r="O11" i="96"/>
  <c r="P11" i="96"/>
  <c r="Q11" i="96"/>
  <c r="R11" i="96"/>
  <c r="M12" i="96"/>
  <c r="N12" i="96"/>
  <c r="O12" i="96"/>
  <c r="P12" i="96"/>
  <c r="Q12" i="96"/>
  <c r="R12" i="96"/>
  <c r="M13" i="96"/>
  <c r="N13" i="96"/>
  <c r="O13" i="96"/>
  <c r="P13" i="96"/>
  <c r="Q13" i="96"/>
  <c r="R13" i="96"/>
  <c r="M14" i="96"/>
  <c r="N14" i="96"/>
  <c r="O14" i="96"/>
  <c r="P14" i="96"/>
  <c r="Q14" i="96"/>
  <c r="R14" i="96"/>
  <c r="M15" i="96"/>
  <c r="N15" i="96"/>
  <c r="O15" i="96"/>
  <c r="P15" i="96"/>
  <c r="Q15" i="96"/>
  <c r="R15" i="96"/>
  <c r="M16" i="96"/>
  <c r="N16" i="96"/>
  <c r="O16" i="96"/>
  <c r="P16" i="96"/>
  <c r="Q16" i="96"/>
  <c r="R16" i="96"/>
  <c r="M17" i="96"/>
  <c r="N17" i="96"/>
  <c r="O17" i="96"/>
  <c r="P17" i="96"/>
  <c r="Q17" i="96"/>
  <c r="R17" i="96"/>
  <c r="M18" i="96"/>
  <c r="N18" i="96"/>
  <c r="O18" i="96"/>
  <c r="P18" i="96"/>
  <c r="Q18" i="96"/>
  <c r="R18" i="96"/>
  <c r="M19" i="96"/>
  <c r="N19" i="96"/>
  <c r="O19" i="96"/>
  <c r="P19" i="96"/>
  <c r="Q19" i="96"/>
  <c r="R19" i="96"/>
  <c r="M20" i="96"/>
  <c r="N20" i="96"/>
  <c r="O20" i="96"/>
  <c r="P20" i="96"/>
  <c r="Q20" i="96"/>
  <c r="R20" i="96"/>
  <c r="M21" i="96"/>
  <c r="N21" i="96"/>
  <c r="O21" i="96"/>
  <c r="P21" i="96"/>
  <c r="Q21" i="96"/>
  <c r="R21" i="96"/>
  <c r="M22" i="96"/>
  <c r="N22" i="96"/>
  <c r="O22" i="96"/>
  <c r="P22" i="96"/>
  <c r="Q22" i="96"/>
  <c r="R22" i="96"/>
  <c r="M23" i="96"/>
  <c r="N23" i="96"/>
  <c r="O23" i="96"/>
  <c r="P23" i="96"/>
  <c r="Q23" i="96"/>
  <c r="R23" i="96"/>
  <c r="M24" i="96"/>
  <c r="N24" i="96"/>
  <c r="O24" i="96"/>
  <c r="P24" i="96"/>
  <c r="Q24" i="96"/>
  <c r="R24" i="96"/>
  <c r="M25" i="96"/>
  <c r="N25" i="96"/>
  <c r="O25" i="96"/>
  <c r="P25" i="96"/>
  <c r="Q25" i="96"/>
  <c r="R25" i="96"/>
  <c r="M26" i="96"/>
  <c r="N26" i="96"/>
  <c r="O26" i="96"/>
  <c r="P26" i="96"/>
  <c r="Q26" i="96"/>
  <c r="R26" i="96"/>
  <c r="M27" i="96"/>
  <c r="N27" i="96"/>
  <c r="O27" i="96"/>
  <c r="P27" i="96"/>
  <c r="Q27" i="96"/>
  <c r="R27" i="96"/>
  <c r="M28" i="96"/>
  <c r="N28" i="96"/>
  <c r="O28" i="96"/>
  <c r="P28" i="96"/>
  <c r="Q28" i="96"/>
  <c r="R28" i="96"/>
  <c r="M29" i="96"/>
  <c r="N29" i="96"/>
  <c r="O29" i="96"/>
  <c r="P29" i="96"/>
  <c r="Q29" i="96"/>
  <c r="R29" i="96"/>
  <c r="M30" i="96"/>
  <c r="N30" i="96"/>
  <c r="O30" i="96"/>
  <c r="P30" i="96"/>
  <c r="Q30" i="96"/>
  <c r="R30" i="96"/>
  <c r="M31" i="96"/>
  <c r="N31" i="96"/>
  <c r="O31" i="96"/>
  <c r="P31" i="96"/>
  <c r="Q31" i="96"/>
  <c r="R31" i="96"/>
  <c r="M32" i="96"/>
  <c r="N32" i="96"/>
  <c r="O32" i="96"/>
  <c r="P32" i="96"/>
  <c r="Q32" i="96"/>
  <c r="R32" i="96"/>
  <c r="M33" i="96"/>
  <c r="N33" i="96"/>
  <c r="O33" i="96"/>
  <c r="P33" i="96"/>
  <c r="Q33" i="96"/>
  <c r="R33" i="96"/>
  <c r="M34" i="96"/>
  <c r="N34" i="96"/>
  <c r="O34" i="96"/>
  <c r="P34" i="96"/>
  <c r="Q34" i="96"/>
  <c r="R34" i="96"/>
  <c r="M35" i="96"/>
  <c r="N35" i="96"/>
  <c r="O35" i="96"/>
  <c r="P35" i="96"/>
  <c r="Q35" i="96"/>
  <c r="R35" i="96"/>
  <c r="M36" i="96"/>
  <c r="N36" i="96"/>
  <c r="O36" i="96"/>
  <c r="P36" i="96"/>
  <c r="Q36" i="96"/>
  <c r="R36" i="96"/>
  <c r="M37" i="96"/>
  <c r="N37" i="96"/>
  <c r="O37" i="96"/>
  <c r="P37" i="96"/>
  <c r="Q37" i="96"/>
  <c r="R37" i="96"/>
  <c r="M38" i="96"/>
  <c r="N38" i="96"/>
  <c r="O38" i="96"/>
  <c r="P38" i="96"/>
  <c r="Q38" i="96"/>
  <c r="R38" i="96"/>
  <c r="M39" i="96"/>
  <c r="N39" i="96"/>
  <c r="O39" i="96"/>
  <c r="P39" i="96"/>
  <c r="Q39" i="96"/>
  <c r="R39" i="96"/>
  <c r="M40" i="96"/>
  <c r="N40" i="96"/>
  <c r="O40" i="96"/>
  <c r="P40" i="96"/>
  <c r="Q40" i="96"/>
  <c r="R40" i="96"/>
  <c r="M41" i="96"/>
  <c r="N41" i="96"/>
  <c r="O41" i="96"/>
  <c r="P41" i="96"/>
  <c r="Q41" i="96"/>
  <c r="R41" i="96"/>
  <c r="M42" i="96"/>
  <c r="N42" i="96"/>
  <c r="O42" i="96"/>
  <c r="P42" i="96"/>
  <c r="Q42" i="96"/>
  <c r="R42" i="96"/>
  <c r="M43" i="96"/>
  <c r="N43" i="96"/>
  <c r="O43" i="96"/>
  <c r="P43" i="96"/>
  <c r="Q43" i="96"/>
  <c r="R43" i="96"/>
  <c r="M44" i="96"/>
  <c r="N44" i="96"/>
  <c r="O44" i="96"/>
  <c r="P44" i="96"/>
  <c r="Q44" i="96"/>
  <c r="R44" i="96"/>
  <c r="M45" i="96"/>
  <c r="N45" i="96"/>
  <c r="O45" i="96"/>
  <c r="P45" i="96"/>
  <c r="Q45" i="96"/>
  <c r="R45" i="96"/>
  <c r="M46" i="96"/>
  <c r="N46" i="96"/>
  <c r="O46" i="96"/>
  <c r="P46" i="96"/>
  <c r="Q46" i="96"/>
  <c r="R46" i="96"/>
  <c r="M47" i="96"/>
  <c r="N47" i="96"/>
  <c r="O47" i="96"/>
  <c r="P47" i="96"/>
  <c r="Q47" i="96"/>
  <c r="R47" i="96"/>
  <c r="M48" i="96"/>
  <c r="N48" i="96"/>
  <c r="O48" i="96"/>
  <c r="P48" i="96"/>
  <c r="Q48" i="96"/>
  <c r="R48" i="96"/>
  <c r="M49" i="96"/>
  <c r="N49" i="96"/>
  <c r="O49" i="96"/>
  <c r="P49" i="96"/>
  <c r="Q49" i="96"/>
  <c r="R49" i="96"/>
  <c r="M50" i="96"/>
  <c r="N50" i="96"/>
  <c r="O50" i="96"/>
  <c r="P50" i="96"/>
  <c r="Q50" i="96"/>
  <c r="R50" i="96"/>
  <c r="M51" i="96"/>
  <c r="N51" i="96"/>
  <c r="O51" i="96"/>
  <c r="P51" i="96"/>
  <c r="Q51" i="96"/>
  <c r="R51" i="96"/>
  <c r="M52" i="96"/>
  <c r="N52" i="96"/>
  <c r="O52" i="96"/>
  <c r="P52" i="96"/>
  <c r="Q52" i="96"/>
  <c r="R52" i="96"/>
  <c r="M53" i="96"/>
  <c r="N53" i="96"/>
  <c r="O53" i="96"/>
  <c r="P53" i="96"/>
  <c r="Q53" i="96"/>
  <c r="R53" i="96"/>
  <c r="M54" i="96"/>
  <c r="N54" i="96"/>
  <c r="O54" i="96"/>
  <c r="P54" i="96"/>
  <c r="Q54" i="96"/>
  <c r="R54" i="96"/>
  <c r="M55" i="96"/>
  <c r="N55" i="96"/>
  <c r="O55" i="96"/>
  <c r="P55" i="96"/>
  <c r="Q55" i="96"/>
  <c r="R55" i="96"/>
  <c r="M56" i="96"/>
  <c r="N56" i="96"/>
  <c r="O56" i="96"/>
  <c r="P56" i="96"/>
  <c r="Q56" i="96"/>
  <c r="R56" i="96"/>
  <c r="M57" i="96"/>
  <c r="N57" i="96"/>
  <c r="O57" i="96"/>
  <c r="P57" i="96"/>
  <c r="Q57" i="96"/>
  <c r="R57" i="96"/>
  <c r="M58" i="96"/>
  <c r="N58" i="96"/>
  <c r="O58" i="96"/>
  <c r="P58" i="96"/>
  <c r="Q58" i="96"/>
  <c r="R58" i="96"/>
  <c r="M59" i="96"/>
  <c r="N59" i="96"/>
  <c r="O59" i="96"/>
  <c r="P59" i="96"/>
  <c r="Q59" i="96"/>
  <c r="R59" i="96"/>
  <c r="M60" i="96"/>
  <c r="N60" i="96"/>
  <c r="O60" i="96"/>
  <c r="P60" i="96"/>
  <c r="Q60" i="96"/>
  <c r="R60" i="96"/>
  <c r="M61" i="96"/>
  <c r="N61" i="96"/>
  <c r="O61" i="96"/>
  <c r="P61" i="96"/>
  <c r="Q61" i="96"/>
  <c r="R61" i="96"/>
  <c r="M62" i="96"/>
  <c r="N62" i="96"/>
  <c r="O62" i="96"/>
  <c r="P62" i="96"/>
  <c r="Q62" i="96"/>
  <c r="R62" i="96"/>
  <c r="M63" i="96"/>
  <c r="N63" i="96"/>
  <c r="O63" i="96"/>
  <c r="P63" i="96"/>
  <c r="Q63" i="96"/>
  <c r="R63" i="96"/>
  <c r="M64" i="96"/>
  <c r="N64" i="96"/>
  <c r="O64" i="96"/>
  <c r="P64" i="96"/>
  <c r="Q64" i="96"/>
  <c r="R64" i="96"/>
  <c r="M65" i="96"/>
  <c r="N65" i="96"/>
  <c r="O65" i="96"/>
  <c r="P65" i="96"/>
  <c r="Q65" i="96"/>
  <c r="R65" i="96"/>
  <c r="M66" i="96"/>
  <c r="N66" i="96"/>
  <c r="O66" i="96"/>
  <c r="P66" i="96"/>
  <c r="Q66" i="96"/>
  <c r="R66" i="96"/>
  <c r="M67" i="96"/>
  <c r="N67" i="96"/>
  <c r="O67" i="96"/>
  <c r="P67" i="96"/>
  <c r="Q67" i="96"/>
  <c r="R67" i="96"/>
  <c r="M68" i="96"/>
  <c r="N68" i="96"/>
  <c r="O68" i="96"/>
  <c r="P68" i="96"/>
  <c r="Q68" i="96"/>
  <c r="R68" i="96"/>
  <c r="M69" i="96"/>
  <c r="N69" i="96"/>
  <c r="O69" i="96"/>
  <c r="P69" i="96"/>
  <c r="Q69" i="96"/>
  <c r="R69" i="96"/>
  <c r="M70" i="96"/>
  <c r="N70" i="96"/>
  <c r="O70" i="96"/>
  <c r="P70" i="96"/>
  <c r="Q70" i="96"/>
  <c r="R70" i="96"/>
  <c r="M71" i="96"/>
  <c r="N71" i="96"/>
  <c r="O71" i="96"/>
  <c r="P71" i="96"/>
  <c r="Q71" i="96"/>
  <c r="R71" i="96"/>
  <c r="M72" i="96"/>
  <c r="N72" i="96"/>
  <c r="O72" i="96"/>
  <c r="P72" i="96"/>
  <c r="Q72" i="96"/>
  <c r="R72" i="96"/>
  <c r="M73" i="96"/>
  <c r="N73" i="96"/>
  <c r="O73" i="96"/>
  <c r="P73" i="96"/>
  <c r="Q73" i="96"/>
  <c r="R73" i="96"/>
  <c r="R2" i="96"/>
  <c r="Q2" i="96"/>
  <c r="P2" i="96"/>
  <c r="O2" i="96"/>
  <c r="N2" i="96"/>
  <c r="M2" i="96"/>
  <c r="G3" i="96"/>
  <c r="H3" i="96"/>
  <c r="C3" i="96"/>
  <c r="G4" i="96"/>
  <c r="H4" i="96"/>
  <c r="C4" i="96"/>
  <c r="G5" i="96"/>
  <c r="H5" i="96"/>
  <c r="C5" i="96"/>
  <c r="G6" i="96"/>
  <c r="H6" i="96"/>
  <c r="C6" i="96"/>
  <c r="G7" i="96"/>
  <c r="H7" i="96"/>
  <c r="C7" i="96"/>
  <c r="G8" i="96"/>
  <c r="H8" i="96"/>
  <c r="C8" i="96"/>
  <c r="G9" i="96"/>
  <c r="H9" i="96"/>
  <c r="C9" i="96"/>
  <c r="G10" i="96"/>
  <c r="H10" i="96"/>
  <c r="C10" i="96"/>
  <c r="G11" i="96"/>
  <c r="H11" i="96"/>
  <c r="C11" i="96"/>
  <c r="G12" i="96"/>
  <c r="H12" i="96"/>
  <c r="C12" i="96"/>
  <c r="G13" i="96"/>
  <c r="H13" i="96"/>
  <c r="C13" i="96"/>
  <c r="G14" i="96"/>
  <c r="H14" i="96"/>
  <c r="C14" i="96"/>
  <c r="G15" i="96"/>
  <c r="H15" i="96"/>
  <c r="C15" i="96"/>
  <c r="G16" i="96"/>
  <c r="H16" i="96"/>
  <c r="C16" i="96"/>
  <c r="G17" i="96"/>
  <c r="H17" i="96"/>
  <c r="C17" i="96"/>
  <c r="G18" i="96"/>
  <c r="H18" i="96"/>
  <c r="C18" i="96"/>
  <c r="G19" i="96"/>
  <c r="H19" i="96"/>
  <c r="C19" i="96"/>
  <c r="G20" i="96"/>
  <c r="H20" i="96"/>
  <c r="C20" i="96"/>
  <c r="G21" i="96"/>
  <c r="H21" i="96"/>
  <c r="C21" i="96"/>
  <c r="G22" i="96"/>
  <c r="H22" i="96"/>
  <c r="C22" i="96"/>
  <c r="G23" i="96"/>
  <c r="H23" i="96"/>
  <c r="C23" i="96"/>
  <c r="G24" i="96"/>
  <c r="H24" i="96"/>
  <c r="C24" i="96"/>
  <c r="G25" i="96"/>
  <c r="H25" i="96"/>
  <c r="C25" i="96"/>
  <c r="G26" i="96"/>
  <c r="H26" i="96"/>
  <c r="C26" i="96"/>
  <c r="G27" i="96"/>
  <c r="H27" i="96"/>
  <c r="C27" i="96"/>
  <c r="G28" i="96"/>
  <c r="H28" i="96"/>
  <c r="C28" i="96"/>
  <c r="G29" i="96"/>
  <c r="H29" i="96"/>
  <c r="C29" i="96"/>
  <c r="G30" i="96"/>
  <c r="H30" i="96"/>
  <c r="C30" i="96"/>
  <c r="G31" i="96"/>
  <c r="H31" i="96"/>
  <c r="C31" i="96"/>
  <c r="G32" i="96"/>
  <c r="H32" i="96"/>
  <c r="C32" i="96"/>
  <c r="G33" i="96"/>
  <c r="H33" i="96"/>
  <c r="C33" i="96"/>
  <c r="G34" i="96"/>
  <c r="H34" i="96"/>
  <c r="C34" i="96"/>
  <c r="G35" i="96"/>
  <c r="H35" i="96"/>
  <c r="C35" i="96"/>
  <c r="G36" i="96"/>
  <c r="H36" i="96"/>
  <c r="C36" i="96"/>
  <c r="G37" i="96"/>
  <c r="H37" i="96"/>
  <c r="C37" i="96"/>
  <c r="G38" i="96"/>
  <c r="H38" i="96"/>
  <c r="C38" i="96"/>
  <c r="G39" i="96"/>
  <c r="H39" i="96"/>
  <c r="C39" i="96"/>
  <c r="G40" i="96"/>
  <c r="H40" i="96"/>
  <c r="C40" i="96"/>
  <c r="G41" i="96"/>
  <c r="H41" i="96"/>
  <c r="C41" i="96"/>
  <c r="G42" i="96"/>
  <c r="H42" i="96"/>
  <c r="C42" i="96"/>
  <c r="G43" i="96"/>
  <c r="H43" i="96"/>
  <c r="C43" i="96"/>
  <c r="G44" i="96"/>
  <c r="H44" i="96"/>
  <c r="C44" i="96"/>
  <c r="G45" i="96"/>
  <c r="H45" i="96"/>
  <c r="C45" i="96"/>
  <c r="G46" i="96"/>
  <c r="H46" i="96"/>
  <c r="C46" i="96"/>
  <c r="G47" i="96"/>
  <c r="H47" i="96"/>
  <c r="C47" i="96"/>
  <c r="G48" i="96"/>
  <c r="H48" i="96"/>
  <c r="C48" i="96"/>
  <c r="G49" i="96"/>
  <c r="H49" i="96"/>
  <c r="C49" i="96"/>
  <c r="G50" i="96"/>
  <c r="H50" i="96"/>
  <c r="C50" i="96"/>
  <c r="G51" i="96"/>
  <c r="H51" i="96"/>
  <c r="C51" i="96"/>
  <c r="G52" i="96"/>
  <c r="H52" i="96"/>
  <c r="C52" i="96"/>
  <c r="G53" i="96"/>
  <c r="H53" i="96"/>
  <c r="C53" i="96"/>
  <c r="G54" i="96"/>
  <c r="H54" i="96"/>
  <c r="C54" i="96"/>
  <c r="G55" i="96"/>
  <c r="H55" i="96"/>
  <c r="C55" i="96"/>
  <c r="G56" i="96"/>
  <c r="H56" i="96"/>
  <c r="C56" i="96"/>
  <c r="G57" i="96"/>
  <c r="H57" i="96"/>
  <c r="C57" i="96"/>
  <c r="G58" i="96"/>
  <c r="H58" i="96"/>
  <c r="C58" i="96"/>
  <c r="G59" i="96"/>
  <c r="H59" i="96"/>
  <c r="C59" i="96"/>
  <c r="G60" i="96"/>
  <c r="H60" i="96"/>
  <c r="C60" i="96"/>
  <c r="G61" i="96"/>
  <c r="H61" i="96"/>
  <c r="C61" i="96"/>
  <c r="G62" i="96"/>
  <c r="H62" i="96"/>
  <c r="C62" i="96"/>
  <c r="G63" i="96"/>
  <c r="H63" i="96"/>
  <c r="C63" i="96"/>
  <c r="G64" i="96"/>
  <c r="H64" i="96"/>
  <c r="C64" i="96"/>
  <c r="G65" i="96"/>
  <c r="H65" i="96"/>
  <c r="C65" i="96"/>
  <c r="G66" i="96"/>
  <c r="H66" i="96"/>
  <c r="C66" i="96"/>
  <c r="G67" i="96"/>
  <c r="H67" i="96"/>
  <c r="C67" i="96"/>
  <c r="G68" i="96"/>
  <c r="H68" i="96"/>
  <c r="C68" i="96"/>
  <c r="G69" i="96"/>
  <c r="H69" i="96"/>
  <c r="C69" i="96"/>
  <c r="G70" i="96"/>
  <c r="H70" i="96"/>
  <c r="C70" i="96"/>
  <c r="G71" i="96"/>
  <c r="H71" i="96"/>
  <c r="C71" i="96"/>
  <c r="G72" i="96"/>
  <c r="H72" i="96"/>
  <c r="C72" i="96"/>
  <c r="G73" i="96"/>
  <c r="H73" i="96"/>
  <c r="C73" i="96"/>
  <c r="F3" i="96"/>
  <c r="I3" i="96"/>
  <c r="J3" i="96"/>
  <c r="K3" i="96"/>
  <c r="F4" i="96"/>
  <c r="I4" i="96"/>
  <c r="J4" i="96"/>
  <c r="K4" i="96"/>
  <c r="F5" i="96"/>
  <c r="I5" i="96"/>
  <c r="J5" i="96"/>
  <c r="K5" i="96"/>
  <c r="F6" i="96"/>
  <c r="I6" i="96"/>
  <c r="J6" i="96"/>
  <c r="K6" i="96"/>
  <c r="F7" i="96"/>
  <c r="I7" i="96"/>
  <c r="J7" i="96"/>
  <c r="K7" i="96"/>
  <c r="F8" i="96"/>
  <c r="I8" i="96"/>
  <c r="J8" i="96"/>
  <c r="K8" i="96"/>
  <c r="F9" i="96"/>
  <c r="I9" i="96"/>
  <c r="J9" i="96"/>
  <c r="K9" i="96"/>
  <c r="F10" i="96"/>
  <c r="I10" i="96"/>
  <c r="J10" i="96"/>
  <c r="K10" i="96"/>
  <c r="F11" i="96"/>
  <c r="I11" i="96"/>
  <c r="J11" i="96"/>
  <c r="K11" i="96"/>
  <c r="F12" i="96"/>
  <c r="I12" i="96"/>
  <c r="J12" i="96"/>
  <c r="K12" i="96"/>
  <c r="F13" i="96"/>
  <c r="I13" i="96"/>
  <c r="J13" i="96"/>
  <c r="K13" i="96"/>
  <c r="F14" i="96"/>
  <c r="I14" i="96"/>
  <c r="J14" i="96"/>
  <c r="K14" i="96"/>
  <c r="F15" i="96"/>
  <c r="I15" i="96"/>
  <c r="J15" i="96"/>
  <c r="K15" i="96"/>
  <c r="F16" i="96"/>
  <c r="I16" i="96"/>
  <c r="J16" i="96"/>
  <c r="K16" i="96"/>
  <c r="F17" i="96"/>
  <c r="I17" i="96"/>
  <c r="J17" i="96"/>
  <c r="K17" i="96"/>
  <c r="F18" i="96"/>
  <c r="I18" i="96"/>
  <c r="J18" i="96"/>
  <c r="K18" i="96"/>
  <c r="F19" i="96"/>
  <c r="I19" i="96"/>
  <c r="J19" i="96"/>
  <c r="K19" i="96"/>
  <c r="F20" i="96"/>
  <c r="I20" i="96"/>
  <c r="J20" i="96"/>
  <c r="K20" i="96"/>
  <c r="F21" i="96"/>
  <c r="I21" i="96"/>
  <c r="J21" i="96"/>
  <c r="K21" i="96"/>
  <c r="F22" i="96"/>
  <c r="I22" i="96"/>
  <c r="J22" i="96"/>
  <c r="K22" i="96"/>
  <c r="F23" i="96"/>
  <c r="I23" i="96"/>
  <c r="J23" i="96"/>
  <c r="K23" i="96"/>
  <c r="F24" i="96"/>
  <c r="I24" i="96"/>
  <c r="J24" i="96"/>
  <c r="K24" i="96"/>
  <c r="F25" i="96"/>
  <c r="I25" i="96"/>
  <c r="J25" i="96"/>
  <c r="K25" i="96"/>
  <c r="F26" i="96"/>
  <c r="I26" i="96"/>
  <c r="J26" i="96"/>
  <c r="K26" i="96"/>
  <c r="F27" i="96"/>
  <c r="I27" i="96"/>
  <c r="J27" i="96"/>
  <c r="K27" i="96"/>
  <c r="F28" i="96"/>
  <c r="I28" i="96"/>
  <c r="J28" i="96"/>
  <c r="K28" i="96"/>
  <c r="F29" i="96"/>
  <c r="I29" i="96"/>
  <c r="J29" i="96"/>
  <c r="K29" i="96"/>
  <c r="F30" i="96"/>
  <c r="I30" i="96"/>
  <c r="J30" i="96"/>
  <c r="K30" i="96"/>
  <c r="F31" i="96"/>
  <c r="I31" i="96"/>
  <c r="J31" i="96"/>
  <c r="K31" i="96"/>
  <c r="F32" i="96"/>
  <c r="I32" i="96"/>
  <c r="J32" i="96"/>
  <c r="K32" i="96"/>
  <c r="F33" i="96"/>
  <c r="I33" i="96"/>
  <c r="J33" i="96"/>
  <c r="K33" i="96"/>
  <c r="F34" i="96"/>
  <c r="I34" i="96"/>
  <c r="J34" i="96"/>
  <c r="K34" i="96"/>
  <c r="F35" i="96"/>
  <c r="I35" i="96"/>
  <c r="J35" i="96"/>
  <c r="K35" i="96"/>
  <c r="F36" i="96"/>
  <c r="I36" i="96"/>
  <c r="J36" i="96"/>
  <c r="K36" i="96"/>
  <c r="F37" i="96"/>
  <c r="I37" i="96"/>
  <c r="J37" i="96"/>
  <c r="K37" i="96"/>
  <c r="F38" i="96"/>
  <c r="I38" i="96"/>
  <c r="J38" i="96"/>
  <c r="K38" i="96"/>
  <c r="F39" i="96"/>
  <c r="I39" i="96"/>
  <c r="J39" i="96"/>
  <c r="K39" i="96"/>
  <c r="F40" i="96"/>
  <c r="I40" i="96"/>
  <c r="J40" i="96"/>
  <c r="K40" i="96"/>
  <c r="F41" i="96"/>
  <c r="I41" i="96"/>
  <c r="J41" i="96"/>
  <c r="K41" i="96"/>
  <c r="F42" i="96"/>
  <c r="I42" i="96"/>
  <c r="J42" i="96"/>
  <c r="K42" i="96"/>
  <c r="F43" i="96"/>
  <c r="I43" i="96"/>
  <c r="J43" i="96"/>
  <c r="K43" i="96"/>
  <c r="F44" i="96"/>
  <c r="I44" i="96"/>
  <c r="J44" i="96"/>
  <c r="K44" i="96"/>
  <c r="F45" i="96"/>
  <c r="I45" i="96"/>
  <c r="J45" i="96"/>
  <c r="K45" i="96"/>
  <c r="F46" i="96"/>
  <c r="I46" i="96"/>
  <c r="J46" i="96"/>
  <c r="K46" i="96"/>
  <c r="F47" i="96"/>
  <c r="I47" i="96"/>
  <c r="J47" i="96"/>
  <c r="K47" i="96"/>
  <c r="F48" i="96"/>
  <c r="I48" i="96"/>
  <c r="J48" i="96"/>
  <c r="K48" i="96"/>
  <c r="F49" i="96"/>
  <c r="I49" i="96"/>
  <c r="J49" i="96"/>
  <c r="K49" i="96"/>
  <c r="F50" i="96"/>
  <c r="I50" i="96"/>
  <c r="J50" i="96"/>
  <c r="K50" i="96"/>
  <c r="F51" i="96"/>
  <c r="I51" i="96"/>
  <c r="J51" i="96"/>
  <c r="K51" i="96"/>
  <c r="F52" i="96"/>
  <c r="I52" i="96"/>
  <c r="J52" i="96"/>
  <c r="K52" i="96"/>
  <c r="F53" i="96"/>
  <c r="I53" i="96"/>
  <c r="J53" i="96"/>
  <c r="K53" i="96"/>
  <c r="F54" i="96"/>
  <c r="I54" i="96"/>
  <c r="J54" i="96"/>
  <c r="K54" i="96"/>
  <c r="F55" i="96"/>
  <c r="I55" i="96"/>
  <c r="J55" i="96"/>
  <c r="K55" i="96"/>
  <c r="F56" i="96"/>
  <c r="I56" i="96"/>
  <c r="J56" i="96"/>
  <c r="K56" i="96"/>
  <c r="F57" i="96"/>
  <c r="I57" i="96"/>
  <c r="J57" i="96"/>
  <c r="K57" i="96"/>
  <c r="F58" i="96"/>
  <c r="I58" i="96"/>
  <c r="J58" i="96"/>
  <c r="K58" i="96"/>
  <c r="F59" i="96"/>
  <c r="I59" i="96"/>
  <c r="J59" i="96"/>
  <c r="K59" i="96"/>
  <c r="F60" i="96"/>
  <c r="I60" i="96"/>
  <c r="J60" i="96"/>
  <c r="K60" i="96"/>
  <c r="F61" i="96"/>
  <c r="I61" i="96"/>
  <c r="J61" i="96"/>
  <c r="K61" i="96"/>
  <c r="F62" i="96"/>
  <c r="I62" i="96"/>
  <c r="J62" i="96"/>
  <c r="K62" i="96"/>
  <c r="F63" i="96"/>
  <c r="I63" i="96"/>
  <c r="J63" i="96"/>
  <c r="K63" i="96"/>
  <c r="F64" i="96"/>
  <c r="I64" i="96"/>
  <c r="J64" i="96"/>
  <c r="K64" i="96"/>
  <c r="F65" i="96"/>
  <c r="I65" i="96"/>
  <c r="J65" i="96"/>
  <c r="K65" i="96"/>
  <c r="F66" i="96"/>
  <c r="I66" i="96"/>
  <c r="J66" i="96"/>
  <c r="K66" i="96"/>
  <c r="F67" i="96"/>
  <c r="I67" i="96"/>
  <c r="J67" i="96"/>
  <c r="K67" i="96"/>
  <c r="F68" i="96"/>
  <c r="I68" i="96"/>
  <c r="J68" i="96"/>
  <c r="K68" i="96"/>
  <c r="F69" i="96"/>
  <c r="I69" i="96"/>
  <c r="J69" i="96"/>
  <c r="K69" i="96"/>
  <c r="F70" i="96"/>
  <c r="I70" i="96"/>
  <c r="J70" i="96"/>
  <c r="K70" i="96"/>
  <c r="F71" i="96"/>
  <c r="I71" i="96"/>
  <c r="J71" i="96"/>
  <c r="K71" i="96"/>
  <c r="F72" i="96"/>
  <c r="I72" i="96"/>
  <c r="J72" i="96"/>
  <c r="K72" i="96"/>
  <c r="F73" i="96"/>
  <c r="I73" i="96"/>
  <c r="J73" i="96"/>
  <c r="K73" i="96"/>
  <c r="G2" i="96"/>
  <c r="H2" i="96"/>
  <c r="C2" i="96"/>
  <c r="K2" i="96"/>
  <c r="J2" i="96"/>
  <c r="I2" i="96"/>
  <c r="F2" i="9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I3" i="82"/>
  <c r="D3" i="82"/>
  <c r="I4" i="82"/>
  <c r="D4" i="82"/>
  <c r="I5" i="82"/>
  <c r="D5" i="82"/>
  <c r="I6" i="82"/>
  <c r="D6" i="82"/>
  <c r="I7" i="82"/>
  <c r="D7" i="82"/>
  <c r="I8" i="82"/>
  <c r="D8" i="82"/>
  <c r="I9" i="82"/>
  <c r="D9" i="82"/>
  <c r="I10" i="82"/>
  <c r="D10" i="82"/>
  <c r="I11" i="82"/>
  <c r="D11" i="82"/>
  <c r="I12" i="82"/>
  <c r="D12" i="82"/>
  <c r="I13" i="82"/>
  <c r="D13" i="82"/>
  <c r="I14" i="82"/>
  <c r="D14" i="82"/>
  <c r="I15" i="82"/>
  <c r="D15" i="82"/>
  <c r="I16" i="82"/>
  <c r="D16" i="82"/>
  <c r="I17" i="82"/>
  <c r="D17" i="82"/>
  <c r="I18" i="82"/>
  <c r="D18" i="82"/>
  <c r="I19" i="82"/>
  <c r="D19" i="82"/>
  <c r="I20" i="82"/>
  <c r="D20" i="82"/>
  <c r="I21" i="82"/>
  <c r="D21" i="82"/>
  <c r="I22" i="82"/>
  <c r="D22" i="82"/>
  <c r="I23" i="82"/>
  <c r="D23" i="82"/>
  <c r="I24" i="82"/>
  <c r="D24" i="82"/>
  <c r="I25" i="82"/>
  <c r="D25" i="82"/>
  <c r="I26" i="82"/>
  <c r="D26" i="82"/>
  <c r="I27" i="82"/>
  <c r="D27" i="82"/>
  <c r="I28" i="82"/>
  <c r="D28" i="82"/>
  <c r="I29" i="82"/>
  <c r="D29" i="82"/>
  <c r="I30" i="82"/>
  <c r="D30" i="82"/>
  <c r="I31" i="82"/>
  <c r="D31" i="82"/>
  <c r="I32" i="82"/>
  <c r="D32" i="82"/>
  <c r="I33" i="82"/>
  <c r="D33" i="82"/>
  <c r="I34" i="82"/>
  <c r="D34" i="82"/>
  <c r="I35" i="82"/>
  <c r="D35" i="82"/>
  <c r="I36" i="82"/>
  <c r="D36" i="82"/>
  <c r="I37" i="82"/>
  <c r="D37" i="82"/>
  <c r="I38" i="82"/>
  <c r="D38" i="82"/>
  <c r="I39" i="82"/>
  <c r="D39" i="82"/>
  <c r="I40" i="82"/>
  <c r="D40" i="82"/>
  <c r="I41" i="82"/>
  <c r="D41" i="82"/>
  <c r="I42" i="82"/>
  <c r="D42" i="82"/>
  <c r="I43" i="82"/>
  <c r="D43" i="82"/>
  <c r="I44" i="82"/>
  <c r="D44" i="82"/>
  <c r="I45" i="82"/>
  <c r="D45" i="82"/>
  <c r="I46" i="82"/>
  <c r="D46" i="82"/>
  <c r="I47" i="82"/>
  <c r="D47" i="82"/>
  <c r="I48" i="82"/>
  <c r="D48" i="82"/>
  <c r="I49" i="82"/>
  <c r="D49" i="82"/>
  <c r="I50" i="82"/>
  <c r="D50" i="82"/>
  <c r="I51" i="82"/>
  <c r="D51" i="82"/>
  <c r="I52" i="82"/>
  <c r="D52" i="82"/>
  <c r="I53" i="82"/>
  <c r="D53" i="82"/>
  <c r="I54" i="82"/>
  <c r="D54" i="82"/>
  <c r="I55" i="82"/>
  <c r="D55" i="82"/>
  <c r="I56" i="82"/>
  <c r="D56" i="82"/>
  <c r="I57" i="82"/>
  <c r="D57" i="82"/>
  <c r="I58" i="82"/>
  <c r="D58" i="82"/>
  <c r="I59" i="82"/>
  <c r="D59" i="82"/>
  <c r="I60" i="82"/>
  <c r="D60" i="82"/>
  <c r="I61" i="82"/>
  <c r="D61" i="82"/>
  <c r="I62" i="82"/>
  <c r="D62" i="82"/>
  <c r="I63" i="82"/>
  <c r="D63" i="82"/>
  <c r="I64" i="82"/>
  <c r="D64" i="82"/>
  <c r="I65" i="82"/>
  <c r="D65" i="82"/>
  <c r="I66" i="82"/>
  <c r="D66" i="82"/>
  <c r="I67" i="82"/>
  <c r="D67" i="82"/>
  <c r="I68" i="82"/>
  <c r="D68" i="82"/>
  <c r="I69" i="82"/>
  <c r="D69" i="82"/>
  <c r="I70" i="82"/>
  <c r="D70" i="82"/>
  <c r="I71" i="82"/>
  <c r="D71" i="82"/>
  <c r="I72" i="82"/>
  <c r="D72" i="82"/>
  <c r="I73" i="82"/>
  <c r="D73" i="82"/>
  <c r="I74" i="82"/>
  <c r="D74" i="82"/>
  <c r="I75" i="82"/>
  <c r="D75" i="82"/>
  <c r="I76" i="82"/>
  <c r="D76" i="82"/>
  <c r="I77" i="82"/>
  <c r="D77" i="82"/>
  <c r="I78" i="82"/>
  <c r="D78" i="82"/>
  <c r="I79" i="82"/>
  <c r="D79" i="82"/>
  <c r="I80" i="82"/>
  <c r="D80" i="82"/>
  <c r="I81" i="82"/>
  <c r="D81" i="82"/>
  <c r="I82" i="82"/>
  <c r="D82" i="82"/>
  <c r="I83" i="82"/>
  <c r="D83" i="82"/>
  <c r="I84" i="82"/>
  <c r="D84" i="82"/>
  <c r="I85" i="82"/>
  <c r="D85" i="82"/>
  <c r="I86" i="82"/>
  <c r="D86" i="82"/>
  <c r="I87" i="82"/>
  <c r="D87" i="82"/>
  <c r="I88" i="82"/>
  <c r="D88" i="82"/>
  <c r="I89" i="82"/>
  <c r="D89" i="82"/>
  <c r="I90" i="82"/>
  <c r="D90" i="82"/>
  <c r="I91" i="82"/>
  <c r="D91" i="82"/>
  <c r="I92" i="82"/>
  <c r="D92" i="82"/>
  <c r="I93" i="82"/>
  <c r="D93" i="82"/>
  <c r="I94" i="82"/>
  <c r="D94" i="82"/>
  <c r="I95" i="82"/>
  <c r="D95" i="82"/>
  <c r="I96" i="82"/>
  <c r="D96" i="82"/>
  <c r="I97" i="82"/>
  <c r="D97" i="82"/>
  <c r="I98" i="82"/>
  <c r="D98" i="82"/>
  <c r="I99" i="82"/>
  <c r="D99" i="82"/>
  <c r="I100" i="82"/>
  <c r="D100" i="82"/>
  <c r="I101" i="82"/>
  <c r="D101" i="82"/>
  <c r="I102" i="82"/>
  <c r="D102" i="82"/>
  <c r="I103" i="82"/>
  <c r="D103" i="82"/>
  <c r="I104" i="82"/>
  <c r="D104" i="82"/>
  <c r="I105" i="82"/>
  <c r="D105" i="82"/>
  <c r="I106" i="82"/>
  <c r="D106" i="82"/>
  <c r="I107" i="82"/>
  <c r="D107" i="82"/>
  <c r="I108" i="82"/>
  <c r="D108" i="82"/>
  <c r="I109" i="82"/>
  <c r="D109" i="82"/>
  <c r="I110" i="82"/>
  <c r="D110" i="82"/>
  <c r="I111" i="82"/>
  <c r="D111" i="82"/>
  <c r="I112" i="82"/>
  <c r="D112" i="82"/>
  <c r="I113" i="82"/>
  <c r="D113" i="82"/>
  <c r="I114" i="82"/>
  <c r="D114" i="82"/>
  <c r="I115" i="82"/>
  <c r="D115" i="82"/>
  <c r="I116" i="82"/>
  <c r="D116" i="82"/>
  <c r="I117" i="82"/>
  <c r="D117" i="82"/>
  <c r="I118" i="82"/>
  <c r="D118" i="82"/>
  <c r="I119" i="82"/>
  <c r="D119" i="82"/>
  <c r="I120" i="82"/>
  <c r="D120" i="82"/>
  <c r="I121" i="82"/>
  <c r="D121" i="82"/>
  <c r="I122" i="82"/>
  <c r="D122" i="82"/>
  <c r="I123" i="82"/>
  <c r="D123" i="82"/>
  <c r="I124" i="82"/>
  <c r="D124" i="82"/>
  <c r="I125" i="82"/>
  <c r="D125" i="82"/>
  <c r="I126" i="82"/>
  <c r="D126" i="82"/>
  <c r="I127" i="82"/>
  <c r="D127" i="82"/>
  <c r="I128" i="82"/>
  <c r="D128" i="82"/>
  <c r="I129" i="82"/>
  <c r="D129" i="82"/>
  <c r="I130" i="82"/>
  <c r="D130" i="82"/>
  <c r="I131" i="82"/>
  <c r="D131" i="82"/>
  <c r="I132" i="82"/>
  <c r="D132" i="82"/>
  <c r="I133" i="82"/>
  <c r="D133" i="82"/>
  <c r="I134" i="82"/>
  <c r="D134" i="82"/>
  <c r="I135" i="82"/>
  <c r="D135" i="82"/>
  <c r="I136" i="82"/>
  <c r="D136" i="82"/>
  <c r="I137" i="82"/>
  <c r="D137" i="82"/>
  <c r="I138" i="82"/>
  <c r="D138" i="82"/>
  <c r="I139" i="82"/>
  <c r="D139" i="82"/>
  <c r="I140" i="82"/>
  <c r="D140" i="82"/>
  <c r="I141" i="82"/>
  <c r="D141" i="82"/>
  <c r="I142" i="82"/>
  <c r="D142" i="82"/>
  <c r="I143" i="82"/>
  <c r="D143" i="82"/>
  <c r="I144" i="82"/>
  <c r="D144" i="82"/>
  <c r="I145" i="82"/>
  <c r="D145" i="82"/>
  <c r="I146" i="82"/>
  <c r="D146" i="82"/>
  <c r="I147" i="82"/>
  <c r="D147" i="82"/>
  <c r="I148" i="82"/>
  <c r="D148" i="82"/>
  <c r="I149" i="82"/>
  <c r="D149" i="82"/>
  <c r="I150" i="82"/>
  <c r="D150" i="82"/>
  <c r="I151" i="82"/>
  <c r="D151" i="82"/>
  <c r="I152" i="82"/>
  <c r="D152" i="82"/>
  <c r="I153" i="82"/>
  <c r="D153" i="82"/>
  <c r="I154" i="82"/>
  <c r="D154" i="82"/>
  <c r="I155" i="82"/>
  <c r="D155" i="82"/>
  <c r="I156" i="82"/>
  <c r="D156" i="82"/>
  <c r="I157" i="82"/>
  <c r="D157" i="82"/>
  <c r="I158" i="82"/>
  <c r="D158" i="82"/>
  <c r="I159" i="82"/>
  <c r="D159" i="82"/>
  <c r="I160" i="82"/>
  <c r="D160" i="82"/>
  <c r="I161" i="82"/>
  <c r="D161" i="82"/>
  <c r="I162" i="82"/>
  <c r="D162" i="82"/>
  <c r="I163" i="82"/>
  <c r="D163" i="82"/>
  <c r="I164" i="82"/>
  <c r="D164" i="82"/>
  <c r="I165" i="82"/>
  <c r="D165" i="82"/>
  <c r="I166" i="82"/>
  <c r="D166" i="82"/>
  <c r="I167" i="82"/>
  <c r="D167" i="82"/>
  <c r="I168" i="82"/>
  <c r="D168" i="82"/>
  <c r="I169" i="82"/>
  <c r="D169" i="82"/>
  <c r="I170" i="82"/>
  <c r="D170" i="82"/>
  <c r="I171" i="82"/>
  <c r="D171" i="82"/>
  <c r="I172" i="82"/>
  <c r="D172" i="82"/>
  <c r="I173" i="82"/>
  <c r="D173" i="82"/>
  <c r="I174" i="82"/>
  <c r="D174" i="82"/>
  <c r="I175" i="82"/>
  <c r="D175" i="82"/>
  <c r="I176" i="82"/>
  <c r="D176" i="82"/>
  <c r="I177" i="82"/>
  <c r="D177" i="82"/>
  <c r="I178" i="82"/>
  <c r="D178" i="82"/>
  <c r="I179" i="82"/>
  <c r="D179" i="82"/>
  <c r="I180" i="82"/>
  <c r="D180" i="82"/>
  <c r="I181" i="82"/>
  <c r="D181" i="82"/>
  <c r="I182" i="82"/>
  <c r="D182" i="82"/>
  <c r="I183" i="82"/>
  <c r="D183" i="82"/>
  <c r="I184" i="82"/>
  <c r="D184" i="82"/>
  <c r="I185" i="82"/>
  <c r="D185" i="82"/>
  <c r="I186" i="82"/>
  <c r="D186" i="82"/>
  <c r="I187" i="82"/>
  <c r="D187" i="82"/>
  <c r="I188" i="82"/>
  <c r="D188" i="82"/>
  <c r="I189" i="82"/>
  <c r="D189" i="82"/>
  <c r="I190" i="82"/>
  <c r="D190" i="82"/>
  <c r="I191" i="82"/>
  <c r="D191" i="82"/>
  <c r="I192" i="82"/>
  <c r="D192" i="82"/>
  <c r="I193" i="82"/>
  <c r="D193" i="82"/>
  <c r="I194" i="82"/>
  <c r="D194" i="82"/>
  <c r="I195" i="82"/>
  <c r="D195" i="82"/>
  <c r="I196" i="82"/>
  <c r="D196" i="82"/>
  <c r="I197" i="82"/>
  <c r="D197" i="82"/>
  <c r="I198" i="82"/>
  <c r="D198" i="82"/>
  <c r="I199" i="82"/>
  <c r="D199" i="82"/>
  <c r="I200" i="82"/>
  <c r="D200" i="82"/>
  <c r="I201" i="82"/>
  <c r="D201" i="82"/>
  <c r="I202" i="82"/>
  <c r="D202" i="82"/>
  <c r="I203" i="82"/>
  <c r="D203" i="82"/>
  <c r="I204" i="82"/>
  <c r="D204" i="82"/>
  <c r="I205" i="82"/>
  <c r="D205" i="82"/>
  <c r="I206" i="82"/>
  <c r="D206" i="82"/>
  <c r="I207" i="82"/>
  <c r="D207" i="82"/>
  <c r="I208" i="82"/>
  <c r="D208" i="82"/>
  <c r="I209" i="82"/>
  <c r="D209" i="82"/>
  <c r="I210" i="82"/>
  <c r="D210" i="82"/>
  <c r="I211" i="82"/>
  <c r="D211" i="82"/>
  <c r="I212" i="82"/>
  <c r="D212" i="82"/>
  <c r="I213" i="82"/>
  <c r="D213" i="82"/>
  <c r="I214" i="82"/>
  <c r="D214" i="82"/>
  <c r="I215" i="82"/>
  <c r="D215" i="82"/>
  <c r="I216" i="82"/>
  <c r="D216" i="82"/>
  <c r="I217" i="82"/>
  <c r="D217" i="82"/>
  <c r="I218" i="82"/>
  <c r="D218" i="82"/>
  <c r="I219" i="82"/>
  <c r="D219" i="82"/>
  <c r="I220" i="82"/>
  <c r="D220" i="82"/>
  <c r="I221" i="82"/>
  <c r="D221" i="82"/>
  <c r="I222" i="82"/>
  <c r="D222" i="82"/>
  <c r="I223" i="82"/>
  <c r="D223" i="82"/>
  <c r="I224" i="82"/>
  <c r="D224" i="82"/>
  <c r="I225" i="82"/>
  <c r="D225" i="82"/>
  <c r="I226" i="82"/>
  <c r="D226" i="82"/>
  <c r="I227" i="82"/>
  <c r="D227" i="82"/>
  <c r="I228" i="82"/>
  <c r="D228" i="82"/>
  <c r="I229" i="82"/>
  <c r="D229" i="82"/>
  <c r="I230" i="82"/>
  <c r="D230" i="82"/>
  <c r="I231" i="82"/>
  <c r="D231" i="82"/>
  <c r="I232" i="82"/>
  <c r="D232" i="82"/>
  <c r="I233" i="82"/>
  <c r="D233" i="82"/>
  <c r="I234" i="82"/>
  <c r="D234" i="82"/>
  <c r="I235" i="82"/>
  <c r="D235" i="82"/>
  <c r="I236" i="82"/>
  <c r="D236" i="82"/>
  <c r="I237" i="82"/>
  <c r="D237" i="82"/>
  <c r="I238" i="82"/>
  <c r="D238" i="82"/>
  <c r="I239" i="82"/>
  <c r="D239" i="82"/>
  <c r="I240" i="82"/>
  <c r="D240" i="82"/>
  <c r="I241" i="82"/>
  <c r="D241" i="82"/>
  <c r="I242" i="82"/>
  <c r="D242" i="82"/>
  <c r="I243" i="82"/>
  <c r="D243" i="82"/>
  <c r="I244" i="82"/>
  <c r="D244" i="82"/>
  <c r="I245" i="82"/>
  <c r="D245" i="82"/>
  <c r="I246" i="82"/>
  <c r="D246" i="82"/>
  <c r="I247" i="82"/>
  <c r="D247" i="82"/>
  <c r="I248" i="82"/>
  <c r="D248" i="82"/>
  <c r="I249" i="82"/>
  <c r="D249" i="82"/>
  <c r="I250" i="82"/>
  <c r="D250" i="82"/>
  <c r="I251" i="82"/>
  <c r="D251" i="82"/>
  <c r="I252" i="82"/>
  <c r="D252" i="82"/>
  <c r="I253" i="82"/>
  <c r="D253" i="82"/>
  <c r="I254" i="82"/>
  <c r="D254" i="82"/>
  <c r="I255" i="82"/>
  <c r="D255" i="82"/>
  <c r="I256" i="82"/>
  <c r="D256" i="82"/>
  <c r="I257" i="82"/>
  <c r="D257" i="82"/>
  <c r="I258" i="82"/>
  <c r="D258" i="82"/>
  <c r="I259" i="82"/>
  <c r="D259" i="82"/>
  <c r="I260" i="82"/>
  <c r="D260" i="82"/>
  <c r="I261" i="82"/>
  <c r="D261" i="82"/>
  <c r="I262" i="82"/>
  <c r="D262" i="82"/>
  <c r="I263" i="82"/>
  <c r="D263" i="82"/>
  <c r="I264" i="82"/>
  <c r="D264" i="82"/>
  <c r="I265" i="82"/>
  <c r="D265" i="82"/>
  <c r="I266" i="82"/>
  <c r="D266" i="82"/>
  <c r="I267" i="82"/>
  <c r="D267" i="82"/>
  <c r="I268" i="82"/>
  <c r="D268" i="82"/>
  <c r="I269" i="82"/>
  <c r="D269" i="82"/>
  <c r="I270" i="82"/>
  <c r="D270" i="82"/>
  <c r="I271" i="82"/>
  <c r="D271" i="82"/>
  <c r="I272" i="82"/>
  <c r="D272" i="82"/>
  <c r="I273" i="82"/>
  <c r="D273" i="82"/>
  <c r="I274" i="82"/>
  <c r="D274" i="82"/>
  <c r="I275" i="82"/>
  <c r="D275" i="82"/>
  <c r="I276" i="82"/>
  <c r="D276" i="82"/>
  <c r="I277" i="82"/>
  <c r="D277" i="82"/>
  <c r="I278" i="82"/>
  <c r="D278" i="82"/>
  <c r="I279" i="82"/>
  <c r="D279" i="82"/>
  <c r="I280" i="82"/>
  <c r="D280" i="82"/>
  <c r="I281" i="82"/>
  <c r="D281" i="82"/>
  <c r="I282" i="82"/>
  <c r="D282" i="82"/>
  <c r="I283" i="82"/>
  <c r="D283" i="82"/>
  <c r="I284" i="82"/>
  <c r="D284" i="82"/>
  <c r="I285" i="82"/>
  <c r="D285" i="82"/>
  <c r="I286" i="82"/>
  <c r="D286" i="82"/>
  <c r="I287" i="82"/>
  <c r="D287" i="82"/>
  <c r="I288" i="82"/>
  <c r="D288" i="82"/>
  <c r="I289" i="82"/>
  <c r="D289" i="82"/>
  <c r="I290" i="82"/>
  <c r="D290" i="82"/>
  <c r="I291" i="82"/>
  <c r="D291" i="82"/>
  <c r="I292" i="82"/>
  <c r="D292" i="82"/>
  <c r="I293" i="82"/>
  <c r="D293" i="82"/>
  <c r="I294" i="82"/>
  <c r="D294" i="82"/>
  <c r="I295" i="82"/>
  <c r="D295" i="82"/>
  <c r="I296" i="82"/>
  <c r="D296" i="82"/>
  <c r="I297" i="82"/>
  <c r="D297" i="82"/>
  <c r="I298" i="82"/>
  <c r="D298" i="82"/>
  <c r="I299" i="82"/>
  <c r="D299" i="82"/>
  <c r="I300" i="82"/>
  <c r="D300" i="82"/>
  <c r="I301" i="82"/>
  <c r="D301" i="82"/>
  <c r="I302" i="82"/>
  <c r="D302" i="82"/>
  <c r="I303" i="82"/>
  <c r="D303" i="82"/>
  <c r="I304" i="82"/>
  <c r="D304" i="82"/>
  <c r="I305" i="82"/>
  <c r="D305" i="82"/>
  <c r="I306" i="82"/>
  <c r="D306" i="82"/>
  <c r="I307" i="82"/>
  <c r="D307" i="82"/>
  <c r="I308" i="82"/>
  <c r="D308" i="82"/>
  <c r="I309" i="82"/>
  <c r="D309" i="82"/>
  <c r="I310" i="82"/>
  <c r="D310" i="82"/>
  <c r="I311" i="82"/>
  <c r="D311" i="82"/>
  <c r="I312" i="82"/>
  <c r="D312" i="82"/>
  <c r="I313" i="82"/>
  <c r="D313" i="82"/>
  <c r="I314" i="82"/>
  <c r="D314" i="82"/>
  <c r="I315" i="82"/>
  <c r="D315" i="82"/>
  <c r="I316" i="82"/>
  <c r="D316" i="82"/>
  <c r="I317" i="82"/>
  <c r="D317" i="82"/>
  <c r="I318" i="82"/>
  <c r="D318" i="82"/>
  <c r="I319" i="82"/>
  <c r="D319" i="82"/>
  <c r="I320" i="82"/>
  <c r="D320" i="82"/>
  <c r="I321" i="82"/>
  <c r="D321" i="82"/>
  <c r="I322" i="82"/>
  <c r="D322" i="82"/>
  <c r="I323" i="82"/>
  <c r="D323" i="82"/>
  <c r="I324" i="82"/>
  <c r="D324" i="82"/>
  <c r="I325" i="82"/>
  <c r="D325" i="82"/>
  <c r="I326" i="82"/>
  <c r="D326" i="82"/>
  <c r="I327" i="82"/>
  <c r="D327" i="82"/>
  <c r="I328" i="82"/>
  <c r="D328" i="82"/>
  <c r="I329" i="82"/>
  <c r="D329" i="82"/>
  <c r="I330" i="82"/>
  <c r="D330" i="82"/>
  <c r="I331" i="82"/>
  <c r="D331" i="82"/>
  <c r="I332" i="82"/>
  <c r="D332" i="82"/>
  <c r="I333" i="82"/>
  <c r="D333" i="82"/>
  <c r="I334" i="82"/>
  <c r="D334" i="82"/>
  <c r="I335" i="82"/>
  <c r="D335" i="82"/>
  <c r="I336" i="82"/>
  <c r="D336" i="82"/>
  <c r="I337" i="82"/>
  <c r="D337" i="82"/>
  <c r="I338" i="82"/>
  <c r="D338" i="82"/>
  <c r="I339" i="82"/>
  <c r="D339" i="82"/>
  <c r="I340" i="82"/>
  <c r="D340" i="82"/>
  <c r="I341" i="82"/>
  <c r="D341" i="82"/>
  <c r="I342" i="82"/>
  <c r="D342" i="82"/>
  <c r="I343" i="82"/>
  <c r="D343" i="82"/>
  <c r="I344" i="82"/>
  <c r="D344" i="82"/>
  <c r="I345" i="82"/>
  <c r="D345" i="82"/>
  <c r="I346" i="82"/>
  <c r="D346" i="82"/>
  <c r="I347" i="82"/>
  <c r="D347" i="82"/>
  <c r="I348" i="82"/>
  <c r="D348" i="82"/>
  <c r="I349" i="82"/>
  <c r="D349" i="82"/>
  <c r="I350" i="82"/>
  <c r="D350" i="82"/>
  <c r="I351" i="82"/>
  <c r="D351" i="82"/>
  <c r="I352" i="82"/>
  <c r="D352" i="82"/>
  <c r="I353" i="82"/>
  <c r="D353" i="82"/>
  <c r="I354" i="82"/>
  <c r="D354" i="82"/>
  <c r="I355" i="82"/>
  <c r="D355" i="82"/>
  <c r="I356" i="82"/>
  <c r="D356" i="82"/>
  <c r="I357" i="82"/>
  <c r="D357" i="82"/>
  <c r="I358" i="82"/>
  <c r="D358" i="82"/>
  <c r="I359" i="82"/>
  <c r="D359" i="82"/>
  <c r="I360" i="82"/>
  <c r="D360" i="82"/>
  <c r="I361" i="82"/>
  <c r="D361" i="82"/>
  <c r="I362" i="82"/>
  <c r="D362" i="82"/>
  <c r="I363" i="82"/>
  <c r="D363" i="82"/>
  <c r="I364" i="82"/>
  <c r="D364" i="82"/>
  <c r="I365" i="82"/>
  <c r="D365" i="82"/>
  <c r="I366" i="82"/>
  <c r="D366" i="82"/>
  <c r="I367" i="82"/>
  <c r="D367" i="82"/>
  <c r="I368" i="82"/>
  <c r="D368" i="82"/>
  <c r="I369" i="82"/>
  <c r="D369" i="82"/>
  <c r="I370" i="82"/>
  <c r="D370" i="82"/>
  <c r="I371" i="82"/>
  <c r="D371" i="82"/>
  <c r="I372" i="82"/>
  <c r="D372" i="82"/>
  <c r="I373" i="82"/>
  <c r="D373" i="82"/>
  <c r="I374" i="82"/>
  <c r="D374" i="82"/>
  <c r="I375" i="82"/>
  <c r="D375" i="82"/>
  <c r="I376" i="82"/>
  <c r="D376" i="82"/>
  <c r="I377" i="82"/>
  <c r="D377" i="82"/>
  <c r="I378" i="82"/>
  <c r="D378" i="82"/>
  <c r="I379" i="82"/>
  <c r="D379" i="82"/>
  <c r="I380" i="82"/>
  <c r="D380" i="82"/>
  <c r="I381" i="82"/>
  <c r="D381" i="82"/>
  <c r="I382" i="82"/>
  <c r="D382" i="82"/>
  <c r="I383" i="82"/>
  <c r="D383" i="82"/>
  <c r="I384" i="82"/>
  <c r="D384" i="82"/>
  <c r="I385" i="82"/>
  <c r="D385" i="82"/>
  <c r="I386" i="82"/>
  <c r="D386" i="82"/>
  <c r="I387" i="82"/>
  <c r="D387" i="82"/>
  <c r="I388" i="82"/>
  <c r="D388" i="82"/>
  <c r="I389" i="82"/>
  <c r="D389" i="82"/>
  <c r="I390" i="82"/>
  <c r="D390" i="82"/>
  <c r="I391" i="82"/>
  <c r="D391" i="82"/>
  <c r="I392" i="82"/>
  <c r="D392" i="82"/>
  <c r="I393" i="82"/>
  <c r="D393" i="82"/>
  <c r="I394" i="82"/>
  <c r="D394" i="82"/>
  <c r="I395" i="82"/>
  <c r="D395" i="82"/>
  <c r="I396" i="82"/>
  <c r="D396" i="82"/>
  <c r="I397" i="82"/>
  <c r="D397" i="82"/>
  <c r="I398" i="82"/>
  <c r="D398" i="82"/>
  <c r="I399" i="82"/>
  <c r="D399" i="82"/>
  <c r="I2" i="82"/>
  <c r="G101" i="106"/>
  <c r="G102" i="106"/>
  <c r="G104" i="106"/>
  <c r="G103" i="106"/>
  <c r="G106" i="106"/>
  <c r="G105" i="106"/>
  <c r="G107" i="106"/>
  <c r="G109" i="106"/>
  <c r="G108" i="106"/>
  <c r="G111" i="106"/>
  <c r="G110" i="106"/>
  <c r="G112" i="106"/>
  <c r="E110" i="106"/>
  <c r="E105" i="106"/>
  <c r="F93" i="106"/>
  <c r="F92" i="106"/>
  <c r="H105" i="106"/>
  <c r="I105" i="106"/>
  <c r="J105" i="106"/>
  <c r="Q105" i="106"/>
  <c r="E40" i="107"/>
  <c r="M384" i="82"/>
  <c r="S235" i="82"/>
  <c r="R235" i="82"/>
  <c r="Q235" i="82"/>
  <c r="P235" i="82"/>
  <c r="O235" i="82"/>
  <c r="N235" i="82"/>
  <c r="E109" i="106"/>
  <c r="F91" i="106"/>
  <c r="H109" i="106"/>
  <c r="I109" i="106"/>
  <c r="J109" i="106"/>
  <c r="Q109" i="106"/>
  <c r="E44" i="107"/>
  <c r="G57" i="106"/>
  <c r="G58" i="106"/>
  <c r="G60" i="106"/>
  <c r="G59" i="106"/>
  <c r="G61" i="106"/>
  <c r="G62" i="106"/>
  <c r="G64" i="106"/>
  <c r="G63" i="106"/>
  <c r="G66" i="106"/>
  <c r="G65" i="106"/>
  <c r="G67" i="106"/>
  <c r="G69" i="106"/>
  <c r="G68" i="106"/>
  <c r="G71" i="106"/>
  <c r="G70" i="106"/>
  <c r="G72" i="106"/>
  <c r="E69" i="106"/>
  <c r="H69" i="106"/>
  <c r="I69" i="106"/>
  <c r="J69" i="106"/>
  <c r="Q69" i="106"/>
  <c r="E30" i="107"/>
  <c r="F46" i="106"/>
  <c r="E68" i="106"/>
  <c r="H68" i="106"/>
  <c r="I68" i="106"/>
  <c r="J68" i="106"/>
  <c r="Q68" i="106"/>
  <c r="E29" i="107"/>
  <c r="M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E104" i="106"/>
  <c r="H104" i="106"/>
  <c r="I104" i="106"/>
  <c r="J104" i="106"/>
  <c r="Q104" i="106"/>
  <c r="E39" i="107"/>
  <c r="E64" i="106"/>
  <c r="H64" i="106"/>
  <c r="I64" i="106"/>
  <c r="J64" i="106"/>
  <c r="Q64" i="106"/>
  <c r="E25" i="107"/>
  <c r="E63" i="106"/>
  <c r="H63" i="106"/>
  <c r="I63" i="106"/>
  <c r="J63" i="106"/>
  <c r="Q63" i="106"/>
  <c r="E24" i="107"/>
  <c r="M234" i="82"/>
  <c r="L234" i="82"/>
  <c r="K234" i="82"/>
  <c r="J234" i="82"/>
  <c r="G234" i="82"/>
  <c r="C234" i="82"/>
  <c r="A234" i="82"/>
  <c r="S233" i="82"/>
  <c r="R233" i="82"/>
  <c r="Q233" i="82"/>
  <c r="P233" i="82"/>
  <c r="O233" i="82"/>
  <c r="N233" i="82"/>
  <c r="H60" i="106"/>
  <c r="I60" i="106"/>
  <c r="J60" i="106"/>
  <c r="Q60" i="106"/>
  <c r="E21" i="107"/>
  <c r="H59" i="106"/>
  <c r="I59" i="106"/>
  <c r="J59" i="106"/>
  <c r="Q59" i="106"/>
  <c r="E20" i="107"/>
  <c r="M233" i="82"/>
  <c r="L233" i="82"/>
  <c r="K233" i="82"/>
  <c r="J233" i="82"/>
  <c r="G233" i="82"/>
  <c r="C233" i="82"/>
  <c r="A233" i="82"/>
  <c r="S232" i="82"/>
  <c r="R232" i="82"/>
  <c r="Q232" i="82"/>
  <c r="P232" i="82"/>
  <c r="O232" i="82"/>
  <c r="N232" i="82"/>
  <c r="E111" i="106"/>
  <c r="H111" i="106"/>
  <c r="I111" i="106"/>
  <c r="J111" i="106"/>
  <c r="Q111" i="106"/>
  <c r="E46" i="107"/>
  <c r="E71" i="106"/>
  <c r="H71" i="106"/>
  <c r="I71" i="106"/>
  <c r="J71" i="106"/>
  <c r="Q71" i="106"/>
  <c r="E32" i="107"/>
  <c r="E70" i="106"/>
  <c r="H70" i="106"/>
  <c r="I70" i="106"/>
  <c r="J70" i="106"/>
  <c r="Q70" i="106"/>
  <c r="E31" i="107"/>
  <c r="M232" i="82"/>
  <c r="L232" i="82"/>
  <c r="K232" i="82"/>
  <c r="J232" i="82"/>
  <c r="G232" i="82"/>
  <c r="C232" i="82"/>
  <c r="A232" i="82"/>
  <c r="S231" i="82"/>
  <c r="R231" i="82"/>
  <c r="Q231" i="82"/>
  <c r="P231" i="82"/>
  <c r="O231" i="82"/>
  <c r="N231" i="82"/>
  <c r="E106" i="106"/>
  <c r="H106" i="106"/>
  <c r="I106" i="106"/>
  <c r="J106" i="106"/>
  <c r="Q106" i="106"/>
  <c r="E41" i="107"/>
  <c r="E66" i="106"/>
  <c r="H66" i="106"/>
  <c r="I66" i="106"/>
  <c r="J66" i="106"/>
  <c r="Q66" i="106"/>
  <c r="E27" i="107"/>
  <c r="E65" i="106"/>
  <c r="H65" i="106"/>
  <c r="I65" i="106"/>
  <c r="J65" i="106"/>
  <c r="Q65" i="106"/>
  <c r="E26" i="107"/>
  <c r="M231" i="82"/>
  <c r="L231" i="82"/>
  <c r="K231" i="82"/>
  <c r="J231" i="82"/>
  <c r="G231" i="82"/>
  <c r="C231" i="82"/>
  <c r="A231" i="82"/>
  <c r="S230" i="82"/>
  <c r="R230" i="82"/>
  <c r="Q230" i="82"/>
  <c r="P230" i="82"/>
  <c r="O230" i="82"/>
  <c r="N230" i="82"/>
  <c r="M230" i="82"/>
  <c r="L230" i="82"/>
  <c r="K230" i="82"/>
  <c r="J230" i="82"/>
  <c r="G230" i="82"/>
  <c r="C230" i="82"/>
  <c r="A230" i="82"/>
  <c r="S229" i="82"/>
  <c r="R229" i="82"/>
  <c r="Q229" i="82"/>
  <c r="P229" i="82"/>
  <c r="O229" i="82"/>
  <c r="N229" i="82"/>
  <c r="M229" i="82"/>
  <c r="L229" i="82"/>
  <c r="K229" i="82"/>
  <c r="J229" i="82"/>
  <c r="G229" i="82"/>
  <c r="C229" i="82"/>
  <c r="A229" i="82"/>
  <c r="S228" i="82"/>
  <c r="R228" i="82"/>
  <c r="Q228" i="82"/>
  <c r="P228" i="82"/>
  <c r="O228" i="82"/>
  <c r="N228" i="82"/>
  <c r="M228" i="82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M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M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M225" i="82"/>
  <c r="L225" i="82"/>
  <c r="K225" i="82"/>
  <c r="J225" i="82"/>
  <c r="G225" i="82"/>
  <c r="C225" i="82"/>
  <c r="A225" i="82"/>
  <c r="A392" i="82"/>
  <c r="C392" i="82"/>
  <c r="G392" i="82"/>
  <c r="J392" i="82"/>
  <c r="K392" i="82"/>
  <c r="L392" i="82"/>
  <c r="E91" i="106"/>
  <c r="E90" i="106"/>
  <c r="E88" i="106"/>
  <c r="E89" i="106"/>
  <c r="F90" i="106"/>
  <c r="E108" i="106"/>
  <c r="E103" i="106"/>
  <c r="H103" i="106"/>
  <c r="I103" i="106"/>
  <c r="J103" i="106"/>
  <c r="Q103" i="106"/>
  <c r="E38" i="107"/>
  <c r="M392" i="82"/>
  <c r="N392" i="82"/>
  <c r="O392" i="82"/>
  <c r="P392" i="82"/>
  <c r="Q392" i="82"/>
  <c r="R392" i="82"/>
  <c r="S392" i="82"/>
  <c r="A393" i="82"/>
  <c r="C393" i="82"/>
  <c r="G393" i="82"/>
  <c r="J393" i="82"/>
  <c r="K393" i="82"/>
  <c r="L393" i="82"/>
  <c r="H108" i="106"/>
  <c r="I108" i="106"/>
  <c r="J108" i="106"/>
  <c r="Q108" i="106"/>
  <c r="E43" i="107"/>
  <c r="M393" i="82"/>
  <c r="N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N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N395" i="82"/>
  <c r="O395" i="82"/>
  <c r="P395" i="82"/>
  <c r="Q395" i="82"/>
  <c r="R395" i="82"/>
  <c r="S395" i="82"/>
  <c r="A396" i="82"/>
  <c r="C396" i="82"/>
  <c r="G396" i="82"/>
  <c r="J396" i="82"/>
  <c r="K396" i="82"/>
  <c r="L396" i="82"/>
  <c r="M396" i="82"/>
  <c r="N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N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N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N399" i="82"/>
  <c r="O399" i="82"/>
  <c r="P399" i="82"/>
  <c r="Q399" i="82"/>
  <c r="R399" i="82"/>
  <c r="S399" i="82"/>
  <c r="E107" i="106"/>
  <c r="E102" i="106"/>
  <c r="F89" i="106"/>
  <c r="H102" i="106"/>
  <c r="I102" i="106"/>
  <c r="J102" i="106"/>
  <c r="H107" i="106"/>
  <c r="I107" i="106"/>
  <c r="J107" i="106"/>
  <c r="F81" i="106"/>
  <c r="F80" i="106"/>
  <c r="E101" i="106"/>
  <c r="F88" i="106"/>
  <c r="H101" i="106"/>
  <c r="I101" i="106"/>
  <c r="J101" i="106"/>
  <c r="F37" i="106"/>
  <c r="F36" i="106"/>
  <c r="F35" i="106"/>
  <c r="E58" i="106"/>
  <c r="H58" i="106"/>
  <c r="I58" i="106"/>
  <c r="J58" i="106"/>
  <c r="E59" i="106"/>
  <c r="E60" i="106"/>
  <c r="E57" i="106"/>
  <c r="F44" i="106"/>
  <c r="H57" i="106"/>
  <c r="I57" i="106"/>
  <c r="J57" i="106"/>
  <c r="E61" i="106"/>
  <c r="H61" i="106"/>
  <c r="I61" i="106"/>
  <c r="J61" i="106"/>
  <c r="E62" i="106"/>
  <c r="H62" i="106"/>
  <c r="I62" i="106"/>
  <c r="J62" i="106"/>
  <c r="I67" i="106"/>
  <c r="J67" i="106"/>
  <c r="K60" i="106"/>
  <c r="L60" i="106"/>
  <c r="M60" i="106"/>
  <c r="N60" i="106"/>
  <c r="O60" i="106"/>
  <c r="P60" i="106"/>
  <c r="C4" i="107"/>
  <c r="C2" i="107"/>
  <c r="C3" i="107"/>
  <c r="C5" i="107"/>
  <c r="C6" i="107"/>
  <c r="C7" i="107"/>
  <c r="C8" i="107"/>
  <c r="C9" i="107"/>
  <c r="C10" i="107"/>
  <c r="C11" i="107"/>
  <c r="C12" i="107"/>
  <c r="C13" i="107"/>
  <c r="C14" i="107"/>
  <c r="Q57" i="106"/>
  <c r="E18" i="107"/>
  <c r="A50" i="107"/>
  <c r="A51" i="107"/>
  <c r="A52" i="107"/>
  <c r="A53" i="107"/>
  <c r="B50" i="107"/>
  <c r="C50" i="107"/>
  <c r="D50" i="107"/>
  <c r="C51" i="107"/>
  <c r="D51" i="107"/>
  <c r="C52" i="107"/>
  <c r="D52" i="107"/>
  <c r="C53" i="107"/>
  <c r="A54" i="107"/>
  <c r="C54" i="107"/>
  <c r="A55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D60" i="107"/>
  <c r="C61" i="107"/>
  <c r="D61" i="107"/>
  <c r="C62" i="107"/>
  <c r="D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G60" i="107"/>
  <c r="E60" i="107"/>
  <c r="F60" i="107"/>
  <c r="G61" i="107"/>
  <c r="E61" i="107"/>
  <c r="F61" i="107"/>
  <c r="G62" i="107"/>
  <c r="E62" i="107"/>
  <c r="F62" i="107"/>
  <c r="M8" i="82"/>
  <c r="Q61" i="106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Q58" i="106"/>
  <c r="E19" i="107"/>
  <c r="M42" i="82"/>
  <c r="Q62" i="106"/>
  <c r="E23" i="107"/>
  <c r="M43" i="82"/>
  <c r="Q67" i="106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Q102" i="106"/>
  <c r="E37" i="107"/>
  <c r="M256" i="82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3" i="105"/>
  <c r="E5" i="105"/>
  <c r="D13" i="105"/>
  <c r="B5" i="105"/>
  <c r="A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M101" i="106"/>
  <c r="M102" i="106"/>
  <c r="N102" i="106"/>
  <c r="M103" i="106"/>
  <c r="N103" i="106"/>
  <c r="M104" i="106"/>
  <c r="N104" i="106"/>
  <c r="M105" i="106"/>
  <c r="N105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M57" i="106"/>
  <c r="N57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49" i="106"/>
  <c r="E48" i="106"/>
  <c r="E50" i="106"/>
  <c r="E93" i="106"/>
  <c r="E92" i="106"/>
  <c r="E37" i="106"/>
  <c r="E36" i="106"/>
  <c r="E35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M58" i="106"/>
  <c r="M59" i="106"/>
  <c r="M61" i="106"/>
  <c r="M62" i="106"/>
  <c r="M63" i="106"/>
  <c r="M64" i="106"/>
  <c r="M65" i="106"/>
  <c r="M66" i="106"/>
  <c r="M67" i="106"/>
  <c r="M68" i="106"/>
  <c r="M69" i="106"/>
  <c r="M70" i="106"/>
  <c r="M71" i="106"/>
  <c r="M72" i="106"/>
  <c r="O72" i="106"/>
  <c r="P72" i="106"/>
  <c r="H72" i="106"/>
  <c r="I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E38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N391" i="82"/>
  <c r="L391" i="82"/>
  <c r="K391" i="82"/>
  <c r="J391" i="82"/>
  <c r="G391" i="82"/>
  <c r="C391" i="82"/>
  <c r="A391" i="82"/>
  <c r="R390" i="82"/>
  <c r="Q390" i="82"/>
  <c r="P390" i="82"/>
  <c r="O390" i="82"/>
  <c r="N390" i="82"/>
  <c r="L390" i="82"/>
  <c r="K390" i="82"/>
  <c r="J390" i="82"/>
  <c r="G390" i="82"/>
  <c r="C390" i="82"/>
  <c r="A390" i="82"/>
  <c r="R389" i="82"/>
  <c r="Q389" i="82"/>
  <c r="P389" i="82"/>
  <c r="O389" i="82"/>
  <c r="N389" i="82"/>
  <c r="L389" i="82"/>
  <c r="K389" i="82"/>
  <c r="J389" i="82"/>
  <c r="G389" i="82"/>
  <c r="C389" i="82"/>
  <c r="A389" i="82"/>
  <c r="R388" i="82"/>
  <c r="Q388" i="82"/>
  <c r="P388" i="82"/>
  <c r="O388" i="82"/>
  <c r="N388" i="82"/>
  <c r="L388" i="82"/>
  <c r="K388" i="82"/>
  <c r="J388" i="82"/>
  <c r="G388" i="82"/>
  <c r="C388" i="82"/>
  <c r="A388" i="82"/>
  <c r="R387" i="82"/>
  <c r="Q387" i="82"/>
  <c r="P387" i="82"/>
  <c r="O387" i="82"/>
  <c r="N387" i="82"/>
  <c r="L387" i="82"/>
  <c r="K387" i="82"/>
  <c r="J387" i="82"/>
  <c r="G387" i="82"/>
  <c r="C387" i="82"/>
  <c r="A387" i="82"/>
  <c r="R386" i="82"/>
  <c r="Q386" i="82"/>
  <c r="P386" i="82"/>
  <c r="O386" i="82"/>
  <c r="N386" i="82"/>
  <c r="L386" i="82"/>
  <c r="K386" i="82"/>
  <c r="J386" i="82"/>
  <c r="G386" i="82"/>
  <c r="C386" i="82"/>
  <c r="A386" i="82"/>
  <c r="R385" i="82"/>
  <c r="Q385" i="82"/>
  <c r="P385" i="82"/>
  <c r="O385" i="82"/>
  <c r="N385" i="82"/>
  <c r="L385" i="82"/>
  <c r="K385" i="82"/>
  <c r="J385" i="82"/>
  <c r="G385" i="82"/>
  <c r="C385" i="82"/>
  <c r="A385" i="82"/>
  <c r="R384" i="82"/>
  <c r="Q384" i="82"/>
  <c r="P384" i="82"/>
  <c r="O384" i="82"/>
  <c r="N384" i="82"/>
  <c r="L384" i="82"/>
  <c r="K384" i="82"/>
  <c r="J384" i="82"/>
  <c r="G384" i="82"/>
  <c r="C384" i="82"/>
  <c r="A384" i="82"/>
  <c r="R224" i="82"/>
  <c r="Q224" i="82"/>
  <c r="P224" i="82"/>
  <c r="O224" i="82"/>
  <c r="N224" i="82"/>
  <c r="L224" i="82"/>
  <c r="K224" i="82"/>
  <c r="J224" i="82"/>
  <c r="G224" i="82"/>
  <c r="C224" i="82"/>
  <c r="A224" i="82"/>
  <c r="R223" i="82"/>
  <c r="Q223" i="82"/>
  <c r="P223" i="82"/>
  <c r="O223" i="82"/>
  <c r="N223" i="82"/>
  <c r="L223" i="82"/>
  <c r="K223" i="82"/>
  <c r="J223" i="82"/>
  <c r="G223" i="82"/>
  <c r="C223" i="82"/>
  <c r="A223" i="82"/>
  <c r="R222" i="82"/>
  <c r="Q222" i="82"/>
  <c r="P222" i="82"/>
  <c r="O222" i="82"/>
  <c r="N222" i="82"/>
  <c r="L222" i="82"/>
  <c r="K222" i="82"/>
  <c r="J222" i="82"/>
  <c r="G222" i="82"/>
  <c r="C222" i="82"/>
  <c r="A222" i="82"/>
  <c r="R221" i="82"/>
  <c r="Q221" i="82"/>
  <c r="P221" i="82"/>
  <c r="O221" i="82"/>
  <c r="N221" i="82"/>
  <c r="L221" i="82"/>
  <c r="K221" i="82"/>
  <c r="J221" i="82"/>
  <c r="G221" i="82"/>
  <c r="C221" i="82"/>
  <c r="A221" i="82"/>
  <c r="R220" i="82"/>
  <c r="Q220" i="82"/>
  <c r="P220" i="82"/>
  <c r="O220" i="82"/>
  <c r="N220" i="82"/>
  <c r="L220" i="82"/>
  <c r="K220" i="82"/>
  <c r="J220" i="82"/>
  <c r="G220" i="82"/>
  <c r="C220" i="82"/>
  <c r="A220" i="82"/>
  <c r="R219" i="82"/>
  <c r="Q219" i="82"/>
  <c r="P219" i="82"/>
  <c r="O219" i="82"/>
  <c r="N219" i="82"/>
  <c r="L219" i="82"/>
  <c r="K219" i="82"/>
  <c r="J219" i="82"/>
  <c r="G219" i="82"/>
  <c r="C219" i="82"/>
  <c r="A219" i="82"/>
  <c r="R218" i="82"/>
  <c r="Q218" i="82"/>
  <c r="P218" i="82"/>
  <c r="O218" i="82"/>
  <c r="N218" i="82"/>
  <c r="L218" i="82"/>
  <c r="K218" i="82"/>
  <c r="J218" i="82"/>
  <c r="G218" i="82"/>
  <c r="C218" i="82"/>
  <c r="A218" i="82"/>
  <c r="R217" i="82"/>
  <c r="Q217" i="82"/>
  <c r="P217" i="82"/>
  <c r="O217" i="82"/>
  <c r="N217" i="82"/>
  <c r="L217" i="82"/>
  <c r="K217" i="82"/>
  <c r="J217" i="82"/>
  <c r="G217" i="82"/>
  <c r="C217" i="82"/>
  <c r="A217" i="82"/>
  <c r="R216" i="82"/>
  <c r="Q216" i="82"/>
  <c r="P216" i="82"/>
  <c r="O216" i="82"/>
  <c r="N216" i="82"/>
  <c r="L216" i="82"/>
  <c r="K216" i="82"/>
  <c r="J216" i="82"/>
  <c r="G216" i="82"/>
  <c r="C216" i="82"/>
  <c r="A216" i="82"/>
  <c r="R215" i="82"/>
  <c r="Q215" i="82"/>
  <c r="P215" i="82"/>
  <c r="O215" i="82"/>
  <c r="N215" i="82"/>
  <c r="L215" i="82"/>
  <c r="K215" i="82"/>
  <c r="J215" i="82"/>
  <c r="G215" i="82"/>
  <c r="C215" i="82"/>
  <c r="A215" i="82"/>
  <c r="N342" i="82"/>
  <c r="B10" i="104"/>
  <c r="G382" i="82"/>
  <c r="B9" i="104"/>
  <c r="B8" i="104"/>
  <c r="B7" i="104"/>
  <c r="B6" i="104"/>
  <c r="B5" i="104"/>
  <c r="R210" i="82"/>
  <c r="Q210" i="82"/>
  <c r="P210" i="82"/>
  <c r="O210" i="82"/>
  <c r="N210" i="82"/>
  <c r="L210" i="82"/>
  <c r="K210" i="82"/>
  <c r="J210" i="82"/>
  <c r="G210" i="82"/>
  <c r="C210" i="82"/>
  <c r="A210" i="82"/>
  <c r="R214" i="82"/>
  <c r="Q214" i="82"/>
  <c r="P214" i="82"/>
  <c r="O214" i="82"/>
  <c r="N214" i="82"/>
  <c r="L214" i="82"/>
  <c r="K214" i="82"/>
  <c r="J214" i="82"/>
  <c r="G214" i="82"/>
  <c r="C214" i="82"/>
  <c r="A214" i="82"/>
  <c r="R213" i="82"/>
  <c r="Q213" i="82"/>
  <c r="P213" i="82"/>
  <c r="O213" i="82"/>
  <c r="N213" i="82"/>
  <c r="L213" i="82"/>
  <c r="K213" i="82"/>
  <c r="J213" i="82"/>
  <c r="G213" i="82"/>
  <c r="C213" i="82"/>
  <c r="A213" i="82"/>
  <c r="R212" i="82"/>
  <c r="Q212" i="82"/>
  <c r="P212" i="82"/>
  <c r="O212" i="82"/>
  <c r="N212" i="82"/>
  <c r="L212" i="82"/>
  <c r="K212" i="82"/>
  <c r="J212" i="82"/>
  <c r="G212" i="82"/>
  <c r="C212" i="82"/>
  <c r="A212" i="82"/>
  <c r="R211" i="82"/>
  <c r="Q211" i="82"/>
  <c r="P211" i="82"/>
  <c r="O211" i="82"/>
  <c r="N211" i="82"/>
  <c r="L211" i="82"/>
  <c r="K211" i="82"/>
  <c r="J211" i="82"/>
  <c r="G211" i="82"/>
  <c r="C211" i="82"/>
  <c r="A211" i="82"/>
  <c r="R209" i="82"/>
  <c r="Q209" i="82"/>
  <c r="P209" i="82"/>
  <c r="O209" i="82"/>
  <c r="N209" i="82"/>
  <c r="L209" i="82"/>
  <c r="K209" i="82"/>
  <c r="J209" i="82"/>
  <c r="G209" i="82"/>
  <c r="C209" i="82"/>
  <c r="A209" i="82"/>
  <c r="R208" i="82"/>
  <c r="Q208" i="82"/>
  <c r="P208" i="82"/>
  <c r="O208" i="82"/>
  <c r="N208" i="82"/>
  <c r="L208" i="82"/>
  <c r="K208" i="82"/>
  <c r="J208" i="82"/>
  <c r="G208" i="82"/>
  <c r="C208" i="82"/>
  <c r="A208" i="82"/>
  <c r="R207" i="82"/>
  <c r="Q207" i="82"/>
  <c r="P207" i="82"/>
  <c r="O207" i="82"/>
  <c r="N207" i="82"/>
  <c r="L207" i="82"/>
  <c r="K207" i="82"/>
  <c r="J207" i="82"/>
  <c r="G207" i="82"/>
  <c r="C207" i="82"/>
  <c r="A207" i="82"/>
  <c r="R206" i="82"/>
  <c r="Q206" i="82"/>
  <c r="P206" i="82"/>
  <c r="O206" i="82"/>
  <c r="N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N376" i="82"/>
  <c r="O376" i="82"/>
  <c r="P376" i="82"/>
  <c r="Q376" i="82"/>
  <c r="R376" i="82"/>
  <c r="A377" i="82"/>
  <c r="C377" i="82"/>
  <c r="G377" i="82"/>
  <c r="J377" i="82"/>
  <c r="K377" i="82"/>
  <c r="L377" i="82"/>
  <c r="N377" i="82"/>
  <c r="O377" i="82"/>
  <c r="P377" i="82"/>
  <c r="Q377" i="82"/>
  <c r="R377" i="82"/>
  <c r="A378" i="82"/>
  <c r="C378" i="82"/>
  <c r="G378" i="82"/>
  <c r="J378" i="82"/>
  <c r="K378" i="82"/>
  <c r="L378" i="82"/>
  <c r="N378" i="82"/>
  <c r="O378" i="82"/>
  <c r="P378" i="82"/>
  <c r="Q378" i="82"/>
  <c r="R378" i="82"/>
  <c r="A379" i="82"/>
  <c r="C379" i="82"/>
  <c r="G379" i="82"/>
  <c r="J379" i="82"/>
  <c r="K379" i="82"/>
  <c r="L379" i="82"/>
  <c r="N379" i="82"/>
  <c r="O379" i="82"/>
  <c r="P379" i="82"/>
  <c r="Q379" i="82"/>
  <c r="R379" i="82"/>
  <c r="A380" i="82"/>
  <c r="C380" i="82"/>
  <c r="G380" i="82"/>
  <c r="J380" i="82"/>
  <c r="K380" i="82"/>
  <c r="L380" i="82"/>
  <c r="N380" i="82"/>
  <c r="O380" i="82"/>
  <c r="P380" i="82"/>
  <c r="Q380" i="82"/>
  <c r="R380" i="82"/>
  <c r="A381" i="82"/>
  <c r="C381" i="82"/>
  <c r="G381" i="82"/>
  <c r="J381" i="82"/>
  <c r="K381" i="82"/>
  <c r="L381" i="82"/>
  <c r="N381" i="82"/>
  <c r="O381" i="82"/>
  <c r="P381" i="82"/>
  <c r="Q381" i="82"/>
  <c r="R381" i="82"/>
  <c r="A382" i="82"/>
  <c r="C382" i="82"/>
  <c r="J382" i="82"/>
  <c r="K382" i="82"/>
  <c r="L382" i="82"/>
  <c r="N382" i="82"/>
  <c r="O382" i="82"/>
  <c r="P382" i="82"/>
  <c r="Q382" i="82"/>
  <c r="R382" i="82"/>
  <c r="A383" i="82"/>
  <c r="C383" i="82"/>
  <c r="G383" i="82"/>
  <c r="J383" i="82"/>
  <c r="K383" i="82"/>
  <c r="L383" i="82"/>
  <c r="N383" i="82"/>
  <c r="O383" i="82"/>
  <c r="P383" i="82"/>
  <c r="Q383" i="82"/>
  <c r="R383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<sst xmlns="http://schemas.openxmlformats.org/spreadsheetml/2006/main" count="370" uniqueCount="222">
  <si>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</si>
  <si>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</si>
  <si>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</si>
  <si>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</si>
  <si>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</si>
  <si>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</si>
  <si>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</si>
  <si>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</si>
  <si>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</si>
  <si>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</si>
  <si>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</si>
  <si>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</si>
  <si>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</si>
  <si>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</si>
  <si>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</si>
  <si>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</si>
  <si>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</si>
  <si>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</si>
  <si>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</si>
  <si>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</si>
  <si>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</si>
  <si>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</si>
  <si>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</si>
  <si>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</si>
  <si>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</si>
  <si>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</si>
  <si>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</si>
  <si>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</si>
  <si>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</si>
  <si>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</si>
  <si>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</si>
  <si>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</si>
  <si>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</si>
  <si>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</si>
  <si>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</si>
  <si>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</si>
  <si>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</si>
  <si>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</si>
  <si>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</si>
  <si>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</si>
  <si>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</si>
  <si>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</si>
  <si>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</si>
  <si>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</si>
  <si>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</si>
  <si>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</si>
  <si>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</si>
  <si>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</si>
  <si>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</si>
  <si>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</si>
  <si>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</si>
  <si>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</si>
  <si>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</si>
  <si>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</si>
  <si>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</si>
  <si>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</si>
  <si>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</si>
  <si>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</si>
  <si>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</si>
  <si>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</si>
  <si>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</si>
  <si>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</si>
  <si>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</si>
  <si>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</si>
  <si>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</si>
  <si>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</si>
  <si>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</si>
  <si>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</si>
  <si>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</si>
  <si>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</si>
  <si>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</si>
  <si>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</si>
  <si>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</si>
  <si>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</si>
  <si>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</si>
  <si>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</si>
  <si>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</si>
  <si>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</si>
  <si>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</si>
  <si>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</si>
  <si>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</si>
  <si>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</si>
  <si>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</si>
  <si>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</si>
  <si>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</si>
  <si>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</si>
  <si>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</si>
  <si>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</si>
  <si>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</si>
  <si>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</si>
  <si>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</si>
  <si>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</si>
  <si>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</si>
  <si>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</si>
  <si>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</si>
  <si>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</si>
  <si>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</si>
  <si>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</si>
  <si>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</si>
  <si>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</si>
  <si>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</si>
  <si>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</si>
  <si>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</si>
  <si>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</si>
  <si>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</si>
  <si>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</si>
  <si>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</si>
  <si>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</si>
  <si>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</si>
  <si>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</si>
  <si>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</si>
  <si>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</si>
  <si>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</si>
  <si>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</si>
  <si>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</si>
  <si>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</si>
  <si>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</si>
  <si>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</si>
  <si>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</si>
  <si>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</si>
  <si>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</si>
  <si>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</si>
  <si>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</si>
  <si>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</si>
  <si>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</si>
  <si>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</si>
  <si>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</si>
  <si>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</si>
  <si>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</si>
  <si>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</si>
  <si>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</si>
  <si>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</si>
  <si>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</si>
  <si>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</si>
  <si>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</si>
  <si>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</si>
  <si>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</si>
  <si>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</si>
  <si>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</si>
  <si>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</si>
  <si>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</si>
  <si>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</si>
  <si>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</si>
  <si>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</si>
  <si>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</si>
  <si>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</si>
  <si>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</si>
  <si>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</si>
  <si>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</si>
  <si>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</si>
  <si>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</si>
  <si>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</si>
  <si>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</si>
  <si>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</si>
  <si>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</si>
  <si>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</si>
  <si>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</si>
  <si>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</si>
  <si>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</si>
  <si>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</si>
  <si>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</si>
  <si>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</si>
  <si>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</si>
  <si>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</si>
  <si>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</si>
  <si>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</si>
  <si>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</si>
  <si>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</si>
  <si>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</si>
  <si>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</si>
  <si>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</si>
  <si>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</si>
  <si>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</si>
  <si>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</si>
  <si>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</si>
  <si>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</si>
  <si>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</si>
  <si>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</si>
  <si>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</si>
  <si>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</si>
  <si>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</si>
  <si>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</si>
  <si>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</si>
  <si>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</si>
  <si>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</si>
  <si>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</si>
  <si>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</si>
  <si>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</si>
  <si>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</si>
  <si>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</si>
  <si>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</si>
  <si>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</si>
  <si>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</si>
  <si>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</si>
  <si>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</si>
  <si>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</si>
  <si>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</si>
  <si>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</si>
  <si>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</si>
  <si>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</si>
  <si>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</si>
  <si>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</si>
  <si>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</si>
  <si>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</si>
  <si>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</si>
  <si>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</si>
  <si>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</si>
  <si>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</si>
  <si>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</si>
  <si>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</si>
  <si>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polygon</t>
    <phoneticPr fontId="13"/>
  </si>
  <si>
    <t>null</t>
    <phoneticPr fontId="13"/>
  </si>
  <si>
    <t>null</t>
    <phoneticPr fontId="13"/>
  </si>
  <si>
    <t>ja</t>
    <phoneticPr fontId="13"/>
  </si>
  <si>
    <t>ja</t>
    <phoneticPr fontId="13"/>
  </si>
  <si>
    <t>ポリゴン × 1</t>
  </si>
  <si>
    <t>200万DL記念ガチャ(10連)の特典</t>
    <rPh sb="3" eb="4">
      <t>マン</t>
    </rPh>
    <rPh sb="6" eb="11">
      <t>キネン</t>
    </rPh>
    <rPh sb="17" eb="19">
      <t>トクテン</t>
    </rPh>
    <phoneticPr fontId="13"/>
  </si>
  <si>
    <t>200万DL記念ガチャの特典</t>
    <rPh sb="3" eb="4">
      <t>マン</t>
    </rPh>
    <rPh sb="6" eb="11">
      <t>キネン</t>
    </rPh>
    <rPh sb="12" eb="14">
      <t>トクテン</t>
    </rPh>
    <phoneticPr fontId="13"/>
  </si>
  <si>
    <t>ポリゴン × 10</t>
    <phoneticPr fontId="13"/>
  </si>
  <si>
    <t>old</t>
    <phoneticPr fontId="13"/>
  </si>
  <si>
    <t>200万DL記念ガチャ(10連)の特典として10ポリゴンバック！</t>
    <rPh sb="3" eb="4">
      <t>マン</t>
    </rPh>
    <rPh sb="6" eb="11">
      <t>キネン</t>
    </rPh>
    <rPh sb="14" eb="16">
      <t>レン</t>
    </rPh>
    <rPh sb="17" eb="22">
      <t>トクテン</t>
    </rPh>
    <phoneticPr fontId="13"/>
  </si>
  <si>
    <t>200万DL記念ガチャの特典として1ポリゴンバック！</t>
    <rPh sb="3" eb="4">
      <t>マン</t>
    </rPh>
    <rPh sb="6" eb="11">
      <t>キネン</t>
    </rPh>
    <rPh sb="12" eb="17">
      <t>トクテン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</si>
</sst>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569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8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0" borderId="0" xfId="0" applyFont="1" applyAlignment="1">
      <alignment vertical="center"/>
    </xf>
    <xf numFmtId="0" fontId="2" fillId="0" borderId="1" xfId="3036" applyFont="1" applyBorder="1"/>
    <xf numFmtId="0" fontId="19" fillId="3" borderId="14" xfId="0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</cellXfs>
  <cellStyles count="356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balance</v>
          </cell>
          <cell r="L578" t="str">
            <v>バランスタイプ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balance</v>
          </cell>
          <cell r="L579" t="str">
            <v>バランスタイプ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animal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animal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unknown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unknown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 R5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F19" sqref="F19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219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190</v>
      </c>
      <c r="D2" s="25" t="s">
        <v>60</v>
      </c>
      <c r="E2" s="23" t="str">
        <f ca="1">B2&amp;C2&amp;D2</f>
        <v>gacha_select_tables_190.tmp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219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190</v>
      </c>
      <c r="D3" s="25" t="s">
        <v>61</v>
      </c>
      <c r="E3" s="23" t="str">
        <f ca="1">B3&amp;C3&amp;D3</f>
        <v>gacha_settle_tables_190.tmp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219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190</v>
      </c>
      <c r="D4" s="25" t="s">
        <v>61</v>
      </c>
      <c r="E4" s="23" t="str">
        <f ca="1">B4&amp;C4&amp;D4</f>
        <v>gacha_bonus_tables_190.tmp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219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190</v>
      </c>
      <c r="D5" s="25" t="s">
        <v>61</v>
      </c>
      <c r="E5" s="23" t="str">
        <f ca="1">B5&amp;C5&amp;D5</f>
        <v>gifts_tmp_190.tmp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219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190</v>
      </c>
      <c r="D6" s="25" t="s">
        <v>61</v>
      </c>
      <c r="E6" s="23" t="str">
        <f ca="1">B6&amp;C6&amp;D6</f>
        <v>gifts_i18n_190.tmp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workbookViewId="0">
      <selection activeCell="D2" sqref="D2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/>
      <c r="B2" s="124" t="str">
        <f>IFERROR(VLOOKUP(A2,[1]characters!$A:$C,3,FALSE),"")</f>
        <v/>
      </c>
      <c r="C2" s="124" t="str">
        <f>IFERROR(VLOOKUP(A2,[1]characters!$A:$I,9,FALSE),"")</f>
        <v/>
      </c>
      <c r="D2" s="124" t="str">
        <f>IFERROR(VLOOKUP(A2,[1]characters!$A:$J,10,FALSE),"")&amp;"new"</f>
        <v>new</v>
      </c>
      <c r="E2" s="150"/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/>
      <c r="B3" s="124" t="str">
        <f>IFERROR(VLOOKUP(A3,[1]characters!$A:$C,3,FALSE),"")</f>
        <v/>
      </c>
      <c r="C3" s="124" t="str">
        <f>IFERROR(VLOOKUP(A3,[1]characters!$A:$I,9,FALSE),"")</f>
        <v/>
      </c>
      <c r="D3" s="124" t="str">
        <f>IFERROR(VLOOKUP(A3,[1]characters!$A:$J,10,FALSE),"")&amp;"new"</f>
        <v>new</v>
      </c>
      <c r="E3" s="150"/>
      <c r="G3" t="s">
        <v>165</v>
      </c>
      <c r="H3" s="126">
        <v>7.4999999999999997E-2</v>
      </c>
      <c r="J3" s="129" t="s">
        <v>168</v>
      </c>
      <c r="K3" s="130">
        <f>SUM('レアガチャ出現率(新ユニット追加）'!H67:H71)</f>
        <v>7.5799999999999992E-2</v>
      </c>
    </row>
    <row r="4" spans="1:11" ht="16" customHeight="1">
      <c r="A4" s="16"/>
      <c r="B4" s="124" t="str">
        <f>IFERROR(VLOOKUP(A4,[1]characters!$A:$C,3,FALSE),"")</f>
        <v/>
      </c>
      <c r="C4" s="124" t="str">
        <f>IFERROR(VLOOKUP(A4,[1]characters!$A:$I,9,FALSE),"")</f>
        <v/>
      </c>
      <c r="D4" s="124" t="str">
        <f>IFERROR(VLOOKUP(A4,[1]characters!$A:$J,10,FALSE),"")&amp;"new"</f>
        <v>new</v>
      </c>
      <c r="E4" s="150"/>
      <c r="G4" t="s">
        <v>199</v>
      </c>
      <c r="J4" s="129" t="s">
        <v>169</v>
      </c>
      <c r="K4" s="130">
        <f>SUM('レアガチャ出現率(新ユニット追加）'!H107:H111)</f>
        <v>7.5599999999999987E-2</v>
      </c>
    </row>
    <row r="5" spans="1:11" ht="16" customHeight="1">
      <c r="A5" s="16"/>
      <c r="B5" s="124" t="str">
        <f>IFERROR(VLOOKUP(A5,[1]characters!$A:$C,3,FALSE),"")</f>
        <v/>
      </c>
      <c r="C5" s="124" t="str">
        <f>IFERROR(VLOOKUP(A5,[1]characters!$A:$I,9,FALSE),"")</f>
        <v/>
      </c>
      <c r="D5" s="124" t="str">
        <f>IFERROR(VLOOKUP(A5,[1]characters!$A:$J,10,FALSE),"")&amp;"new"</f>
        <v>new</v>
      </c>
      <c r="E5" s="150"/>
      <c r="G5" t="s">
        <v>166</v>
      </c>
      <c r="H5" s="126">
        <v>9.5000000000000001E-2</v>
      </c>
      <c r="K5" s="142" t="s">
        <v>200</v>
      </c>
    </row>
    <row r="6" spans="1:11" ht="16" customHeight="1">
      <c r="A6" s="16"/>
      <c r="B6" s="124" t="str">
        <f>IFERROR(VLOOKUP(A6,[1]characters!$A:$C,3,FALSE),"")</f>
        <v/>
      </c>
      <c r="C6" s="124" t="str">
        <f>IFERROR(VLOOKUP(A6,[1]characters!$A:$I,9,FALSE),"")</f>
        <v/>
      </c>
      <c r="D6" s="124" t="str">
        <f>IFERROR(VLOOKUP(A6,[1]characters!$A:$J,10,FALSE),"")&amp;"new"</f>
        <v>new</v>
      </c>
      <c r="E6" s="150"/>
      <c r="G6" t="s">
        <v>167</v>
      </c>
      <c r="H6" s="126">
        <v>0.09</v>
      </c>
      <c r="K6" t="s">
        <v>201</v>
      </c>
    </row>
    <row r="7" spans="1:11" ht="16" customHeight="1">
      <c r="A7" s="16"/>
      <c r="B7" s="124" t="str">
        <f>IFERROR(VLOOKUP(A7,[1]characters!$A:$C,3,FALSE),"")</f>
        <v/>
      </c>
      <c r="C7" s="124" t="str">
        <f>IFERROR(VLOOKUP(A7,[1]characters!$A:$I,9,FALSE),"")</f>
        <v/>
      </c>
      <c r="D7" s="124" t="str">
        <f>IFERROR(VLOOKUP(A7,[1]characters!$A:$J,10,FALSE),"")&amp;"new"</f>
        <v>new</v>
      </c>
      <c r="E7" s="150"/>
    </row>
    <row r="8" spans="1:11" ht="16" customHeight="1">
      <c r="A8" s="16"/>
      <c r="B8" s="124" t="str">
        <f>IFERROR(VLOOKUP(A8,[1]characters!$A:$C,3,FALSE),"")</f>
        <v/>
      </c>
      <c r="C8" s="124" t="str">
        <f>IFERROR(VLOOKUP(A8,[1]characters!$A:$I,9,FALSE),"")</f>
        <v/>
      </c>
      <c r="D8" s="124" t="str">
        <f>IFERROR(VLOOKUP(A8,[1]characters!$A:$J,10,FALSE),"")&amp;"new"</f>
        <v>new</v>
      </c>
      <c r="E8" s="150"/>
    </row>
    <row r="9" spans="1:11" ht="16" customHeight="1">
      <c r="A9" s="16"/>
      <c r="B9" s="124" t="str">
        <f>IFERROR(VLOOKUP(A9,[1]characters!$A:$C,3,FALSE),"")</f>
        <v/>
      </c>
      <c r="C9" s="124" t="str">
        <f>IFERROR(VLOOKUP(A9,[1]characters!$A:$I,9,FALSE),"")</f>
        <v/>
      </c>
      <c r="D9" s="124" t="str">
        <f>IFERROR(VLOOKUP(A9,[1]characters!$A:$J,10,FALSE),"")&amp;"new"</f>
        <v>new</v>
      </c>
      <c r="E9" s="150"/>
    </row>
    <row r="10" spans="1:11" ht="16" customHeight="1">
      <c r="A10" s="16"/>
      <c r="B10" s="124" t="str">
        <f>IFERROR(VLOOKUP(A10,[1]characters!$A:$C,3,FALSE),"")</f>
        <v/>
      </c>
      <c r="C10" s="124" t="str">
        <f>IFERROR(VLOOKUP(A10,[1]characters!$A:$I,9,FALSE),"")</f>
        <v/>
      </c>
      <c r="D10" s="124" t="str">
        <f>IFERROR(VLOOKUP(A10,[1]characters!$A:$J,10,FALSE),"")&amp;"new"</f>
        <v>new</v>
      </c>
      <c r="E10" s="150"/>
    </row>
    <row r="11" spans="1:11" ht="16" customHeight="1">
      <c r="A11" s="16"/>
      <c r="B11" s="124" t="str">
        <f>IFERROR(VLOOKUP(A11,[1]characters!$A:$C,3,FALSE),"")</f>
        <v/>
      </c>
      <c r="C11" s="124" t="str">
        <f>IFERROR(VLOOKUP(A11,[1]characters!$A:$I,9,FALSE),"")</f>
        <v/>
      </c>
      <c r="D11" s="124" t="str">
        <f>IFERROR(VLOOKUP(A11,[1]characters!$A:$J,10,FALSE),"")&amp;"new"</f>
        <v>new</v>
      </c>
      <c r="E11" s="150"/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5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5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4375</v>
      </c>
    </row>
    <row r="19" spans="1:5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6562</v>
      </c>
    </row>
    <row r="20" spans="1:5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6562</v>
      </c>
    </row>
    <row r="21" spans="1:5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0</v>
      </c>
    </row>
    <row r="22" spans="1:5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1537</v>
      </c>
    </row>
    <row r="23" spans="1:5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1463</v>
      </c>
    </row>
    <row r="24" spans="1:5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1463</v>
      </c>
    </row>
    <row r="25" spans="1:5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0</v>
      </c>
    </row>
    <row r="26" spans="1:5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963</v>
      </c>
    </row>
    <row r="27" spans="1:5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0</v>
      </c>
    </row>
    <row r="28" spans="1:5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842</v>
      </c>
    </row>
    <row r="29" spans="1:5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842</v>
      </c>
    </row>
    <row r="30" spans="1:5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0</v>
      </c>
    </row>
    <row r="31" spans="1:5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101</v>
      </c>
    </row>
    <row r="32" spans="1:5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0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3280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5970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5970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0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678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0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590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590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0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67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0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 t="str">
        <f>IF(ISBLANK(A2),"",A2)</f>
        <v/>
      </c>
      <c r="B50" s="124" t="str">
        <f>IFERROR(VLOOKUP(A50,[1]characters!$A:$C,3,FALSE),"")</f>
        <v/>
      </c>
      <c r="C50" s="124" t="str">
        <f>IFERROR(VLOOKUP(A50,[1]characters!$A:$I,9,FALSE),"")</f>
        <v/>
      </c>
      <c r="D50" s="124" t="str">
        <f>IFERROR(VLOOKUP(A50,[1]characters!$A:$J,10,FALSE),"")</f>
        <v/>
      </c>
      <c r="E50" s="129" t="str">
        <f>IFERROR(ROUND(VLOOKUP(CONCATENATE("0",D50,C50,"new"),D$36:E$46,2,FALSE)*COUNTIFS(C$50:C$62,C50,D$50:D$62,D50)*G50,0),"-")</f>
        <v>-</v>
      </c>
      <c r="F50" s="129" t="str">
        <f>IFERROR(ROUND(VLOOKUP(CONCATENATE("1",D50,C50,"new"),D$18:E$32,2,FALSE)*COUNTIFS(C$50:C$62,C50,D$50:D$62,D50)*G50,0),"-")</f>
        <v>-</v>
      </c>
      <c r="G50" t="str">
        <f>IFERROR(VLOOKUP(A50,A2:E14,5,FALSE)/SUMIFS(E$2:E$14,C$2:C$14,C50,D$2:D$14,CONCATENATE(D50,"new")),"-")</f>
        <v>-</v>
      </c>
    </row>
    <row r="51" spans="1:7">
      <c r="A51" s="129" t="str">
        <f t="shared" ref="A51:A62" si="2">IF(ISBLANK(A3),"",A3)</f>
        <v/>
      </c>
      <c r="B51" s="124" t="str">
        <f>IFERROR(VLOOKUP(A51,[1]characters!$A:$C,3,FALSE),"")</f>
        <v/>
      </c>
      <c r="C51" s="124" t="str">
        <f>IFERROR(VLOOKUP(A51,[1]characters!$A:$I,9,FALSE),"")</f>
        <v/>
      </c>
      <c r="D51" s="124" t="str">
        <f>IFERROR(VLOOKUP(A51,[1]characters!$A:$J,10,FALSE),"")</f>
        <v/>
      </c>
      <c r="E51" s="129" t="str">
        <f t="shared" ref="E51:E62" si="3">IFERROR(ROUND(VLOOKUP(CONCATENATE("0",D51,C51,"new"),D$36:E$46,2,FALSE)*COUNTIFS(C$50:C$62,C51,D$50:D$62,D51)*G51,0),"-")</f>
        <v>-</v>
      </c>
      <c r="F51" s="129" t="str">
        <f t="shared" ref="F51:F62" si="4">IFERROR(ROUND(VLOOKUP(CONCATENATE("1",D51,C51,"new"),D$18:E$32,2,FALSE)*COUNTIFS(C$50:C$62,C51,D$50:D$62,D51)*G51,0),"-")</f>
        <v>-</v>
      </c>
      <c r="G51" t="str">
        <f t="shared" ref="G51:G62" si="5">IFERROR(VLOOKUP(A51,A3:E15,5,FALSE)/SUMIFS(E$2:E$14,C$2:C$14,C51,D$2:D$14,CONCATENATE(D51,"new")),"-")</f>
        <v>-</v>
      </c>
    </row>
    <row r="52" spans="1:7">
      <c r="A52" s="129" t="str">
        <f t="shared" si="2"/>
        <v/>
      </c>
      <c r="B52" s="124" t="str">
        <f>IFERROR(VLOOKUP(A52,[1]characters!$A:$C,3,FALSE),"")</f>
        <v/>
      </c>
      <c r="C52" s="124" t="str">
        <f>IFERROR(VLOOKUP(A52,[1]characters!$A:$I,9,FALSE),"")</f>
        <v/>
      </c>
      <c r="D52" s="124" t="str">
        <f>IFERROR(VLOOKUP(A52,[1]characters!$A:$J,10,FALSE),"")</f>
        <v/>
      </c>
      <c r="E52" s="129" t="str">
        <f t="shared" si="3"/>
        <v>-</v>
      </c>
      <c r="F52" s="129" t="str">
        <f t="shared" si="4"/>
        <v>-</v>
      </c>
      <c r="G52" t="str">
        <f t="shared" si="5"/>
        <v>-</v>
      </c>
    </row>
    <row r="53" spans="1:7">
      <c r="A53" s="129" t="str">
        <f t="shared" si="2"/>
        <v/>
      </c>
      <c r="B53" s="124" t="str">
        <f>IFERROR(VLOOKUP(A53,[1]characters!$A:$C,3,FALSE),"")</f>
        <v/>
      </c>
      <c r="C53" s="124" t="str">
        <f>IFERROR(VLOOKUP(A53,[1]characters!$A:$I,9,FALSE),"")</f>
        <v/>
      </c>
      <c r="D53" s="124" t="str">
        <f>IFERROR(VLOOKUP(A53,[1]characters!$A:$J,10,FALSE),"")</f>
        <v/>
      </c>
      <c r="E53" s="129" t="str">
        <f t="shared" si="3"/>
        <v>-</v>
      </c>
      <c r="F53" s="129" t="str">
        <f t="shared" si="4"/>
        <v>-</v>
      </c>
      <c r="G53" t="str">
        <f t="shared" si="5"/>
        <v>-</v>
      </c>
    </row>
    <row r="54" spans="1:7">
      <c r="A54" s="129" t="str">
        <f t="shared" si="2"/>
        <v/>
      </c>
      <c r="B54" s="124" t="str">
        <f>IFERROR(VLOOKUP(A54,[1]characters!$A:$C,3,FALSE),"")</f>
        <v/>
      </c>
      <c r="C54" s="124" t="str">
        <f>IFERROR(VLOOKUP(A54,[1]characters!$A:$I,9,FALSE),"")</f>
        <v/>
      </c>
      <c r="D54" s="124" t="str">
        <f>IFERROR(VLOOKUP(A54,[1]characters!$A:$J,10,FALSE),"")</f>
        <v/>
      </c>
      <c r="E54" s="129" t="str">
        <f t="shared" si="3"/>
        <v>-</v>
      </c>
      <c r="F54" s="129" t="str">
        <f t="shared" si="4"/>
        <v>-</v>
      </c>
      <c r="G54" t="str">
        <f t="shared" si="5"/>
        <v>-</v>
      </c>
    </row>
    <row r="55" spans="1:7">
      <c r="A55" s="129" t="str">
        <f t="shared" si="2"/>
        <v/>
      </c>
      <c r="B55" s="124" t="str">
        <f>IFERROR(VLOOKUP(A55,[1]characters!$A:$C,3,FALSE),"")</f>
        <v/>
      </c>
      <c r="C55" s="124" t="str">
        <f>IFERROR(VLOOKUP(A55,[1]characters!$A:$I,9,FALSE),"")</f>
        <v/>
      </c>
      <c r="D55" s="124" t="str">
        <f>IFERROR(VLOOKUP(A55,[1]characters!$A:$J,10,FALSE),"")</f>
        <v/>
      </c>
      <c r="E55" s="129" t="str">
        <f t="shared" si="3"/>
        <v>-</v>
      </c>
      <c r="F55" s="129" t="str">
        <f t="shared" si="4"/>
        <v>-</v>
      </c>
      <c r="G55" t="str">
        <f t="shared" si="5"/>
        <v>-</v>
      </c>
    </row>
    <row r="56" spans="1:7">
      <c r="A56" s="129" t="str">
        <f t="shared" si="2"/>
        <v/>
      </c>
      <c r="B56" s="124" t="str">
        <f>IFERROR(VLOOKUP(A56,[1]characters!$A:$C,3,FALSE),"")</f>
        <v/>
      </c>
      <c r="C56" s="124" t="str">
        <f>IFERROR(VLOOKUP(A56,[1]characters!$A:$I,9,FALSE),"")</f>
        <v/>
      </c>
      <c r="D56" s="124" t="str">
        <f>IFERROR(VLOOKUP(A56,[1]characters!$A:$J,10,FALSE),"")</f>
        <v/>
      </c>
      <c r="E56" s="129" t="str">
        <f t="shared" si="3"/>
        <v>-</v>
      </c>
      <c r="F56" s="129" t="str">
        <f t="shared" si="4"/>
        <v>-</v>
      </c>
      <c r="G56" t="str">
        <f t="shared" si="5"/>
        <v>-</v>
      </c>
    </row>
    <row r="57" spans="1:7">
      <c r="A57" s="129" t="str">
        <f t="shared" si="2"/>
        <v/>
      </c>
      <c r="B57" s="124" t="str">
        <f>IFERROR(VLOOKUP(A57,[1]characters!$A:$C,3,FALSE),"")</f>
        <v/>
      </c>
      <c r="C57" s="124" t="str">
        <f>IFERROR(VLOOKUP(A57,[1]characters!$A:$I,9,FALSE),"")</f>
        <v/>
      </c>
      <c r="D57" s="124" t="str">
        <f>IFERROR(VLOOKUP(A57,[1]characters!$A:$J,10,FALSE),"")</f>
        <v/>
      </c>
      <c r="E57" s="129" t="str">
        <f t="shared" si="3"/>
        <v>-</v>
      </c>
      <c r="F57" s="129" t="str">
        <f t="shared" si="4"/>
        <v>-</v>
      </c>
      <c r="G57" t="str">
        <f t="shared" si="5"/>
        <v>-</v>
      </c>
    </row>
    <row r="58" spans="1:7">
      <c r="A58" s="129" t="str">
        <f t="shared" si="2"/>
        <v/>
      </c>
      <c r="B58" s="124" t="str">
        <f>IFERROR(VLOOKUP(A58,[1]characters!$A:$C,3,FALSE),"")</f>
        <v/>
      </c>
      <c r="C58" s="124" t="str">
        <f>IFERROR(VLOOKUP(A58,[1]characters!$A:$I,9,FALSE),"")</f>
        <v/>
      </c>
      <c r="D58" s="124" t="str">
        <f>IFERROR(VLOOKUP(A58,[1]characters!$A:$J,10,FALSE),"")</f>
        <v/>
      </c>
      <c r="E58" s="129" t="str">
        <f t="shared" si="3"/>
        <v>-</v>
      </c>
      <c r="F58" s="129" t="str">
        <f t="shared" si="4"/>
        <v>-</v>
      </c>
      <c r="G58" t="str">
        <f t="shared" si="5"/>
        <v>-</v>
      </c>
    </row>
    <row r="59" spans="1:7">
      <c r="A59" s="129" t="str">
        <f t="shared" si="2"/>
        <v/>
      </c>
      <c r="B59" s="124" t="str">
        <f>IFERROR(VLOOKUP(A59,[1]characters!$A:$C,3,FALSE),"")</f>
        <v/>
      </c>
      <c r="C59" s="124" t="str">
        <f>IFERROR(VLOOKUP(A59,[1]characters!$A:$I,9,FALSE),"")</f>
        <v/>
      </c>
      <c r="D59" s="124" t="str">
        <f>IFERROR(VLOOKUP(A59,[1]characters!$A:$J,10,FALSE),"")</f>
        <v/>
      </c>
      <c r="E59" s="129" t="str">
        <f t="shared" si="3"/>
        <v>-</v>
      </c>
      <c r="F59" s="129" t="str">
        <f t="shared" si="4"/>
        <v>-</v>
      </c>
      <c r="G59" t="str">
        <f t="shared" si="5"/>
        <v>-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opLeftCell="B42" workbookViewId="0">
      <pane xSplit="8" topLeftCell="J1" activePane="topRight" state="frozen"/>
      <selection activeCell="B57" sqref="B57"/>
      <selection pane="topRight" activeCell="K75" sqref="K75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53" t="s">
        <v>43</v>
      </c>
      <c r="H5" s="153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0.74</v>
      </c>
      <c r="G35" s="73">
        <f>E$38*F35</f>
        <v>173.16</v>
      </c>
      <c r="H35" s="73">
        <f>G35/E35</f>
        <v>2.4737142857142858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0.185</v>
      </c>
      <c r="G36" s="73">
        <f>E$38*F36</f>
        <v>43.29</v>
      </c>
      <c r="H36" s="73">
        <f>G36/E36</f>
        <v>0.47054347826086956</v>
      </c>
      <c r="I36" s="75">
        <f>100/((F36+F37)*100)*E$17</f>
        <v>1153.8461538461538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7.4999999999999997E-2</v>
      </c>
      <c r="G37" s="73">
        <f>E$38*F37</f>
        <v>17.55</v>
      </c>
      <c r="H37" s="73">
        <f>G37/E37</f>
        <v>0.24375000000000002</v>
      </c>
      <c r="I37" s="75">
        <f>100/(F37*100)*E$17</f>
        <v>4000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0.20210526315789473</v>
      </c>
      <c r="G44" s="73">
        <f t="shared" ref="G44:G50" si="1">E$50*F44</f>
        <v>47.292631578947365</v>
      </c>
      <c r="H44" s="73">
        <f t="shared" ref="H44:H50" si="2">G44/E44</f>
        <v>1.1823157894736842</v>
      </c>
      <c r="I44" s="75">
        <f t="shared" ref="I44:I49" si="3">100/(F44*100)*E$17</f>
        <v>1484.375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0.30315789473684207</v>
      </c>
      <c r="G45" s="73">
        <f t="shared" si="1"/>
        <v>70.93894736842104</v>
      </c>
      <c r="H45" s="73">
        <f t="shared" si="2"/>
        <v>1.182315789473684</v>
      </c>
      <c r="I45" s="75">
        <f t="shared" si="3"/>
        <v>989.58333333333348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90</v>
      </c>
      <c r="F46" s="74">
        <f>(1-SUM(F$47:F$49))*E46/SUM(E$44:E$46)</f>
        <v>0.45473684210526311</v>
      </c>
      <c r="G46" s="73">
        <f t="shared" si="1"/>
        <v>106.40842105263157</v>
      </c>
      <c r="H46" s="73">
        <f t="shared" si="2"/>
        <v>1.182315789473684</v>
      </c>
      <c r="I46" s="75">
        <f t="shared" si="3"/>
        <v>659.72222222222229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0</v>
      </c>
      <c r="F47" s="74">
        <f>SUMIF(gacha_conf!D$2:D$14,D47,gacha_conf!E$2:E$14)</f>
        <v>0</v>
      </c>
      <c r="G47" s="73">
        <f t="shared" si="1"/>
        <v>0</v>
      </c>
      <c r="H47" s="73" t="e">
        <f t="shared" si="2"/>
        <v>#DIV/0!</v>
      </c>
      <c r="I47" s="75" t="e">
        <f t="shared" si="3"/>
        <v>#DIV/0!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44</v>
      </c>
      <c r="F48" s="74">
        <f>gacha_conf!H2-F49</f>
        <v>0.04</v>
      </c>
      <c r="G48" s="73">
        <f t="shared" si="1"/>
        <v>9.36</v>
      </c>
      <c r="H48" s="73">
        <f t="shared" si="2"/>
        <v>0.21272727272727271</v>
      </c>
      <c r="I48" s="75">
        <f t="shared" si="3"/>
        <v>7500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0</v>
      </c>
      <c r="F49" s="74">
        <f>SUMIF(gacha_conf!D$2:D$11,D49,gacha_conf!E$2:E$11)</f>
        <v>0</v>
      </c>
      <c r="G49" s="73">
        <f t="shared" si="1"/>
        <v>0</v>
      </c>
      <c r="H49" s="73" t="e">
        <f t="shared" si="2"/>
        <v>#DIV/0!</v>
      </c>
      <c r="I49" s="75" t="e">
        <f t="shared" si="3"/>
        <v>#DIV/0!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</v>
      </c>
      <c r="G50" s="73">
        <f t="shared" si="1"/>
        <v>234</v>
      </c>
      <c r="H50" s="73">
        <f t="shared" si="2"/>
        <v>1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0.21380000000000002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0.71039999999999992</v>
      </c>
      <c r="I54" s="51"/>
      <c r="M54" s="82"/>
      <c r="P54" s="52"/>
    </row>
    <row r="55" spans="2:19" ht="15.75" customHeight="1">
      <c r="B55" s="49"/>
      <c r="C55" s="66"/>
      <c r="D55" s="154" t="s">
        <v>126</v>
      </c>
      <c r="E55" s="155"/>
      <c r="F55" s="156" t="s">
        <v>127</v>
      </c>
      <c r="G55" s="157"/>
      <c r="H55" s="158" t="s">
        <v>128</v>
      </c>
      <c r="I55" s="159"/>
      <c r="J55" s="160"/>
      <c r="K55" s="161" t="s">
        <v>129</v>
      </c>
      <c r="L55" s="162"/>
      <c r="M55" s="166" t="s">
        <v>130</v>
      </c>
      <c r="N55" s="166"/>
      <c r="O55" s="166"/>
      <c r="P55" s="166"/>
      <c r="Q55" s="167"/>
      <c r="R55" s="161" t="s">
        <v>131</v>
      </c>
      <c r="S55" s="162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0.74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0.14955789473684211</v>
      </c>
      <c r="I57" s="60">
        <f>G$72*H57</f>
        <v>34.996547368421055</v>
      </c>
      <c r="J57" s="60">
        <f>IFERROR(I57/G57,0)</f>
        <v>1.7498273684210528</v>
      </c>
      <c r="K57" s="94">
        <f t="shared" ref="K57:K71" si="4">100/(H57*100)*E$17</f>
        <v>2005.9121621621621</v>
      </c>
      <c r="L57" s="94">
        <f t="shared" ref="L57:L71" si="5">100/(H57*100)*E$17 * G57</f>
        <v>40118.24324324324</v>
      </c>
      <c r="M57" s="95">
        <f t="shared" ref="M57:M69" si="6">E57*H57</f>
        <v>0.11067284210526317</v>
      </c>
      <c r="N57" s="96">
        <f>M57/G57</f>
        <v>5.5336421052631585E-3</v>
      </c>
      <c r="O57" s="60">
        <f t="shared" ref="O57:O71" si="7">G$72*M57</f>
        <v>25.897445052631582</v>
      </c>
      <c r="P57" s="60">
        <f t="shared" ref="P57:P69" si="8">O57/G57</f>
        <v>1.294872252631579</v>
      </c>
      <c r="Q57" s="97">
        <f>ROUND(J57*2500,0)</f>
        <v>4375</v>
      </c>
      <c r="R57" s="94">
        <f t="shared" ref="R57:R71" si="9">100/(H57*E57*100)*E$17</f>
        <v>2710.6921110299486</v>
      </c>
      <c r="S57" s="94">
        <f t="shared" ref="S57:S71" si="10">100/(H57*E57*100)*E$17 * G57</f>
        <v>54213.84222059897</v>
      </c>
    </row>
    <row r="58" spans="2:19" ht="15.75" customHeight="1">
      <c r="B58" s="49"/>
      <c r="C58" s="66"/>
      <c r="D58" s="98">
        <v>3</v>
      </c>
      <c r="E58" s="92">
        <f>F$35</f>
        <v>0.74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0.22433684210526314</v>
      </c>
      <c r="I58" s="60">
        <f t="shared" ref="I58:I69" si="12">G$72*H58</f>
        <v>52.494821052631572</v>
      </c>
      <c r="J58" s="60">
        <f t="shared" ref="J58:J60" si="13">IFERROR(I58/G58,0)</f>
        <v>2.6247410526315784</v>
      </c>
      <c r="K58" s="94">
        <f t="shared" si="4"/>
        <v>1337.2747747747751</v>
      </c>
      <c r="L58" s="94">
        <f t="shared" si="5"/>
        <v>26745.495495495503</v>
      </c>
      <c r="M58" s="95">
        <f t="shared" si="6"/>
        <v>0.16600926315789472</v>
      </c>
      <c r="N58" s="96">
        <f t="shared" ref="N58:N71" si="14">M58/G58</f>
        <v>8.3004631578947365E-3</v>
      </c>
      <c r="O58" s="60">
        <f t="shared" si="7"/>
        <v>38.846167578947366</v>
      </c>
      <c r="P58" s="60">
        <f t="shared" si="8"/>
        <v>1.9423083789473683</v>
      </c>
      <c r="Q58" s="97">
        <f t="shared" ref="Q58:Q71" si="15">ROUND(J58*2500,0)</f>
        <v>6562</v>
      </c>
      <c r="R58" s="94">
        <f t="shared" si="9"/>
        <v>1807.1280740199659</v>
      </c>
      <c r="S58" s="94">
        <f t="shared" si="10"/>
        <v>36142.561480399316</v>
      </c>
    </row>
    <row r="59" spans="2:19" ht="15.75" customHeight="1">
      <c r="B59" s="49"/>
      <c r="C59" s="66"/>
      <c r="D59" s="98">
        <v>3</v>
      </c>
      <c r="E59" s="92">
        <f>F$35</f>
        <v>0.74</v>
      </c>
      <c r="F59" s="15" t="s">
        <v>141</v>
      </c>
      <c r="G59" s="60">
        <f>COUNTIFS(gacha_select_tables!H:H,F59,gacha_select_tables!I:I,D59,gacha_select_tables!E:E,1)-G60</f>
        <v>30</v>
      </c>
      <c r="H59" s="93">
        <f t="shared" si="11"/>
        <v>0.3365052631578947</v>
      </c>
      <c r="I59" s="60">
        <f t="shared" si="12"/>
        <v>78.742231578947354</v>
      </c>
      <c r="J59" s="60">
        <f t="shared" si="13"/>
        <v>2.6247410526315784</v>
      </c>
      <c r="K59" s="94">
        <f t="shared" si="4"/>
        <v>891.51651651651662</v>
      </c>
      <c r="L59" s="94">
        <f t="shared" si="5"/>
        <v>26745.495495495499</v>
      </c>
      <c r="M59" s="95">
        <f t="shared" si="6"/>
        <v>0.24901389473684207</v>
      </c>
      <c r="N59" s="96">
        <f t="shared" si="14"/>
        <v>8.3004631578947365E-3</v>
      </c>
      <c r="O59" s="60">
        <f t="shared" si="7"/>
        <v>58.269251368421045</v>
      </c>
      <c r="P59" s="60">
        <f t="shared" si="8"/>
        <v>1.9423083789473681</v>
      </c>
      <c r="Q59" s="97">
        <f t="shared" si="15"/>
        <v>6562</v>
      </c>
      <c r="R59" s="94">
        <f t="shared" si="9"/>
        <v>1204.7520493466441</v>
      </c>
      <c r="S59" s="94">
        <f t="shared" si="10"/>
        <v>36142.561480399323</v>
      </c>
    </row>
    <row r="60" spans="2:19" ht="15.75" customHeight="1">
      <c r="B60" s="49"/>
      <c r="C60" s="66"/>
      <c r="D60" s="99">
        <v>3</v>
      </c>
      <c r="E60" s="92">
        <f>F$35</f>
        <v>0.74</v>
      </c>
      <c r="F60" s="9" t="s">
        <v>142</v>
      </c>
      <c r="G60" s="60">
        <f>COUNTIFS(gacha_conf!D$2:D$14,F60,gacha_conf!C$2:C$14,D60)</f>
        <v>0</v>
      </c>
      <c r="H60" s="93">
        <f>VLOOKUP(F60,D$44:F$49,3,FALSE)*E60</f>
        <v>0</v>
      </c>
      <c r="I60" s="60">
        <f t="shared" si="12"/>
        <v>0</v>
      </c>
      <c r="J60" s="60">
        <f t="shared" si="13"/>
        <v>0</v>
      </c>
      <c r="K60" s="94" t="e">
        <f t="shared" si="4"/>
        <v>#DIV/0!</v>
      </c>
      <c r="L60" s="94" t="e">
        <f t="shared" si="5"/>
        <v>#DIV/0!</v>
      </c>
      <c r="M60" s="95">
        <f t="shared" si="6"/>
        <v>0</v>
      </c>
      <c r="N60" s="96" t="e">
        <f t="shared" si="14"/>
        <v>#DIV/0!</v>
      </c>
      <c r="O60" s="60">
        <f t="shared" si="7"/>
        <v>0</v>
      </c>
      <c r="P60" s="60" t="e">
        <f t="shared" si="8"/>
        <v>#DIV/0!</v>
      </c>
      <c r="Q60" s="97">
        <f t="shared" si="15"/>
        <v>0</v>
      </c>
      <c r="R60" s="94" t="e">
        <f t="shared" si="9"/>
        <v>#DIV/0!</v>
      </c>
      <c r="S60" s="94" t="e">
        <f t="shared" si="10"/>
        <v>#DIV/0!</v>
      </c>
    </row>
    <row r="61" spans="2:19" ht="15.75" customHeight="1">
      <c r="B61" s="49"/>
      <c r="C61" s="66"/>
      <c r="D61" s="91">
        <v>4</v>
      </c>
      <c r="E61" s="92">
        <f>1-E57</f>
        <v>0.26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5.2547368421052634E-2</v>
      </c>
      <c r="I61" s="60">
        <f t="shared" si="12"/>
        <v>12.296084210526317</v>
      </c>
      <c r="J61" s="60">
        <f t="shared" ref="J61:J71" si="16">IFERROR(I61/G61,0)</f>
        <v>0.61480421052631584</v>
      </c>
      <c r="K61" s="94">
        <f t="shared" si="4"/>
        <v>5709.1346153846152</v>
      </c>
      <c r="L61" s="94">
        <f t="shared" si="5"/>
        <v>114182.69230769231</v>
      </c>
      <c r="M61" s="95">
        <f t="shared" si="6"/>
        <v>1.3662315789473686E-2</v>
      </c>
      <c r="N61" s="96">
        <f t="shared" si="14"/>
        <v>6.8311578947368432E-4</v>
      </c>
      <c r="O61" s="60">
        <f t="shared" si="7"/>
        <v>3.1969818947368425</v>
      </c>
      <c r="P61" s="60">
        <f t="shared" si="8"/>
        <v>0.15984909473684211</v>
      </c>
      <c r="Q61" s="97">
        <f t="shared" si="15"/>
        <v>1537</v>
      </c>
      <c r="R61" s="94">
        <f t="shared" si="9"/>
        <v>21958.210059171597</v>
      </c>
      <c r="S61" s="94">
        <f t="shared" si="10"/>
        <v>439164.20118343196</v>
      </c>
    </row>
    <row r="62" spans="2:19" ht="15.75" customHeight="1">
      <c r="B62" s="49"/>
      <c r="C62" s="66"/>
      <c r="D62" s="98">
        <v>4</v>
      </c>
      <c r="E62" s="92">
        <f>1-E58-E67</f>
        <v>0.16500000000000001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5.0021052631578945E-2</v>
      </c>
      <c r="I62" s="60">
        <f t="shared" si="12"/>
        <v>11.704926315789473</v>
      </c>
      <c r="J62" s="60">
        <f t="shared" si="16"/>
        <v>0.58524631578947361</v>
      </c>
      <c r="K62" s="94">
        <f t="shared" si="4"/>
        <v>5997.4747474747473</v>
      </c>
      <c r="L62" s="94">
        <f t="shared" si="5"/>
        <v>119949.49494949495</v>
      </c>
      <c r="M62" s="95">
        <f t="shared" si="6"/>
        <v>8.2534736842105258E-3</v>
      </c>
      <c r="N62" s="96">
        <f t="shared" si="14"/>
        <v>4.126736842105263E-4</v>
      </c>
      <c r="O62" s="60">
        <f t="shared" si="7"/>
        <v>1.931312842105263</v>
      </c>
      <c r="P62" s="60">
        <f t="shared" si="8"/>
        <v>9.6565642105263153E-2</v>
      </c>
      <c r="Q62" s="97">
        <f t="shared" si="15"/>
        <v>1463</v>
      </c>
      <c r="R62" s="94">
        <f t="shared" si="9"/>
        <v>36348.331802877263</v>
      </c>
      <c r="S62" s="94">
        <f t="shared" si="10"/>
        <v>726966.6360575452</v>
      </c>
    </row>
    <row r="63" spans="2:19" ht="14">
      <c r="B63" s="49"/>
      <c r="C63" s="66"/>
      <c r="D63" s="98">
        <v>4</v>
      </c>
      <c r="E63" s="92">
        <f>1-E59-E68</f>
        <v>0.16500000000000001</v>
      </c>
      <c r="F63" s="15" t="s">
        <v>82</v>
      </c>
      <c r="G63" s="60">
        <f>COUNTIFS(gacha_select_tables!H:H,F63,gacha_select_tables!I:I,D63,gacha_select_tables!E:E,1)-G64</f>
        <v>30</v>
      </c>
      <c r="H63" s="93">
        <f t="shared" si="11"/>
        <v>7.5031578947368421E-2</v>
      </c>
      <c r="I63" s="60">
        <f t="shared" si="12"/>
        <v>17.557389473684211</v>
      </c>
      <c r="J63" s="60">
        <f t="shared" si="16"/>
        <v>0.58524631578947373</v>
      </c>
      <c r="K63" s="94">
        <f t="shared" si="4"/>
        <v>3998.3164983164984</v>
      </c>
      <c r="L63" s="94">
        <f t="shared" si="5"/>
        <v>119949.49494949495</v>
      </c>
      <c r="M63" s="95">
        <f t="shared" si="6"/>
        <v>1.238021052631579E-2</v>
      </c>
      <c r="N63" s="96">
        <f t="shared" si="14"/>
        <v>4.1267368421052635E-4</v>
      </c>
      <c r="O63" s="60">
        <f t="shared" si="7"/>
        <v>2.8969692631578949</v>
      </c>
      <c r="P63" s="60">
        <f t="shared" si="8"/>
        <v>9.6565642105263166E-2</v>
      </c>
      <c r="Q63" s="97">
        <f t="shared" si="15"/>
        <v>1463</v>
      </c>
      <c r="R63" s="94">
        <f t="shared" si="9"/>
        <v>24232.221201918168</v>
      </c>
      <c r="S63" s="94">
        <f t="shared" si="10"/>
        <v>726966.63605754508</v>
      </c>
    </row>
    <row r="64" spans="2:19" ht="15.75" customHeight="1">
      <c r="B64" s="49"/>
      <c r="C64" s="66"/>
      <c r="D64" s="98">
        <v>4</v>
      </c>
      <c r="E64" s="92">
        <f>1-E60-E69</f>
        <v>0.16500000000000001</v>
      </c>
      <c r="F64" s="9" t="s">
        <v>143</v>
      </c>
      <c r="G64" s="60">
        <f>COUNTIFS(gacha_conf!D$2:D$14,F64,gacha_conf!C$2:C$14,D64)</f>
        <v>0</v>
      </c>
      <c r="H64" s="93">
        <f>VLOOKUP(F64,D$44:F$49,3,FALSE)*E64</f>
        <v>0</v>
      </c>
      <c r="I64" s="60">
        <f t="shared" si="12"/>
        <v>0</v>
      </c>
      <c r="J64" s="60">
        <f t="shared" si="16"/>
        <v>0</v>
      </c>
      <c r="K64" s="94" t="e">
        <f t="shared" si="4"/>
        <v>#DIV/0!</v>
      </c>
      <c r="L64" s="94" t="e">
        <f t="shared" si="5"/>
        <v>#DIV/0!</v>
      </c>
      <c r="M64" s="95">
        <f t="shared" si="6"/>
        <v>0</v>
      </c>
      <c r="N64" s="96" t="e">
        <f t="shared" si="14"/>
        <v>#DIV/0!</v>
      </c>
      <c r="O64" s="60">
        <f t="shared" si="7"/>
        <v>0</v>
      </c>
      <c r="P64" s="60" t="e">
        <f t="shared" si="8"/>
        <v>#DIV/0!</v>
      </c>
      <c r="Q64" s="97">
        <f t="shared" si="15"/>
        <v>0</v>
      </c>
      <c r="R64" s="94" t="e">
        <f t="shared" si="9"/>
        <v>#DIV/0!</v>
      </c>
      <c r="S64" s="94" t="e">
        <f t="shared" si="10"/>
        <v>#DIV/0!</v>
      </c>
    </row>
    <row r="65" spans="2:19" ht="15.75" customHeight="1">
      <c r="B65" s="49"/>
      <c r="C65" s="66"/>
      <c r="D65" s="98">
        <v>4</v>
      </c>
      <c r="E65" s="100">
        <f>1-E70</f>
        <v>0.90500000000000003</v>
      </c>
      <c r="F65" s="15" t="s">
        <v>83</v>
      </c>
      <c r="G65" s="60">
        <f>COUNTIFS(gacha_select_tables!H:H,F65,gacha_select_tables!I:I,D65,gacha_select_tables!E:E,1)-G66</f>
        <v>22</v>
      </c>
      <c r="H65" s="93">
        <f>VLOOKUP(F65,D$44:F$49,3,FALSE)*E65</f>
        <v>3.6200000000000003E-2</v>
      </c>
      <c r="I65" s="60">
        <f>G$72*H65</f>
        <v>8.4708000000000006</v>
      </c>
      <c r="J65" s="60">
        <f t="shared" si="16"/>
        <v>0.38503636363636368</v>
      </c>
      <c r="K65" s="94">
        <f t="shared" si="4"/>
        <v>8287.2928176795576</v>
      </c>
      <c r="L65" s="94">
        <f t="shared" si="5"/>
        <v>182320.44198895028</v>
      </c>
      <c r="M65" s="96">
        <f>E65*H65</f>
        <v>3.2761000000000005E-2</v>
      </c>
      <c r="N65" s="96">
        <f>M65/G65</f>
        <v>1.4891363636363639E-3</v>
      </c>
      <c r="O65" s="60">
        <f>G$72*M65</f>
        <v>7.6660740000000009</v>
      </c>
      <c r="P65" s="60">
        <f>O65/G65</f>
        <v>0.34845790909090912</v>
      </c>
      <c r="Q65" s="97">
        <f t="shared" si="15"/>
        <v>963</v>
      </c>
      <c r="R65" s="94">
        <f t="shared" si="9"/>
        <v>9157.2296327950899</v>
      </c>
      <c r="S65" s="94">
        <f t="shared" si="10"/>
        <v>201459.05192149198</v>
      </c>
    </row>
    <row r="66" spans="2:19" ht="15.75" customHeight="1">
      <c r="B66" s="49"/>
      <c r="C66" s="66"/>
      <c r="D66" s="99">
        <v>4</v>
      </c>
      <c r="E66" s="100">
        <f>1-E71</f>
        <v>0.90500000000000003</v>
      </c>
      <c r="F66" s="9" t="s">
        <v>144</v>
      </c>
      <c r="G66" s="60">
        <f>COUNTIFS(gacha_conf!D$2:D$14,F66,gacha_conf!C$2:C$14,D66)</f>
        <v>0</v>
      </c>
      <c r="H66" s="93">
        <f t="shared" si="11"/>
        <v>0</v>
      </c>
      <c r="I66" s="60">
        <f t="shared" si="12"/>
        <v>0</v>
      </c>
      <c r="J66" s="60">
        <f t="shared" si="16"/>
        <v>0</v>
      </c>
      <c r="K66" s="94" t="e">
        <f t="shared" si="4"/>
        <v>#DIV/0!</v>
      </c>
      <c r="L66" s="94" t="e">
        <f t="shared" si="5"/>
        <v>#DIV/0!</v>
      </c>
      <c r="M66" s="95">
        <f>E66*H66</f>
        <v>0</v>
      </c>
      <c r="N66" s="96" t="e">
        <f t="shared" si="14"/>
        <v>#DIV/0!</v>
      </c>
      <c r="O66" s="60">
        <f t="shared" si="7"/>
        <v>0</v>
      </c>
      <c r="P66" s="60" t="e">
        <f>O66/G66</f>
        <v>#DIV/0!</v>
      </c>
      <c r="Q66" s="97">
        <f t="shared" si="15"/>
        <v>0</v>
      </c>
      <c r="R66" s="94" t="e">
        <f t="shared" si="9"/>
        <v>#DIV/0!</v>
      </c>
      <c r="S66" s="94" t="e">
        <f t="shared" si="10"/>
        <v>#DIV/0!</v>
      </c>
    </row>
    <row r="67" spans="2:19" ht="15.75" customHeight="1">
      <c r="B67" s="49"/>
      <c r="C67" s="66"/>
      <c r="D67" s="91">
        <v>5</v>
      </c>
      <c r="E67" s="92">
        <f>gacha_conf!H$5</f>
        <v>9.5000000000000001E-2</v>
      </c>
      <c r="F67" s="15" t="s">
        <v>140</v>
      </c>
      <c r="G67" s="60">
        <f>COUNTIFS(gacha_select_tables!H:H,F67,gacha_select_tables!I:I,D67,gacha_select_tables!E:E,1)</f>
        <v>20</v>
      </c>
      <c r="H67" s="93">
        <f>VLOOKUP(F67,D$44:F$49,3,FALSE)*E67</f>
        <v>2.8799999999999996E-2</v>
      </c>
      <c r="I67" s="60">
        <f t="shared" si="12"/>
        <v>6.7391999999999994</v>
      </c>
      <c r="J67" s="60">
        <f t="shared" si="16"/>
        <v>0.33695999999999998</v>
      </c>
      <c r="K67" s="94">
        <f t="shared" si="4"/>
        <v>10416.666666666668</v>
      </c>
      <c r="L67" s="94">
        <f t="shared" si="5"/>
        <v>208333.33333333337</v>
      </c>
      <c r="M67" s="95">
        <f t="shared" si="6"/>
        <v>2.7359999999999997E-3</v>
      </c>
      <c r="N67" s="96">
        <f t="shared" si="14"/>
        <v>1.3679999999999999E-4</v>
      </c>
      <c r="O67" s="60">
        <f t="shared" si="7"/>
        <v>0.6402239999999999</v>
      </c>
      <c r="P67" s="60">
        <f t="shared" si="8"/>
        <v>3.2011199999999997E-2</v>
      </c>
      <c r="Q67" s="97">
        <f t="shared" si="15"/>
        <v>842</v>
      </c>
      <c r="R67" s="94">
        <f t="shared" si="9"/>
        <v>109649.12280701756</v>
      </c>
      <c r="S67" s="94">
        <f t="shared" si="10"/>
        <v>2192982.456140351</v>
      </c>
    </row>
    <row r="68" spans="2:19" ht="15.75" customHeight="1">
      <c r="B68" s="49"/>
      <c r="C68" s="66"/>
      <c r="D68" s="98">
        <v>5</v>
      </c>
      <c r="E68" s="92">
        <f>gacha_conf!H$5</f>
        <v>9.5000000000000001E-2</v>
      </c>
      <c r="F68" s="15" t="s">
        <v>82</v>
      </c>
      <c r="G68" s="60">
        <f>COUNTIFS(gacha_select_tables!H:H,F68,gacha_select_tables!I:I,D68,gacha_select_tables!E:E,1)-G69</f>
        <v>30</v>
      </c>
      <c r="H68" s="93">
        <f t="shared" si="11"/>
        <v>4.3199999999999995E-2</v>
      </c>
      <c r="I68" s="60">
        <f t="shared" si="12"/>
        <v>10.108799999999999</v>
      </c>
      <c r="J68" s="60">
        <f t="shared" si="16"/>
        <v>0.33695999999999998</v>
      </c>
      <c r="K68" s="94">
        <f t="shared" si="4"/>
        <v>6944.4444444444453</v>
      </c>
      <c r="L68" s="94">
        <f t="shared" si="5"/>
        <v>208333.33333333337</v>
      </c>
      <c r="M68" s="95">
        <f t="shared" si="6"/>
        <v>4.104E-3</v>
      </c>
      <c r="N68" s="96">
        <f t="shared" si="14"/>
        <v>1.3679999999999999E-4</v>
      </c>
      <c r="O68" s="60">
        <f t="shared" si="7"/>
        <v>0.96033599999999997</v>
      </c>
      <c r="P68" s="60">
        <f t="shared" si="8"/>
        <v>3.2011199999999997E-2</v>
      </c>
      <c r="Q68" s="97">
        <f t="shared" si="15"/>
        <v>842</v>
      </c>
      <c r="R68" s="94">
        <f t="shared" si="9"/>
        <v>73099.415204678371</v>
      </c>
      <c r="S68" s="94">
        <f t="shared" si="10"/>
        <v>2192982.456140351</v>
      </c>
    </row>
    <row r="69" spans="2:19" ht="15.75" customHeight="1">
      <c r="B69" s="49"/>
      <c r="C69" s="66"/>
      <c r="D69" s="98">
        <v>5</v>
      </c>
      <c r="E69" s="92">
        <f>gacha_conf!H$5</f>
        <v>9.5000000000000001E-2</v>
      </c>
      <c r="F69" s="9" t="s">
        <v>142</v>
      </c>
      <c r="G69" s="60">
        <f>COUNTIFS(gacha_conf!D$2:D$14,F69,gacha_conf!C$2:C$14,D69)</f>
        <v>0</v>
      </c>
      <c r="H69" s="93">
        <f t="shared" si="11"/>
        <v>0</v>
      </c>
      <c r="I69" s="60">
        <f t="shared" si="12"/>
        <v>0</v>
      </c>
      <c r="J69" s="60">
        <f t="shared" si="16"/>
        <v>0</v>
      </c>
      <c r="K69" s="94" t="e">
        <f t="shared" si="4"/>
        <v>#DIV/0!</v>
      </c>
      <c r="L69" s="94" t="e">
        <f t="shared" si="5"/>
        <v>#DIV/0!</v>
      </c>
      <c r="M69" s="95">
        <f t="shared" si="6"/>
        <v>0</v>
      </c>
      <c r="N69" s="96" t="e">
        <f t="shared" si="14"/>
        <v>#DIV/0!</v>
      </c>
      <c r="O69" s="60">
        <f t="shared" si="7"/>
        <v>0</v>
      </c>
      <c r="P69" s="60" t="e">
        <f t="shared" si="8"/>
        <v>#DIV/0!</v>
      </c>
      <c r="Q69" s="97">
        <f t="shared" si="15"/>
        <v>0</v>
      </c>
      <c r="R69" s="94" t="e">
        <f t="shared" si="9"/>
        <v>#DIV/0!</v>
      </c>
      <c r="S69" s="94" t="e">
        <f t="shared" si="10"/>
        <v>#DIV/0!</v>
      </c>
    </row>
    <row r="70" spans="2:19" ht="15.75" customHeight="1">
      <c r="B70" s="49"/>
      <c r="C70" s="66"/>
      <c r="D70" s="98">
        <v>5</v>
      </c>
      <c r="E70" s="92">
        <f>gacha_conf!H$5</f>
        <v>9.5000000000000001E-2</v>
      </c>
      <c r="F70" s="15" t="s">
        <v>83</v>
      </c>
      <c r="G70" s="60">
        <f>COUNTIFS(gacha_select_tables!H:H,F70,gacha_select_tables!I:I,D70,gacha_select_tables!E:E,1)-G71</f>
        <v>22</v>
      </c>
      <c r="H70" s="93">
        <f>VLOOKUP(F70,D$44:F$49,3,FALSE)*E70</f>
        <v>3.8E-3</v>
      </c>
      <c r="I70" s="60">
        <f>G$72*H70</f>
        <v>0.88919999999999999</v>
      </c>
      <c r="J70" s="60">
        <f t="shared" si="16"/>
        <v>4.0418181818181818E-2</v>
      </c>
      <c r="K70" s="94">
        <f t="shared" si="4"/>
        <v>78947.368421052626</v>
      </c>
      <c r="L70" s="94">
        <f t="shared" si="5"/>
        <v>1736842.1052631577</v>
      </c>
      <c r="M70" s="96">
        <f>E70*H70</f>
        <v>3.6099999999999999E-4</v>
      </c>
      <c r="N70" s="96">
        <f>M70/G70</f>
        <v>1.6409090909090909E-5</v>
      </c>
      <c r="O70" s="60">
        <f>G$72*M70</f>
        <v>8.4473999999999994E-2</v>
      </c>
      <c r="P70" s="60">
        <f>O70/G70</f>
        <v>3.8397272727272724E-3</v>
      </c>
      <c r="Q70" s="97">
        <f t="shared" si="15"/>
        <v>101</v>
      </c>
      <c r="R70" s="94">
        <f t="shared" si="9"/>
        <v>831024.93074792251</v>
      </c>
      <c r="S70" s="94">
        <f t="shared" si="10"/>
        <v>18282548.476454295</v>
      </c>
    </row>
    <row r="71" spans="2:19" ht="15.75" customHeight="1">
      <c r="B71" s="49"/>
      <c r="C71" s="66"/>
      <c r="D71" s="99">
        <v>5</v>
      </c>
      <c r="E71" s="92">
        <f>gacha_conf!H$5</f>
        <v>9.5000000000000001E-2</v>
      </c>
      <c r="F71" s="9" t="s">
        <v>145</v>
      </c>
      <c r="G71" s="60">
        <f>COUNTIFS(gacha_conf!D$2:D$14,F71,gacha_conf!C$2:C$14,D71)</f>
        <v>0</v>
      </c>
      <c r="H71" s="93">
        <f>VLOOKUP(F71,D$44:F$49,3,FALSE)*E71</f>
        <v>0</v>
      </c>
      <c r="I71" s="60">
        <f>G$72*H71</f>
        <v>0</v>
      </c>
      <c r="J71" s="60">
        <f t="shared" si="16"/>
        <v>0</v>
      </c>
      <c r="K71" s="94" t="e">
        <f t="shared" si="4"/>
        <v>#DIV/0!</v>
      </c>
      <c r="L71" s="94" t="e">
        <f t="shared" si="5"/>
        <v>#DIV/0!</v>
      </c>
      <c r="M71" s="95">
        <f>E71*H71</f>
        <v>0</v>
      </c>
      <c r="N71" s="96" t="e">
        <f t="shared" si="14"/>
        <v>#DIV/0!</v>
      </c>
      <c r="O71" s="60">
        <f t="shared" si="7"/>
        <v>0</v>
      </c>
      <c r="P71" s="60" t="e">
        <f>O71/G71</f>
        <v>#DIV/0!</v>
      </c>
      <c r="Q71" s="97">
        <f t="shared" si="15"/>
        <v>0</v>
      </c>
      <c r="R71" s="94" t="e">
        <f t="shared" si="9"/>
        <v>#DIV/0!</v>
      </c>
      <c r="S71" s="94" t="e">
        <f t="shared" si="10"/>
        <v>#DIV/0!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1</v>
      </c>
      <c r="I72" s="60">
        <f>G$72*H72</f>
        <v>234</v>
      </c>
      <c r="J72" s="60">
        <f>I72/G72</f>
        <v>1</v>
      </c>
      <c r="K72" s="102"/>
      <c r="L72" s="102"/>
      <c r="M72" s="103">
        <f>SUM(M57:M71)</f>
        <v>0.59995399999999977</v>
      </c>
      <c r="N72" s="104"/>
      <c r="O72" s="60">
        <f>G$72*M72</f>
        <v>140.38923599999995</v>
      </c>
      <c r="P72" s="60">
        <f>O72/G72</f>
        <v>0.59995399999999977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0.92500000000000004</v>
      </c>
      <c r="G80" s="73">
        <f>E$82*F80</f>
        <v>151.70000000000002</v>
      </c>
      <c r="H80" s="73">
        <f>G80/E80</f>
        <v>1.6489130434782611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7.4999999999999997E-2</v>
      </c>
      <c r="G81" s="73">
        <f>E$82*F81</f>
        <v>12.299999999999999</v>
      </c>
      <c r="H81" s="73">
        <f>G81/E81</f>
        <v>0.17083333333333331</v>
      </c>
      <c r="I81" s="75">
        <f>100/(F81*100)*E$17</f>
        <v>4000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0.16</v>
      </c>
      <c r="G88" s="73">
        <f t="shared" ref="G88:G94" si="17">E$94*F88</f>
        <v>26.240000000000002</v>
      </c>
      <c r="H88" s="73">
        <f>G88/E88</f>
        <v>1.3120000000000001</v>
      </c>
      <c r="I88" s="75">
        <f t="shared" ref="I88:I93" si="18">100/(F88*100)*E$17</f>
        <v>1875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0.32</v>
      </c>
      <c r="G89" s="73">
        <f t="shared" si="17"/>
        <v>52.480000000000004</v>
      </c>
      <c r="H89" s="73">
        <f>G89/E89</f>
        <v>1.3120000000000001</v>
      </c>
      <c r="I89" s="75">
        <f t="shared" si="18"/>
        <v>937.5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60</v>
      </c>
      <c r="F90" s="74">
        <f>(1-SUM(F$91:F$93))*E90/SUM(E$88:E$90)</f>
        <v>0.47999999999999993</v>
      </c>
      <c r="G90" s="73">
        <f t="shared" si="17"/>
        <v>78.719999999999985</v>
      </c>
      <c r="H90" s="73">
        <f t="shared" ref="H90:H94" si="19">G90/E90</f>
        <v>1.3119999999999998</v>
      </c>
      <c r="I90" s="75">
        <f t="shared" si="18"/>
        <v>625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0</v>
      </c>
      <c r="F91" s="74">
        <f>SUMIF(gacha_conf!D$2:D$14,D91,gacha_conf!E$2:E$14)</f>
        <v>0</v>
      </c>
      <c r="G91" s="73">
        <f t="shared" si="17"/>
        <v>0</v>
      </c>
      <c r="H91" s="73" t="e">
        <f t="shared" si="19"/>
        <v>#DIV/0!</v>
      </c>
      <c r="I91" s="75" t="e">
        <f t="shared" si="18"/>
        <v>#DIV/0!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44</v>
      </c>
      <c r="F92" s="74">
        <f>gacha_conf!H2-F93</f>
        <v>0.04</v>
      </c>
      <c r="G92" s="73">
        <f t="shared" si="17"/>
        <v>6.5600000000000005</v>
      </c>
      <c r="H92" s="73">
        <f t="shared" si="19"/>
        <v>0.14909090909090911</v>
      </c>
      <c r="I92" s="75">
        <f t="shared" si="18"/>
        <v>7500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0</v>
      </c>
      <c r="F93" s="74">
        <f>SUMIF(gacha_conf!D$2:D$14,D93,gacha_conf!E$2:E$14)</f>
        <v>0</v>
      </c>
      <c r="G93" s="73">
        <f t="shared" si="17"/>
        <v>0</v>
      </c>
      <c r="H93" s="73" t="e">
        <f t="shared" si="19"/>
        <v>#DIV/0!</v>
      </c>
      <c r="I93" s="75" t="e">
        <f t="shared" si="18"/>
        <v>#DIV/0!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7"/>
        <v>164</v>
      </c>
      <c r="H94" s="73">
        <f t="shared" si="19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4" t="s">
        <v>152</v>
      </c>
      <c r="E99" s="155"/>
      <c r="F99" s="156" t="s">
        <v>153</v>
      </c>
      <c r="G99" s="157"/>
      <c r="H99" s="163" t="s">
        <v>128</v>
      </c>
      <c r="I99" s="159"/>
      <c r="J99" s="160"/>
      <c r="K99" s="161" t="s">
        <v>129</v>
      </c>
      <c r="L99" s="162"/>
      <c r="M99" s="154" t="s">
        <v>130</v>
      </c>
      <c r="N99" s="164"/>
      <c r="O99" s="164"/>
      <c r="P99" s="164"/>
      <c r="Q99" s="165"/>
      <c r="R99" s="161" t="s">
        <v>131</v>
      </c>
      <c r="S99" s="162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0.16</v>
      </c>
      <c r="I101" s="73">
        <f>G$112*H101</f>
        <v>26.240000000000002</v>
      </c>
      <c r="J101" s="60">
        <f>IFERROR(I101/G101,0)</f>
        <v>1.3120000000000001</v>
      </c>
      <c r="K101" s="75">
        <f t="shared" ref="K101:K111" si="20">100/(H101*100)*E$17</f>
        <v>1875</v>
      </c>
      <c r="L101" s="75">
        <f t="shared" ref="L101:L111" si="21">100/(H101*100)*E$17 * G101</f>
        <v>37500</v>
      </c>
      <c r="M101" s="114">
        <f t="shared" ref="M101:M108" si="22">E101*H101</f>
        <v>0.16</v>
      </c>
      <c r="N101" s="96">
        <f>M101/G101</f>
        <v>8.0000000000000002E-3</v>
      </c>
      <c r="O101" s="73">
        <f t="shared" ref="O101:O112" si="23">G$112*M101</f>
        <v>26.240000000000002</v>
      </c>
      <c r="P101" s="73">
        <f t="shared" ref="P101:P112" si="24">O101/G101</f>
        <v>1.3120000000000001</v>
      </c>
      <c r="Q101" s="97">
        <f>ROUND(J101*2500,0)</f>
        <v>3280</v>
      </c>
      <c r="R101" s="75">
        <f t="shared" ref="R101:R110" si="25">100/(H101*E58*100)*E$17</f>
        <v>2533.7837837837837</v>
      </c>
      <c r="S101" s="75">
        <f t="shared" ref="S101:S106" si="26">100/(H101*E$61*100)*E$17 * G101</f>
        <v>144230.76923076922</v>
      </c>
    </row>
    <row r="102" spans="2:19" ht="14">
      <c r="D102" s="115">
        <v>4</v>
      </c>
      <c r="E102" s="113">
        <f>1-E107</f>
        <v>0.91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7">VLOOKUP(F102,D$88:F$93,3,FALSE)*E102</f>
        <v>0.29120000000000001</v>
      </c>
      <c r="I102" s="73">
        <f t="shared" ref="I102:I112" si="28">G$112*H102</f>
        <v>47.756800000000005</v>
      </c>
      <c r="J102" s="60">
        <f t="shared" ref="J102:J111" si="29">IFERROR(I102/G102,0)</f>
        <v>2.3878400000000002</v>
      </c>
      <c r="K102" s="75">
        <f t="shared" si="20"/>
        <v>1030.2197802197802</v>
      </c>
      <c r="L102" s="75">
        <f t="shared" si="21"/>
        <v>20604.395604395606</v>
      </c>
      <c r="M102" s="114">
        <f t="shared" si="22"/>
        <v>0.26499200000000001</v>
      </c>
      <c r="N102" s="96">
        <f t="shared" ref="N102:N111" si="30">M102/G102</f>
        <v>1.32496E-2</v>
      </c>
      <c r="O102" s="73">
        <f t="shared" si="23"/>
        <v>43.458688000000002</v>
      </c>
      <c r="P102" s="73">
        <f t="shared" si="24"/>
        <v>2.1729343999999999</v>
      </c>
      <c r="Q102" s="97">
        <f t="shared" ref="Q102:Q111" si="31">ROUND(J102*2500,0)</f>
        <v>5970</v>
      </c>
      <c r="R102" s="75">
        <f t="shared" si="25"/>
        <v>1392.1888921888922</v>
      </c>
      <c r="S102" s="75">
        <f t="shared" si="26"/>
        <v>79247.675401521556</v>
      </c>
    </row>
    <row r="103" spans="2:19" ht="14">
      <c r="D103" s="115">
        <v>4</v>
      </c>
      <c r="E103" s="113">
        <f t="shared" ref="E103:E106" si="32">1-E108</f>
        <v>0.91</v>
      </c>
      <c r="F103" s="72" t="s">
        <v>82</v>
      </c>
      <c r="G103" s="60">
        <f>COUNTIFS(gacha_select_tables!H:H,F103,gacha_select_tables!I:I,D103,gacha_select_tables!E:E,0)-G104</f>
        <v>30</v>
      </c>
      <c r="H103" s="114">
        <f t="shared" si="27"/>
        <v>0.43679999999999997</v>
      </c>
      <c r="I103" s="73">
        <f t="shared" si="28"/>
        <v>71.635199999999998</v>
      </c>
      <c r="J103" s="60">
        <f t="shared" si="29"/>
        <v>2.3878399999999997</v>
      </c>
      <c r="K103" s="75">
        <f t="shared" si="20"/>
        <v>686.8131868131868</v>
      </c>
      <c r="L103" s="75">
        <f t="shared" si="21"/>
        <v>20604.395604395606</v>
      </c>
      <c r="M103" s="114">
        <f t="shared" si="22"/>
        <v>0.39748800000000001</v>
      </c>
      <c r="N103" s="96">
        <f t="shared" si="30"/>
        <v>1.32496E-2</v>
      </c>
      <c r="O103" s="73">
        <f t="shared" si="23"/>
        <v>65.188032000000007</v>
      </c>
      <c r="P103" s="73">
        <f t="shared" si="24"/>
        <v>2.1729344000000004</v>
      </c>
      <c r="Q103" s="97">
        <f t="shared" si="31"/>
        <v>5970</v>
      </c>
      <c r="R103" s="75">
        <f t="shared" si="25"/>
        <v>928.12592812592811</v>
      </c>
      <c r="S103" s="75">
        <f t="shared" si="26"/>
        <v>79247.67540152157</v>
      </c>
    </row>
    <row r="104" spans="2:19" ht="14">
      <c r="D104" s="115">
        <v>4</v>
      </c>
      <c r="E104" s="113">
        <f t="shared" si="32"/>
        <v>0.91</v>
      </c>
      <c r="F104" s="107" t="s">
        <v>149</v>
      </c>
      <c r="G104" s="60">
        <f>COUNTIFS(gacha_conf!D$2:D$14,F104,gacha_conf!C$2:C$14,D104)</f>
        <v>0</v>
      </c>
      <c r="H104" s="114">
        <f t="shared" si="27"/>
        <v>0</v>
      </c>
      <c r="I104" s="73">
        <f t="shared" si="28"/>
        <v>0</v>
      </c>
      <c r="J104" s="60">
        <f t="shared" si="29"/>
        <v>0</v>
      </c>
      <c r="K104" s="75" t="e">
        <f t="shared" si="20"/>
        <v>#DIV/0!</v>
      </c>
      <c r="L104" s="75" t="e">
        <f t="shared" si="21"/>
        <v>#DIV/0!</v>
      </c>
      <c r="M104" s="114">
        <f>E104*H104</f>
        <v>0</v>
      </c>
      <c r="N104" s="96" t="e">
        <f t="shared" si="30"/>
        <v>#DIV/0!</v>
      </c>
      <c r="O104" s="73">
        <f t="shared" si="23"/>
        <v>0</v>
      </c>
      <c r="P104" s="73" t="e">
        <f t="shared" si="24"/>
        <v>#DIV/0!</v>
      </c>
      <c r="Q104" s="97">
        <f t="shared" si="31"/>
        <v>0</v>
      </c>
      <c r="R104" s="75" t="e">
        <f t="shared" si="25"/>
        <v>#DIV/0!</v>
      </c>
      <c r="S104" s="75" t="e">
        <f t="shared" si="26"/>
        <v>#DIV/0!</v>
      </c>
    </row>
    <row r="105" spans="2:19" ht="14">
      <c r="D105" s="115">
        <v>4</v>
      </c>
      <c r="E105" s="113">
        <f t="shared" si="32"/>
        <v>0.91</v>
      </c>
      <c r="F105" s="15" t="s">
        <v>71</v>
      </c>
      <c r="G105" s="60">
        <f>COUNTIFS(gacha_select_tables!H:H,F105,gacha_select_tables!I:I,D105,gacha_select_tables!E:E,0)-G106</f>
        <v>22</v>
      </c>
      <c r="H105" s="114">
        <f t="shared" si="27"/>
        <v>3.6400000000000002E-2</v>
      </c>
      <c r="I105" s="73">
        <f t="shared" si="28"/>
        <v>5.9696000000000007</v>
      </c>
      <c r="J105" s="60">
        <f t="shared" si="29"/>
        <v>0.27134545454545456</v>
      </c>
      <c r="K105" s="75">
        <f t="shared" si="20"/>
        <v>8241.7582417582416</v>
      </c>
      <c r="L105" s="75">
        <f t="shared" si="21"/>
        <v>181318.68131868131</v>
      </c>
      <c r="M105" s="114">
        <f>E105*H105</f>
        <v>3.3124000000000001E-2</v>
      </c>
      <c r="N105" s="96">
        <f t="shared" si="30"/>
        <v>1.5056363636363637E-3</v>
      </c>
      <c r="O105" s="73">
        <f t="shared" si="23"/>
        <v>5.4323360000000003</v>
      </c>
      <c r="P105" s="73">
        <f t="shared" si="24"/>
        <v>0.24692436363636364</v>
      </c>
      <c r="Q105" s="97">
        <f t="shared" si="31"/>
        <v>678</v>
      </c>
      <c r="R105" s="75">
        <f t="shared" si="25"/>
        <v>49950.049950049943</v>
      </c>
      <c r="S105" s="75">
        <f t="shared" si="26"/>
        <v>697379.54353338969</v>
      </c>
    </row>
    <row r="106" spans="2:19" ht="14">
      <c r="D106" s="116">
        <v>4</v>
      </c>
      <c r="E106" s="113">
        <f t="shared" si="32"/>
        <v>0.91</v>
      </c>
      <c r="F106" s="107" t="s">
        <v>151</v>
      </c>
      <c r="G106" s="60">
        <f>COUNTIFS(gacha_conf!D$2:D$14,F106,gacha_conf!C$2:C$14,D106)</f>
        <v>0</v>
      </c>
      <c r="H106" s="114">
        <f t="shared" si="27"/>
        <v>0</v>
      </c>
      <c r="I106" s="73">
        <f t="shared" si="28"/>
        <v>0</v>
      </c>
      <c r="J106" s="60">
        <f t="shared" si="29"/>
        <v>0</v>
      </c>
      <c r="K106" s="75" t="e">
        <f t="shared" si="20"/>
        <v>#DIV/0!</v>
      </c>
      <c r="L106" s="75" t="e">
        <f t="shared" si="21"/>
        <v>#DIV/0!</v>
      </c>
      <c r="M106" s="114">
        <f>E106*H106</f>
        <v>0</v>
      </c>
      <c r="N106" s="96" t="e">
        <f t="shared" si="30"/>
        <v>#DIV/0!</v>
      </c>
      <c r="O106" s="73">
        <f t="shared" si="23"/>
        <v>0</v>
      </c>
      <c r="P106" s="73" t="e">
        <f t="shared" si="24"/>
        <v>#DIV/0!</v>
      </c>
      <c r="Q106" s="97">
        <f t="shared" si="31"/>
        <v>0</v>
      </c>
      <c r="R106" s="75" t="e">
        <f t="shared" si="25"/>
        <v>#DIV/0!</v>
      </c>
      <c r="S106" s="75" t="e">
        <f t="shared" si="26"/>
        <v>#DIV/0!</v>
      </c>
    </row>
    <row r="107" spans="2:19" ht="14">
      <c r="D107" s="90">
        <v>5</v>
      </c>
      <c r="E107" s="113">
        <f>gacha_conf!H$6</f>
        <v>0.09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7"/>
        <v>2.8799999999999999E-2</v>
      </c>
      <c r="I107" s="73">
        <f t="shared" si="28"/>
        <v>4.7232000000000003</v>
      </c>
      <c r="J107" s="60">
        <f t="shared" si="29"/>
        <v>0.23616000000000001</v>
      </c>
      <c r="K107" s="75">
        <f t="shared" si="20"/>
        <v>10416.666666666666</v>
      </c>
      <c r="L107" s="75">
        <f t="shared" si="21"/>
        <v>208333.33333333331</v>
      </c>
      <c r="M107" s="114">
        <f t="shared" si="22"/>
        <v>2.5919999999999997E-3</v>
      </c>
      <c r="N107" s="96">
        <f t="shared" si="30"/>
        <v>1.2959999999999998E-4</v>
      </c>
      <c r="O107" s="73">
        <f t="shared" si="23"/>
        <v>0.42508799999999997</v>
      </c>
      <c r="P107" s="73">
        <f t="shared" si="24"/>
        <v>2.12544E-2</v>
      </c>
      <c r="Q107" s="97">
        <f t="shared" si="31"/>
        <v>590</v>
      </c>
      <c r="R107" s="75">
        <f t="shared" si="25"/>
        <v>63131.313131313123</v>
      </c>
      <c r="S107" s="75">
        <f>100/(H107*E$67*100)*E$17 * G107</f>
        <v>2192982.456140351</v>
      </c>
    </row>
    <row r="108" spans="2:19" ht="14">
      <c r="D108" s="115">
        <v>5</v>
      </c>
      <c r="E108" s="113">
        <f>gacha_conf!H$6</f>
        <v>0.09</v>
      </c>
      <c r="F108" s="72" t="s">
        <v>82</v>
      </c>
      <c r="G108" s="60">
        <f>COUNTIFS(gacha_select_tables!H:H,F108,gacha_select_tables!I:I,D108,gacha_select_tables!E:E,0)-G109</f>
        <v>30</v>
      </c>
      <c r="H108" s="114">
        <f t="shared" si="27"/>
        <v>4.3199999999999988E-2</v>
      </c>
      <c r="I108" s="73">
        <f t="shared" si="28"/>
        <v>7.0847999999999978</v>
      </c>
      <c r="J108" s="60">
        <f t="shared" si="29"/>
        <v>0.23615999999999993</v>
      </c>
      <c r="K108" s="75">
        <f t="shared" si="20"/>
        <v>6944.4444444444471</v>
      </c>
      <c r="L108" s="75">
        <f t="shared" si="21"/>
        <v>208333.3333333334</v>
      </c>
      <c r="M108" s="114">
        <f t="shared" si="22"/>
        <v>3.8879999999999987E-3</v>
      </c>
      <c r="N108" s="96">
        <f t="shared" si="30"/>
        <v>1.2959999999999995E-4</v>
      </c>
      <c r="O108" s="73">
        <f t="shared" si="23"/>
        <v>0.63763199999999975</v>
      </c>
      <c r="P108" s="73">
        <f t="shared" si="24"/>
        <v>2.1254399999999993E-2</v>
      </c>
      <c r="Q108" s="97">
        <f t="shared" si="31"/>
        <v>590</v>
      </c>
      <c r="R108" s="75">
        <f t="shared" si="25"/>
        <v>7673.4192756292214</v>
      </c>
      <c r="S108" s="75">
        <f>100/(H108*E$67*100)*E$17 * G108</f>
        <v>2192982.456140351</v>
      </c>
    </row>
    <row r="109" spans="2:19" ht="14">
      <c r="D109" s="115">
        <v>5</v>
      </c>
      <c r="E109" s="113">
        <f>gacha_conf!H$6</f>
        <v>0.09</v>
      </c>
      <c r="F109" s="107" t="s">
        <v>149</v>
      </c>
      <c r="G109" s="60">
        <f>COUNTIFS(gacha_conf!D$2:D$14,F109,gacha_conf!C$2:C$14,D109)</f>
        <v>0</v>
      </c>
      <c r="H109" s="114">
        <f t="shared" si="27"/>
        <v>0</v>
      </c>
      <c r="I109" s="73">
        <f t="shared" si="28"/>
        <v>0</v>
      </c>
      <c r="J109" s="60">
        <f t="shared" si="29"/>
        <v>0</v>
      </c>
      <c r="K109" s="75" t="e">
        <f t="shared" si="20"/>
        <v>#DIV/0!</v>
      </c>
      <c r="L109" s="75" t="e">
        <f t="shared" si="21"/>
        <v>#DIV/0!</v>
      </c>
      <c r="M109" s="114">
        <f>E109*H109</f>
        <v>0</v>
      </c>
      <c r="N109" s="96" t="e">
        <f t="shared" si="30"/>
        <v>#DIV/0!</v>
      </c>
      <c r="O109" s="73">
        <f t="shared" si="23"/>
        <v>0</v>
      </c>
      <c r="P109" s="73" t="e">
        <f t="shared" si="24"/>
        <v>#DIV/0!</v>
      </c>
      <c r="Q109" s="97">
        <f t="shared" si="31"/>
        <v>0</v>
      </c>
      <c r="R109" s="75" t="e">
        <f t="shared" si="25"/>
        <v>#DIV/0!</v>
      </c>
      <c r="S109" s="75" t="e">
        <f>100/(H109*E$67*100)*E$17 * G109</f>
        <v>#DIV/0!</v>
      </c>
    </row>
    <row r="110" spans="2:19" ht="14">
      <c r="D110" s="115">
        <v>5</v>
      </c>
      <c r="E110" s="113">
        <f>gacha_conf!H$6</f>
        <v>0.09</v>
      </c>
      <c r="F110" s="15" t="s">
        <v>71</v>
      </c>
      <c r="G110" s="60">
        <f>COUNTIFS(gacha_select_tables!H:H,F110,gacha_select_tables!I:I,D110,gacha_select_tables!E:E,0)-G111</f>
        <v>22</v>
      </c>
      <c r="H110" s="114">
        <f t="shared" si="27"/>
        <v>3.5999999999999999E-3</v>
      </c>
      <c r="I110" s="73">
        <f t="shared" si="28"/>
        <v>0.59040000000000004</v>
      </c>
      <c r="J110" s="60">
        <f t="shared" si="29"/>
        <v>2.6836363636363637E-2</v>
      </c>
      <c r="K110" s="75">
        <f t="shared" si="20"/>
        <v>83333.333333333328</v>
      </c>
      <c r="L110" s="75">
        <f t="shared" si="21"/>
        <v>1833333.3333333333</v>
      </c>
      <c r="M110" s="114">
        <f>E110*H110</f>
        <v>3.2399999999999996E-4</v>
      </c>
      <c r="N110" s="96">
        <f t="shared" si="30"/>
        <v>1.4727272727272726E-5</v>
      </c>
      <c r="O110" s="73">
        <f t="shared" si="23"/>
        <v>5.3135999999999996E-2</v>
      </c>
      <c r="P110" s="73">
        <f t="shared" si="24"/>
        <v>2.4152727272727273E-3</v>
      </c>
      <c r="Q110" s="97">
        <f t="shared" si="31"/>
        <v>67</v>
      </c>
      <c r="R110" s="75">
        <f t="shared" si="25"/>
        <v>877192.98245614034</v>
      </c>
      <c r="S110" s="75">
        <f>100/(H110*E$67*100)*E$17 * G110</f>
        <v>19298245.614035089</v>
      </c>
    </row>
    <row r="111" spans="2:19" ht="14">
      <c r="D111" s="116">
        <v>5</v>
      </c>
      <c r="E111" s="113">
        <f>gacha_conf!H$6</f>
        <v>0.09</v>
      </c>
      <c r="F111" s="107" t="s">
        <v>151</v>
      </c>
      <c r="G111" s="60">
        <f>COUNTIFS(gacha_conf!D$2:D$14,F111,gacha_conf!C$2:C$14,D111)</f>
        <v>0</v>
      </c>
      <c r="H111" s="114">
        <f>VLOOKUP(F111,D$88:F$93,3,FALSE)*E111</f>
        <v>0</v>
      </c>
      <c r="I111" s="73">
        <f t="shared" si="28"/>
        <v>0</v>
      </c>
      <c r="J111" s="60">
        <f t="shared" si="29"/>
        <v>0</v>
      </c>
      <c r="K111" s="75" t="e">
        <f t="shared" si="20"/>
        <v>#DIV/0!</v>
      </c>
      <c r="L111" s="75" t="e">
        <f t="shared" si="21"/>
        <v>#DIV/0!</v>
      </c>
      <c r="M111" s="114">
        <f>E111*H111</f>
        <v>0</v>
      </c>
      <c r="N111" s="96" t="e">
        <f t="shared" si="30"/>
        <v>#DIV/0!</v>
      </c>
      <c r="O111" s="73">
        <f t="shared" si="23"/>
        <v>0</v>
      </c>
      <c r="P111" s="73" t="e">
        <f t="shared" si="24"/>
        <v>#DIV/0!</v>
      </c>
      <c r="Q111" s="97">
        <f t="shared" si="31"/>
        <v>0</v>
      </c>
      <c r="R111" s="75" t="e">
        <f>100/(H111*E67*100)*E$17</f>
        <v>#DIV/0!</v>
      </c>
      <c r="S111" s="75" t="e">
        <f>100/(H111*E$67*100)*E$17 * G111</f>
        <v>#DIV/0!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1</v>
      </c>
      <c r="I112" s="73">
        <f t="shared" si="28"/>
        <v>164</v>
      </c>
      <c r="J112" s="73">
        <f>I112/G112</f>
        <v>1</v>
      </c>
      <c r="K112" s="77"/>
      <c r="L112" s="77"/>
      <c r="M112" s="118">
        <f>SUM(M101:M111)</f>
        <v>0.86240800000000017</v>
      </c>
      <c r="N112" s="76"/>
      <c r="O112" s="73">
        <f t="shared" si="23"/>
        <v>141.43491200000003</v>
      </c>
      <c r="P112" s="73">
        <f t="shared" si="24"/>
        <v>0.86240800000000017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R55:S55"/>
    <mergeCell ref="D99:E99"/>
    <mergeCell ref="F99:G99"/>
    <mergeCell ref="H99:J99"/>
    <mergeCell ref="K99:L99"/>
    <mergeCell ref="M99:Q99"/>
    <mergeCell ref="R99:S99"/>
    <mergeCell ref="M55:Q55"/>
    <mergeCell ref="G5:H5"/>
    <mergeCell ref="D55:E55"/>
    <mergeCell ref="F55:G55"/>
    <mergeCell ref="H55:J55"/>
    <mergeCell ref="K55:L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F394" sqref="F39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1901126</v>
      </c>
      <c r="B2" s="2" t="str">
        <f>190&amp;E2</f>
        <v>1901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4375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1901127</v>
      </c>
      <c r="B3" s="2" t="str">
        <f t="shared" ref="B3:B66" si="2">190&amp;E3</f>
        <v>1901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1537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1901128</v>
      </c>
      <c r="B4" s="2" t="str">
        <f t="shared" si="2"/>
        <v>1901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4375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1901129</v>
      </c>
      <c r="B5" s="2" t="str">
        <f t="shared" si="2"/>
        <v>1901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1537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1901130</v>
      </c>
      <c r="B6" s="2" t="str">
        <f t="shared" si="2"/>
        <v>1901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4375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1901131</v>
      </c>
      <c r="B7" s="2" t="str">
        <f t="shared" si="2"/>
        <v>1901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1537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1901132</v>
      </c>
      <c r="B8" s="2" t="str">
        <f t="shared" si="2"/>
        <v>1901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4375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1901133</v>
      </c>
      <c r="B9" s="2" t="str">
        <f t="shared" si="2"/>
        <v>1901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1537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1901134</v>
      </c>
      <c r="B10" s="2" t="str">
        <f t="shared" si="2"/>
        <v>1901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4375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1901135</v>
      </c>
      <c r="B11" s="2" t="str">
        <f t="shared" si="2"/>
        <v>1901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1537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1901136</v>
      </c>
      <c r="B12" s="2" t="str">
        <f t="shared" si="2"/>
        <v>1901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4375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1901137</v>
      </c>
      <c r="B13" s="2" t="str">
        <f t="shared" si="2"/>
        <v>1901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1537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1901138</v>
      </c>
      <c r="B14" s="2" t="str">
        <f t="shared" si="2"/>
        <v>1901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4375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1901139</v>
      </c>
      <c r="B15" s="2" t="str">
        <f t="shared" si="2"/>
        <v>1901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1537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1901140</v>
      </c>
      <c r="B16" s="2" t="str">
        <f t="shared" si="2"/>
        <v>1901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4375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1901141</v>
      </c>
      <c r="B17" s="2" t="str">
        <f t="shared" si="2"/>
        <v>1901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1537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1901142</v>
      </c>
      <c r="B18" s="2" t="str">
        <f t="shared" si="2"/>
        <v>1901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4375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1901143</v>
      </c>
      <c r="B19" s="2" t="str">
        <f t="shared" si="2"/>
        <v>1901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1537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1901144</v>
      </c>
      <c r="B20" s="2" t="str">
        <f t="shared" si="2"/>
        <v>1901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4375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1901145</v>
      </c>
      <c r="B21" s="2" t="str">
        <f t="shared" si="2"/>
        <v>1901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1537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1901146</v>
      </c>
      <c r="B22" s="2" t="str">
        <f t="shared" si="2"/>
        <v>1901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4375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1901147</v>
      </c>
      <c r="B23" s="2" t="str">
        <f t="shared" si="2"/>
        <v>1901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1537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1901148</v>
      </c>
      <c r="B24" s="2" t="str">
        <f t="shared" si="2"/>
        <v>1901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4375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1901149</v>
      </c>
      <c r="B25" s="2" t="str">
        <f t="shared" si="2"/>
        <v>1901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1537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1901150</v>
      </c>
      <c r="B26" s="2" t="str">
        <f t="shared" si="2"/>
        <v>1901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4375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1901151</v>
      </c>
      <c r="B27" s="2" t="str">
        <f t="shared" si="2"/>
        <v>1901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1537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1901152</v>
      </c>
      <c r="B28" s="2" t="str">
        <f t="shared" si="2"/>
        <v>1901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4375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1901153</v>
      </c>
      <c r="B29" s="2" t="str">
        <f t="shared" si="2"/>
        <v>1901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1537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1901154</v>
      </c>
      <c r="B30" s="2" t="str">
        <f t="shared" si="2"/>
        <v>1901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4375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1901155</v>
      </c>
      <c r="B31" s="2" t="str">
        <f t="shared" si="2"/>
        <v>1901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1537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1901156</v>
      </c>
      <c r="B32" s="2" t="str">
        <f t="shared" si="2"/>
        <v>1901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4375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1901157</v>
      </c>
      <c r="B33" s="2" t="str">
        <f t="shared" si="2"/>
        <v>1901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1537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1901158</v>
      </c>
      <c r="B34" s="2" t="str">
        <f t="shared" si="2"/>
        <v>1901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4375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1901159</v>
      </c>
      <c r="B35" s="2" t="str">
        <f t="shared" si="2"/>
        <v>1901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1537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1901160</v>
      </c>
      <c r="B36" s="2" t="str">
        <f t="shared" si="2"/>
        <v>1901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4375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1901161</v>
      </c>
      <c r="B37" s="2" t="str">
        <f t="shared" si="2"/>
        <v>1901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1537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1901162</v>
      </c>
      <c r="B38" s="2" t="str">
        <f t="shared" si="2"/>
        <v>1901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4375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1901163</v>
      </c>
      <c r="B39" s="2" t="str">
        <f t="shared" si="2"/>
        <v>1901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1537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1901164</v>
      </c>
      <c r="B40" s="2" t="str">
        <f t="shared" si="2"/>
        <v>1901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4375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1901165</v>
      </c>
      <c r="B41" s="2" t="str">
        <f t="shared" si="2"/>
        <v>1901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1537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1901166</v>
      </c>
      <c r="B42" s="2" t="str">
        <f t="shared" si="2"/>
        <v>1901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6562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1901167</v>
      </c>
      <c r="B43" s="2" t="str">
        <f t="shared" si="2"/>
        <v>1901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1463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1901168</v>
      </c>
      <c r="B44" s="2" t="str">
        <f t="shared" si="2"/>
        <v>1901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842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1901169</v>
      </c>
      <c r="B45" s="2" t="str">
        <f t="shared" si="2"/>
        <v>1901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6562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1901170</v>
      </c>
      <c r="B46" s="2" t="str">
        <f t="shared" si="2"/>
        <v>1901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1463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1901171</v>
      </c>
      <c r="B47" s="2" t="str">
        <f t="shared" si="2"/>
        <v>1901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842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1901172</v>
      </c>
      <c r="B48" s="2" t="str">
        <f t="shared" si="2"/>
        <v>1901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6562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1901173</v>
      </c>
      <c r="B49" s="2" t="str">
        <f t="shared" si="2"/>
        <v>1901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1463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1901174</v>
      </c>
      <c r="B50" s="2" t="str">
        <f t="shared" si="2"/>
        <v>1901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842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1901175</v>
      </c>
      <c r="B51" s="2" t="str">
        <f t="shared" si="2"/>
        <v>1901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6562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1901176</v>
      </c>
      <c r="B52" s="2" t="str">
        <f t="shared" si="2"/>
        <v>1901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1463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1901177</v>
      </c>
      <c r="B53" s="2" t="str">
        <f t="shared" si="2"/>
        <v>1901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842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1901178</v>
      </c>
      <c r="B54" s="2" t="str">
        <f t="shared" si="2"/>
        <v>1901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6562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1901179</v>
      </c>
      <c r="B55" s="2" t="str">
        <f t="shared" si="2"/>
        <v>1901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1463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1901180</v>
      </c>
      <c r="B56" s="2" t="str">
        <f t="shared" si="2"/>
        <v>1901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842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1901181</v>
      </c>
      <c r="B57" s="2" t="str">
        <f t="shared" si="2"/>
        <v>1901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6562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1901182</v>
      </c>
      <c r="B58" s="2" t="str">
        <f t="shared" si="2"/>
        <v>1901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1463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1901183</v>
      </c>
      <c r="B59" s="2" t="str">
        <f t="shared" si="2"/>
        <v>1901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842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1901184</v>
      </c>
      <c r="B60" s="2" t="str">
        <f t="shared" si="2"/>
        <v>1901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6562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1901185</v>
      </c>
      <c r="B61" s="2" t="str">
        <f t="shared" si="2"/>
        <v>1901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1463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1901186</v>
      </c>
      <c r="B62" s="2" t="str">
        <f t="shared" si="2"/>
        <v>1901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842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1901187</v>
      </c>
      <c r="B63" s="2" t="str">
        <f t="shared" si="2"/>
        <v>1901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6562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1901188</v>
      </c>
      <c r="B64" s="2" t="str">
        <f t="shared" si="2"/>
        <v>1901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1463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1901189</v>
      </c>
      <c r="B65" s="2" t="str">
        <f t="shared" si="2"/>
        <v>1901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842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1901190</v>
      </c>
      <c r="B66" s="2" t="str">
        <f t="shared" si="2"/>
        <v>1901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6562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1901191</v>
      </c>
      <c r="B67" s="2" t="str">
        <f t="shared" ref="B67:B130" si="6">190&amp;E67</f>
        <v>1901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1463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1901192</v>
      </c>
      <c r="B68" s="2" t="str">
        <f t="shared" si="6"/>
        <v>1901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842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1901193</v>
      </c>
      <c r="B69" s="2" t="str">
        <f t="shared" si="6"/>
        <v>1901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6562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1901194</v>
      </c>
      <c r="B70" s="2" t="str">
        <f t="shared" si="6"/>
        <v>1901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1463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1901195</v>
      </c>
      <c r="B71" s="2" t="str">
        <f t="shared" si="6"/>
        <v>1901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842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1901196</v>
      </c>
      <c r="B72" s="2" t="str">
        <f t="shared" si="6"/>
        <v>1901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6562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1901197</v>
      </c>
      <c r="B73" s="2" t="str">
        <f t="shared" si="6"/>
        <v>1901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1463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1901198</v>
      </c>
      <c r="B74" s="2" t="str">
        <f t="shared" si="6"/>
        <v>1901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842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1901199</v>
      </c>
      <c r="B75" s="2" t="str">
        <f t="shared" si="6"/>
        <v>1901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6562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1901200</v>
      </c>
      <c r="B76" s="2" t="str">
        <f t="shared" si="6"/>
        <v>1901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1463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1901201</v>
      </c>
      <c r="B77" s="2" t="str">
        <f t="shared" si="6"/>
        <v>1901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842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1901202</v>
      </c>
      <c r="B78" s="2" t="str">
        <f t="shared" si="6"/>
        <v>1901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6562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1901203</v>
      </c>
      <c r="B79" s="2" t="str">
        <f t="shared" si="6"/>
        <v>1901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1463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1901204</v>
      </c>
      <c r="B80" s="2" t="str">
        <f t="shared" si="6"/>
        <v>1901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842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1901205</v>
      </c>
      <c r="B81" s="2" t="str">
        <f t="shared" si="6"/>
        <v>1901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6562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1901206</v>
      </c>
      <c r="B82" s="2" t="str">
        <f t="shared" si="6"/>
        <v>1901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1463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1901207</v>
      </c>
      <c r="B83" s="2" t="str">
        <f t="shared" si="6"/>
        <v>1901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842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1901208</v>
      </c>
      <c r="B84" s="2" t="str">
        <f t="shared" si="6"/>
        <v>1901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6562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1901209</v>
      </c>
      <c r="B85" s="2" t="str">
        <f t="shared" si="6"/>
        <v>1901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1463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1901210</v>
      </c>
      <c r="B86" s="2" t="str">
        <f t="shared" si="6"/>
        <v>1901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842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1901211</v>
      </c>
      <c r="B87" s="2" t="str">
        <f t="shared" si="6"/>
        <v>1901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6562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1901212</v>
      </c>
      <c r="B88" s="2" t="str">
        <f t="shared" si="6"/>
        <v>1901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1463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1901213</v>
      </c>
      <c r="B89" s="2" t="str">
        <f t="shared" si="6"/>
        <v>1901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842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1901214</v>
      </c>
      <c r="B90" s="2" t="str">
        <f t="shared" si="6"/>
        <v>1901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6562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1901215</v>
      </c>
      <c r="B91" s="2" t="str">
        <f t="shared" si="6"/>
        <v>1901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1463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1901216</v>
      </c>
      <c r="B92" s="2" t="str">
        <f t="shared" si="6"/>
        <v>1901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842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1901217</v>
      </c>
      <c r="B93" s="2" t="str">
        <f t="shared" si="6"/>
        <v>1901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6562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1901218</v>
      </c>
      <c r="B94" s="2" t="str">
        <f t="shared" si="6"/>
        <v>1901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1463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1901219</v>
      </c>
      <c r="B95" s="2" t="str">
        <f t="shared" si="6"/>
        <v>1901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842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1901220</v>
      </c>
      <c r="B96" s="2" t="str">
        <f t="shared" si="6"/>
        <v>1901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6562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1901221</v>
      </c>
      <c r="B97" s="2" t="str">
        <f t="shared" si="6"/>
        <v>1901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1463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1901222</v>
      </c>
      <c r="B98" s="2" t="str">
        <f t="shared" si="6"/>
        <v>1901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842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1901223</v>
      </c>
      <c r="B99" s="2" t="str">
        <f t="shared" si="6"/>
        <v>1901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6562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1901224</v>
      </c>
      <c r="B100" s="2" t="str">
        <f t="shared" si="6"/>
        <v>1901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1463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1901225</v>
      </c>
      <c r="B101" s="2" t="str">
        <f t="shared" si="6"/>
        <v>1901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842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1901226</v>
      </c>
      <c r="B102" s="2" t="str">
        <f t="shared" si="6"/>
        <v>1901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6562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1901227</v>
      </c>
      <c r="B103" s="2" t="str">
        <f t="shared" si="6"/>
        <v>1901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1463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1901228</v>
      </c>
      <c r="B104" s="2" t="str">
        <f t="shared" si="6"/>
        <v>1901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842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1901229</v>
      </c>
      <c r="B105" s="2" t="str">
        <f t="shared" si="6"/>
        <v>1901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6562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1901230</v>
      </c>
      <c r="B106" s="2" t="str">
        <f t="shared" si="6"/>
        <v>1901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1463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1901231</v>
      </c>
      <c r="B107" s="2" t="str">
        <f t="shared" si="6"/>
        <v>1901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842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1901232</v>
      </c>
      <c r="B108" s="2" t="str">
        <f t="shared" si="6"/>
        <v>1901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6562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1901233</v>
      </c>
      <c r="B109" s="2" t="str">
        <f t="shared" si="6"/>
        <v>1901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1463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1901234</v>
      </c>
      <c r="B110" s="2" t="str">
        <f t="shared" si="6"/>
        <v>1901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842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1901235</v>
      </c>
      <c r="B111" s="2" t="str">
        <f t="shared" si="6"/>
        <v>1901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6562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1901236</v>
      </c>
      <c r="B112" s="2" t="str">
        <f t="shared" si="6"/>
        <v>1901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1463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1901237</v>
      </c>
      <c r="B113" s="2" t="str">
        <f t="shared" si="6"/>
        <v>1901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842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1901238</v>
      </c>
      <c r="B114" s="2" t="str">
        <f t="shared" si="6"/>
        <v>1901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6562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1901239</v>
      </c>
      <c r="B115" s="2" t="str">
        <f t="shared" si="6"/>
        <v>1901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1463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1901240</v>
      </c>
      <c r="B116" s="2" t="str">
        <f t="shared" si="6"/>
        <v>1901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842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1901241</v>
      </c>
      <c r="B117" s="2" t="str">
        <f t="shared" si="6"/>
        <v>1901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6562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1901242</v>
      </c>
      <c r="B118" s="2" t="str">
        <f t="shared" si="6"/>
        <v>1901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1463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1901243</v>
      </c>
      <c r="B119" s="2" t="str">
        <f t="shared" si="6"/>
        <v>1901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842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1901244</v>
      </c>
      <c r="B120" s="2" t="str">
        <f t="shared" si="6"/>
        <v>1901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6562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1901245</v>
      </c>
      <c r="B121" s="2" t="str">
        <f t="shared" si="6"/>
        <v>1901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1463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1901246</v>
      </c>
      <c r="B122" s="2" t="str">
        <f t="shared" si="6"/>
        <v>1901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842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1901247</v>
      </c>
      <c r="B123" s="2" t="str">
        <f t="shared" si="6"/>
        <v>1901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6562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1901248</v>
      </c>
      <c r="B124" s="2" t="str">
        <f t="shared" si="6"/>
        <v>1901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1463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1901249</v>
      </c>
      <c r="B125" s="2" t="str">
        <f t="shared" si="6"/>
        <v>1901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842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1901250</v>
      </c>
      <c r="B126" s="2" t="str">
        <f t="shared" si="6"/>
        <v>1901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6562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1901251</v>
      </c>
      <c r="B127" s="2" t="str">
        <f t="shared" si="6"/>
        <v>1901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1463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1901252</v>
      </c>
      <c r="B128" s="2" t="str">
        <f t="shared" si="6"/>
        <v>1901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842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1901253</v>
      </c>
      <c r="B129" s="2" t="str">
        <f t="shared" si="6"/>
        <v>1901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6562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1901254</v>
      </c>
      <c r="B130" s="2" t="str">
        <f t="shared" si="6"/>
        <v>1901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1463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1901255</v>
      </c>
      <c r="B131" s="2" t="str">
        <f t="shared" ref="B131:B194" si="10">190&amp;E131</f>
        <v>1901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842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1901256</v>
      </c>
      <c r="B132" s="2" t="str">
        <f t="shared" si="10"/>
        <v>1901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6562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1901257</v>
      </c>
      <c r="B133" s="2" t="str">
        <f t="shared" si="10"/>
        <v>1901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1463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1901258</v>
      </c>
      <c r="B134" s="2" t="str">
        <f t="shared" si="10"/>
        <v>1901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842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1901259</v>
      </c>
      <c r="B135" s="2" t="str">
        <f t="shared" si="10"/>
        <v>1901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6562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1901260</v>
      </c>
      <c r="B136" s="2" t="str">
        <f t="shared" si="10"/>
        <v>1901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1463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1901261</v>
      </c>
      <c r="B137" s="2" t="str">
        <f t="shared" si="10"/>
        <v>1901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842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1901320</v>
      </c>
      <c r="B138" s="2" t="str">
        <f t="shared" si="10"/>
        <v>1901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963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1901321</v>
      </c>
      <c r="B139" s="2" t="str">
        <f t="shared" si="10"/>
        <v>1901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101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1901322</v>
      </c>
      <c r="B140" s="2" t="str">
        <f t="shared" si="10"/>
        <v>1901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963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1901323</v>
      </c>
      <c r="B141" s="2" t="str">
        <f t="shared" si="10"/>
        <v>1901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101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1901324</v>
      </c>
      <c r="B142" s="2" t="str">
        <f t="shared" si="10"/>
        <v>1901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963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1901325</v>
      </c>
      <c r="B143" s="2" t="str">
        <f t="shared" si="10"/>
        <v>1901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101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1901326</v>
      </c>
      <c r="B144" s="2" t="str">
        <f t="shared" si="10"/>
        <v>1901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963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1901327</v>
      </c>
      <c r="B145" s="2" t="str">
        <f t="shared" si="10"/>
        <v>1901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101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1901380</v>
      </c>
      <c r="B146" s="2" t="str">
        <f t="shared" si="10"/>
        <v>1901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6562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1901381</v>
      </c>
      <c r="B147" s="2" t="str">
        <f t="shared" si="10"/>
        <v>1901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1463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1901382</v>
      </c>
      <c r="B148" s="2" t="str">
        <f t="shared" si="10"/>
        <v>1901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842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1901383</v>
      </c>
      <c r="B149" s="2" t="str">
        <f t="shared" si="10"/>
        <v>1901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963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1901384</v>
      </c>
      <c r="B150" s="2" t="str">
        <f t="shared" si="10"/>
        <v>1901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101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1901385</v>
      </c>
      <c r="B151" s="2" t="str">
        <f t="shared" si="10"/>
        <v>1901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963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1901386</v>
      </c>
      <c r="B152" s="2" t="str">
        <f t="shared" si="10"/>
        <v>1901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101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1901387</v>
      </c>
      <c r="B153" s="2" t="str">
        <f t="shared" si="10"/>
        <v>1901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6562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1901388</v>
      </c>
      <c r="B154" s="2" t="str">
        <f t="shared" si="10"/>
        <v>1901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1463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1901389</v>
      </c>
      <c r="B155" s="2" t="str">
        <f t="shared" si="10"/>
        <v>1901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842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1901390</v>
      </c>
      <c r="B156" s="2" t="str">
        <f t="shared" si="10"/>
        <v>1901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963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1901391</v>
      </c>
      <c r="B157" s="2" t="str">
        <f t="shared" si="10"/>
        <v>1901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101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1901392</v>
      </c>
      <c r="B158" s="2" t="str">
        <f t="shared" si="10"/>
        <v>1901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6562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1901393</v>
      </c>
      <c r="B159" s="2" t="str">
        <f t="shared" si="10"/>
        <v>1901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1463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1901394</v>
      </c>
      <c r="B160" s="2" t="str">
        <f t="shared" si="10"/>
        <v>1901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842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1901395</v>
      </c>
      <c r="B161" s="2" t="str">
        <f t="shared" si="10"/>
        <v>1901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6562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1901396</v>
      </c>
      <c r="B162" s="2" t="str">
        <f t="shared" si="10"/>
        <v>1901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1463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1901397</v>
      </c>
      <c r="B163" s="2" t="str">
        <f t="shared" si="10"/>
        <v>1901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842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1901398</v>
      </c>
      <c r="B164" s="2" t="str">
        <f t="shared" si="10"/>
        <v>1901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963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1901399</v>
      </c>
      <c r="B165" s="2" t="str">
        <f t="shared" si="10"/>
        <v>1901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101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1901400</v>
      </c>
      <c r="B166" s="2" t="str">
        <f t="shared" si="10"/>
        <v>1901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6562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1901401</v>
      </c>
      <c r="B167" s="2" t="str">
        <f t="shared" si="10"/>
        <v>1901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1463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1901402</v>
      </c>
      <c r="B168" s="2" t="str">
        <f t="shared" si="10"/>
        <v>1901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842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1901403</v>
      </c>
      <c r="B169" s="2" t="str">
        <f t="shared" si="10"/>
        <v>1901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963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1901404</v>
      </c>
      <c r="B170" s="2" t="str">
        <f t="shared" si="10"/>
        <v>1901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101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1901405</v>
      </c>
      <c r="B171" s="2" t="str">
        <f t="shared" si="10"/>
        <v>1901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6562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1901406</v>
      </c>
      <c r="B172" s="2" t="str">
        <f t="shared" si="10"/>
        <v>1901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1463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1901407</v>
      </c>
      <c r="B173" s="2" t="str">
        <f t="shared" si="10"/>
        <v>1901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842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1901408</v>
      </c>
      <c r="B174" s="2" t="str">
        <f t="shared" si="10"/>
        <v>1901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963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1901409</v>
      </c>
      <c r="B175" s="2" t="str">
        <f t="shared" si="10"/>
        <v>1901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101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1901434</v>
      </c>
      <c r="B176" s="2" t="str">
        <f t="shared" si="10"/>
        <v>1901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963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1901435</v>
      </c>
      <c r="B177" s="2" t="str">
        <f t="shared" si="10"/>
        <v>1901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101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1901436</v>
      </c>
      <c r="B178" s="2" t="str">
        <f t="shared" si="10"/>
        <v>1901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6562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1901437</v>
      </c>
      <c r="B179" s="2" t="str">
        <f t="shared" si="10"/>
        <v>1901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1463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1901438</v>
      </c>
      <c r="B180" s="2" t="str">
        <f t="shared" si="10"/>
        <v>1901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842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1901439</v>
      </c>
      <c r="B181" s="2" t="str">
        <f t="shared" si="10"/>
        <v>1901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6562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1901440</v>
      </c>
      <c r="B182" s="2" t="str">
        <f t="shared" si="10"/>
        <v>1901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1463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1901441</v>
      </c>
      <c r="B183" s="2" t="str">
        <f t="shared" si="10"/>
        <v>1901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842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1901442</v>
      </c>
      <c r="B184" s="2" t="str">
        <f t="shared" si="10"/>
        <v>1901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963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1901443</v>
      </c>
      <c r="B185" s="2" t="str">
        <f t="shared" si="10"/>
        <v>1901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101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1901462</v>
      </c>
      <c r="B186" s="2" t="str">
        <f t="shared" si="10"/>
        <v>1901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6562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1901463</v>
      </c>
      <c r="B187" s="2" t="str">
        <f t="shared" si="10"/>
        <v>1901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1463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1901464</v>
      </c>
      <c r="B188" s="2" t="str">
        <f t="shared" si="10"/>
        <v>1901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842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1901465</v>
      </c>
      <c r="B189" s="2" t="str">
        <f t="shared" si="10"/>
        <v>1901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963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1901466</v>
      </c>
      <c r="B190" s="2" t="str">
        <f t="shared" si="10"/>
        <v>1901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101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1901467</v>
      </c>
      <c r="B191" s="2" t="str">
        <f t="shared" si="10"/>
        <v>1901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963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1901468</v>
      </c>
      <c r="B192" s="2" t="str">
        <f t="shared" si="10"/>
        <v>1901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101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1901469</v>
      </c>
      <c r="B193" s="2" t="str">
        <f t="shared" si="10"/>
        <v>1901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6562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1901470</v>
      </c>
      <c r="B194" s="2" t="str">
        <f t="shared" si="10"/>
        <v>1901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1463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1901471</v>
      </c>
      <c r="B195" s="2" t="str">
        <f t="shared" ref="B195:B258" si="14">190&amp;E195</f>
        <v>1901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842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1901474</v>
      </c>
      <c r="B196" s="2" t="str">
        <f t="shared" si="14"/>
        <v>1901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963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1901475</v>
      </c>
      <c r="B197" s="2" t="str">
        <f t="shared" si="14"/>
        <v>1901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101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1901476</v>
      </c>
      <c r="B198" s="2" t="str">
        <f t="shared" si="14"/>
        <v>1901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6562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1901477</v>
      </c>
      <c r="B199" s="2" t="str">
        <f t="shared" si="14"/>
        <v>1901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1463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1901478</v>
      </c>
      <c r="B200" s="2" t="str">
        <f t="shared" si="14"/>
        <v>1901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842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1901479</v>
      </c>
      <c r="B201" s="2" t="str">
        <f t="shared" si="14"/>
        <v>1901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963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1901480</v>
      </c>
      <c r="B202" s="2" t="str">
        <f t="shared" si="14"/>
        <v>1901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101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1901481</v>
      </c>
      <c r="B203" s="2" t="str">
        <f t="shared" si="14"/>
        <v>1901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6562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1901482</v>
      </c>
      <c r="B204" s="2" t="str">
        <f t="shared" si="14"/>
        <v>1901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1463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1901483</v>
      </c>
      <c r="B205" s="2" t="str">
        <f t="shared" si="14"/>
        <v>1901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842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1901492</v>
      </c>
      <c r="B206" s="2" t="str">
        <f t="shared" si="14"/>
        <v>1901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963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1901493</v>
      </c>
      <c r="B207" s="2" t="str">
        <f t="shared" si="14"/>
        <v>1901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101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1901494</v>
      </c>
      <c r="B208" s="2" t="str">
        <f t="shared" si="14"/>
        <v>1901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963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1901495</v>
      </c>
      <c r="B209" s="2" t="str">
        <f t="shared" si="14"/>
        <v>1901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101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1901496</v>
      </c>
      <c r="B210" s="2" t="str">
        <f t="shared" si="14"/>
        <v>1901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6562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1901497</v>
      </c>
      <c r="B211" s="2" t="str">
        <f t="shared" si="14"/>
        <v>1901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1463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1901498</v>
      </c>
      <c r="B212" s="2" t="str">
        <f t="shared" si="14"/>
        <v>1901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842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1901499</v>
      </c>
      <c r="B213" s="2" t="str">
        <f t="shared" si="14"/>
        <v>1901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963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1901500</v>
      </c>
      <c r="B214" s="2" t="str">
        <f t="shared" si="14"/>
        <v>1901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101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35" si="21">B215&amp;F215</f>
        <v>1901586</v>
      </c>
      <c r="B215" s="2" t="str">
        <f t="shared" si="14"/>
        <v>1901</v>
      </c>
      <c r="C215" s="8" t="str">
        <f t="shared" ref="C215:C235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963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1901587</v>
      </c>
      <c r="B216" s="2" t="str">
        <f t="shared" si="14"/>
        <v>1901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101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1901588</v>
      </c>
      <c r="B217" s="2" t="str">
        <f t="shared" si="14"/>
        <v>1901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6562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1901589</v>
      </c>
      <c r="B218" s="2" t="str">
        <f t="shared" si="14"/>
        <v>1901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1463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1901590</v>
      </c>
      <c r="B219" s="2" t="str">
        <f t="shared" si="14"/>
        <v>1901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842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1901591</v>
      </c>
      <c r="B220" s="2" t="str">
        <f t="shared" si="14"/>
        <v>1901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6562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1901592</v>
      </c>
      <c r="B221" s="2" t="str">
        <f t="shared" si="14"/>
        <v>1901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1463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1901593</v>
      </c>
      <c r="B222" s="2" t="str">
        <f t="shared" si="14"/>
        <v>1901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842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1901594</v>
      </c>
      <c r="B223" s="2" t="str">
        <f t="shared" si="14"/>
        <v>1901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963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1901595</v>
      </c>
      <c r="B224" s="2" t="str">
        <f t="shared" si="14"/>
        <v>1901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101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1901596</v>
      </c>
      <c r="B225" s="2" t="str">
        <f t="shared" si="14"/>
        <v>1901</v>
      </c>
      <c r="C225" s="8" t="str">
        <f t="shared" si="22"/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IFERROR(VLOOKUP(F225,gacha_conf!A$50:F$62,5+E225,FALSE),VLOOKUP(D225,gacha_conf!D$18:E$46,2,FALSE))</f>
        <v>6562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1"/>
        <v>1901597</v>
      </c>
      <c r="B226" s="2" t="str">
        <f t="shared" si="14"/>
        <v>1901</v>
      </c>
      <c r="C226" s="8" t="str">
        <f t="shared" si="22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IFERROR(VLOOKUP(F226,gacha_conf!A$50:F$62,5+E226,FALSE),VLOOKUP(D226,gacha_conf!D$18:E$46,2,FALSE))</f>
        <v>1463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1"/>
        <v>1901598</v>
      </c>
      <c r="B227" s="2" t="str">
        <f t="shared" si="14"/>
        <v>1901</v>
      </c>
      <c r="C227" s="8" t="str">
        <f t="shared" si="22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IFERROR(VLOOKUP(F227,gacha_conf!A$50:F$62,5+E227,FALSE),VLOOKUP(D227,gacha_conf!D$18:E$46,2,FALSE))</f>
        <v>842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1"/>
        <v>1901599</v>
      </c>
      <c r="B228" s="2" t="str">
        <f t="shared" si="14"/>
        <v>1901</v>
      </c>
      <c r="C228" s="8" t="str">
        <f t="shared" si="22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6562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1"/>
        <v>1901600</v>
      </c>
      <c r="B229" s="2" t="str">
        <f t="shared" si="14"/>
        <v>1901</v>
      </c>
      <c r="C229" s="8" t="str">
        <f t="shared" si="22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1463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1"/>
        <v>1901601</v>
      </c>
      <c r="B230" s="2" t="str">
        <f t="shared" si="14"/>
        <v>1901</v>
      </c>
      <c r="C230" s="8" t="str">
        <f t="shared" si="22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842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1"/>
        <v>1901602</v>
      </c>
      <c r="B231" s="2" t="str">
        <f t="shared" si="14"/>
        <v>1901</v>
      </c>
      <c r="C231" s="8" t="str">
        <f t="shared" si="22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963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1"/>
        <v>1901603</v>
      </c>
      <c r="B232" s="2" t="str">
        <f t="shared" si="14"/>
        <v>1901</v>
      </c>
      <c r="C232" s="8" t="str">
        <f t="shared" si="22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101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1"/>
        <v>1901604</v>
      </c>
      <c r="B233" s="2" t="str">
        <f t="shared" si="14"/>
        <v>1901</v>
      </c>
      <c r="C233" s="8" t="str">
        <f t="shared" si="22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6562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si="21"/>
        <v>1901605</v>
      </c>
      <c r="B234" s="2" t="str">
        <f t="shared" si="14"/>
        <v>1901</v>
      </c>
      <c r="C234" s="8" t="str">
        <f t="shared" si="22"/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1463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1"/>
        <v>1901606</v>
      </c>
      <c r="B235" s="2" t="str">
        <f t="shared" si="14"/>
        <v>1901</v>
      </c>
      <c r="C235" s="8" t="str">
        <f t="shared" si="22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842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3">B236&amp;F236</f>
        <v>1900127</v>
      </c>
      <c r="B236" s="2" t="str">
        <f t="shared" si="14"/>
        <v>1900</v>
      </c>
      <c r="C236" s="8" t="str">
        <f t="shared" ref="C236:C270" si="24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3280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3"/>
        <v>1900129</v>
      </c>
      <c r="B237" s="2" t="str">
        <f t="shared" si="14"/>
        <v>1900</v>
      </c>
      <c r="C237" s="8" t="str">
        <f t="shared" si="24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3280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3"/>
        <v>1900131</v>
      </c>
      <c r="B238" s="2" t="str">
        <f t="shared" si="14"/>
        <v>1900</v>
      </c>
      <c r="C238" s="8" t="str">
        <f t="shared" si="24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3280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3"/>
        <v>1900133</v>
      </c>
      <c r="B239" s="2" t="str">
        <f t="shared" si="14"/>
        <v>1900</v>
      </c>
      <c r="C239" s="8" t="str">
        <f t="shared" si="24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3280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3"/>
        <v>1900135</v>
      </c>
      <c r="B240" s="2" t="str">
        <f t="shared" si="14"/>
        <v>1900</v>
      </c>
      <c r="C240" s="8" t="str">
        <f t="shared" si="24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3280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3"/>
        <v>1900137</v>
      </c>
      <c r="B241" s="2" t="str">
        <f t="shared" si="14"/>
        <v>1900</v>
      </c>
      <c r="C241" s="8" t="str">
        <f t="shared" si="24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3280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3"/>
        <v>1900139</v>
      </c>
      <c r="B242" s="2" t="str">
        <f t="shared" si="14"/>
        <v>1900</v>
      </c>
      <c r="C242" s="8" t="str">
        <f t="shared" si="24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3280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3"/>
        <v>1900141</v>
      </c>
      <c r="B243" s="2" t="str">
        <f t="shared" si="14"/>
        <v>1900</v>
      </c>
      <c r="C243" s="8" t="str">
        <f t="shared" si="24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3280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3"/>
        <v>1900143</v>
      </c>
      <c r="B244" s="2" t="str">
        <f t="shared" si="14"/>
        <v>1900</v>
      </c>
      <c r="C244" s="8" t="str">
        <f t="shared" si="24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3280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3"/>
        <v>1900145</v>
      </c>
      <c r="B245" s="2" t="str">
        <f t="shared" si="14"/>
        <v>1900</v>
      </c>
      <c r="C245" s="8" t="str">
        <f t="shared" si="24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3280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3"/>
        <v>1900147</v>
      </c>
      <c r="B246" s="2" t="str">
        <f t="shared" si="14"/>
        <v>1900</v>
      </c>
      <c r="C246" s="8" t="str">
        <f t="shared" si="24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3280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3"/>
        <v>1900149</v>
      </c>
      <c r="B247" s="2" t="str">
        <f t="shared" si="14"/>
        <v>1900</v>
      </c>
      <c r="C247" s="8" t="str">
        <f t="shared" si="24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3280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3"/>
        <v>1900151</v>
      </c>
      <c r="B248" s="2" t="str">
        <f t="shared" si="14"/>
        <v>1900</v>
      </c>
      <c r="C248" s="8" t="str">
        <f t="shared" si="24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3280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3"/>
        <v>1900153</v>
      </c>
      <c r="B249" s="2" t="str">
        <f t="shared" si="14"/>
        <v>1900</v>
      </c>
      <c r="C249" s="8" t="str">
        <f t="shared" si="24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3280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3"/>
        <v>1900155</v>
      </c>
      <c r="B250" s="2" t="str">
        <f t="shared" si="14"/>
        <v>1900</v>
      </c>
      <c r="C250" s="8" t="str">
        <f t="shared" si="24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3280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3"/>
        <v>1900157</v>
      </c>
      <c r="B251" s="2" t="str">
        <f t="shared" si="14"/>
        <v>1900</v>
      </c>
      <c r="C251" s="8" t="str">
        <f t="shared" si="24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3280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3"/>
        <v>1900159</v>
      </c>
      <c r="B252" s="2" t="str">
        <f t="shared" si="14"/>
        <v>1900</v>
      </c>
      <c r="C252" s="8" t="str">
        <f t="shared" si="24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3280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3"/>
        <v>1900161</v>
      </c>
      <c r="B253" s="2" t="str">
        <f t="shared" si="14"/>
        <v>1900</v>
      </c>
      <c r="C253" s="8" t="str">
        <f t="shared" si="24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3280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3"/>
        <v>1900163</v>
      </c>
      <c r="B254" s="2" t="str">
        <f t="shared" si="14"/>
        <v>1900</v>
      </c>
      <c r="C254" s="8" t="str">
        <f t="shared" si="24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3280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3"/>
        <v>1900165</v>
      </c>
      <c r="B255" s="2" t="str">
        <f t="shared" si="14"/>
        <v>1900</v>
      </c>
      <c r="C255" s="8" t="str">
        <f t="shared" si="24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3280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3"/>
        <v>1900167</v>
      </c>
      <c r="B256" s="2" t="str">
        <f t="shared" si="14"/>
        <v>1900</v>
      </c>
      <c r="C256" s="8" t="str">
        <f t="shared" si="24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5970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3"/>
        <v>1900168</v>
      </c>
      <c r="B257" s="2" t="str">
        <f t="shared" si="14"/>
        <v>1900</v>
      </c>
      <c r="C257" s="8" t="str">
        <f t="shared" si="24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590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3"/>
        <v>1900170</v>
      </c>
      <c r="B258" s="2" t="str">
        <f t="shared" si="14"/>
        <v>1900</v>
      </c>
      <c r="C258" s="8" t="str">
        <f t="shared" si="24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5970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3"/>
        <v>1900171</v>
      </c>
      <c r="B259" s="2" t="str">
        <f t="shared" ref="B259:B322" si="25">190&amp;E259</f>
        <v>1900</v>
      </c>
      <c r="C259" s="8" t="str">
        <f t="shared" si="24"/>
        <v>0PremiumN5</v>
      </c>
      <c r="D259" s="8" t="str">
        <f t="shared" ref="D259:D322" si="26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590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3"/>
        <v>1900173</v>
      </c>
      <c r="B260" s="2" t="str">
        <f t="shared" si="25"/>
        <v>1900</v>
      </c>
      <c r="C260" s="8" t="str">
        <f t="shared" si="24"/>
        <v>0PremiumN4</v>
      </c>
      <c r="D260" s="8" t="str">
        <f t="shared" si="26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5970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3"/>
        <v>1900174</v>
      </c>
      <c r="B261" s="2" t="str">
        <f t="shared" si="25"/>
        <v>1900</v>
      </c>
      <c r="C261" s="8" t="str">
        <f t="shared" si="24"/>
        <v>0PremiumN5</v>
      </c>
      <c r="D261" s="8" t="str">
        <f t="shared" si="26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590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3"/>
        <v>1900176</v>
      </c>
      <c r="B262" s="2" t="str">
        <f t="shared" si="25"/>
        <v>1900</v>
      </c>
      <c r="C262" s="8" t="str">
        <f t="shared" si="24"/>
        <v>0PremiumN4</v>
      </c>
      <c r="D262" s="8" t="str">
        <f t="shared" si="26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5970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3"/>
        <v>1900177</v>
      </c>
      <c r="B263" s="2" t="str">
        <f t="shared" si="25"/>
        <v>1900</v>
      </c>
      <c r="C263" s="8" t="str">
        <f t="shared" si="24"/>
        <v>0PremiumN5</v>
      </c>
      <c r="D263" s="8" t="str">
        <f t="shared" si="26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590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3"/>
        <v>1900179</v>
      </c>
      <c r="B264" s="2" t="str">
        <f t="shared" si="25"/>
        <v>1900</v>
      </c>
      <c r="C264" s="8" t="str">
        <f t="shared" si="24"/>
        <v>0PremiumN4</v>
      </c>
      <c r="D264" s="8" t="str">
        <f t="shared" si="26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5970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3"/>
        <v>1900180</v>
      </c>
      <c r="B265" s="2" t="str">
        <f t="shared" si="25"/>
        <v>1900</v>
      </c>
      <c r="C265" s="8" t="str">
        <f t="shared" si="24"/>
        <v>0PremiumN5</v>
      </c>
      <c r="D265" s="8" t="str">
        <f t="shared" si="26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590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3"/>
        <v>1900182</v>
      </c>
      <c r="B266" s="2" t="str">
        <f t="shared" si="25"/>
        <v>1900</v>
      </c>
      <c r="C266" s="8" t="str">
        <f t="shared" si="24"/>
        <v>0PremiumN4</v>
      </c>
      <c r="D266" s="8" t="str">
        <f t="shared" si="26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5970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3"/>
        <v>1900183</v>
      </c>
      <c r="B267" s="2" t="str">
        <f t="shared" si="25"/>
        <v>1900</v>
      </c>
      <c r="C267" s="8" t="str">
        <f t="shared" si="24"/>
        <v>0PremiumN5</v>
      </c>
      <c r="D267" s="8" t="str">
        <f t="shared" si="26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590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3"/>
        <v>1900185</v>
      </c>
      <c r="B268" s="2" t="str">
        <f t="shared" si="25"/>
        <v>1900</v>
      </c>
      <c r="C268" s="8" t="str">
        <f t="shared" si="24"/>
        <v>0PremiumN4</v>
      </c>
      <c r="D268" s="8" t="str">
        <f t="shared" si="26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5970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3"/>
        <v>1900186</v>
      </c>
      <c r="B269" s="2" t="str">
        <f t="shared" si="25"/>
        <v>1900</v>
      </c>
      <c r="C269" s="8" t="str">
        <f t="shared" si="24"/>
        <v>0PremiumN5</v>
      </c>
      <c r="D269" s="8" t="str">
        <f t="shared" si="26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590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3"/>
        <v>1900188</v>
      </c>
      <c r="B270" s="2" t="str">
        <f t="shared" si="25"/>
        <v>1900</v>
      </c>
      <c r="C270" s="8" t="str">
        <f t="shared" si="24"/>
        <v>0PremiumN4</v>
      </c>
      <c r="D270" s="8" t="str">
        <f t="shared" si="26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5970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3"/>
        <v>1900189</v>
      </c>
      <c r="B271" s="2" t="str">
        <f t="shared" si="25"/>
        <v>1900</v>
      </c>
      <c r="C271" s="8" t="str">
        <f t="shared" ref="C271:C313" si="27">E271&amp;H271&amp;I271</f>
        <v>0PremiumN5</v>
      </c>
      <c r="D271" s="8" t="str">
        <f t="shared" si="26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590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3"/>
        <v>1900191</v>
      </c>
      <c r="B272" s="2" t="str">
        <f t="shared" si="25"/>
        <v>1900</v>
      </c>
      <c r="C272" s="8" t="str">
        <f t="shared" si="27"/>
        <v>0PremiumN4</v>
      </c>
      <c r="D272" s="8" t="str">
        <f t="shared" si="26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5970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3"/>
        <v>1900192</v>
      </c>
      <c r="B273" s="2" t="str">
        <f t="shared" si="25"/>
        <v>1900</v>
      </c>
      <c r="C273" s="8" t="str">
        <f t="shared" si="27"/>
        <v>0PremiumN5</v>
      </c>
      <c r="D273" s="8" t="str">
        <f t="shared" si="26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590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3"/>
        <v>1900194</v>
      </c>
      <c r="B274" s="2" t="str">
        <f t="shared" si="25"/>
        <v>1900</v>
      </c>
      <c r="C274" s="8" t="str">
        <f t="shared" si="27"/>
        <v>0PremiumN4</v>
      </c>
      <c r="D274" s="8" t="str">
        <f t="shared" si="26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5970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3"/>
        <v>1900195</v>
      </c>
      <c r="B275" s="2" t="str">
        <f t="shared" si="25"/>
        <v>1900</v>
      </c>
      <c r="C275" s="8" t="str">
        <f t="shared" si="27"/>
        <v>0PremiumN5</v>
      </c>
      <c r="D275" s="8" t="str">
        <f t="shared" si="26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590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3"/>
        <v>1900197</v>
      </c>
      <c r="B276" s="2" t="str">
        <f t="shared" si="25"/>
        <v>1900</v>
      </c>
      <c r="C276" s="8" t="str">
        <f t="shared" si="27"/>
        <v>0PremiumN4</v>
      </c>
      <c r="D276" s="8" t="str">
        <f t="shared" si="26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5970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3"/>
        <v>1900198</v>
      </c>
      <c r="B277" s="2" t="str">
        <f t="shared" si="25"/>
        <v>1900</v>
      </c>
      <c r="C277" s="8" t="str">
        <f t="shared" si="27"/>
        <v>0PremiumN5</v>
      </c>
      <c r="D277" s="8" t="str">
        <f t="shared" si="26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590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3"/>
        <v>1900200</v>
      </c>
      <c r="B278" s="2" t="str">
        <f t="shared" si="25"/>
        <v>1900</v>
      </c>
      <c r="C278" s="8" t="str">
        <f t="shared" si="27"/>
        <v>0PremiumN4</v>
      </c>
      <c r="D278" s="8" t="str">
        <f t="shared" si="26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5970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3"/>
        <v>1900201</v>
      </c>
      <c r="B279" s="2" t="str">
        <f t="shared" si="25"/>
        <v>1900</v>
      </c>
      <c r="C279" s="8" t="str">
        <f t="shared" si="27"/>
        <v>0PremiumN5</v>
      </c>
      <c r="D279" s="8" t="str">
        <f t="shared" si="26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590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3"/>
        <v>1900203</v>
      </c>
      <c r="B280" s="2" t="str">
        <f t="shared" si="25"/>
        <v>1900</v>
      </c>
      <c r="C280" s="8" t="str">
        <f t="shared" si="27"/>
        <v>0PremiumN4</v>
      </c>
      <c r="D280" s="8" t="str">
        <f t="shared" si="26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5970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3"/>
        <v>1900204</v>
      </c>
      <c r="B281" s="2" t="str">
        <f t="shared" si="25"/>
        <v>1900</v>
      </c>
      <c r="C281" s="8" t="str">
        <f t="shared" si="27"/>
        <v>0PremiumN5</v>
      </c>
      <c r="D281" s="8" t="str">
        <f t="shared" si="26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590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3"/>
        <v>1900206</v>
      </c>
      <c r="B282" s="2" t="str">
        <f t="shared" si="25"/>
        <v>1900</v>
      </c>
      <c r="C282" s="8" t="str">
        <f t="shared" si="27"/>
        <v>0PremiumN4</v>
      </c>
      <c r="D282" s="8" t="str">
        <f t="shared" si="26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5970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3"/>
        <v>1900207</v>
      </c>
      <c r="B283" s="2" t="str">
        <f t="shared" si="25"/>
        <v>1900</v>
      </c>
      <c r="C283" s="8" t="str">
        <f t="shared" si="27"/>
        <v>0PremiumN5</v>
      </c>
      <c r="D283" s="8" t="str">
        <f t="shared" si="26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590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3"/>
        <v>1900209</v>
      </c>
      <c r="B284" s="2" t="str">
        <f t="shared" si="25"/>
        <v>1900</v>
      </c>
      <c r="C284" s="8" t="str">
        <f t="shared" si="27"/>
        <v>0PremiumN4</v>
      </c>
      <c r="D284" s="8" t="str">
        <f t="shared" si="26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5970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3"/>
        <v>1900210</v>
      </c>
      <c r="B285" s="2" t="str">
        <f t="shared" si="25"/>
        <v>1900</v>
      </c>
      <c r="C285" s="8" t="str">
        <f t="shared" si="27"/>
        <v>0PremiumN5</v>
      </c>
      <c r="D285" s="8" t="str">
        <f t="shared" si="26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590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3"/>
        <v>1900212</v>
      </c>
      <c r="B286" s="2" t="str">
        <f t="shared" si="25"/>
        <v>1900</v>
      </c>
      <c r="C286" s="8" t="str">
        <f t="shared" si="27"/>
        <v>0PremiumN4</v>
      </c>
      <c r="D286" s="8" t="str">
        <f t="shared" si="26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5970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3"/>
        <v>1900213</v>
      </c>
      <c r="B287" s="2" t="str">
        <f t="shared" si="25"/>
        <v>1900</v>
      </c>
      <c r="C287" s="8" t="str">
        <f t="shared" si="27"/>
        <v>0PremiumN5</v>
      </c>
      <c r="D287" s="8" t="str">
        <f t="shared" si="26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590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3"/>
        <v>1900215</v>
      </c>
      <c r="B288" s="2" t="str">
        <f t="shared" si="25"/>
        <v>1900</v>
      </c>
      <c r="C288" s="8" t="str">
        <f t="shared" si="27"/>
        <v>0PremiumN4</v>
      </c>
      <c r="D288" s="8" t="str">
        <f t="shared" si="26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5970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3"/>
        <v>1900216</v>
      </c>
      <c r="B289" s="2" t="str">
        <f t="shared" si="25"/>
        <v>1900</v>
      </c>
      <c r="C289" s="8" t="str">
        <f t="shared" si="27"/>
        <v>0PremiumN5</v>
      </c>
      <c r="D289" s="8" t="str">
        <f t="shared" si="26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590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3"/>
        <v>1900218</v>
      </c>
      <c r="B290" s="2" t="str">
        <f t="shared" si="25"/>
        <v>1900</v>
      </c>
      <c r="C290" s="8" t="str">
        <f t="shared" si="27"/>
        <v>0PremiumN4</v>
      </c>
      <c r="D290" s="8" t="str">
        <f t="shared" si="26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5970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3"/>
        <v>1900219</v>
      </c>
      <c r="B291" s="2" t="str">
        <f t="shared" si="25"/>
        <v>1900</v>
      </c>
      <c r="C291" s="8" t="str">
        <f t="shared" si="27"/>
        <v>0PremiumN5</v>
      </c>
      <c r="D291" s="8" t="str">
        <f t="shared" si="26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590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3"/>
        <v>1900221</v>
      </c>
      <c r="B292" s="2" t="str">
        <f t="shared" si="25"/>
        <v>1900</v>
      </c>
      <c r="C292" s="8" t="str">
        <f t="shared" si="27"/>
        <v>0PremiumN4</v>
      </c>
      <c r="D292" s="8" t="str">
        <f t="shared" si="26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5970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3"/>
        <v>1900222</v>
      </c>
      <c r="B293" s="2" t="str">
        <f t="shared" si="25"/>
        <v>1900</v>
      </c>
      <c r="C293" s="8" t="str">
        <f t="shared" si="27"/>
        <v>0PremiumN5</v>
      </c>
      <c r="D293" s="8" t="str">
        <f t="shared" si="26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590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3"/>
        <v>1900224</v>
      </c>
      <c r="B294" s="2" t="str">
        <f t="shared" si="25"/>
        <v>1900</v>
      </c>
      <c r="C294" s="8" t="str">
        <f t="shared" si="27"/>
        <v>0PremiumN4</v>
      </c>
      <c r="D294" s="8" t="str">
        <f t="shared" si="26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5970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3"/>
        <v>1900225</v>
      </c>
      <c r="B295" s="2" t="str">
        <f t="shared" si="25"/>
        <v>1900</v>
      </c>
      <c r="C295" s="8" t="str">
        <f t="shared" si="27"/>
        <v>0PremiumN5</v>
      </c>
      <c r="D295" s="8" t="str">
        <f t="shared" si="26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590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3"/>
        <v>1900227</v>
      </c>
      <c r="B296" s="2" t="str">
        <f t="shared" si="25"/>
        <v>1900</v>
      </c>
      <c r="C296" s="8" t="str">
        <f t="shared" si="27"/>
        <v>0PremiumS4</v>
      </c>
      <c r="D296" s="8" t="str">
        <f t="shared" si="26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5970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3"/>
        <v>1900228</v>
      </c>
      <c r="B297" s="2" t="str">
        <f t="shared" si="25"/>
        <v>1900</v>
      </c>
      <c r="C297" s="8" t="str">
        <f t="shared" si="27"/>
        <v>0PremiumS5</v>
      </c>
      <c r="D297" s="8" t="str">
        <f t="shared" si="26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590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3"/>
        <v>1900230</v>
      </c>
      <c r="B298" s="2" t="str">
        <f t="shared" si="25"/>
        <v>1900</v>
      </c>
      <c r="C298" s="8" t="str">
        <f t="shared" si="27"/>
        <v>0PremiumS4</v>
      </c>
      <c r="D298" s="8" t="str">
        <f t="shared" si="26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5970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28">B299&amp;F299</f>
        <v>1900231</v>
      </c>
      <c r="B299" s="2" t="str">
        <f t="shared" si="25"/>
        <v>1900</v>
      </c>
      <c r="C299" s="8" t="str">
        <f t="shared" si="27"/>
        <v>0PremiumS5</v>
      </c>
      <c r="D299" s="8" t="str">
        <f t="shared" si="26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590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28"/>
        <v>1900233</v>
      </c>
      <c r="B300" s="2" t="str">
        <f t="shared" si="25"/>
        <v>1900</v>
      </c>
      <c r="C300" s="8" t="str">
        <f t="shared" si="27"/>
        <v>0PremiumS4</v>
      </c>
      <c r="D300" s="8" t="str">
        <f t="shared" si="26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5970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28"/>
        <v>1900234</v>
      </c>
      <c r="B301" s="2" t="str">
        <f t="shared" si="25"/>
        <v>1900</v>
      </c>
      <c r="C301" s="8" t="str">
        <f t="shared" si="27"/>
        <v>0PremiumS5</v>
      </c>
      <c r="D301" s="8" t="str">
        <f t="shared" si="26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590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28"/>
        <v>1900236</v>
      </c>
      <c r="B302" s="2" t="str">
        <f t="shared" si="25"/>
        <v>1900</v>
      </c>
      <c r="C302" s="8" t="str">
        <f t="shared" si="27"/>
        <v>0PremiumS4</v>
      </c>
      <c r="D302" s="8" t="str">
        <f t="shared" si="26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5970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28"/>
        <v>1900237</v>
      </c>
      <c r="B303" s="2" t="str">
        <f t="shared" si="25"/>
        <v>1900</v>
      </c>
      <c r="C303" s="8" t="str">
        <f t="shared" si="27"/>
        <v>0PremiumS5</v>
      </c>
      <c r="D303" s="8" t="str">
        <f t="shared" si="26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590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28"/>
        <v>1900239</v>
      </c>
      <c r="B304" s="2" t="str">
        <f t="shared" si="25"/>
        <v>1900</v>
      </c>
      <c r="C304" s="8" t="str">
        <f t="shared" si="27"/>
        <v>0PremiumS4</v>
      </c>
      <c r="D304" s="8" t="str">
        <f t="shared" si="26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5970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28"/>
        <v>1900240</v>
      </c>
      <c r="B305" s="2" t="str">
        <f t="shared" si="25"/>
        <v>1900</v>
      </c>
      <c r="C305" s="8" t="str">
        <f t="shared" si="27"/>
        <v>0PremiumS5</v>
      </c>
      <c r="D305" s="8" t="str">
        <f t="shared" si="26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590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28"/>
        <v>1900242</v>
      </c>
      <c r="B306" s="2" t="str">
        <f t="shared" si="25"/>
        <v>1900</v>
      </c>
      <c r="C306" s="8" t="str">
        <f t="shared" si="27"/>
        <v>0PremiumS4</v>
      </c>
      <c r="D306" s="8" t="str">
        <f t="shared" si="26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5970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28"/>
        <v>1900243</v>
      </c>
      <c r="B307" s="2" t="str">
        <f t="shared" si="25"/>
        <v>1900</v>
      </c>
      <c r="C307" s="8" t="str">
        <f t="shared" si="27"/>
        <v>0PremiumS5</v>
      </c>
      <c r="D307" s="8" t="str">
        <f t="shared" si="26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590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28"/>
        <v>1900245</v>
      </c>
      <c r="B308" s="2" t="str">
        <f t="shared" si="25"/>
        <v>1900</v>
      </c>
      <c r="C308" s="8" t="str">
        <f t="shared" si="27"/>
        <v>0PremiumS4</v>
      </c>
      <c r="D308" s="8" t="str">
        <f t="shared" si="26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5970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28"/>
        <v>1900246</v>
      </c>
      <c r="B309" s="2" t="str">
        <f t="shared" si="25"/>
        <v>1900</v>
      </c>
      <c r="C309" s="8" t="str">
        <f t="shared" si="27"/>
        <v>0PremiumS5</v>
      </c>
      <c r="D309" s="8" t="str">
        <f t="shared" si="26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590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28"/>
        <v>1900248</v>
      </c>
      <c r="B310" s="2" t="str">
        <f t="shared" si="25"/>
        <v>1900</v>
      </c>
      <c r="C310" s="8" t="str">
        <f t="shared" si="27"/>
        <v>0PremiumS4</v>
      </c>
      <c r="D310" s="8" t="str">
        <f t="shared" si="26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5970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28"/>
        <v>1900249</v>
      </c>
      <c r="B311" s="2" t="str">
        <f t="shared" si="25"/>
        <v>1900</v>
      </c>
      <c r="C311" s="8" t="str">
        <f t="shared" si="27"/>
        <v>0PremiumS5</v>
      </c>
      <c r="D311" s="8" t="str">
        <f t="shared" si="26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590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28"/>
        <v>1900251</v>
      </c>
      <c r="B312" s="2" t="str">
        <f t="shared" si="25"/>
        <v>1900</v>
      </c>
      <c r="C312" s="8" t="str">
        <f t="shared" si="27"/>
        <v>0PremiumS4</v>
      </c>
      <c r="D312" s="8" t="str">
        <f t="shared" si="26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5970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28"/>
        <v>1900252</v>
      </c>
      <c r="B313" s="2" t="str">
        <f t="shared" si="25"/>
        <v>1900</v>
      </c>
      <c r="C313" s="8" t="str">
        <f t="shared" si="27"/>
        <v>0PremiumS5</v>
      </c>
      <c r="D313" s="8" t="str">
        <f t="shared" si="26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590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28"/>
        <v>1900254</v>
      </c>
      <c r="B314" s="2" t="str">
        <f t="shared" si="25"/>
        <v>1900</v>
      </c>
      <c r="C314" s="8" t="str">
        <f t="shared" ref="C314:C365" si="29">E314&amp;H314&amp;I314</f>
        <v>0PremiumS4</v>
      </c>
      <c r="D314" s="8" t="str">
        <f t="shared" si="26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5970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28"/>
        <v>1900255</v>
      </c>
      <c r="B315" s="2" t="str">
        <f t="shared" si="25"/>
        <v>1900</v>
      </c>
      <c r="C315" s="8" t="str">
        <f t="shared" si="29"/>
        <v>0PremiumS5</v>
      </c>
      <c r="D315" s="8" t="str">
        <f t="shared" si="26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590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28"/>
        <v>1900257</v>
      </c>
      <c r="B316" s="2" t="str">
        <f t="shared" si="25"/>
        <v>1900</v>
      </c>
      <c r="C316" s="8" t="str">
        <f t="shared" si="29"/>
        <v>0PremiumS4</v>
      </c>
      <c r="D316" s="8" t="str">
        <f t="shared" si="26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5970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28"/>
        <v>1900258</v>
      </c>
      <c r="B317" s="2" t="str">
        <f t="shared" si="25"/>
        <v>1900</v>
      </c>
      <c r="C317" s="8" t="str">
        <f t="shared" si="29"/>
        <v>0PremiumS5</v>
      </c>
      <c r="D317" s="8" t="str">
        <f t="shared" si="26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590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28"/>
        <v>1900260</v>
      </c>
      <c r="B318" s="2" t="str">
        <f t="shared" si="25"/>
        <v>1900</v>
      </c>
      <c r="C318" s="8" t="str">
        <f t="shared" si="29"/>
        <v>0PremiumS4</v>
      </c>
      <c r="D318" s="8" t="str">
        <f t="shared" si="26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5970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28"/>
        <v>1900261</v>
      </c>
      <c r="B319" s="2" t="str">
        <f t="shared" si="25"/>
        <v>1900</v>
      </c>
      <c r="C319" s="8" t="str">
        <f t="shared" si="29"/>
        <v>0PremiumS5</v>
      </c>
      <c r="D319" s="8" t="str">
        <f t="shared" si="26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590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28"/>
        <v>1900320</v>
      </c>
      <c r="B320" s="2" t="str">
        <f t="shared" si="25"/>
        <v>1900</v>
      </c>
      <c r="C320" s="8" t="str">
        <f t="shared" si="29"/>
        <v>0PremiumSS4</v>
      </c>
      <c r="D320" s="8" t="str">
        <f t="shared" si="26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678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28"/>
        <v>1900321</v>
      </c>
      <c r="B321" s="2" t="str">
        <f t="shared" si="25"/>
        <v>1900</v>
      </c>
      <c r="C321" s="8" t="str">
        <f t="shared" si="29"/>
        <v>0PremiumSS5</v>
      </c>
      <c r="D321" s="8" t="str">
        <f t="shared" si="26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67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28"/>
        <v>1900322</v>
      </c>
      <c r="B322" s="2" t="str">
        <f t="shared" si="25"/>
        <v>1900</v>
      </c>
      <c r="C322" s="8" t="str">
        <f t="shared" si="29"/>
        <v>0PremiumSS4</v>
      </c>
      <c r="D322" s="8" t="str">
        <f t="shared" si="26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678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28"/>
        <v>1900323</v>
      </c>
      <c r="B323" s="2" t="str">
        <f t="shared" ref="B323:B386" si="30">190&amp;E323</f>
        <v>1900</v>
      </c>
      <c r="C323" s="8" t="str">
        <f t="shared" si="29"/>
        <v>0PremiumSS5</v>
      </c>
      <c r="D323" s="8" t="str">
        <f t="shared" ref="D323:D386" si="31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67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28"/>
        <v>1900324</v>
      </c>
      <c r="B324" s="2" t="str">
        <f t="shared" si="30"/>
        <v>1900</v>
      </c>
      <c r="C324" s="8" t="str">
        <f t="shared" si="29"/>
        <v>0PremiumSS4</v>
      </c>
      <c r="D324" s="8" t="str">
        <f t="shared" si="31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678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28"/>
        <v>1900325</v>
      </c>
      <c r="B325" s="2" t="str">
        <f t="shared" si="30"/>
        <v>1900</v>
      </c>
      <c r="C325" s="8" t="str">
        <f t="shared" si="29"/>
        <v>0PremiumSS5</v>
      </c>
      <c r="D325" s="8" t="str">
        <f t="shared" si="31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67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28"/>
        <v>1900326</v>
      </c>
      <c r="B326" s="2" t="str">
        <f t="shared" si="30"/>
        <v>1900</v>
      </c>
      <c r="C326" s="8" t="str">
        <f t="shared" si="29"/>
        <v>0PremiumSS4</v>
      </c>
      <c r="D326" s="8" t="str">
        <f t="shared" si="31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678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28"/>
        <v>1900327</v>
      </c>
      <c r="B327" s="2" t="str">
        <f t="shared" si="30"/>
        <v>1900</v>
      </c>
      <c r="C327" s="8" t="str">
        <f t="shared" si="29"/>
        <v>0PremiumSS5</v>
      </c>
      <c r="D327" s="8" t="str">
        <f t="shared" si="31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67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28"/>
        <v>1900381</v>
      </c>
      <c r="B328" s="2" t="str">
        <f t="shared" si="30"/>
        <v>1900</v>
      </c>
      <c r="C328" s="8" t="str">
        <f t="shared" si="29"/>
        <v>0PremiumS4</v>
      </c>
      <c r="D328" s="8" t="str">
        <f t="shared" si="31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5970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28"/>
        <v>1900382</v>
      </c>
      <c r="B329" s="2" t="str">
        <f t="shared" si="30"/>
        <v>1900</v>
      </c>
      <c r="C329" s="8" t="str">
        <f t="shared" si="29"/>
        <v>0PremiumS5</v>
      </c>
      <c r="D329" s="8" t="str">
        <f t="shared" si="31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590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28"/>
        <v>1900383</v>
      </c>
      <c r="B330" s="2" t="str">
        <f t="shared" si="30"/>
        <v>1900</v>
      </c>
      <c r="C330" s="8" t="str">
        <f t="shared" si="29"/>
        <v>0PremiumSS4</v>
      </c>
      <c r="D330" s="8" t="str">
        <f t="shared" si="31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678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28"/>
        <v>1900384</v>
      </c>
      <c r="B331" s="2" t="str">
        <f t="shared" si="30"/>
        <v>1900</v>
      </c>
      <c r="C331" s="8" t="str">
        <f t="shared" si="29"/>
        <v>0PremiumSS5</v>
      </c>
      <c r="D331" s="8" t="str">
        <f t="shared" si="31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67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28"/>
        <v>1900385</v>
      </c>
      <c r="B332" s="2" t="str">
        <f t="shared" si="30"/>
        <v>1900</v>
      </c>
      <c r="C332" s="8" t="str">
        <f t="shared" si="29"/>
        <v>0PremiumSS4</v>
      </c>
      <c r="D332" s="8" t="str">
        <f t="shared" si="31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678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28"/>
        <v>1900386</v>
      </c>
      <c r="B333" s="2" t="str">
        <f t="shared" si="30"/>
        <v>1900</v>
      </c>
      <c r="C333" s="8" t="str">
        <f t="shared" si="29"/>
        <v>0PremiumSS5</v>
      </c>
      <c r="D333" s="8" t="str">
        <f t="shared" si="31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67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28"/>
        <v>1900388</v>
      </c>
      <c r="B334" s="2" t="str">
        <f t="shared" si="30"/>
        <v>1900</v>
      </c>
      <c r="C334" s="8" t="str">
        <f t="shared" si="29"/>
        <v>0PremiumS4</v>
      </c>
      <c r="D334" s="8" t="str">
        <f t="shared" si="31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5970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28"/>
        <v>1900389</v>
      </c>
      <c r="B335" s="2" t="str">
        <f t="shared" si="30"/>
        <v>1900</v>
      </c>
      <c r="C335" s="8" t="str">
        <f t="shared" si="29"/>
        <v>0PremiumS5</v>
      </c>
      <c r="D335" s="8" t="str">
        <f t="shared" si="31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590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28"/>
        <v>1900390</v>
      </c>
      <c r="B336" s="2" t="str">
        <f t="shared" si="30"/>
        <v>1900</v>
      </c>
      <c r="C336" s="8" t="str">
        <f t="shared" si="29"/>
        <v>0PremiumSS4</v>
      </c>
      <c r="D336" s="8" t="str">
        <f t="shared" si="31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678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28"/>
        <v>1900391</v>
      </c>
      <c r="B337" s="2" t="str">
        <f t="shared" si="30"/>
        <v>1900</v>
      </c>
      <c r="C337" s="8" t="str">
        <f t="shared" si="29"/>
        <v>0PremiumSS5</v>
      </c>
      <c r="D337" s="8" t="str">
        <f t="shared" si="31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67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28"/>
        <v>1900393</v>
      </c>
      <c r="B338" s="2" t="str">
        <f t="shared" si="30"/>
        <v>1900</v>
      </c>
      <c r="C338" s="8" t="str">
        <f t="shared" si="29"/>
        <v>0PremiumS4</v>
      </c>
      <c r="D338" s="8" t="str">
        <f t="shared" si="31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5970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28"/>
        <v>1900394</v>
      </c>
      <c r="B339" s="2" t="str">
        <f t="shared" si="30"/>
        <v>1900</v>
      </c>
      <c r="C339" s="8" t="str">
        <f t="shared" si="29"/>
        <v>0PremiumS5</v>
      </c>
      <c r="D339" s="8" t="str">
        <f t="shared" si="31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590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28"/>
        <v>1900396</v>
      </c>
      <c r="B340" s="2" t="str">
        <f t="shared" si="30"/>
        <v>1900</v>
      </c>
      <c r="C340" s="8" t="str">
        <f t="shared" si="29"/>
        <v>0PremiumS4</v>
      </c>
      <c r="D340" s="8" t="str">
        <f t="shared" si="31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5970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28"/>
        <v>1900397</v>
      </c>
      <c r="B341" s="2" t="str">
        <f t="shared" si="30"/>
        <v>1900</v>
      </c>
      <c r="C341" s="8" t="str">
        <f t="shared" si="29"/>
        <v>0PremiumS5</v>
      </c>
      <c r="D341" s="8" t="str">
        <f t="shared" si="31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590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28"/>
        <v>1900398</v>
      </c>
      <c r="B342" s="2" t="str">
        <f t="shared" si="30"/>
        <v>1900</v>
      </c>
      <c r="C342" s="8" t="str">
        <f t="shared" si="29"/>
        <v>0PremiumSS4</v>
      </c>
      <c r="D342" s="8" t="str">
        <f t="shared" si="31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678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28"/>
        <v>1900399</v>
      </c>
      <c r="B343" s="2" t="str">
        <f t="shared" si="30"/>
        <v>1900</v>
      </c>
      <c r="C343" s="8" t="str">
        <f t="shared" si="29"/>
        <v>0PremiumSS5</v>
      </c>
      <c r="D343" s="8" t="str">
        <f t="shared" si="31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67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28"/>
        <v>1900401</v>
      </c>
      <c r="B344" s="2" t="str">
        <f t="shared" si="30"/>
        <v>1900</v>
      </c>
      <c r="C344" s="8" t="str">
        <f t="shared" si="29"/>
        <v>0PremiumS4</v>
      </c>
      <c r="D344" s="8" t="str">
        <f t="shared" si="31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5970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28"/>
        <v>1900402</v>
      </c>
      <c r="B345" s="2" t="str">
        <f t="shared" si="30"/>
        <v>1900</v>
      </c>
      <c r="C345" s="8" t="str">
        <f t="shared" si="29"/>
        <v>0PremiumS5</v>
      </c>
      <c r="D345" s="8" t="str">
        <f t="shared" si="31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590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28"/>
        <v>1900403</v>
      </c>
      <c r="B346" s="2" t="str">
        <f t="shared" si="30"/>
        <v>1900</v>
      </c>
      <c r="C346" s="8" t="str">
        <f t="shared" si="29"/>
        <v>0PremiumSS4</v>
      </c>
      <c r="D346" s="8" t="str">
        <f t="shared" si="31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678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28"/>
        <v>1900404</v>
      </c>
      <c r="B347" s="2" t="str">
        <f t="shared" si="30"/>
        <v>1900</v>
      </c>
      <c r="C347" s="8" t="str">
        <f t="shared" si="29"/>
        <v>0PremiumSS5</v>
      </c>
      <c r="D347" s="8" t="str">
        <f t="shared" si="31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67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28"/>
        <v>1900406</v>
      </c>
      <c r="B348" s="2" t="str">
        <f t="shared" si="30"/>
        <v>1900</v>
      </c>
      <c r="C348" s="8" t="str">
        <f t="shared" si="29"/>
        <v>0PremiumS4</v>
      </c>
      <c r="D348" s="8" t="str">
        <f t="shared" si="31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5970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28"/>
        <v>1900407</v>
      </c>
      <c r="B349" s="2" t="str">
        <f t="shared" si="30"/>
        <v>1900</v>
      </c>
      <c r="C349" s="8" t="str">
        <f t="shared" si="29"/>
        <v>0PremiumS5</v>
      </c>
      <c r="D349" s="8" t="str">
        <f t="shared" si="31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590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28"/>
        <v>1900408</v>
      </c>
      <c r="B350" s="2" t="str">
        <f t="shared" si="30"/>
        <v>1900</v>
      </c>
      <c r="C350" s="8" t="str">
        <f t="shared" si="29"/>
        <v>0PremiumSS4</v>
      </c>
      <c r="D350" s="8" t="str">
        <f t="shared" si="31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678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28"/>
        <v>1900409</v>
      </c>
      <c r="B351" s="2" t="str">
        <f t="shared" si="30"/>
        <v>1900</v>
      </c>
      <c r="C351" s="8" t="str">
        <f t="shared" si="29"/>
        <v>0PremiumSS5</v>
      </c>
      <c r="D351" s="8" t="str">
        <f t="shared" si="31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67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28"/>
        <v>1900434</v>
      </c>
      <c r="B352" s="2" t="str">
        <f t="shared" si="30"/>
        <v>1900</v>
      </c>
      <c r="C352" s="8" t="str">
        <f t="shared" si="29"/>
        <v>0PremiumSS4</v>
      </c>
      <c r="D352" s="8" t="str">
        <f t="shared" si="31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678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28"/>
        <v>1900435</v>
      </c>
      <c r="B353" s="2" t="str">
        <f t="shared" si="30"/>
        <v>1900</v>
      </c>
      <c r="C353" s="8" t="str">
        <f t="shared" si="29"/>
        <v>0PremiumSS5</v>
      </c>
      <c r="D353" s="8" t="str">
        <f t="shared" si="31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67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28"/>
        <v>1900437</v>
      </c>
      <c r="B354" s="2" t="str">
        <f t="shared" si="30"/>
        <v>1900</v>
      </c>
      <c r="C354" s="8" t="str">
        <f t="shared" si="29"/>
        <v>0PremiumS4</v>
      </c>
      <c r="D354" s="8" t="str">
        <f t="shared" si="31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5970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28"/>
        <v>1900438</v>
      </c>
      <c r="B355" s="2" t="str">
        <f t="shared" si="30"/>
        <v>1900</v>
      </c>
      <c r="C355" s="8" t="str">
        <f t="shared" si="29"/>
        <v>0PremiumS5</v>
      </c>
      <c r="D355" s="8" t="str">
        <f t="shared" si="31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590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28"/>
        <v>1900440</v>
      </c>
      <c r="B356" s="2" t="str">
        <f t="shared" si="30"/>
        <v>1900</v>
      </c>
      <c r="C356" s="8" t="str">
        <f t="shared" si="29"/>
        <v>0PremiumS4</v>
      </c>
      <c r="D356" s="8" t="str">
        <f t="shared" si="31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5970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28"/>
        <v>1900441</v>
      </c>
      <c r="B357" s="2" t="str">
        <f t="shared" si="30"/>
        <v>1900</v>
      </c>
      <c r="C357" s="8" t="str">
        <f t="shared" si="29"/>
        <v>0PremiumS5</v>
      </c>
      <c r="D357" s="8" t="str">
        <f t="shared" si="31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590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28"/>
        <v>1900442</v>
      </c>
      <c r="B358" s="2" t="str">
        <f t="shared" si="30"/>
        <v>1900</v>
      </c>
      <c r="C358" s="8" t="str">
        <f t="shared" si="29"/>
        <v>0PremiumSS4</v>
      </c>
      <c r="D358" s="8" t="str">
        <f t="shared" si="31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678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28"/>
        <v>1900443</v>
      </c>
      <c r="B359" s="2" t="str">
        <f t="shared" si="30"/>
        <v>1900</v>
      </c>
      <c r="C359" s="8" t="str">
        <f t="shared" si="29"/>
        <v>0PremiumSS5</v>
      </c>
      <c r="D359" s="8" t="str">
        <f t="shared" si="31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67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28"/>
        <v>1900463</v>
      </c>
      <c r="B360" s="2" t="str">
        <f t="shared" si="30"/>
        <v>1900</v>
      </c>
      <c r="C360" s="8" t="str">
        <f t="shared" si="29"/>
        <v>0PremiumS4</v>
      </c>
      <c r="D360" s="8" t="str">
        <f t="shared" si="31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5970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28"/>
        <v>1900464</v>
      </c>
      <c r="B361" s="2" t="str">
        <f t="shared" si="30"/>
        <v>1900</v>
      </c>
      <c r="C361" s="8" t="str">
        <f t="shared" si="29"/>
        <v>0PremiumS5</v>
      </c>
      <c r="D361" s="8" t="str">
        <f t="shared" si="31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590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28"/>
        <v>1900465</v>
      </c>
      <c r="B362" s="2" t="str">
        <f t="shared" si="30"/>
        <v>1900</v>
      </c>
      <c r="C362" s="8" t="str">
        <f t="shared" si="29"/>
        <v>0PremiumSS4</v>
      </c>
      <c r="D362" s="8" t="str">
        <f t="shared" si="31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678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2">B363&amp;F363</f>
        <v>1900466</v>
      </c>
      <c r="B363" s="2" t="str">
        <f t="shared" si="30"/>
        <v>1900</v>
      </c>
      <c r="C363" s="8" t="str">
        <f t="shared" si="29"/>
        <v>0PremiumSS5</v>
      </c>
      <c r="D363" s="8" t="str">
        <f t="shared" si="31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67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2"/>
        <v>1900467</v>
      </c>
      <c r="B364" s="2" t="str">
        <f t="shared" si="30"/>
        <v>1900</v>
      </c>
      <c r="C364" s="8" t="str">
        <f t="shared" si="29"/>
        <v>0PremiumSS4</v>
      </c>
      <c r="D364" s="8" t="str">
        <f t="shared" si="31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678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2"/>
        <v>1900468</v>
      </c>
      <c r="B365" s="2" t="str">
        <f t="shared" si="30"/>
        <v>1900</v>
      </c>
      <c r="C365" s="8" t="str">
        <f t="shared" si="29"/>
        <v>0PremiumSS5</v>
      </c>
      <c r="D365" s="8" t="str">
        <f t="shared" si="31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67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2"/>
        <v>1900470</v>
      </c>
      <c r="B366" s="2" t="str">
        <f t="shared" si="30"/>
        <v>1900</v>
      </c>
      <c r="C366" s="8" t="str">
        <f t="shared" ref="C366:C367" si="33">E366&amp;H366&amp;I366</f>
        <v>0PremiumS4</v>
      </c>
      <c r="D366" s="8" t="str">
        <f t="shared" si="31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5970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2"/>
        <v>1900471</v>
      </c>
      <c r="B367" s="2" t="str">
        <f t="shared" si="30"/>
        <v>1900</v>
      </c>
      <c r="C367" s="8" t="str">
        <f t="shared" si="33"/>
        <v>0PremiumS5</v>
      </c>
      <c r="D367" s="8" t="str">
        <f t="shared" si="31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590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4">B368&amp;F368</f>
        <v>1900474</v>
      </c>
      <c r="B368" s="2" t="str">
        <f t="shared" si="30"/>
        <v>1900</v>
      </c>
      <c r="C368" s="8" t="str">
        <f t="shared" ref="C368:C375" si="35">E368&amp;H368&amp;I368</f>
        <v>0PremiumSS4</v>
      </c>
      <c r="D368" s="8" t="str">
        <f t="shared" si="31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678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4"/>
        <v>1900475</v>
      </c>
      <c r="B369" s="2" t="str">
        <f t="shared" si="30"/>
        <v>1900</v>
      </c>
      <c r="C369" s="8" t="str">
        <f t="shared" si="35"/>
        <v>0PremiumSS5</v>
      </c>
      <c r="D369" s="8" t="str">
        <f t="shared" si="31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67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4"/>
        <v>1900477</v>
      </c>
      <c r="B370" s="2" t="str">
        <f t="shared" si="30"/>
        <v>1900</v>
      </c>
      <c r="C370" s="8" t="str">
        <f t="shared" si="35"/>
        <v>0PremiumS4</v>
      </c>
      <c r="D370" s="8" t="str">
        <f t="shared" si="31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5970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4"/>
        <v>1900478</v>
      </c>
      <c r="B371" s="2" t="str">
        <f t="shared" si="30"/>
        <v>1900</v>
      </c>
      <c r="C371" s="8" t="str">
        <f t="shared" si="35"/>
        <v>0PremiumS5</v>
      </c>
      <c r="D371" s="8" t="str">
        <f t="shared" si="31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590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4"/>
        <v>1900479</v>
      </c>
      <c r="B372" s="2" t="str">
        <f t="shared" si="30"/>
        <v>1900</v>
      </c>
      <c r="C372" s="8" t="str">
        <f t="shared" si="35"/>
        <v>0PremiumSS4</v>
      </c>
      <c r="D372" s="8" t="str">
        <f t="shared" si="31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678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4"/>
        <v>1900480</v>
      </c>
      <c r="B373" s="2" t="str">
        <f t="shared" si="30"/>
        <v>1900</v>
      </c>
      <c r="C373" s="8" t="str">
        <f t="shared" si="35"/>
        <v>0PremiumSS5</v>
      </c>
      <c r="D373" s="8" t="str">
        <f t="shared" si="31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67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4"/>
        <v>1900482</v>
      </c>
      <c r="B374" s="2" t="str">
        <f t="shared" si="30"/>
        <v>1900</v>
      </c>
      <c r="C374" s="8" t="str">
        <f t="shared" si="35"/>
        <v>0PremiumS4</v>
      </c>
      <c r="D374" s="8" t="str">
        <f t="shared" si="31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5970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34"/>
        <v>1900483</v>
      </c>
      <c r="B375" s="2" t="str">
        <f t="shared" si="30"/>
        <v>1900</v>
      </c>
      <c r="C375" s="8" t="str">
        <f t="shared" si="35"/>
        <v>0PremiumS5</v>
      </c>
      <c r="D375" s="8" t="str">
        <f t="shared" si="31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590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ref="A376:A391" si="36">B376&amp;F376</f>
        <v>1900492</v>
      </c>
      <c r="B376" s="2" t="str">
        <f t="shared" si="30"/>
        <v>1900</v>
      </c>
      <c r="C376" s="8" t="str">
        <f t="shared" ref="C376:C391" si="37">E376&amp;H376&amp;I376</f>
        <v>0PremiumSS4</v>
      </c>
      <c r="D376" s="8" t="str">
        <f t="shared" si="31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678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36"/>
        <v>1900493</v>
      </c>
      <c r="B377" s="2" t="str">
        <f t="shared" si="30"/>
        <v>1900</v>
      </c>
      <c r="C377" s="8" t="str">
        <f t="shared" si="37"/>
        <v>0PremiumSS5</v>
      </c>
      <c r="D377" s="8" t="str">
        <f t="shared" si="31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67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36"/>
        <v>1900494</v>
      </c>
      <c r="B378" s="2" t="str">
        <f t="shared" si="30"/>
        <v>1900</v>
      </c>
      <c r="C378" s="8" t="str">
        <f t="shared" si="37"/>
        <v>0PremiumSS4</v>
      </c>
      <c r="D378" s="8" t="str">
        <f t="shared" si="31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678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36"/>
        <v>1900495</v>
      </c>
      <c r="B379" s="2" t="str">
        <f t="shared" si="30"/>
        <v>1900</v>
      </c>
      <c r="C379" s="8" t="str">
        <f t="shared" si="37"/>
        <v>0PremiumSS5</v>
      </c>
      <c r="D379" s="8" t="str">
        <f t="shared" si="31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67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36"/>
        <v>1900497</v>
      </c>
      <c r="B380" s="2" t="str">
        <f t="shared" si="30"/>
        <v>1900</v>
      </c>
      <c r="C380" s="8" t="str">
        <f t="shared" si="37"/>
        <v>0PremiumS4</v>
      </c>
      <c r="D380" s="8" t="str">
        <f t="shared" si="31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5970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36"/>
        <v>1900498</v>
      </c>
      <c r="B381" s="2" t="str">
        <f t="shared" si="30"/>
        <v>1900</v>
      </c>
      <c r="C381" s="8" t="str">
        <f t="shared" si="37"/>
        <v>0PremiumS5</v>
      </c>
      <c r="D381" s="8" t="str">
        <f t="shared" si="31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590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36"/>
        <v>1900499</v>
      </c>
      <c r="B382" s="2" t="str">
        <f t="shared" si="30"/>
        <v>1900</v>
      </c>
      <c r="C382" s="8" t="str">
        <f t="shared" si="37"/>
        <v>0PremiumSS4</v>
      </c>
      <c r="D382" s="8" t="str">
        <f t="shared" si="31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678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36"/>
        <v>1900500</v>
      </c>
      <c r="B383" s="2" t="str">
        <f t="shared" si="30"/>
        <v>1900</v>
      </c>
      <c r="C383" s="8" t="str">
        <f t="shared" si="37"/>
        <v>0PremiumSS5</v>
      </c>
      <c r="D383" s="8" t="str">
        <f t="shared" si="31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67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36"/>
        <v>1900586</v>
      </c>
      <c r="B384" s="2" t="str">
        <f t="shared" si="30"/>
        <v>1900</v>
      </c>
      <c r="C384" s="8" t="str">
        <f t="shared" si="37"/>
        <v>0PremiumSS4</v>
      </c>
      <c r="D384" s="8" t="str">
        <f t="shared" si="31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678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36"/>
        <v>1900587</v>
      </c>
      <c r="B385" s="2" t="str">
        <f t="shared" si="30"/>
        <v>1900</v>
      </c>
      <c r="C385" s="8" t="str">
        <f t="shared" si="37"/>
        <v>0PremiumSS5</v>
      </c>
      <c r="D385" s="8" t="str">
        <f t="shared" si="31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67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36"/>
        <v>1900589</v>
      </c>
      <c r="B386" s="2" t="str">
        <f t="shared" si="30"/>
        <v>1900</v>
      </c>
      <c r="C386" s="8" t="str">
        <f t="shared" si="37"/>
        <v>0PremiumS4</v>
      </c>
      <c r="D386" s="8" t="str">
        <f t="shared" si="31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5970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36"/>
        <v>1900590</v>
      </c>
      <c r="B387" s="2" t="str">
        <f t="shared" ref="B387:B399" si="38">190&amp;E387</f>
        <v>1900</v>
      </c>
      <c r="C387" s="8" t="str">
        <f t="shared" si="37"/>
        <v>0PremiumS5</v>
      </c>
      <c r="D387" s="8" t="str">
        <f t="shared" ref="D387:D399" si="39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590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36"/>
        <v>1900592</v>
      </c>
      <c r="B388" s="2" t="str">
        <f t="shared" si="38"/>
        <v>1900</v>
      </c>
      <c r="C388" s="8" t="str">
        <f t="shared" si="37"/>
        <v>0PremiumS4</v>
      </c>
      <c r="D388" s="8" t="str">
        <f t="shared" si="39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5970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36"/>
        <v>1900593</v>
      </c>
      <c r="B389" s="2" t="str">
        <f t="shared" si="38"/>
        <v>1900</v>
      </c>
      <c r="C389" s="8" t="str">
        <f t="shared" si="37"/>
        <v>0PremiumS5</v>
      </c>
      <c r="D389" s="8" t="str">
        <f t="shared" si="39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590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36"/>
        <v>1900594</v>
      </c>
      <c r="B390" s="2" t="str">
        <f t="shared" si="38"/>
        <v>1900</v>
      </c>
      <c r="C390" s="8" t="str">
        <f t="shared" si="37"/>
        <v>0PremiumSS4</v>
      </c>
      <c r="D390" s="8" t="str">
        <f t="shared" si="39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678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36"/>
        <v>1900595</v>
      </c>
      <c r="B391" s="2" t="str">
        <f t="shared" si="38"/>
        <v>1900</v>
      </c>
      <c r="C391" s="8" t="str">
        <f t="shared" si="37"/>
        <v>0PremiumSS5</v>
      </c>
      <c r="D391" s="8" t="str">
        <f t="shared" si="39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67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0">B392&amp;F392</f>
        <v>1900597</v>
      </c>
      <c r="B392" s="2" t="str">
        <f t="shared" si="38"/>
        <v>1900</v>
      </c>
      <c r="C392" s="8" t="str">
        <f t="shared" ref="C392:C399" si="41">E392&amp;H392&amp;I392</f>
        <v>0PremiumS4</v>
      </c>
      <c r="D392" s="8" t="str">
        <f t="shared" si="39"/>
        <v>0PremiumS4</v>
      </c>
      <c r="E392" s="10">
        <v>0</v>
      </c>
      <c r="F392" s="6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IFERROR(VLOOKUP(F392,gacha_conf!A$50:F$62,5+E392,FALSE),VLOOKUP(D392,gacha_conf!D$18:E$46,2,FALSE))</f>
        <v>5970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0"/>
        <v>1900598</v>
      </c>
      <c r="B393" s="2" t="str">
        <f t="shared" si="38"/>
        <v>1900</v>
      </c>
      <c r="C393" s="8" t="str">
        <f t="shared" si="41"/>
        <v>0PremiumS5</v>
      </c>
      <c r="D393" s="8" t="str">
        <f t="shared" si="39"/>
        <v>0PremiumS5</v>
      </c>
      <c r="E393" s="10">
        <v>0</v>
      </c>
      <c r="F393" s="6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IFERROR(VLOOKUP(F393,gacha_conf!A$50:F$62,5+E393,FALSE),VLOOKUP(D393,gacha_conf!D$18:E$46,2,FALSE))</f>
        <v>590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0"/>
        <v>1900600</v>
      </c>
      <c r="B394" s="2" t="str">
        <f t="shared" si="38"/>
        <v>1900</v>
      </c>
      <c r="C394" s="8" t="str">
        <f t="shared" si="41"/>
        <v>0PremiumS4</v>
      </c>
      <c r="D394" s="8" t="str">
        <f t="shared" si="39"/>
        <v>0PremiumS4</v>
      </c>
      <c r="E394" s="10">
        <v>0</v>
      </c>
      <c r="F394" s="6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5970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0"/>
        <v>1900601</v>
      </c>
      <c r="B395" s="2" t="str">
        <f t="shared" si="38"/>
        <v>1900</v>
      </c>
      <c r="C395" s="8" t="str">
        <f t="shared" si="41"/>
        <v>0PremiumS5</v>
      </c>
      <c r="D395" s="8" t="str">
        <f t="shared" si="39"/>
        <v>0PremiumS5</v>
      </c>
      <c r="E395" s="10">
        <v>0</v>
      </c>
      <c r="F395" s="6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590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0"/>
        <v>1900602</v>
      </c>
      <c r="B396" s="2" t="str">
        <f t="shared" si="38"/>
        <v>1900</v>
      </c>
      <c r="C396" s="8" t="str">
        <f t="shared" si="41"/>
        <v>0PremiumSS4</v>
      </c>
      <c r="D396" s="8" t="str">
        <f t="shared" si="39"/>
        <v>0PremiumSS4</v>
      </c>
      <c r="E396" s="10">
        <v>0</v>
      </c>
      <c r="F396" s="6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678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0"/>
        <v>1900603</v>
      </c>
      <c r="B397" s="2" t="str">
        <f t="shared" si="38"/>
        <v>1900</v>
      </c>
      <c r="C397" s="8" t="str">
        <f t="shared" si="41"/>
        <v>0PremiumSS5</v>
      </c>
      <c r="D397" s="8" t="str">
        <f t="shared" si="39"/>
        <v>0PremiumSS5</v>
      </c>
      <c r="E397" s="10">
        <v>0</v>
      </c>
      <c r="F397" s="6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67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0"/>
        <v>1900605</v>
      </c>
      <c r="B398" s="2" t="str">
        <f t="shared" si="38"/>
        <v>1900</v>
      </c>
      <c r="C398" s="8" t="str">
        <f t="shared" si="41"/>
        <v>0PremiumS4</v>
      </c>
      <c r="D398" s="8" t="str">
        <f t="shared" si="39"/>
        <v>0PremiumS4</v>
      </c>
      <c r="E398" s="10">
        <v>0</v>
      </c>
      <c r="F398" s="6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5970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0"/>
        <v>1900606</v>
      </c>
      <c r="B399" s="2" t="str">
        <f t="shared" si="38"/>
        <v>1900</v>
      </c>
      <c r="C399" s="8" t="str">
        <f t="shared" si="41"/>
        <v>0PremiumS5</v>
      </c>
      <c r="D399" s="8" t="str">
        <f t="shared" si="39"/>
        <v>0PremiumS5</v>
      </c>
      <c r="E399" s="10">
        <v>0</v>
      </c>
      <c r="F399" s="6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590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filterMode="1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J59" sqref="J5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9.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>
        <v>1903</v>
      </c>
      <c r="C2" s="8" t="str">
        <f>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5">
        <f>ROUND(0.96/50*100000,0)</f>
        <v>1920</v>
      </c>
      <c r="M2" s="37">
        <f>IFERROR(VLOOKUP($E2,bug_conf_sheet!$A:$H,3,FALSE),VLOOKUP("other",bug_conf_sheet!$A:$H,3,FALSE))</f>
        <v>1</v>
      </c>
      <c r="N2" s="37">
        <f>IFERROR(VLOOKUP($E2,bug_conf_sheet!$A:$H,4,FALSE),VLOOKUP("other",bug_conf_sheet!$A:$H,4,FALSE))</f>
        <v>0</v>
      </c>
      <c r="O2" s="37">
        <f>IFERROR(VLOOKUP($E2,bug_conf_sheet!$A:$H,5,FALSE),VLOOKUP("other",bug_conf_sheet!$A:$H,5,FALSE))</f>
        <v>0</v>
      </c>
      <c r="P2" s="37">
        <f>IFERROR(VLOOKUP($E2,bug_conf_sheet!$A:$H,6,FALSE),VLOOKUP("other",bug_conf_sheet!$A:$H,6,FALSE))</f>
        <v>0</v>
      </c>
      <c r="Q2" s="37">
        <f>IFERROR(VLOOKUP($E2,bug_conf_sheet!$A:$H,7,FALSE),VLOOKUP("other",bug_conf_sheet!$A:$H,7,FALSE))</f>
        <v>0</v>
      </c>
      <c r="R2" s="37">
        <f>IFERROR(VLOOKUP($E2,bug_conf_sheet!$A:$H,8,FALSE),VLOOKUP("other",bug_conf_sheet!$A:$H,8,FALSE))</f>
        <v>1</v>
      </c>
    </row>
    <row r="3" spans="1:18" ht="21" customHeight="1">
      <c r="B3" s="2">
        <v>1903</v>
      </c>
      <c r="C3" s="8" t="str">
        <f t="shared" ref="C3:C66" si="0">G3&amp;H3</f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5">
        <f t="shared" ref="L3:L33" si="1">ROUND(0.96/50*100000,0)</f>
        <v>1920</v>
      </c>
      <c r="M3" s="37">
        <f>IFERROR(VLOOKUP($E3,bug_conf_sheet!$A:$H,3,FALSE),VLOOKUP("other",bug_conf_sheet!$A:$H,3,FALSE))</f>
        <v>1</v>
      </c>
      <c r="N3" s="37">
        <f>IFERROR(VLOOKUP($E3,bug_conf_sheet!$A:$H,4,FALSE),VLOOKUP("other",bug_conf_sheet!$A:$H,4,FALSE))</f>
        <v>0</v>
      </c>
      <c r="O3" s="37">
        <f>IFERROR(VLOOKUP($E3,bug_conf_sheet!$A:$H,5,FALSE),VLOOKUP("other",bug_conf_sheet!$A:$H,5,FALSE))</f>
        <v>0</v>
      </c>
      <c r="P3" s="37">
        <f>IFERROR(VLOOKUP($E3,bug_conf_sheet!$A:$H,6,FALSE),VLOOKUP("other",bug_conf_sheet!$A:$H,6,FALSE))</f>
        <v>0</v>
      </c>
      <c r="Q3" s="37">
        <f>IFERROR(VLOOKUP($E3,bug_conf_sheet!$A:$H,7,FALSE),VLOOKUP("other",bug_conf_sheet!$A:$H,7,FALSE))</f>
        <v>0</v>
      </c>
      <c r="R3" s="37">
        <f>IFERROR(VLOOKUP($E3,bug_conf_sheet!$A:$H,8,FALSE),VLOOKUP("other",bug_conf_sheet!$A:$H,8,FALSE))</f>
        <v>1</v>
      </c>
    </row>
    <row r="4" spans="1:18" ht="21" customHeight="1">
      <c r="B4" s="2">
        <v>1903</v>
      </c>
      <c r="C4" s="8" t="str">
        <f t="shared" si="0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5">
        <f t="shared" si="1"/>
        <v>1920</v>
      </c>
      <c r="M4" s="37">
        <f>IFERROR(VLOOKUP($E4,bug_conf_sheet!$A:$H,3,FALSE),VLOOKUP("other",bug_conf_sheet!$A:$H,3,FALSE))</f>
        <v>1</v>
      </c>
      <c r="N4" s="37">
        <f>IFERROR(VLOOKUP($E4,bug_conf_sheet!$A:$H,4,FALSE),VLOOKUP("other",bug_conf_sheet!$A:$H,4,FALSE))</f>
        <v>0</v>
      </c>
      <c r="O4" s="37">
        <f>IFERROR(VLOOKUP($E4,bug_conf_sheet!$A:$H,5,FALSE),VLOOKUP("other",bug_conf_sheet!$A:$H,5,FALSE))</f>
        <v>0</v>
      </c>
      <c r="P4" s="37">
        <f>IFERROR(VLOOKUP($E4,bug_conf_sheet!$A:$H,6,FALSE),VLOOKUP("other",bug_conf_sheet!$A:$H,6,FALSE))</f>
        <v>0</v>
      </c>
      <c r="Q4" s="37">
        <f>IFERROR(VLOOKUP($E4,bug_conf_sheet!$A:$H,7,FALSE),VLOOKUP("other",bug_conf_sheet!$A:$H,7,FALSE))</f>
        <v>0</v>
      </c>
      <c r="R4" s="37">
        <f>IFERROR(VLOOKUP($E4,bug_conf_sheet!$A:$H,8,FALSE),VLOOKUP("other",bug_conf_sheet!$A:$H,8,FALSE))</f>
        <v>1</v>
      </c>
    </row>
    <row r="5" spans="1:18" ht="21" customHeight="1">
      <c r="B5" s="2">
        <v>1903</v>
      </c>
      <c r="C5" s="8" t="str">
        <f t="shared" si="0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5">
        <f t="shared" si="1"/>
        <v>1920</v>
      </c>
      <c r="M5" s="37">
        <f>IFERROR(VLOOKUP($E5,bug_conf_sheet!$A:$H,3,FALSE),VLOOKUP("other",bug_conf_sheet!$A:$H,3,FALSE))</f>
        <v>1</v>
      </c>
      <c r="N5" s="37">
        <f>IFERROR(VLOOKUP($E5,bug_conf_sheet!$A:$H,4,FALSE),VLOOKUP("other",bug_conf_sheet!$A:$H,4,FALSE))</f>
        <v>0</v>
      </c>
      <c r="O5" s="37">
        <f>IFERROR(VLOOKUP($E5,bug_conf_sheet!$A:$H,5,FALSE),VLOOKUP("other",bug_conf_sheet!$A:$H,5,FALSE))</f>
        <v>0</v>
      </c>
      <c r="P5" s="37">
        <f>IFERROR(VLOOKUP($E5,bug_conf_sheet!$A:$H,6,FALSE),VLOOKUP("other",bug_conf_sheet!$A:$H,6,FALSE))</f>
        <v>0</v>
      </c>
      <c r="Q5" s="37">
        <f>IFERROR(VLOOKUP($E5,bug_conf_sheet!$A:$H,7,FALSE),VLOOKUP("other",bug_conf_sheet!$A:$H,7,FALSE))</f>
        <v>0</v>
      </c>
      <c r="R5" s="37">
        <f>IFERROR(VLOOKUP($E5,bug_conf_sheet!$A:$H,8,FALSE),VLOOKUP("other",bug_conf_sheet!$A:$H,8,FALSE))</f>
        <v>1</v>
      </c>
    </row>
    <row r="6" spans="1:18" ht="21" customHeight="1">
      <c r="B6" s="2">
        <v>1903</v>
      </c>
      <c r="C6" s="8" t="str">
        <f t="shared" si="0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5">
        <f t="shared" si="1"/>
        <v>1920</v>
      </c>
      <c r="M6" s="37">
        <f>IFERROR(VLOOKUP($E6,bug_conf_sheet!$A:$H,3,FALSE),VLOOKUP("other",bug_conf_sheet!$A:$H,3,FALSE))</f>
        <v>1</v>
      </c>
      <c r="N6" s="37">
        <f>IFERROR(VLOOKUP($E6,bug_conf_sheet!$A:$H,4,FALSE),VLOOKUP("other",bug_conf_sheet!$A:$H,4,FALSE))</f>
        <v>0</v>
      </c>
      <c r="O6" s="37">
        <f>IFERROR(VLOOKUP($E6,bug_conf_sheet!$A:$H,5,FALSE),VLOOKUP("other",bug_conf_sheet!$A:$H,5,FALSE))</f>
        <v>0</v>
      </c>
      <c r="P6" s="37">
        <f>IFERROR(VLOOKUP($E6,bug_conf_sheet!$A:$H,6,FALSE),VLOOKUP("other",bug_conf_sheet!$A:$H,6,FALSE))</f>
        <v>0</v>
      </c>
      <c r="Q6" s="37">
        <f>IFERROR(VLOOKUP($E6,bug_conf_sheet!$A:$H,7,FALSE),VLOOKUP("other",bug_conf_sheet!$A:$H,7,FALSE))</f>
        <v>0</v>
      </c>
      <c r="R6" s="37">
        <f>IFERROR(VLOOKUP($E6,bug_conf_sheet!$A:$H,8,FALSE),VLOOKUP("other",bug_conf_sheet!$A:$H,8,FALSE))</f>
        <v>1</v>
      </c>
    </row>
    <row r="7" spans="1:18" ht="21" customHeight="1">
      <c r="B7" s="2">
        <v>1903</v>
      </c>
      <c r="C7" s="8" t="str">
        <f t="shared" si="0"/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5">
        <f t="shared" si="1"/>
        <v>1920</v>
      </c>
      <c r="M7" s="37">
        <f>IFERROR(VLOOKUP($E7,bug_conf_sheet!$A:$H,3,FALSE),VLOOKUP("other",bug_conf_sheet!$A:$H,3,FALSE))</f>
        <v>1</v>
      </c>
      <c r="N7" s="37">
        <f>IFERROR(VLOOKUP($E7,bug_conf_sheet!$A:$H,4,FALSE),VLOOKUP("other",bug_conf_sheet!$A:$H,4,FALSE))</f>
        <v>0</v>
      </c>
      <c r="O7" s="37">
        <f>IFERROR(VLOOKUP($E7,bug_conf_sheet!$A:$H,5,FALSE),VLOOKUP("other",bug_conf_sheet!$A:$H,5,FALSE))</f>
        <v>0</v>
      </c>
      <c r="P7" s="37">
        <f>IFERROR(VLOOKUP($E7,bug_conf_sheet!$A:$H,6,FALSE),VLOOKUP("other",bug_conf_sheet!$A:$H,6,FALSE))</f>
        <v>0</v>
      </c>
      <c r="Q7" s="37">
        <f>IFERROR(VLOOKUP($E7,bug_conf_sheet!$A:$H,7,FALSE),VLOOKUP("other",bug_conf_sheet!$A:$H,7,FALSE))</f>
        <v>0</v>
      </c>
      <c r="R7" s="37">
        <f>IFERROR(VLOOKUP($E7,bug_conf_sheet!$A:$H,8,FALSE),VLOOKUP("other",bug_conf_sheet!$A:$H,8,FALSE))</f>
        <v>1</v>
      </c>
    </row>
    <row r="8" spans="1:18" ht="21" customHeight="1">
      <c r="B8" s="2">
        <v>1903</v>
      </c>
      <c r="C8" s="8" t="str">
        <f t="shared" si="0"/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5">
        <f t="shared" si="1"/>
        <v>1920</v>
      </c>
      <c r="M8" s="37">
        <f>IFERROR(VLOOKUP($E8,bug_conf_sheet!$A:$H,3,FALSE),VLOOKUP("other",bug_conf_sheet!$A:$H,3,FALSE))</f>
        <v>1</v>
      </c>
      <c r="N8" s="37">
        <f>IFERROR(VLOOKUP($E8,bug_conf_sheet!$A:$H,4,FALSE),VLOOKUP("other",bug_conf_sheet!$A:$H,4,FALSE))</f>
        <v>0</v>
      </c>
      <c r="O8" s="37">
        <f>IFERROR(VLOOKUP($E8,bug_conf_sheet!$A:$H,5,FALSE),VLOOKUP("other",bug_conf_sheet!$A:$H,5,FALSE))</f>
        <v>0</v>
      </c>
      <c r="P8" s="37">
        <f>IFERROR(VLOOKUP($E8,bug_conf_sheet!$A:$H,6,FALSE),VLOOKUP("other",bug_conf_sheet!$A:$H,6,FALSE))</f>
        <v>0</v>
      </c>
      <c r="Q8" s="37">
        <f>IFERROR(VLOOKUP($E8,bug_conf_sheet!$A:$H,7,FALSE),VLOOKUP("other",bug_conf_sheet!$A:$H,7,FALSE))</f>
        <v>0</v>
      </c>
      <c r="R8" s="37">
        <f>IFERROR(VLOOKUP($E8,bug_conf_sheet!$A:$H,8,FALSE),VLOOKUP("other",bug_conf_sheet!$A:$H,8,FALSE))</f>
        <v>1</v>
      </c>
    </row>
    <row r="9" spans="1:18" ht="21" customHeight="1">
      <c r="B9" s="2">
        <v>1903</v>
      </c>
      <c r="C9" s="8" t="str">
        <f t="shared" si="0"/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5">
        <f t="shared" si="1"/>
        <v>1920</v>
      </c>
      <c r="M9" s="37">
        <f>IFERROR(VLOOKUP($E9,bug_conf_sheet!$A:$H,3,FALSE),VLOOKUP("other",bug_conf_sheet!$A:$H,3,FALSE))</f>
        <v>1</v>
      </c>
      <c r="N9" s="37">
        <f>IFERROR(VLOOKUP($E9,bug_conf_sheet!$A:$H,4,FALSE),VLOOKUP("other",bug_conf_sheet!$A:$H,4,FALSE))</f>
        <v>0</v>
      </c>
      <c r="O9" s="37">
        <f>IFERROR(VLOOKUP($E9,bug_conf_sheet!$A:$H,5,FALSE),VLOOKUP("other",bug_conf_sheet!$A:$H,5,FALSE))</f>
        <v>0</v>
      </c>
      <c r="P9" s="37">
        <f>IFERROR(VLOOKUP($E9,bug_conf_sheet!$A:$H,6,FALSE),VLOOKUP("other",bug_conf_sheet!$A:$H,6,FALSE))</f>
        <v>0</v>
      </c>
      <c r="Q9" s="37">
        <f>IFERROR(VLOOKUP($E9,bug_conf_sheet!$A:$H,7,FALSE),VLOOKUP("other",bug_conf_sheet!$A:$H,7,FALSE))</f>
        <v>0</v>
      </c>
      <c r="R9" s="37">
        <f>IFERROR(VLOOKUP($E9,bug_conf_sheet!$A:$H,8,FALSE),VLOOKUP("other",bug_conf_sheet!$A:$H,8,FALSE))</f>
        <v>1</v>
      </c>
    </row>
    <row r="10" spans="1:18" ht="21" customHeight="1">
      <c r="B10" s="2">
        <v>1903</v>
      </c>
      <c r="C10" s="8" t="str">
        <f t="shared" si="0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5">
        <f t="shared" si="1"/>
        <v>1920</v>
      </c>
      <c r="M10" s="37">
        <f>IFERROR(VLOOKUP($E10,bug_conf_sheet!$A:$H,3,FALSE),VLOOKUP("other",bug_conf_sheet!$A:$H,3,FALSE))</f>
        <v>1</v>
      </c>
      <c r="N10" s="37">
        <f>IFERROR(VLOOKUP($E10,bug_conf_sheet!$A:$H,4,FALSE),VLOOKUP("other",bug_conf_sheet!$A:$H,4,FALSE))</f>
        <v>0</v>
      </c>
      <c r="O10" s="37">
        <f>IFERROR(VLOOKUP($E10,bug_conf_sheet!$A:$H,5,FALSE),VLOOKUP("other",bug_conf_sheet!$A:$H,5,FALSE))</f>
        <v>0</v>
      </c>
      <c r="P10" s="37">
        <f>IFERROR(VLOOKUP($E10,bug_conf_sheet!$A:$H,6,FALSE),VLOOKUP("other",bug_conf_sheet!$A:$H,6,FALSE))</f>
        <v>0</v>
      </c>
      <c r="Q10" s="37">
        <f>IFERROR(VLOOKUP($E10,bug_conf_sheet!$A:$H,7,FALSE),VLOOKUP("other",bug_conf_sheet!$A:$H,7,FALSE))</f>
        <v>0</v>
      </c>
      <c r="R10" s="37">
        <f>IFERROR(VLOOKUP($E10,bug_conf_sheet!$A:$H,8,FALSE),VLOOKUP("other",bug_conf_sheet!$A:$H,8,FALSE))</f>
        <v>1</v>
      </c>
    </row>
    <row r="11" spans="1:18" ht="21" customHeight="1">
      <c r="B11" s="2">
        <v>1903</v>
      </c>
      <c r="C11" s="8" t="str">
        <f t="shared" si="0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5">
        <f t="shared" si="1"/>
        <v>1920</v>
      </c>
      <c r="M11" s="37">
        <f>IFERROR(VLOOKUP($E11,bug_conf_sheet!$A:$H,3,FALSE),VLOOKUP("other",bug_conf_sheet!$A:$H,3,FALSE))</f>
        <v>1</v>
      </c>
      <c r="N11" s="37">
        <f>IFERROR(VLOOKUP($E11,bug_conf_sheet!$A:$H,4,FALSE),VLOOKUP("other",bug_conf_sheet!$A:$H,4,FALSE))</f>
        <v>0</v>
      </c>
      <c r="O11" s="37">
        <f>IFERROR(VLOOKUP($E11,bug_conf_sheet!$A:$H,5,FALSE),VLOOKUP("other",bug_conf_sheet!$A:$H,5,FALSE))</f>
        <v>0</v>
      </c>
      <c r="P11" s="37">
        <f>IFERROR(VLOOKUP($E11,bug_conf_sheet!$A:$H,6,FALSE),VLOOKUP("other",bug_conf_sheet!$A:$H,6,FALSE))</f>
        <v>0</v>
      </c>
      <c r="Q11" s="37">
        <f>IFERROR(VLOOKUP($E11,bug_conf_sheet!$A:$H,7,FALSE),VLOOKUP("other",bug_conf_sheet!$A:$H,7,FALSE))</f>
        <v>0</v>
      </c>
      <c r="R11" s="37">
        <f>IFERROR(VLOOKUP($E11,bug_conf_sheet!$A:$H,8,FALSE),VLOOKUP("other",bug_conf_sheet!$A:$H,8,FALSE))</f>
        <v>1</v>
      </c>
    </row>
    <row r="12" spans="1:18" ht="21" customHeight="1">
      <c r="B12" s="2">
        <v>1903</v>
      </c>
      <c r="C12" s="8" t="str">
        <f t="shared" si="0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5">
        <f t="shared" si="1"/>
        <v>1920</v>
      </c>
      <c r="M12" s="37">
        <f>IFERROR(VLOOKUP($E12,bug_conf_sheet!$A:$H,3,FALSE),VLOOKUP("other",bug_conf_sheet!$A:$H,3,FALSE))</f>
        <v>1</v>
      </c>
      <c r="N12" s="37">
        <f>IFERROR(VLOOKUP($E12,bug_conf_sheet!$A:$H,4,FALSE),VLOOKUP("other",bug_conf_sheet!$A:$H,4,FALSE))</f>
        <v>0</v>
      </c>
      <c r="O12" s="37">
        <f>IFERROR(VLOOKUP($E12,bug_conf_sheet!$A:$H,5,FALSE),VLOOKUP("other",bug_conf_sheet!$A:$H,5,FALSE))</f>
        <v>0</v>
      </c>
      <c r="P12" s="37">
        <f>IFERROR(VLOOKUP($E12,bug_conf_sheet!$A:$H,6,FALSE),VLOOKUP("other",bug_conf_sheet!$A:$H,6,FALSE))</f>
        <v>0</v>
      </c>
      <c r="Q12" s="37">
        <f>IFERROR(VLOOKUP($E12,bug_conf_sheet!$A:$H,7,FALSE),VLOOKUP("other",bug_conf_sheet!$A:$H,7,FALSE))</f>
        <v>0</v>
      </c>
      <c r="R12" s="37">
        <f>IFERROR(VLOOKUP($E12,bug_conf_sheet!$A:$H,8,FALSE),VLOOKUP("other",bug_conf_sheet!$A:$H,8,FALSE))</f>
        <v>1</v>
      </c>
    </row>
    <row r="13" spans="1:18" ht="21" customHeight="1">
      <c r="B13" s="2">
        <v>1903</v>
      </c>
      <c r="C13" s="8" t="str">
        <f t="shared" si="0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5">
        <f t="shared" si="1"/>
        <v>1920</v>
      </c>
      <c r="M13" s="37">
        <f>IFERROR(VLOOKUP($E13,bug_conf_sheet!$A:$H,3,FALSE),VLOOKUP("other",bug_conf_sheet!$A:$H,3,FALSE))</f>
        <v>1</v>
      </c>
      <c r="N13" s="37">
        <f>IFERROR(VLOOKUP($E13,bug_conf_sheet!$A:$H,4,FALSE),VLOOKUP("other",bug_conf_sheet!$A:$H,4,FALSE))</f>
        <v>0</v>
      </c>
      <c r="O13" s="37">
        <f>IFERROR(VLOOKUP($E13,bug_conf_sheet!$A:$H,5,FALSE),VLOOKUP("other",bug_conf_sheet!$A:$H,5,FALSE))</f>
        <v>0</v>
      </c>
      <c r="P13" s="37">
        <f>IFERROR(VLOOKUP($E13,bug_conf_sheet!$A:$H,6,FALSE),VLOOKUP("other",bug_conf_sheet!$A:$H,6,FALSE))</f>
        <v>0</v>
      </c>
      <c r="Q13" s="37">
        <f>IFERROR(VLOOKUP($E13,bug_conf_sheet!$A:$H,7,FALSE),VLOOKUP("other",bug_conf_sheet!$A:$H,7,FALSE))</f>
        <v>0</v>
      </c>
      <c r="R13" s="37">
        <f>IFERROR(VLOOKUP($E13,bug_conf_sheet!$A:$H,8,FALSE),VLOOKUP("other",bug_conf_sheet!$A:$H,8,FALSE))</f>
        <v>1</v>
      </c>
    </row>
    <row r="14" spans="1:18" ht="21" customHeight="1">
      <c r="B14" s="2">
        <v>1903</v>
      </c>
      <c r="C14" s="8" t="str">
        <f t="shared" si="0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5">
        <f t="shared" si="1"/>
        <v>1920</v>
      </c>
      <c r="M14" s="37">
        <f>IFERROR(VLOOKUP($E14,bug_conf_sheet!$A:$H,3,FALSE),VLOOKUP("other",bug_conf_sheet!$A:$H,3,FALSE))</f>
        <v>1</v>
      </c>
      <c r="N14" s="37">
        <f>IFERROR(VLOOKUP($E14,bug_conf_sheet!$A:$H,4,FALSE),VLOOKUP("other",bug_conf_sheet!$A:$H,4,FALSE))</f>
        <v>0</v>
      </c>
      <c r="O14" s="37">
        <f>IFERROR(VLOOKUP($E14,bug_conf_sheet!$A:$H,5,FALSE),VLOOKUP("other",bug_conf_sheet!$A:$H,5,FALSE))</f>
        <v>0</v>
      </c>
      <c r="P14" s="37">
        <f>IFERROR(VLOOKUP($E14,bug_conf_sheet!$A:$H,6,FALSE),VLOOKUP("other",bug_conf_sheet!$A:$H,6,FALSE))</f>
        <v>0</v>
      </c>
      <c r="Q14" s="37">
        <f>IFERROR(VLOOKUP($E14,bug_conf_sheet!$A:$H,7,FALSE),VLOOKUP("other",bug_conf_sheet!$A:$H,7,FALSE))</f>
        <v>0</v>
      </c>
      <c r="R14" s="37">
        <f>IFERROR(VLOOKUP($E14,bug_conf_sheet!$A:$H,8,FALSE),VLOOKUP("other",bug_conf_sheet!$A:$H,8,FALSE))</f>
        <v>1</v>
      </c>
    </row>
    <row r="15" spans="1:18" ht="21" customHeight="1">
      <c r="B15" s="2">
        <v>1903</v>
      </c>
      <c r="C15" s="8" t="str">
        <f t="shared" si="0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5">
        <f t="shared" si="1"/>
        <v>1920</v>
      </c>
      <c r="M15" s="37">
        <f>IFERROR(VLOOKUP($E15,bug_conf_sheet!$A:$H,3,FALSE),VLOOKUP("other",bug_conf_sheet!$A:$H,3,FALSE))</f>
        <v>1</v>
      </c>
      <c r="N15" s="37">
        <f>IFERROR(VLOOKUP($E15,bug_conf_sheet!$A:$H,4,FALSE),VLOOKUP("other",bug_conf_sheet!$A:$H,4,FALSE))</f>
        <v>0</v>
      </c>
      <c r="O15" s="37">
        <f>IFERROR(VLOOKUP($E15,bug_conf_sheet!$A:$H,5,FALSE),VLOOKUP("other",bug_conf_sheet!$A:$H,5,FALSE))</f>
        <v>0</v>
      </c>
      <c r="P15" s="37">
        <f>IFERROR(VLOOKUP($E15,bug_conf_sheet!$A:$H,6,FALSE),VLOOKUP("other",bug_conf_sheet!$A:$H,6,FALSE))</f>
        <v>0</v>
      </c>
      <c r="Q15" s="37">
        <f>IFERROR(VLOOKUP($E15,bug_conf_sheet!$A:$H,7,FALSE),VLOOKUP("other",bug_conf_sheet!$A:$H,7,FALSE))</f>
        <v>0</v>
      </c>
      <c r="R15" s="37">
        <f>IFERROR(VLOOKUP($E15,bug_conf_sheet!$A:$H,8,FALSE),VLOOKUP("other",bug_conf_sheet!$A:$H,8,FALSE))</f>
        <v>1</v>
      </c>
    </row>
    <row r="16" spans="1:18" ht="21" customHeight="1">
      <c r="B16" s="2">
        <v>1903</v>
      </c>
      <c r="C16" s="8" t="str">
        <f t="shared" si="0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5">
        <f t="shared" si="1"/>
        <v>1920</v>
      </c>
      <c r="M16" s="37">
        <f>IFERROR(VLOOKUP($E16,bug_conf_sheet!$A:$H,3,FALSE),VLOOKUP("other",bug_conf_sheet!$A:$H,3,FALSE))</f>
        <v>1</v>
      </c>
      <c r="N16" s="37">
        <f>IFERROR(VLOOKUP($E16,bug_conf_sheet!$A:$H,4,FALSE),VLOOKUP("other",bug_conf_sheet!$A:$H,4,FALSE))</f>
        <v>0</v>
      </c>
      <c r="O16" s="37">
        <f>IFERROR(VLOOKUP($E16,bug_conf_sheet!$A:$H,5,FALSE),VLOOKUP("other",bug_conf_sheet!$A:$H,5,FALSE))</f>
        <v>0</v>
      </c>
      <c r="P16" s="37">
        <f>IFERROR(VLOOKUP($E16,bug_conf_sheet!$A:$H,6,FALSE),VLOOKUP("other",bug_conf_sheet!$A:$H,6,FALSE))</f>
        <v>0</v>
      </c>
      <c r="Q16" s="37">
        <f>IFERROR(VLOOKUP($E16,bug_conf_sheet!$A:$H,7,FALSE),VLOOKUP("other",bug_conf_sheet!$A:$H,7,FALSE))</f>
        <v>0</v>
      </c>
      <c r="R16" s="37">
        <f>IFERROR(VLOOKUP($E16,bug_conf_sheet!$A:$H,8,FALSE),VLOOKUP("other",bug_conf_sheet!$A:$H,8,FALSE))</f>
        <v>1</v>
      </c>
    </row>
    <row r="17" spans="2:18" ht="21" customHeight="1">
      <c r="B17" s="2">
        <v>1903</v>
      </c>
      <c r="C17" s="8" t="str">
        <f t="shared" si="0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5">
        <f t="shared" si="1"/>
        <v>1920</v>
      </c>
      <c r="M17" s="37">
        <f>IFERROR(VLOOKUP($E17,bug_conf_sheet!$A:$H,3,FALSE),VLOOKUP("other",bug_conf_sheet!$A:$H,3,FALSE))</f>
        <v>1</v>
      </c>
      <c r="N17" s="37">
        <f>IFERROR(VLOOKUP($E17,bug_conf_sheet!$A:$H,4,FALSE),VLOOKUP("other",bug_conf_sheet!$A:$H,4,FALSE))</f>
        <v>0</v>
      </c>
      <c r="O17" s="37">
        <f>IFERROR(VLOOKUP($E17,bug_conf_sheet!$A:$H,5,FALSE),VLOOKUP("other",bug_conf_sheet!$A:$H,5,FALSE))</f>
        <v>0</v>
      </c>
      <c r="P17" s="37">
        <f>IFERROR(VLOOKUP($E17,bug_conf_sheet!$A:$H,6,FALSE),VLOOKUP("other",bug_conf_sheet!$A:$H,6,FALSE))</f>
        <v>0</v>
      </c>
      <c r="Q17" s="37">
        <f>IFERROR(VLOOKUP($E17,bug_conf_sheet!$A:$H,7,FALSE),VLOOKUP("other",bug_conf_sheet!$A:$H,7,FALSE))</f>
        <v>0</v>
      </c>
      <c r="R17" s="37">
        <f>IFERROR(VLOOKUP($E17,bug_conf_sheet!$A:$H,8,FALSE),VLOOKUP("other",bug_conf_sheet!$A:$H,8,FALSE))</f>
        <v>1</v>
      </c>
    </row>
    <row r="18" spans="2:18" ht="21" customHeight="1">
      <c r="B18" s="2">
        <v>1903</v>
      </c>
      <c r="C18" s="8" t="str">
        <f t="shared" si="0"/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5">
        <f t="shared" si="1"/>
        <v>1920</v>
      </c>
      <c r="M18" s="37">
        <f>IFERROR(VLOOKUP($E18,bug_conf_sheet!$A:$H,3,FALSE),VLOOKUP("other",bug_conf_sheet!$A:$H,3,FALSE))</f>
        <v>1</v>
      </c>
      <c r="N18" s="37">
        <f>IFERROR(VLOOKUP($E18,bug_conf_sheet!$A:$H,4,FALSE),VLOOKUP("other",bug_conf_sheet!$A:$H,4,FALSE))</f>
        <v>0</v>
      </c>
      <c r="O18" s="37">
        <f>IFERROR(VLOOKUP($E18,bug_conf_sheet!$A:$H,5,FALSE),VLOOKUP("other",bug_conf_sheet!$A:$H,5,FALSE))</f>
        <v>0</v>
      </c>
      <c r="P18" s="37">
        <f>IFERROR(VLOOKUP($E18,bug_conf_sheet!$A:$H,6,FALSE),VLOOKUP("other",bug_conf_sheet!$A:$H,6,FALSE))</f>
        <v>0</v>
      </c>
      <c r="Q18" s="37">
        <f>IFERROR(VLOOKUP($E18,bug_conf_sheet!$A:$H,7,FALSE),VLOOKUP("other",bug_conf_sheet!$A:$H,7,FALSE))</f>
        <v>0</v>
      </c>
      <c r="R18" s="37">
        <f>IFERROR(VLOOKUP($E18,bug_conf_sheet!$A:$H,8,FALSE),VLOOKUP("other",bug_conf_sheet!$A:$H,8,FALSE))</f>
        <v>1</v>
      </c>
    </row>
    <row r="19" spans="2:18" ht="21" customHeight="1">
      <c r="B19" s="2">
        <v>1903</v>
      </c>
      <c r="C19" s="8" t="str">
        <f t="shared" si="0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5">
        <f t="shared" si="1"/>
        <v>1920</v>
      </c>
      <c r="M19" s="37">
        <f>IFERROR(VLOOKUP($E19,bug_conf_sheet!$A:$H,3,FALSE),VLOOKUP("other",bug_conf_sheet!$A:$H,3,FALSE))</f>
        <v>1</v>
      </c>
      <c r="N19" s="37">
        <f>IFERROR(VLOOKUP($E19,bug_conf_sheet!$A:$H,4,FALSE),VLOOKUP("other",bug_conf_sheet!$A:$H,4,FALSE))</f>
        <v>0</v>
      </c>
      <c r="O19" s="37">
        <f>IFERROR(VLOOKUP($E19,bug_conf_sheet!$A:$H,5,FALSE),VLOOKUP("other",bug_conf_sheet!$A:$H,5,FALSE))</f>
        <v>0</v>
      </c>
      <c r="P19" s="37">
        <f>IFERROR(VLOOKUP($E19,bug_conf_sheet!$A:$H,6,FALSE),VLOOKUP("other",bug_conf_sheet!$A:$H,6,FALSE))</f>
        <v>0</v>
      </c>
      <c r="Q19" s="37">
        <f>IFERROR(VLOOKUP($E19,bug_conf_sheet!$A:$H,7,FALSE),VLOOKUP("other",bug_conf_sheet!$A:$H,7,FALSE))</f>
        <v>0</v>
      </c>
      <c r="R19" s="37">
        <f>IFERROR(VLOOKUP($E19,bug_conf_sheet!$A:$H,8,FALSE),VLOOKUP("other",bug_conf_sheet!$A:$H,8,FALSE))</f>
        <v>1</v>
      </c>
    </row>
    <row r="20" spans="2:18" ht="21" customHeight="1">
      <c r="B20" s="2">
        <v>1903</v>
      </c>
      <c r="C20" s="8" t="str">
        <f t="shared" si="0"/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5">
        <f t="shared" si="1"/>
        <v>1920</v>
      </c>
      <c r="M20" s="37">
        <f>IFERROR(VLOOKUP($E20,bug_conf_sheet!$A:$H,3,FALSE),VLOOKUP("other",bug_conf_sheet!$A:$H,3,FALSE))</f>
        <v>1</v>
      </c>
      <c r="N20" s="37">
        <f>IFERROR(VLOOKUP($E20,bug_conf_sheet!$A:$H,4,FALSE),VLOOKUP("other",bug_conf_sheet!$A:$H,4,FALSE))</f>
        <v>0</v>
      </c>
      <c r="O20" s="37">
        <f>IFERROR(VLOOKUP($E20,bug_conf_sheet!$A:$H,5,FALSE),VLOOKUP("other",bug_conf_sheet!$A:$H,5,FALSE))</f>
        <v>0</v>
      </c>
      <c r="P20" s="37">
        <f>IFERROR(VLOOKUP($E20,bug_conf_sheet!$A:$H,6,FALSE),VLOOKUP("other",bug_conf_sheet!$A:$H,6,FALSE))</f>
        <v>0</v>
      </c>
      <c r="Q20" s="37">
        <f>IFERROR(VLOOKUP($E20,bug_conf_sheet!$A:$H,7,FALSE),VLOOKUP("other",bug_conf_sheet!$A:$H,7,FALSE))</f>
        <v>0</v>
      </c>
      <c r="R20" s="37">
        <f>IFERROR(VLOOKUP($E20,bug_conf_sheet!$A:$H,8,FALSE),VLOOKUP("other",bug_conf_sheet!$A:$H,8,FALSE))</f>
        <v>1</v>
      </c>
    </row>
    <row r="21" spans="2:18" ht="21" customHeight="1">
      <c r="B21" s="2">
        <v>1903</v>
      </c>
      <c r="C21" s="8" t="str">
        <f t="shared" si="0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5">
        <f t="shared" si="1"/>
        <v>1920</v>
      </c>
      <c r="M21" s="37">
        <f>IFERROR(VLOOKUP($E21,bug_conf_sheet!$A:$H,3,FALSE),VLOOKUP("other",bug_conf_sheet!$A:$H,3,FALSE))</f>
        <v>1</v>
      </c>
      <c r="N21" s="37">
        <f>IFERROR(VLOOKUP($E21,bug_conf_sheet!$A:$H,4,FALSE),VLOOKUP("other",bug_conf_sheet!$A:$H,4,FALSE))</f>
        <v>0</v>
      </c>
      <c r="O21" s="37">
        <f>IFERROR(VLOOKUP($E21,bug_conf_sheet!$A:$H,5,FALSE),VLOOKUP("other",bug_conf_sheet!$A:$H,5,FALSE))</f>
        <v>0</v>
      </c>
      <c r="P21" s="37">
        <f>IFERROR(VLOOKUP($E21,bug_conf_sheet!$A:$H,6,FALSE),VLOOKUP("other",bug_conf_sheet!$A:$H,6,FALSE))</f>
        <v>0</v>
      </c>
      <c r="Q21" s="37">
        <f>IFERROR(VLOOKUP($E21,bug_conf_sheet!$A:$H,7,FALSE),VLOOKUP("other",bug_conf_sheet!$A:$H,7,FALSE))</f>
        <v>0</v>
      </c>
      <c r="R21" s="37">
        <f>IFERROR(VLOOKUP($E21,bug_conf_sheet!$A:$H,8,FALSE),VLOOKUP("other",bug_conf_sheet!$A:$H,8,FALSE))</f>
        <v>1</v>
      </c>
    </row>
    <row r="22" spans="2:18" ht="21" customHeight="1">
      <c r="B22" s="2">
        <v>1903</v>
      </c>
      <c r="C22" s="8" t="str">
        <f t="shared" si="0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5">
        <f t="shared" si="1"/>
        <v>1920</v>
      </c>
      <c r="M22" s="37">
        <f>IFERROR(VLOOKUP($E22,bug_conf_sheet!$A:$H,3,FALSE),VLOOKUP("other",bug_conf_sheet!$A:$H,3,FALSE))</f>
        <v>1</v>
      </c>
      <c r="N22" s="37">
        <f>IFERROR(VLOOKUP($E22,bug_conf_sheet!$A:$H,4,FALSE),VLOOKUP("other",bug_conf_sheet!$A:$H,4,FALSE))</f>
        <v>0</v>
      </c>
      <c r="O22" s="37">
        <f>IFERROR(VLOOKUP($E22,bug_conf_sheet!$A:$H,5,FALSE),VLOOKUP("other",bug_conf_sheet!$A:$H,5,FALSE))</f>
        <v>0</v>
      </c>
      <c r="P22" s="37">
        <f>IFERROR(VLOOKUP($E22,bug_conf_sheet!$A:$H,6,FALSE),VLOOKUP("other",bug_conf_sheet!$A:$H,6,FALSE))</f>
        <v>0</v>
      </c>
      <c r="Q22" s="37">
        <f>IFERROR(VLOOKUP($E22,bug_conf_sheet!$A:$H,7,FALSE),VLOOKUP("other",bug_conf_sheet!$A:$H,7,FALSE))</f>
        <v>0</v>
      </c>
      <c r="R22" s="37">
        <f>IFERROR(VLOOKUP($E22,bug_conf_sheet!$A:$H,8,FALSE),VLOOKUP("other",bug_conf_sheet!$A:$H,8,FALSE))</f>
        <v>1</v>
      </c>
    </row>
    <row r="23" spans="2:18" ht="21" customHeight="1">
      <c r="B23" s="2">
        <v>1903</v>
      </c>
      <c r="C23" s="8" t="str">
        <f t="shared" si="0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5">
        <f t="shared" si="1"/>
        <v>1920</v>
      </c>
      <c r="M23" s="37">
        <f>IFERROR(VLOOKUP($E23,bug_conf_sheet!$A:$H,3,FALSE),VLOOKUP("other",bug_conf_sheet!$A:$H,3,FALSE))</f>
        <v>1</v>
      </c>
      <c r="N23" s="37">
        <f>IFERROR(VLOOKUP($E23,bug_conf_sheet!$A:$H,4,FALSE),VLOOKUP("other",bug_conf_sheet!$A:$H,4,FALSE))</f>
        <v>0</v>
      </c>
      <c r="O23" s="37">
        <f>IFERROR(VLOOKUP($E23,bug_conf_sheet!$A:$H,5,FALSE),VLOOKUP("other",bug_conf_sheet!$A:$H,5,FALSE))</f>
        <v>0</v>
      </c>
      <c r="P23" s="37">
        <f>IFERROR(VLOOKUP($E23,bug_conf_sheet!$A:$H,6,FALSE),VLOOKUP("other",bug_conf_sheet!$A:$H,6,FALSE))</f>
        <v>0</v>
      </c>
      <c r="Q23" s="37">
        <f>IFERROR(VLOOKUP($E23,bug_conf_sheet!$A:$H,7,FALSE),VLOOKUP("other",bug_conf_sheet!$A:$H,7,FALSE))</f>
        <v>0</v>
      </c>
      <c r="R23" s="37">
        <f>IFERROR(VLOOKUP($E23,bug_conf_sheet!$A:$H,8,FALSE),VLOOKUP("other",bug_conf_sheet!$A:$H,8,FALSE))</f>
        <v>1</v>
      </c>
    </row>
    <row r="24" spans="2:18" ht="21" customHeight="1">
      <c r="B24" s="2">
        <v>1903</v>
      </c>
      <c r="C24" s="8" t="str">
        <f t="shared" si="0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5">
        <f t="shared" si="1"/>
        <v>1920</v>
      </c>
      <c r="M24" s="37">
        <f>IFERROR(VLOOKUP($E24,bug_conf_sheet!$A:$H,3,FALSE),VLOOKUP("other",bug_conf_sheet!$A:$H,3,FALSE))</f>
        <v>1</v>
      </c>
      <c r="N24" s="37">
        <f>IFERROR(VLOOKUP($E24,bug_conf_sheet!$A:$H,4,FALSE),VLOOKUP("other",bug_conf_sheet!$A:$H,4,FALSE))</f>
        <v>0</v>
      </c>
      <c r="O24" s="37">
        <f>IFERROR(VLOOKUP($E24,bug_conf_sheet!$A:$H,5,FALSE),VLOOKUP("other",bug_conf_sheet!$A:$H,5,FALSE))</f>
        <v>0</v>
      </c>
      <c r="P24" s="37">
        <f>IFERROR(VLOOKUP($E24,bug_conf_sheet!$A:$H,6,FALSE),VLOOKUP("other",bug_conf_sheet!$A:$H,6,FALSE))</f>
        <v>0</v>
      </c>
      <c r="Q24" s="37">
        <f>IFERROR(VLOOKUP($E24,bug_conf_sheet!$A:$H,7,FALSE),VLOOKUP("other",bug_conf_sheet!$A:$H,7,FALSE))</f>
        <v>0</v>
      </c>
      <c r="R24" s="37">
        <f>IFERROR(VLOOKUP($E24,bug_conf_sheet!$A:$H,8,FALSE),VLOOKUP("other",bug_conf_sheet!$A:$H,8,FALSE))</f>
        <v>1</v>
      </c>
    </row>
    <row r="25" spans="2:18" ht="21" customHeight="1">
      <c r="B25" s="2">
        <v>1903</v>
      </c>
      <c r="C25" s="8" t="str">
        <f t="shared" si="0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5">
        <f t="shared" si="1"/>
        <v>1920</v>
      </c>
      <c r="M25" s="37">
        <f>IFERROR(VLOOKUP($E25,bug_conf_sheet!$A:$H,3,FALSE),VLOOKUP("other",bug_conf_sheet!$A:$H,3,FALSE))</f>
        <v>1</v>
      </c>
      <c r="N25" s="37">
        <f>IFERROR(VLOOKUP($E25,bug_conf_sheet!$A:$H,4,FALSE),VLOOKUP("other",bug_conf_sheet!$A:$H,4,FALSE))</f>
        <v>0</v>
      </c>
      <c r="O25" s="37">
        <f>IFERROR(VLOOKUP($E25,bug_conf_sheet!$A:$H,5,FALSE),VLOOKUP("other",bug_conf_sheet!$A:$H,5,FALSE))</f>
        <v>0</v>
      </c>
      <c r="P25" s="37">
        <f>IFERROR(VLOOKUP($E25,bug_conf_sheet!$A:$H,6,FALSE),VLOOKUP("other",bug_conf_sheet!$A:$H,6,FALSE))</f>
        <v>0</v>
      </c>
      <c r="Q25" s="37">
        <f>IFERROR(VLOOKUP($E25,bug_conf_sheet!$A:$H,7,FALSE),VLOOKUP("other",bug_conf_sheet!$A:$H,7,FALSE))</f>
        <v>0</v>
      </c>
      <c r="R25" s="37">
        <f>IFERROR(VLOOKUP($E25,bug_conf_sheet!$A:$H,8,FALSE),VLOOKUP("other",bug_conf_sheet!$A:$H,8,FALSE))</f>
        <v>1</v>
      </c>
    </row>
    <row r="26" spans="2:18" ht="21" customHeight="1">
      <c r="B26" s="2">
        <v>1903</v>
      </c>
      <c r="C26" s="8" t="str">
        <f t="shared" si="0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5">
        <f t="shared" si="1"/>
        <v>1920</v>
      </c>
      <c r="M26" s="37">
        <f>IFERROR(VLOOKUP($E26,bug_conf_sheet!$A:$H,3,FALSE),VLOOKUP("other",bug_conf_sheet!$A:$H,3,FALSE))</f>
        <v>1</v>
      </c>
      <c r="N26" s="37">
        <f>IFERROR(VLOOKUP($E26,bug_conf_sheet!$A:$H,4,FALSE),VLOOKUP("other",bug_conf_sheet!$A:$H,4,FALSE))</f>
        <v>0</v>
      </c>
      <c r="O26" s="37">
        <f>IFERROR(VLOOKUP($E26,bug_conf_sheet!$A:$H,5,FALSE),VLOOKUP("other",bug_conf_sheet!$A:$H,5,FALSE))</f>
        <v>0</v>
      </c>
      <c r="P26" s="37">
        <f>IFERROR(VLOOKUP($E26,bug_conf_sheet!$A:$H,6,FALSE),VLOOKUP("other",bug_conf_sheet!$A:$H,6,FALSE))</f>
        <v>0</v>
      </c>
      <c r="Q26" s="37">
        <f>IFERROR(VLOOKUP($E26,bug_conf_sheet!$A:$H,7,FALSE),VLOOKUP("other",bug_conf_sheet!$A:$H,7,FALSE))</f>
        <v>0</v>
      </c>
      <c r="R26" s="37">
        <f>IFERROR(VLOOKUP($E26,bug_conf_sheet!$A:$H,8,FALSE),VLOOKUP("other",bug_conf_sheet!$A:$H,8,FALSE))</f>
        <v>1</v>
      </c>
    </row>
    <row r="27" spans="2:18" ht="21" customHeight="1">
      <c r="B27" s="2">
        <v>1903</v>
      </c>
      <c r="C27" s="8" t="str">
        <f t="shared" si="0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5">
        <f t="shared" si="1"/>
        <v>1920</v>
      </c>
      <c r="M27" s="37">
        <f>IFERROR(VLOOKUP($E27,bug_conf_sheet!$A:$H,3,FALSE),VLOOKUP("other",bug_conf_sheet!$A:$H,3,FALSE))</f>
        <v>1</v>
      </c>
      <c r="N27" s="37">
        <f>IFERROR(VLOOKUP($E27,bug_conf_sheet!$A:$H,4,FALSE),VLOOKUP("other",bug_conf_sheet!$A:$H,4,FALSE))</f>
        <v>0</v>
      </c>
      <c r="O27" s="37">
        <f>IFERROR(VLOOKUP($E27,bug_conf_sheet!$A:$H,5,FALSE),VLOOKUP("other",bug_conf_sheet!$A:$H,5,FALSE))</f>
        <v>0</v>
      </c>
      <c r="P27" s="37">
        <f>IFERROR(VLOOKUP($E27,bug_conf_sheet!$A:$H,6,FALSE),VLOOKUP("other",bug_conf_sheet!$A:$H,6,FALSE))</f>
        <v>0</v>
      </c>
      <c r="Q27" s="37">
        <f>IFERROR(VLOOKUP($E27,bug_conf_sheet!$A:$H,7,FALSE),VLOOKUP("other",bug_conf_sheet!$A:$H,7,FALSE))</f>
        <v>0</v>
      </c>
      <c r="R27" s="37">
        <f>IFERROR(VLOOKUP($E27,bug_conf_sheet!$A:$H,8,FALSE),VLOOKUP("other",bug_conf_sheet!$A:$H,8,FALSE))</f>
        <v>1</v>
      </c>
    </row>
    <row r="28" spans="2:18" ht="21" customHeight="1">
      <c r="B28" s="2">
        <v>1903</v>
      </c>
      <c r="C28" s="8" t="str">
        <f t="shared" si="0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5">
        <f t="shared" si="1"/>
        <v>1920</v>
      </c>
      <c r="M28" s="37">
        <f>IFERROR(VLOOKUP($E28,bug_conf_sheet!$A:$H,3,FALSE),VLOOKUP("other",bug_conf_sheet!$A:$H,3,FALSE))</f>
        <v>1</v>
      </c>
      <c r="N28" s="37">
        <f>IFERROR(VLOOKUP($E28,bug_conf_sheet!$A:$H,4,FALSE),VLOOKUP("other",bug_conf_sheet!$A:$H,4,FALSE))</f>
        <v>0</v>
      </c>
      <c r="O28" s="37">
        <f>IFERROR(VLOOKUP($E28,bug_conf_sheet!$A:$H,5,FALSE),VLOOKUP("other",bug_conf_sheet!$A:$H,5,FALSE))</f>
        <v>0</v>
      </c>
      <c r="P28" s="37">
        <f>IFERROR(VLOOKUP($E28,bug_conf_sheet!$A:$H,6,FALSE),VLOOKUP("other",bug_conf_sheet!$A:$H,6,FALSE))</f>
        <v>0</v>
      </c>
      <c r="Q28" s="37">
        <f>IFERROR(VLOOKUP($E28,bug_conf_sheet!$A:$H,7,FALSE),VLOOKUP("other",bug_conf_sheet!$A:$H,7,FALSE))</f>
        <v>0</v>
      </c>
      <c r="R28" s="37">
        <f>IFERROR(VLOOKUP($E28,bug_conf_sheet!$A:$H,8,FALSE),VLOOKUP("other",bug_conf_sheet!$A:$H,8,FALSE))</f>
        <v>1</v>
      </c>
    </row>
    <row r="29" spans="2:18" ht="21" customHeight="1">
      <c r="B29" s="2">
        <v>1903</v>
      </c>
      <c r="C29" s="8" t="str">
        <f t="shared" si="0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5">
        <f t="shared" si="1"/>
        <v>1920</v>
      </c>
      <c r="M29" s="37">
        <f>IFERROR(VLOOKUP($E29,bug_conf_sheet!$A:$H,3,FALSE),VLOOKUP("other",bug_conf_sheet!$A:$H,3,FALSE))</f>
        <v>1</v>
      </c>
      <c r="N29" s="37">
        <f>IFERROR(VLOOKUP($E29,bug_conf_sheet!$A:$H,4,FALSE),VLOOKUP("other",bug_conf_sheet!$A:$H,4,FALSE))</f>
        <v>0</v>
      </c>
      <c r="O29" s="37">
        <f>IFERROR(VLOOKUP($E29,bug_conf_sheet!$A:$H,5,FALSE),VLOOKUP("other",bug_conf_sheet!$A:$H,5,FALSE))</f>
        <v>0</v>
      </c>
      <c r="P29" s="37">
        <f>IFERROR(VLOOKUP($E29,bug_conf_sheet!$A:$H,6,FALSE),VLOOKUP("other",bug_conf_sheet!$A:$H,6,FALSE))</f>
        <v>0</v>
      </c>
      <c r="Q29" s="37">
        <f>IFERROR(VLOOKUP($E29,bug_conf_sheet!$A:$H,7,FALSE),VLOOKUP("other",bug_conf_sheet!$A:$H,7,FALSE))</f>
        <v>0</v>
      </c>
      <c r="R29" s="37">
        <f>IFERROR(VLOOKUP($E29,bug_conf_sheet!$A:$H,8,FALSE),VLOOKUP("other",bug_conf_sheet!$A:$H,8,FALSE))</f>
        <v>1</v>
      </c>
    </row>
    <row r="30" spans="2:18" ht="21" customHeight="1">
      <c r="B30" s="2">
        <v>1903</v>
      </c>
      <c r="C30" s="8" t="str">
        <f t="shared" si="0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5">
        <f t="shared" si="1"/>
        <v>1920</v>
      </c>
      <c r="M30" s="37">
        <f>IFERROR(VLOOKUP($E30,bug_conf_sheet!$A:$H,3,FALSE),VLOOKUP("other",bug_conf_sheet!$A:$H,3,FALSE))</f>
        <v>1</v>
      </c>
      <c r="N30" s="37">
        <f>IFERROR(VLOOKUP($E30,bug_conf_sheet!$A:$H,4,FALSE),VLOOKUP("other",bug_conf_sheet!$A:$H,4,FALSE))</f>
        <v>0</v>
      </c>
      <c r="O30" s="37">
        <f>IFERROR(VLOOKUP($E30,bug_conf_sheet!$A:$H,5,FALSE),VLOOKUP("other",bug_conf_sheet!$A:$H,5,FALSE))</f>
        <v>0</v>
      </c>
      <c r="P30" s="37">
        <f>IFERROR(VLOOKUP($E30,bug_conf_sheet!$A:$H,6,FALSE),VLOOKUP("other",bug_conf_sheet!$A:$H,6,FALSE))</f>
        <v>0</v>
      </c>
      <c r="Q30" s="37">
        <f>IFERROR(VLOOKUP($E30,bug_conf_sheet!$A:$H,7,FALSE),VLOOKUP("other",bug_conf_sheet!$A:$H,7,FALSE))</f>
        <v>0</v>
      </c>
      <c r="R30" s="37">
        <f>IFERROR(VLOOKUP($E30,bug_conf_sheet!$A:$H,8,FALSE),VLOOKUP("other",bug_conf_sheet!$A:$H,8,FALSE))</f>
        <v>1</v>
      </c>
    </row>
    <row r="31" spans="2:18" ht="21" customHeight="1">
      <c r="B31" s="2">
        <v>1903</v>
      </c>
      <c r="C31" s="8" t="str">
        <f t="shared" si="0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5">
        <f t="shared" si="1"/>
        <v>1920</v>
      </c>
      <c r="M31" s="37">
        <f>IFERROR(VLOOKUP($E31,bug_conf_sheet!$A:$H,3,FALSE),VLOOKUP("other",bug_conf_sheet!$A:$H,3,FALSE))</f>
        <v>1</v>
      </c>
      <c r="N31" s="37">
        <f>IFERROR(VLOOKUP($E31,bug_conf_sheet!$A:$H,4,FALSE),VLOOKUP("other",bug_conf_sheet!$A:$H,4,FALSE))</f>
        <v>0</v>
      </c>
      <c r="O31" s="37">
        <f>IFERROR(VLOOKUP($E31,bug_conf_sheet!$A:$H,5,FALSE),VLOOKUP("other",bug_conf_sheet!$A:$H,5,FALSE))</f>
        <v>0</v>
      </c>
      <c r="P31" s="37">
        <f>IFERROR(VLOOKUP($E31,bug_conf_sheet!$A:$H,6,FALSE),VLOOKUP("other",bug_conf_sheet!$A:$H,6,FALSE))</f>
        <v>0</v>
      </c>
      <c r="Q31" s="37">
        <f>IFERROR(VLOOKUP($E31,bug_conf_sheet!$A:$H,7,FALSE),VLOOKUP("other",bug_conf_sheet!$A:$H,7,FALSE))</f>
        <v>0</v>
      </c>
      <c r="R31" s="37">
        <f>IFERROR(VLOOKUP($E31,bug_conf_sheet!$A:$H,8,FALSE),VLOOKUP("other",bug_conf_sheet!$A:$H,8,FALSE))</f>
        <v>1</v>
      </c>
    </row>
    <row r="32" spans="2:18" ht="21" customHeight="1">
      <c r="B32" s="2">
        <v>1903</v>
      </c>
      <c r="C32" s="8" t="str">
        <f t="shared" si="0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5">
        <f t="shared" si="1"/>
        <v>1920</v>
      </c>
      <c r="M32" s="37">
        <f>IFERROR(VLOOKUP($E32,bug_conf_sheet!$A:$H,3,FALSE),VLOOKUP("other",bug_conf_sheet!$A:$H,3,FALSE))</f>
        <v>1</v>
      </c>
      <c r="N32" s="37">
        <f>IFERROR(VLOOKUP($E32,bug_conf_sheet!$A:$H,4,FALSE),VLOOKUP("other",bug_conf_sheet!$A:$H,4,FALSE))</f>
        <v>0</v>
      </c>
      <c r="O32" s="37">
        <f>IFERROR(VLOOKUP($E32,bug_conf_sheet!$A:$H,5,FALSE),VLOOKUP("other",bug_conf_sheet!$A:$H,5,FALSE))</f>
        <v>0</v>
      </c>
      <c r="P32" s="37">
        <f>IFERROR(VLOOKUP($E32,bug_conf_sheet!$A:$H,6,FALSE),VLOOKUP("other",bug_conf_sheet!$A:$H,6,FALSE))</f>
        <v>0</v>
      </c>
      <c r="Q32" s="37">
        <f>IFERROR(VLOOKUP($E32,bug_conf_sheet!$A:$H,7,FALSE),VLOOKUP("other",bug_conf_sheet!$A:$H,7,FALSE))</f>
        <v>0</v>
      </c>
      <c r="R32" s="37">
        <f>IFERROR(VLOOKUP($E32,bug_conf_sheet!$A:$H,8,FALSE),VLOOKUP("other",bug_conf_sheet!$A:$H,8,FALSE))</f>
        <v>1</v>
      </c>
    </row>
    <row r="33" spans="2:18" ht="21" customHeight="1">
      <c r="B33" s="2">
        <v>1903</v>
      </c>
      <c r="C33" s="8" t="str">
        <f t="shared" si="0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5">
        <f t="shared" si="1"/>
        <v>1920</v>
      </c>
      <c r="M33" s="37">
        <f>IFERROR(VLOOKUP($E33,bug_conf_sheet!$A:$H,3,FALSE),VLOOKUP("other",bug_conf_sheet!$A:$H,3,FALSE))</f>
        <v>1</v>
      </c>
      <c r="N33" s="37">
        <f>IFERROR(VLOOKUP($E33,bug_conf_sheet!$A:$H,4,FALSE),VLOOKUP("other",bug_conf_sheet!$A:$H,4,FALSE))</f>
        <v>0</v>
      </c>
      <c r="O33" s="37">
        <f>IFERROR(VLOOKUP($E33,bug_conf_sheet!$A:$H,5,FALSE),VLOOKUP("other",bug_conf_sheet!$A:$H,5,FALSE))</f>
        <v>0</v>
      </c>
      <c r="P33" s="37">
        <f>IFERROR(VLOOKUP($E33,bug_conf_sheet!$A:$H,6,FALSE),VLOOKUP("other",bug_conf_sheet!$A:$H,6,FALSE))</f>
        <v>0</v>
      </c>
      <c r="Q33" s="37">
        <f>IFERROR(VLOOKUP($E33,bug_conf_sheet!$A:$H,7,FALSE),VLOOKUP("other",bug_conf_sheet!$A:$H,7,FALSE))</f>
        <v>0</v>
      </c>
      <c r="R33" s="37">
        <f>IFERROR(VLOOKUP($E33,bug_conf_sheet!$A:$H,8,FALSE),VLOOKUP("other",bug_conf_sheet!$A:$H,8,FALSE))</f>
        <v>1</v>
      </c>
    </row>
    <row r="34" spans="2:18" ht="21" hidden="1" customHeight="1">
      <c r="B34" s="2">
        <v>1903</v>
      </c>
      <c r="C34" s="8" t="str">
        <f t="shared" si="0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5">
        <f>ROUND(0.04/22*100000,0)</f>
        <v>182</v>
      </c>
      <c r="M34" s="37">
        <f>IFERROR(VLOOKUP($E34,bug_conf_sheet!$A:$H,3,FALSE),VLOOKUP("other",bug_conf_sheet!$A:$H,3,FALSE))</f>
        <v>1</v>
      </c>
      <c r="N34" s="37">
        <f>IFERROR(VLOOKUP($E34,bug_conf_sheet!$A:$H,4,FALSE),VLOOKUP("other",bug_conf_sheet!$A:$H,4,FALSE))</f>
        <v>0</v>
      </c>
      <c r="O34" s="37">
        <f>IFERROR(VLOOKUP($E34,bug_conf_sheet!$A:$H,5,FALSE),VLOOKUP("other",bug_conf_sheet!$A:$H,5,FALSE))</f>
        <v>0</v>
      </c>
      <c r="P34" s="37">
        <f>IFERROR(VLOOKUP($E34,bug_conf_sheet!$A:$H,6,FALSE),VLOOKUP("other",bug_conf_sheet!$A:$H,6,FALSE))</f>
        <v>0</v>
      </c>
      <c r="Q34" s="37">
        <f>IFERROR(VLOOKUP($E34,bug_conf_sheet!$A:$H,7,FALSE),VLOOKUP("other",bug_conf_sheet!$A:$H,7,FALSE))</f>
        <v>0</v>
      </c>
      <c r="R34" s="37">
        <f>IFERROR(VLOOKUP($E34,bug_conf_sheet!$A:$H,8,FALSE),VLOOKUP("other",bug_conf_sheet!$A:$H,8,FALSE))</f>
        <v>1</v>
      </c>
    </row>
    <row r="35" spans="2:18" ht="21" hidden="1" customHeight="1">
      <c r="B35" s="2">
        <v>1903</v>
      </c>
      <c r="C35" s="8" t="str">
        <f t="shared" si="0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5">
        <f t="shared" ref="L35:L37" si="2">ROUND(0.04/22*100000,0)</f>
        <v>182</v>
      </c>
      <c r="M35" s="37">
        <f>IFERROR(VLOOKUP($E35,bug_conf_sheet!$A:$H,3,FALSE),VLOOKUP("other",bug_conf_sheet!$A:$H,3,FALSE))</f>
        <v>1</v>
      </c>
      <c r="N35" s="37">
        <f>IFERROR(VLOOKUP($E35,bug_conf_sheet!$A:$H,4,FALSE),VLOOKUP("other",bug_conf_sheet!$A:$H,4,FALSE))</f>
        <v>0</v>
      </c>
      <c r="O35" s="37">
        <f>IFERROR(VLOOKUP($E35,bug_conf_sheet!$A:$H,5,FALSE),VLOOKUP("other",bug_conf_sheet!$A:$H,5,FALSE))</f>
        <v>0</v>
      </c>
      <c r="P35" s="37">
        <f>IFERROR(VLOOKUP($E35,bug_conf_sheet!$A:$H,6,FALSE),VLOOKUP("other",bug_conf_sheet!$A:$H,6,FALSE))</f>
        <v>0</v>
      </c>
      <c r="Q35" s="37">
        <f>IFERROR(VLOOKUP($E35,bug_conf_sheet!$A:$H,7,FALSE),VLOOKUP("other",bug_conf_sheet!$A:$H,7,FALSE))</f>
        <v>0</v>
      </c>
      <c r="R35" s="37">
        <f>IFERROR(VLOOKUP($E35,bug_conf_sheet!$A:$H,8,FALSE),VLOOKUP("other",bug_conf_sheet!$A:$H,8,FALSE))</f>
        <v>1</v>
      </c>
    </row>
    <row r="36" spans="2:18" ht="21" hidden="1" customHeight="1">
      <c r="B36" s="2">
        <v>1903</v>
      </c>
      <c r="C36" s="8" t="str">
        <f t="shared" si="0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5">
        <f t="shared" si="2"/>
        <v>182</v>
      </c>
      <c r="M36" s="37">
        <f>IFERROR(VLOOKUP($E36,bug_conf_sheet!$A:$H,3,FALSE),VLOOKUP("other",bug_conf_sheet!$A:$H,3,FALSE))</f>
        <v>1</v>
      </c>
      <c r="N36" s="37">
        <f>IFERROR(VLOOKUP($E36,bug_conf_sheet!$A:$H,4,FALSE),VLOOKUP("other",bug_conf_sheet!$A:$H,4,FALSE))</f>
        <v>0</v>
      </c>
      <c r="O36" s="37">
        <f>IFERROR(VLOOKUP($E36,bug_conf_sheet!$A:$H,5,FALSE),VLOOKUP("other",bug_conf_sheet!$A:$H,5,FALSE))</f>
        <v>0</v>
      </c>
      <c r="P36" s="37">
        <f>IFERROR(VLOOKUP($E36,bug_conf_sheet!$A:$H,6,FALSE),VLOOKUP("other",bug_conf_sheet!$A:$H,6,FALSE))</f>
        <v>0</v>
      </c>
      <c r="Q36" s="37">
        <f>IFERROR(VLOOKUP($E36,bug_conf_sheet!$A:$H,7,FALSE),VLOOKUP("other",bug_conf_sheet!$A:$H,7,FALSE))</f>
        <v>0</v>
      </c>
      <c r="R36" s="37">
        <f>IFERROR(VLOOKUP($E36,bug_conf_sheet!$A:$H,8,FALSE),VLOOKUP("other",bug_conf_sheet!$A:$H,8,FALSE))</f>
        <v>1</v>
      </c>
    </row>
    <row r="37" spans="2:18" ht="21" hidden="1" customHeight="1">
      <c r="B37" s="2">
        <v>1903</v>
      </c>
      <c r="C37" s="8" t="str">
        <f t="shared" si="0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5">
        <f t="shared" si="2"/>
        <v>182</v>
      </c>
      <c r="M37" s="37">
        <f>IFERROR(VLOOKUP($E37,bug_conf_sheet!$A:$H,3,FALSE),VLOOKUP("other",bug_conf_sheet!$A:$H,3,FALSE))</f>
        <v>1</v>
      </c>
      <c r="N37" s="37">
        <f>IFERROR(VLOOKUP($E37,bug_conf_sheet!$A:$H,4,FALSE),VLOOKUP("other",bug_conf_sheet!$A:$H,4,FALSE))</f>
        <v>0</v>
      </c>
      <c r="O37" s="37">
        <f>IFERROR(VLOOKUP($E37,bug_conf_sheet!$A:$H,5,FALSE),VLOOKUP("other",bug_conf_sheet!$A:$H,5,FALSE))</f>
        <v>0</v>
      </c>
      <c r="P37" s="37">
        <f>IFERROR(VLOOKUP($E37,bug_conf_sheet!$A:$H,6,FALSE),VLOOKUP("other",bug_conf_sheet!$A:$H,6,FALSE))</f>
        <v>0</v>
      </c>
      <c r="Q37" s="37">
        <f>IFERROR(VLOOKUP($E37,bug_conf_sheet!$A:$H,7,FALSE),VLOOKUP("other",bug_conf_sheet!$A:$H,7,FALSE))</f>
        <v>0</v>
      </c>
      <c r="R37" s="37">
        <f>IFERROR(VLOOKUP($E37,bug_conf_sheet!$A:$H,8,FALSE),VLOOKUP("other",bug_conf_sheet!$A:$H,8,FALSE))</f>
        <v>1</v>
      </c>
    </row>
    <row r="38" spans="2:18" ht="21" customHeight="1">
      <c r="B38" s="2">
        <v>1903</v>
      </c>
      <c r="C38" s="8" t="str">
        <f t="shared" si="0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5">
        <f>ROUND(0.96/50*100000,0)</f>
        <v>1920</v>
      </c>
      <c r="M38" s="37">
        <f>IFERROR(VLOOKUP($E38,bug_conf_sheet!$A:$H,3,FALSE),VLOOKUP("other",bug_conf_sheet!$A:$H,3,FALSE))</f>
        <v>1</v>
      </c>
      <c r="N38" s="37">
        <f>IFERROR(VLOOKUP($E38,bug_conf_sheet!$A:$H,4,FALSE),VLOOKUP("other",bug_conf_sheet!$A:$H,4,FALSE))</f>
        <v>0</v>
      </c>
      <c r="O38" s="37">
        <f>IFERROR(VLOOKUP($E38,bug_conf_sheet!$A:$H,5,FALSE),VLOOKUP("other",bug_conf_sheet!$A:$H,5,FALSE))</f>
        <v>0</v>
      </c>
      <c r="P38" s="37">
        <f>IFERROR(VLOOKUP($E38,bug_conf_sheet!$A:$H,6,FALSE),VLOOKUP("other",bug_conf_sheet!$A:$H,6,FALSE))</f>
        <v>0</v>
      </c>
      <c r="Q38" s="37">
        <f>IFERROR(VLOOKUP($E38,bug_conf_sheet!$A:$H,7,FALSE),VLOOKUP("other",bug_conf_sheet!$A:$H,7,FALSE))</f>
        <v>0</v>
      </c>
      <c r="R38" s="37">
        <f>IFERROR(VLOOKUP($E38,bug_conf_sheet!$A:$H,8,FALSE),VLOOKUP("other",bug_conf_sheet!$A:$H,8,FALSE))</f>
        <v>1</v>
      </c>
    </row>
    <row r="39" spans="2:18" ht="21" hidden="1" customHeight="1">
      <c r="B39" s="2">
        <v>1903</v>
      </c>
      <c r="C39" s="8" t="str">
        <f t="shared" si="0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5">
        <f t="shared" ref="L39:L40" si="3">ROUND(0.04/22*100000,0)</f>
        <v>182</v>
      </c>
      <c r="M39" s="37">
        <f>IFERROR(VLOOKUP($E39,bug_conf_sheet!$A:$H,3,FALSE),VLOOKUP("other",bug_conf_sheet!$A:$H,3,FALSE))</f>
        <v>1</v>
      </c>
      <c r="N39" s="37">
        <f>IFERROR(VLOOKUP($E39,bug_conf_sheet!$A:$H,4,FALSE),VLOOKUP("other",bug_conf_sheet!$A:$H,4,FALSE))</f>
        <v>0</v>
      </c>
      <c r="O39" s="37">
        <f>IFERROR(VLOOKUP($E39,bug_conf_sheet!$A:$H,5,FALSE),VLOOKUP("other",bug_conf_sheet!$A:$H,5,FALSE))</f>
        <v>0</v>
      </c>
      <c r="P39" s="37">
        <f>IFERROR(VLOOKUP($E39,bug_conf_sheet!$A:$H,6,FALSE),VLOOKUP("other",bug_conf_sheet!$A:$H,6,FALSE))</f>
        <v>0</v>
      </c>
      <c r="Q39" s="37">
        <f>IFERROR(VLOOKUP($E39,bug_conf_sheet!$A:$H,7,FALSE),VLOOKUP("other",bug_conf_sheet!$A:$H,7,FALSE))</f>
        <v>0</v>
      </c>
      <c r="R39" s="37">
        <f>IFERROR(VLOOKUP($E39,bug_conf_sheet!$A:$H,8,FALSE),VLOOKUP("other",bug_conf_sheet!$A:$H,8,FALSE))</f>
        <v>1</v>
      </c>
    </row>
    <row r="40" spans="2:18" ht="21" hidden="1" customHeight="1">
      <c r="B40" s="2">
        <v>1903</v>
      </c>
      <c r="C40" s="8" t="str">
        <f t="shared" si="0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5">
        <f t="shared" si="3"/>
        <v>182</v>
      </c>
      <c r="M40" s="37">
        <f>IFERROR(VLOOKUP($E40,bug_conf_sheet!$A:$H,3,FALSE),VLOOKUP("other",bug_conf_sheet!$A:$H,3,FALSE))</f>
        <v>1</v>
      </c>
      <c r="N40" s="37">
        <f>IFERROR(VLOOKUP($E40,bug_conf_sheet!$A:$H,4,FALSE),VLOOKUP("other",bug_conf_sheet!$A:$H,4,FALSE))</f>
        <v>0</v>
      </c>
      <c r="O40" s="37">
        <f>IFERROR(VLOOKUP($E40,bug_conf_sheet!$A:$H,5,FALSE),VLOOKUP("other",bug_conf_sheet!$A:$H,5,FALSE))</f>
        <v>0</v>
      </c>
      <c r="P40" s="37">
        <f>IFERROR(VLOOKUP($E40,bug_conf_sheet!$A:$H,6,FALSE),VLOOKUP("other",bug_conf_sheet!$A:$H,6,FALSE))</f>
        <v>0</v>
      </c>
      <c r="Q40" s="37">
        <f>IFERROR(VLOOKUP($E40,bug_conf_sheet!$A:$H,7,FALSE),VLOOKUP("other",bug_conf_sheet!$A:$H,7,FALSE))</f>
        <v>0</v>
      </c>
      <c r="R40" s="37">
        <f>IFERROR(VLOOKUP($E40,bug_conf_sheet!$A:$H,8,FALSE),VLOOKUP("other",bug_conf_sheet!$A:$H,8,FALSE))</f>
        <v>1</v>
      </c>
    </row>
    <row r="41" spans="2:18" ht="21" customHeight="1">
      <c r="B41" s="2">
        <v>1903</v>
      </c>
      <c r="C41" s="8" t="str">
        <f t="shared" si="0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5">
        <f>ROUND(0.96/50*100000,0)</f>
        <v>1920</v>
      </c>
      <c r="M41" s="37">
        <f>IFERROR(VLOOKUP($E41,bug_conf_sheet!$A:$H,3,FALSE),VLOOKUP("other",bug_conf_sheet!$A:$H,3,FALSE))</f>
        <v>1</v>
      </c>
      <c r="N41" s="37">
        <f>IFERROR(VLOOKUP($E41,bug_conf_sheet!$A:$H,4,FALSE),VLOOKUP("other",bug_conf_sheet!$A:$H,4,FALSE))</f>
        <v>0</v>
      </c>
      <c r="O41" s="37">
        <f>IFERROR(VLOOKUP($E41,bug_conf_sheet!$A:$H,5,FALSE),VLOOKUP("other",bug_conf_sheet!$A:$H,5,FALSE))</f>
        <v>0</v>
      </c>
      <c r="P41" s="37">
        <f>IFERROR(VLOOKUP($E41,bug_conf_sheet!$A:$H,6,FALSE),VLOOKUP("other",bug_conf_sheet!$A:$H,6,FALSE))</f>
        <v>0</v>
      </c>
      <c r="Q41" s="37">
        <f>IFERROR(VLOOKUP($E41,bug_conf_sheet!$A:$H,7,FALSE),VLOOKUP("other",bug_conf_sheet!$A:$H,7,FALSE))</f>
        <v>0</v>
      </c>
      <c r="R41" s="37">
        <f>IFERROR(VLOOKUP($E41,bug_conf_sheet!$A:$H,8,FALSE),VLOOKUP("other",bug_conf_sheet!$A:$H,8,FALSE))</f>
        <v>1</v>
      </c>
    </row>
    <row r="42" spans="2:18" ht="21" hidden="1" customHeight="1">
      <c r="B42" s="2">
        <v>1903</v>
      </c>
      <c r="C42" s="8" t="str">
        <f t="shared" si="0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5">
        <f>ROUND(0.04/22*100000,0)</f>
        <v>182</v>
      </c>
      <c r="M42" s="37">
        <f>IFERROR(VLOOKUP($E42,bug_conf_sheet!$A:$H,3,FALSE),VLOOKUP("other",bug_conf_sheet!$A:$H,3,FALSE))</f>
        <v>1</v>
      </c>
      <c r="N42" s="37">
        <f>IFERROR(VLOOKUP($E42,bug_conf_sheet!$A:$H,4,FALSE),VLOOKUP("other",bug_conf_sheet!$A:$H,4,FALSE))</f>
        <v>0</v>
      </c>
      <c r="O42" s="37">
        <f>IFERROR(VLOOKUP($E42,bug_conf_sheet!$A:$H,5,FALSE),VLOOKUP("other",bug_conf_sheet!$A:$H,5,FALSE))</f>
        <v>0</v>
      </c>
      <c r="P42" s="37">
        <f>IFERROR(VLOOKUP($E42,bug_conf_sheet!$A:$H,6,FALSE),VLOOKUP("other",bug_conf_sheet!$A:$H,6,FALSE))</f>
        <v>0</v>
      </c>
      <c r="Q42" s="37">
        <f>IFERROR(VLOOKUP($E42,bug_conf_sheet!$A:$H,7,FALSE),VLOOKUP("other",bug_conf_sheet!$A:$H,7,FALSE))</f>
        <v>0</v>
      </c>
      <c r="R42" s="37">
        <f>IFERROR(VLOOKUP($E42,bug_conf_sheet!$A:$H,8,FALSE),VLOOKUP("other",bug_conf_sheet!$A:$H,8,FALSE))</f>
        <v>1</v>
      </c>
    </row>
    <row r="43" spans="2:18" ht="21" customHeight="1">
      <c r="B43" s="2">
        <v>1903</v>
      </c>
      <c r="C43" s="8" t="str">
        <f t="shared" si="0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5">
        <f t="shared" ref="L43:L44" si="4">ROUND(0.96/50*100000,0)</f>
        <v>1920</v>
      </c>
      <c r="M43" s="37">
        <f>IFERROR(VLOOKUP($E43,bug_conf_sheet!$A:$H,3,FALSE),VLOOKUP("other",bug_conf_sheet!$A:$H,3,FALSE))</f>
        <v>1</v>
      </c>
      <c r="N43" s="37">
        <f>IFERROR(VLOOKUP($E43,bug_conf_sheet!$A:$H,4,FALSE),VLOOKUP("other",bug_conf_sheet!$A:$H,4,FALSE))</f>
        <v>0</v>
      </c>
      <c r="O43" s="37">
        <f>IFERROR(VLOOKUP($E43,bug_conf_sheet!$A:$H,5,FALSE),VLOOKUP("other",bug_conf_sheet!$A:$H,5,FALSE))</f>
        <v>0</v>
      </c>
      <c r="P43" s="37">
        <f>IFERROR(VLOOKUP($E43,bug_conf_sheet!$A:$H,6,FALSE),VLOOKUP("other",bug_conf_sheet!$A:$H,6,FALSE))</f>
        <v>0</v>
      </c>
      <c r="Q43" s="37">
        <f>IFERROR(VLOOKUP($E43,bug_conf_sheet!$A:$H,7,FALSE),VLOOKUP("other",bug_conf_sheet!$A:$H,7,FALSE))</f>
        <v>0</v>
      </c>
      <c r="R43" s="37">
        <f>IFERROR(VLOOKUP($E43,bug_conf_sheet!$A:$H,8,FALSE),VLOOKUP("other",bug_conf_sheet!$A:$H,8,FALSE))</f>
        <v>1</v>
      </c>
    </row>
    <row r="44" spans="2:18" ht="21" customHeight="1">
      <c r="B44" s="2">
        <v>1903</v>
      </c>
      <c r="C44" s="8" t="str">
        <f t="shared" si="0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5">
        <f t="shared" si="4"/>
        <v>1920</v>
      </c>
      <c r="M44" s="37">
        <f>IFERROR(VLOOKUP($E44,bug_conf_sheet!$A:$H,3,FALSE),VLOOKUP("other",bug_conf_sheet!$A:$H,3,FALSE))</f>
        <v>1</v>
      </c>
      <c r="N44" s="37">
        <f>IFERROR(VLOOKUP($E44,bug_conf_sheet!$A:$H,4,FALSE),VLOOKUP("other",bug_conf_sheet!$A:$H,4,FALSE))</f>
        <v>0</v>
      </c>
      <c r="O44" s="37">
        <f>IFERROR(VLOOKUP($E44,bug_conf_sheet!$A:$H,5,FALSE),VLOOKUP("other",bug_conf_sheet!$A:$H,5,FALSE))</f>
        <v>0</v>
      </c>
      <c r="P44" s="37">
        <f>IFERROR(VLOOKUP($E44,bug_conf_sheet!$A:$H,6,FALSE),VLOOKUP("other",bug_conf_sheet!$A:$H,6,FALSE))</f>
        <v>0</v>
      </c>
      <c r="Q44" s="37">
        <f>IFERROR(VLOOKUP($E44,bug_conf_sheet!$A:$H,7,FALSE),VLOOKUP("other",bug_conf_sheet!$A:$H,7,FALSE))</f>
        <v>0</v>
      </c>
      <c r="R44" s="37">
        <f>IFERROR(VLOOKUP($E44,bug_conf_sheet!$A:$H,8,FALSE),VLOOKUP("other",bug_conf_sheet!$A:$H,8,FALSE))</f>
        <v>1</v>
      </c>
    </row>
    <row r="45" spans="2:18" ht="21" hidden="1" customHeight="1">
      <c r="B45" s="2">
        <v>1903</v>
      </c>
      <c r="C45" s="8" t="str">
        <f t="shared" si="0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5">
        <f>ROUND(0.04/22*100000,0)</f>
        <v>182</v>
      </c>
      <c r="M45" s="37">
        <f>IFERROR(VLOOKUP($E45,bug_conf_sheet!$A:$H,3,FALSE),VLOOKUP("other",bug_conf_sheet!$A:$H,3,FALSE))</f>
        <v>1</v>
      </c>
      <c r="N45" s="37">
        <f>IFERROR(VLOOKUP($E45,bug_conf_sheet!$A:$H,4,FALSE),VLOOKUP("other",bug_conf_sheet!$A:$H,4,FALSE))</f>
        <v>0</v>
      </c>
      <c r="O45" s="37">
        <f>IFERROR(VLOOKUP($E45,bug_conf_sheet!$A:$H,5,FALSE),VLOOKUP("other",bug_conf_sheet!$A:$H,5,FALSE))</f>
        <v>0</v>
      </c>
      <c r="P45" s="37">
        <f>IFERROR(VLOOKUP($E45,bug_conf_sheet!$A:$H,6,FALSE),VLOOKUP("other",bug_conf_sheet!$A:$H,6,FALSE))</f>
        <v>0</v>
      </c>
      <c r="Q45" s="37">
        <f>IFERROR(VLOOKUP($E45,bug_conf_sheet!$A:$H,7,FALSE),VLOOKUP("other",bug_conf_sheet!$A:$H,7,FALSE))</f>
        <v>0</v>
      </c>
      <c r="R45" s="37">
        <f>IFERROR(VLOOKUP($E45,bug_conf_sheet!$A:$H,8,FALSE),VLOOKUP("other",bug_conf_sheet!$A:$H,8,FALSE))</f>
        <v>1</v>
      </c>
    </row>
    <row r="46" spans="2:18" ht="21" customHeight="1">
      <c r="B46" s="2">
        <v>1903</v>
      </c>
      <c r="C46" s="8" t="str">
        <f t="shared" si="0"/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5">
        <f>ROUND(0.96/50*100000,0)</f>
        <v>1920</v>
      </c>
      <c r="M46" s="37">
        <f>IFERROR(VLOOKUP($E46,bug_conf_sheet!$A:$H,3,FALSE),VLOOKUP("other",bug_conf_sheet!$A:$H,3,FALSE))</f>
        <v>1</v>
      </c>
      <c r="N46" s="37">
        <f>IFERROR(VLOOKUP($E46,bug_conf_sheet!$A:$H,4,FALSE),VLOOKUP("other",bug_conf_sheet!$A:$H,4,FALSE))</f>
        <v>0</v>
      </c>
      <c r="O46" s="37">
        <f>IFERROR(VLOOKUP($E46,bug_conf_sheet!$A:$H,5,FALSE),VLOOKUP("other",bug_conf_sheet!$A:$H,5,FALSE))</f>
        <v>0</v>
      </c>
      <c r="P46" s="37">
        <f>IFERROR(VLOOKUP($E46,bug_conf_sheet!$A:$H,6,FALSE),VLOOKUP("other",bug_conf_sheet!$A:$H,6,FALSE))</f>
        <v>0</v>
      </c>
      <c r="Q46" s="37">
        <f>IFERROR(VLOOKUP($E46,bug_conf_sheet!$A:$H,7,FALSE),VLOOKUP("other",bug_conf_sheet!$A:$H,7,FALSE))</f>
        <v>0</v>
      </c>
      <c r="R46" s="37">
        <f>IFERROR(VLOOKUP($E46,bug_conf_sheet!$A:$H,8,FALSE),VLOOKUP("other",bug_conf_sheet!$A:$H,8,FALSE))</f>
        <v>1</v>
      </c>
    </row>
    <row r="47" spans="2:18" ht="21" hidden="1" customHeight="1">
      <c r="B47" s="2">
        <v>1903</v>
      </c>
      <c r="C47" s="8" t="str">
        <f t="shared" si="0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5">
        <f>ROUND(0.04/22*100000,0)</f>
        <v>182</v>
      </c>
      <c r="M47" s="37">
        <f>IFERROR(VLOOKUP($E47,bug_conf_sheet!$A:$H,3,FALSE),VLOOKUP("other",bug_conf_sheet!$A:$H,3,FALSE))</f>
        <v>1</v>
      </c>
      <c r="N47" s="37">
        <f>IFERROR(VLOOKUP($E47,bug_conf_sheet!$A:$H,4,FALSE),VLOOKUP("other",bug_conf_sheet!$A:$H,4,FALSE))</f>
        <v>0</v>
      </c>
      <c r="O47" s="37">
        <f>IFERROR(VLOOKUP($E47,bug_conf_sheet!$A:$H,5,FALSE),VLOOKUP("other",bug_conf_sheet!$A:$H,5,FALSE))</f>
        <v>0</v>
      </c>
      <c r="P47" s="37">
        <f>IFERROR(VLOOKUP($E47,bug_conf_sheet!$A:$H,6,FALSE),VLOOKUP("other",bug_conf_sheet!$A:$H,6,FALSE))</f>
        <v>0</v>
      </c>
      <c r="Q47" s="37">
        <f>IFERROR(VLOOKUP($E47,bug_conf_sheet!$A:$H,7,FALSE),VLOOKUP("other",bug_conf_sheet!$A:$H,7,FALSE))</f>
        <v>0</v>
      </c>
      <c r="R47" s="37">
        <f>IFERROR(VLOOKUP($E47,bug_conf_sheet!$A:$H,8,FALSE),VLOOKUP("other",bug_conf_sheet!$A:$H,8,FALSE))</f>
        <v>1</v>
      </c>
    </row>
    <row r="48" spans="2:18" ht="21" customHeight="1">
      <c r="B48" s="2">
        <v>1903</v>
      </c>
      <c r="C48" s="8" t="str">
        <f t="shared" si="0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5">
        <f>ROUND(0.96/50*100000,0)</f>
        <v>1920</v>
      </c>
      <c r="M48" s="37">
        <f>IFERROR(VLOOKUP($E48,bug_conf_sheet!$A:$H,3,FALSE),VLOOKUP("other",bug_conf_sheet!$A:$H,3,FALSE))</f>
        <v>1</v>
      </c>
      <c r="N48" s="37">
        <f>IFERROR(VLOOKUP($E48,bug_conf_sheet!$A:$H,4,FALSE),VLOOKUP("other",bug_conf_sheet!$A:$H,4,FALSE))</f>
        <v>0</v>
      </c>
      <c r="O48" s="37">
        <f>IFERROR(VLOOKUP($E48,bug_conf_sheet!$A:$H,5,FALSE),VLOOKUP("other",bug_conf_sheet!$A:$H,5,FALSE))</f>
        <v>0</v>
      </c>
      <c r="P48" s="37">
        <f>IFERROR(VLOOKUP($E48,bug_conf_sheet!$A:$H,6,FALSE),VLOOKUP("other",bug_conf_sheet!$A:$H,6,FALSE))</f>
        <v>0</v>
      </c>
      <c r="Q48" s="37">
        <f>IFERROR(VLOOKUP($E48,bug_conf_sheet!$A:$H,7,FALSE),VLOOKUP("other",bug_conf_sheet!$A:$H,7,FALSE))</f>
        <v>0</v>
      </c>
      <c r="R48" s="37">
        <f>IFERROR(VLOOKUP($E48,bug_conf_sheet!$A:$H,8,FALSE),VLOOKUP("other",bug_conf_sheet!$A:$H,8,FALSE))</f>
        <v>1</v>
      </c>
    </row>
    <row r="49" spans="2:18" ht="21" hidden="1" customHeight="1">
      <c r="B49" s="2">
        <v>1903</v>
      </c>
      <c r="C49" s="8" t="str">
        <f t="shared" si="0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5">
        <f t="shared" ref="L49:L50" si="5">ROUND(0.04/22*100000,0)</f>
        <v>182</v>
      </c>
      <c r="M49" s="37">
        <f>IFERROR(VLOOKUP($E49,bug_conf_sheet!$A:$H,3,FALSE),VLOOKUP("other",bug_conf_sheet!$A:$H,3,FALSE))</f>
        <v>1</v>
      </c>
      <c r="N49" s="37">
        <f>IFERROR(VLOOKUP($E49,bug_conf_sheet!$A:$H,4,FALSE),VLOOKUP("other",bug_conf_sheet!$A:$H,4,FALSE))</f>
        <v>0</v>
      </c>
      <c r="O49" s="37">
        <f>IFERROR(VLOOKUP($E49,bug_conf_sheet!$A:$H,5,FALSE),VLOOKUP("other",bug_conf_sheet!$A:$H,5,FALSE))</f>
        <v>0</v>
      </c>
      <c r="P49" s="37">
        <f>IFERROR(VLOOKUP($E49,bug_conf_sheet!$A:$H,6,FALSE),VLOOKUP("other",bug_conf_sheet!$A:$H,6,FALSE))</f>
        <v>0</v>
      </c>
      <c r="Q49" s="37">
        <f>IFERROR(VLOOKUP($E49,bug_conf_sheet!$A:$H,7,FALSE),VLOOKUP("other",bug_conf_sheet!$A:$H,7,FALSE))</f>
        <v>0</v>
      </c>
      <c r="R49" s="37">
        <f>IFERROR(VLOOKUP($E49,bug_conf_sheet!$A:$H,8,FALSE),VLOOKUP("other",bug_conf_sheet!$A:$H,8,FALSE))</f>
        <v>1</v>
      </c>
    </row>
    <row r="50" spans="2:18" ht="21" hidden="1" customHeight="1">
      <c r="B50" s="2">
        <v>1903</v>
      </c>
      <c r="C50" s="8" t="str">
        <f t="shared" si="0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5">
        <f t="shared" si="5"/>
        <v>182</v>
      </c>
      <c r="M50" s="37">
        <f>IFERROR(VLOOKUP($E50,bug_conf_sheet!$A:$H,3,FALSE),VLOOKUP("other",bug_conf_sheet!$A:$H,3,FALSE))</f>
        <v>1</v>
      </c>
      <c r="N50" s="37">
        <f>IFERROR(VLOOKUP($E50,bug_conf_sheet!$A:$H,4,FALSE),VLOOKUP("other",bug_conf_sheet!$A:$H,4,FALSE))</f>
        <v>0</v>
      </c>
      <c r="O50" s="37">
        <f>IFERROR(VLOOKUP($E50,bug_conf_sheet!$A:$H,5,FALSE),VLOOKUP("other",bug_conf_sheet!$A:$H,5,FALSE))</f>
        <v>0</v>
      </c>
      <c r="P50" s="37">
        <f>IFERROR(VLOOKUP($E50,bug_conf_sheet!$A:$H,6,FALSE),VLOOKUP("other",bug_conf_sheet!$A:$H,6,FALSE))</f>
        <v>0</v>
      </c>
      <c r="Q50" s="37">
        <f>IFERROR(VLOOKUP($E50,bug_conf_sheet!$A:$H,7,FALSE),VLOOKUP("other",bug_conf_sheet!$A:$H,7,FALSE))</f>
        <v>0</v>
      </c>
      <c r="R50" s="37">
        <f>IFERROR(VLOOKUP($E50,bug_conf_sheet!$A:$H,8,FALSE),VLOOKUP("other",bug_conf_sheet!$A:$H,8,FALSE))</f>
        <v>1</v>
      </c>
    </row>
    <row r="51" spans="2:18" ht="21" customHeight="1">
      <c r="B51" s="2">
        <v>1903</v>
      </c>
      <c r="C51" s="8" t="str">
        <f t="shared" si="0"/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5">
        <f t="shared" ref="L51:L52" si="6">ROUND(0.96/50*100000,0)</f>
        <v>1920</v>
      </c>
      <c r="M51" s="37">
        <f>IFERROR(VLOOKUP($E51,bug_conf_sheet!$A:$H,3,FALSE),VLOOKUP("other",bug_conf_sheet!$A:$H,3,FALSE))</f>
        <v>1</v>
      </c>
      <c r="N51" s="37">
        <f>IFERROR(VLOOKUP($E51,bug_conf_sheet!$A:$H,4,FALSE),VLOOKUP("other",bug_conf_sheet!$A:$H,4,FALSE))</f>
        <v>0</v>
      </c>
      <c r="O51" s="37">
        <f>IFERROR(VLOOKUP($E51,bug_conf_sheet!$A:$H,5,FALSE),VLOOKUP("other",bug_conf_sheet!$A:$H,5,FALSE))</f>
        <v>0</v>
      </c>
      <c r="P51" s="37">
        <f>IFERROR(VLOOKUP($E51,bug_conf_sheet!$A:$H,6,FALSE),VLOOKUP("other",bug_conf_sheet!$A:$H,6,FALSE))</f>
        <v>0</v>
      </c>
      <c r="Q51" s="37">
        <f>IFERROR(VLOOKUP($E51,bug_conf_sheet!$A:$H,7,FALSE),VLOOKUP("other",bug_conf_sheet!$A:$H,7,FALSE))</f>
        <v>0</v>
      </c>
      <c r="R51" s="37">
        <f>IFERROR(VLOOKUP($E51,bug_conf_sheet!$A:$H,8,FALSE),VLOOKUP("other",bug_conf_sheet!$A:$H,8,FALSE))</f>
        <v>1</v>
      </c>
    </row>
    <row r="52" spans="2:18" ht="21" customHeight="1">
      <c r="B52" s="2">
        <v>1903</v>
      </c>
      <c r="C52" s="8" t="str">
        <f t="shared" si="0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5">
        <f t="shared" si="6"/>
        <v>1920</v>
      </c>
      <c r="M52" s="37">
        <f>IFERROR(VLOOKUP($E52,bug_conf_sheet!$A:$H,3,FALSE),VLOOKUP("other",bug_conf_sheet!$A:$H,3,FALSE))</f>
        <v>1</v>
      </c>
      <c r="N52" s="37">
        <f>IFERROR(VLOOKUP($E52,bug_conf_sheet!$A:$H,4,FALSE),VLOOKUP("other",bug_conf_sheet!$A:$H,4,FALSE))</f>
        <v>0</v>
      </c>
      <c r="O52" s="37">
        <f>IFERROR(VLOOKUP($E52,bug_conf_sheet!$A:$H,5,FALSE),VLOOKUP("other",bug_conf_sheet!$A:$H,5,FALSE))</f>
        <v>0</v>
      </c>
      <c r="P52" s="37">
        <f>IFERROR(VLOOKUP($E52,bug_conf_sheet!$A:$H,6,FALSE),VLOOKUP("other",bug_conf_sheet!$A:$H,6,FALSE))</f>
        <v>0</v>
      </c>
      <c r="Q52" s="37">
        <f>IFERROR(VLOOKUP($E52,bug_conf_sheet!$A:$H,7,FALSE),VLOOKUP("other",bug_conf_sheet!$A:$H,7,FALSE))</f>
        <v>0</v>
      </c>
      <c r="R52" s="37">
        <f>IFERROR(VLOOKUP($E52,bug_conf_sheet!$A:$H,8,FALSE),VLOOKUP("other",bug_conf_sheet!$A:$H,8,FALSE))</f>
        <v>1</v>
      </c>
    </row>
    <row r="53" spans="2:18" ht="21" hidden="1" customHeight="1">
      <c r="B53" s="2">
        <v>1903</v>
      </c>
      <c r="C53" s="8" t="str">
        <f t="shared" si="0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5">
        <f>ROUND(0.04/22*100000,0)</f>
        <v>182</v>
      </c>
      <c r="M53" s="37">
        <f>IFERROR(VLOOKUP($E53,bug_conf_sheet!$A:$H,3,FALSE),VLOOKUP("other",bug_conf_sheet!$A:$H,3,FALSE))</f>
        <v>1</v>
      </c>
      <c r="N53" s="37">
        <f>IFERROR(VLOOKUP($E53,bug_conf_sheet!$A:$H,4,FALSE),VLOOKUP("other",bug_conf_sheet!$A:$H,4,FALSE))</f>
        <v>0</v>
      </c>
      <c r="O53" s="37">
        <f>IFERROR(VLOOKUP($E53,bug_conf_sheet!$A:$H,5,FALSE),VLOOKUP("other",bug_conf_sheet!$A:$H,5,FALSE))</f>
        <v>0</v>
      </c>
      <c r="P53" s="37">
        <f>IFERROR(VLOOKUP($E53,bug_conf_sheet!$A:$H,6,FALSE),VLOOKUP("other",bug_conf_sheet!$A:$H,6,FALSE))</f>
        <v>0</v>
      </c>
      <c r="Q53" s="37">
        <f>IFERROR(VLOOKUP($E53,bug_conf_sheet!$A:$H,7,FALSE),VLOOKUP("other",bug_conf_sheet!$A:$H,7,FALSE))</f>
        <v>0</v>
      </c>
      <c r="R53" s="37">
        <f>IFERROR(VLOOKUP($E53,bug_conf_sheet!$A:$H,8,FALSE),VLOOKUP("other",bug_conf_sheet!$A:$H,8,FALSE))</f>
        <v>1</v>
      </c>
    </row>
    <row r="54" spans="2:18" ht="21" customHeight="1">
      <c r="B54" s="2">
        <v>1903</v>
      </c>
      <c r="C54" s="8" t="str">
        <f t="shared" si="0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5">
        <f>ROUND(0.96/50*100000,0)</f>
        <v>1920</v>
      </c>
      <c r="M54" s="37">
        <f>IFERROR(VLOOKUP($E54,bug_conf_sheet!$A:$H,3,FALSE),VLOOKUP("other",bug_conf_sheet!$A:$H,3,FALSE))</f>
        <v>1</v>
      </c>
      <c r="N54" s="37">
        <f>IFERROR(VLOOKUP($E54,bug_conf_sheet!$A:$H,4,FALSE),VLOOKUP("other",bug_conf_sheet!$A:$H,4,FALSE))</f>
        <v>0</v>
      </c>
      <c r="O54" s="37">
        <f>IFERROR(VLOOKUP($E54,bug_conf_sheet!$A:$H,5,FALSE),VLOOKUP("other",bug_conf_sheet!$A:$H,5,FALSE))</f>
        <v>0</v>
      </c>
      <c r="P54" s="37">
        <f>IFERROR(VLOOKUP($E54,bug_conf_sheet!$A:$H,6,FALSE),VLOOKUP("other",bug_conf_sheet!$A:$H,6,FALSE))</f>
        <v>0</v>
      </c>
      <c r="Q54" s="37">
        <f>IFERROR(VLOOKUP($E54,bug_conf_sheet!$A:$H,7,FALSE),VLOOKUP("other",bug_conf_sheet!$A:$H,7,FALSE))</f>
        <v>0</v>
      </c>
      <c r="R54" s="37">
        <f>IFERROR(VLOOKUP($E54,bug_conf_sheet!$A:$H,8,FALSE),VLOOKUP("other",bug_conf_sheet!$A:$H,8,FALSE))</f>
        <v>1</v>
      </c>
    </row>
    <row r="55" spans="2:18" ht="21" hidden="1" customHeight="1">
      <c r="B55" s="2">
        <v>1903</v>
      </c>
      <c r="C55" s="8" t="str">
        <f t="shared" si="0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5">
        <f t="shared" ref="L55:L56" si="7">ROUND(0.04/22*100000,0)</f>
        <v>182</v>
      </c>
      <c r="M55" s="37">
        <f>IFERROR(VLOOKUP($E55,bug_conf_sheet!$A:$H,3,FALSE),VLOOKUP("other",bug_conf_sheet!$A:$H,3,FALSE))</f>
        <v>1</v>
      </c>
      <c r="N55" s="37">
        <f>IFERROR(VLOOKUP($E55,bug_conf_sheet!$A:$H,4,FALSE),VLOOKUP("other",bug_conf_sheet!$A:$H,4,FALSE))</f>
        <v>0</v>
      </c>
      <c r="O55" s="37">
        <f>IFERROR(VLOOKUP($E55,bug_conf_sheet!$A:$H,5,FALSE),VLOOKUP("other",bug_conf_sheet!$A:$H,5,FALSE))</f>
        <v>0</v>
      </c>
      <c r="P55" s="37">
        <f>IFERROR(VLOOKUP($E55,bug_conf_sheet!$A:$H,6,FALSE),VLOOKUP("other",bug_conf_sheet!$A:$H,6,FALSE))</f>
        <v>0</v>
      </c>
      <c r="Q55" s="37">
        <f>IFERROR(VLOOKUP($E55,bug_conf_sheet!$A:$H,7,FALSE),VLOOKUP("other",bug_conf_sheet!$A:$H,7,FALSE))</f>
        <v>0</v>
      </c>
      <c r="R55" s="37">
        <f>IFERROR(VLOOKUP($E55,bug_conf_sheet!$A:$H,8,FALSE),VLOOKUP("other",bug_conf_sheet!$A:$H,8,FALSE))</f>
        <v>1</v>
      </c>
    </row>
    <row r="56" spans="2:18" ht="21" hidden="1" customHeight="1">
      <c r="B56" s="2">
        <v>1903</v>
      </c>
      <c r="C56" s="8" t="str">
        <f t="shared" si="0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5">
        <f t="shared" si="7"/>
        <v>182</v>
      </c>
      <c r="M56" s="37">
        <f>IFERROR(VLOOKUP($E56,bug_conf_sheet!$A:$H,3,FALSE),VLOOKUP("other",bug_conf_sheet!$A:$H,3,FALSE))</f>
        <v>1</v>
      </c>
      <c r="N56" s="37">
        <f>IFERROR(VLOOKUP($E56,bug_conf_sheet!$A:$H,4,FALSE),VLOOKUP("other",bug_conf_sheet!$A:$H,4,FALSE))</f>
        <v>0</v>
      </c>
      <c r="O56" s="37">
        <f>IFERROR(VLOOKUP($E56,bug_conf_sheet!$A:$H,5,FALSE),VLOOKUP("other",bug_conf_sheet!$A:$H,5,FALSE))</f>
        <v>0</v>
      </c>
      <c r="P56" s="37">
        <f>IFERROR(VLOOKUP($E56,bug_conf_sheet!$A:$H,6,FALSE),VLOOKUP("other",bug_conf_sheet!$A:$H,6,FALSE))</f>
        <v>0</v>
      </c>
      <c r="Q56" s="37">
        <f>IFERROR(VLOOKUP($E56,bug_conf_sheet!$A:$H,7,FALSE),VLOOKUP("other",bug_conf_sheet!$A:$H,7,FALSE))</f>
        <v>0</v>
      </c>
      <c r="R56" s="37">
        <f>IFERROR(VLOOKUP($E56,bug_conf_sheet!$A:$H,8,FALSE),VLOOKUP("other",bug_conf_sheet!$A:$H,8,FALSE))</f>
        <v>1</v>
      </c>
    </row>
    <row r="57" spans="2:18" ht="21" customHeight="1">
      <c r="B57" s="2">
        <v>1903</v>
      </c>
      <c r="C57" s="8" t="str">
        <f t="shared" si="0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5">
        <f>ROUND(0.96/50*100000,0)</f>
        <v>1920</v>
      </c>
      <c r="M57" s="37">
        <f>IFERROR(VLOOKUP($E57,bug_conf_sheet!$A:$H,3,FALSE),VLOOKUP("other",bug_conf_sheet!$A:$H,3,FALSE))</f>
        <v>1</v>
      </c>
      <c r="N57" s="37">
        <f>IFERROR(VLOOKUP($E57,bug_conf_sheet!$A:$H,4,FALSE),VLOOKUP("other",bug_conf_sheet!$A:$H,4,FALSE))</f>
        <v>0</v>
      </c>
      <c r="O57" s="37">
        <f>IFERROR(VLOOKUP($E57,bug_conf_sheet!$A:$H,5,FALSE),VLOOKUP("other",bug_conf_sheet!$A:$H,5,FALSE))</f>
        <v>0</v>
      </c>
      <c r="P57" s="37">
        <f>IFERROR(VLOOKUP($E57,bug_conf_sheet!$A:$H,6,FALSE),VLOOKUP("other",bug_conf_sheet!$A:$H,6,FALSE))</f>
        <v>0</v>
      </c>
      <c r="Q57" s="37">
        <f>IFERROR(VLOOKUP($E57,bug_conf_sheet!$A:$H,7,FALSE),VLOOKUP("other",bug_conf_sheet!$A:$H,7,FALSE))</f>
        <v>0</v>
      </c>
      <c r="R57" s="37">
        <f>IFERROR(VLOOKUP($E57,bug_conf_sheet!$A:$H,8,FALSE),VLOOKUP("other",bug_conf_sheet!$A:$H,8,FALSE))</f>
        <v>1</v>
      </c>
    </row>
    <row r="58" spans="2:18" ht="21" hidden="1" customHeight="1">
      <c r="B58" s="2">
        <v>1903</v>
      </c>
      <c r="C58" s="8" t="str">
        <f t="shared" si="0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5">
        <f>ROUND(0.04/22*100000,0)</f>
        <v>182</v>
      </c>
      <c r="M58" s="37">
        <f>IFERROR(VLOOKUP($E58,bug_conf_sheet!$A:$H,3,FALSE),VLOOKUP("other",bug_conf_sheet!$A:$H,3,FALSE))</f>
        <v>1</v>
      </c>
      <c r="N58" s="37">
        <f>IFERROR(VLOOKUP($E58,bug_conf_sheet!$A:$H,4,FALSE),VLOOKUP("other",bug_conf_sheet!$A:$H,4,FALSE))</f>
        <v>0</v>
      </c>
      <c r="O58" s="37">
        <f>IFERROR(VLOOKUP($E58,bug_conf_sheet!$A:$H,5,FALSE),VLOOKUP("other",bug_conf_sheet!$A:$H,5,FALSE))</f>
        <v>0</v>
      </c>
      <c r="P58" s="37">
        <f>IFERROR(VLOOKUP($E58,bug_conf_sheet!$A:$H,6,FALSE),VLOOKUP("other",bug_conf_sheet!$A:$H,6,FALSE))</f>
        <v>0</v>
      </c>
      <c r="Q58" s="37">
        <f>IFERROR(VLOOKUP($E58,bug_conf_sheet!$A:$H,7,FALSE),VLOOKUP("other",bug_conf_sheet!$A:$H,7,FALSE))</f>
        <v>0</v>
      </c>
      <c r="R58" s="37">
        <f>IFERROR(VLOOKUP($E58,bug_conf_sheet!$A:$H,8,FALSE),VLOOKUP("other",bug_conf_sheet!$A:$H,8,FALSE))</f>
        <v>1</v>
      </c>
    </row>
    <row r="59" spans="2:18" ht="21" customHeight="1">
      <c r="B59" s="2">
        <v>1903</v>
      </c>
      <c r="C59" s="8" t="str">
        <f t="shared" si="0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5">
        <f>ROUND(0.96/50*100000,0)</f>
        <v>1920</v>
      </c>
      <c r="M59" s="37">
        <f>IFERROR(VLOOKUP($E59,bug_conf_sheet!$A:$H,3,FALSE),VLOOKUP("other",bug_conf_sheet!$A:$H,3,FALSE))</f>
        <v>1</v>
      </c>
      <c r="N59" s="37">
        <f>IFERROR(VLOOKUP($E59,bug_conf_sheet!$A:$H,4,FALSE),VLOOKUP("other",bug_conf_sheet!$A:$H,4,FALSE))</f>
        <v>0</v>
      </c>
      <c r="O59" s="37">
        <f>IFERROR(VLOOKUP($E59,bug_conf_sheet!$A:$H,5,FALSE),VLOOKUP("other",bug_conf_sheet!$A:$H,5,FALSE))</f>
        <v>0</v>
      </c>
      <c r="P59" s="37">
        <f>IFERROR(VLOOKUP($E59,bug_conf_sheet!$A:$H,6,FALSE),VLOOKUP("other",bug_conf_sheet!$A:$H,6,FALSE))</f>
        <v>0</v>
      </c>
      <c r="Q59" s="37">
        <f>IFERROR(VLOOKUP($E59,bug_conf_sheet!$A:$H,7,FALSE),VLOOKUP("other",bug_conf_sheet!$A:$H,7,FALSE))</f>
        <v>0</v>
      </c>
      <c r="R59" s="37">
        <f>IFERROR(VLOOKUP($E59,bug_conf_sheet!$A:$H,8,FALSE),VLOOKUP("other",bug_conf_sheet!$A:$H,8,FALSE))</f>
        <v>1</v>
      </c>
    </row>
    <row r="60" spans="2:18" ht="21" hidden="1" customHeight="1">
      <c r="B60" s="2">
        <v>1903</v>
      </c>
      <c r="C60" s="8" t="str">
        <f t="shared" si="0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5">
        <f>ROUND(0.04/22*100000,0)</f>
        <v>182</v>
      </c>
      <c r="M60" s="37">
        <f>IFERROR(VLOOKUP($E60,bug_conf_sheet!$A:$H,3,FALSE),VLOOKUP("other",bug_conf_sheet!$A:$H,3,FALSE))</f>
        <v>1</v>
      </c>
      <c r="N60" s="37">
        <f>IFERROR(VLOOKUP($E60,bug_conf_sheet!$A:$H,4,FALSE),VLOOKUP("other",bug_conf_sheet!$A:$H,4,FALSE))</f>
        <v>0</v>
      </c>
      <c r="O60" s="37">
        <f>IFERROR(VLOOKUP($E60,bug_conf_sheet!$A:$H,5,FALSE),VLOOKUP("other",bug_conf_sheet!$A:$H,5,FALSE))</f>
        <v>0</v>
      </c>
      <c r="P60" s="37">
        <f>IFERROR(VLOOKUP($E60,bug_conf_sheet!$A:$H,6,FALSE),VLOOKUP("other",bug_conf_sheet!$A:$H,6,FALSE))</f>
        <v>0</v>
      </c>
      <c r="Q60" s="37">
        <f>IFERROR(VLOOKUP($E60,bug_conf_sheet!$A:$H,7,FALSE),VLOOKUP("other",bug_conf_sheet!$A:$H,7,FALSE))</f>
        <v>0</v>
      </c>
      <c r="R60" s="37">
        <f>IFERROR(VLOOKUP($E60,bug_conf_sheet!$A:$H,8,FALSE),VLOOKUP("other",bug_conf_sheet!$A:$H,8,FALSE))</f>
        <v>1</v>
      </c>
    </row>
    <row r="61" spans="2:18" ht="21" customHeight="1">
      <c r="B61" s="2">
        <v>1903</v>
      </c>
      <c r="C61" s="8" t="str">
        <f t="shared" si="0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5">
        <f>ROUND(0.96/50*100000,0)</f>
        <v>1920</v>
      </c>
      <c r="M61" s="37">
        <f>IFERROR(VLOOKUP($E61,bug_conf_sheet!$A:$H,3,FALSE),VLOOKUP("other",bug_conf_sheet!$A:$H,3,FALSE))</f>
        <v>1</v>
      </c>
      <c r="N61" s="37">
        <f>IFERROR(VLOOKUP($E61,bug_conf_sheet!$A:$H,4,FALSE),VLOOKUP("other",bug_conf_sheet!$A:$H,4,FALSE))</f>
        <v>0</v>
      </c>
      <c r="O61" s="37">
        <f>IFERROR(VLOOKUP($E61,bug_conf_sheet!$A:$H,5,FALSE),VLOOKUP("other",bug_conf_sheet!$A:$H,5,FALSE))</f>
        <v>0</v>
      </c>
      <c r="P61" s="37">
        <f>IFERROR(VLOOKUP($E61,bug_conf_sheet!$A:$H,6,FALSE),VLOOKUP("other",bug_conf_sheet!$A:$H,6,FALSE))</f>
        <v>0</v>
      </c>
      <c r="Q61" s="37">
        <f>IFERROR(VLOOKUP($E61,bug_conf_sheet!$A:$H,7,FALSE),VLOOKUP("other",bug_conf_sheet!$A:$H,7,FALSE))</f>
        <v>0</v>
      </c>
      <c r="R61" s="37">
        <f>IFERROR(VLOOKUP($E61,bug_conf_sheet!$A:$H,8,FALSE),VLOOKUP("other",bug_conf_sheet!$A:$H,8,FALSE))</f>
        <v>1</v>
      </c>
    </row>
    <row r="62" spans="2:18" ht="21" hidden="1" customHeight="1">
      <c r="B62" s="2">
        <v>1903</v>
      </c>
      <c r="C62" s="8" t="str">
        <f t="shared" si="0"/>
        <v>PremiumSS5</v>
      </c>
      <c r="E62" s="6">
        <v>493</v>
      </c>
      <c r="F62" s="8" t="str">
        <f>VLOOKUP(E62,[1]characters!$A:$C,3,FALSE)</f>
        <v>跋扈の機脚 ブートレグ・ペロー</v>
      </c>
      <c r="G62" s="8" t="str">
        <f>VLOOKUP(E62,[1]characters!$A:$J,10,FALSE)</f>
        <v>PremiumSS</v>
      </c>
      <c r="H62" s="8">
        <f>VLOOKUP(E62,[1]characters!$A:$I,9,FALSE)</f>
        <v>5</v>
      </c>
      <c r="I62" s="8" t="str">
        <f>VLOOKUP(E62,[1]characters!$A:$H,8,FALSE)</f>
        <v>red</v>
      </c>
      <c r="J62" s="8" t="str">
        <f>VLOOKUP(E62,[1]characters!$A:$K,11,FALSE)</f>
        <v>hp</v>
      </c>
      <c r="K62" s="8" t="str">
        <f>VLOOKUP(E62,[1]characters!$A:$M,13,FALSE)</f>
        <v>animal</v>
      </c>
      <c r="L62" s="35">
        <f t="shared" ref="L62:L63" si="8">ROUND(0.04/22*100000,0)</f>
        <v>182</v>
      </c>
      <c r="M62" s="37">
        <f>IFERROR(VLOOKUP($E62,bug_conf_sheet!$A:$H,3,FALSE),VLOOKUP("other",bug_conf_sheet!$A:$H,3,FALSE))</f>
        <v>1</v>
      </c>
      <c r="N62" s="37">
        <f>IFERROR(VLOOKUP($E62,bug_conf_sheet!$A:$H,4,FALSE),VLOOKUP("other",bug_conf_sheet!$A:$H,4,FALSE))</f>
        <v>0</v>
      </c>
      <c r="O62" s="37">
        <f>IFERROR(VLOOKUP($E62,bug_conf_sheet!$A:$H,5,FALSE),VLOOKUP("other",bug_conf_sheet!$A:$H,5,FALSE))</f>
        <v>0</v>
      </c>
      <c r="P62" s="37">
        <f>IFERROR(VLOOKUP($E62,bug_conf_sheet!$A:$H,6,FALSE),VLOOKUP("other",bug_conf_sheet!$A:$H,6,FALSE))</f>
        <v>0</v>
      </c>
      <c r="Q62" s="37">
        <f>IFERROR(VLOOKUP($E62,bug_conf_sheet!$A:$H,7,FALSE),VLOOKUP("other",bug_conf_sheet!$A:$H,7,FALSE))</f>
        <v>0</v>
      </c>
      <c r="R62" s="37">
        <f>IFERROR(VLOOKUP($E62,bug_conf_sheet!$A:$H,8,FALSE),VLOOKUP("other",bug_conf_sheet!$A:$H,8,FALSE))</f>
        <v>1</v>
      </c>
    </row>
    <row r="63" spans="2:18" ht="21" hidden="1" customHeight="1">
      <c r="B63" s="2">
        <v>1903</v>
      </c>
      <c r="C63" s="8" t="str">
        <f t="shared" si="0"/>
        <v>PremiumSS5</v>
      </c>
      <c r="E63" s="6">
        <v>495</v>
      </c>
      <c r="F63" s="8" t="str">
        <f>VLOOKUP(E63,[1]characters!$A:$C,3,FALSE)</f>
        <v>鼠災呼ぶ笛音 ハーメルン</v>
      </c>
      <c r="G63" s="8" t="str">
        <f>VLOOKUP(E63,[1]characters!$A:$J,10,FALSE)</f>
        <v>PremiumSS</v>
      </c>
      <c r="H63" s="8">
        <f>VLOOKUP(E63,[1]characters!$A:$I,9,FALSE)</f>
        <v>5</v>
      </c>
      <c r="I63" s="8" t="str">
        <f>VLOOKUP(E63,[1]characters!$A:$H,8,FALSE)</f>
        <v>green</v>
      </c>
      <c r="J63" s="8" t="str">
        <f>VLOOKUP(E63,[1]characters!$A:$K,11,FALSE)</f>
        <v>technical</v>
      </c>
      <c r="K63" s="8" t="str">
        <f>VLOOKUP(E63,[1]characters!$A:$M,13,FALSE)</f>
        <v>human</v>
      </c>
      <c r="L63" s="35">
        <f t="shared" si="8"/>
        <v>182</v>
      </c>
      <c r="M63" s="37">
        <f>IFERROR(VLOOKUP($E63,bug_conf_sheet!$A:$H,3,FALSE),VLOOKUP("other",bug_conf_sheet!$A:$H,3,FALSE))</f>
        <v>1</v>
      </c>
      <c r="N63" s="37">
        <f>IFERROR(VLOOKUP($E63,bug_conf_sheet!$A:$H,4,FALSE),VLOOKUP("other",bug_conf_sheet!$A:$H,4,FALSE))</f>
        <v>0</v>
      </c>
      <c r="O63" s="37">
        <f>IFERROR(VLOOKUP($E63,bug_conf_sheet!$A:$H,5,FALSE),VLOOKUP("other",bug_conf_sheet!$A:$H,5,FALSE))</f>
        <v>0</v>
      </c>
      <c r="P63" s="37">
        <f>IFERROR(VLOOKUP($E63,bug_conf_sheet!$A:$H,6,FALSE),VLOOKUP("other",bug_conf_sheet!$A:$H,6,FALSE))</f>
        <v>0</v>
      </c>
      <c r="Q63" s="37">
        <f>IFERROR(VLOOKUP($E63,bug_conf_sheet!$A:$H,7,FALSE),VLOOKUP("other",bug_conf_sheet!$A:$H,7,FALSE))</f>
        <v>0</v>
      </c>
      <c r="R63" s="37">
        <f>IFERROR(VLOOKUP($E63,bug_conf_sheet!$A:$H,8,FALSE),VLOOKUP("other",bug_conf_sheet!$A:$H,8,FALSE))</f>
        <v>1</v>
      </c>
    </row>
    <row r="64" spans="2:18" ht="21" customHeight="1">
      <c r="B64" s="2">
        <v>1903</v>
      </c>
      <c r="C64" s="8" t="str">
        <f t="shared" si="0"/>
        <v>PremiumS5</v>
      </c>
      <c r="E64" s="6">
        <v>498</v>
      </c>
      <c r="F64" s="8" t="str">
        <f>VLOOKUP(E64,[1]characters!$A:$C,3,FALSE)</f>
        <v>自愛の高魔 エスタブ</v>
      </c>
      <c r="G64" s="8" t="str">
        <f>VLOOKUP(E64,[1]characters!$A:$J,10,FALSE)</f>
        <v>PremiumS</v>
      </c>
      <c r="H64" s="8">
        <f>VLOOKUP(E64,[1]characters!$A:$I,9,FALSE)</f>
        <v>5</v>
      </c>
      <c r="I64" s="8" t="str">
        <f>VLOOKUP(E64,[1]characters!$A:$H,8,FALSE)</f>
        <v>blue</v>
      </c>
      <c r="J64" s="8" t="str">
        <f>VLOOKUP(E64,[1]characters!$A:$K,11,FALSE)</f>
        <v>attack</v>
      </c>
      <c r="K64" s="8" t="str">
        <f>VLOOKUP(E64,[1]characters!$A:$M,13,FALSE)</f>
        <v>human</v>
      </c>
      <c r="L64" s="35">
        <f>ROUND(0.96/50*100000,0)</f>
        <v>1920</v>
      </c>
      <c r="M64" s="37">
        <f>IFERROR(VLOOKUP($E64,bug_conf_sheet!$A:$H,3,FALSE),VLOOKUP("other",bug_conf_sheet!$A:$H,3,FALSE))</f>
        <v>1</v>
      </c>
      <c r="N64" s="37">
        <f>IFERROR(VLOOKUP($E64,bug_conf_sheet!$A:$H,4,FALSE),VLOOKUP("other",bug_conf_sheet!$A:$H,4,FALSE))</f>
        <v>0</v>
      </c>
      <c r="O64" s="37">
        <f>IFERROR(VLOOKUP($E64,bug_conf_sheet!$A:$H,5,FALSE),VLOOKUP("other",bug_conf_sheet!$A:$H,5,FALSE))</f>
        <v>0</v>
      </c>
      <c r="P64" s="37">
        <f>IFERROR(VLOOKUP($E64,bug_conf_sheet!$A:$H,6,FALSE),VLOOKUP("other",bug_conf_sheet!$A:$H,6,FALSE))</f>
        <v>0</v>
      </c>
      <c r="Q64" s="37">
        <f>IFERROR(VLOOKUP($E64,bug_conf_sheet!$A:$H,7,FALSE),VLOOKUP("other",bug_conf_sheet!$A:$H,7,FALSE))</f>
        <v>0</v>
      </c>
      <c r="R64" s="37">
        <f>IFERROR(VLOOKUP($E64,bug_conf_sheet!$A:$H,8,FALSE),VLOOKUP("other",bug_conf_sheet!$A:$H,8,FALSE))</f>
        <v>1</v>
      </c>
    </row>
    <row r="65" spans="2:18" ht="21" hidden="1" customHeight="1">
      <c r="B65" s="2">
        <v>1903</v>
      </c>
      <c r="C65" s="8" t="str">
        <f t="shared" si="0"/>
        <v>PremiumSS5</v>
      </c>
      <c r="E65" s="6">
        <v>500</v>
      </c>
      <c r="F65" s="8" t="str">
        <f>VLOOKUP(E65,[1]characters!$A:$C,3,FALSE)</f>
        <v>脈動の禁髪 ラプンツェル</v>
      </c>
      <c r="G65" s="8" t="str">
        <f>VLOOKUP(E65,[1]characters!$A:$J,10,FALSE)</f>
        <v>PremiumSS</v>
      </c>
      <c r="H65" s="8">
        <f>VLOOKUP(E65,[1]characters!$A:$I,9,FALSE)</f>
        <v>5</v>
      </c>
      <c r="I65" s="8" t="str">
        <f>VLOOKUP(E65,[1]characters!$A:$H,8,FALSE)</f>
        <v>yellow</v>
      </c>
      <c r="J65" s="8" t="str">
        <f>VLOOKUP(E65,[1]characters!$A:$K,11,FALSE)</f>
        <v>balance</v>
      </c>
      <c r="K65" s="8" t="str">
        <f>VLOOKUP(E65,[1]characters!$A:$M,13,FALSE)</f>
        <v>human</v>
      </c>
      <c r="L65" s="35">
        <f t="shared" ref="L65:L66" si="9">ROUND(0.04/22*100000,0)</f>
        <v>182</v>
      </c>
      <c r="M65" s="37">
        <f>IFERROR(VLOOKUP($E65,bug_conf_sheet!$A:$H,3,FALSE),VLOOKUP("other",bug_conf_sheet!$A:$H,3,FALSE))</f>
        <v>1</v>
      </c>
      <c r="N65" s="37">
        <f>IFERROR(VLOOKUP($E65,bug_conf_sheet!$A:$H,4,FALSE),VLOOKUP("other",bug_conf_sheet!$A:$H,4,FALSE))</f>
        <v>0</v>
      </c>
      <c r="O65" s="37">
        <f>IFERROR(VLOOKUP($E65,bug_conf_sheet!$A:$H,5,FALSE),VLOOKUP("other",bug_conf_sheet!$A:$H,5,FALSE))</f>
        <v>0</v>
      </c>
      <c r="P65" s="37">
        <f>IFERROR(VLOOKUP($E65,bug_conf_sheet!$A:$H,6,FALSE),VLOOKUP("other",bug_conf_sheet!$A:$H,6,FALSE))</f>
        <v>0</v>
      </c>
      <c r="Q65" s="37">
        <f>IFERROR(VLOOKUP($E65,bug_conf_sheet!$A:$H,7,FALSE),VLOOKUP("other",bug_conf_sheet!$A:$H,7,FALSE))</f>
        <v>0</v>
      </c>
      <c r="R65" s="37">
        <f>IFERROR(VLOOKUP($E65,bug_conf_sheet!$A:$H,8,FALSE),VLOOKUP("other",bug_conf_sheet!$A:$H,8,FALSE))</f>
        <v>1</v>
      </c>
    </row>
    <row r="66" spans="2:18" ht="21" hidden="1" customHeight="1">
      <c r="B66" s="2">
        <v>1903</v>
      </c>
      <c r="C66" s="8" t="str">
        <f t="shared" si="0"/>
        <v>PremiumSS5</v>
      </c>
      <c r="E66" s="6">
        <v>587</v>
      </c>
      <c r="F66" s="8" t="str">
        <f>VLOOKUP(E66,[1]characters!$A:$C,3,FALSE)</f>
        <v>原初の煉鋼巨刃 ユミル</v>
      </c>
      <c r="G66" s="8" t="str">
        <f>VLOOKUP(E66,[1]characters!$A:$J,10,FALSE)</f>
        <v>PremiumSS</v>
      </c>
      <c r="H66" s="8">
        <f>VLOOKUP(E66,[1]characters!$A:$I,9,FALSE)</f>
        <v>5</v>
      </c>
      <c r="I66" s="8" t="str">
        <f>VLOOKUP(E66,[1]characters!$A:$H,8,FALSE)</f>
        <v>red</v>
      </c>
      <c r="J66" s="8" t="str">
        <f>VLOOKUP(E66,[1]characters!$A:$K,11,FALSE)</f>
        <v>hp</v>
      </c>
      <c r="K66" s="8" t="str">
        <f>VLOOKUP(E66,[1]characters!$A:$M,13,FALSE)</f>
        <v>machine</v>
      </c>
      <c r="L66" s="35">
        <f t="shared" si="9"/>
        <v>182</v>
      </c>
      <c r="M66" s="37">
        <f>IFERROR(VLOOKUP($E66,bug_conf_sheet!$A:$H,3,FALSE),VLOOKUP("other",bug_conf_sheet!$A:$H,3,FALSE))</f>
        <v>1</v>
      </c>
      <c r="N66" s="37">
        <f>IFERROR(VLOOKUP($E66,bug_conf_sheet!$A:$H,4,FALSE),VLOOKUP("other",bug_conf_sheet!$A:$H,4,FALSE))</f>
        <v>0</v>
      </c>
      <c r="O66" s="37">
        <f>IFERROR(VLOOKUP($E66,bug_conf_sheet!$A:$H,5,FALSE),VLOOKUP("other",bug_conf_sheet!$A:$H,5,FALSE))</f>
        <v>0</v>
      </c>
      <c r="P66" s="37">
        <f>IFERROR(VLOOKUP($E66,bug_conf_sheet!$A:$H,6,FALSE),VLOOKUP("other",bug_conf_sheet!$A:$H,6,FALSE))</f>
        <v>0</v>
      </c>
      <c r="Q66" s="37">
        <f>IFERROR(VLOOKUP($E66,bug_conf_sheet!$A:$H,7,FALSE),VLOOKUP("other",bug_conf_sheet!$A:$H,7,FALSE))</f>
        <v>0</v>
      </c>
      <c r="R66" s="37">
        <f>IFERROR(VLOOKUP($E66,bug_conf_sheet!$A:$H,8,FALSE),VLOOKUP("other",bug_conf_sheet!$A:$H,8,FALSE))</f>
        <v>1</v>
      </c>
    </row>
    <row r="67" spans="2:18" ht="21" customHeight="1">
      <c r="B67" s="2">
        <v>1903</v>
      </c>
      <c r="C67" s="8" t="str">
        <f t="shared" ref="C67:C73" si="10">G67&amp;H67</f>
        <v>PremiumS5</v>
      </c>
      <c r="E67" s="6">
        <v>590</v>
      </c>
      <c r="F67" s="8" t="str">
        <f>VLOOKUP(E67,[1]characters!$A:$C,3,FALSE)</f>
        <v>永遠を廻る呪い ニーベルゲン</v>
      </c>
      <c r="G67" s="8" t="str">
        <f>VLOOKUP(E67,[1]characters!$A:$J,10,FALSE)</f>
        <v>PremiumS</v>
      </c>
      <c r="H67" s="8">
        <f>VLOOKUP(E67,[1]characters!$A:$I,9,FALSE)</f>
        <v>5</v>
      </c>
      <c r="I67" s="8" t="str">
        <f>VLOOKUP(E67,[1]characters!$A:$H,8,FALSE)</f>
        <v>green</v>
      </c>
      <c r="J67" s="8" t="str">
        <f>VLOOKUP(E67,[1]characters!$A:$K,11,FALSE)</f>
        <v>balance</v>
      </c>
      <c r="K67" s="8" t="str">
        <f>VLOOKUP(E67,[1]characters!$A:$M,13,FALSE)</f>
        <v>unknown</v>
      </c>
      <c r="L67" s="35">
        <f t="shared" ref="L67:L68" si="11">ROUND(0.96/50*100000,0)</f>
        <v>1920</v>
      </c>
      <c r="M67" s="37">
        <f>IFERROR(VLOOKUP($E67,bug_conf_sheet!$A:$H,3,FALSE),VLOOKUP("other",bug_conf_sheet!$A:$H,3,FALSE))</f>
        <v>1</v>
      </c>
      <c r="N67" s="37">
        <f>IFERROR(VLOOKUP($E67,bug_conf_sheet!$A:$H,4,FALSE),VLOOKUP("other",bug_conf_sheet!$A:$H,4,FALSE))</f>
        <v>0</v>
      </c>
      <c r="O67" s="37">
        <f>IFERROR(VLOOKUP($E67,bug_conf_sheet!$A:$H,5,FALSE),VLOOKUP("other",bug_conf_sheet!$A:$H,5,FALSE))</f>
        <v>0</v>
      </c>
      <c r="P67" s="37">
        <f>IFERROR(VLOOKUP($E67,bug_conf_sheet!$A:$H,6,FALSE),VLOOKUP("other",bug_conf_sheet!$A:$H,6,FALSE))</f>
        <v>0</v>
      </c>
      <c r="Q67" s="37">
        <f>IFERROR(VLOOKUP($E67,bug_conf_sheet!$A:$H,7,FALSE),VLOOKUP("other",bug_conf_sheet!$A:$H,7,FALSE))</f>
        <v>0</v>
      </c>
      <c r="R67" s="37">
        <f>IFERROR(VLOOKUP($E67,bug_conf_sheet!$A:$H,8,FALSE),VLOOKUP("other",bug_conf_sheet!$A:$H,8,FALSE))</f>
        <v>1</v>
      </c>
    </row>
    <row r="68" spans="2:18" ht="21" customHeight="1">
      <c r="B68" s="2">
        <v>1903</v>
      </c>
      <c r="C68" s="8" t="str">
        <f t="shared" si="10"/>
        <v>PremiumS5</v>
      </c>
      <c r="E68" s="6">
        <v>593</v>
      </c>
      <c r="F68" s="8" t="str">
        <f>VLOOKUP(E68,[1]characters!$A:$C,3,FALSE)</f>
        <v>妄執する邪毒龍 ファフニール</v>
      </c>
      <c r="G68" s="8" t="str">
        <f>VLOOKUP(E68,[1]characters!$A:$J,10,FALSE)</f>
        <v>PremiumS</v>
      </c>
      <c r="H68" s="8">
        <f>VLOOKUP(E68,[1]characters!$A:$I,9,FALSE)</f>
        <v>5</v>
      </c>
      <c r="I68" s="8" t="str">
        <f>VLOOKUP(E68,[1]characters!$A:$H,8,FALSE)</f>
        <v>blue</v>
      </c>
      <c r="J68" s="8" t="str">
        <f>VLOOKUP(E68,[1]characters!$A:$K,11,FALSE)</f>
        <v>technical</v>
      </c>
      <c r="K68" s="8" t="str">
        <f>VLOOKUP(E68,[1]characters!$A:$M,13,FALSE)</f>
        <v>dragon</v>
      </c>
      <c r="L68" s="35">
        <f t="shared" si="11"/>
        <v>1920</v>
      </c>
      <c r="M68" s="37">
        <f>IFERROR(VLOOKUP($E68,bug_conf_sheet!$A:$H,3,FALSE),VLOOKUP("other",bug_conf_sheet!$A:$H,3,FALSE))</f>
        <v>1</v>
      </c>
      <c r="N68" s="37">
        <f>IFERROR(VLOOKUP($E68,bug_conf_sheet!$A:$H,4,FALSE),VLOOKUP("other",bug_conf_sheet!$A:$H,4,FALSE))</f>
        <v>0</v>
      </c>
      <c r="O68" s="37">
        <f>IFERROR(VLOOKUP($E68,bug_conf_sheet!$A:$H,5,FALSE),VLOOKUP("other",bug_conf_sheet!$A:$H,5,FALSE))</f>
        <v>0</v>
      </c>
      <c r="P68" s="37">
        <f>IFERROR(VLOOKUP($E68,bug_conf_sheet!$A:$H,6,FALSE),VLOOKUP("other",bug_conf_sheet!$A:$H,6,FALSE))</f>
        <v>0</v>
      </c>
      <c r="Q68" s="37">
        <f>IFERROR(VLOOKUP($E68,bug_conf_sheet!$A:$H,7,FALSE),VLOOKUP("other",bug_conf_sheet!$A:$H,7,FALSE))</f>
        <v>0</v>
      </c>
      <c r="R68" s="37">
        <f>IFERROR(VLOOKUP($E68,bug_conf_sheet!$A:$H,8,FALSE),VLOOKUP("other",bug_conf_sheet!$A:$H,8,FALSE))</f>
        <v>1</v>
      </c>
    </row>
    <row r="69" spans="2:18" ht="21" hidden="1" customHeight="1">
      <c r="B69" s="2">
        <v>1903</v>
      </c>
      <c r="C69" s="8" t="str">
        <f t="shared" si="10"/>
        <v>PremiumSS5</v>
      </c>
      <c r="E69" s="6">
        <v>595</v>
      </c>
      <c r="F69" s="8" t="str">
        <f>VLOOKUP(E69,[1]characters!$A:$C,3,FALSE)</f>
        <v>光華なる神域 アルフヘイム</v>
      </c>
      <c r="G69" s="8" t="str">
        <f>VLOOKUP(E69,[1]characters!$A:$J,10,FALSE)</f>
        <v>PremiumSS</v>
      </c>
      <c r="H69" s="8">
        <f>VLOOKUP(E69,[1]characters!$A:$I,9,FALSE)</f>
        <v>5</v>
      </c>
      <c r="I69" s="8" t="str">
        <f>VLOOKUP(E69,[1]characters!$A:$H,8,FALSE)</f>
        <v>yellow</v>
      </c>
      <c r="J69" s="8" t="str">
        <f>VLOOKUP(E69,[1]characters!$A:$K,11,FALSE)</f>
        <v>attack</v>
      </c>
      <c r="K69" s="8" t="str">
        <f>VLOOKUP(E69,[1]characters!$A:$M,13,FALSE)</f>
        <v>dragon</v>
      </c>
      <c r="L69" s="35">
        <f>ROUND(0.04/22*100000,0)</f>
        <v>182</v>
      </c>
      <c r="M69" s="37">
        <f>IFERROR(VLOOKUP($E69,bug_conf_sheet!$A:$H,3,FALSE),VLOOKUP("other",bug_conf_sheet!$A:$H,3,FALSE))</f>
        <v>1</v>
      </c>
      <c r="N69" s="37">
        <f>IFERROR(VLOOKUP($E69,bug_conf_sheet!$A:$H,4,FALSE),VLOOKUP("other",bug_conf_sheet!$A:$H,4,FALSE))</f>
        <v>0</v>
      </c>
      <c r="O69" s="37">
        <f>IFERROR(VLOOKUP($E69,bug_conf_sheet!$A:$H,5,FALSE),VLOOKUP("other",bug_conf_sheet!$A:$H,5,FALSE))</f>
        <v>0</v>
      </c>
      <c r="P69" s="37">
        <f>IFERROR(VLOOKUP($E69,bug_conf_sheet!$A:$H,6,FALSE),VLOOKUP("other",bug_conf_sheet!$A:$H,6,FALSE))</f>
        <v>0</v>
      </c>
      <c r="Q69" s="37">
        <f>IFERROR(VLOOKUP($E69,bug_conf_sheet!$A:$H,7,FALSE),VLOOKUP("other",bug_conf_sheet!$A:$H,7,FALSE))</f>
        <v>0</v>
      </c>
      <c r="R69" s="37">
        <f>IFERROR(VLOOKUP($E69,bug_conf_sheet!$A:$H,8,FALSE),VLOOKUP("other",bug_conf_sheet!$A:$H,8,FALSE))</f>
        <v>1</v>
      </c>
    </row>
    <row r="70" spans="2:18" ht="21" customHeight="1">
      <c r="B70" s="2">
        <v>1903</v>
      </c>
      <c r="C70" s="8" t="str">
        <f t="shared" si="10"/>
        <v>PremiumS5</v>
      </c>
      <c r="E70" s="6">
        <v>598</v>
      </c>
      <c r="F70" s="8" t="str">
        <f>VLOOKUP(E70,[1]characters!$A:$C,3,FALSE)</f>
        <v>焼燃の情熱 ムスペルヘイム</v>
      </c>
      <c r="G70" s="8" t="str">
        <f>VLOOKUP(E70,[1]characters!$A:$J,10,FALSE)</f>
        <v>PremiumS</v>
      </c>
      <c r="H70" s="8">
        <f>VLOOKUP(E70,[1]characters!$A:$I,9,FALSE)</f>
        <v>5</v>
      </c>
      <c r="I70" s="8" t="str">
        <f>VLOOKUP(E70,[1]characters!$A:$H,8,FALSE)</f>
        <v>red</v>
      </c>
      <c r="J70" s="8" t="str">
        <f>VLOOKUP(E70,[1]characters!$A:$K,11,FALSE)</f>
        <v>balance</v>
      </c>
      <c r="K70" s="8" t="str">
        <f>VLOOKUP(E70,[1]characters!$A:$M,13,FALSE)</f>
        <v>human</v>
      </c>
      <c r="L70" s="35">
        <f t="shared" ref="L70:L71" si="12">ROUND(0.96/50*100000,0)</f>
        <v>1920</v>
      </c>
      <c r="M70" s="37">
        <f>IFERROR(VLOOKUP($E70,bug_conf_sheet!$A:$H,3,FALSE),VLOOKUP("other",bug_conf_sheet!$A:$H,3,FALSE))</f>
        <v>1</v>
      </c>
      <c r="N70" s="37">
        <f>IFERROR(VLOOKUP($E70,bug_conf_sheet!$A:$H,4,FALSE),VLOOKUP("other",bug_conf_sheet!$A:$H,4,FALSE))</f>
        <v>0</v>
      </c>
      <c r="O70" s="37">
        <f>IFERROR(VLOOKUP($E70,bug_conf_sheet!$A:$H,5,FALSE),VLOOKUP("other",bug_conf_sheet!$A:$H,5,FALSE))</f>
        <v>0</v>
      </c>
      <c r="P70" s="37">
        <f>IFERROR(VLOOKUP($E70,bug_conf_sheet!$A:$H,6,FALSE),VLOOKUP("other",bug_conf_sheet!$A:$H,6,FALSE))</f>
        <v>0</v>
      </c>
      <c r="Q70" s="37">
        <f>IFERROR(VLOOKUP($E70,bug_conf_sheet!$A:$H,7,FALSE),VLOOKUP("other",bug_conf_sheet!$A:$H,7,FALSE))</f>
        <v>0</v>
      </c>
      <c r="R70" s="37">
        <f>IFERROR(VLOOKUP($E70,bug_conf_sheet!$A:$H,8,FALSE),VLOOKUP("other",bug_conf_sheet!$A:$H,8,FALSE))</f>
        <v>1</v>
      </c>
    </row>
    <row r="71" spans="2:18" ht="21" customHeight="1">
      <c r="B71" s="2">
        <v>1903</v>
      </c>
      <c r="C71" s="8" t="str">
        <f t="shared" si="10"/>
        <v>PremiumS5</v>
      </c>
      <c r="E71" s="6">
        <v>601</v>
      </c>
      <c r="F71" s="8" t="str">
        <f>VLOOKUP(E71,[1]characters!$A:$C,3,FALSE)</f>
        <v>界根蝕む悪食 ニーズヘッグ</v>
      </c>
      <c r="G71" s="8" t="str">
        <f>VLOOKUP(E71,[1]characters!$A:$J,10,FALSE)</f>
        <v>PremiumS</v>
      </c>
      <c r="H71" s="8">
        <f>VLOOKUP(E71,[1]characters!$A:$I,9,FALSE)</f>
        <v>5</v>
      </c>
      <c r="I71" s="8" t="str">
        <f>VLOOKUP(E71,[1]characters!$A:$H,8,FALSE)</f>
        <v>green</v>
      </c>
      <c r="J71" s="8" t="str">
        <f>VLOOKUP(E71,[1]characters!$A:$K,11,FALSE)</f>
        <v>attack</v>
      </c>
      <c r="K71" s="8" t="str">
        <f>VLOOKUP(E71,[1]characters!$A:$M,13,FALSE)</f>
        <v>dragon</v>
      </c>
      <c r="L71" s="35">
        <f t="shared" si="12"/>
        <v>1920</v>
      </c>
      <c r="M71" s="37">
        <f>IFERROR(VLOOKUP($E71,bug_conf_sheet!$A:$H,3,FALSE),VLOOKUP("other",bug_conf_sheet!$A:$H,3,FALSE))</f>
        <v>1</v>
      </c>
      <c r="N71" s="37">
        <f>IFERROR(VLOOKUP($E71,bug_conf_sheet!$A:$H,4,FALSE),VLOOKUP("other",bug_conf_sheet!$A:$H,4,FALSE))</f>
        <v>0</v>
      </c>
      <c r="O71" s="37">
        <f>IFERROR(VLOOKUP($E71,bug_conf_sheet!$A:$H,5,FALSE),VLOOKUP("other",bug_conf_sheet!$A:$H,5,FALSE))</f>
        <v>0</v>
      </c>
      <c r="P71" s="37">
        <f>IFERROR(VLOOKUP($E71,bug_conf_sheet!$A:$H,6,FALSE),VLOOKUP("other",bug_conf_sheet!$A:$H,6,FALSE))</f>
        <v>0</v>
      </c>
      <c r="Q71" s="37">
        <f>IFERROR(VLOOKUP($E71,bug_conf_sheet!$A:$H,7,FALSE),VLOOKUP("other",bug_conf_sheet!$A:$H,7,FALSE))</f>
        <v>0</v>
      </c>
      <c r="R71" s="37">
        <f>IFERROR(VLOOKUP($E71,bug_conf_sheet!$A:$H,8,FALSE),VLOOKUP("other",bug_conf_sheet!$A:$H,8,FALSE))</f>
        <v>1</v>
      </c>
    </row>
    <row r="72" spans="2:18" ht="21" hidden="1" customHeight="1">
      <c r="B72" s="2">
        <v>1903</v>
      </c>
      <c r="C72" s="8" t="str">
        <f t="shared" si="10"/>
        <v>PremiumSS5</v>
      </c>
      <c r="E72" s="6">
        <v>603</v>
      </c>
      <c r="F72" s="8" t="str">
        <f>VLOOKUP(E72,[1]characters!$A:$C,3,FALSE)</f>
        <v>掌愛の豊穣女神 フレイヤ</v>
      </c>
      <c r="G72" s="8" t="str">
        <f>VLOOKUP(E72,[1]characters!$A:$J,10,FALSE)</f>
        <v>PremiumSS</v>
      </c>
      <c r="H72" s="8">
        <f>VLOOKUP(E72,[1]characters!$A:$I,9,FALSE)</f>
        <v>5</v>
      </c>
      <c r="I72" s="8" t="str">
        <f>VLOOKUP(E72,[1]characters!$A:$H,8,FALSE)</f>
        <v>blue</v>
      </c>
      <c r="J72" s="8" t="str">
        <f>VLOOKUP(E72,[1]characters!$A:$K,11,FALSE)</f>
        <v>heal</v>
      </c>
      <c r="K72" s="8" t="str">
        <f>VLOOKUP(E72,[1]characters!$A:$M,13,FALSE)</f>
        <v>animal</v>
      </c>
      <c r="L72" s="35">
        <f>ROUND(0.04/22*100000,0)</f>
        <v>182</v>
      </c>
      <c r="M72" s="37">
        <f>IFERROR(VLOOKUP($E72,bug_conf_sheet!$A:$H,3,FALSE),VLOOKUP("other",bug_conf_sheet!$A:$H,3,FALSE))</f>
        <v>1</v>
      </c>
      <c r="N72" s="37">
        <f>IFERROR(VLOOKUP($E72,bug_conf_sheet!$A:$H,4,FALSE),VLOOKUP("other",bug_conf_sheet!$A:$H,4,FALSE))</f>
        <v>0</v>
      </c>
      <c r="O72" s="37">
        <f>IFERROR(VLOOKUP($E72,bug_conf_sheet!$A:$H,5,FALSE),VLOOKUP("other",bug_conf_sheet!$A:$H,5,FALSE))</f>
        <v>0</v>
      </c>
      <c r="P72" s="37">
        <f>IFERROR(VLOOKUP($E72,bug_conf_sheet!$A:$H,6,FALSE),VLOOKUP("other",bug_conf_sheet!$A:$H,6,FALSE))</f>
        <v>0</v>
      </c>
      <c r="Q72" s="37">
        <f>IFERROR(VLOOKUP($E72,bug_conf_sheet!$A:$H,7,FALSE),VLOOKUP("other",bug_conf_sheet!$A:$H,7,FALSE))</f>
        <v>0</v>
      </c>
      <c r="R72" s="37">
        <f>IFERROR(VLOOKUP($E72,bug_conf_sheet!$A:$H,8,FALSE),VLOOKUP("other",bug_conf_sheet!$A:$H,8,FALSE))</f>
        <v>1</v>
      </c>
    </row>
    <row r="73" spans="2:18" ht="21" customHeight="1">
      <c r="B73" s="2">
        <v>1903</v>
      </c>
      <c r="C73" s="8" t="str">
        <f t="shared" si="10"/>
        <v>PremiumS5</v>
      </c>
      <c r="E73" s="6">
        <v>606</v>
      </c>
      <c r="F73" s="8" t="str">
        <f>VLOOKUP(E73,[1]characters!$A:$C,3,FALSE)</f>
        <v>冀望の光芒 バルドル</v>
      </c>
      <c r="G73" s="8" t="str">
        <f>VLOOKUP(E73,[1]characters!$A:$J,10,FALSE)</f>
        <v>PremiumS</v>
      </c>
      <c r="H73" s="8">
        <f>VLOOKUP(E73,[1]characters!$A:$I,9,FALSE)</f>
        <v>5</v>
      </c>
      <c r="I73" s="8" t="str">
        <f>VLOOKUP(E73,[1]characters!$A:$H,8,FALSE)</f>
        <v>yellow</v>
      </c>
      <c r="J73" s="8" t="str">
        <f>VLOOKUP(E73,[1]characters!$A:$K,11,FALSE)</f>
        <v>heal</v>
      </c>
      <c r="K73" s="8" t="str">
        <f>VLOOKUP(E73,[1]characters!$A:$M,13,FALSE)</f>
        <v>god</v>
      </c>
      <c r="L73" s="35">
        <f>ROUND(0.96/50*100000,0)</f>
        <v>1920</v>
      </c>
      <c r="M73" s="37">
        <f>IFERROR(VLOOKUP($E73,bug_conf_sheet!$A:$H,3,FALSE),VLOOKUP("other",bug_conf_sheet!$A:$H,3,FALSE))</f>
        <v>1</v>
      </c>
      <c r="N73" s="37">
        <f>IFERROR(VLOOKUP($E73,bug_conf_sheet!$A:$H,4,FALSE),VLOOKUP("other",bug_conf_sheet!$A:$H,4,FALSE))</f>
        <v>0</v>
      </c>
      <c r="O73" s="37">
        <f>IFERROR(VLOOKUP($E73,bug_conf_sheet!$A:$H,5,FALSE),VLOOKUP("other",bug_conf_sheet!$A:$H,5,FALSE))</f>
        <v>0</v>
      </c>
      <c r="P73" s="37">
        <f>IFERROR(VLOOKUP($E73,bug_conf_sheet!$A:$H,6,FALSE),VLOOKUP("other",bug_conf_sheet!$A:$H,6,FALSE))</f>
        <v>0</v>
      </c>
      <c r="Q73" s="37">
        <f>IFERROR(VLOOKUP($E73,bug_conf_sheet!$A:$H,7,FALSE),VLOOKUP("other",bug_conf_sheet!$A:$H,7,FALSE))</f>
        <v>0</v>
      </c>
      <c r="R73" s="37">
        <f>IFERROR(VLOOKUP($E73,bug_conf_sheet!$A:$H,8,FALSE),VLOOKUP("other",bug_conf_sheet!$A:$H,8,FALSE))</f>
        <v>1</v>
      </c>
    </row>
  </sheetData>
  <autoFilter ref="A1:R74">
    <filterColumn colId="6">
      <filters blank="1">
        <filter val="PremiumN"/>
        <filter val="PremiumS"/>
      </filters>
    </filterColumn>
  </autoFilter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M24" sqref="M24"/>
      <selection pane="bottomLeft" activeCell="K6" sqref="K6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1900</v>
      </c>
      <c r="C2" s="1">
        <v>19001</v>
      </c>
      <c r="D2" s="1" t="s">
        <v>210</v>
      </c>
      <c r="E2" s="1">
        <v>10</v>
      </c>
      <c r="F2" s="1" t="s">
        <v>211</v>
      </c>
      <c r="G2" s="1">
        <v>1</v>
      </c>
      <c r="H2" s="1" t="s">
        <v>213</v>
      </c>
      <c r="I2" s="151" t="s">
        <v>218</v>
      </c>
      <c r="J2" s="151" t="s">
        <v>216</v>
      </c>
      <c r="K2" s="151" t="s">
        <v>220</v>
      </c>
    </row>
    <row r="3" spans="1:11" ht="21" customHeight="1">
      <c r="B3" s="1">
        <v>1901</v>
      </c>
      <c r="C3" s="1">
        <v>19011</v>
      </c>
      <c r="D3" s="1" t="s">
        <v>210</v>
      </c>
      <c r="E3" s="1">
        <v>1</v>
      </c>
      <c r="F3" s="1" t="s">
        <v>212</v>
      </c>
      <c r="G3" s="1">
        <v>1</v>
      </c>
      <c r="H3" s="1" t="s">
        <v>214</v>
      </c>
      <c r="I3" s="151" t="s">
        <v>215</v>
      </c>
      <c r="J3" s="151" t="s">
        <v>217</v>
      </c>
      <c r="K3" s="151" t="s">
        <v>221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C16" sqref="C16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4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190</v>
      </c>
    </row>
    <row r="5" spans="1:8">
      <c r="A5" s="41" t="s">
        <v>75</v>
      </c>
      <c r="B5" s="42" t="str">
        <f>$A$3 &amp; "1"</f>
        <v>1901</v>
      </c>
      <c r="D5" s="41" t="s">
        <v>78</v>
      </c>
      <c r="E5" s="42" t="str">
        <f>$A$3 &amp; "0"</f>
        <v>1900</v>
      </c>
      <c r="G5" s="41" t="s">
        <v>79</v>
      </c>
      <c r="H5" s="42" t="str">
        <f>$A$3 &amp; "3"</f>
        <v>1903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198</v>
      </c>
      <c r="B12" s="44"/>
      <c r="D12" s="43" t="s">
        <v>198</v>
      </c>
      <c r="E12" s="44"/>
      <c r="G12" s="43" t="s">
        <v>198</v>
      </c>
      <c r="H12" s="44"/>
    </row>
    <row r="13" spans="1:8">
      <c r="A13" s="46">
        <f>COUNTIF(gacha_select_tables!$B:$B,B5)</f>
        <v>234</v>
      </c>
      <c r="B13" s="44"/>
      <c r="D13" s="46">
        <f>COUNTIF(gacha_select_tables!$B:$B,E5)</f>
        <v>164</v>
      </c>
      <c r="E13" s="44"/>
      <c r="G13" s="46">
        <f>COUNTIF(gacha_settle_tables!$B:$B,H5)</f>
        <v>72</v>
      </c>
      <c r="H13" s="44"/>
    </row>
    <row r="14" spans="1:8">
      <c r="A14" s="141"/>
      <c r="B14" s="45"/>
      <c r="D14" s="141"/>
      <c r="E14" s="45"/>
      <c r="G14" s="141"/>
      <c r="H14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2016-02-16T12:02:51Z</dcterms:modified>
</cp:coreProperties>
</file>