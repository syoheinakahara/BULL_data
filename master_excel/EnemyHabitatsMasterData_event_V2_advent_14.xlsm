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13520" yWindow="5540" windowWidth="38320" windowHeight="1846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8" i="11" l="1"/>
  <c r="O27" i="9"/>
  <c r="N27" i="9"/>
  <c r="M27" i="9"/>
  <c r="L27" i="9"/>
  <c r="K27" i="9"/>
  <c r="J27" i="9"/>
  <c r="I27" i="9"/>
  <c r="H27" i="9"/>
  <c r="G27" i="9"/>
  <c r="E27" i="9"/>
  <c r="D27" i="9"/>
  <c r="A27" i="9"/>
  <c r="J37" i="11"/>
  <c r="O26" i="9"/>
  <c r="N26" i="9"/>
  <c r="M26" i="9"/>
  <c r="L26" i="9"/>
  <c r="K26" i="9"/>
  <c r="J26" i="9"/>
  <c r="I26" i="9"/>
  <c r="H26" i="9"/>
  <c r="G26" i="9"/>
  <c r="E26" i="9"/>
  <c r="D26" i="9"/>
  <c r="A26" i="9"/>
  <c r="J36" i="11"/>
  <c r="O25" i="9"/>
  <c r="N25" i="9"/>
  <c r="M25" i="9"/>
  <c r="L25" i="9"/>
  <c r="K25" i="9"/>
  <c r="J25" i="9"/>
  <c r="I25" i="9"/>
  <c r="H25" i="9"/>
  <c r="G25" i="9"/>
  <c r="E25" i="9"/>
  <c r="D25" i="9"/>
  <c r="A25" i="9"/>
  <c r="J35" i="11"/>
  <c r="O19" i="9"/>
  <c r="N19" i="9"/>
  <c r="M19" i="9"/>
  <c r="L19" i="9"/>
  <c r="K19" i="9"/>
  <c r="J19" i="9"/>
  <c r="I19" i="9"/>
  <c r="H19" i="9"/>
  <c r="G19" i="9"/>
  <c r="E19" i="9"/>
  <c r="D19" i="9"/>
  <c r="A19" i="9"/>
  <c r="J34" i="11"/>
  <c r="O18" i="9"/>
  <c r="N18" i="9"/>
  <c r="M18" i="9"/>
  <c r="L18" i="9"/>
  <c r="K18" i="9"/>
  <c r="J18" i="9"/>
  <c r="I18" i="9"/>
  <c r="H18" i="9"/>
  <c r="G18" i="9"/>
  <c r="E18" i="9"/>
  <c r="D18" i="9"/>
  <c r="A18" i="9"/>
  <c r="J33" i="11"/>
  <c r="O17" i="9"/>
  <c r="N17" i="9"/>
  <c r="M17" i="9"/>
  <c r="L17" i="9"/>
  <c r="K17" i="9"/>
  <c r="J17" i="9"/>
  <c r="I17" i="9"/>
  <c r="H17" i="9"/>
  <c r="G17" i="9"/>
  <c r="E17" i="9"/>
  <c r="D17" i="9"/>
  <c r="A17" i="9"/>
  <c r="C17" i="18"/>
  <c r="D17" i="18"/>
  <c r="L52" i="9"/>
  <c r="L53" i="9"/>
  <c r="L54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J44" i="11"/>
  <c r="O54" i="9"/>
  <c r="N54" i="9"/>
  <c r="M54" i="9"/>
  <c r="K54" i="9"/>
  <c r="J54" i="9"/>
  <c r="I54" i="9"/>
  <c r="H54" i="9"/>
  <c r="G54" i="9"/>
  <c r="E54" i="9"/>
  <c r="D54" i="9"/>
  <c r="A54" i="9"/>
  <c r="J43" i="11"/>
  <c r="O53" i="9"/>
  <c r="N53" i="9"/>
  <c r="M53" i="9"/>
  <c r="K53" i="9"/>
  <c r="J53" i="9"/>
  <c r="I53" i="9"/>
  <c r="H53" i="9"/>
  <c r="G53" i="9"/>
  <c r="E53" i="9"/>
  <c r="D53" i="9"/>
  <c r="A53" i="9"/>
  <c r="J42" i="11"/>
  <c r="O52" i="9"/>
  <c r="N52" i="9"/>
  <c r="M52" i="9"/>
  <c r="K52" i="9"/>
  <c r="J52" i="9"/>
  <c r="I52" i="9"/>
  <c r="H52" i="9"/>
  <c r="G52" i="9"/>
  <c r="E52" i="9"/>
  <c r="D52" i="9"/>
  <c r="A52" i="9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A39" i="9"/>
  <c r="D39" i="9"/>
  <c r="E39" i="9"/>
  <c r="G39" i="9"/>
  <c r="H39" i="9"/>
  <c r="I39" i="9"/>
  <c r="J39" i="9"/>
  <c r="K39" i="9"/>
  <c r="L39" i="9"/>
  <c r="M39" i="9"/>
  <c r="N39" i="9"/>
  <c r="J39" i="11"/>
  <c r="O39" i="9"/>
  <c r="A40" i="9"/>
  <c r="D40" i="9"/>
  <c r="E40" i="9"/>
  <c r="G40" i="9"/>
  <c r="H40" i="9"/>
  <c r="I40" i="9"/>
  <c r="J40" i="9"/>
  <c r="K40" i="9"/>
  <c r="L40" i="9"/>
  <c r="M40" i="9"/>
  <c r="N40" i="9"/>
  <c r="J40" i="11"/>
  <c r="O40" i="9"/>
  <c r="A41" i="9"/>
  <c r="D41" i="9"/>
  <c r="E41" i="9"/>
  <c r="G41" i="9"/>
  <c r="H41" i="9"/>
  <c r="I41" i="9"/>
  <c r="J41" i="9"/>
  <c r="K41" i="9"/>
  <c r="L41" i="9"/>
  <c r="M41" i="9"/>
  <c r="N41" i="9"/>
  <c r="J41" i="11"/>
  <c r="O41" i="9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A28" i="9"/>
  <c r="D28" i="9"/>
  <c r="E28" i="9"/>
  <c r="G28" i="9"/>
  <c r="H28" i="9"/>
  <c r="I28" i="9"/>
  <c r="J28" i="9"/>
  <c r="K28" i="9"/>
  <c r="L28" i="9"/>
  <c r="M28" i="9"/>
  <c r="N28" i="9"/>
  <c r="O28" i="9"/>
  <c r="A29" i="9"/>
  <c r="D29" i="9"/>
  <c r="E29" i="9"/>
  <c r="G29" i="9"/>
  <c r="H29" i="9"/>
  <c r="I29" i="9"/>
  <c r="J29" i="9"/>
  <c r="K29" i="9"/>
  <c r="L29" i="9"/>
  <c r="M29" i="9"/>
  <c r="N29" i="9"/>
  <c r="O29" i="9"/>
  <c r="A30" i="9"/>
  <c r="D30" i="9"/>
  <c r="E30" i="9"/>
  <c r="G30" i="9"/>
  <c r="H30" i="9"/>
  <c r="I30" i="9"/>
  <c r="J30" i="9"/>
  <c r="K30" i="9"/>
  <c r="L30" i="9"/>
  <c r="M30" i="9"/>
  <c r="N30" i="9"/>
  <c r="O30" i="9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J32" i="11"/>
  <c r="J31" i="11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J23" i="11"/>
  <c r="O51" i="9"/>
  <c r="N51" i="9"/>
  <c r="M51" i="9"/>
  <c r="L51" i="9"/>
  <c r="K51" i="9"/>
  <c r="J51" i="9"/>
  <c r="I51" i="9"/>
  <c r="H51" i="9"/>
  <c r="G51" i="9"/>
  <c r="E51" i="9"/>
  <c r="D51" i="9"/>
  <c r="A51" i="9"/>
  <c r="J22" i="11"/>
  <c r="O50" i="9"/>
  <c r="N50" i="9"/>
  <c r="M50" i="9"/>
  <c r="L50" i="9"/>
  <c r="K50" i="9"/>
  <c r="J50" i="9"/>
  <c r="I50" i="9"/>
  <c r="H50" i="9"/>
  <c r="G50" i="9"/>
  <c r="E50" i="9"/>
  <c r="D50" i="9"/>
  <c r="A50" i="9"/>
  <c r="J21" i="11"/>
  <c r="O49" i="9"/>
  <c r="N49" i="9"/>
  <c r="M49" i="9"/>
  <c r="L49" i="9"/>
  <c r="K49" i="9"/>
  <c r="J49" i="9"/>
  <c r="I49" i="9"/>
  <c r="H49" i="9"/>
  <c r="G49" i="9"/>
  <c r="E49" i="9"/>
  <c r="D49" i="9"/>
  <c r="A49" i="9"/>
  <c r="J20" i="11"/>
  <c r="O48" i="9"/>
  <c r="N48" i="9"/>
  <c r="M48" i="9"/>
  <c r="L48" i="9"/>
  <c r="K48" i="9"/>
  <c r="J48" i="9"/>
  <c r="I48" i="9"/>
  <c r="H48" i="9"/>
  <c r="G48" i="9"/>
  <c r="E48" i="9"/>
  <c r="D48" i="9"/>
  <c r="A48" i="9"/>
  <c r="J19" i="11"/>
  <c r="O47" i="9"/>
  <c r="N47" i="9"/>
  <c r="M47" i="9"/>
  <c r="L47" i="9"/>
  <c r="K47" i="9"/>
  <c r="J47" i="9"/>
  <c r="I47" i="9"/>
  <c r="H47" i="9"/>
  <c r="G47" i="9"/>
  <c r="E47" i="9"/>
  <c r="D47" i="9"/>
  <c r="A47" i="9"/>
  <c r="J30" i="11"/>
  <c r="O46" i="9"/>
  <c r="N46" i="9"/>
  <c r="M46" i="9"/>
  <c r="L46" i="9"/>
  <c r="K46" i="9"/>
  <c r="J46" i="9"/>
  <c r="I46" i="9"/>
  <c r="H46" i="9"/>
  <c r="G46" i="9"/>
  <c r="E46" i="9"/>
  <c r="D46" i="9"/>
  <c r="A46" i="9"/>
  <c r="J17" i="11"/>
  <c r="O45" i="9"/>
  <c r="N45" i="9"/>
  <c r="M45" i="9"/>
  <c r="L45" i="9"/>
  <c r="K45" i="9"/>
  <c r="J45" i="9"/>
  <c r="I45" i="9"/>
  <c r="H45" i="9"/>
  <c r="G45" i="9"/>
  <c r="E45" i="9"/>
  <c r="D45" i="9"/>
  <c r="A45" i="9"/>
  <c r="J16" i="11"/>
  <c r="O44" i="9"/>
  <c r="N44" i="9"/>
  <c r="M44" i="9"/>
  <c r="L44" i="9"/>
  <c r="K44" i="9"/>
  <c r="J44" i="9"/>
  <c r="I44" i="9"/>
  <c r="H44" i="9"/>
  <c r="G44" i="9"/>
  <c r="E44" i="9"/>
  <c r="D44" i="9"/>
  <c r="A44" i="9"/>
  <c r="J15" i="11"/>
  <c r="O43" i="9"/>
  <c r="N43" i="9"/>
  <c r="M43" i="9"/>
  <c r="L43" i="9"/>
  <c r="K43" i="9"/>
  <c r="J43" i="9"/>
  <c r="I43" i="9"/>
  <c r="H43" i="9"/>
  <c r="G43" i="9"/>
  <c r="E43" i="9"/>
  <c r="D43" i="9"/>
  <c r="A43" i="9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C11" i="18"/>
  <c r="C12" i="18"/>
  <c r="C13" i="18"/>
  <c r="C14" i="18"/>
  <c r="C15" i="18"/>
  <c r="C16" i="18"/>
  <c r="C18" i="18"/>
  <c r="A9" i="18"/>
  <c r="C9" i="18"/>
  <c r="A10" i="18"/>
  <c r="C10" i="18"/>
  <c r="D16" i="18"/>
  <c r="C7" i="18"/>
  <c r="D7" i="18"/>
  <c r="D18" i="18"/>
  <c r="D15" i="18"/>
  <c r="D14" i="18"/>
  <c r="D13" i="18"/>
  <c r="D12" i="18"/>
  <c r="D11" i="18"/>
  <c r="D10" i="18"/>
  <c r="D9" i="18"/>
  <c r="C8" i="18"/>
  <c r="D8" i="18"/>
  <c r="C6" i="18"/>
  <c r="D6" i="18"/>
  <c r="C5" i="18"/>
  <c r="D5" i="18"/>
  <c r="C4" i="18"/>
  <c r="D4" i="18"/>
  <c r="C3" i="18"/>
  <c r="D3" i="18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E9" i="2"/>
  <c r="D7" i="9"/>
  <c r="D8" i="9"/>
  <c r="Y2" i="7"/>
  <c r="J29" i="11"/>
  <c r="O42" i="9"/>
  <c r="N42" i="9"/>
  <c r="M42" i="9"/>
  <c r="L42" i="9"/>
  <c r="K42" i="9"/>
  <c r="J42" i="9"/>
  <c r="I42" i="9"/>
  <c r="H42" i="9"/>
  <c r="G42" i="9"/>
  <c r="E42" i="9"/>
  <c r="D42" i="9"/>
  <c r="A42" i="9"/>
  <c r="J28" i="11"/>
  <c r="O38" i="9"/>
  <c r="N38" i="9"/>
  <c r="M38" i="9"/>
  <c r="L38" i="9"/>
  <c r="K38" i="9"/>
  <c r="J38" i="9"/>
  <c r="I38" i="9"/>
  <c r="H38" i="9"/>
  <c r="G38" i="9"/>
  <c r="E38" i="9"/>
  <c r="D38" i="9"/>
  <c r="A38" i="9"/>
  <c r="J27" i="11"/>
  <c r="O37" i="9"/>
  <c r="N37" i="9"/>
  <c r="M37" i="9"/>
  <c r="L37" i="9"/>
  <c r="K37" i="9"/>
  <c r="J37" i="9"/>
  <c r="I37" i="9"/>
  <c r="H37" i="9"/>
  <c r="G37" i="9"/>
  <c r="E37" i="9"/>
  <c r="D37" i="9"/>
  <c r="A37" i="9"/>
  <c r="J26" i="11"/>
  <c r="O36" i="9"/>
  <c r="N36" i="9"/>
  <c r="M36" i="9"/>
  <c r="L36" i="9"/>
  <c r="K36" i="9"/>
  <c r="J36" i="9"/>
  <c r="I36" i="9"/>
  <c r="H36" i="9"/>
  <c r="G36" i="9"/>
  <c r="E36" i="9"/>
  <c r="D36" i="9"/>
  <c r="A36" i="9"/>
  <c r="J25" i="11"/>
  <c r="O35" i="9"/>
  <c r="N35" i="9"/>
  <c r="M35" i="9"/>
  <c r="L35" i="9"/>
  <c r="K35" i="9"/>
  <c r="J35" i="9"/>
  <c r="I35" i="9"/>
  <c r="H35" i="9"/>
  <c r="G35" i="9"/>
  <c r="E35" i="9"/>
  <c r="D35" i="9"/>
  <c r="A35" i="9"/>
  <c r="J24" i="11"/>
  <c r="O34" i="9"/>
  <c r="N34" i="9"/>
  <c r="M34" i="9"/>
  <c r="L34" i="9"/>
  <c r="K34" i="9"/>
  <c r="J34" i="9"/>
  <c r="I34" i="9"/>
  <c r="H34" i="9"/>
  <c r="G34" i="9"/>
  <c r="E34" i="9"/>
  <c r="D34" i="9"/>
  <c r="A34" i="9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J18" i="11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3" i="9"/>
  <c r="N13" i="9"/>
  <c r="M13" i="9"/>
  <c r="L13" i="9"/>
  <c r="K13" i="9"/>
  <c r="J13" i="9"/>
  <c r="I13" i="9"/>
  <c r="H13" i="9"/>
  <c r="G13" i="9"/>
  <c r="E13" i="9"/>
  <c r="D13" i="9"/>
  <c r="A13" i="9"/>
  <c r="J14" i="11"/>
  <c r="O12" i="9"/>
  <c r="N12" i="9"/>
  <c r="M12" i="9"/>
  <c r="L12" i="9"/>
  <c r="K12" i="9"/>
  <c r="J12" i="9"/>
  <c r="I12" i="9"/>
  <c r="H12" i="9"/>
  <c r="G12" i="9"/>
  <c r="E12" i="9"/>
  <c r="D12" i="9"/>
  <c r="A12" i="9"/>
  <c r="J13" i="11"/>
  <c r="O11" i="9"/>
  <c r="N11" i="9"/>
  <c r="M11" i="9"/>
  <c r="L11" i="9"/>
  <c r="K11" i="9"/>
  <c r="J11" i="9"/>
  <c r="I11" i="9"/>
  <c r="H11" i="9"/>
  <c r="G11" i="9"/>
  <c r="E11" i="9"/>
  <c r="D11" i="9"/>
  <c r="A11" i="9"/>
  <c r="J12" i="11"/>
  <c r="O10" i="9"/>
  <c r="N10" i="9"/>
  <c r="M10" i="9"/>
  <c r="L10" i="9"/>
  <c r="K10" i="9"/>
  <c r="J10" i="9"/>
  <c r="I10" i="9"/>
  <c r="H10" i="9"/>
  <c r="G10" i="9"/>
  <c r="E10" i="9"/>
  <c r="D10" i="9"/>
  <c r="A10" i="9"/>
  <c r="J11" i="11"/>
  <c r="O9" i="9"/>
  <c r="N9" i="9"/>
  <c r="M9" i="9"/>
  <c r="L9" i="9"/>
  <c r="K9" i="9"/>
  <c r="J9" i="9"/>
  <c r="I9" i="9"/>
  <c r="H9" i="9"/>
  <c r="G9" i="9"/>
  <c r="E9" i="9"/>
  <c r="D9" i="9"/>
  <c r="A9" i="9"/>
  <c r="J9" i="11"/>
  <c r="O8" i="9"/>
  <c r="N8" i="9"/>
  <c r="M8" i="9"/>
  <c r="L8" i="9"/>
  <c r="K8" i="9"/>
  <c r="J8" i="9"/>
  <c r="I8" i="9"/>
  <c r="H8" i="9"/>
  <c r="G8" i="9"/>
  <c r="E8" i="9"/>
  <c r="A8" i="9"/>
  <c r="J8" i="11"/>
  <c r="O7" i="9"/>
  <c r="N7" i="9"/>
  <c r="M7" i="9"/>
  <c r="L7" i="9"/>
  <c r="K7" i="9"/>
  <c r="J7" i="9"/>
  <c r="I7" i="9"/>
  <c r="H7" i="9"/>
  <c r="G7" i="9"/>
  <c r="E7" i="9"/>
  <c r="A7" i="9"/>
  <c r="J7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J10" i="11"/>
  <c r="J6" i="11"/>
  <c r="J2" i="11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AF15" i="1"/>
  <c r="AI15" i="1"/>
  <c r="AG15" i="1"/>
  <c r="AE15" i="1"/>
  <c r="AC15" i="1"/>
  <c r="X15" i="1"/>
  <c r="V15" i="1"/>
  <c r="T15" i="1"/>
  <c r="Q15" i="1"/>
  <c r="P15" i="1"/>
  <c r="O15" i="1"/>
  <c r="N15" i="1"/>
  <c r="M15" i="1"/>
  <c r="H15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15" i="1"/>
  <c r="I15" i="1"/>
  <c r="D15" i="1"/>
  <c r="F15" i="1"/>
  <c r="E15" i="1"/>
  <c r="A15" i="1"/>
  <c r="AF14" i="1"/>
  <c r="AI14" i="1"/>
  <c r="AG14" i="1"/>
  <c r="AE14" i="1"/>
  <c r="AC14" i="1"/>
  <c r="X14" i="1"/>
  <c r="V14" i="1"/>
  <c r="T14" i="1"/>
  <c r="Q14" i="1"/>
  <c r="P14" i="1"/>
  <c r="O14" i="1"/>
  <c r="N14" i="1"/>
  <c r="M14" i="1"/>
  <c r="H14" i="1"/>
  <c r="J14" i="1"/>
  <c r="I14" i="1"/>
  <c r="D14" i="1"/>
  <c r="F14" i="1"/>
  <c r="E14" i="1"/>
  <c r="A14" i="1"/>
  <c r="AF13" i="1"/>
  <c r="AI13" i="1"/>
  <c r="AG13" i="1"/>
  <c r="AE13" i="1"/>
  <c r="AC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F12" i="1"/>
  <c r="AI12" i="1"/>
  <c r="AG12" i="1"/>
  <c r="AE12" i="1"/>
  <c r="AC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F11" i="1"/>
  <c r="AI11" i="1"/>
  <c r="AG11" i="1"/>
  <c r="AE11" i="1"/>
  <c r="AC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F10" i="1"/>
  <c r="AI10" i="1"/>
  <c r="AG10" i="1"/>
  <c r="AE10" i="1"/>
  <c r="AC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F9" i="1"/>
  <c r="AI9" i="1"/>
  <c r="AG9" i="1"/>
  <c r="AE9" i="1"/>
  <c r="AC9" i="1"/>
  <c r="E2" i="9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A7" i="7"/>
  <c r="Y7" i="7"/>
  <c r="W7" i="7"/>
  <c r="U7" i="7"/>
  <c r="R7" i="7"/>
  <c r="Q7" i="7"/>
  <c r="P7" i="7"/>
  <c r="O7" i="7"/>
  <c r="N7" i="7"/>
  <c r="H7" i="7"/>
  <c r="J7" i="7"/>
  <c r="I7" i="7"/>
  <c r="D7" i="7"/>
  <c r="F7" i="7"/>
  <c r="E7" i="7"/>
  <c r="A7" i="7"/>
  <c r="AA6" i="7"/>
  <c r="Y6" i="7"/>
  <c r="W6" i="7"/>
  <c r="U6" i="7"/>
  <c r="R6" i="7"/>
  <c r="Q6" i="7"/>
  <c r="P6" i="7"/>
  <c r="O6" i="7"/>
  <c r="N6" i="7"/>
  <c r="H6" i="7"/>
  <c r="J6" i="7"/>
  <c r="I6" i="7"/>
  <c r="D6" i="7"/>
  <c r="F6" i="7"/>
  <c r="E6" i="7"/>
  <c r="A6" i="7"/>
  <c r="AA5" i="7"/>
  <c r="Y5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F7" i="1"/>
  <c r="AI7" i="1"/>
  <c r="AG7" i="1"/>
  <c r="AE7" i="1"/>
  <c r="AC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F6" i="1"/>
  <c r="AI6" i="1"/>
  <c r="AG6" i="1"/>
  <c r="AE6" i="1"/>
  <c r="AC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F5" i="1"/>
  <c r="AI5" i="1"/>
  <c r="AG5" i="1"/>
  <c r="AE5" i="1"/>
  <c r="AC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F4" i="1"/>
  <c r="AI4" i="1"/>
  <c r="AG4" i="1"/>
  <c r="AE4" i="1"/>
  <c r="AC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F3" i="1"/>
  <c r="AI3" i="1"/>
  <c r="AG3" i="1"/>
  <c r="AE3" i="1"/>
  <c r="AC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AF2" i="1"/>
  <c r="AI2" i="1"/>
  <c r="AG2" i="1"/>
  <c r="AE2" i="1"/>
  <c r="AC2" i="1"/>
  <c r="X2" i="1"/>
  <c r="V2" i="1"/>
  <c r="T2" i="1"/>
  <c r="Q2" i="1"/>
  <c r="P2" i="1"/>
  <c r="O2" i="1"/>
  <c r="N2" i="1"/>
  <c r="M2" i="1"/>
  <c r="H2" i="1"/>
  <c r="J2" i="1"/>
  <c r="I2" i="1"/>
  <c r="D2" i="1"/>
  <c r="F2" i="1"/>
  <c r="E2" i="1"/>
  <c r="A2" i="1"/>
  <c r="H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W2" i="7"/>
  <c r="U2" i="7"/>
  <c r="N2" i="22"/>
  <c r="G2" i="22"/>
  <c r="F2" i="22"/>
  <c r="D2" i="22"/>
  <c r="C2" i="22"/>
  <c r="A2" i="22"/>
  <c r="E13" i="16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B15" i="19"/>
  <c r="C15" i="19"/>
  <c r="D15" i="19"/>
  <c r="F15" i="19"/>
  <c r="G15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B2" i="21"/>
  <c r="I2" i="21"/>
  <c r="J2" i="21"/>
  <c r="G2" i="21"/>
  <c r="F2" i="21"/>
  <c r="D2" i="21"/>
  <c r="C2" i="21"/>
  <c r="E12" i="16"/>
  <c r="E11" i="16"/>
  <c r="E10" i="16"/>
  <c r="C2" i="18"/>
  <c r="D2" i="18"/>
  <c r="O2" i="9"/>
  <c r="N2" i="9"/>
  <c r="M2" i="9"/>
  <c r="L2" i="9"/>
  <c r="K2" i="9"/>
  <c r="J2" i="9"/>
  <c r="I2" i="9"/>
  <c r="H2" i="9"/>
  <c r="G2" i="9"/>
  <c r="D2" i="9"/>
  <c r="AA2" i="7"/>
  <c r="E9" i="16"/>
  <c r="R2" i="7"/>
  <c r="Q2" i="7"/>
  <c r="P2" i="7"/>
  <c r="O2" i="7"/>
  <c r="N2" i="7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9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<sst xmlns="http://schemas.openxmlformats.org/spreadsheetml/2006/main" count="936" uniqueCount="337">
  <si>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</si>
  <si>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</si>
  <si>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</si>
  <si>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</si>
  <si>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</si>
  <si>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</si>
  <si>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</si>
  <si>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</si>
  <si>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</si>
  <si>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</si>
  <si>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</si>
  <si>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</si>
  <si>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</si>
  <si>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</si>
  <si>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</si>
  <si>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</si>
  <si>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</si>
  <si>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</si>
  <si>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</si>
  <si>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</si>
  <si>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</si>
  <si>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</si>
  <si>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</si>
  <si>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</si>
  <si>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</si>
  <si>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</si>
  <si>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</si>
  <si>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</si>
  <si>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</si>
  <si>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</si>
  <si>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</si>
  <si>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</si>
  <si>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</si>
  <si>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</si>
  <si>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</si>
  <si>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</si>
  <si>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</si>
  <si>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</si>
  <si>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</si>
  <si>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</si>
  <si>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</si>
  <si>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</si>
  <si>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</si>
  <si>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</si>
  <si>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</si>
  <si>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</si>
  <si>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</si>
  <si>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</si>
  <si>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</si>
  <si>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</si>
  <si>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</si>
  <si>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</si>
  <si>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</si>
  <si>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</si>
  <si>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</si>
  <si>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</si>
  <si>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</si>
  <si>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</si>
  <si>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</si>
  <si>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</si>
  <si>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</si>
  <si>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</si>
  <si>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</si>
  <si>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</si>
  <si>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</si>
  <si>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</si>
  <si>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</si>
  <si>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</si>
  <si>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</si>
  <si>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</si>
  <si>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</si>
  <si>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</si>
  <si>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</si>
  <si>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</si>
  <si>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</si>
  <si>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</si>
  <si>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</si>
  <si>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</si>
  <si>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</si>
  <si>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</si>
  <si>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</si>
  <si>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</si>
  <si>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</si>
  <si>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</si>
  <si>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</si>
  <si>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</si>
  <si>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</si>
  <si>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</si>
  <si>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</si>
  <si>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</si>
  <si>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</si>
  <si>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</si>
  <si>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</si>
  <si>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</si>
  <si>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</si>
  <si>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</si>
  <si>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</si>
  <si>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</si>
  <si>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</si>
  <si>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</si>
  <si>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</si>
  <si>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</si>
  <si>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</si>
  <si>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</si>
  <si>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</si>
  <si>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</si>
  <si>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</si>
  <si>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</si>
  <si>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</si>
  <si>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</si>
  <si>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</si>
  <si>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</si>
  <si>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</si>
  <si>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</si>
  <si>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</si>
  <si>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</si>
  <si>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</si>
  <si>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</si>
  <si>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</si>
  <si>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</si>
  <si>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</si>
  <si>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</si>
  <si>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</si>
  <si>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</si>
  <si>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</si>
  <si>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</si>
  <si>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</si>
  <si>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</si>
  <si>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</si>
  <si>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</si>
  <si>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</si>
  <si>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</si>
  <si>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</si>
  <si>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</si>
  <si>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</si>
  <si>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</si>
  <si>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</si>
  <si>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</si>
  <si>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</si>
  <si>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</si>
  <si>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</si>
  <si>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</si>
  <si>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</si>
  <si>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</si>
  <si>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</si>
  <si>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</si>
  <si>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</si>
  <si>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</si>
  <si>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</si>
  <si>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</si>
  <si>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</si>
  <si>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</si>
  <si>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</si>
  <si>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</si>
  <si>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</si>
  <si>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</si>
  <si>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</si>
  <si>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</si>
  <si>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</si>
  <si>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</si>
  <si>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</si>
  <si>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</si>
  <si>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</si>
  <si>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</si>
  <si>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</si>
  <si>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</si>
  <si>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</si>
  <si>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</si>
  <si>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</si>
  <si>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</si>
  <si>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</si>
  <si>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</si>
  <si>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</si>
  <si>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</si>
  <si>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</si>
  <si>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</si>
  <si>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</si>
  <si>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</si>
  <si>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</si>
  <si>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</si>
  <si>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</si>
  <si>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</si>
  <si>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</si>
  <si>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</si>
  <si>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</si>
  <si>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</si>
  <si>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</si>
  <si>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</si>
  <si>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</si>
  <si>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</si>
  <si>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</si>
  <si>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</si>
  <si>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</si>
  <si>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</si>
  <si>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</si>
  <si>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</si>
  <si>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</si>
  <si>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</si>
  <si>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</si>
  <si>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</si>
  <si>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</si>
  <si>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</si>
  <si>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</si>
  <si>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</si>
  <si>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</si>
  <si>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</si>
  <si>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</si>
  <si>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</si>
  <si>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</si>
  <si>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</si>
  <si>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</si>
  <si>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</si>
  <si>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</si>
  <si>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</si>
  <si>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</si>
  <si>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</si>
  <si>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</si>
  <si>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</si>
  <si>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</si>
  <si>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</si>
  <si>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</si>
  <si>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</si>
  <si>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</si>
  <si>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</si>
  <si>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</si>
  <si>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</si>
  <si>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</si>
  <si>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</si>
  <si>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</si>
  <si>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</si>
  <si>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</si>
  <si>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</si>
  <si>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</si>
  <si>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</si>
  <si>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</si>
  <si>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</si>
  <si>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</si>
  <si>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</si>
  <si>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</si>
  <si>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</si>
  <si>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</si>
  <si>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</si>
  <si>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</si>
  <si>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</si>
  <si>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</si>
  <si>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</si>
  <si>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</si>
  <si>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</si>
  <si>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</si>
  <si>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</si>
  <si>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</si>
  <si>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</si>
  <si>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</si>
  <si>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</si>
  <si>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old</t>
  </si>
  <si>
    <t>[effect:enhance_enemy, target:enemy_all, turn:3, status:defense, val:3000, animation:enemy_enhance_defense]</t>
    <phoneticPr fontId="5"/>
  </si>
  <si>
    <t>グリーンプロテクト</t>
    <phoneticPr fontId="5"/>
  </si>
  <si>
    <t>[effect:nothing]</t>
    <phoneticPr fontId="5"/>
  </si>
  <si>
    <t>ja</t>
    <phoneticPr fontId="5"/>
  </si>
  <si>
    <t>ピッ…ガガガッ</t>
    <phoneticPr fontId="5"/>
  </si>
  <si>
    <t>様子がおかしい！</t>
    <rPh sb="0" eb="3">
      <t>ヨウs</t>
    </rPh>
    <phoneticPr fontId="5"/>
  </si>
  <si>
    <t>[effect:kamikaze, val:1]</t>
    <phoneticPr fontId="5"/>
  </si>
  <si>
    <t>自爆</t>
    <rPh sb="0" eb="2">
      <t>ジb</t>
    </rPh>
    <phoneticPr fontId="5"/>
  </si>
  <si>
    <t>五行封印</t>
    <rPh sb="0" eb="4">
      <t>ゴギョ</t>
    </rPh>
    <phoneticPr fontId="5"/>
  </si>
  <si>
    <t>1ターンカウンター＋ユニット1体に3ターンスキルバインド</t>
    <rPh sb="15" eb="17">
      <t>イtt</t>
    </rPh>
    <rPh sb="21" eb="28">
      <t>カ</t>
    </rPh>
    <phoneticPr fontId="5"/>
  </si>
  <si>
    <t>ja</t>
    <phoneticPr fontId="5"/>
  </si>
  <si>
    <t>[effect:critical, val:1.2]</t>
    <phoneticPr fontId="5"/>
  </si>
  <si>
    <t>分身一斉撃</t>
    <rPh sb="0" eb="2">
      <t>ブン</t>
    </rPh>
    <rPh sb="2" eb="5">
      <t>イッセ</t>
    </rPh>
    <phoneticPr fontId="5"/>
  </si>
  <si>
    <t>[effect:spread, val:0.3]</t>
    <phoneticPr fontId="5"/>
  </si>
  <si>
    <t>激昂の連撃</t>
    <rPh sb="0" eb="2">
      <t>ゲッコウ</t>
    </rPh>
    <rPh sb="3" eb="5">
      <t>レンゲキ</t>
    </rPh>
    <phoneticPr fontId="5"/>
  </si>
  <si>
    <t>全体攻撃</t>
    <rPh sb="0" eb="4">
      <t>ゼン</t>
    </rPh>
    <phoneticPr fontId="5"/>
  </si>
  <si>
    <t>[effect:hungup, target:unit_one, turn:3, rate:1, animation:hungup01],[effect:hungup, target:unit_one, turn:3, rate:1, animation:hungup01]</t>
    <phoneticPr fontId="5"/>
  </si>
  <si>
    <t>最大ユニット2体に3ターンスキルバインド</t>
    <rPh sb="0" eb="2">
      <t>サイダ</t>
    </rPh>
    <phoneticPr fontId="5"/>
  </si>
  <si>
    <t>激昂の連撃</t>
    <rPh sb="0" eb="2">
      <t>ゲッコウ</t>
    </rPh>
    <rPh sb="3" eb="5">
      <t>reンンgeki</t>
    </rPh>
    <phoneticPr fontId="5"/>
  </si>
  <si>
    <t>ja</t>
    <phoneticPr fontId="5"/>
  </si>
  <si>
    <t>如意棒</t>
    <phoneticPr fontId="5"/>
  </si>
  <si>
    <t>[effect:heal, target:enemy_all, val:0.3, animation:enemy_heal]</t>
    <phoneticPr fontId="5"/>
  </si>
  <si>
    <t>ヒール</t>
    <phoneticPr fontId="5"/>
  </si>
  <si>
    <t>[effect:tolerance, target:myself, turn:-1, tolerance_effect:sleep, count:-1],[effect:tolerance, target:myself, turn:-1, tolerance_effect:virus, count:-1],[effect:tolerance, target:myself, turn:-1, tolerance_effect:hungup, count:-1, animation:enemy_tolerance]</t>
    <phoneticPr fontId="5"/>
  </si>
  <si>
    <t>…悪いがここは通せない</t>
    <rPh sb="1" eb="4">
      <t>ワr</t>
    </rPh>
    <rPh sb="7" eb="11">
      <t>10s</t>
    </rPh>
    <phoneticPr fontId="5"/>
  </si>
  <si>
    <t>状態異常耐性</t>
    <rPh sb="0" eb="6">
      <t>エイゾk</t>
    </rPh>
    <phoneticPr fontId="5"/>
  </si>
  <si>
    <t>[effect:rush, count:3, val:0.4]</t>
    <phoneticPr fontId="5"/>
  </si>
  <si>
    <t>トリシューラ</t>
    <phoneticPr fontId="5"/>
  </si>
  <si>
    <t>[effect:critical, val:1.5]</t>
    <phoneticPr fontId="5"/>
  </si>
  <si>
    <t>ja</t>
    <phoneticPr fontId="5"/>
  </si>
  <si>
    <t>ピナーカ</t>
    <phoneticPr fontId="5"/>
  </si>
  <si>
    <t>[effect:damage_anti_color, target:unit_all, color:blue, val1:0.4, val2:0.1]</t>
    <phoneticPr fontId="5"/>
  </si>
  <si>
    <t>黒い稲妻</t>
    <rPh sb="0" eb="2">
      <t>クr</t>
    </rPh>
    <rPh sb="2" eb="4">
      <t>イナズm</t>
    </rPh>
    <phoneticPr fontId="5"/>
  </si>
  <si>
    <t>青属性に対して大ダメージの全体攻撃</t>
    <rPh sb="0" eb="4">
      <t>ア</t>
    </rPh>
    <rPh sb="4" eb="7">
      <t>タイs</t>
    </rPh>
    <rPh sb="7" eb="12">
      <t>ダ</t>
    </rPh>
    <rPh sb="13" eb="17">
      <t>ゼン</t>
    </rPh>
    <phoneticPr fontId="5"/>
  </si>
  <si>
    <t>[effect:panel_freeze, target:block_all, color:block_yellow, count:-1, break_count:1]</t>
    <phoneticPr fontId="5"/>
  </si>
  <si>
    <t>マハーカーラ</t>
    <phoneticPr fontId="5"/>
  </si>
  <si>
    <t>…あまり私を怒らせない方がいい</t>
    <rPh sb="4" eb="5">
      <t>ワタs</t>
    </rPh>
    <rPh sb="5" eb="6">
      <t>オr</t>
    </rPh>
    <rPh sb="6" eb="11">
      <t>オコr</t>
    </rPh>
    <rPh sb="11" eb="15">
      <t>ホ</t>
    </rPh>
    <phoneticPr fontId="5"/>
  </si>
  <si>
    <t>炎神覚醒</t>
    <rPh sb="0" eb="2">
      <t>エンジン</t>
    </rPh>
    <rPh sb="2" eb="4">
      <t>カk</t>
    </rPh>
    <phoneticPr fontId="5"/>
  </si>
  <si>
    <t>激怒の炎</t>
    <rPh sb="0" eb="3">
      <t>ゲk</t>
    </rPh>
    <rPh sb="3" eb="4">
      <t>ホノ</t>
    </rPh>
    <phoneticPr fontId="5"/>
  </si>
  <si>
    <t>赤属性に対して大ダメージの全体攻撃</t>
    <rPh sb="0" eb="1">
      <t>アk</t>
    </rPh>
    <rPh sb="1" eb="4">
      <t>ア</t>
    </rPh>
    <rPh sb="4" eb="7">
      <t>タイs</t>
    </rPh>
    <rPh sb="7" eb="12">
      <t>ダ</t>
    </rPh>
    <rPh sb="13" eb="17">
      <t>ゼン</t>
    </rPh>
    <phoneticPr fontId="5"/>
  </si>
  <si>
    <t>[effect:break_attack, val:0.05, lowest_val:5190, count:0, block:block_yellow, target:unit_one]</t>
    <phoneticPr fontId="5"/>
  </si>
  <si>
    <t>第三の目</t>
    <rPh sb="0" eb="4">
      <t>ダ</t>
    </rPh>
    <phoneticPr fontId="5"/>
  </si>
  <si>
    <t>[effect:panel_freeze, target:block_all, color:block_yellow, count:-1, break_count:1]</t>
    <phoneticPr fontId="5"/>
  </si>
  <si>
    <t>マハーカーラ</t>
    <phoneticPr fontId="5"/>
  </si>
  <si>
    <t>F2は一定ターンが経過すると
自爆して大ダメージを与えてきます
優先して倒すようにしましょう</t>
    <phoneticPr fontId="5"/>
  </si>
  <si>
    <t>シヴァはHPが減少すると属性が変化します
黄属性の攻撃が通じづらくなるので
気をつけましょう</t>
    <phoneticPr fontId="5"/>
  </si>
  <si>
    <t>ハヌマーンはお供のゴクウが倒されると
反撃で全体攻撃を行ってきます
ゴクウを先に倒す時は
残りHPに注意しましょう</t>
    <phoneticPr fontId="5"/>
  </si>
  <si>
    <t>シヴァは黄パネルを
プロテクト状態にしてきます
パネルが消しづらくなるので気をつけましょう</t>
    <phoneticPr fontId="5"/>
  </si>
  <si>
    <t>シヴァはHPが減少すると黄パネルを破壊して
大ダメージの攻撃を行ってきます
黄パネルが残らないように処理しましょう</t>
    <phoneticPr fontId="5"/>
  </si>
  <si>
    <t>link</t>
  </si>
  <si>
    <t>unit</t>
  </si>
  <si>
    <t>[effect:damage_anti_color, target:unit_all, color:blue, val1:0.5, val2:0.25]</t>
    <phoneticPr fontId="5"/>
  </si>
  <si>
    <t>[effect:rush, count:5, val:0.35]</t>
    <phoneticPr fontId="5"/>
  </si>
  <si>
    <t>邪魔をするな！ヴィシュヌ！</t>
    <phoneticPr fontId="5"/>
  </si>
  <si>
    <t>下手に動けばパールに危害が及ぶ…！</t>
    <phoneticPr fontId="5"/>
  </si>
  <si>
    <t>ヴィシュヌ！それでも勝算があるのなら…見せてみろ！</t>
    <phoneticPr fontId="5"/>
  </si>
  <si>
    <t>[effect:damage_anti_color, target:unit_all, color:red, val1:0.5, val2:0.2]</t>
    <phoneticPr fontId="5"/>
  </si>
  <si>
    <t>[effect:tolerance, target:myself, turn:-1, tolerance_effect:sleep, count:-1],[effect:tolerance, target:myself, turn:-1, tolerance_effect:virus, count:-1],[effect:tolerance, target:myself, turn:-1, tolerance_effect:hungup, count:-1, animation:enemy_tolerance],[effect:change_attribute, target:myself, color:red, turn:-1, animation:change_attribute_red]</t>
    <phoneticPr fontId="5"/>
  </si>
  <si>
    <t>[effect:critical, val:1.5]</t>
    <phoneticPr fontId="5"/>
  </si>
  <si>
    <t>null</t>
    <phoneticPr fontId="5"/>
  </si>
  <si>
    <t>その力…認めざるを得ないな</t>
    <phoneticPr fontId="5"/>
  </si>
  <si>
    <t>彼女を…パールを頼む…</t>
    <phoneticPr fontId="5"/>
  </si>
  <si>
    <t>[effect:hungup, target:unit_one, turn:3, rate:1, animation:hungup01],[effect:enemy_counter, target:myself, invoke_condition:unit_all, counter_target:unit_one, turn:1, val:1, animation:enemy_counter],[effect:enemy_message, val1:1.6, val2:2.7]</t>
    <phoneticPr fontId="5"/>
  </si>
  <si>
    <t>[effect:tolerance, target:myself, turn:-1, tolerance_effect:sleep, count:-1],[effect:tolerance, target:myself, turn:-1, tolerance_effect:virus, count:-1],[effect:tolerance, target:myself, turn:-1, tolerance_effect:hungup, count:-1, animation:enemy_tolerance],[effect:enemy_message, val1:2.2, val2:2.0]</t>
    <phoneticPr fontId="5"/>
  </si>
  <si>
    <t>[effect:tolerance, target:myself, turn:-1, tolerance_effect:sleep, count:-1],[effect:tolerance, target:myself, turn:-1, tolerance_effect:virus, count:-1],[effect:tolerance, target:myself, turn:-1, tolerance_effect:hungup, count:-1, animation:enemy_tolerance],[effect:enemy_message, val1:3.4, val2:2.0]</t>
    <phoneticPr fontId="5"/>
  </si>
  <si>
    <t>[effect:tolerance, target:myself, turn:-1, tolerance_effect:sleep, count:-1],[effect:tolerance, target:myself, turn:-1, tolerance_effect:virus, count:-1],[effect:tolerance, target:myself, turn:-1, tolerance_effect:hungup, count:-1, animation:enemy_tolerance],[effect:enemy_message, val1:3.4, val2:2.0]</t>
    <phoneticPr fontId="5"/>
  </si>
  <si>
    <t>[effect:enemy_message, val1:2.3, val2:2.2]</t>
    <phoneticPr fontId="5"/>
  </si>
  <si>
    <t>null</t>
    <phoneticPr fontId="5"/>
  </si>
  <si>
    <t>自爆攻撃</t>
    <phoneticPr fontId="5"/>
  </si>
  <si>
    <t>クリティカル！</t>
    <phoneticPr fontId="5"/>
  </si>
  <si>
    <t>クリティカル！</t>
    <phoneticPr fontId="5"/>
  </si>
  <si>
    <t>クリティカル！</t>
    <phoneticPr fontId="5"/>
  </si>
  <si>
    <t>クリティカル！</t>
    <phoneticPr fontId="5"/>
  </si>
  <si>
    <t>クリティカル！</t>
    <phoneticPr fontId="5"/>
  </si>
  <si>
    <t>全体回復</t>
    <phoneticPr fontId="5"/>
  </si>
  <si>
    <t>3回連続攻撃</t>
    <rPh sb="2" eb="6">
      <t>レン</t>
    </rPh>
    <phoneticPr fontId="5"/>
  </si>
  <si>
    <t>5回連続攻撃</t>
    <rPh sb="2" eb="6">
      <t>レン</t>
    </rPh>
    <phoneticPr fontId="5"/>
  </si>
  <si>
    <t>黄パネルプロテクト</t>
    <rPh sb="0" eb="1">
      <t>キ</t>
    </rPh>
    <phoneticPr fontId="5"/>
  </si>
  <si>
    <t>黄パネルを吸収し、強力な攻撃</t>
    <rPh sb="0" eb="4">
      <t>キパネr</t>
    </rPh>
    <rPh sb="12" eb="14">
      <t>コウゲk</t>
    </rPh>
    <phoneticPr fontId="5"/>
  </si>
  <si>
    <t>[effect:tolerance, target:myself, turn:-1, tolerance_effect:sleep, count:-1],[effect:tolerance, target:myself, turn:-1, tolerance_effect:virus, count:-1],[effect:tolerance, target:myself, turn:-1, tolerance_effect:hungup, count:-1, animation:enemy_tolerance],[effect:change_attribute, target:myself, color:red, turn:-1, animation:change_attribute_red],[effect:enemy_message, val1:3.4, val2:2.0]</t>
    <phoneticPr fontId="5"/>
  </si>
  <si>
    <t>状態異常耐性＋赤属性に変化</t>
    <phoneticPr fontId="5"/>
  </si>
  <si>
    <t>3ターン敵全体の防御力アップ</t>
    <rPh sb="8" eb="14">
      <t>ボウgy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</si>
</sst>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32" borderId="9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4" fillId="33" borderId="1" xfId="0" applyFont="1" applyFill="1" applyBorder="1" applyAlignment="1">
      <alignment vertical="center"/>
    </xf>
    <xf numFmtId="0" fontId="6" fillId="34" borderId="9" xfId="0" applyFont="1" applyFill="1" applyBorder="1" applyAlignment="1">
      <alignment vertical="center"/>
    </xf>
    <xf numFmtId="0" fontId="0" fillId="35" borderId="7" xfId="0" applyFill="1" applyBorder="1"/>
    <xf numFmtId="0" fontId="0" fillId="35" borderId="0" xfId="0" applyFill="1"/>
    <xf numFmtId="0" fontId="16" fillId="36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horizontal="left" vertical="center"/>
    </xf>
    <xf numFmtId="0" fontId="16" fillId="36" borderId="7" xfId="0" applyFont="1" applyFill="1" applyBorder="1" applyAlignment="1">
      <alignment horizontal="left" vertical="center" wrapText="1"/>
    </xf>
    <xf numFmtId="0" fontId="16" fillId="37" borderId="7" xfId="0" applyFont="1" applyFill="1" applyBorder="1" applyAlignment="1">
      <alignment vertical="center"/>
    </xf>
    <xf numFmtId="0" fontId="16" fillId="37" borderId="7" xfId="0" applyFont="1" applyFill="1" applyBorder="1" applyAlignment="1">
      <alignment horizontal="left" vertical="center"/>
    </xf>
    <xf numFmtId="0" fontId="16" fillId="38" borderId="7" xfId="0" applyFont="1" applyFill="1" applyBorder="1" applyAlignment="1">
      <alignment vertical="center"/>
    </xf>
    <xf numFmtId="0" fontId="16" fillId="38" borderId="7" xfId="0" applyFont="1" applyFill="1" applyBorder="1" applyAlignment="1">
      <alignment horizontal="left" vertical="center"/>
    </xf>
    <xf numFmtId="0" fontId="16" fillId="38" borderId="0" xfId="0" applyFont="1" applyFill="1" applyAlignment="1">
      <alignment vertical="center"/>
    </xf>
    <xf numFmtId="0" fontId="16" fillId="39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/>
    </xf>
    <xf numFmtId="0" fontId="16" fillId="33" borderId="0" xfId="0" applyFont="1" applyFill="1" applyAlignment="1">
      <alignment vertical="center"/>
    </xf>
    <xf numFmtId="0" fontId="16" fillId="37" borderId="7" xfId="0" applyFont="1" applyFill="1" applyBorder="1" applyAlignment="1">
      <alignment horizontal="left" vertical="center" wrapText="1"/>
    </xf>
    <xf numFmtId="14" fontId="16" fillId="33" borderId="7" xfId="0" applyNumberFormat="1" applyFont="1" applyFill="1" applyBorder="1" applyAlignment="1">
      <alignment horizontal="left" vertical="center"/>
    </xf>
    <xf numFmtId="0" fontId="16" fillId="40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left" vertical="center"/>
    </xf>
    <xf numFmtId="0" fontId="16" fillId="6" borderId="7" xfId="0" applyFont="1" applyFill="1" applyBorder="1" applyAlignment="1">
      <alignment horizontal="left" vertical="center" wrapText="1"/>
    </xf>
    <xf numFmtId="0" fontId="16" fillId="6" borderId="7" xfId="0" applyFont="1" applyFill="1" applyBorder="1" applyAlignment="1">
      <alignment vertical="center"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11207</v>
          </cell>
        </row>
        <row r="67">
          <cell r="A67">
            <v>11208</v>
          </cell>
        </row>
        <row r="68">
          <cell r="A68">
            <v>11209</v>
          </cell>
        </row>
        <row r="69">
          <cell r="A69">
            <v>11210</v>
          </cell>
        </row>
        <row r="70">
          <cell r="A70">
            <v>11211</v>
          </cell>
        </row>
        <row r="71">
          <cell r="A71">
            <v>11212</v>
          </cell>
        </row>
        <row r="72">
          <cell r="A72">
            <v>11213</v>
          </cell>
        </row>
        <row r="73">
          <cell r="A73">
            <v>11214</v>
          </cell>
        </row>
        <row r="74">
          <cell r="A74">
            <v>11215</v>
          </cell>
        </row>
        <row r="75">
          <cell r="A75">
            <v>11216</v>
          </cell>
        </row>
        <row r="76">
          <cell r="A76">
            <v>11217</v>
          </cell>
        </row>
        <row r="77">
          <cell r="A77">
            <v>11218</v>
          </cell>
        </row>
        <row r="78">
          <cell r="A78">
            <v>11219</v>
          </cell>
        </row>
        <row r="79">
          <cell r="A79">
            <v>11220</v>
          </cell>
        </row>
        <row r="80">
          <cell r="A80">
            <v>11221</v>
          </cell>
        </row>
        <row r="81">
          <cell r="A81">
            <v>11224</v>
          </cell>
        </row>
        <row r="82">
          <cell r="A82">
            <v>11225</v>
          </cell>
        </row>
        <row r="83">
          <cell r="A83">
            <v>11226</v>
          </cell>
        </row>
        <row r="84">
          <cell r="A84">
            <v>12001</v>
          </cell>
        </row>
        <row r="85">
          <cell r="A85">
            <v>12002</v>
          </cell>
        </row>
        <row r="86">
          <cell r="A86">
            <v>12003</v>
          </cell>
        </row>
        <row r="87">
          <cell r="A87">
            <v>12004</v>
          </cell>
        </row>
        <row r="88">
          <cell r="A88">
            <v>13001</v>
          </cell>
        </row>
        <row r="89">
          <cell r="A89">
            <v>14001</v>
          </cell>
        </row>
        <row r="90">
          <cell r="A90">
            <v>14002</v>
          </cell>
        </row>
        <row r="91">
          <cell r="A91">
            <v>14003</v>
          </cell>
        </row>
        <row r="92">
          <cell r="A92">
            <v>14004</v>
          </cell>
        </row>
        <row r="93">
          <cell r="A93">
            <v>14005</v>
          </cell>
        </row>
        <row r="94">
          <cell r="A94">
            <v>14006</v>
          </cell>
        </row>
        <row r="95">
          <cell r="A95">
            <v>15027</v>
          </cell>
        </row>
        <row r="96">
          <cell r="A96">
            <v>15028</v>
          </cell>
        </row>
        <row r="97">
          <cell r="A97">
            <v>15029</v>
          </cell>
        </row>
        <row r="98">
          <cell r="A98">
            <v>15030</v>
          </cell>
        </row>
        <row r="99">
          <cell r="A99">
            <v>15031</v>
          </cell>
        </row>
        <row r="100">
          <cell r="A100">
            <v>20001</v>
          </cell>
        </row>
        <row r="101">
          <cell r="A101">
            <v>20002</v>
          </cell>
        </row>
        <row r="102">
          <cell r="A102">
            <v>20003</v>
          </cell>
        </row>
        <row r="103">
          <cell r="A103">
            <v>20004</v>
          </cell>
        </row>
        <row r="104">
          <cell r="A104">
            <v>20005</v>
          </cell>
        </row>
        <row r="105">
          <cell r="A105">
            <v>20006</v>
          </cell>
        </row>
        <row r="106">
          <cell r="A106">
            <v>20007</v>
          </cell>
        </row>
        <row r="107">
          <cell r="A107">
            <v>20008</v>
          </cell>
        </row>
        <row r="108">
          <cell r="A108">
            <v>20009</v>
          </cell>
        </row>
        <row r="109">
          <cell r="A109">
            <v>20010</v>
          </cell>
        </row>
        <row r="110">
          <cell r="A110">
            <v>20011</v>
          </cell>
        </row>
        <row r="111">
          <cell r="A111">
            <v>20012</v>
          </cell>
        </row>
        <row r="112">
          <cell r="A112">
            <v>20013</v>
          </cell>
        </row>
        <row r="113">
          <cell r="A113">
            <v>20014</v>
          </cell>
        </row>
        <row r="114">
          <cell r="A114">
            <v>20015</v>
          </cell>
        </row>
        <row r="115">
          <cell r="A115">
            <v>20016</v>
          </cell>
        </row>
        <row r="116">
          <cell r="A116">
            <v>20017</v>
          </cell>
        </row>
        <row r="117">
          <cell r="A117">
            <v>20018</v>
          </cell>
        </row>
        <row r="118">
          <cell r="A118">
            <v>30001</v>
          </cell>
        </row>
        <row r="119">
          <cell r="A119">
            <v>30002</v>
          </cell>
        </row>
        <row r="120">
          <cell r="A120">
            <v>30003</v>
          </cell>
        </row>
        <row r="121">
          <cell r="A121">
            <v>30004</v>
          </cell>
        </row>
        <row r="122">
          <cell r="A122">
            <v>30005</v>
          </cell>
        </row>
        <row r="123">
          <cell r="A123">
            <v>30006</v>
          </cell>
        </row>
        <row r="124">
          <cell r="A124">
            <v>30007</v>
          </cell>
        </row>
        <row r="125">
          <cell r="A125">
            <v>30008</v>
          </cell>
        </row>
        <row r="126">
          <cell r="A126">
            <v>30009</v>
          </cell>
        </row>
        <row r="127">
          <cell r="A127">
            <v>30010</v>
          </cell>
        </row>
        <row r="128">
          <cell r="A128">
            <v>30011</v>
          </cell>
        </row>
        <row r="129">
          <cell r="A129">
            <v>30012</v>
          </cell>
        </row>
        <row r="130">
          <cell r="A130">
            <v>30013</v>
          </cell>
        </row>
        <row r="131">
          <cell r="A131">
            <v>30014</v>
          </cell>
        </row>
        <row r="132">
          <cell r="A132">
            <v>30015</v>
          </cell>
        </row>
        <row r="133">
          <cell r="A133">
            <v>30016</v>
          </cell>
        </row>
        <row r="134">
          <cell r="A134">
            <v>30017</v>
          </cell>
        </row>
        <row r="135">
          <cell r="A135">
            <v>30018</v>
          </cell>
        </row>
        <row r="136">
          <cell r="A136">
            <v>30019</v>
          </cell>
        </row>
        <row r="137">
          <cell r="A137">
            <v>30020</v>
          </cell>
        </row>
        <row r="138">
          <cell r="A138">
            <v>30021</v>
          </cell>
        </row>
        <row r="139">
          <cell r="A139">
            <v>30022</v>
          </cell>
        </row>
        <row r="140">
          <cell r="A140">
            <v>30023</v>
          </cell>
        </row>
        <row r="141">
          <cell r="A141">
            <v>30024</v>
          </cell>
        </row>
        <row r="142">
          <cell r="A142">
            <v>30025</v>
          </cell>
        </row>
        <row r="143">
          <cell r="A143">
            <v>30026</v>
          </cell>
        </row>
        <row r="144">
          <cell r="A144">
            <v>30027</v>
          </cell>
        </row>
        <row r="145">
          <cell r="A145">
            <v>30028</v>
          </cell>
        </row>
        <row r="146">
          <cell r="A146">
            <v>30029</v>
          </cell>
        </row>
        <row r="147">
          <cell r="A147">
            <v>30030</v>
          </cell>
        </row>
        <row r="148">
          <cell r="A148">
            <v>30031</v>
          </cell>
        </row>
        <row r="149">
          <cell r="A149">
            <v>30032</v>
          </cell>
        </row>
        <row r="150">
          <cell r="A150">
            <v>30033</v>
          </cell>
        </row>
        <row r="151">
          <cell r="A151">
            <v>30034</v>
          </cell>
        </row>
        <row r="152">
          <cell r="A152">
            <v>30035</v>
          </cell>
        </row>
        <row r="153">
          <cell r="A153">
            <v>30036</v>
          </cell>
        </row>
        <row r="154">
          <cell r="A154">
            <v>30037</v>
          </cell>
        </row>
        <row r="155">
          <cell r="A155">
            <v>30038</v>
          </cell>
        </row>
        <row r="156">
          <cell r="A156">
            <v>39001</v>
          </cell>
        </row>
        <row r="157">
          <cell r="A157">
            <v>39002</v>
          </cell>
        </row>
        <row r="158">
          <cell r="A158">
            <v>39003</v>
          </cell>
        </row>
        <row r="159">
          <cell r="A159">
            <v>39004</v>
          </cell>
        </row>
        <row r="160">
          <cell r="A160">
            <v>39005</v>
          </cell>
        </row>
        <row r="161">
          <cell r="A161">
            <v>39006</v>
          </cell>
        </row>
        <row r="162">
          <cell r="A162">
            <v>40001</v>
          </cell>
        </row>
        <row r="163">
          <cell r="A163">
            <v>40002</v>
          </cell>
        </row>
        <row r="164">
          <cell r="A164">
            <v>40003</v>
          </cell>
        </row>
        <row r="165">
          <cell r="A165">
            <v>40004</v>
          </cell>
        </row>
        <row r="166">
          <cell r="A166">
            <v>40005</v>
          </cell>
        </row>
        <row r="167">
          <cell r="A167">
            <v>40006</v>
          </cell>
        </row>
        <row r="168">
          <cell r="A168">
            <v>40007</v>
          </cell>
        </row>
        <row r="169">
          <cell r="A169">
            <v>40008</v>
          </cell>
        </row>
        <row r="170">
          <cell r="A170">
            <v>40009</v>
          </cell>
        </row>
        <row r="171">
          <cell r="A171">
            <v>40010</v>
          </cell>
        </row>
        <row r="172">
          <cell r="A172">
            <v>40011</v>
          </cell>
        </row>
        <row r="173">
          <cell r="A173">
            <v>40012</v>
          </cell>
        </row>
        <row r="174">
          <cell r="A174">
            <v>40013</v>
          </cell>
        </row>
        <row r="175">
          <cell r="A175">
            <v>40014</v>
          </cell>
        </row>
        <row r="176">
          <cell r="A176">
            <v>40015</v>
          </cell>
        </row>
        <row r="177">
          <cell r="A177">
            <v>40016</v>
          </cell>
        </row>
        <row r="178">
          <cell r="A178">
            <v>40017</v>
          </cell>
        </row>
        <row r="179">
          <cell r="A179">
            <v>40018</v>
          </cell>
        </row>
        <row r="180">
          <cell r="A180">
            <v>40019</v>
          </cell>
        </row>
        <row r="181">
          <cell r="A181">
            <v>40021</v>
          </cell>
        </row>
        <row r="182">
          <cell r="A182">
            <v>40022</v>
          </cell>
        </row>
        <row r="183">
          <cell r="A183">
            <v>48001</v>
          </cell>
        </row>
        <row r="184">
          <cell r="A184">
            <v>48002</v>
          </cell>
        </row>
        <row r="185">
          <cell r="A185">
            <v>48003</v>
          </cell>
        </row>
        <row r="186">
          <cell r="A186">
            <v>48004</v>
          </cell>
        </row>
        <row r="187">
          <cell r="A187">
            <v>41001</v>
          </cell>
        </row>
        <row r="188">
          <cell r="A188">
            <v>41002</v>
          </cell>
        </row>
        <row r="189">
          <cell r="A189">
            <v>41003</v>
          </cell>
        </row>
        <row r="190">
          <cell r="A190">
            <v>41004</v>
          </cell>
        </row>
        <row r="191">
          <cell r="A191">
            <v>41005</v>
          </cell>
        </row>
        <row r="192">
          <cell r="A192">
            <v>41006</v>
          </cell>
        </row>
        <row r="193">
          <cell r="A193">
            <v>41007</v>
          </cell>
        </row>
        <row r="194">
          <cell r="A194">
            <v>41008</v>
          </cell>
        </row>
        <row r="195">
          <cell r="A195">
            <v>41009</v>
          </cell>
        </row>
        <row r="196">
          <cell r="A196">
            <v>41010</v>
          </cell>
        </row>
        <row r="197">
          <cell r="A197">
            <v>41011</v>
          </cell>
        </row>
        <row r="198">
          <cell r="A198">
            <v>41012</v>
          </cell>
        </row>
        <row r="199">
          <cell r="A199">
            <v>41013</v>
          </cell>
        </row>
        <row r="200">
          <cell r="A200">
            <v>41014</v>
          </cell>
        </row>
        <row r="201">
          <cell r="A201">
            <v>41015</v>
          </cell>
        </row>
        <row r="202">
          <cell r="A202">
            <v>47001</v>
          </cell>
        </row>
        <row r="203">
          <cell r="A203">
            <v>47002</v>
          </cell>
        </row>
        <row r="204">
          <cell r="A204">
            <v>49001</v>
          </cell>
        </row>
        <row r="205">
          <cell r="A205">
            <v>49002</v>
          </cell>
        </row>
        <row r="206">
          <cell r="A206">
            <v>49003</v>
          </cell>
        </row>
        <row r="207">
          <cell r="A207">
            <v>49004</v>
          </cell>
        </row>
        <row r="208">
          <cell r="A208">
            <v>49005</v>
          </cell>
        </row>
        <row r="209">
          <cell r="A209">
            <v>49006</v>
          </cell>
        </row>
        <row r="210">
          <cell r="A210">
            <v>50001</v>
          </cell>
        </row>
        <row r="211">
          <cell r="A211">
            <v>50002</v>
          </cell>
        </row>
        <row r="212">
          <cell r="A212">
            <v>50003</v>
          </cell>
        </row>
        <row r="213">
          <cell r="A213">
            <v>50004</v>
          </cell>
        </row>
        <row r="214">
          <cell r="A214">
            <v>50005</v>
          </cell>
        </row>
        <row r="215">
          <cell r="A215">
            <v>50006</v>
          </cell>
        </row>
        <row r="216">
          <cell r="A216">
            <v>51001</v>
          </cell>
        </row>
        <row r="217">
          <cell r="A217">
            <v>51002</v>
          </cell>
        </row>
        <row r="218">
          <cell r="A218">
            <v>60001</v>
          </cell>
        </row>
        <row r="219">
          <cell r="A219">
            <v>60002</v>
          </cell>
        </row>
        <row r="220">
          <cell r="A220">
            <v>60003</v>
          </cell>
        </row>
        <row r="221">
          <cell r="A221">
            <v>60004</v>
          </cell>
        </row>
        <row r="222">
          <cell r="A222">
            <v>60005</v>
          </cell>
        </row>
        <row r="223">
          <cell r="A223">
            <v>60006</v>
          </cell>
        </row>
        <row r="224">
          <cell r="A224">
            <v>60007</v>
          </cell>
        </row>
        <row r="225">
          <cell r="A225">
            <v>60010</v>
          </cell>
        </row>
        <row r="226">
          <cell r="A226">
            <v>60011</v>
          </cell>
        </row>
        <row r="227">
          <cell r="A227">
            <v>61011</v>
          </cell>
        </row>
        <row r="228">
          <cell r="A228">
            <v>60012</v>
          </cell>
        </row>
        <row r="229">
          <cell r="A229">
            <v>60013</v>
          </cell>
        </row>
        <row r="230">
          <cell r="A230">
            <v>60014</v>
          </cell>
        </row>
        <row r="231">
          <cell r="A231">
            <v>65534</v>
          </cell>
        </row>
        <row r="232">
          <cell r="A232">
            <v>65535</v>
          </cell>
        </row>
        <row r="233">
          <cell r="A233">
            <v>60021</v>
          </cell>
        </row>
        <row r="234">
          <cell r="A234">
            <v>60022</v>
          </cell>
        </row>
        <row r="235">
          <cell r="A235">
            <v>60023</v>
          </cell>
        </row>
        <row r="236">
          <cell r="A236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11017_1</v>
          </cell>
        </row>
        <row r="265">
          <cell r="A265" t="str">
            <v>11207_1</v>
          </cell>
        </row>
        <row r="266">
          <cell r="A266" t="str">
            <v>11207_2</v>
          </cell>
        </row>
        <row r="267">
          <cell r="A267" t="str">
            <v>11208_1</v>
          </cell>
        </row>
        <row r="268">
          <cell r="A268" t="str">
            <v>11208_2</v>
          </cell>
        </row>
        <row r="269">
          <cell r="A269" t="str">
            <v>11209_1</v>
          </cell>
        </row>
        <row r="270">
          <cell r="A270" t="str">
            <v>11209_2</v>
          </cell>
        </row>
        <row r="271">
          <cell r="A271" t="str">
            <v>11212_1</v>
          </cell>
        </row>
        <row r="272">
          <cell r="A272" t="str">
            <v>11213_1</v>
          </cell>
        </row>
        <row r="273">
          <cell r="A273" t="str">
            <v>11214_1</v>
          </cell>
        </row>
        <row r="274">
          <cell r="A274" t="str">
            <v>11214_2</v>
          </cell>
        </row>
        <row r="275">
          <cell r="A275" t="str">
            <v>11214_3</v>
          </cell>
        </row>
        <row r="276">
          <cell r="A276" t="str">
            <v>11215_1</v>
          </cell>
        </row>
        <row r="277">
          <cell r="A277" t="str">
            <v>11216_1</v>
          </cell>
        </row>
        <row r="278">
          <cell r="A278" t="str">
            <v>11217_1</v>
          </cell>
        </row>
        <row r="279">
          <cell r="A279" t="str">
            <v>11218_1</v>
          </cell>
        </row>
        <row r="280">
          <cell r="A280" t="str">
            <v>11219_1</v>
          </cell>
        </row>
        <row r="281">
          <cell r="A281" t="str">
            <v>11220_1</v>
          </cell>
        </row>
        <row r="282">
          <cell r="A282" t="str">
            <v>11221_1</v>
          </cell>
        </row>
        <row r="283">
          <cell r="A283" t="str">
            <v>11224_1</v>
          </cell>
        </row>
        <row r="284">
          <cell r="A284" t="str">
            <v>11225_1</v>
          </cell>
        </row>
        <row r="285">
          <cell r="A285" t="str">
            <v>11226_1</v>
          </cell>
        </row>
        <row r="286">
          <cell r="A286" t="str">
            <v>11226_2</v>
          </cell>
        </row>
        <row r="287">
          <cell r="A287" t="str">
            <v>11226_3</v>
          </cell>
        </row>
        <row r="288">
          <cell r="A288" t="str">
            <v>11226_4</v>
          </cell>
        </row>
        <row r="289">
          <cell r="A289" t="str">
            <v>11226_5</v>
          </cell>
        </row>
        <row r="290">
          <cell r="A290" t="str">
            <v>11226_6</v>
          </cell>
        </row>
        <row r="291">
          <cell r="A291" t="str">
            <v>11226_7</v>
          </cell>
        </row>
        <row r="292">
          <cell r="A292" t="str">
            <v>11226_8</v>
          </cell>
        </row>
        <row r="293">
          <cell r="A293" t="str">
            <v>12001_1</v>
          </cell>
        </row>
        <row r="294">
          <cell r="A294" t="str">
            <v>12001_2</v>
          </cell>
        </row>
        <row r="295">
          <cell r="A295" t="str">
            <v>12001_3</v>
          </cell>
        </row>
        <row r="296">
          <cell r="A296" t="str">
            <v>12002_1</v>
          </cell>
        </row>
        <row r="297">
          <cell r="A297" t="str">
            <v>12002_2</v>
          </cell>
        </row>
        <row r="298">
          <cell r="A298" t="str">
            <v>12003_1</v>
          </cell>
        </row>
        <row r="299">
          <cell r="A299" t="str">
            <v>12003_2</v>
          </cell>
        </row>
        <row r="300">
          <cell r="A300" t="str">
            <v>12003_3</v>
          </cell>
        </row>
        <row r="301">
          <cell r="A301" t="str">
            <v>12003_4</v>
          </cell>
        </row>
        <row r="302">
          <cell r="A302" t="str">
            <v>12004_1</v>
          </cell>
        </row>
        <row r="303">
          <cell r="A303" t="str">
            <v>13001_1</v>
          </cell>
        </row>
        <row r="304">
          <cell r="A304" t="str">
            <v>13001_2</v>
          </cell>
        </row>
        <row r="305">
          <cell r="A305" t="str">
            <v>13001_3</v>
          </cell>
        </row>
        <row r="306">
          <cell r="A306" t="str">
            <v>13001_4</v>
          </cell>
        </row>
        <row r="307">
          <cell r="A307" t="str">
            <v>13001_5</v>
          </cell>
        </row>
        <row r="308">
          <cell r="A308" t="str">
            <v>13001_6</v>
          </cell>
        </row>
        <row r="309">
          <cell r="A309" t="str">
            <v>13001_7</v>
          </cell>
        </row>
        <row r="310">
          <cell r="A310" t="str">
            <v>13001_8</v>
          </cell>
        </row>
        <row r="311">
          <cell r="A311" t="str">
            <v>13001_9</v>
          </cell>
        </row>
        <row r="312">
          <cell r="A312" t="str">
            <v>13001_10</v>
          </cell>
        </row>
        <row r="313">
          <cell r="A313" t="str">
            <v>13001_11</v>
          </cell>
        </row>
        <row r="314">
          <cell r="A314" t="str">
            <v>13001_12</v>
          </cell>
        </row>
        <row r="315">
          <cell r="A315" t="str">
            <v>13001_13</v>
          </cell>
        </row>
        <row r="316">
          <cell r="A316" t="str">
            <v>13001_14</v>
          </cell>
        </row>
        <row r="317">
          <cell r="A317" t="str">
            <v>13001_15</v>
          </cell>
        </row>
        <row r="318">
          <cell r="A318" t="str">
            <v>13001_16</v>
          </cell>
        </row>
        <row r="319">
          <cell r="A319" t="str">
            <v>13001_17</v>
          </cell>
        </row>
        <row r="320">
          <cell r="A320" t="str">
            <v>13001_18</v>
          </cell>
        </row>
        <row r="321">
          <cell r="A321" t="str">
            <v>13001_19</v>
          </cell>
        </row>
        <row r="322">
          <cell r="A322" t="str">
            <v>13001_20</v>
          </cell>
        </row>
        <row r="323">
          <cell r="A323" t="str">
            <v>13001_21</v>
          </cell>
        </row>
        <row r="324">
          <cell r="A324" t="str">
            <v>13001_22</v>
          </cell>
        </row>
        <row r="325">
          <cell r="A325" t="str">
            <v>13001_23</v>
          </cell>
        </row>
        <row r="326">
          <cell r="A326" t="str">
            <v>13001_24</v>
          </cell>
        </row>
        <row r="327">
          <cell r="A327" t="str">
            <v>13001_25</v>
          </cell>
        </row>
        <row r="328">
          <cell r="A328" t="str">
            <v>14001_1</v>
          </cell>
        </row>
        <row r="329">
          <cell r="A329" t="str">
            <v>14001_2</v>
          </cell>
        </row>
        <row r="330">
          <cell r="A330" t="str">
            <v>14001_3</v>
          </cell>
        </row>
        <row r="331">
          <cell r="A331" t="str">
            <v>14001_4</v>
          </cell>
        </row>
        <row r="332">
          <cell r="A332" t="str">
            <v>14001_5</v>
          </cell>
        </row>
        <row r="333">
          <cell r="A333" t="str">
            <v>14001_6</v>
          </cell>
        </row>
        <row r="334">
          <cell r="A334" t="str">
            <v>14001_7</v>
          </cell>
        </row>
        <row r="335">
          <cell r="A335" t="str">
            <v>14001_8</v>
          </cell>
        </row>
        <row r="336">
          <cell r="A336" t="str">
            <v>14002_1</v>
          </cell>
        </row>
        <row r="337">
          <cell r="A337" t="str">
            <v>14002_2</v>
          </cell>
        </row>
        <row r="338">
          <cell r="A338" t="str">
            <v>14003_1</v>
          </cell>
        </row>
        <row r="339">
          <cell r="A339" t="str">
            <v>14003_2</v>
          </cell>
        </row>
        <row r="340">
          <cell r="A340" t="str">
            <v>14003_3</v>
          </cell>
        </row>
        <row r="341">
          <cell r="A341" t="str">
            <v>14003_4</v>
          </cell>
        </row>
        <row r="342">
          <cell r="A342" t="str">
            <v>14004_1</v>
          </cell>
        </row>
        <row r="343">
          <cell r="A343" t="str">
            <v>14004_2</v>
          </cell>
        </row>
        <row r="344">
          <cell r="A344" t="str">
            <v>14004_3</v>
          </cell>
        </row>
        <row r="345">
          <cell r="A345" t="str">
            <v>14004_4</v>
          </cell>
        </row>
        <row r="346">
          <cell r="A346" t="str">
            <v>14005_1</v>
          </cell>
        </row>
        <row r="347">
          <cell r="A347" t="str">
            <v>14006_1</v>
          </cell>
        </row>
        <row r="348">
          <cell r="A348" t="str">
            <v>15027_1</v>
          </cell>
        </row>
        <row r="349">
          <cell r="A349" t="str">
            <v>15027_2</v>
          </cell>
        </row>
        <row r="350">
          <cell r="A350" t="str">
            <v>15027_3</v>
          </cell>
        </row>
        <row r="351">
          <cell r="A351" t="str">
            <v>15027_4</v>
          </cell>
        </row>
        <row r="352">
          <cell r="A352" t="str">
            <v>15028_1</v>
          </cell>
        </row>
        <row r="353">
          <cell r="A353" t="str">
            <v>15028_2</v>
          </cell>
        </row>
        <row r="354">
          <cell r="A354" t="str">
            <v>15028_3</v>
          </cell>
        </row>
        <row r="355">
          <cell r="A355" t="str">
            <v>15028_4</v>
          </cell>
        </row>
        <row r="356">
          <cell r="A356" t="str">
            <v>15029_1</v>
          </cell>
        </row>
        <row r="357">
          <cell r="A357" t="str">
            <v>15029_2</v>
          </cell>
        </row>
        <row r="358">
          <cell r="A358" t="str">
            <v>15029_3</v>
          </cell>
        </row>
        <row r="359">
          <cell r="A359" t="str">
            <v>15029_4</v>
          </cell>
        </row>
        <row r="360">
          <cell r="A360" t="str">
            <v>15030_1</v>
          </cell>
        </row>
        <row r="361">
          <cell r="A361" t="str">
            <v>15030_2</v>
          </cell>
        </row>
        <row r="362">
          <cell r="A362" t="str">
            <v>15030_3</v>
          </cell>
        </row>
        <row r="363">
          <cell r="A363" t="str">
            <v>15030_4</v>
          </cell>
        </row>
        <row r="364">
          <cell r="A364" t="str">
            <v>15031_1</v>
          </cell>
        </row>
        <row r="365">
          <cell r="A365" t="str">
            <v>15031_2</v>
          </cell>
        </row>
        <row r="366">
          <cell r="A366" t="str">
            <v>15031_3</v>
          </cell>
        </row>
        <row r="367">
          <cell r="A367" t="str">
            <v>15031_4</v>
          </cell>
        </row>
        <row r="368">
          <cell r="A368" t="str">
            <v>20001_1</v>
          </cell>
        </row>
        <row r="369">
          <cell r="A369" t="str">
            <v>20001_2</v>
          </cell>
        </row>
        <row r="370">
          <cell r="A370" t="str">
            <v>20001_3</v>
          </cell>
        </row>
        <row r="371">
          <cell r="A371" t="str">
            <v>20002_1</v>
          </cell>
        </row>
        <row r="372">
          <cell r="A372" t="str">
            <v>20002_2</v>
          </cell>
        </row>
        <row r="373">
          <cell r="A373" t="str">
            <v>20002_3</v>
          </cell>
        </row>
        <row r="374">
          <cell r="A374" t="str">
            <v>20003_1</v>
          </cell>
        </row>
        <row r="375">
          <cell r="A375" t="str">
            <v>20003_2</v>
          </cell>
        </row>
        <row r="376">
          <cell r="A376" t="str">
            <v>20003_3</v>
          </cell>
        </row>
        <row r="377">
          <cell r="A377" t="str">
            <v>20004_1</v>
          </cell>
        </row>
        <row r="378">
          <cell r="A378" t="str">
            <v>20004_2</v>
          </cell>
        </row>
        <row r="379">
          <cell r="A379" t="str">
            <v>20004_3</v>
          </cell>
        </row>
        <row r="380">
          <cell r="A380" t="str">
            <v>20005_1</v>
          </cell>
        </row>
        <row r="381">
          <cell r="A381" t="str">
            <v>20005_2</v>
          </cell>
        </row>
        <row r="382">
          <cell r="A382" t="str">
            <v>20005_3</v>
          </cell>
        </row>
        <row r="383">
          <cell r="A383" t="str">
            <v>20006_1</v>
          </cell>
        </row>
        <row r="384">
          <cell r="A384" t="str">
            <v>20006_2</v>
          </cell>
        </row>
        <row r="385">
          <cell r="A385" t="str">
            <v>20006_3</v>
          </cell>
        </row>
        <row r="386">
          <cell r="A386" t="str">
            <v>20007_1</v>
          </cell>
        </row>
        <row r="387">
          <cell r="A387" t="str">
            <v>20007_2</v>
          </cell>
        </row>
        <row r="388">
          <cell r="A388" t="str">
            <v>20007_3</v>
          </cell>
        </row>
        <row r="389">
          <cell r="A389" t="str">
            <v>20008_1</v>
          </cell>
        </row>
        <row r="390">
          <cell r="A390" t="str">
            <v>20008_2</v>
          </cell>
        </row>
        <row r="391">
          <cell r="A391" t="str">
            <v>20008_3</v>
          </cell>
        </row>
        <row r="392">
          <cell r="A392" t="str">
            <v>20009_1</v>
          </cell>
        </row>
        <row r="393">
          <cell r="A393" t="str">
            <v>20009_2</v>
          </cell>
        </row>
        <row r="394">
          <cell r="A394" t="str">
            <v>20009_3</v>
          </cell>
        </row>
        <row r="395">
          <cell r="A395" t="str">
            <v>20010_1</v>
          </cell>
        </row>
        <row r="396">
          <cell r="A396" t="str">
            <v>20010_2</v>
          </cell>
        </row>
        <row r="397">
          <cell r="A397" t="str">
            <v>20010_3</v>
          </cell>
        </row>
        <row r="398">
          <cell r="A398" t="str">
            <v>20011_1</v>
          </cell>
        </row>
        <row r="399">
          <cell r="A399" t="str">
            <v>20011_2</v>
          </cell>
        </row>
        <row r="400">
          <cell r="A400" t="str">
            <v>20011_3</v>
          </cell>
        </row>
        <row r="401">
          <cell r="A401" t="str">
            <v>20012_1</v>
          </cell>
        </row>
        <row r="402">
          <cell r="A402" t="str">
            <v>20012_2</v>
          </cell>
        </row>
        <row r="403">
          <cell r="A403" t="str">
            <v>20012_3</v>
          </cell>
        </row>
        <row r="404">
          <cell r="A404" t="str">
            <v>20013_1</v>
          </cell>
        </row>
        <row r="405">
          <cell r="A405" t="str">
            <v>20013_2</v>
          </cell>
        </row>
        <row r="406">
          <cell r="A406" t="str">
            <v>20013_3</v>
          </cell>
        </row>
        <row r="407">
          <cell r="A407" t="str">
            <v>20014_1</v>
          </cell>
        </row>
        <row r="408">
          <cell r="A408" t="str">
            <v>20014_2</v>
          </cell>
        </row>
        <row r="409">
          <cell r="A409" t="str">
            <v>20014_3</v>
          </cell>
        </row>
        <row r="410">
          <cell r="A410" t="str">
            <v>20015_1</v>
          </cell>
        </row>
        <row r="411">
          <cell r="A411" t="str">
            <v>20015_2</v>
          </cell>
        </row>
        <row r="412">
          <cell r="A412" t="str">
            <v>20015_3</v>
          </cell>
        </row>
        <row r="413">
          <cell r="A413" t="str">
            <v>20016_1</v>
          </cell>
        </row>
        <row r="414">
          <cell r="A414" t="str">
            <v>20016_2</v>
          </cell>
        </row>
        <row r="415">
          <cell r="A415" t="str">
            <v>20016_3</v>
          </cell>
        </row>
        <row r="416">
          <cell r="A416" t="str">
            <v>20017_1</v>
          </cell>
        </row>
        <row r="417">
          <cell r="A417" t="str">
            <v>20017_2</v>
          </cell>
        </row>
        <row r="418">
          <cell r="A418" t="str">
            <v>20017_3</v>
          </cell>
        </row>
        <row r="419">
          <cell r="A419" t="str">
            <v>20018_1</v>
          </cell>
        </row>
        <row r="420">
          <cell r="A420" t="str">
            <v>20018_2</v>
          </cell>
        </row>
        <row r="421">
          <cell r="A421" t="str">
            <v>20018_3</v>
          </cell>
        </row>
        <row r="422">
          <cell r="A422" t="str">
            <v>30001_1</v>
          </cell>
        </row>
        <row r="423">
          <cell r="A423" t="str">
            <v>30001_2</v>
          </cell>
        </row>
        <row r="424">
          <cell r="A424" t="str">
            <v>30001_3</v>
          </cell>
        </row>
        <row r="425">
          <cell r="A425" t="str">
            <v>30002_1</v>
          </cell>
        </row>
        <row r="426">
          <cell r="A426" t="str">
            <v>30002_2</v>
          </cell>
        </row>
        <row r="427">
          <cell r="A427" t="str">
            <v>30002_3</v>
          </cell>
        </row>
        <row r="428">
          <cell r="A428" t="str">
            <v>30003_1</v>
          </cell>
        </row>
        <row r="429">
          <cell r="A429" t="str">
            <v>30003_2</v>
          </cell>
        </row>
        <row r="430">
          <cell r="A430" t="str">
            <v>30003_3</v>
          </cell>
        </row>
        <row r="431">
          <cell r="A431" t="str">
            <v>30004_1</v>
          </cell>
        </row>
        <row r="432">
          <cell r="A432" t="str">
            <v>30004_2</v>
          </cell>
        </row>
        <row r="433">
          <cell r="A433" t="str">
            <v>30004_3</v>
          </cell>
        </row>
        <row r="434">
          <cell r="A434" t="str">
            <v>30005_1</v>
          </cell>
        </row>
        <row r="435">
          <cell r="A435" t="str">
            <v>30005_2</v>
          </cell>
        </row>
        <row r="436">
          <cell r="A436" t="str">
            <v>30005_3</v>
          </cell>
        </row>
        <row r="437">
          <cell r="A437" t="str">
            <v>30006_1</v>
          </cell>
        </row>
        <row r="438">
          <cell r="A438" t="str">
            <v>30006_2</v>
          </cell>
        </row>
        <row r="439">
          <cell r="A439" t="str">
            <v>30006_3</v>
          </cell>
        </row>
        <row r="440">
          <cell r="A440" t="str">
            <v>30007_1</v>
          </cell>
        </row>
        <row r="441">
          <cell r="A441" t="str">
            <v>30007_2</v>
          </cell>
        </row>
        <row r="442">
          <cell r="A442" t="str">
            <v>30007_3</v>
          </cell>
        </row>
        <row r="443">
          <cell r="A443" t="str">
            <v>30008_1</v>
          </cell>
        </row>
        <row r="444">
          <cell r="A444" t="str">
            <v>30008_2</v>
          </cell>
        </row>
        <row r="445">
          <cell r="A445" t="str">
            <v>30008_3</v>
          </cell>
        </row>
        <row r="446">
          <cell r="A446" t="str">
            <v>30009_3</v>
          </cell>
        </row>
        <row r="447">
          <cell r="A447" t="str">
            <v>30009_1</v>
          </cell>
        </row>
        <row r="448">
          <cell r="A448" t="str">
            <v>30009_2</v>
          </cell>
        </row>
        <row r="449">
          <cell r="A449" t="str">
            <v>30010_1</v>
          </cell>
        </row>
        <row r="450">
          <cell r="A450" t="str">
            <v>30010_2</v>
          </cell>
        </row>
        <row r="451">
          <cell r="A451" t="str">
            <v>30010_3</v>
          </cell>
        </row>
        <row r="452">
          <cell r="A452" t="str">
            <v>30011_1</v>
          </cell>
        </row>
        <row r="453">
          <cell r="A453" t="str">
            <v>30011_2</v>
          </cell>
        </row>
        <row r="454">
          <cell r="A454" t="str">
            <v>30011_3</v>
          </cell>
        </row>
        <row r="455">
          <cell r="A455" t="str">
            <v>30012_1</v>
          </cell>
        </row>
        <row r="456">
          <cell r="A456" t="str">
            <v>30012_2</v>
          </cell>
        </row>
        <row r="457">
          <cell r="A457" t="str">
            <v>30012_3</v>
          </cell>
        </row>
        <row r="458">
          <cell r="A458" t="str">
            <v>30013_1</v>
          </cell>
        </row>
        <row r="459">
          <cell r="A459" t="str">
            <v>30013_2</v>
          </cell>
        </row>
        <row r="460">
          <cell r="A460" t="str">
            <v>30014_1</v>
          </cell>
        </row>
        <row r="461">
          <cell r="A461" t="str">
            <v>30014_2</v>
          </cell>
        </row>
        <row r="462">
          <cell r="A462" t="str">
            <v>30015_1</v>
          </cell>
        </row>
        <row r="463">
          <cell r="A463" t="str">
            <v>30015_2</v>
          </cell>
        </row>
        <row r="464">
          <cell r="A464" t="str">
            <v>30016_1</v>
          </cell>
        </row>
        <row r="465">
          <cell r="A465" t="str">
            <v>30016_2</v>
          </cell>
        </row>
        <row r="466">
          <cell r="A466" t="str">
            <v>30017_1</v>
          </cell>
        </row>
        <row r="467">
          <cell r="A467" t="str">
            <v>30017_2</v>
          </cell>
        </row>
        <row r="468">
          <cell r="A468" t="str">
            <v>30018_1</v>
          </cell>
        </row>
        <row r="469">
          <cell r="A469" t="str">
            <v>30018_2</v>
          </cell>
        </row>
        <row r="470">
          <cell r="A470" t="str">
            <v>30019_1</v>
          </cell>
        </row>
        <row r="471">
          <cell r="A471" t="str">
            <v>30019_2</v>
          </cell>
        </row>
        <row r="472">
          <cell r="A472" t="str">
            <v>30020_1</v>
          </cell>
        </row>
        <row r="473">
          <cell r="A473" t="str">
            <v>30020_2</v>
          </cell>
        </row>
        <row r="474">
          <cell r="A474" t="str">
            <v>30021_1</v>
          </cell>
        </row>
        <row r="475">
          <cell r="A475" t="str">
            <v>30021_2</v>
          </cell>
        </row>
        <row r="476">
          <cell r="A476" t="str">
            <v>30021_3</v>
          </cell>
        </row>
        <row r="477">
          <cell r="A477" t="str">
            <v>30022_1</v>
          </cell>
        </row>
        <row r="478">
          <cell r="A478" t="str">
            <v>30022_2</v>
          </cell>
        </row>
        <row r="479">
          <cell r="A479" t="str">
            <v>30023_1</v>
          </cell>
        </row>
        <row r="480">
          <cell r="A480" t="str">
            <v>30023_2</v>
          </cell>
        </row>
        <row r="481">
          <cell r="A481" t="str">
            <v>30023_3</v>
          </cell>
        </row>
        <row r="482">
          <cell r="A482" t="str">
            <v>30024_1</v>
          </cell>
        </row>
        <row r="483">
          <cell r="A483" t="str">
            <v>30024_2</v>
          </cell>
        </row>
        <row r="484">
          <cell r="A484" t="str">
            <v>30024_3</v>
          </cell>
        </row>
        <row r="485">
          <cell r="A485" t="str">
            <v>30025_1</v>
          </cell>
        </row>
        <row r="486">
          <cell r="A486" t="str">
            <v>30025_2</v>
          </cell>
        </row>
        <row r="487">
          <cell r="A487" t="str">
            <v>30025_3</v>
          </cell>
        </row>
        <row r="488">
          <cell r="A488" t="str">
            <v>30026_1</v>
          </cell>
        </row>
        <row r="489">
          <cell r="A489" t="str">
            <v>30026_2</v>
          </cell>
        </row>
        <row r="490">
          <cell r="A490" t="str">
            <v>30026_3</v>
          </cell>
        </row>
        <row r="491">
          <cell r="A491" t="str">
            <v>30027_1</v>
          </cell>
        </row>
        <row r="492">
          <cell r="A492" t="str">
            <v>30027_2</v>
          </cell>
        </row>
        <row r="493">
          <cell r="A493" t="str">
            <v>30027_3</v>
          </cell>
        </row>
        <row r="494">
          <cell r="A494" t="str">
            <v>30028_1</v>
          </cell>
        </row>
        <row r="495">
          <cell r="A495" t="str">
            <v>30028_2</v>
          </cell>
        </row>
        <row r="496">
          <cell r="A496" t="str">
            <v>30028_3</v>
          </cell>
        </row>
        <row r="497">
          <cell r="A497" t="str">
            <v>30029_1</v>
          </cell>
        </row>
        <row r="498">
          <cell r="A498" t="str">
            <v>30029_2</v>
          </cell>
        </row>
        <row r="499">
          <cell r="A499" t="str">
            <v>30029_3</v>
          </cell>
        </row>
        <row r="500">
          <cell r="A500" t="str">
            <v>30030_1</v>
          </cell>
        </row>
        <row r="501">
          <cell r="A501" t="str">
            <v>30030_2</v>
          </cell>
        </row>
        <row r="502">
          <cell r="A502" t="str">
            <v>30030_3</v>
          </cell>
        </row>
        <row r="503">
          <cell r="A503" t="str">
            <v>30031_1</v>
          </cell>
        </row>
        <row r="504">
          <cell r="A504" t="str">
            <v>30031_2</v>
          </cell>
        </row>
        <row r="505">
          <cell r="A505" t="str">
            <v>30031_3</v>
          </cell>
        </row>
        <row r="506">
          <cell r="A506" t="str">
            <v>30032_1</v>
          </cell>
        </row>
        <row r="507">
          <cell r="A507" t="str">
            <v>30032_2</v>
          </cell>
        </row>
        <row r="508">
          <cell r="A508" t="str">
            <v>30032_3</v>
          </cell>
        </row>
        <row r="509">
          <cell r="A509" t="str">
            <v>30033_1</v>
          </cell>
        </row>
        <row r="510">
          <cell r="A510" t="str">
            <v>30033_2</v>
          </cell>
        </row>
        <row r="511">
          <cell r="A511" t="str">
            <v>30033_3</v>
          </cell>
        </row>
        <row r="512">
          <cell r="A512" t="str">
            <v>30034_1</v>
          </cell>
        </row>
        <row r="513">
          <cell r="A513" t="str">
            <v>30034_2</v>
          </cell>
        </row>
        <row r="514">
          <cell r="A514" t="str">
            <v>30034_3</v>
          </cell>
        </row>
        <row r="515">
          <cell r="A515" t="str">
            <v>30035_1</v>
          </cell>
        </row>
        <row r="516">
          <cell r="A516" t="str">
            <v>30035_2</v>
          </cell>
        </row>
        <row r="517">
          <cell r="A517" t="str">
            <v>30035_3</v>
          </cell>
        </row>
        <row r="518">
          <cell r="A518" t="str">
            <v>30036_1</v>
          </cell>
        </row>
        <row r="519">
          <cell r="A519" t="str">
            <v>30036_2</v>
          </cell>
        </row>
        <row r="520">
          <cell r="A520" t="str">
            <v>30036_3</v>
          </cell>
        </row>
        <row r="521">
          <cell r="A521" t="str">
            <v>30037_1</v>
          </cell>
        </row>
        <row r="522">
          <cell r="A522" t="str">
            <v>30037_2</v>
          </cell>
        </row>
        <row r="523">
          <cell r="A523" t="str">
            <v>30037_3</v>
          </cell>
        </row>
        <row r="524">
          <cell r="A524" t="str">
            <v>30038_1</v>
          </cell>
        </row>
        <row r="525">
          <cell r="A525" t="str">
            <v>30038_2</v>
          </cell>
        </row>
        <row r="526">
          <cell r="A526" t="str">
            <v>30038_3</v>
          </cell>
        </row>
        <row r="527">
          <cell r="A527" t="str">
            <v>39001_1</v>
          </cell>
        </row>
        <row r="528">
          <cell r="A528" t="str">
            <v>39001_2</v>
          </cell>
        </row>
        <row r="529">
          <cell r="A529" t="str">
            <v>39001_3</v>
          </cell>
        </row>
        <row r="530">
          <cell r="A530" t="str">
            <v>39001_4</v>
          </cell>
        </row>
        <row r="531">
          <cell r="A531" t="str">
            <v>39001_5</v>
          </cell>
        </row>
        <row r="532">
          <cell r="A532" t="str">
            <v>39002_1</v>
          </cell>
        </row>
        <row r="533">
          <cell r="A533" t="str">
            <v>39002_2</v>
          </cell>
        </row>
        <row r="534">
          <cell r="A534" t="str">
            <v>39002_3</v>
          </cell>
        </row>
        <row r="535">
          <cell r="A535" t="str">
            <v>39002_4</v>
          </cell>
        </row>
        <row r="536">
          <cell r="A536" t="str">
            <v>39003_1</v>
          </cell>
        </row>
        <row r="537">
          <cell r="A537" t="str">
            <v>39003_2</v>
          </cell>
        </row>
        <row r="538">
          <cell r="A538" t="str">
            <v>39003_3</v>
          </cell>
        </row>
        <row r="539">
          <cell r="A539" t="str">
            <v>39003_4</v>
          </cell>
        </row>
        <row r="540">
          <cell r="A540" t="str">
            <v>39004_1</v>
          </cell>
        </row>
        <row r="541">
          <cell r="A541" t="str">
            <v>39004_2</v>
          </cell>
        </row>
        <row r="542">
          <cell r="A542" t="str">
            <v>39004_3</v>
          </cell>
        </row>
        <row r="543">
          <cell r="A543" t="str">
            <v>39004_4</v>
          </cell>
        </row>
        <row r="544">
          <cell r="A544" t="str">
            <v>39005_1</v>
          </cell>
        </row>
        <row r="545">
          <cell r="A545" t="str">
            <v>39005_2</v>
          </cell>
        </row>
        <row r="546">
          <cell r="A546" t="str">
            <v>39005_3</v>
          </cell>
        </row>
        <row r="547">
          <cell r="A547" t="str">
            <v>39005_4</v>
          </cell>
        </row>
        <row r="548">
          <cell r="A548" t="str">
            <v>39005_5</v>
          </cell>
        </row>
        <row r="549">
          <cell r="A549" t="str">
            <v>39006_1</v>
          </cell>
        </row>
        <row r="550">
          <cell r="A550" t="str">
            <v>39006_2</v>
          </cell>
        </row>
        <row r="551">
          <cell r="A551" t="str">
            <v>39006_3</v>
          </cell>
        </row>
        <row r="552">
          <cell r="A552" t="str">
            <v>39006_4</v>
          </cell>
        </row>
        <row r="553">
          <cell r="A553" t="str">
            <v>40001_1</v>
          </cell>
        </row>
        <row r="554">
          <cell r="A554" t="str">
            <v>40002_1</v>
          </cell>
        </row>
        <row r="555">
          <cell r="A555" t="str">
            <v>40002_2</v>
          </cell>
        </row>
        <row r="556">
          <cell r="A556" t="str">
            <v>40002_3</v>
          </cell>
        </row>
        <row r="557">
          <cell r="A557" t="str">
            <v>40003_1</v>
          </cell>
        </row>
        <row r="558">
          <cell r="A558" t="str">
            <v>40004_1</v>
          </cell>
        </row>
        <row r="559">
          <cell r="A559" t="str">
            <v>40005_1</v>
          </cell>
        </row>
        <row r="560">
          <cell r="A560" t="str">
            <v>40006_1</v>
          </cell>
        </row>
        <row r="561">
          <cell r="A561" t="str">
            <v>40007_1</v>
          </cell>
        </row>
        <row r="562">
          <cell r="A562" t="str">
            <v>40008_1</v>
          </cell>
        </row>
        <row r="563">
          <cell r="A563" t="str">
            <v>40009_1</v>
          </cell>
        </row>
        <row r="564">
          <cell r="A564" t="str">
            <v>40010_1</v>
          </cell>
        </row>
        <row r="565">
          <cell r="A565" t="str">
            <v>40011_1</v>
          </cell>
        </row>
        <row r="566">
          <cell r="A566" t="str">
            <v>40012_1</v>
          </cell>
        </row>
        <row r="567">
          <cell r="A567" t="str">
            <v>40013_1</v>
          </cell>
        </row>
        <row r="568">
          <cell r="A568" t="str">
            <v>40014_1</v>
          </cell>
        </row>
        <row r="569">
          <cell r="A569" t="str">
            <v>40015_1</v>
          </cell>
        </row>
        <row r="570">
          <cell r="A570" t="str">
            <v>40016_1</v>
          </cell>
        </row>
        <row r="571">
          <cell r="A571" t="str">
            <v>40016_2</v>
          </cell>
        </row>
        <row r="572">
          <cell r="A572" t="str">
            <v>40017_1</v>
          </cell>
        </row>
        <row r="573">
          <cell r="A573" t="str">
            <v>40017_2</v>
          </cell>
        </row>
        <row r="574">
          <cell r="A574" t="str">
            <v>40017_3</v>
          </cell>
        </row>
        <row r="575">
          <cell r="A575" t="str">
            <v>40018_1</v>
          </cell>
        </row>
        <row r="576">
          <cell r="A576" t="str">
            <v>40018_2</v>
          </cell>
        </row>
        <row r="577">
          <cell r="A577" t="str">
            <v>40018_3</v>
          </cell>
        </row>
        <row r="578">
          <cell r="A578" t="str">
            <v>40019_1</v>
          </cell>
        </row>
        <row r="579">
          <cell r="A579" t="str">
            <v>40019_2</v>
          </cell>
        </row>
        <row r="580">
          <cell r="A580" t="str">
            <v>40019_3</v>
          </cell>
        </row>
        <row r="581">
          <cell r="A581" t="str">
            <v>40021_1</v>
          </cell>
        </row>
        <row r="582">
          <cell r="A582" t="str">
            <v>40021_2</v>
          </cell>
        </row>
        <row r="583">
          <cell r="A583" t="str">
            <v>40022_1</v>
          </cell>
        </row>
        <row r="584">
          <cell r="A584" t="str">
            <v>40022_2</v>
          </cell>
        </row>
        <row r="585">
          <cell r="A585" t="str">
            <v>48001_1</v>
          </cell>
        </row>
        <row r="586">
          <cell r="A586" t="str">
            <v>48002_1</v>
          </cell>
        </row>
        <row r="587">
          <cell r="A587" t="str">
            <v>48002_2</v>
          </cell>
        </row>
        <row r="588">
          <cell r="A588" t="str">
            <v>48002_3</v>
          </cell>
        </row>
        <row r="589">
          <cell r="A589" t="str">
            <v>48003_1</v>
          </cell>
        </row>
        <row r="590">
          <cell r="A590" t="str">
            <v>48003_2</v>
          </cell>
        </row>
        <row r="591">
          <cell r="A591" t="str">
            <v>48003_3</v>
          </cell>
        </row>
        <row r="592">
          <cell r="A592" t="str">
            <v>48004_1</v>
          </cell>
        </row>
        <row r="593">
          <cell r="A593" t="str">
            <v>48004_2</v>
          </cell>
        </row>
        <row r="594">
          <cell r="A594" t="str">
            <v>41001_1</v>
          </cell>
        </row>
        <row r="595">
          <cell r="A595" t="str">
            <v>41001_2</v>
          </cell>
        </row>
        <row r="596">
          <cell r="A596" t="str">
            <v>41001_3</v>
          </cell>
        </row>
        <row r="597">
          <cell r="A597" t="str">
            <v>41002_1</v>
          </cell>
        </row>
        <row r="598">
          <cell r="A598" t="str">
            <v>41002_2</v>
          </cell>
        </row>
        <row r="599">
          <cell r="A599" t="str">
            <v>41002_3</v>
          </cell>
        </row>
        <row r="600">
          <cell r="A600" t="str">
            <v>41003_1</v>
          </cell>
        </row>
        <row r="601">
          <cell r="A601" t="str">
            <v>41003_2</v>
          </cell>
        </row>
        <row r="602">
          <cell r="A602" t="str">
            <v>41003_3</v>
          </cell>
        </row>
        <row r="603">
          <cell r="A603" t="str">
            <v>41004_1</v>
          </cell>
        </row>
        <row r="604">
          <cell r="A604" t="str">
            <v>41004_2</v>
          </cell>
        </row>
        <row r="605">
          <cell r="A605" t="str">
            <v>41004_3</v>
          </cell>
        </row>
        <row r="606">
          <cell r="A606" t="str">
            <v>41005_1</v>
          </cell>
        </row>
        <row r="607">
          <cell r="A607" t="str">
            <v>41005_2</v>
          </cell>
        </row>
        <row r="608">
          <cell r="A608" t="str">
            <v>41005_3</v>
          </cell>
        </row>
        <row r="609">
          <cell r="A609" t="str">
            <v>41006_1</v>
          </cell>
        </row>
        <row r="610">
          <cell r="A610" t="str">
            <v>41006_2</v>
          </cell>
        </row>
        <row r="611">
          <cell r="A611" t="str">
            <v>41006_3</v>
          </cell>
        </row>
        <row r="612">
          <cell r="A612" t="str">
            <v>41007_1</v>
          </cell>
        </row>
        <row r="613">
          <cell r="A613" t="str">
            <v>41007_2</v>
          </cell>
        </row>
        <row r="614">
          <cell r="A614" t="str">
            <v>41007_3</v>
          </cell>
        </row>
        <row r="615">
          <cell r="A615" t="str">
            <v>41008_1</v>
          </cell>
        </row>
        <row r="616">
          <cell r="A616" t="str">
            <v>41008_2</v>
          </cell>
        </row>
        <row r="617">
          <cell r="A617" t="str">
            <v>41008_3</v>
          </cell>
        </row>
        <row r="618">
          <cell r="A618" t="str">
            <v>41009_1</v>
          </cell>
        </row>
        <row r="619">
          <cell r="A619" t="str">
            <v>41009_2</v>
          </cell>
        </row>
        <row r="620">
          <cell r="A620" t="str">
            <v>41009_3</v>
          </cell>
        </row>
        <row r="621">
          <cell r="A621" t="str">
            <v>41010_1</v>
          </cell>
        </row>
        <row r="622">
          <cell r="A622" t="str">
            <v>41010_2</v>
          </cell>
        </row>
        <row r="623">
          <cell r="A623" t="str">
            <v>41010_3</v>
          </cell>
        </row>
        <row r="624">
          <cell r="A624" t="str">
            <v>41011_1</v>
          </cell>
        </row>
        <row r="625">
          <cell r="A625" t="str">
            <v>41011_2</v>
          </cell>
        </row>
        <row r="626">
          <cell r="A626" t="str">
            <v>41012_1</v>
          </cell>
        </row>
        <row r="627">
          <cell r="A627" t="str">
            <v>41012_2</v>
          </cell>
        </row>
        <row r="628">
          <cell r="A628" t="str">
            <v>41013_1</v>
          </cell>
        </row>
        <row r="629">
          <cell r="A629" t="str">
            <v>41013_2</v>
          </cell>
        </row>
        <row r="630">
          <cell r="A630" t="str">
            <v>41014_1</v>
          </cell>
        </row>
        <row r="631">
          <cell r="A631" t="str">
            <v>41014_2</v>
          </cell>
        </row>
        <row r="632">
          <cell r="A632" t="str">
            <v>41015_1</v>
          </cell>
        </row>
        <row r="633">
          <cell r="A633" t="str">
            <v>41015_2</v>
          </cell>
        </row>
        <row r="634">
          <cell r="A634" t="str">
            <v>47001_1</v>
          </cell>
        </row>
        <row r="635">
          <cell r="A635" t="str">
            <v>47001_2</v>
          </cell>
        </row>
        <row r="636">
          <cell r="A636" t="str">
            <v>47002_1</v>
          </cell>
        </row>
        <row r="637">
          <cell r="A637" t="str">
            <v>47002_2</v>
          </cell>
        </row>
        <row r="638">
          <cell r="A638" t="str">
            <v>49001_1</v>
          </cell>
        </row>
        <row r="639">
          <cell r="A639" t="str">
            <v>49002_1</v>
          </cell>
        </row>
        <row r="640">
          <cell r="A640" t="str">
            <v>49002_2</v>
          </cell>
        </row>
        <row r="641">
          <cell r="A641" t="str">
            <v>49003_1</v>
          </cell>
        </row>
        <row r="642">
          <cell r="A642" t="str">
            <v>49003_2</v>
          </cell>
        </row>
        <row r="643">
          <cell r="A643" t="str">
            <v>49004_1</v>
          </cell>
        </row>
        <row r="644">
          <cell r="A644" t="str">
            <v>49004_2</v>
          </cell>
        </row>
        <row r="645">
          <cell r="A645" t="str">
            <v>49004_3</v>
          </cell>
        </row>
        <row r="646">
          <cell r="A646" t="str">
            <v>49005_1</v>
          </cell>
        </row>
        <row r="647">
          <cell r="A647" t="str">
            <v>49006_1</v>
          </cell>
        </row>
        <row r="648">
          <cell r="A648" t="str">
            <v>49006_2</v>
          </cell>
        </row>
        <row r="649">
          <cell r="A649" t="str">
            <v>50001_1</v>
          </cell>
        </row>
        <row r="650">
          <cell r="A650" t="str">
            <v>50002_1</v>
          </cell>
        </row>
        <row r="651">
          <cell r="A651" t="str">
            <v>50003_1</v>
          </cell>
        </row>
        <row r="652">
          <cell r="A652" t="str">
            <v>50004_1</v>
          </cell>
        </row>
        <row r="653">
          <cell r="A653" t="str">
            <v>50005_1</v>
          </cell>
        </row>
        <row r="654">
          <cell r="A654" t="str">
            <v>50006_1</v>
          </cell>
        </row>
        <row r="655">
          <cell r="A655" t="str">
            <v>51001_1</v>
          </cell>
        </row>
        <row r="656">
          <cell r="A656" t="str">
            <v>51002_1</v>
          </cell>
        </row>
        <row r="657">
          <cell r="A657" t="str">
            <v>60001_1</v>
          </cell>
        </row>
        <row r="658">
          <cell r="A658" t="str">
            <v>60002_1</v>
          </cell>
        </row>
        <row r="659">
          <cell r="A659" t="str">
            <v>60002_2</v>
          </cell>
        </row>
        <row r="660">
          <cell r="A660" t="str">
            <v>60003_1</v>
          </cell>
        </row>
        <row r="661">
          <cell r="A661" t="str">
            <v>60003_2</v>
          </cell>
        </row>
        <row r="662">
          <cell r="A662" t="str">
            <v>60003_3</v>
          </cell>
        </row>
        <row r="663">
          <cell r="A663" t="str">
            <v>60004_1</v>
          </cell>
        </row>
        <row r="664">
          <cell r="A664" t="str">
            <v>60005_1</v>
          </cell>
        </row>
        <row r="665">
          <cell r="A665" t="str">
            <v>60006_1</v>
          </cell>
        </row>
        <row r="666">
          <cell r="A666" t="str">
            <v>60006_2</v>
          </cell>
        </row>
        <row r="667">
          <cell r="A667" t="str">
            <v>60006_3</v>
          </cell>
        </row>
        <row r="668">
          <cell r="A668" t="str">
            <v>60007_1</v>
          </cell>
        </row>
        <row r="669">
          <cell r="A669" t="str">
            <v>60007_2</v>
          </cell>
        </row>
        <row r="670">
          <cell r="A670" t="str">
            <v>60007_3</v>
          </cell>
        </row>
        <row r="671">
          <cell r="A671" t="str">
            <v>60010_1</v>
          </cell>
        </row>
        <row r="672">
          <cell r="A672" t="str">
            <v>60011_1</v>
          </cell>
        </row>
        <row r="673">
          <cell r="A673" t="str">
            <v>60011_2</v>
          </cell>
        </row>
        <row r="674">
          <cell r="A674" t="str">
            <v>61011_1</v>
          </cell>
        </row>
        <row r="675">
          <cell r="A675" t="str">
            <v>60012_1</v>
          </cell>
        </row>
        <row r="676">
          <cell r="A676" t="str">
            <v>60013_1</v>
          </cell>
        </row>
        <row r="677">
          <cell r="A677" t="str">
            <v>60013_2</v>
          </cell>
        </row>
        <row r="678">
          <cell r="A678" t="str">
            <v>60013_3</v>
          </cell>
        </row>
        <row r="679">
          <cell r="A679" t="str">
            <v>60014_1</v>
          </cell>
        </row>
        <row r="680">
          <cell r="A680" t="str">
            <v>65535_1</v>
          </cell>
        </row>
        <row r="681">
          <cell r="A681" t="str">
            <v>65535_2</v>
          </cell>
        </row>
        <row r="682">
          <cell r="A682" t="str">
            <v>65535_3</v>
          </cell>
        </row>
        <row r="683">
          <cell r="A683" t="str">
            <v>65535_4</v>
          </cell>
        </row>
        <row r="684">
          <cell r="A684" t="str">
            <v>65535_5</v>
          </cell>
        </row>
        <row r="685">
          <cell r="A685" t="str">
            <v>65535_6</v>
          </cell>
        </row>
        <row r="686">
          <cell r="A686" t="str">
            <v>65535_7</v>
          </cell>
        </row>
        <row r="687">
          <cell r="A687" t="str">
            <v>65535_8</v>
          </cell>
        </row>
        <row r="688">
          <cell r="A688" t="str">
            <v>60021_3</v>
          </cell>
        </row>
        <row r="689">
          <cell r="A689" t="str">
            <v>60022_3</v>
          </cell>
        </row>
        <row r="690">
          <cell r="A690" t="str">
            <v>60023_3</v>
          </cell>
        </row>
        <row r="691">
          <cell r="A691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1079</v>
          </cell>
        </row>
        <row r="1061">
          <cell r="A1061">
            <v>1080</v>
          </cell>
        </row>
        <row r="1062">
          <cell r="A1062">
            <v>1081</v>
          </cell>
        </row>
        <row r="1063">
          <cell r="A1063">
            <v>1082</v>
          </cell>
        </row>
        <row r="1064">
          <cell r="A1064">
            <v>6001</v>
          </cell>
        </row>
        <row r="1065">
          <cell r="A1065">
            <v>6002</v>
          </cell>
        </row>
        <row r="1066">
          <cell r="A1066">
            <v>6003</v>
          </cell>
        </row>
        <row r="1067">
          <cell r="A1067">
            <v>6004</v>
          </cell>
        </row>
        <row r="1068">
          <cell r="A1068">
            <v>6005</v>
          </cell>
        </row>
        <row r="1069">
          <cell r="A1069">
            <v>6006</v>
          </cell>
        </row>
        <row r="1070">
          <cell r="A1070">
            <v>6007</v>
          </cell>
        </row>
        <row r="1071">
          <cell r="A1071">
            <v>6008</v>
          </cell>
        </row>
        <row r="1072">
          <cell r="A1072">
            <v>6009</v>
          </cell>
        </row>
        <row r="1073">
          <cell r="A1073">
            <v>6010</v>
          </cell>
        </row>
        <row r="1074">
          <cell r="A1074">
            <v>6011</v>
          </cell>
        </row>
        <row r="1075">
          <cell r="A1075">
            <v>6012</v>
          </cell>
        </row>
        <row r="1076">
          <cell r="A1076">
            <v>6013</v>
          </cell>
        </row>
        <row r="1077">
          <cell r="A1077">
            <v>6014</v>
          </cell>
        </row>
        <row r="1078">
          <cell r="A1078">
            <v>6015</v>
          </cell>
        </row>
        <row r="1079">
          <cell r="A1079">
            <v>6016</v>
          </cell>
        </row>
        <row r="1080">
          <cell r="A1080">
            <v>6017</v>
          </cell>
        </row>
        <row r="1081">
          <cell r="A1081">
            <v>6018</v>
          </cell>
        </row>
        <row r="1082">
          <cell r="A1082">
            <v>6019</v>
          </cell>
        </row>
        <row r="1083">
          <cell r="A1083">
            <v>6020</v>
          </cell>
        </row>
        <row r="1084">
          <cell r="A1084">
            <v>8001</v>
          </cell>
        </row>
        <row r="1085">
          <cell r="A1085">
            <v>8002</v>
          </cell>
        </row>
        <row r="1086">
          <cell r="A1086">
            <v>8003</v>
          </cell>
        </row>
        <row r="1087">
          <cell r="A1087">
            <v>8004</v>
          </cell>
        </row>
        <row r="1088">
          <cell r="A1088">
            <v>8005</v>
          </cell>
        </row>
        <row r="1089">
          <cell r="A1089">
            <v>8006</v>
          </cell>
        </row>
        <row r="1090">
          <cell r="A1090">
            <v>8007</v>
          </cell>
        </row>
        <row r="1091">
          <cell r="A1091">
            <v>8008</v>
          </cell>
        </row>
        <row r="1092">
          <cell r="A1092">
            <v>8009</v>
          </cell>
        </row>
        <row r="1093">
          <cell r="A1093">
            <v>8010</v>
          </cell>
        </row>
        <row r="1094">
          <cell r="A1094">
            <v>8011</v>
          </cell>
        </row>
        <row r="1095">
          <cell r="A1095">
            <v>8012</v>
          </cell>
        </row>
        <row r="1096">
          <cell r="A1096">
            <v>8013</v>
          </cell>
        </row>
        <row r="1097">
          <cell r="A1097">
            <v>8014</v>
          </cell>
        </row>
        <row r="1098">
          <cell r="A1098">
            <v>8015</v>
          </cell>
        </row>
        <row r="1099">
          <cell r="A1099">
            <v>8016</v>
          </cell>
        </row>
        <row r="1100">
          <cell r="A1100">
            <v>8017</v>
          </cell>
        </row>
        <row r="1101">
          <cell r="A1101">
            <v>8018</v>
          </cell>
        </row>
        <row r="1102">
          <cell r="A1102">
            <v>8019</v>
          </cell>
        </row>
        <row r="1103">
          <cell r="A1103">
            <v>8020</v>
          </cell>
        </row>
        <row r="1104">
          <cell r="A1104">
            <v>8021</v>
          </cell>
        </row>
        <row r="1105">
          <cell r="A1105">
            <v>8022</v>
          </cell>
        </row>
        <row r="1106">
          <cell r="A1106">
            <v>8023</v>
          </cell>
        </row>
        <row r="1107">
          <cell r="A1107">
            <v>8024</v>
          </cell>
        </row>
        <row r="1108">
          <cell r="A1108">
            <v>8025</v>
          </cell>
        </row>
        <row r="1109">
          <cell r="A1109">
            <v>8026</v>
          </cell>
        </row>
        <row r="1110">
          <cell r="A1110">
            <v>8027</v>
          </cell>
        </row>
        <row r="1111">
          <cell r="A1111">
            <v>8028</v>
          </cell>
        </row>
        <row r="1112">
          <cell r="A1112">
            <v>8029</v>
          </cell>
        </row>
        <row r="1113">
          <cell r="A1113">
            <v>8030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6001</v>
          </cell>
        </row>
        <row r="1131">
          <cell r="A1131">
            <v>6002</v>
          </cell>
        </row>
        <row r="1132">
          <cell r="A1132">
            <v>6003</v>
          </cell>
        </row>
        <row r="1133">
          <cell r="A1133">
            <v>6004</v>
          </cell>
        </row>
        <row r="1134">
          <cell r="A1134">
            <v>6005</v>
          </cell>
        </row>
        <row r="1135">
          <cell r="A1135">
            <v>6006</v>
          </cell>
        </row>
        <row r="1136">
          <cell r="A1136">
            <v>6007</v>
          </cell>
        </row>
        <row r="1137">
          <cell r="A1137">
            <v>6008</v>
          </cell>
        </row>
        <row r="1138">
          <cell r="A1138">
            <v>6009</v>
          </cell>
        </row>
        <row r="1139">
          <cell r="A1139">
            <v>6010</v>
          </cell>
        </row>
        <row r="1140">
          <cell r="A1140">
            <v>6011</v>
          </cell>
        </row>
        <row r="1141">
          <cell r="A1141">
            <v>6012</v>
          </cell>
        </row>
        <row r="1142">
          <cell r="A1142">
            <v>6013</v>
          </cell>
        </row>
        <row r="1143">
          <cell r="A1143">
            <v>6014</v>
          </cell>
        </row>
        <row r="1144">
          <cell r="A1144">
            <v>6015</v>
          </cell>
        </row>
        <row r="1145">
          <cell r="A1145">
            <v>6016</v>
          </cell>
        </row>
        <row r="1146">
          <cell r="A1146">
            <v>6017</v>
          </cell>
        </row>
        <row r="1147">
          <cell r="A1147">
            <v>6018</v>
          </cell>
        </row>
        <row r="1148">
          <cell r="A1148">
            <v>6019</v>
          </cell>
        </row>
        <row r="1149">
          <cell r="A1149">
            <v>6020</v>
          </cell>
        </row>
        <row r="1150">
          <cell r="A1150">
            <v>8001</v>
          </cell>
        </row>
        <row r="1151">
          <cell r="A1151">
            <v>8002</v>
          </cell>
        </row>
        <row r="1152">
          <cell r="A1152">
            <v>8003</v>
          </cell>
        </row>
        <row r="1153">
          <cell r="A1153">
            <v>8004</v>
          </cell>
        </row>
        <row r="1154">
          <cell r="A1154">
            <v>8005</v>
          </cell>
        </row>
        <row r="1155">
          <cell r="A1155">
            <v>8006</v>
          </cell>
        </row>
        <row r="1156">
          <cell r="A1156">
            <v>8007</v>
          </cell>
        </row>
        <row r="1157">
          <cell r="A1157">
            <v>8008</v>
          </cell>
        </row>
        <row r="1158">
          <cell r="A1158">
            <v>8009</v>
          </cell>
        </row>
        <row r="1159">
          <cell r="A1159">
            <v>8010</v>
          </cell>
        </row>
        <row r="1160">
          <cell r="A1160">
            <v>8011</v>
          </cell>
        </row>
        <row r="1161">
          <cell r="A1161">
            <v>8012</v>
          </cell>
        </row>
        <row r="1162">
          <cell r="A1162">
            <v>8013</v>
          </cell>
        </row>
        <row r="1163">
          <cell r="A1163">
            <v>8014</v>
          </cell>
        </row>
        <row r="1164">
          <cell r="A1164">
            <v>8015</v>
          </cell>
        </row>
        <row r="1165">
          <cell r="A1165">
            <v>8016</v>
          </cell>
        </row>
        <row r="1166">
          <cell r="A1166">
            <v>8017</v>
          </cell>
        </row>
        <row r="1167">
          <cell r="A1167">
            <v>8018</v>
          </cell>
        </row>
        <row r="1168">
          <cell r="A1168">
            <v>8019</v>
          </cell>
        </row>
        <row r="1169">
          <cell r="A1169">
            <v>8020</v>
          </cell>
        </row>
        <row r="1170">
          <cell r="A1170">
            <v>8021</v>
          </cell>
        </row>
        <row r="1171">
          <cell r="A1171">
            <v>8022</v>
          </cell>
        </row>
        <row r="1172">
          <cell r="A1172">
            <v>8023</v>
          </cell>
        </row>
        <row r="1173">
          <cell r="A1173">
            <v>8024</v>
          </cell>
        </row>
        <row r="1174">
          <cell r="A1174">
            <v>8025</v>
          </cell>
        </row>
        <row r="1175">
          <cell r="A1175">
            <v>8026</v>
          </cell>
        </row>
        <row r="1176">
          <cell r="A1176">
            <v>8027</v>
          </cell>
        </row>
        <row r="1177">
          <cell r="A1177">
            <v>8028</v>
          </cell>
        </row>
        <row r="1178">
          <cell r="A1178">
            <v>8029</v>
          </cell>
        </row>
        <row r="1179">
          <cell r="A1179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/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129</v>
      </c>
      <c r="B1" s="55" t="s">
        <v>99</v>
      </c>
      <c r="C1" s="55" t="s">
        <v>100</v>
      </c>
      <c r="D1" s="55" t="s">
        <v>101</v>
      </c>
      <c r="E1" s="55" t="s">
        <v>102</v>
      </c>
      <c r="F1" s="55" t="s">
        <v>103</v>
      </c>
      <c r="G1" s="55" t="s">
        <v>104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254</v>
      </c>
      <c r="B2" s="57" t="s">
        <v>105</v>
      </c>
      <c r="C2" s="63">
        <v>41014</v>
      </c>
      <c r="D2" s="57" t="s">
        <v>106</v>
      </c>
      <c r="E2" s="56" t="str">
        <f>B2&amp;C2&amp;D2</f>
        <v>floors_41014.tmp</v>
      </c>
      <c r="F2" s="57" t="s">
        <v>107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254</v>
      </c>
      <c r="B3" s="57" t="s">
        <v>108</v>
      </c>
      <c r="C3" s="63">
        <v>41014</v>
      </c>
      <c r="D3" s="57" t="s">
        <v>106</v>
      </c>
      <c r="E3" s="56" t="str">
        <f>B3&amp;C3&amp;D3</f>
        <v>enemy_habitats_41014.tmp</v>
      </c>
      <c r="F3" s="57" t="s">
        <v>109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177</v>
      </c>
    </row>
    <row r="4" spans="1:30" x14ac:dyDescent="0.15">
      <c r="A4" s="61" t="s">
        <v>254</v>
      </c>
      <c r="B4" s="57" t="s">
        <v>110</v>
      </c>
      <c r="C4" s="63">
        <v>41014</v>
      </c>
      <c r="D4" s="57" t="s">
        <v>106</v>
      </c>
      <c r="E4" s="56" t="str">
        <f>B4&amp;C4&amp;D4</f>
        <v>enemy_habitat_S_41014.tmp</v>
      </c>
      <c r="F4" s="57" t="s">
        <v>111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254</v>
      </c>
      <c r="B5" s="57" t="s">
        <v>112</v>
      </c>
      <c r="C5" s="63">
        <v>41014</v>
      </c>
      <c r="D5" s="57" t="s">
        <v>106</v>
      </c>
      <c r="E5" s="56" t="str">
        <f>B5&amp;C5&amp;D5</f>
        <v>enemy_skill_sets_41014.tmp</v>
      </c>
      <c r="F5" s="57" t="s">
        <v>113</v>
      </c>
      <c r="G5" s="59" t="s">
        <v>22</v>
      </c>
      <c r="H5" s="59" t="s">
        <v>98</v>
      </c>
      <c r="I5" s="59" t="s">
        <v>93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254</v>
      </c>
      <c r="B6" s="57" t="s">
        <v>114</v>
      </c>
      <c r="C6" s="63">
        <v>41014</v>
      </c>
      <c r="D6" s="57" t="s">
        <v>115</v>
      </c>
      <c r="E6" s="56" t="str">
        <f t="shared" ref="E6:E10" si="0">B6&amp;C6&amp;D6</f>
        <v>enemy_skills_tmp_41014.tmp</v>
      </c>
      <c r="F6" s="57" t="s">
        <v>89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254</v>
      </c>
      <c r="B7" s="57" t="s">
        <v>116</v>
      </c>
      <c r="C7" s="63">
        <v>41014</v>
      </c>
      <c r="D7" s="57" t="s">
        <v>106</v>
      </c>
      <c r="E7" s="56" t="str">
        <f>B7&amp;C7&amp;D7</f>
        <v>enemy_skills_i18n_41014.tmp</v>
      </c>
      <c r="F7" s="57" t="s">
        <v>117</v>
      </c>
      <c r="G7" s="58" t="s">
        <v>79</v>
      </c>
      <c r="H7" s="58" t="s">
        <v>90</v>
      </c>
      <c r="I7" s="58" t="s">
        <v>91</v>
      </c>
      <c r="J7" s="58" t="s">
        <v>92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254</v>
      </c>
      <c r="B8" s="57" t="s">
        <v>118</v>
      </c>
      <c r="C8" s="63">
        <v>41014</v>
      </c>
      <c r="D8" s="57" t="s">
        <v>119</v>
      </c>
      <c r="E8" s="56" t="str">
        <f t="shared" si="0"/>
        <v>enemy_skill_triggers_41014.tmp</v>
      </c>
      <c r="F8" s="57" t="s">
        <v>120</v>
      </c>
      <c r="G8" s="58" t="s">
        <v>93</v>
      </c>
      <c r="H8" s="58" t="s">
        <v>94</v>
      </c>
      <c r="I8" s="58" t="s">
        <v>95</v>
      </c>
      <c r="J8" s="58" t="s">
        <v>96</v>
      </c>
      <c r="K8" s="58" t="s">
        <v>121</v>
      </c>
      <c r="L8" s="58" t="s">
        <v>97</v>
      </c>
      <c r="M8" s="58" t="s">
        <v>122</v>
      </c>
      <c r="N8" s="58" t="s">
        <v>123</v>
      </c>
      <c r="O8" s="58" t="s">
        <v>124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254</v>
      </c>
      <c r="B9" s="68" t="s">
        <v>176</v>
      </c>
      <c r="C9" s="63">
        <v>41014</v>
      </c>
      <c r="D9" s="68" t="s">
        <v>170</v>
      </c>
      <c r="E9" s="69" t="str">
        <f t="shared" si="0"/>
        <v>stage_bug_bonuses_41014.tmp</v>
      </c>
      <c r="F9" s="68" t="s">
        <v>171</v>
      </c>
      <c r="G9" s="65" t="s">
        <v>149</v>
      </c>
      <c r="H9" s="65" t="s">
        <v>172</v>
      </c>
      <c r="I9" s="65" t="s">
        <v>173</v>
      </c>
      <c r="J9" s="67" t="s">
        <v>174</v>
      </c>
      <c r="K9" s="65" t="s">
        <v>175</v>
      </c>
      <c r="L9" s="65" t="s">
        <v>155</v>
      </c>
      <c r="M9" s="65" t="s">
        <v>156</v>
      </c>
      <c r="N9" s="65" t="s">
        <v>157</v>
      </c>
      <c r="O9" s="65" t="s">
        <v>158</v>
      </c>
      <c r="P9" s="65" t="s">
        <v>159</v>
      </c>
      <c r="Q9" s="65" t="s">
        <v>160</v>
      </c>
      <c r="R9" s="65" t="s">
        <v>161</v>
      </c>
      <c r="S9" s="65" t="s">
        <v>162</v>
      </c>
      <c r="T9" s="65" t="s">
        <v>163</v>
      </c>
      <c r="U9" s="65" t="s">
        <v>164</v>
      </c>
      <c r="V9" s="65" t="s">
        <v>165</v>
      </c>
      <c r="W9" s="65" t="s">
        <v>166</v>
      </c>
      <c r="X9" s="57"/>
      <c r="Y9" s="57"/>
      <c r="Z9" s="57"/>
      <c r="AA9" s="57"/>
      <c r="AB9" s="57"/>
      <c r="AC9" s="57"/>
      <c r="AD9" s="57"/>
    </row>
    <row r="10" spans="1:30" s="76" customFormat="1" x14ac:dyDescent="0.15">
      <c r="A10" s="61" t="s">
        <v>254</v>
      </c>
      <c r="B10" s="68" t="s">
        <v>200</v>
      </c>
      <c r="C10" s="63">
        <v>41014</v>
      </c>
      <c r="D10" s="68" t="s">
        <v>179</v>
      </c>
      <c r="E10" s="69" t="str">
        <f t="shared" si="0"/>
        <v>stage_hints_data_c_41014.tmp</v>
      </c>
      <c r="F10" s="68" t="s">
        <v>208</v>
      </c>
      <c r="G10" s="74" t="s">
        <v>180</v>
      </c>
      <c r="H10" s="74" t="s">
        <v>172</v>
      </c>
      <c r="I10" s="75" t="s">
        <v>181</v>
      </c>
      <c r="J10" s="67" t="s">
        <v>182</v>
      </c>
      <c r="K10" s="67" t="s">
        <v>183</v>
      </c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</row>
    <row r="11" spans="1:30" s="76" customFormat="1" x14ac:dyDescent="0.15">
      <c r="A11" s="61" t="s">
        <v>254</v>
      </c>
      <c r="B11" s="68" t="s">
        <v>201</v>
      </c>
      <c r="C11" s="63">
        <v>41014</v>
      </c>
      <c r="D11" s="68" t="s">
        <v>170</v>
      </c>
      <c r="E11" s="69" t="str">
        <f t="shared" ref="E11:E13" si="1">B11&amp;C11&amp;D11</f>
        <v>stage_hints_data_f_41014.tmp</v>
      </c>
      <c r="F11" s="68" t="s">
        <v>210</v>
      </c>
      <c r="G11" s="74" t="s">
        <v>180</v>
      </c>
      <c r="H11" s="74" t="s">
        <v>172</v>
      </c>
      <c r="I11" s="75" t="s">
        <v>181</v>
      </c>
      <c r="J11" s="67" t="s">
        <v>182</v>
      </c>
      <c r="K11" s="67" t="s">
        <v>183</v>
      </c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</row>
    <row r="12" spans="1:30" s="76" customFormat="1" x14ac:dyDescent="0.15">
      <c r="A12" s="61" t="s">
        <v>254</v>
      </c>
      <c r="B12" s="68" t="s">
        <v>202</v>
      </c>
      <c r="C12" s="63">
        <v>41014</v>
      </c>
      <c r="D12" s="68" t="s">
        <v>170</v>
      </c>
      <c r="E12" s="69" t="str">
        <f t="shared" si="1"/>
        <v>stage_hints_i18n_41014.tmp</v>
      </c>
      <c r="F12" s="68" t="s">
        <v>211</v>
      </c>
      <c r="G12" s="75" t="s">
        <v>203</v>
      </c>
      <c r="H12" s="96" t="s">
        <v>204</v>
      </c>
      <c r="I12" s="74" t="s">
        <v>205</v>
      </c>
      <c r="J12" s="104" t="s">
        <v>206</v>
      </c>
      <c r="K12" s="67" t="s">
        <v>207</v>
      </c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  <c r="AB12" s="103"/>
      <c r="AC12" s="103"/>
      <c r="AD12" s="103"/>
    </row>
    <row r="13" spans="1:30" s="76" customFormat="1" x14ac:dyDescent="0.15">
      <c r="A13" s="61" t="s">
        <v>254</v>
      </c>
      <c r="B13" s="68" t="s">
        <v>251</v>
      </c>
      <c r="C13" s="63">
        <v>41014</v>
      </c>
      <c r="D13" s="68" t="s">
        <v>232</v>
      </c>
      <c r="E13" s="69" t="str">
        <f t="shared" si="1"/>
        <v>stage_bonuses_41014.tmp</v>
      </c>
      <c r="F13" s="68" t="s">
        <v>231</v>
      </c>
      <c r="G13" s="74" t="s">
        <v>233</v>
      </c>
      <c r="H13" s="74" t="s">
        <v>234</v>
      </c>
      <c r="I13" s="74" t="s">
        <v>235</v>
      </c>
      <c r="J13" s="74" t="s">
        <v>236</v>
      </c>
      <c r="K13" s="74" t="s">
        <v>237</v>
      </c>
      <c r="L13" s="74" t="s">
        <v>238</v>
      </c>
      <c r="M13" s="74" t="s">
        <v>239</v>
      </c>
      <c r="N13" s="74" t="s">
        <v>240</v>
      </c>
      <c r="O13" s="74" t="s">
        <v>241</v>
      </c>
      <c r="P13" s="74" t="s">
        <v>242</v>
      </c>
      <c r="Q13" s="74" t="s">
        <v>243</v>
      </c>
      <c r="R13" s="74" t="s">
        <v>244</v>
      </c>
      <c r="S13" s="74" t="s">
        <v>245</v>
      </c>
      <c r="T13" s="74" t="s">
        <v>246</v>
      </c>
      <c r="U13" s="74" t="s">
        <v>247</v>
      </c>
      <c r="V13" s="74" t="s">
        <v>248</v>
      </c>
      <c r="W13" s="74" t="s">
        <v>249</v>
      </c>
      <c r="X13" s="74" t="s">
        <v>250</v>
      </c>
      <c r="Y13" s="103"/>
      <c r="Z13" s="103"/>
      <c r="AA13" s="103"/>
      <c r="AB13" s="103"/>
      <c r="AC13" s="103"/>
      <c r="AD13" s="103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K13" sqref="K13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9" si="0">G2&amp;"-"&amp;I2</f>
        <v>41014_2-1</v>
      </c>
      <c r="B2" s="16" t="str">
        <f>IF(COUNTIF(enemy_habitats!$H:$H,A2),"OK","NG")</f>
        <v>OK</v>
      </c>
      <c r="C2" s="7">
        <v>41014</v>
      </c>
      <c r="D2" s="11" t="str">
        <f ca="1">VLOOKUP($C2,OFFSET([2]quests!$A$1,0,0,COUNTA([2]quests!$A:$A),MATCH(D$1,[2]quests!$1:$1,0)-MATCH($C$1,[2]quests!$1:$1,0)+1),MATCH(D$1,[2]quests!$1:$1,0)-MATCH($C$1,[2]quests!$1:$1,0)+1,FALSE)</f>
        <v>シヴァ襲来！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降臨1</v>
      </c>
      <c r="F2" s="21">
        <v>2</v>
      </c>
      <c r="G2" s="23" t="str">
        <f t="shared" ref="G2:G9" si="1">C2&amp;"_"&amp;F2</f>
        <v>41014_2</v>
      </c>
      <c r="H2" s="15" t="str">
        <f ca="1">VLOOKUP($G2,OFFSET([2]stages!$A$1,0,0,COUNTA([2]stages!$A:$A),MATCH(H$1,[2]stages!$2:$2,0)-MATCH($G$1,[2]stages!$2:$2,0)+1),MATCH(H$1,[2]stages!$2:$2,0)-MATCH($G$1,[2]stages!$2:$2,0)+1,FALSE)</f>
        <v>【ウィザード級】シヴァ襲来</v>
      </c>
      <c r="I2" s="21">
        <v>1</v>
      </c>
      <c r="J2" s="12">
        <v>45</v>
      </c>
      <c r="K2" s="12">
        <v>45</v>
      </c>
    </row>
    <row r="3" spans="1:11" ht="21" customHeight="1" x14ac:dyDescent="0.15">
      <c r="A3" s="16" t="str">
        <f t="shared" si="0"/>
        <v>41014_2-2</v>
      </c>
      <c r="B3" s="16" t="str">
        <f>IF(COUNTIF(enemy_habitats!$H:$H,A3),"OK","NG")</f>
        <v>OK</v>
      </c>
      <c r="C3" s="7">
        <v>41014</v>
      </c>
      <c r="D3" s="11" t="str">
        <f ca="1">VLOOKUP($C3,OFFSET([2]quests!$A$1,0,0,COUNTA([2]quests!$A:$A),MATCH(D$1,[2]quests!$1:$1,0)-MATCH($C$1,[2]quests!$1:$1,0)+1),MATCH(D$1,[2]quests!$1:$1,0)-MATCH($C$1,[2]quests!$1:$1,0)+1,FALSE)</f>
        <v>シヴァ襲来！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降臨1</v>
      </c>
      <c r="F3" s="21">
        <v>2</v>
      </c>
      <c r="G3" s="23" t="str">
        <f t="shared" si="1"/>
        <v>41014_2</v>
      </c>
      <c r="H3" s="15" t="str">
        <f ca="1">VLOOKUP($G3,OFFSET([2]stages!$A$1,0,0,COUNTA([2]stages!$A:$A),MATCH(H$1,[2]stages!$2:$2,0)-MATCH($G$1,[2]stages!$2:$2,0)+1),MATCH(H$1,[2]stages!$2:$2,0)-MATCH($G$1,[2]stages!$2:$2,0)+1,FALSE)</f>
        <v>【ウィザード級】シヴァ襲来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41014_2-3</v>
      </c>
      <c r="B4" s="16" t="str">
        <f>IF(COUNTIF(enemy_habitats!$H:$H,A4),"OK","NG")</f>
        <v>OK</v>
      </c>
      <c r="C4" s="7">
        <v>41014</v>
      </c>
      <c r="D4" s="11" t="str">
        <f ca="1">VLOOKUP($C4,OFFSET([2]quests!$A$1,0,0,COUNTA([2]quests!$A:$A),MATCH(D$1,[2]quests!$1:$1,0)-MATCH($C$1,[2]quests!$1:$1,0)+1),MATCH(D$1,[2]quests!$1:$1,0)-MATCH($C$1,[2]quests!$1:$1,0)+1,FALSE)</f>
        <v>シヴァ襲来！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降臨1</v>
      </c>
      <c r="F4" s="21">
        <v>2</v>
      </c>
      <c r="G4" s="23" t="str">
        <f t="shared" si="1"/>
        <v>41014_2</v>
      </c>
      <c r="H4" s="15" t="str">
        <f ca="1">VLOOKUP($G4,OFFSET([2]stages!$A$1,0,0,COUNTA([2]stages!$A:$A),MATCH(H$1,[2]stages!$2:$2,0)-MATCH($G$1,[2]stages!$2:$2,0)+1),MATCH(H$1,[2]stages!$2:$2,0)-MATCH($G$1,[2]stages!$2:$2,0)+1,FALSE)</f>
        <v>【ウィザード級】シヴァ襲来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41014_2-4</v>
      </c>
      <c r="B5" s="16" t="str">
        <f>IF(COUNTIF(enemy_habitats!$H:$H,A5),"OK","NG")</f>
        <v>OK</v>
      </c>
      <c r="C5" s="7">
        <v>41014</v>
      </c>
      <c r="D5" s="11" t="str">
        <f ca="1">VLOOKUP($C5,OFFSET([2]quests!$A$1,0,0,COUNTA([2]quests!$A:$A),MATCH(D$1,[2]quests!$1:$1,0)-MATCH($C$1,[2]quests!$1:$1,0)+1),MATCH(D$1,[2]quests!$1:$1,0)-MATCH($C$1,[2]quests!$1:$1,0)+1,FALSE)</f>
        <v>シヴァ襲来！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降臨1</v>
      </c>
      <c r="F5" s="21">
        <v>2</v>
      </c>
      <c r="G5" s="23" t="str">
        <f t="shared" si="1"/>
        <v>41014_2</v>
      </c>
      <c r="H5" s="15" t="str">
        <f ca="1">VLOOKUP($G5,OFFSET([2]stages!$A$1,0,0,COUNTA([2]stages!$A:$A),MATCH(H$1,[2]stages!$2:$2,0)-MATCH($G$1,[2]stages!$2:$2,0)+1),MATCH(H$1,[2]stages!$2:$2,0)-MATCH($G$1,[2]stages!$2:$2,0)+1,FALSE)</f>
        <v>【ウィザード級】シヴァ襲来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41014_1-1</v>
      </c>
      <c r="B6" s="16" t="str">
        <f>IF(COUNTIF(enemy_habitats!$H:$H,A6),"OK","NG")</f>
        <v>OK</v>
      </c>
      <c r="C6" s="7">
        <v>41014</v>
      </c>
      <c r="D6" s="11" t="str">
        <f ca="1">VLOOKUP($C6,OFFSET([2]quests!$A$1,0,0,COUNTA([2]quests!$A:$A),MATCH(D$1,[2]quests!$1:$1,0)-MATCH($C$1,[2]quests!$1:$1,0)+1),MATCH(D$1,[2]quests!$1:$1,0)-MATCH($C$1,[2]quests!$1:$1,0)+1,FALSE)</f>
        <v>シヴァ襲来！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降臨1</v>
      </c>
      <c r="F6" s="21">
        <v>1</v>
      </c>
      <c r="G6" s="23" t="str">
        <f t="shared" si="1"/>
        <v>41014_1</v>
      </c>
      <c r="H6" s="15" t="str">
        <f ca="1">VLOOKUP($G6,OFFSET([2]stages!$A$1,0,0,COUNTA([2]stages!$A:$A),MATCH(H$1,[2]stages!$2:$2,0)-MATCH($G$1,[2]stages!$2:$2,0)+1),MATCH(H$1,[2]stages!$2:$2,0)-MATCH($G$1,[2]stages!$2:$2,0)+1,FALSE)</f>
        <v>【超絶級】シヴァ襲来</v>
      </c>
      <c r="I6" s="21">
        <v>1</v>
      </c>
      <c r="J6" s="12">
        <v>45</v>
      </c>
      <c r="K6" s="12">
        <v>45</v>
      </c>
    </row>
    <row r="7" spans="1:11" ht="21" customHeight="1" x14ac:dyDescent="0.15">
      <c r="A7" s="16" t="str">
        <f t="shared" si="0"/>
        <v>41014_1-2</v>
      </c>
      <c r="B7" s="16" t="str">
        <f>IF(COUNTIF(enemy_habitats!$H:$H,A7),"OK","NG")</f>
        <v>OK</v>
      </c>
      <c r="C7" s="7">
        <v>41014</v>
      </c>
      <c r="D7" s="11" t="str">
        <f ca="1">VLOOKUP($C7,OFFSET([2]quests!$A$1,0,0,COUNTA([2]quests!$A:$A),MATCH(D$1,[2]quests!$1:$1,0)-MATCH($C$1,[2]quests!$1:$1,0)+1),MATCH(D$1,[2]quests!$1:$1,0)-MATCH($C$1,[2]quests!$1:$1,0)+1,FALSE)</f>
        <v>シヴァ襲来！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降臨1</v>
      </c>
      <c r="F7" s="21">
        <v>1</v>
      </c>
      <c r="G7" s="23" t="str">
        <f t="shared" si="1"/>
        <v>41014_1</v>
      </c>
      <c r="H7" s="15" t="str">
        <f ca="1">VLOOKUP($G7,OFFSET([2]stages!$A$1,0,0,COUNTA([2]stages!$A:$A),MATCH(H$1,[2]stages!$2:$2,0)-MATCH($G$1,[2]stages!$2:$2,0)+1),MATCH(H$1,[2]stages!$2:$2,0)-MATCH($G$1,[2]stages!$2:$2,0)+1,FALSE)</f>
        <v>【超絶級】シヴァ襲来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41014_1-3</v>
      </c>
      <c r="B8" s="16" t="str">
        <f>IF(COUNTIF(enemy_habitats!$H:$H,A8),"OK","NG")</f>
        <v>OK</v>
      </c>
      <c r="C8" s="7">
        <v>41014</v>
      </c>
      <c r="D8" s="11" t="str">
        <f ca="1">VLOOKUP($C8,OFFSET([2]quests!$A$1,0,0,COUNTA([2]quests!$A:$A),MATCH(D$1,[2]quests!$1:$1,0)-MATCH($C$1,[2]quests!$1:$1,0)+1),MATCH(D$1,[2]quests!$1:$1,0)-MATCH($C$1,[2]quests!$1:$1,0)+1,FALSE)</f>
        <v>シヴァ襲来！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降臨1</v>
      </c>
      <c r="F8" s="21">
        <v>1</v>
      </c>
      <c r="G8" s="23" t="str">
        <f t="shared" si="1"/>
        <v>41014_1</v>
      </c>
      <c r="H8" s="15" t="str">
        <f ca="1">VLOOKUP($G8,OFFSET([2]stages!$A$1,0,0,COUNTA([2]stages!$A:$A),MATCH(H$1,[2]stages!$2:$2,0)-MATCH($G$1,[2]stages!$2:$2,0)+1),MATCH(H$1,[2]stages!$2:$2,0)-MATCH($G$1,[2]stages!$2:$2,0)+1,FALSE)</f>
        <v>【超絶級】シヴァ襲来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41014_1-4</v>
      </c>
      <c r="B9" s="16" t="str">
        <f>IF(COUNTIF(enemy_habitats!$H:$H,A9),"OK","NG")</f>
        <v>OK</v>
      </c>
      <c r="C9" s="7">
        <v>41014</v>
      </c>
      <c r="D9" s="11" t="str">
        <f ca="1">VLOOKUP($C9,OFFSET([2]quests!$A$1,0,0,COUNTA([2]quests!$A:$A),MATCH(D$1,[2]quests!$1:$1,0)-MATCH($C$1,[2]quests!$1:$1,0)+1),MATCH(D$1,[2]quests!$1:$1,0)-MATCH($C$1,[2]quests!$1:$1,0)+1,FALSE)</f>
        <v>シヴァ襲来！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降臨1</v>
      </c>
      <c r="F9" s="21">
        <v>1</v>
      </c>
      <c r="G9" s="23" t="str">
        <f t="shared" si="1"/>
        <v>41014_1</v>
      </c>
      <c r="H9" s="15" t="str">
        <f ca="1">VLOOKUP($G9,OFFSET([2]stages!$A$1,0,0,COUNTA([2]stages!$A:$A),MATCH(H$1,[2]stages!$2:$2,0)-MATCH($G$1,[2]stages!$2:$2,0)+1),MATCH(H$1,[2]stages!$2:$2,0)-MATCH($G$1,[2]stages!$2:$2,0)+1,FALSE)</f>
        <v>【超絶級】シヴァ襲来</v>
      </c>
      <c r="I9" s="21">
        <v>4</v>
      </c>
      <c r="J9" s="12">
        <v>60</v>
      </c>
      <c r="K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5"/>
  <sheetViews>
    <sheetView showGridLines="0" workbookViewId="0">
      <pane xSplit="17" ySplit="1" topLeftCell="X2" activePane="bottomRight" state="frozen"/>
      <selection pane="topRight" activeCell="N1" sqref="N1"/>
      <selection pane="bottomLeft" activeCell="A2" sqref="A2"/>
      <selection pane="bottomRight" activeCell="P32" sqref="P32:S32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7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5" t="s">
        <v>252</v>
      </c>
      <c r="U1" s="26" t="s">
        <v>50</v>
      </c>
      <c r="V1" s="105" t="s">
        <v>253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178</v>
      </c>
    </row>
    <row r="2" spans="1:42" ht="21" customHeight="1" x14ac:dyDescent="0.15">
      <c r="A2" s="16" t="str">
        <f t="shared" ref="A2:A15" ca="1" si="0">B2&amp;"_"&amp;C2&amp;"-"&amp;G2&amp;"/"&amp;L2&amp;"&lt;lv"&amp;R2&amp;"&gt;s"&amp;AC2</f>
        <v>41014_2-1/27&lt;lv63&gt;s1</v>
      </c>
      <c r="B2" s="22">
        <v>41014</v>
      </c>
      <c r="C2" s="21">
        <v>2</v>
      </c>
      <c r="D2" s="2" t="str">
        <f t="shared" ref="D2:D15" si="1">B2&amp;"_"&amp;C2</f>
        <v>41014_2</v>
      </c>
      <c r="E2" s="4" t="str">
        <f ca="1">VLOOKUP($B2,OFFSET([2]quests!$A$1,0,0,COUNTA([2]quests!$A:$A),MATCH(E$1,[2]quests!$1:$1,0)-MATCH($B$1,[2]quests!$1:$1,0)+1),MATCH(E$1,[2]quests!$1:$1,0)-MATCH($B$1,[2]quests!$1:$1,0)+1,FALSE)</f>
        <v>シヴァ襲来！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【ウィザード級】シヴァ襲来</v>
      </c>
      <c r="G2" s="21">
        <v>1</v>
      </c>
      <c r="H2" s="15" t="str">
        <f t="shared" ref="H2:H15" si="2">B2&amp;"_"&amp;C2&amp;"-"&amp;G2</f>
        <v>41014_2-1</v>
      </c>
      <c r="I2" s="4">
        <f ca="1">VLOOKUP($H2,OFFSET(floors!$A$1,0,0,COUNTA(floors!$A:$A),MATCH(I$1,floors!$1:$1,0)-MATCH($H$1,floors!$1:$1,0)+1),MATCH(I$1,floors!$1:$1,0)-MATCH($H$1,floors!$1:$1,0)+1,FALSE)</f>
        <v>45</v>
      </c>
      <c r="J2" s="4">
        <f ca="1">VLOOKUP($H2,OFFSET(floors!$A$1,0,0,COUNTA(floors!$A:$A),MATCH(J$1,floors!$1:$1,0)-MATCH($H$1,floors!$1:$1,0)+1),MATCH(J$1,floors!$1:$1,0)-MATCH($H$1,floors!$1:$1,0)+1,FALSE)</f>
        <v>45</v>
      </c>
      <c r="K2" s="38" t="s">
        <v>53</v>
      </c>
      <c r="L2" s="20">
        <v>27</v>
      </c>
      <c r="M2" s="108" t="str">
        <f ca="1">VLOOKUP($L2,OFFSET([3]enemies!$A$1,0,0,COUNTA([3]enemies!$A:$A),MATCH(M$1,[3]enemies!$1:$1,0)-MATCH($L$1,[3]enemies!$1:$1,0)+1),MATCH(M$1,[3]enemies!$1:$1,0)-MATCH($L$1,[3]enemies!$1:$1,0)+1,FALSE)</f>
        <v>パトライン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machine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63</v>
      </c>
      <c r="S2" s="25">
        <v>10</v>
      </c>
      <c r="T2" s="106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105260</v>
      </c>
      <c r="U2" s="25">
        <v>2.5</v>
      </c>
      <c r="V2" s="106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7395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3ターン敵全体の防御力アップ</v>
      </c>
      <c r="Y2" s="62">
        <v>41014000</v>
      </c>
      <c r="Z2" s="6">
        <v>1</v>
      </c>
      <c r="AA2" s="6">
        <v>100</v>
      </c>
      <c r="AB2" s="6">
        <v>1</v>
      </c>
      <c r="AC2" s="111">
        <f ca="1">VLOOKUP($L2,OFFSET([3]enemies!$A$1,0,0,COUNTA([3]enemies!$A:$A),MATCH(AC$1,[3]enemies!$1:$1,0)-MATCH($L$1,[3]enemies!$1:$1,0)+1),MATCH(AC$1,[3]enemies!$1:$1,0)-MATCH($L$1,[3]enemies!$1:$1,0)+1,FALSE)</f>
        <v>1</v>
      </c>
      <c r="AD2" s="110">
        <v>27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パトライン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Drop1N</v>
      </c>
      <c r="AH2" s="7">
        <v>1</v>
      </c>
      <c r="AI2" s="24">
        <f t="shared" ref="AI2:AI15" ca="1" si="3">AF2</f>
        <v>1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ca="1" si="0"/>
        <v>41014_2-1/35&lt;lv55&gt;s4</v>
      </c>
      <c r="B3" s="22">
        <v>41014</v>
      </c>
      <c r="C3" s="21">
        <v>2</v>
      </c>
      <c r="D3" s="2" t="str">
        <f t="shared" si="1"/>
        <v>41014_2</v>
      </c>
      <c r="E3" s="4" t="str">
        <f ca="1">VLOOKUP($B3,OFFSET([2]quests!$A$1,0,0,COUNTA([2]quests!$A:$A),MATCH(E$1,[2]quests!$1:$1,0)-MATCH($B$1,[2]quests!$1:$1,0)+1),MATCH(E$1,[2]quests!$1:$1,0)-MATCH($B$1,[2]quests!$1:$1,0)+1,FALSE)</f>
        <v>シヴァ襲来！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【ウィザード級】シヴァ襲来</v>
      </c>
      <c r="G3" s="21">
        <v>1</v>
      </c>
      <c r="H3" s="15" t="str">
        <f t="shared" si="2"/>
        <v>41014_2-1</v>
      </c>
      <c r="I3" s="4">
        <f ca="1">VLOOKUP($H3,OFFSET(floors!$A$1,0,0,COUNTA(floors!$A:$A),MATCH(I$1,floors!$1:$1,0)-MATCH($H$1,floors!$1:$1,0)+1),MATCH(I$1,floors!$1:$1,0)-MATCH($H$1,floors!$1:$1,0)+1,FALSE)</f>
        <v>45</v>
      </c>
      <c r="J3" s="4">
        <f ca="1">VLOOKUP($H3,OFFSET(floors!$A$1,0,0,COUNTA(floors!$A:$A),MATCH(J$1,floors!$1:$1,0)-MATCH($H$1,floors!$1:$1,0)+1),MATCH(J$1,floors!$1:$1,0)-MATCH($H$1,floors!$1:$1,0)+1,FALSE)</f>
        <v>45</v>
      </c>
      <c r="K3" s="38" t="s">
        <v>53</v>
      </c>
      <c r="L3" s="20">
        <v>35</v>
      </c>
      <c r="M3" s="17" t="str">
        <f ca="1">VLOOKUP($L3,OFFSET([3]enemies!$A$1,0,0,COUNTA([3]enemies!$A:$A),MATCH(M$1,[3]enemies!$1:$1,0)-MATCH($L$1,[3]enemies!$1:$1,0)+1),MATCH(M$1,[3]enemies!$1:$1,0)-MATCH($L$1,[3]enemies!$1:$1,0)+1,FALSE)</f>
        <v>F2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machine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55</v>
      </c>
      <c r="S3" s="25">
        <v>5</v>
      </c>
      <c r="T3" s="106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51865</v>
      </c>
      <c r="U3" s="25">
        <v>0.8</v>
      </c>
      <c r="V3" s="106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2392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様子がおかしい！</v>
      </c>
      <c r="Y3" s="62">
        <v>41014001</v>
      </c>
      <c r="Z3" s="6">
        <v>2</v>
      </c>
      <c r="AA3" s="6">
        <v>100</v>
      </c>
      <c r="AB3" s="6">
        <v>0</v>
      </c>
      <c r="AC3" s="111">
        <f ca="1">VLOOKUP($L3,OFFSET([3]enemies!$A$1,0,0,COUNTA([3]enemies!$A:$A),MATCH(AC$1,[3]enemies!$1:$1,0)-MATCH($L$1,[3]enemies!$1:$1,0)+1),MATCH(AC$1,[3]enemies!$1:$1,0)-MATCH($L$1,[3]enemies!$1:$1,0)+1,FALSE)</f>
        <v>4</v>
      </c>
      <c r="AD3" s="110">
        <v>35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F2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7">
        <v>1</v>
      </c>
      <c r="AI3" s="24">
        <f t="shared" ca="1" si="3"/>
        <v>2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ca="1" si="0"/>
        <v>41014_2-2/672&lt;lv65&gt;s3</v>
      </c>
      <c r="B4" s="22">
        <v>41014</v>
      </c>
      <c r="C4" s="21">
        <v>2</v>
      </c>
      <c r="D4" s="2" t="str">
        <f t="shared" si="1"/>
        <v>41014_2</v>
      </c>
      <c r="E4" s="4" t="str">
        <f ca="1">VLOOKUP($B4,OFFSET([2]quests!$A$1,0,0,COUNTA([2]quests!$A:$A),MATCH(E$1,[2]quests!$1:$1,0)-MATCH($B$1,[2]quests!$1:$1,0)+1),MATCH(E$1,[2]quests!$1:$1,0)-MATCH($B$1,[2]quests!$1:$1,0)+1,FALSE)</f>
        <v>シヴァ襲来！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【ウィザード級】シヴァ襲来</v>
      </c>
      <c r="G4" s="21">
        <v>2</v>
      </c>
      <c r="H4" s="15" t="str">
        <f t="shared" si="2"/>
        <v>41014_2-2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20">
        <v>672</v>
      </c>
      <c r="M4" s="108" t="str">
        <f ca="1">VLOOKUP($L4,OFFSET([3]enemies!$A$1,0,0,COUNTA([3]enemies!$A:$A),MATCH(M$1,[3]enemies!$1:$1,0)-MATCH($L$1,[3]enemies!$1:$1,0)+1),MATCH(M$1,[3]enemies!$1:$1,0)-MATCH($L$1,[3]enemies!$1:$1,0)+1,FALSE)</f>
        <v>西遊韋駄天 ハヌマーン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65</v>
      </c>
      <c r="S4" s="25">
        <v>2</v>
      </c>
      <c r="T4" s="106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176358</v>
      </c>
      <c r="U4" s="25">
        <v>0.9</v>
      </c>
      <c r="V4" s="106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8701.2000000000007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1ターンカウンター＋ユニット1体に3ターンスキルバインド</v>
      </c>
      <c r="Y4" s="62">
        <v>41014002</v>
      </c>
      <c r="Z4" s="6">
        <v>1</v>
      </c>
      <c r="AA4" s="6">
        <v>100</v>
      </c>
      <c r="AB4" s="6">
        <v>1</v>
      </c>
      <c r="AC4" s="111">
        <f ca="1">VLOOKUP($L4,OFFSET([3]enemies!$A$1,0,0,COUNTA([3]enemies!$A:$A),MATCH(AC$1,[3]enemies!$1:$1,0)-MATCH($L$1,[3]enemies!$1:$1,0)+1),MATCH(AC$1,[3]enemies!$1:$1,0)-MATCH($L$1,[3]enemies!$1:$1,0)+1,FALSE)</f>
        <v>3</v>
      </c>
      <c r="AD4" s="110">
        <v>672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西遊韋駄天 ハヌマーン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4" s="7">
        <v>1</v>
      </c>
      <c r="AI4" s="24">
        <f t="shared" ca="1" si="3"/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ca="1" si="0"/>
        <v>41014_2-2/33&lt;lv63&gt;s2</v>
      </c>
      <c r="B5" s="22">
        <v>41014</v>
      </c>
      <c r="C5" s="21">
        <v>2</v>
      </c>
      <c r="D5" s="2" t="str">
        <f t="shared" si="1"/>
        <v>41014_2</v>
      </c>
      <c r="E5" s="4" t="str">
        <f ca="1">VLOOKUP($B5,OFFSET([2]quests!$A$1,0,0,COUNTA([2]quests!$A:$A),MATCH(E$1,[2]quests!$1:$1,0)-MATCH($B$1,[2]quests!$1:$1,0)+1),MATCH(E$1,[2]quests!$1:$1,0)-MATCH($B$1,[2]quests!$1:$1,0)+1,FALSE)</f>
        <v>シヴァ襲来！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【ウィザード級】シヴァ襲来</v>
      </c>
      <c r="G5" s="21">
        <v>2</v>
      </c>
      <c r="H5" s="15" t="str">
        <f t="shared" si="2"/>
        <v>41014_2-2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33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ゴクウ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63</v>
      </c>
      <c r="S5" s="25">
        <v>1.5</v>
      </c>
      <c r="T5" s="106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19350</v>
      </c>
      <c r="U5" s="25">
        <v>1</v>
      </c>
      <c r="V5" s="106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5775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5" s="62">
        <v>41014004</v>
      </c>
      <c r="Z5" s="6">
        <v>2</v>
      </c>
      <c r="AA5" s="6">
        <v>100</v>
      </c>
      <c r="AB5" s="6">
        <v>0</v>
      </c>
      <c r="AC5" s="111">
        <f ca="1">VLOOKUP($L5,OFFSET([3]enemies!$A$1,0,0,COUNTA([3]enemies!$A:$A),MATCH(AC$1,[3]enemies!$1:$1,0)-MATCH($L$1,[3]enemies!$1:$1,0)+1),MATCH(AC$1,[3]enemies!$1:$1,0)-MATCH($L$1,[3]enemies!$1:$1,0)+1,FALSE)</f>
        <v>2</v>
      </c>
      <c r="AD5" s="110">
        <v>33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ゴクウ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2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Drop1S</v>
      </c>
      <c r="AH5" s="7">
        <v>1</v>
      </c>
      <c r="AI5" s="24">
        <f t="shared" ca="1" si="3"/>
        <v>2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ca="1" si="0"/>
        <v>41014_2-3/45&lt;lv66&gt;s3</v>
      </c>
      <c r="B6" s="22">
        <v>41014</v>
      </c>
      <c r="C6" s="21">
        <v>2</v>
      </c>
      <c r="D6" s="2" t="str">
        <f t="shared" si="1"/>
        <v>41014_2</v>
      </c>
      <c r="E6" s="4" t="str">
        <f ca="1">VLOOKUP($B6,OFFSET([2]quests!$A$1,0,0,COUNTA([2]quests!$A:$A),MATCH(E$1,[2]quests!$1:$1,0)-MATCH($B$1,[2]quests!$1:$1,0)+1),MATCH(E$1,[2]quests!$1:$1,0)-MATCH($B$1,[2]quests!$1:$1,0)+1,FALSE)</f>
        <v>シヴァ襲来！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【ウィザード級】シヴァ襲来</v>
      </c>
      <c r="G6" s="21">
        <v>3</v>
      </c>
      <c r="H6" s="15" t="str">
        <f t="shared" si="2"/>
        <v>41014_2-3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45</v>
      </c>
      <c r="M6" s="108" t="str">
        <f ca="1">VLOOKUP($L6,OFFSET([3]enemies!$A$1,0,0,COUNTA([3]enemies!$A:$A),MATCH(M$1,[3]enemies!$1:$1,0)-MATCH($L$1,[3]enemies!$1:$1,0)+1),MATCH(M$1,[3]enemies!$1:$1,0)-MATCH($L$1,[3]enemies!$1:$1,0)+1,FALSE)</f>
        <v>ショウイン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66</v>
      </c>
      <c r="S6" s="25">
        <v>3.5</v>
      </c>
      <c r="T6" s="106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68512.5</v>
      </c>
      <c r="U6" s="25">
        <v>2</v>
      </c>
      <c r="V6" s="106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7422</v>
      </c>
      <c r="W6" s="5">
        <v>0</v>
      </c>
      <c r="X6" s="4" t="e">
        <f ca="1">VLOOKUP($Y6,OFFSET(enemy_skill_sets!$B$1,0,0,COUNTA(enemy_skill_sets!$B:$B),MATCH(M$1,enemy_skill_sets!$1:$1,0)-MATCH($Y$1,enemy_skill_sets!$1:$1,0)+2),MATCH(M$1,enemy_skill_sets!$1:$1,0)-MATCH($Y$1,enemy_skill_sets!$1:$1,0)+2,FALSE)</f>
        <v>#N/A</v>
      </c>
      <c r="Y6" s="62">
        <v>0</v>
      </c>
      <c r="Z6" s="6">
        <v>2</v>
      </c>
      <c r="AA6" s="6">
        <v>100</v>
      </c>
      <c r="AB6" s="6">
        <v>1</v>
      </c>
      <c r="AC6" s="111">
        <f ca="1">VLOOKUP($L6,OFFSET([3]enemies!$A$1,0,0,COUNTA([3]enemies!$A:$A),MATCH(AC$1,[3]enemies!$1:$1,0)-MATCH($L$1,[3]enemies!$1:$1,0)+1),MATCH(AC$1,[3]enemies!$1:$1,0)-MATCH($L$1,[3]enemies!$1:$1,0)+1,FALSE)</f>
        <v>3</v>
      </c>
      <c r="AD6" s="110">
        <v>45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ショウイン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2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Drop1N</v>
      </c>
      <c r="AH6" s="7">
        <v>1</v>
      </c>
      <c r="AI6" s="24">
        <f t="shared" ca="1" si="3"/>
        <v>2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  <row r="7" spans="1:42" ht="21" customHeight="1" x14ac:dyDescent="0.15">
      <c r="A7" s="16" t="str">
        <f t="shared" ca="1" si="0"/>
        <v>41014_2-3/61&lt;lv64&gt;s2</v>
      </c>
      <c r="B7" s="22">
        <v>41014</v>
      </c>
      <c r="C7" s="21">
        <v>2</v>
      </c>
      <c r="D7" s="2" t="str">
        <f t="shared" si="1"/>
        <v>41014_2</v>
      </c>
      <c r="E7" s="4" t="str">
        <f ca="1">VLOOKUP($B7,OFFSET([2]quests!$A$1,0,0,COUNTA([2]quests!$A:$A),MATCH(E$1,[2]quests!$1:$1,0)-MATCH($B$1,[2]quests!$1:$1,0)+1),MATCH(E$1,[2]quests!$1:$1,0)-MATCH($B$1,[2]quests!$1:$1,0)+1,FALSE)</f>
        <v>シヴァ襲来！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【ウィザード級】シヴァ襲来</v>
      </c>
      <c r="G7" s="21">
        <v>3</v>
      </c>
      <c r="H7" s="15" t="str">
        <f t="shared" si="2"/>
        <v>41014_2-3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61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クロウ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64</v>
      </c>
      <c r="S7" s="25">
        <v>4.5</v>
      </c>
      <c r="T7" s="106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47160</v>
      </c>
      <c r="U7" s="25">
        <v>1</v>
      </c>
      <c r="V7" s="106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3305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全体回復</v>
      </c>
      <c r="Y7" s="62">
        <v>41014006</v>
      </c>
      <c r="Z7" s="6">
        <v>2</v>
      </c>
      <c r="AA7" s="6">
        <v>100</v>
      </c>
      <c r="AB7" s="6">
        <v>0</v>
      </c>
      <c r="AC7" s="111">
        <f ca="1">VLOOKUP($L7,OFFSET([3]enemies!$A$1,0,0,COUNTA([3]enemies!$A:$A),MATCH(AC$1,[3]enemies!$1:$1,0)-MATCH($L$1,[3]enemies!$1:$1,0)+1),MATCH(AC$1,[3]enemies!$1:$1,0)-MATCH($L$1,[3]enemies!$1:$1,0)+1,FALSE)</f>
        <v>2</v>
      </c>
      <c r="AD7" s="110">
        <v>61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クロウ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2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Drop1N</v>
      </c>
      <c r="AH7" s="7">
        <v>1</v>
      </c>
      <c r="AI7" s="24">
        <f t="shared" ca="1" si="3"/>
        <v>2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70">
        <v>1</v>
      </c>
    </row>
    <row r="8" spans="1:42" ht="21" customHeight="1" x14ac:dyDescent="0.15">
      <c r="A8" s="16" t="str">
        <f t="shared" si="0"/>
        <v>41014_2-4/657&lt;lv75&gt;s2</v>
      </c>
      <c r="B8" s="22">
        <v>41014</v>
      </c>
      <c r="C8" s="21">
        <v>2</v>
      </c>
      <c r="D8" s="2" t="str">
        <f t="shared" si="1"/>
        <v>41014_2</v>
      </c>
      <c r="E8" s="4" t="str">
        <f ca="1">VLOOKUP($B8,OFFSET([2]quests!$A$1,0,0,COUNTA([2]quests!$A:$A),MATCH(E$1,[2]quests!$1:$1,0)-MATCH($B$1,[2]quests!$1:$1,0)+1),MATCH(E$1,[2]quests!$1:$1,0)-MATCH($B$1,[2]quests!$1:$1,0)+1,FALSE)</f>
        <v>シヴァ襲来！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【ウィザード級】シヴァ襲来</v>
      </c>
      <c r="G8" s="21">
        <v>4</v>
      </c>
      <c r="H8" s="15" t="str">
        <f t="shared" si="2"/>
        <v>41014_2-4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2</v>
      </c>
      <c r="L8" s="20">
        <v>657</v>
      </c>
      <c r="M8" s="108" t="str">
        <f ca="1">VLOOKUP($L8,OFFSET([3]enemies!$A$1,0,0,COUNTA([3]enemies!$A:$A),MATCH(M$1,[3]enemies!$1:$1,0)-MATCH($L$1,[3]enemies!$1:$1,0)+1),MATCH(M$1,[3]enemies!$1:$1,0)-MATCH($L$1,[3]enemies!$1:$1,0)+1,FALSE)</f>
        <v>解滅の裁神 シヴァ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DropWizS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7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75</v>
      </c>
      <c r="S8" s="25">
        <v>2.1</v>
      </c>
      <c r="T8" s="106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262180.8</v>
      </c>
      <c r="U8" s="25">
        <v>1.3</v>
      </c>
      <c r="V8" s="106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14437.800000000001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8" s="62">
        <v>41014010</v>
      </c>
      <c r="Z8" s="6">
        <v>1</v>
      </c>
      <c r="AA8" s="6">
        <v>100</v>
      </c>
      <c r="AB8" s="6">
        <v>1</v>
      </c>
      <c r="AC8" s="111">
        <v>2</v>
      </c>
      <c r="AD8" s="110">
        <v>656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シヴァ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8" s="7">
        <v>1</v>
      </c>
      <c r="AI8" s="24">
        <f t="shared" ca="1" si="3"/>
        <v>4</v>
      </c>
      <c r="AJ8" s="8">
        <v>30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70">
        <v>1</v>
      </c>
    </row>
    <row r="9" spans="1:42" ht="21" customHeight="1" x14ac:dyDescent="0.15">
      <c r="A9" s="16" t="str">
        <f t="shared" ca="1" si="0"/>
        <v>41014_1-1/27&lt;lv60&gt;s1</v>
      </c>
      <c r="B9" s="22">
        <v>41014</v>
      </c>
      <c r="C9" s="21">
        <v>1</v>
      </c>
      <c r="D9" s="2" t="str">
        <f t="shared" si="1"/>
        <v>41014_1</v>
      </c>
      <c r="E9" s="4" t="str">
        <f ca="1">VLOOKUP($B9,OFFSET([2]quests!$A$1,0,0,COUNTA([2]quests!$A:$A),MATCH(E$1,[2]quests!$1:$1,0)-MATCH($B$1,[2]quests!$1:$1,0)+1),MATCH(E$1,[2]quests!$1:$1,0)-MATCH($B$1,[2]quests!$1:$1,0)+1,FALSE)</f>
        <v>シヴァ襲来！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【超絶級】シヴァ襲来</v>
      </c>
      <c r="G9" s="21">
        <v>1</v>
      </c>
      <c r="H9" s="15" t="str">
        <f t="shared" si="2"/>
        <v>41014_1-1</v>
      </c>
      <c r="I9" s="4">
        <f ca="1">VLOOKUP($H9,OFFSET(floors!$A$1,0,0,COUNTA(floors!$A:$A),MATCH(I$1,floors!$1:$1,0)-MATCH($H$1,floors!$1:$1,0)+1),MATCH(I$1,floors!$1:$1,0)-MATCH($H$1,floors!$1:$1,0)+1,FALSE)</f>
        <v>45</v>
      </c>
      <c r="J9" s="4">
        <f ca="1">VLOOKUP($H9,OFFSET(floors!$A$1,0,0,COUNTA(floors!$A:$A),MATCH(J$1,floors!$1:$1,0)-MATCH($H$1,floors!$1:$1,0)+1),MATCH(J$1,floors!$1:$1,0)-MATCH($H$1,floors!$1:$1,0)+1,FALSE)</f>
        <v>45</v>
      </c>
      <c r="K9" s="38" t="s">
        <v>53</v>
      </c>
      <c r="L9" s="20">
        <v>27</v>
      </c>
      <c r="M9" s="108" t="str">
        <f ca="1">VLOOKUP($L9,OFFSET([3]enemies!$A$1,0,0,COUNTA([3]enemies!$A:$A),MATCH(M$1,[3]enemies!$1:$1,0)-MATCH($L$1,[3]enemies!$1:$1,0)+1),MATCH(M$1,[3]enemies!$1:$1,0)-MATCH($L$1,[3]enemies!$1:$1,0)+1,FALSE)</f>
        <v>パトライン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machine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60</v>
      </c>
      <c r="S9" s="25">
        <v>1.5</v>
      </c>
      <c r="T9" s="106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15055.5</v>
      </c>
      <c r="U9" s="25">
        <v>1.5</v>
      </c>
      <c r="V9" s="106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4231.5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3ターン敵全体の防御力アップ</v>
      </c>
      <c r="Y9" s="62">
        <v>41014000</v>
      </c>
      <c r="Z9" s="6">
        <v>1</v>
      </c>
      <c r="AA9" s="6">
        <v>100</v>
      </c>
      <c r="AB9" s="6">
        <v>1</v>
      </c>
      <c r="AC9" s="111">
        <f ca="1">VLOOKUP($L9,OFFSET([3]enemies!$A$1,0,0,COUNTA([3]enemies!$A:$A),MATCH(AC$1,[3]enemies!$1:$1,0)-MATCH($L$1,[3]enemies!$1:$1,0)+1),MATCH(AC$1,[3]enemies!$1:$1,0)-MATCH($L$1,[3]enemies!$1:$1,0)+1,FALSE)</f>
        <v>1</v>
      </c>
      <c r="AD9" s="110">
        <v>27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パトライン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1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Drop1N</v>
      </c>
      <c r="AH9" s="7">
        <v>1</v>
      </c>
      <c r="AI9" s="24">
        <f t="shared" ca="1" si="3"/>
        <v>1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70">
        <v>1</v>
      </c>
    </row>
    <row r="10" spans="1:42" ht="21" customHeight="1" x14ac:dyDescent="0.15">
      <c r="A10" s="16" t="str">
        <f t="shared" ca="1" si="0"/>
        <v>41014_1-1/35&lt;lv55&gt;s4</v>
      </c>
      <c r="B10" s="22">
        <v>41014</v>
      </c>
      <c r="C10" s="21">
        <v>1</v>
      </c>
      <c r="D10" s="2" t="str">
        <f t="shared" si="1"/>
        <v>41014_1</v>
      </c>
      <c r="E10" s="4" t="str">
        <f ca="1">VLOOKUP($B10,OFFSET([2]quests!$A$1,0,0,COUNTA([2]quests!$A:$A),MATCH(E$1,[2]quests!$1:$1,0)-MATCH($B$1,[2]quests!$1:$1,0)+1),MATCH(E$1,[2]quests!$1:$1,0)-MATCH($B$1,[2]quests!$1:$1,0)+1,FALSE)</f>
        <v>シヴァ襲来！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【超絶級】シヴァ襲来</v>
      </c>
      <c r="G10" s="21">
        <v>1</v>
      </c>
      <c r="H10" s="15" t="str">
        <f t="shared" si="2"/>
        <v>41014_1-1</v>
      </c>
      <c r="I10" s="4">
        <f ca="1">VLOOKUP($H10,OFFSET(floors!$A$1,0,0,COUNTA(floors!$A:$A),MATCH(I$1,floors!$1:$1,0)-MATCH($H$1,floors!$1:$1,0)+1),MATCH(I$1,floors!$1:$1,0)-MATCH($H$1,floors!$1:$1,0)+1,FALSE)</f>
        <v>45</v>
      </c>
      <c r="J10" s="4">
        <f ca="1">VLOOKUP($H10,OFFSET(floors!$A$1,0,0,COUNTA(floors!$A:$A),MATCH(J$1,floors!$1:$1,0)-MATCH($H$1,floors!$1:$1,0)+1),MATCH(J$1,floors!$1:$1,0)-MATCH($H$1,floors!$1:$1,0)+1,FALSE)</f>
        <v>45</v>
      </c>
      <c r="K10" s="38" t="s">
        <v>53</v>
      </c>
      <c r="L10" s="20">
        <v>35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F2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machine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55</v>
      </c>
      <c r="S10" s="25">
        <v>1.5</v>
      </c>
      <c r="T10" s="106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15559.5</v>
      </c>
      <c r="U10" s="25">
        <v>0.6</v>
      </c>
      <c r="V10" s="106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1794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様子がおかしい！</v>
      </c>
      <c r="Y10" s="62">
        <v>41014001</v>
      </c>
      <c r="Z10" s="6">
        <v>2</v>
      </c>
      <c r="AA10" s="6">
        <v>100</v>
      </c>
      <c r="AB10" s="6">
        <v>0</v>
      </c>
      <c r="AC10" s="111">
        <f ca="1">VLOOKUP($L10,OFFSET([3]enemies!$A$1,0,0,COUNTA([3]enemies!$A:$A),MATCH(AC$1,[3]enemies!$1:$1,0)-MATCH($L$1,[3]enemies!$1:$1,0)+1),MATCH(AC$1,[3]enemies!$1:$1,0)-MATCH($L$1,[3]enemies!$1:$1,0)+1,FALSE)</f>
        <v>4</v>
      </c>
      <c r="AD10" s="110">
        <v>35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F2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2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Drop1S</v>
      </c>
      <c r="AH10" s="7">
        <v>1</v>
      </c>
      <c r="AI10" s="24">
        <f t="shared" ca="1" si="3"/>
        <v>2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70">
        <v>1</v>
      </c>
    </row>
    <row r="11" spans="1:42" ht="21" customHeight="1" x14ac:dyDescent="0.15">
      <c r="A11" s="16" t="str">
        <f t="shared" ca="1" si="0"/>
        <v>41014_1-2/672&lt;lv45&gt;s3</v>
      </c>
      <c r="B11" s="22">
        <v>41014</v>
      </c>
      <c r="C11" s="21">
        <v>1</v>
      </c>
      <c r="D11" s="2" t="str">
        <f t="shared" si="1"/>
        <v>41014_1</v>
      </c>
      <c r="E11" s="4" t="str">
        <f ca="1">VLOOKUP($B11,OFFSET([2]quests!$A$1,0,0,COUNTA([2]quests!$A:$A),MATCH(E$1,[2]quests!$1:$1,0)-MATCH($B$1,[2]quests!$1:$1,0)+1),MATCH(E$1,[2]quests!$1:$1,0)-MATCH($B$1,[2]quests!$1:$1,0)+1,FALSE)</f>
        <v>シヴァ襲来！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【超絶級】シヴァ襲来</v>
      </c>
      <c r="G11" s="21">
        <v>2</v>
      </c>
      <c r="H11" s="15" t="str">
        <f t="shared" si="2"/>
        <v>41014_1-2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>
        <v>1</v>
      </c>
      <c r="L11" s="20">
        <v>672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西遊韋駄天 ハヌマーン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45</v>
      </c>
      <c r="S11" s="25">
        <v>1.5</v>
      </c>
      <c r="T11" s="106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92488.5</v>
      </c>
      <c r="U11" s="25">
        <v>0.8</v>
      </c>
      <c r="V11" s="106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5408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1ターンカウンター＋ユニット1体に3ターンスキルバインド</v>
      </c>
      <c r="Y11" s="62">
        <v>41014002</v>
      </c>
      <c r="Z11" s="6">
        <v>1</v>
      </c>
      <c r="AA11" s="6">
        <v>100</v>
      </c>
      <c r="AB11" s="6">
        <v>1</v>
      </c>
      <c r="AC11" s="111">
        <f ca="1">VLOOKUP($L11,OFFSET([3]enemies!$A$1,0,0,COUNTA([3]enemies!$A:$A),MATCH(AC$1,[3]enemies!$1:$1,0)-MATCH($L$1,[3]enemies!$1:$1,0)+1),MATCH(AC$1,[3]enemies!$1:$1,0)-MATCH($L$1,[3]enemies!$1:$1,0)+1,FALSE)</f>
        <v>3</v>
      </c>
      <c r="AD11" s="110">
        <v>672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西遊韋駄天 ハヌマーン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4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1" s="7">
        <v>1</v>
      </c>
      <c r="AI11" s="24">
        <f t="shared" ca="1" si="3"/>
        <v>4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70">
        <v>1</v>
      </c>
    </row>
    <row r="12" spans="1:42" ht="21" customHeight="1" x14ac:dyDescent="0.15">
      <c r="A12" s="16" t="str">
        <f t="shared" ca="1" si="0"/>
        <v>41014_1-2/33&lt;lv53&gt;s2</v>
      </c>
      <c r="B12" s="22">
        <v>41014</v>
      </c>
      <c r="C12" s="21">
        <v>1</v>
      </c>
      <c r="D12" s="2" t="str">
        <f t="shared" si="1"/>
        <v>41014_1</v>
      </c>
      <c r="E12" s="4" t="str">
        <f ca="1">VLOOKUP($B12,OFFSET([2]quests!$A$1,0,0,COUNTA([2]quests!$A:$A),MATCH(E$1,[2]quests!$1:$1,0)-MATCH($B$1,[2]quests!$1:$1,0)+1),MATCH(E$1,[2]quests!$1:$1,0)-MATCH($B$1,[2]quests!$1:$1,0)+1,FALSE)</f>
        <v>シヴァ襲来！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【超絶級】シヴァ襲来</v>
      </c>
      <c r="G12" s="21">
        <v>2</v>
      </c>
      <c r="H12" s="15" t="str">
        <f t="shared" si="2"/>
        <v>41014_1-2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53</v>
      </c>
      <c r="L12" s="20">
        <v>33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ゴクウ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53</v>
      </c>
      <c r="S12" s="25">
        <v>2</v>
      </c>
      <c r="T12" s="106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21800</v>
      </c>
      <c r="U12" s="25">
        <v>1</v>
      </c>
      <c r="V12" s="106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4880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12" s="62">
        <v>41014004</v>
      </c>
      <c r="Z12" s="6">
        <v>2</v>
      </c>
      <c r="AA12" s="6">
        <v>100</v>
      </c>
      <c r="AB12" s="6">
        <v>0</v>
      </c>
      <c r="AC12" s="111">
        <f ca="1">VLOOKUP($L12,OFFSET([3]enemies!$A$1,0,0,COUNTA([3]enemies!$A:$A),MATCH(AC$1,[3]enemies!$1:$1,0)-MATCH($L$1,[3]enemies!$1:$1,0)+1),MATCH(AC$1,[3]enemies!$1:$1,0)-MATCH($L$1,[3]enemies!$1:$1,0)+1,FALSE)</f>
        <v>2</v>
      </c>
      <c r="AD12" s="110">
        <v>33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ゴクウ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2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Drop1S</v>
      </c>
      <c r="AH12" s="7">
        <v>1</v>
      </c>
      <c r="AI12" s="24">
        <f t="shared" ca="1" si="3"/>
        <v>2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70">
        <v>1</v>
      </c>
    </row>
    <row r="13" spans="1:42" ht="21" customHeight="1" x14ac:dyDescent="0.15">
      <c r="A13" s="16" t="str">
        <f t="shared" ca="1" si="0"/>
        <v>41014_1-3/45&lt;lv65&gt;s3</v>
      </c>
      <c r="B13" s="22">
        <v>41014</v>
      </c>
      <c r="C13" s="21">
        <v>1</v>
      </c>
      <c r="D13" s="2" t="str">
        <f t="shared" si="1"/>
        <v>41014_1</v>
      </c>
      <c r="E13" s="4" t="str">
        <f ca="1">VLOOKUP($B13,OFFSET([2]quests!$A$1,0,0,COUNTA([2]quests!$A:$A),MATCH(E$1,[2]quests!$1:$1,0)-MATCH($B$1,[2]quests!$1:$1,0)+1),MATCH(E$1,[2]quests!$1:$1,0)-MATCH($B$1,[2]quests!$1:$1,0)+1,FALSE)</f>
        <v>シヴァ襲来！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【超絶級】シヴァ襲来</v>
      </c>
      <c r="G13" s="21">
        <v>3</v>
      </c>
      <c r="H13" s="15" t="str">
        <f t="shared" si="2"/>
        <v>41014_1-3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 t="s">
        <v>53</v>
      </c>
      <c r="L13" s="20">
        <v>45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ショウイン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blue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Drop1N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65</v>
      </c>
      <c r="S13" s="25">
        <v>1.5</v>
      </c>
      <c r="T13" s="106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28927.5</v>
      </c>
      <c r="U13" s="25">
        <v>2</v>
      </c>
      <c r="V13" s="106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7312</v>
      </c>
      <c r="W13" s="5">
        <v>0</v>
      </c>
      <c r="X13" s="4" t="e">
        <f ca="1">VLOOKUP($Y13,OFFSET(enemy_skill_sets!$B$1,0,0,COUNTA(enemy_skill_sets!$B:$B),MATCH(M$1,enemy_skill_sets!$1:$1,0)-MATCH($Y$1,enemy_skill_sets!$1:$1,0)+2),MATCH(M$1,enemy_skill_sets!$1:$1,0)-MATCH($Y$1,enemy_skill_sets!$1:$1,0)+2,FALSE)</f>
        <v>#N/A</v>
      </c>
      <c r="Y13" s="62">
        <v>0</v>
      </c>
      <c r="Z13" s="6">
        <v>2</v>
      </c>
      <c r="AA13" s="6">
        <v>100</v>
      </c>
      <c r="AB13" s="6">
        <v>1</v>
      </c>
      <c r="AC13" s="111">
        <f ca="1">VLOOKUP($L13,OFFSET([3]enemies!$A$1,0,0,COUNTA([3]enemies!$A:$A),MATCH(AC$1,[3]enemies!$1:$1,0)-MATCH($L$1,[3]enemies!$1:$1,0)+1),MATCH(AC$1,[3]enemies!$1:$1,0)-MATCH($L$1,[3]enemies!$1:$1,0)+1,FALSE)</f>
        <v>3</v>
      </c>
      <c r="AD13" s="110">
        <v>45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ショウイン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2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Drop1N</v>
      </c>
      <c r="AH13" s="7">
        <v>1</v>
      </c>
      <c r="AI13" s="24">
        <f t="shared" ca="1" si="3"/>
        <v>2</v>
      </c>
      <c r="AJ13" s="8">
        <v>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70">
        <v>1</v>
      </c>
    </row>
    <row r="14" spans="1:42" ht="21" customHeight="1" x14ac:dyDescent="0.15">
      <c r="A14" s="16" t="str">
        <f t="shared" ca="1" si="0"/>
        <v>41014_1-3/61&lt;lv55&gt;s2</v>
      </c>
      <c r="B14" s="22">
        <v>41014</v>
      </c>
      <c r="C14" s="21">
        <v>1</v>
      </c>
      <c r="D14" s="2" t="str">
        <f t="shared" si="1"/>
        <v>41014_1</v>
      </c>
      <c r="E14" s="4" t="str">
        <f ca="1">VLOOKUP($B14,OFFSET([2]quests!$A$1,0,0,COUNTA([2]quests!$A:$A),MATCH(E$1,[2]quests!$1:$1,0)-MATCH($B$1,[2]quests!$1:$1,0)+1),MATCH(E$1,[2]quests!$1:$1,0)-MATCH($B$1,[2]quests!$1:$1,0)+1,FALSE)</f>
        <v>シヴァ襲来！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【超絶級】シヴァ襲来</v>
      </c>
      <c r="G14" s="21">
        <v>3</v>
      </c>
      <c r="H14" s="15" t="str">
        <f t="shared" si="2"/>
        <v>41014_1-3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53</v>
      </c>
      <c r="L14" s="20">
        <v>61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クロウ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blue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Drop1N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55</v>
      </c>
      <c r="S14" s="25">
        <v>1.5</v>
      </c>
      <c r="T14" s="106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13560</v>
      </c>
      <c r="U14" s="25">
        <v>0.8</v>
      </c>
      <c r="V14" s="106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2280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全体回復</v>
      </c>
      <c r="Y14" s="62">
        <v>41014006</v>
      </c>
      <c r="Z14" s="6">
        <v>2</v>
      </c>
      <c r="AA14" s="6">
        <v>100</v>
      </c>
      <c r="AB14" s="6">
        <v>0</v>
      </c>
      <c r="AC14" s="111">
        <f ca="1">VLOOKUP($L14,OFFSET([3]enemies!$A$1,0,0,COUNTA([3]enemies!$A:$A),MATCH(AC$1,[3]enemies!$1:$1,0)-MATCH($L$1,[3]enemies!$1:$1,0)+1),MATCH(AC$1,[3]enemies!$1:$1,0)-MATCH($L$1,[3]enemies!$1:$1,0)+1,FALSE)</f>
        <v>2</v>
      </c>
      <c r="AD14" s="110">
        <v>61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クロウ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2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Drop1N</v>
      </c>
      <c r="AH14" s="7">
        <v>1</v>
      </c>
      <c r="AI14" s="24">
        <f t="shared" ca="1" si="3"/>
        <v>2</v>
      </c>
      <c r="AJ14" s="8">
        <v>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70">
        <v>1</v>
      </c>
    </row>
    <row r="15" spans="1:42" ht="21" customHeight="1" x14ac:dyDescent="0.15">
      <c r="A15" s="16" t="str">
        <f t="shared" ca="1" si="0"/>
        <v>41014_1-4/656&lt;lv65&gt;s3</v>
      </c>
      <c r="B15" s="22">
        <v>41014</v>
      </c>
      <c r="C15" s="21">
        <v>1</v>
      </c>
      <c r="D15" s="2" t="str">
        <f t="shared" si="1"/>
        <v>41014_1</v>
      </c>
      <c r="E15" s="4" t="str">
        <f ca="1">VLOOKUP($B15,OFFSET([2]quests!$A$1,0,0,COUNTA([2]quests!$A:$A),MATCH(E$1,[2]quests!$1:$1,0)-MATCH($B$1,[2]quests!$1:$1,0)+1),MATCH(E$1,[2]quests!$1:$1,0)-MATCH($B$1,[2]quests!$1:$1,0)+1,FALSE)</f>
        <v>シヴァ襲来！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【超絶級】シヴァ襲来</v>
      </c>
      <c r="G15" s="21">
        <v>4</v>
      </c>
      <c r="H15" s="15" t="str">
        <f t="shared" si="2"/>
        <v>41014_1-4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>
        <v>2</v>
      </c>
      <c r="L15" s="20">
        <v>656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シヴァ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blue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DropWizS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god</v>
      </c>
      <c r="Q15" s="17">
        <f ca="1">VLOOKUP($L15,OFFSET([3]enemies!$A$1,0,0,COUNTA([3]enemies!$A:$A),MATCH(Q$1,[3]enemies!$1:$1,0)-MATCH($L$1,[3]enemies!$1:$1,0)+1),MATCH(Q$1,[3]enemies!$1:$1,0)-MATCH($L$1,[3]enemies!$1:$1,0)+1,FALSE)</f>
        <v>30</v>
      </c>
      <c r="R15" s="5">
        <v>65</v>
      </c>
      <c r="S15" s="25">
        <v>3</v>
      </c>
      <c r="T15" s="106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248976</v>
      </c>
      <c r="U15" s="25">
        <v>1</v>
      </c>
      <c r="V15" s="106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8965</v>
      </c>
      <c r="W15" s="5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15" s="62">
        <v>41014007</v>
      </c>
      <c r="Z15" s="6">
        <v>1</v>
      </c>
      <c r="AA15" s="6">
        <v>100</v>
      </c>
      <c r="AB15" s="6">
        <v>1</v>
      </c>
      <c r="AC15" s="111">
        <f ca="1">VLOOKUP($L15,OFFSET([3]enemies!$A$1,0,0,COUNTA([3]enemies!$A:$A),MATCH(AC$1,[3]enemies!$1:$1,0)-MATCH($L$1,[3]enemies!$1:$1,0)+1),MATCH(AC$1,[3]enemies!$1:$1,0)-MATCH($L$1,[3]enemies!$1:$1,0)+1,FALSE)</f>
        <v>3</v>
      </c>
      <c r="AD15" s="110">
        <v>656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シヴァ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4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5" s="7">
        <v>1</v>
      </c>
      <c r="AI15" s="24">
        <f t="shared" ca="1" si="3"/>
        <v>4</v>
      </c>
      <c r="AJ15" s="8">
        <v>15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70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7"/>
  <sheetViews>
    <sheetView showGridLines="0" zoomScale="90" zoomScaleNormal="90" zoomScalePageLayoutView="9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V3" sqref="V3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5" t="s">
        <v>252</v>
      </c>
      <c r="V1" s="26" t="s">
        <v>50</v>
      </c>
      <c r="W1" s="105" t="s">
        <v>253</v>
      </c>
      <c r="X1" s="26" t="s">
        <v>52</v>
      </c>
      <c r="Y1" s="28" t="s">
        <v>128</v>
      </c>
      <c r="Z1" s="29" t="s">
        <v>127</v>
      </c>
      <c r="AA1" s="28" t="s">
        <v>8</v>
      </c>
    </row>
    <row r="2" spans="1:27" ht="21" customHeight="1" x14ac:dyDescent="0.15">
      <c r="A2" s="16" t="str">
        <f t="shared" ref="A2:A7" si="0">B2&amp;"_"&amp;C2&amp;"-"&amp;G2&amp;"/"&amp;M2&amp;"&lt;lv"&amp;S2&amp;"&gt;sq"&amp;K2&amp;"st"&amp;L2</f>
        <v>41014_2-2/672&lt;lv65&gt;sq1st2</v>
      </c>
      <c r="B2" s="22">
        <v>41014</v>
      </c>
      <c r="C2" s="21">
        <v>2</v>
      </c>
      <c r="D2" s="2" t="str">
        <f t="shared" ref="D2:D7" si="1">B2&amp;"_"&amp;C2</f>
        <v>41014_2</v>
      </c>
      <c r="E2" s="4" t="str">
        <f ca="1">VLOOKUP($B2,OFFSET([2]quests!$A$1,0,0,COUNTA([2]quests!$A:$A),MATCH(E$1,[2]quests!$1:$1,0)-MATCH($B$1,[2]quests!$1:$1,0)+1),MATCH(E$1,[2]quests!$1:$1,0)-MATCH($B$1,[2]quests!$1:$1,0)+1,FALSE)</f>
        <v>シヴァ襲来！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【ウィザード級】シヴァ襲来</v>
      </c>
      <c r="G2" s="21">
        <v>2</v>
      </c>
      <c r="H2" s="15" t="str">
        <f t="shared" ref="H2:H7" si="2">B2&amp;"_"&amp;C2&amp;"-"&amp;G2</f>
        <v>41014_2-2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672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西遊韋駄天 ハヌマーン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65</v>
      </c>
      <c r="T2" s="25">
        <v>2</v>
      </c>
      <c r="U2" s="106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176358</v>
      </c>
      <c r="V2" s="25">
        <v>1.1000000000000001</v>
      </c>
      <c r="W2" s="106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10634.800000000001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">
        <v>41014003</v>
      </c>
      <c r="AA2" s="71">
        <f ca="1">VLOOKUP($M2,OFFSET([3]enemies!$A$1,0,0,COUNTA([3]enemies!$A:$A),MATCH(AA$1,[3]enemies!$1:$1,0)-MATCH($M$1,[3]enemies!$1:$1,0)+1),MATCH(AA$1,[3]enemies!$1:$1,0)-MATCH($M$1,[3]enemies!$1:$1,0)+1,FALSE)</f>
        <v>3</v>
      </c>
    </row>
    <row r="3" spans="1:27" ht="21" customHeight="1" x14ac:dyDescent="0.15">
      <c r="A3" s="16" t="str">
        <f t="shared" si="0"/>
        <v>41014_2-4/834&lt;lv85&gt;sq2st2</v>
      </c>
      <c r="B3" s="22">
        <v>41014</v>
      </c>
      <c r="C3" s="21">
        <v>2</v>
      </c>
      <c r="D3" s="2" t="str">
        <f t="shared" si="1"/>
        <v>41014_2</v>
      </c>
      <c r="E3" s="4" t="str">
        <f ca="1">VLOOKUP($B3,OFFSET([2]quests!$A$1,0,0,COUNTA([2]quests!$A:$A),MATCH(E$1,[2]quests!$1:$1,0)-MATCH($B$1,[2]quests!$1:$1,0)+1),MATCH(E$1,[2]quests!$1:$1,0)-MATCH($B$1,[2]quests!$1:$1,0)+1,FALSE)</f>
        <v>シヴァ襲来！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【ウィザード級】シヴァ襲来</v>
      </c>
      <c r="G3" s="21">
        <v>4</v>
      </c>
      <c r="H3" s="15" t="str">
        <f t="shared" si="2"/>
        <v>41014_2-4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834</v>
      </c>
      <c r="N3" s="17" t="str">
        <f ca="1">VLOOKUP($M3,OFFSET([3]enemies!$A$1,0,0,COUNTA([3]enemies!$A:$A),MATCH(N$1,[3]enemies!$1:$1,0)-MATCH($M$1,[3]enemies!$1:$1,0)+1),MATCH(N$1,[3]enemies!$1:$1,0)-MATCH($M$1,[3]enemies!$1:$1,0)+1,FALSE)</f>
        <v>破界する裁滅神 シヴァ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85</v>
      </c>
      <c r="T3" s="25">
        <v>3</v>
      </c>
      <c r="U3" s="106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423504</v>
      </c>
      <c r="V3" s="25">
        <v>1.3</v>
      </c>
      <c r="W3" s="106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16325.400000000001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4">
        <v>41014011</v>
      </c>
      <c r="AA3" s="71">
        <v>2</v>
      </c>
    </row>
    <row r="4" spans="1:27" ht="21" customHeight="1" x14ac:dyDescent="0.15">
      <c r="A4" s="16" t="str">
        <f t="shared" si="0"/>
        <v>41014_2-4/834&lt;lv85&gt;sq2st3</v>
      </c>
      <c r="B4" s="22">
        <v>41014</v>
      </c>
      <c r="C4" s="21">
        <v>2</v>
      </c>
      <c r="D4" s="2" t="str">
        <f t="shared" si="1"/>
        <v>41014_2</v>
      </c>
      <c r="E4" s="4" t="str">
        <f ca="1">VLOOKUP($B4,OFFSET([2]quests!$A$1,0,0,COUNTA([2]quests!$A:$A),MATCH(E$1,[2]quests!$1:$1,0)-MATCH($B$1,[2]quests!$1:$1,0)+1),MATCH(E$1,[2]quests!$1:$1,0)-MATCH($B$1,[2]quests!$1:$1,0)+1,FALSE)</f>
        <v>シヴァ襲来！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【ウィザード級】シヴァ襲来</v>
      </c>
      <c r="G4" s="21">
        <v>4</v>
      </c>
      <c r="H4" s="15" t="str">
        <f t="shared" si="2"/>
        <v>41014_2-4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3</v>
      </c>
      <c r="M4" s="20">
        <v>834</v>
      </c>
      <c r="N4" s="17" t="str">
        <f ca="1">VLOOKUP($M4,OFFSET([3]enemies!$A$1,0,0,COUNTA([3]enemies!$A:$A),MATCH(N$1,[3]enemies!$1:$1,0)-MATCH($M$1,[3]enemies!$1:$1,0)+1),MATCH(N$1,[3]enemies!$1:$1,0)-MATCH($M$1,[3]enemies!$1:$1,0)+1,FALSE)</f>
        <v>破界する裁滅神 シヴァ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85</v>
      </c>
      <c r="T4" s="25">
        <v>4</v>
      </c>
      <c r="U4" s="106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564672</v>
      </c>
      <c r="V4" s="25">
        <v>1</v>
      </c>
      <c r="W4" s="106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12558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4">
        <v>41014009</v>
      </c>
      <c r="AA4" s="71">
        <v>1</v>
      </c>
    </row>
    <row r="5" spans="1:27" ht="21" customHeight="1" x14ac:dyDescent="0.15">
      <c r="A5" s="16" t="str">
        <f t="shared" si="0"/>
        <v>41014_1-2/672&lt;lv45&gt;sq1st2</v>
      </c>
      <c r="B5" s="22">
        <v>41014</v>
      </c>
      <c r="C5" s="21">
        <v>1</v>
      </c>
      <c r="D5" s="2" t="str">
        <f t="shared" si="1"/>
        <v>41014_1</v>
      </c>
      <c r="E5" s="4" t="str">
        <f ca="1">VLOOKUP($B5,OFFSET([2]quests!$A$1,0,0,COUNTA([2]quests!$A:$A),MATCH(E$1,[2]quests!$1:$1,0)-MATCH($B$1,[2]quests!$1:$1,0)+1),MATCH(E$1,[2]quests!$1:$1,0)-MATCH($B$1,[2]quests!$1:$1,0)+1,FALSE)</f>
        <v>シヴァ襲来！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【超絶級】シヴァ襲来</v>
      </c>
      <c r="G5" s="21">
        <v>2</v>
      </c>
      <c r="H5" s="15" t="str">
        <f t="shared" si="2"/>
        <v>41014_1-2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1</v>
      </c>
      <c r="L5" s="38">
        <v>2</v>
      </c>
      <c r="M5" s="20">
        <v>672</v>
      </c>
      <c r="N5" s="17" t="str">
        <f ca="1">VLOOKUP($M5,OFFSET([3]enemies!$A$1,0,0,COUNTA([3]enemies!$A:$A),MATCH(N$1,[3]enemies!$1:$1,0)-MATCH($M$1,[3]enemies!$1:$1,0)+1),MATCH(N$1,[3]enemies!$1:$1,0)-MATCH($M$1,[3]enemies!$1:$1,0)+1,FALSE)</f>
        <v>西遊韋駄天 ハヌマーン</v>
      </c>
      <c r="O5" s="17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PremiumS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animal</v>
      </c>
      <c r="R5" s="17">
        <f ca="1">VLOOKUP($M5,OFFSET([3]enemies!$A$1,0,0,COUNTA([3]enemies!$A:$A),MATCH(R$1,[3]enemies!$1:$1,0)-MATCH($M$1,[3]enemies!$1:$1,0)+1),MATCH(R$1,[3]enemies!$1:$1,0)-MATCH($M$1,[3]enemies!$1:$1,0)+1,FALSE)</f>
        <v>30</v>
      </c>
      <c r="S5" s="5">
        <v>45</v>
      </c>
      <c r="T5" s="25">
        <v>1.5</v>
      </c>
      <c r="U5" s="106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92488.5</v>
      </c>
      <c r="V5" s="25">
        <v>0.9</v>
      </c>
      <c r="W5" s="106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6084</v>
      </c>
      <c r="X5" s="5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4">
        <v>41014003</v>
      </c>
      <c r="AA5" s="71">
        <f ca="1">VLOOKUP($M5,OFFSET([3]enemies!$A$1,0,0,COUNTA([3]enemies!$A:$A),MATCH(AA$1,[3]enemies!$1:$1,0)-MATCH($M$1,[3]enemies!$1:$1,0)+1),MATCH(AA$1,[3]enemies!$1:$1,0)-MATCH($M$1,[3]enemies!$1:$1,0)+1,FALSE)</f>
        <v>3</v>
      </c>
    </row>
    <row r="6" spans="1:27" ht="21" customHeight="1" x14ac:dyDescent="0.15">
      <c r="A6" s="16" t="str">
        <f t="shared" si="0"/>
        <v>41014_1-4/657&lt;lv70&gt;sq2st2</v>
      </c>
      <c r="B6" s="22">
        <v>41014</v>
      </c>
      <c r="C6" s="21">
        <v>1</v>
      </c>
      <c r="D6" s="2" t="str">
        <f t="shared" si="1"/>
        <v>41014_1</v>
      </c>
      <c r="E6" s="4" t="str">
        <f ca="1">VLOOKUP($B6,OFFSET([2]quests!$A$1,0,0,COUNTA([2]quests!$A:$A),MATCH(E$1,[2]quests!$1:$1,0)-MATCH($B$1,[2]quests!$1:$1,0)+1),MATCH(E$1,[2]quests!$1:$1,0)-MATCH($B$1,[2]quests!$1:$1,0)+1,FALSE)</f>
        <v>シヴァ襲来！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【超絶級】シヴァ襲来</v>
      </c>
      <c r="G6" s="21">
        <v>4</v>
      </c>
      <c r="H6" s="15" t="str">
        <f t="shared" si="2"/>
        <v>41014_1-4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2</v>
      </c>
      <c r="L6" s="38">
        <v>2</v>
      </c>
      <c r="M6" s="20">
        <v>657</v>
      </c>
      <c r="N6" s="17" t="str">
        <f ca="1">VLOOKUP($M6,OFFSET([3]enemies!$A$1,0,0,COUNTA([3]enemies!$A:$A),MATCH(N$1,[3]enemies!$1:$1,0)-MATCH($M$1,[3]enemies!$1:$1,0)+1),MATCH(N$1,[3]enemies!$1:$1,0)-MATCH($M$1,[3]enemies!$1:$1,0)+1,FALSE)</f>
        <v>解滅の裁神 シヴァ</v>
      </c>
      <c r="O6" s="17" t="str">
        <f ca="1">VLOOKUP($M6,OFFSET([3]enemies!$A$1,0,0,COUNTA([3]enemies!$A:$A),MATCH(O$1,[3]enemies!$1:$1,0)-MATCH($M$1,[3]enemies!$1:$1,0)+1),MATCH(O$1,[3]enemies!$1:$1,0)-MATCH($M$1,[3]enemies!$1:$1,0)+1,FALSE)</f>
        <v>blue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god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70</v>
      </c>
      <c r="T6" s="25">
        <v>3</v>
      </c>
      <c r="U6" s="106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350064</v>
      </c>
      <c r="V6" s="25">
        <v>1</v>
      </c>
      <c r="W6" s="106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10380</v>
      </c>
      <c r="X6" s="5">
        <v>0</v>
      </c>
      <c r="Y6" s="4" t="e">
        <f ca="1">VLOOKUP($Z6,OFFSET([5]enemy_skill_sets!$B$1,0,0,COUNTA([5]enemy_skill_sets!$B:$B),MATCH(N$1,[5]enemy_skill_sets!$1:$1,0)-MATCH($Z$1,[5]enemy_skill_sets!$1:$1,0)+2),MATCH(N$1,[5]enemy_skill_sets!$1:$1,0)-MATCH($Z$1,[5]enemy_skill_sets!$1:$1,0)+2,FALSE)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6" s="4">
        <v>41014008</v>
      </c>
      <c r="AA6" s="71">
        <f ca="1">VLOOKUP($M6,OFFSET([3]enemies!$A$1,0,0,COUNTA([3]enemies!$A:$A),MATCH(AA$1,[3]enemies!$1:$1,0)-MATCH($M$1,[3]enemies!$1:$1,0)+1),MATCH(AA$1,[3]enemies!$1:$1,0)-MATCH($M$1,[3]enemies!$1:$1,0)+1,FALSE)</f>
        <v>3</v>
      </c>
    </row>
    <row r="7" spans="1:27" ht="21" customHeight="1" x14ac:dyDescent="0.15">
      <c r="A7" s="16" t="str">
        <f t="shared" si="0"/>
        <v>41014_1-4/657&lt;lv70&gt;sq2st3</v>
      </c>
      <c r="B7" s="22">
        <v>41014</v>
      </c>
      <c r="C7" s="21">
        <v>1</v>
      </c>
      <c r="D7" s="2" t="str">
        <f t="shared" si="1"/>
        <v>41014_1</v>
      </c>
      <c r="E7" s="4" t="str">
        <f ca="1">VLOOKUP($B7,OFFSET([2]quests!$A$1,0,0,COUNTA([2]quests!$A:$A),MATCH(E$1,[2]quests!$1:$1,0)-MATCH($B$1,[2]quests!$1:$1,0)+1),MATCH(E$1,[2]quests!$1:$1,0)-MATCH($B$1,[2]quests!$1:$1,0)+1,FALSE)</f>
        <v>シヴァ襲来！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【超絶級】シヴァ襲来</v>
      </c>
      <c r="G7" s="21">
        <v>4</v>
      </c>
      <c r="H7" s="15" t="str">
        <f t="shared" si="2"/>
        <v>41014_1-4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2</v>
      </c>
      <c r="L7" s="38">
        <v>3</v>
      </c>
      <c r="M7" s="20">
        <v>657</v>
      </c>
      <c r="N7" s="17" t="str">
        <f ca="1">VLOOKUP($M7,OFFSET([3]enemies!$A$1,0,0,COUNTA([3]enemies!$A:$A),MATCH(N$1,[3]enemies!$1:$1,0)-MATCH($M$1,[3]enemies!$1:$1,0)+1),MATCH(N$1,[3]enemies!$1:$1,0)-MATCH($M$1,[3]enemies!$1:$1,0)+1,FALSE)</f>
        <v>解滅の裁神 シヴァ</v>
      </c>
      <c r="O7" s="17" t="str">
        <f ca="1">VLOOKUP($M7,OFFSET([3]enemies!$A$1,0,0,COUNTA([3]enemies!$A:$A),MATCH(O$1,[3]enemies!$1:$1,0)-MATCH($M$1,[3]enemies!$1:$1,0)+1),MATCH(O$1,[3]enemies!$1:$1,0)-MATCH($M$1,[3]enemies!$1:$1,0)+1,FALSE)</f>
        <v>blue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god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70</v>
      </c>
      <c r="T7" s="25">
        <v>2</v>
      </c>
      <c r="U7" s="106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233376</v>
      </c>
      <c r="V7" s="25">
        <v>1</v>
      </c>
      <c r="W7" s="106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10380</v>
      </c>
      <c r="X7" s="5">
        <v>0</v>
      </c>
      <c r="Y7" s="4" t="e">
        <f ca="1">VLOOKUP($Z7,OFFSET([5]enemy_skill_sets!$B$1,0,0,COUNTA([5]enemy_skill_sets!$B:$B),MATCH(N$1,[5]enemy_skill_sets!$1:$1,0)-MATCH($Z$1,[5]enemy_skill_sets!$1:$1,0)+2),MATCH(N$1,[5]enemy_skill_sets!$1:$1,0)-MATCH($Z$1,[5]enemy_skill_sets!$1:$1,0)+2,FALSE)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7" s="4">
        <v>41014009</v>
      </c>
      <c r="AA7" s="71">
        <f ca="1">VLOOKUP($M7,OFFSET([3]enemies!$A$1,0,0,COUNTA([3]enemies!$A:$A),MATCH(AA$1,[3]enemies!$1:$1,0)-MATCH($M$1,[3]enemies!$1:$1,0)+1),MATCH(AA$1,[3]enemies!$1:$1,0)-MATCH($M$1,[3]enemies!$1:$1,0)+1,FALSE)</f>
        <v>3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AB54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C13" sqref="C13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:A42" si="0">B2&amp;"_"&amp;C2</f>
        <v>41014000_41014000</v>
      </c>
      <c r="B2" s="47">
        <v>41014000</v>
      </c>
      <c r="C2" s="47">
        <v>41014000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グリーンプロテクト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3ターン敵全体の防御力アップ</v>
      </c>
      <c r="F2" s="47">
        <v>41014000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si="0"/>
        <v>41014001_41014005</v>
      </c>
      <c r="B3" s="47">
        <v>41014001</v>
      </c>
      <c r="C3" s="47">
        <v>41014005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ピッ…ガガガッ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様子がおかしい！</v>
      </c>
      <c r="F3" s="47">
        <v>41014005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0"/>
        <v>41014001_41014006</v>
      </c>
      <c r="B4" s="47">
        <v>41014001</v>
      </c>
      <c r="C4" s="47">
        <v>41014006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自爆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自爆攻撃</v>
      </c>
      <c r="F4" s="47">
        <v>41014006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0"/>
        <v>41014002_41014010</v>
      </c>
      <c r="B5" s="47">
        <v>41014002</v>
      </c>
      <c r="C5" s="47">
        <v>41014010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五行封印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1ターンカウンター＋ユニット1体に3ターンスキルバインド</v>
      </c>
      <c r="F5" s="47">
        <v>41014010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0"/>
        <v>41014002_41014012</v>
      </c>
      <c r="B6" s="47">
        <v>41014002</v>
      </c>
      <c r="C6" s="47">
        <v>41014012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分身一斉撃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6" s="47">
        <v>41014012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6" s="47"/>
      <c r="Q6" s="47"/>
      <c r="R6" s="47"/>
    </row>
    <row r="7" spans="1:18" ht="21" customHeight="1" x14ac:dyDescent="0.15">
      <c r="A7" s="39" t="str">
        <f t="shared" si="0"/>
        <v>41014002_41014013</v>
      </c>
      <c r="B7" s="47">
        <v>41014002</v>
      </c>
      <c r="C7" s="47">
        <v>41014013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激昂の連撃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7" s="47">
        <v>41014013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33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0"/>
        <v>41014003_41014015</v>
      </c>
      <c r="B8" s="47">
        <v>41014003</v>
      </c>
      <c r="C8" s="47">
        <v>41014015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五行封印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最大ユニット2体に3ターンスキルバインド</v>
      </c>
      <c r="F8" s="47">
        <v>41014015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0"/>
        <v>41014003_41014017</v>
      </c>
      <c r="B9" s="47">
        <v>41014003</v>
      </c>
      <c r="C9" s="47">
        <v>41014017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分身一斉撃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9" s="47">
        <v>41014017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9" s="47"/>
      <c r="Q9" s="47"/>
      <c r="R9" s="47"/>
    </row>
    <row r="10" spans="1:18" ht="21" customHeight="1" x14ac:dyDescent="0.15">
      <c r="A10" s="39" t="str">
        <f t="shared" si="0"/>
        <v>41014003_41014018</v>
      </c>
      <c r="B10" s="47">
        <v>41014003</v>
      </c>
      <c r="C10" s="47">
        <v>41014018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激昂の連撃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0" s="47">
        <v>41014018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33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0"/>
        <v>41014004_41014020</v>
      </c>
      <c r="B11" s="47">
        <v>41014004</v>
      </c>
      <c r="C11" s="47">
        <v>41014020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如意棒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1" s="47">
        <v>41014020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1" s="47"/>
      <c r="Q11" s="47"/>
      <c r="R11" s="47"/>
    </row>
    <row r="12" spans="1:18" ht="21" customHeight="1" x14ac:dyDescent="0.15">
      <c r="A12" s="39" t="str">
        <f t="shared" si="0"/>
        <v>41014006_41014030</v>
      </c>
      <c r="B12" s="47">
        <v>41014006</v>
      </c>
      <c r="C12" s="47">
        <v>41014030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ヒール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全体回復</v>
      </c>
      <c r="F12" s="47">
        <v>41014030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2" s="47"/>
      <c r="Q12" s="47"/>
      <c r="R12" s="47"/>
    </row>
    <row r="13" spans="1:18" ht="23" customHeight="1" x14ac:dyDescent="0.15">
      <c r="A13" s="39" t="str">
        <f t="shared" si="0"/>
        <v>41014007_41014035</v>
      </c>
      <c r="B13" s="47">
        <v>41014007</v>
      </c>
      <c r="C13" s="47">
        <v>41014035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…悪いがここは通せない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3" s="47">
        <v>41014035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0"/>
        <v>41014007_41014067</v>
      </c>
      <c r="B14" s="129">
        <v>41014007</v>
      </c>
      <c r="C14" s="129">
        <v>41014067</v>
      </c>
      <c r="D14" s="130" t="str">
        <f ca="1">VLOOKUP($C14,OFFSET(enemy_skills!$A$1,0,0,COUNTA(enemy_skills!$A:$A),MATCH(D$1,enemy_skills!$1:$1,0)-MATCH("enemy_skill_id",enemy_skills!$1:$1,0)+1),MATCH(D$1,enemy_skills!$1:$1,0)-MATCH("enemy_skill_id",enemy_skills!$1:$1,0)+1,FALSE)</f>
        <v>邪魔をするな！ヴィシュヌ！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4" s="47">
        <v>41014067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676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0"/>
        <v>41014007_41014068</v>
      </c>
      <c r="B15" s="129">
        <v>41014007</v>
      </c>
      <c r="C15" s="129">
        <v>41014068</v>
      </c>
      <c r="D15" s="130" t="str">
        <f ca="1">VLOOKUP($C15,OFFSET(enemy_skills!$A$1,0,0,COUNTA(enemy_skills!$A:$A),MATCH(D$1,enemy_skills!$1:$1,0)-MATCH("enemy_skill_id",enemy_skills!$1:$1,0)+1),MATCH(D$1,enemy_skills!$1:$1,0)-MATCH("enemy_skill_id",enemy_skills!$1:$1,0)+1,FALSE)</f>
        <v>邪魔をするな！ヴィシュヌ！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5" s="47">
        <v>41014068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677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0"/>
        <v>41014007_41014069</v>
      </c>
      <c r="B16" s="129">
        <v>41014007</v>
      </c>
      <c r="C16" s="129">
        <v>41014069</v>
      </c>
      <c r="D16" s="130" t="str">
        <f ca="1">VLOOKUP($C16,OFFSET(enemy_skills!$A$1,0,0,COUNTA(enemy_skills!$A:$A),MATCH(D$1,enemy_skills!$1:$1,0)-MATCH("enemy_skill_id",enemy_skills!$1:$1,0)+1),MATCH(D$1,enemy_skills!$1:$1,0)-MATCH("enemy_skill_id",enemy_skills!$1:$1,0)+1,FALSE)</f>
        <v>邪魔をするな！ヴィシュヌ！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6" s="47">
        <v>41014069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833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ref="A17:A19" si="1">B17&amp;"_"&amp;C17</f>
        <v>41014010_41014067</v>
      </c>
      <c r="B17" s="129">
        <v>41014010</v>
      </c>
      <c r="C17" s="129">
        <v>41014067</v>
      </c>
      <c r="D17" s="130" t="str">
        <f ca="1">VLOOKUP($C17,OFFSET(enemy_skills!$A$1,0,0,COUNTA(enemy_skills!$A:$A),MATCH(D$1,enemy_skills!$1:$1,0)-MATCH("enemy_skill_id",enemy_skills!$1:$1,0)+1),MATCH(D$1,enemy_skills!$1:$1,0)-MATCH("enemy_skill_id",enemy_skills!$1:$1,0)+1,FALSE)</f>
        <v>邪魔をするな！ヴィシュヌ！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7" s="47">
        <v>41014067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676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41014010_41014068</v>
      </c>
      <c r="B18" s="129">
        <v>41014010</v>
      </c>
      <c r="C18" s="129">
        <v>41014068</v>
      </c>
      <c r="D18" s="130" t="str">
        <f ca="1">VLOOKUP($C18,OFFSET(enemy_skills!$A$1,0,0,COUNTA(enemy_skills!$A:$A),MATCH(D$1,enemy_skills!$1:$1,0)-MATCH("enemy_skill_id",enemy_skills!$1:$1,0)+1),MATCH(D$1,enemy_skills!$1:$1,0)-MATCH("enemy_skill_id",enemy_skills!$1:$1,0)+1,FALSE)</f>
        <v>邪魔をするな！ヴィシュヌ！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8" s="47">
        <v>41014068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677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1"/>
        <v>41014010_41014069</v>
      </c>
      <c r="B19" s="129">
        <v>41014010</v>
      </c>
      <c r="C19" s="129">
        <v>41014069</v>
      </c>
      <c r="D19" s="130" t="str">
        <f ca="1">VLOOKUP($C19,OFFSET(enemy_skills!$A$1,0,0,COUNTA(enemy_skills!$A:$A),MATCH(D$1,enemy_skills!$1:$1,0)-MATCH("enemy_skill_id",enemy_skills!$1:$1,0)+1),MATCH(D$1,enemy_skills!$1:$1,0)-MATCH("enemy_skill_id",enemy_skills!$1:$1,0)+1,FALSE)</f>
        <v>邪魔をするな！ヴィシュヌ！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9" s="47">
        <v>41014069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833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0"/>
        <v>41014007_41014036</v>
      </c>
      <c r="B20" s="47">
        <v>41014007</v>
      </c>
      <c r="C20" s="47">
        <v>41014036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トリシューラ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0" s="47">
        <v>41014036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0" s="47"/>
      <c r="Q20" s="47"/>
      <c r="R20" s="47"/>
    </row>
    <row r="21" spans="1:18" ht="21" customHeight="1" x14ac:dyDescent="0.15">
      <c r="A21" s="39" t="str">
        <f t="shared" si="0"/>
        <v>41014007_41014037</v>
      </c>
      <c r="B21" s="47">
        <v>41014007</v>
      </c>
      <c r="C21" s="47">
        <v>41014037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ピナーカ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1" s="47">
        <v>41014037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1" s="47"/>
      <c r="Q21" s="47"/>
      <c r="R21" s="47"/>
    </row>
    <row r="22" spans="1:18" ht="21" customHeight="1" x14ac:dyDescent="0.15">
      <c r="A22" s="39" t="str">
        <f t="shared" si="0"/>
        <v>41014007_41014038</v>
      </c>
      <c r="B22" s="47">
        <v>41014007</v>
      </c>
      <c r="C22" s="47">
        <v>41014038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黒い稲妻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青属性に対して大ダメージの全体攻撃</v>
      </c>
      <c r="F22" s="47">
        <v>41014038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2" s="47"/>
      <c r="Q22" s="47"/>
      <c r="R22" s="47"/>
    </row>
    <row r="23" spans="1:18" ht="21" customHeight="1" x14ac:dyDescent="0.15">
      <c r="A23" s="39" t="str">
        <f t="shared" si="0"/>
        <v>41014008_41014039</v>
      </c>
      <c r="B23" s="47">
        <v>41014008</v>
      </c>
      <c r="C23" s="47">
        <v>41014039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マハーカーラ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黄パネルプロテクト</v>
      </c>
      <c r="F23" s="47">
        <v>41014039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0"/>
        <v>41014008_41014045</v>
      </c>
      <c r="B24" s="47">
        <v>41014008</v>
      </c>
      <c r="C24" s="47">
        <v>41014045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…あまり私を怒らせない方がいい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4" s="47">
        <v>41014045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0"/>
        <v>41014008_41014070</v>
      </c>
      <c r="B25" s="129">
        <v>41014008</v>
      </c>
      <c r="C25" s="129">
        <v>41014070</v>
      </c>
      <c r="D25" s="130" t="str">
        <f ca="1">VLOOKUP($C25,OFFSET(enemy_skills!$A$1,0,0,COUNTA(enemy_skills!$A:$A),MATCH(D$1,enemy_skills!$1:$1,0)-MATCH("enemy_skill_id",enemy_skills!$1:$1,0)+1),MATCH(D$1,enemy_skills!$1:$1,0)-MATCH("enemy_skill_id",enemy_skills!$1:$1,0)+1,FALSE)</f>
        <v>下手に動けばパールに危害が及ぶ…！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5" s="47">
        <v>41014070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676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0"/>
        <v>41014008_41014071</v>
      </c>
      <c r="B26" s="129">
        <v>41014008</v>
      </c>
      <c r="C26" s="129">
        <v>41014071</v>
      </c>
      <c r="D26" s="130" t="str">
        <f ca="1">VLOOKUP($C26,OFFSET(enemy_skills!$A$1,0,0,COUNTA(enemy_skills!$A:$A),MATCH(D$1,enemy_skills!$1:$1,0)-MATCH("enemy_skill_id",enemy_skills!$1:$1,0)+1),MATCH(D$1,enemy_skills!$1:$1,0)-MATCH("enemy_skill_id",enemy_skills!$1:$1,0)+1,FALSE)</f>
        <v>下手に動けばパールに危害が及ぶ…！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6" s="47">
        <v>41014071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677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0"/>
        <v>41014008_41014072</v>
      </c>
      <c r="B27" s="129">
        <v>41014008</v>
      </c>
      <c r="C27" s="129">
        <v>41014072</v>
      </c>
      <c r="D27" s="130" t="str">
        <f ca="1">VLOOKUP($C27,OFFSET(enemy_skills!$A$1,0,0,COUNTA(enemy_skills!$A:$A),MATCH(D$1,enemy_skills!$1:$1,0)-MATCH("enemy_skill_id",enemy_skills!$1:$1,0)+1),MATCH(D$1,enemy_skills!$1:$1,0)-MATCH("enemy_skill_id",enemy_skills!$1:$1,0)+1,FALSE)</f>
        <v>下手に動けばパールに危害が及ぶ…！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7" s="47">
        <v>41014072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833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ref="A28:A30" si="2">B28&amp;"_"&amp;C28</f>
        <v>41014011_41014070</v>
      </c>
      <c r="B28" s="129">
        <v>41014011</v>
      </c>
      <c r="C28" s="129">
        <v>41014070</v>
      </c>
      <c r="D28" s="130" t="str">
        <f ca="1">VLOOKUP($C28,OFFSET(enemy_skills!$A$1,0,0,COUNTA(enemy_skills!$A:$A),MATCH(D$1,enemy_skills!$1:$1,0)-MATCH("enemy_skill_id",enemy_skills!$1:$1,0)+1),MATCH(D$1,enemy_skills!$1:$1,0)-MATCH("enemy_skill_id",enemy_skills!$1:$1,0)+1,FALSE)</f>
        <v>下手に動けばパールに危害が及ぶ…！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8" s="47">
        <v>41014070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676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2"/>
        <v>41014011_41014071</v>
      </c>
      <c r="B29" s="129">
        <v>41014011</v>
      </c>
      <c r="C29" s="129">
        <v>41014071</v>
      </c>
      <c r="D29" s="130" t="str">
        <f ca="1">VLOOKUP($C29,OFFSET(enemy_skills!$A$1,0,0,COUNTA(enemy_skills!$A:$A),MATCH(D$1,enemy_skills!$1:$1,0)-MATCH("enemy_skill_id",enemy_skills!$1:$1,0)+1),MATCH(D$1,enemy_skills!$1:$1,0)-MATCH("enemy_skill_id",enemy_skills!$1:$1,0)+1,FALSE)</f>
        <v>下手に動けばパールに危害が及ぶ…！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9" s="47">
        <v>41014071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677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2"/>
        <v>41014011_41014072</v>
      </c>
      <c r="B30" s="129">
        <v>41014011</v>
      </c>
      <c r="C30" s="129">
        <v>41014072</v>
      </c>
      <c r="D30" s="130" t="str">
        <f ca="1">VLOOKUP($C30,OFFSET(enemy_skills!$A$1,0,0,COUNTA(enemy_skills!$A:$A),MATCH(D$1,enemy_skills!$1:$1,0)-MATCH("enemy_skill_id",enemy_skills!$1:$1,0)+1),MATCH(D$1,enemy_skills!$1:$1,0)-MATCH("enemy_skill_id",enemy_skills!$1:$1,0)+1,FALSE)</f>
        <v>下手に動けばパールに危害が及ぶ…！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0" s="47">
        <v>41014072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833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0"/>
        <v>41014008_41014046</v>
      </c>
      <c r="B31" s="47">
        <v>41014008</v>
      </c>
      <c r="C31" s="47">
        <v>41014046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トリシューラ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1" s="47">
        <v>41014046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1" s="47"/>
      <c r="Q31" s="47"/>
      <c r="R31" s="47"/>
    </row>
    <row r="32" spans="1:18" ht="21" customHeight="1" x14ac:dyDescent="0.15">
      <c r="A32" s="39" t="str">
        <f t="shared" si="0"/>
        <v>41014008_41014047</v>
      </c>
      <c r="B32" s="47">
        <v>41014008</v>
      </c>
      <c r="C32" s="47">
        <v>41014047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ピナーカ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2" s="47">
        <v>41014047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2" s="47"/>
      <c r="Q32" s="47"/>
      <c r="R32" s="47"/>
    </row>
    <row r="33" spans="1:18" ht="21" customHeight="1" x14ac:dyDescent="0.15">
      <c r="A33" s="39" t="str">
        <f t="shared" si="0"/>
        <v>41014008_41014048</v>
      </c>
      <c r="B33" s="47">
        <v>41014008</v>
      </c>
      <c r="C33" s="47">
        <v>41014048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黒い稲妻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青属性に対して大ダメージの全体攻撃</v>
      </c>
      <c r="F33" s="47">
        <v>41014048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3" s="47"/>
      <c r="Q33" s="47"/>
      <c r="R33" s="47"/>
    </row>
    <row r="34" spans="1:18" ht="21" customHeight="1" x14ac:dyDescent="0.15">
      <c r="A34" s="39" t="str">
        <f t="shared" si="0"/>
        <v>41014009_41014049</v>
      </c>
      <c r="B34" s="47">
        <v>41014009</v>
      </c>
      <c r="C34" s="47">
        <v>41014049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マハーカーラ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黄パネルプロテクト</v>
      </c>
      <c r="F34" s="47">
        <v>41014049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0"/>
        <v>41014009_41014055</v>
      </c>
      <c r="B35" s="47">
        <v>41014009</v>
      </c>
      <c r="C35" s="47">
        <v>41014055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炎神覚醒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状態異常耐性＋赤属性に変化</v>
      </c>
      <c r="F35" s="47">
        <v>41014055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0"/>
        <v>41014009_41014056</v>
      </c>
      <c r="B36" s="47">
        <v>41014009</v>
      </c>
      <c r="C36" s="47">
        <v>41014056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トリシューラ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6" s="47">
        <v>41014056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6" s="47"/>
      <c r="Q36" s="47"/>
      <c r="R36" s="47"/>
    </row>
    <row r="37" spans="1:18" ht="21" customHeight="1" x14ac:dyDescent="0.15">
      <c r="A37" s="39" t="str">
        <f t="shared" si="0"/>
        <v>41014009_41014057</v>
      </c>
      <c r="B37" s="47">
        <v>41014009</v>
      </c>
      <c r="C37" s="47">
        <v>41014057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ピナーカ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7" s="47">
        <v>41014057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7" s="47"/>
      <c r="Q37" s="47"/>
      <c r="R37" s="47"/>
    </row>
    <row r="38" spans="1:18" ht="21" customHeight="1" x14ac:dyDescent="0.15">
      <c r="A38" s="39" t="str">
        <f t="shared" si="0"/>
        <v>41014009_41014058</v>
      </c>
      <c r="B38" s="47">
        <v>41014009</v>
      </c>
      <c r="C38" s="47">
        <v>41014058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激怒の炎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赤属性に対して大ダメージの全体攻撃</v>
      </c>
      <c r="F38" s="47">
        <v>41014058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 t="str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8" s="47"/>
      <c r="Q38" s="47"/>
      <c r="R38" s="47"/>
    </row>
    <row r="39" spans="1:18" ht="21" customHeight="1" x14ac:dyDescent="0.15">
      <c r="A39" s="39" t="str">
        <f t="shared" ref="A39:A41" si="3">B39&amp;"_"&amp;C39</f>
        <v>41014009_41014073</v>
      </c>
      <c r="B39" s="129">
        <v>41014009</v>
      </c>
      <c r="C39" s="129">
        <v>41014073</v>
      </c>
      <c r="D39" s="130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ヴィシュヌ！それでも勝算があるのなら…見せてみろ！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状態異常耐性＋赤属性に変化</v>
      </c>
      <c r="F39" s="47">
        <v>41014073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676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3"/>
        <v>41014009_41014074</v>
      </c>
      <c r="B40" s="129">
        <v>41014009</v>
      </c>
      <c r="C40" s="129">
        <v>41014074</v>
      </c>
      <c r="D40" s="130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ヴィシュヌ！それでも勝算があるのなら…見せてみろ！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状態異常耐性＋赤属性に変化</v>
      </c>
      <c r="F40" s="47">
        <v>41014074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677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3"/>
        <v>41014009_41014075</v>
      </c>
      <c r="B41" s="129">
        <v>41014009</v>
      </c>
      <c r="C41" s="129">
        <v>41014075</v>
      </c>
      <c r="D41" s="130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ヴィシュヌ！それでも勝算があるのなら…見せてみろ！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状態異常耐性＋赤属性に変化</v>
      </c>
      <c r="F41" s="47">
        <v>41014075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833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0"/>
        <v>41014009_41014059</v>
      </c>
      <c r="B42" s="47">
        <v>41014009</v>
      </c>
      <c r="C42" s="47">
        <v>41014059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第三の目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黄パネルを吸収し、強力な攻撃</v>
      </c>
      <c r="F42" s="47">
        <v>41014059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s="121" customFormat="1" ht="21" customHeight="1" x14ac:dyDescent="0.15">
      <c r="A43" s="39" t="str">
        <f t="shared" ref="A43:A52" si="4">B43&amp;"_"&amp;C43</f>
        <v>41014010_41014035</v>
      </c>
      <c r="B43" s="122">
        <v>41014010</v>
      </c>
      <c r="C43" s="122">
        <v>41014035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…悪いがここは通せない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3" s="119">
        <v>41014035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119"/>
      <c r="Q43" s="119"/>
      <c r="R43" s="119"/>
    </row>
    <row r="44" spans="1:18" s="121" customFormat="1" ht="21" customHeight="1" x14ac:dyDescent="0.15">
      <c r="A44" s="39" t="str">
        <f t="shared" si="4"/>
        <v>41014010_41014036</v>
      </c>
      <c r="B44" s="122">
        <v>41014010</v>
      </c>
      <c r="C44" s="122">
        <v>41014036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トリシューラ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44" s="119">
        <v>41014036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 t="str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44" s="119"/>
      <c r="Q44" s="119"/>
      <c r="R44" s="119"/>
    </row>
    <row r="45" spans="1:18" s="121" customFormat="1" ht="21" customHeight="1" x14ac:dyDescent="0.15">
      <c r="A45" s="39" t="str">
        <f t="shared" si="4"/>
        <v>41014010_41014037</v>
      </c>
      <c r="B45" s="122">
        <v>41014010</v>
      </c>
      <c r="C45" s="122">
        <v>41014037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ピナーカ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5" s="119">
        <v>41014037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 t="str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45" s="119"/>
      <c r="Q45" s="119"/>
      <c r="R45" s="119"/>
    </row>
    <row r="46" spans="1:18" s="125" customFormat="1" ht="21" customHeight="1" x14ac:dyDescent="0.15">
      <c r="A46" s="39" t="str">
        <f t="shared" si="4"/>
        <v>41014010_41014064</v>
      </c>
      <c r="B46" s="114">
        <v>41014010</v>
      </c>
      <c r="C46" s="114">
        <v>41014064</v>
      </c>
      <c r="D46" s="115" t="str">
        <f ca="1">VLOOKUP($C46,OFFSET(enemy_skills!$A$1,0,0,COUNTA(enemy_skills!$A:$A),MATCH(D$1,enemy_skills!$1:$1,0)-MATCH("enemy_skill_id",enemy_skills!$1:$1,0)+1),MATCH(D$1,enemy_skills!$1:$1,0)-MATCH("enemy_skill_id",enemy_skills!$1:$1,0)+1,FALSE)</f>
        <v>黒い稲妻</v>
      </c>
      <c r="E46" s="115" t="str">
        <f ca="1">VLOOKUP($C46,OFFSET(enemy_skills!$A$1,0,0,COUNTA(enemy_skills!$A:$A),MATCH(E$1,enemy_skills!$1:$1,0)-MATCH("enemy_skill_id",enemy_skills!$1:$1,0)+1),MATCH(E$1,enemy_skills!$1:$1,0)-MATCH("enemy_skill_id",enemy_skills!$1:$1,0)+1,FALSE)</f>
        <v>青属性に対して大ダメージの全体攻撃</v>
      </c>
      <c r="F46" s="114">
        <v>41014064</v>
      </c>
      <c r="G46" s="114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114" t="str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6" s="114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46" s="114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114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114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114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114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114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46" s="123"/>
      <c r="Q46" s="123"/>
      <c r="R46" s="123"/>
    </row>
    <row r="47" spans="1:18" s="121" customFormat="1" ht="21" customHeight="1" x14ac:dyDescent="0.15">
      <c r="A47" s="39" t="str">
        <f t="shared" si="4"/>
        <v>41014011_41014039</v>
      </c>
      <c r="B47" s="128">
        <v>41014011</v>
      </c>
      <c r="C47" s="128">
        <v>41014039</v>
      </c>
      <c r="D47" s="120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マハーカーラ</v>
      </c>
      <c r="E47" s="120" t="str">
        <f ca="1">VLOOKUP($C47,OFFSET(enemy_skills!$A$1,0,0,COUNTA(enemy_skills!$A:$A),MATCH(E$1,enemy_skills!$1:$1,0)-MATCH("enemy_skill_id",enemy_skills!$1:$1,0)+1),MATCH(E$1,enemy_skills!$1:$1,0)-MATCH("enemy_skill_id",enemy_skills!$1:$1,0)+1,FALSE)</f>
        <v>黄パネルプロテクト</v>
      </c>
      <c r="F47" s="119">
        <v>41014039</v>
      </c>
      <c r="G47" s="119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119" t="str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7" s="119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119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119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119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119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7" s="119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119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119"/>
      <c r="Q47" s="119"/>
      <c r="R47" s="119"/>
    </row>
    <row r="48" spans="1:18" s="121" customFormat="1" ht="21" customHeight="1" x14ac:dyDescent="0.15">
      <c r="A48" s="39" t="str">
        <f t="shared" si="4"/>
        <v>41014011_41014045</v>
      </c>
      <c r="B48" s="128">
        <v>41014011</v>
      </c>
      <c r="C48" s="128">
        <v>41014045</v>
      </c>
      <c r="D48" s="120" t="str">
        <f ca="1">VLOOKUP($C48,OFFSET(enemy_skills!$A$1,0,0,COUNTA(enemy_skills!$A:$A),MATCH(D$1,enemy_skills!$1:$1,0)-MATCH("enemy_skill_id",enemy_skills!$1:$1,0)+1),MATCH(D$1,enemy_skills!$1:$1,0)-MATCH("enemy_skill_id",enemy_skills!$1:$1,0)+1,FALSE)</f>
        <v>…あまり私を怒らせない方がいい</v>
      </c>
      <c r="E48" s="120" t="str">
        <f ca="1">VLOOKUP($C48,OFFSET(enemy_skills!$A$1,0,0,COUNTA(enemy_skills!$A:$A),MATCH(E$1,enemy_skills!$1:$1,0)-MATCH("enemy_skill_id",enemy_skills!$1:$1,0)+1),MATCH(E$1,enemy_skills!$1:$1,0)-MATCH("enemy_skill_id",enemy_skills!$1:$1,0)+1,FALSE)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8" s="119">
        <v>41014045</v>
      </c>
      <c r="G48" s="119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119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8" s="119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119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119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119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119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119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119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119"/>
      <c r="Q48" s="119"/>
      <c r="R48" s="119"/>
    </row>
    <row r="49" spans="1:28" ht="21" customHeight="1" x14ac:dyDescent="0.15">
      <c r="A49" s="39" t="str">
        <f t="shared" si="4"/>
        <v>41014011_41014065</v>
      </c>
      <c r="B49" s="117">
        <v>41014011</v>
      </c>
      <c r="C49" s="117">
        <v>41014065</v>
      </c>
      <c r="D49" s="118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トリシューラ</v>
      </c>
      <c r="E49" s="118" t="str">
        <f ca="1">VLOOKUP($C49,OFFSET(enemy_skills!$A$1,0,0,COUNTA(enemy_skills!$A:$A),MATCH(E$1,enemy_skills!$1:$1,0)-MATCH("enemy_skill_id",enemy_skills!$1:$1,0)+1),MATCH(E$1,enemy_skills!$1:$1,0)-MATCH("enemy_skill_id",enemy_skills!$1:$1,0)+1,FALSE)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49" s="117">
        <v>41014046</v>
      </c>
      <c r="G49" s="117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117" t="str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9" s="117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49" s="117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117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117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117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117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117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49" s="47"/>
      <c r="Q49" s="47"/>
      <c r="R49" s="47"/>
    </row>
    <row r="50" spans="1:28" ht="21" customHeight="1" x14ac:dyDescent="0.15">
      <c r="A50" s="39" t="str">
        <f t="shared" si="4"/>
        <v>41014011_41014047</v>
      </c>
      <c r="B50" s="128">
        <v>41014011</v>
      </c>
      <c r="C50" s="128">
        <v>41014047</v>
      </c>
      <c r="D50" s="124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ピナーカ</v>
      </c>
      <c r="E50" s="124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50" s="123">
        <v>41014047</v>
      </c>
      <c r="G50" s="123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123" t="str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0" s="123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50" s="123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123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123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123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123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123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50" s="123"/>
      <c r="Q50" s="47"/>
      <c r="R50" s="47"/>
    </row>
    <row r="51" spans="1:28" ht="21" customHeight="1" x14ac:dyDescent="0.15">
      <c r="A51" s="39" t="str">
        <f t="shared" si="4"/>
        <v>41014011_41014066</v>
      </c>
      <c r="B51" s="117">
        <v>41014011</v>
      </c>
      <c r="C51" s="117">
        <v>41014066</v>
      </c>
      <c r="D51" s="118" t="str">
        <f ca="1">VLOOKUP($C51,OFFSET(enemy_skills!$A$1,0,0,COUNTA(enemy_skills!$A:$A),MATCH(D$1,enemy_skills!$1:$1,0)-MATCH("enemy_skill_id",enemy_skills!$1:$1,0)+1),MATCH(D$1,enemy_skills!$1:$1,0)-MATCH("enemy_skill_id",enemy_skills!$1:$1,0)+1,FALSE)</f>
        <v>黒い稲妻</v>
      </c>
      <c r="E51" s="118" t="str">
        <f ca="1">VLOOKUP($C51,OFFSET(enemy_skills!$A$1,0,0,COUNTA(enemy_skills!$A:$A),MATCH(E$1,enemy_skills!$1:$1,0)-MATCH("enemy_skill_id",enemy_skills!$1:$1,0)+1),MATCH(E$1,enemy_skills!$1:$1,0)-MATCH("enemy_skill_id",enemy_skills!$1:$1,0)+1,FALSE)</f>
        <v>青属性に対して大ダメージの全体攻撃</v>
      </c>
      <c r="F51" s="117">
        <v>41014048</v>
      </c>
      <c r="G51" s="117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117" t="str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1" s="117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51" s="117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117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117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117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117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117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51" s="123"/>
      <c r="Q51" s="123"/>
      <c r="R51" s="123"/>
      <c r="S51" s="125"/>
      <c r="T51" s="125"/>
      <c r="U51" s="125"/>
      <c r="V51" s="125"/>
      <c r="W51" s="125"/>
      <c r="X51" s="125"/>
      <c r="Y51" s="125"/>
      <c r="Z51" s="125"/>
      <c r="AA51" s="125"/>
      <c r="AB51" s="125"/>
    </row>
    <row r="52" spans="1:28" ht="21" customHeight="1" x14ac:dyDescent="0.15">
      <c r="A52" s="39" t="str">
        <f t="shared" si="4"/>
        <v>41014009_41014076</v>
      </c>
      <c r="B52" s="129">
        <v>41014009</v>
      </c>
      <c r="C52" s="129">
        <v>41014076</v>
      </c>
      <c r="D52" s="130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その力…認めざるを得ないな</v>
      </c>
      <c r="E52" s="130" t="str">
        <f ca="1">VLOOKUP($C52,OFFSET(enemy_skills!$A$1,0,0,COUNTA(enemy_skills!$A:$A),MATCH(E$1,enemy_skills!$1:$1,0)-MATCH("enemy_skill_id",enemy_skills!$1:$1,0)+1),MATCH(E$1,enemy_skills!$1:$1,0)-MATCH("enemy_skill_id",enemy_skills!$1:$1,0)+1,FALSE)</f>
        <v>彼女を…パールを頼む…</v>
      </c>
      <c r="F52" s="129">
        <v>41014076</v>
      </c>
      <c r="G52" s="129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129" t="str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2" s="129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129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129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129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2" s="129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129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676</v>
      </c>
      <c r="O52" s="129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28" ht="21" customHeight="1" x14ac:dyDescent="0.15">
      <c r="A53" s="39" t="str">
        <f t="shared" ref="A53:A54" si="5">B53&amp;"_"&amp;C53</f>
        <v>41014009_41014077</v>
      </c>
      <c r="B53" s="129">
        <v>41014009</v>
      </c>
      <c r="C53" s="129">
        <v>41014077</v>
      </c>
      <c r="D53" s="130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その力…認めざるを得ないな</v>
      </c>
      <c r="E53" s="130" t="str">
        <f ca="1">VLOOKUP($C53,OFFSET(enemy_skills!$A$1,0,0,COUNTA(enemy_skills!$A:$A),MATCH(E$1,enemy_skills!$1:$1,0)-MATCH("enemy_skill_id",enemy_skills!$1:$1,0)+1),MATCH(E$1,enemy_skills!$1:$1,0)-MATCH("enemy_skill_id",enemy_skills!$1:$1,0)+1,FALSE)</f>
        <v>彼女を…パールを頼む…</v>
      </c>
      <c r="F53" s="129">
        <v>41014077</v>
      </c>
      <c r="G53" s="129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129" t="str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3" s="129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129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129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129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3" s="129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129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677</v>
      </c>
      <c r="O53" s="129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28" ht="21" customHeight="1" x14ac:dyDescent="0.15">
      <c r="A54" s="39" t="str">
        <f t="shared" si="5"/>
        <v>41014009_41014078</v>
      </c>
      <c r="B54" s="129">
        <v>41014009</v>
      </c>
      <c r="C54" s="129">
        <v>41014078</v>
      </c>
      <c r="D54" s="130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その力…認めざるを得ないな</v>
      </c>
      <c r="E54" s="130" t="str">
        <f ca="1">VLOOKUP($C54,OFFSET(enemy_skills!$A$1,0,0,COUNTA(enemy_skills!$A:$A),MATCH(E$1,enemy_skills!$1:$1,0)-MATCH("enemy_skill_id",enemy_skills!$1:$1,0)+1),MATCH(E$1,enemy_skills!$1:$1,0)-MATCH("enemy_skill_id",enemy_skills!$1:$1,0)+1,FALSE)</f>
        <v>彼女を…パールを頼む…</v>
      </c>
      <c r="F54" s="129">
        <v>41014078</v>
      </c>
      <c r="G54" s="129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129" t="str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4" s="129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129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129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129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4" s="129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129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833</v>
      </c>
      <c r="O54" s="129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42"/>
  <sheetViews>
    <sheetView showGridLines="0" tabSelected="1" zoomScale="90" zoomScaleNormal="90" zoomScalePageLayoutView="9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125</v>
      </c>
      <c r="E1" s="40" t="s">
        <v>82</v>
      </c>
      <c r="F1" s="40" t="s">
        <v>83</v>
      </c>
      <c r="G1" s="41" t="s">
        <v>131</v>
      </c>
      <c r="H1" s="41" t="s">
        <v>137</v>
      </c>
      <c r="I1" s="41" t="s">
        <v>139</v>
      </c>
      <c r="J1" s="41" t="s">
        <v>138</v>
      </c>
      <c r="K1" s="41" t="s">
        <v>140</v>
      </c>
      <c r="L1" s="41" t="s">
        <v>132</v>
      </c>
      <c r="M1" s="41" t="s">
        <v>130</v>
      </c>
      <c r="N1" s="41" t="s">
        <v>133</v>
      </c>
      <c r="O1" s="41" t="s">
        <v>141</v>
      </c>
      <c r="P1" s="41" t="s">
        <v>142</v>
      </c>
      <c r="Q1" s="41" t="s">
        <v>143</v>
      </c>
      <c r="R1" s="41" t="s">
        <v>144</v>
      </c>
      <c r="S1" s="41" t="s">
        <v>134</v>
      </c>
      <c r="T1" s="41" t="s">
        <v>135</v>
      </c>
      <c r="U1" s="41" t="s">
        <v>145</v>
      </c>
      <c r="V1" s="41" t="s">
        <v>146</v>
      </c>
      <c r="W1" s="41" t="s">
        <v>147</v>
      </c>
      <c r="X1" s="41" t="s">
        <v>148</v>
      </c>
      <c r="Y1" s="41" t="s">
        <v>136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41014000</v>
      </c>
      <c r="B2" s="47" t="s">
        <v>255</v>
      </c>
      <c r="C2" s="50">
        <v>3</v>
      </c>
      <c r="D2" s="50" t="s">
        <v>126</v>
      </c>
      <c r="E2" s="51" t="s">
        <v>256</v>
      </c>
      <c r="F2" s="51" t="s">
        <v>336</v>
      </c>
      <c r="G2" s="64" t="str">
        <f t="shared" ref="G2:G12" si="0">IFERROR(LEFT(B2,FIND("],",B2)),B2)</f>
        <v>[effect:enhance_enemy, target:enemy_all, turn:3, status:defense, val:3000, animation:enemy_enhance_defense]</v>
      </c>
      <c r="H2" s="64">
        <f t="shared" ref="H2:H12" si="1">FIND("effect:",G2)+7</f>
        <v>9</v>
      </c>
      <c r="I2" s="64">
        <f t="shared" ref="I2:I12" si="2">IFERROR(FIND(",",G2),LEN(G2))</f>
        <v>22</v>
      </c>
      <c r="J2" s="64">
        <f t="shared" ref="J2:J12" si="3">FIND("target:",G2)+7</f>
        <v>31</v>
      </c>
      <c r="K2" s="64">
        <f t="shared" ref="K2:K12" si="4">FIND(",",G2,I2+1)</f>
        <v>40</v>
      </c>
      <c r="L2" s="64" t="str">
        <f>IFERROR(VLOOKUP(MID(G2,J2,K2-J2),[6]skilldef!$C:$D,2,FALSE),"-") &amp; " / " &amp; IFERROR(VLOOKUP(MID(G2,H2,I2-H2),[6]skilldef!$A:$B,2,FALSE),"-")</f>
        <v>敵全体に / ステータス強化</v>
      </c>
      <c r="M2" s="64" t="str">
        <f t="shared" ref="M2:M12" si="5">IFERROR(RIGHT(B2,LEN(B2)-FIND("],",B2)-1),"none")</f>
        <v>none</v>
      </c>
      <c r="N2" s="48" t="str">
        <f>IFERROR(LEFT(M2,FIND("],",M2)+S5),M2)</f>
        <v>none</v>
      </c>
      <c r="O2" s="64" t="e">
        <f t="shared" ref="O2:O12" si="6">FIND("effect:",N2)+7</f>
        <v>#VALUE!</v>
      </c>
      <c r="P2" s="64">
        <f t="shared" ref="P2:P12" si="7">IFERROR(FIND(",",N2),LEN(N2))</f>
        <v>4</v>
      </c>
      <c r="Q2" s="64" t="e">
        <f t="shared" ref="Q2:Q12" si="8">FIND("target:",N2)+7</f>
        <v>#VALUE!</v>
      </c>
      <c r="R2" s="64" t="e">
        <f t="shared" ref="R2:R12" si="9">FIND(",",N2,P2+1)</f>
        <v>#VALUE!</v>
      </c>
      <c r="S2" s="64" t="str">
        <f>IFERROR(VLOOKUP(MID(N2,Q2,R2-Q2),[6]skilldef!$C:$D,2,FALSE),"-") &amp; " / " &amp; IFERROR(VLOOKUP(MID(N2,O2,P2-O2),[6]skilldef!$A:$B,2,FALSE),"-")</f>
        <v>- / -</v>
      </c>
      <c r="T2" s="48" t="str">
        <f t="shared" ref="T2:T12" si="10">IFERROR(RIGHT(M2,LEN(M2)-FIND("],",M2)-1),"none")</f>
        <v>none</v>
      </c>
      <c r="U2" s="64" t="e">
        <f t="shared" ref="U2:U12" si="11">FIND("effect:",T2)+7</f>
        <v>#VALUE!</v>
      </c>
      <c r="V2" s="64">
        <f t="shared" ref="V2:V12" si="12">IFERROR(FIND(",",T2),LEN(T2))</f>
        <v>4</v>
      </c>
      <c r="W2" s="64" t="e">
        <f t="shared" ref="W2:W12" si="13">FIND("target:",T2)+7</f>
        <v>#VALUE!</v>
      </c>
      <c r="X2" s="64" t="e">
        <f t="shared" ref="X2:X12" si="14">FIND(",",T2,V2+1)</f>
        <v>#VALUE!</v>
      </c>
      <c r="Y2" s="64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47">
        <v>41014005</v>
      </c>
      <c r="B3" s="47" t="s">
        <v>257</v>
      </c>
      <c r="C3" s="50">
        <v>3</v>
      </c>
      <c r="D3" s="50" t="s">
        <v>258</v>
      </c>
      <c r="E3" s="51" t="s">
        <v>259</v>
      </c>
      <c r="F3" s="51" t="s">
        <v>260</v>
      </c>
      <c r="G3" s="64" t="str">
        <f t="shared" si="0"/>
        <v>[effect:nothing]</v>
      </c>
      <c r="H3" s="64">
        <f t="shared" si="1"/>
        <v>9</v>
      </c>
      <c r="I3" s="64">
        <f t="shared" si="2"/>
        <v>16</v>
      </c>
      <c r="J3" s="64" t="e">
        <f t="shared" si="3"/>
        <v>#VALUE!</v>
      </c>
      <c r="K3" s="64" t="e">
        <f t="shared" si="4"/>
        <v>#VALUE!</v>
      </c>
      <c r="L3" s="64" t="str">
        <f>IFERROR(VLOOKUP(MID(G3,J3,K3-J3),[6]skilldef!$C:$D,2,FALSE),"-") &amp; " / " &amp; IFERROR(VLOOKUP(MID(G3,H3,I3-H3),[6]skilldef!$A:$B,2,FALSE),"-")</f>
        <v>- / 何もしない</v>
      </c>
      <c r="M3" s="64" t="str">
        <f t="shared" si="5"/>
        <v>none</v>
      </c>
      <c r="N3" s="48" t="str">
        <f>IFERROR(LEFT(M3,FIND("],",M3)+S8),M3)</f>
        <v>none</v>
      </c>
      <c r="O3" s="64" t="e">
        <f t="shared" si="6"/>
        <v>#VALUE!</v>
      </c>
      <c r="P3" s="64">
        <f t="shared" si="7"/>
        <v>4</v>
      </c>
      <c r="Q3" s="64" t="e">
        <f t="shared" si="8"/>
        <v>#VALUE!</v>
      </c>
      <c r="R3" s="64" t="e">
        <f t="shared" si="9"/>
        <v>#VALUE!</v>
      </c>
      <c r="S3" s="64" t="str">
        <f>IFERROR(VLOOKUP(MID(N3,Q3,R3-Q3),[6]skilldef!$C:$D,2,FALSE),"-") &amp; " / " &amp; IFERROR(VLOOKUP(MID(N3,O3,P3-O3),[6]skilldef!$A:$B,2,FALSE),"-")</f>
        <v>- / -</v>
      </c>
      <c r="T3" s="48" t="str">
        <f t="shared" si="10"/>
        <v>none</v>
      </c>
      <c r="U3" s="64" t="e">
        <f t="shared" si="11"/>
        <v>#VALUE!</v>
      </c>
      <c r="V3" s="64">
        <f t="shared" si="12"/>
        <v>4</v>
      </c>
      <c r="W3" s="64" t="e">
        <f t="shared" si="13"/>
        <v>#VALUE!</v>
      </c>
      <c r="X3" s="64" t="e">
        <f t="shared" si="14"/>
        <v>#VALUE!</v>
      </c>
      <c r="Y3" s="64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41014006</v>
      </c>
      <c r="B4" s="47" t="s">
        <v>261</v>
      </c>
      <c r="C4" s="50">
        <v>3</v>
      </c>
      <c r="D4" s="50" t="s">
        <v>258</v>
      </c>
      <c r="E4" s="51" t="s">
        <v>262</v>
      </c>
      <c r="F4" s="51" t="s">
        <v>323</v>
      </c>
      <c r="G4" s="64" t="str">
        <f t="shared" si="0"/>
        <v>[effect:kamikaze, val:1]</v>
      </c>
      <c r="H4" s="64">
        <f t="shared" si="1"/>
        <v>9</v>
      </c>
      <c r="I4" s="64">
        <f t="shared" si="2"/>
        <v>17</v>
      </c>
      <c r="J4" s="64" t="e">
        <f t="shared" si="3"/>
        <v>#VALUE!</v>
      </c>
      <c r="K4" s="64" t="e">
        <f t="shared" si="4"/>
        <v>#VALUE!</v>
      </c>
      <c r="L4" s="64" t="str">
        <f>IFERROR(VLOOKUP(MID(G4,J4,K4-J4),[6]skilldef!$C:$D,2,FALSE),"-") &amp; " / " &amp; IFERROR(VLOOKUP(MID(G4,H4,I4-H4),[6]skilldef!$A:$B,2,FALSE),"-")</f>
        <v>- / 自爆</v>
      </c>
      <c r="M4" s="64" t="str">
        <f t="shared" si="5"/>
        <v>none</v>
      </c>
      <c r="N4" s="48" t="str">
        <f>IFERROR(LEFT(M4,FIND("],",M4)+#REF!),M4)</f>
        <v>none</v>
      </c>
      <c r="O4" s="64" t="e">
        <f t="shared" si="6"/>
        <v>#VALUE!</v>
      </c>
      <c r="P4" s="64">
        <f t="shared" si="7"/>
        <v>4</v>
      </c>
      <c r="Q4" s="64" t="e">
        <f t="shared" si="8"/>
        <v>#VALUE!</v>
      </c>
      <c r="R4" s="64" t="e">
        <f t="shared" si="9"/>
        <v>#VALUE!</v>
      </c>
      <c r="S4" s="64" t="str">
        <f>IFERROR(VLOOKUP(MID(N4,Q4,R4-Q4),[6]skilldef!$C:$D,2,FALSE),"-") &amp; " / " &amp; IFERROR(VLOOKUP(MID(N4,O4,P4-O4),[6]skilldef!$A:$B,2,FALSE),"-")</f>
        <v>- / -</v>
      </c>
      <c r="T4" s="48" t="str">
        <f t="shared" si="10"/>
        <v>none</v>
      </c>
      <c r="U4" s="64" t="e">
        <f t="shared" si="11"/>
        <v>#VALUE!</v>
      </c>
      <c r="V4" s="64">
        <f t="shared" si="12"/>
        <v>4</v>
      </c>
      <c r="W4" s="64" t="e">
        <f t="shared" si="13"/>
        <v>#VALUE!</v>
      </c>
      <c r="X4" s="64" t="e">
        <f t="shared" si="14"/>
        <v>#VALUE!</v>
      </c>
      <c r="Y4" s="64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41014010</v>
      </c>
      <c r="B5" s="47" t="s">
        <v>317</v>
      </c>
      <c r="C5" s="50">
        <v>3</v>
      </c>
      <c r="D5" s="50" t="s">
        <v>258</v>
      </c>
      <c r="E5" s="51" t="s">
        <v>263</v>
      </c>
      <c r="F5" s="51" t="s">
        <v>264</v>
      </c>
      <c r="G5" s="64" t="str">
        <f t="shared" si="0"/>
        <v>[effect:hungup, target:unit_one, turn:3, rate:1, animation:hungup01]</v>
      </c>
      <c r="H5" s="64">
        <f t="shared" si="1"/>
        <v>9</v>
      </c>
      <c r="I5" s="64">
        <f t="shared" si="2"/>
        <v>15</v>
      </c>
      <c r="J5" s="64">
        <f t="shared" si="3"/>
        <v>24</v>
      </c>
      <c r="K5" s="64">
        <f t="shared" si="4"/>
        <v>32</v>
      </c>
      <c r="L5" s="64" t="str">
        <f>IFERROR(VLOOKUP(MID(G5,J5,K5-J5),[6]skilldef!$C:$D,2,FALSE),"-") &amp; " / " &amp; IFERROR(VLOOKUP(MID(G5,H5,I5-H5),[6]skilldef!$A:$B,2,FALSE),"-")</f>
        <v>味方単体に / ハングアップ</v>
      </c>
      <c r="M5" s="64" t="str">
        <f t="shared" si="5"/>
        <v>[effect:enemy_counter, target:myself, invoke_condition:unit_all, counter_target:unit_one, turn:1, val:1, animation:enemy_counter],[effect:enemy_message, val1:1.6, val2:2.7]</v>
      </c>
      <c r="N5" s="48" t="str">
        <f>IFERROR(LEFT(M5,FIND("],",M5)+S11),M5)</f>
        <v>[effect:enemy_counter, target:myself, invoke_condition:unit_all, counter_target:unit_one, turn:1, val:1, animation:enemy_counter],[effect:enemy_message, val1:1.6, val2:2.7]</v>
      </c>
      <c r="O5" s="64">
        <f t="shared" si="6"/>
        <v>9</v>
      </c>
      <c r="P5" s="64">
        <f t="shared" si="7"/>
        <v>22</v>
      </c>
      <c r="Q5" s="64">
        <f t="shared" si="8"/>
        <v>31</v>
      </c>
      <c r="R5" s="64">
        <f t="shared" si="9"/>
        <v>37</v>
      </c>
      <c r="S5" s="64" t="str">
        <f>IFERROR(VLOOKUP(MID(N5,Q5,R5-Q5),[6]skilldef!$C:$D,2,FALSE),"-") &amp; " / " &amp; IFERROR(VLOOKUP(MID(N5,O5,P5-O5),[6]skilldef!$A:$B,2,FALSE),"-")</f>
        <v>自分自身に / カウンター</v>
      </c>
      <c r="T5" s="48" t="str">
        <f t="shared" si="10"/>
        <v>[effect:enemy_message, val1:1.6, val2:2.7]</v>
      </c>
      <c r="U5" s="64">
        <f t="shared" si="11"/>
        <v>9</v>
      </c>
      <c r="V5" s="64">
        <f t="shared" si="12"/>
        <v>22</v>
      </c>
      <c r="W5" s="64" t="e">
        <f t="shared" si="13"/>
        <v>#VALUE!</v>
      </c>
      <c r="X5" s="64">
        <f t="shared" si="14"/>
        <v>32</v>
      </c>
      <c r="Y5" s="64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41014012</v>
      </c>
      <c r="B6" s="47" t="s">
        <v>266</v>
      </c>
      <c r="C6" s="50">
        <v>3</v>
      </c>
      <c r="D6" s="50" t="s">
        <v>265</v>
      </c>
      <c r="E6" s="51" t="s">
        <v>267</v>
      </c>
      <c r="F6" s="51" t="s">
        <v>326</v>
      </c>
      <c r="G6" s="64" t="str">
        <f t="shared" si="0"/>
        <v>[effect:critical, val:1.2]</v>
      </c>
      <c r="H6" s="64">
        <f t="shared" si="1"/>
        <v>9</v>
      </c>
      <c r="I6" s="64">
        <f t="shared" si="2"/>
        <v>17</v>
      </c>
      <c r="J6" s="64" t="e">
        <f t="shared" si="3"/>
        <v>#VALUE!</v>
      </c>
      <c r="K6" s="64" t="e">
        <f t="shared" si="4"/>
        <v>#VALUE!</v>
      </c>
      <c r="L6" s="64" t="str">
        <f>IFERROR(VLOOKUP(MID(G6,J6,K6-J6),[6]skilldef!$C:$D,2,FALSE),"-") &amp; " / " &amp; IFERROR(VLOOKUP(MID(G6,H6,I6-H6),[6]skilldef!$A:$B,2,FALSE),"-")</f>
        <v>- / 大攻撃</v>
      </c>
      <c r="M6" s="64" t="str">
        <f t="shared" si="5"/>
        <v>none</v>
      </c>
      <c r="N6" s="48" t="str">
        <f>IFERROR(LEFT(M6,FIND("],",M6)+#REF!),M6)</f>
        <v>none</v>
      </c>
      <c r="O6" s="64" t="e">
        <f t="shared" si="6"/>
        <v>#VALUE!</v>
      </c>
      <c r="P6" s="64">
        <f t="shared" si="7"/>
        <v>4</v>
      </c>
      <c r="Q6" s="64" t="e">
        <f t="shared" si="8"/>
        <v>#VALUE!</v>
      </c>
      <c r="R6" s="64" t="e">
        <f t="shared" si="9"/>
        <v>#VALUE!</v>
      </c>
      <c r="S6" s="64" t="str">
        <f>IFERROR(VLOOKUP(MID(N6,Q6,R6-Q6),[6]skilldef!$C:$D,2,FALSE),"-") &amp; " / " &amp; IFERROR(VLOOKUP(MID(N6,O6,P6-O6),[6]skilldef!$A:$B,2,FALSE),"-")</f>
        <v>- / -</v>
      </c>
      <c r="T6" s="48" t="str">
        <f t="shared" si="10"/>
        <v>none</v>
      </c>
      <c r="U6" s="64" t="e">
        <f t="shared" si="11"/>
        <v>#VALUE!</v>
      </c>
      <c r="V6" s="64">
        <f t="shared" si="12"/>
        <v>4</v>
      </c>
      <c r="W6" s="64" t="e">
        <f t="shared" si="13"/>
        <v>#VALUE!</v>
      </c>
      <c r="X6" s="64" t="e">
        <f t="shared" si="14"/>
        <v>#VALUE!</v>
      </c>
      <c r="Y6" s="64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41014013</v>
      </c>
      <c r="B7" s="47" t="s">
        <v>268</v>
      </c>
      <c r="C7" s="50">
        <v>3</v>
      </c>
      <c r="D7" s="50" t="s">
        <v>265</v>
      </c>
      <c r="E7" s="51" t="s">
        <v>269</v>
      </c>
      <c r="F7" s="51" t="s">
        <v>270</v>
      </c>
      <c r="G7" s="64" t="str">
        <f t="shared" si="0"/>
        <v>[effect:spread, val:0.3]</v>
      </c>
      <c r="H7" s="64">
        <f t="shared" si="1"/>
        <v>9</v>
      </c>
      <c r="I7" s="64">
        <f t="shared" si="2"/>
        <v>15</v>
      </c>
      <c r="J7" s="64" t="e">
        <f t="shared" si="3"/>
        <v>#VALUE!</v>
      </c>
      <c r="K7" s="64" t="e">
        <f t="shared" si="4"/>
        <v>#VALUE!</v>
      </c>
      <c r="L7" s="64" t="str">
        <f>IFERROR(VLOOKUP(MID(G7,J7,K7-J7),[6]skilldef!$C:$D,2,FALSE),"-") &amp; " / " &amp; IFERROR(VLOOKUP(MID(G7,H7,I7-H7),[6]skilldef!$A:$B,2,FALSE),"-")</f>
        <v>- / 全体攻撃</v>
      </c>
      <c r="M7" s="64" t="str">
        <f t="shared" si="5"/>
        <v>none</v>
      </c>
      <c r="N7" s="48" t="str">
        <f>IFERROR(LEFT(M7,FIND("],",M7)+#REF!),M7)</f>
        <v>none</v>
      </c>
      <c r="O7" s="64" t="e">
        <f t="shared" si="6"/>
        <v>#VALUE!</v>
      </c>
      <c r="P7" s="64">
        <f t="shared" si="7"/>
        <v>4</v>
      </c>
      <c r="Q7" s="64" t="e">
        <f t="shared" si="8"/>
        <v>#VALUE!</v>
      </c>
      <c r="R7" s="64" t="e">
        <f t="shared" si="9"/>
        <v>#VALUE!</v>
      </c>
      <c r="S7" s="64" t="str">
        <f>IFERROR(VLOOKUP(MID(N7,Q7,R7-Q7),[6]skilldef!$C:$D,2,FALSE),"-") &amp; " / " &amp; IFERROR(VLOOKUP(MID(N7,O7,P7-O7),[6]skilldef!$A:$B,2,FALSE),"-")</f>
        <v>- / -</v>
      </c>
      <c r="T7" s="48" t="str">
        <f t="shared" si="10"/>
        <v>none</v>
      </c>
      <c r="U7" s="64" t="e">
        <f t="shared" si="11"/>
        <v>#VALUE!</v>
      </c>
      <c r="V7" s="64">
        <f t="shared" si="12"/>
        <v>4</v>
      </c>
      <c r="W7" s="64" t="e">
        <f t="shared" si="13"/>
        <v>#VALUE!</v>
      </c>
      <c r="X7" s="64" t="e">
        <f t="shared" si="14"/>
        <v>#VALUE!</v>
      </c>
      <c r="Y7" s="64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41014015</v>
      </c>
      <c r="B8" s="47" t="s">
        <v>271</v>
      </c>
      <c r="C8" s="50">
        <v>3</v>
      </c>
      <c r="D8" s="50" t="s">
        <v>258</v>
      </c>
      <c r="E8" s="51" t="s">
        <v>263</v>
      </c>
      <c r="F8" s="51" t="s">
        <v>272</v>
      </c>
      <c r="G8" s="64" t="str">
        <f t="shared" si="0"/>
        <v>[effect:hungup, target:unit_one, turn:3, rate:1, animation:hungup01]</v>
      </c>
      <c r="H8" s="64">
        <f t="shared" si="1"/>
        <v>9</v>
      </c>
      <c r="I8" s="64">
        <f t="shared" si="2"/>
        <v>15</v>
      </c>
      <c r="J8" s="64">
        <f t="shared" si="3"/>
        <v>24</v>
      </c>
      <c r="K8" s="64">
        <f t="shared" si="4"/>
        <v>32</v>
      </c>
      <c r="L8" s="64" t="str">
        <f>IFERROR(VLOOKUP(MID(G8,J8,K8-J8),[6]skilldef!$C:$D,2,FALSE),"-") &amp; " / " &amp; IFERROR(VLOOKUP(MID(G8,H8,I8-H8),[6]skilldef!$A:$B,2,FALSE),"-")</f>
        <v>味方単体に / ハングアップ</v>
      </c>
      <c r="M8" s="64" t="str">
        <f t="shared" si="5"/>
        <v>[effect:hungup, target:unit_one, turn:3, rate:1, animation:hungup01]</v>
      </c>
      <c r="N8" s="48" t="str">
        <f>IFERROR(LEFT(M8,FIND("],",M8)+#REF!),M8)</f>
        <v>[effect:hungup, target:unit_one, turn:3, rate:1, animation:hungup01]</v>
      </c>
      <c r="O8" s="64">
        <f t="shared" si="6"/>
        <v>9</v>
      </c>
      <c r="P8" s="64">
        <f t="shared" si="7"/>
        <v>15</v>
      </c>
      <c r="Q8" s="64">
        <f t="shared" si="8"/>
        <v>24</v>
      </c>
      <c r="R8" s="64">
        <f t="shared" si="9"/>
        <v>32</v>
      </c>
      <c r="S8" s="64" t="str">
        <f>IFERROR(VLOOKUP(MID(N8,Q8,R8-Q8),[6]skilldef!$C:$D,2,FALSE),"-") &amp; " / " &amp; IFERROR(VLOOKUP(MID(N8,O8,P8-O8),[6]skilldef!$A:$B,2,FALSE),"-")</f>
        <v>味方単体に / ハングアップ</v>
      </c>
      <c r="T8" s="48" t="str">
        <f t="shared" si="10"/>
        <v>none</v>
      </c>
      <c r="U8" s="64" t="e">
        <f t="shared" si="11"/>
        <v>#VALUE!</v>
      </c>
      <c r="V8" s="64">
        <f t="shared" si="12"/>
        <v>4</v>
      </c>
      <c r="W8" s="64" t="e">
        <f t="shared" si="13"/>
        <v>#VALUE!</v>
      </c>
      <c r="X8" s="64" t="e">
        <f t="shared" si="14"/>
        <v>#VALUE!</v>
      </c>
      <c r="Y8" s="64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47">
        <v>41014017</v>
      </c>
      <c r="B9" s="47" t="s">
        <v>266</v>
      </c>
      <c r="C9" s="50">
        <v>3</v>
      </c>
      <c r="D9" s="50" t="s">
        <v>265</v>
      </c>
      <c r="E9" s="51" t="s">
        <v>267</v>
      </c>
      <c r="F9" s="51" t="s">
        <v>325</v>
      </c>
      <c r="G9" s="64" t="str">
        <f t="shared" si="0"/>
        <v>[effect:critical, val:1.2]</v>
      </c>
      <c r="H9" s="64">
        <f t="shared" si="1"/>
        <v>9</v>
      </c>
      <c r="I9" s="64">
        <f t="shared" si="2"/>
        <v>17</v>
      </c>
      <c r="J9" s="64" t="e">
        <f t="shared" si="3"/>
        <v>#VALUE!</v>
      </c>
      <c r="K9" s="64" t="e">
        <f t="shared" si="4"/>
        <v>#VALUE!</v>
      </c>
      <c r="L9" s="64" t="str">
        <f>IFERROR(VLOOKUP(MID(G9,J9,K9-J9),[6]skilldef!$C:$D,2,FALSE),"-") &amp; " / " &amp; IFERROR(VLOOKUP(MID(G9,H9,I9-H9),[6]skilldef!$A:$B,2,FALSE),"-")</f>
        <v>- / 大攻撃</v>
      </c>
      <c r="M9" s="64" t="str">
        <f t="shared" si="5"/>
        <v>none</v>
      </c>
      <c r="N9" s="48" t="str">
        <f>IFERROR(LEFT(M9,FIND("],",M9)+#REF!),M9)</f>
        <v>none</v>
      </c>
      <c r="O9" s="64" t="e">
        <f t="shared" si="6"/>
        <v>#VALUE!</v>
      </c>
      <c r="P9" s="64">
        <f t="shared" si="7"/>
        <v>4</v>
      </c>
      <c r="Q9" s="64" t="e">
        <f t="shared" si="8"/>
        <v>#VALUE!</v>
      </c>
      <c r="R9" s="64" t="e">
        <f t="shared" si="9"/>
        <v>#VALUE!</v>
      </c>
      <c r="S9" s="64" t="str">
        <f>IFERROR(VLOOKUP(MID(N9,Q9,R9-Q9),[6]skilldef!$C:$D,2,FALSE),"-") &amp; " / " &amp; IFERROR(VLOOKUP(MID(N9,O9,P9-O9),[6]skilldef!$A:$B,2,FALSE),"-")</f>
        <v>- / -</v>
      </c>
      <c r="T9" s="48" t="str">
        <f t="shared" si="10"/>
        <v>none</v>
      </c>
      <c r="U9" s="64" t="e">
        <f t="shared" si="11"/>
        <v>#VALUE!</v>
      </c>
      <c r="V9" s="64">
        <f t="shared" si="12"/>
        <v>4</v>
      </c>
      <c r="W9" s="64" t="e">
        <f t="shared" si="13"/>
        <v>#VALUE!</v>
      </c>
      <c r="X9" s="64" t="e">
        <f t="shared" si="14"/>
        <v>#VALUE!</v>
      </c>
      <c r="Y9" s="64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47">
        <v>41014018</v>
      </c>
      <c r="B10" s="47" t="s">
        <v>268</v>
      </c>
      <c r="C10" s="50">
        <v>3</v>
      </c>
      <c r="D10" s="50" t="s">
        <v>258</v>
      </c>
      <c r="E10" s="51" t="s">
        <v>273</v>
      </c>
      <c r="F10" s="51" t="s">
        <v>270</v>
      </c>
      <c r="G10" s="64" t="str">
        <f t="shared" si="0"/>
        <v>[effect:spread, val:0.3]</v>
      </c>
      <c r="H10" s="64">
        <f t="shared" si="1"/>
        <v>9</v>
      </c>
      <c r="I10" s="64">
        <f t="shared" si="2"/>
        <v>15</v>
      </c>
      <c r="J10" s="64" t="e">
        <f t="shared" si="3"/>
        <v>#VALUE!</v>
      </c>
      <c r="K10" s="64" t="e">
        <f t="shared" si="4"/>
        <v>#VALUE!</v>
      </c>
      <c r="L10" s="64" t="str">
        <f>IFERROR(VLOOKUP(MID(G10,J10,K10-J10),[6]skilldef!$C:$D,2,FALSE),"-") &amp; " / " &amp; IFERROR(VLOOKUP(MID(G10,H10,I10-H10),[6]skilldef!$A:$B,2,FALSE),"-")</f>
        <v>- / 全体攻撃</v>
      </c>
      <c r="M10" s="64" t="str">
        <f t="shared" si="5"/>
        <v>none</v>
      </c>
      <c r="N10" s="48" t="str">
        <f>IFERROR(LEFT(M10,FIND("],",M10)+#REF!),M10)</f>
        <v>none</v>
      </c>
      <c r="O10" s="64" t="e">
        <f t="shared" si="6"/>
        <v>#VALUE!</v>
      </c>
      <c r="P10" s="64">
        <f t="shared" si="7"/>
        <v>4</v>
      </c>
      <c r="Q10" s="64" t="e">
        <f t="shared" si="8"/>
        <v>#VALUE!</v>
      </c>
      <c r="R10" s="64" t="e">
        <f t="shared" si="9"/>
        <v>#VALUE!</v>
      </c>
      <c r="S10" s="64" t="str">
        <f>IFERROR(VLOOKUP(MID(N10,Q10,R10-Q10),[6]skilldef!$C:$D,2,FALSE),"-") &amp; " / " &amp; IFERROR(VLOOKUP(MID(N10,O10,P10-O10),[6]skilldef!$A:$B,2,FALSE),"-")</f>
        <v>- / -</v>
      </c>
      <c r="T10" s="48" t="str">
        <f t="shared" si="10"/>
        <v>none</v>
      </c>
      <c r="U10" s="64" t="e">
        <f t="shared" si="11"/>
        <v>#VALUE!</v>
      </c>
      <c r="V10" s="64">
        <f t="shared" si="12"/>
        <v>4</v>
      </c>
      <c r="W10" s="64" t="e">
        <f t="shared" si="13"/>
        <v>#VALUE!</v>
      </c>
      <c r="X10" s="64" t="e">
        <f t="shared" si="14"/>
        <v>#VALUE!</v>
      </c>
      <c r="Y10" s="64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47">
        <v>41014020</v>
      </c>
      <c r="B11" s="47" t="s">
        <v>313</v>
      </c>
      <c r="C11" s="50">
        <v>3</v>
      </c>
      <c r="D11" s="50" t="s">
        <v>274</v>
      </c>
      <c r="E11" s="51" t="s">
        <v>275</v>
      </c>
      <c r="F11" s="51" t="s">
        <v>324</v>
      </c>
      <c r="G11" s="64" t="str">
        <f t="shared" si="0"/>
        <v>[effect:critical, val:1.5]</v>
      </c>
      <c r="H11" s="64">
        <f t="shared" si="1"/>
        <v>9</v>
      </c>
      <c r="I11" s="64">
        <f t="shared" si="2"/>
        <v>17</v>
      </c>
      <c r="J11" s="64" t="e">
        <f t="shared" si="3"/>
        <v>#VALUE!</v>
      </c>
      <c r="K11" s="64" t="e">
        <f t="shared" si="4"/>
        <v>#VALUE!</v>
      </c>
      <c r="L11" s="64" t="str">
        <f>IFERROR(VLOOKUP(MID(G11,J11,K11-J11),[6]skilldef!$C:$D,2,FALSE),"-") &amp; " / " &amp; IFERROR(VLOOKUP(MID(G11,H11,I11-H11),[6]skilldef!$A:$B,2,FALSE),"-")</f>
        <v>- / 大攻撃</v>
      </c>
      <c r="M11" s="64" t="str">
        <f t="shared" si="5"/>
        <v>none</v>
      </c>
      <c r="N11" s="48" t="str">
        <f>IFERROR(LEFT(M11,FIND("],",M11)+S12),M11)</f>
        <v>none</v>
      </c>
      <c r="O11" s="64" t="e">
        <f t="shared" si="6"/>
        <v>#VALUE!</v>
      </c>
      <c r="P11" s="64">
        <f t="shared" si="7"/>
        <v>4</v>
      </c>
      <c r="Q11" s="64" t="e">
        <f t="shared" si="8"/>
        <v>#VALUE!</v>
      </c>
      <c r="R11" s="64" t="e">
        <f t="shared" si="9"/>
        <v>#VALUE!</v>
      </c>
      <c r="S11" s="64" t="str">
        <f>IFERROR(VLOOKUP(MID(N11,Q11,R11-Q11),[6]skilldef!$C:$D,2,FALSE),"-") &amp; " / " &amp; IFERROR(VLOOKUP(MID(N11,O11,P11-O11),[6]skilldef!$A:$B,2,FALSE),"-")</f>
        <v>- / -</v>
      </c>
      <c r="T11" s="48" t="str">
        <f t="shared" si="10"/>
        <v>none</v>
      </c>
      <c r="U11" s="64" t="e">
        <f t="shared" si="11"/>
        <v>#VALUE!</v>
      </c>
      <c r="V11" s="64">
        <f t="shared" si="12"/>
        <v>4</v>
      </c>
      <c r="W11" s="64" t="e">
        <f t="shared" si="13"/>
        <v>#VALUE!</v>
      </c>
      <c r="X11" s="64" t="e">
        <f t="shared" si="14"/>
        <v>#VALUE!</v>
      </c>
      <c r="Y11" s="64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47">
        <v>41014030</v>
      </c>
      <c r="B12" s="47" t="s">
        <v>276</v>
      </c>
      <c r="C12" s="50">
        <v>3</v>
      </c>
      <c r="D12" s="50" t="s">
        <v>274</v>
      </c>
      <c r="E12" s="51" t="s">
        <v>277</v>
      </c>
      <c r="F12" s="51" t="s">
        <v>329</v>
      </c>
      <c r="G12" s="64" t="str">
        <f t="shared" si="0"/>
        <v>[effect:heal, target:enemy_all, val:0.3, animation:enemy_heal]</v>
      </c>
      <c r="H12" s="64">
        <f t="shared" si="1"/>
        <v>9</v>
      </c>
      <c r="I12" s="64">
        <f t="shared" si="2"/>
        <v>13</v>
      </c>
      <c r="J12" s="64">
        <f t="shared" si="3"/>
        <v>22</v>
      </c>
      <c r="K12" s="64">
        <f t="shared" si="4"/>
        <v>31</v>
      </c>
      <c r="L12" s="64" t="str">
        <f>IFERROR(VLOOKUP(MID(G12,J12,K12-J12),[6]skilldef!$C:$D,2,FALSE),"-") &amp; " / " &amp; IFERROR(VLOOKUP(MID(G12,H12,I12-H12),[6]skilldef!$A:$B,2,FALSE),"-")</f>
        <v>敵全体に / 回復</v>
      </c>
      <c r="M12" s="64" t="str">
        <f t="shared" si="5"/>
        <v>none</v>
      </c>
      <c r="N12" s="48" t="str">
        <f>IFERROR(LEFT(M12,FIND("],",M12)+#REF!),M12)</f>
        <v>none</v>
      </c>
      <c r="O12" s="64" t="e">
        <f t="shared" si="6"/>
        <v>#VALUE!</v>
      </c>
      <c r="P12" s="64">
        <f t="shared" si="7"/>
        <v>4</v>
      </c>
      <c r="Q12" s="64" t="e">
        <f t="shared" si="8"/>
        <v>#VALUE!</v>
      </c>
      <c r="R12" s="64" t="e">
        <f t="shared" si="9"/>
        <v>#VALUE!</v>
      </c>
      <c r="S12" s="64" t="str">
        <f>IFERROR(VLOOKUP(MID(N12,Q12,R12-Q12),[6]skilldef!$C:$D,2,FALSE),"-") &amp; " / " &amp; IFERROR(VLOOKUP(MID(N12,O12,P12-O12),[6]skilldef!$A:$B,2,FALSE),"-")</f>
        <v>- / -</v>
      </c>
      <c r="T12" s="48" t="str">
        <f t="shared" si="10"/>
        <v>none</v>
      </c>
      <c r="U12" s="64" t="e">
        <f t="shared" si="11"/>
        <v>#VALUE!</v>
      </c>
      <c r="V12" s="64">
        <f t="shared" si="12"/>
        <v>4</v>
      </c>
      <c r="W12" s="64" t="e">
        <f t="shared" si="13"/>
        <v>#VALUE!</v>
      </c>
      <c r="X12" s="64" t="e">
        <f t="shared" si="14"/>
        <v>#VALUE!</v>
      </c>
      <c r="Y12" s="64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47">
        <v>41014035</v>
      </c>
      <c r="B13" s="47" t="s">
        <v>278</v>
      </c>
      <c r="C13" s="50">
        <v>3</v>
      </c>
      <c r="D13" s="50" t="s">
        <v>258</v>
      </c>
      <c r="E13" s="51" t="s">
        <v>279</v>
      </c>
      <c r="F13" s="51" t="s">
        <v>280</v>
      </c>
      <c r="G13" s="64" t="str">
        <f t="shared" ref="G13:G27" si="15">IFERROR(LEFT(B13,FIND("],",B13)),B13)</f>
        <v>[effect:tolerance, target:myself, turn:-1, tolerance_effect:sleep, count:-1]</v>
      </c>
      <c r="H13" s="64">
        <f t="shared" ref="H13:H27" si="16">FIND("effect:",G13)+7</f>
        <v>9</v>
      </c>
      <c r="I13" s="64">
        <f t="shared" ref="I13:I27" si="17">IFERROR(FIND(",",G13),LEN(G13))</f>
        <v>18</v>
      </c>
      <c r="J13" s="64">
        <f t="shared" ref="J13:J27" si="18">FIND("target:",G13)+7</f>
        <v>27</v>
      </c>
      <c r="K13" s="64">
        <f t="shared" ref="K13:K27" si="19">FIND(",",G13,I13+1)</f>
        <v>33</v>
      </c>
      <c r="L13" s="64" t="str">
        <f>IFERROR(VLOOKUP(MID(G13,J13,K13-J13),[6]skilldef!$C:$D,2,FALSE),"-") &amp; " / " &amp; IFERROR(VLOOKUP(MID(G13,H13,I13-H13),[6]skilldef!$A:$B,2,FALSE),"-")</f>
        <v>自分自身に / 状態異常耐性</v>
      </c>
      <c r="M13" s="64" t="str">
        <f t="shared" ref="M13:M27" si="20">IFERROR(RIGHT(B13,LEN(B13)-FIND("],",B13)-1),"none")</f>
        <v>[effect:tolerance, target:myself, turn:-1, tolerance_effect:virus, count:-1],[effect:tolerance, target:myself, turn:-1, tolerance_effect:hungup, count:-1, animation:enemy_tolerance]</v>
      </c>
      <c r="N13" s="48" t="str">
        <f t="shared" ref="N13:N22" si="21">IFERROR(LEFT(M13,FIND("],",M13)+S18),M13)</f>
        <v>[effect:tolerance, target:myself, turn:-1, tolerance_effect:virus, count:-1],[effect:tolerance, target:myself, turn:-1, tolerance_effect:hungup, count:-1, animation:enemy_tolerance]</v>
      </c>
      <c r="O13" s="64">
        <f t="shared" ref="O13:O27" si="22">FIND("effect:",N13)+7</f>
        <v>9</v>
      </c>
      <c r="P13" s="64">
        <f t="shared" ref="P13:P27" si="23">IFERROR(FIND(",",N13),LEN(N13))</f>
        <v>18</v>
      </c>
      <c r="Q13" s="64">
        <f t="shared" ref="Q13:Q27" si="24">FIND("target:",N13)+7</f>
        <v>27</v>
      </c>
      <c r="R13" s="64">
        <f t="shared" ref="R13:R27" si="25">FIND(",",N13,P13+1)</f>
        <v>33</v>
      </c>
      <c r="S13" s="64" t="str">
        <f>IFERROR(VLOOKUP(MID(N13,Q13,R13-Q13),[6]skilldef!$C:$D,2,FALSE),"-") &amp; " / " &amp; IFERROR(VLOOKUP(MID(N13,O13,P13-O13),[6]skilldef!$A:$B,2,FALSE),"-")</f>
        <v>自分自身に / 状態異常耐性</v>
      </c>
      <c r="T13" s="48" t="str">
        <f t="shared" ref="T13:T27" si="26">IFERROR(RIGHT(M13,LEN(M13)-FIND("],",M13)-1),"none")</f>
        <v>[effect:tolerance, target:myself, turn:-1, tolerance_effect:hungup, count:-1, animation:enemy_tolerance]</v>
      </c>
      <c r="U13" s="64">
        <f t="shared" ref="U13:U27" si="27">FIND("effect:",T13)+7</f>
        <v>9</v>
      </c>
      <c r="V13" s="64">
        <f t="shared" ref="V13:V27" si="28">IFERROR(FIND(",",T13),LEN(T13))</f>
        <v>18</v>
      </c>
      <c r="W13" s="64">
        <f t="shared" ref="W13:W27" si="29">FIND("target:",T13)+7</f>
        <v>27</v>
      </c>
      <c r="X13" s="64">
        <f t="shared" ref="X13:X27" si="30">FIND(",",T13,V13+1)</f>
        <v>33</v>
      </c>
      <c r="Y13" s="64" t="str">
        <f>IFERROR(VLOOKUP(MID(T13,W13,X13-W13),[6]skilldef!$C:$D,2,FALSE),"-") &amp; " / " &amp; IFERROR(VLOOKUP(MID(T13,U13,V13-U13),[6]skilldef!$A:$B,2,FALSE),"-")</f>
        <v>自分自身に / 状態異常耐性</v>
      </c>
      <c r="Z13" s="50"/>
      <c r="AA13" s="52"/>
      <c r="AB13" s="50"/>
    </row>
    <row r="14" spans="1:28" ht="21" customHeight="1" x14ac:dyDescent="0.15">
      <c r="A14" s="47">
        <v>41014036</v>
      </c>
      <c r="B14" s="47" t="s">
        <v>281</v>
      </c>
      <c r="C14" s="50">
        <v>3</v>
      </c>
      <c r="D14" s="50" t="s">
        <v>258</v>
      </c>
      <c r="E14" s="51" t="s">
        <v>282</v>
      </c>
      <c r="F14" s="51" t="s">
        <v>330</v>
      </c>
      <c r="G14" s="64" t="str">
        <f t="shared" si="15"/>
        <v>[effect:rush, count:3, val:0.4]</v>
      </c>
      <c r="H14" s="64">
        <f t="shared" si="16"/>
        <v>9</v>
      </c>
      <c r="I14" s="64">
        <f t="shared" si="17"/>
        <v>13</v>
      </c>
      <c r="J14" s="64" t="e">
        <f t="shared" si="18"/>
        <v>#VALUE!</v>
      </c>
      <c r="K14" s="64">
        <f t="shared" si="19"/>
        <v>22</v>
      </c>
      <c r="L14" s="64" t="str">
        <f>IFERROR(VLOOKUP(MID(G14,J14,K14-J14),[6]skilldef!$C:$D,2,FALSE),"-") &amp; " / " &amp; IFERROR(VLOOKUP(MID(G14,H14,I14-H14),[6]skilldef!$A:$B,2,FALSE),"-")</f>
        <v>- / 連続攻撃</v>
      </c>
      <c r="M14" s="64" t="str">
        <f t="shared" si="20"/>
        <v>none</v>
      </c>
      <c r="N14" s="48" t="str">
        <f t="shared" si="21"/>
        <v>none</v>
      </c>
      <c r="O14" s="64" t="e">
        <f t="shared" si="22"/>
        <v>#VALUE!</v>
      </c>
      <c r="P14" s="64">
        <f t="shared" si="23"/>
        <v>4</v>
      </c>
      <c r="Q14" s="64" t="e">
        <f t="shared" si="24"/>
        <v>#VALUE!</v>
      </c>
      <c r="R14" s="64" t="e">
        <f t="shared" si="25"/>
        <v>#VALUE!</v>
      </c>
      <c r="S14" s="64" t="str">
        <f>IFERROR(VLOOKUP(MID(N14,Q14,R14-Q14),[6]skilldef!$C:$D,2,FALSE),"-") &amp; " / " &amp; IFERROR(VLOOKUP(MID(N14,O14,P14-O14),[6]skilldef!$A:$B,2,FALSE),"-")</f>
        <v>- / -</v>
      </c>
      <c r="T14" s="48" t="str">
        <f t="shared" si="26"/>
        <v>none</v>
      </c>
      <c r="U14" s="64" t="e">
        <f t="shared" si="27"/>
        <v>#VALUE!</v>
      </c>
      <c r="V14" s="64">
        <f t="shared" si="28"/>
        <v>4</v>
      </c>
      <c r="W14" s="64" t="e">
        <f t="shared" si="29"/>
        <v>#VALUE!</v>
      </c>
      <c r="X14" s="64" t="e">
        <f t="shared" si="30"/>
        <v>#VALUE!</v>
      </c>
      <c r="Y14" s="64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47">
        <v>41014037</v>
      </c>
      <c r="B15" s="47" t="s">
        <v>283</v>
      </c>
      <c r="C15" s="50">
        <v>3</v>
      </c>
      <c r="D15" s="50" t="s">
        <v>284</v>
      </c>
      <c r="E15" s="51" t="s">
        <v>285</v>
      </c>
      <c r="F15" s="51" t="s">
        <v>327</v>
      </c>
      <c r="G15" s="64" t="str">
        <f t="shared" si="15"/>
        <v>[effect:critical, val:1.5]</v>
      </c>
      <c r="H15" s="64">
        <f t="shared" si="16"/>
        <v>9</v>
      </c>
      <c r="I15" s="64">
        <f t="shared" si="17"/>
        <v>17</v>
      </c>
      <c r="J15" s="64" t="e">
        <f t="shared" si="18"/>
        <v>#VALUE!</v>
      </c>
      <c r="K15" s="64" t="e">
        <f t="shared" si="19"/>
        <v>#VALUE!</v>
      </c>
      <c r="L15" s="64" t="str">
        <f>IFERROR(VLOOKUP(MID(G15,J15,K15-J15),[6]skilldef!$C:$D,2,FALSE),"-") &amp; " / " &amp; IFERROR(VLOOKUP(MID(G15,H15,I15-H15),[6]skilldef!$A:$B,2,FALSE),"-")</f>
        <v>- / 大攻撃</v>
      </c>
      <c r="M15" s="64" t="str">
        <f t="shared" si="20"/>
        <v>none</v>
      </c>
      <c r="N15" s="48" t="str">
        <f t="shared" si="21"/>
        <v>none</v>
      </c>
      <c r="O15" s="64" t="e">
        <f t="shared" si="22"/>
        <v>#VALUE!</v>
      </c>
      <c r="P15" s="64">
        <f t="shared" si="23"/>
        <v>4</v>
      </c>
      <c r="Q15" s="64" t="e">
        <f t="shared" si="24"/>
        <v>#VALUE!</v>
      </c>
      <c r="R15" s="64" t="e">
        <f t="shared" si="25"/>
        <v>#VALUE!</v>
      </c>
      <c r="S15" s="64" t="str">
        <f>IFERROR(VLOOKUP(MID(N15,Q15,R15-Q15),[6]skilldef!$C:$D,2,FALSE),"-") &amp; " / " &amp; IFERROR(VLOOKUP(MID(N15,O15,P15-O15),[6]skilldef!$A:$B,2,FALSE),"-")</f>
        <v>- / -</v>
      </c>
      <c r="T15" s="48" t="str">
        <f t="shared" si="26"/>
        <v>none</v>
      </c>
      <c r="U15" s="64" t="e">
        <f t="shared" si="27"/>
        <v>#VALUE!</v>
      </c>
      <c r="V15" s="64">
        <f t="shared" si="28"/>
        <v>4</v>
      </c>
      <c r="W15" s="64" t="e">
        <f t="shared" si="29"/>
        <v>#VALUE!</v>
      </c>
      <c r="X15" s="64" t="e">
        <f t="shared" si="30"/>
        <v>#VALUE!</v>
      </c>
      <c r="Y15" s="64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47">
        <v>41014038</v>
      </c>
      <c r="B16" s="47" t="s">
        <v>286</v>
      </c>
      <c r="C16" s="50">
        <v>3</v>
      </c>
      <c r="D16" s="50" t="s">
        <v>284</v>
      </c>
      <c r="E16" s="51" t="s">
        <v>287</v>
      </c>
      <c r="F16" s="51" t="s">
        <v>288</v>
      </c>
      <c r="G16" s="64" t="str">
        <f t="shared" si="15"/>
        <v>[effect:damage_anti_color, target:unit_all, color:blue, val1:0.4, val2:0.1]</v>
      </c>
      <c r="H16" s="64">
        <f t="shared" si="16"/>
        <v>9</v>
      </c>
      <c r="I16" s="64">
        <f t="shared" si="17"/>
        <v>26</v>
      </c>
      <c r="J16" s="64">
        <f t="shared" si="18"/>
        <v>35</v>
      </c>
      <c r="K16" s="64">
        <f t="shared" si="19"/>
        <v>43</v>
      </c>
      <c r="L16" s="64" t="str">
        <f>IFERROR(VLOOKUP(MID(G16,J16,K16-J16),[6]skilldef!$C:$D,2,FALSE),"-") &amp; " / " &amp; IFERROR(VLOOKUP(MID(G16,H16,I16-H16),[6]skilldef!$A:$B,2,FALSE),"-")</f>
        <v>味方全体に / 属性キラー</v>
      </c>
      <c r="M16" s="64" t="str">
        <f t="shared" si="20"/>
        <v>none</v>
      </c>
      <c r="N16" s="48" t="str">
        <f t="shared" si="21"/>
        <v>none</v>
      </c>
      <c r="O16" s="64" t="e">
        <f t="shared" si="22"/>
        <v>#VALUE!</v>
      </c>
      <c r="P16" s="64">
        <f t="shared" si="23"/>
        <v>4</v>
      </c>
      <c r="Q16" s="64" t="e">
        <f t="shared" si="24"/>
        <v>#VALUE!</v>
      </c>
      <c r="R16" s="64" t="e">
        <f t="shared" si="25"/>
        <v>#VALUE!</v>
      </c>
      <c r="S16" s="64" t="str">
        <f>IFERROR(VLOOKUP(MID(N16,Q16,R16-Q16),[6]skilldef!$C:$D,2,FALSE),"-") &amp; " / " &amp; IFERROR(VLOOKUP(MID(N16,O16,P16-O16),[6]skilldef!$A:$B,2,FALSE),"-")</f>
        <v>- / -</v>
      </c>
      <c r="T16" s="48" t="str">
        <f t="shared" si="26"/>
        <v>none</v>
      </c>
      <c r="U16" s="64" t="e">
        <f t="shared" si="27"/>
        <v>#VALUE!</v>
      </c>
      <c r="V16" s="64">
        <f t="shared" si="28"/>
        <v>4</v>
      </c>
      <c r="W16" s="64" t="e">
        <f t="shared" si="29"/>
        <v>#VALUE!</v>
      </c>
      <c r="X16" s="64" t="e">
        <f t="shared" si="30"/>
        <v>#VALUE!</v>
      </c>
      <c r="Y16" s="64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47">
        <v>41014039</v>
      </c>
      <c r="B17" s="47" t="s">
        <v>297</v>
      </c>
      <c r="C17" s="50">
        <v>3</v>
      </c>
      <c r="D17" s="50" t="s">
        <v>126</v>
      </c>
      <c r="E17" s="51" t="s">
        <v>298</v>
      </c>
      <c r="F17" s="51" t="s">
        <v>332</v>
      </c>
      <c r="G17" s="64" t="str">
        <f t="shared" si="15"/>
        <v>[effect:panel_freeze, target:block_all, color:block_yellow, count:-1, break_count:1]</v>
      </c>
      <c r="H17" s="64">
        <f t="shared" si="16"/>
        <v>9</v>
      </c>
      <c r="I17" s="64">
        <f t="shared" si="17"/>
        <v>21</v>
      </c>
      <c r="J17" s="64">
        <f t="shared" si="18"/>
        <v>30</v>
      </c>
      <c r="K17" s="64">
        <f t="shared" si="19"/>
        <v>39</v>
      </c>
      <c r="L17" s="64" t="str">
        <f>IFERROR(VLOOKUP(MID(G17,J17,K17-J17),[6]skilldef!$C:$D,2,FALSE),"-") &amp; " / " &amp; IFERROR(VLOOKUP(MID(G17,H17,I17-H17),[6]skilldef!$A:$B,2,FALSE),"-")</f>
        <v>- / -</v>
      </c>
      <c r="M17" s="64" t="str">
        <f t="shared" si="20"/>
        <v>none</v>
      </c>
      <c r="N17" s="48" t="str">
        <f t="shared" si="21"/>
        <v>none</v>
      </c>
      <c r="O17" s="64" t="e">
        <f t="shared" si="22"/>
        <v>#VALUE!</v>
      </c>
      <c r="P17" s="64">
        <f t="shared" si="23"/>
        <v>4</v>
      </c>
      <c r="Q17" s="64" t="e">
        <f t="shared" si="24"/>
        <v>#VALUE!</v>
      </c>
      <c r="R17" s="64" t="e">
        <f t="shared" si="25"/>
        <v>#VALUE!</v>
      </c>
      <c r="S17" s="64" t="str">
        <f>IFERROR(VLOOKUP(MID(N17,Q17,R17-Q17),[6]skilldef!$C:$D,2,FALSE),"-") &amp; " / " &amp; IFERROR(VLOOKUP(MID(N17,O17,P17-O17),[6]skilldef!$A:$B,2,FALSE),"-")</f>
        <v>- / -</v>
      </c>
      <c r="T17" s="48" t="str">
        <f t="shared" si="26"/>
        <v>none</v>
      </c>
      <c r="U17" s="64" t="e">
        <f t="shared" si="27"/>
        <v>#VALUE!</v>
      </c>
      <c r="V17" s="64">
        <f t="shared" si="28"/>
        <v>4</v>
      </c>
      <c r="W17" s="64" t="e">
        <f t="shared" si="29"/>
        <v>#VALUE!</v>
      </c>
      <c r="X17" s="64" t="e">
        <f t="shared" si="30"/>
        <v>#VALUE!</v>
      </c>
      <c r="Y17" s="64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47">
        <v>41014045</v>
      </c>
      <c r="B18" s="47" t="s">
        <v>278</v>
      </c>
      <c r="C18" s="50">
        <v>3</v>
      </c>
      <c r="D18" s="50" t="s">
        <v>258</v>
      </c>
      <c r="E18" s="51" t="s">
        <v>291</v>
      </c>
      <c r="F18" s="51" t="s">
        <v>280</v>
      </c>
      <c r="G18" s="64" t="str">
        <f t="shared" si="15"/>
        <v>[effect:tolerance, target:myself, turn:-1, tolerance_effect:sleep, count:-1]</v>
      </c>
      <c r="H18" s="64">
        <f t="shared" si="16"/>
        <v>9</v>
      </c>
      <c r="I18" s="64">
        <f t="shared" si="17"/>
        <v>18</v>
      </c>
      <c r="J18" s="64">
        <f t="shared" si="18"/>
        <v>27</v>
      </c>
      <c r="K18" s="64">
        <f t="shared" si="19"/>
        <v>33</v>
      </c>
      <c r="L18" s="64" t="str">
        <f>IFERROR(VLOOKUP(MID(G18,J18,K18-J18),[6]skilldef!$C:$D,2,FALSE),"-") &amp; " / " &amp; IFERROR(VLOOKUP(MID(G18,H18,I18-H18),[6]skilldef!$A:$B,2,FALSE),"-")</f>
        <v>自分自身に / 状態異常耐性</v>
      </c>
      <c r="M18" s="64" t="str">
        <f t="shared" si="20"/>
        <v>[effect:tolerance, target:myself, turn:-1, tolerance_effect:virus, count:-1],[effect:tolerance, target:myself, turn:-1, tolerance_effect:hungup, count:-1, animation:enemy_tolerance]</v>
      </c>
      <c r="N18" s="48" t="str">
        <f t="shared" si="21"/>
        <v>[effect:tolerance, target:myself, turn:-1, tolerance_effect:virus, count:-1],[effect:tolerance, target:myself, turn:-1, tolerance_effect:hungup, count:-1, animation:enemy_tolerance]</v>
      </c>
      <c r="O18" s="64">
        <f t="shared" si="22"/>
        <v>9</v>
      </c>
      <c r="P18" s="64">
        <f t="shared" si="23"/>
        <v>18</v>
      </c>
      <c r="Q18" s="64">
        <f t="shared" si="24"/>
        <v>27</v>
      </c>
      <c r="R18" s="64">
        <f t="shared" si="25"/>
        <v>33</v>
      </c>
      <c r="S18" s="64" t="str">
        <f>IFERROR(VLOOKUP(MID(N18,Q18,R18-Q18),[6]skilldef!$C:$D,2,FALSE),"-") &amp; " / " &amp; IFERROR(VLOOKUP(MID(N18,O18,P18-O18),[6]skilldef!$A:$B,2,FALSE),"-")</f>
        <v>自分自身に / 状態異常耐性</v>
      </c>
      <c r="T18" s="48" t="str">
        <f t="shared" si="26"/>
        <v>[effect:tolerance, target:myself, turn:-1, tolerance_effect:hungup, count:-1, animation:enemy_tolerance]</v>
      </c>
      <c r="U18" s="64">
        <f t="shared" si="27"/>
        <v>9</v>
      </c>
      <c r="V18" s="64">
        <f t="shared" si="28"/>
        <v>18</v>
      </c>
      <c r="W18" s="64">
        <f t="shared" si="29"/>
        <v>27</v>
      </c>
      <c r="X18" s="64">
        <f t="shared" si="30"/>
        <v>33</v>
      </c>
      <c r="Y18" s="64" t="str">
        <f>IFERROR(VLOOKUP(MID(T18,W18,X18-W18),[6]skilldef!$C:$D,2,FALSE),"-") &amp; " / " &amp; IFERROR(VLOOKUP(MID(T18,U18,V18-U18),[6]skilldef!$A:$B,2,FALSE),"-")</f>
        <v>自分自身に / 状態異常耐性</v>
      </c>
      <c r="Z18" s="50"/>
      <c r="AA18" s="52"/>
      <c r="AB18" s="50"/>
    </row>
    <row r="19" spans="1:28" ht="21" customHeight="1" x14ac:dyDescent="0.15">
      <c r="A19" s="47">
        <v>41014046</v>
      </c>
      <c r="B19" s="47" t="s">
        <v>281</v>
      </c>
      <c r="C19" s="50">
        <v>3</v>
      </c>
      <c r="D19" s="50" t="s">
        <v>258</v>
      </c>
      <c r="E19" s="51" t="s">
        <v>282</v>
      </c>
      <c r="F19" s="51" t="s">
        <v>330</v>
      </c>
      <c r="G19" s="64" t="str">
        <f t="shared" si="15"/>
        <v>[effect:rush, count:3, val:0.4]</v>
      </c>
      <c r="H19" s="64">
        <f t="shared" si="16"/>
        <v>9</v>
      </c>
      <c r="I19" s="64">
        <f t="shared" si="17"/>
        <v>13</v>
      </c>
      <c r="J19" s="64" t="e">
        <f t="shared" si="18"/>
        <v>#VALUE!</v>
      </c>
      <c r="K19" s="64">
        <f t="shared" si="19"/>
        <v>22</v>
      </c>
      <c r="L19" s="64" t="str">
        <f>IFERROR(VLOOKUP(MID(G19,J19,K19-J19),[6]skilldef!$C:$D,2,FALSE),"-") &amp; " / " &amp; IFERROR(VLOOKUP(MID(G19,H19,I19-H19),[6]skilldef!$A:$B,2,FALSE),"-")</f>
        <v>- / 連続攻撃</v>
      </c>
      <c r="M19" s="64" t="str">
        <f t="shared" si="20"/>
        <v>none</v>
      </c>
      <c r="N19" s="48" t="str">
        <f t="shared" si="21"/>
        <v>none</v>
      </c>
      <c r="O19" s="64" t="e">
        <f t="shared" si="22"/>
        <v>#VALUE!</v>
      </c>
      <c r="P19" s="64">
        <f t="shared" si="23"/>
        <v>4</v>
      </c>
      <c r="Q19" s="64" t="e">
        <f t="shared" si="24"/>
        <v>#VALUE!</v>
      </c>
      <c r="R19" s="64" t="e">
        <f t="shared" si="25"/>
        <v>#VALUE!</v>
      </c>
      <c r="S19" s="64" t="str">
        <f>IFERROR(VLOOKUP(MID(N19,Q19,R19-Q19),[6]skilldef!$C:$D,2,FALSE),"-") &amp; " / " &amp; IFERROR(VLOOKUP(MID(N19,O19,P19-O19),[6]skilldef!$A:$B,2,FALSE),"-")</f>
        <v>- / -</v>
      </c>
      <c r="T19" s="48" t="str">
        <f t="shared" si="26"/>
        <v>none</v>
      </c>
      <c r="U19" s="64" t="e">
        <f t="shared" si="27"/>
        <v>#VALUE!</v>
      </c>
      <c r="V19" s="64">
        <f t="shared" si="28"/>
        <v>4</v>
      </c>
      <c r="W19" s="64" t="e">
        <f t="shared" si="29"/>
        <v>#VALUE!</v>
      </c>
      <c r="X19" s="64" t="e">
        <f t="shared" si="30"/>
        <v>#VALUE!</v>
      </c>
      <c r="Y19" s="64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47">
        <v>41014047</v>
      </c>
      <c r="B20" s="47" t="s">
        <v>283</v>
      </c>
      <c r="C20" s="50">
        <v>3</v>
      </c>
      <c r="D20" s="50" t="s">
        <v>284</v>
      </c>
      <c r="E20" s="51" t="s">
        <v>285</v>
      </c>
      <c r="F20" s="51" t="s">
        <v>328</v>
      </c>
      <c r="G20" s="64" t="str">
        <f t="shared" si="15"/>
        <v>[effect:critical, val:1.5]</v>
      </c>
      <c r="H20" s="64">
        <f t="shared" si="16"/>
        <v>9</v>
      </c>
      <c r="I20" s="64">
        <f t="shared" si="17"/>
        <v>17</v>
      </c>
      <c r="J20" s="64" t="e">
        <f t="shared" si="18"/>
        <v>#VALUE!</v>
      </c>
      <c r="K20" s="64" t="e">
        <f t="shared" si="19"/>
        <v>#VALUE!</v>
      </c>
      <c r="L20" s="64" t="str">
        <f>IFERROR(VLOOKUP(MID(G20,J20,K20-J20),[6]skilldef!$C:$D,2,FALSE),"-") &amp; " / " &amp; IFERROR(VLOOKUP(MID(G20,H20,I20-H20),[6]skilldef!$A:$B,2,FALSE),"-")</f>
        <v>- / 大攻撃</v>
      </c>
      <c r="M20" s="64" t="str">
        <f t="shared" si="20"/>
        <v>none</v>
      </c>
      <c r="N20" s="48" t="str">
        <f t="shared" si="21"/>
        <v>none</v>
      </c>
      <c r="O20" s="64" t="e">
        <f t="shared" si="22"/>
        <v>#VALUE!</v>
      </c>
      <c r="P20" s="64">
        <f t="shared" si="23"/>
        <v>4</v>
      </c>
      <c r="Q20" s="64" t="e">
        <f t="shared" si="24"/>
        <v>#VALUE!</v>
      </c>
      <c r="R20" s="64" t="e">
        <f t="shared" si="25"/>
        <v>#VALUE!</v>
      </c>
      <c r="S20" s="64" t="str">
        <f>IFERROR(VLOOKUP(MID(N20,Q20,R20-Q20),[6]skilldef!$C:$D,2,FALSE),"-") &amp; " / " &amp; IFERROR(VLOOKUP(MID(N20,O20,P20-O20),[6]skilldef!$A:$B,2,FALSE),"-")</f>
        <v>- / -</v>
      </c>
      <c r="T20" s="48" t="str">
        <f t="shared" si="26"/>
        <v>none</v>
      </c>
      <c r="U20" s="64" t="e">
        <f t="shared" si="27"/>
        <v>#VALUE!</v>
      </c>
      <c r="V20" s="64">
        <f t="shared" si="28"/>
        <v>4</v>
      </c>
      <c r="W20" s="64" t="e">
        <f t="shared" si="29"/>
        <v>#VALUE!</v>
      </c>
      <c r="X20" s="64" t="e">
        <f t="shared" si="30"/>
        <v>#VALUE!</v>
      </c>
      <c r="Y20" s="64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47">
        <v>41014048</v>
      </c>
      <c r="B21" s="47" t="s">
        <v>286</v>
      </c>
      <c r="C21" s="50">
        <v>3</v>
      </c>
      <c r="D21" s="50" t="s">
        <v>284</v>
      </c>
      <c r="E21" s="51" t="s">
        <v>287</v>
      </c>
      <c r="F21" s="51" t="s">
        <v>288</v>
      </c>
      <c r="G21" s="64" t="str">
        <f t="shared" si="15"/>
        <v>[effect:damage_anti_color, target:unit_all, color:blue, val1:0.4, val2:0.1]</v>
      </c>
      <c r="H21" s="64">
        <f t="shared" si="16"/>
        <v>9</v>
      </c>
      <c r="I21" s="64">
        <f t="shared" si="17"/>
        <v>26</v>
      </c>
      <c r="J21" s="64">
        <f t="shared" si="18"/>
        <v>35</v>
      </c>
      <c r="K21" s="64">
        <f t="shared" si="19"/>
        <v>43</v>
      </c>
      <c r="L21" s="64" t="str">
        <f>IFERROR(VLOOKUP(MID(G21,J21,K21-J21),[6]skilldef!$C:$D,2,FALSE),"-") &amp; " / " &amp; IFERROR(VLOOKUP(MID(G21,H21,I21-H21),[6]skilldef!$A:$B,2,FALSE),"-")</f>
        <v>味方全体に / 属性キラー</v>
      </c>
      <c r="M21" s="64" t="str">
        <f t="shared" si="20"/>
        <v>none</v>
      </c>
      <c r="N21" s="48" t="str">
        <f t="shared" si="21"/>
        <v>none</v>
      </c>
      <c r="O21" s="64" t="e">
        <f t="shared" si="22"/>
        <v>#VALUE!</v>
      </c>
      <c r="P21" s="64">
        <f t="shared" si="23"/>
        <v>4</v>
      </c>
      <c r="Q21" s="64" t="e">
        <f t="shared" si="24"/>
        <v>#VALUE!</v>
      </c>
      <c r="R21" s="64" t="e">
        <f t="shared" si="25"/>
        <v>#VALUE!</v>
      </c>
      <c r="S21" s="64" t="str">
        <f>IFERROR(VLOOKUP(MID(N21,Q21,R21-Q21),[6]skilldef!$C:$D,2,FALSE),"-") &amp; " / " &amp; IFERROR(VLOOKUP(MID(N21,O21,P21-O21),[6]skilldef!$A:$B,2,FALSE),"-")</f>
        <v>- / -</v>
      </c>
      <c r="T21" s="48" t="str">
        <f t="shared" si="26"/>
        <v>none</v>
      </c>
      <c r="U21" s="64" t="e">
        <f t="shared" si="27"/>
        <v>#VALUE!</v>
      </c>
      <c r="V21" s="64">
        <f t="shared" si="28"/>
        <v>4</v>
      </c>
      <c r="W21" s="64" t="e">
        <f t="shared" si="29"/>
        <v>#VALUE!</v>
      </c>
      <c r="X21" s="64" t="e">
        <f t="shared" si="30"/>
        <v>#VALUE!</v>
      </c>
      <c r="Y21" s="64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47">
        <v>41014049</v>
      </c>
      <c r="B22" s="47" t="s">
        <v>289</v>
      </c>
      <c r="C22" s="50">
        <v>3</v>
      </c>
      <c r="D22" s="50" t="s">
        <v>284</v>
      </c>
      <c r="E22" s="51" t="s">
        <v>290</v>
      </c>
      <c r="F22" s="51" t="s">
        <v>332</v>
      </c>
      <c r="G22" s="64" t="str">
        <f t="shared" si="15"/>
        <v>[effect:panel_freeze, target:block_all, color:block_yellow, count:-1, break_count:1]</v>
      </c>
      <c r="H22" s="64">
        <f t="shared" si="16"/>
        <v>9</v>
      </c>
      <c r="I22" s="64">
        <f t="shared" si="17"/>
        <v>21</v>
      </c>
      <c r="J22" s="64">
        <f t="shared" si="18"/>
        <v>30</v>
      </c>
      <c r="K22" s="64">
        <f t="shared" si="19"/>
        <v>39</v>
      </c>
      <c r="L22" s="64" t="str">
        <f>IFERROR(VLOOKUP(MID(G22,J22,K22-J22),[6]skilldef!$C:$D,2,FALSE),"-") &amp; " / " &amp; IFERROR(VLOOKUP(MID(G22,H22,I22-H22),[6]skilldef!$A:$B,2,FALSE),"-")</f>
        <v>- / -</v>
      </c>
      <c r="M22" s="64" t="str">
        <f t="shared" si="20"/>
        <v>none</v>
      </c>
      <c r="N22" s="48" t="str">
        <f t="shared" si="21"/>
        <v>none</v>
      </c>
      <c r="O22" s="64" t="e">
        <f t="shared" si="22"/>
        <v>#VALUE!</v>
      </c>
      <c r="P22" s="64">
        <f t="shared" si="23"/>
        <v>4</v>
      </c>
      <c r="Q22" s="64" t="e">
        <f t="shared" si="24"/>
        <v>#VALUE!</v>
      </c>
      <c r="R22" s="64" t="e">
        <f t="shared" si="25"/>
        <v>#VALUE!</v>
      </c>
      <c r="S22" s="64" t="str">
        <f>IFERROR(VLOOKUP(MID(N22,Q22,R22-Q22),[6]skilldef!$C:$D,2,FALSE),"-") &amp; " / " &amp; IFERROR(VLOOKUP(MID(N22,O22,P22-O22),[6]skilldef!$A:$B,2,FALSE),"-")</f>
        <v>- / -</v>
      </c>
      <c r="T22" s="48" t="str">
        <f t="shared" si="26"/>
        <v>none</v>
      </c>
      <c r="U22" s="64" t="e">
        <f t="shared" si="27"/>
        <v>#VALUE!</v>
      </c>
      <c r="V22" s="64">
        <f t="shared" si="28"/>
        <v>4</v>
      </c>
      <c r="W22" s="64" t="e">
        <f t="shared" si="29"/>
        <v>#VALUE!</v>
      </c>
      <c r="X22" s="64" t="e">
        <f t="shared" si="30"/>
        <v>#VALUE!</v>
      </c>
      <c r="Y22" s="64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47">
        <v>41014055</v>
      </c>
      <c r="B23" s="47" t="s">
        <v>312</v>
      </c>
      <c r="C23" s="50">
        <v>3</v>
      </c>
      <c r="D23" s="50" t="s">
        <v>258</v>
      </c>
      <c r="E23" s="51" t="s">
        <v>292</v>
      </c>
      <c r="F23" s="51" t="s">
        <v>335</v>
      </c>
      <c r="G23" s="64" t="str">
        <f t="shared" si="15"/>
        <v>[effect:tolerance, target:myself, turn:-1, tolerance_effect:sleep, count:-1]</v>
      </c>
      <c r="H23" s="64">
        <f t="shared" si="16"/>
        <v>9</v>
      </c>
      <c r="I23" s="64">
        <f t="shared" si="17"/>
        <v>18</v>
      </c>
      <c r="J23" s="64">
        <f t="shared" si="18"/>
        <v>27</v>
      </c>
      <c r="K23" s="64">
        <f t="shared" si="19"/>
        <v>33</v>
      </c>
      <c r="L23" s="64" t="str">
        <f>IFERROR(VLOOKUP(MID(G23,J23,K23-J23),[6]skilldef!$C:$D,2,FALSE),"-") &amp; " / " &amp; IFERROR(VLOOKUP(MID(G23,H23,I23-H23),[6]skilldef!$A:$B,2,FALSE),"-")</f>
        <v>自分自身に / 状態異常耐性</v>
      </c>
      <c r="M23" s="64" t="str">
        <f t="shared" si="20"/>
        <v>[effect:tolerance, target:myself, turn:-1, tolerance_effect:virus, count:-1],[effect:tolerance, target:myself, turn:-1, tolerance_effect:hungup, count:-1, animation:enemy_tolerance],[effect:change_attribute, target:myself, color:red, turn:-1, animation:change_attribute_red]</v>
      </c>
      <c r="N23" s="48" t="str">
        <f>IFERROR(LEFT(M23,FIND("],",M23)+#REF!),M23)</f>
        <v>[effect:tolerance, target:myself, turn:-1, tolerance_effect:virus, count:-1],[effect:tolerance, target:myself, turn:-1, tolerance_effect:hungup, count:-1, animation:enemy_tolerance],[effect:change_attribute, target:myself, color:red, turn:-1, animation:change_attribute_red]</v>
      </c>
      <c r="O23" s="64">
        <f t="shared" si="22"/>
        <v>9</v>
      </c>
      <c r="P23" s="64">
        <f t="shared" si="23"/>
        <v>18</v>
      </c>
      <c r="Q23" s="64">
        <f t="shared" si="24"/>
        <v>27</v>
      </c>
      <c r="R23" s="64">
        <f t="shared" si="25"/>
        <v>33</v>
      </c>
      <c r="S23" s="64" t="str">
        <f>IFERROR(VLOOKUP(MID(N23,Q23,R23-Q23),[6]skilldef!$C:$D,2,FALSE),"-") &amp; " / " &amp; IFERROR(VLOOKUP(MID(N23,O23,P23-O23),[6]skilldef!$A:$B,2,FALSE),"-")</f>
        <v>自分自身に / 状態異常耐性</v>
      </c>
      <c r="T23" s="48" t="str">
        <f t="shared" si="26"/>
        <v>[effect:tolerance, target:myself, turn:-1, tolerance_effect:hungup, count:-1, animation:enemy_tolerance],[effect:change_attribute, target:myself, color:red, turn:-1, animation:change_attribute_red]</v>
      </c>
      <c r="U23" s="64">
        <f t="shared" si="27"/>
        <v>9</v>
      </c>
      <c r="V23" s="64">
        <f t="shared" si="28"/>
        <v>18</v>
      </c>
      <c r="W23" s="64">
        <f t="shared" si="29"/>
        <v>27</v>
      </c>
      <c r="X23" s="64">
        <f t="shared" si="30"/>
        <v>33</v>
      </c>
      <c r="Y23" s="64" t="str">
        <f>IFERROR(VLOOKUP(MID(T23,W23,X23-W23),[6]skilldef!$C:$D,2,FALSE),"-") &amp; " / " &amp; IFERROR(VLOOKUP(MID(T23,U23,V23-U23),[6]skilldef!$A:$B,2,FALSE),"-")</f>
        <v>自分自身に / 状態異常耐性</v>
      </c>
      <c r="Z23" s="50"/>
      <c r="AA23" s="52"/>
      <c r="AB23" s="50"/>
    </row>
    <row r="24" spans="1:28" ht="21" customHeight="1" x14ac:dyDescent="0.15">
      <c r="A24" s="47">
        <v>41014056</v>
      </c>
      <c r="B24" s="47" t="s">
        <v>281</v>
      </c>
      <c r="C24" s="50">
        <v>3</v>
      </c>
      <c r="D24" s="50" t="s">
        <v>258</v>
      </c>
      <c r="E24" s="51" t="s">
        <v>282</v>
      </c>
      <c r="F24" s="51" t="s">
        <v>330</v>
      </c>
      <c r="G24" s="64" t="str">
        <f t="shared" si="15"/>
        <v>[effect:rush, count:3, val:0.4]</v>
      </c>
      <c r="H24" s="64">
        <f t="shared" si="16"/>
        <v>9</v>
      </c>
      <c r="I24" s="64">
        <f t="shared" si="17"/>
        <v>13</v>
      </c>
      <c r="J24" s="64" t="e">
        <f t="shared" si="18"/>
        <v>#VALUE!</v>
      </c>
      <c r="K24" s="64">
        <f t="shared" si="19"/>
        <v>22</v>
      </c>
      <c r="L24" s="64" t="str">
        <f>IFERROR(VLOOKUP(MID(G24,J24,K24-J24),[6]skilldef!$C:$D,2,FALSE),"-") &amp; " / " &amp; IFERROR(VLOOKUP(MID(G24,H24,I24-H24),[6]skilldef!$A:$B,2,FALSE),"-")</f>
        <v>- / 連続攻撃</v>
      </c>
      <c r="M24" s="64" t="str">
        <f t="shared" si="20"/>
        <v>none</v>
      </c>
      <c r="N24" s="48" t="str">
        <f>IFERROR(LEFT(M24,FIND("],",M24)+#REF!),M24)</f>
        <v>none</v>
      </c>
      <c r="O24" s="64" t="e">
        <f t="shared" si="22"/>
        <v>#VALUE!</v>
      </c>
      <c r="P24" s="64">
        <f t="shared" si="23"/>
        <v>4</v>
      </c>
      <c r="Q24" s="64" t="e">
        <f t="shared" si="24"/>
        <v>#VALUE!</v>
      </c>
      <c r="R24" s="64" t="e">
        <f t="shared" si="25"/>
        <v>#VALUE!</v>
      </c>
      <c r="S24" s="64" t="str">
        <f>IFERROR(VLOOKUP(MID(N24,Q24,R24-Q24),[6]skilldef!$C:$D,2,FALSE),"-") &amp; " / " &amp; IFERROR(VLOOKUP(MID(N24,O24,P24-O24),[6]skilldef!$A:$B,2,FALSE),"-")</f>
        <v>- / -</v>
      </c>
      <c r="T24" s="48" t="str">
        <f t="shared" si="26"/>
        <v>none</v>
      </c>
      <c r="U24" s="64" t="e">
        <f t="shared" si="27"/>
        <v>#VALUE!</v>
      </c>
      <c r="V24" s="64">
        <f t="shared" si="28"/>
        <v>4</v>
      </c>
      <c r="W24" s="64" t="e">
        <f t="shared" si="29"/>
        <v>#VALUE!</v>
      </c>
      <c r="X24" s="64" t="e">
        <f t="shared" si="30"/>
        <v>#VALUE!</v>
      </c>
      <c r="Y24" s="64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47">
        <v>41014057</v>
      </c>
      <c r="B25" s="47" t="s">
        <v>283</v>
      </c>
      <c r="C25" s="50">
        <v>3</v>
      </c>
      <c r="D25" s="50" t="s">
        <v>284</v>
      </c>
      <c r="E25" s="51" t="s">
        <v>285</v>
      </c>
      <c r="F25" s="51" t="s">
        <v>325</v>
      </c>
      <c r="G25" s="64" t="str">
        <f t="shared" si="15"/>
        <v>[effect:critical, val:1.5]</v>
      </c>
      <c r="H25" s="64">
        <f t="shared" si="16"/>
        <v>9</v>
      </c>
      <c r="I25" s="64">
        <f t="shared" si="17"/>
        <v>17</v>
      </c>
      <c r="J25" s="64" t="e">
        <f t="shared" si="18"/>
        <v>#VALUE!</v>
      </c>
      <c r="K25" s="64" t="e">
        <f t="shared" si="19"/>
        <v>#VALUE!</v>
      </c>
      <c r="L25" s="64" t="str">
        <f>IFERROR(VLOOKUP(MID(G25,J25,K25-J25),[6]skilldef!$C:$D,2,FALSE),"-") &amp; " / " &amp; IFERROR(VLOOKUP(MID(G25,H25,I25-H25),[6]skilldef!$A:$B,2,FALSE),"-")</f>
        <v>- / 大攻撃</v>
      </c>
      <c r="M25" s="64" t="str">
        <f t="shared" si="20"/>
        <v>none</v>
      </c>
      <c r="N25" s="48" t="str">
        <f>IFERROR(LEFT(M25,FIND("],",M25)+S28),M25)</f>
        <v>none</v>
      </c>
      <c r="O25" s="64" t="e">
        <f t="shared" si="22"/>
        <v>#VALUE!</v>
      </c>
      <c r="P25" s="64">
        <f t="shared" si="23"/>
        <v>4</v>
      </c>
      <c r="Q25" s="64" t="e">
        <f t="shared" si="24"/>
        <v>#VALUE!</v>
      </c>
      <c r="R25" s="64" t="e">
        <f t="shared" si="25"/>
        <v>#VALUE!</v>
      </c>
      <c r="S25" s="64" t="str">
        <f>IFERROR(VLOOKUP(MID(N25,Q25,R25-Q25),[6]skilldef!$C:$D,2,FALSE),"-") &amp; " / " &amp; IFERROR(VLOOKUP(MID(N25,O25,P25-O25),[6]skilldef!$A:$B,2,FALSE),"-")</f>
        <v>- / -</v>
      </c>
      <c r="T25" s="48" t="str">
        <f t="shared" si="26"/>
        <v>none</v>
      </c>
      <c r="U25" s="64" t="e">
        <f t="shared" si="27"/>
        <v>#VALUE!</v>
      </c>
      <c r="V25" s="64">
        <f t="shared" si="28"/>
        <v>4</v>
      </c>
      <c r="W25" s="64" t="e">
        <f t="shared" si="29"/>
        <v>#VALUE!</v>
      </c>
      <c r="X25" s="64" t="e">
        <f t="shared" si="30"/>
        <v>#VALUE!</v>
      </c>
      <c r="Y25" s="64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47">
        <v>41014058</v>
      </c>
      <c r="B26" s="47" t="s">
        <v>311</v>
      </c>
      <c r="C26" s="50">
        <v>3</v>
      </c>
      <c r="D26" s="50" t="s">
        <v>284</v>
      </c>
      <c r="E26" s="51" t="s">
        <v>293</v>
      </c>
      <c r="F26" s="51" t="s">
        <v>294</v>
      </c>
      <c r="G26" s="64" t="str">
        <f t="shared" si="15"/>
        <v>[effect:damage_anti_color, target:unit_all, color:red, val1:0.5, val2:0.2]</v>
      </c>
      <c r="H26" s="64">
        <f t="shared" si="16"/>
        <v>9</v>
      </c>
      <c r="I26" s="64">
        <f t="shared" si="17"/>
        <v>26</v>
      </c>
      <c r="J26" s="64">
        <f t="shared" si="18"/>
        <v>35</v>
      </c>
      <c r="K26" s="64">
        <f t="shared" si="19"/>
        <v>43</v>
      </c>
      <c r="L26" s="64" t="str">
        <f>IFERROR(VLOOKUP(MID(G26,J26,K26-J26),[6]skilldef!$C:$D,2,FALSE),"-") &amp; " / " &amp; IFERROR(VLOOKUP(MID(G26,H26,I26-H26),[6]skilldef!$A:$B,2,FALSE),"-")</f>
        <v>味方全体に / 属性キラー</v>
      </c>
      <c r="M26" s="64" t="str">
        <f t="shared" si="20"/>
        <v>none</v>
      </c>
      <c r="N26" s="48" t="str">
        <f>IFERROR(LEFT(M26,FIND("],",M26)+#REF!),M26)</f>
        <v>none</v>
      </c>
      <c r="O26" s="64" t="e">
        <f t="shared" si="22"/>
        <v>#VALUE!</v>
      </c>
      <c r="P26" s="64">
        <f t="shared" si="23"/>
        <v>4</v>
      </c>
      <c r="Q26" s="64" t="e">
        <f t="shared" si="24"/>
        <v>#VALUE!</v>
      </c>
      <c r="R26" s="64" t="e">
        <f t="shared" si="25"/>
        <v>#VALUE!</v>
      </c>
      <c r="S26" s="64" t="str">
        <f>IFERROR(VLOOKUP(MID(N26,Q26,R26-Q26),[6]skilldef!$C:$D,2,FALSE),"-") &amp; " / " &amp; IFERROR(VLOOKUP(MID(N26,O26,P26-O26),[6]skilldef!$A:$B,2,FALSE),"-")</f>
        <v>- / -</v>
      </c>
      <c r="T26" s="48" t="str">
        <f t="shared" si="26"/>
        <v>none</v>
      </c>
      <c r="U26" s="64" t="e">
        <f t="shared" si="27"/>
        <v>#VALUE!</v>
      </c>
      <c r="V26" s="64">
        <f t="shared" si="28"/>
        <v>4</v>
      </c>
      <c r="W26" s="64" t="e">
        <f t="shared" si="29"/>
        <v>#VALUE!</v>
      </c>
      <c r="X26" s="64" t="e">
        <f t="shared" si="30"/>
        <v>#VALUE!</v>
      </c>
      <c r="Y26" s="64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47">
        <v>41014059</v>
      </c>
      <c r="B27" s="47" t="s">
        <v>295</v>
      </c>
      <c r="C27" s="50">
        <v>3</v>
      </c>
      <c r="D27" s="50" t="s">
        <v>284</v>
      </c>
      <c r="E27" s="51" t="s">
        <v>296</v>
      </c>
      <c r="F27" s="51" t="s">
        <v>333</v>
      </c>
      <c r="G27" s="64" t="str">
        <f t="shared" si="15"/>
        <v>[effect:break_attack, val:0.05, lowest_val:5190, count:0, block:block_yellow, target:unit_one]</v>
      </c>
      <c r="H27" s="64">
        <f t="shared" si="16"/>
        <v>9</v>
      </c>
      <c r="I27" s="64">
        <f t="shared" si="17"/>
        <v>21</v>
      </c>
      <c r="J27" s="64">
        <f t="shared" si="18"/>
        <v>86</v>
      </c>
      <c r="K27" s="64">
        <f t="shared" si="19"/>
        <v>31</v>
      </c>
      <c r="L27" s="64" t="str">
        <f>IFERROR(VLOOKUP(MID(G27,J27,K27-J27),[6]skilldef!$C:$D,2,FALSE),"-") &amp; " / " &amp; IFERROR(VLOOKUP(MID(G27,H27,I27-H27),[6]skilldef!$A:$B,2,FALSE),"-")</f>
        <v>- / -</v>
      </c>
      <c r="M27" s="64" t="str">
        <f t="shared" si="20"/>
        <v>none</v>
      </c>
      <c r="N27" s="48" t="str">
        <f>IFERROR(LEFT(M27,FIND("],",M27)+#REF!),M27)</f>
        <v>none</v>
      </c>
      <c r="O27" s="64" t="e">
        <f t="shared" si="22"/>
        <v>#VALUE!</v>
      </c>
      <c r="P27" s="64">
        <f t="shared" si="23"/>
        <v>4</v>
      </c>
      <c r="Q27" s="64" t="e">
        <f t="shared" si="24"/>
        <v>#VALUE!</v>
      </c>
      <c r="R27" s="64" t="e">
        <f t="shared" si="25"/>
        <v>#VALUE!</v>
      </c>
      <c r="S27" s="64" t="str">
        <f>IFERROR(VLOOKUP(MID(N27,Q27,R27-Q27),[6]skilldef!$C:$D,2,FALSE),"-") &amp; " / " &amp; IFERROR(VLOOKUP(MID(N27,O27,P27-O27),[6]skilldef!$A:$B,2,FALSE),"-")</f>
        <v>- / -</v>
      </c>
      <c r="T27" s="48" t="str">
        <f t="shared" si="26"/>
        <v>none</v>
      </c>
      <c r="U27" s="64" t="e">
        <f t="shared" si="27"/>
        <v>#VALUE!</v>
      </c>
      <c r="V27" s="64">
        <f t="shared" si="28"/>
        <v>4</v>
      </c>
      <c r="W27" s="64" t="e">
        <f t="shared" si="29"/>
        <v>#VALUE!</v>
      </c>
      <c r="X27" s="64" t="e">
        <f t="shared" si="30"/>
        <v>#VALUE!</v>
      </c>
      <c r="Y27" s="64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s="125" customFormat="1" ht="21" customHeight="1" x14ac:dyDescent="0.15">
      <c r="A28" s="114">
        <v>41014064</v>
      </c>
      <c r="B28" s="114" t="s">
        <v>306</v>
      </c>
      <c r="C28" s="115">
        <v>3</v>
      </c>
      <c r="D28" s="115" t="s">
        <v>284</v>
      </c>
      <c r="E28" s="116" t="s">
        <v>287</v>
      </c>
      <c r="F28" s="116" t="s">
        <v>288</v>
      </c>
      <c r="G28" s="116" t="str">
        <f t="shared" ref="G28" si="31">IFERROR(LEFT(B28,FIND("],",B28)),B28)</f>
        <v>[effect:damage_anti_color, target:unit_all, color:blue, val1:0.5, val2:0.25]</v>
      </c>
      <c r="H28" s="116">
        <f t="shared" ref="H28" si="32">FIND("effect:",G28)+7</f>
        <v>9</v>
      </c>
      <c r="I28" s="116">
        <f t="shared" ref="I28" si="33">IFERROR(FIND(",",G28),LEN(G28))</f>
        <v>26</v>
      </c>
      <c r="J28" s="116">
        <f t="shared" ref="J28" si="34">FIND("target:",G28)+7</f>
        <v>35</v>
      </c>
      <c r="K28" s="116">
        <f t="shared" ref="K28" si="35">FIND(",",G28,I28+1)</f>
        <v>43</v>
      </c>
      <c r="L28" s="116" t="str">
        <f>IFERROR(VLOOKUP(MID(G28,J28,K28-J28),[6]skilldef!$C:$D,2,FALSE),"-") &amp; " / " &amp; IFERROR(VLOOKUP(MID(G28,H28,I28-H28),[6]skilldef!$A:$B,2,FALSE),"-")</f>
        <v>味方全体に / 属性キラー</v>
      </c>
      <c r="M28" s="116" t="str">
        <f t="shared" ref="M28" si="36">IFERROR(RIGHT(B28,LEN(B28)-FIND("],",B28)-1),"none")</f>
        <v>none</v>
      </c>
      <c r="N28" s="114" t="str">
        <f>IFERROR(LEFT(M28,FIND("],",M28)+#REF!),M28)</f>
        <v>none</v>
      </c>
      <c r="O28" s="116" t="e">
        <f t="shared" ref="O28" si="37">FIND("effect:",N28)+7</f>
        <v>#VALUE!</v>
      </c>
      <c r="P28" s="116">
        <f t="shared" ref="P28" si="38">IFERROR(FIND(",",N28),LEN(N28))</f>
        <v>4</v>
      </c>
      <c r="Q28" s="116" t="e">
        <f t="shared" ref="Q28" si="39">FIND("target:",N28)+7</f>
        <v>#VALUE!</v>
      </c>
      <c r="R28" s="116" t="e">
        <f t="shared" ref="R28" si="40">FIND(",",N28,P28+1)</f>
        <v>#VALUE!</v>
      </c>
      <c r="S28" s="116" t="str">
        <f>IFERROR(VLOOKUP(MID(N28,Q28,R28-Q28),[6]skilldef!$C:$D,2,FALSE),"-") &amp; " / " &amp; IFERROR(VLOOKUP(MID(N28,O28,P28-O28),[6]skilldef!$A:$B,2,FALSE),"-")</f>
        <v>- / -</v>
      </c>
      <c r="T28" s="114" t="str">
        <f t="shared" ref="T28" si="41">IFERROR(RIGHT(M28,LEN(M28)-FIND("],",M28)-1),"none")</f>
        <v>none</v>
      </c>
      <c r="U28" s="116" t="e">
        <f t="shared" ref="U28" si="42">FIND("effect:",T28)+7</f>
        <v>#VALUE!</v>
      </c>
      <c r="V28" s="116">
        <f t="shared" ref="V28" si="43">IFERROR(FIND(",",T28),LEN(T28))</f>
        <v>4</v>
      </c>
      <c r="W28" s="116" t="e">
        <f t="shared" ref="W28" si="44">FIND("target:",T28)+7</f>
        <v>#VALUE!</v>
      </c>
      <c r="X28" s="116" t="e">
        <f t="shared" ref="X28" si="45">FIND(",",T28,V28+1)</f>
        <v>#VALUE!</v>
      </c>
      <c r="Y28" s="116" t="str">
        <f>IFERROR(VLOOKUP(MID(T28,W28,X28-W28),[6]skilldef!$C:$D,2,FALSE),"-") &amp; " / " &amp; IFERROR(VLOOKUP(MID(T28,U28,V28-U28),[6]skilldef!$A:$B,2,FALSE),"-")</f>
        <v>- / -</v>
      </c>
      <c r="Z28" s="124"/>
      <c r="AA28" s="127"/>
      <c r="AB28" s="124"/>
    </row>
    <row r="29" spans="1:28" s="125" customFormat="1" ht="21" customHeight="1" x14ac:dyDescent="0.15">
      <c r="A29" s="117">
        <v>41014065</v>
      </c>
      <c r="B29" s="117" t="s">
        <v>307</v>
      </c>
      <c r="C29" s="118">
        <v>3</v>
      </c>
      <c r="D29" s="118" t="s">
        <v>258</v>
      </c>
      <c r="E29" s="126" t="s">
        <v>282</v>
      </c>
      <c r="F29" s="126" t="s">
        <v>331</v>
      </c>
      <c r="G29" s="126" t="str">
        <f t="shared" ref="G29:G31" si="46">IFERROR(LEFT(B29,FIND("],",B29)),B29)</f>
        <v>[effect:rush, count:5, val:0.35]</v>
      </c>
      <c r="H29" s="126">
        <f t="shared" ref="H29:H31" si="47">FIND("effect:",G29)+7</f>
        <v>9</v>
      </c>
      <c r="I29" s="126">
        <f t="shared" ref="I29:I31" si="48">IFERROR(FIND(",",G29),LEN(G29))</f>
        <v>13</v>
      </c>
      <c r="J29" s="126" t="e">
        <f t="shared" ref="J29:J31" si="49">FIND("target:",G29)+7</f>
        <v>#VALUE!</v>
      </c>
      <c r="K29" s="126">
        <f t="shared" ref="K29:K31" si="50">FIND(",",G29,I29+1)</f>
        <v>22</v>
      </c>
      <c r="L29" s="126" t="str">
        <f>IFERROR(VLOOKUP(MID(G29,J29,K29-J29),[6]skilldef!$C:$D,2,FALSE),"-") &amp; " / " &amp; IFERROR(VLOOKUP(MID(G29,H29,I29-H29),[6]skilldef!$A:$B,2,FALSE),"-")</f>
        <v>- / 連続攻撃</v>
      </c>
      <c r="M29" s="126" t="str">
        <f t="shared" ref="M29:M31" si="51">IFERROR(RIGHT(B29,LEN(B29)-FIND("],",B29)-1),"none")</f>
        <v>none</v>
      </c>
      <c r="N29" s="117" t="str">
        <f>IFERROR(LEFT(M29,FIND("],",M29)+#REF!),M29)</f>
        <v>none</v>
      </c>
      <c r="O29" s="126" t="e">
        <f t="shared" ref="O29:O31" si="52">FIND("effect:",N29)+7</f>
        <v>#VALUE!</v>
      </c>
      <c r="P29" s="126">
        <f t="shared" ref="P29:P31" si="53">IFERROR(FIND(",",N29),LEN(N29))</f>
        <v>4</v>
      </c>
      <c r="Q29" s="126" t="e">
        <f t="shared" ref="Q29:Q31" si="54">FIND("target:",N29)+7</f>
        <v>#VALUE!</v>
      </c>
      <c r="R29" s="126" t="e">
        <f t="shared" ref="R29:R31" si="55">FIND(",",N29,P29+1)</f>
        <v>#VALUE!</v>
      </c>
      <c r="S29" s="126" t="str">
        <f>IFERROR(VLOOKUP(MID(N29,Q29,R29-Q29),[6]skilldef!$C:$D,2,FALSE),"-") &amp; " / " &amp; IFERROR(VLOOKUP(MID(N29,O29,P29-O29),[6]skilldef!$A:$B,2,FALSE),"-")</f>
        <v>- / -</v>
      </c>
      <c r="T29" s="117" t="str">
        <f t="shared" ref="T29:T31" si="56">IFERROR(RIGHT(M29,LEN(M29)-FIND("],",M29)-1),"none")</f>
        <v>none</v>
      </c>
      <c r="U29" s="126" t="e">
        <f t="shared" ref="U29:U31" si="57">FIND("effect:",T29)+7</f>
        <v>#VALUE!</v>
      </c>
      <c r="V29" s="126">
        <f t="shared" ref="V29:V31" si="58">IFERROR(FIND(",",T29),LEN(T29))</f>
        <v>4</v>
      </c>
      <c r="W29" s="126" t="e">
        <f t="shared" ref="W29:W31" si="59">FIND("target:",T29)+7</f>
        <v>#VALUE!</v>
      </c>
      <c r="X29" s="126" t="e">
        <f t="shared" ref="X29:X31" si="60">FIND(",",T29,V29+1)</f>
        <v>#VALUE!</v>
      </c>
      <c r="Y29" s="126" t="str">
        <f>IFERROR(VLOOKUP(MID(T29,W29,X29-W29),[6]skilldef!$C:$D,2,FALSE),"-") &amp; " / " &amp; IFERROR(VLOOKUP(MID(T29,U29,V29-U29),[6]skilldef!$A:$B,2,FALSE),"-")</f>
        <v>- / -</v>
      </c>
      <c r="Z29" s="124"/>
      <c r="AA29" s="127"/>
      <c r="AB29" s="124"/>
    </row>
    <row r="30" spans="1:28" s="125" customFormat="1" ht="21" customHeight="1" x14ac:dyDescent="0.15">
      <c r="A30" s="117">
        <v>41014066</v>
      </c>
      <c r="B30" s="117" t="s">
        <v>306</v>
      </c>
      <c r="C30" s="118">
        <v>3</v>
      </c>
      <c r="D30" s="118" t="s">
        <v>284</v>
      </c>
      <c r="E30" s="126" t="s">
        <v>287</v>
      </c>
      <c r="F30" s="126" t="s">
        <v>288</v>
      </c>
      <c r="G30" s="126" t="str">
        <f t="shared" si="46"/>
        <v>[effect:damage_anti_color, target:unit_all, color:blue, val1:0.5, val2:0.25]</v>
      </c>
      <c r="H30" s="126">
        <f t="shared" si="47"/>
        <v>9</v>
      </c>
      <c r="I30" s="126">
        <f t="shared" si="48"/>
        <v>26</v>
      </c>
      <c r="J30" s="126">
        <f t="shared" si="49"/>
        <v>35</v>
      </c>
      <c r="K30" s="126">
        <f t="shared" si="50"/>
        <v>43</v>
      </c>
      <c r="L30" s="126" t="str">
        <f>IFERROR(VLOOKUP(MID(G30,J30,K30-J30),[6]skilldef!$C:$D,2,FALSE),"-") &amp; " / " &amp; IFERROR(VLOOKUP(MID(G30,H30,I30-H30),[6]skilldef!$A:$B,2,FALSE),"-")</f>
        <v>味方全体に / 属性キラー</v>
      </c>
      <c r="M30" s="126" t="str">
        <f t="shared" si="51"/>
        <v>none</v>
      </c>
      <c r="N30" s="117" t="str">
        <f>IFERROR(LEFT(M30,FIND("],",M30)+#REF!),M30)</f>
        <v>none</v>
      </c>
      <c r="O30" s="126" t="e">
        <f t="shared" si="52"/>
        <v>#VALUE!</v>
      </c>
      <c r="P30" s="126">
        <f t="shared" si="53"/>
        <v>4</v>
      </c>
      <c r="Q30" s="126" t="e">
        <f t="shared" si="54"/>
        <v>#VALUE!</v>
      </c>
      <c r="R30" s="126" t="e">
        <f t="shared" si="55"/>
        <v>#VALUE!</v>
      </c>
      <c r="S30" s="126" t="str">
        <f>IFERROR(VLOOKUP(MID(N30,Q30,R30-Q30),[6]skilldef!$C:$D,2,FALSE),"-") &amp; " / " &amp; IFERROR(VLOOKUP(MID(N30,O30,P30-O30),[6]skilldef!$A:$B,2,FALSE),"-")</f>
        <v>- / -</v>
      </c>
      <c r="T30" s="117" t="str">
        <f t="shared" si="56"/>
        <v>none</v>
      </c>
      <c r="U30" s="126" t="e">
        <f t="shared" si="57"/>
        <v>#VALUE!</v>
      </c>
      <c r="V30" s="126">
        <f t="shared" si="58"/>
        <v>4</v>
      </c>
      <c r="W30" s="126" t="e">
        <f t="shared" si="59"/>
        <v>#VALUE!</v>
      </c>
      <c r="X30" s="126" t="e">
        <f t="shared" si="60"/>
        <v>#VALUE!</v>
      </c>
      <c r="Y30" s="126" t="str">
        <f>IFERROR(VLOOKUP(MID(T30,W30,X30-W30),[6]skilldef!$C:$D,2,FALSE),"-") &amp; " / " &amp; IFERROR(VLOOKUP(MID(T30,U30,V30-U30),[6]skilldef!$A:$B,2,FALSE),"-")</f>
        <v>- / -</v>
      </c>
      <c r="Z30" s="124"/>
      <c r="AA30" s="127"/>
      <c r="AB30" s="124"/>
    </row>
    <row r="31" spans="1:28" ht="21" customHeight="1" x14ac:dyDescent="0.15">
      <c r="A31" s="129">
        <v>41014067</v>
      </c>
      <c r="B31" s="132" t="s">
        <v>318</v>
      </c>
      <c r="C31" s="130">
        <v>3</v>
      </c>
      <c r="D31" s="130" t="s">
        <v>258</v>
      </c>
      <c r="E31" s="131" t="s">
        <v>308</v>
      </c>
      <c r="F31" s="131" t="s">
        <v>280</v>
      </c>
      <c r="G31" s="131" t="str">
        <f t="shared" si="46"/>
        <v>[effect:tolerance, target:myself, turn:-1, tolerance_effect:sleep, count:-1]</v>
      </c>
      <c r="H31" s="131">
        <f t="shared" si="47"/>
        <v>9</v>
      </c>
      <c r="I31" s="131">
        <f t="shared" si="48"/>
        <v>18</v>
      </c>
      <c r="J31" s="131">
        <f t="shared" si="49"/>
        <v>27</v>
      </c>
      <c r="K31" s="131">
        <f t="shared" si="50"/>
        <v>33</v>
      </c>
      <c r="L31" s="131" t="str">
        <f>IFERROR(VLOOKUP(MID(G31,J31,K31-J31),[6]skilldef!$C:$D,2,FALSE),"-") &amp; " / " &amp; IFERROR(VLOOKUP(MID(G31,H31,I31-H31),[6]skilldef!$A:$B,2,FALSE),"-")</f>
        <v>自分自身に / 状態異常耐性</v>
      </c>
      <c r="M31" s="131" t="str">
        <f t="shared" si="51"/>
        <v>[effect:tolerance, target:myself, turn:-1, tolerance_effect:virus, count:-1],[effect:tolerance, target:myself, turn:-1, tolerance_effect:hungup, count:-1, animation:enemy_tolerance],[effect:enemy_message, val1:2.2, val2:2.0]</v>
      </c>
      <c r="N31" s="129" t="str">
        <f t="shared" ref="N31" si="61">IFERROR(LEFT(M31,FIND("],",M31)+S41),M31)</f>
        <v>[effect:tolerance, target:myself, turn:-1, tolerance_effect:virus, count:-1],[effect:tolerance, target:myself, turn:-1, tolerance_effect:hungup, count:-1, animation:enemy_tolerance],[effect:enemy_message, val1:2.2, val2:2.0]</v>
      </c>
      <c r="O31" s="131">
        <f t="shared" si="52"/>
        <v>9</v>
      </c>
      <c r="P31" s="131">
        <f t="shared" si="53"/>
        <v>18</v>
      </c>
      <c r="Q31" s="131">
        <f t="shared" si="54"/>
        <v>27</v>
      </c>
      <c r="R31" s="131">
        <f t="shared" si="55"/>
        <v>33</v>
      </c>
      <c r="S31" s="131" t="str">
        <f>IFERROR(VLOOKUP(MID(N31,Q31,R31-Q31),[6]skilldef!$C:$D,2,FALSE),"-") &amp; " / " &amp; IFERROR(VLOOKUP(MID(N31,O31,P31-O31),[6]skilldef!$A:$B,2,FALSE),"-")</f>
        <v>自分自身に / 状態異常耐性</v>
      </c>
      <c r="T31" s="129" t="str">
        <f t="shared" si="56"/>
        <v>[effect:tolerance, target:myself, turn:-1, tolerance_effect:hungup, count:-1, animation:enemy_tolerance],[effect:enemy_message, val1:2.2, val2:2.0]</v>
      </c>
      <c r="U31" s="131">
        <f t="shared" si="57"/>
        <v>9</v>
      </c>
      <c r="V31" s="131">
        <f t="shared" si="58"/>
        <v>18</v>
      </c>
      <c r="W31" s="131">
        <f t="shared" si="59"/>
        <v>27</v>
      </c>
      <c r="X31" s="131">
        <f t="shared" si="60"/>
        <v>33</v>
      </c>
      <c r="Y31" s="131" t="str">
        <f>IFERROR(VLOOKUP(MID(T31,W31,X31-W31),[6]skilldef!$C:$D,2,FALSE),"-") &amp; " / " &amp; IFERROR(VLOOKUP(MID(T31,U31,V31-U31),[6]skilldef!$A:$B,2,FALSE),"-")</f>
        <v>自分自身に / 状態異常耐性</v>
      </c>
      <c r="Z31" s="50"/>
      <c r="AA31" s="52"/>
      <c r="AB31" s="50"/>
    </row>
    <row r="32" spans="1:28" ht="21" customHeight="1" x14ac:dyDescent="0.15">
      <c r="A32" s="129">
        <v>41014068</v>
      </c>
      <c r="B32" s="132" t="s">
        <v>318</v>
      </c>
      <c r="C32" s="130">
        <v>3</v>
      </c>
      <c r="D32" s="130" t="s">
        <v>258</v>
      </c>
      <c r="E32" s="131" t="s">
        <v>308</v>
      </c>
      <c r="F32" s="131" t="s">
        <v>280</v>
      </c>
      <c r="G32" s="131" t="str">
        <f t="shared" ref="G32:G34" si="62">IFERROR(LEFT(B32,FIND("],",B32)),B32)</f>
        <v>[effect:tolerance, target:myself, turn:-1, tolerance_effect:sleep, count:-1]</v>
      </c>
      <c r="H32" s="131">
        <f t="shared" ref="H32:H34" si="63">FIND("effect:",G32)+7</f>
        <v>9</v>
      </c>
      <c r="I32" s="131">
        <f t="shared" ref="I32:I34" si="64">IFERROR(FIND(",",G32),LEN(G32))</f>
        <v>18</v>
      </c>
      <c r="J32" s="131">
        <f t="shared" ref="J32:J34" si="65">FIND("target:",G32)+7</f>
        <v>27</v>
      </c>
      <c r="K32" s="131">
        <f t="shared" ref="K32:K34" si="66">FIND(",",G32,I32+1)</f>
        <v>33</v>
      </c>
      <c r="L32" s="131" t="str">
        <f>IFERROR(VLOOKUP(MID(G32,J32,K32-J32),[6]skilldef!$C:$D,2,FALSE),"-") &amp; " / " &amp; IFERROR(VLOOKUP(MID(G32,H32,I32-H32),[6]skilldef!$A:$B,2,FALSE),"-")</f>
        <v>自分自身に / 状態異常耐性</v>
      </c>
      <c r="M32" s="131" t="str">
        <f t="shared" ref="M32:M34" si="67">IFERROR(RIGHT(B32,LEN(B32)-FIND("],",B32)-1),"none")</f>
        <v>[effect:tolerance, target:myself, turn:-1, tolerance_effect:virus, count:-1],[effect:tolerance, target:myself, turn:-1, tolerance_effect:hungup, count:-1, animation:enemy_tolerance],[effect:enemy_message, val1:2.2, val2:2.0]</v>
      </c>
      <c r="N32" s="129" t="str">
        <f t="shared" ref="N32:N34" si="68">IFERROR(LEFT(M32,FIND("],",M32)+S42),M32)</f>
        <v>[effect:tolerance, target:myself, turn:-1, tolerance_effect:virus, count:-1],[effect:tolerance, target:myself, turn:-1, tolerance_effect:hungup, count:-1, animation:enemy_tolerance],[effect:enemy_message, val1:2.2, val2:2.0]</v>
      </c>
      <c r="O32" s="131">
        <f t="shared" ref="O32:O34" si="69">FIND("effect:",N32)+7</f>
        <v>9</v>
      </c>
      <c r="P32" s="131">
        <f t="shared" ref="P32:P34" si="70">IFERROR(FIND(",",N32),LEN(N32))</f>
        <v>18</v>
      </c>
      <c r="Q32" s="131">
        <f t="shared" ref="Q32:Q34" si="71">FIND("target:",N32)+7</f>
        <v>27</v>
      </c>
      <c r="R32" s="131">
        <f t="shared" ref="R32:R34" si="72">FIND(",",N32,P32+1)</f>
        <v>33</v>
      </c>
      <c r="S32" s="131" t="str">
        <f>IFERROR(VLOOKUP(MID(N32,Q32,R32-Q32),[6]skilldef!$C:$D,2,FALSE),"-") &amp; " / " &amp; IFERROR(VLOOKUP(MID(N32,O32,P32-O32),[6]skilldef!$A:$B,2,FALSE),"-")</f>
        <v>自分自身に / 状態異常耐性</v>
      </c>
      <c r="T32" s="129" t="str">
        <f t="shared" ref="T32:T34" si="73">IFERROR(RIGHT(M32,LEN(M32)-FIND("],",M32)-1),"none")</f>
        <v>[effect:tolerance, target:myself, turn:-1, tolerance_effect:hungup, count:-1, animation:enemy_tolerance],[effect:enemy_message, val1:2.2, val2:2.0]</v>
      </c>
      <c r="U32" s="131">
        <f t="shared" ref="U32:U34" si="74">FIND("effect:",T32)+7</f>
        <v>9</v>
      </c>
      <c r="V32" s="131">
        <f t="shared" ref="V32:V34" si="75">IFERROR(FIND(",",T32),LEN(T32))</f>
        <v>18</v>
      </c>
      <c r="W32" s="131">
        <f t="shared" ref="W32:W34" si="76">FIND("target:",T32)+7</f>
        <v>27</v>
      </c>
      <c r="X32" s="131">
        <f t="shared" ref="X32:X34" si="77">FIND(",",T32,V32+1)</f>
        <v>33</v>
      </c>
      <c r="Y32" s="131" t="str">
        <f>IFERROR(VLOOKUP(MID(T32,W32,X32-W32),[6]skilldef!$C:$D,2,FALSE),"-") &amp; " / " &amp; IFERROR(VLOOKUP(MID(T32,U32,V32-U32),[6]skilldef!$A:$B,2,FALSE),"-")</f>
        <v>自分自身に / 状態異常耐性</v>
      </c>
      <c r="Z32" s="50"/>
      <c r="AA32" s="52"/>
      <c r="AB32" s="50"/>
    </row>
    <row r="33" spans="1:28" ht="21" customHeight="1" x14ac:dyDescent="0.15">
      <c r="A33" s="129">
        <v>41014069</v>
      </c>
      <c r="B33" s="132" t="s">
        <v>318</v>
      </c>
      <c r="C33" s="130">
        <v>3</v>
      </c>
      <c r="D33" s="130" t="s">
        <v>258</v>
      </c>
      <c r="E33" s="131" t="s">
        <v>308</v>
      </c>
      <c r="F33" s="131" t="s">
        <v>280</v>
      </c>
      <c r="G33" s="131" t="str">
        <f t="shared" si="62"/>
        <v>[effect:tolerance, target:myself, turn:-1, tolerance_effect:sleep, count:-1]</v>
      </c>
      <c r="H33" s="131">
        <f t="shared" si="63"/>
        <v>9</v>
      </c>
      <c r="I33" s="131">
        <f t="shared" si="64"/>
        <v>18</v>
      </c>
      <c r="J33" s="131">
        <f t="shared" si="65"/>
        <v>27</v>
      </c>
      <c r="K33" s="131">
        <f t="shared" si="66"/>
        <v>33</v>
      </c>
      <c r="L33" s="131" t="str">
        <f>IFERROR(VLOOKUP(MID(G33,J33,K33-J33),[6]skilldef!$C:$D,2,FALSE),"-") &amp; " / " &amp; IFERROR(VLOOKUP(MID(G33,H33,I33-H33),[6]skilldef!$A:$B,2,FALSE),"-")</f>
        <v>自分自身に / 状態異常耐性</v>
      </c>
      <c r="M33" s="131" t="str">
        <f t="shared" si="67"/>
        <v>[effect:tolerance, target:myself, turn:-1, tolerance_effect:virus, count:-1],[effect:tolerance, target:myself, turn:-1, tolerance_effect:hungup, count:-1, animation:enemy_tolerance],[effect:enemy_message, val1:2.2, val2:2.0]</v>
      </c>
      <c r="N33" s="129" t="str">
        <f t="shared" si="68"/>
        <v>[effect:tolerance, target:myself, turn:-1, tolerance_effect:virus, count:-1]</v>
      </c>
      <c r="O33" s="131">
        <f t="shared" si="69"/>
        <v>9</v>
      </c>
      <c r="P33" s="131">
        <f t="shared" si="70"/>
        <v>18</v>
      </c>
      <c r="Q33" s="131">
        <f t="shared" si="71"/>
        <v>27</v>
      </c>
      <c r="R33" s="131">
        <f t="shared" si="72"/>
        <v>33</v>
      </c>
      <c r="S33" s="131" t="str">
        <f>IFERROR(VLOOKUP(MID(N33,Q33,R33-Q33),[6]skilldef!$C:$D,2,FALSE),"-") &amp; " / " &amp; IFERROR(VLOOKUP(MID(N33,O33,P33-O33),[6]skilldef!$A:$B,2,FALSE),"-")</f>
        <v>自分自身に / 状態異常耐性</v>
      </c>
      <c r="T33" s="129" t="str">
        <f t="shared" si="73"/>
        <v>[effect:tolerance, target:myself, turn:-1, tolerance_effect:hungup, count:-1, animation:enemy_tolerance],[effect:enemy_message, val1:2.2, val2:2.0]</v>
      </c>
      <c r="U33" s="131">
        <f t="shared" si="74"/>
        <v>9</v>
      </c>
      <c r="V33" s="131">
        <f t="shared" si="75"/>
        <v>18</v>
      </c>
      <c r="W33" s="131">
        <f t="shared" si="76"/>
        <v>27</v>
      </c>
      <c r="X33" s="131">
        <f t="shared" si="77"/>
        <v>33</v>
      </c>
      <c r="Y33" s="131" t="str">
        <f>IFERROR(VLOOKUP(MID(T33,W33,X33-W33),[6]skilldef!$C:$D,2,FALSE),"-") &amp; " / " &amp; IFERROR(VLOOKUP(MID(T33,U33,V33-U33),[6]skilldef!$A:$B,2,FALSE),"-")</f>
        <v>自分自身に / 状態異常耐性</v>
      </c>
      <c r="Z33" s="50"/>
      <c r="AA33" s="52"/>
      <c r="AB33" s="50"/>
    </row>
    <row r="34" spans="1:28" ht="21" customHeight="1" x14ac:dyDescent="0.15">
      <c r="A34" s="129">
        <v>41014070</v>
      </c>
      <c r="B34" s="129" t="s">
        <v>319</v>
      </c>
      <c r="C34" s="130">
        <v>3</v>
      </c>
      <c r="D34" s="130" t="s">
        <v>258</v>
      </c>
      <c r="E34" s="131" t="s">
        <v>309</v>
      </c>
      <c r="F34" s="131" t="s">
        <v>280</v>
      </c>
      <c r="G34" s="131" t="str">
        <f t="shared" si="62"/>
        <v>[effect:tolerance, target:myself, turn:-1, tolerance_effect:sleep, count:-1]</v>
      </c>
      <c r="H34" s="131">
        <f t="shared" si="63"/>
        <v>9</v>
      </c>
      <c r="I34" s="131">
        <f t="shared" si="64"/>
        <v>18</v>
      </c>
      <c r="J34" s="131">
        <f t="shared" si="65"/>
        <v>27</v>
      </c>
      <c r="K34" s="131">
        <f t="shared" si="66"/>
        <v>33</v>
      </c>
      <c r="L34" s="131" t="str">
        <f>IFERROR(VLOOKUP(MID(G34,J34,K34-J34),[6]skilldef!$C:$D,2,FALSE),"-") &amp; " / " &amp; IFERROR(VLOOKUP(MID(G34,H34,I34-H34),[6]skilldef!$A:$B,2,FALSE),"-")</f>
        <v>自分自身に / 状態異常耐性</v>
      </c>
      <c r="M34" s="131" t="str">
        <f t="shared" si="67"/>
        <v>[effect:tolerance, target:myself, turn:-1, tolerance_effect:virus, count:-1],[effect:tolerance, target:myself, turn:-1, tolerance_effect:hungup, count:-1, animation:enemy_tolerance],[effect:enemy_message, val1:3.4, val2:2.0]</v>
      </c>
      <c r="N34" s="129" t="str">
        <f t="shared" si="68"/>
        <v>[effect:tolerance, target:myself, turn:-1, tolerance_effect:virus, count:-1]</v>
      </c>
      <c r="O34" s="131">
        <f t="shared" si="69"/>
        <v>9</v>
      </c>
      <c r="P34" s="131">
        <f t="shared" si="70"/>
        <v>18</v>
      </c>
      <c r="Q34" s="131">
        <f t="shared" si="71"/>
        <v>27</v>
      </c>
      <c r="R34" s="131">
        <f t="shared" si="72"/>
        <v>33</v>
      </c>
      <c r="S34" s="131" t="str">
        <f>IFERROR(VLOOKUP(MID(N34,Q34,R34-Q34),[6]skilldef!$C:$D,2,FALSE),"-") &amp; " / " &amp; IFERROR(VLOOKUP(MID(N34,O34,P34-O34),[6]skilldef!$A:$B,2,FALSE),"-")</f>
        <v>自分自身に / 状態異常耐性</v>
      </c>
      <c r="T34" s="129" t="str">
        <f t="shared" si="73"/>
        <v>[effect:tolerance, target:myself, turn:-1, tolerance_effect:hungup, count:-1, animation:enemy_tolerance],[effect:enemy_message, val1:3.4, val2:2.0]</v>
      </c>
      <c r="U34" s="131">
        <f t="shared" si="74"/>
        <v>9</v>
      </c>
      <c r="V34" s="131">
        <f t="shared" si="75"/>
        <v>18</v>
      </c>
      <c r="W34" s="131">
        <f t="shared" si="76"/>
        <v>27</v>
      </c>
      <c r="X34" s="131">
        <f t="shared" si="77"/>
        <v>33</v>
      </c>
      <c r="Y34" s="131" t="str">
        <f>IFERROR(VLOOKUP(MID(T34,W34,X34-W34),[6]skilldef!$C:$D,2,FALSE),"-") &amp; " / " &amp; IFERROR(VLOOKUP(MID(T34,U34,V34-U34),[6]skilldef!$A:$B,2,FALSE),"-")</f>
        <v>自分自身に / 状態異常耐性</v>
      </c>
      <c r="Z34" s="50"/>
      <c r="AA34" s="52"/>
      <c r="AB34" s="50"/>
    </row>
    <row r="35" spans="1:28" ht="21" customHeight="1" x14ac:dyDescent="0.15">
      <c r="A35" s="129">
        <v>41014071</v>
      </c>
      <c r="B35" s="129" t="s">
        <v>319</v>
      </c>
      <c r="C35" s="130">
        <v>3</v>
      </c>
      <c r="D35" s="130" t="s">
        <v>258</v>
      </c>
      <c r="E35" s="131" t="s">
        <v>309</v>
      </c>
      <c r="F35" s="131" t="s">
        <v>280</v>
      </c>
      <c r="G35" s="131" t="str">
        <f t="shared" ref="G35:G37" si="78">IFERROR(LEFT(B35,FIND("],",B35)),B35)</f>
        <v>[effect:tolerance, target:myself, turn:-1, tolerance_effect:sleep, count:-1]</v>
      </c>
      <c r="H35" s="131">
        <f t="shared" ref="H35:H37" si="79">FIND("effect:",G35)+7</f>
        <v>9</v>
      </c>
      <c r="I35" s="131">
        <f t="shared" ref="I35:I37" si="80">IFERROR(FIND(",",G35),LEN(G35))</f>
        <v>18</v>
      </c>
      <c r="J35" s="131">
        <f t="shared" ref="J35:J37" si="81">FIND("target:",G35)+7</f>
        <v>27</v>
      </c>
      <c r="K35" s="131">
        <f t="shared" ref="K35:K37" si="82">FIND(",",G35,I35+1)</f>
        <v>33</v>
      </c>
      <c r="L35" s="131" t="str">
        <f>IFERROR(VLOOKUP(MID(G35,J35,K35-J35),[6]skilldef!$C:$D,2,FALSE),"-") &amp; " / " &amp; IFERROR(VLOOKUP(MID(G35,H35,I35-H35),[6]skilldef!$A:$B,2,FALSE),"-")</f>
        <v>自分自身に / 状態異常耐性</v>
      </c>
      <c r="M35" s="131" t="str">
        <f t="shared" ref="M35:M37" si="83">IFERROR(RIGHT(B35,LEN(B35)-FIND("],",B35)-1),"none")</f>
        <v>[effect:tolerance, target:myself, turn:-1, tolerance_effect:virus, count:-1],[effect:tolerance, target:myself, turn:-1, tolerance_effect:hungup, count:-1, animation:enemy_tolerance],[effect:enemy_message, val1:3.4, val2:2.0]</v>
      </c>
      <c r="N35" s="129" t="str">
        <f t="shared" ref="N35:N36" si="84">IFERROR(LEFT(M35,FIND("],",M35)+S45),M35)</f>
        <v>[effect:tolerance, target:myself, turn:-1, tolerance_effect:virus, count:-1]</v>
      </c>
      <c r="O35" s="131">
        <f t="shared" ref="O35:O37" si="85">FIND("effect:",N35)+7</f>
        <v>9</v>
      </c>
      <c r="P35" s="131">
        <f t="shared" ref="P35:P37" si="86">IFERROR(FIND(",",N35),LEN(N35))</f>
        <v>18</v>
      </c>
      <c r="Q35" s="131">
        <f t="shared" ref="Q35:Q37" si="87">FIND("target:",N35)+7</f>
        <v>27</v>
      </c>
      <c r="R35" s="131">
        <f t="shared" ref="R35:R37" si="88">FIND(",",N35,P35+1)</f>
        <v>33</v>
      </c>
      <c r="S35" s="131" t="str">
        <f>IFERROR(VLOOKUP(MID(N35,Q35,R35-Q35),[6]skilldef!$C:$D,2,FALSE),"-") &amp; " / " &amp; IFERROR(VLOOKUP(MID(N35,O35,P35-O35),[6]skilldef!$A:$B,2,FALSE),"-")</f>
        <v>自分自身に / 状態異常耐性</v>
      </c>
      <c r="T35" s="129" t="str">
        <f t="shared" ref="T35:T37" si="89">IFERROR(RIGHT(M35,LEN(M35)-FIND("],",M35)-1),"none")</f>
        <v>[effect:tolerance, target:myself, turn:-1, tolerance_effect:hungup, count:-1, animation:enemy_tolerance],[effect:enemy_message, val1:3.4, val2:2.0]</v>
      </c>
      <c r="U35" s="131">
        <f t="shared" ref="U35:U37" si="90">FIND("effect:",T35)+7</f>
        <v>9</v>
      </c>
      <c r="V35" s="131">
        <f t="shared" ref="V35:V37" si="91">IFERROR(FIND(",",T35),LEN(T35))</f>
        <v>18</v>
      </c>
      <c r="W35" s="131">
        <f t="shared" ref="W35:W37" si="92">FIND("target:",T35)+7</f>
        <v>27</v>
      </c>
      <c r="X35" s="131">
        <f t="shared" ref="X35:X37" si="93">FIND(",",T35,V35+1)</f>
        <v>33</v>
      </c>
      <c r="Y35" s="131" t="str">
        <f>IFERROR(VLOOKUP(MID(T35,W35,X35-W35),[6]skilldef!$C:$D,2,FALSE),"-") &amp; " / " &amp; IFERROR(VLOOKUP(MID(T35,U35,V35-U35),[6]skilldef!$A:$B,2,FALSE),"-")</f>
        <v>自分自身に / 状態異常耐性</v>
      </c>
      <c r="Z35" s="50"/>
      <c r="AA35" s="52"/>
      <c r="AB35" s="50"/>
    </row>
    <row r="36" spans="1:28" ht="21" customHeight="1" x14ac:dyDescent="0.15">
      <c r="A36" s="129">
        <v>41014072</v>
      </c>
      <c r="B36" s="129" t="s">
        <v>320</v>
      </c>
      <c r="C36" s="130">
        <v>3</v>
      </c>
      <c r="D36" s="130" t="s">
        <v>258</v>
      </c>
      <c r="E36" s="131" t="s">
        <v>309</v>
      </c>
      <c r="F36" s="131" t="s">
        <v>280</v>
      </c>
      <c r="G36" s="131" t="str">
        <f t="shared" si="78"/>
        <v>[effect:tolerance, target:myself, turn:-1, tolerance_effect:sleep, count:-1]</v>
      </c>
      <c r="H36" s="131">
        <f t="shared" si="79"/>
        <v>9</v>
      </c>
      <c r="I36" s="131">
        <f t="shared" si="80"/>
        <v>18</v>
      </c>
      <c r="J36" s="131">
        <f t="shared" si="81"/>
        <v>27</v>
      </c>
      <c r="K36" s="131">
        <f t="shared" si="82"/>
        <v>33</v>
      </c>
      <c r="L36" s="131" t="str">
        <f>IFERROR(VLOOKUP(MID(G36,J36,K36-J36),[6]skilldef!$C:$D,2,FALSE),"-") &amp; " / " &amp; IFERROR(VLOOKUP(MID(G36,H36,I36-H36),[6]skilldef!$A:$B,2,FALSE),"-")</f>
        <v>自分自身に / 状態異常耐性</v>
      </c>
      <c r="M36" s="131" t="str">
        <f t="shared" si="83"/>
        <v>[effect:tolerance, target:myself, turn:-1, tolerance_effect:virus, count:-1],[effect:tolerance, target:myself, turn:-1, tolerance_effect:hungup, count:-1, animation:enemy_tolerance],[effect:enemy_message, val1:3.4, val2:2.0]</v>
      </c>
      <c r="N36" s="129" t="str">
        <f t="shared" si="84"/>
        <v>[effect:tolerance, target:myself, turn:-1, tolerance_effect:virus, count:-1]</v>
      </c>
      <c r="O36" s="131">
        <f t="shared" si="85"/>
        <v>9</v>
      </c>
      <c r="P36" s="131">
        <f t="shared" si="86"/>
        <v>18</v>
      </c>
      <c r="Q36" s="131">
        <f t="shared" si="87"/>
        <v>27</v>
      </c>
      <c r="R36" s="131">
        <f t="shared" si="88"/>
        <v>33</v>
      </c>
      <c r="S36" s="131" t="str">
        <f>IFERROR(VLOOKUP(MID(N36,Q36,R36-Q36),[6]skilldef!$C:$D,2,FALSE),"-") &amp; " / " &amp; IFERROR(VLOOKUP(MID(N36,O36,P36-O36),[6]skilldef!$A:$B,2,FALSE),"-")</f>
        <v>自分自身に / 状態異常耐性</v>
      </c>
      <c r="T36" s="129" t="str">
        <f t="shared" si="89"/>
        <v>[effect:tolerance, target:myself, turn:-1, tolerance_effect:hungup, count:-1, animation:enemy_tolerance],[effect:enemy_message, val1:3.4, val2:2.0]</v>
      </c>
      <c r="U36" s="131">
        <f t="shared" si="90"/>
        <v>9</v>
      </c>
      <c r="V36" s="131">
        <f t="shared" si="91"/>
        <v>18</v>
      </c>
      <c r="W36" s="131">
        <f t="shared" si="92"/>
        <v>27</v>
      </c>
      <c r="X36" s="131">
        <f t="shared" si="93"/>
        <v>33</v>
      </c>
      <c r="Y36" s="131" t="str">
        <f>IFERROR(VLOOKUP(MID(T36,W36,X36-W36),[6]skilldef!$C:$D,2,FALSE),"-") &amp; " / " &amp; IFERROR(VLOOKUP(MID(T36,U36,V36-U36),[6]skilldef!$A:$B,2,FALSE),"-")</f>
        <v>自分自身に / 状態異常耐性</v>
      </c>
      <c r="Z36" s="50"/>
      <c r="AA36" s="52"/>
      <c r="AB36" s="50"/>
    </row>
    <row r="37" spans="1:28" ht="21" customHeight="1" x14ac:dyDescent="0.15">
      <c r="A37" s="129">
        <v>41014073</v>
      </c>
      <c r="B37" s="129" t="s">
        <v>334</v>
      </c>
      <c r="C37" s="130">
        <v>3</v>
      </c>
      <c r="D37" s="130" t="s">
        <v>258</v>
      </c>
      <c r="E37" s="131" t="s">
        <v>310</v>
      </c>
      <c r="F37" s="131" t="s">
        <v>335</v>
      </c>
      <c r="G37" s="131" t="str">
        <f t="shared" si="78"/>
        <v>[effect:tolerance, target:myself, turn:-1, tolerance_effect:sleep, count:-1]</v>
      </c>
      <c r="H37" s="131">
        <f t="shared" si="79"/>
        <v>9</v>
      </c>
      <c r="I37" s="131">
        <f t="shared" si="80"/>
        <v>18</v>
      </c>
      <c r="J37" s="131">
        <f t="shared" si="81"/>
        <v>27</v>
      </c>
      <c r="K37" s="131">
        <f t="shared" si="82"/>
        <v>33</v>
      </c>
      <c r="L37" s="131" t="str">
        <f>IFERROR(VLOOKUP(MID(G37,J37,K37-J37),[6]skilldef!$C:$D,2,FALSE),"-") &amp; " / " &amp; IFERROR(VLOOKUP(MID(G37,H37,I37-H37),[6]skilldef!$A:$B,2,FALSE),"-")</f>
        <v>自分自身に / 状態異常耐性</v>
      </c>
      <c r="M37" s="131" t="str">
        <f t="shared" si="83"/>
        <v>[effect:tolerance, target:myself, turn:-1, tolerance_effect:virus, count:-1],[effect:tolerance, target:myself, turn:-1, tolerance_effect:hungup, count:-1, animation:enemy_tolerance],[effect:change_attribute, target:myself, color:red, turn:-1, animation:change_attribute_red],[effect:enemy_message, val1:3.4, val2:2.0]</v>
      </c>
      <c r="N37" s="129" t="str">
        <f>IFERROR(LEFT(M37,FIND("],",M37)+#REF!),M37)</f>
        <v>[effect:tolerance, target:myself, turn:-1, tolerance_effect:virus, count:-1],[effect:tolerance, target:myself, turn:-1, tolerance_effect:hungup, count:-1, animation:enemy_tolerance],[effect:change_attribute, target:myself, color:red, turn:-1, animation:change_attribute_red],[effect:enemy_message, val1:3.4, val2:2.0]</v>
      </c>
      <c r="O37" s="131">
        <f t="shared" si="85"/>
        <v>9</v>
      </c>
      <c r="P37" s="131">
        <f t="shared" si="86"/>
        <v>18</v>
      </c>
      <c r="Q37" s="131">
        <f t="shared" si="87"/>
        <v>27</v>
      </c>
      <c r="R37" s="131">
        <f t="shared" si="88"/>
        <v>33</v>
      </c>
      <c r="S37" s="131" t="str">
        <f>IFERROR(VLOOKUP(MID(N37,Q37,R37-Q37),[6]skilldef!$C:$D,2,FALSE),"-") &amp; " / " &amp; IFERROR(VLOOKUP(MID(N37,O37,P37-O37),[6]skilldef!$A:$B,2,FALSE),"-")</f>
        <v>自分自身に / 状態異常耐性</v>
      </c>
      <c r="T37" s="129" t="str">
        <f t="shared" si="89"/>
        <v>[effect:tolerance, target:myself, turn:-1, tolerance_effect:hungup, count:-1, animation:enemy_tolerance],[effect:change_attribute, target:myself, color:red, turn:-1, animation:change_attribute_red],[effect:enemy_message, val1:3.4, val2:2.0]</v>
      </c>
      <c r="U37" s="131">
        <f t="shared" si="90"/>
        <v>9</v>
      </c>
      <c r="V37" s="131">
        <f t="shared" si="91"/>
        <v>18</v>
      </c>
      <c r="W37" s="131">
        <f t="shared" si="92"/>
        <v>27</v>
      </c>
      <c r="X37" s="131">
        <f t="shared" si="93"/>
        <v>33</v>
      </c>
      <c r="Y37" s="131" t="str">
        <f>IFERROR(VLOOKUP(MID(T37,W37,X37-W37),[6]skilldef!$C:$D,2,FALSE),"-") &amp; " / " &amp; IFERROR(VLOOKUP(MID(T37,U37,V37-U37),[6]skilldef!$A:$B,2,FALSE),"-")</f>
        <v>自分自身に / 状態異常耐性</v>
      </c>
      <c r="Z37" s="50"/>
      <c r="AA37" s="52"/>
      <c r="AB37" s="50"/>
    </row>
    <row r="38" spans="1:28" ht="21" customHeight="1" x14ac:dyDescent="0.15">
      <c r="A38" s="129">
        <v>41014074</v>
      </c>
      <c r="B38" s="129" t="s">
        <v>334</v>
      </c>
      <c r="C38" s="130">
        <v>3</v>
      </c>
      <c r="D38" s="130" t="s">
        <v>258</v>
      </c>
      <c r="E38" s="131" t="s">
        <v>310</v>
      </c>
      <c r="F38" s="131" t="s">
        <v>335</v>
      </c>
      <c r="G38" s="131" t="str">
        <f t="shared" ref="G38:G39" si="94">IFERROR(LEFT(B38,FIND("],",B38)),B38)</f>
        <v>[effect:tolerance, target:myself, turn:-1, tolerance_effect:sleep, count:-1]</v>
      </c>
      <c r="H38" s="131">
        <f t="shared" ref="H38:H39" si="95">FIND("effect:",G38)+7</f>
        <v>9</v>
      </c>
      <c r="I38" s="131">
        <f t="shared" ref="I38:I39" si="96">IFERROR(FIND(",",G38),LEN(G38))</f>
        <v>18</v>
      </c>
      <c r="J38" s="131">
        <f t="shared" ref="J38:J39" si="97">FIND("target:",G38)+7</f>
        <v>27</v>
      </c>
      <c r="K38" s="131">
        <f t="shared" ref="K38:K39" si="98">FIND(",",G38,I38+1)</f>
        <v>33</v>
      </c>
      <c r="L38" s="131" t="str">
        <f>IFERROR(VLOOKUP(MID(G38,J38,K38-J38),[6]skilldef!$C:$D,2,FALSE),"-") &amp; " / " &amp; IFERROR(VLOOKUP(MID(G38,H38,I38-H38),[6]skilldef!$A:$B,2,FALSE),"-")</f>
        <v>自分自身に / 状態異常耐性</v>
      </c>
      <c r="M38" s="131" t="str">
        <f t="shared" ref="M38:M39" si="99">IFERROR(RIGHT(B38,LEN(B38)-FIND("],",B38)-1),"none")</f>
        <v>[effect:tolerance, target:myself, turn:-1, tolerance_effect:virus, count:-1],[effect:tolerance, target:myself, turn:-1, tolerance_effect:hungup, count:-1, animation:enemy_tolerance],[effect:change_attribute, target:myself, color:red, turn:-1, animation:change_attribute_red],[effect:enemy_message, val1:3.4, val2:2.0]</v>
      </c>
      <c r="N38" s="129" t="str">
        <f>IFERROR(LEFT(M38,FIND("],",M38)+#REF!),M38)</f>
        <v>[effect:tolerance, target:myself, turn:-1, tolerance_effect:virus, count:-1],[effect:tolerance, target:myself, turn:-1, tolerance_effect:hungup, count:-1, animation:enemy_tolerance],[effect:change_attribute, target:myself, color:red, turn:-1, animation:change_attribute_red],[effect:enemy_message, val1:3.4, val2:2.0]</v>
      </c>
      <c r="O38" s="131">
        <f t="shared" ref="O38:O39" si="100">FIND("effect:",N38)+7</f>
        <v>9</v>
      </c>
      <c r="P38" s="131">
        <f t="shared" ref="P38:P39" si="101">IFERROR(FIND(",",N38),LEN(N38))</f>
        <v>18</v>
      </c>
      <c r="Q38" s="131">
        <f t="shared" ref="Q38:Q39" si="102">FIND("target:",N38)+7</f>
        <v>27</v>
      </c>
      <c r="R38" s="131">
        <f t="shared" ref="R38:R39" si="103">FIND(",",N38,P38+1)</f>
        <v>33</v>
      </c>
      <c r="S38" s="131" t="str">
        <f>IFERROR(VLOOKUP(MID(N38,Q38,R38-Q38),[6]skilldef!$C:$D,2,FALSE),"-") &amp; " / " &amp; IFERROR(VLOOKUP(MID(N38,O38,P38-O38),[6]skilldef!$A:$B,2,FALSE),"-")</f>
        <v>自分自身に / 状態異常耐性</v>
      </c>
      <c r="T38" s="129" t="str">
        <f t="shared" ref="T38:T39" si="104">IFERROR(RIGHT(M38,LEN(M38)-FIND("],",M38)-1),"none")</f>
        <v>[effect:tolerance, target:myself, turn:-1, tolerance_effect:hungup, count:-1, animation:enemy_tolerance],[effect:change_attribute, target:myself, color:red, turn:-1, animation:change_attribute_red],[effect:enemy_message, val1:3.4, val2:2.0]</v>
      </c>
      <c r="U38" s="131">
        <f t="shared" ref="U38:U39" si="105">FIND("effect:",T38)+7</f>
        <v>9</v>
      </c>
      <c r="V38" s="131">
        <f t="shared" ref="V38:V39" si="106">IFERROR(FIND(",",T38),LEN(T38))</f>
        <v>18</v>
      </c>
      <c r="W38" s="131">
        <f t="shared" ref="W38:W39" si="107">FIND("target:",T38)+7</f>
        <v>27</v>
      </c>
      <c r="X38" s="131">
        <f t="shared" ref="X38:X39" si="108">FIND(",",T38,V38+1)</f>
        <v>33</v>
      </c>
      <c r="Y38" s="131" t="str">
        <f>IFERROR(VLOOKUP(MID(T38,W38,X38-W38),[6]skilldef!$C:$D,2,FALSE),"-") &amp; " / " &amp; IFERROR(VLOOKUP(MID(T38,U38,V38-U38),[6]skilldef!$A:$B,2,FALSE),"-")</f>
        <v>自分自身に / 状態異常耐性</v>
      </c>
      <c r="Z38" s="50"/>
      <c r="AA38" s="52"/>
      <c r="AB38" s="50"/>
    </row>
    <row r="39" spans="1:28" ht="21" customHeight="1" x14ac:dyDescent="0.15">
      <c r="A39" s="129">
        <v>41014075</v>
      </c>
      <c r="B39" s="129" t="s">
        <v>334</v>
      </c>
      <c r="C39" s="130">
        <v>3</v>
      </c>
      <c r="D39" s="130" t="s">
        <v>258</v>
      </c>
      <c r="E39" s="131" t="s">
        <v>310</v>
      </c>
      <c r="F39" s="131" t="s">
        <v>335</v>
      </c>
      <c r="G39" s="131" t="str">
        <f t="shared" si="94"/>
        <v>[effect:tolerance, target:myself, turn:-1, tolerance_effect:sleep, count:-1]</v>
      </c>
      <c r="H39" s="131">
        <f t="shared" si="95"/>
        <v>9</v>
      </c>
      <c r="I39" s="131">
        <f t="shared" si="96"/>
        <v>18</v>
      </c>
      <c r="J39" s="131">
        <f t="shared" si="97"/>
        <v>27</v>
      </c>
      <c r="K39" s="131">
        <f t="shared" si="98"/>
        <v>33</v>
      </c>
      <c r="L39" s="131" t="str">
        <f>IFERROR(VLOOKUP(MID(G39,J39,K39-J39),[6]skilldef!$C:$D,2,FALSE),"-") &amp; " / " &amp; IFERROR(VLOOKUP(MID(G39,H39,I39-H39),[6]skilldef!$A:$B,2,FALSE),"-")</f>
        <v>自分自身に / 状態異常耐性</v>
      </c>
      <c r="M39" s="131" t="str">
        <f t="shared" si="99"/>
        <v>[effect:tolerance, target:myself, turn:-1, tolerance_effect:virus, count:-1],[effect:tolerance, target:myself, turn:-1, tolerance_effect:hungup, count:-1, animation:enemy_tolerance],[effect:change_attribute, target:myself, color:red, turn:-1, animation:change_attribute_red],[effect:enemy_message, val1:3.4, val2:2.0]</v>
      </c>
      <c r="N39" s="129" t="str">
        <f>IFERROR(LEFT(M39,FIND("],",M39)+#REF!),M39)</f>
        <v>[effect:tolerance, target:myself, turn:-1, tolerance_effect:virus, count:-1],[effect:tolerance, target:myself, turn:-1, tolerance_effect:hungup, count:-1, animation:enemy_tolerance],[effect:change_attribute, target:myself, color:red, turn:-1, animation:change_attribute_red],[effect:enemy_message, val1:3.4, val2:2.0]</v>
      </c>
      <c r="O39" s="131">
        <f t="shared" si="100"/>
        <v>9</v>
      </c>
      <c r="P39" s="131">
        <f t="shared" si="101"/>
        <v>18</v>
      </c>
      <c r="Q39" s="131">
        <f t="shared" si="102"/>
        <v>27</v>
      </c>
      <c r="R39" s="131">
        <f t="shared" si="103"/>
        <v>33</v>
      </c>
      <c r="S39" s="131" t="str">
        <f>IFERROR(VLOOKUP(MID(N39,Q39,R39-Q39),[6]skilldef!$C:$D,2,FALSE),"-") &amp; " / " &amp; IFERROR(VLOOKUP(MID(N39,O39,P39-O39),[6]skilldef!$A:$B,2,FALSE),"-")</f>
        <v>自分自身に / 状態異常耐性</v>
      </c>
      <c r="T39" s="129" t="str">
        <f t="shared" si="104"/>
        <v>[effect:tolerance, target:myself, turn:-1, tolerance_effect:hungup, count:-1, animation:enemy_tolerance],[effect:change_attribute, target:myself, color:red, turn:-1, animation:change_attribute_red],[effect:enemy_message, val1:3.4, val2:2.0]</v>
      </c>
      <c r="U39" s="131">
        <f t="shared" si="105"/>
        <v>9</v>
      </c>
      <c r="V39" s="131">
        <f t="shared" si="106"/>
        <v>18</v>
      </c>
      <c r="W39" s="131">
        <f t="shared" si="107"/>
        <v>27</v>
      </c>
      <c r="X39" s="131">
        <f t="shared" si="108"/>
        <v>33</v>
      </c>
      <c r="Y39" s="131" t="str">
        <f>IFERROR(VLOOKUP(MID(T39,W39,X39-W39),[6]skilldef!$C:$D,2,FALSE),"-") &amp; " / " &amp; IFERROR(VLOOKUP(MID(T39,U39,V39-U39),[6]skilldef!$A:$B,2,FALSE),"-")</f>
        <v>自分自身に / 状態異常耐性</v>
      </c>
      <c r="Z39" s="50"/>
      <c r="AA39" s="52"/>
      <c r="AB39" s="50"/>
    </row>
    <row r="40" spans="1:28" ht="21" customHeight="1" x14ac:dyDescent="0.15">
      <c r="A40" s="129">
        <v>41014076</v>
      </c>
      <c r="B40" s="129" t="s">
        <v>321</v>
      </c>
      <c r="C40" s="130">
        <v>3</v>
      </c>
      <c r="D40" s="130" t="s">
        <v>258</v>
      </c>
      <c r="E40" s="131" t="s">
        <v>315</v>
      </c>
      <c r="F40" s="131" t="s">
        <v>316</v>
      </c>
      <c r="G40" s="131" t="str">
        <f t="shared" ref="G40:G42" si="109">IFERROR(LEFT(B40,FIND("],",B40)),B40)</f>
        <v>[effect:enemy_message, val1:2.3, val2:2.2]</v>
      </c>
      <c r="H40" s="131">
        <f t="shared" ref="H40:H42" si="110">FIND("effect:",G40)+7</f>
        <v>9</v>
      </c>
      <c r="I40" s="131">
        <f t="shared" ref="I40:I42" si="111">IFERROR(FIND(",",G40),LEN(G40))</f>
        <v>22</v>
      </c>
      <c r="J40" s="131" t="e">
        <f t="shared" ref="J40:J42" si="112">FIND("target:",G40)+7</f>
        <v>#VALUE!</v>
      </c>
      <c r="K40" s="131">
        <f t="shared" ref="K40:K42" si="113">FIND(",",G40,I40+1)</f>
        <v>32</v>
      </c>
      <c r="L40" s="131" t="str">
        <f>IFERROR(VLOOKUP(MID(G40,J40,K40-J40),[6]skilldef!$C:$D,2,FALSE),"-") &amp; " / " &amp; IFERROR(VLOOKUP(MID(G40,H40,I40-H40),[6]skilldef!$A:$B,2,FALSE),"-")</f>
        <v>- / -</v>
      </c>
      <c r="M40" s="131" t="str">
        <f t="shared" ref="M40:M42" si="114">IFERROR(RIGHT(B40,LEN(B40)-FIND("],",B40)-1),"none")</f>
        <v>none</v>
      </c>
      <c r="N40" s="129" t="str">
        <f>IFERROR(LEFT(M40,FIND("],",M40)+#REF!),M40)</f>
        <v>none</v>
      </c>
      <c r="O40" s="131" t="e">
        <f t="shared" ref="O40:O42" si="115">FIND("effect:",N40)+7</f>
        <v>#VALUE!</v>
      </c>
      <c r="P40" s="131">
        <f t="shared" ref="P40:P42" si="116">IFERROR(FIND(",",N40),LEN(N40))</f>
        <v>4</v>
      </c>
      <c r="Q40" s="131" t="e">
        <f t="shared" ref="Q40:Q42" si="117">FIND("target:",N40)+7</f>
        <v>#VALUE!</v>
      </c>
      <c r="R40" s="131" t="e">
        <f t="shared" ref="R40:R42" si="118">FIND(",",N40,P40+1)</f>
        <v>#VALUE!</v>
      </c>
      <c r="S40" s="131" t="str">
        <f>IFERROR(VLOOKUP(MID(N40,Q40,R40-Q40),[6]skilldef!$C:$D,2,FALSE),"-") &amp; " / " &amp; IFERROR(VLOOKUP(MID(N40,O40,P40-O40),[6]skilldef!$A:$B,2,FALSE),"-")</f>
        <v>- / -</v>
      </c>
      <c r="T40" s="129" t="str">
        <f t="shared" ref="T40:T42" si="119">IFERROR(RIGHT(M40,LEN(M40)-FIND("],",M40)-1),"none")</f>
        <v>none</v>
      </c>
      <c r="U40" s="131" t="e">
        <f t="shared" ref="U40:U42" si="120">FIND("effect:",T40)+7</f>
        <v>#VALUE!</v>
      </c>
      <c r="V40" s="131">
        <f t="shared" ref="V40:V42" si="121">IFERROR(FIND(",",T40),LEN(T40))</f>
        <v>4</v>
      </c>
      <c r="W40" s="131" t="e">
        <f t="shared" ref="W40:W42" si="122">FIND("target:",T40)+7</f>
        <v>#VALUE!</v>
      </c>
      <c r="X40" s="131" t="e">
        <f t="shared" ref="X40:X42" si="123">FIND(",",T40,V40+1)</f>
        <v>#VALUE!</v>
      </c>
      <c r="Y40" s="131" t="str">
        <f>IFERROR(VLOOKUP(MID(T40,W40,X40-W40),[6]skilldef!$C:$D,2,FALSE),"-") &amp; " / " &amp; IFERROR(VLOOKUP(MID(T40,U40,V40-U40),[6]skilldef!$A:$B,2,FALSE),"-")</f>
        <v>- / -</v>
      </c>
      <c r="Z40" s="50"/>
      <c r="AA40" s="52"/>
      <c r="AB40" s="50"/>
    </row>
    <row r="41" spans="1:28" ht="21" customHeight="1" x14ac:dyDescent="0.15">
      <c r="A41" s="129">
        <v>41014077</v>
      </c>
      <c r="B41" s="129" t="s">
        <v>321</v>
      </c>
      <c r="C41" s="130">
        <v>3</v>
      </c>
      <c r="D41" s="130" t="s">
        <v>258</v>
      </c>
      <c r="E41" s="131" t="s">
        <v>315</v>
      </c>
      <c r="F41" s="131" t="s">
        <v>316</v>
      </c>
      <c r="G41" s="131" t="str">
        <f t="shared" si="109"/>
        <v>[effect:enemy_message, val1:2.3, val2:2.2]</v>
      </c>
      <c r="H41" s="131">
        <f t="shared" si="110"/>
        <v>9</v>
      </c>
      <c r="I41" s="131">
        <f t="shared" si="111"/>
        <v>22</v>
      </c>
      <c r="J41" s="131" t="e">
        <f t="shared" si="112"/>
        <v>#VALUE!</v>
      </c>
      <c r="K41" s="131">
        <f t="shared" si="113"/>
        <v>32</v>
      </c>
      <c r="L41" s="131" t="str">
        <f>IFERROR(VLOOKUP(MID(G41,J41,K41-J41),[6]skilldef!$C:$D,2,FALSE),"-") &amp; " / " &amp; IFERROR(VLOOKUP(MID(G41,H41,I41-H41),[6]skilldef!$A:$B,2,FALSE),"-")</f>
        <v>- / -</v>
      </c>
      <c r="M41" s="131" t="str">
        <f t="shared" si="114"/>
        <v>none</v>
      </c>
      <c r="N41" s="129" t="str">
        <f>IFERROR(LEFT(M41,FIND("],",M41)+#REF!),M41)</f>
        <v>none</v>
      </c>
      <c r="O41" s="131" t="e">
        <f t="shared" si="115"/>
        <v>#VALUE!</v>
      </c>
      <c r="P41" s="131">
        <f t="shared" si="116"/>
        <v>4</v>
      </c>
      <c r="Q41" s="131" t="e">
        <f t="shared" si="117"/>
        <v>#VALUE!</v>
      </c>
      <c r="R41" s="131" t="e">
        <f t="shared" si="118"/>
        <v>#VALUE!</v>
      </c>
      <c r="S41" s="131" t="str">
        <f>IFERROR(VLOOKUP(MID(N41,Q41,R41-Q41),[6]skilldef!$C:$D,2,FALSE),"-") &amp; " / " &amp; IFERROR(VLOOKUP(MID(N41,O41,P41-O41),[6]skilldef!$A:$B,2,FALSE),"-")</f>
        <v>- / -</v>
      </c>
      <c r="T41" s="129" t="str">
        <f t="shared" si="119"/>
        <v>none</v>
      </c>
      <c r="U41" s="131" t="e">
        <f t="shared" si="120"/>
        <v>#VALUE!</v>
      </c>
      <c r="V41" s="131">
        <f t="shared" si="121"/>
        <v>4</v>
      </c>
      <c r="W41" s="131" t="e">
        <f t="shared" si="122"/>
        <v>#VALUE!</v>
      </c>
      <c r="X41" s="131" t="e">
        <f t="shared" si="123"/>
        <v>#VALUE!</v>
      </c>
      <c r="Y41" s="131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</row>
    <row r="42" spans="1:28" ht="21" customHeight="1" x14ac:dyDescent="0.15">
      <c r="A42" s="129">
        <v>41014078</v>
      </c>
      <c r="B42" s="129" t="s">
        <v>321</v>
      </c>
      <c r="C42" s="130">
        <v>3</v>
      </c>
      <c r="D42" s="130" t="s">
        <v>258</v>
      </c>
      <c r="E42" s="131" t="s">
        <v>315</v>
      </c>
      <c r="F42" s="131" t="s">
        <v>316</v>
      </c>
      <c r="G42" s="131" t="str">
        <f t="shared" si="109"/>
        <v>[effect:enemy_message, val1:2.3, val2:2.2]</v>
      </c>
      <c r="H42" s="131">
        <f t="shared" si="110"/>
        <v>9</v>
      </c>
      <c r="I42" s="131">
        <f t="shared" si="111"/>
        <v>22</v>
      </c>
      <c r="J42" s="131" t="e">
        <f t="shared" si="112"/>
        <v>#VALUE!</v>
      </c>
      <c r="K42" s="131">
        <f t="shared" si="113"/>
        <v>32</v>
      </c>
      <c r="L42" s="131" t="str">
        <f>IFERROR(VLOOKUP(MID(G42,J42,K42-J42),[6]skilldef!$C:$D,2,FALSE),"-") &amp; " / " &amp; IFERROR(VLOOKUP(MID(G42,H42,I42-H42),[6]skilldef!$A:$B,2,FALSE),"-")</f>
        <v>- / -</v>
      </c>
      <c r="M42" s="131" t="str">
        <f t="shared" si="114"/>
        <v>none</v>
      </c>
      <c r="N42" s="129" t="str">
        <f>IFERROR(LEFT(M42,FIND("],",M42)+#REF!),M42)</f>
        <v>none</v>
      </c>
      <c r="O42" s="131" t="e">
        <f t="shared" si="115"/>
        <v>#VALUE!</v>
      </c>
      <c r="P42" s="131">
        <f t="shared" si="116"/>
        <v>4</v>
      </c>
      <c r="Q42" s="131" t="e">
        <f t="shared" si="117"/>
        <v>#VALUE!</v>
      </c>
      <c r="R42" s="131" t="e">
        <f t="shared" si="118"/>
        <v>#VALUE!</v>
      </c>
      <c r="S42" s="131" t="str">
        <f>IFERROR(VLOOKUP(MID(N42,Q42,R42-Q42),[6]skilldef!$C:$D,2,FALSE),"-") &amp; " / " &amp; IFERROR(VLOOKUP(MID(N42,O42,P42-O42),[6]skilldef!$A:$B,2,FALSE),"-")</f>
        <v>- / -</v>
      </c>
      <c r="T42" s="129" t="str">
        <f t="shared" si="119"/>
        <v>none</v>
      </c>
      <c r="U42" s="131" t="e">
        <f t="shared" si="120"/>
        <v>#VALUE!</v>
      </c>
      <c r="V42" s="131">
        <f t="shared" si="121"/>
        <v>4</v>
      </c>
      <c r="W42" s="131" t="e">
        <f t="shared" si="122"/>
        <v>#VALUE!</v>
      </c>
      <c r="X42" s="131" t="e">
        <f t="shared" si="123"/>
        <v>#VALUE!</v>
      </c>
      <c r="Y42" s="131" t="str">
        <f>IFERROR(VLOOKUP(MID(T42,W42,X42-W42),[6]skilldef!$C:$D,2,FALSE),"-") &amp; " / " &amp; IFERROR(VLOOKUP(MID(T42,U42,V42-U42),[6]skilldef!$A:$B,2,FALSE),"-")</f>
        <v>- / -</v>
      </c>
      <c r="Z42" s="50"/>
      <c r="AA42" s="52"/>
      <c r="AB42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4"/>
  <sheetViews>
    <sheetView showGridLines="0" zoomScale="90" zoomScaleNormal="90" zoomScalePageLayoutView="90" workbookViewId="0">
      <pane ySplit="1" topLeftCell="A2" activePane="bottomLeft" state="frozenSplit"/>
      <selection pane="bottomLeft" activeCell="H39" sqref="H39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41014000</v>
      </c>
      <c r="B2" s="47">
        <v>1</v>
      </c>
      <c r="C2" s="47" t="s">
        <v>53</v>
      </c>
      <c r="D2" s="47">
        <v>100</v>
      </c>
      <c r="E2" s="47" t="s">
        <v>53</v>
      </c>
      <c r="F2" s="47" t="s">
        <v>53</v>
      </c>
      <c r="G2" s="47">
        <v>1</v>
      </c>
      <c r="H2" s="47" t="s">
        <v>53</v>
      </c>
      <c r="I2" s="47" t="s">
        <v>53</v>
      </c>
      <c r="J2" s="48">
        <f t="shared" ref="J2:J29" si="0">D2</f>
        <v>100</v>
      </c>
    </row>
    <row r="3" spans="1:11" ht="21" customHeight="1" x14ac:dyDescent="0.15">
      <c r="A3" s="47">
        <v>41014005</v>
      </c>
      <c r="B3" s="47">
        <v>1</v>
      </c>
      <c r="C3" s="47" t="s">
        <v>53</v>
      </c>
      <c r="D3" s="47">
        <v>100</v>
      </c>
      <c r="E3" s="47" t="s">
        <v>53</v>
      </c>
      <c r="F3" s="47" t="s">
        <v>53</v>
      </c>
      <c r="G3" s="47">
        <v>1</v>
      </c>
      <c r="H3" s="47" t="s">
        <v>53</v>
      </c>
      <c r="I3" s="47" t="s">
        <v>53</v>
      </c>
      <c r="J3" s="48">
        <f t="shared" si="0"/>
        <v>100</v>
      </c>
    </row>
    <row r="4" spans="1:11" ht="21" customHeight="1" x14ac:dyDescent="0.15">
      <c r="A4" s="47">
        <v>41014006</v>
      </c>
      <c r="B4" s="47">
        <v>0</v>
      </c>
      <c r="C4" s="47" t="s">
        <v>53</v>
      </c>
      <c r="D4" s="47">
        <v>100</v>
      </c>
      <c r="E4" s="47" t="s">
        <v>53</v>
      </c>
      <c r="F4" s="47" t="s">
        <v>53</v>
      </c>
      <c r="G4" s="47" t="s">
        <v>53</v>
      </c>
      <c r="H4" s="47">
        <v>2</v>
      </c>
      <c r="I4" s="47" t="s">
        <v>53</v>
      </c>
      <c r="J4" s="48">
        <f t="shared" si="0"/>
        <v>100</v>
      </c>
    </row>
    <row r="5" spans="1:11" ht="21" customHeight="1" x14ac:dyDescent="0.15">
      <c r="A5" s="47">
        <v>41014010</v>
      </c>
      <c r="B5" s="47">
        <v>1</v>
      </c>
      <c r="C5" s="47" t="s">
        <v>53</v>
      </c>
      <c r="D5" s="47">
        <v>100</v>
      </c>
      <c r="E5" s="47" t="s">
        <v>53</v>
      </c>
      <c r="F5" s="47" t="s">
        <v>53</v>
      </c>
      <c r="G5" s="47">
        <v>1</v>
      </c>
      <c r="H5" s="47" t="s">
        <v>53</v>
      </c>
      <c r="I5" s="47" t="s">
        <v>53</v>
      </c>
      <c r="J5" s="48">
        <f t="shared" si="0"/>
        <v>100</v>
      </c>
    </row>
    <row r="6" spans="1:11" ht="21" customHeight="1" x14ac:dyDescent="0.15">
      <c r="A6" s="47">
        <v>41014011</v>
      </c>
      <c r="B6" s="47">
        <v>0</v>
      </c>
      <c r="C6" s="47" t="s">
        <v>53</v>
      </c>
      <c r="D6" s="47">
        <v>20</v>
      </c>
      <c r="E6" s="47" t="s">
        <v>53</v>
      </c>
      <c r="F6" s="47" t="s">
        <v>53</v>
      </c>
      <c r="G6" s="47">
        <v>1</v>
      </c>
      <c r="H6" s="47" t="s">
        <v>53</v>
      </c>
      <c r="I6" s="47" t="s">
        <v>53</v>
      </c>
      <c r="J6" s="48">
        <f t="shared" si="0"/>
        <v>20</v>
      </c>
    </row>
    <row r="7" spans="1:11" ht="21" customHeight="1" x14ac:dyDescent="0.15">
      <c r="A7" s="47">
        <v>41014012</v>
      </c>
      <c r="B7" s="47">
        <v>0</v>
      </c>
      <c r="C7" s="47" t="s">
        <v>53</v>
      </c>
      <c r="D7" s="47">
        <v>20</v>
      </c>
      <c r="E7" s="47" t="s">
        <v>53</v>
      </c>
      <c r="F7" s="47" t="s">
        <v>53</v>
      </c>
      <c r="G7" s="47" t="s">
        <v>53</v>
      </c>
      <c r="H7" s="47" t="s">
        <v>53</v>
      </c>
      <c r="I7" s="47" t="s">
        <v>53</v>
      </c>
      <c r="J7" s="48">
        <f t="shared" si="0"/>
        <v>20</v>
      </c>
    </row>
    <row r="8" spans="1:11" ht="21" customHeight="1" x14ac:dyDescent="0.15">
      <c r="A8" s="47">
        <v>41014013</v>
      </c>
      <c r="B8" s="47">
        <v>0</v>
      </c>
      <c r="C8" s="47" t="s">
        <v>53</v>
      </c>
      <c r="D8" s="47">
        <v>100</v>
      </c>
      <c r="E8" s="47" t="s">
        <v>53</v>
      </c>
      <c r="F8" s="47" t="s">
        <v>53</v>
      </c>
      <c r="G8" s="47">
        <v>2</v>
      </c>
      <c r="H8" s="47" t="s">
        <v>53</v>
      </c>
      <c r="I8" s="47">
        <v>33</v>
      </c>
      <c r="J8" s="48">
        <f t="shared" si="0"/>
        <v>100</v>
      </c>
    </row>
    <row r="9" spans="1:11" ht="21" customHeight="1" x14ac:dyDescent="0.15">
      <c r="A9" s="47">
        <v>41014015</v>
      </c>
      <c r="B9" s="47">
        <v>1</v>
      </c>
      <c r="C9" s="47" t="s">
        <v>53</v>
      </c>
      <c r="D9" s="47">
        <v>100</v>
      </c>
      <c r="E9" s="47" t="s">
        <v>53</v>
      </c>
      <c r="F9" s="47" t="s">
        <v>53</v>
      </c>
      <c r="G9" s="47">
        <v>1</v>
      </c>
      <c r="H9" s="47" t="s">
        <v>53</v>
      </c>
      <c r="I9" s="47" t="s">
        <v>53</v>
      </c>
      <c r="J9" s="48">
        <f t="shared" si="0"/>
        <v>100</v>
      </c>
    </row>
    <row r="10" spans="1:11" ht="21" customHeight="1" x14ac:dyDescent="0.15">
      <c r="A10" s="47">
        <v>41014016</v>
      </c>
      <c r="B10" s="47">
        <v>0</v>
      </c>
      <c r="C10" s="47" t="s">
        <v>53</v>
      </c>
      <c r="D10" s="47">
        <v>20</v>
      </c>
      <c r="E10" s="47" t="s">
        <v>53</v>
      </c>
      <c r="F10" s="47" t="s">
        <v>53</v>
      </c>
      <c r="G10" s="47">
        <v>1</v>
      </c>
      <c r="H10" s="47" t="s">
        <v>53</v>
      </c>
      <c r="I10" s="47" t="s">
        <v>53</v>
      </c>
      <c r="J10" s="48">
        <f t="shared" si="0"/>
        <v>20</v>
      </c>
    </row>
    <row r="11" spans="1:11" ht="21" customHeight="1" x14ac:dyDescent="0.15">
      <c r="A11" s="47">
        <v>41014017</v>
      </c>
      <c r="B11" s="47">
        <v>0</v>
      </c>
      <c r="C11" s="47" t="s">
        <v>53</v>
      </c>
      <c r="D11" s="47">
        <v>20</v>
      </c>
      <c r="E11" s="47" t="s">
        <v>53</v>
      </c>
      <c r="F11" s="47" t="s">
        <v>53</v>
      </c>
      <c r="G11" s="47" t="s">
        <v>53</v>
      </c>
      <c r="H11" s="47" t="s">
        <v>53</v>
      </c>
      <c r="I11" s="47" t="s">
        <v>53</v>
      </c>
      <c r="J11" s="48">
        <f t="shared" si="0"/>
        <v>20</v>
      </c>
    </row>
    <row r="12" spans="1:11" ht="21" customHeight="1" x14ac:dyDescent="0.15">
      <c r="A12" s="47">
        <v>41014018</v>
      </c>
      <c r="B12" s="47">
        <v>0</v>
      </c>
      <c r="C12" s="47" t="s">
        <v>53</v>
      </c>
      <c r="D12" s="47">
        <v>100</v>
      </c>
      <c r="E12" s="47" t="s">
        <v>53</v>
      </c>
      <c r="F12" s="47" t="s">
        <v>53</v>
      </c>
      <c r="G12" s="47">
        <v>2</v>
      </c>
      <c r="H12" s="47" t="s">
        <v>53</v>
      </c>
      <c r="I12" s="47">
        <v>33</v>
      </c>
      <c r="J12" s="48">
        <f t="shared" si="0"/>
        <v>100</v>
      </c>
    </row>
    <row r="13" spans="1:11" ht="21" customHeight="1" x14ac:dyDescent="0.15">
      <c r="A13" s="47">
        <v>41014020</v>
      </c>
      <c r="B13" s="47">
        <v>0</v>
      </c>
      <c r="C13" s="47" t="s">
        <v>53</v>
      </c>
      <c r="D13" s="47">
        <v>20</v>
      </c>
      <c r="E13" s="47" t="s">
        <v>53</v>
      </c>
      <c r="F13" s="47" t="s">
        <v>53</v>
      </c>
      <c r="G13" s="47" t="s">
        <v>53</v>
      </c>
      <c r="H13" s="47" t="s">
        <v>53</v>
      </c>
      <c r="I13" s="47" t="s">
        <v>53</v>
      </c>
      <c r="J13" s="48">
        <f t="shared" si="0"/>
        <v>20</v>
      </c>
    </row>
    <row r="14" spans="1:11" ht="21" customHeight="1" x14ac:dyDescent="0.15">
      <c r="A14" s="47">
        <v>41014030</v>
      </c>
      <c r="B14" s="47">
        <v>0</v>
      </c>
      <c r="C14" s="47" t="s">
        <v>53</v>
      </c>
      <c r="D14" s="47">
        <v>20</v>
      </c>
      <c r="E14" s="47" t="s">
        <v>53</v>
      </c>
      <c r="F14" s="47" t="s">
        <v>53</v>
      </c>
      <c r="G14" s="47" t="s">
        <v>53</v>
      </c>
      <c r="H14" s="47" t="s">
        <v>53</v>
      </c>
      <c r="I14" s="47" t="s">
        <v>53</v>
      </c>
      <c r="J14" s="48">
        <f t="shared" si="0"/>
        <v>20</v>
      </c>
    </row>
    <row r="15" spans="1:11" ht="21" customHeight="1" x14ac:dyDescent="0.15">
      <c r="A15" s="47">
        <v>41014035</v>
      </c>
      <c r="B15" s="47">
        <v>1</v>
      </c>
      <c r="C15" s="47">
        <v>10</v>
      </c>
      <c r="D15" s="47">
        <v>100</v>
      </c>
      <c r="E15" s="47" t="s">
        <v>53</v>
      </c>
      <c r="F15" s="47" t="s">
        <v>53</v>
      </c>
      <c r="G15" s="47">
        <v>1</v>
      </c>
      <c r="H15" s="47" t="s">
        <v>53</v>
      </c>
      <c r="I15" s="47" t="s">
        <v>53</v>
      </c>
      <c r="J15" s="48">
        <f t="shared" si="0"/>
        <v>100</v>
      </c>
    </row>
    <row r="16" spans="1:11" ht="21" customHeight="1" x14ac:dyDescent="0.15">
      <c r="A16" s="47">
        <v>41014036</v>
      </c>
      <c r="B16" s="47">
        <v>0</v>
      </c>
      <c r="C16" s="47" t="s">
        <v>53</v>
      </c>
      <c r="D16" s="47">
        <v>20</v>
      </c>
      <c r="E16" s="47" t="s">
        <v>53</v>
      </c>
      <c r="F16" s="47" t="s">
        <v>53</v>
      </c>
      <c r="G16" s="47" t="s">
        <v>53</v>
      </c>
      <c r="H16" s="47" t="s">
        <v>53</v>
      </c>
      <c r="I16" s="47" t="s">
        <v>53</v>
      </c>
      <c r="J16" s="48">
        <f t="shared" si="0"/>
        <v>20</v>
      </c>
    </row>
    <row r="17" spans="1:10" ht="21" customHeight="1" x14ac:dyDescent="0.15">
      <c r="A17" s="47">
        <v>41014037</v>
      </c>
      <c r="B17" s="47">
        <v>0</v>
      </c>
      <c r="C17" s="47" t="s">
        <v>53</v>
      </c>
      <c r="D17" s="47">
        <v>20</v>
      </c>
      <c r="E17" s="47" t="s">
        <v>53</v>
      </c>
      <c r="F17" s="47" t="s">
        <v>53</v>
      </c>
      <c r="G17" s="47" t="s">
        <v>53</v>
      </c>
      <c r="H17" s="47" t="s">
        <v>53</v>
      </c>
      <c r="I17" s="47" t="s">
        <v>53</v>
      </c>
      <c r="J17" s="48">
        <f t="shared" si="0"/>
        <v>20</v>
      </c>
    </row>
    <row r="18" spans="1:10" ht="21" customHeight="1" x14ac:dyDescent="0.15">
      <c r="A18" s="47">
        <v>41014038</v>
      </c>
      <c r="B18" s="47">
        <v>0</v>
      </c>
      <c r="C18" s="47" t="s">
        <v>53</v>
      </c>
      <c r="D18" s="47">
        <v>20</v>
      </c>
      <c r="E18" s="47" t="s">
        <v>53</v>
      </c>
      <c r="F18" s="47" t="s">
        <v>53</v>
      </c>
      <c r="G18" s="47" t="s">
        <v>53</v>
      </c>
      <c r="H18" s="47" t="s">
        <v>53</v>
      </c>
      <c r="I18" s="47" t="s">
        <v>53</v>
      </c>
      <c r="J18" s="48">
        <f t="shared" si="0"/>
        <v>20</v>
      </c>
    </row>
    <row r="19" spans="1:10" ht="21" customHeight="1" x14ac:dyDescent="0.15">
      <c r="A19" s="47">
        <v>41014039</v>
      </c>
      <c r="B19" s="47">
        <v>0</v>
      </c>
      <c r="C19" s="47" t="s">
        <v>53</v>
      </c>
      <c r="D19" s="47">
        <v>100</v>
      </c>
      <c r="E19" s="47" t="s">
        <v>53</v>
      </c>
      <c r="F19" s="47" t="s">
        <v>53</v>
      </c>
      <c r="G19" s="47" t="s">
        <v>53</v>
      </c>
      <c r="H19" s="47">
        <v>2</v>
      </c>
      <c r="I19" s="47" t="s">
        <v>53</v>
      </c>
      <c r="J19" s="48">
        <f t="shared" si="0"/>
        <v>100</v>
      </c>
    </row>
    <row r="20" spans="1:10" ht="21" customHeight="1" x14ac:dyDescent="0.15">
      <c r="A20" s="47">
        <v>41014045</v>
      </c>
      <c r="B20" s="47">
        <v>1</v>
      </c>
      <c r="C20" s="47">
        <v>10</v>
      </c>
      <c r="D20" s="47">
        <v>100</v>
      </c>
      <c r="E20" s="47" t="s">
        <v>53</v>
      </c>
      <c r="F20" s="47" t="s">
        <v>53</v>
      </c>
      <c r="G20" s="47">
        <v>1</v>
      </c>
      <c r="H20" s="47" t="s">
        <v>53</v>
      </c>
      <c r="I20" s="47" t="s">
        <v>53</v>
      </c>
      <c r="J20" s="48">
        <f t="shared" si="0"/>
        <v>100</v>
      </c>
    </row>
    <row r="21" spans="1:10" ht="21" customHeight="1" x14ac:dyDescent="0.15">
      <c r="A21" s="47">
        <v>41014046</v>
      </c>
      <c r="B21" s="47">
        <v>0</v>
      </c>
      <c r="C21" s="47" t="s">
        <v>53</v>
      </c>
      <c r="D21" s="47">
        <v>20</v>
      </c>
      <c r="E21" s="47" t="s">
        <v>53</v>
      </c>
      <c r="F21" s="47" t="s">
        <v>53</v>
      </c>
      <c r="G21" s="47" t="s">
        <v>53</v>
      </c>
      <c r="H21" s="47" t="s">
        <v>53</v>
      </c>
      <c r="I21" s="47" t="s">
        <v>53</v>
      </c>
      <c r="J21" s="48">
        <f t="shared" si="0"/>
        <v>20</v>
      </c>
    </row>
    <row r="22" spans="1:10" ht="21" customHeight="1" x14ac:dyDescent="0.15">
      <c r="A22" s="47">
        <v>41014047</v>
      </c>
      <c r="B22" s="47">
        <v>0</v>
      </c>
      <c r="C22" s="47" t="s">
        <v>53</v>
      </c>
      <c r="D22" s="47">
        <v>20</v>
      </c>
      <c r="E22" s="47" t="s">
        <v>53</v>
      </c>
      <c r="F22" s="47" t="s">
        <v>53</v>
      </c>
      <c r="G22" s="47" t="s">
        <v>53</v>
      </c>
      <c r="H22" s="47" t="s">
        <v>53</v>
      </c>
      <c r="I22" s="47" t="s">
        <v>53</v>
      </c>
      <c r="J22" s="48">
        <f t="shared" si="0"/>
        <v>20</v>
      </c>
    </row>
    <row r="23" spans="1:10" ht="21" customHeight="1" x14ac:dyDescent="0.15">
      <c r="A23" s="47">
        <v>41014048</v>
      </c>
      <c r="B23" s="47">
        <v>0</v>
      </c>
      <c r="C23" s="47" t="s">
        <v>53</v>
      </c>
      <c r="D23" s="47">
        <v>20</v>
      </c>
      <c r="E23" s="47" t="s">
        <v>53</v>
      </c>
      <c r="F23" s="47" t="s">
        <v>53</v>
      </c>
      <c r="G23" s="47" t="s">
        <v>53</v>
      </c>
      <c r="H23" s="47" t="s">
        <v>53</v>
      </c>
      <c r="I23" s="47" t="s">
        <v>53</v>
      </c>
      <c r="J23" s="48">
        <f t="shared" si="0"/>
        <v>20</v>
      </c>
    </row>
    <row r="24" spans="1:10" ht="21" customHeight="1" x14ac:dyDescent="0.15">
      <c r="A24" s="47">
        <v>41014049</v>
      </c>
      <c r="B24" s="47">
        <v>0</v>
      </c>
      <c r="C24" s="47" t="s">
        <v>53</v>
      </c>
      <c r="D24" s="47">
        <v>100</v>
      </c>
      <c r="E24" s="47" t="s">
        <v>53</v>
      </c>
      <c r="F24" s="47" t="s">
        <v>53</v>
      </c>
      <c r="G24" s="47" t="s">
        <v>53</v>
      </c>
      <c r="H24" s="47">
        <v>4</v>
      </c>
      <c r="I24" s="47" t="s">
        <v>53</v>
      </c>
      <c r="J24" s="48">
        <f t="shared" si="0"/>
        <v>100</v>
      </c>
    </row>
    <row r="25" spans="1:10" ht="21" customHeight="1" x14ac:dyDescent="0.15">
      <c r="A25" s="47">
        <v>41014055</v>
      </c>
      <c r="B25" s="47">
        <v>1</v>
      </c>
      <c r="C25" s="47">
        <v>10</v>
      </c>
      <c r="D25" s="47">
        <v>100</v>
      </c>
      <c r="E25" s="47" t="s">
        <v>53</v>
      </c>
      <c r="F25" s="47" t="s">
        <v>53</v>
      </c>
      <c r="G25" s="47">
        <v>1</v>
      </c>
      <c r="H25" s="47" t="s">
        <v>53</v>
      </c>
      <c r="I25" s="47" t="s">
        <v>53</v>
      </c>
      <c r="J25" s="48">
        <f t="shared" si="0"/>
        <v>100</v>
      </c>
    </row>
    <row r="26" spans="1:10" ht="21" customHeight="1" x14ac:dyDescent="0.15">
      <c r="A26" s="47">
        <v>41014056</v>
      </c>
      <c r="B26" s="47">
        <v>0</v>
      </c>
      <c r="C26" s="47" t="s">
        <v>53</v>
      </c>
      <c r="D26" s="47">
        <v>20</v>
      </c>
      <c r="E26" s="47" t="s">
        <v>53</v>
      </c>
      <c r="F26" s="47" t="s">
        <v>53</v>
      </c>
      <c r="G26" s="47" t="s">
        <v>53</v>
      </c>
      <c r="H26" s="47" t="s">
        <v>53</v>
      </c>
      <c r="I26" s="47" t="s">
        <v>53</v>
      </c>
      <c r="J26" s="48">
        <f t="shared" si="0"/>
        <v>20</v>
      </c>
    </row>
    <row r="27" spans="1:10" ht="21" customHeight="1" x14ac:dyDescent="0.15">
      <c r="A27" s="47">
        <v>41014057</v>
      </c>
      <c r="B27" s="47">
        <v>0</v>
      </c>
      <c r="C27" s="47" t="s">
        <v>53</v>
      </c>
      <c r="D27" s="47">
        <v>20</v>
      </c>
      <c r="E27" s="47" t="s">
        <v>53</v>
      </c>
      <c r="F27" s="47" t="s">
        <v>53</v>
      </c>
      <c r="G27" s="47" t="s">
        <v>53</v>
      </c>
      <c r="H27" s="47" t="s">
        <v>53</v>
      </c>
      <c r="I27" s="47" t="s">
        <v>53</v>
      </c>
      <c r="J27" s="48">
        <f t="shared" si="0"/>
        <v>20</v>
      </c>
    </row>
    <row r="28" spans="1:10" ht="21" customHeight="1" x14ac:dyDescent="0.15">
      <c r="A28" s="47">
        <v>41014058</v>
      </c>
      <c r="B28" s="47">
        <v>0</v>
      </c>
      <c r="C28" s="47" t="s">
        <v>53</v>
      </c>
      <c r="D28" s="47">
        <v>20</v>
      </c>
      <c r="E28" s="47" t="s">
        <v>53</v>
      </c>
      <c r="F28" s="47" t="s">
        <v>53</v>
      </c>
      <c r="G28" s="47" t="s">
        <v>53</v>
      </c>
      <c r="H28" s="47" t="s">
        <v>53</v>
      </c>
      <c r="I28" s="47" t="s">
        <v>53</v>
      </c>
      <c r="J28" s="48">
        <f t="shared" si="0"/>
        <v>20</v>
      </c>
    </row>
    <row r="29" spans="1:10" ht="21" customHeight="1" x14ac:dyDescent="0.15">
      <c r="A29" s="47">
        <v>41014059</v>
      </c>
      <c r="B29" s="47">
        <v>0</v>
      </c>
      <c r="C29" s="47">
        <v>100</v>
      </c>
      <c r="D29" s="47">
        <v>100</v>
      </c>
      <c r="E29" s="47">
        <v>80</v>
      </c>
      <c r="F29" s="47" t="s">
        <v>53</v>
      </c>
      <c r="G29" s="47" t="s">
        <v>53</v>
      </c>
      <c r="H29" s="47" t="s">
        <v>53</v>
      </c>
      <c r="I29" s="47" t="s">
        <v>53</v>
      </c>
      <c r="J29" s="48">
        <f t="shared" si="0"/>
        <v>100</v>
      </c>
    </row>
    <row r="30" spans="1:10" ht="21" customHeight="1" x14ac:dyDescent="0.15">
      <c r="A30" s="114">
        <v>41014064</v>
      </c>
      <c r="B30" s="114">
        <v>0</v>
      </c>
      <c r="C30" s="114" t="s">
        <v>53</v>
      </c>
      <c r="D30" s="114">
        <v>20</v>
      </c>
      <c r="E30" s="114" t="s">
        <v>53</v>
      </c>
      <c r="F30" s="114" t="s">
        <v>53</v>
      </c>
      <c r="G30" s="114" t="s">
        <v>53</v>
      </c>
      <c r="H30" s="114" t="s">
        <v>53</v>
      </c>
      <c r="I30" s="114" t="s">
        <v>53</v>
      </c>
      <c r="J30" s="114">
        <f t="shared" ref="J30:J33" si="1">D30</f>
        <v>20</v>
      </c>
    </row>
    <row r="31" spans="1:10" ht="21" customHeight="1" x14ac:dyDescent="0.15">
      <c r="A31" s="117">
        <v>41014065</v>
      </c>
      <c r="B31" s="117">
        <v>0</v>
      </c>
      <c r="C31" s="117" t="s">
        <v>53</v>
      </c>
      <c r="D31" s="117">
        <v>20</v>
      </c>
      <c r="E31" s="117" t="s">
        <v>53</v>
      </c>
      <c r="F31" s="117" t="s">
        <v>53</v>
      </c>
      <c r="G31" s="117" t="s">
        <v>53</v>
      </c>
      <c r="H31" s="117" t="s">
        <v>53</v>
      </c>
      <c r="I31" s="117" t="s">
        <v>53</v>
      </c>
      <c r="J31" s="117">
        <f t="shared" si="1"/>
        <v>20</v>
      </c>
    </row>
    <row r="32" spans="1:10" ht="21" customHeight="1" x14ac:dyDescent="0.15">
      <c r="A32" s="117">
        <v>41014066</v>
      </c>
      <c r="B32" s="117">
        <v>0</v>
      </c>
      <c r="C32" s="117" t="s">
        <v>53</v>
      </c>
      <c r="D32" s="117">
        <v>20</v>
      </c>
      <c r="E32" s="117" t="s">
        <v>53</v>
      </c>
      <c r="F32" s="117" t="s">
        <v>53</v>
      </c>
      <c r="G32" s="117" t="s">
        <v>53</v>
      </c>
      <c r="H32" s="117" t="s">
        <v>53</v>
      </c>
      <c r="I32" s="117" t="s">
        <v>53</v>
      </c>
      <c r="J32" s="117">
        <f t="shared" si="1"/>
        <v>20</v>
      </c>
    </row>
    <row r="33" spans="1:10" ht="21" customHeight="1" x14ac:dyDescent="0.15">
      <c r="A33" s="129">
        <v>41014067</v>
      </c>
      <c r="B33" s="129">
        <v>1</v>
      </c>
      <c r="C33" s="129">
        <v>20</v>
      </c>
      <c r="D33" s="129">
        <v>100</v>
      </c>
      <c r="E33" s="129" t="s">
        <v>53</v>
      </c>
      <c r="F33" s="129" t="s">
        <v>53</v>
      </c>
      <c r="G33" s="129">
        <v>1</v>
      </c>
      <c r="H33" s="129" t="s">
        <v>53</v>
      </c>
      <c r="I33" s="129">
        <v>676</v>
      </c>
      <c r="J33" s="129">
        <f t="shared" si="1"/>
        <v>100</v>
      </c>
    </row>
    <row r="34" spans="1:10" ht="21" customHeight="1" x14ac:dyDescent="0.15">
      <c r="A34" s="129">
        <v>41014068</v>
      </c>
      <c r="B34" s="129">
        <v>1</v>
      </c>
      <c r="C34" s="129">
        <v>30</v>
      </c>
      <c r="D34" s="129">
        <v>100</v>
      </c>
      <c r="E34" s="129" t="s">
        <v>53</v>
      </c>
      <c r="F34" s="129" t="s">
        <v>53</v>
      </c>
      <c r="G34" s="129">
        <v>1</v>
      </c>
      <c r="H34" s="129" t="s">
        <v>53</v>
      </c>
      <c r="I34" s="129">
        <v>677</v>
      </c>
      <c r="J34" s="129">
        <f t="shared" ref="J34:J36" si="2">D34</f>
        <v>100</v>
      </c>
    </row>
    <row r="35" spans="1:10" ht="21" customHeight="1" x14ac:dyDescent="0.15">
      <c r="A35" s="129">
        <v>41014069</v>
      </c>
      <c r="B35" s="129">
        <v>1</v>
      </c>
      <c r="C35" s="129">
        <v>40</v>
      </c>
      <c r="D35" s="129">
        <v>100</v>
      </c>
      <c r="E35" s="129" t="s">
        <v>53</v>
      </c>
      <c r="F35" s="129" t="s">
        <v>53</v>
      </c>
      <c r="G35" s="129">
        <v>1</v>
      </c>
      <c r="H35" s="129" t="s">
        <v>53</v>
      </c>
      <c r="I35" s="129">
        <v>833</v>
      </c>
      <c r="J35" s="129">
        <f t="shared" si="2"/>
        <v>100</v>
      </c>
    </row>
    <row r="36" spans="1:10" ht="21" customHeight="1" x14ac:dyDescent="0.15">
      <c r="A36" s="129">
        <v>41014070</v>
      </c>
      <c r="B36" s="129">
        <v>1</v>
      </c>
      <c r="C36" s="129">
        <v>20</v>
      </c>
      <c r="D36" s="129">
        <v>100</v>
      </c>
      <c r="E36" s="129" t="s">
        <v>53</v>
      </c>
      <c r="F36" s="129" t="s">
        <v>53</v>
      </c>
      <c r="G36" s="129">
        <v>1</v>
      </c>
      <c r="H36" s="129" t="s">
        <v>53</v>
      </c>
      <c r="I36" s="129">
        <v>676</v>
      </c>
      <c r="J36" s="129">
        <f t="shared" si="2"/>
        <v>100</v>
      </c>
    </row>
    <row r="37" spans="1:10" ht="21" customHeight="1" x14ac:dyDescent="0.15">
      <c r="A37" s="129">
        <v>41014071</v>
      </c>
      <c r="B37" s="129">
        <v>1</v>
      </c>
      <c r="C37" s="129">
        <v>30</v>
      </c>
      <c r="D37" s="129">
        <v>100</v>
      </c>
      <c r="E37" s="129" t="s">
        <v>53</v>
      </c>
      <c r="F37" s="129" t="s">
        <v>53</v>
      </c>
      <c r="G37" s="129">
        <v>1</v>
      </c>
      <c r="H37" s="129" t="s">
        <v>53</v>
      </c>
      <c r="I37" s="129">
        <v>677</v>
      </c>
      <c r="J37" s="129">
        <f t="shared" ref="J37:J39" si="3">D37</f>
        <v>100</v>
      </c>
    </row>
    <row r="38" spans="1:10" ht="21" customHeight="1" x14ac:dyDescent="0.15">
      <c r="A38" s="129">
        <v>41014072</v>
      </c>
      <c r="B38" s="129">
        <v>1</v>
      </c>
      <c r="C38" s="129">
        <v>40</v>
      </c>
      <c r="D38" s="129">
        <v>100</v>
      </c>
      <c r="E38" s="129" t="s">
        <v>53</v>
      </c>
      <c r="F38" s="129" t="s">
        <v>53</v>
      </c>
      <c r="G38" s="129">
        <v>1</v>
      </c>
      <c r="H38" s="129" t="s">
        <v>53</v>
      </c>
      <c r="I38" s="129">
        <v>833</v>
      </c>
      <c r="J38" s="129">
        <f t="shared" si="3"/>
        <v>100</v>
      </c>
    </row>
    <row r="39" spans="1:10" ht="21" customHeight="1" x14ac:dyDescent="0.15">
      <c r="A39" s="129">
        <v>41014073</v>
      </c>
      <c r="B39" s="129">
        <v>1</v>
      </c>
      <c r="C39" s="129">
        <v>20</v>
      </c>
      <c r="D39" s="129">
        <v>100</v>
      </c>
      <c r="E39" s="129" t="s">
        <v>53</v>
      </c>
      <c r="F39" s="129" t="s">
        <v>53</v>
      </c>
      <c r="G39" s="129">
        <v>1</v>
      </c>
      <c r="H39" s="129" t="s">
        <v>53</v>
      </c>
      <c r="I39" s="129">
        <v>676</v>
      </c>
      <c r="J39" s="129">
        <f t="shared" si="3"/>
        <v>100</v>
      </c>
    </row>
    <row r="40" spans="1:10" ht="21" customHeight="1" x14ac:dyDescent="0.15">
      <c r="A40" s="129">
        <v>41014074</v>
      </c>
      <c r="B40" s="129">
        <v>1</v>
      </c>
      <c r="C40" s="129">
        <v>30</v>
      </c>
      <c r="D40" s="129">
        <v>100</v>
      </c>
      <c r="E40" s="129" t="s">
        <v>53</v>
      </c>
      <c r="F40" s="129" t="s">
        <v>53</v>
      </c>
      <c r="G40" s="129">
        <v>1</v>
      </c>
      <c r="H40" s="129" t="s">
        <v>53</v>
      </c>
      <c r="I40" s="129">
        <v>677</v>
      </c>
      <c r="J40" s="129">
        <f t="shared" ref="J40:J41" si="4">D40</f>
        <v>100</v>
      </c>
    </row>
    <row r="41" spans="1:10" ht="21" customHeight="1" x14ac:dyDescent="0.15">
      <c r="A41" s="129">
        <v>41014075</v>
      </c>
      <c r="B41" s="129">
        <v>1</v>
      </c>
      <c r="C41" s="129">
        <v>40</v>
      </c>
      <c r="D41" s="129">
        <v>100</v>
      </c>
      <c r="E41" s="129" t="s">
        <v>53</v>
      </c>
      <c r="F41" s="129" t="s">
        <v>53</v>
      </c>
      <c r="G41" s="129">
        <v>1</v>
      </c>
      <c r="H41" s="129" t="s">
        <v>53</v>
      </c>
      <c r="I41" s="129">
        <v>833</v>
      </c>
      <c r="J41" s="129">
        <f t="shared" si="4"/>
        <v>100</v>
      </c>
    </row>
    <row r="42" spans="1:10" ht="21" customHeight="1" x14ac:dyDescent="0.15">
      <c r="A42" s="129">
        <v>41014076</v>
      </c>
      <c r="B42" s="129">
        <v>0</v>
      </c>
      <c r="C42" s="129" t="s">
        <v>314</v>
      </c>
      <c r="D42" s="129">
        <v>100</v>
      </c>
      <c r="E42" s="129" t="s">
        <v>53</v>
      </c>
      <c r="F42" s="129" t="s">
        <v>53</v>
      </c>
      <c r="G42" s="129">
        <v>0</v>
      </c>
      <c r="H42" s="129" t="s">
        <v>53</v>
      </c>
      <c r="I42" s="129">
        <v>676</v>
      </c>
      <c r="J42" s="129">
        <f t="shared" ref="J42" si="5">D42</f>
        <v>100</v>
      </c>
    </row>
    <row r="43" spans="1:10" ht="21" customHeight="1" x14ac:dyDescent="0.15">
      <c r="A43" s="129">
        <v>41014077</v>
      </c>
      <c r="B43" s="129">
        <v>0</v>
      </c>
      <c r="C43" s="129" t="s">
        <v>314</v>
      </c>
      <c r="D43" s="129">
        <v>100</v>
      </c>
      <c r="E43" s="129" t="s">
        <v>53</v>
      </c>
      <c r="F43" s="129" t="s">
        <v>53</v>
      </c>
      <c r="G43" s="129">
        <v>0</v>
      </c>
      <c r="H43" s="129" t="s">
        <v>53</v>
      </c>
      <c r="I43" s="129">
        <v>677</v>
      </c>
      <c r="J43" s="129">
        <f t="shared" ref="J43:J44" si="6">D43</f>
        <v>100</v>
      </c>
    </row>
    <row r="44" spans="1:10" ht="21" customHeight="1" x14ac:dyDescent="0.15">
      <c r="A44" s="129">
        <v>41014078</v>
      </c>
      <c r="B44" s="129">
        <v>0</v>
      </c>
      <c r="C44" s="129" t="s">
        <v>314</v>
      </c>
      <c r="D44" s="129">
        <v>100</v>
      </c>
      <c r="E44" s="129" t="s">
        <v>53</v>
      </c>
      <c r="F44" s="129" t="s">
        <v>53</v>
      </c>
      <c r="G44" s="129">
        <v>0</v>
      </c>
      <c r="H44" s="129" t="s">
        <v>53</v>
      </c>
      <c r="I44" s="129">
        <v>833</v>
      </c>
      <c r="J44" s="129">
        <f t="shared" si="6"/>
        <v>100</v>
      </c>
    </row>
  </sheetData>
  <autoFilter ref="A1:G1"/>
  <phoneticPr fontId="5"/>
  <conditionalFormatting sqref="K45:K1048576 K25:K29 K1:K2">
    <cfRule type="duplicateValues" dxfId="37" priority="72"/>
  </conditionalFormatting>
  <conditionalFormatting sqref="K3">
    <cfRule type="duplicateValues" dxfId="36" priority="67"/>
  </conditionalFormatting>
  <conditionalFormatting sqref="K4">
    <cfRule type="duplicateValues" dxfId="35" priority="66"/>
  </conditionalFormatting>
  <conditionalFormatting sqref="K5">
    <cfRule type="duplicateValues" dxfId="34" priority="62"/>
  </conditionalFormatting>
  <conditionalFormatting sqref="K6">
    <cfRule type="duplicateValues" dxfId="33" priority="61"/>
  </conditionalFormatting>
  <conditionalFormatting sqref="K7">
    <cfRule type="duplicateValues" dxfId="32" priority="60"/>
  </conditionalFormatting>
  <conditionalFormatting sqref="K8">
    <cfRule type="duplicateValues" dxfId="31" priority="59"/>
  </conditionalFormatting>
  <conditionalFormatting sqref="K9">
    <cfRule type="duplicateValues" dxfId="30" priority="57"/>
  </conditionalFormatting>
  <conditionalFormatting sqref="K10">
    <cfRule type="duplicateValues" dxfId="29" priority="56"/>
  </conditionalFormatting>
  <conditionalFormatting sqref="K11">
    <cfRule type="duplicateValues" dxfId="28" priority="55"/>
  </conditionalFormatting>
  <conditionalFormatting sqref="K12">
    <cfRule type="duplicateValues" dxfId="27" priority="54"/>
  </conditionalFormatting>
  <conditionalFormatting sqref="K13">
    <cfRule type="duplicateValues" dxfId="26" priority="52"/>
  </conditionalFormatting>
  <conditionalFormatting sqref="K14">
    <cfRule type="duplicateValues" dxfId="25" priority="42"/>
  </conditionalFormatting>
  <conditionalFormatting sqref="K15">
    <cfRule type="duplicateValues" dxfId="24" priority="37"/>
  </conditionalFormatting>
  <conditionalFormatting sqref="K16">
    <cfRule type="duplicateValues" dxfId="23" priority="36"/>
  </conditionalFormatting>
  <conditionalFormatting sqref="K17">
    <cfRule type="duplicateValues" dxfId="22" priority="35"/>
  </conditionalFormatting>
  <conditionalFormatting sqref="K18">
    <cfRule type="duplicateValues" dxfId="21" priority="34"/>
  </conditionalFormatting>
  <conditionalFormatting sqref="K19">
    <cfRule type="duplicateValues" dxfId="20" priority="33"/>
  </conditionalFormatting>
  <conditionalFormatting sqref="K20">
    <cfRule type="duplicateValues" dxfId="19" priority="27"/>
  </conditionalFormatting>
  <conditionalFormatting sqref="K21">
    <cfRule type="duplicateValues" dxfId="18" priority="26"/>
  </conditionalFormatting>
  <conditionalFormatting sqref="K22">
    <cfRule type="duplicateValues" dxfId="17" priority="25"/>
  </conditionalFormatting>
  <conditionalFormatting sqref="K23">
    <cfRule type="duplicateValues" dxfId="16" priority="24"/>
  </conditionalFormatting>
  <conditionalFormatting sqref="K24">
    <cfRule type="duplicateValues" dxfId="15" priority="23"/>
  </conditionalFormatting>
  <conditionalFormatting sqref="K30">
    <cfRule type="duplicateValues" dxfId="14" priority="17"/>
  </conditionalFormatting>
  <conditionalFormatting sqref="K31">
    <cfRule type="duplicateValues" dxfId="13" priority="14"/>
  </conditionalFormatting>
  <conditionalFormatting sqref="K32">
    <cfRule type="duplicateValues" dxfId="12" priority="13"/>
  </conditionalFormatting>
  <conditionalFormatting sqref="K33">
    <cfRule type="duplicateValues" dxfId="11" priority="12"/>
  </conditionalFormatting>
  <conditionalFormatting sqref="K34">
    <cfRule type="duplicateValues" dxfId="10" priority="11"/>
  </conditionalFormatting>
  <conditionalFormatting sqref="K35">
    <cfRule type="duplicateValues" dxfId="9" priority="10"/>
  </conditionalFormatting>
  <conditionalFormatting sqref="K36">
    <cfRule type="duplicateValues" dxfId="8" priority="9"/>
  </conditionalFormatting>
  <conditionalFormatting sqref="K37">
    <cfRule type="duplicateValues" dxfId="7" priority="8"/>
  </conditionalFormatting>
  <conditionalFormatting sqref="K38">
    <cfRule type="duplicateValues" dxfId="6" priority="7"/>
  </conditionalFormatting>
  <conditionalFormatting sqref="K39">
    <cfRule type="duplicateValues" dxfId="5" priority="6"/>
  </conditionalFormatting>
  <conditionalFormatting sqref="K40">
    <cfRule type="duplicateValues" dxfId="4" priority="5"/>
  </conditionalFormatting>
  <conditionalFormatting sqref="K41">
    <cfRule type="duplicateValues" dxfId="3" priority="4"/>
  </conditionalFormatting>
  <conditionalFormatting sqref="K42">
    <cfRule type="duplicateValues" dxfId="2" priority="3"/>
  </conditionalFormatting>
  <conditionalFormatting sqref="K43">
    <cfRule type="duplicateValues" dxfId="1" priority="2"/>
  </conditionalFormatting>
  <conditionalFormatting sqref="K44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/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149</v>
      </c>
      <c r="B1" s="65" t="s">
        <v>150</v>
      </c>
      <c r="C1" s="66" t="s">
        <v>151</v>
      </c>
      <c r="D1" s="73" t="s">
        <v>152</v>
      </c>
      <c r="E1" s="67" t="s">
        <v>153</v>
      </c>
      <c r="F1" s="65" t="s">
        <v>154</v>
      </c>
      <c r="G1" s="65" t="s">
        <v>155</v>
      </c>
      <c r="H1" s="65" t="s">
        <v>156</v>
      </c>
      <c r="I1" s="65" t="s">
        <v>157</v>
      </c>
      <c r="J1" s="65" t="s">
        <v>158</v>
      </c>
      <c r="K1" s="65" t="s">
        <v>159</v>
      </c>
      <c r="L1" s="65" t="s">
        <v>160</v>
      </c>
      <c r="M1" s="65" t="s">
        <v>161</v>
      </c>
      <c r="N1" s="65" t="s">
        <v>162</v>
      </c>
      <c r="O1" s="65" t="s">
        <v>163</v>
      </c>
      <c r="P1" s="65" t="s">
        <v>164</v>
      </c>
      <c r="Q1" s="65" t="s">
        <v>165</v>
      </c>
      <c r="R1" s="65" t="s">
        <v>166</v>
      </c>
    </row>
    <row r="2" spans="1:18" x14ac:dyDescent="0.15">
      <c r="A2" s="57">
        <v>41014</v>
      </c>
      <c r="B2" s="57">
        <v>2</v>
      </c>
      <c r="C2" s="72" t="str">
        <f t="shared" ref="C2:C10" si="0">A2&amp; "_"&amp;B2</f>
        <v>41014_2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305</v>
      </c>
      <c r="G2" s="57">
        <v>342</v>
      </c>
      <c r="H2" s="57">
        <v>1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50</v>
      </c>
      <c r="Q2" s="57" t="s">
        <v>168</v>
      </c>
      <c r="R2" s="57" t="s">
        <v>169</v>
      </c>
    </row>
    <row r="3" spans="1:18" x14ac:dyDescent="0.15">
      <c r="A3" s="57">
        <v>41014</v>
      </c>
      <c r="B3" s="57">
        <v>2</v>
      </c>
      <c r="C3" s="72" t="str">
        <f t="shared" si="0"/>
        <v>41014_2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305</v>
      </c>
      <c r="G3" s="57">
        <v>352</v>
      </c>
      <c r="H3" s="57">
        <v>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120</v>
      </c>
      <c r="Q3" s="57" t="s">
        <v>168</v>
      </c>
      <c r="R3" s="57" t="s">
        <v>169</v>
      </c>
    </row>
    <row r="4" spans="1:18" x14ac:dyDescent="0.15">
      <c r="A4" s="57">
        <v>41014</v>
      </c>
      <c r="B4" s="57">
        <v>2</v>
      </c>
      <c r="C4" s="72" t="str">
        <f t="shared" si="0"/>
        <v>41014_2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305</v>
      </c>
      <c r="G4" s="57">
        <v>607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100</v>
      </c>
      <c r="Q4" s="57" t="s">
        <v>168</v>
      </c>
      <c r="R4" s="57" t="s">
        <v>169</v>
      </c>
    </row>
    <row r="5" spans="1:18" x14ac:dyDescent="0.15">
      <c r="A5" s="57">
        <v>41014</v>
      </c>
      <c r="B5" s="57">
        <v>2</v>
      </c>
      <c r="C5" s="72" t="str">
        <f t="shared" si="0"/>
        <v>41014_2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305</v>
      </c>
      <c r="G5" s="57">
        <v>608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100</v>
      </c>
      <c r="Q5" s="57" t="s">
        <v>168</v>
      </c>
      <c r="R5" s="57" t="s">
        <v>169</v>
      </c>
    </row>
    <row r="6" spans="1:18" x14ac:dyDescent="0.15">
      <c r="A6" s="57">
        <v>41014</v>
      </c>
      <c r="B6" s="57">
        <v>2</v>
      </c>
      <c r="C6" s="72" t="str">
        <f t="shared" si="0"/>
        <v>41014_2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305</v>
      </c>
      <c r="G6" s="57">
        <v>609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100</v>
      </c>
      <c r="Q6" s="57" t="s">
        <v>168</v>
      </c>
      <c r="R6" s="57" t="s">
        <v>169</v>
      </c>
    </row>
    <row r="7" spans="1:18" x14ac:dyDescent="0.15">
      <c r="A7" s="57">
        <v>41014</v>
      </c>
      <c r="B7" s="57">
        <v>2</v>
      </c>
      <c r="C7" s="72" t="str">
        <f t="shared" si="0"/>
        <v>41014_2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305</v>
      </c>
      <c r="G7" s="57">
        <v>656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500</v>
      </c>
      <c r="Q7" s="57" t="s">
        <v>168</v>
      </c>
      <c r="R7" s="57" t="s">
        <v>169</v>
      </c>
    </row>
    <row r="8" spans="1:18" x14ac:dyDescent="0.15">
      <c r="A8" s="57">
        <v>41014</v>
      </c>
      <c r="B8" s="57">
        <v>2</v>
      </c>
      <c r="C8" s="72" t="str">
        <f t="shared" si="0"/>
        <v>41014_2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305</v>
      </c>
      <c r="G8" s="57">
        <v>125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30</v>
      </c>
      <c r="Q8" s="57" t="s">
        <v>168</v>
      </c>
      <c r="R8" s="57" t="s">
        <v>169</v>
      </c>
    </row>
    <row r="9" spans="1:18" s="113" customFormat="1" x14ac:dyDescent="0.15">
      <c r="A9" s="112">
        <f>floors!C8</f>
        <v>41014</v>
      </c>
      <c r="B9" s="112">
        <v>1</v>
      </c>
      <c r="C9" s="72" t="str">
        <f t="shared" si="0"/>
        <v>41014_1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112">
        <v>1</v>
      </c>
      <c r="F9" s="112" t="s">
        <v>167</v>
      </c>
      <c r="G9" s="112">
        <v>40000</v>
      </c>
      <c r="H9" s="112" t="s">
        <v>322</v>
      </c>
      <c r="I9" s="112">
        <v>1</v>
      </c>
      <c r="J9" s="112">
        <v>1</v>
      </c>
      <c r="K9" s="112">
        <v>0</v>
      </c>
      <c r="L9" s="112">
        <v>0</v>
      </c>
      <c r="M9" s="112">
        <v>0</v>
      </c>
      <c r="N9" s="112">
        <v>0</v>
      </c>
      <c r="O9" s="112">
        <v>1</v>
      </c>
      <c r="P9" s="112">
        <v>150</v>
      </c>
      <c r="Q9" s="112" t="s">
        <v>168</v>
      </c>
      <c r="R9" s="112" t="s">
        <v>169</v>
      </c>
    </row>
    <row r="10" spans="1:18" s="113" customFormat="1" x14ac:dyDescent="0.15">
      <c r="A10" s="112">
        <f>floors!C9</f>
        <v>41014</v>
      </c>
      <c r="B10" s="112">
        <v>1</v>
      </c>
      <c r="C10" s="72" t="str">
        <f t="shared" si="0"/>
        <v>41014_1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112">
        <v>2</v>
      </c>
      <c r="F10" s="112" t="s">
        <v>304</v>
      </c>
      <c r="G10" s="112">
        <v>30</v>
      </c>
      <c r="H10" s="112" t="s">
        <v>322</v>
      </c>
      <c r="I10" s="112">
        <v>1</v>
      </c>
      <c r="J10" s="112">
        <v>1</v>
      </c>
      <c r="K10" s="112">
        <v>0</v>
      </c>
      <c r="L10" s="112">
        <v>0</v>
      </c>
      <c r="M10" s="112">
        <v>0</v>
      </c>
      <c r="N10" s="112">
        <v>0</v>
      </c>
      <c r="O10" s="112">
        <v>1</v>
      </c>
      <c r="P10" s="112">
        <v>150</v>
      </c>
      <c r="Q10" s="112" t="s">
        <v>168</v>
      </c>
      <c r="R10" s="112" t="s">
        <v>169</v>
      </c>
    </row>
    <row r="11" spans="1:18" s="113" customFormat="1" x14ac:dyDescent="0.15">
      <c r="A11" s="112">
        <v>41014</v>
      </c>
      <c r="B11" s="112">
        <v>1</v>
      </c>
      <c r="C11" s="72" t="str">
        <f t="shared" ref="C11:C18" si="1">A11&amp; "_"&amp;B11</f>
        <v>41014_1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12">
        <v>3</v>
      </c>
      <c r="F11" s="112" t="s">
        <v>305</v>
      </c>
      <c r="G11" s="112">
        <v>341</v>
      </c>
      <c r="H11" s="112">
        <v>1</v>
      </c>
      <c r="I11" s="112">
        <v>1</v>
      </c>
      <c r="J11" s="112">
        <v>1</v>
      </c>
      <c r="K11" s="112">
        <v>0</v>
      </c>
      <c r="L11" s="112">
        <v>0</v>
      </c>
      <c r="M11" s="112">
        <v>0</v>
      </c>
      <c r="N11" s="112">
        <v>0</v>
      </c>
      <c r="O11" s="112">
        <v>1</v>
      </c>
      <c r="P11" s="112">
        <v>28</v>
      </c>
      <c r="Q11" s="112" t="s">
        <v>168</v>
      </c>
      <c r="R11" s="112" t="s">
        <v>169</v>
      </c>
    </row>
    <row r="12" spans="1:18" s="113" customFormat="1" x14ac:dyDescent="0.15">
      <c r="A12" s="112">
        <v>41014</v>
      </c>
      <c r="B12" s="112">
        <v>1</v>
      </c>
      <c r="C12" s="72" t="str">
        <f t="shared" si="1"/>
        <v>41014_1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12">
        <v>4</v>
      </c>
      <c r="F12" s="112" t="s">
        <v>305</v>
      </c>
      <c r="G12" s="112">
        <v>342</v>
      </c>
      <c r="H12" s="112">
        <v>1</v>
      </c>
      <c r="I12" s="112">
        <v>1</v>
      </c>
      <c r="J12" s="112">
        <v>1</v>
      </c>
      <c r="K12" s="112">
        <v>0</v>
      </c>
      <c r="L12" s="112">
        <v>0</v>
      </c>
      <c r="M12" s="112">
        <v>0</v>
      </c>
      <c r="N12" s="112">
        <v>0</v>
      </c>
      <c r="O12" s="112">
        <v>1</v>
      </c>
      <c r="P12" s="112">
        <v>112</v>
      </c>
      <c r="Q12" s="112" t="s">
        <v>168</v>
      </c>
      <c r="R12" s="112" t="s">
        <v>169</v>
      </c>
    </row>
    <row r="13" spans="1:18" s="113" customFormat="1" x14ac:dyDescent="0.15">
      <c r="A13" s="112">
        <v>41014</v>
      </c>
      <c r="B13" s="112">
        <v>1</v>
      </c>
      <c r="C13" s="72" t="str">
        <f t="shared" si="1"/>
        <v>41014_1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112">
        <v>5</v>
      </c>
      <c r="F13" s="112" t="s">
        <v>305</v>
      </c>
      <c r="G13" s="112">
        <v>352</v>
      </c>
      <c r="H13" s="112">
        <v>1</v>
      </c>
      <c r="I13" s="112">
        <v>1</v>
      </c>
      <c r="J13" s="112">
        <v>1</v>
      </c>
      <c r="K13" s="112">
        <v>0</v>
      </c>
      <c r="L13" s="112">
        <v>0</v>
      </c>
      <c r="M13" s="112">
        <v>0</v>
      </c>
      <c r="N13" s="112">
        <v>0</v>
      </c>
      <c r="O13" s="112">
        <v>1</v>
      </c>
      <c r="P13" s="112">
        <v>150</v>
      </c>
      <c r="Q13" s="112" t="s">
        <v>168</v>
      </c>
      <c r="R13" s="112" t="s">
        <v>169</v>
      </c>
    </row>
    <row r="14" spans="1:18" s="113" customFormat="1" x14ac:dyDescent="0.15">
      <c r="A14" s="112">
        <v>41014</v>
      </c>
      <c r="B14" s="112">
        <v>1</v>
      </c>
      <c r="C14" s="72" t="str">
        <f t="shared" si="1"/>
        <v>41014_1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112">
        <v>6</v>
      </c>
      <c r="F14" s="112" t="s">
        <v>305</v>
      </c>
      <c r="G14" s="112">
        <v>121</v>
      </c>
      <c r="H14" s="112">
        <v>1</v>
      </c>
      <c r="I14" s="112">
        <v>1</v>
      </c>
      <c r="J14" s="112">
        <v>1</v>
      </c>
      <c r="K14" s="112">
        <v>0</v>
      </c>
      <c r="L14" s="112">
        <v>0</v>
      </c>
      <c r="M14" s="112">
        <v>0</v>
      </c>
      <c r="N14" s="112">
        <v>0</v>
      </c>
      <c r="O14" s="112">
        <v>1</v>
      </c>
      <c r="P14" s="112">
        <v>100</v>
      </c>
      <c r="Q14" s="112" t="s">
        <v>168</v>
      </c>
      <c r="R14" s="112" t="s">
        <v>169</v>
      </c>
    </row>
    <row r="15" spans="1:18" s="113" customFormat="1" x14ac:dyDescent="0.15">
      <c r="A15" s="112">
        <v>41014</v>
      </c>
      <c r="B15" s="112">
        <v>1</v>
      </c>
      <c r="C15" s="72" t="str">
        <f t="shared" si="1"/>
        <v>41014_1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112">
        <v>7</v>
      </c>
      <c r="F15" s="112" t="s">
        <v>305</v>
      </c>
      <c r="G15" s="112">
        <v>122</v>
      </c>
      <c r="H15" s="112">
        <v>1</v>
      </c>
      <c r="I15" s="112">
        <v>1</v>
      </c>
      <c r="J15" s="112">
        <v>1</v>
      </c>
      <c r="K15" s="112">
        <v>0</v>
      </c>
      <c r="L15" s="112">
        <v>0</v>
      </c>
      <c r="M15" s="112">
        <v>0</v>
      </c>
      <c r="N15" s="112">
        <v>0</v>
      </c>
      <c r="O15" s="112">
        <v>1</v>
      </c>
      <c r="P15" s="112">
        <v>100</v>
      </c>
      <c r="Q15" s="112" t="s">
        <v>168</v>
      </c>
      <c r="R15" s="112" t="s">
        <v>169</v>
      </c>
    </row>
    <row r="16" spans="1:18" s="113" customFormat="1" x14ac:dyDescent="0.15">
      <c r="A16" s="112">
        <v>41014</v>
      </c>
      <c r="B16" s="112">
        <v>1</v>
      </c>
      <c r="C16" s="72" t="str">
        <f t="shared" si="1"/>
        <v>41014_1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112">
        <v>8</v>
      </c>
      <c r="F16" s="112" t="s">
        <v>305</v>
      </c>
      <c r="G16" s="112">
        <v>123</v>
      </c>
      <c r="H16" s="112">
        <v>1</v>
      </c>
      <c r="I16" s="112">
        <v>1</v>
      </c>
      <c r="J16" s="112">
        <v>1</v>
      </c>
      <c r="K16" s="112">
        <v>0</v>
      </c>
      <c r="L16" s="112">
        <v>0</v>
      </c>
      <c r="M16" s="112">
        <v>0</v>
      </c>
      <c r="N16" s="112">
        <v>0</v>
      </c>
      <c r="O16" s="112">
        <v>1</v>
      </c>
      <c r="P16" s="112">
        <v>100</v>
      </c>
      <c r="Q16" s="112" t="s">
        <v>168</v>
      </c>
      <c r="R16" s="112" t="s">
        <v>169</v>
      </c>
    </row>
    <row r="17" spans="1:18" s="113" customFormat="1" x14ac:dyDescent="0.15">
      <c r="A17" s="112">
        <v>41014</v>
      </c>
      <c r="B17" s="112">
        <v>1</v>
      </c>
      <c r="C17" s="72" t="str">
        <f t="shared" ref="C17" si="2">A17&amp; "_"&amp;B17</f>
        <v>41014_1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112">
        <v>9</v>
      </c>
      <c r="F17" s="112" t="s">
        <v>305</v>
      </c>
      <c r="G17" s="112">
        <v>656</v>
      </c>
      <c r="H17" s="112">
        <v>1</v>
      </c>
      <c r="I17" s="112">
        <v>1</v>
      </c>
      <c r="J17" s="112">
        <v>1</v>
      </c>
      <c r="K17" s="112">
        <v>0</v>
      </c>
      <c r="L17" s="112">
        <v>0</v>
      </c>
      <c r="M17" s="112">
        <v>0</v>
      </c>
      <c r="N17" s="112">
        <v>0</v>
      </c>
      <c r="O17" s="112">
        <v>1</v>
      </c>
      <c r="P17" s="112">
        <v>100</v>
      </c>
      <c r="Q17" s="112" t="s">
        <v>168</v>
      </c>
      <c r="R17" s="112" t="s">
        <v>169</v>
      </c>
    </row>
    <row r="18" spans="1:18" s="113" customFormat="1" x14ac:dyDescent="0.15">
      <c r="A18" s="112">
        <v>41014</v>
      </c>
      <c r="B18" s="112">
        <v>1</v>
      </c>
      <c r="C18" s="72" t="str">
        <f t="shared" si="1"/>
        <v>41014_1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12">
        <v>10</v>
      </c>
      <c r="F18" s="112" t="s">
        <v>305</v>
      </c>
      <c r="G18" s="112">
        <v>125</v>
      </c>
      <c r="H18" s="112">
        <v>1</v>
      </c>
      <c r="I18" s="112">
        <v>1</v>
      </c>
      <c r="J18" s="112">
        <v>1</v>
      </c>
      <c r="K18" s="112">
        <v>0</v>
      </c>
      <c r="L18" s="112">
        <v>0</v>
      </c>
      <c r="M18" s="112">
        <v>0</v>
      </c>
      <c r="N18" s="112">
        <v>0</v>
      </c>
      <c r="O18" s="112">
        <v>1</v>
      </c>
      <c r="P18" s="112">
        <v>10</v>
      </c>
      <c r="Q18" s="112" t="s">
        <v>168</v>
      </c>
      <c r="R18" s="112" t="s">
        <v>169</v>
      </c>
    </row>
  </sheetData>
  <phoneticPr fontId="5"/>
  <dataValidations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27"/>
  <sheetViews>
    <sheetView showGridLines="0" workbookViewId="0">
      <pane ySplit="1" topLeftCell="A2" activePane="bottomLeft" state="frozen"/>
      <selection pane="bottomLeft" activeCell="E15" sqref="E15:E27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186</v>
      </c>
      <c r="B1" s="74" t="s">
        <v>187</v>
      </c>
      <c r="C1" s="78" t="s">
        <v>188</v>
      </c>
      <c r="D1" s="78" t="s">
        <v>33</v>
      </c>
      <c r="E1" s="74" t="s">
        <v>189</v>
      </c>
      <c r="F1" s="78" t="s">
        <v>190</v>
      </c>
      <c r="G1" s="78" t="s">
        <v>33</v>
      </c>
      <c r="H1" s="74" t="s">
        <v>191</v>
      </c>
      <c r="I1" s="92" t="s">
        <v>193</v>
      </c>
      <c r="J1" s="80" t="s">
        <v>125</v>
      </c>
      <c r="K1" s="79" t="s">
        <v>185</v>
      </c>
      <c r="L1" s="93" t="s">
        <v>184</v>
      </c>
      <c r="M1" s="81" t="s">
        <v>194</v>
      </c>
    </row>
    <row r="2" spans="1:13" x14ac:dyDescent="0.15">
      <c r="A2" s="82" t="s">
        <v>199</v>
      </c>
      <c r="B2" s="83">
        <f>floors!$C$2</f>
        <v>41014</v>
      </c>
      <c r="C2" s="84" t="str">
        <f ca="1">VLOOKUP($B2,OFFSET([2]quests!$A$1,0,0,COUNTA([2]quests!$A:$A),MATCH(C$1,[2]quests!$1:$1,0)-MATCH($B$1,[2]quests!$1:$1,0)+1),MATCH(C$1,[2]quests!$1:$1,0)-MATCH($B$1,[2]quests!$1:$1,0)+1,FALSE)</f>
        <v>シヴァ襲来！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降臨1</v>
      </c>
      <c r="E2" s="88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【超絶級】シヴァ襲来</v>
      </c>
      <c r="G2" s="84">
        <f ca="1">VLOOKUP($B2&amp;"_"&amp;$E2,OFFSET([2]stages!$A$1,0,0,COUNTA([2]stages!$A:$A),MATCH(G$1,[2]stages!$2:$2,0)-MATCH("temp_stage",[2]stages!$2:$2,0)+1),MATCH(G$1,[2]stages!$2:$2,0)-MATCH("temp_stage",[2]stages!$2:$2,0)+1,FALSE)</f>
        <v>0</v>
      </c>
      <c r="H2" s="86">
        <v>0</v>
      </c>
      <c r="I2">
        <v>12</v>
      </c>
      <c r="J2" s="85" t="s">
        <v>196</v>
      </c>
      <c r="K2" s="94" t="str">
        <f>VLOOKUP(I2,[7]stage_hints!$A:$C,3,FALSE)</f>
        <v>ユニットのお気に入り登録</v>
      </c>
      <c r="L2" s="95" t="str">
        <f>VLOOKUP(I2,[7]stage_hints!$A:$D,4,FALSE)</f>
        <v>大事なユニットを誤って消さないように_x000D_フォルダから「お気に入り登録」しましょう</v>
      </c>
      <c r="M2" s="57" t="s">
        <v>209</v>
      </c>
    </row>
    <row r="3" spans="1:13" x14ac:dyDescent="0.15">
      <c r="A3" s="82" t="s">
        <v>199</v>
      </c>
      <c r="B3" s="83">
        <f>floors!$C$2</f>
        <v>41014</v>
      </c>
      <c r="C3" s="84" t="str">
        <f ca="1">VLOOKUP($B3,OFFSET([2]quests!$A$1,0,0,COUNTA([2]quests!$A:$A),MATCH(C$1,[2]quests!$1:$1,0)-MATCH($B$1,[2]quests!$1:$1,0)+1),MATCH(C$1,[2]quests!$1:$1,0)-MATCH($B$1,[2]quests!$1:$1,0)+1,FALSE)</f>
        <v>シヴァ襲来！</v>
      </c>
      <c r="D3" s="84" t="str">
        <f ca="1">VLOOKUP($B3,OFFSET([2]quests!$A$1,0,0,COUNTA([2]quests!$A:$A),MATCH(D$1,[2]quests!$1:$1,0)-MATCH($B$1,[2]quests!$1:$1,0)+1),MATCH(D$1,[2]quests!$1:$1,0)-MATCH($B$1,[2]quests!$1:$1,0)+1,FALSE)</f>
        <v>降臨1</v>
      </c>
      <c r="E3" s="88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【超絶級】シヴァ襲来</v>
      </c>
      <c r="G3" s="84">
        <f ca="1">VLOOKUP($B3&amp;"_"&amp;$E3,OFFSET([2]stages!$A$1,0,0,COUNTA([2]stages!$A:$A),MATCH(G$1,[2]stages!$2:$2,0)-MATCH("temp_stage",[2]stages!$2:$2,0)+1),MATCH(G$1,[2]stages!$2:$2,0)-MATCH("temp_stage",[2]stages!$2:$2,0)+1,FALSE)</f>
        <v>0</v>
      </c>
      <c r="H3" s="86">
        <v>0</v>
      </c>
      <c r="I3">
        <v>17</v>
      </c>
      <c r="J3" s="85" t="s">
        <v>196</v>
      </c>
      <c r="K3" s="94" t="str">
        <f>VLOOKUP(I3,[7]stage_hints!$A:$C,3,FALSE)</f>
        <v>リンクガチャ</v>
      </c>
      <c r="L3" s="95" t="str">
        <f>VLOOKUP(I3,[7]stage_hints!$A:$D,4,FALSE)</f>
        <v>無料のリンクガチャを回して_x000D_経験値素材や売却素材を獲得しましょう</v>
      </c>
      <c r="M3" s="57" t="s">
        <v>209</v>
      </c>
    </row>
    <row r="4" spans="1:13" x14ac:dyDescent="0.15">
      <c r="A4" s="82" t="s">
        <v>199</v>
      </c>
      <c r="B4" s="83">
        <f>floors!$C$2</f>
        <v>41014</v>
      </c>
      <c r="C4" s="84" t="str">
        <f ca="1">VLOOKUP($B4,OFFSET([2]quests!$A$1,0,0,COUNTA([2]quests!$A:$A),MATCH(C$1,[2]quests!$1:$1,0)-MATCH($B$1,[2]quests!$1:$1,0)+1),MATCH(C$1,[2]quests!$1:$1,0)-MATCH($B$1,[2]quests!$1:$1,0)+1,FALSE)</f>
        <v>シヴァ襲来！</v>
      </c>
      <c r="D4" s="84" t="str">
        <f ca="1">VLOOKUP($B4,OFFSET([2]quests!$A$1,0,0,COUNTA([2]quests!$A:$A),MATCH(D$1,[2]quests!$1:$1,0)-MATCH($B$1,[2]quests!$1:$1,0)+1),MATCH(D$1,[2]quests!$1:$1,0)-MATCH($B$1,[2]quests!$1:$1,0)+1,FALSE)</f>
        <v>降臨1</v>
      </c>
      <c r="E4" s="88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【超絶級】シヴァ襲来</v>
      </c>
      <c r="G4" s="84">
        <f ca="1">VLOOKUP($B4&amp;"_"&amp;$E4,OFFSET([2]stages!$A$1,0,0,COUNTA([2]stages!$A:$A),MATCH(G$1,[2]stages!$2:$2,0)-MATCH("temp_stage",[2]stages!$2:$2,0)+1),MATCH(G$1,[2]stages!$2:$2,0)-MATCH("temp_stage",[2]stages!$2:$2,0)+1,FALSE)</f>
        <v>0</v>
      </c>
      <c r="H4" s="86">
        <v>0</v>
      </c>
      <c r="I4">
        <v>19</v>
      </c>
      <c r="J4" s="85" t="s">
        <v>196</v>
      </c>
      <c r="K4" s="94" t="str">
        <f>VLOOKUP(I4,[7]stage_hints!$A:$C,3,FALSE)</f>
        <v>ソロ専用チャレンジタワー</v>
      </c>
      <c r="L4" s="95" t="str">
        <f>VLOOKUP(I4,[7]stage_hints!$A:$D,4,FALSE)</f>
        <v>ソロ専用の「チャレンジタワー」では_x000D_各フロアごとにクリア報酬がもらえます</v>
      </c>
      <c r="M4" s="57" t="s">
        <v>209</v>
      </c>
    </row>
    <row r="5" spans="1:13" x14ac:dyDescent="0.15">
      <c r="A5" s="82" t="s">
        <v>199</v>
      </c>
      <c r="B5" s="83">
        <f>floors!$C$2</f>
        <v>41014</v>
      </c>
      <c r="C5" s="84" t="str">
        <f ca="1">VLOOKUP($B5,OFFSET([2]quests!$A$1,0,0,COUNTA([2]quests!$A:$A),MATCH(C$1,[2]quests!$1:$1,0)-MATCH($B$1,[2]quests!$1:$1,0)+1),MATCH(C$1,[2]quests!$1:$1,0)-MATCH($B$1,[2]quests!$1:$1,0)+1,FALSE)</f>
        <v>シヴァ襲来！</v>
      </c>
      <c r="D5" s="84" t="str">
        <f ca="1">VLOOKUP($B5,OFFSET([2]quests!$A$1,0,0,COUNTA([2]quests!$A:$A),MATCH(D$1,[2]quests!$1:$1,0)-MATCH($B$1,[2]quests!$1:$1,0)+1),MATCH(D$1,[2]quests!$1:$1,0)-MATCH($B$1,[2]quests!$1:$1,0)+1,FALSE)</f>
        <v>降臨1</v>
      </c>
      <c r="E5" s="88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【超絶級】シヴァ襲来</v>
      </c>
      <c r="G5" s="84">
        <f ca="1">VLOOKUP($B5&amp;"_"&amp;$E5,OFFSET([2]stages!$A$1,0,0,COUNTA([2]stages!$A:$A),MATCH(G$1,[2]stages!$2:$2,0)-MATCH("temp_stage",[2]stages!$2:$2,0)+1),MATCH(G$1,[2]stages!$2:$2,0)-MATCH("temp_stage",[2]stages!$2:$2,0)+1,FALSE)</f>
        <v>0</v>
      </c>
      <c r="H5" s="86">
        <v>0</v>
      </c>
      <c r="I5">
        <v>21</v>
      </c>
      <c r="J5" s="85" t="s">
        <v>196</v>
      </c>
      <c r="K5" s="94" t="str">
        <f>VLOOKUP(I5,[7]stage_hints!$A:$C,3,FALSE)</f>
        <v>スキルを有効に</v>
      </c>
      <c r="L5" s="95" t="str">
        <f>VLOOKUP(I5,[7]stage_hints!$A:$D,4,FALSE)</f>
        <v>ターン経過でユニットのスキルが使えます_x000D_強力スキルでバトルを有利に進めましょう</v>
      </c>
      <c r="M5" s="57" t="s">
        <v>209</v>
      </c>
    </row>
    <row r="6" spans="1:13" x14ac:dyDescent="0.15">
      <c r="A6" s="82" t="s">
        <v>199</v>
      </c>
      <c r="B6" s="83">
        <f>floors!$C$2</f>
        <v>41014</v>
      </c>
      <c r="C6" s="84" t="str">
        <f ca="1">VLOOKUP($B6,OFFSET([2]quests!$A$1,0,0,COUNTA([2]quests!$A:$A),MATCH(C$1,[2]quests!$1:$1,0)-MATCH($B$1,[2]quests!$1:$1,0)+1),MATCH(C$1,[2]quests!$1:$1,0)-MATCH($B$1,[2]quests!$1:$1,0)+1,FALSE)</f>
        <v>シヴァ襲来！</v>
      </c>
      <c r="D6" s="84" t="str">
        <f ca="1">VLOOKUP($B6,OFFSET([2]quests!$A$1,0,0,COUNTA([2]quests!$A:$A),MATCH(D$1,[2]quests!$1:$1,0)-MATCH($B$1,[2]quests!$1:$1,0)+1),MATCH(D$1,[2]quests!$1:$1,0)-MATCH($B$1,[2]quests!$1:$1,0)+1,FALSE)</f>
        <v>降臨1</v>
      </c>
      <c r="E6" s="88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【超絶級】シヴァ襲来</v>
      </c>
      <c r="G6" s="84">
        <f ca="1">VLOOKUP($B6&amp;"_"&amp;$E6,OFFSET([2]stages!$A$1,0,0,COUNTA([2]stages!$A:$A),MATCH(G$1,[2]stages!$2:$2,0)-MATCH("temp_stage",[2]stages!$2:$2,0)+1),MATCH(G$1,[2]stages!$2:$2,0)-MATCH("temp_stage",[2]stages!$2:$2,0)+1,FALSE)</f>
        <v>0</v>
      </c>
      <c r="H6" s="86">
        <v>0</v>
      </c>
      <c r="I6">
        <v>29</v>
      </c>
      <c r="J6" s="85" t="s">
        <v>196</v>
      </c>
      <c r="K6" s="94" t="str">
        <f>VLOOKUP(I6,[7]stage_hints!$A:$C,3,FALSE)</f>
        <v>「バグ」のメリット</v>
      </c>
      <c r="L6" s="95" t="str">
        <f>VLOOKUP(I6,[7]stage_hints!$A:$D,4,FALSE)</f>
        <v>ユニットの「バグ」を増やすと_x000D_報酬をもらえる確率がアップします</v>
      </c>
      <c r="M6" s="57" t="s">
        <v>209</v>
      </c>
    </row>
    <row r="7" spans="1:13" x14ac:dyDescent="0.15">
      <c r="A7" s="82" t="s">
        <v>199</v>
      </c>
      <c r="B7" s="83">
        <f>floors!$C$2</f>
        <v>41014</v>
      </c>
      <c r="C7" s="84" t="str">
        <f ca="1">VLOOKUP($B7,OFFSET([2]quests!$A$1,0,0,COUNTA([2]quests!$A:$A),MATCH(C$1,[2]quests!$1:$1,0)-MATCH($B$1,[2]quests!$1:$1,0)+1),MATCH(C$1,[2]quests!$1:$1,0)-MATCH($B$1,[2]quests!$1:$1,0)+1,FALSE)</f>
        <v>シヴァ襲来！</v>
      </c>
      <c r="D7" s="84" t="str">
        <f ca="1">VLOOKUP($B7,OFFSET([2]quests!$A$1,0,0,COUNTA([2]quests!$A:$A),MATCH(D$1,[2]quests!$1:$1,0)-MATCH($B$1,[2]quests!$1:$1,0)+1),MATCH(D$1,[2]quests!$1:$1,0)-MATCH($B$1,[2]quests!$1:$1,0)+1,FALSE)</f>
        <v>降臨1</v>
      </c>
      <c r="E7" s="88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【超絶級】シヴァ襲来</v>
      </c>
      <c r="G7" s="84">
        <f ca="1">VLOOKUP($B7&amp;"_"&amp;$E7,OFFSET([2]stages!$A$1,0,0,COUNTA([2]stages!$A:$A),MATCH(G$1,[2]stages!$2:$2,0)-MATCH("temp_stage",[2]stages!$2:$2,0)+1),MATCH(G$1,[2]stages!$2:$2,0)-MATCH("temp_stage",[2]stages!$2:$2,0)+1,FALSE)</f>
        <v>0</v>
      </c>
      <c r="H7" s="86">
        <v>0</v>
      </c>
      <c r="I7">
        <v>30</v>
      </c>
      <c r="J7" s="85" t="s">
        <v>196</v>
      </c>
      <c r="K7" s="94" t="str">
        <f>VLOOKUP(I7,[7]stage_hints!$A:$C,3,FALSE)</f>
        <v>「バグ」の増やし方</v>
      </c>
      <c r="L7" s="95" t="str">
        <f>VLOOKUP(I7,[7]stage_hints!$A:$D,4,FALSE)</f>
        <v>同じユニット同士を強化で合成すると_x000D_「バグ」を増やすことができます</v>
      </c>
      <c r="M7" s="57" t="s">
        <v>209</v>
      </c>
    </row>
    <row r="8" spans="1:13" x14ac:dyDescent="0.15">
      <c r="A8" s="82" t="s">
        <v>199</v>
      </c>
      <c r="B8" s="83">
        <f>floors!$C$2</f>
        <v>41014</v>
      </c>
      <c r="C8" s="84" t="str">
        <f ca="1">VLOOKUP($B8,OFFSET([2]quests!$A$1,0,0,COUNTA([2]quests!$A:$A),MATCH(C$1,[2]quests!$1:$1,0)-MATCH($B$1,[2]quests!$1:$1,0)+1),MATCH(C$1,[2]quests!$1:$1,0)-MATCH($B$1,[2]quests!$1:$1,0)+1,FALSE)</f>
        <v>シヴァ襲来！</v>
      </c>
      <c r="D8" s="84" t="str">
        <f ca="1">VLOOKUP($B8,OFFSET([2]quests!$A$1,0,0,COUNTA([2]quests!$A:$A),MATCH(D$1,[2]quests!$1:$1,0)-MATCH($B$1,[2]quests!$1:$1,0)+1),MATCH(D$1,[2]quests!$1:$1,0)-MATCH($B$1,[2]quests!$1:$1,0)+1,FALSE)</f>
        <v>降臨1</v>
      </c>
      <c r="E8" s="88">
        <v>1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【超絶級】シヴァ襲来</v>
      </c>
      <c r="G8" s="84">
        <f ca="1">VLOOKUP($B8&amp;"_"&amp;$E8,OFFSET([2]stages!$A$1,0,0,COUNTA([2]stages!$A:$A),MATCH(G$1,[2]stages!$2:$2,0)-MATCH("temp_stage",[2]stages!$2:$2,0)+1),MATCH(G$1,[2]stages!$2:$2,0)-MATCH("temp_stage",[2]stages!$2:$2,0)+1,FALSE)</f>
        <v>0</v>
      </c>
      <c r="H8" s="86">
        <v>0</v>
      </c>
      <c r="I8">
        <v>32</v>
      </c>
      <c r="J8" s="85" t="s">
        <v>196</v>
      </c>
      <c r="K8" s="94" t="str">
        <f>VLOOKUP(I8,[7]stage_hints!$A:$C,3,FALSE)</f>
        <v>敵の連続攻撃には</v>
      </c>
      <c r="L8" s="95" t="str">
        <f>VLOOKUP(I8,[7]stage_hints!$A:$D,4,FALSE)</f>
        <v>カウンタースキルを持つユニットがいれば_x000D_ダメージ回数分の反撃ができます</v>
      </c>
      <c r="M8" s="57" t="s">
        <v>209</v>
      </c>
    </row>
    <row r="9" spans="1:13" x14ac:dyDescent="0.15">
      <c r="A9" s="82" t="s">
        <v>199</v>
      </c>
      <c r="B9" s="83">
        <f>floors!$C$2</f>
        <v>41014</v>
      </c>
      <c r="C9" s="84" t="str">
        <f ca="1">VLOOKUP($B9,OFFSET([2]quests!$A$1,0,0,COUNTA([2]quests!$A:$A),MATCH(C$1,[2]quests!$1:$1,0)-MATCH($B$1,[2]quests!$1:$1,0)+1),MATCH(C$1,[2]quests!$1:$1,0)-MATCH($B$1,[2]quests!$1:$1,0)+1,FALSE)</f>
        <v>シヴァ襲来！</v>
      </c>
      <c r="D9" s="84" t="str">
        <f ca="1">VLOOKUP($B9,OFFSET([2]quests!$A$1,0,0,COUNTA([2]quests!$A:$A),MATCH(D$1,[2]quests!$1:$1,0)-MATCH($B$1,[2]quests!$1:$1,0)+1),MATCH(D$1,[2]quests!$1:$1,0)-MATCH($B$1,[2]quests!$1:$1,0)+1,FALSE)</f>
        <v>降臨1</v>
      </c>
      <c r="E9" s="88">
        <v>1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【超絶級】シヴァ襲来</v>
      </c>
      <c r="G9" s="84">
        <f ca="1">VLOOKUP($B9&amp;"_"&amp;$E9,OFFSET([2]stages!$A$1,0,0,COUNTA([2]stages!$A:$A),MATCH(G$1,[2]stages!$2:$2,0)-MATCH("temp_stage",[2]stages!$2:$2,0)+1),MATCH(G$1,[2]stages!$2:$2,0)-MATCH("temp_stage",[2]stages!$2:$2,0)+1,FALSE)</f>
        <v>0</v>
      </c>
      <c r="H9" s="86">
        <v>0</v>
      </c>
      <c r="I9">
        <v>33</v>
      </c>
      <c r="J9" s="85" t="s">
        <v>196</v>
      </c>
      <c r="K9" s="94" t="str">
        <f>VLOOKUP(I9,[7]stage_hints!$A:$C,3,FALSE)</f>
        <v>敵のカウンター攻撃には</v>
      </c>
      <c r="L9" s="95" t="str">
        <f>VLOOKUP(I9,[7]stage_hints!$A:$D,4,FALSE)</f>
        <v>カウンターブレイクスキルを持っていれば_x000D_敵のカウンターを解除して攻撃ができます</v>
      </c>
      <c r="M9" s="57" t="s">
        <v>209</v>
      </c>
    </row>
    <row r="10" spans="1:13" x14ac:dyDescent="0.15">
      <c r="A10" s="82" t="s">
        <v>199</v>
      </c>
      <c r="B10" s="83">
        <f>floors!$C$2</f>
        <v>41014</v>
      </c>
      <c r="C10" s="84" t="str">
        <f ca="1">VLOOKUP($B10,OFFSET([2]quests!$A$1,0,0,COUNTA([2]quests!$A:$A),MATCH(C$1,[2]quests!$1:$1,0)-MATCH($B$1,[2]quests!$1:$1,0)+1),MATCH(C$1,[2]quests!$1:$1,0)-MATCH($B$1,[2]quests!$1:$1,0)+1,FALSE)</f>
        <v>シヴァ襲来！</v>
      </c>
      <c r="D10" s="84" t="str">
        <f ca="1">VLOOKUP($B10,OFFSET([2]quests!$A$1,0,0,COUNTA([2]quests!$A:$A),MATCH(D$1,[2]quests!$1:$1,0)-MATCH($B$1,[2]quests!$1:$1,0)+1),MATCH(D$1,[2]quests!$1:$1,0)-MATCH($B$1,[2]quests!$1:$1,0)+1,FALSE)</f>
        <v>降臨1</v>
      </c>
      <c r="E10" s="88">
        <v>1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【超絶級】シヴァ襲来</v>
      </c>
      <c r="G10" s="84">
        <f ca="1">VLOOKUP($B10&amp;"_"&amp;$E10,OFFSET([2]stages!$A$1,0,0,COUNTA([2]stages!$A:$A),MATCH(G$1,[2]stages!$2:$2,0)-MATCH("temp_stage",[2]stages!$2:$2,0)+1),MATCH(G$1,[2]stages!$2:$2,0)-MATCH("temp_stage",[2]stages!$2:$2,0)+1,FALSE)</f>
        <v>0</v>
      </c>
      <c r="H10" s="86">
        <v>0</v>
      </c>
      <c r="I10">
        <v>34</v>
      </c>
      <c r="J10" s="85" t="s">
        <v>196</v>
      </c>
      <c r="K10" s="94" t="str">
        <f>VLOOKUP(I10,[7]stage_hints!$A:$C,3,FALSE)</f>
        <v>ステータスをスキルで下げられたら</v>
      </c>
      <c r="L10" s="95" t="str">
        <f>VLOOKUP(I10,[7]stage_hints!$A:$D,4,FALSE)</f>
        <v>ステータスダウンのスキルを受けたら_x000D_ステータスアップスキルで上書きしましょう</v>
      </c>
      <c r="M10" s="57" t="s">
        <v>209</v>
      </c>
    </row>
    <row r="11" spans="1:13" x14ac:dyDescent="0.15">
      <c r="A11" s="82" t="s">
        <v>199</v>
      </c>
      <c r="B11" s="83">
        <f>floors!$C$2</f>
        <v>41014</v>
      </c>
      <c r="C11" s="84" t="str">
        <f ca="1">VLOOKUP($B11,OFFSET([2]quests!$A$1,0,0,COUNTA([2]quests!$A:$A),MATCH(C$1,[2]quests!$1:$1,0)-MATCH($B$1,[2]quests!$1:$1,0)+1),MATCH(C$1,[2]quests!$1:$1,0)-MATCH($B$1,[2]quests!$1:$1,0)+1,FALSE)</f>
        <v>シヴァ襲来！</v>
      </c>
      <c r="D11" s="84" t="str">
        <f ca="1">VLOOKUP($B11,OFFSET([2]quests!$A$1,0,0,COUNTA([2]quests!$A:$A),MATCH(D$1,[2]quests!$1:$1,0)-MATCH($B$1,[2]quests!$1:$1,0)+1),MATCH(D$1,[2]quests!$1:$1,0)-MATCH($B$1,[2]quests!$1:$1,0)+1,FALSE)</f>
        <v>降臨1</v>
      </c>
      <c r="E11" s="88">
        <v>1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【超絶級】シヴァ襲来</v>
      </c>
      <c r="G11" s="84">
        <f ca="1">VLOOKUP($B11&amp;"_"&amp;$E11,OFFSET([2]stages!$A$1,0,0,COUNTA([2]stages!$A:$A),MATCH(G$1,[2]stages!$2:$2,0)-MATCH("temp_stage",[2]stages!$2:$2,0)+1),MATCH(G$1,[2]stages!$2:$2,0)-MATCH("temp_stage",[2]stages!$2:$2,0)+1,FALSE)</f>
        <v>0</v>
      </c>
      <c r="H11" s="86">
        <v>0</v>
      </c>
      <c r="I11">
        <v>35</v>
      </c>
      <c r="J11" s="85" t="s">
        <v>196</v>
      </c>
      <c r="K11" s="94" t="str">
        <f>VLOOKUP(I11,[7]stage_hints!$A:$C,3,FALSE)</f>
        <v>敵のステータスがスキルで上がったら</v>
      </c>
      <c r="L11" s="95" t="str">
        <f>VLOOKUP(I11,[7]stage_hints!$A:$D,4,FALSE)</f>
        <v>敵のステータスがスキルでアップしたときは_x000D_ステータスダウンスキルで上書きしましょう</v>
      </c>
      <c r="M11" s="57" t="s">
        <v>209</v>
      </c>
    </row>
    <row r="12" spans="1:13" x14ac:dyDescent="0.15">
      <c r="A12" s="82" t="s">
        <v>199</v>
      </c>
      <c r="B12" s="83">
        <f>floors!$C$2</f>
        <v>41014</v>
      </c>
      <c r="C12" s="84" t="str">
        <f ca="1">VLOOKUP($B12,OFFSET([2]quests!$A$1,0,0,COUNTA([2]quests!$A:$A),MATCH(C$1,[2]quests!$1:$1,0)-MATCH($B$1,[2]quests!$1:$1,0)+1),MATCH(C$1,[2]quests!$1:$1,0)-MATCH($B$1,[2]quests!$1:$1,0)+1,FALSE)</f>
        <v>シヴァ襲来！</v>
      </c>
      <c r="D12" s="84" t="str">
        <f ca="1">VLOOKUP($B12,OFFSET([2]quests!$A$1,0,0,COUNTA([2]quests!$A:$A),MATCH(D$1,[2]quests!$1:$1,0)-MATCH($B$1,[2]quests!$1:$1,0)+1),MATCH(D$1,[2]quests!$1:$1,0)-MATCH($B$1,[2]quests!$1:$1,0)+1,FALSE)</f>
        <v>降臨1</v>
      </c>
      <c r="E12" s="88">
        <v>1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【超絶級】シヴァ襲来</v>
      </c>
      <c r="G12" s="84">
        <f ca="1">VLOOKUP($B12&amp;"_"&amp;$E12,OFFSET([2]stages!$A$1,0,0,COUNTA([2]stages!$A:$A),MATCH(G$1,[2]stages!$2:$2,0)-MATCH("temp_stage",[2]stages!$2:$2,0)+1),MATCH(G$1,[2]stages!$2:$2,0)-MATCH("temp_stage",[2]stages!$2:$2,0)+1,FALSE)</f>
        <v>0</v>
      </c>
      <c r="H12" s="86">
        <v>0</v>
      </c>
      <c r="I12">
        <v>36</v>
      </c>
      <c r="J12" s="85" t="s">
        <v>196</v>
      </c>
      <c r="K12" s="94" t="str">
        <f>VLOOKUP(I12,[7]stage_hints!$A:$C,3,FALSE)</f>
        <v>チャレンジタワーのボス</v>
      </c>
      <c r="L12" s="95" t="str">
        <f>VLOOKUP(I12,[7]stage_hints!$A:$D,4,FALSE)</f>
        <v>チャレンジタワーでのみ登場するボスは_x000D_一定確率で獲得することができます</v>
      </c>
      <c r="M12" s="57" t="s">
        <v>209</v>
      </c>
    </row>
    <row r="13" spans="1:13" x14ac:dyDescent="0.15">
      <c r="A13" s="82" t="s">
        <v>199</v>
      </c>
      <c r="B13" s="83">
        <f>floors!$C$2</f>
        <v>41014</v>
      </c>
      <c r="C13" s="84" t="str">
        <f ca="1">VLOOKUP($B13,OFFSET([2]quests!$A$1,0,0,COUNTA([2]quests!$A:$A),MATCH(C$1,[2]quests!$1:$1,0)-MATCH($B$1,[2]quests!$1:$1,0)+1),MATCH(C$1,[2]quests!$1:$1,0)-MATCH($B$1,[2]quests!$1:$1,0)+1,FALSE)</f>
        <v>シヴァ襲来！</v>
      </c>
      <c r="D13" s="84" t="str">
        <f ca="1">VLOOKUP($B13,OFFSET([2]quests!$A$1,0,0,COUNTA([2]quests!$A:$A),MATCH(D$1,[2]quests!$1:$1,0)-MATCH($B$1,[2]quests!$1:$1,0)+1),MATCH(D$1,[2]quests!$1:$1,0)-MATCH($B$1,[2]quests!$1:$1,0)+1,FALSE)</f>
        <v>降臨1</v>
      </c>
      <c r="E13" s="88">
        <v>1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【超絶級】シヴァ襲来</v>
      </c>
      <c r="G13" s="84">
        <f ca="1">VLOOKUP($B13&amp;"_"&amp;$E13,OFFSET([2]stages!$A$1,0,0,COUNTA([2]stages!$A:$A),MATCH(G$1,[2]stages!$2:$2,0)-MATCH("temp_stage",[2]stages!$2:$2,0)+1),MATCH(G$1,[2]stages!$2:$2,0)-MATCH("temp_stage",[2]stages!$2:$2,0)+1,FALSE)</f>
        <v>0</v>
      </c>
      <c r="H13" s="86">
        <v>0</v>
      </c>
      <c r="I13">
        <v>37</v>
      </c>
      <c r="J13" s="85" t="s">
        <v>196</v>
      </c>
      <c r="K13" s="94" t="str">
        <f>VLOOKUP(I13,[7]stage_hints!$A:$C,3,FALSE)</f>
        <v>限界突破値の引き継ぎ</v>
      </c>
      <c r="L13" s="95" t="str">
        <f>VLOOKUP(I13,[7]stage_hints!$A:$D,4,FALSE)</f>
        <v>同じユニットを強化で合成すると_x000D_限界突破値を引き継げます（覚醒前後も可）</v>
      </c>
      <c r="M13" s="57" t="s">
        <v>209</v>
      </c>
    </row>
    <row r="14" spans="1:13" x14ac:dyDescent="0.15">
      <c r="A14" s="82" t="s">
        <v>199</v>
      </c>
      <c r="B14" s="83">
        <f>floors!$C$2</f>
        <v>41014</v>
      </c>
      <c r="C14" s="84" t="str">
        <f ca="1">VLOOKUP($B14,OFFSET([2]quests!$A$1,0,0,COUNTA([2]quests!$A:$A),MATCH(C$1,[2]quests!$1:$1,0)-MATCH($B$1,[2]quests!$1:$1,0)+1),MATCH(C$1,[2]quests!$1:$1,0)-MATCH($B$1,[2]quests!$1:$1,0)+1,FALSE)</f>
        <v>シヴァ襲来！</v>
      </c>
      <c r="D14" s="84" t="str">
        <f ca="1">VLOOKUP($B14,OFFSET([2]quests!$A$1,0,0,COUNTA([2]quests!$A:$A),MATCH(D$1,[2]quests!$1:$1,0)-MATCH($B$1,[2]quests!$1:$1,0)+1),MATCH(D$1,[2]quests!$1:$1,0)-MATCH($B$1,[2]quests!$1:$1,0)+1,FALSE)</f>
        <v>降臨1</v>
      </c>
      <c r="E14" s="88">
        <v>1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【超絶級】シヴァ襲来</v>
      </c>
      <c r="G14" s="84">
        <f ca="1">VLOOKUP($B14&amp;"_"&amp;$E14,OFFSET([2]stages!$A$1,0,0,COUNTA([2]stages!$A:$A),MATCH(G$1,[2]stages!$2:$2,0)-MATCH("temp_stage",[2]stages!$2:$2,0)+1),MATCH(G$1,[2]stages!$2:$2,0)-MATCH("temp_stage",[2]stages!$2:$2,0)+1,FALSE)</f>
        <v>0</v>
      </c>
      <c r="H14" s="86">
        <v>0</v>
      </c>
      <c r="I14">
        <v>39</v>
      </c>
      <c r="J14" s="85" t="s">
        <v>196</v>
      </c>
      <c r="K14" s="94" t="str">
        <f>VLOOKUP(I14,[7]stage_hints!$A:$C,3,FALSE)</f>
        <v>システム適合者を確認</v>
      </c>
      <c r="L14" s="95" t="str">
        <f>VLOOKUP(I14,[7]stage_hints!$A:$D,4,FALSE)</f>
        <v>ALICEが 「アナタ」を呼んでいます</v>
      </c>
      <c r="M14" s="57" t="s">
        <v>209</v>
      </c>
    </row>
    <row r="15" spans="1:13" x14ac:dyDescent="0.15">
      <c r="A15" s="82" t="s">
        <v>199</v>
      </c>
      <c r="B15" s="83">
        <f>floors!$C$2</f>
        <v>41014</v>
      </c>
      <c r="C15" s="84" t="str">
        <f ca="1">VLOOKUP($B15,OFFSET([2]quests!$A$1,0,0,COUNTA([2]quests!$A:$A),MATCH(C$1,[2]quests!$1:$1,0)-MATCH($B$1,[2]quests!$1:$1,0)+1),MATCH(C$1,[2]quests!$1:$1,0)-MATCH($B$1,[2]quests!$1:$1,0)+1,FALSE)</f>
        <v>シヴァ襲来！</v>
      </c>
      <c r="D15" s="84" t="str">
        <f ca="1">VLOOKUP($B15,OFFSET([2]quests!$A$1,0,0,COUNTA([2]quests!$A:$A),MATCH(D$1,[2]quests!$1:$1,0)-MATCH($B$1,[2]quests!$1:$1,0)+1),MATCH(D$1,[2]quests!$1:$1,0)-MATCH($B$1,[2]quests!$1:$1,0)+1,FALSE)</f>
        <v>降臨1</v>
      </c>
      <c r="E15" s="88">
        <v>2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【ウィザード級】シヴァ襲来</v>
      </c>
      <c r="G15" s="84">
        <f ca="1">VLOOKUP($B15&amp;"_"&amp;$E15,OFFSET([2]stages!$A$1,0,0,COUNTA([2]stages!$A:$A),MATCH(G$1,[2]stages!$2:$2,0)-MATCH("temp_stage",[2]stages!$2:$2,0)+1),MATCH(G$1,[2]stages!$2:$2,0)-MATCH("temp_stage",[2]stages!$2:$2,0)+1,FALSE)</f>
        <v>0</v>
      </c>
      <c r="H15" s="86">
        <v>0</v>
      </c>
      <c r="I15">
        <v>12</v>
      </c>
      <c r="J15" s="85" t="s">
        <v>196</v>
      </c>
      <c r="K15" s="94" t="str">
        <f>VLOOKUP(I15,[7]stage_hints!$A:$C,3,FALSE)</f>
        <v>ユニットのお気に入り登録</v>
      </c>
      <c r="L15" s="95" t="str">
        <f>VLOOKUP(I15,[7]stage_hints!$A:$D,4,FALSE)</f>
        <v>大事なユニットを誤って消さないように_x000D_フォルダから「お気に入り登録」しましょう</v>
      </c>
      <c r="M15" s="57" t="s">
        <v>209</v>
      </c>
    </row>
    <row r="16" spans="1:13" x14ac:dyDescent="0.15">
      <c r="A16" s="82" t="s">
        <v>199</v>
      </c>
      <c r="B16" s="83">
        <f>floors!$C$2</f>
        <v>41014</v>
      </c>
      <c r="C16" s="84" t="str">
        <f ca="1">VLOOKUP($B16,OFFSET([2]quests!$A$1,0,0,COUNTA([2]quests!$A:$A),MATCH(C$1,[2]quests!$1:$1,0)-MATCH($B$1,[2]quests!$1:$1,0)+1),MATCH(C$1,[2]quests!$1:$1,0)-MATCH($B$1,[2]quests!$1:$1,0)+1,FALSE)</f>
        <v>シヴァ襲来！</v>
      </c>
      <c r="D16" s="84" t="str">
        <f ca="1">VLOOKUP($B16,OFFSET([2]quests!$A$1,0,0,COUNTA([2]quests!$A:$A),MATCH(D$1,[2]quests!$1:$1,0)-MATCH($B$1,[2]quests!$1:$1,0)+1),MATCH(D$1,[2]quests!$1:$1,0)-MATCH($B$1,[2]quests!$1:$1,0)+1,FALSE)</f>
        <v>降臨1</v>
      </c>
      <c r="E16" s="88">
        <v>2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【ウィザード級】シヴァ襲来</v>
      </c>
      <c r="G16" s="84">
        <f ca="1">VLOOKUP($B16&amp;"_"&amp;$E16,OFFSET([2]stages!$A$1,0,0,COUNTA([2]stages!$A:$A),MATCH(G$1,[2]stages!$2:$2,0)-MATCH("temp_stage",[2]stages!$2:$2,0)+1),MATCH(G$1,[2]stages!$2:$2,0)-MATCH("temp_stage",[2]stages!$2:$2,0)+1,FALSE)</f>
        <v>0</v>
      </c>
      <c r="H16" s="86">
        <v>0</v>
      </c>
      <c r="I16">
        <v>17</v>
      </c>
      <c r="J16" s="85" t="s">
        <v>196</v>
      </c>
      <c r="K16" s="94" t="str">
        <f>VLOOKUP(I16,[7]stage_hints!$A:$C,3,FALSE)</f>
        <v>リンクガチャ</v>
      </c>
      <c r="L16" s="95" t="str">
        <f>VLOOKUP(I16,[7]stage_hints!$A:$D,4,FALSE)</f>
        <v>無料のリンクガチャを回して_x000D_経験値素材や売却素材を獲得しましょう</v>
      </c>
      <c r="M16" s="57" t="s">
        <v>209</v>
      </c>
    </row>
    <row r="17" spans="1:13" x14ac:dyDescent="0.15">
      <c r="A17" s="82" t="s">
        <v>199</v>
      </c>
      <c r="B17" s="83">
        <f>floors!$C$2</f>
        <v>41014</v>
      </c>
      <c r="C17" s="84" t="str">
        <f ca="1">VLOOKUP($B17,OFFSET([2]quests!$A$1,0,0,COUNTA([2]quests!$A:$A),MATCH(C$1,[2]quests!$1:$1,0)-MATCH($B$1,[2]quests!$1:$1,0)+1),MATCH(C$1,[2]quests!$1:$1,0)-MATCH($B$1,[2]quests!$1:$1,0)+1,FALSE)</f>
        <v>シヴァ襲来！</v>
      </c>
      <c r="D17" s="84" t="str">
        <f ca="1">VLOOKUP($B17,OFFSET([2]quests!$A$1,0,0,COUNTA([2]quests!$A:$A),MATCH(D$1,[2]quests!$1:$1,0)-MATCH($B$1,[2]quests!$1:$1,0)+1),MATCH(D$1,[2]quests!$1:$1,0)-MATCH($B$1,[2]quests!$1:$1,0)+1,FALSE)</f>
        <v>降臨1</v>
      </c>
      <c r="E17" s="88">
        <v>2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【ウィザード級】シヴァ襲来</v>
      </c>
      <c r="G17" s="84">
        <f ca="1">VLOOKUP($B17&amp;"_"&amp;$E17,OFFSET([2]stages!$A$1,0,0,COUNTA([2]stages!$A:$A),MATCH(G$1,[2]stages!$2:$2,0)-MATCH("temp_stage",[2]stages!$2:$2,0)+1),MATCH(G$1,[2]stages!$2:$2,0)-MATCH("temp_stage",[2]stages!$2:$2,0)+1,FALSE)</f>
        <v>0</v>
      </c>
      <c r="H17" s="86">
        <v>0</v>
      </c>
      <c r="I17">
        <v>19</v>
      </c>
      <c r="J17" s="85" t="s">
        <v>196</v>
      </c>
      <c r="K17" s="94" t="str">
        <f>VLOOKUP(I17,[7]stage_hints!$A:$C,3,FALSE)</f>
        <v>ソロ専用チャレンジタワー</v>
      </c>
      <c r="L17" s="95" t="str">
        <f>VLOOKUP(I17,[7]stage_hints!$A:$D,4,FALSE)</f>
        <v>ソロ専用の「チャレンジタワー」では_x000D_各フロアごとにクリア報酬がもらえます</v>
      </c>
      <c r="M17" s="57" t="s">
        <v>209</v>
      </c>
    </row>
    <row r="18" spans="1:13" x14ac:dyDescent="0.15">
      <c r="A18" s="82" t="s">
        <v>199</v>
      </c>
      <c r="B18" s="83">
        <f>floors!$C$2</f>
        <v>41014</v>
      </c>
      <c r="C18" s="84" t="str">
        <f ca="1">VLOOKUP($B18,OFFSET([2]quests!$A$1,0,0,COUNTA([2]quests!$A:$A),MATCH(C$1,[2]quests!$1:$1,0)-MATCH($B$1,[2]quests!$1:$1,0)+1),MATCH(C$1,[2]quests!$1:$1,0)-MATCH($B$1,[2]quests!$1:$1,0)+1,FALSE)</f>
        <v>シヴァ襲来！</v>
      </c>
      <c r="D18" s="84" t="str">
        <f ca="1">VLOOKUP($B18,OFFSET([2]quests!$A$1,0,0,COUNTA([2]quests!$A:$A),MATCH(D$1,[2]quests!$1:$1,0)-MATCH($B$1,[2]quests!$1:$1,0)+1),MATCH(D$1,[2]quests!$1:$1,0)-MATCH($B$1,[2]quests!$1:$1,0)+1,FALSE)</f>
        <v>降臨1</v>
      </c>
      <c r="E18" s="88">
        <v>2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【ウィザード級】シヴァ襲来</v>
      </c>
      <c r="G18" s="84">
        <f ca="1">VLOOKUP($B18&amp;"_"&amp;$E18,OFFSET([2]stages!$A$1,0,0,COUNTA([2]stages!$A:$A),MATCH(G$1,[2]stages!$2:$2,0)-MATCH("temp_stage",[2]stages!$2:$2,0)+1),MATCH(G$1,[2]stages!$2:$2,0)-MATCH("temp_stage",[2]stages!$2:$2,0)+1,FALSE)</f>
        <v>0</v>
      </c>
      <c r="H18" s="86">
        <v>0</v>
      </c>
      <c r="I18">
        <v>21</v>
      </c>
      <c r="J18" s="85" t="s">
        <v>196</v>
      </c>
      <c r="K18" s="94" t="str">
        <f>VLOOKUP(I18,[7]stage_hints!$A:$C,3,FALSE)</f>
        <v>スキルを有効に</v>
      </c>
      <c r="L18" s="95" t="str">
        <f>VLOOKUP(I18,[7]stage_hints!$A:$D,4,FALSE)</f>
        <v>ターン経過でユニットのスキルが使えます_x000D_強力スキルでバトルを有利に進めましょう</v>
      </c>
      <c r="M18" s="57" t="s">
        <v>209</v>
      </c>
    </row>
    <row r="19" spans="1:13" x14ac:dyDescent="0.15">
      <c r="A19" s="82" t="s">
        <v>199</v>
      </c>
      <c r="B19" s="83">
        <f>floors!$C$2</f>
        <v>41014</v>
      </c>
      <c r="C19" s="84" t="str">
        <f ca="1">VLOOKUP($B19,OFFSET([2]quests!$A$1,0,0,COUNTA([2]quests!$A:$A),MATCH(C$1,[2]quests!$1:$1,0)-MATCH($B$1,[2]quests!$1:$1,0)+1),MATCH(C$1,[2]quests!$1:$1,0)-MATCH($B$1,[2]quests!$1:$1,0)+1,FALSE)</f>
        <v>シヴァ襲来！</v>
      </c>
      <c r="D19" s="84" t="str">
        <f ca="1">VLOOKUP($B19,OFFSET([2]quests!$A$1,0,0,COUNTA([2]quests!$A:$A),MATCH(D$1,[2]quests!$1:$1,0)-MATCH($B$1,[2]quests!$1:$1,0)+1),MATCH(D$1,[2]quests!$1:$1,0)-MATCH($B$1,[2]quests!$1:$1,0)+1,FALSE)</f>
        <v>降臨1</v>
      </c>
      <c r="E19" s="88">
        <v>2</v>
      </c>
      <c r="F19" s="84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【ウィザード級】シヴァ襲来</v>
      </c>
      <c r="G19" s="84">
        <f ca="1">VLOOKUP($B19&amp;"_"&amp;$E19,OFFSET([2]stages!$A$1,0,0,COUNTA([2]stages!$A:$A),MATCH(G$1,[2]stages!$2:$2,0)-MATCH("temp_stage",[2]stages!$2:$2,0)+1),MATCH(G$1,[2]stages!$2:$2,0)-MATCH("temp_stage",[2]stages!$2:$2,0)+1,FALSE)</f>
        <v>0</v>
      </c>
      <c r="H19" s="86">
        <v>0</v>
      </c>
      <c r="I19">
        <v>29</v>
      </c>
      <c r="J19" s="85" t="s">
        <v>196</v>
      </c>
      <c r="K19" s="94" t="str">
        <f>VLOOKUP(I19,[7]stage_hints!$A:$C,3,FALSE)</f>
        <v>「バグ」のメリット</v>
      </c>
      <c r="L19" s="95" t="str">
        <f>VLOOKUP(I19,[7]stage_hints!$A:$D,4,FALSE)</f>
        <v>ユニットの「バグ」を増やすと_x000D_報酬をもらえる確率がアップします</v>
      </c>
      <c r="M19" s="57" t="s">
        <v>209</v>
      </c>
    </row>
    <row r="20" spans="1:13" x14ac:dyDescent="0.15">
      <c r="A20" s="82" t="s">
        <v>199</v>
      </c>
      <c r="B20" s="83">
        <f>floors!$C$2</f>
        <v>41014</v>
      </c>
      <c r="C20" s="84" t="str">
        <f ca="1">VLOOKUP($B20,OFFSET([2]quests!$A$1,0,0,COUNTA([2]quests!$A:$A),MATCH(C$1,[2]quests!$1:$1,0)-MATCH($B$1,[2]quests!$1:$1,0)+1),MATCH(C$1,[2]quests!$1:$1,0)-MATCH($B$1,[2]quests!$1:$1,0)+1,FALSE)</f>
        <v>シヴァ襲来！</v>
      </c>
      <c r="D20" s="84" t="str">
        <f ca="1">VLOOKUP($B20,OFFSET([2]quests!$A$1,0,0,COUNTA([2]quests!$A:$A),MATCH(D$1,[2]quests!$1:$1,0)-MATCH($B$1,[2]quests!$1:$1,0)+1),MATCH(D$1,[2]quests!$1:$1,0)-MATCH($B$1,[2]quests!$1:$1,0)+1,FALSE)</f>
        <v>降臨1</v>
      </c>
      <c r="E20" s="88">
        <v>2</v>
      </c>
      <c r="F20" s="84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【ウィザード級】シヴァ襲来</v>
      </c>
      <c r="G20" s="84">
        <f ca="1">VLOOKUP($B20&amp;"_"&amp;$E20,OFFSET([2]stages!$A$1,0,0,COUNTA([2]stages!$A:$A),MATCH(G$1,[2]stages!$2:$2,0)-MATCH("temp_stage",[2]stages!$2:$2,0)+1),MATCH(G$1,[2]stages!$2:$2,0)-MATCH("temp_stage",[2]stages!$2:$2,0)+1,FALSE)</f>
        <v>0</v>
      </c>
      <c r="H20" s="86">
        <v>0</v>
      </c>
      <c r="I20">
        <v>30</v>
      </c>
      <c r="J20" s="85" t="s">
        <v>196</v>
      </c>
      <c r="K20" s="94" t="str">
        <f>VLOOKUP(I20,[7]stage_hints!$A:$C,3,FALSE)</f>
        <v>「バグ」の増やし方</v>
      </c>
      <c r="L20" s="95" t="str">
        <f>VLOOKUP(I20,[7]stage_hints!$A:$D,4,FALSE)</f>
        <v>同じユニット同士を強化で合成すると_x000D_「バグ」を増やすことができます</v>
      </c>
      <c r="M20" s="57" t="s">
        <v>209</v>
      </c>
    </row>
    <row r="21" spans="1:13" x14ac:dyDescent="0.15">
      <c r="A21" s="82" t="s">
        <v>199</v>
      </c>
      <c r="B21" s="83">
        <f>floors!$C$2</f>
        <v>41014</v>
      </c>
      <c r="C21" s="84" t="str">
        <f ca="1">VLOOKUP($B21,OFFSET([2]quests!$A$1,0,0,COUNTA([2]quests!$A:$A),MATCH(C$1,[2]quests!$1:$1,0)-MATCH($B$1,[2]quests!$1:$1,0)+1),MATCH(C$1,[2]quests!$1:$1,0)-MATCH($B$1,[2]quests!$1:$1,0)+1,FALSE)</f>
        <v>シヴァ襲来！</v>
      </c>
      <c r="D21" s="84" t="str">
        <f ca="1">VLOOKUP($B21,OFFSET([2]quests!$A$1,0,0,COUNTA([2]quests!$A:$A),MATCH(D$1,[2]quests!$1:$1,0)-MATCH($B$1,[2]quests!$1:$1,0)+1),MATCH(D$1,[2]quests!$1:$1,0)-MATCH($B$1,[2]quests!$1:$1,0)+1,FALSE)</f>
        <v>降臨1</v>
      </c>
      <c r="E21" s="88">
        <v>2</v>
      </c>
      <c r="F21" s="84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【ウィザード級】シヴァ襲来</v>
      </c>
      <c r="G21" s="84">
        <f ca="1">VLOOKUP($B21&amp;"_"&amp;$E21,OFFSET([2]stages!$A$1,0,0,COUNTA([2]stages!$A:$A),MATCH(G$1,[2]stages!$2:$2,0)-MATCH("temp_stage",[2]stages!$2:$2,0)+1),MATCH(G$1,[2]stages!$2:$2,0)-MATCH("temp_stage",[2]stages!$2:$2,0)+1,FALSE)</f>
        <v>0</v>
      </c>
      <c r="H21" s="86">
        <v>0</v>
      </c>
      <c r="I21">
        <v>32</v>
      </c>
      <c r="J21" s="85" t="s">
        <v>196</v>
      </c>
      <c r="K21" s="94" t="str">
        <f>VLOOKUP(I21,[7]stage_hints!$A:$C,3,FALSE)</f>
        <v>敵の連続攻撃には</v>
      </c>
      <c r="L21" s="95" t="str">
        <f>VLOOKUP(I21,[7]stage_hints!$A:$D,4,FALSE)</f>
        <v>カウンタースキルを持つユニットがいれば_x000D_ダメージ回数分の反撃ができます</v>
      </c>
      <c r="M21" s="57" t="s">
        <v>209</v>
      </c>
    </row>
    <row r="22" spans="1:13" x14ac:dyDescent="0.15">
      <c r="A22" s="82" t="s">
        <v>199</v>
      </c>
      <c r="B22" s="83">
        <f>floors!$C$2</f>
        <v>41014</v>
      </c>
      <c r="C22" s="84" t="str">
        <f ca="1">VLOOKUP($B22,OFFSET([2]quests!$A$1,0,0,COUNTA([2]quests!$A:$A),MATCH(C$1,[2]quests!$1:$1,0)-MATCH($B$1,[2]quests!$1:$1,0)+1),MATCH(C$1,[2]quests!$1:$1,0)-MATCH($B$1,[2]quests!$1:$1,0)+1,FALSE)</f>
        <v>シヴァ襲来！</v>
      </c>
      <c r="D22" s="84" t="str">
        <f ca="1">VLOOKUP($B22,OFFSET([2]quests!$A$1,0,0,COUNTA([2]quests!$A:$A),MATCH(D$1,[2]quests!$1:$1,0)-MATCH($B$1,[2]quests!$1:$1,0)+1),MATCH(D$1,[2]quests!$1:$1,0)-MATCH($B$1,[2]quests!$1:$1,0)+1,FALSE)</f>
        <v>降臨1</v>
      </c>
      <c r="E22" s="88">
        <v>2</v>
      </c>
      <c r="F22" s="84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【ウィザード級】シヴァ襲来</v>
      </c>
      <c r="G22" s="84">
        <f ca="1">VLOOKUP($B22&amp;"_"&amp;$E22,OFFSET([2]stages!$A$1,0,0,COUNTA([2]stages!$A:$A),MATCH(G$1,[2]stages!$2:$2,0)-MATCH("temp_stage",[2]stages!$2:$2,0)+1),MATCH(G$1,[2]stages!$2:$2,0)-MATCH("temp_stage",[2]stages!$2:$2,0)+1,FALSE)</f>
        <v>0</v>
      </c>
      <c r="H22" s="86">
        <v>0</v>
      </c>
      <c r="I22">
        <v>33</v>
      </c>
      <c r="J22" s="85" t="s">
        <v>196</v>
      </c>
      <c r="K22" s="94" t="str">
        <f>VLOOKUP(I22,[7]stage_hints!$A:$C,3,FALSE)</f>
        <v>敵のカウンター攻撃には</v>
      </c>
      <c r="L22" s="95" t="str">
        <f>VLOOKUP(I22,[7]stage_hints!$A:$D,4,FALSE)</f>
        <v>カウンターブレイクスキルを持っていれば_x000D_敵のカウンターを解除して攻撃ができます</v>
      </c>
      <c r="M22" s="57" t="s">
        <v>209</v>
      </c>
    </row>
    <row r="23" spans="1:13" x14ac:dyDescent="0.15">
      <c r="A23" s="82" t="s">
        <v>199</v>
      </c>
      <c r="B23" s="83">
        <f>floors!$C$2</f>
        <v>41014</v>
      </c>
      <c r="C23" s="84" t="str">
        <f ca="1">VLOOKUP($B23,OFFSET([2]quests!$A$1,0,0,COUNTA([2]quests!$A:$A),MATCH(C$1,[2]quests!$1:$1,0)-MATCH($B$1,[2]quests!$1:$1,0)+1),MATCH(C$1,[2]quests!$1:$1,0)-MATCH($B$1,[2]quests!$1:$1,0)+1,FALSE)</f>
        <v>シヴァ襲来！</v>
      </c>
      <c r="D23" s="84" t="str">
        <f ca="1">VLOOKUP($B23,OFFSET([2]quests!$A$1,0,0,COUNTA([2]quests!$A:$A),MATCH(D$1,[2]quests!$1:$1,0)-MATCH($B$1,[2]quests!$1:$1,0)+1),MATCH(D$1,[2]quests!$1:$1,0)-MATCH($B$1,[2]quests!$1:$1,0)+1,FALSE)</f>
        <v>降臨1</v>
      </c>
      <c r="E23" s="88">
        <v>2</v>
      </c>
      <c r="F23" s="84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【ウィザード級】シヴァ襲来</v>
      </c>
      <c r="G23" s="84">
        <f ca="1">VLOOKUP($B23&amp;"_"&amp;$E23,OFFSET([2]stages!$A$1,0,0,COUNTA([2]stages!$A:$A),MATCH(G$1,[2]stages!$2:$2,0)-MATCH("temp_stage",[2]stages!$2:$2,0)+1),MATCH(G$1,[2]stages!$2:$2,0)-MATCH("temp_stage",[2]stages!$2:$2,0)+1,FALSE)</f>
        <v>0</v>
      </c>
      <c r="H23" s="86">
        <v>0</v>
      </c>
      <c r="I23">
        <v>34</v>
      </c>
      <c r="J23" s="85" t="s">
        <v>196</v>
      </c>
      <c r="K23" s="94" t="str">
        <f>VLOOKUP(I23,[7]stage_hints!$A:$C,3,FALSE)</f>
        <v>ステータスをスキルで下げられたら</v>
      </c>
      <c r="L23" s="95" t="str">
        <f>VLOOKUP(I23,[7]stage_hints!$A:$D,4,FALSE)</f>
        <v>ステータスダウンのスキルを受けたら_x000D_ステータスアップスキルで上書きしましょう</v>
      </c>
      <c r="M23" s="57" t="s">
        <v>209</v>
      </c>
    </row>
    <row r="24" spans="1:13" x14ac:dyDescent="0.15">
      <c r="A24" s="82" t="s">
        <v>199</v>
      </c>
      <c r="B24" s="83">
        <f>floors!$C$2</f>
        <v>41014</v>
      </c>
      <c r="C24" s="84" t="str">
        <f ca="1">VLOOKUP($B24,OFFSET([2]quests!$A$1,0,0,COUNTA([2]quests!$A:$A),MATCH(C$1,[2]quests!$1:$1,0)-MATCH($B$1,[2]quests!$1:$1,0)+1),MATCH(C$1,[2]quests!$1:$1,0)-MATCH($B$1,[2]quests!$1:$1,0)+1,FALSE)</f>
        <v>シヴァ襲来！</v>
      </c>
      <c r="D24" s="84" t="str">
        <f ca="1">VLOOKUP($B24,OFFSET([2]quests!$A$1,0,0,COUNTA([2]quests!$A:$A),MATCH(D$1,[2]quests!$1:$1,0)-MATCH($B$1,[2]quests!$1:$1,0)+1),MATCH(D$1,[2]quests!$1:$1,0)-MATCH($B$1,[2]quests!$1:$1,0)+1,FALSE)</f>
        <v>降臨1</v>
      </c>
      <c r="E24" s="88">
        <v>2</v>
      </c>
      <c r="F24" s="84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【ウィザード級】シヴァ襲来</v>
      </c>
      <c r="G24" s="84">
        <f ca="1">VLOOKUP($B24&amp;"_"&amp;$E24,OFFSET([2]stages!$A$1,0,0,COUNTA([2]stages!$A:$A),MATCH(G$1,[2]stages!$2:$2,0)-MATCH("temp_stage",[2]stages!$2:$2,0)+1),MATCH(G$1,[2]stages!$2:$2,0)-MATCH("temp_stage",[2]stages!$2:$2,0)+1,FALSE)</f>
        <v>0</v>
      </c>
      <c r="H24" s="86">
        <v>0</v>
      </c>
      <c r="I24">
        <v>35</v>
      </c>
      <c r="J24" s="85" t="s">
        <v>196</v>
      </c>
      <c r="K24" s="94" t="str">
        <f>VLOOKUP(I24,[7]stage_hints!$A:$C,3,FALSE)</f>
        <v>敵のステータスがスキルで上がったら</v>
      </c>
      <c r="L24" s="95" t="str">
        <f>VLOOKUP(I24,[7]stage_hints!$A:$D,4,FALSE)</f>
        <v>敵のステータスがスキルでアップしたときは_x000D_ステータスダウンスキルで上書きしましょう</v>
      </c>
      <c r="M24" s="57" t="s">
        <v>209</v>
      </c>
    </row>
    <row r="25" spans="1:13" x14ac:dyDescent="0.15">
      <c r="A25" s="82" t="s">
        <v>199</v>
      </c>
      <c r="B25" s="83">
        <f>floors!$C$2</f>
        <v>41014</v>
      </c>
      <c r="C25" s="84" t="str">
        <f ca="1">VLOOKUP($B25,OFFSET([2]quests!$A$1,0,0,COUNTA([2]quests!$A:$A),MATCH(C$1,[2]quests!$1:$1,0)-MATCH($B$1,[2]quests!$1:$1,0)+1),MATCH(C$1,[2]quests!$1:$1,0)-MATCH($B$1,[2]quests!$1:$1,0)+1,FALSE)</f>
        <v>シヴァ襲来！</v>
      </c>
      <c r="D25" s="84" t="str">
        <f ca="1">VLOOKUP($B25,OFFSET([2]quests!$A$1,0,0,COUNTA([2]quests!$A:$A),MATCH(D$1,[2]quests!$1:$1,0)-MATCH($B$1,[2]quests!$1:$1,0)+1),MATCH(D$1,[2]quests!$1:$1,0)-MATCH($B$1,[2]quests!$1:$1,0)+1,FALSE)</f>
        <v>降臨1</v>
      </c>
      <c r="E25" s="88">
        <v>2</v>
      </c>
      <c r="F25" s="84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【ウィザード級】シヴァ襲来</v>
      </c>
      <c r="G25" s="84">
        <f ca="1">VLOOKUP($B25&amp;"_"&amp;$E25,OFFSET([2]stages!$A$1,0,0,COUNTA([2]stages!$A:$A),MATCH(G$1,[2]stages!$2:$2,0)-MATCH("temp_stage",[2]stages!$2:$2,0)+1),MATCH(G$1,[2]stages!$2:$2,0)-MATCH("temp_stage",[2]stages!$2:$2,0)+1,FALSE)</f>
        <v>0</v>
      </c>
      <c r="H25" s="86">
        <v>0</v>
      </c>
      <c r="I25">
        <v>36</v>
      </c>
      <c r="J25" s="85" t="s">
        <v>196</v>
      </c>
      <c r="K25" s="94" t="str">
        <f>VLOOKUP(I25,[7]stage_hints!$A:$C,3,FALSE)</f>
        <v>チャレンジタワーのボス</v>
      </c>
      <c r="L25" s="95" t="str">
        <f>VLOOKUP(I25,[7]stage_hints!$A:$D,4,FALSE)</f>
        <v>チャレンジタワーでのみ登場するボスは_x000D_一定確率で獲得することができます</v>
      </c>
      <c r="M25" s="57" t="s">
        <v>209</v>
      </c>
    </row>
    <row r="26" spans="1:13" x14ac:dyDescent="0.15">
      <c r="A26" s="82" t="s">
        <v>199</v>
      </c>
      <c r="B26" s="83">
        <f>floors!$C$2</f>
        <v>41014</v>
      </c>
      <c r="C26" s="84" t="str">
        <f ca="1">VLOOKUP($B26,OFFSET([2]quests!$A$1,0,0,COUNTA([2]quests!$A:$A),MATCH(C$1,[2]quests!$1:$1,0)-MATCH($B$1,[2]quests!$1:$1,0)+1),MATCH(C$1,[2]quests!$1:$1,0)-MATCH($B$1,[2]quests!$1:$1,0)+1,FALSE)</f>
        <v>シヴァ襲来！</v>
      </c>
      <c r="D26" s="84" t="str">
        <f ca="1">VLOOKUP($B26,OFFSET([2]quests!$A$1,0,0,COUNTA([2]quests!$A:$A),MATCH(D$1,[2]quests!$1:$1,0)-MATCH($B$1,[2]quests!$1:$1,0)+1),MATCH(D$1,[2]quests!$1:$1,0)-MATCH($B$1,[2]quests!$1:$1,0)+1,FALSE)</f>
        <v>降臨1</v>
      </c>
      <c r="E26" s="88">
        <v>2</v>
      </c>
      <c r="F26" s="84" t="str">
        <f ca="1">VLOOKUP($B26&amp;"_"&amp;$E26,OFFSET([2]stages!$A$1,0,0,COUNTA([2]stages!$A:$A),MATCH(F$1,[2]stages!$2:$2,0)-MATCH("temp_stage",[2]stages!$2:$2,0)+1),MATCH(F$1,[2]stages!$2:$2,0)-MATCH("temp_stage",[2]stages!$2:$2,0)+1,FALSE)</f>
        <v>【ウィザード級】シヴァ襲来</v>
      </c>
      <c r="G26" s="84">
        <f ca="1">VLOOKUP($B26&amp;"_"&amp;$E26,OFFSET([2]stages!$A$1,0,0,COUNTA([2]stages!$A:$A),MATCH(G$1,[2]stages!$2:$2,0)-MATCH("temp_stage",[2]stages!$2:$2,0)+1),MATCH(G$1,[2]stages!$2:$2,0)-MATCH("temp_stage",[2]stages!$2:$2,0)+1,FALSE)</f>
        <v>0</v>
      </c>
      <c r="H26" s="86">
        <v>0</v>
      </c>
      <c r="I26">
        <v>37</v>
      </c>
      <c r="J26" s="85" t="s">
        <v>196</v>
      </c>
      <c r="K26" s="94" t="str">
        <f>VLOOKUP(I26,[7]stage_hints!$A:$C,3,FALSE)</f>
        <v>限界突破値の引き継ぎ</v>
      </c>
      <c r="L26" s="95" t="str">
        <f>VLOOKUP(I26,[7]stage_hints!$A:$D,4,FALSE)</f>
        <v>同じユニットを強化で合成すると_x000D_限界突破値を引き継げます（覚醒前後も可）</v>
      </c>
      <c r="M26" s="57" t="s">
        <v>209</v>
      </c>
    </row>
    <row r="27" spans="1:13" x14ac:dyDescent="0.15">
      <c r="A27" s="82" t="s">
        <v>199</v>
      </c>
      <c r="B27" s="83">
        <f>floors!$C$2</f>
        <v>41014</v>
      </c>
      <c r="C27" s="84" t="str">
        <f ca="1">VLOOKUP($B27,OFFSET([2]quests!$A$1,0,0,COUNTA([2]quests!$A:$A),MATCH(C$1,[2]quests!$1:$1,0)-MATCH($B$1,[2]quests!$1:$1,0)+1),MATCH(C$1,[2]quests!$1:$1,0)-MATCH($B$1,[2]quests!$1:$1,0)+1,FALSE)</f>
        <v>シヴァ襲来！</v>
      </c>
      <c r="D27" s="84" t="str">
        <f ca="1">VLOOKUP($B27,OFFSET([2]quests!$A$1,0,0,COUNTA([2]quests!$A:$A),MATCH(D$1,[2]quests!$1:$1,0)-MATCH($B$1,[2]quests!$1:$1,0)+1),MATCH(D$1,[2]quests!$1:$1,0)-MATCH($B$1,[2]quests!$1:$1,0)+1,FALSE)</f>
        <v>降臨1</v>
      </c>
      <c r="E27" s="88">
        <v>2</v>
      </c>
      <c r="F27" s="84" t="str">
        <f ca="1">VLOOKUP($B27&amp;"_"&amp;$E27,OFFSET([2]stages!$A$1,0,0,COUNTA([2]stages!$A:$A),MATCH(F$1,[2]stages!$2:$2,0)-MATCH("temp_stage",[2]stages!$2:$2,0)+1),MATCH(F$1,[2]stages!$2:$2,0)-MATCH("temp_stage",[2]stages!$2:$2,0)+1,FALSE)</f>
        <v>【ウィザード級】シヴァ襲来</v>
      </c>
      <c r="G27" s="84">
        <f ca="1">VLOOKUP($B27&amp;"_"&amp;$E27,OFFSET([2]stages!$A$1,0,0,COUNTA([2]stages!$A:$A),MATCH(G$1,[2]stages!$2:$2,0)-MATCH("temp_stage",[2]stages!$2:$2,0)+1),MATCH(G$1,[2]stages!$2:$2,0)-MATCH("temp_stage",[2]stages!$2:$2,0)+1,FALSE)</f>
        <v>0</v>
      </c>
      <c r="H27" s="86">
        <v>0</v>
      </c>
      <c r="I27">
        <v>39</v>
      </c>
      <c r="J27" s="85" t="s">
        <v>196</v>
      </c>
      <c r="K27" s="94" t="str">
        <f>VLOOKUP(I27,[7]stage_hints!$A:$C,3,FALSE)</f>
        <v>システム適合者を確認</v>
      </c>
      <c r="L27" s="95" t="str">
        <f>VLOOKUP(I27,[7]stage_hints!$A:$D,4,FALSE)</f>
        <v>ALICEが 「アナタ」を呼んでいます</v>
      </c>
      <c r="M27" s="57" t="s">
        <v>209</v>
      </c>
    </row>
  </sheetData>
  <phoneticPr fontId="5"/>
  <dataValidations count="1">
    <dataValidation type="list" allowBlank="1" showInputMessage="1" showErrorMessage="1" sqref="A2:A2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186</v>
      </c>
      <c r="B1" s="74" t="s">
        <v>149</v>
      </c>
      <c r="C1" s="78" t="s">
        <v>188</v>
      </c>
      <c r="D1" s="78" t="s">
        <v>33</v>
      </c>
      <c r="E1" s="74" t="s">
        <v>189</v>
      </c>
      <c r="F1" s="78" t="s">
        <v>18</v>
      </c>
      <c r="G1" s="78" t="s">
        <v>33</v>
      </c>
      <c r="H1" s="74" t="s">
        <v>191</v>
      </c>
      <c r="I1" s="90" t="s">
        <v>192</v>
      </c>
      <c r="J1" s="92" t="s">
        <v>193</v>
      </c>
      <c r="K1" s="80" t="s">
        <v>125</v>
      </c>
      <c r="L1" s="79" t="s">
        <v>185</v>
      </c>
      <c r="M1" s="93" t="s">
        <v>184</v>
      </c>
      <c r="N1" s="81" t="s">
        <v>194</v>
      </c>
    </row>
    <row r="2" spans="1:14" ht="42" x14ac:dyDescent="0.15">
      <c r="A2" s="82" t="s">
        <v>195</v>
      </c>
      <c r="B2" s="83">
        <f>floors!$C$2</f>
        <v>41014</v>
      </c>
      <c r="C2" s="84" t="str">
        <f ca="1">VLOOKUP($B2,OFFSET([2]quests!$A$1,0,0,COUNTA([2]quests!$A:$A),MATCH(C$1,[2]quests!$1:$1,0)-MATCH($B$1,[2]quests!$1:$1,0)+1),MATCH(C$1,[2]quests!$1:$1,0)-MATCH($B$1,[2]quests!$1:$1,0)+1,FALSE)</f>
        <v>シヴァ襲来！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降臨1</v>
      </c>
      <c r="E2" s="85">
        <v>2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【ウィザード級】シヴァ襲来</v>
      </c>
      <c r="G2" s="84">
        <f ca="1">VLOOKUP($B2&amp;"_"&amp;$E2,OFFSET([2]stages!$A$1,0,0,COUNTA([2]stages!$A:$A),MATCH(G$1,[2]stages!$2:$2,0)-MATCH("temp_stage",[2]stages!$2:$2,0)+1),MATCH(G$1,[2]stages!$2:$2,0)-MATCH("temp_stage",[2]stages!$2:$2,0)+1,FALSE)</f>
        <v>0</v>
      </c>
      <c r="H2" s="86">
        <v>1</v>
      </c>
      <c r="I2" s="91">
        <f t="shared" ref="I2:I11" si="0">ROW()-1</f>
        <v>1</v>
      </c>
      <c r="J2" s="87" t="str">
        <f t="shared" ref="J2:J11" si="1">B2&amp;TEXT(I2,"00")</f>
        <v>4101401</v>
      </c>
      <c r="K2" s="85" t="s">
        <v>196</v>
      </c>
      <c r="L2" s="88" t="s">
        <v>197</v>
      </c>
      <c r="M2" s="109" t="s">
        <v>299</v>
      </c>
      <c r="N2" s="57" t="s">
        <v>198</v>
      </c>
    </row>
    <row r="3" spans="1:14" ht="56" x14ac:dyDescent="0.15">
      <c r="A3" s="82" t="s">
        <v>195</v>
      </c>
      <c r="B3" s="83">
        <f>floors!$C$2</f>
        <v>41014</v>
      </c>
      <c r="C3" s="84" t="str">
        <f ca="1">VLOOKUP($B3,OFFSET([2]quests!$A$1,0,0,COUNTA([2]quests!$A:$A),MATCH(C$1,[2]quests!$1:$1,0)-MATCH($B$1,[2]quests!$1:$1,0)+1),MATCH(C$1,[2]quests!$1:$1,0)-MATCH($B$1,[2]quests!$1:$1,0)+1,FALSE)</f>
        <v>シヴァ襲来！</v>
      </c>
      <c r="D3" s="84" t="str">
        <f ca="1">VLOOKUP($B3,OFFSET([2]quests!$A$1,0,0,COUNTA([2]quests!$A:$A),MATCH(D$1,[2]quests!$1:$1,0)-MATCH($B$1,[2]quests!$1:$1,0)+1),MATCH(D$1,[2]quests!$1:$1,0)-MATCH($B$1,[2]quests!$1:$1,0)+1,FALSE)</f>
        <v>降臨1</v>
      </c>
      <c r="E3" s="85">
        <v>2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【ウィザード級】シヴァ襲来</v>
      </c>
      <c r="G3" s="84">
        <f ca="1">VLOOKUP($B3&amp;"_"&amp;$E3,OFFSET([2]stages!$A$1,0,0,COUNTA([2]stages!$A:$A),MATCH(G$1,[2]stages!$2:$2,0)-MATCH("temp_stage",[2]stages!$2:$2,0)+1),MATCH(G$1,[2]stages!$2:$2,0)-MATCH("temp_stage",[2]stages!$2:$2,0)+1,FALSE)</f>
        <v>0</v>
      </c>
      <c r="H3" s="86">
        <v>2</v>
      </c>
      <c r="I3" s="91">
        <f t="shared" si="0"/>
        <v>2</v>
      </c>
      <c r="J3" s="87" t="str">
        <f t="shared" si="1"/>
        <v>4101402</v>
      </c>
      <c r="K3" s="85" t="s">
        <v>126</v>
      </c>
      <c r="L3" s="88" t="s">
        <v>197</v>
      </c>
      <c r="M3" s="109" t="s">
        <v>301</v>
      </c>
      <c r="N3" s="57" t="s">
        <v>198</v>
      </c>
    </row>
    <row r="4" spans="1:14" ht="42" x14ac:dyDescent="0.15">
      <c r="A4" s="82" t="s">
        <v>195</v>
      </c>
      <c r="B4" s="83">
        <f>floors!$C$2</f>
        <v>41014</v>
      </c>
      <c r="C4" s="84" t="str">
        <f ca="1">VLOOKUP($B4,OFFSET([2]quests!$A$1,0,0,COUNTA([2]quests!$A:$A),MATCH(C$1,[2]quests!$1:$1,0)-MATCH($B$1,[2]quests!$1:$1,0)+1),MATCH(C$1,[2]quests!$1:$1,0)-MATCH($B$1,[2]quests!$1:$1,0)+1,FALSE)</f>
        <v>シヴァ襲来！</v>
      </c>
      <c r="D4" s="84" t="str">
        <f ca="1">VLOOKUP($B4,OFFSET([2]quests!$A$1,0,0,COUNTA([2]quests!$A:$A),MATCH(D$1,[2]quests!$1:$1,0)-MATCH($B$1,[2]quests!$1:$1,0)+1),MATCH(D$1,[2]quests!$1:$1,0)-MATCH($B$1,[2]quests!$1:$1,0)+1,FALSE)</f>
        <v>降臨1</v>
      </c>
      <c r="E4" s="85">
        <v>2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【ウィザード級】シヴァ襲来</v>
      </c>
      <c r="G4" s="84">
        <f ca="1">VLOOKUP($B4&amp;"_"&amp;$E4,OFFSET([2]stages!$A$1,0,0,COUNTA([2]stages!$A:$A),MATCH(G$1,[2]stages!$2:$2,0)-MATCH("temp_stage",[2]stages!$2:$2,0)+1),MATCH(G$1,[2]stages!$2:$2,0)-MATCH("temp_stage",[2]stages!$2:$2,0)+1,FALSE)</f>
        <v>0</v>
      </c>
      <c r="H4" s="86">
        <v>4</v>
      </c>
      <c r="I4" s="91">
        <f t="shared" si="0"/>
        <v>3</v>
      </c>
      <c r="J4" s="87" t="str">
        <f t="shared" si="1"/>
        <v>4101403</v>
      </c>
      <c r="K4" s="85" t="s">
        <v>126</v>
      </c>
      <c r="L4" s="88" t="s">
        <v>197</v>
      </c>
      <c r="M4" s="109" t="s">
        <v>302</v>
      </c>
      <c r="N4" s="57" t="s">
        <v>198</v>
      </c>
    </row>
    <row r="5" spans="1:14" ht="42" x14ac:dyDescent="0.15">
      <c r="A5" s="82" t="s">
        <v>195</v>
      </c>
      <c r="B5" s="83">
        <f>floors!$C$2</f>
        <v>41014</v>
      </c>
      <c r="C5" s="84" t="str">
        <f ca="1">VLOOKUP($B5,OFFSET([2]quests!$A$1,0,0,COUNTA([2]quests!$A:$A),MATCH(C$1,[2]quests!$1:$1,0)-MATCH($B$1,[2]quests!$1:$1,0)+1),MATCH(C$1,[2]quests!$1:$1,0)-MATCH($B$1,[2]quests!$1:$1,0)+1,FALSE)</f>
        <v>シヴァ襲来！</v>
      </c>
      <c r="D5" s="84" t="str">
        <f ca="1">VLOOKUP($B5,OFFSET([2]quests!$A$1,0,0,COUNTA([2]quests!$A:$A),MATCH(D$1,[2]quests!$1:$1,0)-MATCH($B$1,[2]quests!$1:$1,0)+1),MATCH(D$1,[2]quests!$1:$1,0)-MATCH($B$1,[2]quests!$1:$1,0)+1,FALSE)</f>
        <v>降臨1</v>
      </c>
      <c r="E5" s="85">
        <v>2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【ウィザード級】シヴァ襲来</v>
      </c>
      <c r="G5" s="84">
        <f ca="1">VLOOKUP($B5&amp;"_"&amp;$E5,OFFSET([2]stages!$A$1,0,0,COUNTA([2]stages!$A:$A),MATCH(G$1,[2]stages!$2:$2,0)-MATCH("temp_stage",[2]stages!$2:$2,0)+1),MATCH(G$1,[2]stages!$2:$2,0)-MATCH("temp_stage",[2]stages!$2:$2,0)+1,FALSE)</f>
        <v>0</v>
      </c>
      <c r="H5" s="86">
        <v>4</v>
      </c>
      <c r="I5" s="91">
        <f t="shared" si="0"/>
        <v>4</v>
      </c>
      <c r="J5" s="87" t="str">
        <f t="shared" si="1"/>
        <v>4101404</v>
      </c>
      <c r="K5" s="85" t="s">
        <v>126</v>
      </c>
      <c r="L5" s="88" t="s">
        <v>197</v>
      </c>
      <c r="M5" s="109" t="s">
        <v>300</v>
      </c>
      <c r="N5" s="57" t="s">
        <v>198</v>
      </c>
    </row>
    <row r="6" spans="1:14" ht="42" x14ac:dyDescent="0.15">
      <c r="A6" s="82" t="s">
        <v>195</v>
      </c>
      <c r="B6" s="83">
        <f>floors!$C$2</f>
        <v>41014</v>
      </c>
      <c r="C6" s="84" t="str">
        <f ca="1">VLOOKUP($B6,OFFSET([2]quests!$A$1,0,0,COUNTA([2]quests!$A:$A),MATCH(C$1,[2]quests!$1:$1,0)-MATCH($B$1,[2]quests!$1:$1,0)+1),MATCH(C$1,[2]quests!$1:$1,0)-MATCH($B$1,[2]quests!$1:$1,0)+1,FALSE)</f>
        <v>シヴァ襲来！</v>
      </c>
      <c r="D6" s="84" t="str">
        <f ca="1">VLOOKUP($B6,OFFSET([2]quests!$A$1,0,0,COUNTA([2]quests!$A:$A),MATCH(D$1,[2]quests!$1:$1,0)-MATCH($B$1,[2]quests!$1:$1,0)+1),MATCH(D$1,[2]quests!$1:$1,0)-MATCH($B$1,[2]quests!$1:$1,0)+1,FALSE)</f>
        <v>降臨1</v>
      </c>
      <c r="E6" s="85">
        <v>2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【ウィザード級】シヴァ襲来</v>
      </c>
      <c r="G6" s="84">
        <f ca="1">VLOOKUP($B6&amp;"_"&amp;$E6,OFFSET([2]stages!$A$1,0,0,COUNTA([2]stages!$A:$A),MATCH(G$1,[2]stages!$2:$2,0)-MATCH("temp_stage",[2]stages!$2:$2,0)+1),MATCH(G$1,[2]stages!$2:$2,0)-MATCH("temp_stage",[2]stages!$2:$2,0)+1,FALSE)</f>
        <v>0</v>
      </c>
      <c r="H6" s="86">
        <v>4</v>
      </c>
      <c r="I6" s="91">
        <f t="shared" si="0"/>
        <v>5</v>
      </c>
      <c r="J6" s="87" t="str">
        <f t="shared" si="1"/>
        <v>4101405</v>
      </c>
      <c r="K6" s="85" t="s">
        <v>126</v>
      </c>
      <c r="L6" s="88" t="s">
        <v>197</v>
      </c>
      <c r="M6" s="109" t="s">
        <v>303</v>
      </c>
      <c r="N6" s="57" t="s">
        <v>198</v>
      </c>
    </row>
    <row r="7" spans="1:14" ht="42" x14ac:dyDescent="0.15">
      <c r="A7" s="82" t="s">
        <v>195</v>
      </c>
      <c r="B7" s="83">
        <f>floors!$C$2</f>
        <v>41014</v>
      </c>
      <c r="C7" s="84" t="str">
        <f ca="1">VLOOKUP($B7,OFFSET([2]quests!$A$1,0,0,COUNTA([2]quests!$A:$A),MATCH(C$1,[2]quests!$1:$1,0)-MATCH($B$1,[2]quests!$1:$1,0)+1),MATCH(C$1,[2]quests!$1:$1,0)-MATCH($B$1,[2]quests!$1:$1,0)+1,FALSE)</f>
        <v>シヴァ襲来！</v>
      </c>
      <c r="D7" s="84" t="str">
        <f ca="1">VLOOKUP($B7,OFFSET([2]quests!$A$1,0,0,COUNTA([2]quests!$A:$A),MATCH(D$1,[2]quests!$1:$1,0)-MATCH($B$1,[2]quests!$1:$1,0)+1),MATCH(D$1,[2]quests!$1:$1,0)-MATCH($B$1,[2]quests!$1:$1,0)+1,FALSE)</f>
        <v>降臨1</v>
      </c>
      <c r="E7" s="85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【超絶級】シヴァ襲来</v>
      </c>
      <c r="G7" s="84">
        <f ca="1">VLOOKUP($B7&amp;"_"&amp;$E7,OFFSET([2]stages!$A$1,0,0,COUNTA([2]stages!$A:$A),MATCH(G$1,[2]stages!$2:$2,0)-MATCH("temp_stage",[2]stages!$2:$2,0)+1),MATCH(G$1,[2]stages!$2:$2,0)-MATCH("temp_stage",[2]stages!$2:$2,0)+1,FALSE)</f>
        <v>0</v>
      </c>
      <c r="H7" s="86">
        <v>1</v>
      </c>
      <c r="I7" s="91">
        <f t="shared" si="0"/>
        <v>6</v>
      </c>
      <c r="J7" s="87" t="str">
        <f t="shared" si="1"/>
        <v>4101406</v>
      </c>
      <c r="K7" s="85" t="s">
        <v>126</v>
      </c>
      <c r="L7" s="88" t="s">
        <v>197</v>
      </c>
      <c r="M7" s="109" t="s">
        <v>299</v>
      </c>
      <c r="N7" s="57" t="s">
        <v>198</v>
      </c>
    </row>
    <row r="8" spans="1:14" ht="56" x14ac:dyDescent="0.15">
      <c r="A8" s="82" t="s">
        <v>195</v>
      </c>
      <c r="B8" s="83">
        <f>floors!$C$2</f>
        <v>41014</v>
      </c>
      <c r="C8" s="84" t="str">
        <f ca="1">VLOOKUP($B8,OFFSET([2]quests!$A$1,0,0,COUNTA([2]quests!$A:$A),MATCH(C$1,[2]quests!$1:$1,0)-MATCH($B$1,[2]quests!$1:$1,0)+1),MATCH(C$1,[2]quests!$1:$1,0)-MATCH($B$1,[2]quests!$1:$1,0)+1,FALSE)</f>
        <v>シヴァ襲来！</v>
      </c>
      <c r="D8" s="84" t="str">
        <f ca="1">VLOOKUP($B8,OFFSET([2]quests!$A$1,0,0,COUNTA([2]quests!$A:$A),MATCH(D$1,[2]quests!$1:$1,0)-MATCH($B$1,[2]quests!$1:$1,0)+1),MATCH(D$1,[2]quests!$1:$1,0)-MATCH($B$1,[2]quests!$1:$1,0)+1,FALSE)</f>
        <v>降臨1</v>
      </c>
      <c r="E8" s="85">
        <v>1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【超絶級】シヴァ襲来</v>
      </c>
      <c r="G8" s="84">
        <f ca="1">VLOOKUP($B8&amp;"_"&amp;$E8,OFFSET([2]stages!$A$1,0,0,COUNTA([2]stages!$A:$A),MATCH(G$1,[2]stages!$2:$2,0)-MATCH("temp_stage",[2]stages!$2:$2,0)+1),MATCH(G$1,[2]stages!$2:$2,0)-MATCH("temp_stage",[2]stages!$2:$2,0)+1,FALSE)</f>
        <v>0</v>
      </c>
      <c r="H8" s="86">
        <v>2</v>
      </c>
      <c r="I8" s="91">
        <f t="shared" si="0"/>
        <v>7</v>
      </c>
      <c r="J8" s="87" t="str">
        <f t="shared" si="1"/>
        <v>4101407</v>
      </c>
      <c r="K8" s="85" t="s">
        <v>126</v>
      </c>
      <c r="L8" s="88" t="s">
        <v>197</v>
      </c>
      <c r="M8" s="109" t="s">
        <v>301</v>
      </c>
      <c r="N8" s="57" t="s">
        <v>198</v>
      </c>
    </row>
    <row r="9" spans="1:14" ht="42" x14ac:dyDescent="0.15">
      <c r="A9" s="82" t="s">
        <v>195</v>
      </c>
      <c r="B9" s="83">
        <f>floors!$C$2</f>
        <v>41014</v>
      </c>
      <c r="C9" s="84" t="str">
        <f ca="1">VLOOKUP($B9,OFFSET([2]quests!$A$1,0,0,COUNTA([2]quests!$A:$A),MATCH(C$1,[2]quests!$1:$1,0)-MATCH($B$1,[2]quests!$1:$1,0)+1),MATCH(C$1,[2]quests!$1:$1,0)-MATCH($B$1,[2]quests!$1:$1,0)+1,FALSE)</f>
        <v>シヴァ襲来！</v>
      </c>
      <c r="D9" s="84" t="str">
        <f ca="1">VLOOKUP($B9,OFFSET([2]quests!$A$1,0,0,COUNTA([2]quests!$A:$A),MATCH(D$1,[2]quests!$1:$1,0)-MATCH($B$1,[2]quests!$1:$1,0)+1),MATCH(D$1,[2]quests!$1:$1,0)-MATCH($B$1,[2]quests!$1:$1,0)+1,FALSE)</f>
        <v>降臨1</v>
      </c>
      <c r="E9" s="85">
        <v>1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【超絶級】シヴァ襲来</v>
      </c>
      <c r="G9" s="84">
        <f ca="1">VLOOKUP($B9&amp;"_"&amp;$E9,OFFSET([2]stages!$A$1,0,0,COUNTA([2]stages!$A:$A),MATCH(G$1,[2]stages!$2:$2,0)-MATCH("temp_stage",[2]stages!$2:$2,0)+1),MATCH(G$1,[2]stages!$2:$2,0)-MATCH("temp_stage",[2]stages!$2:$2,0)+1,FALSE)</f>
        <v>0</v>
      </c>
      <c r="H9" s="86">
        <v>4</v>
      </c>
      <c r="I9" s="91">
        <f t="shared" si="0"/>
        <v>8</v>
      </c>
      <c r="J9" s="87" t="str">
        <f t="shared" si="1"/>
        <v>4101408</v>
      </c>
      <c r="K9" s="85" t="s">
        <v>126</v>
      </c>
      <c r="L9" s="88" t="s">
        <v>197</v>
      </c>
      <c r="M9" s="109" t="s">
        <v>302</v>
      </c>
      <c r="N9" s="57" t="s">
        <v>198</v>
      </c>
    </row>
    <row r="10" spans="1:14" ht="42" x14ac:dyDescent="0.15">
      <c r="A10" s="82" t="s">
        <v>195</v>
      </c>
      <c r="B10" s="83">
        <f>floors!$C$2</f>
        <v>41014</v>
      </c>
      <c r="C10" s="84" t="str">
        <f ca="1">VLOOKUP($B10,OFFSET([2]quests!$A$1,0,0,COUNTA([2]quests!$A:$A),MATCH(C$1,[2]quests!$1:$1,0)-MATCH($B$1,[2]quests!$1:$1,0)+1),MATCH(C$1,[2]quests!$1:$1,0)-MATCH($B$1,[2]quests!$1:$1,0)+1,FALSE)</f>
        <v>シヴァ襲来！</v>
      </c>
      <c r="D10" s="84" t="str">
        <f ca="1">VLOOKUP($B10,OFFSET([2]quests!$A$1,0,0,COUNTA([2]quests!$A:$A),MATCH(D$1,[2]quests!$1:$1,0)-MATCH($B$1,[2]quests!$1:$1,0)+1),MATCH(D$1,[2]quests!$1:$1,0)-MATCH($B$1,[2]quests!$1:$1,0)+1,FALSE)</f>
        <v>降臨1</v>
      </c>
      <c r="E10" s="85">
        <v>1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【超絶級】シヴァ襲来</v>
      </c>
      <c r="G10" s="84">
        <f ca="1">VLOOKUP($B10&amp;"_"&amp;$E10,OFFSET([2]stages!$A$1,0,0,COUNTA([2]stages!$A:$A),MATCH(G$1,[2]stages!$2:$2,0)-MATCH("temp_stage",[2]stages!$2:$2,0)+1),MATCH(G$1,[2]stages!$2:$2,0)-MATCH("temp_stage",[2]stages!$2:$2,0)+1,FALSE)</f>
        <v>0</v>
      </c>
      <c r="H10" s="86">
        <v>4</v>
      </c>
      <c r="I10" s="91">
        <f t="shared" si="0"/>
        <v>9</v>
      </c>
      <c r="J10" s="87" t="str">
        <f t="shared" si="1"/>
        <v>4101409</v>
      </c>
      <c r="K10" s="85" t="s">
        <v>126</v>
      </c>
      <c r="L10" s="88" t="s">
        <v>197</v>
      </c>
      <c r="M10" s="109" t="s">
        <v>300</v>
      </c>
      <c r="N10" s="57" t="s">
        <v>198</v>
      </c>
    </row>
    <row r="11" spans="1:14" ht="42" x14ac:dyDescent="0.15">
      <c r="A11" s="82" t="s">
        <v>195</v>
      </c>
      <c r="B11" s="83">
        <f>floors!$C$2</f>
        <v>41014</v>
      </c>
      <c r="C11" s="84" t="str">
        <f ca="1">VLOOKUP($B11,OFFSET([2]quests!$A$1,0,0,COUNTA([2]quests!$A:$A),MATCH(C$1,[2]quests!$1:$1,0)-MATCH($B$1,[2]quests!$1:$1,0)+1),MATCH(C$1,[2]quests!$1:$1,0)-MATCH($B$1,[2]quests!$1:$1,0)+1,FALSE)</f>
        <v>シヴァ襲来！</v>
      </c>
      <c r="D11" s="84" t="str">
        <f ca="1">VLOOKUP($B11,OFFSET([2]quests!$A$1,0,0,COUNTA([2]quests!$A:$A),MATCH(D$1,[2]quests!$1:$1,0)-MATCH($B$1,[2]quests!$1:$1,0)+1),MATCH(D$1,[2]quests!$1:$1,0)-MATCH($B$1,[2]quests!$1:$1,0)+1,FALSE)</f>
        <v>降臨1</v>
      </c>
      <c r="E11" s="85">
        <v>1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【超絶級】シヴァ襲来</v>
      </c>
      <c r="G11" s="84">
        <f ca="1">VLOOKUP($B11&amp;"_"&amp;$E11,OFFSET([2]stages!$A$1,0,0,COUNTA([2]stages!$A:$A),MATCH(G$1,[2]stages!$2:$2,0)-MATCH("temp_stage",[2]stages!$2:$2,0)+1),MATCH(G$1,[2]stages!$2:$2,0)-MATCH("temp_stage",[2]stages!$2:$2,0)+1,FALSE)</f>
        <v>0</v>
      </c>
      <c r="H11" s="86">
        <v>4</v>
      </c>
      <c r="I11" s="91">
        <f t="shared" si="0"/>
        <v>10</v>
      </c>
      <c r="J11" s="87" t="str">
        <f t="shared" si="1"/>
        <v>4101410</v>
      </c>
      <c r="K11" s="85" t="s">
        <v>126</v>
      </c>
      <c r="L11" s="88" t="s">
        <v>197</v>
      </c>
      <c r="M11" s="109" t="s">
        <v>303</v>
      </c>
      <c r="N11" s="57" t="s">
        <v>198</v>
      </c>
    </row>
  </sheetData>
  <phoneticPr fontId="5"/>
  <dataValidations count="1">
    <dataValidation type="list" allowBlank="1" showInputMessage="1" showErrorMessage="1" sqref="A2:A1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7" t="s">
        <v>212</v>
      </c>
      <c r="B1" s="98" t="s">
        <v>213</v>
      </c>
      <c r="C1" s="78" t="s">
        <v>214</v>
      </c>
      <c r="D1" s="78" t="s">
        <v>33</v>
      </c>
      <c r="E1" s="98" t="s">
        <v>215</v>
      </c>
      <c r="F1" s="78" t="s">
        <v>216</v>
      </c>
      <c r="G1" s="78" t="s">
        <v>33</v>
      </c>
      <c r="H1" s="98" t="s">
        <v>217</v>
      </c>
      <c r="I1" s="98" t="s">
        <v>218</v>
      </c>
      <c r="J1" s="98" t="s">
        <v>219</v>
      </c>
      <c r="K1" s="74" t="s">
        <v>220</v>
      </c>
      <c r="L1" s="74" t="s">
        <v>221</v>
      </c>
      <c r="M1" s="74" t="s">
        <v>155</v>
      </c>
      <c r="N1" s="78" t="s">
        <v>16</v>
      </c>
      <c r="O1" s="74" t="s">
        <v>222</v>
      </c>
      <c r="P1" s="74" t="s">
        <v>57</v>
      </c>
      <c r="Q1" s="74" t="s">
        <v>223</v>
      </c>
      <c r="R1" s="74" t="s">
        <v>38</v>
      </c>
      <c r="S1" s="74" t="s">
        <v>40</v>
      </c>
      <c r="T1" s="74" t="s">
        <v>42</v>
      </c>
      <c r="U1" s="74" t="s">
        <v>44</v>
      </c>
      <c r="V1" s="74" t="s">
        <v>46</v>
      </c>
      <c r="W1" s="74" t="s">
        <v>224</v>
      </c>
      <c r="X1" s="74" t="s">
        <v>225</v>
      </c>
    </row>
    <row r="2" spans="1:24" x14ac:dyDescent="0.15">
      <c r="A2" s="99" t="str">
        <f>B2&amp;"_"&amp;E2&amp;"_"&amp;H2&amp;"_"&amp;I2&amp;"_"&amp;J2</f>
        <v>41014_2_everyone_no_continue_1</v>
      </c>
      <c r="B2" s="83">
        <v>41014</v>
      </c>
      <c r="C2" s="84" t="str">
        <f ca="1">VLOOKUP($B2,OFFSET([2]quests!$A$1,0,0,COUNTA([2]quests!$A:$A),MATCH(C$1,[2]quests!$1:$1,0)-MATCH($B$1,[2]quests!$1:$1,0)+1),MATCH(C$1,[2]quests!$1:$1,0)-MATCH($B$1,[2]quests!$1:$1,0)+1,FALSE)</f>
        <v>シヴァ襲来！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降臨1</v>
      </c>
      <c r="E2" s="85">
        <v>2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【ウィザード級】シヴァ襲来</v>
      </c>
      <c r="G2" s="84">
        <f ca="1">VLOOKUP($B2&amp;"_"&amp;$E2,OFFSET([2]stages!$A$1,0,0,COUNTA([2]stages!$A:$A),MATCH(G$1,[2]stages!$2:$2,0)-MATCH("temp_stage",[2]stages!$2:$2,0)+1),MATCH(G$1,[2]stages!$2:$2,0)-MATCH("temp_stage",[2]stages!$2:$2,0)+1,FALSE)</f>
        <v>0</v>
      </c>
      <c r="H2" s="86" t="s">
        <v>226</v>
      </c>
      <c r="I2" s="85" t="s">
        <v>230</v>
      </c>
      <c r="J2" s="85">
        <v>1</v>
      </c>
      <c r="K2" s="85">
        <v>100</v>
      </c>
      <c r="L2" s="85" t="s">
        <v>227</v>
      </c>
      <c r="M2" s="85">
        <v>656</v>
      </c>
      <c r="N2" s="100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シヴァ</v>
      </c>
      <c r="O2" s="85">
        <v>1</v>
      </c>
      <c r="P2" s="85">
        <v>1</v>
      </c>
      <c r="Q2" s="85">
        <v>1</v>
      </c>
      <c r="R2" s="85">
        <v>0</v>
      </c>
      <c r="S2" s="85">
        <v>0</v>
      </c>
      <c r="T2" s="85">
        <v>0</v>
      </c>
      <c r="U2" s="85">
        <v>0</v>
      </c>
      <c r="V2" s="85">
        <v>1</v>
      </c>
      <c r="W2" s="101" t="s">
        <v>228</v>
      </c>
      <c r="X2" s="102" t="s">
        <v>229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2016-08-04T06:51:46Z</dcterms:modified>
</cp:coreProperties>
</file>