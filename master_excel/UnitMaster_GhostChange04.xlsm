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460" windowWidth="2770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57" l="1"/>
  <c r="E5" i="57"/>
  <c r="B5" i="57"/>
  <c r="F4" i="57"/>
  <c r="E4" i="57"/>
  <c r="B4" i="57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H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H2" i="23"/>
  <c r="G2" i="23"/>
  <c r="BC2" i="23"/>
  <c r="H4" i="23"/>
  <c r="G4" i="23"/>
  <c r="BC4" i="23"/>
  <c r="BE5" i="23"/>
  <c r="BJ5" i="23"/>
  <c r="BI5" i="23"/>
  <c r="BH5" i="23"/>
  <c r="BG5" i="23"/>
  <c r="I2" i="23"/>
  <c r="J2" i="23"/>
  <c r="I4" i="23"/>
  <c r="J4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G9" i="13"/>
  <c r="N5" i="23"/>
  <c r="F5" i="23"/>
  <c r="E5" i="23"/>
  <c r="D5" i="23"/>
  <c r="C5" i="23"/>
  <c r="B5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F3" i="57"/>
  <c r="E3" i="57"/>
  <c r="B3" i="57"/>
  <c r="H3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BD2" i="23"/>
  <c r="Q2" i="23"/>
  <c r="S2" i="23"/>
  <c r="W2" i="23"/>
  <c r="AA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G8" i="1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<sst xmlns="http://schemas.openxmlformats.org/spreadsheetml/2006/main" count="948" uniqueCount="379">
  <si>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</si>
  <si>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</si>
  <si>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</si>
  <si>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</si>
  <si>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</si>
  <si>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</si>
  <si>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</si>
  <si>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</si>
  <si>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</si>
  <si>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</si>
  <si>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</si>
  <si>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</si>
  <si>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</si>
  <si>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</si>
  <si>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</si>
  <si>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</si>
  <si>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</si>
  <si>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</si>
  <si>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</si>
  <si>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</si>
  <si>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</si>
  <si>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</si>
  <si>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</si>
  <si>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</si>
  <si>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</si>
  <si>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</si>
  <si>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</si>
  <si>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</si>
  <si>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</si>
  <si>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</si>
  <si>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</si>
  <si>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</si>
  <si>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</si>
  <si>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</si>
  <si>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</si>
  <si>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</si>
  <si>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</si>
  <si>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</si>
  <si>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</si>
  <si>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</si>
  <si>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</si>
  <si>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</si>
  <si>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</si>
  <si>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</si>
  <si>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</si>
  <si>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</si>
  <si>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</si>
  <si>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</si>
  <si>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</si>
  <si>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</si>
  <si>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</si>
  <si>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</si>
  <si>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</si>
  <si>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</si>
  <si>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</si>
  <si>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</si>
  <si>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</si>
  <si>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</si>
  <si>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</si>
  <si>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</si>
  <si>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</si>
  <si>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</si>
  <si>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</si>
  <si>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</si>
  <si>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</si>
  <si>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</si>
  <si>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</si>
  <si>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</si>
  <si>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</si>
  <si>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</si>
  <si>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</si>
  <si>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</si>
  <si>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</si>
  <si>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</si>
  <si>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</si>
  <si>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</si>
  <si>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</si>
  <si>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</si>
  <si>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</si>
  <si>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</si>
  <si>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</si>
  <si>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</si>
  <si>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</si>
  <si>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</si>
  <si>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</si>
  <si>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</si>
  <si>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</si>
  <si>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</si>
  <si>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</si>
  <si>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</si>
  <si>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</si>
  <si>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</si>
  <si>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</si>
  <si>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</si>
  <si>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</si>
  <si>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</si>
  <si>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</si>
  <si>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</si>
  <si>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</si>
  <si>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</si>
  <si>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</si>
  <si>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</si>
  <si>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</si>
  <si>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</si>
  <si>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</si>
  <si>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</si>
  <si>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</si>
  <si>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</si>
  <si>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</si>
  <si>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</si>
  <si>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</si>
  <si>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</si>
  <si>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</si>
  <si>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</si>
  <si>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</si>
  <si>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</si>
  <si>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</si>
  <si>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</si>
  <si>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</si>
  <si>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</si>
  <si>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</si>
  <si>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</si>
  <si>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</si>
  <si>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</si>
  <si>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</si>
  <si>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</si>
  <si>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</si>
  <si>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</si>
  <si>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</si>
  <si>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</si>
  <si>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</si>
  <si>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</si>
  <si>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</si>
  <si>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</si>
  <si>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</si>
  <si>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</si>
  <si>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</si>
  <si>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</si>
  <si>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</si>
  <si>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</si>
  <si>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</si>
  <si>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</si>
  <si>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</si>
  <si>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</si>
  <si>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</si>
  <si>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</si>
  <si>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</si>
  <si>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</si>
  <si>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</si>
  <si>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</si>
  <si>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</si>
  <si>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</si>
  <si>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</si>
  <si>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</si>
  <si>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</si>
  <si>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</si>
  <si>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</si>
  <si>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</si>
  <si>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</si>
  <si>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</si>
  <si>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</si>
  <si>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</si>
  <si>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</si>
  <si>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</si>
  <si>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</si>
  <si>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</si>
  <si>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</si>
  <si>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</si>
  <si>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</si>
  <si>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</si>
  <si>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</si>
  <si>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</si>
  <si>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</si>
  <si>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</si>
  <si>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</si>
  <si>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</si>
  <si>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</si>
  <si>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</si>
  <si>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</si>
  <si>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</si>
  <si>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</si>
  <si>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</si>
  <si>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</si>
  <si>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</si>
  <si>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</si>
  <si>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</si>
  <si>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</si>
  <si>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</si>
  <si>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</si>
  <si>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</si>
  <si>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</si>
  <si>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</si>
  <si>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</si>
  <si>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</si>
  <si>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</si>
  <si>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</si>
  <si>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</si>
  <si>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</si>
  <si>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</si>
  <si>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</si>
  <si>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</si>
  <si>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</si>
  <si>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</si>
  <si>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</si>
  <si>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</si>
  <si>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</si>
  <si>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</si>
  <si>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</si>
  <si>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</si>
  <si>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</si>
  <si>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</si>
  <si>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</si>
  <si>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</si>
  <si>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</si>
  <si>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</si>
  <si>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</si>
  <si>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</si>
  <si>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</si>
  <si>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</si>
  <si>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</si>
  <si>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</si>
  <si>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</si>
  <si>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</si>
  <si>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</si>
  <si>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</si>
  <si>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</si>
  <si>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</si>
  <si>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</si>
  <si>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</si>
  <si>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</si>
  <si>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</si>
  <si>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</si>
  <si>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</si>
  <si>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</si>
  <si>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</si>
  <si>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</si>
  <si>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</si>
  <si>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</si>
  <si>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</si>
  <si>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</si>
  <si>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</si>
  <si>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</si>
  <si>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</si>
  <si>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</si>
  <si>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</si>
  <si>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</si>
  <si>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</si>
  <si>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</si>
  <si>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</si>
  <si>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</si>
  <si>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</si>
  <si>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</si>
  <si>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</si>
  <si>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</si>
  <si>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</si>
  <si>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</si>
  <si>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</si>
  <si>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</si>
  <si>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</si>
  <si>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</si>
  <si>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</si>
  <si>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</si>
  <si>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</si>
  <si>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</si>
  <si>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</si>
  <si>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</si>
  <si>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</si>
  <si>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</si>
  <si>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</si>
  <si>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</si>
  <si>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</si>
  <si>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</si>
  <si>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</si>
  <si>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</si>
  <si>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</si>
  <si>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</si>
  <si>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</si>
  <si>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</si>
  <si>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</si>
  <si>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</si>
  <si>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</si>
  <si>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</si>
  <si>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</si>
  <si>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</si>
  <si>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</si>
  <si>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</si>
  <si>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</si>
  <si>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</si>
  <si>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</si>
  <si>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</si>
  <si>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</si>
  <si>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</si>
  <si>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</si>
  <si>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</si>
  <si>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</si>
  <si>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</si>
  <si>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</si>
  <si>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</si>
  <si>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</si>
  <si>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</si>
  <si>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</si>
  <si>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</si>
  <si>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</si>
  <si>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</si>
  <si>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</si>
  <si>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</si>
  <si>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</si>
  <si>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</si>
  <si>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</si>
  <si>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</si>
  <si>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</si>
  <si>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</si>
  <si>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</si>
  <si>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</si>
  <si>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</si>
  <si>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</si>
  <si>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</si>
  <si>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</si>
  <si>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</si>
  <si>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</si>
  <si>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</si>
  <si>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</si>
  <si>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</si>
  <si>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</si>
  <si>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</si>
  <si>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</si>
  <si>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</si>
  <si>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</si>
  <si>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</si>
  <si>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</si>
  <si>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</si>
  <si>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</si>
  <si>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</si>
  <si>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</si>
  <si>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</si>
  <si>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</si>
  <si>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</si>
  <si>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</si>
  <si>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</si>
  <si>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GhostChange04</t>
  </si>
  <si>
    <t>[effect:damage, target:enemy_one, color:red, val:1.5, animation:damage_one_red04],[effect:heal_ratio, val:0.18, animation:heal02_unit01]</t>
    <phoneticPr fontId="22"/>
  </si>
  <si>
    <t>1体に特大ダメージ+
HP回復</t>
    <phoneticPr fontId="22"/>
  </si>
  <si>
    <t>1</t>
    <phoneticPr fontId="22"/>
  </si>
  <si>
    <t>old</t>
    <phoneticPr fontId="22"/>
  </si>
  <si>
    <t>[effect:damage, target:enemy_one, color:red, val:2, animation:damage_one_red04],[effect:heal_ratio, val:0.3, animation:heal03_unit01]</t>
    <phoneticPr fontId="22"/>
  </si>
  <si>
    <t>1体に超大ダメージ+
HP大回復</t>
    <phoneticPr fontId="22"/>
  </si>
  <si>
    <t>[effect:damage, target:enemy_one, color:blue, val:1.5, animation:damage_one_blue04],[effect:enhance_unit, target:unit_blue, turn:1, status:defense, val:162, calc:add, animation:enhance_unit_all_defense04_unit01]</t>
    <phoneticPr fontId="22"/>
  </si>
  <si>
    <t>[effect:damage, target:enemy_one, color:blue, val:2, animation:damage_one_blue04],[effect:enhance_unit, target:unit_blue, turn:1, status:defense, val:162, calc:add, animation:enhance_unit_all_defense04_unit01]</t>
    <phoneticPr fontId="22"/>
  </si>
  <si>
    <t>1体に特大ダメージ+
1ターン青属性ユニットの防御力特大UP</t>
    <phoneticPr fontId="22"/>
  </si>
  <si>
    <t>1体に超大ダメージ+
1ターン青属性ユニットの防御力特大UP</t>
    <phoneticPr fontId="22"/>
  </si>
  <si>
    <t>マグネットパネル(ハート→黄→青→赤)に1個、緑パネルをハートボムに変換+1ターン赤属性の防御力を超大UPし、攻撃力を大UP</t>
    <phoneticPr fontId="22"/>
  </si>
  <si>
    <t>マグネットパネル(ハート→黄→青→赤)に1個、緑パネルをハートボムに変換+2ターン赤属性の防御力を超大UPし、攻撃力を大UP</t>
    <phoneticPr fontId="22"/>
  </si>
  <si>
    <t>ビースト・シッター</t>
  </si>
  <si>
    <t>ビースト・チェイサー</t>
  </si>
  <si>
    <t>ホーリー･ガーディアン</t>
  </si>
  <si>
    <t>サンクチュアリ･ガーディアン</t>
  </si>
  <si>
    <t>絶対的支配</t>
  </si>
  <si>
    <t>完全的征服</t>
  </si>
  <si>
    <t>蒼聖の斬跡</t>
  </si>
  <si>
    <t>碧聖の斬導跡</t>
  </si>
  <si>
    <t>kumo</t>
  </si>
  <si>
    <t>ほぅら、撫でであげる</t>
  </si>
  <si>
    <t>アタシが引き出してあげる</t>
  </si>
  <si>
    <t>その口…こじ開けよっか？</t>
  </si>
  <si>
    <t>アタシに支配されてみる？</t>
  </si>
  <si>
    <t>絶対服従だから、わかった？</t>
  </si>
  <si>
    <t>じっと待って…さぁ行け！</t>
  </si>
  <si>
    <t>この歴史は伊達じゃないぞ</t>
  </si>
  <si>
    <t>守るもののために…</t>
  </si>
  <si>
    <t>…争いは醜い</t>
  </si>
  <si>
    <t>聖域を荒らすものは…排除だ</t>
  </si>
  <si>
    <t>偉大なる海と共に…</t>
  </si>
  <si>
    <t>歴史は移り変わるものだ</t>
  </si>
  <si>
    <t>黄を青パネルに変換+1ターンハートが緑パネルでドロップし、バランスタイプと種族Unknown•デーモンの攻撃力1300UP</t>
    <phoneticPr fontId="22"/>
  </si>
  <si>
    <t>黄を青パネルに変換+2ターンハートが緑パネルでドロップし、バランスタイプと種族Unknown•デーモンの攻撃力1300UP</t>
    <phoneticPr fontId="22"/>
  </si>
  <si>
    <t>[effect:force_change_magnet, target:block_all, ignore01:crash, ignore02:crack_bomb, ignore03:color_break, ignore04:magnet, color:block_heart, count:1, red:1, green:0, blue:1, yellow:1, heart:1, reverse:1, generate:0, turn:4, animation:change_block],[effect:force_change_block, new_block:crack_bomb, target:block_green, color:heal, count:0, val:12, animation:change_block],[effect:enhance_unit, target:unit_red, turn:2, status:defense, val:1440, calc:add, animation:enhance_unit_all_defense04],[effect:enhance_unit, target:unit_red, turn:2, status:attack, val:0.175, calc:mul, animation:enhance_unit_all_attack03]</t>
    <phoneticPr fontId="22"/>
  </si>
  <si>
    <t>[effect:force_change_magnet, target:block_all, ignore01:crash, ignore02:crack_bomb, ignore03:color_break, ignore04:magnet, color:block_heart, count:1, red:1, green:0, blue:1, yellow:1, heart:1, reverse:1, generate:0, turn:4, animation:change_block],[effect:force_change_block, new_block:crack_bomb, target:block_green, color:heal, count:0, val:12, animation:change_block],[effect:enhance_unit, target:unit_red, turn:1, status:defense, val:1440, calc:add, animation:enhance_unit_all_defense04],[effect:enhance_unit, target:unit_red, turn:1, status:attack, val:0.175, calc:mul, animation:enhance_unit_all_attack03]</t>
    <phoneticPr fontId="22"/>
  </si>
  <si>
    <t>[effect:force_change_block, new_block:block_blue, target:block_yellow, count:0, val:0, animation:change_block],[effect:drop_block, block_type:normal, block_color:block_green, color:block_heart, val:0, rate:1, turn:1],[effect:enhance_unit, target:unit_unknown/unit_demon/unit_balance/or, turn:1, status:attack, val:1300, calc:add, animation:enhance_unit_all_attack01]</t>
    <phoneticPr fontId="22"/>
  </si>
  <si>
    <t>[effect:force_change_block, new_block:block_blue, target:block_yellow, count:0, val:0, animation:change_block],[effect:drop_block, block_type:normal, block_color:block_green, color:block_heart, val:0, rate:1, turn:2],[effect:enhance_unit, target:unit_unknown/unit_demon/unit_balance/or, turn:2, status:attack, val:1300, calc:add, animation:enhance_unit_all_attack01]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</si>
</sst>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4" fillId="29" borderId="4" xfId="0" applyFont="1" applyFill="1" applyBorder="1" applyAlignment="1">
      <alignment horizontal="left" vertical="center" wrapText="1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340</v>
          </cell>
          <cell r="B64" t="str">
            <v>ja</v>
          </cell>
          <cell r="C64" t="str">
            <v>対ドラゴン&amp;アニマルダメージUP</v>
          </cell>
          <cell r="D64" t="str">
            <v>自身の攻撃対象が種族ドラゴン、アニマルの場合全ての攻撃の威力をUP</v>
          </cell>
        </row>
        <row r="65">
          <cell r="A65">
            <v>400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401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402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403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404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405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406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407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408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409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410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411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412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413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414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415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416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417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418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419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420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421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422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423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424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425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426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427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428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429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430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431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432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433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434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435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436</v>
          </cell>
          <cell r="B101" t="str">
            <v>ja</v>
          </cell>
          <cell r="C101" t="str">
            <v>対ゴッド&amp;ヒーロー ダメージUP</v>
          </cell>
          <cell r="D101" t="str">
            <v>自身の攻撃対象が種族ゴッド、ヒーローの場合全ての攻撃の威力をUP</v>
          </cell>
        </row>
        <row r="102">
          <cell r="A102">
            <v>500</v>
          </cell>
          <cell r="B102" t="str">
            <v>ja</v>
          </cell>
          <cell r="C102" t="str">
            <v>青属性キラー</v>
          </cell>
          <cell r="D102" t="str">
            <v>攻撃対象が青属性の場合威力UP</v>
          </cell>
        </row>
        <row r="103">
          <cell r="A103">
            <v>600</v>
          </cell>
          <cell r="B103" t="str">
            <v>ja</v>
          </cell>
          <cell r="C103" t="str">
            <v>赤属性耐性25</v>
          </cell>
          <cell r="D103" t="str">
            <v>自身に対する赤属性の敵からの攻撃を25％軽減</v>
          </cell>
        </row>
        <row r="104">
          <cell r="A104">
            <v>601</v>
          </cell>
          <cell r="B104" t="str">
            <v>ja</v>
          </cell>
          <cell r="C104" t="str">
            <v>赤属性耐性25</v>
          </cell>
          <cell r="D104" t="str">
            <v>自身に対する赤属性の敵からの攻撃を25％軽減</v>
          </cell>
        </row>
        <row r="105">
          <cell r="A105">
            <v>602</v>
          </cell>
          <cell r="B105" t="str">
            <v>ja</v>
          </cell>
          <cell r="C105" t="str">
            <v>赤属性耐性25</v>
          </cell>
          <cell r="D105" t="str">
            <v>自身に対する赤属性の敵からの攻撃を25％軽減</v>
          </cell>
        </row>
        <row r="106">
          <cell r="A106">
            <v>603</v>
          </cell>
          <cell r="B106" t="str">
            <v>ja</v>
          </cell>
          <cell r="C106" t="str">
            <v>青属性耐性25</v>
          </cell>
          <cell r="D106" t="str">
            <v>自身に対する青属性の敵からの攻撃を25％軽減</v>
          </cell>
        </row>
        <row r="107">
          <cell r="A107">
            <v>604</v>
          </cell>
          <cell r="B107" t="str">
            <v>ja</v>
          </cell>
          <cell r="C107" t="str">
            <v>青属性耐性25</v>
          </cell>
          <cell r="D107" t="str">
            <v>自身に対する青属性の敵からの攻撃を25％軽減</v>
          </cell>
        </row>
        <row r="108">
          <cell r="A108">
            <v>605</v>
          </cell>
          <cell r="B108" t="str">
            <v>ja</v>
          </cell>
          <cell r="C108" t="str">
            <v>青属性耐性25</v>
          </cell>
          <cell r="D108" t="str">
            <v>自身に対する青属性の敵からの攻撃を25％軽減</v>
          </cell>
        </row>
        <row r="109">
          <cell r="A109">
            <v>606</v>
          </cell>
          <cell r="B109" t="str">
            <v>ja</v>
          </cell>
          <cell r="C109" t="str">
            <v>緑属性耐性25</v>
          </cell>
          <cell r="D109" t="str">
            <v>自身に対する緑属性の敵からの攻撃を25％軽減</v>
          </cell>
        </row>
        <row r="110">
          <cell r="A110">
            <v>607</v>
          </cell>
          <cell r="B110" t="str">
            <v>ja</v>
          </cell>
          <cell r="C110" t="str">
            <v>緑属性耐性25</v>
          </cell>
          <cell r="D110" t="str">
            <v>自身に対する緑属性の敵からの攻撃を25％軽減</v>
          </cell>
        </row>
        <row r="111">
          <cell r="A111">
            <v>608</v>
          </cell>
          <cell r="B111" t="str">
            <v>ja</v>
          </cell>
          <cell r="C111" t="str">
            <v>緑属性耐性25</v>
          </cell>
          <cell r="D111" t="str">
            <v>自身に対する緑属性の敵からの攻撃を25％軽減</v>
          </cell>
        </row>
        <row r="112">
          <cell r="A112">
            <v>609</v>
          </cell>
          <cell r="B112" t="str">
            <v>ja</v>
          </cell>
          <cell r="C112" t="str">
            <v>黄属性耐性25</v>
          </cell>
          <cell r="D112" t="str">
            <v>自身に対する黄属性の敵からの攻撃を25％軽減</v>
          </cell>
        </row>
        <row r="113">
          <cell r="A113">
            <v>610</v>
          </cell>
          <cell r="B113" t="str">
            <v>ja</v>
          </cell>
          <cell r="C113" t="str">
            <v>黄属性耐性25</v>
          </cell>
          <cell r="D113" t="str">
            <v>自身に対する黄属性の敵からの攻撃を25％軽減</v>
          </cell>
        </row>
        <row r="114">
          <cell r="A114">
            <v>611</v>
          </cell>
          <cell r="B114" t="str">
            <v>ja</v>
          </cell>
          <cell r="C114" t="str">
            <v>黄属性耐性25</v>
          </cell>
          <cell r="D114" t="str">
            <v>自身に対する黄属性の敵からの攻撃を25％軽減</v>
          </cell>
        </row>
        <row r="115">
          <cell r="A115">
            <v>612</v>
          </cell>
          <cell r="B115" t="str">
            <v>ja</v>
          </cell>
          <cell r="C115" t="str">
            <v>全属性耐性10</v>
          </cell>
          <cell r="D115" t="str">
            <v>自身に対する全属性の敵からの攻撃を10％軽減</v>
          </cell>
        </row>
        <row r="116">
          <cell r="A116">
            <v>613</v>
          </cell>
          <cell r="B116" t="str">
            <v>ja</v>
          </cell>
          <cell r="C116" t="str">
            <v>赤属性耐性10</v>
          </cell>
          <cell r="D116" t="str">
            <v>自身に対する赤属性の敵からの攻撃を10％軽減</v>
          </cell>
        </row>
        <row r="117">
          <cell r="A117">
            <v>614</v>
          </cell>
          <cell r="B117" t="str">
            <v>ja</v>
          </cell>
          <cell r="C117" t="str">
            <v>青属性耐性10</v>
          </cell>
          <cell r="D117" t="str">
            <v>自身に対する青属性の敵からの攻撃を10％軽減</v>
          </cell>
        </row>
        <row r="118">
          <cell r="A118">
            <v>615</v>
          </cell>
          <cell r="B118" t="str">
            <v>ja</v>
          </cell>
          <cell r="C118" t="str">
            <v>緑属性耐性10</v>
          </cell>
          <cell r="D118" t="str">
            <v>自身に対する緑属性の敵からの攻撃を10％軽減</v>
          </cell>
        </row>
        <row r="119">
          <cell r="A119">
            <v>616</v>
          </cell>
          <cell r="B119" t="str">
            <v>ja</v>
          </cell>
          <cell r="C119" t="str">
            <v>黄属性耐性10</v>
          </cell>
          <cell r="D119" t="str">
            <v>自身に対する黄属性の敵からの攻撃を10％軽減</v>
          </cell>
        </row>
        <row r="120">
          <cell r="A120">
            <v>617</v>
          </cell>
          <cell r="B120" t="str">
            <v>ja</v>
          </cell>
          <cell r="C120" t="str">
            <v>ゴッド種族耐性10</v>
          </cell>
          <cell r="D120" t="str">
            <v>自身に対するゴッド種族の敵からの攻撃を25％軽減</v>
          </cell>
        </row>
        <row r="121">
          <cell r="A121">
            <v>618</v>
          </cell>
          <cell r="B121" t="str">
            <v>ja</v>
          </cell>
          <cell r="C121" t="str">
            <v>赤属性耐性8</v>
          </cell>
          <cell r="D121" t="str">
            <v>自身に対する赤属性の敵からの攻撃を8%軽減</v>
          </cell>
        </row>
        <row r="122">
          <cell r="A122">
            <v>619</v>
          </cell>
          <cell r="B122" t="str">
            <v>ja</v>
          </cell>
          <cell r="C122" t="str">
            <v>青属性耐性8</v>
          </cell>
          <cell r="D122" t="str">
            <v>自身に対する青属性の敵からの攻撃を8%軽減</v>
          </cell>
        </row>
        <row r="123">
          <cell r="A123">
            <v>620</v>
          </cell>
          <cell r="B123" t="str">
            <v>ja</v>
          </cell>
          <cell r="C123" t="str">
            <v>緑属性耐性8</v>
          </cell>
          <cell r="D123" t="str">
            <v>自身に対する緑属性の敵からの攻撃を8%軽減</v>
          </cell>
        </row>
        <row r="124">
          <cell r="A124">
            <v>621</v>
          </cell>
          <cell r="B124" t="str">
            <v>ja</v>
          </cell>
          <cell r="C124" t="str">
            <v>黄属性耐性8</v>
          </cell>
          <cell r="D124" t="str">
            <v>自身に対する黄属性の敵からの攻撃を8%軽減</v>
          </cell>
        </row>
        <row r="125">
          <cell r="A125">
            <v>622</v>
          </cell>
          <cell r="B125" t="str">
            <v>ja</v>
          </cell>
          <cell r="C125" t="str">
            <v>赤・青属性耐性15</v>
          </cell>
          <cell r="D125" t="str">
            <v>自身に対する赤・青属性の敵からの攻撃を15%軽減</v>
          </cell>
        </row>
        <row r="126">
          <cell r="A126">
            <v>700</v>
          </cell>
          <cell r="B126" t="str">
            <v>ja</v>
          </cell>
          <cell r="C126" t="str">
            <v>フロア 回復</v>
          </cell>
          <cell r="D126" t="str">
            <v>全フロアの1ターン目終了時にパーティの合計HPの20％を回復する</v>
          </cell>
        </row>
        <row r="127">
          <cell r="A127">
            <v>701</v>
          </cell>
          <cell r="B127" t="str">
            <v>ja</v>
          </cell>
          <cell r="C127" t="str">
            <v>フロア 防御力アップ</v>
          </cell>
          <cell r="D127" t="str">
            <v>全フロアの1ターン目終了時に全ユニットの防御力を1ターン400UP</v>
          </cell>
        </row>
        <row r="128">
          <cell r="A128">
            <v>800</v>
          </cell>
          <cell r="B128" t="str">
            <v>ja</v>
          </cell>
          <cell r="C128" t="str">
            <v>パネルブレイク30 攻撃力UP</v>
          </cell>
          <cell r="D128" t="str">
            <v>自身が先頭の時、1ターンの間に合計30個以上パネルを破壊した場合に攻撃力UP</v>
          </cell>
        </row>
        <row r="129">
          <cell r="A129">
            <v>801</v>
          </cell>
          <cell r="B129" t="str">
            <v>ja</v>
          </cell>
          <cell r="C129" t="str">
            <v>パネルブレイク30 回復力UP</v>
          </cell>
          <cell r="D129" t="str">
            <v>自身が先頭の時、1ターンの間に合計30個以上パネルを破壊した場合に回復力UP</v>
          </cell>
        </row>
        <row r="130">
          <cell r="A130">
            <v>802</v>
          </cell>
          <cell r="B130" t="str">
            <v>ja</v>
          </cell>
          <cell r="C130" t="str">
            <v>パネルブレイク30 防御力小UP</v>
          </cell>
          <cell r="D130" t="str">
            <v>自身が先頭の時、1ターンの間に合計30個以上パネルを破壊した場合に防御力小UP</v>
          </cell>
        </row>
        <row r="131">
          <cell r="A131">
            <v>803</v>
          </cell>
          <cell r="B131" t="str">
            <v>ja</v>
          </cell>
          <cell r="C131" t="str">
            <v>パネルブレイク30 防御力UP</v>
          </cell>
          <cell r="D131" t="str">
            <v>自身が先頭の時、1ターンの間に合計30個以上パネルを破壊した場合に防御力UP</v>
          </cell>
        </row>
        <row r="132">
          <cell r="A132">
            <v>804</v>
          </cell>
          <cell r="B132" t="str">
            <v>ja</v>
          </cell>
          <cell r="C132" t="str">
            <v>パネルブレイク30 防御力大UP</v>
          </cell>
          <cell r="D132" t="str">
            <v>自身が先頭の時、1ターンの間に合計30個以上パネルを破壊した場合に防御力大UP</v>
          </cell>
        </row>
        <row r="133">
          <cell r="A133">
            <v>805</v>
          </cell>
          <cell r="B133" t="str">
            <v>ja</v>
          </cell>
          <cell r="C133" t="str">
            <v>パネルブレイク30 防御力特大UP</v>
          </cell>
          <cell r="D133" t="str">
            <v>自身が先頭の時、1ターンの間に合計30個以上パネルを破壊した場合に防御力特大UP</v>
          </cell>
        </row>
        <row r="134">
          <cell r="A134">
            <v>806</v>
          </cell>
          <cell r="B134" t="str">
            <v>ja</v>
          </cell>
          <cell r="C134" t="str">
            <v>ボムブレイク10 防御力UP</v>
          </cell>
          <cell r="D134" t="str">
            <v>自身または味方が1ターンの間に合計10個以上ボムパネルを破壊した場合に防御力UP</v>
          </cell>
        </row>
        <row r="135">
          <cell r="A135">
            <v>807</v>
          </cell>
          <cell r="B135" t="str">
            <v>ja</v>
          </cell>
          <cell r="C135" t="str">
            <v>パネル18 破壊フィーバーゲージ上昇</v>
          </cell>
          <cell r="D135" t="str">
            <v>自身が先頭の時、1ターンの間に合計18個以上パネルを破壊した場合にフィーバーゲージ上昇</v>
          </cell>
        </row>
        <row r="136">
          <cell r="A136">
            <v>808</v>
          </cell>
          <cell r="B136" t="str">
            <v>ja</v>
          </cell>
          <cell r="C136" t="str">
            <v>パネルブレイク40 防御力UP</v>
          </cell>
          <cell r="D136" t="str">
            <v>自身が先頭の時、1ターンの間に合計40個以上パネルを破壊した場合に青属性ユニットの防御力を400UP</v>
          </cell>
        </row>
        <row r="137">
          <cell r="A137">
            <v>809</v>
          </cell>
          <cell r="B137" t="str">
            <v>ja</v>
          </cell>
          <cell r="C137" t="str">
            <v>パネルブレイク40 攻撃力UP</v>
          </cell>
          <cell r="D137" t="str">
            <v>自身が先頭の時、1ターンの間に合計40個以上パネルを破壊した場合に攻撃力UP</v>
          </cell>
        </row>
        <row r="138">
          <cell r="A138">
            <v>810</v>
          </cell>
          <cell r="B138" t="str">
            <v>ja</v>
          </cell>
          <cell r="C138" t="str">
            <v>パネルブレイク40 攻撃力小UP</v>
          </cell>
          <cell r="D138" t="str">
            <v>自身が先頭の時、1ターンの間に合計40個以上パネルを破壊した場合に攻撃力小UP</v>
          </cell>
        </row>
        <row r="139">
          <cell r="A139">
            <v>811</v>
          </cell>
          <cell r="B139" t="str">
            <v>ja</v>
          </cell>
          <cell r="C139" t="str">
            <v>パネルブレイク30 攻撃力小UP</v>
          </cell>
          <cell r="D139" t="str">
            <v>自身が先頭の時、1ターンの間に合計30個以上パネルを破壊した場合に攻撃力小UP</v>
          </cell>
        </row>
        <row r="140">
          <cell r="A140">
            <v>812</v>
          </cell>
          <cell r="B140" t="str">
            <v>ja</v>
          </cell>
          <cell r="C140" t="str">
            <v>パネルブレイク40 HP小回復</v>
          </cell>
          <cell r="D140" t="str">
            <v>自身が先頭の時、1ターンの間に合計40個以上パネルを破壊した場合にターン終了時HP小回復</v>
          </cell>
        </row>
        <row r="141">
          <cell r="A141">
            <v>813</v>
          </cell>
          <cell r="B141" t="str">
            <v>ja</v>
          </cell>
          <cell r="C141" t="str">
            <v>パネルブレイク100 攻撃力UP</v>
          </cell>
          <cell r="D141" t="str">
            <v>自身が先頭の時、1ターンの間に合計100個以上パネルを破壊した場合に攻撃力2140UP</v>
          </cell>
        </row>
        <row r="142">
          <cell r="A142">
            <v>814</v>
          </cell>
          <cell r="B142" t="str">
            <v>ja</v>
          </cell>
          <cell r="C142" t="str">
            <v>パネルブレイク50 タップ回数UP</v>
          </cell>
          <cell r="D142" t="str">
            <v>自身が先頭の時、1ターンの間に合計50個以上パネルを破壊した場合にタップ回数1UP</v>
          </cell>
        </row>
        <row r="143">
          <cell r="A143">
            <v>815</v>
          </cell>
          <cell r="B143" t="str">
            <v>ja</v>
          </cell>
          <cell r="C143" t="str">
            <v>パネルブレイク50 HP回復</v>
          </cell>
          <cell r="D143" t="str">
            <v>自身が先頭の時、1ターンの間に合計50個以上パネルを破壊した場合にターン終了時HP回復</v>
          </cell>
        </row>
        <row r="144">
          <cell r="A144">
            <v>816</v>
          </cell>
          <cell r="B144" t="str">
            <v>ja</v>
          </cell>
          <cell r="C144" t="str">
            <v>ボムブレイク10 黄属性攻撃力UP</v>
          </cell>
          <cell r="D144" t="str">
            <v>自身または味方が1ターンの間に合計10個以上ボムパネルを破壊した場合に黄属性ユニットの攻撃力UP</v>
          </cell>
        </row>
        <row r="145">
          <cell r="A145">
            <v>817</v>
          </cell>
          <cell r="B145" t="str">
            <v>ja</v>
          </cell>
          <cell r="C145" t="str">
            <v>パネルブレイク50 生成短縮激烈</v>
          </cell>
          <cell r="D145" t="str">
            <v>自身が先頭の時、1ターンの間に合計50個以上パネルを破壊した場合にCパネル生成に必要なチェイン数を12短縮する</v>
          </cell>
        </row>
        <row r="146">
          <cell r="A146">
            <v>818</v>
          </cell>
          <cell r="B146" t="str">
            <v>ja</v>
          </cell>
          <cell r="C146" t="str">
            <v>パネルブレイク33 赤･緑属性防御UP</v>
          </cell>
          <cell r="D146" t="str">
            <v>自身が先頭の時、1ターンの間に合計33個以上パネルを破壊した場合に赤・緑属性の防御力を330UP</v>
          </cell>
        </row>
        <row r="147">
          <cell r="A147">
            <v>819</v>
          </cell>
          <cell r="B147" t="str">
            <v>ja</v>
          </cell>
          <cell r="C147" t="str">
            <v>パネルブレイク25 回復力UP</v>
          </cell>
          <cell r="D147" t="str">
            <v>自身が先頭の時、1ターンの間に合計25個以上パネルを破壊した場合に回復力UP</v>
          </cell>
        </row>
        <row r="148">
          <cell r="A148">
            <v>820</v>
          </cell>
          <cell r="B148" t="str">
            <v>ja</v>
          </cell>
          <cell r="C148" t="str">
            <v>パネルブレイク90 タップ回数UP</v>
          </cell>
          <cell r="D148" t="str">
            <v>自身が先頭の時、1ターンの間に合計90個以上パネルを破壊した場合にタップ回数1UP</v>
          </cell>
        </row>
        <row r="149">
          <cell r="A149">
            <v>821</v>
          </cell>
          <cell r="B149" t="str">
            <v>ja</v>
          </cell>
          <cell r="C149" t="str">
            <v>パネルブレイク80 攻撃力特大UP</v>
          </cell>
          <cell r="D149" t="str">
            <v>自身が先頭の時、1ターンの間に合計80個以上パネルを破壊した場合に攻撃力特大UP</v>
          </cell>
        </row>
        <row r="150">
          <cell r="A150">
            <v>900</v>
          </cell>
          <cell r="B150" t="str">
            <v>ja</v>
          </cell>
          <cell r="C150" t="str">
            <v>チェイン12 攻撃力UP</v>
          </cell>
          <cell r="D150" t="str">
            <v>自身が先頭の時、1タップで12個以上パネルを繋げた場合に攻撃力UP(1ターンに1度だけ発動)</v>
          </cell>
        </row>
        <row r="151">
          <cell r="A151">
            <v>901</v>
          </cell>
          <cell r="B151" t="str">
            <v>ja</v>
          </cell>
          <cell r="C151" t="str">
            <v>チェイン12 回復力UP</v>
          </cell>
          <cell r="D151" t="str">
            <v>自身が先頭の時、1タップで12個以上パネルを繋げた場合に回復力UP(1ターンに1度だけ発動)</v>
          </cell>
        </row>
        <row r="152">
          <cell r="A152">
            <v>902</v>
          </cell>
          <cell r="B152" t="str">
            <v>ja</v>
          </cell>
          <cell r="C152" t="str">
            <v>チェイン12 タップ回数UP</v>
          </cell>
          <cell r="D152" t="str">
            <v>自身が先頭の時、1タップで12個以上パネルを繋げた場合にタップ回数を1回増やす(1ターンに1度だけ発動)</v>
          </cell>
        </row>
        <row r="153">
          <cell r="A153">
            <v>903</v>
          </cell>
          <cell r="B153" t="str">
            <v>ja</v>
          </cell>
          <cell r="C153" t="str">
            <v>チェイン18 スキルゲージUP</v>
          </cell>
          <cell r="D153" t="str">
            <v>自身が先頭の時、1タップで18個以上パネルを繋げた場合に自身のスキルゲージを1増やす(1ターンに1度だけ発動)</v>
          </cell>
        </row>
        <row r="154">
          <cell r="A154">
            <v>904</v>
          </cell>
          <cell r="B154" t="str">
            <v>ja</v>
          </cell>
          <cell r="C154" t="str">
            <v>チェイン17 回復力UP</v>
          </cell>
          <cell r="D154" t="str">
            <v>自身が先頭の時、1タップで17個以上パネルを繋げた場合に自身の回復力を2017UP(1ターンに1度だけ発動)</v>
          </cell>
        </row>
        <row r="155">
          <cell r="A155">
            <v>905</v>
          </cell>
          <cell r="B155" t="str">
            <v>ja</v>
          </cell>
          <cell r="C155" t="str">
            <v>チェイン12 攻撃力小UP</v>
          </cell>
          <cell r="D155" t="str">
            <v>自身が先頭の時、1タップで12個以上パネルを繋げた場合に攻撃力小UP(1ターンに1度だけ発動)</v>
          </cell>
        </row>
        <row r="156">
          <cell r="A156">
            <v>906</v>
          </cell>
          <cell r="B156" t="str">
            <v>ja</v>
          </cell>
          <cell r="C156" t="str">
            <v>チェイン14 回復力小UP</v>
          </cell>
          <cell r="D156" t="str">
            <v>自身が先頭の時、1タップで14個以上パネルを繋げた場合に回復力小UP(1ターンに1度だけ発動)</v>
          </cell>
        </row>
        <row r="157">
          <cell r="A157">
            <v>907</v>
          </cell>
          <cell r="B157" t="str">
            <v>ja</v>
          </cell>
          <cell r="C157" t="str">
            <v>チェイン14 攻撃力UP</v>
          </cell>
          <cell r="D157" t="str">
            <v>自身が先頭の時、1タップで14個以上パネルを繋げた場合に攻撃力UP(1ターンに1度だけ発動)</v>
          </cell>
        </row>
        <row r="158">
          <cell r="A158">
            <v>908</v>
          </cell>
          <cell r="B158" t="str">
            <v>ja</v>
          </cell>
          <cell r="C158" t="str">
            <v>チェイン16 黄属性防御力UP</v>
          </cell>
          <cell r="D158" t="str">
            <v>自身が先頭の時、1タップで16個以上パネルを繋げた場合に黄属性ユニットの防御力UP(1ターンに1度だけ発動)</v>
          </cell>
        </row>
        <row r="159">
          <cell r="A159">
            <v>909</v>
          </cell>
          <cell r="B159" t="str">
            <v>ja</v>
          </cell>
          <cell r="C159" t="str">
            <v>チェイン30 Cパネル生成短縮(激烈)</v>
          </cell>
          <cell r="D159" t="str">
            <v>自身が先頭の時、1タップで30個以上パネルを繋げた場合にCパネル生成短縮(効果激烈)(1ターンに1度だけ発動)</v>
          </cell>
        </row>
        <row r="160">
          <cell r="A160">
            <v>910</v>
          </cell>
          <cell r="B160" t="str">
            <v>ja</v>
          </cell>
          <cell r="C160" t="str">
            <v>チェイン18 HP回復</v>
          </cell>
          <cell r="D160" t="str">
            <v>自身が先頭の時、1タップで18個以上パネルを繋げた場合にHPを2500回復(1ターンに1度だけ発動)</v>
          </cell>
        </row>
        <row r="161">
          <cell r="A161">
            <v>911</v>
          </cell>
          <cell r="B161" t="str">
            <v>ja</v>
          </cell>
          <cell r="C161" t="str">
            <v>チェイン24 ダメージ軽減</v>
          </cell>
          <cell r="D161" t="str">
            <v>自身が先頭の時、1タップで24個以上パネルを繋げた場合に敵からのダメージを15％軽減(1ターンに1度だけ発動)</v>
          </cell>
        </row>
        <row r="162">
          <cell r="A162">
            <v>912</v>
          </cell>
          <cell r="B162" t="str">
            <v>ja</v>
          </cell>
          <cell r="C162" t="str">
            <v>チェイン22 スキルゲージUP</v>
          </cell>
          <cell r="D162" t="str">
            <v>自身が先頭の時、1タップで22個以上パネルを繋げた場合に自身のスキルゲージを1増やす(1ターンに1度だけ発動)</v>
          </cell>
        </row>
        <row r="163">
          <cell r="A163">
            <v>913</v>
          </cell>
          <cell r="B163" t="str">
            <v>ja</v>
          </cell>
          <cell r="C163" t="str">
            <v>チェイン26 Cパネル生成短縮(特大)</v>
          </cell>
          <cell r="D163" t="str">
            <v>自身または、味方が1タップで26個以上パネルを繋げた場合に先頭ユニットのCパネル生成短縮(効果特大)(1ターンに1度だけ発動)</v>
          </cell>
        </row>
        <row r="164">
          <cell r="A164">
            <v>1100</v>
          </cell>
          <cell r="B164" t="str">
            <v>ja</v>
          </cell>
          <cell r="C164" t="str">
            <v>Cパネル生成短縮</v>
          </cell>
          <cell r="D164" t="str">
            <v>自身が先頭の時、Cパネル生成に必要なチェイン数を1短縮する</v>
          </cell>
        </row>
        <row r="165">
          <cell r="A165">
            <v>1101</v>
          </cell>
          <cell r="B165" t="str">
            <v>ja</v>
          </cell>
          <cell r="C165" t="str">
            <v>Cパネル生成短縮(大)</v>
          </cell>
          <cell r="D165" t="str">
            <v>自身が先頭の時、Cパネル生成に必要なチェイン数を2短縮する</v>
          </cell>
        </row>
        <row r="166">
          <cell r="A166">
            <v>1200</v>
          </cell>
          <cell r="B166" t="str">
            <v>ja</v>
          </cell>
          <cell r="C166" t="str">
            <v>フィーバー攻撃UP</v>
          </cell>
          <cell r="D166" t="str">
            <v>自身が先頭の時、フィーバー発動時に緑属性の攻撃力と回復力UP</v>
          </cell>
        </row>
        <row r="167">
          <cell r="A167">
            <v>1300</v>
          </cell>
          <cell r="B167" t="str">
            <v>ja</v>
          </cell>
          <cell r="C167" t="str">
            <v>チェイン12 HP回復</v>
          </cell>
          <cell r="D167" t="str">
            <v>自身が先頭の時、1タップで12個以上パネルを繋げた場合にHPを2000回復(1ターンに1度だけ発動)</v>
          </cell>
        </row>
        <row r="168">
          <cell r="A168">
            <v>1400</v>
          </cell>
          <cell r="B168" t="str">
            <v>ja</v>
          </cell>
          <cell r="C168" t="str">
            <v>カウンター威力UP</v>
          </cell>
          <cell r="D168" t="str">
            <v>4ターン毎に自身のカウンタースキルの威力が1ターンの間UP</v>
          </cell>
        </row>
        <row r="169">
          <cell r="A169">
            <v>1500</v>
          </cell>
          <cell r="B169" t="str">
            <v>ja</v>
          </cell>
          <cell r="C169" t="str">
            <v>バリア15000</v>
          </cell>
          <cell r="D169" t="str">
            <v>戦闘開始時に、自身への直接ダメージを15000まで防ぐバリアを一度だけ展開(バリアは破壊されると復活しない)</v>
          </cell>
        </row>
        <row r="170">
          <cell r="A170">
            <v>1501</v>
          </cell>
          <cell r="B170" t="str">
            <v>ja</v>
          </cell>
          <cell r="C170" t="str">
            <v>バリア</v>
          </cell>
          <cell r="D170" t="str">
            <v>戦闘開始時に、ダメージを25000まで防ぐバリアを一度だけ展開</v>
          </cell>
        </row>
        <row r="171">
          <cell r="A171">
            <v>1502</v>
          </cell>
          <cell r="B171" t="str">
            <v>ja</v>
          </cell>
          <cell r="C171" t="str">
            <v>バリア</v>
          </cell>
          <cell r="D171" t="str">
            <v>戦闘開始時に、ダメージを50000まで防ぐバリアを一度だけ展開</v>
          </cell>
        </row>
        <row r="172">
          <cell r="A172">
            <v>1503</v>
          </cell>
          <cell r="B172" t="str">
            <v>ja</v>
          </cell>
          <cell r="C172" t="str">
            <v>バリア8000</v>
          </cell>
          <cell r="D172" t="str">
            <v>戦闘開始時に、自身への直接ダメージを8000まで防ぐバリアを一度だけ展開(バリアは破壊されると復活しない)</v>
          </cell>
        </row>
        <row r="173">
          <cell r="A173">
            <v>1504</v>
          </cell>
          <cell r="B173" t="str">
            <v>ja</v>
          </cell>
          <cell r="C173" t="str">
            <v>バリア10000</v>
          </cell>
          <cell r="D173" t="str">
            <v>戦闘開始時に、自身への直接ダメージを10000まで防ぐバリアを一度だけ展開(バリアは破壊されると復活しない)</v>
          </cell>
        </row>
        <row r="174">
          <cell r="A174">
            <v>1505</v>
          </cell>
          <cell r="B174" t="str">
            <v>ja</v>
          </cell>
          <cell r="C174" t="str">
            <v>バリア3939</v>
          </cell>
          <cell r="D174" t="str">
            <v>戦闘開始時に、自身への直接ダメージを3939まで防ぐバリアを一度だけ展開(バリアは破壊されると復活しない)</v>
          </cell>
        </row>
        <row r="175">
          <cell r="A175">
            <v>1600</v>
          </cell>
          <cell r="B175" t="str">
            <v>ja</v>
          </cell>
          <cell r="C175" t="str">
            <v>攻撃力・回復力UP</v>
          </cell>
          <cell r="D175" t="str">
            <v>自身の攻撃力と回復力をUP</v>
          </cell>
        </row>
        <row r="176">
          <cell r="A176">
            <v>1700</v>
          </cell>
          <cell r="B176" t="str">
            <v>ja</v>
          </cell>
          <cell r="C176" t="str">
            <v>パネルブレイク30 ターンHP小回復</v>
          </cell>
          <cell r="D176" t="str">
            <v>自身が先頭の時、1ターンの間に合計30個以上パネルを破壊した場合に1ターン HP小回復</v>
          </cell>
        </row>
        <row r="177">
          <cell r="A177">
            <v>1800</v>
          </cell>
          <cell r="B177" t="str">
            <v>ja</v>
          </cell>
          <cell r="C177" t="str">
            <v>フィーバー強化</v>
          </cell>
          <cell r="D177" t="str">
            <v>フィーバー時自身の攻撃力、回復力を特大UP</v>
          </cell>
        </row>
        <row r="178">
          <cell r="A178">
            <v>1900</v>
          </cell>
          <cell r="B178" t="str">
            <v>ja</v>
          </cell>
          <cell r="C178" t="str">
            <v>ハート出現率UP</v>
          </cell>
          <cell r="D178" t="str">
            <v>自身が先頭の時、ハートパネルの出現率UP</v>
          </cell>
        </row>
        <row r="179">
          <cell r="A179">
            <v>2000</v>
          </cell>
          <cell r="B179" t="str">
            <v>ja</v>
          </cell>
          <cell r="C179" t="str">
            <v>赤パネル出現率UP</v>
          </cell>
          <cell r="D179" t="str">
            <v>自身が先頭の時、赤パネルの出現率UP</v>
          </cell>
        </row>
        <row r="180">
          <cell r="A180">
            <v>2100</v>
          </cell>
          <cell r="B180" t="str">
            <v>ja</v>
          </cell>
          <cell r="C180" t="str">
            <v>緑パネル出現率UP</v>
          </cell>
          <cell r="D180" t="str">
            <v>自身が先頭の時、緑パネルの出現率UP</v>
          </cell>
        </row>
        <row r="181">
          <cell r="A181">
            <v>2200</v>
          </cell>
          <cell r="B181" t="str">
            <v>ja</v>
          </cell>
          <cell r="C181" t="str">
            <v>青パネル出現率UP</v>
          </cell>
          <cell r="D181" t="str">
            <v>自身が先頭の時、青パネルの出現率UP</v>
          </cell>
        </row>
        <row r="182">
          <cell r="A182">
            <v>2201</v>
          </cell>
          <cell r="B182" t="str">
            <v>ja</v>
          </cell>
          <cell r="C182" t="str">
            <v>青パネル出現率UP</v>
          </cell>
          <cell r="D182" t="str">
            <v>自身が先頭の時、青パネルの出現率UP</v>
          </cell>
        </row>
        <row r="183">
          <cell r="A183">
            <v>2300</v>
          </cell>
          <cell r="B183" t="str">
            <v>ja</v>
          </cell>
          <cell r="C183" t="str">
            <v>黄パネル出現率UP</v>
          </cell>
          <cell r="D183" t="str">
            <v>自身が先頭の時、黄パネルの出現率UP</v>
          </cell>
        </row>
        <row r="184">
          <cell r="A184">
            <v>2400</v>
          </cell>
          <cell r="B184" t="str">
            <v>ja</v>
          </cell>
          <cell r="C184" t="str">
            <v>ハートボムパネルドロップ</v>
          </cell>
          <cell r="D184" t="str">
            <v>自身が先頭の時、ハートパネルを確率でハートボムパネルに変換しドロップ</v>
          </cell>
        </row>
        <row r="185">
          <cell r="A185">
            <v>2401</v>
          </cell>
          <cell r="B185" t="str">
            <v>ja</v>
          </cell>
          <cell r="C185" t="str">
            <v>赤ボムパネルドロップ</v>
          </cell>
          <cell r="D185" t="str">
            <v>自身が先頭の時、赤パネルを低確率で赤ボムパネルに変換しドロップ</v>
          </cell>
        </row>
        <row r="186">
          <cell r="A186">
            <v>2402</v>
          </cell>
          <cell r="B186" t="str">
            <v>ja</v>
          </cell>
          <cell r="C186" t="str">
            <v>緑ボムパネルドロップ</v>
          </cell>
          <cell r="D186" t="str">
            <v>自身が先頭の時、緑パネルを低確率で緑ボムパネルに変換しドロップ</v>
          </cell>
        </row>
        <row r="187">
          <cell r="A187">
            <v>2403</v>
          </cell>
          <cell r="B187" t="str">
            <v>ja</v>
          </cell>
          <cell r="C187" t="str">
            <v>青ボムパネルドロップ</v>
          </cell>
          <cell r="D187" t="str">
            <v>自身が先頭の時、青パネルを確率で青ボムパネルに変換しドロップ</v>
          </cell>
        </row>
        <row r="188">
          <cell r="A188">
            <v>2500</v>
          </cell>
          <cell r="B188" t="str">
            <v>ja</v>
          </cell>
          <cell r="C188" t="str">
            <v>青パネルドロップ</v>
          </cell>
          <cell r="D188" t="str">
            <v>自身が先頭の時、緑パネルを確率で青パネルに変換しドロップ</v>
          </cell>
        </row>
        <row r="189">
          <cell r="A189">
            <v>2501</v>
          </cell>
          <cell r="B189" t="str">
            <v>ja</v>
          </cell>
          <cell r="C189" t="str">
            <v>黄パネルドロップ</v>
          </cell>
          <cell r="D189" t="str">
            <v>自身が先頭の時、青パネルを確率で黄パネルに変換しドロップ</v>
          </cell>
        </row>
        <row r="190">
          <cell r="A190">
            <v>2502</v>
          </cell>
          <cell r="B190" t="str">
            <v>ja</v>
          </cell>
          <cell r="C190" t="str">
            <v>赤パネルドロップ</v>
          </cell>
          <cell r="D190" t="str">
            <v>自身が先頭の時、黄パネルを確率で赤パネルに変換しドロップ</v>
          </cell>
        </row>
        <row r="191">
          <cell r="A191">
            <v>2503</v>
          </cell>
          <cell r="B191" t="str">
            <v>ja</v>
          </cell>
          <cell r="C191" t="str">
            <v>黄パネルドロップ</v>
          </cell>
          <cell r="D191" t="str">
            <v>自身が先頭の時、赤パネルを確率で黄パネルに変換しドロップ</v>
          </cell>
        </row>
        <row r="192">
          <cell r="A192">
            <v>2504</v>
          </cell>
          <cell r="B192" t="str">
            <v>ja</v>
          </cell>
          <cell r="C192" t="str">
            <v>SCパネルドロップ</v>
          </cell>
          <cell r="D192" t="str">
            <v>自身が先頭の時、緑パネルを確率でSCパネルに変換しドロップ</v>
          </cell>
        </row>
        <row r="193">
          <cell r="A193">
            <v>2505</v>
          </cell>
          <cell r="B193" t="str">
            <v>ja</v>
          </cell>
          <cell r="C193" t="str">
            <v>緑ボムパネル(大)ドロップ</v>
          </cell>
          <cell r="D193" t="str">
            <v>自身が先頭の時、低確率で緑ボムパネル(大)をドロップ</v>
          </cell>
        </row>
        <row r="194">
          <cell r="A194">
            <v>2506</v>
          </cell>
          <cell r="B194" t="str">
            <v>ja</v>
          </cell>
          <cell r="C194" t="str">
            <v>ハートボムパネル(大)ドロップ</v>
          </cell>
          <cell r="D194" t="str">
            <v>自身が先頭の時、低確率でハートボムパネル(大)をドロップ</v>
          </cell>
        </row>
        <row r="195">
          <cell r="A195">
            <v>2507</v>
          </cell>
          <cell r="B195" t="str">
            <v>ja</v>
          </cell>
          <cell r="C195" t="str">
            <v>Cパネルドロップ</v>
          </cell>
          <cell r="D195" t="str">
            <v>自身が先頭の時、低確率でCパネルをドロップ</v>
          </cell>
        </row>
        <row r="196">
          <cell r="A196">
            <v>2508</v>
          </cell>
          <cell r="B196" t="str">
            <v>ja</v>
          </cell>
          <cell r="C196" t="str">
            <v>黄パネルドロップ</v>
          </cell>
          <cell r="D196" t="str">
            <v>自身が先頭の時、緑パネルを確率で黄パネルに変換しドロップ</v>
          </cell>
        </row>
        <row r="197">
          <cell r="A197">
            <v>2600</v>
          </cell>
          <cell r="B197" t="str">
            <v>ja</v>
          </cell>
          <cell r="C197" t="str">
            <v>回復力400UP</v>
          </cell>
          <cell r="D197" t="str">
            <v>自身の回復力を400UP</v>
          </cell>
        </row>
        <row r="198">
          <cell r="A198">
            <v>2601</v>
          </cell>
          <cell r="B198" t="str">
            <v>ja</v>
          </cell>
          <cell r="C198" t="str">
            <v>回復力300UP</v>
          </cell>
          <cell r="D198" t="str">
            <v>自身の回復力を300UP</v>
          </cell>
        </row>
        <row r="199">
          <cell r="A199">
            <v>2700</v>
          </cell>
          <cell r="B199" t="str">
            <v>ja</v>
          </cell>
          <cell r="C199" t="str">
            <v>攻撃力UP</v>
          </cell>
          <cell r="D199" t="str">
            <v>自身の攻撃力を300UP</v>
          </cell>
        </row>
        <row r="200">
          <cell r="A200">
            <v>2701</v>
          </cell>
          <cell r="B200" t="str">
            <v>ja</v>
          </cell>
          <cell r="C200" t="str">
            <v>攻撃力UP</v>
          </cell>
          <cell r="D200" t="str">
            <v>自身の攻撃力を500UP</v>
          </cell>
        </row>
        <row r="201">
          <cell r="A201">
            <v>2800</v>
          </cell>
          <cell r="B201" t="str">
            <v>ja</v>
          </cell>
          <cell r="C201" t="str">
            <v>防御力UP</v>
          </cell>
          <cell r="D201" t="str">
            <v>自身の防御力を250UP</v>
          </cell>
        </row>
        <row r="202">
          <cell r="A202">
            <v>2801</v>
          </cell>
          <cell r="B202" t="str">
            <v>ja</v>
          </cell>
          <cell r="C202" t="str">
            <v>防御力UP</v>
          </cell>
          <cell r="D202" t="str">
            <v>自身の防御力を350UP</v>
          </cell>
        </row>
        <row r="203">
          <cell r="A203">
            <v>2802</v>
          </cell>
          <cell r="B203" t="str">
            <v>ja</v>
          </cell>
          <cell r="C203" t="str">
            <v>防御力UP</v>
          </cell>
          <cell r="D203" t="str">
            <v>自身の防御力を300UP</v>
          </cell>
        </row>
        <row r="204">
          <cell r="A204">
            <v>2803</v>
          </cell>
          <cell r="B204" t="str">
            <v>ja</v>
          </cell>
          <cell r="C204" t="str">
            <v>防御力UP</v>
          </cell>
          <cell r="D204" t="str">
            <v>自身の防御力を400UP</v>
          </cell>
        </row>
        <row r="205">
          <cell r="A205">
            <v>2804</v>
          </cell>
          <cell r="B205" t="str">
            <v>ja</v>
          </cell>
          <cell r="C205" t="str">
            <v>防御力UP</v>
          </cell>
          <cell r="D205" t="str">
            <v>自身の防御力を280UP</v>
          </cell>
        </row>
        <row r="206">
          <cell r="A206">
            <v>2900</v>
          </cell>
          <cell r="B206" t="str">
            <v>ja</v>
          </cell>
          <cell r="C206" t="str">
            <v>フィーバー50 攻撃力小UP</v>
          </cell>
          <cell r="D206" t="str">
            <v>フィーバーゲージが50％以上の時、自身の攻撃力小UP</v>
          </cell>
        </row>
        <row r="207">
          <cell r="A207">
            <v>2901</v>
          </cell>
          <cell r="B207" t="str">
            <v>ja</v>
          </cell>
          <cell r="C207" t="str">
            <v>フィーバー40 攻撃力UP</v>
          </cell>
          <cell r="D207" t="str">
            <v>フィーバーゲージが40％以上の時、自身の攻撃力UP</v>
          </cell>
        </row>
        <row r="208">
          <cell r="A208">
            <v>2902</v>
          </cell>
          <cell r="B208" t="str">
            <v>ja</v>
          </cell>
          <cell r="C208" t="str">
            <v>フィーバー80 攻撃力大UP</v>
          </cell>
          <cell r="D208" t="str">
            <v>フィーバーゲージが80％以上の時、自身の攻撃力大UP</v>
          </cell>
        </row>
        <row r="209">
          <cell r="A209">
            <v>3000</v>
          </cell>
          <cell r="B209" t="str">
            <v>ja</v>
          </cell>
          <cell r="C209" t="str">
            <v>攻撃参加</v>
          </cell>
          <cell r="D209" t="str">
            <v>最初の1ターン目と、その後7ターン毎に自身が先頭以外でも通常攻撃に参加する</v>
          </cell>
        </row>
        <row r="210">
          <cell r="A210">
            <v>3001</v>
          </cell>
          <cell r="B210" t="str">
            <v>ja</v>
          </cell>
          <cell r="C210" t="str">
            <v>攻撃参加</v>
          </cell>
          <cell r="D210" t="str">
            <v>最初の1ターン目と、その後6ターン毎に自身が先頭以外でも通常攻撃に参加する</v>
          </cell>
        </row>
        <row r="211">
          <cell r="A211">
            <v>3002</v>
          </cell>
          <cell r="B211" t="str">
            <v>ja</v>
          </cell>
          <cell r="C211" t="str">
            <v>攻撃参加</v>
          </cell>
          <cell r="D211" t="str">
            <v>最初の1ターン目と、その後9ターン毎に自身が先頭以外でも通常攻撃に参加する</v>
          </cell>
        </row>
        <row r="212">
          <cell r="A212">
            <v>3100</v>
          </cell>
          <cell r="B212" t="str">
            <v>ja</v>
          </cell>
          <cell r="C212" t="str">
            <v>ボスフロア Cパネル生成短縮(特大)</v>
          </cell>
          <cell r="D212" t="str">
            <v>ボスフロア内で自身が先頭の時、Cパネル生成に必要なチェイン数を短縮する</v>
          </cell>
        </row>
        <row r="213">
          <cell r="A213">
            <v>3101</v>
          </cell>
          <cell r="B213" t="str">
            <v>ja</v>
          </cell>
          <cell r="C213" t="str">
            <v>ボスフロア時 バリア8000</v>
          </cell>
          <cell r="D213" t="str">
            <v>ボスフロアの1ターン目終了時に自身への直接ダメージを8000まで防ぐバリアを一度だけ展開(バリアは破壊されると復活しない)</v>
          </cell>
        </row>
        <row r="214">
          <cell r="A214">
            <v>3102</v>
          </cell>
          <cell r="B214" t="str">
            <v>ja</v>
          </cell>
          <cell r="C214" t="str">
            <v>ボスフロア時 Cスキル威力UP</v>
          </cell>
          <cell r="D214" t="str">
            <v>ボスフロアの1ターン目終了時に自身のCスキルの威力をUP</v>
          </cell>
        </row>
        <row r="215">
          <cell r="A215">
            <v>3103</v>
          </cell>
          <cell r="B215" t="str">
            <v>ja</v>
          </cell>
          <cell r="C215" t="str">
            <v>ボスフロア 攻撃力UP</v>
          </cell>
          <cell r="D215" t="str">
            <v>ボスフロア内で自身の攻撃力を700UP</v>
          </cell>
        </row>
        <row r="216">
          <cell r="A216">
            <v>3200</v>
          </cell>
          <cell r="B216" t="str">
            <v>ja</v>
          </cell>
          <cell r="C216" t="str">
            <v>HP33%以下 攻撃力UP</v>
          </cell>
          <cell r="D216" t="str">
            <v>自身が先頭の時、残りHPが33%以下で攻撃力40%UP</v>
          </cell>
        </row>
        <row r="217">
          <cell r="A217">
            <v>3201</v>
          </cell>
          <cell r="B217" t="str">
            <v>ja</v>
          </cell>
          <cell r="C217" t="str">
            <v>HP35%以下 回復力UP</v>
          </cell>
          <cell r="D217" t="str">
            <v>自身が先頭の時、残りHPが35%以下で回復力40%UP</v>
          </cell>
        </row>
        <row r="218">
          <cell r="A218">
            <v>3202</v>
          </cell>
          <cell r="B218" t="str">
            <v>ja</v>
          </cell>
          <cell r="C218" t="str">
            <v>HP90%以上 全属性耐性15</v>
          </cell>
          <cell r="D218" t="str">
            <v>自身が先頭の時、残りHPが90%以上で全ユニットに対する全属性の敵からの攻撃を15％軽減</v>
          </cell>
        </row>
        <row r="219">
          <cell r="A219">
            <v>9000</v>
          </cell>
          <cell r="B219" t="str">
            <v>ja</v>
          </cell>
          <cell r="C219" t="str">
            <v>ハップルチャレンジ ダメージUP</v>
          </cell>
          <cell r="D219" t="str">
            <v>ハップルチャレンジ内で自身の全ての攻撃の威力をUP</v>
          </cell>
        </row>
        <row r="220">
          <cell r="A220">
            <v>9001</v>
          </cell>
          <cell r="B220" t="str">
            <v>ja</v>
          </cell>
          <cell r="C220" t="str">
            <v>クロネッカーチャレンジ ダメージUP</v>
          </cell>
          <cell r="D220" t="str">
            <v>クロネッカーチャレンジ内で自身の全ての攻撃の威力をUP</v>
          </cell>
        </row>
        <row r="221">
          <cell r="A221">
            <v>9002</v>
          </cell>
          <cell r="B221" t="str">
            <v>ja</v>
          </cell>
          <cell r="C221" t="str">
            <v>クロネッカーチャレンジ ダメージUP</v>
          </cell>
          <cell r="D221" t="str">
            <v>クロネッカーチャレンジ内で自身の全ての攻撃+カウンターの威力をUP</v>
          </cell>
        </row>
        <row r="222">
          <cell r="A222">
            <v>119402</v>
          </cell>
          <cell r="B222" t="str">
            <v>ja</v>
          </cell>
          <cell r="C222" t="str">
            <v>ハロウィンナイトパニック！ 威力UP</v>
          </cell>
          <cell r="D222" t="str">
            <v>ハロウィンナイトパニック！内で自身の全ての攻撃の威力を究極UP</v>
          </cell>
        </row>
        <row r="223">
          <cell r="A223">
            <v>808082</v>
          </cell>
          <cell r="B223" t="str">
            <v>ja</v>
          </cell>
          <cell r="C223" t="str">
            <v>Cパネルドロップ</v>
          </cell>
          <cell r="D223" t="str">
            <v>自身が先頭の時、低確率でCパネルをドロップ</v>
          </cell>
        </row>
        <row r="224">
          <cell r="A224">
            <v>500801</v>
          </cell>
          <cell r="B224" t="str">
            <v>ja</v>
          </cell>
          <cell r="C224" t="str">
            <v>パネルブレイク35 攻撃力小UP</v>
          </cell>
          <cell r="D224" t="str">
            <v>自身が先頭の時、1ターンの間に合計35個以上パネルを破壊した場合に攻撃力小UP</v>
          </cell>
        </row>
        <row r="225">
          <cell r="A225">
            <v>2903</v>
          </cell>
          <cell r="B225" t="str">
            <v>ja</v>
          </cell>
          <cell r="C225" t="str">
            <v>フィーバー100 攻撃参加</v>
          </cell>
          <cell r="D225" t="str">
            <v>フィーバーゲージが100％の時、自身が先頭以外でも通常攻撃に参加する</v>
          </cell>
        </row>
        <row r="226">
          <cell r="A226">
            <v>3000</v>
          </cell>
          <cell r="B226" t="str">
            <v>ja</v>
          </cell>
          <cell r="C226" t="str">
            <v>攻撃参加</v>
          </cell>
          <cell r="D226" t="str">
            <v>最初の1ターン目と、その後7ターン毎に自身が先頭以外でも通常攻撃に参加する</v>
          </cell>
        </row>
        <row r="227">
          <cell r="A227">
            <v>3001</v>
          </cell>
          <cell r="B227" t="str">
            <v>ja</v>
          </cell>
          <cell r="C227" t="str">
            <v>攻撃参加</v>
          </cell>
          <cell r="D227" t="str">
            <v>最初の1ターン目と、その後6ターン毎に自身が先頭以外でも通常攻撃に参加する</v>
          </cell>
        </row>
        <row r="228">
          <cell r="A228">
            <v>3002</v>
          </cell>
          <cell r="B228" t="str">
            <v>ja</v>
          </cell>
          <cell r="C228" t="str">
            <v>攻撃参加</v>
          </cell>
          <cell r="D228" t="str">
            <v>最初の1ターン目と、その後9ターン毎に自身が先頭以外でも通常攻撃に参加する</v>
          </cell>
        </row>
        <row r="229">
          <cell r="A229">
            <v>3100</v>
          </cell>
          <cell r="B229" t="str">
            <v>ja</v>
          </cell>
          <cell r="C229" t="str">
            <v>ボスフロア Cパネル生成短縮(特大)</v>
          </cell>
          <cell r="D229" t="str">
            <v>ボスフロア内で自身が先頭の時、Cパネル生成に必要なチェイン数を短縮する</v>
          </cell>
        </row>
        <row r="230">
          <cell r="A230">
            <v>3101</v>
          </cell>
          <cell r="B230" t="str">
            <v>ja</v>
          </cell>
          <cell r="C230" t="str">
            <v>ボスフロア時 バリア3000</v>
          </cell>
          <cell r="D230" t="str">
            <v>ボスフロア到達時に自身への直接ダメージを3000まで防ぐバリアを一度だけ展開(バリアは破壊されると復活しない)</v>
          </cell>
        </row>
        <row r="231">
          <cell r="A231">
            <v>3102</v>
          </cell>
          <cell r="B231" t="str">
            <v>ja</v>
          </cell>
          <cell r="C231" t="str">
            <v>ボスフロア時 Cスキル威力UP</v>
          </cell>
          <cell r="D231" t="str">
            <v>ボスフロアの1ターン目終了時に自身のCスキルの威力をUP</v>
          </cell>
        </row>
        <row r="232">
          <cell r="A232">
            <v>3103</v>
          </cell>
          <cell r="B232" t="str">
            <v>ja</v>
          </cell>
          <cell r="C232" t="str">
            <v>ボスフロア 攻撃力UP</v>
          </cell>
          <cell r="D232" t="str">
            <v>ボスフロア内で自身の攻撃力を700UP</v>
          </cell>
        </row>
        <row r="233">
          <cell r="A233">
            <v>3200</v>
          </cell>
          <cell r="B233" t="str">
            <v>ja</v>
          </cell>
          <cell r="C233" t="str">
            <v>HP33%以下 攻撃力UP</v>
          </cell>
          <cell r="D233" t="str">
            <v>自身が先頭の時、残りHPが33%以下で攻撃力特大UP</v>
          </cell>
        </row>
        <row r="234">
          <cell r="A234">
            <v>3201</v>
          </cell>
          <cell r="B234" t="str">
            <v>ja</v>
          </cell>
          <cell r="C234" t="str">
            <v>HP35%以下 回復力UP</v>
          </cell>
          <cell r="D234" t="str">
            <v>自身が先頭の時、残りHPが35%以下で回復力40%UP</v>
          </cell>
        </row>
        <row r="235">
          <cell r="A235">
            <v>3202</v>
          </cell>
          <cell r="B235" t="str">
            <v>ja</v>
          </cell>
          <cell r="C235" t="str">
            <v>HP90%以上 全属性耐性15</v>
          </cell>
          <cell r="D235" t="str">
            <v>自身が先頭の時、残りHPが90%以上で全ユニットに対する全属性の敵からの攻撃を15％軽減</v>
          </cell>
        </row>
        <row r="236">
          <cell r="A236">
            <v>3203</v>
          </cell>
          <cell r="B236" t="str">
            <v>ja</v>
          </cell>
          <cell r="C236" t="str">
            <v>HP50%以下 防御力UP</v>
          </cell>
          <cell r="D236" t="str">
            <v>自身が先頭の時、残りHPが50%以下で防御力398UP</v>
          </cell>
        </row>
        <row r="237">
          <cell r="A237">
            <v>3204</v>
          </cell>
          <cell r="B237" t="str">
            <v>ja</v>
          </cell>
          <cell r="C237" t="str">
            <v>HP30%以下 攻撃力大UP</v>
          </cell>
          <cell r="D237" t="str">
            <v>自身が先頭の時、残りHPが30%以下で攻撃力大UP</v>
          </cell>
        </row>
        <row r="238">
          <cell r="A238">
            <v>3205</v>
          </cell>
          <cell r="B238" t="str">
            <v>ja</v>
          </cell>
          <cell r="C238" t="str">
            <v>HP90%以上 ダメージ軽減</v>
          </cell>
          <cell r="D238" t="str">
            <v>残りHPが90%以上の時、全ユニットが敵からの攻撃を15％軽減</v>
          </cell>
        </row>
        <row r="239">
          <cell r="A239">
            <v>4000</v>
          </cell>
          <cell r="B239" t="str">
            <v>ja</v>
          </cell>
          <cell r="C239" t="str">
            <v>被ダメージ時 HP回復</v>
          </cell>
          <cell r="D239" t="str">
            <v>自身が攻撃を受けた場合、次のターンの開始時にHP500回復する</v>
          </cell>
        </row>
        <row r="240">
          <cell r="A240">
            <v>8000</v>
          </cell>
          <cell r="B240" t="str">
            <v>ja</v>
          </cell>
          <cell r="C240" t="str">
            <v>ユニットが一番右にいるとき 攻撃力UP</v>
          </cell>
          <cell r="D240" t="str">
            <v>自身が一番右にいる場合、全ユニットの攻撃力UP</v>
          </cell>
        </row>
        <row r="241">
          <cell r="A241">
            <v>8001</v>
          </cell>
          <cell r="B241" t="str">
            <v>ja</v>
          </cell>
          <cell r="C241" t="str">
            <v>敵に青属性がいる場合 小カウンター</v>
          </cell>
          <cell r="D241" t="str">
            <v>敵に青属性がいる場合、小カウンター</v>
          </cell>
        </row>
        <row r="242">
          <cell r="A242">
            <v>8002</v>
          </cell>
          <cell r="B242" t="str">
            <v>ja</v>
          </cell>
          <cell r="C242" t="str">
            <v>テスト</v>
          </cell>
          <cell r="D242" t="str">
            <v>フロアスタート時、1ターン全ユニットの攻撃力UP</v>
          </cell>
        </row>
        <row r="243">
          <cell r="A243">
            <v>8003</v>
          </cell>
          <cell r="B243" t="str">
            <v>ja</v>
          </cell>
          <cell r="C243" t="str">
            <v>HP70%以上 ウィルス無効</v>
          </cell>
          <cell r="D243" t="str">
            <v>残りHPが70%以上で自身にかかるウィルスを無効化する</v>
          </cell>
        </row>
        <row r="244">
          <cell r="A244">
            <v>9000</v>
          </cell>
          <cell r="B244" t="str">
            <v>ja</v>
          </cell>
          <cell r="C244" t="str">
            <v>ハップルチャレンジ ダメージUP</v>
          </cell>
          <cell r="D244" t="str">
            <v>ハップルチャレンジ内で自身の全ての攻撃の威力をUP</v>
          </cell>
        </row>
        <row r="245">
          <cell r="A245">
            <v>9001</v>
          </cell>
          <cell r="B245" t="str">
            <v>ja</v>
          </cell>
          <cell r="C245" t="str">
            <v>クロネッカーチャレンジ ダメージUP</v>
          </cell>
          <cell r="D245" t="str">
            <v>クロネッカーチャレンジ内で自身の全ての攻撃の威力をUP</v>
          </cell>
        </row>
        <row r="246">
          <cell r="A246">
            <v>9002</v>
          </cell>
          <cell r="B246" t="str">
            <v>ja</v>
          </cell>
          <cell r="C246" t="str">
            <v>クロネッカーチャレンジ ダメージUP</v>
          </cell>
          <cell r="D246" t="str">
            <v>クロネッカーチャレンジ内で自身の全ての攻撃+カウンターの威力をUP</v>
          </cell>
        </row>
        <row r="247">
          <cell r="A247">
            <v>119402</v>
          </cell>
          <cell r="B247" t="str">
            <v>ja</v>
          </cell>
          <cell r="C247" t="str">
            <v>ハロウィンナイトパニック！ 威力UP</v>
          </cell>
          <cell r="D247" t="str">
            <v>ハロウィンナイトパニック！内で自身の全ての攻撃の威力を究極UP</v>
          </cell>
        </row>
        <row r="248">
          <cell r="A248">
            <v>500801</v>
          </cell>
          <cell r="B248" t="str">
            <v>ja</v>
          </cell>
          <cell r="C248" t="str">
            <v>パネルブレイク35 攻撃力小UP</v>
          </cell>
          <cell r="D248" t="str">
            <v>自身が先頭の時、1ターンの間に合計35個以上パネルを破壊した場合に攻撃力小UP</v>
          </cell>
        </row>
        <row r="249">
          <cell r="A249">
            <v>808082</v>
          </cell>
          <cell r="B249" t="str">
            <v>ja</v>
          </cell>
          <cell r="C249" t="str">
            <v>Cパネルドロップ</v>
          </cell>
          <cell r="D249" t="str">
            <v>自身が先頭の時、低確率でCパネルをドロップ</v>
          </cell>
        </row>
        <row r="250">
          <cell r="A250">
            <v>900000</v>
          </cell>
          <cell r="B250" t="str">
            <v>ja</v>
          </cell>
          <cell r="C250" t="str">
            <v>フィーバー100 プロテクトブレイク</v>
          </cell>
          <cell r="D250" t="str">
            <v>フィーバーゲージが100％以上の時、1ターンプロテクトブレイク</v>
          </cell>
        </row>
        <row r="251">
          <cell r="A251">
            <v>900001</v>
          </cell>
          <cell r="B251" t="str">
            <v>ja</v>
          </cell>
          <cell r="C251" t="str">
            <v>フィーバー100 お邪魔ブレイク</v>
          </cell>
          <cell r="D251" t="str">
            <v>フィーバーゲージが100％以上の時、1ターンお邪魔ブレイク</v>
          </cell>
        </row>
        <row r="252">
          <cell r="A252">
            <v>900402</v>
          </cell>
          <cell r="B252" t="str">
            <v>ja</v>
          </cell>
          <cell r="C252" t="str">
            <v>バリア3500</v>
          </cell>
          <cell r="D252" t="str">
            <v>戦闘開始時に、自身への直接ダメージを3500まで防ぐバリアを一度だけ展開(バリアは破壊されると復活しない)</v>
          </cell>
        </row>
        <row r="253">
          <cell r="A253">
            <v>900402</v>
          </cell>
          <cell r="B253" t="str">
            <v>ja</v>
          </cell>
          <cell r="C253" t="str">
            <v>バリア3500</v>
          </cell>
          <cell r="D253" t="str">
            <v>戦闘開始時に、自身への直接ダメージを3500まで防ぐバリアを一度だけ展開(バリアは破壊されると復活しない)</v>
          </cell>
        </row>
      </sheetData>
      <sheetData sheetId="2"/>
      <sheetData sheetId="3"/>
      <sheetData sheetId="4">
        <row r="1">
          <cell r="G1" t="str">
            <v>condition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C23" sqref="C23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343</v>
      </c>
      <c r="B2" s="105" t="s">
        <v>129</v>
      </c>
      <c r="C2" s="162" t="s">
        <v>339</v>
      </c>
      <c r="D2" s="105" t="s">
        <v>128</v>
      </c>
      <c r="E2" s="104" t="str">
        <f>B2&amp;C2&amp;D2</f>
        <v>units_GhostChange04.tmp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317</v>
      </c>
      <c r="S2" s="105"/>
      <c r="T2" s="105"/>
      <c r="U2" s="105"/>
      <c r="V2" s="105"/>
      <c r="W2" s="105"/>
    </row>
    <row r="3" spans="1:29" x14ac:dyDescent="0.15">
      <c r="A3" s="105" t="s">
        <v>343</v>
      </c>
      <c r="B3" s="105" t="s">
        <v>294</v>
      </c>
      <c r="C3" s="162" t="s">
        <v>339</v>
      </c>
      <c r="D3" s="105" t="s">
        <v>128</v>
      </c>
      <c r="E3" s="104" t="str">
        <f>B3&amp;C3&amp;D3</f>
        <v>fork_awake_units_GhostChange04.tmp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343</v>
      </c>
      <c r="B4" s="105" t="s">
        <v>130</v>
      </c>
      <c r="C4" s="162" t="s">
        <v>339</v>
      </c>
      <c r="D4" s="105" t="s">
        <v>128</v>
      </c>
      <c r="E4" s="104" t="str">
        <f>B4&amp;C4&amp;D4</f>
        <v>awake_materials_GhostChange04.tmp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343</v>
      </c>
      <c r="B5" s="105" t="s">
        <v>293</v>
      </c>
      <c r="C5" s="162" t="s">
        <v>339</v>
      </c>
      <c r="D5" s="105" t="s">
        <v>128</v>
      </c>
      <c r="E5" s="104" t="str">
        <f>B5&amp;C5&amp;D5</f>
        <v>fork_awake_materials_GhostChange04.tmp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343</v>
      </c>
      <c r="B6" s="105" t="s">
        <v>131</v>
      </c>
      <c r="C6" s="162" t="s">
        <v>339</v>
      </c>
      <c r="D6" s="105" t="s">
        <v>132</v>
      </c>
      <c r="E6" s="104" t="str">
        <f t="shared" ref="E6" si="0">B6&amp;C6&amp;D6</f>
        <v>unit_levels_calc_GhostChange04.tmp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343</v>
      </c>
      <c r="B7" s="105" t="s">
        <v>143</v>
      </c>
      <c r="C7" s="162" t="s">
        <v>339</v>
      </c>
      <c r="D7" s="105" t="s">
        <v>144</v>
      </c>
      <c r="E7" s="104" t="str">
        <f>B7&amp;C7&amp;D7</f>
        <v>unit_skills_data_GhostChange04.tmp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343</v>
      </c>
      <c r="B8" s="105" t="s">
        <v>149</v>
      </c>
      <c r="C8" s="162" t="s">
        <v>339</v>
      </c>
      <c r="D8" s="105" t="s">
        <v>128</v>
      </c>
      <c r="E8" s="104" t="str">
        <f>B8&amp;C8&amp;D8</f>
        <v>unit_skills_i18n_GhostChange04.tmp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343</v>
      </c>
      <c r="B9" s="105" t="s">
        <v>153</v>
      </c>
      <c r="C9" s="162" t="s">
        <v>339</v>
      </c>
      <c r="D9" s="105" t="s">
        <v>154</v>
      </c>
      <c r="E9" s="104" t="str">
        <f>B9&amp;C9&amp;D9</f>
        <v>crash_skills_data_GhostChange04.tmp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343</v>
      </c>
      <c r="B10" s="105" t="s">
        <v>157</v>
      </c>
      <c r="C10" s="162" t="s">
        <v>339</v>
      </c>
      <c r="D10" s="105" t="s">
        <v>158</v>
      </c>
      <c r="E10" s="104" t="str">
        <f t="shared" ref="E10" si="1">B10&amp;C10&amp;D10</f>
        <v>crash_skills_i18n_GhostChange04.tmp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343</v>
      </c>
      <c r="B11" s="108" t="s">
        <v>135</v>
      </c>
      <c r="C11" s="162" t="s">
        <v>339</v>
      </c>
      <c r="D11" s="105" t="s">
        <v>158</v>
      </c>
      <c r="E11" s="104" t="str">
        <f t="shared" ref="E11:E12" si="2">B11&amp;C11&amp;D11</f>
        <v>unit_serifs_data_GhostChange04.tmp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343</v>
      </c>
      <c r="B12" s="108" t="s">
        <v>136</v>
      </c>
      <c r="C12" s="162" t="s">
        <v>339</v>
      </c>
      <c r="D12" s="105" t="s">
        <v>158</v>
      </c>
      <c r="E12" s="104" t="str">
        <f t="shared" si="2"/>
        <v>unit_serifs_i18n_GhostChange04.tmp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184</v>
      </c>
      <c r="B13" s="105" t="s">
        <v>316</v>
      </c>
      <c r="C13" s="162" t="s">
        <v>339</v>
      </c>
      <c r="D13" s="105" t="s">
        <v>254</v>
      </c>
      <c r="E13" s="104" t="str">
        <f>B13&amp;C13&amp;D13</f>
        <v>abilities_tmp_GhostChange04.tmp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184</v>
      </c>
      <c r="B14" s="105" t="s">
        <v>259</v>
      </c>
      <c r="C14" s="162" t="s">
        <v>339</v>
      </c>
      <c r="D14" s="105" t="s">
        <v>128</v>
      </c>
      <c r="E14" s="104" t="str">
        <f>B14&amp;C14&amp;D14</f>
        <v>abilities_i18n_GhostChange04.tmp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343</v>
      </c>
      <c r="B15" s="105" t="s">
        <v>262</v>
      </c>
      <c r="C15" s="162" t="s">
        <v>339</v>
      </c>
      <c r="D15" s="105" t="s">
        <v>128</v>
      </c>
      <c r="E15" s="104" t="str">
        <f>B15&amp;C15&amp;D15</f>
        <v>unit_abilities_GhostChange04.tmp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5"/>
  <sheetViews>
    <sheetView showGridLines="0" workbookViewId="0">
      <pane xSplit="9" ySplit="1" topLeftCell="AV2" activePane="bottomRight" state="frozen"/>
      <selection pane="topRight" activeCell="J1" sqref="J1"/>
      <selection pane="bottomLeft" activeCell="A3" sqref="A3"/>
      <selection pane="bottomRight" activeCell="BB4" sqref="BB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318</v>
      </c>
    </row>
    <row r="2" spans="1:70" ht="26" customHeight="1" x14ac:dyDescent="0.15">
      <c r="A2" s="186">
        <v>1454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ストレングス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0">
        <f ca="1">VLOOKUP(I2,[1]属性!$A:$E,2,FALSE)</f>
        <v>1</v>
      </c>
      <c r="K2" s="10">
        <f ca="1">VLOOKUP(I2,[1]属性!$A:$E,3,FALSE)</f>
        <v>1.02</v>
      </c>
      <c r="L2" s="10">
        <f ca="1">VLOOKUP(I2,[1]属性!$A:$E,4,FALSE)</f>
        <v>1</v>
      </c>
      <c r="M2" s="10">
        <f ca="1">VLOOKUP(I2,[1]属性!$A:$E,5,FALSE)</f>
        <v>0.98</v>
      </c>
      <c r="N2" s="10">
        <f ca="1">INDEX(コスト!$A$1:$I$21,MATCH(H2,コスト!$A$1:$A$21,FALSE),MATCH(G2,コスト!$A$1:$I$1,FALSE))</f>
        <v>40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0">
        <f ca="1">VLOOKUP(Q2,[1]character_type_i18n!$A:$H,4,FALSE)</f>
        <v>1</v>
      </c>
      <c r="T2" s="10">
        <f ca="1">VLOOKUP(Q2,[1]character_type_i18n!$A:$H,5,FALSE)</f>
        <v>1</v>
      </c>
      <c r="U2" s="10">
        <f ca="1">VLOOKUP(Q2,[1]character_type_i18n!$A:$H,6,FALSE)</f>
        <v>1</v>
      </c>
      <c r="V2" s="10">
        <f ca="1">VLOOKUP(Q2,[1]character_type_i18n!$A:$H,7,FALSE)</f>
        <v>1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animal</v>
      </c>
      <c r="Z2" s="5" t="str">
        <f ca="1">VLOOKUP(Y2,[1]character_tribe_i18n!$A:$H,3,FALSE)</f>
        <v>アニマル</v>
      </c>
      <c r="AA2" s="10">
        <f ca="1">VLOOKUP(W2,[1]character_tribe_i18n!$A:$H,4,FALSE)</f>
        <v>0.96</v>
      </c>
      <c r="AB2" s="10">
        <f ca="1">VLOOKUP(W2,[1]character_tribe_i18n!$A:$H,5,FALSE)</f>
        <v>1.02</v>
      </c>
      <c r="AC2" s="10">
        <f ca="1">VLOOKUP(W2,[1]character_tribe_i18n!$A:$H,6,FALSE)</f>
        <v>1</v>
      </c>
      <c r="AD2" s="10">
        <f ca="1">VLOOKUP(W2,[1]character_tribe_i18n!$A:$H,7,FALSE)</f>
        <v>1.02</v>
      </c>
      <c r="AE2" s="187">
        <v>1455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豪毅なる征獣師 ストレングス</v>
      </c>
      <c r="AG2" s="187">
        <v>1454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ストレングス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1454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ビースト・シッター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マグネットパネル(ハート→黄→青→赤)に1個、緑パネルをハートボムに変換+1ターン赤属性の防御力を超大UPし、攻撃力を大UP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1454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絶対的支配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1体に特大ダメージ+_x000D_HP回復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1.073</v>
      </c>
      <c r="AZ2" s="64">
        <v>0.99299999999999999</v>
      </c>
      <c r="BA2" s="64">
        <v>0</v>
      </c>
      <c r="BB2" s="64">
        <v>1.0429999999999999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2575</v>
      </c>
      <c r="BH2" s="15">
        <f ca="1">IF($BE2&lt;=0,ROUND(BL2*0.5,0), ROUND($BE2*T2*AB2*K2*AZ2*0.8*[1]ステータス!$C$2,0))</f>
        <v>1550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1303</v>
      </c>
      <c r="BK2" s="10">
        <f ca="1">ROUND(BD2*S2*AA2*J2*AY2*[1]ステータス!$B$2,0)</f>
        <v>5150</v>
      </c>
      <c r="BL2" s="10">
        <f ca="1">ROUND(BD2*T2*AB2*K2*AZ2*[1]ステータス!$C$2,0)</f>
        <v>3099</v>
      </c>
      <c r="BM2" s="10">
        <f ca="1">ROUND(BD2*U2*AC2*L2*BA2*[1]ステータス!$D$2,0)</f>
        <v>0</v>
      </c>
      <c r="BN2" s="10">
        <f ca="1">ROUND(BD2*V2*AD2*M2*BB2*[1]ステータス!$E$2,0)</f>
        <v>2606</v>
      </c>
      <c r="BO2" s="9">
        <v>0</v>
      </c>
      <c r="BP2" s="9">
        <v>1</v>
      </c>
      <c r="BQ2" s="36" t="s">
        <v>47</v>
      </c>
      <c r="BR2" s="9">
        <v>0</v>
      </c>
    </row>
    <row r="3" spans="1:70" ht="26" customHeight="1" x14ac:dyDescent="0.15">
      <c r="A3" s="186">
        <v>1455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豪毅なる征獣師 ストレングス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0">
        <f ca="1">VLOOKUP(I3,[1]属性!$A:$E,2,FALSE)</f>
        <v>1</v>
      </c>
      <c r="K3" s="10">
        <f ca="1">VLOOKUP(I3,[1]属性!$A:$E,3,FALSE)</f>
        <v>1.02</v>
      </c>
      <c r="L3" s="10">
        <f ca="1">VLOOKUP(I3,[1]属性!$A:$E,4,FALSE)</f>
        <v>1</v>
      </c>
      <c r="M3" s="10">
        <f ca="1">VLOOKUP(I3,[1]属性!$A:$E,5,FALSE)</f>
        <v>0.98</v>
      </c>
      <c r="N3" s="10">
        <f ca="1">INDEX(コスト!$A$1:$I$21,MATCH(H3,コスト!$A$1:$A$21,FALSE),MATCH(G3,コスト!$A$1:$I$1,FALSE))</f>
        <v>55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animal</v>
      </c>
      <c r="Z3" s="5" t="str">
        <f ca="1">VLOOKUP(Y3,[1]character_tribe_i18n!$A:$H,3,FALSE)</f>
        <v>アニマル</v>
      </c>
      <c r="AA3" s="10">
        <f ca="1">VLOOKUP(W3,[1]character_tribe_i18n!$A:$H,4,FALSE)</f>
        <v>0.96</v>
      </c>
      <c r="AB3" s="10">
        <f ca="1">VLOOKUP(W3,[1]character_tribe_i18n!$A:$H,5,FALSE)</f>
        <v>1.02</v>
      </c>
      <c r="AC3" s="10">
        <f ca="1">VLOOKUP(W3,[1]character_tribe_i18n!$A:$H,6,FALSE)</f>
        <v>1</v>
      </c>
      <c r="AD3" s="10">
        <f ca="1">VLOOKUP(W3,[1]character_tribe_i18n!$A:$H,7,FALSE)</f>
        <v>1.02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1454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ストレングス</v>
      </c>
      <c r="AI3" s="10" t="str">
        <f>IF(AE3="NULL","NULL",VLOOKUP(G3,ビット!$A$2:$B$7,2))</f>
        <v>NULL</v>
      </c>
      <c r="AJ3" s="6">
        <v>2</v>
      </c>
      <c r="AK3" s="7" t="str">
        <f t="shared" ref="AK3:AK4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1455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ビースト・チェイサー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マグネットパネル(ハート→黄→青→赤)に1個、緑パネルをハートボムに変換+2ターン赤属性の防御力を超大UPし、攻撃力を大UP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1455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完全的征服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1体に超大ダメージ+_x000D_HP大回復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1.073</v>
      </c>
      <c r="AZ3" s="64">
        <v>1.0342</v>
      </c>
      <c r="BA3" s="64">
        <v>0</v>
      </c>
      <c r="BB3" s="64">
        <v>1.0543</v>
      </c>
      <c r="BC3" s="10">
        <f ca="1">INDEX('RC6SV'!$A$1:$G$21,MATCH(H3,'RC6SV'!$A$1:$A$21,FALSE),MATCH(G3,'RC6SV'!$A$1:$G$1,FALSE))</f>
        <v>14000</v>
      </c>
      <c r="BD3" s="44">
        <f t="shared" ref="BD3:BD4" ca="1" si="4">ROUND(BC3*IF(AJ3=1,0.95,IF(AJ3=2,1,IF(AJ3,1.05,0))),0)</f>
        <v>14000</v>
      </c>
      <c r="BE3" s="10">
        <f ca="1">ROUND(IFERROR(INDIRECT(ADDRESS(MATCH($A3,$AE:$AE,0),MATCH($BC$1,$1:$1,0))),0),0)</f>
        <v>10000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4120</v>
      </c>
      <c r="BH3" s="15">
        <f ca="1">IF($BE3&lt;=0,ROUND(BL3*0.5,0), ROUND($BE3*T3*AB3*K3*AZ3*0.8*[1]ステータス!$C$2,0))</f>
        <v>2582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2108</v>
      </c>
      <c r="BK3" s="10">
        <f ca="1">ROUND(BD3*S3*AA3*J3*AY3*[1]ステータス!$B$2,0)</f>
        <v>7211</v>
      </c>
      <c r="BL3" s="10">
        <f ca="1">ROUND(BD3*T3*AB3*K3*AZ3*[1]ステータス!$C$2,0)</f>
        <v>4519</v>
      </c>
      <c r="BM3" s="10">
        <f ca="1">ROUND(BD3*U3*AC3*L3*BA3*[1]ステータス!$D$2,0)</f>
        <v>0</v>
      </c>
      <c r="BN3" s="10">
        <f ca="1">ROUND(BD3*V3*AD3*M3*BB3*[1]ステータス!$E$2,0)</f>
        <v>3689</v>
      </c>
      <c r="BO3" s="9">
        <v>0</v>
      </c>
      <c r="BP3" s="9">
        <v>1</v>
      </c>
      <c r="BQ3" s="9" t="s">
        <v>47</v>
      </c>
      <c r="BR3" s="9">
        <v>0</v>
      </c>
    </row>
    <row r="4" spans="1:70" ht="26" customHeight="1" x14ac:dyDescent="0.15">
      <c r="A4" s="186">
        <v>1456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ネセバル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PremiumSSw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0">
        <f ca="1">VLOOKUP(I4,[1]属性!$A:$E,2,FALSE)</f>
        <v>1</v>
      </c>
      <c r="K4" s="10">
        <f ca="1">VLOOKUP(I4,[1]属性!$A:$E,3,FALSE)</f>
        <v>0.98</v>
      </c>
      <c r="L4" s="10">
        <f ca="1">VLOOKUP(I4,[1]属性!$A:$E,4,FALSE)</f>
        <v>1</v>
      </c>
      <c r="M4" s="10">
        <f ca="1">VLOOKUP(I4,[1]属性!$A:$E,5,FALSE)</f>
        <v>1.02</v>
      </c>
      <c r="N4" s="10">
        <f ca="1">INDEX(コスト!$A$1:$I$21,MATCH(H4,コスト!$A$1:$A$21,FALSE),MATCH(G4,コスト!$A$1:$I$1,FALSE))</f>
        <v>38</v>
      </c>
      <c r="O4" s="10">
        <f ca="1">INDEX(レベル!$A$1:$I$22,MATCH(H4,レベル!$A$1:$A$22,FALSE),MATCH(G4,レベル!$A$1:$I$1,FALSE))</f>
        <v>80</v>
      </c>
      <c r="P4" s="44">
        <f t="shared" ref="P4:P5" ca="1" si="5">IF(G4 &gt;= 6, 99,G4*15)</f>
        <v>75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attack</v>
      </c>
      <c r="R4" s="5" t="str">
        <f ca="1">VLOOKUP(Q4,[1]character_type_i18n!$A:$H,3,FALSE)</f>
        <v>攻撃タイプ</v>
      </c>
      <c r="S4" s="10">
        <f ca="1">VLOOKUP(Q4,[1]character_type_i18n!$A:$H,4,FALSE)</f>
        <v>1</v>
      </c>
      <c r="T4" s="10">
        <f ca="1">VLOOKUP(Q4,[1]character_type_i18n!$A:$H,5,FALSE)</f>
        <v>1.33</v>
      </c>
      <c r="U4" s="10">
        <f ca="1">VLOOKUP(Q4,[1]character_type_i18n!$A:$H,6,FALSE)</f>
        <v>1</v>
      </c>
      <c r="V4" s="10">
        <f ca="1">VLOOKUP(Q4,[1]character_type_i18n!$A:$H,7,FALSE)</f>
        <v>0.67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hero</v>
      </c>
      <c r="X4" s="5" t="str">
        <f ca="1">VLOOKUP(W4,[1]character_tribe_i18n!$A:$H,3,FALSE)</f>
        <v>ヒーロー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unknown</v>
      </c>
      <c r="Z4" s="5" t="str">
        <f ca="1">VLOOKUP(Y4,[1]character_tribe_i18n!$A:$H,3,FALSE)</f>
        <v>Unknown</v>
      </c>
      <c r="AA4" s="10">
        <f ca="1">VLOOKUP(W4,[1]character_tribe_i18n!$A:$H,4,FALSE)</f>
        <v>1</v>
      </c>
      <c r="AB4" s="10">
        <f ca="1">VLOOKUP(W4,[1]character_tribe_i18n!$A:$H,5,FALSE)</f>
        <v>1</v>
      </c>
      <c r="AC4" s="10">
        <f ca="1">VLOOKUP(W4,[1]character_tribe_i18n!$A:$H,6,FALSE)</f>
        <v>1</v>
      </c>
      <c r="AD4" s="10">
        <f ca="1">VLOOKUP(W4,[1]character_tribe_i18n!$A:$H,7,FALSE)</f>
        <v>1</v>
      </c>
      <c r="AE4" s="187">
        <v>1457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碧影の聖跡 ネセバル</v>
      </c>
      <c r="AG4" s="187">
        <v>1456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ネセバル</v>
      </c>
      <c r="AI4" s="10">
        <f ca="1">IF(AE4="NULL","NULL",VLOOKUP(G4,ビット!$A$2:$B$7,2))</f>
        <v>200000</v>
      </c>
      <c r="AJ4" s="6">
        <v>2</v>
      </c>
      <c r="AK4" s="7" t="str">
        <f t="shared" si="3"/>
        <v>普通</v>
      </c>
      <c r="AL4" s="10" t="str">
        <f ca="1">INDEX(経験値!$A$1:$I$21,MATCH(H4,経験値!$A$1:$A$21,FALSE),MATCH(G4,経験値!$A$1:$I$1,FALSE))</f>
        <v>required_exp_200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1456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ホーリー･ガーディアン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黄を青パネルに変換+1ターンハートが緑パネルでドロップし、バランスタイプと種族Unknown•デーモンの攻撃力1300UP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1456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蒼聖の斬跡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1体に特大ダメージ+_x000D_1ターン青属性ユニットの防御力特大UP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4">
        <v>1.0263</v>
      </c>
      <c r="AZ4" s="64">
        <v>0.95220000000000005</v>
      </c>
      <c r="BA4" s="64">
        <v>0</v>
      </c>
      <c r="BB4" s="64">
        <v>0.77470000000000006</v>
      </c>
      <c r="BC4" s="10">
        <f ca="1">INDEX('RC6SV'!$A$1:$G$21,MATCH(H4,'RC6SV'!$A$1:$A$21,FALSE),MATCH(G4,'RC6SV'!$A$1:$G$1,FALSE))</f>
        <v>10000</v>
      </c>
      <c r="BD4" s="44">
        <f t="shared" ca="1" si="4"/>
        <v>10000</v>
      </c>
      <c r="BE4" s="10">
        <f ca="1">ROUND(IFERROR(INDIRECT(ADDRESS(MATCH($A4,$AE:$AE,0),MATCH($BC$1,$1:$1,0))),0),0)</f>
        <v>0</v>
      </c>
      <c r="BF4" s="10">
        <f ca="1">ROUND(IFERROR(INDIRECT(ADDRESS(MATCH($A4,$AE:$AE,0),10)),INDIRECT(ADDRESS(MATCH($A4,$A:$A,0),10))),0)</f>
        <v>1</v>
      </c>
      <c r="BG4" s="15">
        <f ca="1">IF($BE4&lt;=0,ROUND(BK4*0.5,0), ROUND($BE4*S4*AA4*J4*AY4*0.8*[1]ステータス!$B$2,0))</f>
        <v>2566</v>
      </c>
      <c r="BH4" s="15">
        <f ca="1">IF($BE4&lt;=0,ROUND(BL4*0.5,0), ROUND($BE4*T4*AB4*K4*AZ4*0.8*[1]ステータス!$C$2,0))</f>
        <v>1862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662</v>
      </c>
      <c r="BK4" s="10">
        <f ca="1">ROUND(BD4*S4*AA4*J4*AY4*[1]ステータス!$B$2,0)</f>
        <v>5132</v>
      </c>
      <c r="BL4" s="10">
        <f ca="1">ROUND(BD4*T4*AB4*K4*AZ4*[1]ステータス!$C$2,0)</f>
        <v>3723</v>
      </c>
      <c r="BM4" s="10">
        <f ca="1">ROUND(BD4*U4*AC4*L4*BA4*[1]ステータス!$D$2,0)</f>
        <v>0</v>
      </c>
      <c r="BN4" s="10">
        <f ca="1">ROUND(BD4*V4*AD4*M4*BB4*[1]ステータス!$E$2,0)</f>
        <v>1324</v>
      </c>
      <c r="BO4" s="9">
        <v>0</v>
      </c>
      <c r="BP4" s="9">
        <v>1</v>
      </c>
      <c r="BQ4" s="36" t="s">
        <v>47</v>
      </c>
      <c r="BR4" s="9">
        <v>0</v>
      </c>
    </row>
    <row r="5" spans="1:70" ht="26" customHeight="1" x14ac:dyDescent="0.15">
      <c r="A5" s="186">
        <v>1457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碧影の聖跡 ネセバル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PremiumSSw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10">
        <f ca="1">VLOOKUP(I5,[1]属性!$A:$E,2,FALSE)</f>
        <v>1</v>
      </c>
      <c r="K5" s="10">
        <f ca="1">VLOOKUP(I5,[1]属性!$A:$E,3,FALSE)</f>
        <v>0.98</v>
      </c>
      <c r="L5" s="10">
        <f ca="1">VLOOKUP(I5,[1]属性!$A:$E,4,FALSE)</f>
        <v>1</v>
      </c>
      <c r="M5" s="10">
        <f ca="1">VLOOKUP(I5,[1]属性!$A:$E,5,FALSE)</f>
        <v>1.02</v>
      </c>
      <c r="N5" s="10">
        <f ca="1">INDEX(コスト!$A$1:$I$21,MATCH(H5,コスト!$A$1:$A$21,FALSE),MATCH(G5,コスト!$A$1:$I$1,FALSE))</f>
        <v>53</v>
      </c>
      <c r="O5" s="10">
        <f ca="1">INDEX(レベル!$A$1:$I$22,MATCH(H5,レベル!$A$1:$A$22,FALSE),MATCH(G5,レベル!$A$1:$I$1,FALSE))</f>
        <v>99</v>
      </c>
      <c r="P5" s="44">
        <f t="shared" ca="1" si="5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0">
        <f ca="1">VLOOKUP(Q5,[1]character_type_i18n!$A:$H,4,FALSE)</f>
        <v>1</v>
      </c>
      <c r="T5" s="10">
        <f ca="1">VLOOKUP(Q5,[1]character_type_i18n!$A:$H,5,FALSE)</f>
        <v>1.33</v>
      </c>
      <c r="U5" s="10">
        <f ca="1">VLOOKUP(Q5,[1]character_type_i18n!$A:$H,6,FALSE)</f>
        <v>1</v>
      </c>
      <c r="V5" s="10">
        <f ca="1">VLOOKUP(Q5,[1]character_type_i18n!$A:$H,7,FALSE)</f>
        <v>0.67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hero</v>
      </c>
      <c r="X5" s="5" t="str">
        <f ca="1">VLOOKUP(W5,[1]character_tribe_i18n!$A:$H,3,FALSE)</f>
        <v>ヒーロー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unknown</v>
      </c>
      <c r="Z5" s="5" t="str">
        <f ca="1">VLOOKUP(Y5,[1]character_tribe_i18n!$A:$H,3,FALSE)</f>
        <v>Unknown</v>
      </c>
      <c r="AA5" s="10">
        <f ca="1">VLOOKUP(W5,[1]character_tribe_i18n!$A:$H,4,FALSE)</f>
        <v>1</v>
      </c>
      <c r="AB5" s="10">
        <f ca="1">VLOOKUP(W5,[1]character_tribe_i18n!$A:$H,5,FALSE)</f>
        <v>1</v>
      </c>
      <c r="AC5" s="10">
        <f ca="1">VLOOKUP(W5,[1]character_tribe_i18n!$A:$H,6,FALSE)</f>
        <v>1</v>
      </c>
      <c r="AD5" s="10">
        <f ca="1">VLOOKUP(W5,[1]character_tribe_i18n!$A:$H,7,FALSE)</f>
        <v>1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1456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ネセバル</v>
      </c>
      <c r="AI5" s="10" t="str">
        <f>IF(AE5="NULL","NULL",VLOOKUP(G5,ビット!$A$2:$B$7,2))</f>
        <v>NULL</v>
      </c>
      <c r="AJ5" s="6">
        <v>2</v>
      </c>
      <c r="AK5" s="7" t="str">
        <f t="shared" ref="AK5" si="6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v>1457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サンクチュアリ･ガーディアン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黄を青パネルに変換+2ターンハートが緑パネルでドロップし、バランスタイプと種族Unknown•デーモンの攻撃力1300UP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v>1457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碧聖の斬導跡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1体に超大ダメージ+_x000D_1ターン青属性ユニットの防御力特大UP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4">
        <v>1.0263</v>
      </c>
      <c r="AZ5" s="64">
        <v>0.95220000000000005</v>
      </c>
      <c r="BA5" s="64">
        <v>0</v>
      </c>
      <c r="BB5" s="64">
        <v>0.77470000000000006</v>
      </c>
      <c r="BC5" s="10">
        <f ca="1">INDEX('RC6SV'!$A$1:$G$21,MATCH(H5,'RC6SV'!$A$1:$A$21,FALSE),MATCH(G5,'RC6SV'!$A$1:$G$1,FALSE))</f>
        <v>14000</v>
      </c>
      <c r="BD5" s="44">
        <f t="shared" ref="BD5" ca="1" si="7">ROUND(BC5*IF(AJ5=1,0.95,IF(AJ5=2,1,IF(AJ5,1.05,0))),0)</f>
        <v>14000</v>
      </c>
      <c r="BE5" s="10">
        <f ca="1">ROUND(IFERROR(INDIRECT(ADDRESS(MATCH($A5,$AE:$AE,0),MATCH($BC$1,$1:$1,0))),0),0)</f>
        <v>10000</v>
      </c>
      <c r="BF5" s="10">
        <f ca="1">ROUND(IFERROR(INDIRECT(ADDRESS(MATCH($A5,$AE:$AE,0),10)),INDIRECT(ADDRESS(MATCH($A5,$A:$A,0),10))),0)</f>
        <v>1</v>
      </c>
      <c r="BG5" s="15">
        <f ca="1">IF($BE5&lt;=0,ROUND(BK5*0.5,0), ROUND($BE5*S5*AA5*J5*AY5*0.8*[1]ステータス!$B$2,0))</f>
        <v>4105</v>
      </c>
      <c r="BH5" s="15">
        <f ca="1">IF($BE5&lt;=0,ROUND(BL5*0.5,0), ROUND($BE5*T5*AB5*K5*AZ5*0.8*[1]ステータス!$C$2,0))</f>
        <v>2979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1059</v>
      </c>
      <c r="BK5" s="10">
        <f ca="1">ROUND(BD5*S5*AA5*J5*AY5*[1]ステータス!$B$2,0)</f>
        <v>7184</v>
      </c>
      <c r="BL5" s="10">
        <f ca="1">ROUND(BD5*T5*AB5*K5*AZ5*[1]ステータス!$C$2,0)</f>
        <v>5213</v>
      </c>
      <c r="BM5" s="10">
        <f ca="1">ROUND(BD5*U5*AC5*L5*BA5*[1]ステータス!$D$2,0)</f>
        <v>0</v>
      </c>
      <c r="BN5" s="10">
        <f ca="1">ROUND(BD5*V5*AD5*M5*BB5*[1]ステータス!$E$2,0)</f>
        <v>1853</v>
      </c>
      <c r="BO5" s="9">
        <v>0</v>
      </c>
      <c r="BP5" s="9">
        <v>1</v>
      </c>
      <c r="BQ5" s="9" t="s">
        <v>47</v>
      </c>
      <c r="BR5" s="9">
        <v>0</v>
      </c>
    </row>
  </sheetData>
  <autoFilter ref="A1:BQ1"/>
  <phoneticPr fontId="10"/>
  <conditionalFormatting sqref="BO1">
    <cfRule type="cellIs" dxfId="36" priority="120" stopIfTrue="1" operator="equal">
      <formula>1</formula>
    </cfRule>
  </conditionalFormatting>
  <conditionalFormatting sqref="BQ1">
    <cfRule type="cellIs" dxfId="3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5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2" sqref="I2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1454</v>
      </c>
      <c r="B2" s="129" t="s">
        <v>186</v>
      </c>
      <c r="C2" s="188" t="s">
        <v>352</v>
      </c>
      <c r="D2" s="188" t="s">
        <v>350</v>
      </c>
      <c r="E2" s="131">
        <f t="shared" ref="E2" si="0">LEN(D2)</f>
        <v>62</v>
      </c>
      <c r="F2" s="63">
        <v>14</v>
      </c>
      <c r="G2" s="113">
        <v>7</v>
      </c>
      <c r="H2" s="132">
        <f>2001</f>
        <v>2001</v>
      </c>
      <c r="I2" s="189" t="s">
        <v>376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ストレングス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1455</v>
      </c>
      <c r="B3" s="129" t="s">
        <v>186</v>
      </c>
      <c r="C3" s="188" t="s">
        <v>353</v>
      </c>
      <c r="D3" s="188" t="s">
        <v>351</v>
      </c>
      <c r="E3" s="131">
        <f t="shared" ref="E3:E4" si="1">LEN(D3)</f>
        <v>62</v>
      </c>
      <c r="F3" s="63">
        <v>13</v>
      </c>
      <c r="G3" s="113">
        <v>7</v>
      </c>
      <c r="H3" s="132">
        <f>2001</f>
        <v>2001</v>
      </c>
      <c r="I3" s="189" t="s">
        <v>375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豪毅なる征獣師 ストレングス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1456</v>
      </c>
      <c r="B4" s="129" t="s">
        <v>186</v>
      </c>
      <c r="C4" s="188" t="s">
        <v>354</v>
      </c>
      <c r="D4" s="198" t="s">
        <v>373</v>
      </c>
      <c r="E4" s="131">
        <f t="shared" si="1"/>
        <v>61</v>
      </c>
      <c r="F4" s="63">
        <v>11</v>
      </c>
      <c r="G4" s="113">
        <v>5</v>
      </c>
      <c r="H4" s="132">
        <f>2001</f>
        <v>2001</v>
      </c>
      <c r="I4" s="189" t="s">
        <v>377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ネセバル</v>
      </c>
      <c r="K4" s="133">
        <f>IFERROR(VLOOKUP(A4,[1]characters!$A:$R,18),0)</f>
        <v>3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1457</v>
      </c>
      <c r="B5" s="129" t="s">
        <v>186</v>
      </c>
      <c r="C5" s="188" t="s">
        <v>355</v>
      </c>
      <c r="D5" s="198" t="s">
        <v>374</v>
      </c>
      <c r="E5" s="131">
        <f t="shared" ref="E5" si="2">LEN(D5)</f>
        <v>61</v>
      </c>
      <c r="F5" s="63">
        <v>10</v>
      </c>
      <c r="G5" s="113">
        <v>5</v>
      </c>
      <c r="H5" s="132">
        <f>2001</f>
        <v>2001</v>
      </c>
      <c r="I5" s="189" t="s">
        <v>378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碧影の聖跡 ネセバル</v>
      </c>
      <c r="K5" s="133">
        <f>IFERROR(VLOOKUP(A5,[1]characters!$A:$R,18),0)</f>
        <v>3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6:E1048576">
    <cfRule type="cellIs" dxfId="34" priority="26" operator="greaterThan">
      <formula>41</formula>
    </cfRule>
  </conditionalFormatting>
  <conditionalFormatting sqref="E2">
    <cfRule type="cellIs" dxfId="33" priority="20" operator="greaterThan">
      <formula>57</formula>
    </cfRule>
  </conditionalFormatting>
  <conditionalFormatting sqref="E3">
    <cfRule type="cellIs" dxfId="32" priority="19" operator="greaterThan">
      <formula>57</formula>
    </cfRule>
  </conditionalFormatting>
  <conditionalFormatting sqref="E4">
    <cfRule type="cellIs" dxfId="31" priority="2" operator="greaterThan">
      <formula>57</formula>
    </cfRule>
  </conditionalFormatting>
  <conditionalFormatting sqref="E5">
    <cfRule type="cellIs" dxfId="30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5" sqref="C5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1454</v>
      </c>
      <c r="B2" s="129" t="s">
        <v>187</v>
      </c>
      <c r="C2" s="188" t="s">
        <v>356</v>
      </c>
      <c r="D2" s="188" t="s">
        <v>341</v>
      </c>
      <c r="E2" s="131">
        <f t="shared" ref="E2" si="0">LEN(D2)</f>
        <v>15</v>
      </c>
      <c r="F2" s="190" t="s">
        <v>340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ストレングス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1455</v>
      </c>
      <c r="B3" s="129" t="s">
        <v>187</v>
      </c>
      <c r="C3" s="188" t="s">
        <v>357</v>
      </c>
      <c r="D3" s="188" t="s">
        <v>345</v>
      </c>
      <c r="E3" s="131">
        <f t="shared" ref="E3:E4" si="1">LEN(D3)</f>
        <v>16</v>
      </c>
      <c r="F3" s="190" t="s">
        <v>344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豪毅なる征獣師 ストレングス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1456</v>
      </c>
      <c r="B4" s="129" t="s">
        <v>186</v>
      </c>
      <c r="C4" s="188" t="s">
        <v>358</v>
      </c>
      <c r="D4" s="188" t="s">
        <v>348</v>
      </c>
      <c r="E4" s="131">
        <f t="shared" si="1"/>
        <v>30</v>
      </c>
      <c r="F4" s="190" t="s">
        <v>346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ネセバル</v>
      </c>
      <c r="H4" s="132">
        <f>IFERROR(VLOOKUP(A4,[1]characters!$A:$R,18),0)</f>
        <v>3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1457</v>
      </c>
      <c r="B5" s="129" t="s">
        <v>186</v>
      </c>
      <c r="C5" s="188" t="s">
        <v>359</v>
      </c>
      <c r="D5" s="188" t="s">
        <v>349</v>
      </c>
      <c r="E5" s="131">
        <f t="shared" ref="E5" si="2">LEN(D5)</f>
        <v>30</v>
      </c>
      <c r="F5" s="190" t="s">
        <v>347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碧影の聖跡 ネセバル</v>
      </c>
      <c r="H5" s="132">
        <f>IFERROR(VLOOKUP(A5,[1]characters!$A:$R,18),0)</f>
        <v>3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J1"/>
  <phoneticPr fontId="22"/>
  <conditionalFormatting sqref="E2">
    <cfRule type="cellIs" dxfId="29" priority="20" operator="greaterThan">
      <formula>57</formula>
    </cfRule>
  </conditionalFormatting>
  <conditionalFormatting sqref="E3">
    <cfRule type="cellIs" dxfId="28" priority="19" operator="greaterThan">
      <formula>57</formula>
    </cfRule>
  </conditionalFormatting>
  <conditionalFormatting sqref="E4">
    <cfRule type="cellIs" dxfId="27" priority="2" operator="greaterThan">
      <formula>57</formula>
    </cfRule>
  </conditionalFormatting>
  <conditionalFormatting sqref="E5">
    <cfRule type="cellIs" dxfId="26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9"/>
  <sheetViews>
    <sheetView zoomScale="110" workbookViewId="0">
      <selection activeCell="G24" sqref="G24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1454</v>
      </c>
      <c r="B2" s="138" t="str">
        <f>VLOOKUP(A2,[1]characters!$A:$C,3,FALSE)</f>
        <v>ストレングス</v>
      </c>
      <c r="C2" s="105" t="s">
        <v>196</v>
      </c>
      <c r="D2" s="138" t="str">
        <f t="shared" ref="D2" si="0">A2&amp;C2</f>
        <v>1454skill</v>
      </c>
      <c r="E2" s="138" t="str">
        <f>A2&amp;+(COUNTIF(A2:A$100,A2)-1)</f>
        <v>14543</v>
      </c>
      <c r="F2" s="105" t="s">
        <v>198</v>
      </c>
      <c r="G2" s="162" t="s">
        <v>197</v>
      </c>
      <c r="H2" s="162" t="s">
        <v>364</v>
      </c>
    </row>
    <row r="3" spans="1:8" x14ac:dyDescent="0.15">
      <c r="A3" s="105">
        <v>1454</v>
      </c>
      <c r="B3" s="138" t="str">
        <f>VLOOKUP(A3,[1]characters!$A:$C,3,FALSE)</f>
        <v>ストレングス</v>
      </c>
      <c r="C3" s="105" t="s">
        <v>199</v>
      </c>
      <c r="D3" s="138" t="str">
        <f>A3&amp;C3</f>
        <v>1454cskill</v>
      </c>
      <c r="E3" s="138" t="str">
        <f>A3&amp;+(COUNTIF(A3:A$100,A3)-1)</f>
        <v>14542</v>
      </c>
      <c r="F3" s="105" t="s">
        <v>187</v>
      </c>
      <c r="G3" s="162" t="s">
        <v>360</v>
      </c>
      <c r="H3" s="162" t="s">
        <v>361</v>
      </c>
    </row>
    <row r="4" spans="1:8" x14ac:dyDescent="0.15">
      <c r="A4" s="105">
        <v>1454</v>
      </c>
      <c r="B4" s="138" t="str">
        <f>VLOOKUP(A4,[1]characters!$A:$C,3,FALSE)</f>
        <v>ストレングス</v>
      </c>
      <c r="C4" s="105" t="s">
        <v>199</v>
      </c>
      <c r="D4" s="138" t="str">
        <f>A4&amp;C4</f>
        <v>1454cskill</v>
      </c>
      <c r="E4" s="138" t="str">
        <f>A4&amp;+(COUNTIF(A4:A$100,A4)-1)</f>
        <v>14541</v>
      </c>
      <c r="F4" s="105" t="s">
        <v>187</v>
      </c>
      <c r="G4" s="162" t="s">
        <v>197</v>
      </c>
      <c r="H4" s="162" t="s">
        <v>362</v>
      </c>
    </row>
    <row r="5" spans="1:8" x14ac:dyDescent="0.15">
      <c r="A5" s="105">
        <v>1454</v>
      </c>
      <c r="B5" s="138" t="str">
        <f>VLOOKUP(A5,[1]characters!$A:$C,3,FALSE)</f>
        <v>ストレングス</v>
      </c>
      <c r="C5" s="105" t="s">
        <v>199</v>
      </c>
      <c r="D5" s="138" t="str">
        <f>A5&amp;C5</f>
        <v>1454cskill</v>
      </c>
      <c r="E5" s="138" t="str">
        <f>A5&amp;+(COUNTIF(A5:A$100,A5)-1)</f>
        <v>14540</v>
      </c>
      <c r="F5" s="105" t="s">
        <v>198</v>
      </c>
      <c r="G5" s="162" t="s">
        <v>197</v>
      </c>
      <c r="H5" s="162" t="s">
        <v>363</v>
      </c>
    </row>
    <row r="6" spans="1:8" x14ac:dyDescent="0.15">
      <c r="A6" s="105">
        <v>1455</v>
      </c>
      <c r="B6" s="138" t="str">
        <f>VLOOKUP(A6,[1]characters!$A:$C,3,FALSE)</f>
        <v>豪毅なる征獣師 ストレングス</v>
      </c>
      <c r="C6" s="105" t="s">
        <v>196</v>
      </c>
      <c r="D6" s="138" t="str">
        <f t="shared" ref="D6" si="1">A6&amp;C6</f>
        <v>1455skill</v>
      </c>
      <c r="E6" s="138" t="str">
        <f>A6&amp;+(COUNTIF(A6:A$100,A6)-1)</f>
        <v>14554</v>
      </c>
      <c r="F6" s="105" t="s">
        <v>187</v>
      </c>
      <c r="G6" s="162" t="s">
        <v>197</v>
      </c>
      <c r="H6" s="162" t="s">
        <v>365</v>
      </c>
    </row>
    <row r="7" spans="1:8" x14ac:dyDescent="0.15">
      <c r="A7" s="105">
        <v>1455</v>
      </c>
      <c r="B7" s="138" t="str">
        <f>VLOOKUP(A7,[1]characters!$A:$C,3,FALSE)</f>
        <v>豪毅なる征獣師 ストレングス</v>
      </c>
      <c r="C7" s="105" t="s">
        <v>199</v>
      </c>
      <c r="D7" s="138" t="str">
        <f>A7&amp;C7</f>
        <v>1455cskill</v>
      </c>
      <c r="E7" s="138" t="str">
        <f>A7&amp;+(COUNTIF(A7:A$100,A7)-1)</f>
        <v>14553</v>
      </c>
      <c r="F7" s="105" t="s">
        <v>187</v>
      </c>
      <c r="G7" s="162" t="s">
        <v>360</v>
      </c>
      <c r="H7" s="162" t="s">
        <v>361</v>
      </c>
    </row>
    <row r="8" spans="1:8" x14ac:dyDescent="0.15">
      <c r="A8" s="105">
        <v>1455</v>
      </c>
      <c r="B8" s="138" t="str">
        <f>VLOOKUP(A8,[1]characters!$A:$C,3,FALSE)</f>
        <v>豪毅なる征獣師 ストレングス</v>
      </c>
      <c r="C8" s="105" t="s">
        <v>199</v>
      </c>
      <c r="D8" s="138" t="str">
        <f>A8&amp;C8</f>
        <v>1455cskill</v>
      </c>
      <c r="E8" s="138" t="str">
        <f>A8&amp;+(COUNTIF(A8:A$100,A8)-1)</f>
        <v>14552</v>
      </c>
      <c r="F8" s="105" t="s">
        <v>187</v>
      </c>
      <c r="G8" s="162" t="s">
        <v>197</v>
      </c>
      <c r="H8" s="162" t="s">
        <v>362</v>
      </c>
    </row>
    <row r="9" spans="1:8" x14ac:dyDescent="0.15">
      <c r="A9" s="105">
        <v>1455</v>
      </c>
      <c r="B9" s="138" t="str">
        <f>VLOOKUP(A9,[1]characters!$A:$C,3,FALSE)</f>
        <v>豪毅なる征獣師 ストレングス</v>
      </c>
      <c r="C9" s="105" t="s">
        <v>199</v>
      </c>
      <c r="D9" s="138" t="str">
        <f>A9&amp;C9</f>
        <v>1455cskill</v>
      </c>
      <c r="E9" s="138" t="str">
        <f>A9&amp;+(COUNTIF(A9:A$100,A9)-1)</f>
        <v>14551</v>
      </c>
      <c r="F9" s="105" t="s">
        <v>187</v>
      </c>
      <c r="G9" s="162" t="s">
        <v>197</v>
      </c>
      <c r="H9" s="162" t="s">
        <v>363</v>
      </c>
    </row>
    <row r="10" spans="1:8" x14ac:dyDescent="0.15">
      <c r="A10" s="105">
        <v>1455</v>
      </c>
      <c r="B10" s="138" t="str">
        <f>VLOOKUP(A10,[1]characters!$A:$C,3,FALSE)</f>
        <v>豪毅なる征獣師 ストレングス</v>
      </c>
      <c r="C10" s="105" t="s">
        <v>199</v>
      </c>
      <c r="D10" s="138" t="str">
        <f>A10&amp;C10</f>
        <v>1455cskill</v>
      </c>
      <c r="E10" s="138" t="str">
        <f>A10&amp;+(COUNTIF(A10:A$100,A10)-1)</f>
        <v>14550</v>
      </c>
      <c r="F10" s="105" t="s">
        <v>187</v>
      </c>
      <c r="G10" s="162" t="s">
        <v>197</v>
      </c>
      <c r="H10" s="162" t="s">
        <v>366</v>
      </c>
    </row>
    <row r="11" spans="1:8" x14ac:dyDescent="0.15">
      <c r="A11" s="105">
        <v>1456</v>
      </c>
      <c r="B11" s="138" t="str">
        <f>VLOOKUP(A11,[1]characters!$A:$C,3,FALSE)</f>
        <v>ネセバル</v>
      </c>
      <c r="C11" s="105" t="s">
        <v>196</v>
      </c>
      <c r="D11" s="138" t="str">
        <f t="shared" ref="D11" si="2">A11&amp;C11</f>
        <v>1456skill</v>
      </c>
      <c r="E11" s="138" t="str">
        <f>A11&amp;+(COUNTIF(A11:A$100,A11)-1)</f>
        <v>14563</v>
      </c>
      <c r="F11" s="105" t="s">
        <v>186</v>
      </c>
      <c r="G11" s="162" t="s">
        <v>197</v>
      </c>
      <c r="H11" s="162" t="s">
        <v>370</v>
      </c>
    </row>
    <row r="12" spans="1:8" x14ac:dyDescent="0.15">
      <c r="A12" s="105">
        <v>1456</v>
      </c>
      <c r="B12" s="138" t="str">
        <f>VLOOKUP(A12,[1]characters!$A:$C,3,FALSE)</f>
        <v>ネセバル</v>
      </c>
      <c r="C12" s="105" t="s">
        <v>199</v>
      </c>
      <c r="D12" s="138" t="str">
        <f>A12&amp;C12</f>
        <v>1456cskill</v>
      </c>
      <c r="E12" s="138" t="str">
        <f>A12&amp;+(COUNTIF(A12:A$100,A12)-1)</f>
        <v>14562</v>
      </c>
      <c r="F12" s="105" t="s">
        <v>186</v>
      </c>
      <c r="G12" s="162" t="s">
        <v>197</v>
      </c>
      <c r="H12" s="162" t="s">
        <v>367</v>
      </c>
    </row>
    <row r="13" spans="1:8" x14ac:dyDescent="0.15">
      <c r="A13" s="105">
        <v>1456</v>
      </c>
      <c r="B13" s="138" t="str">
        <f>VLOOKUP(A13,[1]characters!$A:$C,3,FALSE)</f>
        <v>ネセバル</v>
      </c>
      <c r="C13" s="105" t="s">
        <v>199</v>
      </c>
      <c r="D13" s="138" t="str">
        <f>A13&amp;C13</f>
        <v>1456cskill</v>
      </c>
      <c r="E13" s="138" t="str">
        <f>A13&amp;+(COUNTIF(A13:A$100,A13)-1)</f>
        <v>14561</v>
      </c>
      <c r="F13" s="105" t="s">
        <v>186</v>
      </c>
      <c r="G13" s="162" t="s">
        <v>197</v>
      </c>
      <c r="H13" s="162" t="s">
        <v>368</v>
      </c>
    </row>
    <row r="14" spans="1:8" x14ac:dyDescent="0.15">
      <c r="A14" s="105">
        <v>1456</v>
      </c>
      <c r="B14" s="138" t="str">
        <f>VLOOKUP(A14,[1]characters!$A:$C,3,FALSE)</f>
        <v>ネセバル</v>
      </c>
      <c r="C14" s="105" t="s">
        <v>199</v>
      </c>
      <c r="D14" s="138" t="str">
        <f>A14&amp;C14</f>
        <v>1456cskill</v>
      </c>
      <c r="E14" s="138" t="str">
        <f>A14&amp;+(COUNTIF(A14:A$100,A14)-1)</f>
        <v>14560</v>
      </c>
      <c r="F14" s="105" t="s">
        <v>186</v>
      </c>
      <c r="G14" s="162" t="s">
        <v>197</v>
      </c>
      <c r="H14" s="162" t="s">
        <v>369</v>
      </c>
    </row>
    <row r="15" spans="1:8" x14ac:dyDescent="0.15">
      <c r="A15" s="105">
        <v>1457</v>
      </c>
      <c r="B15" s="138" t="str">
        <f>VLOOKUP(A15,[1]characters!$A:$C,3,FALSE)</f>
        <v>碧影の聖跡 ネセバル</v>
      </c>
      <c r="C15" s="105" t="s">
        <v>196</v>
      </c>
      <c r="D15" s="138" t="str">
        <f t="shared" ref="D15" si="3">A15&amp;C15</f>
        <v>1457skill</v>
      </c>
      <c r="E15" s="138" t="str">
        <f>A15&amp;+(COUNTIF(A15:A$100,A15)-1)</f>
        <v>14574</v>
      </c>
      <c r="F15" s="105" t="s">
        <v>186</v>
      </c>
      <c r="G15" s="162" t="s">
        <v>197</v>
      </c>
      <c r="H15" s="162" t="s">
        <v>371</v>
      </c>
    </row>
    <row r="16" spans="1:8" x14ac:dyDescent="0.15">
      <c r="A16" s="105">
        <v>1457</v>
      </c>
      <c r="B16" s="138" t="str">
        <f>VLOOKUP(A16,[1]characters!$A:$C,3,FALSE)</f>
        <v>碧影の聖跡 ネセバル</v>
      </c>
      <c r="C16" s="105" t="s">
        <v>199</v>
      </c>
      <c r="D16" s="138" t="str">
        <f>A16&amp;C16</f>
        <v>1457cskill</v>
      </c>
      <c r="E16" s="138" t="str">
        <f>A16&amp;+(COUNTIF(A16:A$100,A16)-1)</f>
        <v>14573</v>
      </c>
      <c r="F16" s="105" t="s">
        <v>186</v>
      </c>
      <c r="G16" s="162" t="s">
        <v>197</v>
      </c>
      <c r="H16" s="162" t="s">
        <v>367</v>
      </c>
    </row>
    <row r="17" spans="1:8" x14ac:dyDescent="0.15">
      <c r="A17" s="105">
        <v>1457</v>
      </c>
      <c r="B17" s="138" t="str">
        <f>VLOOKUP(A17,[1]characters!$A:$C,3,FALSE)</f>
        <v>碧影の聖跡 ネセバル</v>
      </c>
      <c r="C17" s="105" t="s">
        <v>199</v>
      </c>
      <c r="D17" s="138" t="str">
        <f>A17&amp;C17</f>
        <v>1457cskill</v>
      </c>
      <c r="E17" s="138" t="str">
        <f>A17&amp;+(COUNTIF(A17:A$100,A17)-1)</f>
        <v>14572</v>
      </c>
      <c r="F17" s="105" t="s">
        <v>186</v>
      </c>
      <c r="G17" s="162" t="s">
        <v>197</v>
      </c>
      <c r="H17" s="162" t="s">
        <v>368</v>
      </c>
    </row>
    <row r="18" spans="1:8" x14ac:dyDescent="0.15">
      <c r="A18" s="105">
        <v>1457</v>
      </c>
      <c r="B18" s="138" t="str">
        <f>VLOOKUP(A18,[1]characters!$A:$C,3,FALSE)</f>
        <v>碧影の聖跡 ネセバル</v>
      </c>
      <c r="C18" s="105" t="s">
        <v>199</v>
      </c>
      <c r="D18" s="138" t="str">
        <f>A18&amp;C18</f>
        <v>1457cskill</v>
      </c>
      <c r="E18" s="138" t="str">
        <f>A18&amp;+(COUNTIF(A18:A$100,A18)-1)</f>
        <v>14571</v>
      </c>
      <c r="F18" s="105" t="s">
        <v>186</v>
      </c>
      <c r="G18" s="162" t="s">
        <v>197</v>
      </c>
      <c r="H18" s="162" t="s">
        <v>369</v>
      </c>
    </row>
    <row r="19" spans="1:8" x14ac:dyDescent="0.15">
      <c r="A19" s="105">
        <v>1457</v>
      </c>
      <c r="B19" s="138" t="str">
        <f>VLOOKUP(A19,[1]characters!$A:$C,3,FALSE)</f>
        <v>碧影の聖跡 ネセバル</v>
      </c>
      <c r="C19" s="105" t="s">
        <v>199</v>
      </c>
      <c r="D19" s="138" t="str">
        <f>A19&amp;C19</f>
        <v>1457cskill</v>
      </c>
      <c r="E19" s="138" t="str">
        <f>A19&amp;+(COUNTIF(A19:A$100,A19)-1)</f>
        <v>14570</v>
      </c>
      <c r="F19" s="105" t="s">
        <v>186</v>
      </c>
      <c r="G19" s="162" t="s">
        <v>197</v>
      </c>
      <c r="H19" s="162" t="s">
        <v>372</v>
      </c>
    </row>
  </sheetData>
  <phoneticPr fontId="22"/>
  <dataValidations count="2">
    <dataValidation type="list" allowBlank="1" showInputMessage="1" showErrorMessage="1" sqref="G2:G19">
      <formula1>"maru,giza,kumo"</formula1>
    </dataValidation>
    <dataValidation type="list" allowBlank="1" showInputMessage="1" showErrorMessage="1" sqref="C2:C19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3"/>
  <sheetViews>
    <sheetView showGridLines="0" workbookViewId="0">
      <pane xSplit="9" ySplit="1" topLeftCell="Q2" activePane="bottomRight" state="frozen"/>
      <selection pane="topRight" activeCell="J1" sqref="J1"/>
      <selection pane="bottomLeft" activeCell="A3" sqref="A3"/>
      <selection pane="bottomRight" activeCell="H12" sqref="H1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1454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ストレングス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animal</v>
      </c>
      <c r="K2" s="5" t="str">
        <f ca="1">VLOOKUP(J2,[1]character_tribe_i18n!$A:$H,3,FALSE)</f>
        <v>アニマル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1455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豪毅なる征獣師 ストレングス</v>
      </c>
      <c r="S2" s="5">
        <f ca="1">IF(ISNA(MATCH(A2,Q:Q,0)),A2,INDIRECT(ADDRESS(MATCH(A2,Q:Q,0),COLUMN())))</f>
        <v>1454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ストレングス</v>
      </c>
      <c r="U2" s="10">
        <f ca="1">IF(Q2="NULL","NULL",VLOOKUP(G2,[2]ビット!$A$2:$B$7,2))</f>
        <v>200000</v>
      </c>
    </row>
    <row r="3" spans="1:21" ht="21" customHeight="1" x14ac:dyDescent="0.15">
      <c r="A3" s="191">
        <v>1456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ネセバル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PremiumSSw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unknown</v>
      </c>
      <c r="K3" s="5" t="str">
        <f ca="1">VLOOKUP(J3,[1]character_tribe_i18n!$A:$H,3,FALSE)</f>
        <v>Unknown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1457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碧影の聖跡 ネセバル</v>
      </c>
      <c r="S3" s="5">
        <f ca="1">IF(ISNA(MATCH(A3,Q:Q,0)),A3,INDIRECT(ADDRESS(MATCH(A3,Q:Q,0),COLUMN())))</f>
        <v>1456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ネセバル</v>
      </c>
      <c r="U3" s="10">
        <f ca="1">IF(Q3="NULL","NULL",VLOOKUP(G3,[2]ビット!$A$2:$B$7,2))</f>
        <v>200000</v>
      </c>
    </row>
  </sheetData>
  <autoFilter ref="A1:U2"/>
  <phoneticPr fontId="22"/>
  <conditionalFormatting sqref="W1:W2 W4:W1048576">
    <cfRule type="cellIs" dxfId="25" priority="7" operator="equal">
      <formula>"FALSE"</formula>
    </cfRule>
  </conditionalFormatting>
  <conditionalFormatting sqref="W3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9"/>
  <sheetViews>
    <sheetView showGridLines="0" topLeftCell="B1" workbookViewId="0">
      <pane ySplit="1" topLeftCell="A2" activePane="bottomLeft" state="frozen"/>
      <selection pane="bottomLeft" activeCell="I9" sqref="I9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 t="shared" ref="A2:A9" si="0">B2&amp;"_"&amp;I2</f>
        <v>1454_102</v>
      </c>
      <c r="B2" s="195">
        <v>1454</v>
      </c>
      <c r="C2" s="178">
        <f t="shared" ref="C2:C9" si="1">B2</f>
        <v>1454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ストレングス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PremiumSSS</v>
      </c>
      <c r="G2" s="195">
        <v>1455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豪毅なる征獣師 ストレングス</v>
      </c>
      <c r="I2" s="194">
        <v>102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レッドラビット</v>
      </c>
      <c r="K2" s="192">
        <v>1</v>
      </c>
      <c r="L2" s="193">
        <v>1</v>
      </c>
      <c r="M2" s="193">
        <v>10</v>
      </c>
      <c r="N2" s="2" t="s">
        <v>291</v>
      </c>
    </row>
    <row r="3" spans="1:14" ht="21" customHeight="1" x14ac:dyDescent="0.15">
      <c r="A3" s="61" t="str">
        <f t="shared" si="0"/>
        <v>1454_103</v>
      </c>
      <c r="B3" s="195">
        <v>1454</v>
      </c>
      <c r="C3" s="178">
        <f t="shared" si="1"/>
        <v>1454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ストレングス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PremiumSSS</v>
      </c>
      <c r="G3" s="195">
        <v>1455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豪毅なる征獣師 ストレングス</v>
      </c>
      <c r="I3" s="194">
        <v>103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レッドキャタップ</v>
      </c>
      <c r="K3" s="192">
        <v>1</v>
      </c>
      <c r="L3" s="193">
        <v>1</v>
      </c>
      <c r="M3" s="193">
        <v>10</v>
      </c>
      <c r="N3" s="2" t="s">
        <v>291</v>
      </c>
    </row>
    <row r="4" spans="1:14" ht="21" customHeight="1" x14ac:dyDescent="0.15">
      <c r="A4" s="61" t="str">
        <f t="shared" si="0"/>
        <v>1454_356</v>
      </c>
      <c r="B4" s="195">
        <v>1454</v>
      </c>
      <c r="C4" s="178">
        <f t="shared" si="1"/>
        <v>1454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ストレングス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PremiumSSS</v>
      </c>
      <c r="G4" s="195">
        <v>1455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豪毅なる征獣師 ストレングス</v>
      </c>
      <c r="I4" s="194">
        <v>356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炎上のドードー</v>
      </c>
      <c r="K4" s="192">
        <v>1</v>
      </c>
      <c r="L4" s="193">
        <v>1</v>
      </c>
      <c r="M4" s="193">
        <v>10</v>
      </c>
      <c r="N4" s="2" t="s">
        <v>291</v>
      </c>
    </row>
    <row r="5" spans="1:14" ht="21" customHeight="1" x14ac:dyDescent="0.15">
      <c r="A5" s="61" t="str">
        <f t="shared" si="0"/>
        <v>1454_837</v>
      </c>
      <c r="B5" s="195">
        <v>1454</v>
      </c>
      <c r="C5" s="178">
        <f t="shared" si="1"/>
        <v>1454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ストレングス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PremiumSSS</v>
      </c>
      <c r="G5" s="195">
        <v>1455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豪毅なる征獣師 ストレングス</v>
      </c>
      <c r="I5" s="194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2">
        <v>1</v>
      </c>
      <c r="L5" s="193">
        <v>1</v>
      </c>
      <c r="M5" s="193">
        <v>1000</v>
      </c>
      <c r="N5" s="2" t="s">
        <v>291</v>
      </c>
    </row>
    <row r="6" spans="1:14" ht="21" customHeight="1" x14ac:dyDescent="0.15">
      <c r="A6" s="61" t="str">
        <f t="shared" si="0"/>
        <v>1456_110</v>
      </c>
      <c r="B6" s="195">
        <v>1456</v>
      </c>
      <c r="C6" s="178">
        <f t="shared" si="1"/>
        <v>1456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ネセバル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PremiumSSw</v>
      </c>
      <c r="G6" s="195">
        <v>1457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碧影の聖跡 ネセバル</v>
      </c>
      <c r="I6" s="194">
        <v>110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ブルーラビット</v>
      </c>
      <c r="K6" s="192">
        <v>1</v>
      </c>
      <c r="L6" s="193">
        <v>1</v>
      </c>
      <c r="M6" s="193">
        <v>10</v>
      </c>
      <c r="N6" s="2" t="s">
        <v>291</v>
      </c>
    </row>
    <row r="7" spans="1:14" ht="21" customHeight="1" x14ac:dyDescent="0.15">
      <c r="A7" s="61" t="str">
        <f t="shared" si="0"/>
        <v>1456_111</v>
      </c>
      <c r="B7" s="195">
        <v>1456</v>
      </c>
      <c r="C7" s="178">
        <f t="shared" si="1"/>
        <v>1456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ネセバル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PremiumSSw</v>
      </c>
      <c r="G7" s="195">
        <v>1457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碧影の聖跡 ネセバル</v>
      </c>
      <c r="I7" s="194">
        <v>111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ブルーキャタップ</v>
      </c>
      <c r="K7" s="192">
        <v>1</v>
      </c>
      <c r="L7" s="193">
        <v>1</v>
      </c>
      <c r="M7" s="193">
        <v>10</v>
      </c>
      <c r="N7" s="2" t="s">
        <v>291</v>
      </c>
    </row>
    <row r="8" spans="1:14" ht="21" customHeight="1" x14ac:dyDescent="0.15">
      <c r="A8" s="61" t="str">
        <f t="shared" si="0"/>
        <v>1456_112</v>
      </c>
      <c r="B8" s="195">
        <v>1456</v>
      </c>
      <c r="C8" s="178">
        <f t="shared" si="1"/>
        <v>1456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ネセバル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PremiumSSw</v>
      </c>
      <c r="G8" s="195">
        <v>1457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碧影の聖跡 ネセバル</v>
      </c>
      <c r="I8" s="194">
        <v>112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水のマッドハッター</v>
      </c>
      <c r="K8" s="192">
        <v>1</v>
      </c>
      <c r="L8" s="193">
        <v>1</v>
      </c>
      <c r="M8" s="193">
        <v>10</v>
      </c>
      <c r="N8" s="2" t="s">
        <v>291</v>
      </c>
    </row>
    <row r="9" spans="1:14" ht="21" customHeight="1" x14ac:dyDescent="0.15">
      <c r="A9" s="61" t="str">
        <f t="shared" si="0"/>
        <v>1456_837</v>
      </c>
      <c r="B9" s="195">
        <v>1456</v>
      </c>
      <c r="C9" s="178">
        <f t="shared" si="1"/>
        <v>1456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ネセバル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PremiumSSw</v>
      </c>
      <c r="G9" s="195">
        <v>1457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碧影の聖跡 ネセバル</v>
      </c>
      <c r="I9" s="194">
        <v>837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リトルハンプティ</v>
      </c>
      <c r="K9" s="192">
        <v>1</v>
      </c>
      <c r="L9" s="193">
        <v>1</v>
      </c>
      <c r="M9" s="193">
        <v>1000</v>
      </c>
      <c r="N9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sqref="A1:J1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5"/>
  <sheetViews>
    <sheetView workbookViewId="0">
      <selection activeCell="D4" sqref="D4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1455</v>
      </c>
      <c r="B2" s="172" t="str">
        <f>VLOOKUP(A2,[1]characters!$A:$C,3)</f>
        <v>豪毅なる征獣師 ストレングス</v>
      </c>
      <c r="C2" s="196">
        <v>1</v>
      </c>
      <c r="D2" s="196">
        <v>109</v>
      </c>
      <c r="E2" s="173" t="str">
        <f>IF(ISERROR(VLOOKUP(D2,[3]abilities!A:D,3,FALSE))=FALSE,VLOOKUP(D2,[3]abilities!A:D,3),IF(ISERROR(VLOOKUP(D2,abilities!A:D,3,FALSE))=FALSE,VLOOKUP(D2,abilities!A:D,3),"なし"))</f>
        <v>ダメージパネルブレイク</v>
      </c>
      <c r="F2" s="173" t="str">
        <f>IF(ISERROR(VLOOKUP(D2,[3]abilities!A:D,4,FALSE))=FALSE,VLOOKUP(D2,[3]abilities!A:D,4),IF(ISERROR(VLOOKUP(D2,abilities!A:D,4,FALSE))=FALSE,VLOOKUP(D2,abilities!A:D,4),"なし"))</f>
        <v>自身が先頭の時、ダメージを受けずにダメージパネルを破壊できる</v>
      </c>
      <c r="G2" s="174" t="s">
        <v>275</v>
      </c>
      <c r="H2" s="197" t="s">
        <v>342</v>
      </c>
    </row>
    <row r="3" spans="1:8" s="4" customFormat="1" ht="21" customHeight="1" x14ac:dyDescent="0.15">
      <c r="A3" s="169">
        <v>1455</v>
      </c>
      <c r="B3" s="172" t="str">
        <f>VLOOKUP(A3,[1]characters!$A:$C,3)</f>
        <v>豪毅なる征獣師 ストレングス</v>
      </c>
      <c r="C3" s="196">
        <v>2</v>
      </c>
      <c r="D3" s="196">
        <v>3000</v>
      </c>
      <c r="E3" s="173" t="str">
        <f>IF(ISERROR(VLOOKUP(D3,[3]abilities!A:D,3,FALSE))=FALSE,VLOOKUP(D3,[3]abilities!A:D,3),IF(ISERROR(VLOOKUP(D3,abilities!A:D,3,FALSE))=FALSE,VLOOKUP(D3,abilities!A:D,3),"なし"))</f>
        <v>攻撃参加</v>
      </c>
      <c r="F3" s="173" t="str">
        <f>IF(ISERROR(VLOOKUP(D3,[3]abilities!A:D,4,FALSE))=FALSE,VLOOKUP(D3,[3]abilities!A:D,4),IF(ISERROR(VLOOKUP(D3,abilities!A:D,4,FALSE))=FALSE,VLOOKUP(D3,abilities!A:D,4),"なし"))</f>
        <v>最初の1ターン目と、その後7ターン毎に自身が先頭以外でも通常攻撃に参加する</v>
      </c>
      <c r="G3" s="174" t="s">
        <v>275</v>
      </c>
      <c r="H3" s="197" t="s">
        <v>342</v>
      </c>
    </row>
    <row r="4" spans="1:8" s="4" customFormat="1" ht="21" customHeight="1" x14ac:dyDescent="0.15">
      <c r="A4" s="169">
        <v>1457</v>
      </c>
      <c r="B4" s="172" t="str">
        <f>VLOOKUP(A4,[1]characters!$A:$C,3)</f>
        <v>碧影の聖跡 ネセバル</v>
      </c>
      <c r="C4" s="196">
        <v>1</v>
      </c>
      <c r="D4" s="196">
        <v>103</v>
      </c>
      <c r="E4" s="173" t="str">
        <f>IF(ISERROR(VLOOKUP(D4,[3]abilities!A:D,3,FALSE))=FALSE,VLOOKUP(D4,[3]abilities!A:D,3),IF(ISERROR(VLOOKUP(D4,abilities!A:D,3,FALSE))=FALSE,VLOOKUP(D4,abilities!A:D,3),"なし"))</f>
        <v>お邪魔ブレイク</v>
      </c>
      <c r="F4" s="173" t="str">
        <f>IF(ISERROR(VLOOKUP(D4,[3]abilities!A:D,4,FALSE))=FALSE,VLOOKUP(D4,[3]abilities!A:D,4),IF(ISERROR(VLOOKUP(D4,abilities!A:D,4,FALSE))=FALSE,VLOOKUP(D4,abilities!A:D,4),"なし"))</f>
        <v>自身が先頭の時、お邪魔パネルを破壊できる</v>
      </c>
      <c r="G4" s="174" t="s">
        <v>275</v>
      </c>
      <c r="H4" s="197" t="s">
        <v>342</v>
      </c>
    </row>
    <row r="5" spans="1:8" s="4" customFormat="1" ht="21" customHeight="1" x14ac:dyDescent="0.15">
      <c r="A5" s="169">
        <v>1457</v>
      </c>
      <c r="B5" s="172" t="str">
        <f>VLOOKUP(A5,[1]characters!$A:$C,3)</f>
        <v>碧影の聖跡 ネセバル</v>
      </c>
      <c r="C5" s="196">
        <v>2</v>
      </c>
      <c r="D5" s="196">
        <v>3002</v>
      </c>
      <c r="E5" s="173" t="str">
        <f>IF(ISERROR(VLOOKUP(D5,[3]abilities!A:D,3,FALSE))=FALSE,VLOOKUP(D5,[3]abilities!A:D,3),IF(ISERROR(VLOOKUP(D5,abilities!A:D,3,FALSE))=FALSE,VLOOKUP(D5,abilities!A:D,3),"なし"))</f>
        <v>攻撃参加</v>
      </c>
      <c r="F5" s="173" t="str">
        <f>IF(ISERROR(VLOOKUP(D5,[3]abilities!A:D,4,FALSE))=FALSE,VLOOKUP(D5,[3]abilities!A:D,4),IF(ISERROR(VLOOKUP(D5,abilities!A:D,4,FALSE))=FALSE,VLOOKUP(D5,abilities!A:D,4),"なし"))</f>
        <v>最初の1ターン目と、その後9ターン毎に自身が先頭以外でも通常攻撃に参加する</v>
      </c>
      <c r="G5" s="174" t="s">
        <v>275</v>
      </c>
      <c r="H5" s="197" t="s">
        <v>342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235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236</v>
      </c>
      <c r="B2" s="142"/>
      <c r="C2" s="143"/>
      <c r="D2" s="144" t="s">
        <v>237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238</v>
      </c>
      <c r="B3" s="145"/>
      <c r="C3" s="146"/>
      <c r="D3" s="147" t="s">
        <v>237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239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242</v>
      </c>
      <c r="B7" s="43" t="s">
        <v>11</v>
      </c>
      <c r="C7" s="43" t="s">
        <v>11</v>
      </c>
      <c r="D7" s="37" t="s">
        <v>237</v>
      </c>
      <c r="E7" s="37" t="s">
        <v>237</v>
      </c>
      <c r="F7" s="37" t="s">
        <v>237</v>
      </c>
      <c r="G7" s="37" t="s">
        <v>237</v>
      </c>
      <c r="H7" s="37" t="s">
        <v>237</v>
      </c>
      <c r="I7" s="37" t="s">
        <v>237</v>
      </c>
    </row>
    <row r="8" spans="1:9" ht="21" customHeight="1" x14ac:dyDescent="0.15">
      <c r="A8" s="71" t="s">
        <v>243</v>
      </c>
      <c r="B8" s="43" t="s">
        <v>11</v>
      </c>
      <c r="C8" s="43" t="s">
        <v>11</v>
      </c>
      <c r="D8" s="37" t="s">
        <v>237</v>
      </c>
      <c r="E8" s="37">
        <v>30</v>
      </c>
      <c r="F8" s="37">
        <v>40</v>
      </c>
      <c r="G8" s="37">
        <f>15+F8</f>
        <v>55</v>
      </c>
      <c r="H8" s="37" t="s">
        <v>237</v>
      </c>
      <c r="I8" s="37" t="s">
        <v>237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244</v>
      </c>
      <c r="B10" s="26" t="s">
        <v>11</v>
      </c>
      <c r="C10" s="26" t="s">
        <v>11</v>
      </c>
      <c r="D10" s="102" t="s">
        <v>237</v>
      </c>
      <c r="E10" s="102">
        <v>25</v>
      </c>
      <c r="F10" s="102">
        <v>35</v>
      </c>
      <c r="G10" s="37">
        <f t="shared" ref="G10:G11" si="1">15+F10</f>
        <v>50</v>
      </c>
      <c r="H10" s="102" t="s">
        <v>237</v>
      </c>
      <c r="I10" s="102" t="s">
        <v>237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245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246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247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248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249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250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251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252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236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238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232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243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211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207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247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248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217</v>
      </c>
      <c r="F19" s="67" t="s">
        <v>217</v>
      </c>
      <c r="G19" s="67" t="s">
        <v>217</v>
      </c>
      <c r="H19" s="67" t="s">
        <v>217</v>
      </c>
      <c r="I19" s="67" t="s">
        <v>217</v>
      </c>
    </row>
    <row r="20" spans="1:9" ht="21" customHeight="1" x14ac:dyDescent="0.15">
      <c r="A20" s="74" t="s">
        <v>251</v>
      </c>
      <c r="B20" s="34">
        <v>10</v>
      </c>
      <c r="C20" s="34">
        <v>20</v>
      </c>
      <c r="D20" s="67" t="s">
        <v>217</v>
      </c>
      <c r="E20" s="67" t="s">
        <v>217</v>
      </c>
      <c r="F20" s="67" t="s">
        <v>217</v>
      </c>
      <c r="G20" s="67" t="s">
        <v>217</v>
      </c>
      <c r="H20" s="67" t="s">
        <v>217</v>
      </c>
      <c r="I20" s="67" t="s">
        <v>217</v>
      </c>
    </row>
    <row r="21" spans="1:9" ht="21" customHeight="1" x14ac:dyDescent="0.15">
      <c r="A21" s="35" t="s">
        <v>252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236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253</v>
      </c>
      <c r="H2" s="143"/>
      <c r="I2" s="143"/>
    </row>
    <row r="3" spans="1:11" s="4" customFormat="1" ht="21" customHeight="1" x14ac:dyDescent="0.15">
      <c r="A3" s="141" t="s">
        <v>238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231</v>
      </c>
      <c r="H3" s="146"/>
      <c r="I3" s="146"/>
    </row>
    <row r="4" spans="1:11" s="4" customFormat="1" ht="21" customHeight="1" x14ac:dyDescent="0.15">
      <c r="A4" s="141" t="s">
        <v>232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231</v>
      </c>
      <c r="H4" s="149"/>
      <c r="I4" s="149"/>
    </row>
    <row r="5" spans="1:11" s="4" customFormat="1" ht="21" customHeight="1" x14ac:dyDescent="0.15">
      <c r="A5" s="160" t="s">
        <v>240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221</v>
      </c>
      <c r="H5" s="156"/>
      <c r="I5" s="156"/>
    </row>
    <row r="6" spans="1:11" s="4" customFormat="1" ht="21" customHeight="1" x14ac:dyDescent="0.15">
      <c r="A6" s="160" t="s">
        <v>241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243</v>
      </c>
      <c r="B8" s="38" t="s">
        <v>109</v>
      </c>
      <c r="C8" s="38" t="s">
        <v>109</v>
      </c>
      <c r="D8" s="38" t="s">
        <v>218</v>
      </c>
      <c r="E8" s="48" t="s">
        <v>115</v>
      </c>
      <c r="F8" s="48" t="s">
        <v>115</v>
      </c>
      <c r="G8" s="48" t="s">
        <v>219</v>
      </c>
      <c r="H8" s="38" t="s">
        <v>218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220</v>
      </c>
      <c r="I10" s="62" t="s">
        <v>220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221</v>
      </c>
      <c r="H11" s="67" t="s">
        <v>220</v>
      </c>
      <c r="I11" s="67" t="s">
        <v>220</v>
      </c>
      <c r="K11" s="25" t="s">
        <v>12</v>
      </c>
    </row>
    <row r="12" spans="1:11" ht="21" customHeight="1" x14ac:dyDescent="0.15">
      <c r="A12" s="72" t="s">
        <v>211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221</v>
      </c>
      <c r="H12" s="67" t="s">
        <v>220</v>
      </c>
      <c r="I12" s="67" t="s">
        <v>220</v>
      </c>
      <c r="K12" s="27" t="s">
        <v>13</v>
      </c>
    </row>
    <row r="13" spans="1:11" ht="21" customHeight="1" x14ac:dyDescent="0.15">
      <c r="A13" s="72" t="s">
        <v>207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247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248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251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252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229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230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232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233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234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208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209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210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211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212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213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214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215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216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319</v>
      </c>
      <c r="B1" t="s">
        <v>320</v>
      </c>
    </row>
    <row r="2" spans="1:2" x14ac:dyDescent="0.15">
      <c r="A2" t="s">
        <v>321</v>
      </c>
      <c r="B2">
        <v>1</v>
      </c>
    </row>
    <row r="3" spans="1:2" x14ac:dyDescent="0.15">
      <c r="A3" t="s">
        <v>322</v>
      </c>
      <c r="B3">
        <v>1</v>
      </c>
    </row>
    <row r="4" spans="1:2" x14ac:dyDescent="0.15">
      <c r="A4" t="s">
        <v>323</v>
      </c>
      <c r="B4">
        <v>1</v>
      </c>
    </row>
    <row r="5" spans="1:2" x14ac:dyDescent="0.15">
      <c r="A5" t="s">
        <v>324</v>
      </c>
      <c r="B5">
        <v>1</v>
      </c>
    </row>
    <row r="6" spans="1:2" x14ac:dyDescent="0.15">
      <c r="A6" t="s">
        <v>325</v>
      </c>
      <c r="B6">
        <v>1</v>
      </c>
    </row>
    <row r="7" spans="1:2" x14ac:dyDescent="0.15">
      <c r="A7" t="s">
        <v>326</v>
      </c>
      <c r="B7">
        <v>1</v>
      </c>
    </row>
    <row r="8" spans="1:2" x14ac:dyDescent="0.15">
      <c r="A8" t="s">
        <v>327</v>
      </c>
      <c r="B8">
        <v>1</v>
      </c>
    </row>
    <row r="9" spans="1:2" x14ac:dyDescent="0.15">
      <c r="A9" t="s">
        <v>328</v>
      </c>
      <c r="B9">
        <v>1</v>
      </c>
    </row>
    <row r="10" spans="1:2" x14ac:dyDescent="0.15">
      <c r="A10" t="s">
        <v>329</v>
      </c>
      <c r="B10">
        <v>1</v>
      </c>
    </row>
    <row r="11" spans="1:2" x14ac:dyDescent="0.15">
      <c r="A11" t="s">
        <v>330</v>
      </c>
      <c r="B11">
        <v>1</v>
      </c>
    </row>
    <row r="12" spans="1:2" x14ac:dyDescent="0.15">
      <c r="A12" t="s">
        <v>331</v>
      </c>
      <c r="B12">
        <v>1</v>
      </c>
    </row>
    <row r="13" spans="1:2" x14ac:dyDescent="0.15">
      <c r="A13" t="s">
        <v>332</v>
      </c>
      <c r="B13">
        <v>0</v>
      </c>
    </row>
    <row r="14" spans="1:2" x14ac:dyDescent="0.15">
      <c r="A14" t="s">
        <v>333</v>
      </c>
      <c r="B14">
        <v>500</v>
      </c>
    </row>
    <row r="15" spans="1:2" x14ac:dyDescent="0.15">
      <c r="A15" t="s">
        <v>334</v>
      </c>
      <c r="B15">
        <v>600</v>
      </c>
    </row>
    <row r="16" spans="1:2" x14ac:dyDescent="0.15">
      <c r="A16" t="s">
        <v>335</v>
      </c>
      <c r="B16">
        <v>700</v>
      </c>
    </row>
    <row r="17" spans="1:2" x14ac:dyDescent="0.15">
      <c r="A17" t="s">
        <v>336</v>
      </c>
      <c r="B17">
        <v>5500</v>
      </c>
    </row>
    <row r="18" spans="1:2" x14ac:dyDescent="0.15">
      <c r="A18" t="s">
        <v>337</v>
      </c>
      <c r="B18">
        <v>6000</v>
      </c>
    </row>
    <row r="19" spans="1:2" x14ac:dyDescent="0.15">
      <c r="A19" t="s">
        <v>338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1">
        <v>591</v>
      </c>
    </row>
    <row r="3" spans="1:4" x14ac:dyDescent="0.15">
      <c r="A3" t="s">
        <v>201</v>
      </c>
      <c r="B3" s="128">
        <v>592</v>
      </c>
    </row>
    <row r="4" spans="1:4" x14ac:dyDescent="0.15">
      <c r="A4" t="s">
        <v>202</v>
      </c>
      <c r="B4" s="128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2017-06-06T08:28:14Z</dcterms:modified>
</cp:coreProperties>
</file>