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wagaki/BULL_data/master_excel/"/>
    </mc:Choice>
  </mc:AlternateContent>
  <bookViews>
    <workbookView xWindow="1380" yWindow="2340" windowWidth="24400" windowHeight="14860" tabRatio="963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23" l="1"/>
  <c r="BR2" i="23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B2" i="23"/>
  <c r="C2" i="23"/>
  <c r="D2" i="23"/>
  <c r="E2" i="23"/>
  <c r="F2" i="23"/>
  <c r="G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G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4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G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8" i="23"/>
  <c r="C8" i="23"/>
  <c r="D8" i="23"/>
  <c r="E8" i="23"/>
  <c r="F8" i="23"/>
  <c r="G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B9" i="23"/>
  <c r="C9" i="23"/>
  <c r="D9" i="23"/>
  <c r="E9" i="23"/>
  <c r="F9" i="23"/>
  <c r="G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G5" i="13"/>
  <c r="G4" i="13"/>
  <c r="G3" i="13"/>
  <c r="G2" i="13"/>
  <c r="B15" i="55"/>
  <c r="C15" i="55"/>
  <c r="D15" i="55"/>
  <c r="B16" i="55"/>
  <c r="C16" i="55"/>
  <c r="D16" i="55"/>
  <c r="D14" i="55"/>
  <c r="C14" i="55"/>
  <c r="B14" i="55"/>
  <c r="A21" i="55"/>
  <c r="G11" i="13"/>
  <c r="G10" i="13"/>
  <c r="G9" i="13"/>
  <c r="G8" i="13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3" i="54"/>
  <c r="D2" i="54"/>
  <c r="E3" i="54"/>
  <c r="B3" i="54"/>
  <c r="E2" i="54"/>
  <c r="B2" i="54"/>
  <c r="G2" i="3"/>
  <c r="C2" i="3"/>
  <c r="E8" i="49"/>
  <c r="E7" i="49"/>
  <c r="E6" i="49"/>
  <c r="E5" i="49"/>
  <c r="E9" i="49"/>
  <c r="E10" i="49"/>
  <c r="E3" i="49"/>
  <c r="E4" i="49"/>
  <c r="E2" i="49"/>
  <c r="E2" i="3"/>
  <c r="D2" i="3"/>
</calcChain>
</file>

<file path=xl/sharedStrings.xml><?xml version="1.0" encoding="utf-8"?>
<sst xmlns="http://schemas.openxmlformats.org/spreadsheetml/2006/main" count="729" uniqueCount="282">
  <si>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</si>
  <si>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</si>
  <si>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</si>
  <si>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</si>
  <si>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</si>
  <si>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</si>
  <si>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</si>
  <si>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</si>
  <si>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</si>
  <si>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</si>
  <si>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</si>
  <si>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</si>
  <si>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</si>
  <si>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</si>
  <si>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</si>
  <si>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</si>
  <si>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</si>
  <si>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</si>
  <si>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</si>
  <si>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</si>
  <si>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</si>
  <si>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</si>
  <si>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</si>
  <si>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</si>
  <si>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</si>
  <si>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</si>
  <si>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</si>
  <si>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</si>
  <si>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</si>
  <si>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</si>
  <si>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</si>
  <si>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</si>
  <si>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</si>
  <si>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</si>
  <si>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</si>
  <si>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</si>
  <si>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</si>
  <si>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</si>
  <si>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</si>
  <si>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</si>
  <si>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</si>
  <si>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</si>
  <si>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</si>
  <si>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</si>
  <si>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</si>
  <si>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</si>
  <si>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</si>
  <si>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</si>
  <si>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</si>
  <si>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</si>
  <si>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</si>
  <si>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</si>
  <si>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</si>
  <si>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</si>
  <si>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</si>
  <si>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</si>
  <si>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</si>
  <si>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</si>
  <si>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</si>
  <si>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</si>
  <si>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</si>
  <si>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</si>
  <si>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</si>
  <si>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</si>
  <si>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</si>
  <si>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</si>
  <si>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</si>
  <si>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</si>
  <si>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</si>
  <si>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</si>
  <si>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</si>
  <si>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</si>
  <si>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</si>
  <si>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</si>
  <si>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</si>
  <si>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</si>
  <si>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</si>
  <si>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</si>
  <si>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</si>
  <si>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</si>
  <si>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</si>
  <si>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</si>
  <si>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</si>
  <si>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</si>
  <si>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</si>
  <si>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</si>
  <si>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</si>
  <si>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</si>
  <si>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</si>
  <si>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</si>
  <si>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</si>
  <si>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</si>
  <si>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</si>
  <si>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</si>
  <si>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</si>
  <si>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</si>
  <si>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</si>
  <si>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</si>
  <si>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</si>
  <si>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</si>
  <si>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</si>
  <si>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</si>
  <si>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</si>
  <si>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</si>
  <si>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</si>
  <si>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</si>
  <si>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</si>
  <si>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</si>
  <si>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</si>
  <si>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</si>
  <si>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</si>
  <si>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</si>
  <si>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</si>
  <si>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</si>
  <si>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</si>
  <si>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</si>
  <si>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</si>
  <si>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</si>
  <si>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</si>
  <si>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</si>
  <si>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</si>
  <si>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</si>
  <si>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</si>
  <si>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</si>
  <si>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</si>
  <si>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</si>
  <si>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</si>
  <si>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</si>
  <si>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</si>
  <si>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</si>
  <si>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</si>
  <si>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</si>
  <si>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</si>
  <si>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</si>
  <si>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</si>
  <si>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</si>
  <si>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</si>
  <si>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</si>
  <si>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</si>
  <si>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</si>
  <si>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</si>
  <si>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</si>
  <si>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</si>
  <si>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</si>
  <si>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</si>
  <si>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</si>
  <si>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</si>
  <si>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</si>
  <si>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</si>
  <si>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</si>
  <si>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</si>
  <si>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</si>
  <si>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</si>
  <si>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</si>
  <si>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</si>
  <si>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</si>
  <si>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</si>
  <si>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</si>
  <si>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</si>
  <si>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</si>
  <si>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</si>
  <si>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</si>
  <si>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</si>
  <si>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</si>
  <si>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</si>
  <si>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</si>
  <si>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</si>
  <si>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</si>
  <si>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</si>
  <si>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</si>
  <si>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</si>
  <si>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</si>
  <si>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</si>
  <si>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</si>
  <si>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</si>
  <si>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</si>
  <si>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</si>
  <si>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</si>
  <si>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</si>
  <si>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</si>
  <si>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</si>
  <si>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</si>
  <si>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</si>
  <si>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</si>
  <si>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</si>
  <si>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</si>
  <si>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</si>
  <si>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</si>
  <si>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</si>
  <si>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</si>
  <si>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</si>
  <si>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</si>
  <si>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</si>
  <si>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</si>
  <si>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</si>
  <si>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</si>
  <si>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</si>
  <si>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</si>
  <si>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</si>
  <si>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</si>
  <si>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</si>
  <si>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</si>
  <si>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</si>
  <si>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あああ</t>
    <phoneticPr fontId="22"/>
  </si>
  <si>
    <t>cskill</t>
  </si>
  <si>
    <t>いいい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</si>
  <si>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</si>
  <si>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</si>
  <si>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</si>
  <si>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</si>
  <si>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</si>
  <si>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</si>
  <si>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</si>
  <si>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</si>
  <si>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</si>
  <si>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</si>
  <si>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</si>
  <si>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</si>
  <si>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</si>
  <si>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</si>
  <si>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</si>
  <si>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</si>
  <si>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</si>
  <si>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</si>
  <si>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</si>
  <si>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</si>
  <si>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</si>
  <si>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</si>
  <si>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</si>
  <si>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</si>
  <si>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</si>
  <si>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</si>
  <si>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</si>
  <si>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</si>
  <si>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</si>
  <si>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</si>
  <si>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</si>
  <si>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</si>
  <si>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</si>
  <si>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</si>
  <si>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</si>
  <si>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</si>
  <si>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</si>
  <si>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</si>
  <si>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</si>
  <si>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</si>
  <si>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-</t>
    <phoneticPr fontId="9"/>
  </si>
  <si>
    <t>DropWizS</t>
    <phoneticPr fontId="9"/>
  </si>
  <si>
    <t>DropWizSSS</t>
    <phoneticPr fontId="9"/>
  </si>
  <si>
    <t>DropWizSS</t>
    <phoneticPr fontId="9"/>
  </si>
  <si>
    <t>DropWizS</t>
    <phoneticPr fontId="9"/>
  </si>
  <si>
    <t>required_exp_250</t>
    <phoneticPr fontId="9"/>
  </si>
  <si>
    <t>DropWizS</t>
    <phoneticPr fontId="9"/>
  </si>
  <si>
    <t>DropN</t>
    <phoneticPr fontId="9"/>
  </si>
  <si>
    <t>DropW</t>
    <phoneticPr fontId="9"/>
  </si>
  <si>
    <t>DropWizN</t>
    <phoneticPr fontId="9"/>
  </si>
  <si>
    <t>DropWizW</t>
    <phoneticPr fontId="9"/>
  </si>
  <si>
    <t>old</t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</si>
  <si>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</si>
  <si>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</si>
  <si>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</si>
  <si>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</si>
  <si>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</si>
  <si>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</si>
  <si>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</si>
  <si>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</si>
  <si>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</si>
  <si>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</si>
  <si>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</si>
  <si>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</si>
  <si>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</si>
  <si>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</si>
  <si>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</si>
  <si>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</si>
  <si>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</si>
  <si>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</si>
  <si>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</si>
  <si>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</si>
  <si>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</si>
  <si>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</si>
  <si>
    <t>hindo01</t>
    <phoneticPr fontId="22"/>
  </si>
  <si>
    <t>templete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</si>
</sst>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2"/>
      <color indexed="206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6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64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0" fillId="24" borderId="4" xfId="0" applyFill="1" applyBorder="1"/>
    <xf numFmtId="0" fontId="0" fillId="24" borderId="0" xfId="0" applyFill="1"/>
    <xf numFmtId="0" fontId="26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</cellXfs>
  <cellStyles count="456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赤字強調" xfId="4"/>
    <cellStyle name="青字強調" xfId="3"/>
  </cellStyles>
  <dxfs count="26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</row>
        <row r="1426">
          <cell r="A1426">
            <v>8035</v>
          </cell>
          <cell r="B1426" t="str">
            <v>ja</v>
          </cell>
          <cell r="C1426" t="str">
            <v>嫦娥</v>
          </cell>
        </row>
        <row r="1427">
          <cell r="A1427">
            <v>8036</v>
          </cell>
          <cell r="B1427" t="str">
            <v>ja</v>
          </cell>
          <cell r="C1427" t="str">
            <v>嫦娥</v>
          </cell>
        </row>
        <row r="1428">
          <cell r="A1428">
            <v>8037</v>
          </cell>
          <cell r="B1428" t="str">
            <v>ja</v>
          </cell>
          <cell r="C1428" t="str">
            <v>后羿</v>
          </cell>
        </row>
        <row r="1429">
          <cell r="A1429">
            <v>8038</v>
          </cell>
          <cell r="B1429" t="str">
            <v>ja</v>
          </cell>
          <cell r="C1429" t="str">
            <v>后羿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abSelected="1" workbookViewId="0">
      <selection activeCell="C3" sqref="C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2" t="s">
        <v>131</v>
      </c>
      <c r="B1" s="112" t="s">
        <v>122</v>
      </c>
      <c r="C1" s="112" t="s">
        <v>123</v>
      </c>
      <c r="D1" s="112" t="s">
        <v>124</v>
      </c>
      <c r="E1" s="112" t="s">
        <v>125</v>
      </c>
      <c r="F1" s="112" t="s">
        <v>126</v>
      </c>
      <c r="G1" s="112" t="s">
        <v>127</v>
      </c>
      <c r="H1" s="112"/>
      <c r="I1" s="112"/>
      <c r="J1" s="112"/>
      <c r="K1" s="112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</row>
    <row r="2" spans="1:23" x14ac:dyDescent="0.15">
      <c r="A2" s="114" t="s">
        <v>257</v>
      </c>
      <c r="B2" s="114" t="s">
        <v>135</v>
      </c>
      <c r="C2" s="114" t="s">
        <v>281</v>
      </c>
      <c r="D2" s="114" t="s">
        <v>134</v>
      </c>
      <c r="E2" s="113" t="str">
        <f>B2&amp;C2&amp;D2</f>
        <v>units_templete.tmp</v>
      </c>
      <c r="F2" s="114" t="s">
        <v>130</v>
      </c>
      <c r="G2" s="64" t="s">
        <v>17</v>
      </c>
      <c r="H2" s="65" t="s">
        <v>102</v>
      </c>
      <c r="I2" s="65" t="s">
        <v>1</v>
      </c>
      <c r="J2" s="65" t="s">
        <v>3</v>
      </c>
      <c r="K2" s="65" t="s">
        <v>2</v>
      </c>
      <c r="L2" s="65" t="s">
        <v>104</v>
      </c>
      <c r="M2" s="65" t="s">
        <v>20</v>
      </c>
      <c r="N2" s="65" t="s">
        <v>109</v>
      </c>
      <c r="O2" s="65" t="s">
        <v>107</v>
      </c>
      <c r="P2" s="65" t="s">
        <v>45</v>
      </c>
      <c r="Q2" s="65" t="s">
        <v>63</v>
      </c>
      <c r="R2" s="114" t="s">
        <v>278</v>
      </c>
      <c r="S2" s="114"/>
      <c r="T2" s="114"/>
      <c r="U2" s="114"/>
      <c r="V2" s="114"/>
      <c r="W2" s="114"/>
    </row>
    <row r="3" spans="1:23" x14ac:dyDescent="0.15">
      <c r="A3" s="114" t="s">
        <v>190</v>
      </c>
      <c r="B3" s="114" t="s">
        <v>136</v>
      </c>
      <c r="C3" s="114" t="s">
        <v>280</v>
      </c>
      <c r="D3" s="114" t="s">
        <v>134</v>
      </c>
      <c r="E3" s="113" t="str">
        <f>B3&amp;C3&amp;D3</f>
        <v>awake_materials_hindo01.tmp</v>
      </c>
      <c r="F3" s="114" t="s">
        <v>129</v>
      </c>
      <c r="G3" s="115" t="s">
        <v>44</v>
      </c>
      <c r="H3" s="116" t="s">
        <v>42</v>
      </c>
      <c r="I3" s="116" t="s">
        <v>43</v>
      </c>
      <c r="J3" s="118" t="s">
        <v>132</v>
      </c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</row>
    <row r="4" spans="1:23" x14ac:dyDescent="0.15">
      <c r="A4" s="114" t="s">
        <v>190</v>
      </c>
      <c r="B4" s="114" t="s">
        <v>137</v>
      </c>
      <c r="C4" s="114" t="s">
        <v>280</v>
      </c>
      <c r="D4" s="114" t="s">
        <v>138</v>
      </c>
      <c r="E4" s="113" t="str">
        <f t="shared" ref="E4" si="0">B4&amp;C4&amp;D4</f>
        <v>unit_levels_calc_hindo01.tmp</v>
      </c>
      <c r="F4" s="114" t="s">
        <v>128</v>
      </c>
      <c r="G4" s="60" t="s">
        <v>17</v>
      </c>
      <c r="H4" s="61" t="s">
        <v>2</v>
      </c>
      <c r="I4" s="62" t="s">
        <v>85</v>
      </c>
      <c r="J4" s="62" t="s">
        <v>86</v>
      </c>
      <c r="K4" s="62" t="s">
        <v>87</v>
      </c>
      <c r="L4" s="62" t="s">
        <v>88</v>
      </c>
      <c r="M4" s="62" t="s">
        <v>93</v>
      </c>
      <c r="N4" s="62" t="s">
        <v>94</v>
      </c>
      <c r="O4" s="62" t="s">
        <v>95</v>
      </c>
      <c r="P4" s="62" t="s">
        <v>96</v>
      </c>
      <c r="Q4" s="62" t="s">
        <v>97</v>
      </c>
      <c r="R4" s="62" t="s">
        <v>100</v>
      </c>
      <c r="S4" s="62" t="s">
        <v>98</v>
      </c>
      <c r="T4" s="62" t="s">
        <v>99</v>
      </c>
      <c r="U4" s="62" t="s">
        <v>89</v>
      </c>
      <c r="V4" s="62" t="s">
        <v>90</v>
      </c>
      <c r="W4" s="62" t="s">
        <v>91</v>
      </c>
    </row>
    <row r="5" spans="1:23" x14ac:dyDescent="0.15">
      <c r="A5" s="114" t="s">
        <v>190</v>
      </c>
      <c r="B5" s="114" t="s">
        <v>149</v>
      </c>
      <c r="C5" s="114" t="s">
        <v>280</v>
      </c>
      <c r="D5" s="114" t="s">
        <v>150</v>
      </c>
      <c r="E5" s="113" t="str">
        <f>B5&amp;C5&amp;D5</f>
        <v>unit_skills_data_hindo01.tmp</v>
      </c>
      <c r="F5" s="114" t="s">
        <v>151</v>
      </c>
      <c r="G5" s="123" t="s">
        <v>20</v>
      </c>
      <c r="H5" s="123" t="s">
        <v>152</v>
      </c>
      <c r="I5" s="123" t="s">
        <v>2</v>
      </c>
      <c r="J5" s="123" t="s">
        <v>153</v>
      </c>
      <c r="K5" s="123" t="s">
        <v>154</v>
      </c>
      <c r="L5" s="123" t="s">
        <v>4</v>
      </c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</row>
    <row r="6" spans="1:23" x14ac:dyDescent="0.15">
      <c r="A6" s="114" t="s">
        <v>190</v>
      </c>
      <c r="B6" s="114" t="s">
        <v>155</v>
      </c>
      <c r="C6" s="114" t="s">
        <v>280</v>
      </c>
      <c r="D6" s="114" t="s">
        <v>134</v>
      </c>
      <c r="E6" s="113" t="str">
        <f>B6&amp;C6&amp;D6</f>
        <v>unit_skills_i18n_hindo01.tmp</v>
      </c>
      <c r="F6" s="114" t="s">
        <v>151</v>
      </c>
      <c r="G6" s="123" t="s">
        <v>156</v>
      </c>
      <c r="H6" s="123" t="s">
        <v>140</v>
      </c>
      <c r="I6" s="123" t="s">
        <v>157</v>
      </c>
      <c r="J6" s="123" t="s">
        <v>158</v>
      </c>
      <c r="K6" s="117"/>
      <c r="L6" s="117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15">
      <c r="A7" s="114" t="s">
        <v>190</v>
      </c>
      <c r="B7" s="114" t="s">
        <v>159</v>
      </c>
      <c r="C7" s="114" t="s">
        <v>280</v>
      </c>
      <c r="D7" s="114" t="s">
        <v>160</v>
      </c>
      <c r="E7" s="113" t="str">
        <f>B7&amp;C7&amp;D7</f>
        <v>crash_skills_data_hindo01.tmp</v>
      </c>
      <c r="F7" s="114" t="s">
        <v>161</v>
      </c>
      <c r="G7" s="123" t="s">
        <v>162</v>
      </c>
      <c r="H7" s="123" t="s">
        <v>154</v>
      </c>
      <c r="I7" s="123" t="s">
        <v>4</v>
      </c>
      <c r="J7" s="117"/>
      <c r="K7" s="117"/>
      <c r="L7" s="117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x14ac:dyDescent="0.15">
      <c r="A8" s="114" t="s">
        <v>190</v>
      </c>
      <c r="B8" s="114" t="s">
        <v>163</v>
      </c>
      <c r="C8" s="114" t="s">
        <v>280</v>
      </c>
      <c r="D8" s="114" t="s">
        <v>164</v>
      </c>
      <c r="E8" s="113" t="str">
        <f t="shared" ref="E8" si="1">B8&amp;C8&amp;D8</f>
        <v>crash_skills_i18n_hindo01.tmp</v>
      </c>
      <c r="F8" s="114" t="s">
        <v>161</v>
      </c>
      <c r="G8" s="123" t="s">
        <v>165</v>
      </c>
      <c r="H8" s="123" t="s">
        <v>166</v>
      </c>
      <c r="I8" s="123" t="s">
        <v>167</v>
      </c>
      <c r="J8" s="123" t="s">
        <v>168</v>
      </c>
      <c r="K8" s="124"/>
      <c r="L8" s="124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</row>
    <row r="9" spans="1:23" x14ac:dyDescent="0.15">
      <c r="A9" s="114" t="s">
        <v>190</v>
      </c>
      <c r="B9" s="117" t="s">
        <v>141</v>
      </c>
      <c r="C9" s="114" t="s">
        <v>280</v>
      </c>
      <c r="D9" s="114" t="s">
        <v>164</v>
      </c>
      <c r="E9" s="113" t="str">
        <f t="shared" ref="E9:E10" si="2">B9&amp;C9&amp;D9</f>
        <v>unit_serifs_data_hindo01.tmp</v>
      </c>
      <c r="F9" s="117" t="s">
        <v>143</v>
      </c>
      <c r="G9" s="122" t="s">
        <v>144</v>
      </c>
      <c r="H9" s="123" t="s">
        <v>145</v>
      </c>
      <c r="I9" s="123" t="s">
        <v>139</v>
      </c>
      <c r="J9" s="121" t="s">
        <v>195</v>
      </c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</row>
    <row r="10" spans="1:23" x14ac:dyDescent="0.15">
      <c r="A10" s="114" t="s">
        <v>190</v>
      </c>
      <c r="B10" s="117" t="s">
        <v>142</v>
      </c>
      <c r="C10" s="114" t="s">
        <v>280</v>
      </c>
      <c r="D10" s="114" t="s">
        <v>164</v>
      </c>
      <c r="E10" s="113" t="str">
        <f t="shared" si="2"/>
        <v>unit_serifs_i18n_hindo01.tmp</v>
      </c>
      <c r="F10" s="117" t="s">
        <v>143</v>
      </c>
      <c r="G10" s="122" t="s">
        <v>146</v>
      </c>
      <c r="H10" s="123" t="s">
        <v>147</v>
      </c>
      <c r="I10" s="123" t="s">
        <v>148</v>
      </c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9"/>
  <sheetViews>
    <sheetView showGridLines="0" workbookViewId="0">
      <pane xSplit="9" ySplit="1" topLeftCell="BJ2" activePane="bottomRight" state="frozen"/>
      <selection pane="topRight" activeCell="J1" sqref="J1"/>
      <selection pane="bottomLeft" activeCell="A3" sqref="A3"/>
      <selection pane="bottomRight" activeCell="H11" sqref="H11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6" t="s">
        <v>114</v>
      </c>
      <c r="B1" s="88" t="s">
        <v>50</v>
      </c>
      <c r="C1" s="91" t="s">
        <v>27</v>
      </c>
      <c r="D1" s="91" t="s">
        <v>30</v>
      </c>
      <c r="E1" s="91" t="s">
        <v>28</v>
      </c>
      <c r="F1" s="91" t="s">
        <v>29</v>
      </c>
      <c r="G1" s="86" t="s">
        <v>1</v>
      </c>
      <c r="H1" s="89" t="s">
        <v>19</v>
      </c>
      <c r="I1" s="90" t="s">
        <v>0</v>
      </c>
      <c r="J1" s="92" t="s">
        <v>55</v>
      </c>
      <c r="K1" s="92" t="s">
        <v>54</v>
      </c>
      <c r="L1" s="92" t="s">
        <v>56</v>
      </c>
      <c r="M1" s="92" t="s">
        <v>57</v>
      </c>
      <c r="N1" s="86" t="s">
        <v>3</v>
      </c>
      <c r="O1" s="93" t="s">
        <v>2</v>
      </c>
      <c r="P1" s="86" t="s">
        <v>103</v>
      </c>
      <c r="Q1" s="94" t="s">
        <v>18</v>
      </c>
      <c r="R1" s="85" t="s">
        <v>58</v>
      </c>
      <c r="S1" s="95" t="s">
        <v>23</v>
      </c>
      <c r="T1" s="95" t="s">
        <v>24</v>
      </c>
      <c r="U1" s="95" t="s">
        <v>26</v>
      </c>
      <c r="V1" s="95" t="s">
        <v>25</v>
      </c>
      <c r="W1" s="90" t="s">
        <v>32</v>
      </c>
      <c r="X1" s="91" t="s">
        <v>59</v>
      </c>
      <c r="Y1" s="90" t="s">
        <v>33</v>
      </c>
      <c r="Z1" s="91" t="s">
        <v>59</v>
      </c>
      <c r="AA1" s="92" t="s">
        <v>23</v>
      </c>
      <c r="AB1" s="92" t="s">
        <v>24</v>
      </c>
      <c r="AC1" s="92" t="s">
        <v>26</v>
      </c>
      <c r="AD1" s="92" t="s">
        <v>25</v>
      </c>
      <c r="AE1" s="96" t="s">
        <v>106</v>
      </c>
      <c r="AF1" s="85" t="s">
        <v>51</v>
      </c>
      <c r="AG1" s="97" t="s">
        <v>64</v>
      </c>
      <c r="AH1" s="85" t="s">
        <v>51</v>
      </c>
      <c r="AI1" s="97" t="s">
        <v>52</v>
      </c>
      <c r="AJ1" s="87" t="s">
        <v>73</v>
      </c>
      <c r="AK1" s="85" t="s">
        <v>21</v>
      </c>
      <c r="AL1" s="98" t="s">
        <v>74</v>
      </c>
      <c r="AM1" s="99" t="s">
        <v>72</v>
      </c>
      <c r="AN1" s="99" t="s">
        <v>75</v>
      </c>
      <c r="AO1" s="100" t="s">
        <v>31</v>
      </c>
      <c r="AP1" s="96" t="s">
        <v>20</v>
      </c>
      <c r="AQ1" s="101" t="s">
        <v>119</v>
      </c>
      <c r="AR1" s="101" t="s">
        <v>113</v>
      </c>
      <c r="AS1" s="85" t="s">
        <v>110</v>
      </c>
      <c r="AT1" s="96" t="s">
        <v>108</v>
      </c>
      <c r="AU1" s="85" t="s">
        <v>116</v>
      </c>
      <c r="AV1" s="101" t="s">
        <v>113</v>
      </c>
      <c r="AW1" s="85" t="s">
        <v>110</v>
      </c>
      <c r="AX1" s="91" t="s">
        <v>4</v>
      </c>
      <c r="AY1" s="102" t="s">
        <v>60</v>
      </c>
      <c r="AZ1" s="102" t="s">
        <v>61</v>
      </c>
      <c r="BA1" s="102" t="s">
        <v>120</v>
      </c>
      <c r="BB1" s="102" t="s">
        <v>62</v>
      </c>
      <c r="BC1" s="5" t="s">
        <v>22</v>
      </c>
      <c r="BD1" s="105" t="s">
        <v>34</v>
      </c>
      <c r="BE1" s="103" t="s">
        <v>5</v>
      </c>
      <c r="BF1" s="104" t="s">
        <v>6</v>
      </c>
      <c r="BG1" s="106" t="s">
        <v>76</v>
      </c>
      <c r="BH1" s="106" t="s">
        <v>77</v>
      </c>
      <c r="BI1" s="106" t="s">
        <v>78</v>
      </c>
      <c r="BJ1" s="106" t="s">
        <v>79</v>
      </c>
      <c r="BK1" s="107" t="s">
        <v>80</v>
      </c>
      <c r="BL1" s="107" t="s">
        <v>101</v>
      </c>
      <c r="BM1" s="107" t="s">
        <v>81</v>
      </c>
      <c r="BN1" s="107" t="s">
        <v>82</v>
      </c>
      <c r="BO1" s="108" t="s">
        <v>83</v>
      </c>
      <c r="BP1" s="109" t="s">
        <v>84</v>
      </c>
      <c r="BQ1" s="87" t="s">
        <v>92</v>
      </c>
      <c r="BR1" s="10" t="s">
        <v>279</v>
      </c>
    </row>
    <row r="2" spans="1:70" ht="21" customHeight="1" x14ac:dyDescent="0.15">
      <c r="A2" s="12">
        <v>642</v>
      </c>
      <c r="B2" s="58" t="str">
        <f ca="1">VLOOKUP($A2,OFFSET([1]characters!$A$1,0,0,COUNTA([1]characters!$A:$A),MATCH(B$1,[1]characters!$1:$1,0)-MATCH($A$1,[1]characters!$1:$1,0)+1),MATCH(B$1,[1]characters!$1:$1,0)-MATCH($A$1,[1]characters!$1:$1,0)+1,FALSE)</f>
        <v>カーマ</v>
      </c>
      <c r="C2" s="58" t="str">
        <f ca="1">VLOOKUP($A2,OFFSET([1]characters!$A$1,0,0,COUNTA([1]characters!$A:$A),MATCH(C$1,[1]characters!$1:$1,0)-MATCH($A$1,[1]characters!$1:$1,0)+1),MATCH(C$1,[1]characters!$1:$1,0)-MATCH($A$1,[1]characters!$1:$1,0)+1,FALSE)</f>
        <v>イベント:ウィザード</v>
      </c>
      <c r="D2" s="58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8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8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8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8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8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20</v>
      </c>
      <c r="O2" s="11">
        <f ca="1">INDEX(レベル!$A$1:$I$21,MATCH(H2,レベル!$A$1:$A$21,FALSE),MATCH(G2,レベル!$A$1:$I$1,FALSE))</f>
        <v>60</v>
      </c>
      <c r="P2" s="48">
        <f t="shared" ref="P2:P9" ca="1" si="0">G2*15</f>
        <v>60</v>
      </c>
      <c r="Q2" s="58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8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8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0.96</v>
      </c>
      <c r="AB2" s="11">
        <f ca="1">VLOOKUP(W2,[1]character_tribe_i18n!$A:$H,5,FALSE)</f>
        <v>1.02</v>
      </c>
      <c r="AC2" s="11">
        <f ca="1">VLOOKUP(W2,[1]character_tribe_i18n!$A:$H,6,FALSE)</f>
        <v>1</v>
      </c>
      <c r="AD2" s="11">
        <f ca="1">VLOOKUP(W2,[1]character_tribe_i18n!$A:$H,7,FALSE)</f>
        <v>1.02</v>
      </c>
      <c r="AE2" s="9" t="s">
        <v>189</v>
      </c>
      <c r="AF2" s="63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t="shared" ref="AG2:AG9" ca="1" si="1">IF(ISNA(MATCH(A2,AE:AE,0)),A2,INDIRECT(ADDRESS(MATCH(A2,AE:AE,0),COLUMN())))</f>
        <v>642</v>
      </c>
      <c r="AH2" s="63" t="str">
        <f ca="1">VLOOKUP($AG2,OFFSET([1]characters!$A$1,0,0,COUNTA([1]characters!$A:$A),MATCH(AH$1,[1]characters!$1:$1,0)-MATCH($A$1,[1]characters!$1:$1,0)+1),MATCH(AH$1,[1]characters!$1:$1,0)-MATCH($A$1,[1]characters!$1:$1,0)+1,FALSE)</f>
        <v>カーマ</v>
      </c>
      <c r="AI2" s="11" t="str">
        <f>IF(AE2="NULL","NULL",VLOOKUP(G2,ビット!$A$2:$B$7,2))</f>
        <v>NULL</v>
      </c>
      <c r="AJ2" s="6">
        <v>2</v>
      </c>
      <c r="AK2" s="7" t="str">
        <f t="shared" ref="AK2:AK9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5"/>
      <c r="AP2" s="68">
        <v>0</v>
      </c>
      <c r="AQ2" s="58" t="e">
        <f ca="1">VLOOKUP($AP2,OFFSET(unit_skills!$A$1,0,0,COUNTA(unit_skills!$A:$A),MATCH(AQ$1,unit_skills!$1:$1,0)-MATCH($AP$1,unit_skills!$1:$1,0)+1),MATCH(AQ$1,unit_skills!$1:$1,0)-MATCH($AP$1,unit_skills!$1:$1,0)+1,FALSE)</f>
        <v>#N/A</v>
      </c>
      <c r="AR2" s="58" t="e">
        <f ca="1">VLOOKUP($AP2,OFFSET(unit_skills!$A$1,0,0,COUNTA(unit_skills!$A:$A),MATCH(AR$1,unit_skills!$1:$1,0)-MATCH($AP$1,unit_skills!$1:$1,0)+1),MATCH(AR$1,unit_skills!$1:$1,0)-MATCH($AP$1,unit_skills!$1:$1,0)+1,FALSE)</f>
        <v>#N/A</v>
      </c>
      <c r="AS2" s="58" t="e">
        <f ca="1">VLOOKUP($AP2,OFFSET(unit_skills!$A$1,0,0,COUNTA(unit_skills!$A:$A),MATCH(AS$1,unit_skills!$1:$1,0)-MATCH($AP$1,unit_skills!$1:$1,0)+1),MATCH(AS$1,unit_skills!$1:$1,0)-MATCH($AP$1,unit_skills!$1:$1,0)+1,FALSE)</f>
        <v>#N/A</v>
      </c>
      <c r="AT2" s="41">
        <v>0</v>
      </c>
      <c r="AU2" s="58" t="e">
        <f ca="1">VLOOKUP($AT2,OFFSET(crash_skills!$A$1,0,0,COUNTA(crash_skills!$A:$A),MATCH(AU$1,crash_skills!$1:$1,0)-MATCH($AT$1,crash_skills!$1:$1,0)+1),MATCH(AU$1,crash_skills!$1:$1,0)-MATCH($AT$1,crash_skills!$1:$1,0)+1,FALSE)</f>
        <v>#N/A</v>
      </c>
      <c r="AV2" s="58" t="e">
        <f ca="1">VLOOKUP($AT2,OFFSET(crash_skills!$A$1,0,0,COUNTA(crash_skills!$A:$A),MATCH(AV$1,crash_skills!$1:$1,0)-MATCH($AT$1,crash_skills!$1:$1,0)+1),MATCH(AV$1,crash_skills!$1:$1,0)-MATCH($AT$1,crash_skills!$1:$1,0)+1,FALSE)</f>
        <v>#N/A</v>
      </c>
      <c r="AW2" s="58" t="e">
        <f ca="1">VLOOKUP($AT2,OFFSET(crash_skills!$A$1,0,0,COUNTA(crash_skills!$A:$A),MATCH(AW$1,crash_skills!$1:$1,0)-MATCH($AT$1,crash_skills!$1:$1,0)+1),MATCH(AW$1,crash_skills!$1:$1,0)-MATCH($AT$1,crash_skills!$1:$1,0)+1,FALSE)</f>
        <v>#N/A</v>
      </c>
      <c r="AX2" s="59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9">
        <v>1</v>
      </c>
      <c r="AZ2" s="69">
        <v>1</v>
      </c>
      <c r="BA2" s="69">
        <v>0</v>
      </c>
      <c r="BB2" s="69">
        <v>1</v>
      </c>
      <c r="BC2" s="11">
        <f ca="1">INDEX('RC6SV'!$A$1:$G$20,MATCH(H2,'RC6SV'!$A$1:$A$20,FALSE),MATCH(G2,'RC6SV'!$A$1:$G$1,FALSE))</f>
        <v>7000</v>
      </c>
      <c r="BD2" s="48">
        <f t="shared" ref="BD2:BD9" ca="1" si="3">ROUND(BC2*IF(AJ2=1,0.95,IF(AJ2=2,1,IF(AJ2,1.05,0))),0)</f>
        <v>7000</v>
      </c>
      <c r="BE2" s="11">
        <f t="shared" ref="BE2:BE9" ca="1" si="4">ROUND(IFERROR(INDIRECT(ADDRESS(MATCH($A2,$AE:$AE,0),MATCH($BC$1,$1:$1,0))),0),0)</f>
        <v>0</v>
      </c>
      <c r="BF2" s="11">
        <f t="shared" ref="BF2:BF9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1680</v>
      </c>
      <c r="BH2" s="16">
        <f ca="1">IF($BE2&lt;=0,ROUND(BL2*0.5,0), ROUND($BE2*T2*AB2*K2*AZ2*0.8*[1]ステータス!$C$2,0))</f>
        <v>1093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875</v>
      </c>
      <c r="BK2" s="11">
        <f ca="1">ROUND(BD2*S2*AA2*J2*AY2*[1]ステータス!$B$2,0)</f>
        <v>3360</v>
      </c>
      <c r="BL2" s="11">
        <f ca="1">ROUND(BD2*T2*AB2*K2*AZ2*[1]ステータス!$C$2,0)</f>
        <v>2185</v>
      </c>
      <c r="BM2" s="11">
        <f ca="1">ROUND(BD2*U2*AC2*L2*BA2*[1]ステータス!$D$2,0)</f>
        <v>0</v>
      </c>
      <c r="BN2" s="11">
        <f ca="1">ROUND(BD2*V2*AD2*M2*BB2*[1]ステータス!$E$2,0)</f>
        <v>1749</v>
      </c>
      <c r="BO2" s="10">
        <v>0</v>
      </c>
      <c r="BP2" s="10">
        <v>1</v>
      </c>
      <c r="BQ2" s="10" t="s">
        <v>53</v>
      </c>
      <c r="BR2" s="10">
        <f ca="1">VLOOKUP(H2,ghosts_label!$A$2:$B$19,2,FALSE)</f>
        <v>1</v>
      </c>
    </row>
    <row r="3" spans="1:70" ht="21" customHeight="1" x14ac:dyDescent="0.15">
      <c r="A3" s="12">
        <v>643</v>
      </c>
      <c r="B3" s="58" t="str">
        <f ca="1">VLOOKUP($A3,OFFSET([1]characters!$A$1,0,0,COUNTA([1]characters!$A:$A),MATCH(B$1,[1]characters!$1:$1,0)-MATCH($A$1,[1]characters!$1:$1,0)+1),MATCH(B$1,[1]characters!$1:$1,0)-MATCH($A$1,[1]characters!$1:$1,0)+1,FALSE)</f>
        <v>愛花天神 カーマ</v>
      </c>
      <c r="C3" s="58" t="str">
        <f ca="1">VLOOKUP($A3,OFFSET([1]characters!$A$1,0,0,COUNTA([1]characters!$A:$A),MATCH(C$1,[1]characters!$1:$1,0)-MATCH($A$1,[1]characters!$1:$1,0)+1),MATCH(C$1,[1]characters!$1:$1,0)-MATCH($A$1,[1]characters!$1:$1,0)+1,FALSE)</f>
        <v>イベント:ウィザード</v>
      </c>
      <c r="D3" s="58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8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8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8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8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8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30</v>
      </c>
      <c r="O3" s="11">
        <f ca="1">INDEX(レベル!$A$1:$I$21,MATCH(H3,レベル!$A$1:$A$21,FALSE),MATCH(G3,レベル!$A$1:$I$1,FALSE))</f>
        <v>80</v>
      </c>
      <c r="P3" s="48">
        <f t="shared" ca="1" si="0"/>
        <v>75</v>
      </c>
      <c r="Q3" s="58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8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8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0.96</v>
      </c>
      <c r="AB3" s="11">
        <f ca="1">VLOOKUP(W3,[1]character_tribe_i18n!$A:$H,5,FALSE)</f>
        <v>1.02</v>
      </c>
      <c r="AC3" s="11">
        <f ca="1">VLOOKUP(W3,[1]character_tribe_i18n!$A:$H,6,FALSE)</f>
        <v>1</v>
      </c>
      <c r="AD3" s="11">
        <f ca="1">VLOOKUP(W3,[1]character_tribe_i18n!$A:$H,7,FALSE)</f>
        <v>1.02</v>
      </c>
      <c r="AE3" s="9" t="s">
        <v>189</v>
      </c>
      <c r="AF3" s="63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643</v>
      </c>
      <c r="AH3" s="63" t="str">
        <f ca="1">VLOOKUP($AG3,OFFSET([1]characters!$A$1,0,0,COUNTA([1]characters!$A:$A),MATCH(AH$1,[1]characters!$1:$1,0)-MATCH($A$1,[1]characters!$1:$1,0)+1),MATCH(AH$1,[1]characters!$1:$1,0)-MATCH($A$1,[1]characters!$1:$1,0)+1,FALSE)</f>
        <v>愛花天神 カーマ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8">
        <v>0</v>
      </c>
      <c r="AQ3" s="58" t="e">
        <f ca="1">VLOOKUP($AP3,OFFSET(unit_skills!$A$1,0,0,COUNTA(unit_skills!$A:$A),MATCH(AQ$1,unit_skills!$1:$1,0)-MATCH($AP$1,unit_skills!$1:$1,0)+1),MATCH(AQ$1,unit_skills!$1:$1,0)-MATCH($AP$1,unit_skills!$1:$1,0)+1,FALSE)</f>
        <v>#N/A</v>
      </c>
      <c r="AR3" s="58" t="e">
        <f ca="1">VLOOKUP($AP3,OFFSET(unit_skills!$A$1,0,0,COUNTA(unit_skills!$A:$A),MATCH(AR$1,unit_skills!$1:$1,0)-MATCH($AP$1,unit_skills!$1:$1,0)+1),MATCH(AR$1,unit_skills!$1:$1,0)-MATCH($AP$1,unit_skills!$1:$1,0)+1,FALSE)</f>
        <v>#N/A</v>
      </c>
      <c r="AS3" s="58" t="e">
        <f ca="1">VLOOKUP($AP3,OFFSET(unit_skills!$A$1,0,0,COUNTA(unit_skills!$A:$A),MATCH(AS$1,unit_skills!$1:$1,0)-MATCH($AP$1,unit_skills!$1:$1,0)+1),MATCH(AS$1,unit_skills!$1:$1,0)-MATCH($AP$1,unit_skills!$1:$1,0)+1,FALSE)</f>
        <v>#N/A</v>
      </c>
      <c r="AT3" s="41">
        <v>0</v>
      </c>
      <c r="AU3" s="58" t="e">
        <f ca="1">VLOOKUP($AT3,OFFSET(crash_skills!$A$1,0,0,COUNTA(crash_skills!$A:$A),MATCH(AU$1,crash_skills!$1:$1,0)-MATCH($AT$1,crash_skills!$1:$1,0)+1),MATCH(AU$1,crash_skills!$1:$1,0)-MATCH($AT$1,crash_skills!$1:$1,0)+1,FALSE)</f>
        <v>#N/A</v>
      </c>
      <c r="AV3" s="58" t="e">
        <f ca="1">VLOOKUP($AT3,OFFSET(crash_skills!$A$1,0,0,COUNTA(crash_skills!$A:$A),MATCH(AV$1,crash_skills!$1:$1,0)-MATCH($AT$1,crash_skills!$1:$1,0)+1),MATCH(AV$1,crash_skills!$1:$1,0)-MATCH($AT$1,crash_skills!$1:$1,0)+1,FALSE)</f>
        <v>#N/A</v>
      </c>
      <c r="AW3" s="58" t="e">
        <f ca="1">VLOOKUP($AT3,OFFSET(crash_skills!$A$1,0,0,COUNTA(crash_skills!$A:$A),MATCH(AW$1,crash_skills!$1:$1,0)-MATCH($AT$1,crash_skills!$1:$1,0)+1),MATCH(AW$1,crash_skills!$1:$1,0)-MATCH($AT$1,crash_skills!$1:$1,0)+1,FALSE)</f>
        <v>#N/A</v>
      </c>
      <c r="AX3" s="59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9">
        <v>1</v>
      </c>
      <c r="AZ3" s="69">
        <v>1</v>
      </c>
      <c r="BA3" s="69">
        <v>0</v>
      </c>
      <c r="BB3" s="69">
        <v>1</v>
      </c>
      <c r="BC3" s="11">
        <f ca="1">INDEX('RC6SV'!$A$1:$G$20,MATCH(H3,'RC6SV'!$A$1:$A$20,FALSE),MATCH(G3,'RC6SV'!$A$1:$G$1,FALSE))</f>
        <v>9000</v>
      </c>
      <c r="BD3" s="48">
        <f t="shared" ca="1" si="3"/>
        <v>9000</v>
      </c>
      <c r="BE3" s="11">
        <f t="shared" ca="1" si="4"/>
        <v>0</v>
      </c>
      <c r="BF3" s="11">
        <f t="shared" ca="1" si="5"/>
        <v>1</v>
      </c>
      <c r="BG3" s="16">
        <f ca="1">IF($BE3&lt;=0,ROUND(BK3*0.5,0), ROUND($BE3*S3*AA3*J3*AY3*0.8*[1]ステータス!$B$2,0))</f>
        <v>2160</v>
      </c>
      <c r="BH3" s="16">
        <f ca="1">IF($BE3&lt;=0,ROUND(BL3*0.5,0), ROUND($BE3*T3*AB3*K3*AZ3*0.8*[1]ステータス!$C$2,0))</f>
        <v>1405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1125</v>
      </c>
      <c r="BK3" s="11">
        <f ca="1">ROUND(BD3*S3*AA3*J3*AY3*[1]ステータス!$B$2,0)</f>
        <v>4320</v>
      </c>
      <c r="BL3" s="11">
        <f ca="1">ROUND(BD3*T3*AB3*K3*AZ3*[1]ステータス!$C$2,0)</f>
        <v>2809</v>
      </c>
      <c r="BM3" s="11">
        <f ca="1">ROUND(BD3*U3*AC3*L3*BA3*[1]ステータス!$D$2,0)</f>
        <v>0</v>
      </c>
      <c r="BN3" s="11">
        <f ca="1">ROUND(BD3*V3*AD3*M3*BB3*[1]ステータス!$E$2,0)</f>
        <v>2249</v>
      </c>
      <c r="BO3" s="10">
        <v>0</v>
      </c>
      <c r="BP3" s="10">
        <v>1</v>
      </c>
      <c r="BQ3" s="10" t="s">
        <v>53</v>
      </c>
      <c r="BR3" s="10">
        <f ca="1">VLOOKUP(H3,ghosts_label!$A$2:$B$19,2,FALSE)</f>
        <v>1</v>
      </c>
    </row>
    <row r="4" spans="1:70" ht="21" customHeight="1" x14ac:dyDescent="0.15">
      <c r="A4" s="12">
        <v>648</v>
      </c>
      <c r="B4" s="58" t="str">
        <f ca="1">VLOOKUP($A4,OFFSET([1]characters!$A$1,0,0,COUNTA([1]characters!$A:$A),MATCH(B$1,[1]characters!$1:$1,0)-MATCH($A$1,[1]characters!$1:$1,0)+1),MATCH(B$1,[1]characters!$1:$1,0)-MATCH($A$1,[1]characters!$1:$1,0)+1,FALSE)</f>
        <v>パールヴァティ</v>
      </c>
      <c r="C4" s="58" t="str">
        <f ca="1">VLOOKUP($A4,OFFSET([1]characters!$A$1,0,0,COUNTA([1]characters!$A:$A),MATCH(C$1,[1]characters!$1:$1,0)-MATCH($A$1,[1]characters!$1:$1,0)+1),MATCH(C$1,[1]characters!$1:$1,0)-MATCH($A$1,[1]characters!$1:$1,0)+1,FALSE)</f>
        <v>イベント:ヒンドゥー01</v>
      </c>
      <c r="D4" s="58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8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8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8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8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8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INDEX(コスト!$A$1:$I$20,MATCH(H4,コスト!$A$1:$A$20,FALSE),MATCH(G4,コスト!$A$1:$I$1,FALSE))</f>
        <v>20</v>
      </c>
      <c r="O4" s="11">
        <f ca="1">INDEX(レベル!$A$1:$I$21,MATCH(H4,レベル!$A$1:$A$21,FALSE),MATCH(G4,レベル!$A$1:$I$1,FALSE))</f>
        <v>60</v>
      </c>
      <c r="P4" s="48">
        <f t="shared" ca="1" si="0"/>
        <v>60</v>
      </c>
      <c r="Q4" s="58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1">
        <f ca="1">VLOOKUP(Q4,[1]character_type_i18n!$A:$H,4,FALSE)</f>
        <v>0.8</v>
      </c>
      <c r="T4" s="11">
        <f ca="1">VLOOKUP(Q4,[1]character_type_i18n!$A:$H,5,FALSE)</f>
        <v>0.78</v>
      </c>
      <c r="U4" s="11">
        <f ca="1">VLOOKUP(Q4,[1]character_type_i18n!$A:$H,6,FALSE)</f>
        <v>1</v>
      </c>
      <c r="V4" s="11">
        <f ca="1">VLOOKUP(Q4,[1]character_type_i18n!$A:$H,7,FALSE)</f>
        <v>1.42</v>
      </c>
      <c r="W4" s="58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8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0.96</v>
      </c>
      <c r="AB4" s="11">
        <f ca="1">VLOOKUP(W4,[1]character_tribe_i18n!$A:$H,5,FALSE)</f>
        <v>1.02</v>
      </c>
      <c r="AC4" s="11">
        <f ca="1">VLOOKUP(W4,[1]character_tribe_i18n!$A:$H,6,FALSE)</f>
        <v>1</v>
      </c>
      <c r="AD4" s="11">
        <f ca="1">VLOOKUP(W4,[1]character_tribe_i18n!$A:$H,7,FALSE)</f>
        <v>1.02</v>
      </c>
      <c r="AE4" s="9" t="s">
        <v>189</v>
      </c>
      <c r="AF4" s="63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t="shared" ca="1" si="1"/>
        <v>648</v>
      </c>
      <c r="AH4" s="63" t="str">
        <f ca="1">VLOOKUP($AG4,OFFSET([1]characters!$A$1,0,0,COUNTA([1]characters!$A:$A),MATCH(AH$1,[1]characters!$1:$1,0)-MATCH($A$1,[1]characters!$1:$1,0)+1),MATCH(AH$1,[1]characters!$1:$1,0)-MATCH($A$1,[1]characters!$1:$1,0)+1,FALSE)</f>
        <v>パールヴァティ</v>
      </c>
      <c r="AI4" s="11" t="str">
        <f>IF(AE4="NULL","NULL",VLOOKUP(G4,ビット!$A$2:$B$7,2))</f>
        <v>NULL</v>
      </c>
      <c r="AJ4" s="6">
        <v>2</v>
      </c>
      <c r="AK4" s="7" t="str">
        <f t="shared" si="2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5"/>
      <c r="AP4" s="68">
        <v>0</v>
      </c>
      <c r="AQ4" s="58" t="e">
        <f ca="1">VLOOKUP($AP4,OFFSET(unit_skills!$A$1,0,0,COUNTA(unit_skills!$A:$A),MATCH(AQ$1,unit_skills!$1:$1,0)-MATCH($AP$1,unit_skills!$1:$1,0)+1),MATCH(AQ$1,unit_skills!$1:$1,0)-MATCH($AP$1,unit_skills!$1:$1,0)+1,FALSE)</f>
        <v>#N/A</v>
      </c>
      <c r="AR4" s="58" t="e">
        <f ca="1">VLOOKUP($AP4,OFFSET(unit_skills!$A$1,0,0,COUNTA(unit_skills!$A:$A),MATCH(AR$1,unit_skills!$1:$1,0)-MATCH($AP$1,unit_skills!$1:$1,0)+1),MATCH(AR$1,unit_skills!$1:$1,0)-MATCH($AP$1,unit_skills!$1:$1,0)+1,FALSE)</f>
        <v>#N/A</v>
      </c>
      <c r="AS4" s="58" t="e">
        <f ca="1">VLOOKUP($AP4,OFFSET(unit_skills!$A$1,0,0,COUNTA(unit_skills!$A:$A),MATCH(AS$1,unit_skills!$1:$1,0)-MATCH($AP$1,unit_skills!$1:$1,0)+1),MATCH(AS$1,unit_skills!$1:$1,0)-MATCH($AP$1,unit_skills!$1:$1,0)+1,FALSE)</f>
        <v>#N/A</v>
      </c>
      <c r="AT4" s="41">
        <v>0</v>
      </c>
      <c r="AU4" s="58" t="e">
        <f ca="1">VLOOKUP($AT4,OFFSET(crash_skills!$A$1,0,0,COUNTA(crash_skills!$A:$A),MATCH(AU$1,crash_skills!$1:$1,0)-MATCH($AT$1,crash_skills!$1:$1,0)+1),MATCH(AU$1,crash_skills!$1:$1,0)-MATCH($AT$1,crash_skills!$1:$1,0)+1,FALSE)</f>
        <v>#N/A</v>
      </c>
      <c r="AV4" s="58" t="e">
        <f ca="1">VLOOKUP($AT4,OFFSET(crash_skills!$A$1,0,0,COUNTA(crash_skills!$A:$A),MATCH(AV$1,crash_skills!$1:$1,0)-MATCH($AT$1,crash_skills!$1:$1,0)+1),MATCH(AV$1,crash_skills!$1:$1,0)-MATCH($AT$1,crash_skills!$1:$1,0)+1,FALSE)</f>
        <v>#N/A</v>
      </c>
      <c r="AW4" s="58" t="e">
        <f ca="1">VLOOKUP($AT4,OFFSET(crash_skills!$A$1,0,0,COUNTA(crash_skills!$A:$A),MATCH(AW$1,crash_skills!$1:$1,0)-MATCH($AT$1,crash_skills!$1:$1,0)+1),MATCH(AW$1,crash_skills!$1:$1,0)-MATCH($AT$1,crash_skills!$1:$1,0)+1,FALSE)</f>
        <v>#N/A</v>
      </c>
      <c r="AX4" s="59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9">
        <v>1</v>
      </c>
      <c r="AZ4" s="69">
        <v>1</v>
      </c>
      <c r="BA4" s="69">
        <v>0</v>
      </c>
      <c r="BB4" s="69">
        <v>1</v>
      </c>
      <c r="BC4" s="11">
        <f ca="1">INDEX('RC6SV'!$A$1:$G$20,MATCH(H4,'RC6SV'!$A$1:$A$20,FALSE),MATCH(G4,'RC6SV'!$A$1:$G$1,FALSE))</f>
        <v>7000</v>
      </c>
      <c r="BD4" s="48">
        <f t="shared" ca="1" si="3"/>
        <v>7000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1344</v>
      </c>
      <c r="BH4" s="16">
        <f ca="1">IF($BE4&lt;=0,ROUND(BL4*0.5,0), ROUND($BE4*T4*AB4*K4*AZ4*0.8*[1]ステータス!$C$2,0))</f>
        <v>819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1293</v>
      </c>
      <c r="BK4" s="11">
        <f ca="1">ROUND(BD4*S4*AA4*J4*AY4*[1]ステータス!$B$2,0)</f>
        <v>2688</v>
      </c>
      <c r="BL4" s="11">
        <f ca="1">ROUND(BD4*T4*AB4*K4*AZ4*[1]ステータス!$C$2,0)</f>
        <v>1637</v>
      </c>
      <c r="BM4" s="11">
        <f ca="1">ROUND(BD4*U4*AC4*L4*BA4*[1]ステータス!$D$2,0)</f>
        <v>0</v>
      </c>
      <c r="BN4" s="11">
        <f ca="1">ROUND(BD4*V4*AD4*M4*BB4*[1]ステータス!$E$2,0)</f>
        <v>2585</v>
      </c>
      <c r="BO4" s="10">
        <v>0</v>
      </c>
      <c r="BP4" s="10">
        <v>1</v>
      </c>
      <c r="BQ4" s="10" t="s">
        <v>53</v>
      </c>
      <c r="BR4" s="10">
        <f ca="1">VLOOKUP(H4,ghosts_label!$A$2:$B$19,2,FALSE)</f>
        <v>1</v>
      </c>
    </row>
    <row r="5" spans="1:70" ht="21" customHeight="1" x14ac:dyDescent="0.15">
      <c r="A5" s="12">
        <v>649</v>
      </c>
      <c r="B5" s="58" t="str">
        <f ca="1">VLOOKUP($A5,OFFSET([1]characters!$A$1,0,0,COUNTA([1]characters!$A:$A),MATCH(B$1,[1]characters!$1:$1,0)-MATCH($A$1,[1]characters!$1:$1,0)+1),MATCH(B$1,[1]characters!$1:$1,0)-MATCH($A$1,[1]characters!$1:$1,0)+1,FALSE)</f>
        <v>寄咲く一輪華 パールヴァティ</v>
      </c>
      <c r="C5" s="58" t="str">
        <f ca="1">VLOOKUP($A5,OFFSET([1]characters!$A$1,0,0,COUNTA([1]characters!$A:$A),MATCH(C$1,[1]characters!$1:$1,0)-MATCH($A$1,[1]characters!$1:$1,0)+1),MATCH(C$1,[1]characters!$1:$1,0)-MATCH($A$1,[1]characters!$1:$1,0)+1,FALSE)</f>
        <v>イベント:ヒンドゥー01</v>
      </c>
      <c r="D5" s="58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8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8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8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8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8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1">
        <f ca="1">VLOOKUP(I5,[1]属性!$A:$E,2,FALSE)</f>
        <v>1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1.02</v>
      </c>
      <c r="N5" s="11">
        <f ca="1">INDEX(コスト!$A$1:$I$20,MATCH(H5,コスト!$A$1:$A$20,FALSE),MATCH(G5,コスト!$A$1:$I$1,FALSE))</f>
        <v>30</v>
      </c>
      <c r="O5" s="11">
        <f ca="1">INDEX(レベル!$A$1:$I$21,MATCH(H5,レベル!$A$1:$A$21,FALSE),MATCH(G5,レベル!$A$1:$I$1,FALSE))</f>
        <v>80</v>
      </c>
      <c r="P5" s="48">
        <f t="shared" ca="1" si="0"/>
        <v>75</v>
      </c>
      <c r="Q5" s="58" t="str">
        <f ca="1">VLOOKUP($A5,OFFSET([1]characters!$A$1,0,0,COUNTA([1]characters!$A:$A),MATCH(Q$1,[1]characters!$1:$1,0)-MATCH($A$1,[1]characters!$1:$1,0)+1),MATCH(Q$1,[1]characters!$1:$1,0)-MATCH($A$1,[1]characters!$1:$1,0)+1,FALSE)</f>
        <v>heal</v>
      </c>
      <c r="R5" s="5" t="str">
        <f ca="1">VLOOKUP(Q5,[1]character_type_i18n!$A:$H,3,FALSE)</f>
        <v>回復タイプ</v>
      </c>
      <c r="S5" s="11">
        <f ca="1">VLOOKUP(Q5,[1]character_type_i18n!$A:$H,4,FALSE)</f>
        <v>0.8</v>
      </c>
      <c r="T5" s="11">
        <f ca="1">VLOOKUP(Q5,[1]character_type_i18n!$A:$H,5,FALSE)</f>
        <v>0.78</v>
      </c>
      <c r="U5" s="11">
        <f ca="1">VLOOKUP(Q5,[1]character_type_i18n!$A:$H,6,FALSE)</f>
        <v>1</v>
      </c>
      <c r="V5" s="11">
        <f ca="1">VLOOKUP(Q5,[1]character_type_i18n!$A:$H,7,FALSE)</f>
        <v>1.42</v>
      </c>
      <c r="W5" s="58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8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0.96</v>
      </c>
      <c r="AB5" s="11">
        <f ca="1">VLOOKUP(W5,[1]character_tribe_i18n!$A:$H,5,FALSE)</f>
        <v>1.02</v>
      </c>
      <c r="AC5" s="11">
        <f ca="1">VLOOKUP(W5,[1]character_tribe_i18n!$A:$H,6,FALSE)</f>
        <v>1</v>
      </c>
      <c r="AD5" s="11">
        <f ca="1">VLOOKUP(W5,[1]character_tribe_i18n!$A:$H,7,FALSE)</f>
        <v>1.02</v>
      </c>
      <c r="AE5" s="9" t="s">
        <v>189</v>
      </c>
      <c r="AF5" s="63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649</v>
      </c>
      <c r="AH5" s="63" t="str">
        <f ca="1">VLOOKUP($AG5,OFFSET([1]characters!$A$1,0,0,COUNTA([1]characters!$A:$A),MATCH(AH$1,[1]characters!$1:$1,0)-MATCH($A$1,[1]characters!$1:$1,0)+1),MATCH(AH$1,[1]characters!$1:$1,0)-MATCH($A$1,[1]characters!$1:$1,0)+1,FALSE)</f>
        <v>寄咲く一輪華 パールヴァティ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8">
        <v>0</v>
      </c>
      <c r="AQ5" s="58" t="e">
        <f ca="1">VLOOKUP($AP5,OFFSET(unit_skills!$A$1,0,0,COUNTA(unit_skills!$A:$A),MATCH(AQ$1,unit_skills!$1:$1,0)-MATCH($AP$1,unit_skills!$1:$1,0)+1),MATCH(AQ$1,unit_skills!$1:$1,0)-MATCH($AP$1,unit_skills!$1:$1,0)+1,FALSE)</f>
        <v>#N/A</v>
      </c>
      <c r="AR5" s="58" t="e">
        <f ca="1">VLOOKUP($AP5,OFFSET(unit_skills!$A$1,0,0,COUNTA(unit_skills!$A:$A),MATCH(AR$1,unit_skills!$1:$1,0)-MATCH($AP$1,unit_skills!$1:$1,0)+1),MATCH(AR$1,unit_skills!$1:$1,0)-MATCH($AP$1,unit_skills!$1:$1,0)+1,FALSE)</f>
        <v>#N/A</v>
      </c>
      <c r="AS5" s="58" t="e">
        <f ca="1">VLOOKUP($AP5,OFFSET(unit_skills!$A$1,0,0,COUNTA(unit_skills!$A:$A),MATCH(AS$1,unit_skills!$1:$1,0)-MATCH($AP$1,unit_skills!$1:$1,0)+1),MATCH(AS$1,unit_skills!$1:$1,0)-MATCH($AP$1,unit_skills!$1:$1,0)+1,FALSE)</f>
        <v>#N/A</v>
      </c>
      <c r="AT5" s="41">
        <v>0</v>
      </c>
      <c r="AU5" s="58" t="e">
        <f ca="1">VLOOKUP($AT5,OFFSET(crash_skills!$A$1,0,0,COUNTA(crash_skills!$A:$A),MATCH(AU$1,crash_skills!$1:$1,0)-MATCH($AT$1,crash_skills!$1:$1,0)+1),MATCH(AU$1,crash_skills!$1:$1,0)-MATCH($AT$1,crash_skills!$1:$1,0)+1,FALSE)</f>
        <v>#N/A</v>
      </c>
      <c r="AV5" s="58" t="e">
        <f ca="1">VLOOKUP($AT5,OFFSET(crash_skills!$A$1,0,0,COUNTA(crash_skills!$A:$A),MATCH(AV$1,crash_skills!$1:$1,0)-MATCH($AT$1,crash_skills!$1:$1,0)+1),MATCH(AV$1,crash_skills!$1:$1,0)-MATCH($AT$1,crash_skills!$1:$1,0)+1,FALSE)</f>
        <v>#N/A</v>
      </c>
      <c r="AW5" s="58" t="e">
        <f ca="1">VLOOKUP($AT5,OFFSET(crash_skills!$A$1,0,0,COUNTA(crash_skills!$A:$A),MATCH(AW$1,crash_skills!$1:$1,0)-MATCH($AT$1,crash_skills!$1:$1,0)+1),MATCH(AW$1,crash_skills!$1:$1,0)-MATCH($AT$1,crash_skills!$1:$1,0)+1,FALSE)</f>
        <v>#N/A</v>
      </c>
      <c r="AX5" s="59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9">
        <v>1</v>
      </c>
      <c r="AZ5" s="69">
        <v>1</v>
      </c>
      <c r="BA5" s="69">
        <v>0</v>
      </c>
      <c r="BB5" s="69">
        <v>1</v>
      </c>
      <c r="BC5" s="11">
        <f ca="1">INDEX('RC6SV'!$A$1:$G$20,MATCH(H5,'RC6SV'!$A$1:$A$20,FALSE),MATCH(G5,'RC6SV'!$A$1:$G$1,FALSE))</f>
        <v>9000</v>
      </c>
      <c r="BD5" s="48">
        <f t="shared" ca="1" si="3"/>
        <v>9000</v>
      </c>
      <c r="BE5" s="11">
        <f t="shared" ca="1" si="4"/>
        <v>0</v>
      </c>
      <c r="BF5" s="11">
        <f t="shared" ca="1" si="5"/>
        <v>1</v>
      </c>
      <c r="BG5" s="16">
        <f ca="1">IF($BE5&lt;=0,ROUND(BK5*0.5,0), ROUND($BE5*S5*AA5*J5*AY5*0.8*[1]ステータス!$B$2,0))</f>
        <v>1728</v>
      </c>
      <c r="BH5" s="16">
        <f ca="1">IF($BE5&lt;=0,ROUND(BL5*0.5,0), ROUND($BE5*T5*AB5*K5*AZ5*0.8*[1]ステータス!$C$2,0))</f>
        <v>1053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1662</v>
      </c>
      <c r="BK5" s="11">
        <f ca="1">ROUND(BD5*S5*AA5*J5*AY5*[1]ステータス!$B$2,0)</f>
        <v>3456</v>
      </c>
      <c r="BL5" s="11">
        <f ca="1">ROUND(BD5*T5*AB5*K5*AZ5*[1]ステータス!$C$2,0)</f>
        <v>2105</v>
      </c>
      <c r="BM5" s="11">
        <f ca="1">ROUND(BD5*U5*AC5*L5*BA5*[1]ステータス!$D$2,0)</f>
        <v>0</v>
      </c>
      <c r="BN5" s="11">
        <f ca="1">ROUND(BD5*V5*AD5*M5*BB5*[1]ステータス!$E$2,0)</f>
        <v>3324</v>
      </c>
      <c r="BO5" s="10">
        <v>0</v>
      </c>
      <c r="BP5" s="10">
        <v>1</v>
      </c>
      <c r="BQ5" s="10" t="s">
        <v>53</v>
      </c>
      <c r="BR5" s="10">
        <f ca="1">VLOOKUP(H5,ghosts_label!$A$2:$B$19,2,FALSE)</f>
        <v>1</v>
      </c>
    </row>
    <row r="6" spans="1:70" ht="21" customHeight="1" x14ac:dyDescent="0.15">
      <c r="A6" s="12">
        <v>652</v>
      </c>
      <c r="B6" s="58" t="str">
        <f ca="1">VLOOKUP($A6,OFFSET([1]characters!$A$1,0,0,COUNTA([1]characters!$A:$A),MATCH(B$1,[1]characters!$1:$1,0)-MATCH($A$1,[1]characters!$1:$1,0)+1),MATCH(B$1,[1]characters!$1:$1,0)-MATCH($A$1,[1]characters!$1:$1,0)+1,FALSE)</f>
        <v>アナンタ</v>
      </c>
      <c r="C6" s="58" t="str">
        <f ca="1">VLOOKUP($A6,OFFSET([1]characters!$A$1,0,0,COUNTA([1]characters!$A:$A),MATCH(C$1,[1]characters!$1:$1,0)-MATCH($A$1,[1]characters!$1:$1,0)+1),MATCH(C$1,[1]characters!$1:$1,0)-MATCH($A$1,[1]characters!$1:$1,0)+1,FALSE)</f>
        <v>イベント:ヒンドゥー01</v>
      </c>
      <c r="D6" s="58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8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8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8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8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8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1">
        <f ca="1">VLOOKUP(I6,[1]属性!$A:$E,2,FALSE)</f>
        <v>0.98</v>
      </c>
      <c r="K6" s="11">
        <f ca="1">VLOOKUP(I6,[1]属性!$A:$E,3,FALSE)</f>
        <v>1.01</v>
      </c>
      <c r="L6" s="11">
        <f ca="1">VLOOKUP(I6,[1]属性!$A:$E,4,FALSE)</f>
        <v>1</v>
      </c>
      <c r="M6" s="11">
        <f ca="1">VLOOKUP(I6,[1]属性!$A:$E,5,FALSE)</f>
        <v>1.01</v>
      </c>
      <c r="N6" s="11">
        <f ca="1">INDEX(コスト!$A$1:$I$20,MATCH(H6,コスト!$A$1:$A$20,FALSE),MATCH(G6,コスト!$A$1:$I$1,FALSE))</f>
        <v>17</v>
      </c>
      <c r="O6" s="11">
        <f ca="1">INDEX(レベル!$A$1:$I$21,MATCH(H6,レベル!$A$1:$A$21,FALSE),MATCH(G6,レベル!$A$1:$I$1,FALSE))</f>
        <v>60</v>
      </c>
      <c r="P6" s="48">
        <f t="shared" ca="1" si="0"/>
        <v>60</v>
      </c>
      <c r="Q6" s="58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1">
        <f ca="1">VLOOKUP(Q6,[1]character_type_i18n!$A:$H,4,FALSE)</f>
        <v>1.45</v>
      </c>
      <c r="T6" s="11">
        <f ca="1">VLOOKUP(Q6,[1]character_type_i18n!$A:$H,5,FALSE)</f>
        <v>0.85</v>
      </c>
      <c r="U6" s="11">
        <f ca="1">VLOOKUP(Q6,[1]character_type_i18n!$A:$H,6,FALSE)</f>
        <v>1</v>
      </c>
      <c r="V6" s="11">
        <f ca="1">VLOOKUP(Q6,[1]character_type_i18n!$A:$H,7,FALSE)</f>
        <v>0.7</v>
      </c>
      <c r="W6" s="58" t="str">
        <f ca="1">VLOOKUP($A6,OFFSET([1]characters!$A$1,0,0,COUNTA([1]characters!$A:$A),MATCH(W$1,[1]characters!$1:$1,0)-MATCH($A$1,[1]characters!$1:$1,0)+1),MATCH(W$1,[1]characters!$1:$1,0)-MATCH($A$1,[1]characters!$1:$1,0)+1,FALSE)</f>
        <v>dragon</v>
      </c>
      <c r="X6" s="5" t="str">
        <f ca="1">VLOOKUP(W6,[1]character_tribe_i18n!$A:$H,3,FALSE)</f>
        <v>ドラゴン</v>
      </c>
      <c r="Y6" s="58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1.1499999999999999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0.75</v>
      </c>
      <c r="AE6" s="9" t="s">
        <v>189</v>
      </c>
      <c r="AF6" s="63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t="shared" ca="1" si="1"/>
        <v>652</v>
      </c>
      <c r="AH6" s="63" t="str">
        <f ca="1">VLOOKUP($AG6,OFFSET([1]characters!$A$1,0,0,COUNTA([1]characters!$A:$A),MATCH(AH$1,[1]characters!$1:$1,0)-MATCH($A$1,[1]characters!$1:$1,0)+1),MATCH(AH$1,[1]characters!$1:$1,0)-MATCH($A$1,[1]characters!$1:$1,0)+1,FALSE)</f>
        <v>アナンタ</v>
      </c>
      <c r="AI6" s="11" t="str">
        <f>IF(AE6="NULL","NULL",VLOOKUP(G6,ビット!$A$2:$B$7,2))</f>
        <v>NULL</v>
      </c>
      <c r="AJ6" s="6">
        <v>2</v>
      </c>
      <c r="AK6" s="7" t="str">
        <f t="shared" si="2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5"/>
      <c r="AP6" s="68">
        <v>0</v>
      </c>
      <c r="AQ6" s="58" t="e">
        <f ca="1">VLOOKUP($AP6,OFFSET(unit_skills!$A$1,0,0,COUNTA(unit_skills!$A:$A),MATCH(AQ$1,unit_skills!$1:$1,0)-MATCH($AP$1,unit_skills!$1:$1,0)+1),MATCH(AQ$1,unit_skills!$1:$1,0)-MATCH($AP$1,unit_skills!$1:$1,0)+1,FALSE)</f>
        <v>#N/A</v>
      </c>
      <c r="AR6" s="58" t="e">
        <f ca="1">VLOOKUP($AP6,OFFSET(unit_skills!$A$1,0,0,COUNTA(unit_skills!$A:$A),MATCH(AR$1,unit_skills!$1:$1,0)-MATCH($AP$1,unit_skills!$1:$1,0)+1),MATCH(AR$1,unit_skills!$1:$1,0)-MATCH($AP$1,unit_skills!$1:$1,0)+1,FALSE)</f>
        <v>#N/A</v>
      </c>
      <c r="AS6" s="58" t="e">
        <f ca="1">VLOOKUP($AP6,OFFSET(unit_skills!$A$1,0,0,COUNTA(unit_skills!$A:$A),MATCH(AS$1,unit_skills!$1:$1,0)-MATCH($AP$1,unit_skills!$1:$1,0)+1),MATCH(AS$1,unit_skills!$1:$1,0)-MATCH($AP$1,unit_skills!$1:$1,0)+1,FALSE)</f>
        <v>#N/A</v>
      </c>
      <c r="AT6" s="41">
        <v>0</v>
      </c>
      <c r="AU6" s="58" t="e">
        <f ca="1">VLOOKUP($AT6,OFFSET(crash_skills!$A$1,0,0,COUNTA(crash_skills!$A:$A),MATCH(AU$1,crash_skills!$1:$1,0)-MATCH($AT$1,crash_skills!$1:$1,0)+1),MATCH(AU$1,crash_skills!$1:$1,0)-MATCH($AT$1,crash_skills!$1:$1,0)+1,FALSE)</f>
        <v>#N/A</v>
      </c>
      <c r="AV6" s="58" t="e">
        <f ca="1">VLOOKUP($AT6,OFFSET(crash_skills!$A$1,0,0,COUNTA(crash_skills!$A:$A),MATCH(AV$1,crash_skills!$1:$1,0)-MATCH($AT$1,crash_skills!$1:$1,0)+1),MATCH(AV$1,crash_skills!$1:$1,0)-MATCH($AT$1,crash_skills!$1:$1,0)+1,FALSE)</f>
        <v>#N/A</v>
      </c>
      <c r="AW6" s="58" t="e">
        <f ca="1">VLOOKUP($AT6,OFFSET(crash_skills!$A$1,0,0,COUNTA(crash_skills!$A:$A),MATCH(AW$1,crash_skills!$1:$1,0)-MATCH($AT$1,crash_skills!$1:$1,0)+1),MATCH(AW$1,crash_skills!$1:$1,0)-MATCH($AT$1,crash_skills!$1:$1,0)+1,FALSE)</f>
        <v>#N/A</v>
      </c>
      <c r="AX6" s="59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9">
        <v>1</v>
      </c>
      <c r="AZ6" s="69">
        <v>1</v>
      </c>
      <c r="BA6" s="69">
        <v>0</v>
      </c>
      <c r="BB6" s="69">
        <v>1</v>
      </c>
      <c r="BC6" s="11">
        <f ca="1">INDEX('RC6SV'!$A$1:$G$20,MATCH(H6,'RC6SV'!$A$1:$A$20,FALSE),MATCH(G6,'RC6SV'!$A$1:$G$1,FALSE))</f>
        <v>5800</v>
      </c>
      <c r="BD6" s="48">
        <f t="shared" ca="1" si="3"/>
        <v>5800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2370</v>
      </c>
      <c r="BH6" s="16">
        <f ca="1">IF($BE6&lt;=0,ROUND(BL6*0.5,0), ROUND($BE6*T6*AB6*K6*AZ6*0.8*[1]ステータス!$C$2,0))</f>
        <v>822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385</v>
      </c>
      <c r="BK6" s="11">
        <f ca="1">ROUND(BD6*S6*AA6*J6*AY6*[1]ステータス!$B$2,0)</f>
        <v>4739</v>
      </c>
      <c r="BL6" s="11">
        <f ca="1">ROUND(BD6*T6*AB6*K6*AZ6*[1]ステータス!$C$2,0)</f>
        <v>1643</v>
      </c>
      <c r="BM6" s="11">
        <f ca="1">ROUND(BD6*U6*AC6*L6*BA6*[1]ステータス!$D$2,0)</f>
        <v>0</v>
      </c>
      <c r="BN6" s="11">
        <f ca="1">ROUND(BD6*V6*AD6*M6*BB6*[1]ステータス!$E$2,0)</f>
        <v>769</v>
      </c>
      <c r="BO6" s="10">
        <v>0</v>
      </c>
      <c r="BP6" s="10">
        <v>1</v>
      </c>
      <c r="BQ6" s="10" t="s">
        <v>53</v>
      </c>
      <c r="BR6" s="10">
        <f ca="1">VLOOKUP(H6,ghosts_label!$A$2:$B$19,2,FALSE)</f>
        <v>1</v>
      </c>
    </row>
    <row r="7" spans="1:70" ht="21" customHeight="1" x14ac:dyDescent="0.15">
      <c r="A7" s="12">
        <v>653</v>
      </c>
      <c r="B7" s="58" t="str">
        <f ca="1">VLOOKUP($A7,OFFSET([1]characters!$A$1,0,0,COUNTA([1]characters!$A:$A),MATCH(B$1,[1]characters!$1:$1,0)-MATCH($A$1,[1]characters!$1:$1,0)+1),MATCH(B$1,[1]characters!$1:$1,0)-MATCH($A$1,[1]characters!$1:$1,0)+1,FALSE)</f>
        <v>悠久の狡蛇 アナンタ</v>
      </c>
      <c r="C7" s="58" t="str">
        <f ca="1">VLOOKUP($A7,OFFSET([1]characters!$A$1,0,0,COUNTA([1]characters!$A:$A),MATCH(C$1,[1]characters!$1:$1,0)-MATCH($A$1,[1]characters!$1:$1,0)+1),MATCH(C$1,[1]characters!$1:$1,0)-MATCH($A$1,[1]characters!$1:$1,0)+1,FALSE)</f>
        <v>イベント:ヒンドゥー01</v>
      </c>
      <c r="D7" s="58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8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8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8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8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8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1">
        <f ca="1">VLOOKUP(I7,[1]属性!$A:$E,2,FALSE)</f>
        <v>0.98</v>
      </c>
      <c r="K7" s="11">
        <f ca="1">VLOOKUP(I7,[1]属性!$A:$E,3,FALSE)</f>
        <v>1.01</v>
      </c>
      <c r="L7" s="11">
        <f ca="1">VLOOKUP(I7,[1]属性!$A:$E,4,FALSE)</f>
        <v>1</v>
      </c>
      <c r="M7" s="11">
        <f ca="1">VLOOKUP(I7,[1]属性!$A:$E,5,FALSE)</f>
        <v>1.01</v>
      </c>
      <c r="N7" s="11">
        <f ca="1">INDEX(コスト!$A$1:$I$20,MATCH(H7,コスト!$A$1:$A$20,FALSE),MATCH(G7,コスト!$A$1:$I$1,FALSE))</f>
        <v>26</v>
      </c>
      <c r="O7" s="11">
        <f ca="1">INDEX(レベル!$A$1:$I$21,MATCH(H7,レベル!$A$1:$A$21,FALSE),MATCH(G7,レベル!$A$1:$I$1,FALSE))</f>
        <v>80</v>
      </c>
      <c r="P7" s="48">
        <f t="shared" ca="1" si="0"/>
        <v>75</v>
      </c>
      <c r="Q7" s="58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1">
        <f ca="1">VLOOKUP(Q7,[1]character_type_i18n!$A:$H,4,FALSE)</f>
        <v>1.45</v>
      </c>
      <c r="T7" s="11">
        <f ca="1">VLOOKUP(Q7,[1]character_type_i18n!$A:$H,5,FALSE)</f>
        <v>0.85</v>
      </c>
      <c r="U7" s="11">
        <f ca="1">VLOOKUP(Q7,[1]character_type_i18n!$A:$H,6,FALSE)</f>
        <v>1</v>
      </c>
      <c r="V7" s="11">
        <f ca="1">VLOOKUP(Q7,[1]character_type_i18n!$A:$H,7,FALSE)</f>
        <v>0.7</v>
      </c>
      <c r="W7" s="58" t="str">
        <f ca="1">VLOOKUP($A7,OFFSET([1]characters!$A$1,0,0,COUNTA([1]characters!$A:$A),MATCH(W$1,[1]characters!$1:$1,0)-MATCH($A$1,[1]characters!$1:$1,0)+1),MATCH(W$1,[1]characters!$1:$1,0)-MATCH($A$1,[1]characters!$1:$1,0)+1,FALSE)</f>
        <v>dragon</v>
      </c>
      <c r="X7" s="5" t="str">
        <f ca="1">VLOOKUP(W7,[1]character_tribe_i18n!$A:$H,3,FALSE)</f>
        <v>ドラゴン</v>
      </c>
      <c r="Y7" s="58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1.1499999999999999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0.75</v>
      </c>
      <c r="AE7" s="9" t="s">
        <v>189</v>
      </c>
      <c r="AF7" s="63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653</v>
      </c>
      <c r="AH7" s="63" t="str">
        <f ca="1">VLOOKUP($AG7,OFFSET([1]characters!$A$1,0,0,COUNTA([1]characters!$A:$A),MATCH(AH$1,[1]characters!$1:$1,0)-MATCH($A$1,[1]characters!$1:$1,0)+1),MATCH(AH$1,[1]characters!$1:$1,0)-MATCH($A$1,[1]characters!$1:$1,0)+1,FALSE)</f>
        <v>悠久の狡蛇 アナンタ</v>
      </c>
      <c r="AI7" s="11" t="str">
        <f>IF(AE7="NULL","NULL",VLOOKUP(G7,ビット!$A$2:$B$7,2))</f>
        <v>NULL</v>
      </c>
      <c r="AJ7" s="6">
        <v>2</v>
      </c>
      <c r="AK7" s="7" t="str">
        <f t="shared" si="2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8">
        <v>0</v>
      </c>
      <c r="AQ7" s="58" t="e">
        <f ca="1">VLOOKUP($AP7,OFFSET(unit_skills!$A$1,0,0,COUNTA(unit_skills!$A:$A),MATCH(AQ$1,unit_skills!$1:$1,0)-MATCH($AP$1,unit_skills!$1:$1,0)+1),MATCH(AQ$1,unit_skills!$1:$1,0)-MATCH($AP$1,unit_skills!$1:$1,0)+1,FALSE)</f>
        <v>#N/A</v>
      </c>
      <c r="AR7" s="58" t="e">
        <f ca="1">VLOOKUP($AP7,OFFSET(unit_skills!$A$1,0,0,COUNTA(unit_skills!$A:$A),MATCH(AR$1,unit_skills!$1:$1,0)-MATCH($AP$1,unit_skills!$1:$1,0)+1),MATCH(AR$1,unit_skills!$1:$1,0)-MATCH($AP$1,unit_skills!$1:$1,0)+1,FALSE)</f>
        <v>#N/A</v>
      </c>
      <c r="AS7" s="58" t="e">
        <f ca="1">VLOOKUP($AP7,OFFSET(unit_skills!$A$1,0,0,COUNTA(unit_skills!$A:$A),MATCH(AS$1,unit_skills!$1:$1,0)-MATCH($AP$1,unit_skills!$1:$1,0)+1),MATCH(AS$1,unit_skills!$1:$1,0)-MATCH($AP$1,unit_skills!$1:$1,0)+1,FALSE)</f>
        <v>#N/A</v>
      </c>
      <c r="AT7" s="41">
        <v>0</v>
      </c>
      <c r="AU7" s="58" t="e">
        <f ca="1">VLOOKUP($AT7,OFFSET(crash_skills!$A$1,0,0,COUNTA(crash_skills!$A:$A),MATCH(AU$1,crash_skills!$1:$1,0)-MATCH($AT$1,crash_skills!$1:$1,0)+1),MATCH(AU$1,crash_skills!$1:$1,0)-MATCH($AT$1,crash_skills!$1:$1,0)+1,FALSE)</f>
        <v>#N/A</v>
      </c>
      <c r="AV7" s="58" t="e">
        <f ca="1">VLOOKUP($AT7,OFFSET(crash_skills!$A$1,0,0,COUNTA(crash_skills!$A:$A),MATCH(AV$1,crash_skills!$1:$1,0)-MATCH($AT$1,crash_skills!$1:$1,0)+1),MATCH(AV$1,crash_skills!$1:$1,0)-MATCH($AT$1,crash_skills!$1:$1,0)+1,FALSE)</f>
        <v>#N/A</v>
      </c>
      <c r="AW7" s="58" t="e">
        <f ca="1">VLOOKUP($AT7,OFFSET(crash_skills!$A$1,0,0,COUNTA(crash_skills!$A:$A),MATCH(AW$1,crash_skills!$1:$1,0)-MATCH($AT$1,crash_skills!$1:$1,0)+1),MATCH(AW$1,crash_skills!$1:$1,0)-MATCH($AT$1,crash_skills!$1:$1,0)+1,FALSE)</f>
        <v>#N/A</v>
      </c>
      <c r="AX7" s="59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9">
        <v>1</v>
      </c>
      <c r="AZ7" s="69">
        <v>1</v>
      </c>
      <c r="BA7" s="69">
        <v>0</v>
      </c>
      <c r="BB7" s="69">
        <v>1</v>
      </c>
      <c r="BC7" s="11">
        <f ca="1">INDEX('RC6SV'!$A$1:$G$20,MATCH(H7,'RC6SV'!$A$1:$A$20,FALSE),MATCH(G7,'RC6SV'!$A$1:$G$1,FALSE))</f>
        <v>7600</v>
      </c>
      <c r="BD7" s="48">
        <f t="shared" ca="1" si="3"/>
        <v>7600</v>
      </c>
      <c r="BE7" s="11">
        <f t="shared" ca="1" si="4"/>
        <v>0</v>
      </c>
      <c r="BF7" s="11">
        <f t="shared" ca="1" si="5"/>
        <v>1</v>
      </c>
      <c r="BG7" s="16">
        <f ca="1">IF($BE7&lt;=0,ROUND(BK7*0.5,0), ROUND($BE7*S7*AA7*J7*AY7*0.8*[1]ステータス!$B$2,0))</f>
        <v>3105</v>
      </c>
      <c r="BH7" s="16">
        <f ca="1">IF($BE7&lt;=0,ROUND(BL7*0.5,0), ROUND($BE7*T7*AB7*K7*AZ7*0.8*[1]ステータス!$C$2,0))</f>
        <v>1077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504</v>
      </c>
      <c r="BK7" s="11">
        <f ca="1">ROUND(BD7*S7*AA7*J7*AY7*[1]ステータス!$B$2,0)</f>
        <v>6210</v>
      </c>
      <c r="BL7" s="11">
        <f ca="1">ROUND(BD7*T7*AB7*K7*AZ7*[1]ステータス!$C$2,0)</f>
        <v>2153</v>
      </c>
      <c r="BM7" s="11">
        <f ca="1">ROUND(BD7*U7*AC7*L7*BA7*[1]ステータス!$D$2,0)</f>
        <v>0</v>
      </c>
      <c r="BN7" s="11">
        <f ca="1">ROUND(BD7*V7*AD7*M7*BB7*[1]ステータス!$E$2,0)</f>
        <v>1007</v>
      </c>
      <c r="BO7" s="10">
        <v>0</v>
      </c>
      <c r="BP7" s="10">
        <v>1</v>
      </c>
      <c r="BQ7" s="10" t="s">
        <v>53</v>
      </c>
      <c r="BR7" s="10">
        <f ca="1">VLOOKUP(H7,ghosts_label!$A$2:$B$19,2,FALSE)</f>
        <v>1</v>
      </c>
    </row>
    <row r="8" spans="1:70" ht="21" customHeight="1" x14ac:dyDescent="0.15">
      <c r="A8" s="12">
        <v>656</v>
      </c>
      <c r="B8" s="58" t="str">
        <f ca="1">VLOOKUP($A8,OFFSET([1]characters!$A$1,0,0,COUNTA([1]characters!$A:$A),MATCH(B$1,[1]characters!$1:$1,0)-MATCH($A$1,[1]characters!$1:$1,0)+1),MATCH(B$1,[1]characters!$1:$1,0)-MATCH($A$1,[1]characters!$1:$1,0)+1,FALSE)</f>
        <v>シヴァ</v>
      </c>
      <c r="C8" s="58" t="str">
        <f ca="1">VLOOKUP($A8,OFFSET([1]characters!$A$1,0,0,COUNTA([1]characters!$A:$A),MATCH(C$1,[1]characters!$1:$1,0)-MATCH($A$1,[1]characters!$1:$1,0)+1),MATCH(C$1,[1]characters!$1:$1,0)-MATCH($A$1,[1]characters!$1:$1,0)+1,FALSE)</f>
        <v>イベント:ウィザード</v>
      </c>
      <c r="D8" s="58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8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8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8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8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8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INDEX(コスト!$A$1:$I$20,MATCH(H8,コスト!$A$1:$A$20,FALSE),MATCH(G8,コスト!$A$1:$I$1,FALSE))</f>
        <v>20</v>
      </c>
      <c r="O8" s="11">
        <f ca="1">INDEX(レベル!$A$1:$I$21,MATCH(H8,レベル!$A$1:$A$21,FALSE),MATCH(G8,レベル!$A$1:$I$1,FALSE))</f>
        <v>60</v>
      </c>
      <c r="P8" s="48">
        <f t="shared" ca="1" si="0"/>
        <v>60</v>
      </c>
      <c r="Q8" s="58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8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8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 t="s">
        <v>189</v>
      </c>
      <c r="AF8" s="63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1"/>
        <v>656</v>
      </c>
      <c r="AH8" s="63" t="str">
        <f ca="1">VLOOKUP($AG8,OFFSET([1]characters!$A$1,0,0,COUNTA([1]characters!$A:$A),MATCH(AH$1,[1]characters!$1:$1,0)-MATCH($A$1,[1]characters!$1:$1,0)+1),MATCH(AH$1,[1]characters!$1:$1,0)-MATCH($A$1,[1]characters!$1:$1,0)+1,FALSE)</f>
        <v>シヴァ</v>
      </c>
      <c r="AI8" s="11" t="str">
        <f>IF(AE8="NULL","NULL",VLOOKUP(G8,ビット!$A$2:$B$7,2))</f>
        <v>NULL</v>
      </c>
      <c r="AJ8" s="6">
        <v>2</v>
      </c>
      <c r="AK8" s="7" t="str">
        <f t="shared" si="2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5"/>
      <c r="AP8" s="68">
        <v>0</v>
      </c>
      <c r="AQ8" s="58" t="e">
        <f ca="1">VLOOKUP($AP8,OFFSET(unit_skills!$A$1,0,0,COUNTA(unit_skills!$A:$A),MATCH(AQ$1,unit_skills!$1:$1,0)-MATCH($AP$1,unit_skills!$1:$1,0)+1),MATCH(AQ$1,unit_skills!$1:$1,0)-MATCH($AP$1,unit_skills!$1:$1,0)+1,FALSE)</f>
        <v>#N/A</v>
      </c>
      <c r="AR8" s="58" t="e">
        <f ca="1">VLOOKUP($AP8,OFFSET(unit_skills!$A$1,0,0,COUNTA(unit_skills!$A:$A),MATCH(AR$1,unit_skills!$1:$1,0)-MATCH($AP$1,unit_skills!$1:$1,0)+1),MATCH(AR$1,unit_skills!$1:$1,0)-MATCH($AP$1,unit_skills!$1:$1,0)+1,FALSE)</f>
        <v>#N/A</v>
      </c>
      <c r="AS8" s="58" t="e">
        <f ca="1">VLOOKUP($AP8,OFFSET(unit_skills!$A$1,0,0,COUNTA(unit_skills!$A:$A),MATCH(AS$1,unit_skills!$1:$1,0)-MATCH($AP$1,unit_skills!$1:$1,0)+1),MATCH(AS$1,unit_skills!$1:$1,0)-MATCH($AP$1,unit_skills!$1:$1,0)+1,FALSE)</f>
        <v>#N/A</v>
      </c>
      <c r="AT8" s="41">
        <v>0</v>
      </c>
      <c r="AU8" s="58" t="e">
        <f ca="1">VLOOKUP($AT8,OFFSET(crash_skills!$A$1,0,0,COUNTA(crash_skills!$A:$A),MATCH(AU$1,crash_skills!$1:$1,0)-MATCH($AT$1,crash_skills!$1:$1,0)+1),MATCH(AU$1,crash_skills!$1:$1,0)-MATCH($AT$1,crash_skills!$1:$1,0)+1,FALSE)</f>
        <v>#N/A</v>
      </c>
      <c r="AV8" s="58" t="e">
        <f ca="1">VLOOKUP($AT8,OFFSET(crash_skills!$A$1,0,0,COUNTA(crash_skills!$A:$A),MATCH(AV$1,crash_skills!$1:$1,0)-MATCH($AT$1,crash_skills!$1:$1,0)+1),MATCH(AV$1,crash_skills!$1:$1,0)-MATCH($AT$1,crash_skills!$1:$1,0)+1,FALSE)</f>
        <v>#N/A</v>
      </c>
      <c r="AW8" s="58" t="e">
        <f ca="1">VLOOKUP($AT8,OFFSET(crash_skills!$A$1,0,0,COUNTA(crash_skills!$A:$A),MATCH(AW$1,crash_skills!$1:$1,0)-MATCH($AT$1,crash_skills!$1:$1,0)+1),MATCH(AW$1,crash_skills!$1:$1,0)-MATCH($AT$1,crash_skills!$1:$1,0)+1,FALSE)</f>
        <v>#N/A</v>
      </c>
      <c r="AX8" s="59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9">
        <v>1</v>
      </c>
      <c r="AZ8" s="69">
        <v>1</v>
      </c>
      <c r="BA8" s="69">
        <v>0</v>
      </c>
      <c r="BB8" s="69">
        <v>1</v>
      </c>
      <c r="BC8" s="11">
        <f ca="1">INDEX('RC6SV'!$A$1:$G$20,MATCH(H8,'RC6SV'!$A$1:$A$20,FALSE),MATCH(G8,'RC6SV'!$A$1:$G$1,FALSE))</f>
        <v>7000</v>
      </c>
      <c r="BD8" s="48">
        <f t="shared" ca="1" si="3"/>
        <v>7000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1680</v>
      </c>
      <c r="BH8" s="16">
        <f ca="1">IF($BE8&lt;=0,ROUND(BL8*0.5,0), ROUND($BE8*T8*AB8*K8*AZ8*0.8*[1]ステータス!$C$2,0))</f>
        <v>1050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911</v>
      </c>
      <c r="BK8" s="11">
        <f ca="1">ROUND(BD8*S8*AA8*J8*AY8*[1]ステータス!$B$2,0)</f>
        <v>3360</v>
      </c>
      <c r="BL8" s="11">
        <f ca="1">ROUND(BD8*T8*AB8*K8*AZ8*[1]ステータス!$C$2,0)</f>
        <v>2099</v>
      </c>
      <c r="BM8" s="11">
        <f ca="1">ROUND(BD8*U8*AC8*L8*BA8*[1]ステータス!$D$2,0)</f>
        <v>0</v>
      </c>
      <c r="BN8" s="11">
        <f ca="1">ROUND(BD8*V8*AD8*M8*BB8*[1]ステータス!$E$2,0)</f>
        <v>1821</v>
      </c>
      <c r="BO8" s="10">
        <v>0</v>
      </c>
      <c r="BP8" s="10">
        <v>1</v>
      </c>
      <c r="BQ8" s="10" t="s">
        <v>53</v>
      </c>
      <c r="BR8" s="10">
        <f ca="1">VLOOKUP(H8,ghosts_label!$A$2:$B$19,2,FALSE)</f>
        <v>1</v>
      </c>
    </row>
    <row r="9" spans="1:70" ht="21" customHeight="1" x14ac:dyDescent="0.15">
      <c r="A9" s="12">
        <v>657</v>
      </c>
      <c r="B9" s="58" t="str">
        <f ca="1">VLOOKUP($A9,OFFSET([1]characters!$A$1,0,0,COUNTA([1]characters!$A:$A),MATCH(B$1,[1]characters!$1:$1,0)-MATCH($A$1,[1]characters!$1:$1,0)+1),MATCH(B$1,[1]characters!$1:$1,0)-MATCH($A$1,[1]characters!$1:$1,0)+1,FALSE)</f>
        <v>解滅の裁神 シヴァ</v>
      </c>
      <c r="C9" s="58" t="str">
        <f ca="1">VLOOKUP($A9,OFFSET([1]characters!$A$1,0,0,COUNTA([1]characters!$A:$A),MATCH(C$1,[1]characters!$1:$1,0)-MATCH($A$1,[1]characters!$1:$1,0)+1),MATCH(C$1,[1]characters!$1:$1,0)-MATCH($A$1,[1]characters!$1:$1,0)+1,FALSE)</f>
        <v>イベント:ウィザード</v>
      </c>
      <c r="D9" s="58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8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8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8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8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8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INDEX(コスト!$A$1:$I$20,MATCH(H9,コスト!$A$1:$A$20,FALSE),MATCH(G9,コスト!$A$1:$I$1,FALSE))</f>
        <v>30</v>
      </c>
      <c r="O9" s="11">
        <f ca="1">INDEX(レベル!$A$1:$I$21,MATCH(H9,レベル!$A$1:$A$21,FALSE),MATCH(G9,レベル!$A$1:$I$1,FALSE))</f>
        <v>80</v>
      </c>
      <c r="P9" s="48">
        <f t="shared" ca="1" si="0"/>
        <v>75</v>
      </c>
      <c r="Q9" s="58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8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8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189</v>
      </c>
      <c r="AF9" s="63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657</v>
      </c>
      <c r="AH9" s="63" t="str">
        <f ca="1">VLOOKUP($AG9,OFFSET([1]characters!$A$1,0,0,COUNTA([1]characters!$A:$A),MATCH(AH$1,[1]characters!$1:$1,0)-MATCH($A$1,[1]characters!$1:$1,0)+1),MATCH(AH$1,[1]characters!$1:$1,0)-MATCH($A$1,[1]characters!$1:$1,0)+1,FALSE)</f>
        <v>解滅の裁神 シヴァ</v>
      </c>
      <c r="AI9" s="11" t="str">
        <f>IF(AE9="NULL","NULL",VLOOKUP(G9,ビット!$A$2:$B$7,2))</f>
        <v>NULL</v>
      </c>
      <c r="AJ9" s="6">
        <v>2</v>
      </c>
      <c r="AK9" s="7" t="str">
        <f t="shared" si="2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68">
        <v>0</v>
      </c>
      <c r="AQ9" s="58" t="e">
        <f ca="1">VLOOKUP($AP9,OFFSET(unit_skills!$A$1,0,0,COUNTA(unit_skills!$A:$A),MATCH(AQ$1,unit_skills!$1:$1,0)-MATCH($AP$1,unit_skills!$1:$1,0)+1),MATCH(AQ$1,unit_skills!$1:$1,0)-MATCH($AP$1,unit_skills!$1:$1,0)+1,FALSE)</f>
        <v>#N/A</v>
      </c>
      <c r="AR9" s="58" t="e">
        <f ca="1">VLOOKUP($AP9,OFFSET(unit_skills!$A$1,0,0,COUNTA(unit_skills!$A:$A),MATCH(AR$1,unit_skills!$1:$1,0)-MATCH($AP$1,unit_skills!$1:$1,0)+1),MATCH(AR$1,unit_skills!$1:$1,0)-MATCH($AP$1,unit_skills!$1:$1,0)+1,FALSE)</f>
        <v>#N/A</v>
      </c>
      <c r="AS9" s="58" t="e">
        <f ca="1">VLOOKUP($AP9,OFFSET(unit_skills!$A$1,0,0,COUNTA(unit_skills!$A:$A),MATCH(AS$1,unit_skills!$1:$1,0)-MATCH($AP$1,unit_skills!$1:$1,0)+1),MATCH(AS$1,unit_skills!$1:$1,0)-MATCH($AP$1,unit_skills!$1:$1,0)+1,FALSE)</f>
        <v>#N/A</v>
      </c>
      <c r="AT9" s="41">
        <v>0</v>
      </c>
      <c r="AU9" s="58" t="e">
        <f ca="1">VLOOKUP($AT9,OFFSET(crash_skills!$A$1,0,0,COUNTA(crash_skills!$A:$A),MATCH(AU$1,crash_skills!$1:$1,0)-MATCH($AT$1,crash_skills!$1:$1,0)+1),MATCH(AU$1,crash_skills!$1:$1,0)-MATCH($AT$1,crash_skills!$1:$1,0)+1,FALSE)</f>
        <v>#N/A</v>
      </c>
      <c r="AV9" s="58" t="e">
        <f ca="1">VLOOKUP($AT9,OFFSET(crash_skills!$A$1,0,0,COUNTA(crash_skills!$A:$A),MATCH(AV$1,crash_skills!$1:$1,0)-MATCH($AT$1,crash_skills!$1:$1,0)+1),MATCH(AV$1,crash_skills!$1:$1,0)-MATCH($AT$1,crash_skills!$1:$1,0)+1,FALSE)</f>
        <v>#N/A</v>
      </c>
      <c r="AW9" s="58" t="e">
        <f ca="1">VLOOKUP($AT9,OFFSET(crash_skills!$A$1,0,0,COUNTA(crash_skills!$A:$A),MATCH(AW$1,crash_skills!$1:$1,0)-MATCH($AT$1,crash_skills!$1:$1,0)+1),MATCH(AW$1,crash_skills!$1:$1,0)-MATCH($AT$1,crash_skills!$1:$1,0)+1,FALSE)</f>
        <v>#N/A</v>
      </c>
      <c r="AX9" s="59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9">
        <v>1</v>
      </c>
      <c r="AZ9" s="69">
        <v>1</v>
      </c>
      <c r="BA9" s="69">
        <v>0</v>
      </c>
      <c r="BB9" s="69">
        <v>1</v>
      </c>
      <c r="BC9" s="11">
        <f ca="1">INDEX('RC6SV'!$A$1:$G$20,MATCH(H9,'RC6SV'!$A$1:$A$20,FALSE),MATCH(G9,'RC6SV'!$A$1:$G$1,FALSE))</f>
        <v>9000</v>
      </c>
      <c r="BD9" s="48">
        <f t="shared" ca="1" si="3"/>
        <v>9000</v>
      </c>
      <c r="BE9" s="11">
        <f t="shared" ca="1" si="4"/>
        <v>0</v>
      </c>
      <c r="BF9" s="11">
        <f t="shared" ca="1" si="5"/>
        <v>1</v>
      </c>
      <c r="BG9" s="16">
        <f ca="1">IF($BE9&lt;=0,ROUND(BK9*0.5,0), ROUND($BE9*S9*AA9*J9*AY9*0.8*[1]ステータス!$B$2,0))</f>
        <v>2160</v>
      </c>
      <c r="BH9" s="16">
        <f ca="1">IF($BE9&lt;=0,ROUND(BL9*0.5,0), ROUND($BE9*T9*AB9*K9*AZ9*0.8*[1]ステータス!$C$2,0))</f>
        <v>1350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1171</v>
      </c>
      <c r="BK9" s="11">
        <f ca="1">ROUND(BD9*S9*AA9*J9*AY9*[1]ステータス!$B$2,0)</f>
        <v>4320</v>
      </c>
      <c r="BL9" s="11">
        <f ca="1">ROUND(BD9*T9*AB9*K9*AZ9*[1]ステータス!$C$2,0)</f>
        <v>2699</v>
      </c>
      <c r="BM9" s="11">
        <f ca="1">ROUND(BD9*U9*AC9*L9*BA9*[1]ステータス!$D$2,0)</f>
        <v>0</v>
      </c>
      <c r="BN9" s="11">
        <f ca="1">ROUND(BD9*V9*AD9*M9*BB9*[1]ステータス!$E$2,0)</f>
        <v>2341</v>
      </c>
      <c r="BO9" s="10">
        <v>0</v>
      </c>
      <c r="BP9" s="10">
        <v>1</v>
      </c>
      <c r="BQ9" s="10" t="s">
        <v>53</v>
      </c>
      <c r="BR9" s="10">
        <f ca="1">VLOOKUP(H9,ghosts_label!$A$2:$B$19,2,FALSE)</f>
        <v>1</v>
      </c>
    </row>
  </sheetData>
  <autoFilter ref="A1:BQ1"/>
  <phoneticPr fontId="10"/>
  <conditionalFormatting sqref="BO1">
    <cfRule type="cellIs" dxfId="25" priority="120" stopIfTrue="1" operator="equal">
      <formula>1</formula>
    </cfRule>
  </conditionalFormatting>
  <conditionalFormatting sqref="BQ1">
    <cfRule type="cellIs" dxfId="24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"/>
  <sheetViews>
    <sheetView showGridLines="0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D24" sqref="D24"/>
    </sheetView>
  </sheetViews>
  <sheetFormatPr baseColWidth="12" defaultColWidth="13" defaultRowHeight="21" customHeight="1" outlineLevelCol="1" x14ac:dyDescent="0.15"/>
  <cols>
    <col min="1" max="1" width="16.1640625" style="137" bestFit="1" customWidth="1"/>
    <col min="2" max="2" width="13" style="137" bestFit="1" customWidth="1"/>
    <col min="3" max="3" width="21.83203125" style="137" customWidth="1"/>
    <col min="4" max="4" width="41.83203125" style="137" customWidth="1"/>
    <col min="5" max="5" width="9" style="137" customWidth="1"/>
    <col min="6" max="6" width="7.83203125" style="137" bestFit="1" customWidth="1"/>
    <col min="7" max="7" width="8.1640625" style="137" bestFit="1" customWidth="1"/>
    <col min="8" max="8" width="13.6640625" style="137" bestFit="1" customWidth="1"/>
    <col min="9" max="10" width="51.6640625" style="137" customWidth="1"/>
    <col min="11" max="11" width="10.83203125" style="137" customWidth="1" outlineLevel="1"/>
    <col min="12" max="17" width="9.5" style="136" customWidth="1" outlineLevel="1"/>
    <col min="18" max="18" width="20.33203125" style="137" customWidth="1" outlineLevel="1"/>
    <col min="19" max="19" width="10.33203125" style="137" bestFit="1" customWidth="1"/>
    <col min="20" max="16384" width="13" style="137"/>
  </cols>
  <sheetData>
    <row r="1" spans="1:19" s="136" customFormat="1" ht="21" customHeight="1" x14ac:dyDescent="0.15">
      <c r="A1" s="125" t="s">
        <v>20</v>
      </c>
      <c r="B1" s="126" t="s">
        <v>140</v>
      </c>
      <c r="C1" s="127" t="s">
        <v>46</v>
      </c>
      <c r="D1" s="128" t="s">
        <v>169</v>
      </c>
      <c r="E1" s="128" t="s">
        <v>170</v>
      </c>
      <c r="F1" s="125" t="s">
        <v>152</v>
      </c>
      <c r="G1" s="129" t="s">
        <v>2</v>
      </c>
      <c r="H1" s="129" t="s">
        <v>171</v>
      </c>
      <c r="I1" s="129" t="s">
        <v>172</v>
      </c>
      <c r="J1" s="130" t="s">
        <v>191</v>
      </c>
      <c r="K1" s="129" t="s">
        <v>4</v>
      </c>
      <c r="L1" s="131" t="s">
        <v>173</v>
      </c>
      <c r="M1" s="132" t="s">
        <v>174</v>
      </c>
      <c r="N1" s="132" t="s">
        <v>175</v>
      </c>
      <c r="O1" s="132" t="s">
        <v>176</v>
      </c>
      <c r="P1" s="132" t="s">
        <v>177</v>
      </c>
      <c r="Q1" s="133" t="s">
        <v>178</v>
      </c>
      <c r="R1" s="134" t="s">
        <v>179</v>
      </c>
      <c r="S1" s="135" t="s">
        <v>180</v>
      </c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:E1048576">
    <cfRule type="cellIs" dxfId="23" priority="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J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25" sqref="D25"/>
    </sheetView>
  </sheetViews>
  <sheetFormatPr baseColWidth="12" defaultColWidth="13" defaultRowHeight="21" customHeight="1" x14ac:dyDescent="0.15"/>
  <cols>
    <col min="1" max="2" width="12.1640625" style="137" customWidth="1"/>
    <col min="3" max="3" width="48.83203125" style="138" customWidth="1"/>
    <col min="4" max="4" width="23.83203125" style="138" customWidth="1"/>
    <col min="5" max="5" width="10.5" style="138" customWidth="1"/>
    <col min="6" max="7" width="59.1640625" style="138" customWidth="1"/>
    <col min="8" max="8" width="6.83203125" style="137" bestFit="1" customWidth="1"/>
    <col min="9" max="9" width="20.33203125" style="137" customWidth="1"/>
    <col min="10" max="10" width="5" style="137" bestFit="1" customWidth="1"/>
    <col min="11" max="16384" width="13" style="137"/>
  </cols>
  <sheetData>
    <row r="1" spans="1:10" ht="21" customHeight="1" x14ac:dyDescent="0.15">
      <c r="A1" s="125" t="s">
        <v>188</v>
      </c>
      <c r="B1" s="126" t="s">
        <v>187</v>
      </c>
      <c r="C1" s="127" t="s">
        <v>186</v>
      </c>
      <c r="D1" s="128" t="s">
        <v>185</v>
      </c>
      <c r="E1" s="128" t="s">
        <v>184</v>
      </c>
      <c r="F1" s="129" t="s">
        <v>183</v>
      </c>
      <c r="G1" s="130" t="s">
        <v>191</v>
      </c>
      <c r="H1" s="129" t="s">
        <v>182</v>
      </c>
      <c r="I1" s="130" t="s">
        <v>181</v>
      </c>
      <c r="J1" s="134" t="s">
        <v>180</v>
      </c>
    </row>
  </sheetData>
  <sheetProtection selectLockedCells="1" selectUnlockedCells="1"/>
  <autoFilter ref="A1:J1"/>
  <phoneticPr fontId="22"/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5"/>
  <sheetViews>
    <sheetView workbookViewId="0">
      <selection activeCell="L28" sqref="L28"/>
    </sheetView>
  </sheetViews>
  <sheetFormatPr baseColWidth="12" defaultRowHeight="15" outlineLevelCol="1" x14ac:dyDescent="0.15"/>
  <cols>
    <col min="2" max="2" width="12.83203125" style="141"/>
    <col min="4" max="4" width="12.83203125" style="141" customWidth="1" outlineLevel="1"/>
    <col min="5" max="5" width="12.83203125" style="141"/>
  </cols>
  <sheetData>
    <row r="1" spans="1:8" x14ac:dyDescent="0.15">
      <c r="A1" s="121" t="s">
        <v>192</v>
      </c>
      <c r="B1" s="140" t="s">
        <v>193</v>
      </c>
      <c r="C1" s="121" t="s">
        <v>194</v>
      </c>
      <c r="D1" s="140" t="s">
        <v>196</v>
      </c>
      <c r="E1" s="140" t="s">
        <v>197</v>
      </c>
      <c r="F1" s="118" t="s">
        <v>198</v>
      </c>
      <c r="G1" s="121" t="s">
        <v>195</v>
      </c>
      <c r="H1" s="118" t="s">
        <v>199</v>
      </c>
    </row>
    <row r="2" spans="1:8" x14ac:dyDescent="0.15">
      <c r="A2" s="114">
        <v>1</v>
      </c>
      <c r="B2" s="140" t="str">
        <f>VLOOKUP(A2,[1]characters!$A:$C,3,FALSE)</f>
        <v>ジェリー</v>
      </c>
      <c r="C2" s="114" t="s">
        <v>200</v>
      </c>
      <c r="D2" s="140" t="str">
        <f>A2&amp;C2</f>
        <v>1skill</v>
      </c>
      <c r="E2" s="140">
        <f>COUNTIF(D$2:D2,D2)</f>
        <v>1</v>
      </c>
      <c r="F2" s="114" t="s">
        <v>202</v>
      </c>
      <c r="G2" s="114" t="s">
        <v>201</v>
      </c>
      <c r="H2" s="114" t="s">
        <v>203</v>
      </c>
    </row>
    <row r="3" spans="1:8" x14ac:dyDescent="0.15">
      <c r="A3" s="114">
        <v>1</v>
      </c>
      <c r="B3" s="140" t="str">
        <f>VLOOKUP(A3,[1]characters!$A:$C,3,FALSE)</f>
        <v>ジェリー</v>
      </c>
      <c r="C3" s="114" t="s">
        <v>204</v>
      </c>
      <c r="D3" s="140" t="str">
        <f>A3&amp;C3</f>
        <v>1cskill</v>
      </c>
      <c r="E3" s="140">
        <f>COUNTIF(D$2:D3,D3)</f>
        <v>1</v>
      </c>
      <c r="F3" s="114" t="s">
        <v>202</v>
      </c>
      <c r="G3" s="114" t="s">
        <v>201</v>
      </c>
      <c r="H3" s="114" t="s">
        <v>205</v>
      </c>
    </row>
    <row r="4" spans="1:8" x14ac:dyDescent="0.15">
      <c r="A4" s="114"/>
      <c r="B4" s="140"/>
      <c r="C4" s="114"/>
      <c r="D4" s="140"/>
      <c r="E4" s="140"/>
      <c r="F4" s="114"/>
      <c r="G4" s="114"/>
      <c r="H4" s="114"/>
    </row>
    <row r="5" spans="1:8" x14ac:dyDescent="0.15">
      <c r="A5" s="114"/>
      <c r="B5" s="140"/>
      <c r="C5" s="114"/>
      <c r="D5" s="140"/>
      <c r="E5" s="140"/>
      <c r="F5" s="114"/>
      <c r="G5" s="114"/>
      <c r="H5" s="114"/>
    </row>
    <row r="6" spans="1:8" x14ac:dyDescent="0.15">
      <c r="A6" s="114"/>
      <c r="B6" s="140"/>
      <c r="C6" s="114"/>
      <c r="D6" s="140"/>
      <c r="E6" s="140"/>
      <c r="F6" s="114"/>
      <c r="G6" s="114"/>
      <c r="H6" s="114"/>
    </row>
    <row r="7" spans="1:8" x14ac:dyDescent="0.15">
      <c r="A7" s="114"/>
      <c r="B7" s="140"/>
      <c r="C7" s="114"/>
      <c r="D7" s="140"/>
      <c r="E7" s="140"/>
      <c r="F7" s="114"/>
      <c r="G7" s="114"/>
      <c r="H7" s="114"/>
    </row>
    <row r="8" spans="1:8" x14ac:dyDescent="0.15">
      <c r="A8" s="114"/>
      <c r="B8" s="140"/>
      <c r="C8" s="114"/>
      <c r="D8" s="140"/>
      <c r="E8" s="140"/>
      <c r="F8" s="114"/>
      <c r="G8" s="114"/>
      <c r="H8" s="114"/>
    </row>
    <row r="9" spans="1:8" x14ac:dyDescent="0.15">
      <c r="A9" s="114"/>
      <c r="B9" s="140"/>
      <c r="C9" s="114"/>
      <c r="D9" s="140"/>
      <c r="E9" s="140"/>
      <c r="F9" s="114"/>
      <c r="G9" s="114"/>
      <c r="H9" s="114"/>
    </row>
    <row r="10" spans="1:8" x14ac:dyDescent="0.15">
      <c r="A10" s="114"/>
      <c r="B10" s="140"/>
      <c r="C10" s="114"/>
      <c r="D10" s="140"/>
      <c r="E10" s="140"/>
      <c r="F10" s="114"/>
      <c r="G10" s="114"/>
      <c r="H10" s="114"/>
    </row>
    <row r="11" spans="1:8" x14ac:dyDescent="0.15">
      <c r="A11" s="114"/>
      <c r="B11" s="140"/>
      <c r="C11" s="114"/>
      <c r="D11" s="140"/>
      <c r="E11" s="140"/>
      <c r="F11" s="114"/>
      <c r="G11" s="114"/>
      <c r="H11" s="114"/>
    </row>
    <row r="12" spans="1:8" x14ac:dyDescent="0.15">
      <c r="A12" s="114"/>
      <c r="B12" s="140"/>
      <c r="C12" s="114"/>
      <c r="D12" s="140"/>
      <c r="E12" s="140"/>
      <c r="F12" s="114"/>
      <c r="G12" s="114"/>
      <c r="H12" s="114"/>
    </row>
    <row r="13" spans="1:8" x14ac:dyDescent="0.15">
      <c r="A13" s="114"/>
      <c r="B13" s="140"/>
      <c r="C13" s="114"/>
      <c r="D13" s="140"/>
      <c r="E13" s="140"/>
      <c r="F13" s="114"/>
      <c r="G13" s="114"/>
      <c r="H13" s="114"/>
    </row>
    <row r="14" spans="1:8" x14ac:dyDescent="0.15">
      <c r="A14" s="114"/>
      <c r="B14" s="140"/>
      <c r="C14" s="114"/>
      <c r="D14" s="140"/>
      <c r="E14" s="140"/>
      <c r="F14" s="114"/>
      <c r="G14" s="114"/>
      <c r="H14" s="114"/>
    </row>
    <row r="15" spans="1:8" x14ac:dyDescent="0.15">
      <c r="A15" s="114"/>
      <c r="B15" s="140"/>
      <c r="C15" s="114"/>
      <c r="D15" s="140"/>
      <c r="E15" s="140"/>
      <c r="F15" s="114"/>
      <c r="G15" s="114"/>
      <c r="H15" s="114"/>
    </row>
    <row r="16" spans="1:8" x14ac:dyDescent="0.15">
      <c r="A16" s="114"/>
      <c r="B16" s="140"/>
      <c r="C16" s="114"/>
      <c r="D16" s="140"/>
      <c r="E16" s="140"/>
      <c r="F16" s="114"/>
      <c r="G16" s="114"/>
      <c r="H16" s="114"/>
    </row>
    <row r="17" spans="1:8" x14ac:dyDescent="0.15">
      <c r="A17" s="114"/>
      <c r="B17" s="140"/>
      <c r="C17" s="114"/>
      <c r="D17" s="140"/>
      <c r="E17" s="140"/>
      <c r="F17" s="114"/>
      <c r="G17" s="114"/>
      <c r="H17" s="114"/>
    </row>
    <row r="18" spans="1:8" x14ac:dyDescent="0.15">
      <c r="A18" s="114"/>
      <c r="B18" s="140"/>
      <c r="C18" s="114"/>
      <c r="D18" s="140"/>
      <c r="E18" s="140"/>
      <c r="F18" s="114"/>
      <c r="G18" s="114"/>
      <c r="H18" s="114"/>
    </row>
    <row r="19" spans="1:8" x14ac:dyDescent="0.15">
      <c r="A19" s="114"/>
      <c r="B19" s="140"/>
      <c r="C19" s="114"/>
      <c r="D19" s="140"/>
      <c r="E19" s="140"/>
      <c r="F19" s="114"/>
      <c r="G19" s="114"/>
      <c r="H19" s="114"/>
    </row>
    <row r="20" spans="1:8" x14ac:dyDescent="0.15">
      <c r="A20" s="114"/>
      <c r="B20" s="140"/>
      <c r="C20" s="114"/>
      <c r="D20" s="140"/>
      <c r="E20" s="140"/>
      <c r="F20" s="114"/>
      <c r="G20" s="114"/>
      <c r="H20" s="114"/>
    </row>
    <row r="21" spans="1:8" x14ac:dyDescent="0.15">
      <c r="A21" s="114"/>
      <c r="B21" s="140"/>
      <c r="C21" s="114"/>
      <c r="D21" s="140"/>
      <c r="E21" s="140"/>
      <c r="F21" s="114"/>
      <c r="G21" s="114"/>
      <c r="H21" s="114"/>
    </row>
    <row r="22" spans="1:8" x14ac:dyDescent="0.15">
      <c r="A22" s="114"/>
      <c r="B22" s="140"/>
      <c r="C22" s="114"/>
      <c r="D22" s="140"/>
      <c r="E22" s="140"/>
      <c r="F22" s="114"/>
      <c r="G22" s="114"/>
      <c r="H22" s="114"/>
    </row>
    <row r="23" spans="1:8" x14ac:dyDescent="0.15">
      <c r="A23" s="114"/>
      <c r="B23" s="140"/>
      <c r="C23" s="114"/>
      <c r="D23" s="140"/>
      <c r="E23" s="140"/>
      <c r="F23" s="114"/>
      <c r="G23" s="114"/>
      <c r="H23" s="114"/>
    </row>
    <row r="24" spans="1:8" x14ac:dyDescent="0.15">
      <c r="A24" s="114"/>
      <c r="B24" s="140"/>
      <c r="C24" s="114"/>
      <c r="D24" s="140"/>
      <c r="E24" s="140"/>
      <c r="F24" s="114"/>
      <c r="G24" s="114"/>
      <c r="H24" s="114"/>
    </row>
    <row r="25" spans="1:8" x14ac:dyDescent="0.15">
      <c r="A25" s="114"/>
      <c r="B25" s="140"/>
      <c r="C25" s="114"/>
      <c r="D25" s="140"/>
      <c r="E25" s="140"/>
      <c r="F25" s="114"/>
      <c r="G25" s="114"/>
      <c r="H25" s="114"/>
    </row>
  </sheetData>
  <phoneticPr fontId="22"/>
  <dataValidations count="2">
    <dataValidation type="list" allowBlank="1" showInputMessage="1" showErrorMessage="1" sqref="G2:G3">
      <formula1>"maru,giza,kumo"</formula1>
    </dataValidation>
    <dataValidation type="list" allowBlank="1" showInputMessage="1" showErrorMessage="1" sqref="C2:C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"/>
  <sheetViews>
    <sheetView showGridLines="0" topLeftCell="B1" workbookViewId="0">
      <pane ySplit="1" topLeftCell="A2" activePane="bottomLeft" state="frozen"/>
      <selection pane="bottomLeft" activeCell="I16" sqref="I16"/>
    </sheetView>
  </sheetViews>
  <sheetFormatPr baseColWidth="12" defaultColWidth="13" defaultRowHeight="15" x14ac:dyDescent="0.15"/>
  <cols>
    <col min="1" max="1" width="11.5" style="66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6" t="s">
        <v>105</v>
      </c>
      <c r="B1" s="42" t="s">
        <v>44</v>
      </c>
      <c r="C1" s="20" t="s">
        <v>46</v>
      </c>
      <c r="D1" s="20" t="s">
        <v>48</v>
      </c>
      <c r="E1" s="20" t="s">
        <v>49</v>
      </c>
      <c r="F1" s="43" t="s">
        <v>42</v>
      </c>
      <c r="G1" s="20" t="s">
        <v>47</v>
      </c>
      <c r="H1" s="19" t="s">
        <v>43</v>
      </c>
      <c r="I1" s="119" t="s">
        <v>133</v>
      </c>
    </row>
    <row r="2" spans="1:9" ht="21" customHeight="1" x14ac:dyDescent="0.15">
      <c r="A2" s="66" t="str">
        <f>B2&amp;"_"&amp;F2</f>
        <v>410_101</v>
      </c>
      <c r="B2" s="44">
        <v>410</v>
      </c>
      <c r="C2" s="21" t="e">
        <f ca="1">VLOOKUP($B2,OFFSET(units!$A$1,0,0,COUNTA(units!$A:$A),MATCH(C$1,units!$1:$1,0)-COLUMN(INDIRECT("character_id"))+1),MATCH(C$1,units!$1:$1,0)-COLUMN(INDIRECT("character_id"))+1,FALSE)</f>
        <v>#N/A</v>
      </c>
      <c r="D2" s="21" t="e">
        <f ca="1">VLOOKUP($B2,OFFSET(units!$A$1,0,0,COUNTA(units!$A:$A),MATCH(D$1,units!$1:$1,0)-COLUMN(INDIRECT("character_id"))+1),MATCH(D$1,units!$1:$1,0)-COLUMN(INDIRECT("character_id"))+1,FALSE)</f>
        <v>#N/A</v>
      </c>
      <c r="E2" s="21" t="e">
        <f ca="1">VLOOKUP($B2,OFFSET(units!$A$1,0,0,COUNTA(units!$A:$A),MATCH(E$1,units!$1:$1,0)-COLUMN(INDIRECT("character_id"))+1),MATCH(E$1,units!$1:$1,0)-COLUMN(INDIRECT("character_id"))+1,FALSE)</f>
        <v>#N/A</v>
      </c>
      <c r="F2" s="44">
        <v>101</v>
      </c>
      <c r="G2" s="21" t="str">
        <f>VLOOKUP(F2,[1]characters!$A:$C,3,FALSE)</f>
        <v>レッドチェシャ</v>
      </c>
      <c r="H2" s="18">
        <v>1</v>
      </c>
      <c r="I2" s="120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H20" sqref="H20"/>
    </sheetView>
  </sheetViews>
  <sheetFormatPr baseColWidth="12" defaultRowHeight="15" x14ac:dyDescent="0.15"/>
  <sheetData>
    <row r="1" spans="1:2" x14ac:dyDescent="0.15">
      <c r="A1" t="s">
        <v>258</v>
      </c>
      <c r="B1" t="s">
        <v>259</v>
      </c>
    </row>
    <row r="2" spans="1:2" x14ac:dyDescent="0.15">
      <c r="A2" t="s">
        <v>260</v>
      </c>
      <c r="B2">
        <v>1</v>
      </c>
    </row>
    <row r="3" spans="1:2" x14ac:dyDescent="0.15">
      <c r="A3" t="s">
        <v>261</v>
      </c>
      <c r="B3">
        <v>1</v>
      </c>
    </row>
    <row r="4" spans="1:2" x14ac:dyDescent="0.15">
      <c r="A4" t="s">
        <v>262</v>
      </c>
      <c r="B4">
        <v>1</v>
      </c>
    </row>
    <row r="5" spans="1:2" x14ac:dyDescent="0.15">
      <c r="A5" t="s">
        <v>263</v>
      </c>
      <c r="B5">
        <v>1</v>
      </c>
    </row>
    <row r="6" spans="1:2" x14ac:dyDescent="0.15">
      <c r="A6" t="s">
        <v>264</v>
      </c>
      <c r="B6">
        <v>1</v>
      </c>
    </row>
    <row r="7" spans="1:2" x14ac:dyDescent="0.15">
      <c r="A7" t="s">
        <v>265</v>
      </c>
      <c r="B7">
        <v>1</v>
      </c>
    </row>
    <row r="8" spans="1:2" x14ac:dyDescent="0.15">
      <c r="A8" t="s">
        <v>266</v>
      </c>
      <c r="B8">
        <v>1</v>
      </c>
    </row>
    <row r="9" spans="1:2" x14ac:dyDescent="0.15">
      <c r="A9" t="s">
        <v>267</v>
      </c>
      <c r="B9">
        <v>1</v>
      </c>
    </row>
    <row r="10" spans="1:2" x14ac:dyDescent="0.15">
      <c r="A10" t="s">
        <v>268</v>
      </c>
      <c r="B10">
        <v>1</v>
      </c>
    </row>
    <row r="11" spans="1:2" x14ac:dyDescent="0.15">
      <c r="A11" t="s">
        <v>269</v>
      </c>
      <c r="B11">
        <v>1</v>
      </c>
    </row>
    <row r="12" spans="1:2" x14ac:dyDescent="0.15">
      <c r="A12" t="s">
        <v>270</v>
      </c>
      <c r="B12">
        <v>1</v>
      </c>
    </row>
    <row r="13" spans="1:2" x14ac:dyDescent="0.15">
      <c r="A13" t="s">
        <v>271</v>
      </c>
      <c r="B13">
        <v>0</v>
      </c>
    </row>
    <row r="14" spans="1:2" x14ac:dyDescent="0.15">
      <c r="A14" t="s">
        <v>272</v>
      </c>
      <c r="B14">
        <v>500</v>
      </c>
    </row>
    <row r="15" spans="1:2" x14ac:dyDescent="0.15">
      <c r="A15" t="s">
        <v>273</v>
      </c>
      <c r="B15">
        <v>600</v>
      </c>
    </row>
    <row r="16" spans="1:2" x14ac:dyDescent="0.15">
      <c r="A16" t="s">
        <v>274</v>
      </c>
      <c r="B16">
        <v>700</v>
      </c>
    </row>
    <row r="17" spans="1:2" x14ac:dyDescent="0.15">
      <c r="A17" t="s">
        <v>275</v>
      </c>
      <c r="B17">
        <v>5500</v>
      </c>
    </row>
    <row r="18" spans="1:2" x14ac:dyDescent="0.15">
      <c r="A18" t="s">
        <v>276</v>
      </c>
      <c r="B18">
        <v>6000</v>
      </c>
    </row>
    <row r="19" spans="1:2" x14ac:dyDescent="0.15">
      <c r="A19" t="s">
        <v>277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workbookViewId="0">
      <selection activeCell="I25" sqref="I2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218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3" t="s">
        <v>244</v>
      </c>
      <c r="B2" s="144"/>
      <c r="C2" s="145"/>
      <c r="D2" s="146" t="s">
        <v>115</v>
      </c>
      <c r="E2" s="146">
        <v>30</v>
      </c>
      <c r="F2" s="146">
        <v>40</v>
      </c>
      <c r="G2" s="146">
        <f>15+F2</f>
        <v>55</v>
      </c>
      <c r="H2" s="145"/>
      <c r="I2" s="145"/>
    </row>
    <row r="3" spans="1:9" s="4" customFormat="1" ht="21" customHeight="1" x14ac:dyDescent="0.15">
      <c r="A3" s="143" t="s">
        <v>245</v>
      </c>
      <c r="B3" s="147"/>
      <c r="C3" s="148"/>
      <c r="D3" s="149" t="s">
        <v>246</v>
      </c>
      <c r="E3" s="149">
        <v>25</v>
      </c>
      <c r="F3" s="149">
        <v>35</v>
      </c>
      <c r="G3" s="146">
        <f t="shared" ref="G3:G5" si="0">15+F3</f>
        <v>50</v>
      </c>
      <c r="H3" s="148"/>
      <c r="I3" s="148"/>
    </row>
    <row r="4" spans="1:9" s="4" customFormat="1" ht="21" customHeight="1" x14ac:dyDescent="0.15">
      <c r="A4" s="143" t="s">
        <v>247</v>
      </c>
      <c r="B4" s="150"/>
      <c r="C4" s="151"/>
      <c r="D4" s="152">
        <v>10</v>
      </c>
      <c r="E4" s="152">
        <v>20</v>
      </c>
      <c r="F4" s="152">
        <v>30</v>
      </c>
      <c r="G4" s="152">
        <f t="shared" si="0"/>
        <v>45</v>
      </c>
      <c r="H4" s="151"/>
      <c r="I4" s="151"/>
    </row>
    <row r="5" spans="1:9" s="4" customFormat="1" ht="21" customHeight="1" x14ac:dyDescent="0.15">
      <c r="A5" s="162" t="s">
        <v>253</v>
      </c>
      <c r="B5" s="157"/>
      <c r="C5" s="158"/>
      <c r="D5" s="29">
        <v>9</v>
      </c>
      <c r="E5" s="29">
        <v>18</v>
      </c>
      <c r="F5" s="29">
        <v>28</v>
      </c>
      <c r="G5" s="39">
        <f t="shared" si="0"/>
        <v>43</v>
      </c>
      <c r="H5" s="158"/>
      <c r="I5" s="158"/>
    </row>
    <row r="6" spans="1:9" s="4" customFormat="1" ht="21" customHeight="1" x14ac:dyDescent="0.15">
      <c r="A6" s="162" t="s">
        <v>254</v>
      </c>
      <c r="B6" s="157"/>
      <c r="C6" s="158"/>
      <c r="D6" s="29">
        <v>7</v>
      </c>
      <c r="E6" s="29">
        <v>16</v>
      </c>
      <c r="F6" s="70" t="s">
        <v>11</v>
      </c>
      <c r="G6" s="70" t="s">
        <v>11</v>
      </c>
      <c r="H6" s="158"/>
      <c r="I6" s="158"/>
    </row>
    <row r="7" spans="1:9" ht="21" customHeight="1" x14ac:dyDescent="0.15">
      <c r="A7" s="79" t="s">
        <v>219</v>
      </c>
      <c r="B7" s="47" t="s">
        <v>11</v>
      </c>
      <c r="C7" s="47" t="s">
        <v>11</v>
      </c>
      <c r="D7" s="39" t="s">
        <v>115</v>
      </c>
      <c r="E7" s="39" t="s">
        <v>220</v>
      </c>
      <c r="F7" s="39" t="s">
        <v>220</v>
      </c>
      <c r="G7" s="39" t="s">
        <v>220</v>
      </c>
      <c r="H7" s="39" t="s">
        <v>220</v>
      </c>
      <c r="I7" s="39" t="s">
        <v>220</v>
      </c>
    </row>
    <row r="8" spans="1:9" ht="21" customHeight="1" x14ac:dyDescent="0.15">
      <c r="A8" s="80" t="s">
        <v>213</v>
      </c>
      <c r="B8" s="47" t="s">
        <v>11</v>
      </c>
      <c r="C8" s="47" t="s">
        <v>11</v>
      </c>
      <c r="D8" s="39" t="s">
        <v>115</v>
      </c>
      <c r="E8" s="39">
        <v>30</v>
      </c>
      <c r="F8" s="39">
        <v>40</v>
      </c>
      <c r="G8" s="39">
        <f>15+F8</f>
        <v>55</v>
      </c>
      <c r="H8" s="39" t="s">
        <v>115</v>
      </c>
      <c r="I8" s="39" t="s">
        <v>115</v>
      </c>
    </row>
    <row r="9" spans="1:9" s="46" customFormat="1" ht="21" customHeight="1" x14ac:dyDescent="0.15">
      <c r="A9" s="81" t="s">
        <v>214</v>
      </c>
      <c r="B9" s="29" t="s">
        <v>11</v>
      </c>
      <c r="C9" s="29" t="s">
        <v>11</v>
      </c>
      <c r="D9" s="111" t="s">
        <v>115</v>
      </c>
      <c r="E9" s="111">
        <v>25</v>
      </c>
      <c r="F9" s="111">
        <v>35</v>
      </c>
      <c r="G9" s="39">
        <f t="shared" ref="G9:G11" si="1">15+F9</f>
        <v>50</v>
      </c>
      <c r="H9" s="111" t="s">
        <v>115</v>
      </c>
      <c r="I9" s="111" t="s">
        <v>115</v>
      </c>
    </row>
    <row r="10" spans="1:9" ht="21" customHeight="1" x14ac:dyDescent="0.15">
      <c r="A10" s="81" t="s">
        <v>9</v>
      </c>
      <c r="B10" s="70" t="s">
        <v>11</v>
      </c>
      <c r="C10" s="70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70" t="s">
        <v>11</v>
      </c>
      <c r="I10" s="70" t="s">
        <v>11</v>
      </c>
    </row>
    <row r="11" spans="1:9" ht="21" customHeight="1" x14ac:dyDescent="0.15">
      <c r="A11" s="81" t="s">
        <v>223</v>
      </c>
      <c r="B11" s="70" t="s">
        <v>11</v>
      </c>
      <c r="C11" s="70" t="s">
        <v>11</v>
      </c>
      <c r="D11" s="29">
        <v>9</v>
      </c>
      <c r="E11" s="29">
        <v>18</v>
      </c>
      <c r="F11" s="29">
        <v>28</v>
      </c>
      <c r="G11" s="39">
        <f t="shared" si="1"/>
        <v>43</v>
      </c>
      <c r="H11" s="70" t="s">
        <v>11</v>
      </c>
      <c r="I11" s="70" t="s">
        <v>11</v>
      </c>
    </row>
    <row r="12" spans="1:9" ht="21" customHeight="1" x14ac:dyDescent="0.15">
      <c r="A12" s="81" t="s">
        <v>112</v>
      </c>
      <c r="B12" s="70" t="s">
        <v>11</v>
      </c>
      <c r="C12" s="70" t="s">
        <v>11</v>
      </c>
      <c r="D12" s="29">
        <v>7</v>
      </c>
      <c r="E12" s="29">
        <v>16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110" t="s">
        <v>224</v>
      </c>
      <c r="B13" s="70" t="s">
        <v>11</v>
      </c>
      <c r="C13" s="70" t="s">
        <v>11</v>
      </c>
      <c r="D13" s="29">
        <v>8</v>
      </c>
      <c r="E13" s="29">
        <v>17</v>
      </c>
      <c r="F13" s="29">
        <v>26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81" t="s">
        <v>225</v>
      </c>
      <c r="B14" s="70" t="s">
        <v>11</v>
      </c>
      <c r="C14" s="70" t="s">
        <v>11</v>
      </c>
      <c r="D14" s="29">
        <v>8</v>
      </c>
      <c r="E14" s="29">
        <v>17</v>
      </c>
      <c r="F14" s="29">
        <v>26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81" t="s">
        <v>111</v>
      </c>
      <c r="B15" s="70" t="s">
        <v>11</v>
      </c>
      <c r="C15" s="70" t="s">
        <v>11</v>
      </c>
      <c r="D15" s="29">
        <v>6</v>
      </c>
      <c r="E15" s="29">
        <v>14</v>
      </c>
      <c r="F15" s="70" t="s">
        <v>11</v>
      </c>
      <c r="G15" s="70" t="s">
        <v>11</v>
      </c>
      <c r="H15" s="70" t="s">
        <v>11</v>
      </c>
      <c r="I15" s="70" t="s">
        <v>11</v>
      </c>
    </row>
    <row r="16" spans="1:9" ht="21" customHeight="1" x14ac:dyDescent="0.15">
      <c r="A16" s="81" t="s">
        <v>226</v>
      </c>
      <c r="B16" s="70" t="s">
        <v>11</v>
      </c>
      <c r="C16" s="29">
        <v>4</v>
      </c>
      <c r="D16" s="29">
        <v>6</v>
      </c>
      <c r="E16" s="29">
        <v>14</v>
      </c>
      <c r="F16" s="70" t="s">
        <v>11</v>
      </c>
      <c r="G16" s="70" t="s">
        <v>11</v>
      </c>
      <c r="H16" s="70" t="s">
        <v>11</v>
      </c>
      <c r="I16" s="70" t="s">
        <v>11</v>
      </c>
    </row>
    <row r="17" spans="1:9" ht="21" customHeight="1" x14ac:dyDescent="0.15">
      <c r="A17" s="81" t="s">
        <v>8</v>
      </c>
      <c r="B17" s="29">
        <v>2</v>
      </c>
      <c r="C17" s="29">
        <v>4</v>
      </c>
      <c r="D17" s="29">
        <v>6</v>
      </c>
      <c r="E17" s="70" t="s">
        <v>11</v>
      </c>
      <c r="F17" s="70" t="s">
        <v>11</v>
      </c>
      <c r="G17" s="70" t="s">
        <v>11</v>
      </c>
      <c r="H17" s="70" t="s">
        <v>11</v>
      </c>
      <c r="I17" s="70" t="s">
        <v>11</v>
      </c>
    </row>
    <row r="18" spans="1:9" ht="21" customHeight="1" x14ac:dyDescent="0.15">
      <c r="A18" s="82" t="s">
        <v>7</v>
      </c>
      <c r="B18" s="32">
        <v>1</v>
      </c>
      <c r="C18" s="32">
        <v>2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 x14ac:dyDescent="0.15">
      <c r="A19" s="83" t="s">
        <v>227</v>
      </c>
      <c r="B19" s="27">
        <v>1</v>
      </c>
      <c r="C19" s="27">
        <v>1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 x14ac:dyDescent="0.15">
      <c r="A20" s="38" t="s">
        <v>228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D8" sqref="A1: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62" t="s">
        <v>248</v>
      </c>
      <c r="B2" s="159"/>
      <c r="C2" s="145"/>
      <c r="D2" s="153" t="s">
        <v>115</v>
      </c>
      <c r="E2" s="153">
        <v>60</v>
      </c>
      <c r="F2" s="153">
        <v>80</v>
      </c>
      <c r="G2" s="153">
        <v>99</v>
      </c>
      <c r="H2" s="145"/>
      <c r="I2" s="145"/>
    </row>
    <row r="3" spans="1:9" s="4" customFormat="1" ht="21" customHeight="1" x14ac:dyDescent="0.15">
      <c r="A3" s="162" t="s">
        <v>249</v>
      </c>
      <c r="B3" s="160"/>
      <c r="C3" s="148"/>
      <c r="D3" s="153" t="s">
        <v>115</v>
      </c>
      <c r="E3" s="153">
        <v>60</v>
      </c>
      <c r="F3" s="153">
        <v>80</v>
      </c>
      <c r="G3" s="153">
        <v>99</v>
      </c>
      <c r="H3" s="148"/>
      <c r="I3" s="148"/>
    </row>
    <row r="4" spans="1:9" s="4" customFormat="1" ht="21" customHeight="1" x14ac:dyDescent="0.15">
      <c r="A4" s="162" t="s">
        <v>250</v>
      </c>
      <c r="B4" s="161"/>
      <c r="C4" s="151"/>
      <c r="D4" s="153">
        <v>40</v>
      </c>
      <c r="E4" s="153">
        <v>60</v>
      </c>
      <c r="F4" s="153">
        <v>80</v>
      </c>
      <c r="G4" s="153">
        <v>99</v>
      </c>
      <c r="H4" s="151"/>
      <c r="I4" s="151"/>
    </row>
    <row r="5" spans="1:9" s="4" customFormat="1" ht="21" customHeight="1" x14ac:dyDescent="0.15">
      <c r="A5" s="162" t="s">
        <v>253</v>
      </c>
      <c r="B5" s="157"/>
      <c r="C5" s="158"/>
      <c r="D5" s="153">
        <v>40</v>
      </c>
      <c r="E5" s="153">
        <v>60</v>
      </c>
      <c r="F5" s="153">
        <v>80</v>
      </c>
      <c r="G5" s="153">
        <v>99</v>
      </c>
      <c r="H5" s="158"/>
      <c r="I5" s="158"/>
    </row>
    <row r="6" spans="1:9" s="4" customFormat="1" ht="21" customHeight="1" x14ac:dyDescent="0.15">
      <c r="A6" s="162" t="s">
        <v>254</v>
      </c>
      <c r="B6" s="157"/>
      <c r="C6" s="158"/>
      <c r="D6" s="153">
        <v>40</v>
      </c>
      <c r="E6" s="153">
        <v>60</v>
      </c>
      <c r="F6" s="153" t="s">
        <v>115</v>
      </c>
      <c r="G6" s="153" t="s">
        <v>115</v>
      </c>
      <c r="H6" s="158"/>
      <c r="I6" s="158"/>
    </row>
    <row r="7" spans="1:9" ht="21" customHeight="1" x14ac:dyDescent="0.15">
      <c r="A7" s="75" t="s">
        <v>229</v>
      </c>
      <c r="B7" s="40" t="s">
        <v>115</v>
      </c>
      <c r="C7" s="40" t="s">
        <v>115</v>
      </c>
      <c r="D7" s="40" t="s">
        <v>115</v>
      </c>
      <c r="E7" s="40" t="s">
        <v>115</v>
      </c>
      <c r="F7" s="40" t="s">
        <v>115</v>
      </c>
      <c r="G7" s="40" t="s">
        <v>115</v>
      </c>
      <c r="H7" s="40" t="s">
        <v>115</v>
      </c>
      <c r="I7" s="40" t="s">
        <v>115</v>
      </c>
    </row>
    <row r="8" spans="1:9" ht="21" customHeight="1" x14ac:dyDescent="0.15">
      <c r="A8" s="75" t="s">
        <v>213</v>
      </c>
      <c r="B8" s="40" t="s">
        <v>115</v>
      </c>
      <c r="C8" s="40" t="s">
        <v>115</v>
      </c>
      <c r="D8" s="40" t="s">
        <v>115</v>
      </c>
      <c r="E8" s="40">
        <v>60</v>
      </c>
      <c r="F8" s="40">
        <v>80</v>
      </c>
      <c r="G8" s="40">
        <v>99</v>
      </c>
      <c r="H8" s="40" t="s">
        <v>115</v>
      </c>
      <c r="I8" s="40" t="s">
        <v>115</v>
      </c>
    </row>
    <row r="9" spans="1:9" s="46" customFormat="1" ht="21" customHeight="1" x14ac:dyDescent="0.15">
      <c r="A9" s="76" t="s">
        <v>214</v>
      </c>
      <c r="B9" s="67" t="s">
        <v>115</v>
      </c>
      <c r="C9" s="67" t="s">
        <v>115</v>
      </c>
      <c r="D9" s="67" t="s">
        <v>115</v>
      </c>
      <c r="E9" s="67">
        <v>60</v>
      </c>
      <c r="F9" s="67">
        <v>80</v>
      </c>
      <c r="G9" s="67">
        <v>99</v>
      </c>
      <c r="H9" s="67" t="s">
        <v>115</v>
      </c>
      <c r="I9" s="67" t="s">
        <v>115</v>
      </c>
    </row>
    <row r="10" spans="1:9" ht="21" customHeight="1" x14ac:dyDescent="0.15">
      <c r="A10" s="76" t="s">
        <v>9</v>
      </c>
      <c r="B10" s="72" t="s">
        <v>115</v>
      </c>
      <c r="C10" s="72" t="s">
        <v>115</v>
      </c>
      <c r="D10" s="37">
        <v>40</v>
      </c>
      <c r="E10" s="37">
        <v>60</v>
      </c>
      <c r="F10" s="37">
        <v>80</v>
      </c>
      <c r="G10" s="40">
        <v>99</v>
      </c>
      <c r="H10" s="72" t="s">
        <v>115</v>
      </c>
      <c r="I10" s="72" t="s">
        <v>115</v>
      </c>
    </row>
    <row r="11" spans="1:9" ht="21" customHeight="1" x14ac:dyDescent="0.15">
      <c r="A11" s="76" t="s">
        <v>215</v>
      </c>
      <c r="B11" s="72" t="s">
        <v>115</v>
      </c>
      <c r="C11" s="72" t="s">
        <v>115</v>
      </c>
      <c r="D11" s="37">
        <v>40</v>
      </c>
      <c r="E11" s="37">
        <v>60</v>
      </c>
      <c r="F11" s="37">
        <v>80</v>
      </c>
      <c r="G11" s="67">
        <v>99</v>
      </c>
      <c r="H11" s="72" t="s">
        <v>115</v>
      </c>
      <c r="I11" s="72" t="s">
        <v>115</v>
      </c>
    </row>
    <row r="12" spans="1:9" ht="21" customHeight="1" x14ac:dyDescent="0.15">
      <c r="A12" s="76" t="s">
        <v>216</v>
      </c>
      <c r="B12" s="72" t="s">
        <v>115</v>
      </c>
      <c r="C12" s="72" t="s">
        <v>115</v>
      </c>
      <c r="D12" s="37">
        <v>40</v>
      </c>
      <c r="E12" s="37">
        <v>60</v>
      </c>
      <c r="F12" s="72" t="s">
        <v>115</v>
      </c>
      <c r="G12" s="72" t="s">
        <v>115</v>
      </c>
      <c r="H12" s="72" t="s">
        <v>115</v>
      </c>
      <c r="I12" s="72" t="s">
        <v>115</v>
      </c>
    </row>
    <row r="13" spans="1:9" ht="21" customHeight="1" x14ac:dyDescent="0.15">
      <c r="A13" s="77" t="s">
        <v>217</v>
      </c>
      <c r="B13" s="72" t="s">
        <v>115</v>
      </c>
      <c r="C13" s="72" t="s">
        <v>115</v>
      </c>
      <c r="D13" s="37">
        <v>40</v>
      </c>
      <c r="E13" s="37">
        <v>60</v>
      </c>
      <c r="F13" s="37">
        <v>80</v>
      </c>
      <c r="G13" s="72" t="s">
        <v>115</v>
      </c>
      <c r="H13" s="72" t="s">
        <v>115</v>
      </c>
      <c r="I13" s="72" t="s">
        <v>115</v>
      </c>
    </row>
    <row r="14" spans="1:9" ht="21" customHeight="1" x14ac:dyDescent="0.15">
      <c r="A14" s="56" t="s">
        <v>37</v>
      </c>
      <c r="B14" s="72" t="s">
        <v>115</v>
      </c>
      <c r="C14" s="72" t="s">
        <v>115</v>
      </c>
      <c r="D14" s="37">
        <v>40</v>
      </c>
      <c r="E14" s="37">
        <v>60</v>
      </c>
      <c r="F14" s="37">
        <v>80</v>
      </c>
      <c r="G14" s="72" t="s">
        <v>115</v>
      </c>
      <c r="H14" s="72" t="s">
        <v>115</v>
      </c>
      <c r="I14" s="72" t="s">
        <v>115</v>
      </c>
    </row>
    <row r="15" spans="1:9" ht="21" customHeight="1" x14ac:dyDescent="0.15">
      <c r="A15" s="56" t="s">
        <v>38</v>
      </c>
      <c r="B15" s="72" t="s">
        <v>115</v>
      </c>
      <c r="C15" s="37">
        <v>30</v>
      </c>
      <c r="D15" s="37">
        <v>40</v>
      </c>
      <c r="E15" s="37">
        <v>60</v>
      </c>
      <c r="F15" s="72" t="s">
        <v>115</v>
      </c>
      <c r="G15" s="72" t="s">
        <v>115</v>
      </c>
      <c r="H15" s="72" t="s">
        <v>115</v>
      </c>
      <c r="I15" s="72" t="s">
        <v>115</v>
      </c>
    </row>
    <row r="16" spans="1:9" ht="21" customHeight="1" x14ac:dyDescent="0.15">
      <c r="A16" s="56" t="s">
        <v>39</v>
      </c>
      <c r="B16" s="72" t="s">
        <v>115</v>
      </c>
      <c r="C16" s="37">
        <v>30</v>
      </c>
      <c r="D16" s="37">
        <v>40</v>
      </c>
      <c r="E16" s="37">
        <v>60</v>
      </c>
      <c r="F16" s="72" t="s">
        <v>115</v>
      </c>
      <c r="G16" s="72" t="s">
        <v>115</v>
      </c>
      <c r="H16" s="72" t="s">
        <v>115</v>
      </c>
      <c r="I16" s="72" t="s">
        <v>115</v>
      </c>
    </row>
    <row r="17" spans="1:9" ht="21" customHeight="1" x14ac:dyDescent="0.15">
      <c r="A17" s="57" t="s">
        <v>8</v>
      </c>
      <c r="B17" s="37">
        <v>15</v>
      </c>
      <c r="C17" s="37">
        <v>30</v>
      </c>
      <c r="D17" s="37">
        <v>40</v>
      </c>
      <c r="E17" s="72" t="s">
        <v>115</v>
      </c>
      <c r="F17" s="72" t="s">
        <v>115</v>
      </c>
      <c r="G17" s="72" t="s">
        <v>115</v>
      </c>
      <c r="H17" s="72" t="s">
        <v>115</v>
      </c>
      <c r="I17" s="72" t="s">
        <v>115</v>
      </c>
    </row>
    <row r="18" spans="1:9" ht="21" customHeight="1" x14ac:dyDescent="0.15">
      <c r="A18" s="52" t="s">
        <v>7</v>
      </c>
      <c r="B18" s="37">
        <v>15</v>
      </c>
      <c r="C18" s="37">
        <v>30</v>
      </c>
      <c r="D18" s="37">
        <v>40</v>
      </c>
      <c r="E18" s="72" t="s">
        <v>230</v>
      </c>
      <c r="F18" s="72" t="s">
        <v>230</v>
      </c>
      <c r="G18" s="72" t="s">
        <v>230</v>
      </c>
      <c r="H18" s="72" t="s">
        <v>230</v>
      </c>
      <c r="I18" s="72" t="s">
        <v>230</v>
      </c>
    </row>
    <row r="19" spans="1:9" ht="21" customHeight="1" x14ac:dyDescent="0.15">
      <c r="A19" s="54" t="s">
        <v>40</v>
      </c>
      <c r="B19" s="37">
        <v>10</v>
      </c>
      <c r="C19" s="37">
        <v>20</v>
      </c>
      <c r="D19" s="72" t="s">
        <v>230</v>
      </c>
      <c r="E19" s="72" t="s">
        <v>230</v>
      </c>
      <c r="F19" s="72" t="s">
        <v>230</v>
      </c>
      <c r="G19" s="72" t="s">
        <v>230</v>
      </c>
      <c r="H19" s="72" t="s">
        <v>230</v>
      </c>
      <c r="I19" s="72" t="s">
        <v>230</v>
      </c>
    </row>
    <row r="20" spans="1:9" ht="21" customHeight="1" x14ac:dyDescent="0.15">
      <c r="A20" s="78" t="s">
        <v>231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F16" sqref="A1:I20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3" t="s">
        <v>244</v>
      </c>
      <c r="B2" s="144"/>
      <c r="C2" s="145"/>
      <c r="D2" s="153" t="s">
        <v>115</v>
      </c>
      <c r="E2" s="154" t="s">
        <v>65</v>
      </c>
      <c r="F2" s="154" t="s">
        <v>65</v>
      </c>
      <c r="G2" s="154" t="s">
        <v>235</v>
      </c>
      <c r="H2" s="145"/>
      <c r="I2" s="145"/>
    </row>
    <row r="3" spans="1:11" s="4" customFormat="1" ht="21" customHeight="1" x14ac:dyDescent="0.15">
      <c r="A3" s="143" t="s">
        <v>249</v>
      </c>
      <c r="B3" s="147"/>
      <c r="C3" s="148"/>
      <c r="D3" s="154" t="s">
        <v>65</v>
      </c>
      <c r="E3" s="154" t="s">
        <v>65</v>
      </c>
      <c r="F3" s="154" t="s">
        <v>65</v>
      </c>
      <c r="G3" s="154" t="s">
        <v>251</v>
      </c>
      <c r="H3" s="148"/>
      <c r="I3" s="148"/>
    </row>
    <row r="4" spans="1:11" s="4" customFormat="1" ht="21" customHeight="1" x14ac:dyDescent="0.15">
      <c r="A4" s="143" t="s">
        <v>252</v>
      </c>
      <c r="B4" s="150"/>
      <c r="C4" s="151"/>
      <c r="D4" s="155" t="s">
        <v>65</v>
      </c>
      <c r="E4" s="155" t="s">
        <v>65</v>
      </c>
      <c r="F4" s="155" t="s">
        <v>65</v>
      </c>
      <c r="G4" s="154" t="s">
        <v>251</v>
      </c>
      <c r="H4" s="151"/>
      <c r="I4" s="151"/>
    </row>
    <row r="5" spans="1:11" s="4" customFormat="1" ht="21" customHeight="1" x14ac:dyDescent="0.15">
      <c r="A5" s="162" t="s">
        <v>253</v>
      </c>
      <c r="B5" s="157"/>
      <c r="C5" s="158"/>
      <c r="D5" s="155" t="s">
        <v>65</v>
      </c>
      <c r="E5" s="155" t="s">
        <v>65</v>
      </c>
      <c r="F5" s="155" t="s">
        <v>65</v>
      </c>
      <c r="G5" s="154" t="s">
        <v>235</v>
      </c>
      <c r="H5" s="158"/>
      <c r="I5" s="158"/>
    </row>
    <row r="6" spans="1:11" s="4" customFormat="1" ht="21" customHeight="1" x14ac:dyDescent="0.15">
      <c r="A6" s="162" t="s">
        <v>254</v>
      </c>
      <c r="B6" s="157"/>
      <c r="C6" s="158"/>
      <c r="D6" s="163" t="s">
        <v>66</v>
      </c>
      <c r="E6" s="163" t="s">
        <v>66</v>
      </c>
      <c r="F6" s="153" t="s">
        <v>115</v>
      </c>
      <c r="G6" s="153" t="s">
        <v>115</v>
      </c>
      <c r="H6" s="158"/>
      <c r="I6" s="158"/>
    </row>
    <row r="7" spans="1:11" ht="21" customHeight="1" x14ac:dyDescent="0.15">
      <c r="A7" s="51" t="s">
        <v>229</v>
      </c>
      <c r="B7" s="40" t="s">
        <v>115</v>
      </c>
      <c r="C7" s="40" t="s">
        <v>115</v>
      </c>
      <c r="D7" s="40" t="s">
        <v>115</v>
      </c>
      <c r="E7" s="40" t="s">
        <v>115</v>
      </c>
      <c r="F7" s="40" t="s">
        <v>115</v>
      </c>
      <c r="G7" s="40" t="s">
        <v>115</v>
      </c>
      <c r="H7" s="40" t="s">
        <v>115</v>
      </c>
      <c r="I7" s="40" t="s">
        <v>115</v>
      </c>
    </row>
    <row r="8" spans="1:11" ht="21" customHeight="1" x14ac:dyDescent="0.15">
      <c r="A8" s="51" t="s">
        <v>221</v>
      </c>
      <c r="B8" s="40" t="s">
        <v>115</v>
      </c>
      <c r="C8" s="40" t="s">
        <v>115</v>
      </c>
      <c r="D8" s="40" t="s">
        <v>232</v>
      </c>
      <c r="E8" s="53" t="s">
        <v>121</v>
      </c>
      <c r="F8" s="53" t="s">
        <v>121</v>
      </c>
      <c r="G8" s="53" t="s">
        <v>233</v>
      </c>
      <c r="H8" s="40" t="s">
        <v>232</v>
      </c>
      <c r="I8" s="40" t="s">
        <v>115</v>
      </c>
    </row>
    <row r="9" spans="1:11" s="46" customFormat="1" ht="21" customHeight="1" x14ac:dyDescent="0.15">
      <c r="A9" s="51" t="s">
        <v>214</v>
      </c>
      <c r="B9" s="67" t="s">
        <v>115</v>
      </c>
      <c r="C9" s="67" t="s">
        <v>115</v>
      </c>
      <c r="D9" s="67" t="s">
        <v>115</v>
      </c>
      <c r="E9" s="53" t="s">
        <v>65</v>
      </c>
      <c r="F9" s="53" t="s">
        <v>65</v>
      </c>
      <c r="G9" s="53" t="s">
        <v>121</v>
      </c>
      <c r="H9" s="67" t="s">
        <v>234</v>
      </c>
      <c r="I9" s="67" t="s">
        <v>234</v>
      </c>
    </row>
    <row r="10" spans="1:11" ht="21" customHeight="1" x14ac:dyDescent="0.15">
      <c r="A10" s="52" t="s">
        <v>9</v>
      </c>
      <c r="B10" s="72" t="s">
        <v>115</v>
      </c>
      <c r="C10" s="72" t="s">
        <v>115</v>
      </c>
      <c r="D10" s="53" t="s">
        <v>65</v>
      </c>
      <c r="E10" s="53" t="s">
        <v>65</v>
      </c>
      <c r="F10" s="53" t="s">
        <v>65</v>
      </c>
      <c r="G10" s="53" t="s">
        <v>235</v>
      </c>
      <c r="H10" s="72" t="s">
        <v>234</v>
      </c>
      <c r="I10" s="72" t="s">
        <v>234</v>
      </c>
      <c r="K10" s="28" t="s">
        <v>12</v>
      </c>
    </row>
    <row r="11" spans="1:11" ht="21" customHeight="1" x14ac:dyDescent="0.15">
      <c r="A11" s="54" t="s">
        <v>35</v>
      </c>
      <c r="B11" s="72" t="s">
        <v>115</v>
      </c>
      <c r="C11" s="72" t="s">
        <v>115</v>
      </c>
      <c r="D11" s="54" t="s">
        <v>65</v>
      </c>
      <c r="E11" s="54" t="s">
        <v>65</v>
      </c>
      <c r="F11" s="54" t="s">
        <v>65</v>
      </c>
      <c r="G11" s="53" t="s">
        <v>235</v>
      </c>
      <c r="H11" s="72" t="s">
        <v>234</v>
      </c>
      <c r="I11" s="72" t="s">
        <v>234</v>
      </c>
      <c r="K11" s="30" t="s">
        <v>13</v>
      </c>
    </row>
    <row r="12" spans="1:11" ht="21" customHeight="1" x14ac:dyDescent="0.15">
      <c r="A12" s="55" t="s">
        <v>36</v>
      </c>
      <c r="B12" s="72" t="s">
        <v>115</v>
      </c>
      <c r="C12" s="72" t="s">
        <v>115</v>
      </c>
      <c r="D12" s="55" t="s">
        <v>66</v>
      </c>
      <c r="E12" s="55" t="s">
        <v>66</v>
      </c>
      <c r="F12" s="72" t="s">
        <v>115</v>
      </c>
      <c r="G12" s="72" t="s">
        <v>115</v>
      </c>
      <c r="H12" s="72" t="s">
        <v>115</v>
      </c>
      <c r="I12" s="72" t="s">
        <v>115</v>
      </c>
      <c r="K12" s="73" t="s">
        <v>41</v>
      </c>
    </row>
    <row r="13" spans="1:11" ht="21" customHeight="1" x14ac:dyDescent="0.15">
      <c r="A13" s="55" t="s">
        <v>236</v>
      </c>
      <c r="B13" s="72" t="s">
        <v>115</v>
      </c>
      <c r="C13" s="72" t="s">
        <v>115</v>
      </c>
      <c r="D13" s="56" t="s">
        <v>65</v>
      </c>
      <c r="E13" s="56" t="s">
        <v>65</v>
      </c>
      <c r="F13" s="56" t="s">
        <v>65</v>
      </c>
      <c r="G13" s="72" t="s">
        <v>115</v>
      </c>
      <c r="H13" s="72" t="s">
        <v>115</v>
      </c>
      <c r="I13" s="72" t="s">
        <v>115</v>
      </c>
      <c r="K13" s="74"/>
    </row>
    <row r="14" spans="1:11" ht="21" customHeight="1" x14ac:dyDescent="0.15">
      <c r="A14" s="56" t="s">
        <v>37</v>
      </c>
      <c r="B14" s="72" t="s">
        <v>115</v>
      </c>
      <c r="C14" s="72" t="s">
        <v>115</v>
      </c>
      <c r="D14" s="56" t="s">
        <v>65</v>
      </c>
      <c r="E14" s="56" t="s">
        <v>65</v>
      </c>
      <c r="F14" s="56" t="s">
        <v>65</v>
      </c>
      <c r="G14" s="72" t="s">
        <v>115</v>
      </c>
      <c r="H14" s="72" t="s">
        <v>115</v>
      </c>
      <c r="I14" s="72" t="s">
        <v>115</v>
      </c>
    </row>
    <row r="15" spans="1:11" ht="21" customHeight="1" x14ac:dyDescent="0.15">
      <c r="A15" s="56" t="s">
        <v>38</v>
      </c>
      <c r="B15" s="72" t="s">
        <v>115</v>
      </c>
      <c r="C15" s="72" t="s">
        <v>115</v>
      </c>
      <c r="D15" s="56" t="s">
        <v>66</v>
      </c>
      <c r="E15" s="56" t="s">
        <v>66</v>
      </c>
      <c r="F15" s="72" t="s">
        <v>115</v>
      </c>
      <c r="G15" s="72" t="s">
        <v>115</v>
      </c>
      <c r="H15" s="72" t="s">
        <v>115</v>
      </c>
      <c r="I15" s="72" t="s">
        <v>115</v>
      </c>
    </row>
    <row r="16" spans="1:11" ht="21" customHeight="1" x14ac:dyDescent="0.15">
      <c r="A16" s="56" t="s">
        <v>39</v>
      </c>
      <c r="B16" s="72" t="s">
        <v>115</v>
      </c>
      <c r="C16" s="56" t="s">
        <v>66</v>
      </c>
      <c r="D16" s="56" t="s">
        <v>66</v>
      </c>
      <c r="E16" s="56" t="s">
        <v>66</v>
      </c>
      <c r="F16" s="72" t="s">
        <v>115</v>
      </c>
      <c r="G16" s="72" t="s">
        <v>115</v>
      </c>
      <c r="H16" s="72" t="s">
        <v>115</v>
      </c>
      <c r="I16" s="72" t="s">
        <v>115</v>
      </c>
    </row>
    <row r="17" spans="1:9" ht="21" customHeight="1" x14ac:dyDescent="0.15">
      <c r="A17" s="57" t="s">
        <v>8</v>
      </c>
      <c r="B17" s="57" t="s">
        <v>67</v>
      </c>
      <c r="C17" s="57" t="s">
        <v>67</v>
      </c>
      <c r="D17" s="57" t="s">
        <v>67</v>
      </c>
      <c r="E17" s="72" t="s">
        <v>115</v>
      </c>
      <c r="F17" s="72" t="s">
        <v>115</v>
      </c>
      <c r="G17" s="72" t="s">
        <v>115</v>
      </c>
      <c r="H17" s="72" t="s">
        <v>115</v>
      </c>
      <c r="I17" s="72" t="s">
        <v>115</v>
      </c>
    </row>
    <row r="18" spans="1:9" ht="21" customHeight="1" x14ac:dyDescent="0.15">
      <c r="A18" s="52" t="s">
        <v>7</v>
      </c>
      <c r="B18" s="52" t="s">
        <v>68</v>
      </c>
      <c r="C18" s="52" t="s">
        <v>68</v>
      </c>
      <c r="D18" s="72" t="s">
        <v>115</v>
      </c>
      <c r="E18" s="72" t="s">
        <v>115</v>
      </c>
      <c r="F18" s="72" t="s">
        <v>115</v>
      </c>
      <c r="G18" s="72" t="s">
        <v>115</v>
      </c>
      <c r="H18" s="72" t="s">
        <v>115</v>
      </c>
      <c r="I18" s="72" t="s">
        <v>115</v>
      </c>
    </row>
    <row r="19" spans="1:9" ht="21" customHeight="1" x14ac:dyDescent="0.15">
      <c r="A19" s="54" t="s">
        <v>40</v>
      </c>
      <c r="B19" s="54" t="s">
        <v>69</v>
      </c>
      <c r="C19" s="54" t="s">
        <v>69</v>
      </c>
      <c r="D19" s="72" t="s">
        <v>115</v>
      </c>
      <c r="E19" s="72" t="s">
        <v>115</v>
      </c>
      <c r="F19" s="72" t="s">
        <v>115</v>
      </c>
      <c r="G19" s="72" t="s">
        <v>115</v>
      </c>
      <c r="H19" s="72" t="s">
        <v>115</v>
      </c>
      <c r="I19" s="72" t="s">
        <v>115</v>
      </c>
    </row>
    <row r="20" spans="1:9" ht="21" customHeight="1" x14ac:dyDescent="0.15">
      <c r="A20" s="38" t="s">
        <v>228</v>
      </c>
      <c r="B20" s="84" t="s">
        <v>53</v>
      </c>
      <c r="C20" s="84" t="s">
        <v>53</v>
      </c>
      <c r="D20" s="84" t="s">
        <v>53</v>
      </c>
      <c r="E20" s="84" t="s">
        <v>53</v>
      </c>
      <c r="F20" s="84" t="s">
        <v>53</v>
      </c>
      <c r="G20" s="84" t="s">
        <v>53</v>
      </c>
      <c r="H20" s="84" t="s">
        <v>53</v>
      </c>
      <c r="I20" s="84" t="s">
        <v>53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70</v>
      </c>
      <c r="B26" s="22" t="s">
        <v>71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H8" sqref="H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3" t="s">
        <v>244</v>
      </c>
      <c r="B2" s="144"/>
      <c r="C2" s="145"/>
      <c r="D2" s="156" t="s">
        <v>11</v>
      </c>
      <c r="E2" s="156">
        <v>8000</v>
      </c>
      <c r="F2" s="156">
        <v>10000</v>
      </c>
      <c r="G2" s="156">
        <v>14000</v>
      </c>
      <c r="H2" s="145"/>
      <c r="I2" s="145"/>
    </row>
    <row r="3" spans="1:9" s="4" customFormat="1" ht="21" customHeight="1" x14ac:dyDescent="0.15">
      <c r="A3" s="143" t="s">
        <v>249</v>
      </c>
      <c r="B3" s="147"/>
      <c r="C3" s="148"/>
      <c r="D3" s="156" t="s">
        <v>11</v>
      </c>
      <c r="E3" s="156">
        <v>7500</v>
      </c>
      <c r="F3" s="156">
        <v>9500</v>
      </c>
      <c r="G3" s="156">
        <v>13000</v>
      </c>
      <c r="H3" s="148"/>
      <c r="I3" s="148"/>
    </row>
    <row r="4" spans="1:9" s="4" customFormat="1" ht="21" customHeight="1" x14ac:dyDescent="0.15">
      <c r="A4" s="143" t="s">
        <v>252</v>
      </c>
      <c r="B4" s="150"/>
      <c r="C4" s="151"/>
      <c r="D4" s="156">
        <v>5000</v>
      </c>
      <c r="E4" s="156">
        <v>7000</v>
      </c>
      <c r="F4" s="156">
        <v>9000</v>
      </c>
      <c r="G4" s="156">
        <v>12000</v>
      </c>
      <c r="H4" s="151"/>
      <c r="I4" s="151"/>
    </row>
    <row r="5" spans="1:9" s="4" customFormat="1" ht="21" customHeight="1" x14ac:dyDescent="0.15">
      <c r="A5" s="162" t="s">
        <v>255</v>
      </c>
      <c r="B5" s="157"/>
      <c r="C5" s="158"/>
      <c r="D5" s="156">
        <v>4900</v>
      </c>
      <c r="E5" s="156">
        <v>6700</v>
      </c>
      <c r="F5" s="156">
        <v>8500</v>
      </c>
      <c r="G5" s="156">
        <v>11000</v>
      </c>
      <c r="H5" s="158"/>
      <c r="I5" s="158"/>
    </row>
    <row r="6" spans="1:9" s="4" customFormat="1" ht="21" customHeight="1" x14ac:dyDescent="0.15">
      <c r="A6" s="162" t="s">
        <v>256</v>
      </c>
      <c r="B6" s="157"/>
      <c r="C6" s="158"/>
      <c r="D6" s="156">
        <v>4800</v>
      </c>
      <c r="E6" s="156">
        <v>6600</v>
      </c>
      <c r="F6" s="156" t="s">
        <v>11</v>
      </c>
      <c r="G6" s="156" t="s">
        <v>11</v>
      </c>
      <c r="H6" s="158"/>
      <c r="I6" s="158"/>
    </row>
    <row r="7" spans="1:9" ht="21" customHeight="1" x14ac:dyDescent="0.15">
      <c r="A7" s="79" t="s">
        <v>219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80" t="s">
        <v>221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81" t="s">
        <v>222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81" t="s">
        <v>9</v>
      </c>
      <c r="B10" s="70" t="s">
        <v>11</v>
      </c>
      <c r="C10" s="70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70" t="s">
        <v>11</v>
      </c>
      <c r="I10" s="70" t="s">
        <v>11</v>
      </c>
    </row>
    <row r="11" spans="1:9" ht="21" customHeight="1" x14ac:dyDescent="0.15">
      <c r="A11" s="81" t="s">
        <v>223</v>
      </c>
      <c r="B11" s="70" t="s">
        <v>11</v>
      </c>
      <c r="C11" s="70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70" t="s">
        <v>11</v>
      </c>
      <c r="I11" s="70" t="s">
        <v>11</v>
      </c>
    </row>
    <row r="12" spans="1:9" ht="21" customHeight="1" x14ac:dyDescent="0.15">
      <c r="A12" s="81" t="s">
        <v>112</v>
      </c>
      <c r="B12" s="70" t="s">
        <v>11</v>
      </c>
      <c r="C12" s="70" t="s">
        <v>11</v>
      </c>
      <c r="D12" s="29">
        <v>4800</v>
      </c>
      <c r="E12" s="29">
        <v>6600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81" t="s">
        <v>224</v>
      </c>
      <c r="B13" s="70" t="s">
        <v>11</v>
      </c>
      <c r="C13" s="70" t="s">
        <v>11</v>
      </c>
      <c r="D13" s="70" t="s">
        <v>11</v>
      </c>
      <c r="E13" s="29">
        <v>6300</v>
      </c>
      <c r="F13" s="70" t="s">
        <v>11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81" t="s">
        <v>225</v>
      </c>
      <c r="B14" s="70" t="s">
        <v>11</v>
      </c>
      <c r="C14" s="70" t="s">
        <v>11</v>
      </c>
      <c r="D14" s="29">
        <v>4600</v>
      </c>
      <c r="E14" s="29">
        <v>5800</v>
      </c>
      <c r="F14" s="29">
        <v>7600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81" t="s">
        <v>111</v>
      </c>
      <c r="B15" s="70" t="s">
        <v>11</v>
      </c>
      <c r="C15" s="70" t="s">
        <v>11</v>
      </c>
      <c r="D15" s="29">
        <v>4400</v>
      </c>
      <c r="E15" s="29">
        <v>5600</v>
      </c>
      <c r="F15" s="70" t="s">
        <v>11</v>
      </c>
      <c r="G15" s="70" t="s">
        <v>11</v>
      </c>
      <c r="H15" s="70" t="s">
        <v>11</v>
      </c>
      <c r="I15" s="70" t="s">
        <v>11</v>
      </c>
    </row>
    <row r="16" spans="1:9" ht="21" customHeight="1" x14ac:dyDescent="0.15">
      <c r="A16" s="81" t="s">
        <v>226</v>
      </c>
      <c r="B16" s="70" t="s">
        <v>11</v>
      </c>
      <c r="C16" s="29">
        <v>3000</v>
      </c>
      <c r="D16" s="29">
        <v>4200</v>
      </c>
      <c r="E16" s="29">
        <v>5400</v>
      </c>
      <c r="F16" s="70" t="s">
        <v>11</v>
      </c>
      <c r="G16" s="70" t="s">
        <v>11</v>
      </c>
      <c r="H16" s="70" t="s">
        <v>11</v>
      </c>
      <c r="I16" s="70" t="s">
        <v>11</v>
      </c>
    </row>
    <row r="17" spans="1:9" ht="21" customHeight="1" x14ac:dyDescent="0.15">
      <c r="A17" s="81" t="s">
        <v>8</v>
      </c>
      <c r="B17" s="29">
        <v>2000</v>
      </c>
      <c r="C17" s="29">
        <v>2800</v>
      </c>
      <c r="D17" s="29">
        <v>4000</v>
      </c>
      <c r="E17" s="70" t="s">
        <v>11</v>
      </c>
      <c r="F17" s="70" t="s">
        <v>11</v>
      </c>
      <c r="G17" s="70" t="s">
        <v>11</v>
      </c>
      <c r="H17" s="70" t="s">
        <v>11</v>
      </c>
      <c r="I17" s="70" t="s">
        <v>11</v>
      </c>
    </row>
    <row r="18" spans="1:9" ht="21" customHeight="1" x14ac:dyDescent="0.15">
      <c r="A18" s="82" t="s">
        <v>7</v>
      </c>
      <c r="B18" s="29">
        <v>1750</v>
      </c>
      <c r="C18" s="29">
        <v>2550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82" t="s">
        <v>227</v>
      </c>
      <c r="B19" s="29">
        <v>1500</v>
      </c>
      <c r="C19" s="29">
        <v>2300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228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117</v>
      </c>
      <c r="G1" s="24" t="s">
        <v>118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206</v>
      </c>
      <c r="B2" s="12">
        <v>591</v>
      </c>
    </row>
    <row r="3" spans="1:4" x14ac:dyDescent="0.15">
      <c r="A3" t="s">
        <v>207</v>
      </c>
      <c r="B3" s="139">
        <v>592</v>
      </c>
    </row>
    <row r="4" spans="1:4" x14ac:dyDescent="0.15">
      <c r="A4" t="s">
        <v>208</v>
      </c>
      <c r="B4" s="139">
        <v>593</v>
      </c>
    </row>
    <row r="7" spans="1:4" x14ac:dyDescent="0.15">
      <c r="A7" t="s">
        <v>209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237</v>
      </c>
    </row>
    <row r="13" spans="1:4" x14ac:dyDescent="0.15">
      <c r="B13" t="s">
        <v>241</v>
      </c>
      <c r="C13" t="s">
        <v>242</v>
      </c>
      <c r="D13" t="s">
        <v>243</v>
      </c>
    </row>
    <row r="14" spans="1:4" x14ac:dyDescent="0.15">
      <c r="A14" t="s">
        <v>239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240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238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210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211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212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2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2016-11-08T07:21:10Z</dcterms:modified>
</cp:coreProperties>
</file>