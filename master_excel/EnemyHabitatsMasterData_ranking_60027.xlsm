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0" yWindow="460" windowWidth="27320" windowHeight="14020" tabRatio="93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6" l="1"/>
  <c r="E26" i="16"/>
  <c r="E24" i="16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A32" i="9"/>
  <c r="J32" i="11"/>
  <c r="O32" i="9"/>
  <c r="N32" i="9"/>
  <c r="M32" i="9"/>
  <c r="L32" i="9"/>
  <c r="K32" i="9"/>
  <c r="J32" i="9"/>
  <c r="I32" i="9"/>
  <c r="H32" i="9"/>
  <c r="G32" i="9"/>
  <c r="E32" i="9"/>
  <c r="D32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C17" i="27"/>
  <c r="C21" i="27"/>
  <c r="C20" i="27"/>
  <c r="C19" i="27"/>
  <c r="B21" i="27"/>
  <c r="B20" i="27"/>
  <c r="B19" i="27"/>
  <c r="B18" i="27"/>
  <c r="D20" i="27"/>
  <c r="E20" i="27"/>
  <c r="D19" i="27"/>
  <c r="E19" i="27"/>
  <c r="E21" i="27"/>
  <c r="B12" i="27"/>
  <c r="B13" i="27"/>
  <c r="B14" i="27"/>
  <c r="B15" i="27"/>
  <c r="C23" i="27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W2" i="7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8" i="10"/>
  <c r="N38" i="10"/>
  <c r="Q38" i="10"/>
  <c r="P38" i="10"/>
  <c r="R38" i="10"/>
  <c r="O38" i="10"/>
  <c r="S38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18" i="27"/>
  <c r="D18" i="27"/>
  <c r="E18" i="27"/>
  <c r="D17" i="27"/>
  <c r="E17" i="27"/>
  <c r="D16" i="27"/>
  <c r="E16" i="27"/>
  <c r="E15" i="27"/>
  <c r="C14" i="27"/>
  <c r="D14" i="27"/>
  <c r="E14" i="27"/>
  <c r="C13" i="27"/>
  <c r="D13" i="27"/>
  <c r="E13" i="27"/>
  <c r="C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N6" i="2"/>
  <c r="M6" i="2"/>
  <c r="L6" i="2"/>
  <c r="H6" i="2"/>
  <c r="E6" i="2"/>
  <c r="D6" i="2"/>
  <c r="H2" i="1"/>
  <c r="H3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9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<sst xmlns="http://schemas.openxmlformats.org/spreadsheetml/2006/main" count="1709" uniqueCount="480">
  <si>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</si>
  <si>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</si>
  <si>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</si>
  <si>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</si>
  <si>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</si>
  <si>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</si>
  <si>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</si>
  <si>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</si>
  <si>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</si>
  <si>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</si>
  <si>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</si>
  <si>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</si>
  <si>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</si>
  <si>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</si>
  <si>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</si>
  <si>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</si>
  <si>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</si>
  <si>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</si>
  <si>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</si>
  <si>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</si>
  <si>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</si>
  <si>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</si>
  <si>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</si>
  <si>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</si>
  <si>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</si>
  <si>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</si>
  <si>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</si>
  <si>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</si>
  <si>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</si>
  <si>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</si>
  <si>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</si>
  <si>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</si>
  <si>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</si>
  <si>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</si>
  <si>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</si>
  <si>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</si>
  <si>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</si>
  <si>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</si>
  <si>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</si>
  <si>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</si>
  <si>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</si>
  <si>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</si>
  <si>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</si>
  <si>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</si>
  <si>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</si>
  <si>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</si>
  <si>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</si>
  <si>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</si>
  <si>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</si>
  <si>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</si>
  <si>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</si>
  <si>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</si>
  <si>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</si>
  <si>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</si>
  <si>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</si>
  <si>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</si>
  <si>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</si>
  <si>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</si>
  <si>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</si>
  <si>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</si>
  <si>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</si>
  <si>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</si>
  <si>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</si>
  <si>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</si>
  <si>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</si>
  <si>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</si>
  <si>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</si>
  <si>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</si>
  <si>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</si>
  <si>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</si>
  <si>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</si>
  <si>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</si>
  <si>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</si>
  <si>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</si>
  <si>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</si>
  <si>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</si>
  <si>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</si>
  <si>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</si>
  <si>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</si>
  <si>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</si>
  <si>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</si>
  <si>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</si>
  <si>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</si>
  <si>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</si>
  <si>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</si>
  <si>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</si>
  <si>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</si>
  <si>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</si>
  <si>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</si>
  <si>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</si>
  <si>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</si>
  <si>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</si>
  <si>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</si>
  <si>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</si>
  <si>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</si>
  <si>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</si>
  <si>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</si>
  <si>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</si>
  <si>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</si>
  <si>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</si>
  <si>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</si>
  <si>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</si>
  <si>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</si>
  <si>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</si>
  <si>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</si>
  <si>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</si>
  <si>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</si>
  <si>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</si>
  <si>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</si>
  <si>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</si>
  <si>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</si>
  <si>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</si>
  <si>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</si>
  <si>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</si>
  <si>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</si>
  <si>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</si>
  <si>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</si>
  <si>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</si>
  <si>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</si>
  <si>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</si>
  <si>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</si>
  <si>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</si>
  <si>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</si>
  <si>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</si>
  <si>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</si>
  <si>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</si>
  <si>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</si>
  <si>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</si>
  <si>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</si>
  <si>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</si>
  <si>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</si>
  <si>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</si>
  <si>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</si>
  <si>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</si>
  <si>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</si>
  <si>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</si>
  <si>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</si>
  <si>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</si>
  <si>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</si>
  <si>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</si>
  <si>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</si>
  <si>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</si>
  <si>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</si>
  <si>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</si>
  <si>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</si>
  <si>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</si>
  <si>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</si>
  <si>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</si>
  <si>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</si>
  <si>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</si>
  <si>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</si>
  <si>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</si>
  <si>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</si>
  <si>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</si>
  <si>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</si>
  <si>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</si>
  <si>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</si>
  <si>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</si>
  <si>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</si>
  <si>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</si>
  <si>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</si>
  <si>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</si>
  <si>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</si>
  <si>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</si>
  <si>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</si>
  <si>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</si>
  <si>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</si>
  <si>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</si>
  <si>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</si>
  <si>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</si>
  <si>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</si>
  <si>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</si>
  <si>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</si>
  <si>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</si>
  <si>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</si>
  <si>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</si>
  <si>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</si>
  <si>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</si>
  <si>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</si>
  <si>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</si>
  <si>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</si>
  <si>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</si>
  <si>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</si>
  <si>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</si>
  <si>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</si>
  <si>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</si>
  <si>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</si>
  <si>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</si>
  <si>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</si>
  <si>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</si>
  <si>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</si>
  <si>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</si>
  <si>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</si>
  <si>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</si>
  <si>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</si>
  <si>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</si>
  <si>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</si>
  <si>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</si>
  <si>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ja</t>
    <phoneticPr fontId="7"/>
  </si>
  <si>
    <t>complete</t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</si>
  <si>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</si>
  <si>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</si>
  <si>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</si>
  <si>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</si>
  <si>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</si>
  <si>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</si>
  <si>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</si>
  <si>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</si>
  <si>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</si>
  <si>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</si>
  <si>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</si>
  <si>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</si>
  <si>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</si>
  <si>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</si>
  <si>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</si>
  <si>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</si>
  <si>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</si>
  <si>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</si>
  <si>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</si>
  <si>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</si>
  <si>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</si>
  <si>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</si>
  <si>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</si>
  <si>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</si>
  <si>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</si>
  <si>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</si>
  <si>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</si>
  <si>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</si>
  <si>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</si>
  <si>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</si>
  <si>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</si>
  <si>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</si>
  <si>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</si>
  <si>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</si>
  <si>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</si>
  <si>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</si>
  <si>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</si>
  <si>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</si>
  <si>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</si>
  <si>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</si>
  <si>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gift_id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</si>
  <si>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</si>
  <si>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</si>
  <si>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</si>
  <si>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</si>
  <si>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</si>
  <si>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</si>
  <si>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</si>
  <si>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</si>
  <si>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</si>
  <si>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</si>
  <si>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</si>
  <si>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</si>
  <si>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</si>
  <si>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</si>
  <si>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</si>
  <si>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</si>
  <si>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</si>
  <si>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</si>
  <si>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</si>
  <si>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</si>
  <si>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</si>
  <si>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</si>
  <si>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</si>
  <si>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</si>
  <si>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</si>
  <si>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</si>
  <si>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</si>
  <si>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</si>
  <si>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</si>
  <si>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</si>
  <si>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</si>
  <si>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</si>
  <si>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</si>
  <si>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</si>
  <si>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</si>
  <si>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</si>
  <si>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</si>
  <si>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</si>
  <si>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</si>
  <si>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次条係数</t>
    <rPh sb="0" eb="2">
      <t>jijyou</t>
    </rPh>
    <rPh sb="2" eb="4">
      <t>ケイス</t>
    </rPh>
    <phoneticPr fontId="7"/>
  </si>
  <si>
    <t>evaluation_id</t>
    <phoneticPr fontId="7"/>
  </si>
  <si>
    <t>score</t>
    <phoneticPr fontId="7"/>
  </si>
  <si>
    <t>evaluation</t>
    <phoneticPr fontId="7"/>
  </si>
  <si>
    <t>animation_file_name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</si>
  <si>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</si>
  <si>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</si>
  <si>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</si>
  <si>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</si>
  <si>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</si>
  <si>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</si>
  <si>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</si>
  <si>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</si>
  <si>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</si>
  <si>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</si>
  <si>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</si>
  <si>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</si>
  <si>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</si>
  <si>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</si>
  <si>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</si>
  <si>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</si>
  <si>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</si>
  <si>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[effect:fix_speed, target:enemy_all, turn:1,animation:enemy_freq_turn]</t>
    <phoneticPr fontId="7"/>
  </si>
  <si>
    <t>[effect:critical, val:1.2, animation:enemy_critical]</t>
    <phoneticPr fontId="7"/>
  </si>
  <si>
    <t>[effect:critical, val:1.1, animation:enemy_critical],[effect:fix_speed, target:myself, turn:1]</t>
    <phoneticPr fontId="7"/>
  </si>
  <si>
    <t>[effect:critical, val:1.1, animation:enemy_critical],[effect:fix_speed, target:myself, turn:2]</t>
    <phoneticPr fontId="7"/>
  </si>
  <si>
    <t>[effect:critical, val:1.1, animation:enemy_critical],[effect:fix_speed, target:myself, turn:3]</t>
    <phoneticPr fontId="7"/>
  </si>
  <si>
    <t>[effect:fix_speed, target:myself, turn:3]</t>
    <phoneticPr fontId="7"/>
  </si>
  <si>
    <t>[effect:enhance_enemy, target:enemy_all, turn:-1, status:attack, val:1.2, calc:mul, animation:enemy_enhance_attack]</t>
    <phoneticPr fontId="7"/>
  </si>
  <si>
    <t>[effect:fix_speed, target:myself, turn:2]</t>
    <phoneticPr fontId="7"/>
  </si>
  <si>
    <t>[effect:fix_speed, target:myself, turn:2],[effect:tolerance, target:myself, turn:-1, count:-1, tolerance_effect:all, animation:enemy_tolerance]</t>
    <phoneticPr fontId="7"/>
  </si>
  <si>
    <t>[effect:break_attack, target:unit_all, val:0.01, lowest_val:1000, count:-1, color:green, block01:block_heart]</t>
    <phoneticPr fontId="7"/>
  </si>
  <si>
    <t>[effect:break_attack, target:unit_all, val:0.02, lowest_val:1000, count:-1, color:green, block01:crash]</t>
    <phoneticPr fontId="7"/>
  </si>
  <si>
    <t>[effect:fix_speed, target:myself, turn:1],[effect:tolerance, target:myself, turn:-1, count:-1, tolerance_effect:all, animation:enemy_tolerance]</t>
    <phoneticPr fontId="7"/>
  </si>
  <si>
    <t>[effect:fix_speed, target:myself, turn:1],[effect:tolerance, target:myself, turn:-1, count:-1, tolerance_effect:all, animation:enemy_tolerance]</t>
    <phoneticPr fontId="7"/>
  </si>
  <si>
    <t>[effect:enhance_enemy, target:myself, turn:-1, status:attack, val:1.1, calc:mul, animation:enemy_enhance_enemy],[effect:enhance_enemy, target:myself, turn:-1, status:defense, val:3000, calc:add]</t>
    <phoneticPr fontId="7"/>
  </si>
  <si>
    <t>[effect:enhance_enemy, target:myself, turn:-1, status:defense, val:2000, calc:add, animation:enemy_enhance_defense]</t>
    <phoneticPr fontId="7"/>
  </si>
  <si>
    <t>[effect:fix_speed, target:myself, turn:1],[effect:tolerance, target:myself, turn:-1, count:-1, tolerance_effect:all, animation:enemy_tolerance]</t>
    <phoneticPr fontId="7"/>
  </si>
  <si>
    <t>状態異常無効</t>
    <rPh sb="0" eb="4">
      <t>ｊｙ</t>
    </rPh>
    <rPh sb="4" eb="6">
      <t>ムコ</t>
    </rPh>
    <phoneticPr fontId="7"/>
  </si>
  <si>
    <t>緑パネルを黄パネルに変換</t>
    <phoneticPr fontId="7"/>
  </si>
  <si>
    <t>青パネルを赤パネルに変換</t>
    <rPh sb="0" eb="1">
      <t>ア</t>
    </rPh>
    <rPh sb="5" eb="6">
      <t>アカパネｒ</t>
    </rPh>
    <phoneticPr fontId="7"/>
  </si>
  <si>
    <t>状態異常無効</t>
    <rPh sb="0" eb="4">
      <t>ジョ</t>
    </rPh>
    <rPh sb="4" eb="6">
      <t>ムコ</t>
    </rPh>
    <phoneticPr fontId="7"/>
  </si>
  <si>
    <t>エンクリプション・ガード</t>
    <phoneticPr fontId="7"/>
  </si>
  <si>
    <t>エニグマ・プロテクト</t>
    <phoneticPr fontId="7"/>
  </si>
  <si>
    <t>対象を処理します…</t>
    <phoneticPr fontId="7"/>
  </si>
  <si>
    <t>プロテクト・ボマー</t>
    <phoneticPr fontId="7"/>
  </si>
  <si>
    <t>翠械のラストテーゼ</t>
    <phoneticPr fontId="7"/>
  </si>
  <si>
    <t>暴創のアリスメティック</t>
    <rPh sb="0" eb="1">
      <t>ボウソ</t>
    </rPh>
    <rPh sb="1" eb="2">
      <t>ツクル</t>
    </rPh>
    <phoneticPr fontId="7"/>
  </si>
  <si>
    <t>全暗号解読完了…いきます…</t>
    <phoneticPr fontId="7"/>
  </si>
  <si>
    <t>テスト全工程、実行完了…</t>
    <rPh sb="3" eb="4">
      <t>ゼンコ</t>
    </rPh>
    <rPh sb="4" eb="6">
      <t>koutei</t>
    </rPh>
    <phoneticPr fontId="7"/>
  </si>
  <si>
    <t>素晴らしい結果です…</t>
    <rPh sb="0" eb="2">
      <t>スバラｓ</t>
    </rPh>
    <rPh sb="5" eb="7">
      <t>ケｋｋ</t>
    </rPh>
    <phoneticPr fontId="7"/>
  </si>
  <si>
    <t>暴動宣言</t>
    <phoneticPr fontId="7"/>
  </si>
  <si>
    <t>サウンドストーム</t>
    <phoneticPr fontId="7"/>
  </si>
  <si>
    <t>[effect:spread, val:0.3, animation:enemy_spread]</t>
    <phoneticPr fontId="7"/>
  </si>
  <si>
    <t>全体攻撃</t>
    <rPh sb="0" eb="4">
      <t>ゼｎ</t>
    </rPh>
    <phoneticPr fontId="7"/>
  </si>
  <si>
    <t>目標アイツ！撃て〜！</t>
    <phoneticPr fontId="7"/>
  </si>
  <si>
    <t>動けないでしょ〜？</t>
    <rPh sb="0" eb="1">
      <t>ウゴｋ</t>
    </rPh>
    <phoneticPr fontId="7"/>
  </si>
  <si>
    <t>のんびりしようよ〜…</t>
    <phoneticPr fontId="7"/>
  </si>
  <si>
    <t>ごろごろ…</t>
    <phoneticPr fontId="7"/>
  </si>
  <si>
    <t>むにゃむにゃ…</t>
    <phoneticPr fontId="7"/>
  </si>
  <si>
    <t>も〜っ、お昼寝の邪魔〜！</t>
    <phoneticPr fontId="7"/>
  </si>
  <si>
    <t>荷電粒子斬り</t>
    <phoneticPr fontId="7"/>
  </si>
  <si>
    <t>破壊対象、ロックっ！</t>
    <phoneticPr fontId="7"/>
  </si>
  <si>
    <t>こちらに狙いを定めている</t>
    <rPh sb="4" eb="5">
      <t>ネラ</t>
    </rPh>
    <rPh sb="7" eb="8">
      <t>サダｍ</t>
    </rPh>
    <phoneticPr fontId="7"/>
  </si>
  <si>
    <t>出力限界突破</t>
    <rPh sb="0" eb="2">
      <t>ｓｙ</t>
    </rPh>
    <rPh sb="2" eb="4">
      <t>ゲンカ</t>
    </rPh>
    <rPh sb="4" eb="6">
      <t>トｐｐ</t>
    </rPh>
    <phoneticPr fontId="7"/>
  </si>
  <si>
    <t>余剰電力放電</t>
    <rPh sb="0" eb="4">
      <t>ヨジョ</t>
    </rPh>
    <rPh sb="4" eb="6">
      <t>ホ</t>
    </rPh>
    <phoneticPr fontId="7"/>
  </si>
  <si>
    <t>レイジングブラスト</t>
    <phoneticPr fontId="7"/>
  </si>
  <si>
    <t>蒸発しやがれぇぇ！</t>
    <phoneticPr fontId="7"/>
  </si>
  <si>
    <t>暴走する鼓動</t>
    <rPh sb="0" eb="2">
      <t>ボウソ</t>
    </rPh>
    <rPh sb="4" eb="6">
      <t>コドウ</t>
    </rPh>
    <phoneticPr fontId="7"/>
  </si>
  <si>
    <t>燃え上がる炎</t>
    <rPh sb="0" eb="1">
      <t>モエアガｒ</t>
    </rPh>
    <rPh sb="5" eb="6">
      <t>ホノ</t>
    </rPh>
    <phoneticPr fontId="7"/>
  </si>
  <si>
    <t>ロックミサイル・スリー</t>
    <phoneticPr fontId="7"/>
  </si>
  <si>
    <t>ロックミサイル・シックス</t>
    <phoneticPr fontId="7"/>
  </si>
  <si>
    <t>[player_ranking_grade]の対象を確認…</t>
    <rPh sb="23" eb="25">
      <t>タ</t>
    </rPh>
    <rPh sb="26" eb="28">
      <t>カクニｎ</t>
    </rPh>
    <phoneticPr fontId="7"/>
  </si>
  <si>
    <t>バランスタイプのユニットに大ダメージの全体攻撃</t>
    <rPh sb="19" eb="23">
      <t>ゼｎ</t>
    </rPh>
    <phoneticPr fontId="7"/>
  </si>
  <si>
    <t>アンチバランス・デサイファ</t>
    <phoneticPr fontId="7"/>
  </si>
  <si>
    <t>アンチバランス・エラディケイト</t>
    <phoneticPr fontId="7"/>
  </si>
  <si>
    <t>[effect:damage_anti_type, target:unit_one, type:balance, val1:3, val2:1.2]</t>
    <phoneticPr fontId="7"/>
  </si>
  <si>
    <t>[effect:damage_anti_type, target:unit_all, type:balance, val1:3, val2:0.3]</t>
    <phoneticPr fontId="7"/>
  </si>
  <si>
    <t>[effect:damage_anti_type, target:unit_all, type:balance, val1:3, val2:0.3]</t>
    <phoneticPr fontId="7"/>
  </si>
  <si>
    <t>null</t>
    <phoneticPr fontId="7"/>
  </si>
  <si>
    <t>バインドノイズ</t>
    <phoneticPr fontId="7"/>
  </si>
  <si>
    <t>バランスタイプのユニットに30ターンスキルバインド</t>
    <phoneticPr fontId="7"/>
  </si>
  <si>
    <t>[effect:fix_speed, target:enemy_green, turn:2],[effect:hungup, target:unit_balance, turn:30, rate:1, animation:hungup01]</t>
    <phoneticPr fontId="7"/>
  </si>
  <si>
    <t>item</t>
    <phoneticPr fontId="9"/>
  </si>
  <si>
    <t>刀のランキングチケット × 1</t>
    <rPh sb="0" eb="1">
      <t>カｔ</t>
    </rPh>
    <phoneticPr fontId="9"/>
  </si>
  <si>
    <t>ランキングクエスト報酬</t>
    <rPh sb="9" eb="11">
      <t>ホウシュウ</t>
    </rPh>
    <phoneticPr fontId="9"/>
  </si>
  <si>
    <t>刀のチケットピース × 2</t>
    <phoneticPr fontId="9"/>
  </si>
  <si>
    <t>polygon</t>
    <phoneticPr fontId="9"/>
  </si>
  <si>
    <t>polygon</t>
    <phoneticPr fontId="9"/>
  </si>
  <si>
    <t>null</t>
    <phoneticPr fontId="7"/>
  </si>
  <si>
    <t>ja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</si>
  <si>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</si>
  <si>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</si>
  <si>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</si>
  <si>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刀のランキングチケット × 1</t>
    <phoneticPr fontId="9"/>
  </si>
  <si>
    <t>刀のチケットピース × 1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</si>
  <si>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</si>
  <si>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</si>
  <si>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</si>
  <si>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刀のチケットピース × 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</si>
  <si>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</si>
  <si>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</si>
  <si>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</si>
  <si>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</si>
  <si>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</si>
  <si>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</si>
  <si>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</si>
  <si>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</si>
  <si>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</si>
  <si>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</si>
  <si>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</si>
  <si>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</si>
  <si>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</si>
  <si>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</si>
  <si>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</si>
  <si>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</si>
  <si>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</si>
  <si>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15万ビット</t>
    <rPh sb="2" eb="3">
      <t>マン</t>
    </rPh>
    <phoneticPr fontId="9"/>
  </si>
  <si>
    <t>ポリゴン×1</t>
    <phoneticPr fontId="9"/>
  </si>
  <si>
    <t>10万ビット</t>
    <rPh sb="2" eb="3">
      <t>マン</t>
    </rPh>
    <phoneticPr fontId="9"/>
  </si>
  <si>
    <t>チューリングチャレンジ
順位報酬</t>
    <rPh sb="12" eb="14">
      <t>ジュンイ</t>
    </rPh>
    <rPh sb="14" eb="16">
      <t>ホウシュウ</t>
    </rPh>
    <phoneticPr fontId="9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</si>
  <si>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</si>
  <si>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</si>
  <si>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</si>
  <si>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</si>
  <si>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</si>
  <si>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</si>
  <si>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</si>
  <si>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</si>
  <si>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</si>
  <si>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</si>
  <si>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</si>
  <si>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</si>
  <si>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</si>
  <si>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  <phoneticPr fontId="7"/>
  </si>
  <si>
    <t>bug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</si>
  <si>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</si>
  <si>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</si>
  <si>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</si>
  <si>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</si>
  <si>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 xml:space="preserve">gift_limit </t>
    <phoneticPr fontId="7"/>
  </si>
  <si>
    <t>unit</t>
    <phoneticPr fontId="9"/>
  </si>
  <si>
    <t>ja</t>
    <phoneticPr fontId="9"/>
  </si>
  <si>
    <t>リトルハンプティ × 1</t>
    <phoneticPr fontId="9"/>
  </si>
  <si>
    <t>ランキングクエストスコア評価報酬</t>
    <rPh sb="12" eb="14">
      <t>ヒョウカ</t>
    </rPh>
    <rPh sb="14" eb="16">
      <t>ホウシュウ</t>
    </rPh>
    <phoneticPr fontId="9"/>
  </si>
  <si>
    <t>チューリングチャレンジ
スコア評価報酬</t>
    <phoneticPr fontId="9"/>
  </si>
  <si>
    <t>ギガ秘術の果実 × 1</t>
    <rPh sb="2" eb="4">
      <t>ヒジュツ</t>
    </rPh>
    <rPh sb="5" eb="7">
      <t>カジツ</t>
    </rPh>
    <phoneticPr fontId="9"/>
  </si>
  <si>
    <t>item</t>
    <phoneticPr fontId="9"/>
  </si>
  <si>
    <t>刀のチケットピース × 1</t>
    <phoneticPr fontId="9"/>
  </si>
  <si>
    <t>ranking_eval_gift</t>
    <phoneticPr fontId="7"/>
  </si>
  <si>
    <t>gifts_tmp_</t>
    <phoneticPr fontId="9"/>
  </si>
  <si>
    <t>gifts_i18n_</t>
    <phoneticPr fontId="9"/>
  </si>
  <si>
    <t>.tmp</t>
    <phoneticPr fontId="7"/>
  </si>
  <si>
    <t>gifts_tmp_</t>
    <phoneticPr fontId="7"/>
  </si>
  <si>
    <t>gifts_i18n_</t>
    <phoneticPr fontId="7"/>
  </si>
  <si>
    <t>[effect:force_change_block, new_block:block_red, target:block_blue, count:0, val:0, animation:change_block]</t>
    <phoneticPr fontId="7"/>
  </si>
  <si>
    <t>[effect:force_change_block, new_block:block_yellow, target:block_green, count:0, val:0, animation:change_block]</t>
    <phoneticPr fontId="7"/>
  </si>
  <si>
    <t>[effect:enemy_message, dead_type:suicide, val1:1.4, val2:2]</t>
    <phoneticPr fontId="7"/>
  </si>
  <si>
    <t>[effect:enemy_message, val2:2.8],[effect:dis_panel,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t>
    <phoneticPr fontId="7"/>
  </si>
  <si>
    <t>old</t>
  </si>
  <si>
    <t>[effect:invalidate_crash_panel, target:unit_all, turn:2, count:11, animation:enemy_dis_crashPanel]</t>
    <phoneticPr fontId="7"/>
  </si>
  <si>
    <t>2ターンSCパネル以外のCパネルを無効</t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</si>
  <si>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t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</si>
  <si>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t>
    <phoneticPr fontId="7"/>
  </si>
  <si>
    <t>[effect:invalidate_crash_panel, target:unit_all, turn:1, count:11, animation:enemy_dis_crashPanel],[effect:critical, val:1.2, animation:enemy_critical]</t>
    <phoneticPr fontId="7"/>
  </si>
  <si>
    <t>[effect:rush, count:6, val:0.2],[effect:invalidate_crash_panel, target:unit_all, turn:1, count:11, animation:enemy_dis_crashPanel]</t>
    <phoneticPr fontId="7"/>
  </si>
  <si>
    <t>[effect:force_change_block, new_block:time_bomb, target:block_all, ignore01:crash, ignore02:time_bomb, ignore03:color_break, count:5, val:0.1, animation:change_block],[effect:panel_freeze, target:block_red, count:-1],[effect:panel_freeze, target:block_blue, count:-1]</t>
    <phoneticPr fontId="7"/>
  </si>
  <si>
    <t>ペンチプレス</t>
    <phoneticPr fontId="7"/>
  </si>
  <si>
    <t>防御力UP</t>
    <rPh sb="0" eb="3">
      <t>ボ</t>
    </rPh>
    <phoneticPr fontId="7"/>
  </si>
  <si>
    <t>ハートパネルを吸収して全体攻撃</t>
    <rPh sb="7" eb="15">
      <t>キュウシュ</t>
    </rPh>
    <phoneticPr fontId="7"/>
  </si>
  <si>
    <t>1ターンSCパネル以外のCパネルを無効+
クリティカル！</t>
    <phoneticPr fontId="7"/>
  </si>
  <si>
    <t>Cパネルを吸収して全体攻撃</t>
    <rPh sb="5" eb="7">
      <t>キュ</t>
    </rPh>
    <rPh sb="9" eb="11">
      <t>ゼｎ</t>
    </rPh>
    <rPh sb="11" eb="13">
      <t>コウゲｋ</t>
    </rPh>
    <phoneticPr fontId="7"/>
  </si>
  <si>
    <t>3ターン緑・黄・青パネルを無効+
赤パネルがドロップしない</t>
    <rPh sb="4" eb="5">
      <t>ミドｒ</t>
    </rPh>
    <rPh sb="6" eb="7">
      <t>キ</t>
    </rPh>
    <rPh sb="8" eb="9">
      <t>ア</t>
    </rPh>
    <phoneticPr fontId="7"/>
  </si>
  <si>
    <t>クリティカル！</t>
    <phoneticPr fontId="7"/>
  </si>
  <si>
    <t>敵全体の攻撃力UP</t>
    <rPh sb="0" eb="1">
      <t>テｋ</t>
    </rPh>
    <rPh sb="1" eb="3">
      <t>ゼｎ</t>
    </rPh>
    <rPh sb="4" eb="7">
      <t>コウゲｋ</t>
    </rPh>
    <phoneticPr fontId="7"/>
  </si>
  <si>
    <t>敵全体の行動頻度UP</t>
    <rPh sb="0" eb="1">
      <t>テｋ</t>
    </rPh>
    <rPh sb="1" eb="3">
      <t>ゼｎ</t>
    </rPh>
    <rPh sb="4" eb="8">
      <t>コウド</t>
    </rPh>
    <phoneticPr fontId="7"/>
  </si>
  <si>
    <t>3回連続攻撃+
1ターンSCパネル以外のCパネルを無効</t>
    <rPh sb="1" eb="2">
      <t>カ</t>
    </rPh>
    <rPh sb="2" eb="6">
      <t>レンゾｋ</t>
    </rPh>
    <phoneticPr fontId="7"/>
  </si>
  <si>
    <t>バランスタイプのユニットに大ダメージ</t>
    <phoneticPr fontId="7"/>
  </si>
  <si>
    <t>バランスタイプのユニットに大ダメージ</t>
    <phoneticPr fontId="7"/>
  </si>
  <si>
    <t>6回連続攻撃+
1ターンSCパネル以外のCパネルを無効</t>
    <rPh sb="1" eb="2">
      <t>カ</t>
    </rPh>
    <rPh sb="2" eb="6">
      <t>レンゾｋ</t>
    </rPh>
    <phoneticPr fontId="7"/>
  </si>
  <si>
    <t>バランスタイプのユニットに大ダメージ</t>
    <phoneticPr fontId="7"/>
  </si>
  <si>
    <t>状態異常無効+
緑パネルプロテクト+
2ターン緑パネルはプロテクトされてドロップ</t>
    <rPh sb="8" eb="9">
      <t>ミドｒ</t>
    </rPh>
    <rPh sb="23" eb="24">
      <t>ミドｒ</t>
    </rPh>
    <phoneticPr fontId="7"/>
  </si>
  <si>
    <t>クリティカル！+行動頻度を1に変更</t>
    <rPh sb="8" eb="12">
      <t>コウド</t>
    </rPh>
    <rPh sb="15" eb="17">
      <t>ヘｎ</t>
    </rPh>
    <phoneticPr fontId="7"/>
  </si>
  <si>
    <t>クリティカル！+行動頻度を2に変更</t>
    <rPh sb="8" eb="12">
      <t>コウド</t>
    </rPh>
    <rPh sb="15" eb="17">
      <t>ヘｎ</t>
    </rPh>
    <phoneticPr fontId="7"/>
  </si>
  <si>
    <t>クリティカル！+行動頻度を3に変更</t>
    <rPh sb="8" eb="12">
      <t>コウド</t>
    </rPh>
    <rPh sb="15" eb="17">
      <t>ヘｎ</t>
    </rPh>
    <phoneticPr fontId="7"/>
  </si>
  <si>
    <t>状態異常無効+
赤パネルプロテクト+
2ターン赤パネルはプロテクトされてドロップ</t>
    <rPh sb="8" eb="9">
      <t>アｋ</t>
    </rPh>
    <rPh sb="23" eb="24">
      <t>アｋ</t>
    </rPh>
    <phoneticPr fontId="7"/>
  </si>
  <si>
    <t>時限式ダメージパネル変換(最大5個)+
赤・青パネルプロテクト</t>
    <rPh sb="10" eb="12">
      <t>ヘンカｎ</t>
    </rPh>
    <rPh sb="20" eb="21">
      <t>アｋ</t>
    </rPh>
    <rPh sb="22" eb="23">
      <t>ア</t>
    </rPh>
    <phoneticPr fontId="7"/>
  </si>
  <si>
    <t>攻撃力&amp;防御力をUP</t>
    <rPh sb="0" eb="6">
      <t>コウゲｋ</t>
    </rPh>
    <rPh sb="6" eb="7">
      <t>リョｋ</t>
    </rPh>
    <phoneticPr fontId="7"/>
  </si>
  <si>
    <t>[effect:rush, count:3, val:0.45],[effect:invalidate_crash_panel, target:unit_all, turn:1, count:11, animation:enemy_dis_crashPanel]</t>
    <phoneticPr fontId="7"/>
  </si>
  <si>
    <t>3ターン青・黄・緑パネルを無効+
赤パネルがドロップしない</t>
    <rPh sb="4" eb="5">
      <t>ア</t>
    </rPh>
    <rPh sb="6" eb="7">
      <t>キ</t>
    </rPh>
    <rPh sb="8" eb="9">
      <t>ミドｒ</t>
    </rPh>
    <phoneticPr fontId="7"/>
  </si>
  <si>
    <t>skip</t>
    <phoneticPr fontId="7"/>
  </si>
  <si>
    <t>マスターキー × 2</t>
    <phoneticPr fontId="9"/>
  </si>
  <si>
    <t>ポリゴン × 3</t>
    <phoneticPr fontId="9"/>
  </si>
  <si>
    <t>限界突破キー × 2</t>
    <rPh sb="0" eb="4">
      <t>ゲンカイトッパ</t>
    </rPh>
    <phoneticPr fontId="9"/>
  </si>
  <si>
    <t>ranking_stage_evaluation_gifts_</t>
    <phoneticPr fontId="7"/>
  </si>
  <si>
    <t>経験値キー × 2</t>
    <rPh sb="0" eb="3">
      <t>ケイケンチ</t>
    </rPh>
    <phoneticPr fontId="9"/>
  </si>
  <si>
    <t>ビットキー × 2</t>
    <phoneticPr fontId="9"/>
  </si>
  <si>
    <t>ポリゴン × 2</t>
    <phoneticPr fontId="9"/>
  </si>
  <si>
    <t>2000リンク</t>
    <phoneticPr fontId="7"/>
  </si>
  <si>
    <t>200000ビット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</si>
</sst>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3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3" fillId="0" borderId="7" xfId="0" applyFont="1" applyFill="1" applyBorder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23" xfId="0" applyFill="1" applyBorder="1"/>
    <xf numFmtId="40" fontId="0" fillId="36" borderId="7" xfId="724" applyNumberFormat="1" applyFont="1" applyFill="1" applyBorder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4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 wrapText="1"/>
    </xf>
    <xf numFmtId="0" fontId="0" fillId="34" borderId="7" xfId="676" applyFont="1" applyFill="1" applyBorder="1"/>
    <xf numFmtId="0" fontId="0" fillId="0" borderId="7" xfId="615" applyFont="1" applyFill="1" applyBorder="1"/>
    <xf numFmtId="0" fontId="18" fillId="0" borderId="7" xfId="432" applyFont="1" applyFill="1" applyBorder="1" applyAlignment="1">
      <alignment horizontal="left" vertical="center"/>
    </xf>
    <xf numFmtId="0" fontId="26" fillId="13" borderId="7" xfId="434" applyFill="1" applyBorder="1" applyAlignment="1"/>
    <xf numFmtId="0" fontId="18" fillId="13" borderId="7" xfId="0" applyFont="1" applyFill="1" applyBorder="1" applyAlignment="1">
      <alignment vertical="center"/>
    </xf>
    <xf numFmtId="0" fontId="18" fillId="13" borderId="7" xfId="0" applyFont="1" applyFill="1" applyBorder="1" applyAlignment="1">
      <alignment horizontal="left" vertical="center" wrapText="1"/>
    </xf>
    <xf numFmtId="0" fontId="26" fillId="13" borderId="7" xfId="615" applyFont="1" applyFill="1" applyBorder="1"/>
    <xf numFmtId="0" fontId="0" fillId="0" borderId="7" xfId="676" applyFont="1" applyFill="1" applyBorder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48011</v>
          </cell>
        </row>
        <row r="238">
          <cell r="A238">
            <v>48501</v>
          </cell>
        </row>
        <row r="239">
          <cell r="A239">
            <v>41001</v>
          </cell>
        </row>
        <row r="240">
          <cell r="A240">
            <v>41002</v>
          </cell>
        </row>
        <row r="241">
          <cell r="A241">
            <v>41003</v>
          </cell>
        </row>
        <row r="242">
          <cell r="A242">
            <v>41004</v>
          </cell>
        </row>
        <row r="243">
          <cell r="A243">
            <v>41005</v>
          </cell>
        </row>
        <row r="244">
          <cell r="A244">
            <v>41006</v>
          </cell>
        </row>
        <row r="245">
          <cell r="A245">
            <v>41007</v>
          </cell>
        </row>
        <row r="246">
          <cell r="A246">
            <v>41008</v>
          </cell>
        </row>
        <row r="247">
          <cell r="A247">
            <v>41009</v>
          </cell>
        </row>
        <row r="248">
          <cell r="A248">
            <v>41010</v>
          </cell>
        </row>
        <row r="249">
          <cell r="A249">
            <v>41011</v>
          </cell>
        </row>
        <row r="250">
          <cell r="A250">
            <v>41012</v>
          </cell>
        </row>
        <row r="251">
          <cell r="A251">
            <v>41013</v>
          </cell>
        </row>
        <row r="252">
          <cell r="A252">
            <v>41014</v>
          </cell>
        </row>
        <row r="253">
          <cell r="A253">
            <v>41015</v>
          </cell>
        </row>
        <row r="254">
          <cell r="A254">
            <v>47001</v>
          </cell>
        </row>
        <row r="255">
          <cell r="A255">
            <v>47002</v>
          </cell>
        </row>
        <row r="256">
          <cell r="A256">
            <v>47003</v>
          </cell>
        </row>
        <row r="257">
          <cell r="A257">
            <v>47004</v>
          </cell>
        </row>
        <row r="258">
          <cell r="A258">
            <v>47005</v>
          </cell>
        </row>
        <row r="259">
          <cell r="A259">
            <v>47006</v>
          </cell>
        </row>
        <row r="260">
          <cell r="A260">
            <v>49001</v>
          </cell>
        </row>
        <row r="261">
          <cell r="A261">
            <v>49002</v>
          </cell>
        </row>
        <row r="262">
          <cell r="A262">
            <v>49003</v>
          </cell>
        </row>
        <row r="263">
          <cell r="A263">
            <v>49004</v>
          </cell>
        </row>
        <row r="264">
          <cell r="A264">
            <v>49005</v>
          </cell>
        </row>
        <row r="265">
          <cell r="A265">
            <v>49006</v>
          </cell>
        </row>
        <row r="266">
          <cell r="A266">
            <v>49007</v>
          </cell>
        </row>
        <row r="267">
          <cell r="A267">
            <v>49008</v>
          </cell>
        </row>
        <row r="268">
          <cell r="A268">
            <v>49009</v>
          </cell>
        </row>
        <row r="269">
          <cell r="A269">
            <v>49010</v>
          </cell>
        </row>
        <row r="270">
          <cell r="A270">
            <v>49011</v>
          </cell>
        </row>
        <row r="271">
          <cell r="A271">
            <v>49012</v>
          </cell>
        </row>
        <row r="272">
          <cell r="A272">
            <v>49013</v>
          </cell>
        </row>
        <row r="273">
          <cell r="A273">
            <v>50001</v>
          </cell>
        </row>
        <row r="274">
          <cell r="A274">
            <v>50002</v>
          </cell>
        </row>
        <row r="275">
          <cell r="A275">
            <v>50003</v>
          </cell>
        </row>
        <row r="276">
          <cell r="A276">
            <v>50004</v>
          </cell>
        </row>
        <row r="277">
          <cell r="A277">
            <v>50005</v>
          </cell>
        </row>
        <row r="278">
          <cell r="A278">
            <v>50006</v>
          </cell>
        </row>
        <row r="279">
          <cell r="A279">
            <v>50007</v>
          </cell>
        </row>
        <row r="280">
          <cell r="A280">
            <v>50008</v>
          </cell>
        </row>
        <row r="281">
          <cell r="A281">
            <v>50009</v>
          </cell>
        </row>
        <row r="282">
          <cell r="A282">
            <v>50010</v>
          </cell>
        </row>
        <row r="283">
          <cell r="A283">
            <v>50011</v>
          </cell>
        </row>
        <row r="284">
          <cell r="A284">
            <v>50012</v>
          </cell>
        </row>
        <row r="285">
          <cell r="A285">
            <v>50013</v>
          </cell>
        </row>
        <row r="286">
          <cell r="A286">
            <v>51001</v>
          </cell>
        </row>
        <row r="287">
          <cell r="A287">
            <v>51002</v>
          </cell>
        </row>
        <row r="288">
          <cell r="A288">
            <v>59001</v>
          </cell>
        </row>
        <row r="289">
          <cell r="A289">
            <v>60001</v>
          </cell>
        </row>
        <row r="290">
          <cell r="A290">
            <v>60002</v>
          </cell>
        </row>
        <row r="291">
          <cell r="A291">
            <v>60003</v>
          </cell>
        </row>
        <row r="292">
          <cell r="A292">
            <v>60004</v>
          </cell>
        </row>
        <row r="293">
          <cell r="A293">
            <v>60005</v>
          </cell>
        </row>
        <row r="294">
          <cell r="A294">
            <v>60006</v>
          </cell>
        </row>
        <row r="295">
          <cell r="A295">
            <v>60007</v>
          </cell>
        </row>
        <row r="296">
          <cell r="A296">
            <v>60010</v>
          </cell>
        </row>
        <row r="297">
          <cell r="A297">
            <v>60011</v>
          </cell>
        </row>
        <row r="298">
          <cell r="A298">
            <v>61011</v>
          </cell>
        </row>
        <row r="299">
          <cell r="A299">
            <v>60012</v>
          </cell>
        </row>
        <row r="300">
          <cell r="A300">
            <v>60013</v>
          </cell>
        </row>
        <row r="301">
          <cell r="A301">
            <v>60014</v>
          </cell>
        </row>
        <row r="302">
          <cell r="A302">
            <v>60015</v>
          </cell>
        </row>
        <row r="303">
          <cell r="A303">
            <v>60016</v>
          </cell>
        </row>
        <row r="304">
          <cell r="A304">
            <v>60017</v>
          </cell>
        </row>
        <row r="305">
          <cell r="A305">
            <v>60018</v>
          </cell>
        </row>
        <row r="306">
          <cell r="A306">
            <v>60019</v>
          </cell>
        </row>
        <row r="307">
          <cell r="A307">
            <v>60020</v>
          </cell>
        </row>
        <row r="308">
          <cell r="A308">
            <v>60025</v>
          </cell>
        </row>
        <row r="309">
          <cell r="A309">
            <v>60026</v>
          </cell>
        </row>
        <row r="310">
          <cell r="A310">
            <v>60027</v>
          </cell>
        </row>
        <row r="311">
          <cell r="A311">
            <v>65525</v>
          </cell>
        </row>
        <row r="312">
          <cell r="A312">
            <v>65526</v>
          </cell>
        </row>
        <row r="313">
          <cell r="A313">
            <v>65527</v>
          </cell>
        </row>
        <row r="314">
          <cell r="A314">
            <v>65528</v>
          </cell>
        </row>
        <row r="315">
          <cell r="A315">
            <v>65529</v>
          </cell>
        </row>
        <row r="316">
          <cell r="A316">
            <v>65530</v>
          </cell>
        </row>
        <row r="317">
          <cell r="A317">
            <v>65531</v>
          </cell>
        </row>
        <row r="318">
          <cell r="A318">
            <v>65532</v>
          </cell>
        </row>
        <row r="319">
          <cell r="A319">
            <v>65533</v>
          </cell>
        </row>
        <row r="320">
          <cell r="A320">
            <v>65534</v>
          </cell>
        </row>
        <row r="321">
          <cell r="A321">
            <v>65535</v>
          </cell>
        </row>
        <row r="322">
          <cell r="A322">
            <v>60021</v>
          </cell>
        </row>
        <row r="323">
          <cell r="A323">
            <v>60022</v>
          </cell>
        </row>
        <row r="324">
          <cell r="A324">
            <v>60023</v>
          </cell>
        </row>
        <row r="325">
          <cell r="A3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48011_1</v>
          </cell>
        </row>
        <row r="832">
          <cell r="A832" t="str">
            <v>48011_2</v>
          </cell>
        </row>
        <row r="833">
          <cell r="A833" t="str">
            <v>48501_1</v>
          </cell>
        </row>
        <row r="834">
          <cell r="A834" t="str">
            <v>48501_2</v>
          </cell>
        </row>
        <row r="835">
          <cell r="A835" t="str">
            <v>49001_1</v>
          </cell>
        </row>
        <row r="836">
          <cell r="A836" t="str">
            <v>49002_1</v>
          </cell>
        </row>
        <row r="837">
          <cell r="A837" t="str">
            <v>49002_2</v>
          </cell>
        </row>
        <row r="838">
          <cell r="A838" t="str">
            <v>49003_1</v>
          </cell>
        </row>
        <row r="839">
          <cell r="A839" t="str">
            <v>49003_2</v>
          </cell>
        </row>
        <row r="840">
          <cell r="A840" t="str">
            <v>49004_1</v>
          </cell>
        </row>
        <row r="841">
          <cell r="A841" t="str">
            <v>49004_2</v>
          </cell>
        </row>
        <row r="842">
          <cell r="A842" t="str">
            <v>49004_3</v>
          </cell>
        </row>
        <row r="843">
          <cell r="A843" t="str">
            <v>49005_1</v>
          </cell>
        </row>
        <row r="844">
          <cell r="A844" t="str">
            <v>49006_1</v>
          </cell>
        </row>
        <row r="845">
          <cell r="A845" t="str">
            <v>49006_2</v>
          </cell>
        </row>
        <row r="846">
          <cell r="A846" t="str">
            <v>49007_1</v>
          </cell>
        </row>
        <row r="847">
          <cell r="A847" t="str">
            <v>49007_2</v>
          </cell>
        </row>
        <row r="848">
          <cell r="A848" t="str">
            <v>49007_3</v>
          </cell>
        </row>
        <row r="849">
          <cell r="A849" t="str">
            <v>49008_1</v>
          </cell>
        </row>
        <row r="850">
          <cell r="A850" t="str">
            <v>49009_1</v>
          </cell>
        </row>
        <row r="851">
          <cell r="A851" t="str">
            <v>49010_1</v>
          </cell>
        </row>
        <row r="852">
          <cell r="A852" t="str">
            <v>49011_1</v>
          </cell>
        </row>
        <row r="853">
          <cell r="A853" t="str">
            <v>49012_1</v>
          </cell>
        </row>
        <row r="854">
          <cell r="A854" t="str">
            <v>49013_1</v>
          </cell>
        </row>
        <row r="855">
          <cell r="A855" t="str">
            <v>50001_1</v>
          </cell>
        </row>
        <row r="856">
          <cell r="A856" t="str">
            <v>50002_1</v>
          </cell>
        </row>
        <row r="857">
          <cell r="A857" t="str">
            <v>50003_1</v>
          </cell>
        </row>
        <row r="858">
          <cell r="A858" t="str">
            <v>50004_1</v>
          </cell>
        </row>
        <row r="859">
          <cell r="A859" t="str">
            <v>50005_1</v>
          </cell>
        </row>
        <row r="860">
          <cell r="A860" t="str">
            <v>50006_1</v>
          </cell>
        </row>
        <row r="861">
          <cell r="A861" t="str">
            <v>50007_1</v>
          </cell>
        </row>
        <row r="862">
          <cell r="A862" t="str">
            <v>50008_1</v>
          </cell>
        </row>
        <row r="863">
          <cell r="A863" t="str">
            <v>50009_1</v>
          </cell>
        </row>
        <row r="864">
          <cell r="A864" t="str">
            <v>50010_1</v>
          </cell>
        </row>
        <row r="865">
          <cell r="A865" t="str">
            <v>50011_1</v>
          </cell>
        </row>
        <row r="866">
          <cell r="A866" t="str">
            <v>50012_1</v>
          </cell>
        </row>
        <row r="867">
          <cell r="A867" t="str">
            <v>50013_1</v>
          </cell>
        </row>
        <row r="868">
          <cell r="A868" t="str">
            <v>51001_1</v>
          </cell>
        </row>
        <row r="869">
          <cell r="A869" t="str">
            <v>51002_1</v>
          </cell>
        </row>
        <row r="870">
          <cell r="A870" t="str">
            <v>59001_1</v>
          </cell>
        </row>
        <row r="871">
          <cell r="A871" t="str">
            <v>60001_1</v>
          </cell>
        </row>
        <row r="872">
          <cell r="A872" t="str">
            <v>60002_1</v>
          </cell>
        </row>
        <row r="873">
          <cell r="A873" t="str">
            <v>60002_2</v>
          </cell>
        </row>
        <row r="874">
          <cell r="A874" t="str">
            <v>60003_1</v>
          </cell>
        </row>
        <row r="875">
          <cell r="A875" t="str">
            <v>60003_2</v>
          </cell>
        </row>
        <row r="876">
          <cell r="A876" t="str">
            <v>60003_3</v>
          </cell>
        </row>
        <row r="877">
          <cell r="A877" t="str">
            <v>60004_1</v>
          </cell>
        </row>
        <row r="878">
          <cell r="A878" t="str">
            <v>60005_1</v>
          </cell>
        </row>
        <row r="879">
          <cell r="A879" t="str">
            <v>60006_1</v>
          </cell>
        </row>
        <row r="880">
          <cell r="A880" t="str">
            <v>60006_2</v>
          </cell>
        </row>
        <row r="881">
          <cell r="A881" t="str">
            <v>60006_3</v>
          </cell>
        </row>
        <row r="882">
          <cell r="A882" t="str">
            <v>60007_1</v>
          </cell>
        </row>
        <row r="883">
          <cell r="A883" t="str">
            <v>60007_2</v>
          </cell>
        </row>
        <row r="884">
          <cell r="A884" t="str">
            <v>60007_3</v>
          </cell>
        </row>
        <row r="885">
          <cell r="A885" t="str">
            <v>60010_1</v>
          </cell>
        </row>
        <row r="886">
          <cell r="A886" t="str">
            <v>60011_1</v>
          </cell>
        </row>
        <row r="887">
          <cell r="A887" t="str">
            <v>60011_2</v>
          </cell>
        </row>
        <row r="888">
          <cell r="A888" t="str">
            <v>60012_1</v>
          </cell>
        </row>
        <row r="889">
          <cell r="A889" t="str">
            <v>60013_1</v>
          </cell>
        </row>
        <row r="890">
          <cell r="A890" t="str">
            <v>60013_2</v>
          </cell>
        </row>
        <row r="891">
          <cell r="A891" t="str">
            <v>60013_3</v>
          </cell>
        </row>
        <row r="892">
          <cell r="A892" t="str">
            <v>60014_1</v>
          </cell>
        </row>
        <row r="893">
          <cell r="A893" t="str">
            <v>60015_1</v>
          </cell>
        </row>
        <row r="894">
          <cell r="A894" t="str">
            <v>60016_1</v>
          </cell>
        </row>
        <row r="895">
          <cell r="A895" t="str">
            <v>60017_1</v>
          </cell>
        </row>
        <row r="896">
          <cell r="A896" t="str">
            <v>60018_1</v>
          </cell>
        </row>
        <row r="897">
          <cell r="A897" t="str">
            <v>60019_1</v>
          </cell>
        </row>
        <row r="898">
          <cell r="A898" t="str">
            <v>60020_1</v>
          </cell>
        </row>
        <row r="899">
          <cell r="A899" t="str">
            <v>60021_3</v>
          </cell>
        </row>
        <row r="900">
          <cell r="A900" t="str">
            <v>60022_3</v>
          </cell>
        </row>
        <row r="901">
          <cell r="A901" t="str">
            <v>60023_3</v>
          </cell>
        </row>
        <row r="902">
          <cell r="A902" t="str">
            <v>60024_3</v>
          </cell>
        </row>
        <row r="903">
          <cell r="A903" t="str">
            <v>60025_1</v>
          </cell>
        </row>
        <row r="904">
          <cell r="A904" t="str">
            <v>60026_1</v>
          </cell>
        </row>
        <row r="905">
          <cell r="A905" t="str">
            <v>61011_1</v>
          </cell>
        </row>
        <row r="906">
          <cell r="A906" t="str">
            <v>60027_1</v>
          </cell>
        </row>
        <row r="907">
          <cell r="A907" t="str">
            <v>65525_1</v>
          </cell>
        </row>
        <row r="908">
          <cell r="A908" t="str">
            <v>65526_1</v>
          </cell>
        </row>
        <row r="909">
          <cell r="A909" t="str">
            <v>65526_2</v>
          </cell>
        </row>
        <row r="910">
          <cell r="A910" t="str">
            <v>65527_1</v>
          </cell>
        </row>
        <row r="911">
          <cell r="A911" t="str">
            <v>65528_1</v>
          </cell>
        </row>
        <row r="912">
          <cell r="A912" t="str">
            <v>65529_1</v>
          </cell>
        </row>
        <row r="913">
          <cell r="A913" t="str">
            <v>65530_1</v>
          </cell>
        </row>
        <row r="914">
          <cell r="A914" t="str">
            <v>65531_1</v>
          </cell>
        </row>
        <row r="915">
          <cell r="A915" t="str">
            <v>65531_2</v>
          </cell>
        </row>
        <row r="916">
          <cell r="A916" t="str">
            <v>65532_1</v>
          </cell>
        </row>
        <row r="917">
          <cell r="A917" t="str">
            <v>65532_2</v>
          </cell>
        </row>
        <row r="918">
          <cell r="A918" t="str">
            <v>65533_1</v>
          </cell>
        </row>
        <row r="919">
          <cell r="A919" t="str">
            <v>65533_2</v>
          </cell>
        </row>
        <row r="920">
          <cell r="A920" t="str">
            <v>65534_1</v>
          </cell>
        </row>
        <row r="921">
          <cell r="A921" t="str">
            <v>65535_1</v>
          </cell>
        </row>
        <row r="922">
          <cell r="A922" t="str">
            <v>65535_2</v>
          </cell>
        </row>
        <row r="923">
          <cell r="A923" t="str">
            <v>65535_3</v>
          </cell>
        </row>
        <row r="924">
          <cell r="A924" t="str">
            <v>65535_4</v>
          </cell>
        </row>
        <row r="925">
          <cell r="A925" t="str">
            <v>65535_5</v>
          </cell>
        </row>
        <row r="926">
          <cell r="A926" t="str">
            <v>65535_6</v>
          </cell>
        </row>
        <row r="927">
          <cell r="A927" t="str">
            <v>65535_7</v>
          </cell>
        </row>
        <row r="928">
          <cell r="A928" t="str">
            <v>65535_8</v>
          </cell>
        </row>
        <row r="929">
          <cell r="A929" t="str">
            <v>65535_9</v>
          </cell>
        </row>
        <row r="930">
          <cell r="A93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tabSelected="1" workbookViewId="0">
      <selection activeCell="D15" sqref="D15:D16"/>
    </sheetView>
  </sheetViews>
  <sheetFormatPr baseColWidth="12" defaultRowHeight="15" x14ac:dyDescent="0.15"/>
  <cols>
    <col min="2" max="2" width="25.6640625" bestFit="1" customWidth="1"/>
    <col min="5" max="5" width="35.6640625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439</v>
      </c>
      <c r="B2" s="57" t="s">
        <v>107</v>
      </c>
      <c r="C2" s="62">
        <v>60027</v>
      </c>
      <c r="D2" s="57" t="s">
        <v>108</v>
      </c>
      <c r="E2" s="56" t="str">
        <f>B2&amp;C2&amp;D2</f>
        <v>floors_60027.tmp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439</v>
      </c>
      <c r="B3" s="107" t="s">
        <v>243</v>
      </c>
      <c r="C3" s="62">
        <v>60027</v>
      </c>
      <c r="D3" s="57" t="s">
        <v>108</v>
      </c>
      <c r="E3" s="56" t="str">
        <f>B3&amp;C3&amp;D3</f>
        <v>ranking_floors_60027.tmp</v>
      </c>
      <c r="F3" s="57" t="s">
        <v>109</v>
      </c>
      <c r="G3" s="58" t="s">
        <v>0</v>
      </c>
      <c r="H3" s="58" t="s">
        <v>1</v>
      </c>
      <c r="I3" s="58" t="s">
        <v>13</v>
      </c>
      <c r="J3" s="97" t="s">
        <v>218</v>
      </c>
      <c r="K3" s="97" t="s">
        <v>219</v>
      </c>
      <c r="L3" s="97" t="s">
        <v>220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439</v>
      </c>
      <c r="B4" s="107" t="s">
        <v>244</v>
      </c>
      <c r="C4" s="62">
        <v>60027</v>
      </c>
      <c r="D4" s="57" t="s">
        <v>108</v>
      </c>
      <c r="E4" s="56" t="str">
        <f>B4&amp;C4&amp;D4</f>
        <v>ranking_stages_60027.tmp</v>
      </c>
      <c r="F4" s="57" t="s">
        <v>246</v>
      </c>
      <c r="G4" s="58" t="s">
        <v>0</v>
      </c>
      <c r="H4" s="58" t="s">
        <v>1</v>
      </c>
      <c r="I4" s="37" t="s">
        <v>245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439</v>
      </c>
      <c r="B5" s="107" t="s">
        <v>251</v>
      </c>
      <c r="C5" s="62">
        <v>60027</v>
      </c>
      <c r="D5" s="57" t="s">
        <v>108</v>
      </c>
      <c r="E5" s="56" t="str">
        <f t="shared" ref="E5:E7" si="0">B5&amp;C5&amp;D5</f>
        <v>clear_turn_60027.tmp</v>
      </c>
      <c r="F5" s="57" t="s">
        <v>255</v>
      </c>
      <c r="G5" s="58" t="s">
        <v>247</v>
      </c>
      <c r="H5" s="58" t="s">
        <v>248</v>
      </c>
      <c r="I5" s="58" t="s">
        <v>249</v>
      </c>
      <c r="J5" s="58" t="s">
        <v>250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439</v>
      </c>
      <c r="B6" s="107" t="s">
        <v>252</v>
      </c>
      <c r="C6" s="62">
        <v>60027</v>
      </c>
      <c r="D6" s="57" t="s">
        <v>108</v>
      </c>
      <c r="E6" s="56" t="str">
        <f t="shared" si="0"/>
        <v>damage_give_60027.tmp</v>
      </c>
      <c r="F6" s="57" t="s">
        <v>256</v>
      </c>
      <c r="G6" s="58" t="s">
        <v>247</v>
      </c>
      <c r="H6" s="58" t="s">
        <v>248</v>
      </c>
      <c r="I6" s="58" t="s">
        <v>249</v>
      </c>
      <c r="J6" s="58" t="s">
        <v>250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439</v>
      </c>
      <c r="B7" s="107" t="s">
        <v>254</v>
      </c>
      <c r="C7" s="62">
        <v>60027</v>
      </c>
      <c r="D7" s="57" t="s">
        <v>108</v>
      </c>
      <c r="E7" s="56" t="str">
        <f t="shared" si="0"/>
        <v>damage_receive_60027.tmp</v>
      </c>
      <c r="F7" s="57" t="s">
        <v>253</v>
      </c>
      <c r="G7" s="58" t="s">
        <v>247</v>
      </c>
      <c r="H7" s="58" t="s">
        <v>248</v>
      </c>
      <c r="I7" s="58" t="s">
        <v>249</v>
      </c>
      <c r="J7" s="58" t="s">
        <v>250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439</v>
      </c>
      <c r="B8" s="107" t="s">
        <v>264</v>
      </c>
      <c r="C8" s="62">
        <v>60027</v>
      </c>
      <c r="D8" s="57" t="s">
        <v>108</v>
      </c>
      <c r="E8" s="56" t="str">
        <f t="shared" ref="E8:E9" si="1">B8&amp;C8&amp;D8</f>
        <v>ranking_eval_data_60027.tmp</v>
      </c>
      <c r="F8" s="57" t="s">
        <v>266</v>
      </c>
      <c r="G8" s="58" t="s">
        <v>257</v>
      </c>
      <c r="H8" s="58" t="s">
        <v>258</v>
      </c>
      <c r="I8" s="58" t="s">
        <v>259</v>
      </c>
      <c r="J8" s="58" t="s">
        <v>260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439</v>
      </c>
      <c r="B9" s="107" t="s">
        <v>265</v>
      </c>
      <c r="C9" s="62">
        <v>60027</v>
      </c>
      <c r="D9" s="57" t="s">
        <v>108</v>
      </c>
      <c r="E9" s="56" t="str">
        <f t="shared" si="1"/>
        <v>ranking_eval_i18n_60027.tmp</v>
      </c>
      <c r="F9" s="57" t="s">
        <v>266</v>
      </c>
      <c r="G9" s="58" t="s">
        <v>257</v>
      </c>
      <c r="H9" s="106" t="s">
        <v>261</v>
      </c>
      <c r="I9" s="106" t="s">
        <v>262</v>
      </c>
      <c r="J9" s="106" t="s">
        <v>263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439</v>
      </c>
      <c r="B10" s="57" t="s">
        <v>110</v>
      </c>
      <c r="C10" s="62">
        <v>60027</v>
      </c>
      <c r="D10" s="57" t="s">
        <v>108</v>
      </c>
      <c r="E10" s="56" t="str">
        <f>B10&amp;C10&amp;D10</f>
        <v>enemy_habitats_60027.tmp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439</v>
      </c>
      <c r="B11" s="57" t="s">
        <v>112</v>
      </c>
      <c r="C11" s="62">
        <v>60027</v>
      </c>
      <c r="D11" s="57" t="s">
        <v>108</v>
      </c>
      <c r="E11" s="56" t="str">
        <f>B11&amp;C11&amp;D11</f>
        <v>enemy_habitat_S_60027.tmp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439</v>
      </c>
      <c r="B12" s="57" t="s">
        <v>114</v>
      </c>
      <c r="C12" s="62">
        <v>60027</v>
      </c>
      <c r="D12" s="57" t="s">
        <v>108</v>
      </c>
      <c r="E12" s="56" t="str">
        <f>B12&amp;C12&amp;D12</f>
        <v>enemy_skill_sets_60027.tmp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439</v>
      </c>
      <c r="B13" s="57" t="s">
        <v>116</v>
      </c>
      <c r="C13" s="62">
        <v>60027</v>
      </c>
      <c r="D13" s="57" t="s">
        <v>117</v>
      </c>
      <c r="E13" s="56" t="str">
        <f t="shared" ref="E13:E17" si="2">B13&amp;C13&amp;D13</f>
        <v>enemy_skills_tmp_60027.tmp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439</v>
      </c>
      <c r="B14" s="57" t="s">
        <v>118</v>
      </c>
      <c r="C14" s="62">
        <v>60027</v>
      </c>
      <c r="D14" s="57" t="s">
        <v>108</v>
      </c>
      <c r="E14" s="56" t="str">
        <f>B14&amp;C14&amp;D14</f>
        <v>enemy_skills_i18n_60027.tmp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439</v>
      </c>
      <c r="B15" s="57" t="s">
        <v>120</v>
      </c>
      <c r="C15" s="62">
        <v>60027</v>
      </c>
      <c r="D15" s="57" t="s">
        <v>121</v>
      </c>
      <c r="E15" s="56" t="str">
        <f t="shared" si="2"/>
        <v>enemy_skill_triggers_60027.tmp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148" t="s">
        <v>470</v>
      </c>
      <c r="B16" s="67" t="s">
        <v>179</v>
      </c>
      <c r="C16" s="62">
        <v>60027</v>
      </c>
      <c r="D16" s="67" t="s">
        <v>173</v>
      </c>
      <c r="E16" s="68" t="str">
        <f t="shared" si="2"/>
        <v>stage_bug_bonuses_60027.tmp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 x14ac:dyDescent="0.15">
      <c r="A17" s="148" t="s">
        <v>470</v>
      </c>
      <c r="B17" s="67" t="s">
        <v>200</v>
      </c>
      <c r="C17" s="62">
        <v>60027</v>
      </c>
      <c r="D17" s="67" t="s">
        <v>182</v>
      </c>
      <c r="E17" s="68" t="str">
        <f t="shared" si="2"/>
        <v>stage_hints_data_c_60027.tmp</v>
      </c>
      <c r="F17" s="67" t="s">
        <v>208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 x14ac:dyDescent="0.15">
      <c r="A18" s="148" t="s">
        <v>470</v>
      </c>
      <c r="B18" s="67" t="s">
        <v>201</v>
      </c>
      <c r="C18" s="62">
        <v>60027</v>
      </c>
      <c r="D18" s="67" t="s">
        <v>173</v>
      </c>
      <c r="E18" s="68" t="str">
        <f t="shared" ref="E18:E19" si="3">B18&amp;C18&amp;D18</f>
        <v>stage_hints_data_f_60027.tmp</v>
      </c>
      <c r="F18" s="67" t="s">
        <v>210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 x14ac:dyDescent="0.15">
      <c r="A19" s="151" t="s">
        <v>470</v>
      </c>
      <c r="B19" s="67" t="s">
        <v>202</v>
      </c>
      <c r="C19" s="62">
        <v>60027</v>
      </c>
      <c r="D19" s="67" t="s">
        <v>173</v>
      </c>
      <c r="E19" s="68" t="str">
        <f t="shared" si="3"/>
        <v>stage_hints_i18n_60027.tmp</v>
      </c>
      <c r="F19" s="67" t="s">
        <v>211</v>
      </c>
      <c r="G19" s="74" t="s">
        <v>203</v>
      </c>
      <c r="H19" s="94" t="s">
        <v>204</v>
      </c>
      <c r="I19" s="73" t="s">
        <v>205</v>
      </c>
      <c r="J19" s="95" t="s">
        <v>206</v>
      </c>
      <c r="K19" s="75" t="s">
        <v>207</v>
      </c>
    </row>
    <row r="20" spans="1:21" x14ac:dyDescent="0.15">
      <c r="A20" s="151" t="s">
        <v>470</v>
      </c>
      <c r="B20" s="67" t="s">
        <v>202</v>
      </c>
      <c r="C20" s="62">
        <v>60027</v>
      </c>
      <c r="D20" s="67" t="s">
        <v>173</v>
      </c>
      <c r="E20" s="68" t="str">
        <f t="shared" ref="E20:E21" si="4">B20&amp;C20&amp;D20</f>
        <v>stage_hints_i18n_60027.tmp</v>
      </c>
      <c r="F20" s="67" t="s">
        <v>211</v>
      </c>
      <c r="G20" s="74" t="s">
        <v>203</v>
      </c>
      <c r="H20" s="94" t="s">
        <v>204</v>
      </c>
      <c r="I20" s="73" t="s">
        <v>205</v>
      </c>
      <c r="J20" s="95" t="s">
        <v>206</v>
      </c>
      <c r="K20" s="75" t="s">
        <v>207</v>
      </c>
    </row>
    <row r="21" spans="1:21" x14ac:dyDescent="0.15">
      <c r="A21" s="61" t="s">
        <v>439</v>
      </c>
      <c r="B21" s="108" t="s">
        <v>234</v>
      </c>
      <c r="C21" s="62">
        <v>60027</v>
      </c>
      <c r="D21" s="67" t="s">
        <v>173</v>
      </c>
      <c r="E21" s="68" t="str">
        <f t="shared" si="4"/>
        <v>ranking_ACH_60027.tmp</v>
      </c>
      <c r="F21" s="67" t="s">
        <v>235</v>
      </c>
      <c r="G21" s="74" t="s">
        <v>236</v>
      </c>
      <c r="H21" s="94" t="s">
        <v>237</v>
      </c>
      <c r="I21" s="73" t="s">
        <v>238</v>
      </c>
      <c r="J21" s="75" t="s">
        <v>239</v>
      </c>
      <c r="K21" s="75"/>
    </row>
    <row r="22" spans="1:21" x14ac:dyDescent="0.15">
      <c r="A22" s="61" t="s">
        <v>439</v>
      </c>
      <c r="B22" s="145" t="s">
        <v>430</v>
      </c>
      <c r="C22" s="62">
        <v>60027</v>
      </c>
      <c r="D22" s="102" t="s">
        <v>117</v>
      </c>
      <c r="E22" s="103" t="str">
        <f>B22&amp;C22&amp;D22</f>
        <v>gifts_tmp_60027.tmp</v>
      </c>
      <c r="F22" s="67" t="s">
        <v>235</v>
      </c>
      <c r="G22" s="104" t="s">
        <v>240</v>
      </c>
      <c r="H22" s="104" t="s">
        <v>224</v>
      </c>
      <c r="I22" s="104" t="s">
        <v>225</v>
      </c>
      <c r="J22" s="104" t="s">
        <v>225</v>
      </c>
      <c r="K22" s="104" t="s">
        <v>225</v>
      </c>
      <c r="L22" s="104" t="s">
        <v>226</v>
      </c>
      <c r="M22" s="104" t="s">
        <v>226</v>
      </c>
      <c r="N22" s="104" t="s">
        <v>226</v>
      </c>
      <c r="O22" s="109" t="s">
        <v>41</v>
      </c>
      <c r="P22" s="109" t="s">
        <v>45</v>
      </c>
      <c r="Q22" s="109" t="s">
        <v>39</v>
      </c>
      <c r="R22" s="109" t="s">
        <v>272</v>
      </c>
      <c r="S22" s="109" t="s">
        <v>43</v>
      </c>
      <c r="T22" s="109" t="s">
        <v>3</v>
      </c>
      <c r="U22" s="109" t="s">
        <v>37</v>
      </c>
    </row>
    <row r="23" spans="1:21" x14ac:dyDescent="0.15">
      <c r="A23" s="61" t="s">
        <v>439</v>
      </c>
      <c r="B23" s="145" t="s">
        <v>431</v>
      </c>
      <c r="C23" s="62">
        <v>60027</v>
      </c>
      <c r="D23" s="102" t="s">
        <v>117</v>
      </c>
      <c r="E23" s="103" t="str">
        <f>B23&amp;C23&amp;D23</f>
        <v>gifts_i18n_60027.tmp</v>
      </c>
      <c r="F23" s="67" t="s">
        <v>235</v>
      </c>
      <c r="G23" s="104" t="s">
        <v>240</v>
      </c>
      <c r="H23" s="104" t="s">
        <v>227</v>
      </c>
      <c r="I23" s="104" t="s">
        <v>241</v>
      </c>
      <c r="J23" s="104" t="s">
        <v>242</v>
      </c>
      <c r="K23" s="104" t="s">
        <v>230</v>
      </c>
      <c r="L23" s="104"/>
      <c r="M23" s="104"/>
      <c r="N23" s="104"/>
      <c r="O23" s="102"/>
    </row>
    <row r="24" spans="1:21" x14ac:dyDescent="0.15">
      <c r="A24" s="61" t="s">
        <v>439</v>
      </c>
      <c r="B24" s="145" t="s">
        <v>474</v>
      </c>
      <c r="C24" s="62">
        <v>60027</v>
      </c>
      <c r="D24" s="152" t="s">
        <v>108</v>
      </c>
      <c r="E24" s="103" t="str">
        <f>B24&amp;C24&amp;D24</f>
        <v>ranking_stage_evaluation_gifts_60027.tmp</v>
      </c>
      <c r="F24" s="146" t="s">
        <v>429</v>
      </c>
      <c r="G24" s="58" t="s">
        <v>401</v>
      </c>
      <c r="H24" s="58" t="s">
        <v>402</v>
      </c>
      <c r="I24" s="106" t="s">
        <v>405</v>
      </c>
      <c r="J24" s="100" t="s">
        <v>420</v>
      </c>
    </row>
    <row r="25" spans="1:21" x14ac:dyDescent="0.15">
      <c r="A25" s="61" t="s">
        <v>439</v>
      </c>
      <c r="B25" s="145" t="s">
        <v>433</v>
      </c>
      <c r="C25" s="62">
        <v>600027</v>
      </c>
      <c r="D25" s="57" t="s">
        <v>432</v>
      </c>
      <c r="E25" s="103" t="str">
        <f t="shared" ref="E25:E26" si="5">B25&amp;C25&amp;D25</f>
        <v>gifts_tmp_600027.tmp</v>
      </c>
      <c r="F25" s="146" t="s">
        <v>429</v>
      </c>
      <c r="G25" s="104" t="s">
        <v>240</v>
      </c>
      <c r="H25" s="104" t="s">
        <v>224</v>
      </c>
      <c r="I25" s="104" t="s">
        <v>225</v>
      </c>
      <c r="J25" s="104" t="s">
        <v>225</v>
      </c>
      <c r="K25" s="104" t="s">
        <v>225</v>
      </c>
      <c r="L25" s="104" t="s">
        <v>226</v>
      </c>
      <c r="M25" s="104" t="s">
        <v>226</v>
      </c>
      <c r="N25" s="104" t="s">
        <v>226</v>
      </c>
      <c r="O25" s="109" t="s">
        <v>41</v>
      </c>
      <c r="P25" s="109" t="s">
        <v>45</v>
      </c>
      <c r="Q25" s="109" t="s">
        <v>39</v>
      </c>
      <c r="R25" s="109" t="s">
        <v>272</v>
      </c>
      <c r="S25" s="109" t="s">
        <v>43</v>
      </c>
      <c r="T25" s="109" t="s">
        <v>3</v>
      </c>
      <c r="U25" s="109" t="s">
        <v>37</v>
      </c>
    </row>
    <row r="26" spans="1:21" x14ac:dyDescent="0.15">
      <c r="A26" s="61" t="s">
        <v>439</v>
      </c>
      <c r="B26" s="145" t="s">
        <v>434</v>
      </c>
      <c r="C26" s="62">
        <v>600027</v>
      </c>
      <c r="D26" s="57" t="s">
        <v>432</v>
      </c>
      <c r="E26" s="103" t="str">
        <f t="shared" si="5"/>
        <v>gifts_i18n_600027.tmp</v>
      </c>
      <c r="F26" s="146" t="s">
        <v>429</v>
      </c>
      <c r="G26" s="104" t="s">
        <v>240</v>
      </c>
      <c r="H26" s="104" t="s">
        <v>227</v>
      </c>
      <c r="I26" s="104" t="s">
        <v>228</v>
      </c>
      <c r="J26" s="104" t="s">
        <v>229</v>
      </c>
      <c r="K26" s="104" t="s">
        <v>230</v>
      </c>
      <c r="L26" s="104"/>
      <c r="M26" s="104"/>
      <c r="N26" s="104"/>
      <c r="O26" s="102"/>
    </row>
  </sheetData>
  <phoneticPr fontId="7"/>
  <dataValidations count="1">
    <dataValidation type="list" allowBlank="1" showInputMessage="1" showErrorMessage="1" sqref="A21:A26 A2:A18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N15" sqref="N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7" t="s">
        <v>218</v>
      </c>
      <c r="M1" s="97" t="s">
        <v>219</v>
      </c>
      <c r="N1" s="97" t="s">
        <v>220</v>
      </c>
    </row>
    <row r="2" spans="1:14" ht="21" customHeight="1" x14ac:dyDescent="0.15">
      <c r="A2" s="16" t="str">
        <f>G2&amp;"-"&amp;I2</f>
        <v>60027_1-1</v>
      </c>
      <c r="B2" s="16" t="str">
        <f>IF(COUNTIF(enemy_habitats!$H:$H,A2),"OK","NG")</f>
        <v>OK</v>
      </c>
      <c r="C2" s="7">
        <v>60027</v>
      </c>
      <c r="D2" s="11" t="str">
        <f ca="1">VLOOKUP($C2,OFFSET([2]quests!$A$1,0,0,COUNTA([2]quests!$A:$A),MATCH(D$1,[2]quests!$1:$1,0)-MATCH($C$1,[2]quests!$1:$1,0)+1),MATCH(D$1,[2]quests!$1:$1,0)-MATCH($C$1,[2]quests!$1:$1,0)+1,FALSE)</f>
        <v>チューリングチャレンジ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ランキング6（再開催）</v>
      </c>
      <c r="F2" s="21">
        <v>1</v>
      </c>
      <c r="G2" s="23" t="str">
        <f>C2&amp;"_"&amp;F2</f>
        <v>60027_1</v>
      </c>
      <c r="H2" s="15" t="str">
        <f ca="1">VLOOKUP($G2,OFFSET([2]stages!$A$1,0,0,COUNTA([2]stages!$A:$A),MATCH(H$1,[2]stages!$2:$2,0)-MATCH($G$1,[2]stages!$2:$2,0)+1),MATCH(H$1,[2]stages!$2:$2,0)-MATCH($G$1,[2]stages!$2:$2,0)+1,FALSE)</f>
        <v>チューリングチャレンジ</v>
      </c>
      <c r="I2" s="21">
        <v>1</v>
      </c>
      <c r="J2" s="12">
        <v>60</v>
      </c>
      <c r="K2" s="12">
        <v>60</v>
      </c>
      <c r="L2" s="69" t="str">
        <f>C2&amp;F2&amp;I2</f>
        <v>6002711</v>
      </c>
      <c r="M2" s="69" t="str">
        <f>C2&amp;F2&amp;I2</f>
        <v>6002711</v>
      </c>
      <c r="N2" s="69" t="str">
        <f>C2&amp;F2&amp;I2</f>
        <v>6002711</v>
      </c>
    </row>
    <row r="3" spans="1:14" ht="21" customHeight="1" x14ac:dyDescent="0.15">
      <c r="A3" s="16" t="str">
        <f t="shared" ref="A3:A6" si="0">G3&amp;"-"&amp;I3</f>
        <v>60027_1-2</v>
      </c>
      <c r="B3" s="16" t="str">
        <f>IF(COUNTIF(enemy_habitats!$H:$H,A3),"OK","NG")</f>
        <v>OK</v>
      </c>
      <c r="C3" s="7">
        <v>60027</v>
      </c>
      <c r="D3" s="11" t="str">
        <f ca="1">VLOOKUP($C3,OFFSET([2]quests!$A$1,0,0,COUNTA([2]quests!$A:$A),MATCH(D$1,[2]quests!$1:$1,0)-MATCH($C$1,[2]quests!$1:$1,0)+1),MATCH(D$1,[2]quests!$1:$1,0)-MATCH($C$1,[2]quests!$1:$1,0)+1,FALSE)</f>
        <v>チューリングチャレンジ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ランキング6（再開催）</v>
      </c>
      <c r="F3" s="21">
        <v>1</v>
      </c>
      <c r="G3" s="23" t="str">
        <f t="shared" ref="G3:G6" si="1">C3&amp;"_"&amp;F3</f>
        <v>60027_1</v>
      </c>
      <c r="H3" s="15" t="str">
        <f ca="1">VLOOKUP($G3,OFFSET([2]stages!$A$1,0,0,COUNTA([2]stages!$A:$A),MATCH(H$1,[2]stages!$2:$2,0)-MATCH($G$1,[2]stages!$2:$2,0)+1),MATCH(H$1,[2]stages!$2:$2,0)-MATCH($G$1,[2]stages!$2:$2,0)+1,FALSE)</f>
        <v>チューリングチャレンジ</v>
      </c>
      <c r="I3" s="21">
        <v>2</v>
      </c>
      <c r="J3" s="12">
        <v>60</v>
      </c>
      <c r="K3" s="12">
        <v>60</v>
      </c>
      <c r="L3" s="69" t="str">
        <f t="shared" ref="L3:L6" si="2">C3&amp;F3&amp;I3</f>
        <v>6002712</v>
      </c>
      <c r="M3" s="69" t="str">
        <f t="shared" ref="M3:M6" si="3">C3&amp;F3&amp;I3</f>
        <v>6002712</v>
      </c>
      <c r="N3" s="69" t="str">
        <f t="shared" ref="N3:N6" si="4">C3&amp;F3&amp;I3</f>
        <v>6002712</v>
      </c>
    </row>
    <row r="4" spans="1:14" ht="21" customHeight="1" x14ac:dyDescent="0.15">
      <c r="A4" s="16" t="str">
        <f t="shared" si="0"/>
        <v>60027_1-3</v>
      </c>
      <c r="B4" s="16" t="str">
        <f>IF(COUNTIF(enemy_habitats!$H:$H,A4),"OK","NG")</f>
        <v>OK</v>
      </c>
      <c r="C4" s="7">
        <v>60027</v>
      </c>
      <c r="D4" s="11" t="str">
        <f ca="1">VLOOKUP($C4,OFFSET([2]quests!$A$1,0,0,COUNTA([2]quests!$A:$A),MATCH(D$1,[2]quests!$1:$1,0)-MATCH($C$1,[2]quests!$1:$1,0)+1),MATCH(D$1,[2]quests!$1:$1,0)-MATCH($C$1,[2]quests!$1:$1,0)+1,FALSE)</f>
        <v>チューリングチャレンジ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ランキング6（再開催）</v>
      </c>
      <c r="F4" s="21">
        <v>1</v>
      </c>
      <c r="G4" s="23" t="str">
        <f t="shared" si="1"/>
        <v>60027_1</v>
      </c>
      <c r="H4" s="15" t="str">
        <f ca="1">VLOOKUP($G4,OFFSET([2]stages!$A$1,0,0,COUNTA([2]stages!$A:$A),MATCH(H$1,[2]stages!$2:$2,0)-MATCH($G$1,[2]stages!$2:$2,0)+1),MATCH(H$1,[2]stages!$2:$2,0)-MATCH($G$1,[2]stages!$2:$2,0)+1,FALSE)</f>
        <v>チューリングチャレンジ</v>
      </c>
      <c r="I4" s="21">
        <v>3</v>
      </c>
      <c r="J4" s="12">
        <v>45</v>
      </c>
      <c r="K4" s="12">
        <v>45</v>
      </c>
      <c r="L4" s="69" t="str">
        <f t="shared" si="2"/>
        <v>6002713</v>
      </c>
      <c r="M4" s="69" t="str">
        <f t="shared" si="3"/>
        <v>6002713</v>
      </c>
      <c r="N4" s="69" t="str">
        <f t="shared" si="4"/>
        <v>6002713</v>
      </c>
    </row>
    <row r="5" spans="1:14" ht="21" customHeight="1" x14ac:dyDescent="0.15">
      <c r="A5" s="16" t="str">
        <f t="shared" si="0"/>
        <v>60027_1-4</v>
      </c>
      <c r="B5" s="16" t="str">
        <f>IF(COUNTIF(enemy_habitats!$H:$H,A5),"OK","NG")</f>
        <v>OK</v>
      </c>
      <c r="C5" s="7">
        <v>60027</v>
      </c>
      <c r="D5" s="11" t="str">
        <f ca="1">VLOOKUP($C5,OFFSET([2]quests!$A$1,0,0,COUNTA([2]quests!$A:$A),MATCH(D$1,[2]quests!$1:$1,0)-MATCH($C$1,[2]quests!$1:$1,0)+1),MATCH(D$1,[2]quests!$1:$1,0)-MATCH($C$1,[2]quests!$1:$1,0)+1,FALSE)</f>
        <v>チューリングチャレンジ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ランキング6（再開催）</v>
      </c>
      <c r="F5" s="21">
        <v>1</v>
      </c>
      <c r="G5" s="23" t="str">
        <f t="shared" si="1"/>
        <v>60027_1</v>
      </c>
      <c r="H5" s="15" t="str">
        <f ca="1">VLOOKUP($G5,OFFSET([2]stages!$A$1,0,0,COUNTA([2]stages!$A:$A),MATCH(H$1,[2]stages!$2:$2,0)-MATCH($G$1,[2]stages!$2:$2,0)+1),MATCH(H$1,[2]stages!$2:$2,0)-MATCH($G$1,[2]stages!$2:$2,0)+1,FALSE)</f>
        <v>チューリングチャレンジ</v>
      </c>
      <c r="I5" s="21">
        <v>4</v>
      </c>
      <c r="J5" s="12">
        <v>60</v>
      </c>
      <c r="K5" s="12">
        <v>60</v>
      </c>
      <c r="L5" s="69" t="str">
        <f t="shared" si="2"/>
        <v>6002714</v>
      </c>
      <c r="M5" s="69" t="str">
        <f t="shared" si="3"/>
        <v>6002714</v>
      </c>
      <c r="N5" s="69" t="str">
        <f t="shared" si="4"/>
        <v>6002714</v>
      </c>
    </row>
    <row r="6" spans="1:14" ht="21" customHeight="1" x14ac:dyDescent="0.15">
      <c r="A6" s="16" t="str">
        <f t="shared" si="0"/>
        <v>60027_1-5</v>
      </c>
      <c r="B6" s="16" t="str">
        <f>IF(COUNTIF(enemy_habitats!$H:$H,A6),"OK","NG")</f>
        <v>OK</v>
      </c>
      <c r="C6" s="7">
        <v>60027</v>
      </c>
      <c r="D6" s="11" t="str">
        <f ca="1">VLOOKUP($C6,OFFSET([2]quests!$A$1,0,0,COUNTA([2]quests!$A:$A),MATCH(D$1,[2]quests!$1:$1,0)-MATCH($C$1,[2]quests!$1:$1,0)+1),MATCH(D$1,[2]quests!$1:$1,0)-MATCH($C$1,[2]quests!$1:$1,0)+1,FALSE)</f>
        <v>チューリングチャレンジ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ランキング6（再開催）</v>
      </c>
      <c r="F6" s="21">
        <v>1</v>
      </c>
      <c r="G6" s="23" t="str">
        <f t="shared" si="1"/>
        <v>60027_1</v>
      </c>
      <c r="H6" s="15" t="str">
        <f ca="1">VLOOKUP($G6,OFFSET([2]stages!$A$1,0,0,COUNTA([2]stages!$A:$A),MATCH(H$1,[2]stages!$2:$2,0)-MATCH($G$1,[2]stages!$2:$2,0)+1),MATCH(H$1,[2]stages!$2:$2,0)-MATCH($G$1,[2]stages!$2:$2,0)+1,FALSE)</f>
        <v>チューリングチャレンジ</v>
      </c>
      <c r="I6" s="21">
        <v>5</v>
      </c>
      <c r="J6" s="12">
        <v>60</v>
      </c>
      <c r="K6" s="12">
        <v>60</v>
      </c>
      <c r="L6" s="69" t="str">
        <f t="shared" si="2"/>
        <v>6002715</v>
      </c>
      <c r="M6" s="69" t="str">
        <f t="shared" si="3"/>
        <v>6002715</v>
      </c>
      <c r="N6" s="69" t="str">
        <f t="shared" si="4"/>
        <v>6002715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245</v>
      </c>
    </row>
    <row r="2" spans="1:7" x14ac:dyDescent="0.15">
      <c r="A2" s="7">
        <v>60027</v>
      </c>
      <c r="B2" s="11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60027</v>
      </c>
      <c r="D2" s="21">
        <v>1</v>
      </c>
      <c r="E2" s="23" t="str">
        <f>A2&amp;"_"&amp;D2</f>
        <v>60027_1</v>
      </c>
      <c r="F2" s="15" t="str">
        <f ca="1">VLOOKUP($E2,OFFSET([2]stages!$A$1,0,0,COUNTA([2]stages!$A:$A),MATCH(F$1,[2]stages!$2:$2,0)-MATCH($E$1,[2]stages!$2:$2,0)+1),MATCH(F$1,[2]stages!$2:$2,0)-MATCH($E$1,[2]stages!$2:$2,0)+1,FALSE)</f>
        <v>チューリングチャレンジ</v>
      </c>
      <c r="G2" s="110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F26" sqref="F26"/>
    </sheetView>
  </sheetViews>
  <sheetFormatPr baseColWidth="12" defaultRowHeight="15" x14ac:dyDescent="0.15"/>
  <sheetData>
    <row r="1" spans="1:7" x14ac:dyDescent="0.15">
      <c r="A1" s="58" t="s">
        <v>275</v>
      </c>
      <c r="B1" s="58" t="s">
        <v>276</v>
      </c>
      <c r="C1" s="120" t="s">
        <v>277</v>
      </c>
      <c r="D1" s="58" t="s">
        <v>278</v>
      </c>
      <c r="E1" s="58" t="s">
        <v>279</v>
      </c>
      <c r="F1" s="105"/>
      <c r="G1" s="105"/>
    </row>
    <row r="2" spans="1:7" x14ac:dyDescent="0.15">
      <c r="A2" s="111">
        <v>6002711</v>
      </c>
      <c r="B2" s="111">
        <v>1</v>
      </c>
      <c r="C2" s="112">
        <v>1000000</v>
      </c>
      <c r="D2" s="113">
        <f>(C3-C2)/(B3-B2)</f>
        <v>-125000</v>
      </c>
      <c r="E2" s="114">
        <f t="shared" ref="E2:E3" si="0">C2-D2*B2</f>
        <v>1125000</v>
      </c>
    </row>
    <row r="3" spans="1:7" x14ac:dyDescent="0.15">
      <c r="A3" s="111">
        <v>6002711</v>
      </c>
      <c r="B3" s="111">
        <v>9</v>
      </c>
      <c r="C3" s="112">
        <v>0</v>
      </c>
      <c r="D3" s="113">
        <f>(C4-C3)/(B4-B3)</f>
        <v>-166666.66666666666</v>
      </c>
      <c r="E3" s="114">
        <f t="shared" si="0"/>
        <v>1500000</v>
      </c>
    </row>
    <row r="4" spans="1:7" x14ac:dyDescent="0.15">
      <c r="A4" s="111">
        <v>6002711</v>
      </c>
      <c r="B4" s="111">
        <v>12</v>
      </c>
      <c r="C4" s="112">
        <v>-500000</v>
      </c>
      <c r="D4" s="113">
        <f>(C5-C4)/(B5-B4)</f>
        <v>-3166666.6666666665</v>
      </c>
      <c r="E4" s="114">
        <f>C4-D4*B4</f>
        <v>37500000</v>
      </c>
    </row>
    <row r="5" spans="1:7" x14ac:dyDescent="0.15">
      <c r="A5" s="111">
        <v>6002711</v>
      </c>
      <c r="B5" s="111">
        <v>15</v>
      </c>
      <c r="C5" s="112">
        <v>-10000000</v>
      </c>
      <c r="D5" s="115">
        <v>0</v>
      </c>
      <c r="E5" s="116">
        <v>-10000000</v>
      </c>
    </row>
    <row r="6" spans="1:7" x14ac:dyDescent="0.15">
      <c r="A6" s="117">
        <v>6002712</v>
      </c>
      <c r="B6" s="117">
        <v>1</v>
      </c>
      <c r="C6" s="112">
        <v>1000000</v>
      </c>
      <c r="D6" s="113">
        <f>(C7-C6)/(B7-B6)</f>
        <v>-125000</v>
      </c>
      <c r="E6" s="114">
        <f t="shared" ref="E6:E7" si="1">C6-D6*B6</f>
        <v>1125000</v>
      </c>
    </row>
    <row r="7" spans="1:7" x14ac:dyDescent="0.15">
      <c r="A7" s="117">
        <v>6002712</v>
      </c>
      <c r="B7" s="117">
        <v>9</v>
      </c>
      <c r="C7" s="112">
        <v>0</v>
      </c>
      <c r="D7" s="113">
        <f>(C8-C7)/(B8-B7)</f>
        <v>-166666.66666666666</v>
      </c>
      <c r="E7" s="114">
        <f t="shared" si="1"/>
        <v>1500000</v>
      </c>
    </row>
    <row r="8" spans="1:7" x14ac:dyDescent="0.15">
      <c r="A8" s="117">
        <v>6002712</v>
      </c>
      <c r="B8" s="117">
        <v>12</v>
      </c>
      <c r="C8" s="112">
        <v>-500000</v>
      </c>
      <c r="D8" s="113">
        <f>(C9-C8)/(B9-B8)</f>
        <v>-3166666.6666666665</v>
      </c>
      <c r="E8" s="114">
        <f>C8-D8*B8</f>
        <v>37500000</v>
      </c>
    </row>
    <row r="9" spans="1:7" x14ac:dyDescent="0.15">
      <c r="A9" s="117">
        <v>6002712</v>
      </c>
      <c r="B9" s="117">
        <v>15</v>
      </c>
      <c r="C9" s="112">
        <v>-10000000</v>
      </c>
      <c r="D9" s="118">
        <v>0</v>
      </c>
      <c r="E9" s="119">
        <v>-10000000</v>
      </c>
    </row>
    <row r="10" spans="1:7" x14ac:dyDescent="0.15">
      <c r="A10" s="111">
        <v>6002713</v>
      </c>
      <c r="B10" s="111">
        <v>1</v>
      </c>
      <c r="C10" s="112">
        <v>1500000</v>
      </c>
      <c r="D10" s="113">
        <f>(C11-C10)/(B11-B10)</f>
        <v>-107142.85714285714</v>
      </c>
      <c r="E10" s="114">
        <f t="shared" ref="E10:E11" si="2">C10-D10*B10</f>
        <v>1607142.857142857</v>
      </c>
    </row>
    <row r="11" spans="1:7" x14ac:dyDescent="0.15">
      <c r="A11" s="111">
        <v>6002713</v>
      </c>
      <c r="B11" s="111">
        <v>15</v>
      </c>
      <c r="C11" s="112">
        <v>0</v>
      </c>
      <c r="D11" s="113">
        <f>(C12-C11)/(B12-B11)</f>
        <v>-250000</v>
      </c>
      <c r="E11" s="114">
        <f t="shared" si="2"/>
        <v>3750000</v>
      </c>
    </row>
    <row r="12" spans="1:7" x14ac:dyDescent="0.15">
      <c r="A12" s="111">
        <v>6002713</v>
      </c>
      <c r="B12" s="111">
        <v>17</v>
      </c>
      <c r="C12" s="112">
        <v>-500000</v>
      </c>
      <c r="D12" s="113">
        <f>(C13-C12)/(B13-B12)</f>
        <v>-4750000</v>
      </c>
      <c r="E12" s="114">
        <f>C12-D12*B12</f>
        <v>80250000</v>
      </c>
    </row>
    <row r="13" spans="1:7" x14ac:dyDescent="0.15">
      <c r="A13" s="111">
        <v>6002713</v>
      </c>
      <c r="B13" s="111">
        <v>19</v>
      </c>
      <c r="C13" s="112">
        <v>-10000000</v>
      </c>
      <c r="D13" s="115">
        <v>0</v>
      </c>
      <c r="E13" s="116">
        <v>-10000000</v>
      </c>
    </row>
    <row r="14" spans="1:7" x14ac:dyDescent="0.15">
      <c r="A14" s="117">
        <v>6002714</v>
      </c>
      <c r="B14" s="117">
        <v>1</v>
      </c>
      <c r="C14" s="112">
        <v>1000000</v>
      </c>
      <c r="D14" s="113">
        <f>(C15-C14)/(B15-B14)</f>
        <v>-125000</v>
      </c>
      <c r="E14" s="114">
        <f t="shared" ref="E14:E15" si="3">C14-D14*B14</f>
        <v>1125000</v>
      </c>
    </row>
    <row r="15" spans="1:7" x14ac:dyDescent="0.15">
      <c r="A15" s="117">
        <v>6002714</v>
      </c>
      <c r="B15" s="117">
        <v>9</v>
      </c>
      <c r="C15" s="112">
        <v>0</v>
      </c>
      <c r="D15" s="113">
        <f>(C16-C15)/(B16-B15)</f>
        <v>-166666.66666666666</v>
      </c>
      <c r="E15" s="114">
        <f t="shared" si="3"/>
        <v>1500000</v>
      </c>
    </row>
    <row r="16" spans="1:7" x14ac:dyDescent="0.15">
      <c r="A16" s="117">
        <v>6002714</v>
      </c>
      <c r="B16" s="117">
        <v>12</v>
      </c>
      <c r="C16" s="112">
        <v>-500000</v>
      </c>
      <c r="D16" s="113">
        <f>(C17-C16)/(B17-B16)</f>
        <v>-3166666.6666666665</v>
      </c>
      <c r="E16" s="114">
        <f>C16-D16*B16</f>
        <v>37500000</v>
      </c>
    </row>
    <row r="17" spans="1:5" x14ac:dyDescent="0.15">
      <c r="A17" s="117">
        <v>6002714</v>
      </c>
      <c r="B17" s="117">
        <v>15</v>
      </c>
      <c r="C17" s="112">
        <v>-10000000</v>
      </c>
      <c r="D17" s="118">
        <v>0</v>
      </c>
      <c r="E17" s="119">
        <v>-10000000</v>
      </c>
    </row>
    <row r="18" spans="1:5" x14ac:dyDescent="0.15">
      <c r="A18" s="111">
        <v>6002715</v>
      </c>
      <c r="B18" s="111">
        <v>1</v>
      </c>
      <c r="C18" s="112">
        <v>2000000</v>
      </c>
      <c r="D18" s="113">
        <f>(C19-C18)/(B19-B18)</f>
        <v>-133333.33333333334</v>
      </c>
      <c r="E18" s="114">
        <f t="shared" ref="E18:E19" si="4">C18-D18*B18</f>
        <v>2133333.3333333335</v>
      </c>
    </row>
    <row r="19" spans="1:5" x14ac:dyDescent="0.15">
      <c r="A19" s="111">
        <v>6002715</v>
      </c>
      <c r="B19" s="111">
        <v>16</v>
      </c>
      <c r="C19" s="112">
        <v>0</v>
      </c>
      <c r="D19" s="113">
        <f>(C20-C19)/(B20-B19)</f>
        <v>-166666.66666666666</v>
      </c>
      <c r="E19" s="114">
        <f t="shared" si="4"/>
        <v>2666666.6666666665</v>
      </c>
    </row>
    <row r="20" spans="1:5" x14ac:dyDescent="0.15">
      <c r="A20" s="111">
        <v>6002715</v>
      </c>
      <c r="B20" s="111">
        <v>19</v>
      </c>
      <c r="C20" s="112">
        <v>-500000</v>
      </c>
      <c r="D20" s="113">
        <f>(C21-C20)/(B21-B20)</f>
        <v>-1583333.3333333333</v>
      </c>
      <c r="E20" s="114">
        <f>C20-D20*B20</f>
        <v>29583333.333333332</v>
      </c>
    </row>
    <row r="21" spans="1:5" x14ac:dyDescent="0.15">
      <c r="A21" s="111">
        <v>6002715</v>
      </c>
      <c r="B21" s="111">
        <v>25</v>
      </c>
      <c r="C21" s="112">
        <v>-10000000</v>
      </c>
      <c r="D21" s="115">
        <v>0</v>
      </c>
      <c r="E21" s="116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activeCell="H18" sqref="H18"/>
    </sheetView>
  </sheetViews>
  <sheetFormatPr baseColWidth="12" defaultRowHeight="15" x14ac:dyDescent="0.15"/>
  <sheetData>
    <row r="1" spans="1:6" x14ac:dyDescent="0.15">
      <c r="A1" s="58" t="s">
        <v>275</v>
      </c>
      <c r="B1" s="58" t="s">
        <v>276</v>
      </c>
      <c r="C1" s="58" t="s">
        <v>277</v>
      </c>
      <c r="D1" s="58" t="s">
        <v>278</v>
      </c>
      <c r="E1" s="58" t="s">
        <v>279</v>
      </c>
    </row>
    <row r="2" spans="1:6" x14ac:dyDescent="0.15">
      <c r="A2" s="111">
        <v>6002711</v>
      </c>
      <c r="B2" s="111">
        <v>0</v>
      </c>
      <c r="C2" s="62">
        <v>0</v>
      </c>
      <c r="D2" s="121">
        <f t="shared" ref="D2:D3" si="0">(C3-C2)/(B3-B2)</f>
        <v>4</v>
      </c>
      <c r="E2" s="114">
        <f t="shared" ref="E2:E3" si="1">C2-D2*B2</f>
        <v>0</v>
      </c>
    </row>
    <row r="3" spans="1:6" x14ac:dyDescent="0.15">
      <c r="A3" s="111">
        <v>6002711</v>
      </c>
      <c r="B3" s="111">
        <v>96000</v>
      </c>
      <c r="C3" s="62">
        <f>B3*SQRT(D30)*4</f>
        <v>384000</v>
      </c>
      <c r="D3" s="121">
        <f t="shared" si="0"/>
        <v>4.2000000000000028</v>
      </c>
      <c r="E3" s="114">
        <f t="shared" si="1"/>
        <v>-19200.000000000291</v>
      </c>
      <c r="F3" s="122">
        <v>1</v>
      </c>
    </row>
    <row r="4" spans="1:6" x14ac:dyDescent="0.15">
      <c r="A4" s="111">
        <v>6002711</v>
      </c>
      <c r="B4" s="111">
        <f>B3*1.2</f>
        <v>115200</v>
      </c>
      <c r="C4" s="62">
        <f>C3*SQRT(D31)^2</f>
        <v>464640.00000000006</v>
      </c>
      <c r="D4" s="121">
        <f>(C5-C4)/(B5-B4)</f>
        <v>4.1333333333333311</v>
      </c>
      <c r="E4" s="114">
        <f>C4-D4*B4</f>
        <v>-11519.999999999709</v>
      </c>
      <c r="F4" s="122">
        <v>1.2</v>
      </c>
    </row>
    <row r="5" spans="1:6" x14ac:dyDescent="0.15">
      <c r="A5" s="111">
        <v>6002711</v>
      </c>
      <c r="B5" s="111">
        <f>B3*1.5</f>
        <v>144000</v>
      </c>
      <c r="C5" s="62">
        <f>C3*SQRT(D32)^2</f>
        <v>583680</v>
      </c>
      <c r="D5" s="123">
        <v>0.01</v>
      </c>
      <c r="E5" s="113">
        <f>C5-D5*B5</f>
        <v>582240</v>
      </c>
      <c r="F5" s="122">
        <v>1.5</v>
      </c>
    </row>
    <row r="6" spans="1:6" x14ac:dyDescent="0.15">
      <c r="A6" s="117">
        <v>6002712</v>
      </c>
      <c r="B6" s="117">
        <v>0</v>
      </c>
      <c r="C6" s="62">
        <v>0</v>
      </c>
      <c r="D6" s="121">
        <f t="shared" ref="D6:D7" si="2">(C7-C6)/(B7-B6)</f>
        <v>2.5</v>
      </c>
      <c r="E6" s="114">
        <f t="shared" ref="E6:E7" si="3">C6-D6*B6</f>
        <v>0</v>
      </c>
    </row>
    <row r="7" spans="1:6" x14ac:dyDescent="0.15">
      <c r="A7" s="117">
        <v>6002712</v>
      </c>
      <c r="B7" s="117">
        <v>212000</v>
      </c>
      <c r="C7" s="62">
        <f>B7*SQRT(D30)*2.5</f>
        <v>530000</v>
      </c>
      <c r="D7" s="121">
        <f t="shared" si="2"/>
        <v>2.6250000000000027</v>
      </c>
      <c r="E7" s="114">
        <f t="shared" si="3"/>
        <v>-26500.000000000582</v>
      </c>
      <c r="F7" s="122">
        <v>1</v>
      </c>
    </row>
    <row r="8" spans="1:6" x14ac:dyDescent="0.15">
      <c r="A8" s="117">
        <v>6002712</v>
      </c>
      <c r="B8" s="117">
        <f>B7*1.2</f>
        <v>254400</v>
      </c>
      <c r="C8" s="62">
        <f>C7*SQRT(D31)^2</f>
        <v>641300.00000000012</v>
      </c>
      <c r="D8" s="121">
        <f>(C9-C8)/(B9-B8)</f>
        <v>2.5833333333333317</v>
      </c>
      <c r="E8" s="114">
        <f>C8-D8*B8</f>
        <v>-15899.999999999418</v>
      </c>
      <c r="F8" s="122">
        <v>1.2</v>
      </c>
    </row>
    <row r="9" spans="1:6" x14ac:dyDescent="0.15">
      <c r="A9" s="117">
        <v>6002712</v>
      </c>
      <c r="B9" s="117">
        <f>B7*1.5</f>
        <v>318000</v>
      </c>
      <c r="C9" s="62">
        <f>C7*SQRT(D32)^2</f>
        <v>805600</v>
      </c>
      <c r="D9" s="123">
        <v>0.01</v>
      </c>
      <c r="E9" s="113">
        <f>C9-D9*B9</f>
        <v>802420</v>
      </c>
      <c r="F9" s="122">
        <v>1.5</v>
      </c>
    </row>
    <row r="10" spans="1:6" x14ac:dyDescent="0.15">
      <c r="A10" s="111">
        <v>6002713</v>
      </c>
      <c r="B10" s="111">
        <v>0</v>
      </c>
      <c r="C10" s="62">
        <v>0</v>
      </c>
      <c r="D10" s="121">
        <f t="shared" ref="D10:D11" si="4">(C11-C10)/(B11-B10)</f>
        <v>1</v>
      </c>
      <c r="E10" s="114">
        <f t="shared" ref="E10:E11" si="5">C10-D10*B10</f>
        <v>0</v>
      </c>
    </row>
    <row r="11" spans="1:6" x14ac:dyDescent="0.15">
      <c r="A11" s="111">
        <v>6002713</v>
      </c>
      <c r="B11" s="111">
        <v>840000</v>
      </c>
      <c r="C11" s="62">
        <f>B11*SQRT(D30)*1</f>
        <v>840000</v>
      </c>
      <c r="D11" s="121">
        <f t="shared" si="4"/>
        <v>1.0500000000000007</v>
      </c>
      <c r="E11" s="114">
        <f t="shared" si="5"/>
        <v>-42000.000000000582</v>
      </c>
      <c r="F11" s="122">
        <v>1</v>
      </c>
    </row>
    <row r="12" spans="1:6" x14ac:dyDescent="0.15">
      <c r="A12" s="111">
        <v>6002713</v>
      </c>
      <c r="B12" s="111">
        <f>B11*1.2</f>
        <v>1008000</v>
      </c>
      <c r="C12" s="62">
        <f>C11*SQRT(D31)^2</f>
        <v>1016400.0000000001</v>
      </c>
      <c r="D12" s="121">
        <f>(C13-C12)/(B13-B12)</f>
        <v>1.0333333333333328</v>
      </c>
      <c r="E12" s="114">
        <f>C12-D12*B12</f>
        <v>-25199.999999999302</v>
      </c>
      <c r="F12" s="122">
        <v>1.2</v>
      </c>
    </row>
    <row r="13" spans="1:6" x14ac:dyDescent="0.15">
      <c r="A13" s="111">
        <v>6002713</v>
      </c>
      <c r="B13" s="111">
        <f>B11*1.5</f>
        <v>1260000</v>
      </c>
      <c r="C13" s="62">
        <f>C11*SQRT(D32)^2</f>
        <v>1276800</v>
      </c>
      <c r="D13" s="121">
        <f>(C14-C13)/(B14-B13)</f>
        <v>1.0199999999999994</v>
      </c>
      <c r="E13" s="114">
        <f t="shared" ref="E13:E14" si="6">C13-D13*B13</f>
        <v>-8399.9999999990687</v>
      </c>
      <c r="F13" s="122">
        <v>1.5</v>
      </c>
    </row>
    <row r="14" spans="1:6" x14ac:dyDescent="0.15">
      <c r="A14" s="111">
        <v>6002713</v>
      </c>
      <c r="B14" s="111">
        <f>B11*2</f>
        <v>1680000</v>
      </c>
      <c r="C14" s="62">
        <f>C11*SQRT(D33)^2</f>
        <v>1705199.9999999998</v>
      </c>
      <c r="D14" s="121">
        <f>(C15-C14)/(B15-B14)</f>
        <v>1.0000000000000004</v>
      </c>
      <c r="E14" s="114">
        <f t="shared" si="6"/>
        <v>25199.999999999069</v>
      </c>
      <c r="F14" s="122">
        <v>2</v>
      </c>
    </row>
    <row r="15" spans="1:6" x14ac:dyDescent="0.15">
      <c r="A15" s="111">
        <v>6002713</v>
      </c>
      <c r="B15" s="111">
        <f>B11*2.5</f>
        <v>2100000</v>
      </c>
      <c r="C15" s="62">
        <f>C11*SQRT(D34)^2</f>
        <v>2125200</v>
      </c>
      <c r="D15" s="123">
        <v>0.01</v>
      </c>
      <c r="E15" s="113">
        <f>C15-D15*B15</f>
        <v>2104200</v>
      </c>
      <c r="F15" s="122">
        <v>2.5</v>
      </c>
    </row>
    <row r="16" spans="1:6" x14ac:dyDescent="0.15">
      <c r="A16" s="117">
        <v>6002714</v>
      </c>
      <c r="B16" s="117">
        <v>0</v>
      </c>
      <c r="C16" s="62">
        <v>0</v>
      </c>
      <c r="D16" s="121">
        <f t="shared" ref="D16:D17" si="7">(C17-C16)/(B17-B16)</f>
        <v>1</v>
      </c>
      <c r="E16" s="114">
        <f t="shared" ref="E16:E17" si="8">C16-D16*B16</f>
        <v>0</v>
      </c>
    </row>
    <row r="17" spans="1:6" x14ac:dyDescent="0.15">
      <c r="A17" s="117">
        <v>6002714</v>
      </c>
      <c r="B17" s="117">
        <v>385000</v>
      </c>
      <c r="C17" s="62">
        <f>B17*SQRT(D30)*1</f>
        <v>385000</v>
      </c>
      <c r="D17" s="121">
        <f t="shared" si="7"/>
        <v>1.0500000000000007</v>
      </c>
      <c r="E17" s="114">
        <f t="shared" si="8"/>
        <v>-19250.000000000291</v>
      </c>
      <c r="F17" s="122">
        <v>1</v>
      </c>
    </row>
    <row r="18" spans="1:6" x14ac:dyDescent="0.15">
      <c r="A18" s="117">
        <v>6002714</v>
      </c>
      <c r="B18" s="117">
        <f>B17*1.2</f>
        <v>462000</v>
      </c>
      <c r="C18" s="62">
        <f>C17*SQRT(D31)^2</f>
        <v>465850.00000000006</v>
      </c>
      <c r="D18" s="121">
        <f>(C19-C18)/(B19-B18)</f>
        <v>1.0333333333333328</v>
      </c>
      <c r="E18" s="114">
        <f>C18-D18*B18</f>
        <v>-11549.999999999709</v>
      </c>
      <c r="F18" s="122">
        <v>1.2</v>
      </c>
    </row>
    <row r="19" spans="1:6" x14ac:dyDescent="0.15">
      <c r="A19" s="117">
        <v>6002714</v>
      </c>
      <c r="B19" s="117">
        <f>B17*1.5</f>
        <v>577500</v>
      </c>
      <c r="C19" s="62">
        <f>C17*SQRT(D32)^2</f>
        <v>585200</v>
      </c>
      <c r="D19" s="121">
        <f t="shared" ref="D19:D20" si="9">(C20-C19)/(B20-B19)</f>
        <v>1.0199999999999994</v>
      </c>
      <c r="E19" s="114">
        <f t="shared" ref="E19:E20" si="10">C19-D19*B19</f>
        <v>-3849.9999999996508</v>
      </c>
      <c r="F19" s="122">
        <v>1.5</v>
      </c>
    </row>
    <row r="20" spans="1:6" x14ac:dyDescent="0.15">
      <c r="A20" s="117">
        <v>6002714</v>
      </c>
      <c r="B20" s="117">
        <f>B17*2</f>
        <v>770000</v>
      </c>
      <c r="C20" s="62">
        <f>C17*SQRT(D33)^2</f>
        <v>781549.99999999988</v>
      </c>
      <c r="D20" s="121">
        <f t="shared" si="9"/>
        <v>1</v>
      </c>
      <c r="E20" s="114">
        <f t="shared" si="10"/>
        <v>11549.999999999884</v>
      </c>
      <c r="F20" s="122">
        <v>2</v>
      </c>
    </row>
    <row r="21" spans="1:6" x14ac:dyDescent="0.15">
      <c r="A21" s="117">
        <v>6002714</v>
      </c>
      <c r="B21" s="117">
        <f>B17*2.5</f>
        <v>962500</v>
      </c>
      <c r="C21" s="62">
        <f>C17*SQRT(D34)^2</f>
        <v>974049.99999999988</v>
      </c>
      <c r="D21" s="123">
        <v>0.01</v>
      </c>
      <c r="E21" s="113">
        <f>C21-D21*B21</f>
        <v>964424.99999999988</v>
      </c>
      <c r="F21" s="122">
        <v>2.5</v>
      </c>
    </row>
    <row r="22" spans="1:6" x14ac:dyDescent="0.15">
      <c r="A22" s="111">
        <v>6002715</v>
      </c>
      <c r="B22" s="111">
        <v>0</v>
      </c>
      <c r="C22" s="62">
        <v>0</v>
      </c>
      <c r="D22" s="121">
        <f t="shared" ref="D22" si="11">(C23-C22)/(B23-B22)</f>
        <v>1</v>
      </c>
      <c r="E22" s="114">
        <f t="shared" ref="E22:E25" si="12">C22-D22*B22</f>
        <v>0</v>
      </c>
    </row>
    <row r="23" spans="1:6" x14ac:dyDescent="0.15">
      <c r="A23" s="111">
        <v>6002715</v>
      </c>
      <c r="B23" s="111">
        <v>2310000</v>
      </c>
      <c r="C23" s="62">
        <f>B23*SQRT(D30)*1</f>
        <v>2310000</v>
      </c>
      <c r="D23" s="121">
        <f>(C24-C23)/(B24-B23)</f>
        <v>1.0500000000000009</v>
      </c>
      <c r="E23" s="114">
        <f t="shared" si="12"/>
        <v>-115500.00000000233</v>
      </c>
      <c r="F23" s="122">
        <v>1</v>
      </c>
    </row>
    <row r="24" spans="1:6" x14ac:dyDescent="0.15">
      <c r="A24" s="111">
        <v>6002715</v>
      </c>
      <c r="B24" s="111">
        <f>B23*1.2</f>
        <v>2772000</v>
      </c>
      <c r="C24" s="62">
        <f>$C$23*SQRT(D31)^2</f>
        <v>2795100.0000000005</v>
      </c>
      <c r="D24" s="121">
        <f>(C25-C24)/(B25-B24)</f>
        <v>1.0333333333333328</v>
      </c>
      <c r="E24" s="114">
        <f t="shared" si="12"/>
        <v>-69299.999999998137</v>
      </c>
      <c r="F24" s="122">
        <v>1.2</v>
      </c>
    </row>
    <row r="25" spans="1:6" x14ac:dyDescent="0.15">
      <c r="A25" s="111">
        <v>6002715</v>
      </c>
      <c r="B25" s="111">
        <f>B23*1.5</f>
        <v>3465000</v>
      </c>
      <c r="C25" s="62">
        <f>$C$23*SQRT(D32)^2</f>
        <v>3511200</v>
      </c>
      <c r="D25" s="121">
        <f>(C26-C25)/(B26-B25)</f>
        <v>1.02</v>
      </c>
      <c r="E25" s="114">
        <f t="shared" si="12"/>
        <v>-23100</v>
      </c>
      <c r="F25" s="122">
        <v>1.5</v>
      </c>
    </row>
    <row r="26" spans="1:6" x14ac:dyDescent="0.15">
      <c r="A26" s="111">
        <v>6002715</v>
      </c>
      <c r="B26" s="111">
        <f>B23*2</f>
        <v>4620000</v>
      </c>
      <c r="C26" s="62">
        <f>$C$23*SQRT(D33)^2</f>
        <v>4689300</v>
      </c>
      <c r="D26" s="121">
        <f>(C27-C26)/(B27-B26)</f>
        <v>1</v>
      </c>
      <c r="E26" s="114">
        <f>C26-D26*B26</f>
        <v>69300</v>
      </c>
      <c r="F26" s="122">
        <v>2</v>
      </c>
    </row>
    <row r="27" spans="1:6" x14ac:dyDescent="0.15">
      <c r="A27" s="111">
        <v>6002715</v>
      </c>
      <c r="B27" s="111">
        <f>B23*2.5</f>
        <v>5775000</v>
      </c>
      <c r="C27" s="62">
        <f>$C$23*SQRT(D34)^2</f>
        <v>5844300</v>
      </c>
      <c r="D27" s="123">
        <v>0.01</v>
      </c>
      <c r="E27" s="113">
        <f>C27-D27*B27</f>
        <v>5786550</v>
      </c>
      <c r="F27" s="122">
        <v>2.5</v>
      </c>
    </row>
    <row r="29" spans="1:6" x14ac:dyDescent="0.15">
      <c r="D29" t="s">
        <v>280</v>
      </c>
    </row>
    <row r="30" spans="1:6" x14ac:dyDescent="0.15">
      <c r="A30" s="124"/>
      <c r="B30" s="124"/>
      <c r="C30" s="125">
        <f>SUM(C5,C9,C15,C19,C27)</f>
        <v>9943980</v>
      </c>
      <c r="D30">
        <v>1</v>
      </c>
    </row>
    <row r="31" spans="1:6" x14ac:dyDescent="0.15">
      <c r="A31" s="105"/>
      <c r="B31" s="105"/>
      <c r="C31" s="126"/>
      <c r="D31">
        <v>1.21</v>
      </c>
    </row>
    <row r="32" spans="1:6" x14ac:dyDescent="0.15">
      <c r="A32" s="105"/>
      <c r="B32" s="105"/>
      <c r="C32" s="126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7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topLeftCell="A53" workbookViewId="0">
      <selection activeCell="A2" sqref="A2:A81"/>
    </sheetView>
  </sheetViews>
  <sheetFormatPr baseColWidth="12" defaultRowHeight="15" x14ac:dyDescent="0.15"/>
  <sheetData>
    <row r="1" spans="1:6" x14ac:dyDescent="0.15">
      <c r="A1" s="58" t="s">
        <v>275</v>
      </c>
      <c r="B1" s="58" t="s">
        <v>276</v>
      </c>
      <c r="C1" s="58" t="s">
        <v>277</v>
      </c>
      <c r="D1" s="58" t="s">
        <v>278</v>
      </c>
      <c r="E1" s="58" t="s">
        <v>279</v>
      </c>
    </row>
    <row r="2" spans="1:6" x14ac:dyDescent="0.15">
      <c r="A2" s="127">
        <v>6002711</v>
      </c>
      <c r="B2" s="127">
        <v>0</v>
      </c>
      <c r="C2" s="112">
        <v>0</v>
      </c>
      <c r="D2" s="128">
        <f t="shared" ref="D2:D13" si="0">(C3-C2)/(B3-B2)</f>
        <v>-300000</v>
      </c>
      <c r="E2" s="129">
        <f t="shared" ref="E2:E13" si="1">C2-D2*B2</f>
        <v>0</v>
      </c>
      <c r="F2">
        <f>B2*D2+E2</f>
        <v>0</v>
      </c>
    </row>
    <row r="3" spans="1:6" x14ac:dyDescent="0.15">
      <c r="A3" s="127">
        <v>6002711</v>
      </c>
      <c r="B3" s="127">
        <v>0.01</v>
      </c>
      <c r="C3" s="112">
        <v>-3000</v>
      </c>
      <c r="D3" s="128">
        <f>(C4-C3)/(B4-B3)</f>
        <v>-300000</v>
      </c>
      <c r="E3" s="129">
        <f t="shared" si="1"/>
        <v>0</v>
      </c>
      <c r="F3">
        <f t="shared" ref="F3:F71" si="2">B3*D3+E3</f>
        <v>-3000</v>
      </c>
    </row>
    <row r="4" spans="1:6" x14ac:dyDescent="0.15">
      <c r="A4" s="127">
        <v>6002711</v>
      </c>
      <c r="B4" s="127">
        <v>0.05</v>
      </c>
      <c r="C4" s="112">
        <v>-15000</v>
      </c>
      <c r="D4" s="128">
        <f t="shared" si="0"/>
        <v>-300000</v>
      </c>
      <c r="E4" s="129">
        <f t="shared" si="1"/>
        <v>0</v>
      </c>
      <c r="F4">
        <f t="shared" si="2"/>
        <v>-15000</v>
      </c>
    </row>
    <row r="5" spans="1:6" x14ac:dyDescent="0.15">
      <c r="A5" s="127">
        <v>6002711</v>
      </c>
      <c r="B5" s="127">
        <v>0.1</v>
      </c>
      <c r="C5" s="112">
        <v>-30000</v>
      </c>
      <c r="D5" s="128">
        <f t="shared" si="0"/>
        <v>-300000</v>
      </c>
      <c r="E5" s="129">
        <f t="shared" si="1"/>
        <v>0</v>
      </c>
      <c r="F5">
        <f t="shared" si="2"/>
        <v>-30000</v>
      </c>
    </row>
    <row r="6" spans="1:6" x14ac:dyDescent="0.15">
      <c r="A6" s="127">
        <v>6002711</v>
      </c>
      <c r="B6" s="127">
        <v>0.2</v>
      </c>
      <c r="C6" s="112">
        <v>-60000</v>
      </c>
      <c r="D6" s="128">
        <f t="shared" si="0"/>
        <v>-300000</v>
      </c>
      <c r="E6" s="129">
        <f t="shared" si="1"/>
        <v>0</v>
      </c>
      <c r="F6">
        <f t="shared" si="2"/>
        <v>-60000</v>
      </c>
    </row>
    <row r="7" spans="1:6" x14ac:dyDescent="0.15">
      <c r="A7" s="127">
        <v>6002711</v>
      </c>
      <c r="B7" s="127">
        <v>0.4</v>
      </c>
      <c r="C7" s="112">
        <v>-120000</v>
      </c>
      <c r="D7" s="128">
        <f t="shared" si="0"/>
        <v>-300000.00000000006</v>
      </c>
      <c r="E7" s="129">
        <f t="shared" si="1"/>
        <v>0</v>
      </c>
      <c r="F7">
        <f t="shared" si="2"/>
        <v>-120000.00000000003</v>
      </c>
    </row>
    <row r="8" spans="1:6" x14ac:dyDescent="0.15">
      <c r="A8" s="127">
        <v>6002711</v>
      </c>
      <c r="B8" s="127">
        <v>0.6</v>
      </c>
      <c r="C8" s="112">
        <v>-180000</v>
      </c>
      <c r="D8" s="128">
        <f t="shared" si="0"/>
        <v>-299999.99999999988</v>
      </c>
      <c r="E8" s="129">
        <f t="shared" si="1"/>
        <v>0</v>
      </c>
      <c r="F8">
        <f t="shared" si="2"/>
        <v>-179999.99999999991</v>
      </c>
    </row>
    <row r="9" spans="1:6" x14ac:dyDescent="0.15">
      <c r="A9" s="127">
        <v>6002711</v>
      </c>
      <c r="B9" s="127">
        <v>0.8</v>
      </c>
      <c r="C9" s="112">
        <v>-240000</v>
      </c>
      <c r="D9" s="128">
        <f t="shared" si="0"/>
        <v>-300000.00000000006</v>
      </c>
      <c r="E9" s="129">
        <f t="shared" si="1"/>
        <v>0</v>
      </c>
      <c r="F9">
        <f t="shared" si="2"/>
        <v>-240000.00000000006</v>
      </c>
    </row>
    <row r="10" spans="1:6" x14ac:dyDescent="0.15">
      <c r="A10" s="127">
        <v>6002711</v>
      </c>
      <c r="B10" s="127">
        <v>1</v>
      </c>
      <c r="C10" s="112">
        <v>-300000</v>
      </c>
      <c r="D10" s="128">
        <f t="shared" si="0"/>
        <v>-300000.00000000006</v>
      </c>
      <c r="E10" s="129">
        <f t="shared" si="1"/>
        <v>0</v>
      </c>
      <c r="F10">
        <f t="shared" si="2"/>
        <v>-300000.00000000006</v>
      </c>
    </row>
    <row r="11" spans="1:6" x14ac:dyDescent="0.15">
      <c r="A11" s="127">
        <v>6002711</v>
      </c>
      <c r="B11" s="127">
        <v>1.2</v>
      </c>
      <c r="C11" s="112">
        <v>-360000</v>
      </c>
      <c r="D11" s="128">
        <f t="shared" si="0"/>
        <v>-300000.00000000006</v>
      </c>
      <c r="E11" s="129">
        <f t="shared" si="1"/>
        <v>0</v>
      </c>
      <c r="F11">
        <f t="shared" si="2"/>
        <v>-360000.00000000006</v>
      </c>
    </row>
    <row r="12" spans="1:6" x14ac:dyDescent="0.15">
      <c r="A12" s="127">
        <v>6002711</v>
      </c>
      <c r="B12" s="127">
        <v>1.4</v>
      </c>
      <c r="C12" s="112">
        <v>-420000</v>
      </c>
      <c r="D12" s="128">
        <f t="shared" si="0"/>
        <v>-299999.99999999971</v>
      </c>
      <c r="E12" s="129">
        <f t="shared" si="1"/>
        <v>0</v>
      </c>
      <c r="F12">
        <f t="shared" si="2"/>
        <v>-419999.99999999959</v>
      </c>
    </row>
    <row r="13" spans="1:6" x14ac:dyDescent="0.15">
      <c r="A13" s="127">
        <v>6002711</v>
      </c>
      <c r="B13" s="127">
        <v>1.6</v>
      </c>
      <c r="C13" s="112">
        <v>-480000</v>
      </c>
      <c r="D13" s="128">
        <f t="shared" si="0"/>
        <v>-300000.00000000006</v>
      </c>
      <c r="E13" s="129">
        <f t="shared" si="1"/>
        <v>0</v>
      </c>
      <c r="F13">
        <f t="shared" si="2"/>
        <v>-480000.00000000012</v>
      </c>
    </row>
    <row r="14" spans="1:6" x14ac:dyDescent="0.15">
      <c r="A14" s="127">
        <v>6002711</v>
      </c>
      <c r="B14" s="127">
        <v>1.8</v>
      </c>
      <c r="C14" s="112">
        <v>-540000</v>
      </c>
      <c r="D14" s="128">
        <f>(C15-C14)/(B15-B14)</f>
        <v>-2300000.0000000005</v>
      </c>
      <c r="E14" s="129">
        <f>C14-D14*B14</f>
        <v>3600000.0000000009</v>
      </c>
      <c r="F14">
        <f t="shared" si="2"/>
        <v>-540000</v>
      </c>
    </row>
    <row r="15" spans="1:6" x14ac:dyDescent="0.15">
      <c r="A15" s="127">
        <v>6002711</v>
      </c>
      <c r="B15" s="127">
        <v>2</v>
      </c>
      <c r="C15" s="112">
        <v>-1000000</v>
      </c>
      <c r="D15" s="115">
        <v>0</v>
      </c>
      <c r="E15" s="116">
        <v>-10000000</v>
      </c>
      <c r="F15">
        <f t="shared" si="2"/>
        <v>-10000000</v>
      </c>
    </row>
    <row r="16" spans="1:6" x14ac:dyDescent="0.15">
      <c r="A16" s="130">
        <v>6002712</v>
      </c>
      <c r="B16" s="130">
        <v>0</v>
      </c>
      <c r="C16" s="112">
        <v>0</v>
      </c>
      <c r="D16" s="128">
        <f t="shared" ref="D16:D27" si="3">(C17-C16)/(B17-B16)</f>
        <v>-300000</v>
      </c>
      <c r="E16" s="129">
        <f t="shared" ref="E16:E27" si="4">C16-D16*B16</f>
        <v>0</v>
      </c>
      <c r="F16">
        <f t="shared" si="2"/>
        <v>0</v>
      </c>
    </row>
    <row r="17" spans="1:6" x14ac:dyDescent="0.15">
      <c r="A17" s="130">
        <v>6002712</v>
      </c>
      <c r="B17" s="130">
        <v>0.01</v>
      </c>
      <c r="C17" s="112">
        <v>-3000</v>
      </c>
      <c r="D17" s="128">
        <f t="shared" si="3"/>
        <v>-300000</v>
      </c>
      <c r="E17" s="129">
        <f t="shared" si="4"/>
        <v>0</v>
      </c>
      <c r="F17">
        <f t="shared" si="2"/>
        <v>-3000</v>
      </c>
    </row>
    <row r="18" spans="1:6" x14ac:dyDescent="0.15">
      <c r="A18" s="130">
        <v>6002712</v>
      </c>
      <c r="B18" s="130">
        <v>0.05</v>
      </c>
      <c r="C18" s="112">
        <v>-15000</v>
      </c>
      <c r="D18" s="128">
        <f t="shared" si="3"/>
        <v>-300000</v>
      </c>
      <c r="E18" s="129">
        <f t="shared" si="4"/>
        <v>0</v>
      </c>
      <c r="F18">
        <f t="shared" si="2"/>
        <v>-15000</v>
      </c>
    </row>
    <row r="19" spans="1:6" x14ac:dyDescent="0.15">
      <c r="A19" s="130">
        <v>6002712</v>
      </c>
      <c r="B19" s="130">
        <v>0.1</v>
      </c>
      <c r="C19" s="112">
        <v>-30000</v>
      </c>
      <c r="D19" s="128">
        <f t="shared" si="3"/>
        <v>-300000</v>
      </c>
      <c r="E19" s="129">
        <f t="shared" si="4"/>
        <v>0</v>
      </c>
      <c r="F19">
        <f t="shared" si="2"/>
        <v>-30000</v>
      </c>
    </row>
    <row r="20" spans="1:6" x14ac:dyDescent="0.15">
      <c r="A20" s="130">
        <v>6002712</v>
      </c>
      <c r="B20" s="130">
        <v>0.2</v>
      </c>
      <c r="C20" s="112">
        <v>-60000</v>
      </c>
      <c r="D20" s="128">
        <f t="shared" si="3"/>
        <v>-300000</v>
      </c>
      <c r="E20" s="129">
        <f t="shared" si="4"/>
        <v>0</v>
      </c>
      <c r="F20">
        <f t="shared" si="2"/>
        <v>-60000</v>
      </c>
    </row>
    <row r="21" spans="1:6" x14ac:dyDescent="0.15">
      <c r="A21" s="130">
        <v>6002712</v>
      </c>
      <c r="B21" s="130">
        <v>0.4</v>
      </c>
      <c r="C21" s="112">
        <v>-120000</v>
      </c>
      <c r="D21" s="128">
        <f t="shared" si="3"/>
        <v>-300000.00000000006</v>
      </c>
      <c r="E21" s="129">
        <f t="shared" si="4"/>
        <v>0</v>
      </c>
      <c r="F21">
        <f t="shared" si="2"/>
        <v>-120000.00000000003</v>
      </c>
    </row>
    <row r="22" spans="1:6" x14ac:dyDescent="0.15">
      <c r="A22" s="130">
        <v>6002712</v>
      </c>
      <c r="B22" s="130">
        <v>0.6</v>
      </c>
      <c r="C22" s="112">
        <v>-180000</v>
      </c>
      <c r="D22" s="128">
        <f t="shared" si="3"/>
        <v>-299999.99999999988</v>
      </c>
      <c r="E22" s="129">
        <f t="shared" si="4"/>
        <v>0</v>
      </c>
      <c r="F22">
        <f t="shared" si="2"/>
        <v>-179999.99999999991</v>
      </c>
    </row>
    <row r="23" spans="1:6" x14ac:dyDescent="0.15">
      <c r="A23" s="130">
        <v>6002712</v>
      </c>
      <c r="B23" s="130">
        <v>0.8</v>
      </c>
      <c r="C23" s="112">
        <v>-240000</v>
      </c>
      <c r="D23" s="128">
        <f t="shared" si="3"/>
        <v>-300000.00000000006</v>
      </c>
      <c r="E23" s="129">
        <f t="shared" si="4"/>
        <v>0</v>
      </c>
      <c r="F23">
        <f t="shared" si="2"/>
        <v>-240000.00000000006</v>
      </c>
    </row>
    <row r="24" spans="1:6" x14ac:dyDescent="0.15">
      <c r="A24" s="130">
        <v>6002712</v>
      </c>
      <c r="B24" s="130">
        <v>1</v>
      </c>
      <c r="C24" s="112">
        <v>-300000</v>
      </c>
      <c r="D24" s="128">
        <f t="shared" si="3"/>
        <v>-300000.00000000006</v>
      </c>
      <c r="E24" s="129">
        <f t="shared" si="4"/>
        <v>0</v>
      </c>
      <c r="F24">
        <f t="shared" si="2"/>
        <v>-300000.00000000006</v>
      </c>
    </row>
    <row r="25" spans="1:6" x14ac:dyDescent="0.15">
      <c r="A25" s="130">
        <v>6002712</v>
      </c>
      <c r="B25" s="130">
        <v>1.2</v>
      </c>
      <c r="C25" s="112">
        <v>-360000</v>
      </c>
      <c r="D25" s="128">
        <f t="shared" si="3"/>
        <v>-300000.00000000006</v>
      </c>
      <c r="E25" s="129">
        <f t="shared" si="4"/>
        <v>0</v>
      </c>
      <c r="F25">
        <f t="shared" si="2"/>
        <v>-360000.00000000006</v>
      </c>
    </row>
    <row r="26" spans="1:6" x14ac:dyDescent="0.15">
      <c r="A26" s="130">
        <v>6002712</v>
      </c>
      <c r="B26" s="130">
        <v>1.4</v>
      </c>
      <c r="C26" s="112">
        <v>-420000</v>
      </c>
      <c r="D26" s="128">
        <f t="shared" si="3"/>
        <v>-299999.99999999971</v>
      </c>
      <c r="E26" s="129">
        <f t="shared" si="4"/>
        <v>0</v>
      </c>
      <c r="F26">
        <f t="shared" si="2"/>
        <v>-419999.99999999959</v>
      </c>
    </row>
    <row r="27" spans="1:6" x14ac:dyDescent="0.15">
      <c r="A27" s="130">
        <v>6002712</v>
      </c>
      <c r="B27" s="130">
        <v>1.6</v>
      </c>
      <c r="C27" s="112">
        <v>-480000</v>
      </c>
      <c r="D27" s="128">
        <f t="shared" si="3"/>
        <v>-300000.00000000006</v>
      </c>
      <c r="E27" s="129">
        <f t="shared" si="4"/>
        <v>0</v>
      </c>
      <c r="F27">
        <f t="shared" si="2"/>
        <v>-480000.00000000012</v>
      </c>
    </row>
    <row r="28" spans="1:6" x14ac:dyDescent="0.15">
      <c r="A28" s="130">
        <v>6002712</v>
      </c>
      <c r="B28" s="130">
        <v>1.8</v>
      </c>
      <c r="C28" s="112">
        <v>-540000</v>
      </c>
      <c r="D28" s="128">
        <f>(C29-C28)/(B29-B28)</f>
        <v>-2300000.0000000005</v>
      </c>
      <c r="E28" s="129">
        <f>C28-D28*B28</f>
        <v>3600000.0000000009</v>
      </c>
      <c r="F28">
        <f t="shared" si="2"/>
        <v>-540000</v>
      </c>
    </row>
    <row r="29" spans="1:6" x14ac:dyDescent="0.15">
      <c r="A29" s="130">
        <v>6002712</v>
      </c>
      <c r="B29" s="130">
        <v>2</v>
      </c>
      <c r="C29" s="112">
        <v>-1000000</v>
      </c>
      <c r="D29" s="118">
        <v>0</v>
      </c>
      <c r="E29" s="119">
        <v>-10000000</v>
      </c>
      <c r="F29">
        <f t="shared" si="2"/>
        <v>-10000000</v>
      </c>
    </row>
    <row r="30" spans="1:6" x14ac:dyDescent="0.15">
      <c r="A30" s="127">
        <v>6002713</v>
      </c>
      <c r="B30" s="127">
        <v>0</v>
      </c>
      <c r="C30" s="112">
        <v>0</v>
      </c>
      <c r="D30" s="128">
        <f t="shared" ref="D30:D46" si="5">(C31-C30)/(B31-B30)</f>
        <v>-1200000</v>
      </c>
      <c r="E30" s="129">
        <f t="shared" ref="E30:E46" si="6">C30-D30*B30</f>
        <v>0</v>
      </c>
      <c r="F30">
        <f>B30*D30+E30</f>
        <v>0</v>
      </c>
    </row>
    <row r="31" spans="1:6" x14ac:dyDescent="0.15">
      <c r="A31" s="127">
        <v>6002713</v>
      </c>
      <c r="B31" s="127">
        <v>0.01</v>
      </c>
      <c r="C31" s="112">
        <v>-12000</v>
      </c>
      <c r="D31" s="128">
        <f t="shared" si="5"/>
        <v>-1200000</v>
      </c>
      <c r="E31" s="129">
        <f t="shared" si="6"/>
        <v>0</v>
      </c>
      <c r="F31">
        <f t="shared" si="2"/>
        <v>-12000</v>
      </c>
    </row>
    <row r="32" spans="1:6" x14ac:dyDescent="0.15">
      <c r="A32" s="127">
        <v>6002713</v>
      </c>
      <c r="B32" s="127">
        <v>0.05</v>
      </c>
      <c r="C32" s="112">
        <v>-60000</v>
      </c>
      <c r="D32" s="128">
        <f t="shared" si="5"/>
        <v>-1200000</v>
      </c>
      <c r="E32" s="129">
        <f t="shared" si="6"/>
        <v>0</v>
      </c>
      <c r="F32">
        <f t="shared" si="2"/>
        <v>-60000</v>
      </c>
    </row>
    <row r="33" spans="1:6" x14ac:dyDescent="0.15">
      <c r="A33" s="127">
        <v>6002713</v>
      </c>
      <c r="B33" s="127">
        <v>0.1</v>
      </c>
      <c r="C33" s="112">
        <v>-120000</v>
      </c>
      <c r="D33" s="128">
        <f t="shared" si="5"/>
        <v>-1200000</v>
      </c>
      <c r="E33" s="129">
        <f t="shared" si="6"/>
        <v>0</v>
      </c>
      <c r="F33">
        <f t="shared" si="2"/>
        <v>-120000</v>
      </c>
    </row>
    <row r="34" spans="1:6" x14ac:dyDescent="0.15">
      <c r="A34" s="127">
        <v>6002713</v>
      </c>
      <c r="B34" s="127">
        <v>0.2</v>
      </c>
      <c r="C34" s="112">
        <v>-240000</v>
      </c>
      <c r="D34" s="128">
        <f t="shared" si="5"/>
        <v>-1200000</v>
      </c>
      <c r="E34" s="129">
        <f t="shared" si="6"/>
        <v>0</v>
      </c>
      <c r="F34">
        <f t="shared" si="2"/>
        <v>-240000</v>
      </c>
    </row>
    <row r="35" spans="1:6" x14ac:dyDescent="0.15">
      <c r="A35" s="127">
        <v>6002713</v>
      </c>
      <c r="B35" s="127">
        <v>0.4</v>
      </c>
      <c r="C35" s="112">
        <v>-480000</v>
      </c>
      <c r="D35" s="128">
        <f t="shared" si="5"/>
        <v>-1200000.0000000002</v>
      </c>
      <c r="E35" s="129">
        <f t="shared" si="6"/>
        <v>0</v>
      </c>
      <c r="F35">
        <f t="shared" si="2"/>
        <v>-480000.00000000012</v>
      </c>
    </row>
    <row r="36" spans="1:6" x14ac:dyDescent="0.15">
      <c r="A36" s="127">
        <v>6002713</v>
      </c>
      <c r="B36" s="127">
        <v>0.6</v>
      </c>
      <c r="C36" s="112">
        <v>-720000</v>
      </c>
      <c r="D36" s="128">
        <f t="shared" si="5"/>
        <v>-1199999.9999999995</v>
      </c>
      <c r="E36" s="129">
        <f t="shared" si="6"/>
        <v>0</v>
      </c>
      <c r="F36">
        <f t="shared" si="2"/>
        <v>-719999.99999999965</v>
      </c>
    </row>
    <row r="37" spans="1:6" x14ac:dyDescent="0.15">
      <c r="A37" s="127">
        <v>6002713</v>
      </c>
      <c r="B37" s="127">
        <v>0.8</v>
      </c>
      <c r="C37" s="112">
        <v>-960000</v>
      </c>
      <c r="D37" s="128">
        <f t="shared" si="5"/>
        <v>-1200000.0000000002</v>
      </c>
      <c r="E37" s="129">
        <f t="shared" si="6"/>
        <v>0</v>
      </c>
      <c r="F37">
        <f t="shared" si="2"/>
        <v>-960000.00000000023</v>
      </c>
    </row>
    <row r="38" spans="1:6" x14ac:dyDescent="0.15">
      <c r="A38" s="127">
        <v>6002713</v>
      </c>
      <c r="B38" s="127">
        <v>1</v>
      </c>
      <c r="C38" s="112">
        <v>-1200000</v>
      </c>
      <c r="D38" s="128">
        <f t="shared" si="5"/>
        <v>-1200000.0000000002</v>
      </c>
      <c r="E38" s="129">
        <f t="shared" si="6"/>
        <v>0</v>
      </c>
      <c r="F38">
        <f t="shared" si="2"/>
        <v>-1200000.0000000002</v>
      </c>
    </row>
    <row r="39" spans="1:6" x14ac:dyDescent="0.15">
      <c r="A39" s="127">
        <v>6002713</v>
      </c>
      <c r="B39" s="127">
        <v>1.2</v>
      </c>
      <c r="C39" s="112">
        <v>-1440000</v>
      </c>
      <c r="D39" s="128">
        <f t="shared" si="5"/>
        <v>-1200000.0000000002</v>
      </c>
      <c r="E39" s="129">
        <f t="shared" si="6"/>
        <v>0</v>
      </c>
      <c r="F39">
        <f t="shared" si="2"/>
        <v>-1440000.0000000002</v>
      </c>
    </row>
    <row r="40" spans="1:6" x14ac:dyDescent="0.15">
      <c r="A40" s="127">
        <v>6002713</v>
      </c>
      <c r="B40" s="127">
        <v>1.4</v>
      </c>
      <c r="C40" s="112">
        <v>-1680000</v>
      </c>
      <c r="D40" s="128">
        <f t="shared" si="5"/>
        <v>-1199999.9999999988</v>
      </c>
      <c r="E40" s="129">
        <f t="shared" si="6"/>
        <v>0</v>
      </c>
      <c r="F40">
        <f t="shared" si="2"/>
        <v>-1679999.9999999984</v>
      </c>
    </row>
    <row r="41" spans="1:6" x14ac:dyDescent="0.15">
      <c r="A41" s="127">
        <v>6002713</v>
      </c>
      <c r="B41" s="127">
        <v>1.6</v>
      </c>
      <c r="C41" s="112">
        <v>-1920000</v>
      </c>
      <c r="D41" s="128">
        <f t="shared" si="5"/>
        <v>-1200000.0000000002</v>
      </c>
      <c r="E41" s="129">
        <f t="shared" si="6"/>
        <v>0</v>
      </c>
      <c r="F41">
        <f t="shared" si="2"/>
        <v>-1920000.0000000005</v>
      </c>
    </row>
    <row r="42" spans="1:6" x14ac:dyDescent="0.15">
      <c r="A42" s="127">
        <v>6002713</v>
      </c>
      <c r="B42" s="127">
        <v>1.8</v>
      </c>
      <c r="C42" s="112">
        <v>-2160000</v>
      </c>
      <c r="D42" s="128">
        <f t="shared" si="5"/>
        <v>-1200000.0000000002</v>
      </c>
      <c r="E42" s="129">
        <f t="shared" si="6"/>
        <v>0</v>
      </c>
      <c r="F42">
        <f t="shared" si="2"/>
        <v>-2160000.0000000005</v>
      </c>
    </row>
    <row r="43" spans="1:6" x14ac:dyDescent="0.15">
      <c r="A43" s="127">
        <v>6002713</v>
      </c>
      <c r="B43" s="127">
        <v>2</v>
      </c>
      <c r="C43" s="112">
        <v>-2400000</v>
      </c>
      <c r="D43" s="128">
        <f t="shared" si="5"/>
        <v>-1199999.9999999988</v>
      </c>
      <c r="E43" s="129">
        <f t="shared" si="6"/>
        <v>0</v>
      </c>
      <c r="F43">
        <f t="shared" si="2"/>
        <v>-2399999.9999999977</v>
      </c>
    </row>
    <row r="44" spans="1:6" x14ac:dyDescent="0.15">
      <c r="A44" s="127">
        <v>6002713</v>
      </c>
      <c r="B44" s="127">
        <v>2.2000000000000002</v>
      </c>
      <c r="C44" s="112">
        <v>-2640000</v>
      </c>
      <c r="D44" s="128">
        <f t="shared" si="5"/>
        <v>-1200000.0000000016</v>
      </c>
      <c r="E44" s="129">
        <f t="shared" si="6"/>
        <v>3.7252902984619141E-9</v>
      </c>
      <c r="F44">
        <f t="shared" si="2"/>
        <v>-2640000</v>
      </c>
    </row>
    <row r="45" spans="1:6" x14ac:dyDescent="0.15">
      <c r="A45" s="127">
        <v>6002713</v>
      </c>
      <c r="B45" s="127">
        <v>2.4</v>
      </c>
      <c r="C45" s="112">
        <v>-2880000</v>
      </c>
      <c r="D45" s="128">
        <f t="shared" si="5"/>
        <v>-1199999.9999999988</v>
      </c>
      <c r="E45" s="129">
        <f t="shared" si="6"/>
        <v>0</v>
      </c>
      <c r="F45">
        <f t="shared" si="2"/>
        <v>-2879999.9999999972</v>
      </c>
    </row>
    <row r="46" spans="1:6" x14ac:dyDescent="0.15">
      <c r="A46" s="127">
        <v>6002713</v>
      </c>
      <c r="B46" s="127">
        <v>2.6</v>
      </c>
      <c r="C46" s="112">
        <v>-3120000</v>
      </c>
      <c r="D46" s="128">
        <f t="shared" si="5"/>
        <v>-1200000.0000000016</v>
      </c>
      <c r="E46" s="129">
        <f t="shared" si="6"/>
        <v>4.1909515857696533E-9</v>
      </c>
      <c r="F46">
        <f t="shared" si="2"/>
        <v>-3120000</v>
      </c>
    </row>
    <row r="47" spans="1:6" x14ac:dyDescent="0.15">
      <c r="A47" s="127">
        <v>6002713</v>
      </c>
      <c r="B47" s="127">
        <v>2.8</v>
      </c>
      <c r="C47" s="112">
        <v>-3360000</v>
      </c>
      <c r="D47" s="128">
        <f>(C48-C47)/(B48-B47)</f>
        <v>-33199999.99999997</v>
      </c>
      <c r="E47" s="129">
        <f>C47-D47*B47</f>
        <v>89599999.999999911</v>
      </c>
      <c r="F47">
        <f t="shared" si="2"/>
        <v>-3360000</v>
      </c>
    </row>
    <row r="48" spans="1:6" x14ac:dyDescent="0.15">
      <c r="A48" s="127">
        <v>6002713</v>
      </c>
      <c r="B48" s="127">
        <v>3</v>
      </c>
      <c r="C48" s="112">
        <v>-10000000</v>
      </c>
      <c r="D48" s="115">
        <v>0</v>
      </c>
      <c r="E48" s="116">
        <v>-10000000</v>
      </c>
      <c r="F48">
        <f t="shared" si="2"/>
        <v>-10000000</v>
      </c>
    </row>
    <row r="49" spans="1:6" x14ac:dyDescent="0.15">
      <c r="A49" s="130">
        <v>6002714</v>
      </c>
      <c r="B49" s="130">
        <v>0</v>
      </c>
      <c r="C49" s="112">
        <v>0</v>
      </c>
      <c r="D49" s="128">
        <f t="shared" ref="D49:D60" si="7">(C50-C49)/(B50-B49)</f>
        <v>-1200000</v>
      </c>
      <c r="E49" s="129">
        <f t="shared" ref="E49:E60" si="8">C49-D49*B49</f>
        <v>0</v>
      </c>
      <c r="F49">
        <f>B49*D49+E49</f>
        <v>0</v>
      </c>
    </row>
    <row r="50" spans="1:6" x14ac:dyDescent="0.15">
      <c r="A50" s="130">
        <v>6002714</v>
      </c>
      <c r="B50" s="130">
        <v>0.01</v>
      </c>
      <c r="C50" s="112">
        <v>-12000</v>
      </c>
      <c r="D50" s="128">
        <f t="shared" si="7"/>
        <v>-1200000</v>
      </c>
      <c r="E50" s="129">
        <f t="shared" si="8"/>
        <v>0</v>
      </c>
      <c r="F50">
        <f t="shared" si="2"/>
        <v>-12000</v>
      </c>
    </row>
    <row r="51" spans="1:6" x14ac:dyDescent="0.15">
      <c r="A51" s="130">
        <v>6002714</v>
      </c>
      <c r="B51" s="130">
        <v>0.05</v>
      </c>
      <c r="C51" s="112">
        <v>-60000</v>
      </c>
      <c r="D51" s="128">
        <f t="shared" si="7"/>
        <v>-1200000</v>
      </c>
      <c r="E51" s="129">
        <f t="shared" si="8"/>
        <v>0</v>
      </c>
      <c r="F51">
        <f t="shared" si="2"/>
        <v>-60000</v>
      </c>
    </row>
    <row r="52" spans="1:6" x14ac:dyDescent="0.15">
      <c r="A52" s="130">
        <v>6002714</v>
      </c>
      <c r="B52" s="130">
        <v>0.1</v>
      </c>
      <c r="C52" s="112">
        <v>-120000</v>
      </c>
      <c r="D52" s="128">
        <f t="shared" si="7"/>
        <v>-1200000</v>
      </c>
      <c r="E52" s="129">
        <f t="shared" si="8"/>
        <v>0</v>
      </c>
      <c r="F52">
        <f t="shared" si="2"/>
        <v>-120000</v>
      </c>
    </row>
    <row r="53" spans="1:6" x14ac:dyDescent="0.15">
      <c r="A53" s="130">
        <v>6002714</v>
      </c>
      <c r="B53" s="130">
        <v>0.2</v>
      </c>
      <c r="C53" s="112">
        <v>-240000</v>
      </c>
      <c r="D53" s="128">
        <f t="shared" si="7"/>
        <v>-1200000</v>
      </c>
      <c r="E53" s="129">
        <f t="shared" si="8"/>
        <v>0</v>
      </c>
      <c r="F53">
        <f t="shared" si="2"/>
        <v>-240000</v>
      </c>
    </row>
    <row r="54" spans="1:6" x14ac:dyDescent="0.15">
      <c r="A54" s="130">
        <v>6002714</v>
      </c>
      <c r="B54" s="130">
        <v>0.4</v>
      </c>
      <c r="C54" s="112">
        <v>-480000</v>
      </c>
      <c r="D54" s="128">
        <f t="shared" si="7"/>
        <v>-1200000.0000000002</v>
      </c>
      <c r="E54" s="129">
        <f t="shared" si="8"/>
        <v>0</v>
      </c>
      <c r="F54">
        <f t="shared" si="2"/>
        <v>-480000.00000000012</v>
      </c>
    </row>
    <row r="55" spans="1:6" x14ac:dyDescent="0.15">
      <c r="A55" s="130">
        <v>6002714</v>
      </c>
      <c r="B55" s="130">
        <v>0.6</v>
      </c>
      <c r="C55" s="112">
        <v>-720000</v>
      </c>
      <c r="D55" s="128">
        <f t="shared" si="7"/>
        <v>-1199999.9999999995</v>
      </c>
      <c r="E55" s="129">
        <f t="shared" si="8"/>
        <v>0</v>
      </c>
      <c r="F55">
        <f t="shared" si="2"/>
        <v>-719999.99999999965</v>
      </c>
    </row>
    <row r="56" spans="1:6" x14ac:dyDescent="0.15">
      <c r="A56" s="130">
        <v>6002714</v>
      </c>
      <c r="B56" s="130">
        <v>0.8</v>
      </c>
      <c r="C56" s="112">
        <v>-960000</v>
      </c>
      <c r="D56" s="128">
        <f t="shared" si="7"/>
        <v>-1200000.0000000002</v>
      </c>
      <c r="E56" s="129">
        <f t="shared" si="8"/>
        <v>0</v>
      </c>
      <c r="F56">
        <f t="shared" si="2"/>
        <v>-960000.00000000023</v>
      </c>
    </row>
    <row r="57" spans="1:6" x14ac:dyDescent="0.15">
      <c r="A57" s="130">
        <v>6002714</v>
      </c>
      <c r="B57" s="130">
        <v>1</v>
      </c>
      <c r="C57" s="112">
        <v>-1200000</v>
      </c>
      <c r="D57" s="128">
        <f t="shared" si="7"/>
        <v>-1200000.0000000002</v>
      </c>
      <c r="E57" s="129">
        <f t="shared" si="8"/>
        <v>0</v>
      </c>
      <c r="F57">
        <f t="shared" si="2"/>
        <v>-1200000.0000000002</v>
      </c>
    </row>
    <row r="58" spans="1:6" x14ac:dyDescent="0.15">
      <c r="A58" s="130">
        <v>6002714</v>
      </c>
      <c r="B58" s="130">
        <v>1.2</v>
      </c>
      <c r="C58" s="112">
        <v>-1440000</v>
      </c>
      <c r="D58" s="128">
        <f t="shared" si="7"/>
        <v>-1200000.0000000002</v>
      </c>
      <c r="E58" s="129">
        <f t="shared" si="8"/>
        <v>0</v>
      </c>
      <c r="F58">
        <f t="shared" si="2"/>
        <v>-1440000.0000000002</v>
      </c>
    </row>
    <row r="59" spans="1:6" x14ac:dyDescent="0.15">
      <c r="A59" s="130">
        <v>6002714</v>
      </c>
      <c r="B59" s="130">
        <v>1.4</v>
      </c>
      <c r="C59" s="112">
        <v>-1680000</v>
      </c>
      <c r="D59" s="128">
        <f t="shared" si="7"/>
        <v>-1199999.9999999988</v>
      </c>
      <c r="E59" s="129">
        <f t="shared" si="8"/>
        <v>0</v>
      </c>
      <c r="F59">
        <f t="shared" si="2"/>
        <v>-1679999.9999999984</v>
      </c>
    </row>
    <row r="60" spans="1:6" x14ac:dyDescent="0.15">
      <c r="A60" s="130">
        <v>6002714</v>
      </c>
      <c r="B60" s="130">
        <v>1.6</v>
      </c>
      <c r="C60" s="112">
        <v>-1920000</v>
      </c>
      <c r="D60" s="128">
        <f t="shared" si="7"/>
        <v>-1200000.0000000002</v>
      </c>
      <c r="E60" s="129">
        <f t="shared" si="8"/>
        <v>0</v>
      </c>
      <c r="F60">
        <f t="shared" si="2"/>
        <v>-1920000.0000000005</v>
      </c>
    </row>
    <row r="61" spans="1:6" x14ac:dyDescent="0.15">
      <c r="A61" s="130">
        <v>6002714</v>
      </c>
      <c r="B61" s="130">
        <v>1.8</v>
      </c>
      <c r="C61" s="112">
        <v>-2160000</v>
      </c>
      <c r="D61" s="128">
        <f>(C62-C61)/(B62-B61)</f>
        <v>-39200000.000000007</v>
      </c>
      <c r="E61" s="129">
        <f>C61-D61*B61</f>
        <v>68400000.000000015</v>
      </c>
      <c r="F61">
        <f t="shared" si="2"/>
        <v>-2160000</v>
      </c>
    </row>
    <row r="62" spans="1:6" x14ac:dyDescent="0.15">
      <c r="A62" s="130">
        <v>6002714</v>
      </c>
      <c r="B62" s="130">
        <v>2</v>
      </c>
      <c r="C62" s="112">
        <v>-10000000</v>
      </c>
      <c r="D62" s="118">
        <v>0</v>
      </c>
      <c r="E62" s="119">
        <v>-10000000</v>
      </c>
      <c r="F62">
        <f t="shared" si="2"/>
        <v>-10000000</v>
      </c>
    </row>
    <row r="63" spans="1:6" x14ac:dyDescent="0.15">
      <c r="A63" s="127">
        <v>6002715</v>
      </c>
      <c r="B63" s="127">
        <v>0</v>
      </c>
      <c r="C63" s="112">
        <v>0</v>
      </c>
      <c r="D63" s="128">
        <f t="shared" ref="D63:D79" si="9">(C64-C63)/(B64-B63)</f>
        <v>-1200000</v>
      </c>
      <c r="E63" s="129">
        <f t="shared" ref="E63:E79" si="10">C63-D63*B63</f>
        <v>0</v>
      </c>
      <c r="F63">
        <f t="shared" si="2"/>
        <v>0</v>
      </c>
    </row>
    <row r="64" spans="1:6" x14ac:dyDescent="0.15">
      <c r="A64" s="127">
        <v>6002715</v>
      </c>
      <c r="B64" s="127">
        <v>0.01</v>
      </c>
      <c r="C64" s="112">
        <v>-12000</v>
      </c>
      <c r="D64" s="128">
        <f t="shared" si="9"/>
        <v>-1200000</v>
      </c>
      <c r="E64" s="129">
        <f t="shared" si="10"/>
        <v>0</v>
      </c>
      <c r="F64">
        <f t="shared" si="2"/>
        <v>-12000</v>
      </c>
    </row>
    <row r="65" spans="1:6" x14ac:dyDescent="0.15">
      <c r="A65" s="127">
        <v>6002715</v>
      </c>
      <c r="B65" s="127">
        <v>0.05</v>
      </c>
      <c r="C65" s="112">
        <v>-60000</v>
      </c>
      <c r="D65" s="128">
        <f t="shared" si="9"/>
        <v>-1200000</v>
      </c>
      <c r="E65" s="129">
        <f t="shared" si="10"/>
        <v>0</v>
      </c>
      <c r="F65">
        <f t="shared" si="2"/>
        <v>-60000</v>
      </c>
    </row>
    <row r="66" spans="1:6" x14ac:dyDescent="0.15">
      <c r="A66" s="127">
        <v>6002715</v>
      </c>
      <c r="B66" s="127">
        <v>0.1</v>
      </c>
      <c r="C66" s="112">
        <v>-120000</v>
      </c>
      <c r="D66" s="128">
        <f t="shared" si="9"/>
        <v>-1200000</v>
      </c>
      <c r="E66" s="129">
        <f t="shared" si="10"/>
        <v>0</v>
      </c>
      <c r="F66">
        <f t="shared" si="2"/>
        <v>-120000</v>
      </c>
    </row>
    <row r="67" spans="1:6" x14ac:dyDescent="0.15">
      <c r="A67" s="127">
        <v>6002715</v>
      </c>
      <c r="B67" s="127">
        <v>0.2</v>
      </c>
      <c r="C67" s="112">
        <v>-240000</v>
      </c>
      <c r="D67" s="128">
        <f t="shared" si="9"/>
        <v>-1200000</v>
      </c>
      <c r="E67" s="129">
        <f t="shared" si="10"/>
        <v>0</v>
      </c>
      <c r="F67">
        <f t="shared" si="2"/>
        <v>-240000</v>
      </c>
    </row>
    <row r="68" spans="1:6" x14ac:dyDescent="0.15">
      <c r="A68" s="127">
        <v>6002715</v>
      </c>
      <c r="B68" s="127">
        <v>0.4</v>
      </c>
      <c r="C68" s="112">
        <v>-480000</v>
      </c>
      <c r="D68" s="128">
        <f t="shared" si="9"/>
        <v>-1200000.0000000002</v>
      </c>
      <c r="E68" s="129">
        <f t="shared" si="10"/>
        <v>0</v>
      </c>
      <c r="F68">
        <f t="shared" si="2"/>
        <v>-480000.00000000012</v>
      </c>
    </row>
    <row r="69" spans="1:6" x14ac:dyDescent="0.15">
      <c r="A69" s="127">
        <v>6002715</v>
      </c>
      <c r="B69" s="127">
        <v>0.6</v>
      </c>
      <c r="C69" s="112">
        <v>-720000</v>
      </c>
      <c r="D69" s="128">
        <f t="shared" si="9"/>
        <v>-1199999.9999999995</v>
      </c>
      <c r="E69" s="129">
        <f t="shared" si="10"/>
        <v>0</v>
      </c>
      <c r="F69">
        <f t="shared" si="2"/>
        <v>-719999.99999999965</v>
      </c>
    </row>
    <row r="70" spans="1:6" x14ac:dyDescent="0.15">
      <c r="A70" s="127">
        <v>6002715</v>
      </c>
      <c r="B70" s="127">
        <v>0.8</v>
      </c>
      <c r="C70" s="112">
        <v>-960000</v>
      </c>
      <c r="D70" s="128">
        <f t="shared" si="9"/>
        <v>-1200000.0000000002</v>
      </c>
      <c r="E70" s="129">
        <f t="shared" si="10"/>
        <v>0</v>
      </c>
      <c r="F70">
        <f t="shared" si="2"/>
        <v>-960000.00000000023</v>
      </c>
    </row>
    <row r="71" spans="1:6" x14ac:dyDescent="0.15">
      <c r="A71" s="127">
        <v>6002715</v>
      </c>
      <c r="B71" s="127">
        <v>1</v>
      </c>
      <c r="C71" s="112">
        <v>-1200000</v>
      </c>
      <c r="D71" s="128">
        <f t="shared" si="9"/>
        <v>-1200000.0000000002</v>
      </c>
      <c r="E71" s="129">
        <f t="shared" si="10"/>
        <v>0</v>
      </c>
      <c r="F71">
        <f t="shared" si="2"/>
        <v>-1200000.0000000002</v>
      </c>
    </row>
    <row r="72" spans="1:6" x14ac:dyDescent="0.15">
      <c r="A72" s="127">
        <v>6002715</v>
      </c>
      <c r="B72" s="127">
        <v>1.2</v>
      </c>
      <c r="C72" s="112">
        <v>-1440000</v>
      </c>
      <c r="D72" s="128">
        <f t="shared" si="9"/>
        <v>-1200000.0000000002</v>
      </c>
      <c r="E72" s="129">
        <f t="shared" si="10"/>
        <v>0</v>
      </c>
      <c r="F72">
        <f t="shared" ref="F72:F76" si="11">B72*D72+E72</f>
        <v>-1440000.0000000002</v>
      </c>
    </row>
    <row r="73" spans="1:6" x14ac:dyDescent="0.15">
      <c r="A73" s="127">
        <v>6002715</v>
      </c>
      <c r="B73" s="127">
        <v>1.4</v>
      </c>
      <c r="C73" s="112">
        <v>-1680000</v>
      </c>
      <c r="D73" s="128">
        <f t="shared" si="9"/>
        <v>-1199999.9999999988</v>
      </c>
      <c r="E73" s="129">
        <f t="shared" si="10"/>
        <v>0</v>
      </c>
      <c r="F73">
        <f t="shared" si="11"/>
        <v>-1679999.9999999984</v>
      </c>
    </row>
    <row r="74" spans="1:6" x14ac:dyDescent="0.15">
      <c r="A74" s="127">
        <v>6002715</v>
      </c>
      <c r="B74" s="127">
        <v>1.6</v>
      </c>
      <c r="C74" s="112">
        <v>-1920000</v>
      </c>
      <c r="D74" s="128">
        <f t="shared" si="9"/>
        <v>-1200000.0000000002</v>
      </c>
      <c r="E74" s="129">
        <f t="shared" si="10"/>
        <v>0</v>
      </c>
      <c r="F74">
        <f t="shared" si="11"/>
        <v>-1920000.0000000005</v>
      </c>
    </row>
    <row r="75" spans="1:6" x14ac:dyDescent="0.15">
      <c r="A75" s="127">
        <v>6002715</v>
      </c>
      <c r="B75" s="127">
        <v>1.8</v>
      </c>
      <c r="C75" s="112">
        <v>-2160000</v>
      </c>
      <c r="D75" s="128">
        <f t="shared" si="9"/>
        <v>-1200000.0000000002</v>
      </c>
      <c r="E75" s="129">
        <f t="shared" si="10"/>
        <v>0</v>
      </c>
      <c r="F75">
        <f t="shared" si="11"/>
        <v>-2160000.0000000005</v>
      </c>
    </row>
    <row r="76" spans="1:6" x14ac:dyDescent="0.15">
      <c r="A76" s="127">
        <v>6002715</v>
      </c>
      <c r="B76" s="127">
        <v>2</v>
      </c>
      <c r="C76" s="112">
        <v>-2400000</v>
      </c>
      <c r="D76" s="128">
        <f t="shared" si="9"/>
        <v>-1199999.9999999988</v>
      </c>
      <c r="E76" s="129">
        <f t="shared" si="10"/>
        <v>0</v>
      </c>
      <c r="F76">
        <f t="shared" si="11"/>
        <v>-2399999.9999999977</v>
      </c>
    </row>
    <row r="77" spans="1:6" x14ac:dyDescent="0.15">
      <c r="A77" s="127">
        <v>6002715</v>
      </c>
      <c r="B77" s="127">
        <v>2.2000000000000002</v>
      </c>
      <c r="C77" s="112">
        <v>-2640000</v>
      </c>
      <c r="D77" s="128">
        <f t="shared" si="9"/>
        <v>-1200000.0000000016</v>
      </c>
      <c r="E77" s="129">
        <f t="shared" si="10"/>
        <v>3.7252902984619141E-9</v>
      </c>
      <c r="F77">
        <f>B77*D77+E77</f>
        <v>-2640000</v>
      </c>
    </row>
    <row r="78" spans="1:6" x14ac:dyDescent="0.15">
      <c r="A78" s="127">
        <v>6002715</v>
      </c>
      <c r="B78" s="127">
        <v>2.4</v>
      </c>
      <c r="C78" s="112">
        <v>-2880000</v>
      </c>
      <c r="D78" s="128">
        <f t="shared" si="9"/>
        <v>-1199999.9999999988</v>
      </c>
      <c r="E78" s="129">
        <f t="shared" si="10"/>
        <v>0</v>
      </c>
      <c r="F78">
        <f>B78*D78+E78</f>
        <v>-2879999.9999999972</v>
      </c>
    </row>
    <row r="79" spans="1:6" x14ac:dyDescent="0.15">
      <c r="A79" s="127">
        <v>6002715</v>
      </c>
      <c r="B79" s="127">
        <v>2.6</v>
      </c>
      <c r="C79" s="112">
        <v>-3120000</v>
      </c>
      <c r="D79" s="128">
        <f t="shared" si="9"/>
        <v>-1200000.0000000016</v>
      </c>
      <c r="E79" s="129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27">
        <v>6002715</v>
      </c>
      <c r="B80" s="127">
        <v>2.8</v>
      </c>
      <c r="C80" s="112">
        <v>-3360000</v>
      </c>
      <c r="D80" s="128">
        <f>(C81-C80)/(B81-B80)</f>
        <v>-33199999.99999997</v>
      </c>
      <c r="E80" s="129">
        <f>C80-D80*B80</f>
        <v>89599999.999999911</v>
      </c>
      <c r="F80">
        <f t="shared" si="12"/>
        <v>-3360000</v>
      </c>
    </row>
    <row r="81" spans="1:6" x14ac:dyDescent="0.15">
      <c r="A81" s="127">
        <v>6002715</v>
      </c>
      <c r="B81" s="127">
        <v>3</v>
      </c>
      <c r="C81" s="112">
        <v>-10000000</v>
      </c>
      <c r="D81" s="115">
        <v>0</v>
      </c>
      <c r="E81" s="116">
        <v>-10000000</v>
      </c>
      <c r="F81">
        <f t="shared" si="12"/>
        <v>-10000000</v>
      </c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8" sqref="A8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1" t="s">
        <v>281</v>
      </c>
      <c r="B1" s="131" t="s">
        <v>151</v>
      </c>
      <c r="C1" s="131" t="s">
        <v>152</v>
      </c>
      <c r="D1" s="131" t="s">
        <v>282</v>
      </c>
      <c r="E1" s="132" t="s">
        <v>127</v>
      </c>
      <c r="F1" s="132" t="s">
        <v>283</v>
      </c>
      <c r="G1" s="132" t="s">
        <v>284</v>
      </c>
    </row>
    <row r="2" spans="1:7" x14ac:dyDescent="0.15">
      <c r="A2" s="133">
        <v>2701</v>
      </c>
      <c r="B2" s="133">
        <v>60027</v>
      </c>
      <c r="C2" s="133">
        <v>1</v>
      </c>
      <c r="D2" s="133">
        <v>10000000</v>
      </c>
      <c r="E2" s="133" t="s">
        <v>285</v>
      </c>
      <c r="F2" s="133" t="s">
        <v>286</v>
      </c>
      <c r="G2" s="133" t="s">
        <v>287</v>
      </c>
    </row>
    <row r="3" spans="1:7" x14ac:dyDescent="0.15">
      <c r="A3" s="133">
        <v>2702</v>
      </c>
      <c r="B3" s="133">
        <v>60027</v>
      </c>
      <c r="C3" s="133">
        <v>1</v>
      </c>
      <c r="D3" s="133">
        <v>8500000</v>
      </c>
      <c r="E3" s="133" t="s">
        <v>285</v>
      </c>
      <c r="F3" s="133" t="s">
        <v>288</v>
      </c>
      <c r="G3" s="133" t="s">
        <v>289</v>
      </c>
    </row>
    <row r="4" spans="1:7" x14ac:dyDescent="0.15">
      <c r="A4" s="133">
        <v>2703</v>
      </c>
      <c r="B4" s="133">
        <v>60027</v>
      </c>
      <c r="C4" s="133">
        <v>1</v>
      </c>
      <c r="D4" s="133">
        <v>7000000</v>
      </c>
      <c r="E4" s="133" t="s">
        <v>285</v>
      </c>
      <c r="F4" s="133" t="s">
        <v>290</v>
      </c>
      <c r="G4" s="133" t="s">
        <v>291</v>
      </c>
    </row>
    <row r="5" spans="1:7" x14ac:dyDescent="0.15">
      <c r="A5" s="133">
        <v>2704</v>
      </c>
      <c r="B5" s="133">
        <v>60027</v>
      </c>
      <c r="C5" s="133">
        <v>1</v>
      </c>
      <c r="D5" s="133">
        <v>5500000</v>
      </c>
      <c r="E5" s="133" t="s">
        <v>285</v>
      </c>
      <c r="F5" s="133" t="s">
        <v>292</v>
      </c>
      <c r="G5" s="133" t="s">
        <v>293</v>
      </c>
    </row>
    <row r="6" spans="1:7" x14ac:dyDescent="0.15">
      <c r="A6" s="133">
        <v>2705</v>
      </c>
      <c r="B6" s="133">
        <v>60027</v>
      </c>
      <c r="C6" s="133">
        <v>1</v>
      </c>
      <c r="D6" s="133">
        <v>4000000</v>
      </c>
      <c r="E6" s="133" t="s">
        <v>285</v>
      </c>
      <c r="F6" s="133" t="s">
        <v>294</v>
      </c>
      <c r="G6" s="133" t="s">
        <v>295</v>
      </c>
    </row>
    <row r="7" spans="1:7" x14ac:dyDescent="0.15">
      <c r="A7" s="133">
        <v>2706</v>
      </c>
      <c r="B7" s="133">
        <v>60027</v>
      </c>
      <c r="C7" s="133">
        <v>1</v>
      </c>
      <c r="D7" s="133">
        <v>3000000</v>
      </c>
      <c r="E7" s="133" t="s">
        <v>285</v>
      </c>
      <c r="F7" s="133" t="s">
        <v>296</v>
      </c>
      <c r="G7" s="133" t="s">
        <v>297</v>
      </c>
    </row>
    <row r="8" spans="1:7" x14ac:dyDescent="0.15">
      <c r="A8" s="133">
        <v>2707</v>
      </c>
      <c r="B8" s="133">
        <v>60027</v>
      </c>
      <c r="C8" s="133">
        <v>1</v>
      </c>
      <c r="D8" s="133">
        <v>2000000</v>
      </c>
      <c r="E8" s="133" t="s">
        <v>285</v>
      </c>
      <c r="F8" s="133" t="s">
        <v>298</v>
      </c>
      <c r="G8" s="133" t="s">
        <v>299</v>
      </c>
    </row>
    <row r="9" spans="1:7" x14ac:dyDescent="0.15">
      <c r="A9" s="133">
        <v>2708</v>
      </c>
      <c r="B9" s="133">
        <v>60027</v>
      </c>
      <c r="C9" s="133">
        <v>1</v>
      </c>
      <c r="D9" s="133">
        <v>0</v>
      </c>
      <c r="E9" s="133" t="s">
        <v>285</v>
      </c>
      <c r="F9" s="133" t="s">
        <v>300</v>
      </c>
      <c r="G9" s="133" t="s">
        <v>301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zoomScale="120" zoomScaleNormal="120" zoomScalePageLayoutView="12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2" sqref="K12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9.5" bestFit="1" customWidth="1"/>
    <col min="5" max="5" width="10.66406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9.33203125" bestFit="1" customWidth="1"/>
    <col min="18" max="18" width="25.1640625" bestFit="1" customWidth="1"/>
    <col min="19" max="19" width="17.33203125" bestFit="1" customWidth="1"/>
    <col min="20" max="20" width="7.5" bestFit="1" customWidth="1"/>
  </cols>
  <sheetData>
    <row r="1" spans="1:20" x14ac:dyDescent="0.15">
      <c r="A1" s="58" t="s">
        <v>257</v>
      </c>
      <c r="B1" s="58" t="s">
        <v>402</v>
      </c>
      <c r="C1" s="58" t="s">
        <v>403</v>
      </c>
      <c r="D1" s="58" t="s">
        <v>404</v>
      </c>
      <c r="E1" s="106" t="s">
        <v>405</v>
      </c>
      <c r="F1" s="99" t="s">
        <v>406</v>
      </c>
      <c r="G1" s="99" t="s">
        <v>407</v>
      </c>
      <c r="H1" s="99" t="s">
        <v>408</v>
      </c>
      <c r="I1" s="99" t="s">
        <v>409</v>
      </c>
      <c r="J1" s="99" t="s">
        <v>410</v>
      </c>
      <c r="K1" s="100" t="s">
        <v>411</v>
      </c>
      <c r="L1" s="100" t="s">
        <v>412</v>
      </c>
      <c r="M1" s="100" t="s">
        <v>413</v>
      </c>
      <c r="N1" s="100" t="s">
        <v>414</v>
      </c>
      <c r="O1" s="100" t="s">
        <v>415</v>
      </c>
      <c r="P1" s="100" t="s">
        <v>416</v>
      </c>
      <c r="Q1" s="100" t="s">
        <v>417</v>
      </c>
      <c r="R1" s="100" t="s">
        <v>418</v>
      </c>
      <c r="S1" s="100" t="s">
        <v>419</v>
      </c>
      <c r="T1" s="100" t="s">
        <v>420</v>
      </c>
    </row>
    <row r="2" spans="1:20" ht="28" x14ac:dyDescent="0.15">
      <c r="A2" s="133">
        <v>2701</v>
      </c>
      <c r="B2" s="133">
        <v>60027</v>
      </c>
      <c r="C2" s="133">
        <v>1</v>
      </c>
      <c r="D2" s="133">
        <v>10000000</v>
      </c>
      <c r="E2" s="142">
        <v>60027201</v>
      </c>
      <c r="F2" s="143" t="s">
        <v>421</v>
      </c>
      <c r="G2" s="143">
        <v>837</v>
      </c>
      <c r="H2" s="143">
        <v>1</v>
      </c>
      <c r="I2" s="143">
        <v>0</v>
      </c>
      <c r="J2" s="143">
        <v>0</v>
      </c>
      <c r="K2" s="143">
        <v>0</v>
      </c>
      <c r="L2" s="143">
        <v>0</v>
      </c>
      <c r="M2" s="143">
        <v>1</v>
      </c>
      <c r="N2" s="143">
        <v>1</v>
      </c>
      <c r="O2" s="143">
        <v>1</v>
      </c>
      <c r="P2" s="143" t="s">
        <v>422</v>
      </c>
      <c r="Q2" s="143" t="s">
        <v>423</v>
      </c>
      <c r="R2" s="143" t="s">
        <v>424</v>
      </c>
      <c r="S2" s="144" t="s">
        <v>425</v>
      </c>
      <c r="T2" s="57">
        <v>1</v>
      </c>
    </row>
    <row r="3" spans="1:20" ht="28" x14ac:dyDescent="0.15">
      <c r="A3" s="133">
        <v>2701</v>
      </c>
      <c r="B3" s="133">
        <v>60027</v>
      </c>
      <c r="C3" s="133">
        <v>1</v>
      </c>
      <c r="D3" s="133">
        <v>10000000</v>
      </c>
      <c r="E3" s="142">
        <v>60027202</v>
      </c>
      <c r="F3" s="143" t="s">
        <v>363</v>
      </c>
      <c r="G3" s="143">
        <v>1</v>
      </c>
      <c r="H3" s="143">
        <v>2</v>
      </c>
      <c r="I3" s="143">
        <v>0</v>
      </c>
      <c r="J3" s="143">
        <v>0</v>
      </c>
      <c r="K3" s="143">
        <v>0</v>
      </c>
      <c r="L3" s="143">
        <v>0</v>
      </c>
      <c r="M3" s="143">
        <v>1</v>
      </c>
      <c r="N3" s="143">
        <v>1</v>
      </c>
      <c r="O3" s="143">
        <v>1</v>
      </c>
      <c r="P3" s="143" t="s">
        <v>233</v>
      </c>
      <c r="Q3" s="143" t="s">
        <v>471</v>
      </c>
      <c r="R3" s="143" t="s">
        <v>424</v>
      </c>
      <c r="S3" s="144" t="s">
        <v>425</v>
      </c>
      <c r="T3" s="57">
        <v>1</v>
      </c>
    </row>
    <row r="4" spans="1:20" ht="28" x14ac:dyDescent="0.15">
      <c r="A4" s="133">
        <v>2701</v>
      </c>
      <c r="B4" s="133">
        <v>60027</v>
      </c>
      <c r="C4" s="133">
        <v>1</v>
      </c>
      <c r="D4" s="133">
        <v>10000000</v>
      </c>
      <c r="E4" s="142">
        <v>60027203</v>
      </c>
      <c r="F4" s="143" t="s">
        <v>232</v>
      </c>
      <c r="G4" s="143">
        <v>614</v>
      </c>
      <c r="H4" s="143">
        <v>1</v>
      </c>
      <c r="I4" s="143">
        <v>0</v>
      </c>
      <c r="J4" s="143">
        <v>0</v>
      </c>
      <c r="K4" s="143">
        <v>0</v>
      </c>
      <c r="L4" s="143">
        <v>0</v>
      </c>
      <c r="M4" s="143">
        <v>1</v>
      </c>
      <c r="N4" s="143">
        <v>1</v>
      </c>
      <c r="O4" s="143">
        <v>1</v>
      </c>
      <c r="P4" s="143" t="s">
        <v>233</v>
      </c>
      <c r="Q4" s="143" t="s">
        <v>426</v>
      </c>
      <c r="R4" s="143" t="s">
        <v>424</v>
      </c>
      <c r="S4" s="144" t="s">
        <v>425</v>
      </c>
      <c r="T4" s="57">
        <v>1</v>
      </c>
    </row>
    <row r="5" spans="1:20" ht="28" x14ac:dyDescent="0.15">
      <c r="A5" s="133">
        <v>2702</v>
      </c>
      <c r="B5" s="133">
        <v>60027</v>
      </c>
      <c r="C5" s="133">
        <v>1</v>
      </c>
      <c r="D5" s="133">
        <v>8500000</v>
      </c>
      <c r="E5" s="142">
        <v>60027204</v>
      </c>
      <c r="F5" s="143" t="s">
        <v>427</v>
      </c>
      <c r="G5" s="143">
        <v>600</v>
      </c>
      <c r="H5" s="143">
        <v>1</v>
      </c>
      <c r="I5" s="143">
        <v>0</v>
      </c>
      <c r="J5" s="143">
        <v>0</v>
      </c>
      <c r="K5" s="143">
        <v>0</v>
      </c>
      <c r="L5" s="143">
        <v>0</v>
      </c>
      <c r="M5" s="143">
        <v>1</v>
      </c>
      <c r="N5" s="143">
        <v>1</v>
      </c>
      <c r="O5" s="143">
        <v>1</v>
      </c>
      <c r="P5" s="143" t="s">
        <v>422</v>
      </c>
      <c r="Q5" s="143" t="s">
        <v>428</v>
      </c>
      <c r="R5" s="143" t="s">
        <v>424</v>
      </c>
      <c r="S5" s="144" t="s">
        <v>425</v>
      </c>
      <c r="T5" s="57">
        <v>1</v>
      </c>
    </row>
    <row r="6" spans="1:20" ht="28" x14ac:dyDescent="0.15">
      <c r="A6" s="133">
        <v>2703</v>
      </c>
      <c r="B6" s="133">
        <v>60027</v>
      </c>
      <c r="C6" s="133">
        <v>1</v>
      </c>
      <c r="D6" s="133">
        <v>7000000</v>
      </c>
      <c r="E6" s="142">
        <v>60027205</v>
      </c>
      <c r="F6" s="143" t="s">
        <v>367</v>
      </c>
      <c r="G6" s="143">
        <v>3</v>
      </c>
      <c r="H6" s="143" t="s">
        <v>53</v>
      </c>
      <c r="I6" s="143">
        <v>0</v>
      </c>
      <c r="J6" s="143">
        <v>0</v>
      </c>
      <c r="K6" s="143">
        <v>0</v>
      </c>
      <c r="L6" s="143">
        <v>0</v>
      </c>
      <c r="M6" s="143">
        <v>1</v>
      </c>
      <c r="N6" s="143">
        <v>1</v>
      </c>
      <c r="O6" s="143">
        <v>1</v>
      </c>
      <c r="P6" s="143" t="s">
        <v>422</v>
      </c>
      <c r="Q6" s="143" t="s">
        <v>472</v>
      </c>
      <c r="R6" s="143" t="s">
        <v>424</v>
      </c>
      <c r="S6" s="144" t="s">
        <v>425</v>
      </c>
      <c r="T6" s="57">
        <v>1</v>
      </c>
    </row>
    <row r="7" spans="1:20" ht="28" x14ac:dyDescent="0.15">
      <c r="A7" s="133">
        <v>2704</v>
      </c>
      <c r="B7" s="133">
        <v>60027</v>
      </c>
      <c r="C7" s="133">
        <v>1</v>
      </c>
      <c r="D7" s="133">
        <v>5500000</v>
      </c>
      <c r="E7" s="142">
        <v>60027206</v>
      </c>
      <c r="F7" s="143" t="s">
        <v>363</v>
      </c>
      <c r="G7" s="143">
        <v>4</v>
      </c>
      <c r="H7" s="143">
        <v>2</v>
      </c>
      <c r="I7" s="143">
        <v>0</v>
      </c>
      <c r="J7" s="143">
        <v>0</v>
      </c>
      <c r="K7" s="143">
        <v>0</v>
      </c>
      <c r="L7" s="143">
        <v>0</v>
      </c>
      <c r="M7" s="143">
        <v>1</v>
      </c>
      <c r="N7" s="143">
        <v>1</v>
      </c>
      <c r="O7" s="143">
        <v>1</v>
      </c>
      <c r="P7" s="143" t="s">
        <v>233</v>
      </c>
      <c r="Q7" s="143" t="s">
        <v>473</v>
      </c>
      <c r="R7" s="143" t="s">
        <v>424</v>
      </c>
      <c r="S7" s="144" t="s">
        <v>425</v>
      </c>
      <c r="T7" s="57">
        <v>1</v>
      </c>
    </row>
    <row r="8" spans="1:20" ht="28" x14ac:dyDescent="0.15">
      <c r="A8" s="133">
        <v>2705</v>
      </c>
      <c r="B8" s="133">
        <v>60027</v>
      </c>
      <c r="C8" s="133">
        <v>1</v>
      </c>
      <c r="D8" s="133">
        <v>4000000</v>
      </c>
      <c r="E8" s="142">
        <v>60027207</v>
      </c>
      <c r="F8" s="143" t="s">
        <v>363</v>
      </c>
      <c r="G8" s="143">
        <v>2</v>
      </c>
      <c r="H8" s="143">
        <v>2</v>
      </c>
      <c r="I8" s="143">
        <v>0</v>
      </c>
      <c r="J8" s="143">
        <v>0</v>
      </c>
      <c r="K8" s="143">
        <v>0</v>
      </c>
      <c r="L8" s="143">
        <v>0</v>
      </c>
      <c r="M8" s="143">
        <v>1</v>
      </c>
      <c r="N8" s="143">
        <v>1</v>
      </c>
      <c r="O8" s="143">
        <v>1</v>
      </c>
      <c r="P8" s="143" t="s">
        <v>233</v>
      </c>
      <c r="Q8" s="143" t="s">
        <v>475</v>
      </c>
      <c r="R8" s="143" t="s">
        <v>424</v>
      </c>
      <c r="S8" s="144" t="s">
        <v>425</v>
      </c>
      <c r="T8" s="57">
        <v>1</v>
      </c>
    </row>
    <row r="9" spans="1:20" ht="28" x14ac:dyDescent="0.15">
      <c r="A9" s="133">
        <v>2706</v>
      </c>
      <c r="B9" s="133">
        <v>60027</v>
      </c>
      <c r="C9" s="133">
        <v>1</v>
      </c>
      <c r="D9" s="57">
        <v>3000000</v>
      </c>
      <c r="E9" s="142">
        <v>60027208</v>
      </c>
      <c r="F9" s="143" t="s">
        <v>363</v>
      </c>
      <c r="G9" s="143">
        <v>3</v>
      </c>
      <c r="H9" s="143">
        <v>2</v>
      </c>
      <c r="I9" s="143">
        <v>0</v>
      </c>
      <c r="J9" s="143">
        <v>0</v>
      </c>
      <c r="K9" s="143">
        <v>0</v>
      </c>
      <c r="L9" s="143">
        <v>0</v>
      </c>
      <c r="M9" s="143">
        <v>1</v>
      </c>
      <c r="N9" s="143">
        <v>1</v>
      </c>
      <c r="O9" s="143">
        <v>1</v>
      </c>
      <c r="P9" s="143" t="s">
        <v>233</v>
      </c>
      <c r="Q9" s="143" t="s">
        <v>476</v>
      </c>
      <c r="R9" s="143" t="s">
        <v>424</v>
      </c>
      <c r="S9" s="144" t="s">
        <v>425</v>
      </c>
      <c r="T9" s="57">
        <v>1</v>
      </c>
    </row>
    <row r="10" spans="1:20" ht="28" x14ac:dyDescent="0.15">
      <c r="A10" s="133">
        <v>2707</v>
      </c>
      <c r="B10" s="133">
        <v>60027</v>
      </c>
      <c r="C10" s="133">
        <v>1</v>
      </c>
      <c r="D10" s="57">
        <v>2000000</v>
      </c>
      <c r="E10" s="142">
        <v>60027209</v>
      </c>
      <c r="F10" s="143" t="s">
        <v>367</v>
      </c>
      <c r="G10" s="143">
        <v>2</v>
      </c>
      <c r="H10" s="143" t="s">
        <v>53</v>
      </c>
      <c r="I10" s="143">
        <v>0</v>
      </c>
      <c r="J10" s="143">
        <v>0</v>
      </c>
      <c r="K10" s="143">
        <v>0</v>
      </c>
      <c r="L10" s="143">
        <v>0</v>
      </c>
      <c r="M10" s="143">
        <v>1</v>
      </c>
      <c r="N10" s="143">
        <v>1</v>
      </c>
      <c r="O10" s="143">
        <v>1</v>
      </c>
      <c r="P10" s="143" t="s">
        <v>233</v>
      </c>
      <c r="Q10" s="143" t="s">
        <v>477</v>
      </c>
      <c r="R10" s="143" t="s">
        <v>424</v>
      </c>
      <c r="S10" s="144" t="s">
        <v>425</v>
      </c>
      <c r="T10" s="57">
        <v>1</v>
      </c>
    </row>
    <row r="11" spans="1:20" ht="28" x14ac:dyDescent="0.15">
      <c r="A11" s="133">
        <v>2707</v>
      </c>
      <c r="B11" s="133">
        <v>60027</v>
      </c>
      <c r="C11" s="133">
        <v>1</v>
      </c>
      <c r="D11" s="57">
        <v>2000000</v>
      </c>
      <c r="E11" s="142">
        <v>60027210</v>
      </c>
      <c r="F11" s="143" t="s">
        <v>393</v>
      </c>
      <c r="G11" s="143">
        <v>200000</v>
      </c>
      <c r="H11" s="143" t="s">
        <v>53</v>
      </c>
      <c r="I11" s="143">
        <v>0</v>
      </c>
      <c r="J11" s="143">
        <v>0</v>
      </c>
      <c r="K11" s="143">
        <v>0</v>
      </c>
      <c r="L11" s="143">
        <v>0</v>
      </c>
      <c r="M11" s="143">
        <v>1</v>
      </c>
      <c r="N11" s="143">
        <v>1</v>
      </c>
      <c r="O11" s="143">
        <v>1</v>
      </c>
      <c r="P11" s="143" t="s">
        <v>233</v>
      </c>
      <c r="Q11" s="147" t="s">
        <v>479</v>
      </c>
      <c r="R11" s="143" t="s">
        <v>424</v>
      </c>
      <c r="S11" s="144" t="s">
        <v>425</v>
      </c>
      <c r="T11" s="57">
        <v>1</v>
      </c>
    </row>
    <row r="12" spans="1:20" ht="28" x14ac:dyDescent="0.15">
      <c r="A12" s="133">
        <v>2707</v>
      </c>
      <c r="B12" s="133">
        <v>60027</v>
      </c>
      <c r="C12" s="133">
        <v>1</v>
      </c>
      <c r="D12" s="57">
        <v>2000000</v>
      </c>
      <c r="E12" s="142">
        <v>60027211</v>
      </c>
      <c r="F12" s="143" t="s">
        <v>386</v>
      </c>
      <c r="G12" s="143">
        <v>2000</v>
      </c>
      <c r="H12" s="143" t="s">
        <v>53</v>
      </c>
      <c r="I12" s="143">
        <v>0</v>
      </c>
      <c r="J12" s="143">
        <v>0</v>
      </c>
      <c r="K12" s="143">
        <v>0</v>
      </c>
      <c r="L12" s="143">
        <v>0</v>
      </c>
      <c r="M12" s="143">
        <v>1</v>
      </c>
      <c r="N12" s="143">
        <v>1</v>
      </c>
      <c r="O12" s="143">
        <v>1</v>
      </c>
      <c r="P12" s="143" t="s">
        <v>233</v>
      </c>
      <c r="Q12" s="147" t="s">
        <v>478</v>
      </c>
      <c r="R12" s="143" t="s">
        <v>424</v>
      </c>
      <c r="S12" s="144" t="s">
        <v>425</v>
      </c>
      <c r="T12" s="57">
        <v>1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17" sqref="A17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16</v>
      </c>
      <c r="C1" s="78" t="s">
        <v>33</v>
      </c>
      <c r="D1" s="73" t="s">
        <v>221</v>
      </c>
      <c r="E1" s="73" t="s">
        <v>222</v>
      </c>
      <c r="F1" s="101" t="s">
        <v>231</v>
      </c>
      <c r="G1" s="98" t="s">
        <v>223</v>
      </c>
      <c r="H1" s="99" t="s">
        <v>224</v>
      </c>
      <c r="I1" s="99" t="s">
        <v>225</v>
      </c>
      <c r="J1" s="99" t="s">
        <v>226</v>
      </c>
      <c r="K1" s="99" t="s">
        <v>267</v>
      </c>
      <c r="L1" s="99" t="s">
        <v>268</v>
      </c>
      <c r="M1" s="100" t="s">
        <v>269</v>
      </c>
      <c r="N1" s="100" t="s">
        <v>270</v>
      </c>
      <c r="O1" s="100" t="s">
        <v>271</v>
      </c>
      <c r="P1" s="100" t="s">
        <v>273</v>
      </c>
      <c r="Q1" s="100" t="s">
        <v>274</v>
      </c>
      <c r="R1" s="100" t="s">
        <v>227</v>
      </c>
      <c r="S1" s="100" t="s">
        <v>228</v>
      </c>
      <c r="T1" s="100" t="s">
        <v>229</v>
      </c>
      <c r="U1" s="100" t="s">
        <v>230</v>
      </c>
    </row>
    <row r="2" spans="1:21" s="138" customFormat="1" ht="28" x14ac:dyDescent="0.15">
      <c r="A2" s="134">
        <v>60027</v>
      </c>
      <c r="B2" s="135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35" t="str">
        <f ca="1">VLOOKUP($A2,OFFSET([2]quests!$A$1,0,0,COUNTA([2]quests!$A:$A),MATCH(C$1,[2]quests!$1:$1,0)-MATCH($A$1,[2]quests!$1:$1,0)+1),MATCH(C$1,[2]quests!$1:$1,0)-MATCH($A$1,[2]quests!$1:$1,0)+1,FALSE)</f>
        <v>ランキング6（再開催）</v>
      </c>
      <c r="D2" s="134">
        <v>1</v>
      </c>
      <c r="E2" s="136">
        <v>1</v>
      </c>
      <c r="F2" s="137" t="str">
        <f>A2&amp;TEXT(E2,"0000")</f>
        <v>600270001</v>
      </c>
      <c r="G2" s="138" t="str">
        <f>F2&amp;TEXT(COUNTIF(F$2:F2,F2),"00")</f>
        <v>60027000101</v>
      </c>
      <c r="H2" s="139" t="s">
        <v>363</v>
      </c>
      <c r="I2" s="139">
        <v>602</v>
      </c>
      <c r="J2" s="139">
        <v>1</v>
      </c>
      <c r="K2" s="139">
        <v>0</v>
      </c>
      <c r="L2" s="139">
        <v>0</v>
      </c>
      <c r="M2" s="139">
        <v>0</v>
      </c>
      <c r="N2" s="139">
        <v>0</v>
      </c>
      <c r="O2" s="139">
        <v>1</v>
      </c>
      <c r="P2" s="139">
        <v>1</v>
      </c>
      <c r="Q2" s="139">
        <v>1</v>
      </c>
      <c r="R2" s="139" t="s">
        <v>233</v>
      </c>
      <c r="S2" s="139" t="s">
        <v>364</v>
      </c>
      <c r="T2" s="139" t="s">
        <v>365</v>
      </c>
      <c r="U2" s="140" t="s">
        <v>400</v>
      </c>
    </row>
    <row r="3" spans="1:21" s="138" customFormat="1" ht="28" x14ac:dyDescent="0.15">
      <c r="A3" s="134">
        <v>60027</v>
      </c>
      <c r="B3" s="135" t="str">
        <f ca="1">VLOOKUP($A3,OFFSET([2]quests!$A$1,0,0,COUNTA([2]quests!$A:$A),MATCH(B$1,[2]quests!$1:$1,0)-MATCH($A$1,[2]quests!$1:$1,0)+1),MATCH(B$1,[2]quests!$1:$1,0)-MATCH($A$1,[2]quests!$1:$1,0)+1,FALSE)</f>
        <v>チューリングチャレンジ</v>
      </c>
      <c r="C3" s="135" t="str">
        <f ca="1">VLOOKUP($A3,OFFSET([2]quests!$A$1,0,0,COUNTA([2]quests!$A:$A),MATCH(C$1,[2]quests!$1:$1,0)-MATCH($A$1,[2]quests!$1:$1,0)+1),MATCH(C$1,[2]quests!$1:$1,0)-MATCH($A$1,[2]quests!$1:$1,0)+1,FALSE)</f>
        <v>ランキング6（再開催）</v>
      </c>
      <c r="D3" s="134">
        <v>1</v>
      </c>
      <c r="E3" s="136">
        <v>1</v>
      </c>
      <c r="F3" s="137" t="str">
        <f t="shared" ref="F3:F6" si="0">A3&amp;TEXT(E3,"0000")</f>
        <v>600270001</v>
      </c>
      <c r="G3" s="138" t="str">
        <f>F3&amp;TEXT(COUNTIF(F$2:F3,F3),"00")</f>
        <v>60027000102</v>
      </c>
      <c r="H3" s="139" t="s">
        <v>363</v>
      </c>
      <c r="I3" s="139">
        <v>600</v>
      </c>
      <c r="J3" s="139">
        <v>2</v>
      </c>
      <c r="K3" s="139">
        <v>0</v>
      </c>
      <c r="L3" s="139">
        <v>0</v>
      </c>
      <c r="M3" s="139">
        <v>0</v>
      </c>
      <c r="N3" s="139">
        <v>0</v>
      </c>
      <c r="O3" s="139">
        <v>1</v>
      </c>
      <c r="P3" s="139">
        <v>1</v>
      </c>
      <c r="Q3" s="139">
        <v>1</v>
      </c>
      <c r="R3" s="139" t="s">
        <v>233</v>
      </c>
      <c r="S3" s="139" t="s">
        <v>366</v>
      </c>
      <c r="T3" s="139" t="s">
        <v>365</v>
      </c>
      <c r="U3" s="140" t="s">
        <v>400</v>
      </c>
    </row>
    <row r="4" spans="1:21" s="138" customFormat="1" ht="28" x14ac:dyDescent="0.15">
      <c r="A4" s="134">
        <v>60027</v>
      </c>
      <c r="B4" s="135" t="str">
        <f ca="1">VLOOKUP($A4,OFFSET([2]quests!$A$1,0,0,COUNTA([2]quests!$A:$A),MATCH(B$1,[2]quests!$1:$1,0)-MATCH($A$1,[2]quests!$1:$1,0)+1),MATCH(B$1,[2]quests!$1:$1,0)-MATCH($A$1,[2]quests!$1:$1,0)+1,FALSE)</f>
        <v>チューリングチャレンジ</v>
      </c>
      <c r="C4" s="135" t="str">
        <f ca="1">VLOOKUP($A4,OFFSET([2]quests!$A$1,0,0,COUNTA([2]quests!$A:$A),MATCH(C$1,[2]quests!$1:$1,0)-MATCH($A$1,[2]quests!$1:$1,0)+1),MATCH(C$1,[2]quests!$1:$1,0)-MATCH($A$1,[2]quests!$1:$1,0)+1,FALSE)</f>
        <v>ランキング6（再開催）</v>
      </c>
      <c r="D4" s="134">
        <v>1</v>
      </c>
      <c r="E4" s="136">
        <v>1</v>
      </c>
      <c r="F4" s="137" t="str">
        <f t="shared" si="0"/>
        <v>600270001</v>
      </c>
      <c r="G4" s="138" t="str">
        <f>F4&amp;TEXT(COUNTIF(F$2:F4,F4),"00")</f>
        <v>60027000103</v>
      </c>
      <c r="H4" s="139" t="s">
        <v>368</v>
      </c>
      <c r="I4" s="139">
        <v>10</v>
      </c>
      <c r="J4" s="139" t="s">
        <v>369</v>
      </c>
      <c r="K4" s="139">
        <v>0</v>
      </c>
      <c r="L4" s="139">
        <v>0</v>
      </c>
      <c r="M4" s="139">
        <v>0</v>
      </c>
      <c r="N4" s="139">
        <v>0</v>
      </c>
      <c r="O4" s="139">
        <v>1</v>
      </c>
      <c r="P4" s="139">
        <v>1</v>
      </c>
      <c r="Q4" s="139">
        <v>1</v>
      </c>
      <c r="R4" s="139" t="s">
        <v>370</v>
      </c>
      <c r="S4" s="139" t="s">
        <v>371</v>
      </c>
      <c r="T4" s="139" t="s">
        <v>365</v>
      </c>
      <c r="U4" s="140" t="s">
        <v>400</v>
      </c>
    </row>
    <row r="5" spans="1:21" s="138" customFormat="1" ht="28" x14ac:dyDescent="0.15">
      <c r="A5" s="134">
        <v>60027</v>
      </c>
      <c r="B5" s="135" t="str">
        <f ca="1">VLOOKUP($A5,OFFSET([2]quests!$A$1,0,0,COUNTA([2]quests!$A:$A),MATCH(B$1,[2]quests!$1:$1,0)-MATCH($A$1,[2]quests!$1:$1,0)+1),MATCH(B$1,[2]quests!$1:$1,0)-MATCH($A$1,[2]quests!$1:$1,0)+1,FALSE)</f>
        <v>チューリングチャレンジ</v>
      </c>
      <c r="C5" s="135" t="str">
        <f ca="1">VLOOKUP($A5,OFFSET([2]quests!$A$1,0,0,COUNTA([2]quests!$A:$A),MATCH(C$1,[2]quests!$1:$1,0)-MATCH($A$1,[2]quests!$1:$1,0)+1),MATCH(C$1,[2]quests!$1:$1,0)-MATCH($A$1,[2]quests!$1:$1,0)+1,FALSE)</f>
        <v>ランキング6（再開催）</v>
      </c>
      <c r="D5" s="134">
        <v>1</v>
      </c>
      <c r="E5" s="136">
        <v>1</v>
      </c>
      <c r="F5" s="137" t="str">
        <f t="shared" si="0"/>
        <v>600270001</v>
      </c>
      <c r="G5" s="138" t="str">
        <f>F5&amp;TEXT(COUNTIF(F$2:F5,F5),"00")</f>
        <v>60027000104</v>
      </c>
      <c r="H5" s="139" t="s">
        <v>232</v>
      </c>
      <c r="I5" s="139">
        <v>837</v>
      </c>
      <c r="J5" s="139">
        <v>1</v>
      </c>
      <c r="K5" s="139">
        <v>0</v>
      </c>
      <c r="L5" s="139">
        <v>0</v>
      </c>
      <c r="M5" s="139">
        <v>0</v>
      </c>
      <c r="N5" s="139">
        <v>0</v>
      </c>
      <c r="O5" s="139">
        <v>1</v>
      </c>
      <c r="P5" s="139">
        <v>1</v>
      </c>
      <c r="Q5" s="139">
        <v>1</v>
      </c>
      <c r="R5" s="139" t="s">
        <v>233</v>
      </c>
      <c r="S5" s="139" t="s">
        <v>372</v>
      </c>
      <c r="T5" s="139" t="s">
        <v>365</v>
      </c>
      <c r="U5" s="140" t="s">
        <v>400</v>
      </c>
    </row>
    <row r="6" spans="1:21" s="138" customFormat="1" ht="28" x14ac:dyDescent="0.15">
      <c r="A6" s="134">
        <v>60027</v>
      </c>
      <c r="B6" s="135" t="str">
        <f ca="1">VLOOKUP($A6,OFFSET([2]quests!$A$1,0,0,COUNTA([2]quests!$A:$A),MATCH(B$1,[2]quests!$1:$1,0)-MATCH($A$1,[2]quests!$1:$1,0)+1),MATCH(B$1,[2]quests!$1:$1,0)-MATCH($A$1,[2]quests!$1:$1,0)+1,FALSE)</f>
        <v>チューリングチャレンジ</v>
      </c>
      <c r="C6" s="135" t="str">
        <f ca="1">VLOOKUP($A6,OFFSET([2]quests!$A$1,0,0,COUNTA([2]quests!$A:$A),MATCH(C$1,[2]quests!$1:$1,0)-MATCH($A$1,[2]quests!$1:$1,0)+1),MATCH(C$1,[2]quests!$1:$1,0)-MATCH($A$1,[2]quests!$1:$1,0)+1,FALSE)</f>
        <v>ランキング6（再開催）</v>
      </c>
      <c r="D6" s="134">
        <v>1</v>
      </c>
      <c r="E6" s="136">
        <v>1</v>
      </c>
      <c r="F6" s="137" t="str">
        <f t="shared" si="0"/>
        <v>600270001</v>
      </c>
      <c r="G6" s="138" t="str">
        <f>F6&amp;TEXT(COUNTIF(F$2:F6,F6),"00")</f>
        <v>60027000105</v>
      </c>
      <c r="H6" s="139" t="s">
        <v>232</v>
      </c>
      <c r="I6" s="139">
        <v>614</v>
      </c>
      <c r="J6" s="139">
        <v>1</v>
      </c>
      <c r="K6" s="139">
        <v>0</v>
      </c>
      <c r="L6" s="139">
        <v>0</v>
      </c>
      <c r="M6" s="139">
        <v>0</v>
      </c>
      <c r="N6" s="139">
        <v>0</v>
      </c>
      <c r="O6" s="139">
        <v>1</v>
      </c>
      <c r="P6" s="139">
        <v>1</v>
      </c>
      <c r="Q6" s="139">
        <v>1</v>
      </c>
      <c r="R6" s="139" t="s">
        <v>233</v>
      </c>
      <c r="S6" s="139" t="s">
        <v>373</v>
      </c>
      <c r="T6" s="139" t="s">
        <v>365</v>
      </c>
      <c r="U6" s="140" t="s">
        <v>400</v>
      </c>
    </row>
    <row r="7" spans="1:21" s="138" customFormat="1" ht="28" x14ac:dyDescent="0.15">
      <c r="A7" s="134">
        <v>60027</v>
      </c>
      <c r="B7" s="135" t="str">
        <f ca="1">VLOOKUP($A7,OFFSET([2]quests!$A$1,0,0,COUNTA([2]quests!$A:$A),MATCH(B$1,[2]quests!$1:$1,0)-MATCH($A$1,[2]quests!$1:$1,0)+1),MATCH(B$1,[2]quests!$1:$1,0)-MATCH($A$1,[2]quests!$1:$1,0)+1,FALSE)</f>
        <v>チューリングチャレンジ</v>
      </c>
      <c r="C7" s="135" t="str">
        <f ca="1">VLOOKUP($A7,OFFSET([2]quests!$A$1,0,0,COUNTA([2]quests!$A:$A),MATCH(C$1,[2]quests!$1:$1,0)-MATCH($A$1,[2]quests!$1:$1,0)+1),MATCH(C$1,[2]quests!$1:$1,0)-MATCH($A$1,[2]quests!$1:$1,0)+1,FALSE)</f>
        <v>ランキング6（再開催）</v>
      </c>
      <c r="D7" s="134">
        <v>2</v>
      </c>
      <c r="E7" s="136">
        <v>2</v>
      </c>
      <c r="F7" s="137" t="str">
        <f>A7&amp;TEXT(E7,"0000")</f>
        <v>600270002</v>
      </c>
      <c r="G7" s="138" t="str">
        <f>F7&amp;TEXT(COUNTIF(F$2:F7,F7),"00")</f>
        <v>60027000201</v>
      </c>
      <c r="H7" s="139" t="s">
        <v>363</v>
      </c>
      <c r="I7" s="139">
        <v>602</v>
      </c>
      <c r="J7" s="139">
        <v>1</v>
      </c>
      <c r="K7" s="139">
        <v>0</v>
      </c>
      <c r="L7" s="139">
        <v>0</v>
      </c>
      <c r="M7" s="139">
        <v>0</v>
      </c>
      <c r="N7" s="139">
        <v>0</v>
      </c>
      <c r="O7" s="139">
        <v>1</v>
      </c>
      <c r="P7" s="139">
        <v>1</v>
      </c>
      <c r="Q7" s="139">
        <v>1</v>
      </c>
      <c r="R7" s="139" t="s">
        <v>233</v>
      </c>
      <c r="S7" s="139" t="s">
        <v>374</v>
      </c>
      <c r="T7" s="139" t="s">
        <v>365</v>
      </c>
      <c r="U7" s="140" t="s">
        <v>400</v>
      </c>
    </row>
    <row r="8" spans="1:21" s="138" customFormat="1" ht="28" x14ac:dyDescent="0.15">
      <c r="A8" s="134">
        <v>60027</v>
      </c>
      <c r="B8" s="135" t="str">
        <f ca="1">VLOOKUP($A8,OFFSET([2]quests!$A$1,0,0,COUNTA([2]quests!$A:$A),MATCH(B$1,[2]quests!$1:$1,0)-MATCH($A$1,[2]quests!$1:$1,0)+1),MATCH(B$1,[2]quests!$1:$1,0)-MATCH($A$1,[2]quests!$1:$1,0)+1,FALSE)</f>
        <v>チューリングチャレンジ</v>
      </c>
      <c r="C8" s="135" t="str">
        <f ca="1">VLOOKUP($A8,OFFSET([2]quests!$A$1,0,0,COUNTA([2]quests!$A:$A),MATCH(C$1,[2]quests!$1:$1,0)-MATCH($A$1,[2]quests!$1:$1,0)+1),MATCH(C$1,[2]quests!$1:$1,0)-MATCH($A$1,[2]quests!$1:$1,0)+1,FALSE)</f>
        <v>ランキング6（再開催）</v>
      </c>
      <c r="D8" s="134">
        <v>2</v>
      </c>
      <c r="E8" s="136">
        <v>2</v>
      </c>
      <c r="F8" s="137" t="str">
        <f t="shared" ref="F8:F26" si="1">A8&amp;TEXT(E8,"0000")</f>
        <v>600270002</v>
      </c>
      <c r="G8" s="138" t="str">
        <f>F8&amp;TEXT(COUNTIF(F$2:F8,F8),"00")</f>
        <v>60027000202</v>
      </c>
      <c r="H8" s="139" t="s">
        <v>363</v>
      </c>
      <c r="I8" s="139">
        <v>600</v>
      </c>
      <c r="J8" s="139">
        <v>1</v>
      </c>
      <c r="K8" s="139">
        <v>0</v>
      </c>
      <c r="L8" s="139">
        <v>0</v>
      </c>
      <c r="M8" s="139">
        <v>0</v>
      </c>
      <c r="N8" s="139">
        <v>0</v>
      </c>
      <c r="O8" s="139">
        <v>1</v>
      </c>
      <c r="P8" s="139">
        <v>1</v>
      </c>
      <c r="Q8" s="139">
        <v>1</v>
      </c>
      <c r="R8" s="139" t="s">
        <v>233</v>
      </c>
      <c r="S8" s="141" t="s">
        <v>375</v>
      </c>
      <c r="T8" s="139" t="s">
        <v>365</v>
      </c>
      <c r="U8" s="140" t="s">
        <v>400</v>
      </c>
    </row>
    <row r="9" spans="1:21" s="138" customFormat="1" ht="28" x14ac:dyDescent="0.15">
      <c r="A9" s="134">
        <v>60027</v>
      </c>
      <c r="B9" s="135" t="str">
        <f ca="1">VLOOKUP($A9,OFFSET([2]quests!$A$1,0,0,COUNTA([2]quests!$A:$A),MATCH(B$1,[2]quests!$1:$1,0)-MATCH($A$1,[2]quests!$1:$1,0)+1),MATCH(B$1,[2]quests!$1:$1,0)-MATCH($A$1,[2]quests!$1:$1,0)+1,FALSE)</f>
        <v>チューリングチャレンジ</v>
      </c>
      <c r="C9" s="135" t="str">
        <f ca="1">VLOOKUP($A9,OFFSET([2]quests!$A$1,0,0,COUNTA([2]quests!$A:$A),MATCH(C$1,[2]quests!$1:$1,0)-MATCH($A$1,[2]quests!$1:$1,0)+1),MATCH(C$1,[2]quests!$1:$1,0)-MATCH($A$1,[2]quests!$1:$1,0)+1,FALSE)</f>
        <v>ランキング6（再開催）</v>
      </c>
      <c r="D9" s="134">
        <v>2</v>
      </c>
      <c r="E9" s="136">
        <v>2</v>
      </c>
      <c r="F9" s="137" t="str">
        <f t="shared" si="1"/>
        <v>600270002</v>
      </c>
      <c r="G9" s="138" t="str">
        <f>F9&amp;TEXT(COUNTIF(F$2:F9,F9),"00")</f>
        <v>60027000203</v>
      </c>
      <c r="H9" s="139" t="s">
        <v>367</v>
      </c>
      <c r="I9" s="139">
        <v>5</v>
      </c>
      <c r="J9" s="139" t="s">
        <v>53</v>
      </c>
      <c r="K9" s="139">
        <v>0</v>
      </c>
      <c r="L9" s="139">
        <v>0</v>
      </c>
      <c r="M9" s="139">
        <v>0</v>
      </c>
      <c r="N9" s="139">
        <v>0</v>
      </c>
      <c r="O9" s="139">
        <v>1</v>
      </c>
      <c r="P9" s="139">
        <v>1</v>
      </c>
      <c r="Q9" s="139">
        <v>1</v>
      </c>
      <c r="R9" s="139" t="s">
        <v>233</v>
      </c>
      <c r="S9" s="139" t="s">
        <v>376</v>
      </c>
      <c r="T9" s="139" t="s">
        <v>365</v>
      </c>
      <c r="U9" s="140" t="s">
        <v>400</v>
      </c>
    </row>
    <row r="10" spans="1:21" s="138" customFormat="1" ht="28" x14ac:dyDescent="0.15">
      <c r="A10" s="134">
        <v>60027</v>
      </c>
      <c r="B10" s="135" t="str">
        <f ca="1">VLOOKUP($A10,OFFSET([2]quests!$A$1,0,0,COUNTA([2]quests!$A:$A),MATCH(B$1,[2]quests!$1:$1,0)-MATCH($A$1,[2]quests!$1:$1,0)+1),MATCH(B$1,[2]quests!$1:$1,0)-MATCH($A$1,[2]quests!$1:$1,0)+1,FALSE)</f>
        <v>チューリングチャレンジ</v>
      </c>
      <c r="C10" s="135" t="str">
        <f ca="1">VLOOKUP($A10,OFFSET([2]quests!$A$1,0,0,COUNTA([2]quests!$A:$A),MATCH(C$1,[2]quests!$1:$1,0)-MATCH($A$1,[2]quests!$1:$1,0)+1),MATCH(C$1,[2]quests!$1:$1,0)-MATCH($A$1,[2]quests!$1:$1,0)+1,FALSE)</f>
        <v>ランキング6（再開催）</v>
      </c>
      <c r="D10" s="134">
        <v>2</v>
      </c>
      <c r="E10" s="136">
        <v>2</v>
      </c>
      <c r="F10" s="137" t="str">
        <f t="shared" si="1"/>
        <v>600270002</v>
      </c>
      <c r="G10" s="138" t="str">
        <f>F10&amp;TEXT(COUNTIF(F$2:F10,F10),"00")</f>
        <v>60027000204</v>
      </c>
      <c r="H10" s="139" t="s">
        <v>232</v>
      </c>
      <c r="I10" s="139">
        <v>610</v>
      </c>
      <c r="J10" s="139">
        <v>1</v>
      </c>
      <c r="K10" s="139">
        <v>0</v>
      </c>
      <c r="L10" s="139">
        <v>0</v>
      </c>
      <c r="M10" s="139">
        <v>0</v>
      </c>
      <c r="N10" s="139">
        <v>0</v>
      </c>
      <c r="O10" s="139">
        <v>1</v>
      </c>
      <c r="P10" s="139">
        <v>1</v>
      </c>
      <c r="Q10" s="139">
        <v>1</v>
      </c>
      <c r="R10" s="139" t="s">
        <v>233</v>
      </c>
      <c r="S10" s="139" t="s">
        <v>377</v>
      </c>
      <c r="T10" s="139" t="s">
        <v>365</v>
      </c>
      <c r="U10" s="140" t="s">
        <v>400</v>
      </c>
    </row>
    <row r="11" spans="1:21" s="138" customFormat="1" ht="28" x14ac:dyDescent="0.15">
      <c r="A11" s="134">
        <v>60027</v>
      </c>
      <c r="B11" s="135" t="str">
        <f ca="1">VLOOKUP($A11,OFFSET([2]quests!$A$1,0,0,COUNTA([2]quests!$A:$A),MATCH(B$1,[2]quests!$1:$1,0)-MATCH($A$1,[2]quests!$1:$1,0)+1),MATCH(B$1,[2]quests!$1:$1,0)-MATCH($A$1,[2]quests!$1:$1,0)+1,FALSE)</f>
        <v>チューリングチャレンジ</v>
      </c>
      <c r="C11" s="135" t="str">
        <f ca="1">VLOOKUP($A11,OFFSET([2]quests!$A$1,0,0,COUNTA([2]quests!$A:$A),MATCH(C$1,[2]quests!$1:$1,0)-MATCH($A$1,[2]quests!$1:$1,0)+1),MATCH(C$1,[2]quests!$1:$1,0)-MATCH($A$1,[2]quests!$1:$1,0)+1,FALSE)</f>
        <v>ランキング6（再開催）</v>
      </c>
      <c r="D11" s="134">
        <v>2</v>
      </c>
      <c r="E11" s="136">
        <v>2</v>
      </c>
      <c r="F11" s="137" t="str">
        <f t="shared" si="1"/>
        <v>600270002</v>
      </c>
      <c r="G11" s="138" t="str">
        <f>F11&amp;TEXT(COUNTIF(F$2:F11,F11),"00")</f>
        <v>60027000205</v>
      </c>
      <c r="H11" s="139" t="s">
        <v>363</v>
      </c>
      <c r="I11" s="139">
        <v>1</v>
      </c>
      <c r="J11" s="139">
        <v>3</v>
      </c>
      <c r="K11" s="139">
        <v>0</v>
      </c>
      <c r="L11" s="139">
        <v>0</v>
      </c>
      <c r="M11" s="139">
        <v>0</v>
      </c>
      <c r="N11" s="139">
        <v>0</v>
      </c>
      <c r="O11" s="139">
        <v>1</v>
      </c>
      <c r="P11" s="139">
        <v>1</v>
      </c>
      <c r="Q11" s="139">
        <v>1</v>
      </c>
      <c r="R11" s="139" t="s">
        <v>233</v>
      </c>
      <c r="S11" s="139" t="s">
        <v>378</v>
      </c>
      <c r="T11" s="139" t="s">
        <v>365</v>
      </c>
      <c r="U11" s="140" t="s">
        <v>400</v>
      </c>
    </row>
    <row r="12" spans="1:21" s="138" customFormat="1" ht="28" x14ac:dyDescent="0.15">
      <c r="A12" s="134">
        <v>60027</v>
      </c>
      <c r="B12" s="135" t="str">
        <f ca="1">VLOOKUP($A12,OFFSET([2]quests!$A$1,0,0,COUNTA([2]quests!$A:$A),MATCH(B$1,[2]quests!$1:$1,0)-MATCH($A$1,[2]quests!$1:$1,0)+1),MATCH(B$1,[2]quests!$1:$1,0)-MATCH($A$1,[2]quests!$1:$1,0)+1,FALSE)</f>
        <v>チューリングチャレンジ</v>
      </c>
      <c r="C12" s="135" t="str">
        <f ca="1">VLOOKUP($A12,OFFSET([2]quests!$A$1,0,0,COUNTA([2]quests!$A:$A),MATCH(C$1,[2]quests!$1:$1,0)-MATCH($A$1,[2]quests!$1:$1,0)+1),MATCH(C$1,[2]quests!$1:$1,0)-MATCH($A$1,[2]quests!$1:$1,0)+1,FALSE)</f>
        <v>ランキング6（再開催）</v>
      </c>
      <c r="D12" s="134">
        <v>3</v>
      </c>
      <c r="E12" s="136">
        <v>3</v>
      </c>
      <c r="F12" s="137" t="str">
        <f t="shared" si="1"/>
        <v>600270003</v>
      </c>
      <c r="G12" s="138" t="str">
        <f>F12&amp;TEXT(COUNTIF(F$2:F12,F12),"00")</f>
        <v>60027000301</v>
      </c>
      <c r="H12" s="139" t="s">
        <v>363</v>
      </c>
      <c r="I12" s="139">
        <v>600</v>
      </c>
      <c r="J12" s="139">
        <v>3</v>
      </c>
      <c r="K12" s="139">
        <v>0</v>
      </c>
      <c r="L12" s="139">
        <v>0</v>
      </c>
      <c r="M12" s="139">
        <v>0</v>
      </c>
      <c r="N12" s="139">
        <v>0</v>
      </c>
      <c r="O12" s="139">
        <v>1</v>
      </c>
      <c r="P12" s="139">
        <v>1</v>
      </c>
      <c r="Q12" s="139">
        <v>1</v>
      </c>
      <c r="R12" s="139" t="s">
        <v>233</v>
      </c>
      <c r="S12" s="139" t="s">
        <v>379</v>
      </c>
      <c r="T12" s="139" t="s">
        <v>365</v>
      </c>
      <c r="U12" s="140" t="s">
        <v>400</v>
      </c>
    </row>
    <row r="13" spans="1:21" s="138" customFormat="1" ht="28" x14ac:dyDescent="0.15">
      <c r="A13" s="134">
        <v>60027</v>
      </c>
      <c r="B13" s="135" t="str">
        <f ca="1">VLOOKUP($A13,OFFSET([2]quests!$A$1,0,0,COUNTA([2]quests!$A:$A),MATCH(B$1,[2]quests!$1:$1,0)-MATCH($A$1,[2]quests!$1:$1,0)+1),MATCH(B$1,[2]quests!$1:$1,0)-MATCH($A$1,[2]quests!$1:$1,0)+1,FALSE)</f>
        <v>チューリングチャレンジ</v>
      </c>
      <c r="C13" s="135" t="str">
        <f ca="1">VLOOKUP($A13,OFFSET([2]quests!$A$1,0,0,COUNTA([2]quests!$A:$A),MATCH(C$1,[2]quests!$1:$1,0)-MATCH($A$1,[2]quests!$1:$1,0)+1),MATCH(C$1,[2]quests!$1:$1,0)-MATCH($A$1,[2]quests!$1:$1,0)+1,FALSE)</f>
        <v>ランキング6（再開催）</v>
      </c>
      <c r="D13" s="134">
        <v>3</v>
      </c>
      <c r="E13" s="136">
        <v>3</v>
      </c>
      <c r="F13" s="137" t="str">
        <f t="shared" si="1"/>
        <v>600270003</v>
      </c>
      <c r="G13" s="138" t="str">
        <f>F13&amp;TEXT(COUNTIF(F$2:F13,F13),"00")</f>
        <v>60027000302</v>
      </c>
      <c r="H13" s="139" t="s">
        <v>232</v>
      </c>
      <c r="I13" s="139">
        <v>335</v>
      </c>
      <c r="J13" s="139">
        <v>1</v>
      </c>
      <c r="K13" s="139">
        <v>0</v>
      </c>
      <c r="L13" s="139">
        <v>0</v>
      </c>
      <c r="M13" s="139">
        <v>0</v>
      </c>
      <c r="N13" s="139">
        <v>0</v>
      </c>
      <c r="O13" s="139">
        <v>1</v>
      </c>
      <c r="P13" s="139">
        <v>1</v>
      </c>
      <c r="Q13" s="139">
        <v>1</v>
      </c>
      <c r="R13" s="139" t="s">
        <v>233</v>
      </c>
      <c r="S13" s="139" t="s">
        <v>380</v>
      </c>
      <c r="T13" s="139" t="s">
        <v>365</v>
      </c>
      <c r="U13" s="140" t="s">
        <v>400</v>
      </c>
    </row>
    <row r="14" spans="1:21" s="138" customFormat="1" ht="28" x14ac:dyDescent="0.15">
      <c r="A14" s="134">
        <v>60027</v>
      </c>
      <c r="B14" s="135" t="str">
        <f ca="1">VLOOKUP($A14,OFFSET([2]quests!$A$1,0,0,COUNTA([2]quests!$A:$A),MATCH(B$1,[2]quests!$1:$1,0)-MATCH($A$1,[2]quests!$1:$1,0)+1),MATCH(B$1,[2]quests!$1:$1,0)-MATCH($A$1,[2]quests!$1:$1,0)+1,FALSE)</f>
        <v>チューリングチャレンジ</v>
      </c>
      <c r="C14" s="135" t="str">
        <f ca="1">VLOOKUP($A14,OFFSET([2]quests!$A$1,0,0,COUNTA([2]quests!$A:$A),MATCH(C$1,[2]quests!$1:$1,0)-MATCH($A$1,[2]quests!$1:$1,0)+1),MATCH(C$1,[2]quests!$1:$1,0)-MATCH($A$1,[2]quests!$1:$1,0)+1,FALSE)</f>
        <v>ランキング6（再開催）</v>
      </c>
      <c r="D14" s="134">
        <v>3</v>
      </c>
      <c r="E14" s="136">
        <v>3</v>
      </c>
      <c r="F14" s="137" t="str">
        <f t="shared" si="1"/>
        <v>600270003</v>
      </c>
      <c r="G14" s="138" t="str">
        <f>F14&amp;TEXT(COUNTIF(F$2:F14,F14),"00")</f>
        <v>60027000303</v>
      </c>
      <c r="H14" s="139" t="s">
        <v>232</v>
      </c>
      <c r="I14" s="139">
        <v>339</v>
      </c>
      <c r="J14" s="139">
        <v>1</v>
      </c>
      <c r="K14" s="139">
        <v>0</v>
      </c>
      <c r="L14" s="139">
        <v>0</v>
      </c>
      <c r="M14" s="139">
        <v>0</v>
      </c>
      <c r="N14" s="139">
        <v>0</v>
      </c>
      <c r="O14" s="139">
        <v>1</v>
      </c>
      <c r="P14" s="139">
        <v>1</v>
      </c>
      <c r="Q14" s="139">
        <v>1</v>
      </c>
      <c r="R14" s="139" t="s">
        <v>233</v>
      </c>
      <c r="S14" s="139" t="s">
        <v>381</v>
      </c>
      <c r="T14" s="139" t="s">
        <v>365</v>
      </c>
      <c r="U14" s="140" t="s">
        <v>400</v>
      </c>
    </row>
    <row r="15" spans="1:21" s="138" customFormat="1" ht="28" x14ac:dyDescent="0.15">
      <c r="A15" s="134">
        <v>60027</v>
      </c>
      <c r="B15" s="135" t="str">
        <f ca="1">VLOOKUP($A15,OFFSET([2]quests!$A$1,0,0,COUNTA([2]quests!$A:$A),MATCH(B$1,[2]quests!$1:$1,0)-MATCH($A$1,[2]quests!$1:$1,0)+1),MATCH(B$1,[2]quests!$1:$1,0)-MATCH($A$1,[2]quests!$1:$1,0)+1,FALSE)</f>
        <v>チューリングチャレンジ</v>
      </c>
      <c r="C15" s="135" t="str">
        <f ca="1">VLOOKUP($A15,OFFSET([2]quests!$A$1,0,0,COUNTA([2]quests!$A:$A),MATCH(C$1,[2]quests!$1:$1,0)-MATCH($A$1,[2]quests!$1:$1,0)+1),MATCH(C$1,[2]quests!$1:$1,0)-MATCH($A$1,[2]quests!$1:$1,0)+1,FALSE)</f>
        <v>ランキング6（再開催）</v>
      </c>
      <c r="D15" s="134">
        <v>3</v>
      </c>
      <c r="E15" s="136">
        <v>3</v>
      </c>
      <c r="F15" s="137" t="str">
        <f t="shared" si="1"/>
        <v>600270003</v>
      </c>
      <c r="G15" s="138" t="str">
        <f>F15&amp;TEXT(COUNTIF(F$2:F15,F15),"00")</f>
        <v>60027000304</v>
      </c>
      <c r="H15" s="139" t="s">
        <v>232</v>
      </c>
      <c r="I15" s="139">
        <v>343</v>
      </c>
      <c r="J15" s="139">
        <v>1</v>
      </c>
      <c r="K15" s="139">
        <v>0</v>
      </c>
      <c r="L15" s="139">
        <v>0</v>
      </c>
      <c r="M15" s="139">
        <v>0</v>
      </c>
      <c r="N15" s="139">
        <v>0</v>
      </c>
      <c r="O15" s="139">
        <v>1</v>
      </c>
      <c r="P15" s="139">
        <v>1</v>
      </c>
      <c r="Q15" s="139">
        <v>1</v>
      </c>
      <c r="R15" s="139" t="s">
        <v>233</v>
      </c>
      <c r="S15" s="139" t="s">
        <v>382</v>
      </c>
      <c r="T15" s="139" t="s">
        <v>365</v>
      </c>
      <c r="U15" s="140" t="s">
        <v>400</v>
      </c>
    </row>
    <row r="16" spans="1:21" s="138" customFormat="1" ht="28" x14ac:dyDescent="0.15">
      <c r="A16" s="134">
        <v>60027</v>
      </c>
      <c r="B16" s="135" t="str">
        <f ca="1">VLOOKUP($A16,OFFSET([2]quests!$A$1,0,0,COUNTA([2]quests!$A:$A),MATCH(B$1,[2]quests!$1:$1,0)-MATCH($A$1,[2]quests!$1:$1,0)+1),MATCH(B$1,[2]quests!$1:$1,0)-MATCH($A$1,[2]quests!$1:$1,0)+1,FALSE)</f>
        <v>チューリングチャレンジ</v>
      </c>
      <c r="C16" s="135" t="str">
        <f ca="1">VLOOKUP($A16,OFFSET([2]quests!$A$1,0,0,COUNTA([2]quests!$A:$A),MATCH(C$1,[2]quests!$1:$1,0)-MATCH($A$1,[2]quests!$1:$1,0)+1),MATCH(C$1,[2]quests!$1:$1,0)-MATCH($A$1,[2]quests!$1:$1,0)+1,FALSE)</f>
        <v>ランキング6（再開催）</v>
      </c>
      <c r="D16" s="134">
        <v>3</v>
      </c>
      <c r="E16" s="136">
        <v>3</v>
      </c>
      <c r="F16" s="137" t="str">
        <f t="shared" si="1"/>
        <v>600270003</v>
      </c>
      <c r="G16" s="138" t="str">
        <f>F16&amp;TEXT(COUNTIF(F$2:F16,F16),"00")</f>
        <v>60027000305</v>
      </c>
      <c r="H16" s="139" t="s">
        <v>232</v>
      </c>
      <c r="I16" s="139">
        <v>347</v>
      </c>
      <c r="J16" s="139">
        <v>1</v>
      </c>
      <c r="K16" s="139">
        <v>0</v>
      </c>
      <c r="L16" s="139">
        <v>0</v>
      </c>
      <c r="M16" s="139">
        <v>0</v>
      </c>
      <c r="N16" s="139">
        <v>0</v>
      </c>
      <c r="O16" s="139">
        <v>1</v>
      </c>
      <c r="P16" s="139">
        <v>1</v>
      </c>
      <c r="Q16" s="139">
        <v>1</v>
      </c>
      <c r="R16" s="139" t="s">
        <v>233</v>
      </c>
      <c r="S16" s="139" t="s">
        <v>383</v>
      </c>
      <c r="T16" s="139" t="s">
        <v>365</v>
      </c>
      <c r="U16" s="140" t="s">
        <v>400</v>
      </c>
    </row>
    <row r="17" spans="1:21" s="138" customFormat="1" ht="28" x14ac:dyDescent="0.15">
      <c r="A17" s="134">
        <v>60027</v>
      </c>
      <c r="B17" s="135" t="str">
        <f ca="1">VLOOKUP($A17,OFFSET([2]quests!$A$1,0,0,COUNTA([2]quests!$A:$A),MATCH(B$1,[2]quests!$1:$1,0)-MATCH($A$1,[2]quests!$1:$1,0)+1),MATCH(B$1,[2]quests!$1:$1,0)-MATCH($A$1,[2]quests!$1:$1,0)+1,FALSE)</f>
        <v>チューリングチャレンジ</v>
      </c>
      <c r="C17" s="135" t="str">
        <f ca="1">VLOOKUP($A17,OFFSET([2]quests!$A$1,0,0,COUNTA([2]quests!$A:$A),MATCH(C$1,[2]quests!$1:$1,0)-MATCH($A$1,[2]quests!$1:$1,0)+1),MATCH(C$1,[2]quests!$1:$1,0)-MATCH($A$1,[2]quests!$1:$1,0)+1,FALSE)</f>
        <v>ランキング6（再開催）</v>
      </c>
      <c r="D17" s="134">
        <v>3</v>
      </c>
      <c r="E17" s="136">
        <v>3</v>
      </c>
      <c r="F17" s="137" t="str">
        <f t="shared" si="1"/>
        <v>600270003</v>
      </c>
      <c r="G17" s="138" t="str">
        <f>F17&amp;TEXT(COUNTIF(F$2:F17,F17),"00")</f>
        <v>60027000306</v>
      </c>
      <c r="H17" s="139" t="s">
        <v>367</v>
      </c>
      <c r="I17" s="139">
        <v>5</v>
      </c>
      <c r="J17" s="139" t="s">
        <v>53</v>
      </c>
      <c r="K17" s="139">
        <v>0</v>
      </c>
      <c r="L17" s="139">
        <v>0</v>
      </c>
      <c r="M17" s="139">
        <v>0</v>
      </c>
      <c r="N17" s="139">
        <v>0</v>
      </c>
      <c r="O17" s="139">
        <v>1</v>
      </c>
      <c r="P17" s="139">
        <v>1</v>
      </c>
      <c r="Q17" s="139">
        <v>1</v>
      </c>
      <c r="R17" s="139" t="s">
        <v>233</v>
      </c>
      <c r="S17" s="139" t="s">
        <v>376</v>
      </c>
      <c r="T17" s="139" t="s">
        <v>365</v>
      </c>
      <c r="U17" s="140" t="s">
        <v>400</v>
      </c>
    </row>
    <row r="18" spans="1:21" s="138" customFormat="1" ht="28" x14ac:dyDescent="0.15">
      <c r="A18" s="134">
        <v>60027</v>
      </c>
      <c r="B18" s="135" t="str">
        <f ca="1">VLOOKUP($A18,OFFSET([2]quests!$A$1,0,0,COUNTA([2]quests!$A:$A),MATCH(B$1,[2]quests!$1:$1,0)-MATCH($A$1,[2]quests!$1:$1,0)+1),MATCH(B$1,[2]quests!$1:$1,0)-MATCH($A$1,[2]quests!$1:$1,0)+1,FALSE)</f>
        <v>チューリングチャレンジ</v>
      </c>
      <c r="C18" s="135" t="str">
        <f ca="1">VLOOKUP($A18,OFFSET([2]quests!$A$1,0,0,COUNTA([2]quests!$A:$A),MATCH(C$1,[2]quests!$1:$1,0)-MATCH($A$1,[2]quests!$1:$1,0)+1),MATCH(C$1,[2]quests!$1:$1,0)-MATCH($A$1,[2]quests!$1:$1,0)+1,FALSE)</f>
        <v>ランキング6（再開催）</v>
      </c>
      <c r="D18" s="134">
        <v>3</v>
      </c>
      <c r="E18" s="136">
        <v>3</v>
      </c>
      <c r="F18" s="137" t="str">
        <f t="shared" si="1"/>
        <v>600270003</v>
      </c>
      <c r="G18" s="138" t="str">
        <f>F18&amp;TEXT(COUNTIF(F$2:F18,F18),"00")</f>
        <v>60027000307</v>
      </c>
      <c r="H18" s="139" t="s">
        <v>232</v>
      </c>
      <c r="I18" s="139">
        <v>125</v>
      </c>
      <c r="J18" s="139">
        <v>1</v>
      </c>
      <c r="K18" s="139">
        <v>0</v>
      </c>
      <c r="L18" s="139">
        <v>0</v>
      </c>
      <c r="M18" s="139">
        <v>0</v>
      </c>
      <c r="N18" s="139">
        <v>0</v>
      </c>
      <c r="O18" s="139">
        <v>1</v>
      </c>
      <c r="P18" s="139">
        <v>1</v>
      </c>
      <c r="Q18" s="139">
        <v>1</v>
      </c>
      <c r="R18" s="139" t="s">
        <v>233</v>
      </c>
      <c r="S18" s="139" t="s">
        <v>384</v>
      </c>
      <c r="T18" s="139" t="s">
        <v>365</v>
      </c>
      <c r="U18" s="140" t="s">
        <v>400</v>
      </c>
    </row>
    <row r="19" spans="1:21" s="138" customFormat="1" ht="28" x14ac:dyDescent="0.15">
      <c r="A19" s="134">
        <v>60027</v>
      </c>
      <c r="B19" s="135" t="str">
        <f ca="1">VLOOKUP($A19,OFFSET([2]quests!$A$1,0,0,COUNTA([2]quests!$A:$A),MATCH(B$1,[2]quests!$1:$1,0)-MATCH($A$1,[2]quests!$1:$1,0)+1),MATCH(B$1,[2]quests!$1:$1,0)-MATCH($A$1,[2]quests!$1:$1,0)+1,FALSE)</f>
        <v>チューリングチャレンジ</v>
      </c>
      <c r="C19" s="135" t="str">
        <f ca="1">VLOOKUP($A19,OFFSET([2]quests!$A$1,0,0,COUNTA([2]quests!$A:$A),MATCH(C$1,[2]quests!$1:$1,0)-MATCH($A$1,[2]quests!$1:$1,0)+1),MATCH(C$1,[2]quests!$1:$1,0)-MATCH($A$1,[2]quests!$1:$1,0)+1,FALSE)</f>
        <v>ランキング6（再開催）</v>
      </c>
      <c r="D19" s="134">
        <v>3</v>
      </c>
      <c r="E19" s="136">
        <v>3</v>
      </c>
      <c r="F19" s="137" t="str">
        <f t="shared" si="1"/>
        <v>600270003</v>
      </c>
      <c r="G19" s="138" t="str">
        <f>F19&amp;TEXT(COUNTIF(F$2:F19,F19),"00")</f>
        <v>60027000308</v>
      </c>
      <c r="H19" s="139" t="s">
        <v>363</v>
      </c>
      <c r="I19" s="139">
        <v>1</v>
      </c>
      <c r="J19" s="139">
        <v>1</v>
      </c>
      <c r="K19" s="139">
        <v>0</v>
      </c>
      <c r="L19" s="139">
        <v>0</v>
      </c>
      <c r="M19" s="139">
        <v>0</v>
      </c>
      <c r="N19" s="139">
        <v>0</v>
      </c>
      <c r="O19" s="139">
        <v>1</v>
      </c>
      <c r="P19" s="139">
        <v>1</v>
      </c>
      <c r="Q19" s="139">
        <v>1</v>
      </c>
      <c r="R19" s="139" t="s">
        <v>233</v>
      </c>
      <c r="S19" s="139" t="s">
        <v>385</v>
      </c>
      <c r="T19" s="139" t="s">
        <v>365</v>
      </c>
      <c r="U19" s="140" t="s">
        <v>400</v>
      </c>
    </row>
    <row r="20" spans="1:21" s="138" customFormat="1" ht="28" x14ac:dyDescent="0.15">
      <c r="A20" s="134">
        <v>60027</v>
      </c>
      <c r="B20" s="135" t="str">
        <f ca="1">VLOOKUP($A20,OFFSET([2]quests!$A$1,0,0,COUNTA([2]quests!$A:$A),MATCH(B$1,[2]quests!$1:$1,0)-MATCH($A$1,[2]quests!$1:$1,0)+1),MATCH(B$1,[2]quests!$1:$1,0)-MATCH($A$1,[2]quests!$1:$1,0)+1,FALSE)</f>
        <v>チューリングチャレンジ</v>
      </c>
      <c r="C20" s="135" t="str">
        <f ca="1">VLOOKUP($A20,OFFSET([2]quests!$A$1,0,0,COUNTA([2]quests!$A:$A),MATCH(C$1,[2]quests!$1:$1,0)-MATCH($A$1,[2]quests!$1:$1,0)+1),MATCH(C$1,[2]quests!$1:$1,0)-MATCH($A$1,[2]quests!$1:$1,0)+1,FALSE)</f>
        <v>ランキング6（再開催）</v>
      </c>
      <c r="D20" s="134">
        <v>4</v>
      </c>
      <c r="E20" s="136">
        <v>5</v>
      </c>
      <c r="F20" s="137" t="str">
        <f t="shared" si="1"/>
        <v>600270005</v>
      </c>
      <c r="G20" s="138" t="str">
        <f>F20&amp;TEXT(COUNTIF(F$2:F20,F20),"00")</f>
        <v>60027000501</v>
      </c>
      <c r="H20" s="139" t="s">
        <v>363</v>
      </c>
      <c r="I20" s="139">
        <v>600</v>
      </c>
      <c r="J20" s="139">
        <v>2</v>
      </c>
      <c r="K20" s="139">
        <v>0</v>
      </c>
      <c r="L20" s="139">
        <v>0</v>
      </c>
      <c r="M20" s="139">
        <v>0</v>
      </c>
      <c r="N20" s="139">
        <v>0</v>
      </c>
      <c r="O20" s="139">
        <v>1</v>
      </c>
      <c r="P20" s="139">
        <v>1</v>
      </c>
      <c r="Q20" s="139">
        <v>1</v>
      </c>
      <c r="R20" s="139" t="s">
        <v>233</v>
      </c>
      <c r="S20" s="139" t="s">
        <v>366</v>
      </c>
      <c r="T20" s="139" t="s">
        <v>365</v>
      </c>
      <c r="U20" s="140" t="s">
        <v>400</v>
      </c>
    </row>
    <row r="21" spans="1:21" s="138" customFormat="1" ht="28" x14ac:dyDescent="0.15">
      <c r="A21" s="134">
        <v>60027</v>
      </c>
      <c r="B21" s="135" t="str">
        <f ca="1">VLOOKUP($A21,OFFSET([2]quests!$A$1,0,0,COUNTA([2]quests!$A:$A),MATCH(B$1,[2]quests!$1:$1,0)-MATCH($A$1,[2]quests!$1:$1,0)+1),MATCH(B$1,[2]quests!$1:$1,0)-MATCH($A$1,[2]quests!$1:$1,0)+1,FALSE)</f>
        <v>チューリングチャレンジ</v>
      </c>
      <c r="C21" s="135" t="str">
        <f ca="1">VLOOKUP($A21,OFFSET([2]quests!$A$1,0,0,COUNTA([2]quests!$A:$A),MATCH(C$1,[2]quests!$1:$1,0)-MATCH($A$1,[2]quests!$1:$1,0)+1),MATCH(C$1,[2]quests!$1:$1,0)-MATCH($A$1,[2]quests!$1:$1,0)+1,FALSE)</f>
        <v>ランキング6（再開催）</v>
      </c>
      <c r="D21" s="134">
        <v>4</v>
      </c>
      <c r="E21" s="136">
        <v>5</v>
      </c>
      <c r="F21" s="137" t="str">
        <f t="shared" si="1"/>
        <v>600270005</v>
      </c>
      <c r="G21" s="138" t="str">
        <f>F21&amp;TEXT(COUNTIF(F$2:F21,F21),"00")</f>
        <v>60027000502</v>
      </c>
      <c r="H21" s="139" t="s">
        <v>232</v>
      </c>
      <c r="I21" s="139">
        <v>335</v>
      </c>
      <c r="J21" s="139">
        <v>1</v>
      </c>
      <c r="K21" s="139">
        <v>0</v>
      </c>
      <c r="L21" s="139">
        <v>0</v>
      </c>
      <c r="M21" s="139">
        <v>0</v>
      </c>
      <c r="N21" s="139">
        <v>0</v>
      </c>
      <c r="O21" s="139">
        <v>1</v>
      </c>
      <c r="P21" s="139">
        <v>1</v>
      </c>
      <c r="Q21" s="139">
        <v>1</v>
      </c>
      <c r="R21" s="139" t="s">
        <v>233</v>
      </c>
      <c r="S21" s="139" t="s">
        <v>380</v>
      </c>
      <c r="T21" s="139" t="s">
        <v>365</v>
      </c>
      <c r="U21" s="140" t="s">
        <v>400</v>
      </c>
    </row>
    <row r="22" spans="1:21" s="138" customFormat="1" ht="28" x14ac:dyDescent="0.15">
      <c r="A22" s="134">
        <v>60027</v>
      </c>
      <c r="B22" s="135" t="str">
        <f ca="1">VLOOKUP($A22,OFFSET([2]quests!$A$1,0,0,COUNTA([2]quests!$A:$A),MATCH(B$1,[2]quests!$1:$1,0)-MATCH($A$1,[2]quests!$1:$1,0)+1),MATCH(B$1,[2]quests!$1:$1,0)-MATCH($A$1,[2]quests!$1:$1,0)+1,FALSE)</f>
        <v>チューリングチャレンジ</v>
      </c>
      <c r="C22" s="135" t="str">
        <f ca="1">VLOOKUP($A22,OFFSET([2]quests!$A$1,0,0,COUNTA([2]quests!$A:$A),MATCH(C$1,[2]quests!$1:$1,0)-MATCH($A$1,[2]quests!$1:$1,0)+1),MATCH(C$1,[2]quests!$1:$1,0)-MATCH($A$1,[2]quests!$1:$1,0)+1,FALSE)</f>
        <v>ランキング6（再開催）</v>
      </c>
      <c r="D22" s="134">
        <v>4</v>
      </c>
      <c r="E22" s="136">
        <v>5</v>
      </c>
      <c r="F22" s="137" t="str">
        <f t="shared" si="1"/>
        <v>600270005</v>
      </c>
      <c r="G22" s="138" t="str">
        <f>F22&amp;TEXT(COUNTIF(F$2:F22,F22),"00")</f>
        <v>60027000503</v>
      </c>
      <c r="H22" s="139" t="s">
        <v>232</v>
      </c>
      <c r="I22" s="139">
        <v>339</v>
      </c>
      <c r="J22" s="139">
        <v>1</v>
      </c>
      <c r="K22" s="139">
        <v>0</v>
      </c>
      <c r="L22" s="139">
        <v>0</v>
      </c>
      <c r="M22" s="139">
        <v>0</v>
      </c>
      <c r="N22" s="139">
        <v>0</v>
      </c>
      <c r="O22" s="139">
        <v>1</v>
      </c>
      <c r="P22" s="139">
        <v>1</v>
      </c>
      <c r="Q22" s="139">
        <v>1</v>
      </c>
      <c r="R22" s="139" t="s">
        <v>233</v>
      </c>
      <c r="S22" s="139" t="s">
        <v>381</v>
      </c>
      <c r="T22" s="139" t="s">
        <v>365</v>
      </c>
      <c r="U22" s="140" t="s">
        <v>400</v>
      </c>
    </row>
    <row r="23" spans="1:21" s="138" customFormat="1" ht="28" x14ac:dyDescent="0.15">
      <c r="A23" s="134">
        <v>60027</v>
      </c>
      <c r="B23" s="135" t="str">
        <f ca="1">VLOOKUP($A23,OFFSET([2]quests!$A$1,0,0,COUNTA([2]quests!$A:$A),MATCH(B$1,[2]quests!$1:$1,0)-MATCH($A$1,[2]quests!$1:$1,0)+1),MATCH(B$1,[2]quests!$1:$1,0)-MATCH($A$1,[2]quests!$1:$1,0)+1,FALSE)</f>
        <v>チューリングチャレンジ</v>
      </c>
      <c r="C23" s="135" t="str">
        <f ca="1">VLOOKUP($A23,OFFSET([2]quests!$A$1,0,0,COUNTA([2]quests!$A:$A),MATCH(C$1,[2]quests!$1:$1,0)-MATCH($A$1,[2]quests!$1:$1,0)+1),MATCH(C$1,[2]quests!$1:$1,0)-MATCH($A$1,[2]quests!$1:$1,0)+1,FALSE)</f>
        <v>ランキング6（再開催）</v>
      </c>
      <c r="D23" s="134">
        <v>4</v>
      </c>
      <c r="E23" s="136">
        <v>5</v>
      </c>
      <c r="F23" s="137" t="str">
        <f t="shared" si="1"/>
        <v>600270005</v>
      </c>
      <c r="G23" s="138" t="str">
        <f>F23&amp;TEXT(COUNTIF(F$2:F23,F23),"00")</f>
        <v>60027000504</v>
      </c>
      <c r="H23" s="139" t="s">
        <v>232</v>
      </c>
      <c r="I23" s="139">
        <v>343</v>
      </c>
      <c r="J23" s="139">
        <v>1</v>
      </c>
      <c r="K23" s="139">
        <v>0</v>
      </c>
      <c r="L23" s="139">
        <v>0</v>
      </c>
      <c r="M23" s="139">
        <v>0</v>
      </c>
      <c r="N23" s="139">
        <v>0</v>
      </c>
      <c r="O23" s="139">
        <v>1</v>
      </c>
      <c r="P23" s="139">
        <v>1</v>
      </c>
      <c r="Q23" s="139">
        <v>1</v>
      </c>
      <c r="R23" s="139" t="s">
        <v>233</v>
      </c>
      <c r="S23" s="139" t="s">
        <v>382</v>
      </c>
      <c r="T23" s="139" t="s">
        <v>365</v>
      </c>
      <c r="U23" s="140" t="s">
        <v>400</v>
      </c>
    </row>
    <row r="24" spans="1:21" s="138" customFormat="1" ht="28" x14ac:dyDescent="0.15">
      <c r="A24" s="134">
        <v>60027</v>
      </c>
      <c r="B24" s="135" t="str">
        <f ca="1">VLOOKUP($A24,OFFSET([2]quests!$A$1,0,0,COUNTA([2]quests!$A:$A),MATCH(B$1,[2]quests!$1:$1,0)-MATCH($A$1,[2]quests!$1:$1,0)+1),MATCH(B$1,[2]quests!$1:$1,0)-MATCH($A$1,[2]quests!$1:$1,0)+1,FALSE)</f>
        <v>チューリングチャレンジ</v>
      </c>
      <c r="C24" s="135" t="str">
        <f ca="1">VLOOKUP($A24,OFFSET([2]quests!$A$1,0,0,COUNTA([2]quests!$A:$A),MATCH(C$1,[2]quests!$1:$1,0)-MATCH($A$1,[2]quests!$1:$1,0)+1),MATCH(C$1,[2]quests!$1:$1,0)-MATCH($A$1,[2]quests!$1:$1,0)+1,FALSE)</f>
        <v>ランキング6（再開催）</v>
      </c>
      <c r="D24" s="134">
        <v>4</v>
      </c>
      <c r="E24" s="136">
        <v>5</v>
      </c>
      <c r="F24" s="137" t="str">
        <f t="shared" si="1"/>
        <v>600270005</v>
      </c>
      <c r="G24" s="138" t="str">
        <f>F24&amp;TEXT(COUNTIF(F$2:F24,F24),"00")</f>
        <v>60027000505</v>
      </c>
      <c r="H24" s="139" t="s">
        <v>232</v>
      </c>
      <c r="I24" s="139">
        <v>347</v>
      </c>
      <c r="J24" s="139">
        <v>1</v>
      </c>
      <c r="K24" s="139">
        <v>0</v>
      </c>
      <c r="L24" s="139">
        <v>0</v>
      </c>
      <c r="M24" s="139">
        <v>0</v>
      </c>
      <c r="N24" s="139">
        <v>0</v>
      </c>
      <c r="O24" s="139">
        <v>1</v>
      </c>
      <c r="P24" s="139">
        <v>1</v>
      </c>
      <c r="Q24" s="139">
        <v>1</v>
      </c>
      <c r="R24" s="139" t="s">
        <v>233</v>
      </c>
      <c r="S24" s="139" t="s">
        <v>383</v>
      </c>
      <c r="T24" s="139" t="s">
        <v>365</v>
      </c>
      <c r="U24" s="140" t="s">
        <v>400</v>
      </c>
    </row>
    <row r="25" spans="1:21" s="138" customFormat="1" ht="28" x14ac:dyDescent="0.15">
      <c r="A25" s="134">
        <v>60027</v>
      </c>
      <c r="B25" s="135" t="str">
        <f ca="1">VLOOKUP($A25,OFFSET([2]quests!$A$1,0,0,COUNTA([2]quests!$A:$A),MATCH(B$1,[2]quests!$1:$1,0)-MATCH($A$1,[2]quests!$1:$1,0)+1),MATCH(B$1,[2]quests!$1:$1,0)-MATCH($A$1,[2]quests!$1:$1,0)+1,FALSE)</f>
        <v>チューリングチャレンジ</v>
      </c>
      <c r="C25" s="135" t="str">
        <f ca="1">VLOOKUP($A25,OFFSET([2]quests!$A$1,0,0,COUNTA([2]quests!$A:$A),MATCH(C$1,[2]quests!$1:$1,0)-MATCH($A$1,[2]quests!$1:$1,0)+1),MATCH(C$1,[2]quests!$1:$1,0)-MATCH($A$1,[2]quests!$1:$1,0)+1,FALSE)</f>
        <v>ランキング6（再開催）</v>
      </c>
      <c r="D25" s="134">
        <v>4</v>
      </c>
      <c r="E25" s="136">
        <v>5</v>
      </c>
      <c r="F25" s="137" t="str">
        <f t="shared" si="1"/>
        <v>600270005</v>
      </c>
      <c r="G25" s="138" t="str">
        <f>F25&amp;TEXT(COUNTIF(F$2:F25,F25),"00")</f>
        <v>60027000506</v>
      </c>
      <c r="H25" s="139" t="s">
        <v>367</v>
      </c>
      <c r="I25" s="139">
        <v>5</v>
      </c>
      <c r="J25" s="139" t="s">
        <v>53</v>
      </c>
      <c r="K25" s="139">
        <v>0</v>
      </c>
      <c r="L25" s="139">
        <v>0</v>
      </c>
      <c r="M25" s="139">
        <v>0</v>
      </c>
      <c r="N25" s="139">
        <v>0</v>
      </c>
      <c r="O25" s="139">
        <v>1</v>
      </c>
      <c r="P25" s="139">
        <v>1</v>
      </c>
      <c r="Q25" s="139">
        <v>1</v>
      </c>
      <c r="R25" s="139" t="s">
        <v>233</v>
      </c>
      <c r="S25" s="139" t="s">
        <v>376</v>
      </c>
      <c r="T25" s="139" t="s">
        <v>365</v>
      </c>
      <c r="U25" s="140" t="s">
        <v>400</v>
      </c>
    </row>
    <row r="26" spans="1:21" s="138" customFormat="1" ht="28" x14ac:dyDescent="0.15">
      <c r="A26" s="134">
        <v>60027</v>
      </c>
      <c r="B26" s="135" t="str">
        <f ca="1">VLOOKUP($A26,OFFSET([2]quests!$A$1,0,0,COUNTA([2]quests!$A:$A),MATCH(B$1,[2]quests!$1:$1,0)-MATCH($A$1,[2]quests!$1:$1,0)+1),MATCH(B$1,[2]quests!$1:$1,0)-MATCH($A$1,[2]quests!$1:$1,0)+1,FALSE)</f>
        <v>チューリングチャレンジ</v>
      </c>
      <c r="C26" s="135" t="str">
        <f ca="1">VLOOKUP($A26,OFFSET([2]quests!$A$1,0,0,COUNTA([2]quests!$A:$A),MATCH(C$1,[2]quests!$1:$1,0)-MATCH($A$1,[2]quests!$1:$1,0)+1),MATCH(C$1,[2]quests!$1:$1,0)-MATCH($A$1,[2]quests!$1:$1,0)+1,FALSE)</f>
        <v>ランキング6（再開催）</v>
      </c>
      <c r="D26" s="134">
        <v>4</v>
      </c>
      <c r="E26" s="136">
        <v>5</v>
      </c>
      <c r="F26" s="137" t="str">
        <f t="shared" si="1"/>
        <v>600270005</v>
      </c>
      <c r="G26" s="138" t="str">
        <f>F26&amp;TEXT(COUNTIF(F$2:F26,F26),"00")</f>
        <v>60027000507</v>
      </c>
      <c r="H26" s="139" t="s">
        <v>386</v>
      </c>
      <c r="I26" s="139">
        <v>2000</v>
      </c>
      <c r="J26" s="139" t="s">
        <v>53</v>
      </c>
      <c r="K26" s="139">
        <v>0</v>
      </c>
      <c r="L26" s="139">
        <v>0</v>
      </c>
      <c r="M26" s="139">
        <v>0</v>
      </c>
      <c r="N26" s="139">
        <v>0</v>
      </c>
      <c r="O26" s="139">
        <v>1</v>
      </c>
      <c r="P26" s="139">
        <v>1</v>
      </c>
      <c r="Q26" s="139">
        <v>1</v>
      </c>
      <c r="R26" s="139" t="s">
        <v>233</v>
      </c>
      <c r="S26" s="139" t="s">
        <v>387</v>
      </c>
      <c r="T26" s="139" t="s">
        <v>365</v>
      </c>
      <c r="U26" s="140" t="s">
        <v>400</v>
      </c>
    </row>
    <row r="27" spans="1:21" s="138" customFormat="1" ht="28" x14ac:dyDescent="0.15">
      <c r="A27" s="134">
        <v>60027</v>
      </c>
      <c r="B27" s="135" t="str">
        <f ca="1">VLOOKUP($A27,OFFSET([2]quests!$A$1,0,0,COUNTA([2]quests!$A:$A),MATCH(B$1,[2]quests!$1:$1,0)-MATCH($A$1,[2]quests!$1:$1,0)+1),MATCH(B$1,[2]quests!$1:$1,0)-MATCH($A$1,[2]quests!$1:$1,0)+1,FALSE)</f>
        <v>チューリングチャレンジ</v>
      </c>
      <c r="C27" s="135" t="str">
        <f ca="1">VLOOKUP($A27,OFFSET([2]quests!$A$1,0,0,COUNTA([2]quests!$A:$A),MATCH(C$1,[2]quests!$1:$1,0)-MATCH($A$1,[2]quests!$1:$1,0)+1),MATCH(C$1,[2]quests!$1:$1,0)-MATCH($A$1,[2]quests!$1:$1,0)+1,FALSE)</f>
        <v>ランキング6（再開催）</v>
      </c>
      <c r="D27" s="134">
        <v>6</v>
      </c>
      <c r="E27" s="136">
        <v>10</v>
      </c>
      <c r="F27" s="137" t="str">
        <f>A27&amp;TEXT(E27,"0000")</f>
        <v>600270010</v>
      </c>
      <c r="G27" s="138" t="str">
        <f>F27&amp;TEXT(COUNTIF(F$2:F27,F27),"00")</f>
        <v>60027001001</v>
      </c>
      <c r="H27" s="139" t="s">
        <v>363</v>
      </c>
      <c r="I27" s="139">
        <v>600</v>
      </c>
      <c r="J27" s="139">
        <v>1</v>
      </c>
      <c r="K27" s="139">
        <v>0</v>
      </c>
      <c r="L27" s="139">
        <v>0</v>
      </c>
      <c r="M27" s="139">
        <v>0</v>
      </c>
      <c r="N27" s="139">
        <v>0</v>
      </c>
      <c r="O27" s="139">
        <v>1</v>
      </c>
      <c r="P27" s="139">
        <v>1</v>
      </c>
      <c r="Q27" s="139">
        <v>1</v>
      </c>
      <c r="R27" s="139" t="s">
        <v>233</v>
      </c>
      <c r="S27" s="139" t="s">
        <v>375</v>
      </c>
      <c r="T27" s="139" t="s">
        <v>365</v>
      </c>
      <c r="U27" s="140" t="s">
        <v>400</v>
      </c>
    </row>
    <row r="28" spans="1:21" s="138" customFormat="1" ht="28" x14ac:dyDescent="0.15">
      <c r="A28" s="134">
        <v>60027</v>
      </c>
      <c r="B28" s="135" t="str">
        <f ca="1">VLOOKUP($A28,OFFSET([2]quests!$A$1,0,0,COUNTA([2]quests!$A:$A),MATCH(B$1,[2]quests!$1:$1,0)-MATCH($A$1,[2]quests!$1:$1,0)+1),MATCH(B$1,[2]quests!$1:$1,0)-MATCH($A$1,[2]quests!$1:$1,0)+1,FALSE)</f>
        <v>チューリングチャレンジ</v>
      </c>
      <c r="C28" s="135" t="str">
        <f ca="1">VLOOKUP($A28,OFFSET([2]quests!$A$1,0,0,COUNTA([2]quests!$A:$A),MATCH(C$1,[2]quests!$1:$1,0)-MATCH($A$1,[2]quests!$1:$1,0)+1),MATCH(C$1,[2]quests!$1:$1,0)-MATCH($A$1,[2]quests!$1:$1,0)+1,FALSE)</f>
        <v>ランキング6（再開催）</v>
      </c>
      <c r="D28" s="134">
        <v>6</v>
      </c>
      <c r="E28" s="136">
        <v>10</v>
      </c>
      <c r="F28" s="137" t="str">
        <f t="shared" ref="F28:F42" si="2">A28&amp;TEXT(E28,"0000")</f>
        <v>600270010</v>
      </c>
      <c r="G28" s="138" t="str">
        <f>F28&amp;TEXT(COUNTIF(F$2:F28,F28),"00")</f>
        <v>60027001002</v>
      </c>
      <c r="H28" s="139" t="s">
        <v>232</v>
      </c>
      <c r="I28" s="139">
        <v>334</v>
      </c>
      <c r="J28" s="139">
        <v>1</v>
      </c>
      <c r="K28" s="139">
        <v>0</v>
      </c>
      <c r="L28" s="139">
        <v>0</v>
      </c>
      <c r="M28" s="139">
        <v>0</v>
      </c>
      <c r="N28" s="139">
        <v>0</v>
      </c>
      <c r="O28" s="139">
        <v>1</v>
      </c>
      <c r="P28" s="139">
        <v>1</v>
      </c>
      <c r="Q28" s="139">
        <v>1</v>
      </c>
      <c r="R28" s="139" t="s">
        <v>233</v>
      </c>
      <c r="S28" s="139" t="s">
        <v>388</v>
      </c>
      <c r="T28" s="139" t="s">
        <v>365</v>
      </c>
      <c r="U28" s="140" t="s">
        <v>400</v>
      </c>
    </row>
    <row r="29" spans="1:21" s="138" customFormat="1" ht="28" x14ac:dyDescent="0.15">
      <c r="A29" s="134">
        <v>60027</v>
      </c>
      <c r="B29" s="135" t="str">
        <f ca="1">VLOOKUP($A29,OFFSET([2]quests!$A$1,0,0,COUNTA([2]quests!$A:$A),MATCH(B$1,[2]quests!$1:$1,0)-MATCH($A$1,[2]quests!$1:$1,0)+1),MATCH(B$1,[2]quests!$1:$1,0)-MATCH($A$1,[2]quests!$1:$1,0)+1,FALSE)</f>
        <v>チューリングチャレンジ</v>
      </c>
      <c r="C29" s="135" t="str">
        <f ca="1">VLOOKUP($A29,OFFSET([2]quests!$A$1,0,0,COUNTA([2]quests!$A:$A),MATCH(C$1,[2]quests!$1:$1,0)-MATCH($A$1,[2]quests!$1:$1,0)+1),MATCH(C$1,[2]quests!$1:$1,0)-MATCH($A$1,[2]quests!$1:$1,0)+1,FALSE)</f>
        <v>ランキング6（再開催）</v>
      </c>
      <c r="D29" s="134">
        <v>6</v>
      </c>
      <c r="E29" s="136">
        <v>10</v>
      </c>
      <c r="F29" s="137" t="str">
        <f t="shared" si="2"/>
        <v>600270010</v>
      </c>
      <c r="G29" s="138" t="str">
        <f>F29&amp;TEXT(COUNTIF(F$2:F29,F29),"00")</f>
        <v>60027001003</v>
      </c>
      <c r="H29" s="139" t="s">
        <v>232</v>
      </c>
      <c r="I29" s="139">
        <v>338</v>
      </c>
      <c r="J29" s="139">
        <v>1</v>
      </c>
      <c r="K29" s="139">
        <v>0</v>
      </c>
      <c r="L29" s="139">
        <v>0</v>
      </c>
      <c r="M29" s="139">
        <v>0</v>
      </c>
      <c r="N29" s="139">
        <v>0</v>
      </c>
      <c r="O29" s="139">
        <v>1</v>
      </c>
      <c r="P29" s="139">
        <v>1</v>
      </c>
      <c r="Q29" s="139">
        <v>1</v>
      </c>
      <c r="R29" s="139" t="s">
        <v>233</v>
      </c>
      <c r="S29" s="139" t="s">
        <v>389</v>
      </c>
      <c r="T29" s="139" t="s">
        <v>365</v>
      </c>
      <c r="U29" s="140" t="s">
        <v>400</v>
      </c>
    </row>
    <row r="30" spans="1:21" s="138" customFormat="1" ht="28" x14ac:dyDescent="0.15">
      <c r="A30" s="134">
        <v>60027</v>
      </c>
      <c r="B30" s="135" t="str">
        <f ca="1">VLOOKUP($A30,OFFSET([2]quests!$A$1,0,0,COUNTA([2]quests!$A:$A),MATCH(B$1,[2]quests!$1:$1,0)-MATCH($A$1,[2]quests!$1:$1,0)+1),MATCH(B$1,[2]quests!$1:$1,0)-MATCH($A$1,[2]quests!$1:$1,0)+1,FALSE)</f>
        <v>チューリングチャレンジ</v>
      </c>
      <c r="C30" s="135" t="str">
        <f ca="1">VLOOKUP($A30,OFFSET([2]quests!$A$1,0,0,COUNTA([2]quests!$A:$A),MATCH(C$1,[2]quests!$1:$1,0)-MATCH($A$1,[2]quests!$1:$1,0)+1),MATCH(C$1,[2]quests!$1:$1,0)-MATCH($A$1,[2]quests!$1:$1,0)+1,FALSE)</f>
        <v>ランキング6（再開催）</v>
      </c>
      <c r="D30" s="134">
        <v>6</v>
      </c>
      <c r="E30" s="136">
        <v>10</v>
      </c>
      <c r="F30" s="137" t="str">
        <f t="shared" si="2"/>
        <v>600270010</v>
      </c>
      <c r="G30" s="138" t="str">
        <f>F30&amp;TEXT(COUNTIF(F$2:F30,F30),"00")</f>
        <v>60027001004</v>
      </c>
      <c r="H30" s="139" t="s">
        <v>232</v>
      </c>
      <c r="I30" s="139">
        <v>342</v>
      </c>
      <c r="J30" s="139">
        <v>1</v>
      </c>
      <c r="K30" s="139">
        <v>0</v>
      </c>
      <c r="L30" s="139">
        <v>0</v>
      </c>
      <c r="M30" s="139">
        <v>0</v>
      </c>
      <c r="N30" s="139">
        <v>0</v>
      </c>
      <c r="O30" s="139">
        <v>1</v>
      </c>
      <c r="P30" s="139">
        <v>1</v>
      </c>
      <c r="Q30" s="139">
        <v>1</v>
      </c>
      <c r="R30" s="139" t="s">
        <v>233</v>
      </c>
      <c r="S30" s="139" t="s">
        <v>390</v>
      </c>
      <c r="T30" s="139" t="s">
        <v>365</v>
      </c>
      <c r="U30" s="140" t="s">
        <v>400</v>
      </c>
    </row>
    <row r="31" spans="1:21" s="138" customFormat="1" ht="28" x14ac:dyDescent="0.15">
      <c r="A31" s="134">
        <v>60027</v>
      </c>
      <c r="B31" s="135" t="str">
        <f ca="1">VLOOKUP($A31,OFFSET([2]quests!$A$1,0,0,COUNTA([2]quests!$A:$A),MATCH(B$1,[2]quests!$1:$1,0)-MATCH($A$1,[2]quests!$1:$1,0)+1),MATCH(B$1,[2]quests!$1:$1,0)-MATCH($A$1,[2]quests!$1:$1,0)+1,FALSE)</f>
        <v>チューリングチャレンジ</v>
      </c>
      <c r="C31" s="135" t="str">
        <f ca="1">VLOOKUP($A31,OFFSET([2]quests!$A$1,0,0,COUNTA([2]quests!$A:$A),MATCH(C$1,[2]quests!$1:$1,0)-MATCH($A$1,[2]quests!$1:$1,0)+1),MATCH(C$1,[2]quests!$1:$1,0)-MATCH($A$1,[2]quests!$1:$1,0)+1,FALSE)</f>
        <v>ランキング6（再開催）</v>
      </c>
      <c r="D31" s="134">
        <v>6</v>
      </c>
      <c r="E31" s="136">
        <v>10</v>
      </c>
      <c r="F31" s="137" t="str">
        <f t="shared" si="2"/>
        <v>600270010</v>
      </c>
      <c r="G31" s="138" t="str">
        <f>F31&amp;TEXT(COUNTIF(F$2:F31,F31),"00")</f>
        <v>60027001005</v>
      </c>
      <c r="H31" s="139" t="s">
        <v>232</v>
      </c>
      <c r="I31" s="139">
        <v>346</v>
      </c>
      <c r="J31" s="139">
        <v>1</v>
      </c>
      <c r="K31" s="139">
        <v>0</v>
      </c>
      <c r="L31" s="139">
        <v>0</v>
      </c>
      <c r="M31" s="139">
        <v>0</v>
      </c>
      <c r="N31" s="139">
        <v>0</v>
      </c>
      <c r="O31" s="139">
        <v>1</v>
      </c>
      <c r="P31" s="139">
        <v>1</v>
      </c>
      <c r="Q31" s="139">
        <v>1</v>
      </c>
      <c r="R31" s="139" t="s">
        <v>233</v>
      </c>
      <c r="S31" s="139" t="s">
        <v>391</v>
      </c>
      <c r="T31" s="139" t="s">
        <v>365</v>
      </c>
      <c r="U31" s="140" t="s">
        <v>400</v>
      </c>
    </row>
    <row r="32" spans="1:21" s="138" customFormat="1" ht="28" x14ac:dyDescent="0.15">
      <c r="A32" s="134">
        <v>60027</v>
      </c>
      <c r="B32" s="135" t="str">
        <f ca="1">VLOOKUP($A32,OFFSET([2]quests!$A$1,0,0,COUNTA([2]quests!$A:$A),MATCH(B$1,[2]quests!$1:$1,0)-MATCH($A$1,[2]quests!$1:$1,0)+1),MATCH(B$1,[2]quests!$1:$1,0)-MATCH($A$1,[2]quests!$1:$1,0)+1,FALSE)</f>
        <v>チューリングチャレンジ</v>
      </c>
      <c r="C32" s="135" t="str">
        <f ca="1">VLOOKUP($A32,OFFSET([2]quests!$A$1,0,0,COUNTA([2]quests!$A:$A),MATCH(C$1,[2]quests!$1:$1,0)-MATCH($A$1,[2]quests!$1:$1,0)+1),MATCH(C$1,[2]quests!$1:$1,0)-MATCH($A$1,[2]quests!$1:$1,0)+1,FALSE)</f>
        <v>ランキング6（再開催）</v>
      </c>
      <c r="D32" s="134">
        <v>6</v>
      </c>
      <c r="E32" s="136">
        <v>10</v>
      </c>
      <c r="F32" s="137" t="str">
        <f t="shared" si="2"/>
        <v>600270010</v>
      </c>
      <c r="G32" s="138" t="str">
        <f>F32&amp;TEXT(COUNTIF(F$2:F32,F32),"00")</f>
        <v>60027001006</v>
      </c>
      <c r="H32" s="139" t="s">
        <v>367</v>
      </c>
      <c r="I32" s="139">
        <v>3</v>
      </c>
      <c r="J32" s="139" t="s">
        <v>53</v>
      </c>
      <c r="K32" s="139">
        <v>0</v>
      </c>
      <c r="L32" s="139">
        <v>0</v>
      </c>
      <c r="M32" s="139">
        <v>0</v>
      </c>
      <c r="N32" s="139">
        <v>0</v>
      </c>
      <c r="O32" s="139">
        <v>1</v>
      </c>
      <c r="P32" s="139">
        <v>1</v>
      </c>
      <c r="Q32" s="139">
        <v>1</v>
      </c>
      <c r="R32" s="139" t="s">
        <v>233</v>
      </c>
      <c r="S32" s="139" t="s">
        <v>392</v>
      </c>
      <c r="T32" s="139" t="s">
        <v>365</v>
      </c>
      <c r="U32" s="140" t="s">
        <v>400</v>
      </c>
    </row>
    <row r="33" spans="1:21" s="138" customFormat="1" ht="28" x14ac:dyDescent="0.15">
      <c r="A33" s="134">
        <v>60027</v>
      </c>
      <c r="B33" s="135" t="str">
        <f ca="1">VLOOKUP($A33,OFFSET([2]quests!$A$1,0,0,COUNTA([2]quests!$A:$A),MATCH(B$1,[2]quests!$1:$1,0)-MATCH($A$1,[2]quests!$1:$1,0)+1),MATCH(B$1,[2]quests!$1:$1,0)-MATCH($A$1,[2]quests!$1:$1,0)+1,FALSE)</f>
        <v>チューリングチャレンジ</v>
      </c>
      <c r="C33" s="135" t="str">
        <f ca="1">VLOOKUP($A33,OFFSET([2]quests!$A$1,0,0,COUNTA([2]quests!$A:$A),MATCH(C$1,[2]quests!$1:$1,0)-MATCH($A$1,[2]quests!$1:$1,0)+1),MATCH(C$1,[2]quests!$1:$1,0)-MATCH($A$1,[2]quests!$1:$1,0)+1,FALSE)</f>
        <v>ランキング6（再開催）</v>
      </c>
      <c r="D33" s="134">
        <v>6</v>
      </c>
      <c r="E33" s="136">
        <v>10</v>
      </c>
      <c r="F33" s="137" t="str">
        <f t="shared" si="2"/>
        <v>600270010</v>
      </c>
      <c r="G33" s="138" t="str">
        <f>F33&amp;TEXT(COUNTIF(F$2:F33,F33),"00")</f>
        <v>60027001007</v>
      </c>
      <c r="H33" s="139" t="s">
        <v>386</v>
      </c>
      <c r="I33" s="139">
        <v>2000</v>
      </c>
      <c r="J33" s="139" t="s">
        <v>53</v>
      </c>
      <c r="K33" s="139">
        <v>0</v>
      </c>
      <c r="L33" s="139">
        <v>0</v>
      </c>
      <c r="M33" s="139">
        <v>0</v>
      </c>
      <c r="N33" s="139">
        <v>0</v>
      </c>
      <c r="O33" s="139">
        <v>1</v>
      </c>
      <c r="P33" s="139">
        <v>1</v>
      </c>
      <c r="Q33" s="139">
        <v>1</v>
      </c>
      <c r="R33" s="139" t="s">
        <v>233</v>
      </c>
      <c r="S33" s="139" t="s">
        <v>387</v>
      </c>
      <c r="T33" s="139" t="s">
        <v>365</v>
      </c>
      <c r="U33" s="140" t="s">
        <v>400</v>
      </c>
    </row>
    <row r="34" spans="1:21" s="138" customFormat="1" ht="28" x14ac:dyDescent="0.15">
      <c r="A34" s="134">
        <v>60027</v>
      </c>
      <c r="B34" s="135" t="str">
        <f ca="1">VLOOKUP($A34,OFFSET([2]quests!$A$1,0,0,COUNTA([2]quests!$A:$A),MATCH(B$1,[2]quests!$1:$1,0)-MATCH($A$1,[2]quests!$1:$1,0)+1),MATCH(B$1,[2]quests!$1:$1,0)-MATCH($A$1,[2]quests!$1:$1,0)+1,FALSE)</f>
        <v>チューリングチャレンジ</v>
      </c>
      <c r="C34" s="135" t="str">
        <f ca="1">VLOOKUP($A34,OFFSET([2]quests!$A$1,0,0,COUNTA([2]quests!$A:$A),MATCH(C$1,[2]quests!$1:$1,0)-MATCH($A$1,[2]quests!$1:$1,0)+1),MATCH(C$1,[2]quests!$1:$1,0)-MATCH($A$1,[2]quests!$1:$1,0)+1,FALSE)</f>
        <v>ランキング6（再開催）</v>
      </c>
      <c r="D34" s="134">
        <v>11</v>
      </c>
      <c r="E34" s="136">
        <v>25</v>
      </c>
      <c r="F34" s="137" t="str">
        <f t="shared" si="2"/>
        <v>600270025</v>
      </c>
      <c r="G34" s="138" t="str">
        <f>F34&amp;TEXT(COUNTIF(F$2:F34,F34),"00")</f>
        <v>60027002501</v>
      </c>
      <c r="H34" s="139" t="s">
        <v>367</v>
      </c>
      <c r="I34" s="139">
        <v>3</v>
      </c>
      <c r="J34" s="139" t="s">
        <v>53</v>
      </c>
      <c r="K34" s="139">
        <v>0</v>
      </c>
      <c r="L34" s="139">
        <v>0</v>
      </c>
      <c r="M34" s="139">
        <v>0</v>
      </c>
      <c r="N34" s="139">
        <v>0</v>
      </c>
      <c r="O34" s="139">
        <v>1</v>
      </c>
      <c r="P34" s="139">
        <v>1</v>
      </c>
      <c r="Q34" s="139">
        <v>1</v>
      </c>
      <c r="R34" s="139" t="s">
        <v>233</v>
      </c>
      <c r="S34" s="139" t="s">
        <v>392</v>
      </c>
      <c r="T34" s="139" t="s">
        <v>365</v>
      </c>
      <c r="U34" s="140" t="s">
        <v>400</v>
      </c>
    </row>
    <row r="35" spans="1:21" s="138" customFormat="1" ht="28" x14ac:dyDescent="0.15">
      <c r="A35" s="134">
        <v>60027</v>
      </c>
      <c r="B35" s="135" t="str">
        <f ca="1">VLOOKUP($A35,OFFSET([2]quests!$A$1,0,0,COUNTA([2]quests!$A:$A),MATCH(B$1,[2]quests!$1:$1,0)-MATCH($A$1,[2]quests!$1:$1,0)+1),MATCH(B$1,[2]quests!$1:$1,0)-MATCH($A$1,[2]quests!$1:$1,0)+1,FALSE)</f>
        <v>チューリングチャレンジ</v>
      </c>
      <c r="C35" s="135" t="str">
        <f ca="1">VLOOKUP($A35,OFFSET([2]quests!$A$1,0,0,COUNTA([2]quests!$A:$A),MATCH(C$1,[2]quests!$1:$1,0)-MATCH($A$1,[2]quests!$1:$1,0)+1),MATCH(C$1,[2]quests!$1:$1,0)-MATCH($A$1,[2]quests!$1:$1,0)+1,FALSE)</f>
        <v>ランキング6（再開催）</v>
      </c>
      <c r="D35" s="134">
        <v>11</v>
      </c>
      <c r="E35" s="136">
        <v>25</v>
      </c>
      <c r="F35" s="137" t="str">
        <f t="shared" si="2"/>
        <v>600270025</v>
      </c>
      <c r="G35" s="138" t="str">
        <f>F35&amp;TEXT(COUNTIF(F$2:F35,F35),"00")</f>
        <v>60027002502</v>
      </c>
      <c r="H35" s="139" t="s">
        <v>386</v>
      </c>
      <c r="I35" s="139">
        <v>2000</v>
      </c>
      <c r="J35" s="139" t="s">
        <v>53</v>
      </c>
      <c r="K35" s="139">
        <v>0</v>
      </c>
      <c r="L35" s="139">
        <v>0</v>
      </c>
      <c r="M35" s="139">
        <v>0</v>
      </c>
      <c r="N35" s="139">
        <v>0</v>
      </c>
      <c r="O35" s="139">
        <v>1</v>
      </c>
      <c r="P35" s="139">
        <v>1</v>
      </c>
      <c r="Q35" s="139">
        <v>1</v>
      </c>
      <c r="R35" s="139" t="s">
        <v>233</v>
      </c>
      <c r="S35" s="139" t="s">
        <v>387</v>
      </c>
      <c r="T35" s="139" t="s">
        <v>365</v>
      </c>
      <c r="U35" s="140" t="s">
        <v>400</v>
      </c>
    </row>
    <row r="36" spans="1:21" s="138" customFormat="1" ht="28" x14ac:dyDescent="0.15">
      <c r="A36" s="134">
        <v>60027</v>
      </c>
      <c r="B36" s="135" t="str">
        <f ca="1">VLOOKUP($A36,OFFSET([2]quests!$A$1,0,0,COUNTA([2]quests!$A:$A),MATCH(B$1,[2]quests!$1:$1,0)-MATCH($A$1,[2]quests!$1:$1,0)+1),MATCH(B$1,[2]quests!$1:$1,0)-MATCH($A$1,[2]quests!$1:$1,0)+1,FALSE)</f>
        <v>チューリングチャレンジ</v>
      </c>
      <c r="C36" s="135" t="str">
        <f ca="1">VLOOKUP($A36,OFFSET([2]quests!$A$1,0,0,COUNTA([2]quests!$A:$A),MATCH(C$1,[2]quests!$1:$1,0)-MATCH($A$1,[2]quests!$1:$1,0)+1),MATCH(C$1,[2]quests!$1:$1,0)-MATCH($A$1,[2]quests!$1:$1,0)+1,FALSE)</f>
        <v>ランキング6（再開催）</v>
      </c>
      <c r="D36" s="134">
        <v>11</v>
      </c>
      <c r="E36" s="136">
        <v>25</v>
      </c>
      <c r="F36" s="137" t="str">
        <f t="shared" si="2"/>
        <v>600270025</v>
      </c>
      <c r="G36" s="138" t="str">
        <f>F36&amp;TEXT(COUNTIF(F$2:F36,F36),"00")</f>
        <v>60027002503</v>
      </c>
      <c r="H36" s="139" t="s">
        <v>393</v>
      </c>
      <c r="I36" s="139">
        <v>200000</v>
      </c>
      <c r="J36" s="139" t="s">
        <v>53</v>
      </c>
      <c r="K36" s="139">
        <v>0</v>
      </c>
      <c r="L36" s="139">
        <v>0</v>
      </c>
      <c r="M36" s="139">
        <v>0</v>
      </c>
      <c r="N36" s="139">
        <v>0</v>
      </c>
      <c r="O36" s="139">
        <v>1</v>
      </c>
      <c r="P36" s="139">
        <v>1</v>
      </c>
      <c r="Q36" s="139">
        <v>1</v>
      </c>
      <c r="R36" s="139" t="s">
        <v>233</v>
      </c>
      <c r="S36" s="139" t="s">
        <v>394</v>
      </c>
      <c r="T36" s="139" t="s">
        <v>365</v>
      </c>
      <c r="U36" s="140" t="s">
        <v>400</v>
      </c>
    </row>
    <row r="37" spans="1:21" s="138" customFormat="1" ht="28" x14ac:dyDescent="0.15">
      <c r="A37" s="134">
        <v>60027</v>
      </c>
      <c r="B37" s="135" t="str">
        <f ca="1">VLOOKUP($A37,OFFSET([2]quests!$A$1,0,0,COUNTA([2]quests!$A:$A),MATCH(B$1,[2]quests!$1:$1,0)-MATCH($A$1,[2]quests!$1:$1,0)+1),MATCH(B$1,[2]quests!$1:$1,0)-MATCH($A$1,[2]quests!$1:$1,0)+1,FALSE)</f>
        <v>チューリングチャレンジ</v>
      </c>
      <c r="C37" s="135" t="str">
        <f ca="1">VLOOKUP($A37,OFFSET([2]quests!$A$1,0,0,COUNTA([2]quests!$A:$A),MATCH(C$1,[2]quests!$1:$1,0)-MATCH($A$1,[2]quests!$1:$1,0)+1),MATCH(C$1,[2]quests!$1:$1,0)-MATCH($A$1,[2]quests!$1:$1,0)+1,FALSE)</f>
        <v>ランキング6（再開催）</v>
      </c>
      <c r="D37" s="134">
        <v>26</v>
      </c>
      <c r="E37" s="136">
        <v>35</v>
      </c>
      <c r="F37" s="137" t="str">
        <f t="shared" si="2"/>
        <v>600270035</v>
      </c>
      <c r="G37" s="138" t="str">
        <f>F37&amp;TEXT(COUNTIF(F$2:F37,F37),"00")</f>
        <v>60027003501</v>
      </c>
      <c r="H37" s="139" t="s">
        <v>367</v>
      </c>
      <c r="I37" s="139">
        <v>2</v>
      </c>
      <c r="J37" s="139" t="s">
        <v>53</v>
      </c>
      <c r="K37" s="139">
        <v>0</v>
      </c>
      <c r="L37" s="139">
        <v>0</v>
      </c>
      <c r="M37" s="139">
        <v>0</v>
      </c>
      <c r="N37" s="139">
        <v>0</v>
      </c>
      <c r="O37" s="139">
        <v>1</v>
      </c>
      <c r="P37" s="139">
        <v>1</v>
      </c>
      <c r="Q37" s="139">
        <v>1</v>
      </c>
      <c r="R37" s="139" t="s">
        <v>233</v>
      </c>
      <c r="S37" s="139" t="s">
        <v>395</v>
      </c>
      <c r="T37" s="139" t="s">
        <v>365</v>
      </c>
      <c r="U37" s="140" t="s">
        <v>400</v>
      </c>
    </row>
    <row r="38" spans="1:21" s="138" customFormat="1" ht="28" x14ac:dyDescent="0.15">
      <c r="A38" s="134">
        <v>60027</v>
      </c>
      <c r="B38" s="135" t="str">
        <f ca="1">VLOOKUP($A38,OFFSET([2]quests!$A$1,0,0,COUNTA([2]quests!$A:$A),MATCH(B$1,[2]quests!$1:$1,0)-MATCH($A$1,[2]quests!$1:$1,0)+1),MATCH(B$1,[2]quests!$1:$1,0)-MATCH($A$1,[2]quests!$1:$1,0)+1,FALSE)</f>
        <v>チューリングチャレンジ</v>
      </c>
      <c r="C38" s="135" t="str">
        <f ca="1">VLOOKUP($A38,OFFSET([2]quests!$A$1,0,0,COUNTA([2]quests!$A:$A),MATCH(C$1,[2]quests!$1:$1,0)-MATCH($A$1,[2]quests!$1:$1,0)+1),MATCH(C$1,[2]quests!$1:$1,0)-MATCH($A$1,[2]quests!$1:$1,0)+1,FALSE)</f>
        <v>ランキング6（再開催）</v>
      </c>
      <c r="D38" s="134">
        <v>26</v>
      </c>
      <c r="E38" s="136">
        <v>35</v>
      </c>
      <c r="F38" s="137" t="str">
        <f t="shared" si="2"/>
        <v>600270035</v>
      </c>
      <c r="G38" s="138" t="str">
        <f>F38&amp;TEXT(COUNTIF(F$2:F38,F38),"00")</f>
        <v>60027003502</v>
      </c>
      <c r="H38" s="139" t="s">
        <v>386</v>
      </c>
      <c r="I38" s="139">
        <v>1000</v>
      </c>
      <c r="J38" s="139" t="s">
        <v>53</v>
      </c>
      <c r="K38" s="139">
        <v>0</v>
      </c>
      <c r="L38" s="139">
        <v>0</v>
      </c>
      <c r="M38" s="139">
        <v>0</v>
      </c>
      <c r="N38" s="139">
        <v>0</v>
      </c>
      <c r="O38" s="139">
        <v>1</v>
      </c>
      <c r="P38" s="139">
        <v>1</v>
      </c>
      <c r="Q38" s="139">
        <v>1</v>
      </c>
      <c r="R38" s="139" t="s">
        <v>233</v>
      </c>
      <c r="S38" s="139" t="s">
        <v>396</v>
      </c>
      <c r="T38" s="139" t="s">
        <v>365</v>
      </c>
      <c r="U38" s="140" t="s">
        <v>400</v>
      </c>
    </row>
    <row r="39" spans="1:21" s="138" customFormat="1" ht="28" x14ac:dyDescent="0.15">
      <c r="A39" s="134">
        <v>60027</v>
      </c>
      <c r="B39" s="135" t="str">
        <f ca="1">VLOOKUP($A39,OFFSET([2]quests!$A$1,0,0,COUNTA([2]quests!$A:$A),MATCH(B$1,[2]quests!$1:$1,0)-MATCH($A$1,[2]quests!$1:$1,0)+1),MATCH(B$1,[2]quests!$1:$1,0)-MATCH($A$1,[2]quests!$1:$1,0)+1,FALSE)</f>
        <v>チューリングチャレンジ</v>
      </c>
      <c r="C39" s="135" t="str">
        <f ca="1">VLOOKUP($A39,OFFSET([2]quests!$A$1,0,0,COUNTA([2]quests!$A:$A),MATCH(C$1,[2]quests!$1:$1,0)-MATCH($A$1,[2]quests!$1:$1,0)+1),MATCH(C$1,[2]quests!$1:$1,0)-MATCH($A$1,[2]quests!$1:$1,0)+1,FALSE)</f>
        <v>ランキング6（再開催）</v>
      </c>
      <c r="D39" s="134">
        <v>26</v>
      </c>
      <c r="E39" s="136">
        <v>35</v>
      </c>
      <c r="F39" s="137" t="str">
        <f t="shared" si="2"/>
        <v>600270035</v>
      </c>
      <c r="G39" s="138" t="str">
        <f>F39&amp;TEXT(COUNTIF(F$2:F39,F39),"00")</f>
        <v>60027003503</v>
      </c>
      <c r="H39" s="139" t="s">
        <v>393</v>
      </c>
      <c r="I39" s="139">
        <v>150000</v>
      </c>
      <c r="J39" s="139" t="s">
        <v>53</v>
      </c>
      <c r="K39" s="139">
        <v>0</v>
      </c>
      <c r="L39" s="139">
        <v>0</v>
      </c>
      <c r="M39" s="139">
        <v>0</v>
      </c>
      <c r="N39" s="139">
        <v>0</v>
      </c>
      <c r="O39" s="139">
        <v>1</v>
      </c>
      <c r="P39" s="139">
        <v>1</v>
      </c>
      <c r="Q39" s="139">
        <v>1</v>
      </c>
      <c r="R39" s="139" t="s">
        <v>233</v>
      </c>
      <c r="S39" s="139" t="s">
        <v>397</v>
      </c>
      <c r="T39" s="139" t="s">
        <v>365</v>
      </c>
      <c r="U39" s="140" t="s">
        <v>400</v>
      </c>
    </row>
    <row r="40" spans="1:21" s="138" customFormat="1" ht="28" x14ac:dyDescent="0.15">
      <c r="A40" s="134">
        <v>60027</v>
      </c>
      <c r="B40" s="135" t="str">
        <f ca="1">VLOOKUP($A40,OFFSET([2]quests!$A$1,0,0,COUNTA([2]quests!$A:$A),MATCH(B$1,[2]quests!$1:$1,0)-MATCH($A$1,[2]quests!$1:$1,0)+1),MATCH(B$1,[2]quests!$1:$1,0)-MATCH($A$1,[2]quests!$1:$1,0)+1,FALSE)</f>
        <v>チューリングチャレンジ</v>
      </c>
      <c r="C40" s="135" t="str">
        <f ca="1">VLOOKUP($A40,OFFSET([2]quests!$A$1,0,0,COUNTA([2]quests!$A:$A),MATCH(C$1,[2]quests!$1:$1,0)-MATCH($A$1,[2]quests!$1:$1,0)+1),MATCH(C$1,[2]quests!$1:$1,0)-MATCH($A$1,[2]quests!$1:$1,0)+1,FALSE)</f>
        <v>ランキング6（再開催）</v>
      </c>
      <c r="D40" s="134">
        <v>36</v>
      </c>
      <c r="E40" s="136">
        <v>1000</v>
      </c>
      <c r="F40" s="137" t="str">
        <f t="shared" si="2"/>
        <v>600271000</v>
      </c>
      <c r="G40" s="138" t="str">
        <f>F40&amp;TEXT(COUNTIF(F$2:F40,F40),"00")</f>
        <v>60027100001</v>
      </c>
      <c r="H40" s="139" t="s">
        <v>367</v>
      </c>
      <c r="I40" s="139">
        <v>1</v>
      </c>
      <c r="J40" s="139" t="s">
        <v>53</v>
      </c>
      <c r="K40" s="139">
        <v>0</v>
      </c>
      <c r="L40" s="139">
        <v>0</v>
      </c>
      <c r="M40" s="139">
        <v>0</v>
      </c>
      <c r="N40" s="139">
        <v>0</v>
      </c>
      <c r="O40" s="139">
        <v>1</v>
      </c>
      <c r="P40" s="139">
        <v>1</v>
      </c>
      <c r="Q40" s="139">
        <v>1</v>
      </c>
      <c r="R40" s="139" t="s">
        <v>233</v>
      </c>
      <c r="S40" s="139" t="s">
        <v>398</v>
      </c>
      <c r="T40" s="139" t="s">
        <v>365</v>
      </c>
      <c r="U40" s="140" t="s">
        <v>400</v>
      </c>
    </row>
    <row r="41" spans="1:21" s="138" customFormat="1" ht="28" x14ac:dyDescent="0.15">
      <c r="A41" s="134">
        <v>60027</v>
      </c>
      <c r="B41" s="135" t="str">
        <f ca="1">VLOOKUP($A41,OFFSET([2]quests!$A$1,0,0,COUNTA([2]quests!$A:$A),MATCH(B$1,[2]quests!$1:$1,0)-MATCH($A$1,[2]quests!$1:$1,0)+1),MATCH(B$1,[2]quests!$1:$1,0)-MATCH($A$1,[2]quests!$1:$1,0)+1,FALSE)</f>
        <v>チューリングチャレンジ</v>
      </c>
      <c r="C41" s="135" t="str">
        <f ca="1">VLOOKUP($A41,OFFSET([2]quests!$A$1,0,0,COUNTA([2]quests!$A:$A),MATCH(C$1,[2]quests!$1:$1,0)-MATCH($A$1,[2]quests!$1:$1,0)+1),MATCH(C$1,[2]quests!$1:$1,0)-MATCH($A$1,[2]quests!$1:$1,0)+1,FALSE)</f>
        <v>ランキング6（再開催）</v>
      </c>
      <c r="D41" s="134">
        <v>36</v>
      </c>
      <c r="E41" s="136">
        <v>1000</v>
      </c>
      <c r="F41" s="137" t="str">
        <f t="shared" si="2"/>
        <v>600271000</v>
      </c>
      <c r="G41" s="138" t="str">
        <f>F41&amp;TEXT(COUNTIF(F$2:F41,F41),"00")</f>
        <v>60027100002</v>
      </c>
      <c r="H41" s="139" t="s">
        <v>386</v>
      </c>
      <c r="I41" s="139">
        <v>1000</v>
      </c>
      <c r="J41" s="139" t="s">
        <v>53</v>
      </c>
      <c r="K41" s="139">
        <v>0</v>
      </c>
      <c r="L41" s="139">
        <v>0</v>
      </c>
      <c r="M41" s="139">
        <v>0</v>
      </c>
      <c r="N41" s="139">
        <v>0</v>
      </c>
      <c r="O41" s="139">
        <v>1</v>
      </c>
      <c r="P41" s="139">
        <v>1</v>
      </c>
      <c r="Q41" s="139">
        <v>1</v>
      </c>
      <c r="R41" s="139" t="s">
        <v>233</v>
      </c>
      <c r="S41" s="139" t="s">
        <v>396</v>
      </c>
      <c r="T41" s="139" t="s">
        <v>365</v>
      </c>
      <c r="U41" s="140" t="s">
        <v>400</v>
      </c>
    </row>
    <row r="42" spans="1:21" s="138" customFormat="1" ht="28" x14ac:dyDescent="0.15">
      <c r="A42" s="134">
        <v>60027</v>
      </c>
      <c r="B42" s="135" t="str">
        <f ca="1">VLOOKUP($A42,OFFSET([2]quests!$A$1,0,0,COUNTA([2]quests!$A:$A),MATCH(B$1,[2]quests!$1:$1,0)-MATCH($A$1,[2]quests!$1:$1,0)+1),MATCH(B$1,[2]quests!$1:$1,0)-MATCH($A$1,[2]quests!$1:$1,0)+1,FALSE)</f>
        <v>チューリングチャレンジ</v>
      </c>
      <c r="C42" s="135" t="str">
        <f ca="1">VLOOKUP($A42,OFFSET([2]quests!$A$1,0,0,COUNTA([2]quests!$A:$A),MATCH(C$1,[2]quests!$1:$1,0)-MATCH($A$1,[2]quests!$1:$1,0)+1),MATCH(C$1,[2]quests!$1:$1,0)-MATCH($A$1,[2]quests!$1:$1,0)+1,FALSE)</f>
        <v>ランキング6（再開催）</v>
      </c>
      <c r="D42" s="134">
        <v>36</v>
      </c>
      <c r="E42" s="136">
        <v>1000</v>
      </c>
      <c r="F42" s="137" t="str">
        <f t="shared" si="2"/>
        <v>600271000</v>
      </c>
      <c r="G42" s="138" t="str">
        <f>F42&amp;TEXT(COUNTIF(F$2:F42,F42),"00")</f>
        <v>60027100003</v>
      </c>
      <c r="H42" s="139" t="s">
        <v>393</v>
      </c>
      <c r="I42" s="139">
        <v>100000</v>
      </c>
      <c r="J42" s="139" t="s">
        <v>53</v>
      </c>
      <c r="K42" s="139">
        <v>0</v>
      </c>
      <c r="L42" s="139">
        <v>0</v>
      </c>
      <c r="M42" s="139">
        <v>0</v>
      </c>
      <c r="N42" s="139">
        <v>0</v>
      </c>
      <c r="O42" s="139">
        <v>1</v>
      </c>
      <c r="P42" s="139">
        <v>1</v>
      </c>
      <c r="Q42" s="139">
        <v>1</v>
      </c>
      <c r="R42" s="139" t="s">
        <v>233</v>
      </c>
      <c r="S42" s="139" t="s">
        <v>399</v>
      </c>
      <c r="T42" s="139" t="s">
        <v>365</v>
      </c>
      <c r="U42" s="140" t="s">
        <v>400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5" sqref="W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>B2&amp;"_"&amp;C2&amp;"-"&amp;G2&amp;"/"&amp;L2&amp;"&lt;lv"&amp;R2&amp;"&gt;s"&amp;AA2</f>
        <v>60027_1-1/487&lt;lv80&gt;s2</v>
      </c>
      <c r="B2" s="22">
        <v>60027</v>
      </c>
      <c r="C2" s="21">
        <v>1</v>
      </c>
      <c r="D2" s="2" t="str">
        <f>B2&amp;"_"&amp;C2</f>
        <v>60027_1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1</v>
      </c>
      <c r="H2" s="15" t="str">
        <f>B2&amp;"_"&amp;C2&amp;"-"&amp;G2</f>
        <v>60027_1-1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487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暴創の造物 チューリング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0.5</v>
      </c>
      <c r="T2" s="25">
        <v>0.5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60027001</v>
      </c>
      <c r="X2" s="6">
        <v>0</v>
      </c>
      <c r="Y2" s="6">
        <v>100</v>
      </c>
      <c r="Z2" s="6">
        <v>0</v>
      </c>
      <c r="AA2" s="17">
        <v>2</v>
      </c>
      <c r="AB2" s="24">
        <f>L2</f>
        <v>487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>B3&amp;"_"&amp;C3&amp;"-"&amp;G3&amp;"/"&amp;L3&amp;"&lt;lv"&amp;R3&amp;"&gt;s"&amp;AA3</f>
        <v>60027_1-2/161&lt;lv80&gt;s1</v>
      </c>
      <c r="B3" s="22">
        <v>60027</v>
      </c>
      <c r="C3" s="21">
        <v>1</v>
      </c>
      <c r="D3" s="2" t="str">
        <f>B3&amp;"_"&amp;C3</f>
        <v>60027_1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2</v>
      </c>
      <c r="H3" s="15" t="str">
        <f>B3&amp;"_"&amp;C3&amp;"-"&amp;G3</f>
        <v>60027_1-2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161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咆哮の先導者 クリエ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0.7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バランスタイプのユニットに30ターンスキルバインド</v>
      </c>
      <c r="W3" s="4">
        <v>60027002</v>
      </c>
      <c r="X3" s="6">
        <v>1</v>
      </c>
      <c r="Y3" s="6">
        <v>100</v>
      </c>
      <c r="Z3" s="6">
        <v>1</v>
      </c>
      <c r="AA3" s="17">
        <v>1</v>
      </c>
      <c r="AB3" s="24">
        <f>L3</f>
        <v>161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" s="7">
        <v>1</v>
      </c>
      <c r="AG3" s="24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>B4&amp;"_"&amp;C4&amp;"-"&amp;G4&amp;"/"&amp;L4&amp;"&lt;lv"&amp;R4&amp;"&gt;s"&amp;AA4</f>
        <v>60027_1-2/28&lt;lv80&gt;s2</v>
      </c>
      <c r="B4" s="22">
        <v>60027</v>
      </c>
      <c r="C4" s="21">
        <v>1</v>
      </c>
      <c r="D4" s="2" t="str">
        <f>B4&amp;"_"&amp;C4</f>
        <v>60027_1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2</v>
      </c>
      <c r="H4" s="15" t="str">
        <f>B4&amp;"_"&amp;C4&amp;"-"&amp;G4</f>
        <v>60027_1-2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現場急行 パトラインカスタム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4</v>
      </c>
      <c r="T4" s="25">
        <v>1.7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クリティカル！+行動頻度を1に変更</v>
      </c>
      <c r="W4" s="4">
        <v>60027003</v>
      </c>
      <c r="X4" s="6">
        <v>2</v>
      </c>
      <c r="Y4" s="6">
        <v>100</v>
      </c>
      <c r="Z4" s="6">
        <v>0</v>
      </c>
      <c r="AA4" s="17">
        <v>2</v>
      </c>
      <c r="AB4" s="24">
        <f>L4</f>
        <v>28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ca="1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ref="A5:A8" si="0">B5&amp;"_"&amp;C5&amp;"-"&amp;G5&amp;"/"&amp;L5&amp;"&lt;lv"&amp;R5&amp;"&gt;s"&amp;AA5</f>
        <v>60027_1-3/254&lt;lv80&gt;s2</v>
      </c>
      <c r="B5" s="22">
        <v>60027</v>
      </c>
      <c r="C5" s="21">
        <v>1</v>
      </c>
      <c r="D5" s="2" t="str">
        <f t="shared" ref="D5:D8" si="1">B5&amp;"_"&amp;C5</f>
        <v>60027_1</v>
      </c>
      <c r="E5" s="4" t="str">
        <f ca="1">VLOOKUP($B5,OFFSET([2]quests!$A$1,0,0,COUNTA([2]quests!$A:$A),MATCH(E$1,[2]quests!$1:$1,0)-MATCH($B$1,[2]quests!$1:$1,0)+1),MATCH(E$1,[2]quests!$1:$1,0)-MATCH($B$1,[2]quests!$1:$1,0)+1,FALSE)</f>
        <v>チューリングチャレンジ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チューリングチャレンジ</v>
      </c>
      <c r="G5" s="21">
        <v>3</v>
      </c>
      <c r="H5" s="15" t="str">
        <f t="shared" ref="H5:H8" si="2">B5&amp;"_"&amp;C5&amp;"-"&amp;G5</f>
        <v>60027_1-3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>
        <v>1</v>
      </c>
      <c r="L5" s="20">
        <v>254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怠惰 ベルフェゴール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3.2</v>
      </c>
      <c r="T5" s="25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状態異常無効+_x000D_赤パネルプロテクト+_x000D_2ターン赤パネルはプロテクトされてドロップ</v>
      </c>
      <c r="W5" s="4">
        <v>60027004</v>
      </c>
      <c r="X5" s="6">
        <v>1</v>
      </c>
      <c r="Y5" s="6">
        <v>100</v>
      </c>
      <c r="Z5" s="6">
        <v>1</v>
      </c>
      <c r="AA5" s="17">
        <v>2</v>
      </c>
      <c r="AB5" s="24">
        <f t="shared" ref="AB5:AB8" si="3">L5</f>
        <v>254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ref="AG5:AG8" ca="1" si="4">AD5</f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60027_1-4/248&lt;lv80&gt;s1</v>
      </c>
      <c r="B6" s="22">
        <v>60027</v>
      </c>
      <c r="C6" s="21">
        <v>1</v>
      </c>
      <c r="D6" s="2" t="str">
        <f t="shared" si="1"/>
        <v>60027_1</v>
      </c>
      <c r="E6" s="4" t="str">
        <f ca="1">VLOOKUP($B6,OFFSET([2]quests!$A$1,0,0,COUNTA([2]quests!$A:$A),MATCH(E$1,[2]quests!$1:$1,0)-MATCH($B$1,[2]quests!$1:$1,0)+1),MATCH(E$1,[2]quests!$1:$1,0)-MATCH($B$1,[2]quests!$1:$1,0)+1,FALSE)</f>
        <v>チューリングチャレンジ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チューリングチャレンジ</v>
      </c>
      <c r="G6" s="21">
        <v>4</v>
      </c>
      <c r="H6" s="15" t="str">
        <f t="shared" si="2"/>
        <v>60027_1-4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248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彩電の天使 ミカエル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1.5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6" s="4">
        <v>60027006</v>
      </c>
      <c r="X6" s="6">
        <v>1</v>
      </c>
      <c r="Y6" s="6">
        <v>100</v>
      </c>
      <c r="Z6" s="6">
        <v>0</v>
      </c>
      <c r="AA6" s="17">
        <v>1</v>
      </c>
      <c r="AB6" s="24">
        <f t="shared" si="3"/>
        <v>248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彩電の天使 ミカエル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ref="A7" si="5">B7&amp;"_"&amp;C7&amp;"-"&amp;G7&amp;"/"&amp;L7&amp;"&lt;lv"&amp;R7&amp;"&gt;s"&amp;AA7</f>
        <v>60027_1-4/239&lt;lv80&gt;s1</v>
      </c>
      <c r="B7" s="22">
        <v>60027</v>
      </c>
      <c r="C7" s="21">
        <v>1</v>
      </c>
      <c r="D7" s="2" t="str">
        <f t="shared" ref="D7" si="6">B7&amp;"_"&amp;C7</f>
        <v>60027_1</v>
      </c>
      <c r="E7" s="4" t="str">
        <f ca="1">VLOOKUP($B7,OFFSET([2]quests!$A$1,0,0,COUNTA([2]quests!$A:$A),MATCH(E$1,[2]quests!$1:$1,0)-MATCH($B$1,[2]quests!$1:$1,0)+1),MATCH(E$1,[2]quests!$1:$1,0)-MATCH($B$1,[2]quests!$1:$1,0)+1,FALSE)</f>
        <v>チューリングチャレンジ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チューリングチャレンジ</v>
      </c>
      <c r="G7" s="21">
        <v>4</v>
      </c>
      <c r="H7" s="15" t="str">
        <f t="shared" ref="H7" si="7">B7&amp;"_"&amp;C7&amp;"-"&amp;G7</f>
        <v>60027_1-4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239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豪炎の天使 ウリエル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1.5</v>
      </c>
      <c r="T7" s="25">
        <v>1.1000000000000001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7" s="4">
        <v>60027007</v>
      </c>
      <c r="X7" s="6">
        <v>1</v>
      </c>
      <c r="Y7" s="6">
        <v>100</v>
      </c>
      <c r="Z7" s="6">
        <v>0</v>
      </c>
      <c r="AA7" s="17">
        <v>1</v>
      </c>
      <c r="AB7" s="24">
        <f t="shared" ref="AB7" si="8">L7</f>
        <v>239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豪炎の天使 ウリエル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ref="AG7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60027_1-5/487&lt;lv80&gt;s2</v>
      </c>
      <c r="B8" s="22">
        <v>60027</v>
      </c>
      <c r="C8" s="21">
        <v>1</v>
      </c>
      <c r="D8" s="2" t="str">
        <f t="shared" si="1"/>
        <v>60027_1</v>
      </c>
      <c r="E8" s="4" t="str">
        <f ca="1">VLOOKUP($B8,OFFSET([2]quests!$A$1,0,0,COUNTA([2]quests!$A:$A),MATCH(E$1,[2]quests!$1:$1,0)-MATCH($B$1,[2]quests!$1:$1,0)+1),MATCH(E$1,[2]quests!$1:$1,0)-MATCH($B$1,[2]quests!$1:$1,0)+1,FALSE)</f>
        <v>チューリングチャレンジ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チューリングチャレンジ</v>
      </c>
      <c r="G8" s="21">
        <v>5</v>
      </c>
      <c r="H8" s="15" t="str">
        <f t="shared" si="2"/>
        <v>60027_1-5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487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暴創の造物 チューリング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3.6</v>
      </c>
      <c r="T8" s="25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8" s="4">
        <v>60027008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487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X4" sqref="X2:X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60027_1-3/255&lt;lv80&gt;sq1st2</v>
      </c>
      <c r="B2" s="22">
        <v>60027</v>
      </c>
      <c r="C2" s="21">
        <v>1</v>
      </c>
      <c r="D2" s="2" t="str">
        <f>B2&amp;"_"&amp;C2</f>
        <v>60027_1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3</v>
      </c>
      <c r="H2" s="15" t="str">
        <f>B2&amp;"_"&amp;C2&amp;"-"&amp;G2</f>
        <v>60027_1-3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>
        <v>1</v>
      </c>
      <c r="L2" s="38">
        <v>2</v>
      </c>
      <c r="M2" s="20">
        <v>255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怠惰の頂点 ベルフェゴール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3.2</v>
      </c>
      <c r="U2" s="25">
        <v>0.8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60027005</v>
      </c>
      <c r="Y2" s="70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60027_1-5/799&lt;lv80&gt;sq2st2</v>
      </c>
      <c r="B3" s="22">
        <v>60027</v>
      </c>
      <c r="C3" s="21">
        <v>1</v>
      </c>
      <c r="D3" s="2" t="str">
        <f t="shared" ref="D3:D4" si="1">B3&amp;"_"&amp;C3</f>
        <v>60027_1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5</v>
      </c>
      <c r="H3" s="15" t="str">
        <f t="shared" ref="H3:H4" si="2">B3&amp;"_"&amp;C3&amp;"-"&amp;G3</f>
        <v>60027_1-5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799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電讃の魔機 チューリング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4.4000000000000004</v>
      </c>
      <c r="U3" s="25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60027009</v>
      </c>
      <c r="Y3" s="70">
        <v>1</v>
      </c>
    </row>
    <row r="4" spans="1:25" ht="21" customHeight="1" x14ac:dyDescent="0.15">
      <c r="A4" s="16" t="str">
        <f t="shared" si="0"/>
        <v>60027_1-5/799&lt;lv80&gt;sq2st3</v>
      </c>
      <c r="B4" s="22">
        <v>60027</v>
      </c>
      <c r="C4" s="21">
        <v>1</v>
      </c>
      <c r="D4" s="2" t="str">
        <f t="shared" si="1"/>
        <v>60027_1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5</v>
      </c>
      <c r="H4" s="15" t="str">
        <f t="shared" si="2"/>
        <v>60027_1-5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799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電讃の魔機 チューリング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4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60027010</v>
      </c>
      <c r="Y4" s="70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38" sqref="F2:F3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60027001_60027000</v>
      </c>
      <c r="B2" s="47">
        <v>60027001</v>
      </c>
      <c r="C2" s="47">
        <v>60027000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エニグマ・プロテクト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状態異常無効+_x000D_緑パネルプロテクト+_x000D_2ターン緑パネルはプロテクトされてドロップ</v>
      </c>
      <c r="F2" s="47">
        <v>60027000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6" si="1">B3&amp;"_"&amp;C3</f>
        <v>60027001_60027001</v>
      </c>
      <c r="B3" s="47">
        <v>60027001</v>
      </c>
      <c r="C3" s="47">
        <v>60027001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アンチバランス・デサイファ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3" s="47">
        <v>60027001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60027001_60027002</v>
      </c>
      <c r="B4" s="47">
        <v>60027001</v>
      </c>
      <c r="C4" s="47">
        <v>60027002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エンクリプション・ガード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防御力UP</v>
      </c>
      <c r="F4" s="47">
        <v>60027002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60027002_60027010</v>
      </c>
      <c r="B5" s="47">
        <v>60027002</v>
      </c>
      <c r="C5" s="47">
        <v>60027010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バランスタイプのユニットに30ターンスキルバインド</v>
      </c>
      <c r="F5" s="47">
        <v>60027010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60027002_60027011</v>
      </c>
      <c r="B6" s="47">
        <v>60027002</v>
      </c>
      <c r="C6" s="47">
        <v>60027011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暴動宣言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2ターンSCパネル以外のCパネルを無効</v>
      </c>
      <c r="F6" s="47">
        <v>60027011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60027002_60027012</v>
      </c>
      <c r="B7" s="47">
        <v>60027002</v>
      </c>
      <c r="C7" s="47">
        <v>60027012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サウンドストーム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7" s="47">
        <v>60027012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1"/>
        <v>60027003_60027016</v>
      </c>
      <c r="B8" s="47">
        <v>60027003</v>
      </c>
      <c r="C8" s="47">
        <v>60027016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クリティカル！+行動頻度を1に変更</v>
      </c>
      <c r="F8" s="47">
        <v>60027016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1"/>
        <v>60027003_60027017</v>
      </c>
      <c r="B9" s="47">
        <v>60027003</v>
      </c>
      <c r="C9" s="47">
        <v>60027017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クリティカル！+行動頻度を2に変更</v>
      </c>
      <c r="F9" s="47">
        <v>60027017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 x14ac:dyDescent="0.15">
      <c r="A10" s="39" t="str">
        <f t="shared" si="1"/>
        <v>60027003_60027018</v>
      </c>
      <c r="B10" s="47">
        <v>60027003</v>
      </c>
      <c r="C10" s="47">
        <v>60027018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クリティカル！+行動頻度を3に変更</v>
      </c>
      <c r="F10" s="47">
        <v>60027018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60027004_60027020</v>
      </c>
      <c r="B11" s="47">
        <v>60027004</v>
      </c>
      <c r="C11" s="47">
        <v>60027020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のんびりしようよ〜…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状態異常無効+_x000D_赤パネルプロテクト+_x000D_2ターン赤パネルはプロテクトされてドロップ</v>
      </c>
      <c r="F11" s="47">
        <v>60027020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60027004_60027021</v>
      </c>
      <c r="B12" s="47">
        <v>60027004</v>
      </c>
      <c r="C12" s="47">
        <v>60027021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むにゃむにゃ…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2" s="47">
        <v>60027021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1"/>
        <v>60027004_60027022</v>
      </c>
      <c r="B13" s="47">
        <v>60027004</v>
      </c>
      <c r="C13" s="47">
        <v>60027022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ごろごろ…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1ターンSCパネル以外のCパネルを無効+_x000D_クリティカル！</v>
      </c>
      <c r="F13" s="47">
        <v>60027022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60027005_60027025</v>
      </c>
      <c r="B14" s="47">
        <v>60027005</v>
      </c>
      <c r="C14" s="47">
        <v>60027025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も〜っ、お昼寝の邪魔〜！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4" s="47">
        <v>60027025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60027005_60027026</v>
      </c>
      <c r="B15" s="47">
        <v>60027005</v>
      </c>
      <c r="C15" s="47">
        <v>60027026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目標アイツ！撃て〜！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Cパネルを吸収して全体攻撃</v>
      </c>
      <c r="F15" s="47">
        <v>60027026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2">B16&amp;"_"&amp;C16</f>
        <v>60027005_60027027</v>
      </c>
      <c r="B16" s="47">
        <v>60027005</v>
      </c>
      <c r="C16" s="47">
        <v>60027027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動けないでしょ〜？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3ターン緑・黄・青パネルを無効+_x000D_赤パネルがドロップしない</v>
      </c>
      <c r="F16" s="47">
        <v>60027027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2" customHeight="1" x14ac:dyDescent="0.15">
      <c r="A17" s="39" t="str">
        <f t="shared" si="1"/>
        <v>60027006_60027030</v>
      </c>
      <c r="B17" s="47">
        <v>60027006</v>
      </c>
      <c r="C17" s="47">
        <v>60027030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破壊対象、ロックっ！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7" s="47">
        <v>60027030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60027006_60027031</v>
      </c>
      <c r="B18" s="47">
        <v>60027006</v>
      </c>
      <c r="C18" s="47">
        <v>60027031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余剰電力放電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18" s="47">
        <v>60027031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</row>
    <row r="19" spans="1:18" ht="21" customHeight="1" x14ac:dyDescent="0.15">
      <c r="A19" s="39" t="str">
        <f t="shared" si="1"/>
        <v>60027006_60027032</v>
      </c>
      <c r="B19" s="47">
        <v>60027006</v>
      </c>
      <c r="C19" s="47">
        <v>60027032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荷電粒子斬り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60027032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60027006_60027033</v>
      </c>
      <c r="B20" s="47">
        <v>60027006</v>
      </c>
      <c r="C20" s="47">
        <v>60027033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出力限界突破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20" s="47">
        <v>60027033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60027007_60027035</v>
      </c>
      <c r="B21" s="47">
        <v>60027007</v>
      </c>
      <c r="C21" s="47">
        <v>60027035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蒸発しやがれぇぇ！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21" s="47">
        <v>60027035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60027007_60027036</v>
      </c>
      <c r="B22" s="47">
        <v>60027007</v>
      </c>
      <c r="C22" s="47">
        <v>60027036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燃え上がる炎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青パネルを赤パネルに変換</v>
      </c>
      <c r="F22" s="47">
        <v>60027036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" s="47"/>
      <c r="Q22" s="47"/>
      <c r="R22" s="47"/>
    </row>
    <row r="23" spans="1:18" ht="21" customHeight="1" x14ac:dyDescent="0.15">
      <c r="A23" s="39" t="str">
        <f t="shared" si="1"/>
        <v>60027007_60027037</v>
      </c>
      <c r="B23" s="47">
        <v>60027007</v>
      </c>
      <c r="C23" s="47">
        <v>60027037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レイジングブラスト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60027037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7"/>
      <c r="Q23" s="47"/>
      <c r="R23" s="47"/>
    </row>
    <row r="24" spans="1:18" ht="21" customHeight="1" x14ac:dyDescent="0.15">
      <c r="A24" s="39" t="str">
        <f t="shared" si="1"/>
        <v>60027007_60027038</v>
      </c>
      <c r="B24" s="47">
        <v>60027007</v>
      </c>
      <c r="C24" s="47">
        <v>60027038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暴走する鼓動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敵全体の行動頻度UP</v>
      </c>
      <c r="F24" s="47">
        <v>60027038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60027008_60027040</v>
      </c>
      <c r="B25" s="47">
        <v>60027008</v>
      </c>
      <c r="C25" s="47">
        <v>60027040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[player_ranking_grade]の対象を確認…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5" s="47">
        <v>60027040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60027008_60027041</v>
      </c>
      <c r="B26" s="47">
        <v>60027008</v>
      </c>
      <c r="C26" s="47">
        <v>60027041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ロックミサイル・スリー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3回連続攻撃+_x000D_1ターンSCパネル以外のCパネルを無効</v>
      </c>
      <c r="F26" s="47">
        <v>60027041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6" s="47"/>
      <c r="Q26" s="47"/>
      <c r="R26" s="47"/>
    </row>
    <row r="27" spans="1:18" ht="21" customHeight="1" x14ac:dyDescent="0.15">
      <c r="A27" s="39" t="str">
        <f t="shared" si="1"/>
        <v>60027008_60027042</v>
      </c>
      <c r="B27" s="47">
        <v>60027008</v>
      </c>
      <c r="C27" s="47">
        <v>60027042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3ターン青・黄・緑パネルを無効+_x000D_赤パネルがドロップしない</v>
      </c>
      <c r="F27" s="47">
        <v>60027042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47"/>
      <c r="Q27" s="47"/>
      <c r="R27" s="47"/>
    </row>
    <row r="28" spans="1:18" ht="21" customHeight="1" x14ac:dyDescent="0.15">
      <c r="A28" s="39" t="str">
        <f t="shared" ref="A28" si="3">B28&amp;"_"&amp;C28</f>
        <v>60027008_60027043</v>
      </c>
      <c r="B28" s="47">
        <v>60027008</v>
      </c>
      <c r="C28" s="47">
        <v>60027043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28" s="47">
        <v>60027043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47"/>
      <c r="Q28" s="47"/>
      <c r="R28" s="47"/>
    </row>
    <row r="29" spans="1:18" ht="21" customHeight="1" x14ac:dyDescent="0.15">
      <c r="A29" s="39" t="str">
        <f t="shared" si="1"/>
        <v>60027009_60027050</v>
      </c>
      <c r="B29" s="47">
        <v>60027009</v>
      </c>
      <c r="C29" s="47">
        <v>60027050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対象を処理します…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9" s="47">
        <v>60027050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60027009_60027051</v>
      </c>
      <c r="B30" s="47">
        <v>60027009</v>
      </c>
      <c r="C30" s="47">
        <v>60027051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6回連続攻撃+_x000D_1ターンSCパネル以外のCパネルを無効</v>
      </c>
      <c r="F30" s="47">
        <v>60027051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0" s="47"/>
      <c r="Q30" s="47"/>
      <c r="R30" s="47"/>
    </row>
    <row r="31" spans="1:18" ht="21" customHeight="1" x14ac:dyDescent="0.15">
      <c r="A31" s="39" t="str">
        <f t="shared" si="1"/>
        <v>60027009_60027052</v>
      </c>
      <c r="B31" s="47">
        <v>60027009</v>
      </c>
      <c r="C31" s="47">
        <v>60027052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プロテクト・ボマー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時限式ダメージパネル変換(最大5個)+_x000D_赤・青パネルプロテクト</v>
      </c>
      <c r="F31" s="47">
        <v>60027052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>B32&amp;"_"&amp;C32</f>
        <v>60027009_60027053</v>
      </c>
      <c r="B32" s="47">
        <v>60027009</v>
      </c>
      <c r="C32" s="47">
        <v>60027053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32" s="47">
        <v>60027053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60027010_60027060</v>
      </c>
      <c r="B33" s="47">
        <v>60027010</v>
      </c>
      <c r="C33" s="47">
        <v>60027060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全暗号解読完了…いきます…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3" s="47">
        <v>60027060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60027010_60027061</v>
      </c>
      <c r="B34" s="47">
        <v>60027010</v>
      </c>
      <c r="C34" s="47">
        <v>60027061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6回連続攻撃+_x000D_1ターンSCパネル以外のCパネルを無効</v>
      </c>
      <c r="F34" s="47">
        <v>60027061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4" s="47"/>
      <c r="Q34" s="47"/>
      <c r="R34" s="47"/>
    </row>
    <row r="35" spans="1:18" ht="21" customHeight="1" x14ac:dyDescent="0.15">
      <c r="A35" s="39" t="str">
        <f t="shared" si="1"/>
        <v>60027010_60027062</v>
      </c>
      <c r="B35" s="47">
        <v>60027010</v>
      </c>
      <c r="C35" s="47">
        <v>60027062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3ターン青・黄・緑パネルを無効+_x000D_赤パネルがドロップしない</v>
      </c>
      <c r="F35" s="47">
        <v>60027062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47"/>
      <c r="Q35" s="47"/>
      <c r="R35" s="47"/>
    </row>
    <row r="36" spans="1:18" ht="21" customHeight="1" x14ac:dyDescent="0.15">
      <c r="A36" s="39" t="str">
        <f t="shared" si="1"/>
        <v>60027010_60027063</v>
      </c>
      <c r="B36" s="47">
        <v>60027010</v>
      </c>
      <c r="C36" s="47">
        <v>60027063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翠械のラストテーゼ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攻撃力&amp;防御力をUP</v>
      </c>
      <c r="F36" s="47">
        <v>60027063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2" customHeight="1" x14ac:dyDescent="0.15">
      <c r="A37" s="39" t="str">
        <f t="shared" ref="A37" si="4">B37&amp;"_"&amp;C37</f>
        <v>60027010_60027064</v>
      </c>
      <c r="B37" s="47">
        <v>60027010</v>
      </c>
      <c r="C37" s="47">
        <v>60027064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テスト全工程、実行完了…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素晴らしい結果です…</v>
      </c>
      <c r="F37" s="47">
        <v>60027064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2" customHeight="1" x14ac:dyDescent="0.15">
      <c r="A38" s="39" t="str">
        <f t="shared" ref="A38" si="5">B38&amp;"_"&amp;C38</f>
        <v>60027010_60027065</v>
      </c>
      <c r="B38" s="47">
        <v>60027010</v>
      </c>
      <c r="C38" s="47">
        <v>60027065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38" s="47">
        <v>60027065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8" s="47"/>
      <c r="Q38" s="47"/>
      <c r="R38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8"/>
  <sheetViews>
    <sheetView showGridLines="0" zoomScale="120" zoomScaleNormal="120" zoomScalePageLayoutView="120" workbookViewId="0">
      <pane ySplit="1" topLeftCell="A23" activePane="bottomLeft" state="frozenSplit"/>
      <selection pane="bottomLeft" activeCell="C39" sqref="C3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60027000</v>
      </c>
      <c r="B2" s="149" t="s">
        <v>443</v>
      </c>
      <c r="C2" s="50">
        <v>3</v>
      </c>
      <c r="D2" s="50" t="s">
        <v>128</v>
      </c>
      <c r="E2" s="51" t="s">
        <v>323</v>
      </c>
      <c r="F2" s="150" t="s">
        <v>461</v>
      </c>
      <c r="G2" s="63" t="str">
        <f>IFERROR(LEFT(B2,FIND("],",B2)),B2)</f>
        <v>[effect:enemy_message, val2:2.8]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N2" s="48" t="str">
        <f>IFERROR(LEFT(M2,FIND("],",M2)+S5),M2)</f>
        <v>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60027001</v>
      </c>
      <c r="B3" s="47" t="s">
        <v>357</v>
      </c>
      <c r="C3" s="50">
        <v>3</v>
      </c>
      <c r="D3" s="50" t="s">
        <v>128</v>
      </c>
      <c r="E3" s="51" t="s">
        <v>354</v>
      </c>
      <c r="F3" s="51" t="s">
        <v>353</v>
      </c>
      <c r="G3" s="63" t="str">
        <f t="shared" ref="G3:G14" si="0">IFERROR(LEFT(B3,FIND("],",B3)),B3)</f>
        <v>[effect:damage_anti_type, target:unit_all, type:balance, val1:3, val2:0.3]</v>
      </c>
      <c r="H3" s="63">
        <f t="shared" ref="H3:H37" si="1">FIND("effect:",G3)+7</f>
        <v>9</v>
      </c>
      <c r="I3" s="63">
        <f t="shared" ref="I3:I14" si="2">IFERROR(FIND(",",G3),LEN(G3))</f>
        <v>25</v>
      </c>
      <c r="J3" s="63">
        <f t="shared" ref="J3:J14" si="3">FIND("target:",G3)+7</f>
        <v>34</v>
      </c>
      <c r="K3" s="63">
        <f t="shared" ref="K3:K14" si="4">FIND(",",G3,I3+1)</f>
        <v>42</v>
      </c>
      <c r="L3" s="63" t="str">
        <f>IFERROR(VLOOKUP(MID(G3,J3,K3-J3),[6]skilldef!$C:$D,2,FALSE),"-") &amp; " / " &amp; IFERROR(VLOOKUP(MID(G3,H3,I3-H3),[6]skilldef!$A:$B,2,FALSE),"-")</f>
        <v>味方全体に / タイプキラー</v>
      </c>
      <c r="M3" s="63" t="str">
        <f t="shared" ref="M3:M14" si="5">IFERROR(RIGHT(B3,LEN(B3)-FIND("],",B3)-1),"none")</f>
        <v>none</v>
      </c>
      <c r="N3" s="48" t="str">
        <f>IFERROR(LEFT(M3,FIND("],",M3)+S6),M3)</f>
        <v>none</v>
      </c>
      <c r="O3" s="63" t="e">
        <f t="shared" ref="O3:O37" si="6">FIND("effect:",N3)+7</f>
        <v>#VALUE!</v>
      </c>
      <c r="P3" s="63">
        <f t="shared" ref="P3:P14" si="7">IFERROR(FIND(",",N3),LEN(N3))</f>
        <v>4</v>
      </c>
      <c r="Q3" s="63" t="e">
        <f t="shared" ref="Q3:Q14" si="8">FIND("target:",N3)+7</f>
        <v>#VALUE!</v>
      </c>
      <c r="R3" s="63" t="e">
        <f t="shared" ref="R3:R14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14" si="10">IFERROR(RIGHT(M3,LEN(M3)-FIND("],",M3)-1),"none")</f>
        <v>none</v>
      </c>
      <c r="U3" s="63" t="e">
        <f t="shared" ref="U3:U37" si="11">FIND("effect:",T3)+7</f>
        <v>#VALUE!</v>
      </c>
      <c r="V3" s="63">
        <f t="shared" ref="V3:V14" si="12">IFERROR(FIND(",",T3),LEN(T3))</f>
        <v>4</v>
      </c>
      <c r="W3" s="63" t="e">
        <f t="shared" ref="W3:W14" si="13">FIND("target:",T3)+7</f>
        <v>#VALUE!</v>
      </c>
      <c r="X3" s="63" t="e">
        <f t="shared" ref="X3:X14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60027002</v>
      </c>
      <c r="B4" s="47" t="s">
        <v>316</v>
      </c>
      <c r="C4" s="50">
        <v>3</v>
      </c>
      <c r="D4" s="50" t="s">
        <v>128</v>
      </c>
      <c r="E4" s="51" t="s">
        <v>322</v>
      </c>
      <c r="F4" s="51" t="s">
        <v>448</v>
      </c>
      <c r="G4" s="63" t="str">
        <f t="shared" si="0"/>
        <v>[effect:enhance_enemy, target:myself, turn:-1, status:defense, val:2000, calc:add, animation:enemy_enhance_defense]</v>
      </c>
      <c r="H4" s="63">
        <f t="shared" si="1"/>
        <v>9</v>
      </c>
      <c r="I4" s="63">
        <f t="shared" si="2"/>
        <v>22</v>
      </c>
      <c r="J4" s="63">
        <f t="shared" si="3"/>
        <v>31</v>
      </c>
      <c r="K4" s="63">
        <f t="shared" si="4"/>
        <v>37</v>
      </c>
      <c r="L4" s="63" t="str">
        <f>IFERROR(VLOOKUP(MID(G4,J4,K4-J4),[6]skilldef!$C:$D,2,FALSE),"-") &amp; " / " &amp; IFERROR(VLOOKUP(MID(G4,H4,I4-H4),[6]skilldef!$A:$B,2,FALSE),"-")</f>
        <v>自分自身に / ステータス強化</v>
      </c>
      <c r="M4" s="63" t="str">
        <f t="shared" si="5"/>
        <v>none</v>
      </c>
      <c r="N4" s="48" t="str">
        <f>IFERROR(LEFT(M4,FIND("],",M4)+S7),M4)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60027010</v>
      </c>
      <c r="B5" s="47" t="s">
        <v>362</v>
      </c>
      <c r="C5" s="50">
        <v>3</v>
      </c>
      <c r="D5" s="50" t="s">
        <v>128</v>
      </c>
      <c r="E5" s="51" t="s">
        <v>360</v>
      </c>
      <c r="F5" s="51" t="s">
        <v>361</v>
      </c>
      <c r="G5" s="63" t="str">
        <f t="shared" si="0"/>
        <v>[effect:fix_speed, target:enemy_green, turn:2]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38</v>
      </c>
      <c r="L5" s="63" t="str">
        <f>IFERROR(VLOOKUP(MID(G5,J5,K5-J5),[6]skilldef!$C:$D,2,FALSE),"-") &amp; " / " &amp; IFERROR(VLOOKUP(MID(G5,H5,I5-H5),[6]skilldef!$A:$B,2,FALSE),"-")</f>
        <v>緑の敵に / 行動値設定</v>
      </c>
      <c r="M5" s="63" t="str">
        <f t="shared" si="5"/>
        <v>[effect:hungup, target:unit_balance, turn:30, rate:1, animation:hungup01]</v>
      </c>
      <c r="N5" s="48" t="str">
        <f>IFERROR(LEFT(M5,FIND("],",M5)+S11),M5)</f>
        <v>[effect:hungup, target:unit_balance, turn:30, rate:1, animation:hungup01]</v>
      </c>
      <c r="O5" s="63">
        <f t="shared" si="6"/>
        <v>9</v>
      </c>
      <c r="P5" s="63">
        <f t="shared" si="7"/>
        <v>15</v>
      </c>
      <c r="Q5" s="63">
        <f t="shared" si="8"/>
        <v>24</v>
      </c>
      <c r="R5" s="63">
        <f t="shared" si="9"/>
        <v>36</v>
      </c>
      <c r="S5" s="63" t="str">
        <f>IFERROR(VLOOKUP(MID(N5,Q5,R5-Q5),[6]skilldef!$C:$D,2,FALSE),"-") &amp; " / " &amp; IFERROR(VLOOKUP(MID(N5,O5,P5-O5),[6]skilldef!$A:$B,2,FALSE),"-")</f>
        <v>バランスタイプの味方に / ハングアップ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60027011</v>
      </c>
      <c r="B6" s="149" t="s">
        <v>440</v>
      </c>
      <c r="C6" s="50">
        <v>3</v>
      </c>
      <c r="D6" s="50" t="s">
        <v>128</v>
      </c>
      <c r="E6" s="51" t="s">
        <v>331</v>
      </c>
      <c r="F6" s="150" t="s">
        <v>441</v>
      </c>
      <c r="G6" s="63" t="str">
        <f t="shared" si="0"/>
        <v>[effect:invalidate_crash_panel, target:unit_all, turn:2, count:11, animation:enemy_dis_crashPanel]</v>
      </c>
      <c r="H6" s="63">
        <f t="shared" si="1"/>
        <v>9</v>
      </c>
      <c r="I6" s="63">
        <f t="shared" si="2"/>
        <v>31</v>
      </c>
      <c r="J6" s="63">
        <f t="shared" si="3"/>
        <v>40</v>
      </c>
      <c r="K6" s="63">
        <f t="shared" si="4"/>
        <v>48</v>
      </c>
      <c r="L6" s="63" t="str">
        <f>IFERROR(VLOOKUP(MID(G6,J6,K6-J6),[6]skilldef!$C:$D,2,FALSE),"-") &amp; " / " &amp; IFERROR(VLOOKUP(MID(G6,H6,I6-H6),[6]skilldef!$A:$B,2,FALSE),"-")</f>
        <v>味方全体に / -</v>
      </c>
      <c r="M6" s="63" t="str">
        <f t="shared" si="5"/>
        <v>none</v>
      </c>
      <c r="N6" s="48" t="str">
        <f>IFERROR(LEFT(M6,FIND("],",M6)+S12),M6)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60027012</v>
      </c>
      <c r="B7" s="47" t="s">
        <v>358</v>
      </c>
      <c r="C7" s="50">
        <v>3</v>
      </c>
      <c r="D7" s="50" t="s">
        <v>128</v>
      </c>
      <c r="E7" s="51" t="s">
        <v>332</v>
      </c>
      <c r="F7" s="51" t="s">
        <v>353</v>
      </c>
      <c r="G7" s="63" t="str">
        <f t="shared" si="0"/>
        <v>[effect:damage_anti_type, target:unit_all, type:balance, val1:3, val2:0.3]</v>
      </c>
      <c r="H7" s="63">
        <f t="shared" si="1"/>
        <v>9</v>
      </c>
      <c r="I7" s="63">
        <f t="shared" si="2"/>
        <v>25</v>
      </c>
      <c r="J7" s="63">
        <f t="shared" si="3"/>
        <v>34</v>
      </c>
      <c r="K7" s="63">
        <f t="shared" si="4"/>
        <v>42</v>
      </c>
      <c r="L7" s="63" t="str">
        <f>IFERROR(VLOOKUP(MID(G7,J7,K7-J7),[6]skilldef!$C:$D,2,FALSE),"-") &amp; " / " &amp; IFERROR(VLOOKUP(MID(G7,H7,I7-H7),[6]skilldef!$A:$B,2,FALSE),"-")</f>
        <v>味方全体に / タイプキラー</v>
      </c>
      <c r="M7" s="63" t="str">
        <f t="shared" si="5"/>
        <v>none</v>
      </c>
      <c r="N7" s="48" t="str">
        <f>IFERROR(LEFT(M7,FIND("],",M7)+S13),M7)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60027016</v>
      </c>
      <c r="B8" s="47" t="s">
        <v>304</v>
      </c>
      <c r="C8" s="50">
        <v>3</v>
      </c>
      <c r="D8" s="50" t="s">
        <v>128</v>
      </c>
      <c r="E8" s="51" t="s">
        <v>447</v>
      </c>
      <c r="F8" s="51" t="s">
        <v>462</v>
      </c>
      <c r="G8" s="63" t="str">
        <f t="shared" si="0"/>
        <v>[effect:critical, val:1.1, animation:enemy_critical]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>
        <f t="shared" si="4"/>
        <v>26</v>
      </c>
      <c r="L8" s="63" t="str">
        <f>IFERROR(VLOOKUP(MID(G8,J8,K8-J8),[6]skilldef!$C:$D,2,FALSE),"-") &amp; " / " &amp; IFERROR(VLOOKUP(MID(G8,H8,I8-H8),[6]skilldef!$A:$B,2,FALSE),"-")</f>
        <v>- / 大攻撃</v>
      </c>
      <c r="M8" s="63" t="str">
        <f t="shared" si="5"/>
        <v>[effect:fix_speed, target:myself, turn:1]</v>
      </c>
      <c r="N8" s="48" t="str">
        <f>IFERROR(LEFT(M8,FIND("],",M8)+S15),M8)</f>
        <v>[effect:fix_speed, target:myself, turn:1]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60027017</v>
      </c>
      <c r="B9" s="47" t="s">
        <v>305</v>
      </c>
      <c r="C9" s="50">
        <v>3</v>
      </c>
      <c r="D9" s="50" t="s">
        <v>128</v>
      </c>
      <c r="E9" s="51" t="s">
        <v>447</v>
      </c>
      <c r="F9" s="51" t="s">
        <v>463</v>
      </c>
      <c r="G9" s="63" t="str">
        <f t="shared" si="0"/>
        <v>[effect:critical, val:1.1, animation:enemy_critical]</v>
      </c>
      <c r="H9" s="63">
        <f t="shared" si="1"/>
        <v>9</v>
      </c>
      <c r="I9" s="63">
        <f t="shared" si="2"/>
        <v>17</v>
      </c>
      <c r="J9" s="63" t="e">
        <f t="shared" si="3"/>
        <v>#VALUE!</v>
      </c>
      <c r="K9" s="63">
        <f t="shared" si="4"/>
        <v>26</v>
      </c>
      <c r="L9" s="63" t="str">
        <f>IFERROR(VLOOKUP(MID(G9,J9,K9-J9),[6]skilldef!$C:$D,2,FALSE),"-") &amp; " / " &amp; IFERROR(VLOOKUP(MID(G9,H9,I9-H9),[6]skilldef!$A:$B,2,FALSE),"-")</f>
        <v>- / 大攻撃</v>
      </c>
      <c r="M9" s="63" t="str">
        <f t="shared" si="5"/>
        <v>[effect:fix_speed, target:myself, turn:2]</v>
      </c>
      <c r="N9" s="48" t="str">
        <f>IFERROR(LEFT(M9,FIND("],",M9)+S16),M9)</f>
        <v>[effect:fix_speed, target:myself, turn:2]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60027018</v>
      </c>
      <c r="B10" s="47" t="s">
        <v>306</v>
      </c>
      <c r="C10" s="50">
        <v>3</v>
      </c>
      <c r="D10" s="50" t="s">
        <v>128</v>
      </c>
      <c r="E10" s="51" t="s">
        <v>447</v>
      </c>
      <c r="F10" s="51" t="s">
        <v>464</v>
      </c>
      <c r="G10" s="63" t="str">
        <f t="shared" si="0"/>
        <v>[effect:critical, val:1.1, animation:enemy_critical]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>
        <f t="shared" si="4"/>
        <v>26</v>
      </c>
      <c r="L10" s="63" t="str">
        <f>IFERROR(VLOOKUP(MID(G10,J10,K10-J10),[6]skilldef!$C:$D,2,FALSE),"-") &amp; " / " &amp; IFERROR(VLOOKUP(MID(G10,H10,I10-H10),[6]skilldef!$A:$B,2,FALSE),"-")</f>
        <v>- / 大攻撃</v>
      </c>
      <c r="M10" s="63" t="str">
        <f t="shared" si="5"/>
        <v>[effect:fix_speed, target:myself, turn:3]</v>
      </c>
      <c r="N10" s="48" t="str">
        <f>IFERROR(LEFT(M10,FIND("],",M10)+#REF!),M10)</f>
        <v>[effect:fix_speed, target:myself, turn:3]</v>
      </c>
      <c r="O10" s="63">
        <f t="shared" si="6"/>
        <v>9</v>
      </c>
      <c r="P10" s="63">
        <f t="shared" si="7"/>
        <v>18</v>
      </c>
      <c r="Q10" s="63">
        <f t="shared" si="8"/>
        <v>27</v>
      </c>
      <c r="R10" s="63">
        <f t="shared" si="9"/>
        <v>33</v>
      </c>
      <c r="S10" s="63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60027020</v>
      </c>
      <c r="B11" s="149" t="s">
        <v>442</v>
      </c>
      <c r="C11" s="50">
        <v>3</v>
      </c>
      <c r="D11" s="50" t="s">
        <v>128</v>
      </c>
      <c r="E11" s="51" t="s">
        <v>337</v>
      </c>
      <c r="F11" s="150" t="s">
        <v>465</v>
      </c>
      <c r="G11" s="63" t="str">
        <f t="shared" si="0"/>
        <v>[effect:enemy_message, val2:2.8]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N11" s="48" t="str">
        <f>IFERROR(LEFT(M11,FIND("],",M11)+S17),M11)</f>
        <v>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O11" s="63">
        <f t="shared" si="6"/>
        <v>9</v>
      </c>
      <c r="P11" s="63">
        <f t="shared" si="7"/>
        <v>18</v>
      </c>
      <c r="Q11" s="63">
        <f t="shared" si="8"/>
        <v>27</v>
      </c>
      <c r="R11" s="63">
        <f t="shared" si="9"/>
        <v>33</v>
      </c>
      <c r="S11" s="63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si="10"/>
        <v>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U11" s="63">
        <f t="shared" si="11"/>
        <v>9</v>
      </c>
      <c r="V11" s="63">
        <f t="shared" si="12"/>
        <v>18</v>
      </c>
      <c r="W11" s="63">
        <f t="shared" si="13"/>
        <v>27</v>
      </c>
      <c r="X11" s="63">
        <f t="shared" si="14"/>
        <v>33</v>
      </c>
      <c r="Y11" s="63" t="str">
        <f>IFERROR(VLOOKUP(MID(T11,W11,X11-W11),[6]skilldef!$C:$D,2,FALSE),"-") &amp; " / " &amp; IFERROR(VLOOKUP(MID(T11,U11,V11-U11),[6]skilldef!$A:$B,2,FALSE),"-")</f>
        <v>自分自身に / 状態異常耐性</v>
      </c>
      <c r="Z11" s="50"/>
      <c r="AA11" s="52"/>
      <c r="AB11" s="50"/>
    </row>
    <row r="12" spans="1:28" ht="21" customHeight="1" x14ac:dyDescent="0.15">
      <c r="A12" s="47">
        <v>60027021</v>
      </c>
      <c r="B12" s="47" t="s">
        <v>311</v>
      </c>
      <c r="C12" s="50">
        <v>3</v>
      </c>
      <c r="D12" s="50" t="s">
        <v>128</v>
      </c>
      <c r="E12" s="51" t="s">
        <v>339</v>
      </c>
      <c r="F12" s="51" t="s">
        <v>449</v>
      </c>
      <c r="G12" s="63" t="str">
        <f t="shared" si="0"/>
        <v>[effect:break_attack, target:unit_all, val:0.01, lowest_val:1000, count:-1, color:green, block01:block_heart]</v>
      </c>
      <c r="H12" s="63">
        <f t="shared" si="1"/>
        <v>9</v>
      </c>
      <c r="I12" s="63">
        <f t="shared" si="2"/>
        <v>21</v>
      </c>
      <c r="J12" s="63">
        <f t="shared" si="3"/>
        <v>30</v>
      </c>
      <c r="K12" s="63">
        <f t="shared" si="4"/>
        <v>38</v>
      </c>
      <c r="L12" s="63" t="str">
        <f>IFERROR(VLOOKUP(MID(G12,J12,K12-J12),[6]skilldef!$C:$D,2,FALSE),"-") &amp; " / " &amp; IFERROR(VLOOKUP(MID(G12,H12,I12-H12),[6]skilldef!$A:$B,2,FALSE),"-")</f>
        <v>味方全体に / -</v>
      </c>
      <c r="M12" s="63" t="str">
        <f t="shared" si="5"/>
        <v>none</v>
      </c>
      <c r="N12" s="48" t="str">
        <f>IFERROR(LEFT(M12,FIND("],",M12)+S18),M12)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60027022</v>
      </c>
      <c r="B13" s="149" t="s">
        <v>444</v>
      </c>
      <c r="C13" s="50">
        <v>3</v>
      </c>
      <c r="D13" s="50" t="s">
        <v>128</v>
      </c>
      <c r="E13" s="51" t="s">
        <v>338</v>
      </c>
      <c r="F13" s="150" t="s">
        <v>450</v>
      </c>
      <c r="G13" s="63" t="str">
        <f t="shared" si="0"/>
        <v>[effect:invalidate_crash_panel, target:unit_all, turn:1, count:11, animation:enemy_dis_crashPanel]</v>
      </c>
      <c r="H13" s="63">
        <f t="shared" si="1"/>
        <v>9</v>
      </c>
      <c r="I13" s="63">
        <f t="shared" si="2"/>
        <v>31</v>
      </c>
      <c r="J13" s="63">
        <f t="shared" si="3"/>
        <v>40</v>
      </c>
      <c r="K13" s="63">
        <f t="shared" si="4"/>
        <v>48</v>
      </c>
      <c r="L13" s="63" t="str">
        <f>IFERROR(VLOOKUP(MID(G13,J13,K13-J13),[6]skilldef!$C:$D,2,FALSE),"-") &amp; " / " &amp; IFERROR(VLOOKUP(MID(G13,H13,I13-H13),[6]skilldef!$A:$B,2,FALSE),"-")</f>
        <v>味方全体に / -</v>
      </c>
      <c r="M13" s="63" t="str">
        <f t="shared" si="5"/>
        <v>[effect:critical, val:1.2, animation:enemy_critical]</v>
      </c>
      <c r="N13" s="48" t="str">
        <f>IFERROR(LEFT(M13,FIND("],",M13)+S19),M13)</f>
        <v>[effect:critical, val:1.2, animation:enemy_critical]</v>
      </c>
      <c r="O13" s="63">
        <f t="shared" si="6"/>
        <v>9</v>
      </c>
      <c r="P13" s="63">
        <f t="shared" si="7"/>
        <v>17</v>
      </c>
      <c r="Q13" s="63" t="e">
        <f t="shared" si="8"/>
        <v>#VALUE!</v>
      </c>
      <c r="R13" s="63">
        <f t="shared" si="9"/>
        <v>26</v>
      </c>
      <c r="S13" s="63" t="str">
        <f>IFERROR(VLOOKUP(MID(N13,Q13,R13-Q13),[6]skilldef!$C:$D,2,FALSE),"-") &amp; " / " &amp; IFERROR(VLOOKUP(MID(N13,O13,P13-O13),[6]skilldef!$A:$B,2,FALSE),"-")</f>
        <v>- / 大攻撃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60027025</v>
      </c>
      <c r="B14" s="47" t="s">
        <v>317</v>
      </c>
      <c r="C14" s="50">
        <v>3</v>
      </c>
      <c r="D14" s="50" t="s">
        <v>128</v>
      </c>
      <c r="E14" s="51" t="s">
        <v>340</v>
      </c>
      <c r="F14" s="51" t="s">
        <v>318</v>
      </c>
      <c r="G14" s="63" t="str">
        <f t="shared" si="0"/>
        <v>[effect:fix_speed, target:myself, turn:1]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33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si="5"/>
        <v>[effect:tolerance, target:myself, turn:-1, count:-1, tolerance_effect:all, animation:enemy_tolerance]</v>
      </c>
      <c r="N14" s="48" t="str">
        <f>IFERROR(LEFT(M14,FIND("],",M14)+S21),M14)</f>
        <v>[effect:tolerance, target:myself, turn:-1, count:-1, tolerance_effect:all, animation:enemy_tolerance]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60027026</v>
      </c>
      <c r="B15" s="47" t="s">
        <v>312</v>
      </c>
      <c r="C15" s="50">
        <v>3</v>
      </c>
      <c r="D15" s="50" t="s">
        <v>128</v>
      </c>
      <c r="E15" s="51" t="s">
        <v>335</v>
      </c>
      <c r="F15" s="51" t="s">
        <v>451</v>
      </c>
      <c r="G15" s="63" t="str">
        <f t="shared" ref="G15:G28" si="15">IFERROR(LEFT(B15,FIND("],",B15)),B15)</f>
        <v>[effect:break_attack, target:unit_all, val:0.02, lowest_val:1000, count:-1, color:green, block01:crash]</v>
      </c>
      <c r="H15" s="63">
        <f t="shared" si="1"/>
        <v>9</v>
      </c>
      <c r="I15" s="63">
        <f t="shared" ref="I15:I28" si="16">IFERROR(FIND(",",G15),LEN(G15))</f>
        <v>21</v>
      </c>
      <c r="J15" s="63">
        <f t="shared" ref="J15:J28" si="17">FIND("target:",G15)+7</f>
        <v>30</v>
      </c>
      <c r="K15" s="63">
        <f t="shared" ref="K15:K28" si="18">FIND(",",G15,I15+1)</f>
        <v>38</v>
      </c>
      <c r="L15" s="63" t="str">
        <f>IFERROR(VLOOKUP(MID(G15,J15,K15-J15),[6]skilldef!$C:$D,2,FALSE),"-") &amp; " / " &amp; IFERROR(VLOOKUP(MID(G15,H15,I15-H15),[6]skilldef!$A:$B,2,FALSE),"-")</f>
        <v>味方全体に / -</v>
      </c>
      <c r="M15" s="63" t="str">
        <f t="shared" ref="M15:M28" si="19">IFERROR(RIGHT(B15,LEN(B15)-FIND("],",B15)-1),"none")</f>
        <v>none</v>
      </c>
      <c r="N15" s="48" t="str">
        <f>IFERROR(LEFT(M15,FIND("],",M15)+S22),M15)</f>
        <v>none</v>
      </c>
      <c r="O15" s="63" t="e">
        <f t="shared" si="6"/>
        <v>#VALUE!</v>
      </c>
      <c r="P15" s="63">
        <f t="shared" ref="P15:P28" si="20">IFERROR(FIND(",",N15),LEN(N15))</f>
        <v>4</v>
      </c>
      <c r="Q15" s="63" t="e">
        <f t="shared" ref="Q15:Q28" si="21">FIND("target:",N15)+7</f>
        <v>#VALUE!</v>
      </c>
      <c r="R15" s="63" t="e">
        <f t="shared" ref="R15:R28" si="22">FIND(",",N15,P15+1)</f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:T28" si="23">IFERROR(RIGHT(M15,LEN(M15)-FIND("],",M15)-1),"none")</f>
        <v>none</v>
      </c>
      <c r="U15" s="63" t="e">
        <f t="shared" si="11"/>
        <v>#VALUE!</v>
      </c>
      <c r="V15" s="63">
        <f t="shared" ref="V15:V28" si="24">IFERROR(FIND(",",T15),LEN(T15))</f>
        <v>4</v>
      </c>
      <c r="W15" s="63" t="e">
        <f t="shared" ref="W15:W28" si="25">FIND("target:",T15)+7</f>
        <v>#VALUE!</v>
      </c>
      <c r="X15" s="63" t="e">
        <f t="shared" ref="X15:X28" si="26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60027027</v>
      </c>
      <c r="B16" s="47" t="s">
        <v>438</v>
      </c>
      <c r="C16" s="50">
        <v>3</v>
      </c>
      <c r="D16" s="50" t="s">
        <v>128</v>
      </c>
      <c r="E16" s="51" t="s">
        <v>336</v>
      </c>
      <c r="F16" s="51" t="s">
        <v>452</v>
      </c>
      <c r="G16" s="63" t="str">
        <f t="shared" si="15"/>
        <v>[effect:enemy_message, val2:2.8]</v>
      </c>
      <c r="H16" s="63">
        <f t="shared" si="1"/>
        <v>9</v>
      </c>
      <c r="I16" s="63">
        <f t="shared" si="16"/>
        <v>22</v>
      </c>
      <c r="J16" s="63" t="e">
        <f t="shared" si="17"/>
        <v>#VALUE!</v>
      </c>
      <c r="K16" s="63" t="e">
        <f t="shared" si="18"/>
        <v>#VALUE!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16" s="48" t="str">
        <f>IFERROR(LEFT(M16,FIND("],",M16)+S23),M16)</f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16" s="63">
        <f t="shared" si="6"/>
        <v>9</v>
      </c>
      <c r="P16" s="63">
        <f t="shared" si="20"/>
        <v>18</v>
      </c>
      <c r="Q16" s="63">
        <f t="shared" si="21"/>
        <v>27</v>
      </c>
      <c r="R16" s="63">
        <f t="shared" si="22"/>
        <v>37</v>
      </c>
      <c r="S16" s="63" t="str">
        <f>IFERROR(VLOOKUP(MID(N16,Q16,R16-Q16),[6]skilldef!$C:$D,2,FALSE),"-") &amp; " / " &amp; IFERROR(VLOOKUP(MID(N16,O16,P16-O16),[6]skilldef!$A:$B,2,FALSE),"-")</f>
        <v>青パネルを / ディスパネル</v>
      </c>
      <c r="T16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16" s="63">
        <f t="shared" si="11"/>
        <v>9</v>
      </c>
      <c r="V16" s="63">
        <f t="shared" si="24"/>
        <v>18</v>
      </c>
      <c r="W16" s="63">
        <f t="shared" si="25"/>
        <v>27</v>
      </c>
      <c r="X16" s="63">
        <f t="shared" si="26"/>
        <v>39</v>
      </c>
      <c r="Y16" s="63" t="str">
        <f>IFERROR(VLOOKUP(MID(T16,W16,X16-W16),[6]skilldef!$C:$D,2,FALSE),"-") &amp; " / " &amp; IFERROR(VLOOKUP(MID(T16,U16,V16-U16),[6]skilldef!$A:$B,2,FALSE),"-")</f>
        <v>黄色パネルを / ディスパネル</v>
      </c>
      <c r="Z16" s="50"/>
      <c r="AA16" s="52"/>
      <c r="AB16" s="50"/>
    </row>
    <row r="17" spans="1:28" ht="21" customHeight="1" x14ac:dyDescent="0.15">
      <c r="A17" s="47">
        <v>60027030</v>
      </c>
      <c r="B17" s="47" t="s">
        <v>307</v>
      </c>
      <c r="C17" s="50">
        <v>3</v>
      </c>
      <c r="D17" s="50" t="s">
        <v>128</v>
      </c>
      <c r="E17" s="51" t="s">
        <v>342</v>
      </c>
      <c r="F17" s="51" t="s">
        <v>343</v>
      </c>
      <c r="G17" s="63" t="str">
        <f t="shared" si="15"/>
        <v>[effect:fix_speed, target:myself, turn:3]</v>
      </c>
      <c r="H17" s="63">
        <f t="shared" si="1"/>
        <v>9</v>
      </c>
      <c r="I17" s="63">
        <f t="shared" si="16"/>
        <v>18</v>
      </c>
      <c r="J17" s="63">
        <f t="shared" si="17"/>
        <v>27</v>
      </c>
      <c r="K17" s="63">
        <f t="shared" si="18"/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19"/>
        <v>none</v>
      </c>
      <c r="N17" s="48" t="str">
        <f>IFERROR(LEFT(M17,FIND("],",M17)+S25),M17)</f>
        <v>none</v>
      </c>
      <c r="O17" s="63" t="e">
        <f t="shared" si="6"/>
        <v>#VALUE!</v>
      </c>
      <c r="P17" s="63">
        <f t="shared" si="20"/>
        <v>4</v>
      </c>
      <c r="Q17" s="63" t="e">
        <f t="shared" si="21"/>
        <v>#VALUE!</v>
      </c>
      <c r="R17" s="63" t="e">
        <f t="shared" si="22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23"/>
        <v>none</v>
      </c>
      <c r="U17" s="63" t="e">
        <f t="shared" si="11"/>
        <v>#VALUE!</v>
      </c>
      <c r="V17" s="63">
        <f t="shared" si="24"/>
        <v>4</v>
      </c>
      <c r="W17" s="63" t="e">
        <f t="shared" si="25"/>
        <v>#VALUE!</v>
      </c>
      <c r="X17" s="63" t="e">
        <f t="shared" si="26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60027031</v>
      </c>
      <c r="B18" s="47" t="s">
        <v>436</v>
      </c>
      <c r="C18" s="50">
        <v>3</v>
      </c>
      <c r="D18" s="50" t="s">
        <v>128</v>
      </c>
      <c r="E18" s="51" t="s">
        <v>345</v>
      </c>
      <c r="F18" s="51" t="s">
        <v>319</v>
      </c>
      <c r="G18" s="63" t="str">
        <f t="shared" si="15"/>
        <v>[effect:force_change_block, new_block:block_yellow, target:block_green, count:0, val:0, animation:change_block]</v>
      </c>
      <c r="H18" s="63">
        <f t="shared" si="1"/>
        <v>9</v>
      </c>
      <c r="I18" s="63">
        <f t="shared" si="16"/>
        <v>27</v>
      </c>
      <c r="J18" s="63">
        <f t="shared" si="17"/>
        <v>60</v>
      </c>
      <c r="K18" s="63">
        <f t="shared" si="18"/>
        <v>51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19"/>
        <v>none</v>
      </c>
      <c r="N18" s="48" t="str">
        <f>IFERROR(LEFT(M18,FIND("],",M18)+S26),M18)</f>
        <v>none</v>
      </c>
      <c r="O18" s="63" t="e">
        <f t="shared" si="6"/>
        <v>#VALUE!</v>
      </c>
      <c r="P18" s="63">
        <f t="shared" si="20"/>
        <v>4</v>
      </c>
      <c r="Q18" s="63" t="e">
        <f t="shared" si="21"/>
        <v>#VALUE!</v>
      </c>
      <c r="R18" s="63" t="e">
        <f t="shared" si="22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23"/>
        <v>none</v>
      </c>
      <c r="U18" s="63" t="e">
        <f t="shared" si="11"/>
        <v>#VALUE!</v>
      </c>
      <c r="V18" s="63">
        <f t="shared" si="24"/>
        <v>4</v>
      </c>
      <c r="W18" s="63" t="e">
        <f t="shared" si="25"/>
        <v>#VALUE!</v>
      </c>
      <c r="X18" s="63" t="e">
        <f t="shared" si="26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60027032</v>
      </c>
      <c r="B19" s="47" t="s">
        <v>303</v>
      </c>
      <c r="C19" s="50">
        <v>3</v>
      </c>
      <c r="D19" s="50" t="s">
        <v>128</v>
      </c>
      <c r="E19" s="51" t="s">
        <v>341</v>
      </c>
      <c r="F19" s="51" t="s">
        <v>453</v>
      </c>
      <c r="G19" s="63" t="str">
        <f t="shared" si="15"/>
        <v>[effect:critical, val:1.2, animation:enemy_critical]</v>
      </c>
      <c r="H19" s="63">
        <f t="shared" si="1"/>
        <v>9</v>
      </c>
      <c r="I19" s="63">
        <f t="shared" si="16"/>
        <v>17</v>
      </c>
      <c r="J19" s="63" t="e">
        <f t="shared" si="17"/>
        <v>#VALUE!</v>
      </c>
      <c r="K19" s="63">
        <f t="shared" si="18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19"/>
        <v>none</v>
      </c>
      <c r="N19" s="48" t="str">
        <f>IFERROR(LEFT(M19,FIND("],",M19)+S27),M19)</f>
        <v>none</v>
      </c>
      <c r="O19" s="63" t="e">
        <f t="shared" si="6"/>
        <v>#VALUE!</v>
      </c>
      <c r="P19" s="63">
        <f t="shared" si="20"/>
        <v>4</v>
      </c>
      <c r="Q19" s="63" t="e">
        <f t="shared" si="21"/>
        <v>#VALUE!</v>
      </c>
      <c r="R19" s="63" t="e">
        <f t="shared" si="22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3"/>
        <v>none</v>
      </c>
      <c r="U19" s="63" t="e">
        <f t="shared" si="11"/>
        <v>#VALUE!</v>
      </c>
      <c r="V19" s="63">
        <f t="shared" si="24"/>
        <v>4</v>
      </c>
      <c r="W19" s="63" t="e">
        <f t="shared" si="25"/>
        <v>#VALUE!</v>
      </c>
      <c r="X19" s="63" t="e">
        <f t="shared" si="26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60027033</v>
      </c>
      <c r="B20" s="47" t="s">
        <v>308</v>
      </c>
      <c r="C20" s="50">
        <v>3</v>
      </c>
      <c r="D20" s="50" t="s">
        <v>128</v>
      </c>
      <c r="E20" s="51" t="s">
        <v>344</v>
      </c>
      <c r="F20" s="51" t="s">
        <v>454</v>
      </c>
      <c r="G20" s="63" t="str">
        <f t="shared" si="15"/>
        <v>[effect:enhance_enemy, target:enemy_all, turn:-1, status:attack, val:1.2, calc:mul, animation:enemy_enhance_attack]</v>
      </c>
      <c r="H20" s="63">
        <f t="shared" si="1"/>
        <v>9</v>
      </c>
      <c r="I20" s="63">
        <f t="shared" si="16"/>
        <v>22</v>
      </c>
      <c r="J20" s="63">
        <f t="shared" si="17"/>
        <v>31</v>
      </c>
      <c r="K20" s="63">
        <f t="shared" si="18"/>
        <v>40</v>
      </c>
      <c r="L20" s="63" t="str">
        <f>IFERROR(VLOOKUP(MID(G20,J20,K20-J20),[6]skilldef!$C:$D,2,FALSE),"-") &amp; " / " &amp; IFERROR(VLOOKUP(MID(G20,H20,I20-H20),[6]skilldef!$A:$B,2,FALSE),"-")</f>
        <v>敵全体に / ステータス強化</v>
      </c>
      <c r="M20" s="63" t="str">
        <f t="shared" si="19"/>
        <v>none</v>
      </c>
      <c r="N20" s="48" t="str">
        <f>IFERROR(LEFT(M20,FIND("],",M20)+S28),M20)</f>
        <v>none</v>
      </c>
      <c r="O20" s="63" t="e">
        <f t="shared" si="6"/>
        <v>#VALUE!</v>
      </c>
      <c r="P20" s="63">
        <f t="shared" si="20"/>
        <v>4</v>
      </c>
      <c r="Q20" s="63" t="e">
        <f t="shared" si="21"/>
        <v>#VALUE!</v>
      </c>
      <c r="R20" s="63" t="e">
        <f t="shared" si="22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23"/>
        <v>none</v>
      </c>
      <c r="U20" s="63" t="e">
        <f t="shared" si="11"/>
        <v>#VALUE!</v>
      </c>
      <c r="V20" s="63">
        <f t="shared" si="24"/>
        <v>4</v>
      </c>
      <c r="W20" s="63" t="e">
        <f t="shared" si="25"/>
        <v>#VALUE!</v>
      </c>
      <c r="X20" s="63" t="e">
        <f t="shared" si="26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60027035</v>
      </c>
      <c r="B21" s="47" t="s">
        <v>309</v>
      </c>
      <c r="C21" s="50">
        <v>3</v>
      </c>
      <c r="D21" s="50" t="s">
        <v>128</v>
      </c>
      <c r="E21" s="51" t="s">
        <v>347</v>
      </c>
      <c r="F21" s="51" t="s">
        <v>343</v>
      </c>
      <c r="G21" s="63" t="str">
        <f t="shared" si="15"/>
        <v>[effect:fix_speed, target:myself, turn:2]</v>
      </c>
      <c r="H21" s="63">
        <f t="shared" si="1"/>
        <v>9</v>
      </c>
      <c r="I21" s="63">
        <f t="shared" si="16"/>
        <v>18</v>
      </c>
      <c r="J21" s="63">
        <f t="shared" si="17"/>
        <v>27</v>
      </c>
      <c r="K21" s="63">
        <f t="shared" si="18"/>
        <v>33</v>
      </c>
      <c r="L21" s="63" t="str">
        <f>IFERROR(VLOOKUP(MID(G21,J21,K21-J21),[6]skilldef!$C:$D,2,FALSE),"-") &amp; " / " &amp; IFERROR(VLOOKUP(MID(G21,H21,I21-H21),[6]skilldef!$A:$B,2,FALSE),"-")</f>
        <v>自分自身に / 行動値設定</v>
      </c>
      <c r="M21" s="63" t="str">
        <f t="shared" si="19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20"/>
        <v>4</v>
      </c>
      <c r="Q21" s="63" t="e">
        <f t="shared" si="21"/>
        <v>#VALUE!</v>
      </c>
      <c r="R21" s="63" t="e">
        <f t="shared" si="22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23"/>
        <v>none</v>
      </c>
      <c r="U21" s="63" t="e">
        <f t="shared" si="11"/>
        <v>#VALUE!</v>
      </c>
      <c r="V21" s="63">
        <f t="shared" si="24"/>
        <v>4</v>
      </c>
      <c r="W21" s="63" t="e">
        <f t="shared" si="25"/>
        <v>#VALUE!</v>
      </c>
      <c r="X21" s="63" t="e">
        <f t="shared" si="26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60027036</v>
      </c>
      <c r="B22" s="47" t="s">
        <v>435</v>
      </c>
      <c r="C22" s="50">
        <v>3</v>
      </c>
      <c r="D22" s="50" t="s">
        <v>128</v>
      </c>
      <c r="E22" s="51" t="s">
        <v>349</v>
      </c>
      <c r="F22" s="51" t="s">
        <v>320</v>
      </c>
      <c r="G22" s="63" t="str">
        <f t="shared" si="15"/>
        <v>[effect:force_change_block, new_block:block_red, target:block_blue, count:0, val:0, animation:change_block]</v>
      </c>
      <c r="H22" s="63">
        <f t="shared" si="1"/>
        <v>9</v>
      </c>
      <c r="I22" s="63">
        <f t="shared" si="16"/>
        <v>27</v>
      </c>
      <c r="J22" s="63">
        <f t="shared" si="17"/>
        <v>57</v>
      </c>
      <c r="K22" s="63">
        <f t="shared" si="18"/>
        <v>48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19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20"/>
        <v>4</v>
      </c>
      <c r="Q22" s="63" t="e">
        <f t="shared" si="21"/>
        <v>#VALUE!</v>
      </c>
      <c r="R22" s="63" t="e">
        <f t="shared" si="22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23"/>
        <v>none</v>
      </c>
      <c r="U22" s="63" t="e">
        <f t="shared" si="11"/>
        <v>#VALUE!</v>
      </c>
      <c r="V22" s="63">
        <f t="shared" si="24"/>
        <v>4</v>
      </c>
      <c r="W22" s="63" t="e">
        <f t="shared" si="25"/>
        <v>#VALUE!</v>
      </c>
      <c r="X22" s="63" t="e">
        <f t="shared" si="26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60027037</v>
      </c>
      <c r="B23" s="47" t="s">
        <v>333</v>
      </c>
      <c r="C23" s="50">
        <v>3</v>
      </c>
      <c r="D23" s="50" t="s">
        <v>128</v>
      </c>
      <c r="E23" s="51" t="s">
        <v>346</v>
      </c>
      <c r="F23" s="51" t="s">
        <v>334</v>
      </c>
      <c r="G23" s="63" t="str">
        <f t="shared" si="15"/>
        <v>[effect:spread, val:0.3, animation:enemy_spread]</v>
      </c>
      <c r="H23" s="63">
        <f t="shared" si="1"/>
        <v>9</v>
      </c>
      <c r="I23" s="63">
        <f t="shared" si="16"/>
        <v>15</v>
      </c>
      <c r="J23" s="63" t="e">
        <f t="shared" si="17"/>
        <v>#VALUE!</v>
      </c>
      <c r="K23" s="63">
        <f t="shared" si="18"/>
        <v>24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19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20"/>
        <v>4</v>
      </c>
      <c r="Q23" s="63" t="e">
        <f t="shared" si="21"/>
        <v>#VALUE!</v>
      </c>
      <c r="R23" s="63" t="e">
        <f t="shared" si="22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23"/>
        <v>none</v>
      </c>
      <c r="U23" s="63" t="e">
        <f t="shared" si="11"/>
        <v>#VALUE!</v>
      </c>
      <c r="V23" s="63">
        <f t="shared" si="24"/>
        <v>4</v>
      </c>
      <c r="W23" s="63" t="e">
        <f t="shared" si="25"/>
        <v>#VALUE!</v>
      </c>
      <c r="X23" s="63" t="e">
        <f t="shared" si="26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60027038</v>
      </c>
      <c r="B24" s="47" t="s">
        <v>302</v>
      </c>
      <c r="C24" s="50">
        <v>3</v>
      </c>
      <c r="D24" s="50" t="s">
        <v>128</v>
      </c>
      <c r="E24" s="51" t="s">
        <v>348</v>
      </c>
      <c r="F24" s="51" t="s">
        <v>455</v>
      </c>
      <c r="G24" s="63" t="str">
        <f t="shared" si="15"/>
        <v>[effect:fix_speed, target:enemy_all, turn:1,animation:enemy_freq_turn]</v>
      </c>
      <c r="H24" s="63">
        <f t="shared" si="1"/>
        <v>9</v>
      </c>
      <c r="I24" s="63">
        <f t="shared" si="16"/>
        <v>18</v>
      </c>
      <c r="J24" s="63">
        <f t="shared" si="17"/>
        <v>27</v>
      </c>
      <c r="K24" s="63">
        <f t="shared" si="18"/>
        <v>36</v>
      </c>
      <c r="L24" s="63" t="str">
        <f>IFERROR(VLOOKUP(MID(G24,J24,K24-J24),[6]skilldef!$C:$D,2,FALSE),"-") &amp; " / " &amp; IFERROR(VLOOKUP(MID(G24,H24,I24-H24),[6]skilldef!$A:$B,2,FALSE),"-")</f>
        <v>敵全体に / 行動値設定</v>
      </c>
      <c r="M24" s="63" t="str">
        <f t="shared" si="19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20"/>
        <v>4</v>
      </c>
      <c r="Q24" s="63" t="e">
        <f t="shared" si="21"/>
        <v>#VALUE!</v>
      </c>
      <c r="R24" s="63" t="e">
        <f t="shared" si="22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23"/>
        <v>none</v>
      </c>
      <c r="U24" s="63" t="e">
        <f t="shared" si="11"/>
        <v>#VALUE!</v>
      </c>
      <c r="V24" s="63">
        <f t="shared" si="24"/>
        <v>4</v>
      </c>
      <c r="W24" s="63" t="e">
        <f t="shared" si="25"/>
        <v>#VALUE!</v>
      </c>
      <c r="X24" s="63" t="e">
        <f t="shared" si="26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60027040</v>
      </c>
      <c r="B25" s="47" t="s">
        <v>310</v>
      </c>
      <c r="C25" s="50">
        <v>3</v>
      </c>
      <c r="D25" s="50" t="s">
        <v>128</v>
      </c>
      <c r="E25" s="51" t="s">
        <v>352</v>
      </c>
      <c r="F25" s="51" t="s">
        <v>318</v>
      </c>
      <c r="G25" s="63" t="str">
        <f t="shared" si="15"/>
        <v>[effect:fix_speed, target:myself, turn:2]</v>
      </c>
      <c r="H25" s="63">
        <f t="shared" si="1"/>
        <v>9</v>
      </c>
      <c r="I25" s="63">
        <f t="shared" si="16"/>
        <v>18</v>
      </c>
      <c r="J25" s="63">
        <f t="shared" si="17"/>
        <v>27</v>
      </c>
      <c r="K25" s="63">
        <f t="shared" si="18"/>
        <v>33</v>
      </c>
      <c r="L25" s="63" t="str">
        <f>IFERROR(VLOOKUP(MID(G25,J25,K25-J25),[6]skilldef!$C:$D,2,FALSE),"-") &amp; " / " &amp; IFERROR(VLOOKUP(MID(G25,H25,I25-H25),[6]skilldef!$A:$B,2,FALSE),"-")</f>
        <v>自分自身に / 行動値設定</v>
      </c>
      <c r="M25" s="63" t="str">
        <f t="shared" si="19"/>
        <v>[effect:tolerance, target:myself, turn:-1, count:-1, tolerance_effect:all, animation:enemy_tolerance]</v>
      </c>
      <c r="N25" s="48" t="str">
        <f t="shared" ref="N25:N32" si="27">IFERROR(LEFT(M25,FIND("],",M25)+S29),M25)</f>
        <v>[effect:tolerance, target:myself, turn:-1, count:-1, tolerance_effect:all, animation:enemy_tolerance]</v>
      </c>
      <c r="O25" s="63">
        <f t="shared" si="6"/>
        <v>9</v>
      </c>
      <c r="P25" s="63">
        <f t="shared" si="20"/>
        <v>18</v>
      </c>
      <c r="Q25" s="63">
        <f t="shared" si="21"/>
        <v>27</v>
      </c>
      <c r="R25" s="63">
        <f t="shared" si="22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23"/>
        <v>none</v>
      </c>
      <c r="U25" s="63" t="e">
        <f t="shared" si="11"/>
        <v>#VALUE!</v>
      </c>
      <c r="V25" s="63">
        <f t="shared" si="24"/>
        <v>4</v>
      </c>
      <c r="W25" s="63" t="e">
        <f t="shared" si="25"/>
        <v>#VALUE!</v>
      </c>
      <c r="X25" s="63" t="e">
        <f t="shared" si="26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60027041</v>
      </c>
      <c r="B26" s="149" t="s">
        <v>468</v>
      </c>
      <c r="C26" s="50">
        <v>3</v>
      </c>
      <c r="D26" s="50" t="s">
        <v>128</v>
      </c>
      <c r="E26" s="51" t="s">
        <v>350</v>
      </c>
      <c r="F26" s="150" t="s">
        <v>456</v>
      </c>
      <c r="G26" s="63" t="str">
        <f t="shared" si="15"/>
        <v>[effect:rush, count:3, val:0.45]</v>
      </c>
      <c r="H26" s="63">
        <f t="shared" si="1"/>
        <v>9</v>
      </c>
      <c r="I26" s="63">
        <f t="shared" si="16"/>
        <v>13</v>
      </c>
      <c r="J26" s="63" t="e">
        <f t="shared" si="17"/>
        <v>#VALUE!</v>
      </c>
      <c r="K26" s="63">
        <f t="shared" si="18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19"/>
        <v>[effect:invalidate_crash_panel, target:unit_all, turn:1, count:11, animation:enemy_dis_crashPanel]</v>
      </c>
      <c r="N26" s="48" t="str">
        <f t="shared" si="27"/>
        <v>[effect:invalidate_crash_panel, target:unit_all, turn:1, count:11, animation:enemy_dis_crashPanel]</v>
      </c>
      <c r="O26" s="63">
        <f t="shared" si="6"/>
        <v>9</v>
      </c>
      <c r="P26" s="63">
        <f t="shared" si="20"/>
        <v>31</v>
      </c>
      <c r="Q26" s="63">
        <f t="shared" si="21"/>
        <v>40</v>
      </c>
      <c r="R26" s="63">
        <f t="shared" si="22"/>
        <v>48</v>
      </c>
      <c r="S26" s="63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23"/>
        <v>none</v>
      </c>
      <c r="U26" s="63" t="e">
        <f t="shared" si="11"/>
        <v>#VALUE!</v>
      </c>
      <c r="V26" s="63">
        <f t="shared" si="24"/>
        <v>4</v>
      </c>
      <c r="W26" s="63" t="e">
        <f t="shared" si="25"/>
        <v>#VALUE!</v>
      </c>
      <c r="X26" s="63" t="e">
        <f t="shared" si="26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60027042</v>
      </c>
      <c r="B27" s="47" t="s">
        <v>438</v>
      </c>
      <c r="C27" s="50">
        <v>3</v>
      </c>
      <c r="D27" s="50" t="s">
        <v>128</v>
      </c>
      <c r="E27" s="51" t="s">
        <v>327</v>
      </c>
      <c r="F27" s="150" t="s">
        <v>469</v>
      </c>
      <c r="G27" s="63" t="str">
        <f t="shared" si="15"/>
        <v>[effect:enemy_message, val2:2.8]</v>
      </c>
      <c r="H27" s="63">
        <f t="shared" si="1"/>
        <v>9</v>
      </c>
      <c r="I27" s="63">
        <f t="shared" si="16"/>
        <v>22</v>
      </c>
      <c r="J27" s="63" t="e">
        <f t="shared" si="17"/>
        <v>#VALUE!</v>
      </c>
      <c r="K27" s="63" t="e">
        <f t="shared" si="18"/>
        <v>#VALUE!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27" s="48" t="str">
        <f t="shared" si="27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27" s="63">
        <f t="shared" si="6"/>
        <v>9</v>
      </c>
      <c r="P27" s="63">
        <f t="shared" si="20"/>
        <v>18</v>
      </c>
      <c r="Q27" s="63">
        <f t="shared" si="21"/>
        <v>27</v>
      </c>
      <c r="R27" s="63">
        <f t="shared" si="22"/>
        <v>37</v>
      </c>
      <c r="S27" s="63" t="str">
        <f>IFERROR(VLOOKUP(MID(N27,Q27,R27-Q27),[6]skilldef!$C:$D,2,FALSE),"-") &amp; " / " &amp; IFERROR(VLOOKUP(MID(N27,O27,P27-O27),[6]skilldef!$A:$B,2,FALSE),"-")</f>
        <v>青パネルを / ディスパネル</v>
      </c>
      <c r="T27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27" s="63">
        <f t="shared" si="11"/>
        <v>9</v>
      </c>
      <c r="V27" s="63">
        <f t="shared" si="24"/>
        <v>18</v>
      </c>
      <c r="W27" s="63">
        <f t="shared" si="25"/>
        <v>27</v>
      </c>
      <c r="X27" s="63">
        <f t="shared" si="26"/>
        <v>39</v>
      </c>
      <c r="Y27" s="63" t="str">
        <f>IFERROR(VLOOKUP(MID(T27,W27,X27-W27),[6]skilldef!$C:$D,2,FALSE),"-") &amp; " / " &amp; IFERROR(VLOOKUP(MID(T27,U27,V27-U27),[6]skilldef!$A:$B,2,FALSE),"-")</f>
        <v>黄色パネルを / ディスパネル</v>
      </c>
      <c r="Z27" s="50"/>
      <c r="AA27" s="52"/>
      <c r="AB27" s="50"/>
    </row>
    <row r="28" spans="1:28" ht="21" customHeight="1" x14ac:dyDescent="0.15">
      <c r="A28" s="47">
        <v>60027043</v>
      </c>
      <c r="B28" s="47" t="s">
        <v>356</v>
      </c>
      <c r="C28" s="50">
        <v>3</v>
      </c>
      <c r="D28" s="50" t="s">
        <v>128</v>
      </c>
      <c r="E28" s="51" t="s">
        <v>355</v>
      </c>
      <c r="F28" s="51" t="s">
        <v>457</v>
      </c>
      <c r="G28" s="63" t="str">
        <f t="shared" si="15"/>
        <v>[effect:damage_anti_type, target:unit_one, type:balance, val1:3, val2:1.2]</v>
      </c>
      <c r="H28" s="63">
        <f t="shared" si="1"/>
        <v>9</v>
      </c>
      <c r="I28" s="63">
        <f t="shared" si="16"/>
        <v>25</v>
      </c>
      <c r="J28" s="63">
        <f t="shared" si="17"/>
        <v>34</v>
      </c>
      <c r="K28" s="63">
        <f t="shared" si="18"/>
        <v>42</v>
      </c>
      <c r="L28" s="63" t="str">
        <f>IFERROR(VLOOKUP(MID(G28,J28,K28-J28),[6]skilldef!$C:$D,2,FALSE),"-") &amp; " / " &amp; IFERROR(VLOOKUP(MID(G28,H28,I28-H28),[6]skilldef!$A:$B,2,FALSE),"-")</f>
        <v>味方単体に / タイプキラー</v>
      </c>
      <c r="M28" s="63" t="str">
        <f t="shared" si="19"/>
        <v>none</v>
      </c>
      <c r="N28" s="48" t="str">
        <f t="shared" si="27"/>
        <v>none</v>
      </c>
      <c r="O28" s="63" t="e">
        <f t="shared" si="6"/>
        <v>#VALUE!</v>
      </c>
      <c r="P28" s="63">
        <f t="shared" si="20"/>
        <v>4</v>
      </c>
      <c r="Q28" s="63" t="e">
        <f t="shared" si="21"/>
        <v>#VALUE!</v>
      </c>
      <c r="R28" s="63" t="e">
        <f t="shared" si="22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23"/>
        <v>none</v>
      </c>
      <c r="U28" s="63" t="e">
        <f t="shared" si="11"/>
        <v>#VALUE!</v>
      </c>
      <c r="V28" s="63">
        <f t="shared" si="24"/>
        <v>4</v>
      </c>
      <c r="W28" s="63" t="e">
        <f t="shared" si="25"/>
        <v>#VALUE!</v>
      </c>
      <c r="X28" s="63" t="e">
        <f t="shared" si="26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2" customHeight="1" x14ac:dyDescent="0.15">
      <c r="A29" s="47">
        <v>60027050</v>
      </c>
      <c r="B29" s="47" t="s">
        <v>313</v>
      </c>
      <c r="C29" s="50">
        <v>3</v>
      </c>
      <c r="D29" s="50" t="s">
        <v>128</v>
      </c>
      <c r="E29" s="51" t="s">
        <v>324</v>
      </c>
      <c r="F29" s="51" t="s">
        <v>321</v>
      </c>
      <c r="G29" s="63" t="str">
        <f t="shared" ref="G29:G38" si="28">IFERROR(LEFT(B29,FIND("],",B29)),B29)</f>
        <v>[effect:fix_speed, target:myself, turn:1]</v>
      </c>
      <c r="H29" s="63">
        <f t="shared" si="1"/>
        <v>9</v>
      </c>
      <c r="I29" s="63">
        <f t="shared" ref="I29:I38" si="29">IFERROR(FIND(",",G29),LEN(G29))</f>
        <v>18</v>
      </c>
      <c r="J29" s="63">
        <f t="shared" ref="J29:J38" si="30">FIND("target:",G29)+7</f>
        <v>27</v>
      </c>
      <c r="K29" s="63">
        <f t="shared" ref="K29:K38" si="31">FIND(",",G29,I29+1)</f>
        <v>33</v>
      </c>
      <c r="L29" s="63" t="str">
        <f>IFERROR(VLOOKUP(MID(G29,J29,K29-J29),[6]skilldef!$C:$D,2,FALSE),"-") &amp; " / " &amp; IFERROR(VLOOKUP(MID(G29,H29,I29-H29),[6]skilldef!$A:$B,2,FALSE),"-")</f>
        <v>自分自身に / 行動値設定</v>
      </c>
      <c r="M29" s="63" t="str">
        <f t="shared" ref="M29:M38" si="32">IFERROR(RIGHT(B29,LEN(B29)-FIND("],",B29)-1),"none")</f>
        <v>[effect:tolerance, target:myself, turn:-1, count:-1, tolerance_effect:all, animation:enemy_tolerance]</v>
      </c>
      <c r="N29" s="48" t="str">
        <f t="shared" si="27"/>
        <v>[effect:tolerance, target:myself, turn:-1, count:-1, tolerance_effect:all, animation:enemy_tolerance]</v>
      </c>
      <c r="O29" s="63">
        <f t="shared" si="6"/>
        <v>9</v>
      </c>
      <c r="P29" s="63">
        <f t="shared" ref="P29:P38" si="33">IFERROR(FIND(",",N29),LEN(N29))</f>
        <v>18</v>
      </c>
      <c r="Q29" s="63">
        <f t="shared" ref="Q29:Q38" si="34">FIND("target:",N29)+7</f>
        <v>27</v>
      </c>
      <c r="R29" s="63">
        <f t="shared" ref="R29:R38" si="35">FIND(",",N29,P29+1)</f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ref="T29:T38" si="36">IFERROR(RIGHT(M29,LEN(M29)-FIND("],",M29)-1),"none")</f>
        <v>none</v>
      </c>
      <c r="U29" s="63" t="e">
        <f t="shared" si="11"/>
        <v>#VALUE!</v>
      </c>
      <c r="V29" s="63">
        <f t="shared" ref="V29:V38" si="37">IFERROR(FIND(",",T29),LEN(T29))</f>
        <v>4</v>
      </c>
      <c r="W29" s="63" t="e">
        <f t="shared" ref="W29:W38" si="38">FIND("target:",T29)+7</f>
        <v>#VALUE!</v>
      </c>
      <c r="X29" s="63" t="e">
        <f t="shared" ref="X29:X38" si="39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2" customHeight="1" x14ac:dyDescent="0.15">
      <c r="A30" s="47">
        <v>60027051</v>
      </c>
      <c r="B30" s="149" t="s">
        <v>445</v>
      </c>
      <c r="C30" s="50">
        <v>3</v>
      </c>
      <c r="D30" s="50" t="s">
        <v>128</v>
      </c>
      <c r="E30" s="51" t="s">
        <v>351</v>
      </c>
      <c r="F30" s="150" t="s">
        <v>459</v>
      </c>
      <c r="G30" s="63" t="str">
        <f t="shared" si="28"/>
        <v>[effect:rush, count:6, val:0.2]</v>
      </c>
      <c r="H30" s="63">
        <f t="shared" si="1"/>
        <v>9</v>
      </c>
      <c r="I30" s="63">
        <f t="shared" si="29"/>
        <v>13</v>
      </c>
      <c r="J30" s="63" t="e">
        <f t="shared" si="30"/>
        <v>#VALUE!</v>
      </c>
      <c r="K30" s="63">
        <f t="shared" si="31"/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32"/>
        <v>[effect:invalidate_crash_panel, target:unit_all, turn:1, count:11, animation:enemy_dis_crashPanel]</v>
      </c>
      <c r="N30" s="48" t="str">
        <f t="shared" si="27"/>
        <v>[effect:invalidate_crash_panel, target:unit_all, turn:1, count:11, animation:enemy_dis_crashPanel]</v>
      </c>
      <c r="O30" s="63">
        <f t="shared" si="6"/>
        <v>9</v>
      </c>
      <c r="P30" s="63">
        <f t="shared" si="33"/>
        <v>31</v>
      </c>
      <c r="Q30" s="63">
        <f t="shared" si="34"/>
        <v>40</v>
      </c>
      <c r="R30" s="63">
        <f t="shared" si="35"/>
        <v>48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36"/>
        <v>none</v>
      </c>
      <c r="U30" s="63" t="e">
        <f t="shared" si="11"/>
        <v>#VALUE!</v>
      </c>
      <c r="V30" s="63">
        <f t="shared" si="37"/>
        <v>4</v>
      </c>
      <c r="W30" s="63" t="e">
        <f t="shared" si="38"/>
        <v>#VALUE!</v>
      </c>
      <c r="X30" s="63" t="e">
        <f t="shared" si="39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2" customHeight="1" x14ac:dyDescent="0.15">
      <c r="A31" s="47">
        <v>60027052</v>
      </c>
      <c r="B31" s="149" t="s">
        <v>446</v>
      </c>
      <c r="C31" s="50">
        <v>3</v>
      </c>
      <c r="D31" s="50" t="s">
        <v>128</v>
      </c>
      <c r="E31" s="51" t="s">
        <v>325</v>
      </c>
      <c r="F31" s="150" t="s">
        <v>466</v>
      </c>
      <c r="G31" s="63" t="str">
        <f t="shared" si="28"/>
        <v>[effect:force_change_block, new_block:time_bomb, target:block_all, ignore01:crash, ignore02:time_bomb, ignore03:color_break, count:5, val:0.1, animation:change_block]</v>
      </c>
      <c r="H31" s="63">
        <f t="shared" si="1"/>
        <v>9</v>
      </c>
      <c r="I31" s="63">
        <f t="shared" si="29"/>
        <v>27</v>
      </c>
      <c r="J31" s="63">
        <f t="shared" si="30"/>
        <v>57</v>
      </c>
      <c r="K31" s="63">
        <f t="shared" si="31"/>
        <v>48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32"/>
        <v>[effect:panel_freeze, target:block_red, count:-1],[effect:panel_freeze, target:block_blue, count:-1]</v>
      </c>
      <c r="N31" s="48" t="str">
        <f t="shared" si="27"/>
        <v>[effect:panel_freeze, target:block_red, count:-1],[effect:panel_freeze, target:block_blue, count:-1]</v>
      </c>
      <c r="O31" s="63">
        <f t="shared" si="6"/>
        <v>9</v>
      </c>
      <c r="P31" s="63">
        <f t="shared" si="33"/>
        <v>21</v>
      </c>
      <c r="Q31" s="63">
        <f t="shared" si="34"/>
        <v>30</v>
      </c>
      <c r="R31" s="63">
        <f t="shared" si="35"/>
        <v>39</v>
      </c>
      <c r="S31" s="63" t="str">
        <f>IFERROR(VLOOKUP(MID(N31,Q31,R31-Q31),[6]skilldef!$C:$D,2,FALSE),"-") &amp; " / " &amp; IFERROR(VLOOKUP(MID(N31,O31,P31-O31),[6]skilldef!$A:$B,2,FALSE),"-")</f>
        <v>赤パネルを / -</v>
      </c>
      <c r="T31" s="48" t="str">
        <f t="shared" si="36"/>
        <v>[effect:panel_freeze, target:block_blue, count:-1]</v>
      </c>
      <c r="U31" s="63">
        <f t="shared" si="11"/>
        <v>9</v>
      </c>
      <c r="V31" s="63">
        <f t="shared" si="37"/>
        <v>21</v>
      </c>
      <c r="W31" s="63">
        <f t="shared" si="38"/>
        <v>30</v>
      </c>
      <c r="X31" s="63">
        <f t="shared" si="39"/>
        <v>40</v>
      </c>
      <c r="Y31" s="63" t="str">
        <f>IFERROR(VLOOKUP(MID(T31,W31,X31-W31),[6]skilldef!$C:$D,2,FALSE),"-") &amp; " / " &amp; IFERROR(VLOOKUP(MID(T31,U31,V31-U31),[6]skilldef!$A:$B,2,FALSE),"-")</f>
        <v>青パネルを / -</v>
      </c>
      <c r="Z31" s="50"/>
      <c r="AA31" s="52"/>
      <c r="AB31" s="50"/>
    </row>
    <row r="32" spans="1:28" ht="22" customHeight="1" x14ac:dyDescent="0.15">
      <c r="A32" s="47">
        <v>60027053</v>
      </c>
      <c r="B32" s="47" t="s">
        <v>356</v>
      </c>
      <c r="C32" s="50">
        <v>3</v>
      </c>
      <c r="D32" s="50" t="s">
        <v>128</v>
      </c>
      <c r="E32" s="51" t="s">
        <v>355</v>
      </c>
      <c r="F32" s="51" t="s">
        <v>458</v>
      </c>
      <c r="G32" s="63" t="str">
        <f t="shared" si="28"/>
        <v>[effect:damage_anti_type, target:unit_one, type:balance, val1:3, val2:1.2]</v>
      </c>
      <c r="H32" s="63">
        <f t="shared" si="1"/>
        <v>9</v>
      </c>
      <c r="I32" s="63">
        <f t="shared" si="29"/>
        <v>25</v>
      </c>
      <c r="J32" s="63">
        <f t="shared" si="30"/>
        <v>34</v>
      </c>
      <c r="K32" s="63">
        <f t="shared" si="31"/>
        <v>42</v>
      </c>
      <c r="L32" s="63" t="str">
        <f>IFERROR(VLOOKUP(MID(G32,J32,K32-J32),[6]skilldef!$C:$D,2,FALSE),"-") &amp; " / " &amp; IFERROR(VLOOKUP(MID(G32,H32,I32-H32),[6]skilldef!$A:$B,2,FALSE),"-")</f>
        <v>味方単体に / タイプキラー</v>
      </c>
      <c r="M32" s="63" t="str">
        <f t="shared" si="32"/>
        <v>none</v>
      </c>
      <c r="N32" s="48" t="str">
        <f t="shared" si="27"/>
        <v>none</v>
      </c>
      <c r="O32" s="63" t="e">
        <f t="shared" si="6"/>
        <v>#VALUE!</v>
      </c>
      <c r="P32" s="63">
        <f t="shared" si="33"/>
        <v>4</v>
      </c>
      <c r="Q32" s="63" t="e">
        <f t="shared" si="34"/>
        <v>#VALUE!</v>
      </c>
      <c r="R32" s="63" t="e">
        <f t="shared" si="35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36"/>
        <v>none</v>
      </c>
      <c r="U32" s="63" t="e">
        <f t="shared" si="11"/>
        <v>#VALUE!</v>
      </c>
      <c r="V32" s="63">
        <f t="shared" si="37"/>
        <v>4</v>
      </c>
      <c r="W32" s="63" t="e">
        <f t="shared" si="38"/>
        <v>#VALUE!</v>
      </c>
      <c r="X32" s="63" t="e">
        <f t="shared" si="39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2" customHeight="1" x14ac:dyDescent="0.15">
      <c r="A33" s="47">
        <v>60027060</v>
      </c>
      <c r="B33" s="47" t="s">
        <v>314</v>
      </c>
      <c r="C33" s="50">
        <v>3</v>
      </c>
      <c r="D33" s="50" t="s">
        <v>128</v>
      </c>
      <c r="E33" s="51" t="s">
        <v>328</v>
      </c>
      <c r="F33" s="51" t="s">
        <v>318</v>
      </c>
      <c r="G33" s="63" t="str">
        <f t="shared" si="28"/>
        <v>[effect:fix_speed, target:myself, turn:1]</v>
      </c>
      <c r="H33" s="63">
        <f t="shared" si="1"/>
        <v>9</v>
      </c>
      <c r="I33" s="63">
        <f t="shared" si="29"/>
        <v>18</v>
      </c>
      <c r="J33" s="63">
        <f t="shared" si="30"/>
        <v>27</v>
      </c>
      <c r="K33" s="63">
        <f t="shared" si="31"/>
        <v>33</v>
      </c>
      <c r="L33" s="63" t="str">
        <f>IFERROR(VLOOKUP(MID(G33,J33,K33-J33),[6]skilldef!$C:$D,2,FALSE),"-") &amp; " / " &amp; IFERROR(VLOOKUP(MID(G33,H33,I33-H33),[6]skilldef!$A:$B,2,FALSE),"-")</f>
        <v>自分自身に / 行動値設定</v>
      </c>
      <c r="M33" s="63" t="str">
        <f t="shared" si="32"/>
        <v>[effect:tolerance, target:myself, turn:-1, count:-1, tolerance_effect:all, animation:enemy_tolerance]</v>
      </c>
      <c r="N33" s="48" t="str">
        <f t="shared" ref="N33:N38" si="40">IFERROR(LEFT(M33,FIND("],",M33)+S39),M33)</f>
        <v>[effect:tolerance, target:myself, turn:-1, count:-1, tolerance_effect:all, animation:enemy_tolerance]</v>
      </c>
      <c r="O33" s="63">
        <f t="shared" si="6"/>
        <v>9</v>
      </c>
      <c r="P33" s="63">
        <f t="shared" si="33"/>
        <v>18</v>
      </c>
      <c r="Q33" s="63">
        <f t="shared" si="34"/>
        <v>27</v>
      </c>
      <c r="R33" s="63">
        <f t="shared" si="35"/>
        <v>33</v>
      </c>
      <c r="S33" s="63" t="str">
        <f>IFERROR(VLOOKUP(MID(N33,Q33,R33-Q33),[6]skilldef!$C:$D,2,FALSE),"-") &amp; " / " &amp; IFERROR(VLOOKUP(MID(N33,O33,P33-O33),[6]skilldef!$A:$B,2,FALSE),"-")</f>
        <v>自分自身に / 状態異常耐性</v>
      </c>
      <c r="T33" s="48" t="str">
        <f t="shared" si="36"/>
        <v>none</v>
      </c>
      <c r="U33" s="63" t="e">
        <f t="shared" si="11"/>
        <v>#VALUE!</v>
      </c>
      <c r="V33" s="63">
        <f t="shared" si="37"/>
        <v>4</v>
      </c>
      <c r="W33" s="63" t="e">
        <f t="shared" si="38"/>
        <v>#VALUE!</v>
      </c>
      <c r="X33" s="63" t="e">
        <f t="shared" si="39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2" customHeight="1" x14ac:dyDescent="0.15">
      <c r="A34" s="47">
        <v>60027061</v>
      </c>
      <c r="B34" s="149" t="s">
        <v>445</v>
      </c>
      <c r="C34" s="50">
        <v>3</v>
      </c>
      <c r="D34" s="50" t="s">
        <v>128</v>
      </c>
      <c r="E34" s="51" t="s">
        <v>351</v>
      </c>
      <c r="F34" s="150" t="s">
        <v>459</v>
      </c>
      <c r="G34" s="63" t="str">
        <f t="shared" si="28"/>
        <v>[effect:rush, count:6, val:0.2]</v>
      </c>
      <c r="H34" s="63">
        <f t="shared" si="1"/>
        <v>9</v>
      </c>
      <c r="I34" s="63">
        <f t="shared" si="29"/>
        <v>13</v>
      </c>
      <c r="J34" s="63" t="e">
        <f t="shared" si="30"/>
        <v>#VALUE!</v>
      </c>
      <c r="K34" s="63">
        <f t="shared" si="31"/>
        <v>22</v>
      </c>
      <c r="L34" s="63" t="str">
        <f>IFERROR(VLOOKUP(MID(G34,J34,K34-J34),[6]skilldef!$C:$D,2,FALSE),"-") &amp; " / " &amp; IFERROR(VLOOKUP(MID(G34,H34,I34-H34),[6]skilldef!$A:$B,2,FALSE),"-")</f>
        <v>- / 連続攻撃</v>
      </c>
      <c r="M34" s="63" t="str">
        <f t="shared" si="32"/>
        <v>[effect:invalidate_crash_panel, target:unit_all, turn:1, count:11, animation:enemy_dis_crashPanel]</v>
      </c>
      <c r="N34" s="48" t="str">
        <f t="shared" si="40"/>
        <v>[effect:invalidate_crash_panel, target:unit_all, turn:1, count:11, animation:enemy_dis_crashPanel]</v>
      </c>
      <c r="O34" s="63">
        <f t="shared" si="6"/>
        <v>9</v>
      </c>
      <c r="P34" s="63">
        <f t="shared" si="33"/>
        <v>31</v>
      </c>
      <c r="Q34" s="63">
        <f t="shared" si="34"/>
        <v>40</v>
      </c>
      <c r="R34" s="63">
        <f t="shared" si="35"/>
        <v>48</v>
      </c>
      <c r="S34" s="63" t="str">
        <f>IFERROR(VLOOKUP(MID(N34,Q34,R34-Q34),[6]skilldef!$C:$D,2,FALSE),"-") &amp; " / " &amp; IFERROR(VLOOKUP(MID(N34,O34,P34-O34),[6]skilldef!$A:$B,2,FALSE),"-")</f>
        <v>味方全体に / -</v>
      </c>
      <c r="T34" s="48" t="str">
        <f t="shared" si="36"/>
        <v>none</v>
      </c>
      <c r="U34" s="63" t="e">
        <f t="shared" si="11"/>
        <v>#VALUE!</v>
      </c>
      <c r="V34" s="63">
        <f t="shared" si="37"/>
        <v>4</v>
      </c>
      <c r="W34" s="63" t="e">
        <f t="shared" si="38"/>
        <v>#VALUE!</v>
      </c>
      <c r="X34" s="63" t="e">
        <f t="shared" si="39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2" customHeight="1" x14ac:dyDescent="0.15">
      <c r="A35" s="47">
        <v>60027062</v>
      </c>
      <c r="B35" s="47" t="s">
        <v>438</v>
      </c>
      <c r="C35" s="50">
        <v>3</v>
      </c>
      <c r="D35" s="50" t="s">
        <v>128</v>
      </c>
      <c r="E35" s="51" t="s">
        <v>327</v>
      </c>
      <c r="F35" s="150" t="s">
        <v>469</v>
      </c>
      <c r="G35" s="63" t="str">
        <f t="shared" si="28"/>
        <v>[effect:enemy_message, val2:2.8]</v>
      </c>
      <c r="H35" s="63">
        <f t="shared" si="1"/>
        <v>9</v>
      </c>
      <c r="I35" s="63">
        <f t="shared" si="29"/>
        <v>22</v>
      </c>
      <c r="J35" s="63" t="e">
        <f t="shared" si="30"/>
        <v>#VALUE!</v>
      </c>
      <c r="K35" s="63" t="e">
        <f t="shared" si="31"/>
        <v>#VALUE!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2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35" s="48" t="str">
        <f t="shared" si="40"/>
        <v>[effect:dis_panel, target:block_blue, turn:3, animation:enemy_dis_blue]</v>
      </c>
      <c r="O35" s="63">
        <f t="shared" si="6"/>
        <v>9</v>
      </c>
      <c r="P35" s="63">
        <f t="shared" si="33"/>
        <v>18</v>
      </c>
      <c r="Q35" s="63">
        <f t="shared" si="34"/>
        <v>27</v>
      </c>
      <c r="R35" s="63">
        <f t="shared" si="35"/>
        <v>37</v>
      </c>
      <c r="S35" s="63" t="str">
        <f>IFERROR(VLOOKUP(MID(N35,Q35,R35-Q35),[6]skilldef!$C:$D,2,FALSE),"-") &amp; " / " &amp; IFERROR(VLOOKUP(MID(N35,O35,P35-O35),[6]skilldef!$A:$B,2,FALSE),"-")</f>
        <v>青パネルを / ディスパネル</v>
      </c>
      <c r="T35" s="48" t="str">
        <f t="shared" si="36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35" s="63">
        <f t="shared" si="11"/>
        <v>9</v>
      </c>
      <c r="V35" s="63">
        <f t="shared" si="37"/>
        <v>18</v>
      </c>
      <c r="W35" s="63">
        <f t="shared" si="38"/>
        <v>27</v>
      </c>
      <c r="X35" s="63">
        <f t="shared" si="39"/>
        <v>39</v>
      </c>
      <c r="Y35" s="63" t="str">
        <f>IFERROR(VLOOKUP(MID(T35,W35,X35-W35),[6]skilldef!$C:$D,2,FALSE),"-") &amp; " / " &amp; IFERROR(VLOOKUP(MID(T35,U35,V35-U35),[6]skilldef!$A:$B,2,FALSE),"-")</f>
        <v>黄色パネルを / ディスパネル</v>
      </c>
      <c r="Z35" s="50"/>
      <c r="AA35" s="52"/>
      <c r="AB35" s="50"/>
    </row>
    <row r="36" spans="1:28" ht="22" customHeight="1" x14ac:dyDescent="0.15">
      <c r="A36" s="47">
        <v>60027063</v>
      </c>
      <c r="B36" s="47" t="s">
        <v>315</v>
      </c>
      <c r="C36" s="50">
        <v>3</v>
      </c>
      <c r="D36" s="50" t="s">
        <v>128</v>
      </c>
      <c r="E36" s="51" t="s">
        <v>326</v>
      </c>
      <c r="F36" s="51" t="s">
        <v>467</v>
      </c>
      <c r="G36" s="63" t="str">
        <f t="shared" si="28"/>
        <v>[effect:enhance_enemy, target:myself, turn:-1, status:attack, val:1.1, calc:mul, animation:enemy_enhance_enemy]</v>
      </c>
      <c r="H36" s="63">
        <f t="shared" si="1"/>
        <v>9</v>
      </c>
      <c r="I36" s="63">
        <f t="shared" si="29"/>
        <v>22</v>
      </c>
      <c r="J36" s="63">
        <f t="shared" si="30"/>
        <v>31</v>
      </c>
      <c r="K36" s="63">
        <f t="shared" si="31"/>
        <v>37</v>
      </c>
      <c r="L36" s="63" t="str">
        <f>IFERROR(VLOOKUP(MID(G36,J36,K36-J36),[6]skilldef!$C:$D,2,FALSE),"-") &amp; " / " &amp; IFERROR(VLOOKUP(MID(G36,H36,I36-H36),[6]skilldef!$A:$B,2,FALSE),"-")</f>
        <v>自分自身に / ステータス強化</v>
      </c>
      <c r="M36" s="63" t="str">
        <f t="shared" si="32"/>
        <v>[effect:enhance_enemy, target:myself, turn:-1, status:defense, val:3000, calc:add]</v>
      </c>
      <c r="N36" s="48" t="str">
        <f t="shared" si="40"/>
        <v>[effect:enhance_enemy, target:myself, turn:-1, status:defense, val:3000, calc:add]</v>
      </c>
      <c r="O36" s="63">
        <f t="shared" si="6"/>
        <v>9</v>
      </c>
      <c r="P36" s="63">
        <f t="shared" si="33"/>
        <v>22</v>
      </c>
      <c r="Q36" s="63">
        <f t="shared" si="34"/>
        <v>31</v>
      </c>
      <c r="R36" s="63">
        <f t="shared" si="35"/>
        <v>37</v>
      </c>
      <c r="S36" s="63" t="str">
        <f>IFERROR(VLOOKUP(MID(N36,Q36,R36-Q36),[6]skilldef!$C:$D,2,FALSE),"-") &amp; " / " &amp; IFERROR(VLOOKUP(MID(N36,O36,P36-O36),[6]skilldef!$A:$B,2,FALSE),"-")</f>
        <v>自分自身に / ステータス強化</v>
      </c>
      <c r="T36" s="48" t="str">
        <f t="shared" si="36"/>
        <v>none</v>
      </c>
      <c r="U36" s="63" t="e">
        <f t="shared" si="11"/>
        <v>#VALUE!</v>
      </c>
      <c r="V36" s="63">
        <f t="shared" si="37"/>
        <v>4</v>
      </c>
      <c r="W36" s="63" t="e">
        <f t="shared" si="38"/>
        <v>#VALUE!</v>
      </c>
      <c r="X36" s="63" t="e">
        <f t="shared" si="39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2" customHeight="1" x14ac:dyDescent="0.15">
      <c r="A37" s="47">
        <v>60027064</v>
      </c>
      <c r="B37" s="47" t="s">
        <v>437</v>
      </c>
      <c r="C37" s="50">
        <v>3</v>
      </c>
      <c r="D37" s="50" t="s">
        <v>128</v>
      </c>
      <c r="E37" s="51" t="s">
        <v>329</v>
      </c>
      <c r="F37" s="51" t="s">
        <v>330</v>
      </c>
      <c r="G37" s="63" t="str">
        <f t="shared" si="28"/>
        <v>[effect:enemy_message, dead_type:suicide, val1:1.4, val2:2]</v>
      </c>
      <c r="H37" s="63">
        <f t="shared" si="1"/>
        <v>9</v>
      </c>
      <c r="I37" s="63">
        <f t="shared" si="29"/>
        <v>22</v>
      </c>
      <c r="J37" s="63" t="e">
        <f t="shared" si="30"/>
        <v>#VALUE!</v>
      </c>
      <c r="K37" s="63">
        <f t="shared" si="31"/>
        <v>41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32"/>
        <v>none</v>
      </c>
      <c r="N37" s="48" t="str">
        <f t="shared" si="40"/>
        <v>none</v>
      </c>
      <c r="O37" s="63" t="e">
        <f t="shared" si="6"/>
        <v>#VALUE!</v>
      </c>
      <c r="P37" s="63">
        <f t="shared" si="33"/>
        <v>4</v>
      </c>
      <c r="Q37" s="63" t="e">
        <f t="shared" si="34"/>
        <v>#VALUE!</v>
      </c>
      <c r="R37" s="63" t="e">
        <f t="shared" si="35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36"/>
        <v>none</v>
      </c>
      <c r="U37" s="63" t="e">
        <f t="shared" si="11"/>
        <v>#VALUE!</v>
      </c>
      <c r="V37" s="63">
        <f t="shared" si="37"/>
        <v>4</v>
      </c>
      <c r="W37" s="63" t="e">
        <f t="shared" si="38"/>
        <v>#VALUE!</v>
      </c>
      <c r="X37" s="63" t="e">
        <f t="shared" si="39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2" customHeight="1" x14ac:dyDescent="0.15">
      <c r="A38" s="47">
        <v>60027065</v>
      </c>
      <c r="B38" s="47" t="s">
        <v>356</v>
      </c>
      <c r="C38" s="50">
        <v>3</v>
      </c>
      <c r="D38" s="50" t="s">
        <v>128</v>
      </c>
      <c r="E38" s="51" t="s">
        <v>355</v>
      </c>
      <c r="F38" s="51" t="s">
        <v>460</v>
      </c>
      <c r="G38" s="63" t="str">
        <f t="shared" si="28"/>
        <v>[effect:damage_anti_type, target:unit_one, type:balance, val1:3, val2:1.2]</v>
      </c>
      <c r="H38" s="63">
        <f t="shared" ref="H38" si="41">FIND("effect:",G38)+7</f>
        <v>9</v>
      </c>
      <c r="I38" s="63">
        <f t="shared" si="29"/>
        <v>25</v>
      </c>
      <c r="J38" s="63">
        <f t="shared" si="30"/>
        <v>34</v>
      </c>
      <c r="K38" s="63">
        <f t="shared" si="31"/>
        <v>42</v>
      </c>
      <c r="L38" s="63" t="str">
        <f>IFERROR(VLOOKUP(MID(G38,J38,K38-J38),[6]skilldef!$C:$D,2,FALSE),"-") &amp; " / " &amp; IFERROR(VLOOKUP(MID(G38,H38,I38-H38),[6]skilldef!$A:$B,2,FALSE),"-")</f>
        <v>味方単体に / タイプキラー</v>
      </c>
      <c r="M38" s="63" t="str">
        <f t="shared" si="32"/>
        <v>none</v>
      </c>
      <c r="N38" s="48" t="str">
        <f t="shared" si="40"/>
        <v>none</v>
      </c>
      <c r="O38" s="63" t="e">
        <f t="shared" ref="O38" si="42">FIND("effect:",N38)+7</f>
        <v>#VALUE!</v>
      </c>
      <c r="P38" s="63">
        <f t="shared" si="33"/>
        <v>4</v>
      </c>
      <c r="Q38" s="63" t="e">
        <f t="shared" si="34"/>
        <v>#VALUE!</v>
      </c>
      <c r="R38" s="63" t="e">
        <f t="shared" si="35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36"/>
        <v>none</v>
      </c>
      <c r="U38" s="63" t="e">
        <f t="shared" ref="U38" si="43">FIND("effect:",T38)+7</f>
        <v>#VALUE!</v>
      </c>
      <c r="V38" s="63">
        <f t="shared" si="37"/>
        <v>4</v>
      </c>
      <c r="W38" s="63" t="e">
        <f t="shared" si="38"/>
        <v>#VALUE!</v>
      </c>
      <c r="X38" s="63" t="e">
        <f t="shared" si="39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8"/>
  <sheetViews>
    <sheetView showGridLines="0" zoomScale="75" zoomScaleNormal="75" zoomScalePageLayoutView="75" workbookViewId="0">
      <pane ySplit="1" topLeftCell="A16" activePane="bottomLeft" state="frozenSplit"/>
      <selection pane="bottomLeft" activeCell="G32" sqref="G3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60027000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60027001</v>
      </c>
      <c r="B3" s="47">
        <v>0</v>
      </c>
      <c r="C3" s="47">
        <v>100</v>
      </c>
      <c r="D3" s="47">
        <v>60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37" si="1">D3</f>
        <v>60</v>
      </c>
    </row>
    <row r="4" spans="1:11" ht="21" customHeight="1" x14ac:dyDescent="0.15">
      <c r="A4" s="47">
        <v>60027002</v>
      </c>
      <c r="B4" s="47">
        <v>0</v>
      </c>
      <c r="C4" s="47" t="s">
        <v>359</v>
      </c>
      <c r="D4" s="47">
        <v>100</v>
      </c>
      <c r="E4" s="47">
        <v>30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60027010</v>
      </c>
      <c r="B5" s="47">
        <v>1</v>
      </c>
      <c r="C5" s="47" t="s">
        <v>89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47">
        <v>60027011</v>
      </c>
      <c r="B6" s="47">
        <v>0</v>
      </c>
      <c r="C6" s="47" t="s">
        <v>89</v>
      </c>
      <c r="D6" s="47">
        <v>100</v>
      </c>
      <c r="E6" s="47" t="s">
        <v>53</v>
      </c>
      <c r="F6" s="47" t="s">
        <v>53</v>
      </c>
      <c r="G6" s="47">
        <v>1</v>
      </c>
      <c r="H6" s="47">
        <v>2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60027012</v>
      </c>
      <c r="B7" s="47">
        <v>0</v>
      </c>
      <c r="C7" s="47">
        <v>100</v>
      </c>
      <c r="D7" s="47">
        <v>50</v>
      </c>
      <c r="E7" s="47" t="s">
        <v>53</v>
      </c>
      <c r="F7" s="47" t="s">
        <v>53</v>
      </c>
      <c r="G7" s="47" t="s">
        <v>53</v>
      </c>
      <c r="H7" s="47" t="s">
        <v>53</v>
      </c>
      <c r="I7" s="47" t="s">
        <v>53</v>
      </c>
      <c r="J7" s="48">
        <f t="shared" si="1"/>
        <v>50</v>
      </c>
    </row>
    <row r="8" spans="1:11" ht="21" customHeight="1" x14ac:dyDescent="0.15">
      <c r="A8" s="47">
        <v>60027016</v>
      </c>
      <c r="B8" s="47">
        <v>0</v>
      </c>
      <c r="C8" s="47">
        <v>100</v>
      </c>
      <c r="D8" s="47">
        <v>30</v>
      </c>
      <c r="E8" s="47" t="s">
        <v>53</v>
      </c>
      <c r="F8" s="47" t="s">
        <v>53</v>
      </c>
      <c r="G8" s="47" t="s">
        <v>53</v>
      </c>
      <c r="H8" s="47" t="s">
        <v>53</v>
      </c>
      <c r="I8" s="47" t="s">
        <v>53</v>
      </c>
      <c r="J8" s="48">
        <f t="shared" si="1"/>
        <v>30</v>
      </c>
    </row>
    <row r="9" spans="1:11" ht="21" customHeight="1" x14ac:dyDescent="0.15">
      <c r="A9" s="47">
        <v>60027017</v>
      </c>
      <c r="B9" s="47">
        <v>0</v>
      </c>
      <c r="C9" s="47">
        <v>90</v>
      </c>
      <c r="D9" s="47">
        <v>60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1"/>
        <v>60</v>
      </c>
    </row>
    <row r="10" spans="1:11" ht="21" customHeight="1" x14ac:dyDescent="0.15">
      <c r="A10" s="47">
        <v>60027018</v>
      </c>
      <c r="B10" s="47">
        <v>0</v>
      </c>
      <c r="C10" s="47">
        <v>80</v>
      </c>
      <c r="D10" s="47">
        <v>100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60027020</v>
      </c>
      <c r="B11" s="47">
        <v>1</v>
      </c>
      <c r="C11" s="47" t="s">
        <v>89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1"/>
        <v>100</v>
      </c>
    </row>
    <row r="12" spans="1:11" ht="21" customHeight="1" x14ac:dyDescent="0.15">
      <c r="A12" s="47">
        <v>60027021</v>
      </c>
      <c r="B12" s="47">
        <v>0</v>
      </c>
      <c r="C12" s="47" t="s">
        <v>89</v>
      </c>
      <c r="D12" s="47">
        <v>50</v>
      </c>
      <c r="E12" s="47" t="s">
        <v>53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si="1"/>
        <v>50</v>
      </c>
    </row>
    <row r="13" spans="1:11" ht="21" customHeight="1" x14ac:dyDescent="0.15">
      <c r="A13" s="47">
        <v>60027022</v>
      </c>
      <c r="B13" s="47">
        <v>0</v>
      </c>
      <c r="C13" s="47" t="s">
        <v>89</v>
      </c>
      <c r="D13" s="47">
        <v>100</v>
      </c>
      <c r="E13" s="47" t="s">
        <v>53</v>
      </c>
      <c r="F13" s="47" t="s">
        <v>53</v>
      </c>
      <c r="G13" s="47">
        <v>2</v>
      </c>
      <c r="H13" s="47">
        <v>2</v>
      </c>
      <c r="I13" s="47" t="s">
        <v>53</v>
      </c>
      <c r="J13" s="48">
        <f t="shared" si="1"/>
        <v>100</v>
      </c>
    </row>
    <row r="14" spans="1:11" ht="21" customHeight="1" x14ac:dyDescent="0.15">
      <c r="A14" s="47">
        <v>60027025</v>
      </c>
      <c r="B14" s="47">
        <v>1</v>
      </c>
      <c r="C14" s="47" t="s">
        <v>89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1"/>
        <v>100</v>
      </c>
    </row>
    <row r="15" spans="1:11" ht="21" customHeight="1" x14ac:dyDescent="0.15">
      <c r="A15" s="47">
        <v>60027026</v>
      </c>
      <c r="B15" s="47">
        <v>0</v>
      </c>
      <c r="C15" s="47" t="s">
        <v>89</v>
      </c>
      <c r="D15" s="47">
        <v>100</v>
      </c>
      <c r="E15" s="47" t="s">
        <v>53</v>
      </c>
      <c r="F15" s="47" t="s">
        <v>53</v>
      </c>
      <c r="G15" s="47" t="s">
        <v>53</v>
      </c>
      <c r="H15" s="47">
        <v>2</v>
      </c>
      <c r="I15" s="47" t="s">
        <v>53</v>
      </c>
      <c r="J15" s="48">
        <f t="shared" si="1"/>
        <v>100</v>
      </c>
    </row>
    <row r="16" spans="1:11" ht="21" customHeight="1" x14ac:dyDescent="0.15">
      <c r="A16" s="47">
        <v>60027027</v>
      </c>
      <c r="B16" s="47">
        <v>0</v>
      </c>
      <c r="C16" s="47">
        <v>100</v>
      </c>
      <c r="D16" s="47">
        <v>100</v>
      </c>
      <c r="E16" s="47">
        <v>50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1"/>
        <v>100</v>
      </c>
    </row>
    <row r="17" spans="1:10" ht="21" customHeight="1" x14ac:dyDescent="0.15">
      <c r="A17" s="47">
        <v>60027030</v>
      </c>
      <c r="B17" s="47">
        <v>1</v>
      </c>
      <c r="C17" s="47" t="s">
        <v>89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60027031</v>
      </c>
      <c r="B18" s="47">
        <v>0</v>
      </c>
      <c r="C18" s="47" t="s">
        <v>89</v>
      </c>
      <c r="D18" s="47">
        <v>20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1"/>
        <v>20</v>
      </c>
    </row>
    <row r="19" spans="1:10" ht="21" customHeight="1" x14ac:dyDescent="0.15">
      <c r="A19" s="47">
        <v>60027032</v>
      </c>
      <c r="B19" s="47">
        <v>0</v>
      </c>
      <c r="C19" s="47" t="s">
        <v>89</v>
      </c>
      <c r="D19" s="47">
        <v>30</v>
      </c>
      <c r="E19" s="47" t="s">
        <v>53</v>
      </c>
      <c r="F19" s="47" t="s">
        <v>53</v>
      </c>
      <c r="G19" s="47" t="s">
        <v>53</v>
      </c>
      <c r="H19" s="47" t="s">
        <v>53</v>
      </c>
      <c r="I19" s="47" t="s">
        <v>53</v>
      </c>
      <c r="J19" s="48">
        <f t="shared" si="1"/>
        <v>30</v>
      </c>
    </row>
    <row r="20" spans="1:10" ht="21" customHeight="1" x14ac:dyDescent="0.15">
      <c r="A20" s="47">
        <v>60027033</v>
      </c>
      <c r="B20" s="47">
        <v>0</v>
      </c>
      <c r="C20" s="47" t="s">
        <v>89</v>
      </c>
      <c r="D20" s="47">
        <v>100</v>
      </c>
      <c r="E20" s="47">
        <v>50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1"/>
        <v>100</v>
      </c>
    </row>
    <row r="21" spans="1:10" ht="21" customHeight="1" x14ac:dyDescent="0.15">
      <c r="A21" s="47">
        <v>60027035</v>
      </c>
      <c r="B21" s="47">
        <v>1</v>
      </c>
      <c r="C21" s="47" t="s">
        <v>89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 t="s">
        <v>53</v>
      </c>
      <c r="J21" s="48">
        <f t="shared" si="1"/>
        <v>100</v>
      </c>
    </row>
    <row r="22" spans="1:10" ht="21" customHeight="1" x14ac:dyDescent="0.15">
      <c r="A22" s="47">
        <v>60027036</v>
      </c>
      <c r="B22" s="47">
        <v>0</v>
      </c>
      <c r="C22" s="47" t="s">
        <v>89</v>
      </c>
      <c r="D22" s="47">
        <v>30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1"/>
        <v>30</v>
      </c>
    </row>
    <row r="23" spans="1:10" ht="21" customHeight="1" x14ac:dyDescent="0.15">
      <c r="A23" s="47">
        <v>60027037</v>
      </c>
      <c r="B23" s="47">
        <v>0</v>
      </c>
      <c r="C23" s="47" t="s">
        <v>89</v>
      </c>
      <c r="D23" s="47">
        <v>30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1"/>
        <v>30</v>
      </c>
    </row>
    <row r="24" spans="1:10" ht="21" customHeight="1" x14ac:dyDescent="0.15">
      <c r="A24" s="47">
        <v>60027038</v>
      </c>
      <c r="B24" s="47">
        <v>0</v>
      </c>
      <c r="C24" s="47" t="s">
        <v>89</v>
      </c>
      <c r="D24" s="47">
        <v>100</v>
      </c>
      <c r="E24" s="47">
        <v>50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si="1"/>
        <v>100</v>
      </c>
    </row>
    <row r="25" spans="1:10" ht="21" customHeight="1" x14ac:dyDescent="0.15">
      <c r="A25" s="47">
        <v>60027040</v>
      </c>
      <c r="B25" s="47">
        <v>1</v>
      </c>
      <c r="C25" s="47" t="s">
        <v>89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1"/>
        <v>100</v>
      </c>
    </row>
    <row r="26" spans="1:10" ht="21" customHeight="1" x14ac:dyDescent="0.15">
      <c r="A26" s="47">
        <v>60027041</v>
      </c>
      <c r="B26" s="47">
        <v>0</v>
      </c>
      <c r="C26" s="47" t="s">
        <v>89</v>
      </c>
      <c r="D26" s="47">
        <v>30</v>
      </c>
      <c r="E26" s="47" t="s">
        <v>53</v>
      </c>
      <c r="F26" s="47" t="s">
        <v>53</v>
      </c>
      <c r="G26" s="47">
        <v>2</v>
      </c>
      <c r="H26" s="47" t="s">
        <v>53</v>
      </c>
      <c r="I26" s="47" t="s">
        <v>53</v>
      </c>
      <c r="J26" s="48">
        <f t="shared" si="1"/>
        <v>30</v>
      </c>
    </row>
    <row r="27" spans="1:10" ht="21" customHeight="1" x14ac:dyDescent="0.15">
      <c r="A27" s="47">
        <v>60027042</v>
      </c>
      <c r="B27" s="47">
        <v>0</v>
      </c>
      <c r="C27" s="47" t="s">
        <v>89</v>
      </c>
      <c r="D27" s="47">
        <v>30</v>
      </c>
      <c r="E27" s="47" t="s">
        <v>53</v>
      </c>
      <c r="F27" s="47" t="s">
        <v>53</v>
      </c>
      <c r="G27" s="47" t="s">
        <v>53</v>
      </c>
      <c r="H27" s="47" t="s">
        <v>53</v>
      </c>
      <c r="I27" s="47" t="s">
        <v>53</v>
      </c>
      <c r="J27" s="48">
        <f t="shared" si="1"/>
        <v>30</v>
      </c>
    </row>
    <row r="28" spans="1:10" ht="21" customHeight="1" x14ac:dyDescent="0.15">
      <c r="A28" s="47">
        <v>60027043</v>
      </c>
      <c r="B28" s="47">
        <v>0</v>
      </c>
      <c r="C28" s="47">
        <v>100</v>
      </c>
      <c r="D28" s="47">
        <v>30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1"/>
        <v>30</v>
      </c>
    </row>
    <row r="29" spans="1:10" ht="21" customHeight="1" x14ac:dyDescent="0.15">
      <c r="A29" s="47">
        <v>60027050</v>
      </c>
      <c r="B29" s="47">
        <v>1</v>
      </c>
      <c r="C29" s="47" t="s">
        <v>89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1"/>
        <v>100</v>
      </c>
    </row>
    <row r="30" spans="1:10" ht="21" customHeight="1" x14ac:dyDescent="0.15">
      <c r="A30" s="47">
        <v>60027051</v>
      </c>
      <c r="B30" s="47">
        <v>0</v>
      </c>
      <c r="C30" s="47" t="s">
        <v>89</v>
      </c>
      <c r="D30" s="47">
        <v>30</v>
      </c>
      <c r="E30" s="47" t="s">
        <v>53</v>
      </c>
      <c r="F30" s="47" t="s">
        <v>53</v>
      </c>
      <c r="G30" s="47">
        <v>2</v>
      </c>
      <c r="H30" s="47" t="s">
        <v>53</v>
      </c>
      <c r="I30" s="47" t="s">
        <v>53</v>
      </c>
      <c r="J30" s="48">
        <f t="shared" si="1"/>
        <v>30</v>
      </c>
    </row>
    <row r="31" spans="1:10" ht="21" customHeight="1" x14ac:dyDescent="0.15">
      <c r="A31" s="47">
        <v>60027052</v>
      </c>
      <c r="B31" s="47">
        <v>0</v>
      </c>
      <c r="C31" s="47" t="s">
        <v>89</v>
      </c>
      <c r="D31" s="47">
        <v>30</v>
      </c>
      <c r="E31" s="47" t="s">
        <v>53</v>
      </c>
      <c r="F31" s="47" t="s">
        <v>53</v>
      </c>
      <c r="G31" s="47">
        <v>1</v>
      </c>
      <c r="H31" s="47" t="s">
        <v>53</v>
      </c>
      <c r="I31" s="47" t="s">
        <v>53</v>
      </c>
      <c r="J31" s="48">
        <f t="shared" si="1"/>
        <v>30</v>
      </c>
    </row>
    <row r="32" spans="1:10" ht="21" customHeight="1" x14ac:dyDescent="0.15">
      <c r="A32" s="47">
        <v>60027053</v>
      </c>
      <c r="B32" s="47">
        <v>0</v>
      </c>
      <c r="C32" s="47">
        <v>100</v>
      </c>
      <c r="D32" s="47">
        <v>30</v>
      </c>
      <c r="E32" s="47" t="s">
        <v>53</v>
      </c>
      <c r="F32" s="47" t="s">
        <v>53</v>
      </c>
      <c r="G32" s="47" t="s">
        <v>53</v>
      </c>
      <c r="H32" s="47" t="s">
        <v>53</v>
      </c>
      <c r="I32" s="47" t="s">
        <v>53</v>
      </c>
      <c r="J32" s="48">
        <f t="shared" si="1"/>
        <v>30</v>
      </c>
    </row>
    <row r="33" spans="1:10" ht="21" customHeight="1" x14ac:dyDescent="0.15">
      <c r="A33" s="47">
        <v>60027060</v>
      </c>
      <c r="B33" s="47">
        <v>1</v>
      </c>
      <c r="C33" s="47" t="s">
        <v>89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 t="s">
        <v>53</v>
      </c>
      <c r="J33" s="48">
        <f t="shared" si="1"/>
        <v>100</v>
      </c>
    </row>
    <row r="34" spans="1:10" ht="21" customHeight="1" x14ac:dyDescent="0.15">
      <c r="A34" s="47">
        <v>60027061</v>
      </c>
      <c r="B34" s="47">
        <v>0</v>
      </c>
      <c r="C34" s="47" t="s">
        <v>89</v>
      </c>
      <c r="D34" s="47">
        <v>30</v>
      </c>
      <c r="E34" s="47" t="s">
        <v>53</v>
      </c>
      <c r="F34" s="47" t="s">
        <v>53</v>
      </c>
      <c r="G34" s="47">
        <v>2</v>
      </c>
      <c r="H34" s="47" t="s">
        <v>53</v>
      </c>
      <c r="I34" s="47" t="s">
        <v>53</v>
      </c>
      <c r="J34" s="48">
        <f t="shared" si="1"/>
        <v>30</v>
      </c>
    </row>
    <row r="35" spans="1:10" ht="21" customHeight="1" x14ac:dyDescent="0.15">
      <c r="A35" s="47">
        <v>60027062</v>
      </c>
      <c r="B35" s="47">
        <v>0</v>
      </c>
      <c r="C35" s="47" t="s">
        <v>89</v>
      </c>
      <c r="D35" s="47">
        <v>30</v>
      </c>
      <c r="E35" s="47" t="s">
        <v>53</v>
      </c>
      <c r="F35" s="47" t="s">
        <v>53</v>
      </c>
      <c r="G35" s="47" t="s">
        <v>53</v>
      </c>
      <c r="H35" s="47" t="s">
        <v>53</v>
      </c>
      <c r="I35" s="47" t="s">
        <v>53</v>
      </c>
      <c r="J35" s="48">
        <f t="shared" si="1"/>
        <v>30</v>
      </c>
    </row>
    <row r="36" spans="1:10" ht="21" customHeight="1" x14ac:dyDescent="0.15">
      <c r="A36" s="47">
        <v>60027063</v>
      </c>
      <c r="B36" s="47">
        <v>0</v>
      </c>
      <c r="C36" s="47">
        <v>110</v>
      </c>
      <c r="D36" s="47">
        <v>100</v>
      </c>
      <c r="E36" s="47">
        <v>20</v>
      </c>
      <c r="F36" s="47" t="s">
        <v>53</v>
      </c>
      <c r="G36" s="47">
        <v>1</v>
      </c>
      <c r="H36" s="47" t="s">
        <v>53</v>
      </c>
      <c r="I36" s="47" t="s">
        <v>53</v>
      </c>
      <c r="J36" s="48">
        <f t="shared" si="1"/>
        <v>100</v>
      </c>
    </row>
    <row r="37" spans="1:10" ht="21" customHeight="1" x14ac:dyDescent="0.15">
      <c r="A37" s="47">
        <v>60027064</v>
      </c>
      <c r="B37" s="47">
        <v>0</v>
      </c>
      <c r="C37" s="47" t="s">
        <v>89</v>
      </c>
      <c r="D37" s="47">
        <v>100</v>
      </c>
      <c r="E37" s="47" t="s">
        <v>53</v>
      </c>
      <c r="F37" s="47" t="s">
        <v>53</v>
      </c>
      <c r="G37" s="47">
        <v>0</v>
      </c>
      <c r="H37" s="47" t="s">
        <v>53</v>
      </c>
      <c r="I37" s="47">
        <v>0</v>
      </c>
      <c r="J37" s="48">
        <f t="shared" si="1"/>
        <v>100</v>
      </c>
    </row>
    <row r="38" spans="1:10" ht="21" customHeight="1" x14ac:dyDescent="0.15">
      <c r="A38" s="47">
        <v>60027065</v>
      </c>
      <c r="B38" s="47">
        <v>0</v>
      </c>
      <c r="C38" s="47">
        <v>100</v>
      </c>
      <c r="D38" s="47">
        <v>30</v>
      </c>
      <c r="E38" s="47" t="s">
        <v>53</v>
      </c>
      <c r="F38" s="47" t="s">
        <v>53</v>
      </c>
      <c r="G38" s="47" t="s">
        <v>53</v>
      </c>
      <c r="H38" s="47" t="s">
        <v>53</v>
      </c>
      <c r="I38" s="47" t="s">
        <v>53</v>
      </c>
      <c r="J38" s="48">
        <f t="shared" ref="J38" si="2">D38</f>
        <v>30</v>
      </c>
    </row>
  </sheetData>
  <autoFilter ref="A1:G1"/>
  <phoneticPr fontId="7"/>
  <conditionalFormatting sqref="K39:K1048576 K1:K2">
    <cfRule type="duplicateValues" dxfId="1" priority="3"/>
  </conditionalFormatting>
  <conditionalFormatting sqref="K3:K38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60027</v>
      </c>
      <c r="B2" s="57">
        <v>1</v>
      </c>
      <c r="C2" s="71" t="str">
        <f>A2&amp; "_"&amp;B2</f>
        <v>60027_1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B23" sqref="B2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189</v>
      </c>
      <c r="B1" s="73" t="s">
        <v>190</v>
      </c>
      <c r="C1" s="78" t="s">
        <v>191</v>
      </c>
      <c r="D1" s="78" t="s">
        <v>33</v>
      </c>
      <c r="E1" s="73" t="s">
        <v>192</v>
      </c>
      <c r="F1" s="78" t="s">
        <v>193</v>
      </c>
      <c r="G1" s="78" t="s">
        <v>33</v>
      </c>
      <c r="H1" s="73" t="s">
        <v>194</v>
      </c>
      <c r="I1" s="90" t="s">
        <v>196</v>
      </c>
      <c r="J1" s="80" t="s">
        <v>127</v>
      </c>
      <c r="K1" s="79" t="s">
        <v>188</v>
      </c>
      <c r="L1" s="91" t="s">
        <v>187</v>
      </c>
      <c r="M1" s="81" t="s">
        <v>197</v>
      </c>
    </row>
    <row r="2" spans="1:13" x14ac:dyDescent="0.15">
      <c r="A2" s="82" t="s">
        <v>199</v>
      </c>
      <c r="B2" s="83">
        <f>floors!$C$2</f>
        <v>60027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チューリングチャレンジ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ランキング6（再開催）</v>
      </c>
      <c r="E2" s="87" t="s">
        <v>212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198</v>
      </c>
      <c r="K2" s="92" t="str">
        <f>VLOOKUP(I2,[7]stage_hints!$A:$C,3,FALSE)</f>
        <v>長くつなげて大ダメージ</v>
      </c>
      <c r="L2" s="93" t="str">
        <f>VLOOKUP(I2,[7]stage_hints!$A:$D,4,FALSE)</f>
        <v>パネルを長くつなげるほど_x000D_大ダメージを与えることができます</v>
      </c>
      <c r="M2" s="57" t="s">
        <v>209</v>
      </c>
    </row>
    <row r="3" spans="1:13" x14ac:dyDescent="0.15">
      <c r="A3" s="82" t="s">
        <v>199</v>
      </c>
      <c r="B3" s="83">
        <f>floors!$C$2</f>
        <v>60027</v>
      </c>
      <c r="C3" s="84" t="str">
        <f ca="1">VLOOKUP($B3,OFFSET([2]quests!$A$1,0,0,COUNTA([2]quests!$A:$A),MATCH(C$1,[2]quests!$1:$1,0)-MATCH($B$1,[2]quests!$1:$1,0)+1),MATCH(C$1,[2]quests!$1:$1,0)-MATCH($B$1,[2]quests!$1:$1,0)+1,FALSE)</f>
        <v>チューリングチャレンジ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ランキング6（再開催）</v>
      </c>
      <c r="E3" s="87" t="s">
        <v>212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198</v>
      </c>
      <c r="K3" s="92" t="str">
        <f>VLOOKUP(I3,[7]stage_hints!$A:$C,3,FALSE)</f>
        <v>属性の相性</v>
      </c>
      <c r="L3" s="93" t="str">
        <f>VLOOKUP(I3,[7]stage_hints!$A:$D,4,FALSE)</f>
        <v>赤＞青　青＞黄　黄＞緑　緑＞赤_x000D_敵属性に最適なパーティがオススメです</v>
      </c>
      <c r="M3" s="57" t="s">
        <v>209</v>
      </c>
    </row>
    <row r="4" spans="1:13" x14ac:dyDescent="0.15">
      <c r="A4" s="82" t="s">
        <v>199</v>
      </c>
      <c r="B4" s="83">
        <f>floors!$C$2</f>
        <v>60027</v>
      </c>
      <c r="C4" s="84" t="str">
        <f ca="1">VLOOKUP($B4,OFFSET([2]quests!$A$1,0,0,COUNTA([2]quests!$A:$A),MATCH(C$1,[2]quests!$1:$1,0)-MATCH($B$1,[2]quests!$1:$1,0)+1),MATCH(C$1,[2]quests!$1:$1,0)-MATCH($B$1,[2]quests!$1:$1,0)+1,FALSE)</f>
        <v>チューリングチャレンジ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ランキング6（再開催）</v>
      </c>
      <c r="E4" s="87" t="s">
        <v>212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198</v>
      </c>
      <c r="K4" s="92" t="str">
        <f>VLOOKUP(I4,[7]stage_hints!$A:$C,3,FALSE)</f>
        <v>ターゲット</v>
      </c>
      <c r="L4" s="93" t="str">
        <f>VLOOKUP(I4,[7]stage_hints!$A:$D,4,FALSE)</f>
        <v>敵ユニットをタップすると_x000D_その敵を狙い撃ちできます</v>
      </c>
      <c r="M4" s="57" t="s">
        <v>209</v>
      </c>
    </row>
    <row r="5" spans="1:13" x14ac:dyDescent="0.15">
      <c r="A5" s="82" t="s">
        <v>199</v>
      </c>
      <c r="B5" s="83">
        <f>floors!$C$2</f>
        <v>60027</v>
      </c>
      <c r="C5" s="84" t="str">
        <f ca="1">VLOOKUP($B5,OFFSET([2]quests!$A$1,0,0,COUNTA([2]quests!$A:$A),MATCH(C$1,[2]quests!$1:$1,0)-MATCH($B$1,[2]quests!$1:$1,0)+1),MATCH(C$1,[2]quests!$1:$1,0)-MATCH($B$1,[2]quests!$1:$1,0)+1,FALSE)</f>
        <v>チューリングチャレンジ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ランキング6（再開催）</v>
      </c>
      <c r="E5" s="87" t="s">
        <v>212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198</v>
      </c>
      <c r="K5" s="92" t="str">
        <f>VLOOKUP(I5,[7]stage_hints!$A:$C,3,FALSE)</f>
        <v>ユニット強化でレベルアップ</v>
      </c>
      <c r="L5" s="93" t="str">
        <f>VLOOKUP(I5,[7]stage_hints!$A:$D,4,FALSE)</f>
        <v>「ユニット強化」でレベルアップすると_x000D_勝てない敵にも勝てるようになります</v>
      </c>
      <c r="M5" s="57" t="s">
        <v>209</v>
      </c>
    </row>
    <row r="6" spans="1:13" x14ac:dyDescent="0.15">
      <c r="A6" s="82" t="s">
        <v>199</v>
      </c>
      <c r="B6" s="83">
        <f>floors!$C$2</f>
        <v>60027</v>
      </c>
      <c r="C6" s="84" t="str">
        <f ca="1">VLOOKUP($B6,OFFSET([2]quests!$A$1,0,0,COUNTA([2]quests!$A:$A),MATCH(C$1,[2]quests!$1:$1,0)-MATCH($B$1,[2]quests!$1:$1,0)+1),MATCH(C$1,[2]quests!$1:$1,0)-MATCH($B$1,[2]quests!$1:$1,0)+1,FALSE)</f>
        <v>チューリングチャレンジ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ランキング6（再開催）</v>
      </c>
      <c r="E6" s="87" t="s">
        <v>212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198</v>
      </c>
      <c r="K6" s="92" t="str">
        <f>VLOOKUP(I6,[7]stage_hints!$A:$C,3,FALSE)</f>
        <v>ユニット強化の属性ボーナス</v>
      </c>
      <c r="L6" s="93" t="str">
        <f>VLOOKUP(I6,[7]stage_hints!$A:$D,4,FALSE)</f>
        <v>同属性ユニットを強化素材にすると_x000D_経験値が多くもらえます</v>
      </c>
      <c r="M6" s="57" t="s">
        <v>209</v>
      </c>
    </row>
    <row r="7" spans="1:13" x14ac:dyDescent="0.15">
      <c r="A7" s="82" t="s">
        <v>199</v>
      </c>
      <c r="B7" s="83">
        <f>floors!$C$2</f>
        <v>60027</v>
      </c>
      <c r="C7" s="84" t="str">
        <f ca="1">VLOOKUP($B7,OFFSET([2]quests!$A$1,0,0,COUNTA([2]quests!$A:$A),MATCH(C$1,[2]quests!$1:$1,0)-MATCH($B$1,[2]quests!$1:$1,0)+1),MATCH(C$1,[2]quests!$1:$1,0)-MATCH($B$1,[2]quests!$1:$1,0)+1,FALSE)</f>
        <v>チューリングチャレンジ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ランキング6（再開催）</v>
      </c>
      <c r="E7" s="87" t="s">
        <v>212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198</v>
      </c>
      <c r="K7" s="92" t="str">
        <f>VLOOKUP(I7,[7]stage_hints!$A:$C,3,FALSE)</f>
        <v>メタルダックで経験値を獲得</v>
      </c>
      <c r="L7" s="93" t="str">
        <f>VLOOKUP(I7,[7]stage_hints!$A:$D,4,FALSE)</f>
        <v>「メタルなアヒル」を強化素材にすると_x000D_大量の経験値がもらえます</v>
      </c>
      <c r="M7" s="57" t="s">
        <v>209</v>
      </c>
    </row>
    <row r="8" spans="1:13" x14ac:dyDescent="0.15">
      <c r="A8" s="82" t="s">
        <v>199</v>
      </c>
      <c r="B8" s="83">
        <f>floors!$C$2</f>
        <v>60027</v>
      </c>
      <c r="C8" s="84" t="str">
        <f ca="1">VLOOKUP($B8,OFFSET([2]quests!$A$1,0,0,COUNTA([2]quests!$A:$A),MATCH(C$1,[2]quests!$1:$1,0)-MATCH($B$1,[2]quests!$1:$1,0)+1),MATCH(C$1,[2]quests!$1:$1,0)-MATCH($B$1,[2]quests!$1:$1,0)+1,FALSE)</f>
        <v>チューリングチャレンジ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ランキング6（再開催）</v>
      </c>
      <c r="E8" s="87" t="s">
        <v>212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198</v>
      </c>
      <c r="K8" s="92" t="str">
        <f>VLOOKUP(I8,[7]stage_hints!$A:$C,3,FALSE)</f>
        <v>ゲリラクエストは要チェック</v>
      </c>
      <c r="L8" s="93" t="str">
        <f>VLOOKUP(I8,[7]stage_hints!$A:$D,4,FALSE)</f>
        <v>時間限定の「アヒル捕獲作戦」では_x000D_経験値素材ユニットが多く手に入ります</v>
      </c>
      <c r="M8" s="57" t="s">
        <v>209</v>
      </c>
    </row>
    <row r="9" spans="1:13" x14ac:dyDescent="0.15">
      <c r="A9" s="82" t="s">
        <v>199</v>
      </c>
      <c r="B9" s="83">
        <f>floors!$C$2</f>
        <v>60027</v>
      </c>
      <c r="C9" s="84" t="str">
        <f ca="1">VLOOKUP($B9,OFFSET([2]quests!$A$1,0,0,COUNTA([2]quests!$A:$A),MATCH(C$1,[2]quests!$1:$1,0)-MATCH($B$1,[2]quests!$1:$1,0)+1),MATCH(C$1,[2]quests!$1:$1,0)-MATCH($B$1,[2]quests!$1:$1,0)+1,FALSE)</f>
        <v>チューリングチャレンジ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ランキング6（再開催）</v>
      </c>
      <c r="E9" s="87" t="s">
        <v>212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198</v>
      </c>
      <c r="K9" s="92" t="str">
        <f>VLOOKUP(I9,[7]stage_hints!$A:$C,3,FALSE)</f>
        <v>ゴールドダックでビットを獲得</v>
      </c>
      <c r="L9" s="93" t="str">
        <f>VLOOKUP(I9,[7]stage_hints!$A:$D,4,FALSE)</f>
        <v>「ゴールドなアヒル」を売却すると_x000D_大量のビットがもらえます</v>
      </c>
      <c r="M9" s="57" t="s">
        <v>209</v>
      </c>
    </row>
    <row r="10" spans="1:13" x14ac:dyDescent="0.15">
      <c r="A10" s="82" t="s">
        <v>199</v>
      </c>
      <c r="B10" s="83">
        <f>floors!$C$2</f>
        <v>60027</v>
      </c>
      <c r="C10" s="84" t="str">
        <f ca="1">VLOOKUP($B10,OFFSET([2]quests!$A$1,0,0,COUNTA([2]quests!$A:$A),MATCH(C$1,[2]quests!$1:$1,0)-MATCH($B$1,[2]quests!$1:$1,0)+1),MATCH(C$1,[2]quests!$1:$1,0)-MATCH($B$1,[2]quests!$1:$1,0)+1,FALSE)</f>
        <v>チューリングチャレンジ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ランキング6（再開催）</v>
      </c>
      <c r="E10" s="87" t="s">
        <v>212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198</v>
      </c>
      <c r="K10" s="92" t="str">
        <f>VLOOKUP(I10,[7]stage_hints!$A:$C,3,FALSE)</f>
        <v>土日に大量のビットを獲得</v>
      </c>
      <c r="L10" s="93" t="str">
        <f>VLOOKUP(I10,[7]stage_hints!$A:$D,4,FALSE)</f>
        <v>土日限定の「ゴールドカジノ」では_x000D_売却素材ユニットが多く手に入ります</v>
      </c>
      <c r="M10" s="57" t="s">
        <v>209</v>
      </c>
    </row>
    <row r="11" spans="1:13" x14ac:dyDescent="0.15">
      <c r="A11" s="82" t="s">
        <v>199</v>
      </c>
      <c r="B11" s="83">
        <f>floors!$C$2</f>
        <v>60027</v>
      </c>
      <c r="C11" s="84" t="str">
        <f ca="1">VLOOKUP($B11,OFFSET([2]quests!$A$1,0,0,COUNTA([2]quests!$A:$A),MATCH(C$1,[2]quests!$1:$1,0)-MATCH($B$1,[2]quests!$1:$1,0)+1),MATCH(C$1,[2]quests!$1:$1,0)-MATCH($B$1,[2]quests!$1:$1,0)+1,FALSE)</f>
        <v>チューリングチャレンジ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ランキング6（再開催）</v>
      </c>
      <c r="E11" s="87" t="s">
        <v>212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198</v>
      </c>
      <c r="K11" s="92" t="str">
        <f>VLOOKUP(I11,[7]stage_hints!$A:$C,3,FALSE)</f>
        <v>ランク解放クエスト</v>
      </c>
      <c r="L11" s="93" t="str">
        <f>VLOOKUP(I11,[7]stage_hints!$A:$D,4,FALSE)</f>
        <v>一定ランクに到達すると_x000D_報酬付きのランク開放クエストが現れます</v>
      </c>
      <c r="M11" s="57" t="s">
        <v>209</v>
      </c>
    </row>
    <row r="12" spans="1:13" x14ac:dyDescent="0.15">
      <c r="A12" s="82" t="s">
        <v>199</v>
      </c>
      <c r="B12" s="83">
        <f>floors!$C$2</f>
        <v>60027</v>
      </c>
      <c r="C12" s="84" t="str">
        <f ca="1">VLOOKUP($B12,OFFSET([2]quests!$A$1,0,0,COUNTA([2]quests!$A:$A),MATCH(C$1,[2]quests!$1:$1,0)-MATCH($B$1,[2]quests!$1:$1,0)+1),MATCH(C$1,[2]quests!$1:$1,0)-MATCH($B$1,[2]quests!$1:$1,0)+1,FALSE)</f>
        <v>チューリングチャレンジ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ランキング6（再開催）</v>
      </c>
      <c r="E12" s="87" t="s">
        <v>212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198</v>
      </c>
      <c r="K12" s="92" t="str">
        <f>VLOOKUP(I12,[7]stage_hints!$A:$C,3,FALSE)</f>
        <v>ユニットのお気に入り登録</v>
      </c>
      <c r="L12" s="93" t="str">
        <f>VLOOKUP(I12,[7]stage_hints!$A:$D,4,FALSE)</f>
        <v>大事なユニットを誤って消さないように_x000D_フォルダから「お気に入り登録」しましょう</v>
      </c>
      <c r="M12" s="57" t="s">
        <v>209</v>
      </c>
    </row>
    <row r="13" spans="1:13" x14ac:dyDescent="0.15">
      <c r="A13" s="82" t="s">
        <v>199</v>
      </c>
      <c r="B13" s="83">
        <f>floors!$C$2</f>
        <v>60027</v>
      </c>
      <c r="C13" s="84" t="str">
        <f ca="1">VLOOKUP($B13,OFFSET([2]quests!$A$1,0,0,COUNTA([2]quests!$A:$A),MATCH(C$1,[2]quests!$1:$1,0)-MATCH($B$1,[2]quests!$1:$1,0)+1),MATCH(C$1,[2]quests!$1:$1,0)-MATCH($B$1,[2]quests!$1:$1,0)+1,FALSE)</f>
        <v>チューリングチャレンジ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ランキング6（再開催）</v>
      </c>
      <c r="E13" s="87" t="s">
        <v>212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198</v>
      </c>
      <c r="K13" s="92" t="str">
        <f>VLOOKUP(I13,[7]stage_hints!$A:$C,3,FALSE)</f>
        <v>ユニットの覚醒</v>
      </c>
      <c r="L13" s="93" t="str">
        <f>VLOOKUP(I13,[7]stage_hints!$A:$D,4,FALSE)</f>
        <v>ユニットを覚醒させると_x000D_比べものにならない強さが手に入ります</v>
      </c>
      <c r="M13" s="57" t="s">
        <v>209</v>
      </c>
    </row>
    <row r="14" spans="1:13" x14ac:dyDescent="0.15">
      <c r="A14" s="82" t="s">
        <v>199</v>
      </c>
      <c r="B14" s="83">
        <f>floors!$C$2</f>
        <v>60027</v>
      </c>
      <c r="C14" s="84" t="str">
        <f ca="1">VLOOKUP($B14,OFFSET([2]quests!$A$1,0,0,COUNTA([2]quests!$A:$A),MATCH(C$1,[2]quests!$1:$1,0)-MATCH($B$1,[2]quests!$1:$1,0)+1),MATCH(C$1,[2]quests!$1:$1,0)-MATCH($B$1,[2]quests!$1:$1,0)+1,FALSE)</f>
        <v>チューリングチャレンジ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ランキング6（再開催）</v>
      </c>
      <c r="E14" s="87" t="s">
        <v>212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198</v>
      </c>
      <c r="K14" s="92" t="str">
        <f>VLOOKUP(I14,[7]stage_hints!$A:$C,3,FALSE)</f>
        <v>覚醒するにはレベルを最大に</v>
      </c>
      <c r="L14" s="93" t="str">
        <f>VLOOKUP(I14,[7]stage_hints!$A:$D,4,FALSE)</f>
        <v>覚醒するにはユニットのレベルを_x000D_最大まで上げる必要があります</v>
      </c>
      <c r="M14" s="57" t="s">
        <v>209</v>
      </c>
    </row>
    <row r="15" spans="1:13" x14ac:dyDescent="0.15">
      <c r="A15" s="82" t="s">
        <v>199</v>
      </c>
      <c r="B15" s="83">
        <f>floors!$C$2</f>
        <v>60027</v>
      </c>
      <c r="C15" s="84" t="str">
        <f ca="1">VLOOKUP($B15,OFFSET([2]quests!$A$1,0,0,COUNTA([2]quests!$A:$A),MATCH(C$1,[2]quests!$1:$1,0)-MATCH($B$1,[2]quests!$1:$1,0)+1),MATCH(C$1,[2]quests!$1:$1,0)-MATCH($B$1,[2]quests!$1:$1,0)+1,FALSE)</f>
        <v>チューリングチャレンジ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ランキング6（再開催）</v>
      </c>
      <c r="E15" s="87" t="s">
        <v>212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198</v>
      </c>
      <c r="K15" s="92" t="str">
        <f>VLOOKUP(I15,[7]stage_hints!$A:$C,3,FALSE)</f>
        <v>覚醒素材を獲得</v>
      </c>
      <c r="L15" s="93" t="str">
        <f>VLOOKUP(I15,[7]stage_hints!$A:$D,4,FALSE)</f>
        <v>「曜日クエスト」では_x000D_ユニットの覚醒に必要な素材が手に入ります</v>
      </c>
      <c r="M15" s="57" t="s">
        <v>209</v>
      </c>
    </row>
    <row r="16" spans="1:13" x14ac:dyDescent="0.15">
      <c r="A16" s="82" t="s">
        <v>199</v>
      </c>
      <c r="B16" s="83">
        <f>floors!$C$2</f>
        <v>60027</v>
      </c>
      <c r="C16" s="84" t="str">
        <f ca="1">VLOOKUP($B16,OFFSET([2]quests!$A$1,0,0,COUNTA([2]quests!$A:$A),MATCH(C$1,[2]quests!$1:$1,0)-MATCH($B$1,[2]quests!$1:$1,0)+1),MATCH(C$1,[2]quests!$1:$1,0)-MATCH($B$1,[2]quests!$1:$1,0)+1,FALSE)</f>
        <v>チューリングチャレンジ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ランキング6（再開催）</v>
      </c>
      <c r="E16" s="87" t="s">
        <v>212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198</v>
      </c>
      <c r="K16" s="92" t="str">
        <f>VLOOKUP(I16,[7]stage_hints!$A:$C,3,FALSE)</f>
        <v>マルチプレイのメリット（その1）</v>
      </c>
      <c r="L16" s="93" t="str">
        <f>VLOOKUP(I16,[7]stage_hints!$A:$D,4,FALSE)</f>
        <v>他のプレイヤーとマルチプレイで遊ぶと_x000D_ポリゴンがもらえます（100人まで）</v>
      </c>
      <c r="M16" s="57" t="s">
        <v>209</v>
      </c>
    </row>
    <row r="17" spans="1:13" x14ac:dyDescent="0.15">
      <c r="A17" s="82" t="s">
        <v>199</v>
      </c>
      <c r="B17" s="83">
        <f>floors!$C$2</f>
        <v>60027</v>
      </c>
      <c r="C17" s="84" t="str">
        <f ca="1">VLOOKUP($B17,OFFSET([2]quests!$A$1,0,0,COUNTA([2]quests!$A:$A),MATCH(C$1,[2]quests!$1:$1,0)-MATCH($B$1,[2]quests!$1:$1,0)+1),MATCH(C$1,[2]quests!$1:$1,0)-MATCH($B$1,[2]quests!$1:$1,0)+1,FALSE)</f>
        <v>チューリングチャレンジ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ランキング6（再開催）</v>
      </c>
      <c r="E17" s="87" t="s">
        <v>212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198</v>
      </c>
      <c r="K17" s="92" t="str">
        <f>VLOOKUP(I17,[7]stage_hints!$A:$C,3,FALSE)</f>
        <v>リンクガチャ</v>
      </c>
      <c r="L17" s="93" t="str">
        <f>VLOOKUP(I17,[7]stage_hints!$A:$D,4,FALSE)</f>
        <v>無料のリンクガチャを回して_x000D_経験値素材や売却素材を獲得しましょう</v>
      </c>
      <c r="M17" s="57" t="s">
        <v>209</v>
      </c>
    </row>
    <row r="18" spans="1:13" x14ac:dyDescent="0.15">
      <c r="A18" s="82" t="s">
        <v>199</v>
      </c>
      <c r="B18" s="83">
        <f>floors!$C$2</f>
        <v>60027</v>
      </c>
      <c r="C18" s="84" t="str">
        <f ca="1">VLOOKUP($B18,OFFSET([2]quests!$A$1,0,0,COUNTA([2]quests!$A:$A),MATCH(C$1,[2]quests!$1:$1,0)-MATCH($B$1,[2]quests!$1:$1,0)+1),MATCH(C$1,[2]quests!$1:$1,0)-MATCH($B$1,[2]quests!$1:$1,0)+1,FALSE)</f>
        <v>チューリングチャレンジ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ランキング6（再開催）</v>
      </c>
      <c r="E18" s="87" t="s">
        <v>212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198</v>
      </c>
      <c r="K18" s="92" t="str">
        <f>VLOOKUP(I18,[7]stage_hints!$A:$C,3,FALSE)</f>
        <v>マルチプレイのメリット（その2）</v>
      </c>
      <c r="L18" s="93" t="str">
        <f>VLOOKUP(I18,[7]stage_hints!$A:$D,4,FALSE)</f>
        <v>マルチプレイならリンクが2倍もらえます_x000D_リンクガチャをたくさん回しましょう</v>
      </c>
      <c r="M18" s="57" t="s">
        <v>209</v>
      </c>
    </row>
    <row r="19" spans="1:13" x14ac:dyDescent="0.15">
      <c r="A19" s="82" t="s">
        <v>199</v>
      </c>
      <c r="B19" s="83">
        <f>floors!$C$2</f>
        <v>60027</v>
      </c>
      <c r="C19" s="84" t="str">
        <f ca="1">VLOOKUP($B19,OFFSET([2]quests!$A$1,0,0,COUNTA([2]quests!$A:$A),MATCH(C$1,[2]quests!$1:$1,0)-MATCH($B$1,[2]quests!$1:$1,0)+1),MATCH(C$1,[2]quests!$1:$1,0)-MATCH($B$1,[2]quests!$1:$1,0)+1,FALSE)</f>
        <v>チューリングチャレンジ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ランキング6（再開催）</v>
      </c>
      <c r="E19" s="87" t="s">
        <v>212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198</v>
      </c>
      <c r="K19" s="92" t="str">
        <f>VLOOKUP(I19,[7]stage_hints!$A:$C,3,FALSE)</f>
        <v>ソロ専用タワーオブザクイーン</v>
      </c>
      <c r="L19" s="93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209</v>
      </c>
    </row>
    <row r="20" spans="1:13" x14ac:dyDescent="0.15">
      <c r="A20" s="82" t="s">
        <v>199</v>
      </c>
      <c r="B20" s="83">
        <f>floors!$C$2</f>
        <v>60027</v>
      </c>
      <c r="C20" s="84" t="str">
        <f ca="1">VLOOKUP($B20,OFFSET([2]quests!$A$1,0,0,COUNTA([2]quests!$A:$A),MATCH(C$1,[2]quests!$1:$1,0)-MATCH($B$1,[2]quests!$1:$1,0)+1),MATCH(C$1,[2]quests!$1:$1,0)-MATCH($B$1,[2]quests!$1:$1,0)+1,FALSE)</f>
        <v>チューリングチャレンジ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ランキング6（再開催）</v>
      </c>
      <c r="E20" s="87" t="s">
        <v>212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198</v>
      </c>
      <c r="K20" s="92" t="str">
        <f>VLOOKUP(I20,[7]stage_hints!$A:$C,3,FALSE)</f>
        <v>マルチプレイのメリット（その3）</v>
      </c>
      <c r="L20" s="93" t="str">
        <f>VLOOKUP(I20,[7]stage_hints!$A:$D,4,FALSE)</f>
        <v>マルチプレイへの参加はエナジー消費ゼロ_x000D_いつでも好きなだけ遊ぶことができます</v>
      </c>
      <c r="M20" s="57" t="s">
        <v>209</v>
      </c>
    </row>
    <row r="21" spans="1:13" x14ac:dyDescent="0.15">
      <c r="A21" s="82" t="s">
        <v>199</v>
      </c>
      <c r="B21" s="83">
        <f>floors!$C$2</f>
        <v>60027</v>
      </c>
      <c r="C21" s="84" t="str">
        <f ca="1">VLOOKUP($B21,OFFSET([2]quests!$A$1,0,0,COUNTA([2]quests!$A:$A),MATCH(C$1,[2]quests!$1:$1,0)-MATCH($B$1,[2]quests!$1:$1,0)+1),MATCH(C$1,[2]quests!$1:$1,0)-MATCH($B$1,[2]quests!$1:$1,0)+1,FALSE)</f>
        <v>チューリングチャレンジ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ランキング6（再開催）</v>
      </c>
      <c r="E21" s="87" t="s">
        <v>212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198</v>
      </c>
      <c r="K21" s="92" t="str">
        <f>VLOOKUP(I21,[7]stage_hints!$A:$C,3,FALSE)</f>
        <v>スキルを有効に</v>
      </c>
      <c r="L21" s="93" t="str">
        <f>VLOOKUP(I21,[7]stage_hints!$A:$D,4,FALSE)</f>
        <v>ターン経過でユニットのスキルが使えます_x000D_強力スキルでバトルを有利に進めましょう</v>
      </c>
      <c r="M21" s="57" t="s">
        <v>209</v>
      </c>
    </row>
    <row r="22" spans="1:13" x14ac:dyDescent="0.15">
      <c r="A22" s="82" t="s">
        <v>199</v>
      </c>
      <c r="B22" s="83">
        <f>floors!$C$2</f>
        <v>60027</v>
      </c>
      <c r="C22" s="84" t="str">
        <f ca="1">VLOOKUP($B22,OFFSET([2]quests!$A$1,0,0,COUNTA([2]quests!$A:$A),MATCH(C$1,[2]quests!$1:$1,0)-MATCH($B$1,[2]quests!$1:$1,0)+1),MATCH(C$1,[2]quests!$1:$1,0)-MATCH($B$1,[2]quests!$1:$1,0)+1,FALSE)</f>
        <v>チューリングチャレンジ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ランキング6（再開催）</v>
      </c>
      <c r="E22" s="87" t="s">
        <v>212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198</v>
      </c>
      <c r="K22" s="92" t="str">
        <f>VLOOKUP(I22,[7]stage_hints!$A:$C,3,FALSE)</f>
        <v>フィーバーで一発逆転（その1）</v>
      </c>
      <c r="L22" s="93" t="str">
        <f>VLOOKUP(I22,[7]stage_hints!$A:$D,4,FALSE)</f>
        <v>フィーバーは攻撃と回復を兼ね備えます_x000D_ピンチからの一発逆転を狙いましょう</v>
      </c>
      <c r="M22" s="57" t="s">
        <v>209</v>
      </c>
    </row>
    <row r="23" spans="1:13" x14ac:dyDescent="0.15">
      <c r="A23" s="82" t="s">
        <v>199</v>
      </c>
      <c r="B23" s="83">
        <f>floors!$C$2</f>
        <v>60027</v>
      </c>
      <c r="C23" s="84" t="str">
        <f ca="1">VLOOKUP($B23,OFFSET([2]quests!$A$1,0,0,COUNTA([2]quests!$A:$A),MATCH(C$1,[2]quests!$1:$1,0)-MATCH($B$1,[2]quests!$1:$1,0)+1),MATCH(C$1,[2]quests!$1:$1,0)-MATCH($B$1,[2]quests!$1:$1,0)+1,FALSE)</f>
        <v>チューリングチャレンジ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ランキング6（再開催）</v>
      </c>
      <c r="E23" s="87" t="s">
        <v>212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198</v>
      </c>
      <c r="K23" s="92" t="str">
        <f>VLOOKUP(I23,[7]stage_hints!$A:$C,3,FALSE)</f>
        <v>フィーバーで一発逆転（その2）</v>
      </c>
      <c r="L23" s="93" t="str">
        <f>VLOOKUP(I23,[7]stage_hints!$A:$D,4,FALSE)</f>
        <v>フィーバー中は虹色のボムパネルを狙って_x000D_画面上のパネルを一気に破壊しましょう</v>
      </c>
      <c r="M23" s="57" t="s">
        <v>209</v>
      </c>
    </row>
    <row r="24" spans="1:13" x14ac:dyDescent="0.15">
      <c r="A24" s="82" t="s">
        <v>199</v>
      </c>
      <c r="B24" s="83">
        <f>floors!$C$2</f>
        <v>60027</v>
      </c>
      <c r="C24" s="84" t="str">
        <f ca="1">VLOOKUP($B24,OFFSET([2]quests!$A$1,0,0,COUNTA([2]quests!$A:$A),MATCH(C$1,[2]quests!$1:$1,0)-MATCH($B$1,[2]quests!$1:$1,0)+1),MATCH(C$1,[2]quests!$1:$1,0)-MATCH($B$1,[2]quests!$1:$1,0)+1,FALSE)</f>
        <v>チューリングチャレンジ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ランキング6（再開催）</v>
      </c>
      <c r="E24" s="87" t="s">
        <v>212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198</v>
      </c>
      <c r="K24" s="92" t="str">
        <f>VLOOKUP(I24,[7]stage_hints!$A:$C,3,FALSE)</f>
        <v>りんごを使って限界突破</v>
      </c>
      <c r="L24" s="93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209</v>
      </c>
    </row>
    <row r="25" spans="1:13" x14ac:dyDescent="0.15">
      <c r="A25" s="82" t="s">
        <v>199</v>
      </c>
      <c r="B25" s="83">
        <f>floors!$C$2</f>
        <v>60027</v>
      </c>
      <c r="C25" s="84" t="str">
        <f ca="1">VLOOKUP($B25,OFFSET([2]quests!$A$1,0,0,COUNTA([2]quests!$A:$A),MATCH(C$1,[2]quests!$1:$1,0)-MATCH($B$1,[2]quests!$1:$1,0)+1),MATCH(C$1,[2]quests!$1:$1,0)-MATCH($B$1,[2]quests!$1:$1,0)+1,FALSE)</f>
        <v>チューリングチャレンジ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ランキング6（再開催）</v>
      </c>
      <c r="E25" s="87" t="s">
        <v>212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198</v>
      </c>
      <c r="K25" s="92" t="str">
        <f>VLOOKUP(I25,[7]stage_hints!$A:$C,3,FALSE)</f>
        <v>スキルレベルアップ</v>
      </c>
      <c r="L25" s="93" t="str">
        <f>VLOOKUP(I25,[7]stage_hints!$A:$D,4,FALSE)</f>
        <v>「クリスタルのりんご」を強化に使うと_x000D_スキルレベルを上げることができます</v>
      </c>
      <c r="M25" s="57" t="s">
        <v>209</v>
      </c>
    </row>
    <row r="26" spans="1:13" x14ac:dyDescent="0.15">
      <c r="A26" s="82" t="s">
        <v>199</v>
      </c>
      <c r="B26" s="83">
        <f>floors!$C$2</f>
        <v>60027</v>
      </c>
      <c r="C26" s="84" t="str">
        <f ca="1">VLOOKUP($B26,OFFSET([2]quests!$A$1,0,0,COUNTA([2]quests!$A:$A),MATCH(C$1,[2]quests!$1:$1,0)-MATCH($B$1,[2]quests!$1:$1,0)+1),MATCH(C$1,[2]quests!$1:$1,0)-MATCH($B$1,[2]quests!$1:$1,0)+1,FALSE)</f>
        <v>チューリングチャレンジ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ランキング6（再開催）</v>
      </c>
      <c r="E26" s="87" t="s">
        <v>212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198</v>
      </c>
      <c r="K26" s="92" t="str">
        <f>VLOOKUP(I26,[7]stage_hints!$A:$C,3,FALSE)</f>
        <v>スキルレベルの効果</v>
      </c>
      <c r="L26" s="93" t="str">
        <f>VLOOKUP(I26,[7]stage_hints!$A:$D,4,FALSE)</f>
        <v>スキルレベルが上がると_x000D_短いターンでスキルを使うことができます</v>
      </c>
      <c r="M26" s="57" t="s">
        <v>209</v>
      </c>
    </row>
    <row r="27" spans="1:13" x14ac:dyDescent="0.15">
      <c r="A27" s="82" t="s">
        <v>199</v>
      </c>
      <c r="B27" s="83">
        <f>floors!$C$2</f>
        <v>60027</v>
      </c>
      <c r="C27" s="84" t="str">
        <f ca="1">VLOOKUP($B27,OFFSET([2]quests!$A$1,0,0,COUNTA([2]quests!$A:$A),MATCH(C$1,[2]quests!$1:$1,0)-MATCH($B$1,[2]quests!$1:$1,0)+1),MATCH(C$1,[2]quests!$1:$1,0)-MATCH($B$1,[2]quests!$1:$1,0)+1,FALSE)</f>
        <v>チューリングチャレンジ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ランキング6（再開催）</v>
      </c>
      <c r="E27" s="87" t="s">
        <v>212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198</v>
      </c>
      <c r="K27" s="92" t="str">
        <f>VLOOKUP(I27,[7]stage_hints!$A:$C,3,FALSE)</f>
        <v>システム適合者を確認</v>
      </c>
      <c r="L27" s="93" t="str">
        <f>VLOOKUP(I27,[7]stage_hints!$A:$D,4,FALSE)</f>
        <v>ALICEが 「アナタ」を呼んでいます</v>
      </c>
      <c r="M27" s="57" t="s">
        <v>209</v>
      </c>
    </row>
    <row r="28" spans="1:13" x14ac:dyDescent="0.15">
      <c r="A28" s="82" t="s">
        <v>199</v>
      </c>
      <c r="B28" s="83">
        <f>floors!$C$2</f>
        <v>60027</v>
      </c>
      <c r="C28" s="84" t="str">
        <f ca="1">VLOOKUP($B28,OFFSET([2]quests!$A$1,0,0,COUNTA([2]quests!$A:$A),MATCH(C$1,[2]quests!$1:$1,0)-MATCH($B$1,[2]quests!$1:$1,0)+1),MATCH(C$1,[2]quests!$1:$1,0)-MATCH($B$1,[2]quests!$1:$1,0)+1,FALSE)</f>
        <v>チューリングチャレンジ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ランキング6（再開催）</v>
      </c>
      <c r="E28" s="87" t="s">
        <v>213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198</v>
      </c>
      <c r="K28" s="92" t="str">
        <f>VLOOKUP(I28,[7]stage_hints!$A:$C,3,FALSE)</f>
        <v>ターゲット</v>
      </c>
      <c r="L28" s="93" t="str">
        <f>VLOOKUP(I28,[7]stage_hints!$A:$D,4,FALSE)</f>
        <v>敵ユニットをタップすると_x000D_その敵を狙い撃ちできます</v>
      </c>
      <c r="M28" s="57" t="s">
        <v>209</v>
      </c>
    </row>
    <row r="29" spans="1:13" x14ac:dyDescent="0.15">
      <c r="A29" s="82" t="s">
        <v>199</v>
      </c>
      <c r="B29" s="83">
        <f>floors!$C$2</f>
        <v>60027</v>
      </c>
      <c r="C29" s="84" t="str">
        <f ca="1">VLOOKUP($B29,OFFSET([2]quests!$A$1,0,0,COUNTA([2]quests!$A:$A),MATCH(C$1,[2]quests!$1:$1,0)-MATCH($B$1,[2]quests!$1:$1,0)+1),MATCH(C$1,[2]quests!$1:$1,0)-MATCH($B$1,[2]quests!$1:$1,0)+1,FALSE)</f>
        <v>チューリングチャレンジ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ランキング6（再開催）</v>
      </c>
      <c r="E29" s="87" t="s">
        <v>213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198</v>
      </c>
      <c r="K29" s="92" t="str">
        <f>VLOOKUP(I29,[7]stage_hints!$A:$C,3,FALSE)</f>
        <v>ユニット強化の属性ボーナス</v>
      </c>
      <c r="L29" s="93" t="str">
        <f>VLOOKUP(I29,[7]stage_hints!$A:$D,4,FALSE)</f>
        <v>同属性ユニットを強化素材にすると_x000D_経験値が多くもらえます</v>
      </c>
      <c r="M29" s="57" t="s">
        <v>209</v>
      </c>
    </row>
    <row r="30" spans="1:13" x14ac:dyDescent="0.15">
      <c r="A30" s="82" t="s">
        <v>199</v>
      </c>
      <c r="B30" s="83">
        <f>floors!$C$2</f>
        <v>60027</v>
      </c>
      <c r="C30" s="84" t="str">
        <f ca="1">VLOOKUP($B30,OFFSET([2]quests!$A$1,0,0,COUNTA([2]quests!$A:$A),MATCH(C$1,[2]quests!$1:$1,0)-MATCH($B$1,[2]quests!$1:$1,0)+1),MATCH(C$1,[2]quests!$1:$1,0)-MATCH($B$1,[2]quests!$1:$1,0)+1,FALSE)</f>
        <v>チューリングチャレンジ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ランキング6（再開催）</v>
      </c>
      <c r="E30" s="87" t="s">
        <v>213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198</v>
      </c>
      <c r="K30" s="92" t="str">
        <f>VLOOKUP(I30,[7]stage_hints!$A:$C,3,FALSE)</f>
        <v>メタルダックで経験値を獲得</v>
      </c>
      <c r="L30" s="93" t="str">
        <f>VLOOKUP(I30,[7]stage_hints!$A:$D,4,FALSE)</f>
        <v>「メタルなアヒル」を強化素材にすると_x000D_大量の経験値がもらえます</v>
      </c>
      <c r="M30" s="57" t="s">
        <v>209</v>
      </c>
    </row>
    <row r="31" spans="1:13" x14ac:dyDescent="0.15">
      <c r="A31" s="82" t="s">
        <v>199</v>
      </c>
      <c r="B31" s="83">
        <f>floors!$C$2</f>
        <v>60027</v>
      </c>
      <c r="C31" s="84" t="str">
        <f ca="1">VLOOKUP($B31,OFFSET([2]quests!$A$1,0,0,COUNTA([2]quests!$A:$A),MATCH(C$1,[2]quests!$1:$1,0)-MATCH($B$1,[2]quests!$1:$1,0)+1),MATCH(C$1,[2]quests!$1:$1,0)-MATCH($B$1,[2]quests!$1:$1,0)+1,FALSE)</f>
        <v>チューリングチャレンジ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ランキング6（再開催）</v>
      </c>
      <c r="E31" s="87" t="s">
        <v>213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198</v>
      </c>
      <c r="K31" s="92" t="str">
        <f>VLOOKUP(I31,[7]stage_hints!$A:$C,3,FALSE)</f>
        <v>ゲリラクエストは要チェック</v>
      </c>
      <c r="L31" s="93" t="str">
        <f>VLOOKUP(I31,[7]stage_hints!$A:$D,4,FALSE)</f>
        <v>時間限定の「アヒル捕獲作戦」では_x000D_経験値素材ユニットが多く手に入ります</v>
      </c>
      <c r="M31" s="57" t="s">
        <v>209</v>
      </c>
    </row>
    <row r="32" spans="1:13" x14ac:dyDescent="0.15">
      <c r="A32" s="82" t="s">
        <v>199</v>
      </c>
      <c r="B32" s="83">
        <f>floors!$C$2</f>
        <v>60027</v>
      </c>
      <c r="C32" s="84" t="str">
        <f ca="1">VLOOKUP($B32,OFFSET([2]quests!$A$1,0,0,COUNTA([2]quests!$A:$A),MATCH(C$1,[2]quests!$1:$1,0)-MATCH($B$1,[2]quests!$1:$1,0)+1),MATCH(C$1,[2]quests!$1:$1,0)-MATCH($B$1,[2]quests!$1:$1,0)+1,FALSE)</f>
        <v>チューリングチャレンジ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ランキング6（再開催）</v>
      </c>
      <c r="E32" s="87" t="s">
        <v>213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198</v>
      </c>
      <c r="K32" s="92" t="str">
        <f>VLOOKUP(I32,[7]stage_hints!$A:$C,3,FALSE)</f>
        <v>ゴールドダックでビットを獲得</v>
      </c>
      <c r="L32" s="93" t="str">
        <f>VLOOKUP(I32,[7]stage_hints!$A:$D,4,FALSE)</f>
        <v>「ゴールドなアヒル」を売却すると_x000D_大量のビットがもらえます</v>
      </c>
      <c r="M32" s="57" t="s">
        <v>209</v>
      </c>
    </row>
    <row r="33" spans="1:13" x14ac:dyDescent="0.15">
      <c r="A33" s="82" t="s">
        <v>199</v>
      </c>
      <c r="B33" s="83">
        <f>floors!$C$2</f>
        <v>60027</v>
      </c>
      <c r="C33" s="84" t="str">
        <f ca="1">VLOOKUP($B33,OFFSET([2]quests!$A$1,0,0,COUNTA([2]quests!$A:$A),MATCH(C$1,[2]quests!$1:$1,0)-MATCH($B$1,[2]quests!$1:$1,0)+1),MATCH(C$1,[2]quests!$1:$1,0)-MATCH($B$1,[2]quests!$1:$1,0)+1,FALSE)</f>
        <v>チューリングチャレンジ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ランキング6（再開催）</v>
      </c>
      <c r="E33" s="87" t="s">
        <v>213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198</v>
      </c>
      <c r="K33" s="92" t="str">
        <f>VLOOKUP(I33,[7]stage_hints!$A:$C,3,FALSE)</f>
        <v>土日に大量のビットを獲得</v>
      </c>
      <c r="L33" s="93" t="str">
        <f>VLOOKUP(I33,[7]stage_hints!$A:$D,4,FALSE)</f>
        <v>土日限定の「ゴールドカジノ」では_x000D_売却素材ユニットが多く手に入ります</v>
      </c>
      <c r="M33" s="57" t="s">
        <v>209</v>
      </c>
    </row>
    <row r="34" spans="1:13" x14ac:dyDescent="0.15">
      <c r="A34" s="82" t="s">
        <v>199</v>
      </c>
      <c r="B34" s="83">
        <f>floors!$C$2</f>
        <v>60027</v>
      </c>
      <c r="C34" s="84" t="str">
        <f ca="1">VLOOKUP($B34,OFFSET([2]quests!$A$1,0,0,COUNTA([2]quests!$A:$A),MATCH(C$1,[2]quests!$1:$1,0)-MATCH($B$1,[2]quests!$1:$1,0)+1),MATCH(C$1,[2]quests!$1:$1,0)-MATCH($B$1,[2]quests!$1:$1,0)+1,FALSE)</f>
        <v>チューリングチャレンジ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ランキング6（再開催）</v>
      </c>
      <c r="E34" s="87" t="s">
        <v>213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198</v>
      </c>
      <c r="K34" s="92" t="str">
        <f>VLOOKUP(I34,[7]stage_hints!$A:$C,3,FALSE)</f>
        <v>ランク解放クエスト</v>
      </c>
      <c r="L34" s="93" t="str">
        <f>VLOOKUP(I34,[7]stage_hints!$A:$D,4,FALSE)</f>
        <v>一定ランクに到達すると_x000D_報酬付きのランク開放クエストが現れます</v>
      </c>
      <c r="M34" s="57" t="s">
        <v>209</v>
      </c>
    </row>
    <row r="35" spans="1:13" x14ac:dyDescent="0.15">
      <c r="A35" s="82" t="s">
        <v>199</v>
      </c>
      <c r="B35" s="83">
        <f>floors!$C$2</f>
        <v>60027</v>
      </c>
      <c r="C35" s="84" t="str">
        <f ca="1">VLOOKUP($B35,OFFSET([2]quests!$A$1,0,0,COUNTA([2]quests!$A:$A),MATCH(C$1,[2]quests!$1:$1,0)-MATCH($B$1,[2]quests!$1:$1,0)+1),MATCH(C$1,[2]quests!$1:$1,0)-MATCH($B$1,[2]quests!$1:$1,0)+1,FALSE)</f>
        <v>チューリングチャレンジ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ランキング6（再開催）</v>
      </c>
      <c r="E35" s="87" t="s">
        <v>213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198</v>
      </c>
      <c r="K35" s="92" t="str">
        <f>VLOOKUP(I35,[7]stage_hints!$A:$C,3,FALSE)</f>
        <v>ユニットのお気に入り登録</v>
      </c>
      <c r="L35" s="93" t="str">
        <f>VLOOKUP(I35,[7]stage_hints!$A:$D,4,FALSE)</f>
        <v>大事なユニットを誤って消さないように_x000D_フォルダから「お気に入り登録」しましょう</v>
      </c>
      <c r="M35" s="57" t="s">
        <v>209</v>
      </c>
    </row>
    <row r="36" spans="1:13" x14ac:dyDescent="0.15">
      <c r="A36" s="82" t="s">
        <v>199</v>
      </c>
      <c r="B36" s="83">
        <f>floors!$C$2</f>
        <v>60027</v>
      </c>
      <c r="C36" s="84" t="str">
        <f ca="1">VLOOKUP($B36,OFFSET([2]quests!$A$1,0,0,COUNTA([2]quests!$A:$A),MATCH(C$1,[2]quests!$1:$1,0)-MATCH($B$1,[2]quests!$1:$1,0)+1),MATCH(C$1,[2]quests!$1:$1,0)-MATCH($B$1,[2]quests!$1:$1,0)+1,FALSE)</f>
        <v>チューリングチャレンジ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ランキング6（再開催）</v>
      </c>
      <c r="E36" s="87" t="s">
        <v>213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198</v>
      </c>
      <c r="K36" s="92" t="str">
        <f>VLOOKUP(I36,[7]stage_hints!$A:$C,3,FALSE)</f>
        <v>ユニットの覚醒</v>
      </c>
      <c r="L36" s="93" t="str">
        <f>VLOOKUP(I36,[7]stage_hints!$A:$D,4,FALSE)</f>
        <v>ユニットを覚醒させると_x000D_比べものにならない強さが手に入ります</v>
      </c>
      <c r="M36" s="57" t="s">
        <v>209</v>
      </c>
    </row>
    <row r="37" spans="1:13" x14ac:dyDescent="0.15">
      <c r="A37" s="82" t="s">
        <v>199</v>
      </c>
      <c r="B37" s="83">
        <f>floors!$C$2</f>
        <v>60027</v>
      </c>
      <c r="C37" s="84" t="str">
        <f ca="1">VLOOKUP($B37,OFFSET([2]quests!$A$1,0,0,COUNTA([2]quests!$A:$A),MATCH(C$1,[2]quests!$1:$1,0)-MATCH($B$1,[2]quests!$1:$1,0)+1),MATCH(C$1,[2]quests!$1:$1,0)-MATCH($B$1,[2]quests!$1:$1,0)+1,FALSE)</f>
        <v>チューリングチャレンジ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ランキング6（再開催）</v>
      </c>
      <c r="E37" s="87" t="s">
        <v>213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198</v>
      </c>
      <c r="K37" s="92" t="str">
        <f>VLOOKUP(I37,[7]stage_hints!$A:$C,3,FALSE)</f>
        <v>覚醒するにはレベルを最大に</v>
      </c>
      <c r="L37" s="93" t="str">
        <f>VLOOKUP(I37,[7]stage_hints!$A:$D,4,FALSE)</f>
        <v>覚醒するにはユニットのレベルを_x000D_最大まで上げる必要があります</v>
      </c>
      <c r="M37" s="57" t="s">
        <v>209</v>
      </c>
    </row>
    <row r="38" spans="1:13" x14ac:dyDescent="0.15">
      <c r="A38" s="82" t="s">
        <v>199</v>
      </c>
      <c r="B38" s="83">
        <f>floors!$C$2</f>
        <v>60027</v>
      </c>
      <c r="C38" s="84" t="str">
        <f ca="1">VLOOKUP($B38,OFFSET([2]quests!$A$1,0,0,COUNTA([2]quests!$A:$A),MATCH(C$1,[2]quests!$1:$1,0)-MATCH($B$1,[2]quests!$1:$1,0)+1),MATCH(C$1,[2]quests!$1:$1,0)-MATCH($B$1,[2]quests!$1:$1,0)+1,FALSE)</f>
        <v>チューリングチャレンジ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ランキング6（再開催）</v>
      </c>
      <c r="E38" s="87" t="s">
        <v>213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198</v>
      </c>
      <c r="K38" s="92" t="str">
        <f>VLOOKUP(I38,[7]stage_hints!$A:$C,3,FALSE)</f>
        <v>覚醒素材を獲得</v>
      </c>
      <c r="L38" s="93" t="str">
        <f>VLOOKUP(I38,[7]stage_hints!$A:$D,4,FALSE)</f>
        <v>「曜日クエスト」では_x000D_ユニットの覚醒に必要な素材が手に入ります</v>
      </c>
      <c r="M38" s="57" t="s">
        <v>209</v>
      </c>
    </row>
    <row r="39" spans="1:13" x14ac:dyDescent="0.15">
      <c r="A39" s="82" t="s">
        <v>199</v>
      </c>
      <c r="B39" s="83">
        <f>floors!$C$2</f>
        <v>60027</v>
      </c>
      <c r="C39" s="84" t="str">
        <f ca="1">VLOOKUP($B39,OFFSET([2]quests!$A$1,0,0,COUNTA([2]quests!$A:$A),MATCH(C$1,[2]quests!$1:$1,0)-MATCH($B$1,[2]quests!$1:$1,0)+1),MATCH(C$1,[2]quests!$1:$1,0)-MATCH($B$1,[2]quests!$1:$1,0)+1,FALSE)</f>
        <v>チューリングチャレンジ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ランキング6（再開催）</v>
      </c>
      <c r="E39" s="87" t="s">
        <v>213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198</v>
      </c>
      <c r="K39" s="92" t="str">
        <f>VLOOKUP(I39,[7]stage_hints!$A:$C,3,FALSE)</f>
        <v>マルチプレイのメリット（その1）</v>
      </c>
      <c r="L39" s="93" t="str">
        <f>VLOOKUP(I39,[7]stage_hints!$A:$D,4,FALSE)</f>
        <v>他のプレイヤーとマルチプレイで遊ぶと_x000D_ポリゴンがもらえます（100人まで）</v>
      </c>
      <c r="M39" s="57" t="s">
        <v>209</v>
      </c>
    </row>
    <row r="40" spans="1:13" x14ac:dyDescent="0.15">
      <c r="A40" s="82" t="s">
        <v>199</v>
      </c>
      <c r="B40" s="83">
        <f>floors!$C$2</f>
        <v>60027</v>
      </c>
      <c r="C40" s="84" t="str">
        <f ca="1">VLOOKUP($B40,OFFSET([2]quests!$A$1,0,0,COUNTA([2]quests!$A:$A),MATCH(C$1,[2]quests!$1:$1,0)-MATCH($B$1,[2]quests!$1:$1,0)+1),MATCH(C$1,[2]quests!$1:$1,0)-MATCH($B$1,[2]quests!$1:$1,0)+1,FALSE)</f>
        <v>チューリングチャレンジ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ランキング6（再開催）</v>
      </c>
      <c r="E40" s="87" t="s">
        <v>213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198</v>
      </c>
      <c r="K40" s="92" t="str">
        <f>VLOOKUP(I40,[7]stage_hints!$A:$C,3,FALSE)</f>
        <v>リンクガチャ</v>
      </c>
      <c r="L40" s="93" t="str">
        <f>VLOOKUP(I40,[7]stage_hints!$A:$D,4,FALSE)</f>
        <v>無料のリンクガチャを回して_x000D_経験値素材や売却素材を獲得しましょう</v>
      </c>
      <c r="M40" s="57" t="s">
        <v>209</v>
      </c>
    </row>
    <row r="41" spans="1:13" x14ac:dyDescent="0.15">
      <c r="A41" s="82" t="s">
        <v>199</v>
      </c>
      <c r="B41" s="83">
        <f>floors!$C$2</f>
        <v>60027</v>
      </c>
      <c r="C41" s="84" t="str">
        <f ca="1">VLOOKUP($B41,OFFSET([2]quests!$A$1,0,0,COUNTA([2]quests!$A:$A),MATCH(C$1,[2]quests!$1:$1,0)-MATCH($B$1,[2]quests!$1:$1,0)+1),MATCH(C$1,[2]quests!$1:$1,0)-MATCH($B$1,[2]quests!$1:$1,0)+1,FALSE)</f>
        <v>チューリングチャレンジ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ランキング6（再開催）</v>
      </c>
      <c r="E41" s="87" t="s">
        <v>213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198</v>
      </c>
      <c r="K41" s="92" t="str">
        <f>VLOOKUP(I41,[7]stage_hints!$A:$C,3,FALSE)</f>
        <v>マルチプレイのメリット（その2）</v>
      </c>
      <c r="L41" s="93" t="str">
        <f>VLOOKUP(I41,[7]stage_hints!$A:$D,4,FALSE)</f>
        <v>マルチプレイならリンクが2倍もらえます_x000D_リンクガチャをたくさん回しましょう</v>
      </c>
      <c r="M41" s="57" t="s">
        <v>209</v>
      </c>
    </row>
    <row r="42" spans="1:13" x14ac:dyDescent="0.15">
      <c r="A42" s="82" t="s">
        <v>199</v>
      </c>
      <c r="B42" s="83">
        <f>floors!$C$2</f>
        <v>60027</v>
      </c>
      <c r="C42" s="84" t="str">
        <f ca="1">VLOOKUP($B42,OFFSET([2]quests!$A$1,0,0,COUNTA([2]quests!$A:$A),MATCH(C$1,[2]quests!$1:$1,0)-MATCH($B$1,[2]quests!$1:$1,0)+1),MATCH(C$1,[2]quests!$1:$1,0)-MATCH($B$1,[2]quests!$1:$1,0)+1,FALSE)</f>
        <v>チューリングチャレンジ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ランキング6（再開催）</v>
      </c>
      <c r="E42" s="87" t="s">
        <v>213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198</v>
      </c>
      <c r="K42" s="92" t="str">
        <f>VLOOKUP(I42,[7]stage_hints!$A:$C,3,FALSE)</f>
        <v>ソロ専用タワーオブザクイーン</v>
      </c>
      <c r="L42" s="93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209</v>
      </c>
    </row>
    <row r="43" spans="1:13" x14ac:dyDescent="0.15">
      <c r="A43" s="82" t="s">
        <v>199</v>
      </c>
      <c r="B43" s="83">
        <f>floors!$C$2</f>
        <v>60027</v>
      </c>
      <c r="C43" s="84" t="str">
        <f ca="1">VLOOKUP($B43,OFFSET([2]quests!$A$1,0,0,COUNTA([2]quests!$A:$A),MATCH(C$1,[2]quests!$1:$1,0)-MATCH($B$1,[2]quests!$1:$1,0)+1),MATCH(C$1,[2]quests!$1:$1,0)-MATCH($B$1,[2]quests!$1:$1,0)+1,FALSE)</f>
        <v>チューリングチャレンジ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ランキング6（再開催）</v>
      </c>
      <c r="E43" s="87" t="s">
        <v>213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198</v>
      </c>
      <c r="K43" s="92" t="str">
        <f>VLOOKUP(I43,[7]stage_hints!$A:$C,3,FALSE)</f>
        <v>マルチプレイのメリット（その3）</v>
      </c>
      <c r="L43" s="93" t="str">
        <f>VLOOKUP(I43,[7]stage_hints!$A:$D,4,FALSE)</f>
        <v>マルチプレイへの参加はエナジー消費ゼロ_x000D_いつでも好きなだけ遊ぶことができます</v>
      </c>
      <c r="M43" s="57" t="s">
        <v>209</v>
      </c>
    </row>
    <row r="44" spans="1:13" x14ac:dyDescent="0.15">
      <c r="A44" s="82" t="s">
        <v>199</v>
      </c>
      <c r="B44" s="83">
        <f>floors!$C$2</f>
        <v>60027</v>
      </c>
      <c r="C44" s="84" t="str">
        <f ca="1">VLOOKUP($B44,OFFSET([2]quests!$A$1,0,0,COUNTA([2]quests!$A:$A),MATCH(C$1,[2]quests!$1:$1,0)-MATCH($B$1,[2]quests!$1:$1,0)+1),MATCH(C$1,[2]quests!$1:$1,0)-MATCH($B$1,[2]quests!$1:$1,0)+1,FALSE)</f>
        <v>チューリングチャレンジ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ランキング6（再開催）</v>
      </c>
      <c r="E44" s="87" t="s">
        <v>213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198</v>
      </c>
      <c r="K44" s="92" t="str">
        <f>VLOOKUP(I44,[7]stage_hints!$A:$C,3,FALSE)</f>
        <v>スキルを有効に</v>
      </c>
      <c r="L44" s="93" t="str">
        <f>VLOOKUP(I44,[7]stage_hints!$A:$D,4,FALSE)</f>
        <v>ターン経過でユニットのスキルが使えます_x000D_強力スキルでバトルを有利に進めましょう</v>
      </c>
      <c r="M44" s="57" t="s">
        <v>209</v>
      </c>
    </row>
    <row r="45" spans="1:13" x14ac:dyDescent="0.15">
      <c r="A45" s="82" t="s">
        <v>199</v>
      </c>
      <c r="B45" s="83">
        <f>floors!$C$2</f>
        <v>60027</v>
      </c>
      <c r="C45" s="84" t="str">
        <f ca="1">VLOOKUP($B45,OFFSET([2]quests!$A$1,0,0,COUNTA([2]quests!$A:$A),MATCH(C$1,[2]quests!$1:$1,0)-MATCH($B$1,[2]quests!$1:$1,0)+1),MATCH(C$1,[2]quests!$1:$1,0)-MATCH($B$1,[2]quests!$1:$1,0)+1,FALSE)</f>
        <v>チューリングチャレンジ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ランキング6（再開催）</v>
      </c>
      <c r="E45" s="87" t="s">
        <v>213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198</v>
      </c>
      <c r="K45" s="92" t="str">
        <f>VLOOKUP(I45,[7]stage_hints!$A:$C,3,FALSE)</f>
        <v>フィーバーで一発逆転（その1）</v>
      </c>
      <c r="L45" s="93" t="str">
        <f>VLOOKUP(I45,[7]stage_hints!$A:$D,4,FALSE)</f>
        <v>フィーバーは攻撃と回復を兼ね備えます_x000D_ピンチからの一発逆転を狙いましょう</v>
      </c>
      <c r="M45" s="57" t="s">
        <v>209</v>
      </c>
    </row>
    <row r="46" spans="1:13" x14ac:dyDescent="0.15">
      <c r="A46" s="82" t="s">
        <v>199</v>
      </c>
      <c r="B46" s="83">
        <f>floors!$C$2</f>
        <v>60027</v>
      </c>
      <c r="C46" s="84" t="str">
        <f ca="1">VLOOKUP($B46,OFFSET([2]quests!$A$1,0,0,COUNTA([2]quests!$A:$A),MATCH(C$1,[2]quests!$1:$1,0)-MATCH($B$1,[2]quests!$1:$1,0)+1),MATCH(C$1,[2]quests!$1:$1,0)-MATCH($B$1,[2]quests!$1:$1,0)+1,FALSE)</f>
        <v>チューリングチャレンジ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ランキング6（再開催）</v>
      </c>
      <c r="E46" s="87" t="s">
        <v>213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198</v>
      </c>
      <c r="K46" s="92" t="str">
        <f>VLOOKUP(I46,[7]stage_hints!$A:$C,3,FALSE)</f>
        <v>フィーバーで一発逆転（その2）</v>
      </c>
      <c r="L46" s="93" t="str">
        <f>VLOOKUP(I46,[7]stage_hints!$A:$D,4,FALSE)</f>
        <v>フィーバー中は虹色のボムパネルを狙って_x000D_画面上のパネルを一気に破壊しましょう</v>
      </c>
      <c r="M46" s="57" t="s">
        <v>209</v>
      </c>
    </row>
    <row r="47" spans="1:13" x14ac:dyDescent="0.15">
      <c r="A47" s="82" t="s">
        <v>199</v>
      </c>
      <c r="B47" s="83">
        <f>floors!$C$2</f>
        <v>60027</v>
      </c>
      <c r="C47" s="84" t="str">
        <f ca="1">VLOOKUP($B47,OFFSET([2]quests!$A$1,0,0,COUNTA([2]quests!$A:$A),MATCH(C$1,[2]quests!$1:$1,0)-MATCH($B$1,[2]quests!$1:$1,0)+1),MATCH(C$1,[2]quests!$1:$1,0)-MATCH($B$1,[2]quests!$1:$1,0)+1,FALSE)</f>
        <v>チューリングチャレンジ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ランキング6（再開催）</v>
      </c>
      <c r="E47" s="87" t="s">
        <v>213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198</v>
      </c>
      <c r="K47" s="92" t="str">
        <f>VLOOKUP(I47,[7]stage_hints!$A:$C,3,FALSE)</f>
        <v>りんごを使って限界突破</v>
      </c>
      <c r="L47" s="93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209</v>
      </c>
    </row>
    <row r="48" spans="1:13" x14ac:dyDescent="0.15">
      <c r="A48" s="82" t="s">
        <v>199</v>
      </c>
      <c r="B48" s="83">
        <f>floors!$C$2</f>
        <v>60027</v>
      </c>
      <c r="C48" s="84" t="str">
        <f ca="1">VLOOKUP($B48,OFFSET([2]quests!$A$1,0,0,COUNTA([2]quests!$A:$A),MATCH(C$1,[2]quests!$1:$1,0)-MATCH($B$1,[2]quests!$1:$1,0)+1),MATCH(C$1,[2]quests!$1:$1,0)-MATCH($B$1,[2]quests!$1:$1,0)+1,FALSE)</f>
        <v>チューリングチャレンジ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ランキング6（再開催）</v>
      </c>
      <c r="E48" s="87" t="s">
        <v>213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198</v>
      </c>
      <c r="K48" s="92" t="str">
        <f>VLOOKUP(I48,[7]stage_hints!$A:$C,3,FALSE)</f>
        <v>スキルレベルアップ</v>
      </c>
      <c r="L48" s="93" t="str">
        <f>VLOOKUP(I48,[7]stage_hints!$A:$D,4,FALSE)</f>
        <v>「クリスタルのりんご」を強化に使うと_x000D_スキルレベルを上げることができます</v>
      </c>
      <c r="M48" s="57" t="s">
        <v>209</v>
      </c>
    </row>
    <row r="49" spans="1:13" x14ac:dyDescent="0.15">
      <c r="A49" s="82" t="s">
        <v>199</v>
      </c>
      <c r="B49" s="83">
        <f>floors!$C$2</f>
        <v>60027</v>
      </c>
      <c r="C49" s="84" t="str">
        <f ca="1">VLOOKUP($B49,OFFSET([2]quests!$A$1,0,0,COUNTA([2]quests!$A:$A),MATCH(C$1,[2]quests!$1:$1,0)-MATCH($B$1,[2]quests!$1:$1,0)+1),MATCH(C$1,[2]quests!$1:$1,0)-MATCH($B$1,[2]quests!$1:$1,0)+1,FALSE)</f>
        <v>チューリングチャレンジ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ランキング6（再開催）</v>
      </c>
      <c r="E49" s="87" t="s">
        <v>213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198</v>
      </c>
      <c r="K49" s="92" t="str">
        <f>VLOOKUP(I49,[7]stage_hints!$A:$C,3,FALSE)</f>
        <v>スキルレベルの効果</v>
      </c>
      <c r="L49" s="93" t="str">
        <f>VLOOKUP(I49,[7]stage_hints!$A:$D,4,FALSE)</f>
        <v>スキルレベルが上がると_x000D_短いターンでスキルを使うことができます</v>
      </c>
      <c r="M49" s="57" t="s">
        <v>209</v>
      </c>
    </row>
    <row r="50" spans="1:13" x14ac:dyDescent="0.15">
      <c r="A50" s="82" t="s">
        <v>199</v>
      </c>
      <c r="B50" s="83">
        <f>floors!$C$2</f>
        <v>60027</v>
      </c>
      <c r="C50" s="84" t="str">
        <f ca="1">VLOOKUP($B50,OFFSET([2]quests!$A$1,0,0,COUNTA([2]quests!$A:$A),MATCH(C$1,[2]quests!$1:$1,0)-MATCH($B$1,[2]quests!$1:$1,0)+1),MATCH(C$1,[2]quests!$1:$1,0)-MATCH($B$1,[2]quests!$1:$1,0)+1,FALSE)</f>
        <v>チューリングチャレンジ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ランキング6（再開催）</v>
      </c>
      <c r="E50" s="87" t="s">
        <v>213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198</v>
      </c>
      <c r="K50" s="92" t="str">
        <f>VLOOKUP(I50,[7]stage_hints!$A:$C,3,FALSE)</f>
        <v>ホーム画面からデッキを編成</v>
      </c>
      <c r="L50" s="93" t="str">
        <f>VLOOKUP(I50,[7]stage_hints!$A:$D,4,FALSE)</f>
        <v>ホーム画面でユニットを長押しすると_x000D_すぐにパーティ編成に移動できます</v>
      </c>
      <c r="M50" s="57" t="s">
        <v>209</v>
      </c>
    </row>
    <row r="51" spans="1:13" x14ac:dyDescent="0.15">
      <c r="A51" s="82" t="s">
        <v>199</v>
      </c>
      <c r="B51" s="83">
        <f>floors!$C$2</f>
        <v>60027</v>
      </c>
      <c r="C51" s="84" t="str">
        <f ca="1">VLOOKUP($B51,OFFSET([2]quests!$A$1,0,0,COUNTA([2]quests!$A:$A),MATCH(C$1,[2]quests!$1:$1,0)-MATCH($B$1,[2]quests!$1:$1,0)+1),MATCH(C$1,[2]quests!$1:$1,0)-MATCH($B$1,[2]quests!$1:$1,0)+1,FALSE)</f>
        <v>チューリングチャレンジ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ランキング6（再開催）</v>
      </c>
      <c r="E51" s="87" t="s">
        <v>213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198</v>
      </c>
      <c r="K51" s="92" t="str">
        <f>VLOOKUP(I51,[7]stage_hints!$A:$C,3,FALSE)</f>
        <v>ステータス情報は長押しで</v>
      </c>
      <c r="L51" s="93" t="str">
        <f>VLOOKUP(I51,[7]stage_hints!$A:$D,4,FALSE)</f>
        <v>ユニットのアイコンを長押しすると_x000D_ステータス情報を確認することができます</v>
      </c>
      <c r="M51" s="57" t="s">
        <v>209</v>
      </c>
    </row>
    <row r="52" spans="1:13" x14ac:dyDescent="0.15">
      <c r="A52" s="82" t="s">
        <v>199</v>
      </c>
      <c r="B52" s="83">
        <f>floors!$C$2</f>
        <v>60027</v>
      </c>
      <c r="C52" s="84" t="str">
        <f ca="1">VLOOKUP($B52,OFFSET([2]quests!$A$1,0,0,COUNTA([2]quests!$A:$A),MATCH(C$1,[2]quests!$1:$1,0)-MATCH($B$1,[2]quests!$1:$1,0)+1),MATCH(C$1,[2]quests!$1:$1,0)-MATCH($B$1,[2]quests!$1:$1,0)+1,FALSE)</f>
        <v>チューリングチャレンジ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ランキング6（再開催）</v>
      </c>
      <c r="E52" s="87" t="s">
        <v>213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198</v>
      </c>
      <c r="K52" s="92" t="str">
        <f>VLOOKUP(I52,[7]stage_hints!$A:$C,3,FALSE)</f>
        <v>「バグ」のメリット</v>
      </c>
      <c r="L52" s="93" t="str">
        <f>VLOOKUP(I52,[7]stage_hints!$A:$D,4,FALSE)</f>
        <v>ユニットの「バグ」を増やすと_x000D_報酬をもらえる確率がアップします</v>
      </c>
      <c r="M52" s="57" t="s">
        <v>209</v>
      </c>
    </row>
    <row r="53" spans="1:13" x14ac:dyDescent="0.15">
      <c r="A53" s="82" t="s">
        <v>199</v>
      </c>
      <c r="B53" s="83">
        <f>floors!$C$2</f>
        <v>60027</v>
      </c>
      <c r="C53" s="84" t="str">
        <f ca="1">VLOOKUP($B53,OFFSET([2]quests!$A$1,0,0,COUNTA([2]quests!$A:$A),MATCH(C$1,[2]quests!$1:$1,0)-MATCH($B$1,[2]quests!$1:$1,0)+1),MATCH(C$1,[2]quests!$1:$1,0)-MATCH($B$1,[2]quests!$1:$1,0)+1,FALSE)</f>
        <v>チューリングチャレンジ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ランキング6（再開催）</v>
      </c>
      <c r="E53" s="87" t="s">
        <v>213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198</v>
      </c>
      <c r="K53" s="92" t="str">
        <f>VLOOKUP(I53,[7]stage_hints!$A:$C,3,FALSE)</f>
        <v>「バグ」の増やし方</v>
      </c>
      <c r="L53" s="93" t="str">
        <f>VLOOKUP(I53,[7]stage_hints!$A:$D,4,FALSE)</f>
        <v>同じユニット同士を強化で合成すると_x000D_「バグ」を増やすことができます</v>
      </c>
      <c r="M53" s="57" t="s">
        <v>209</v>
      </c>
    </row>
    <row r="54" spans="1:13" x14ac:dyDescent="0.15">
      <c r="A54" s="82" t="s">
        <v>199</v>
      </c>
      <c r="B54" s="83">
        <f>floors!$C$2</f>
        <v>60027</v>
      </c>
      <c r="C54" s="84" t="str">
        <f ca="1">VLOOKUP($B54,OFFSET([2]quests!$A$1,0,0,COUNTA([2]quests!$A:$A),MATCH(C$1,[2]quests!$1:$1,0)-MATCH($B$1,[2]quests!$1:$1,0)+1),MATCH(C$1,[2]quests!$1:$1,0)-MATCH($B$1,[2]quests!$1:$1,0)+1,FALSE)</f>
        <v>チューリングチャレンジ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ランキング6（再開催）</v>
      </c>
      <c r="E54" s="87" t="s">
        <v>213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198</v>
      </c>
      <c r="K54" s="92" t="str">
        <f>VLOOKUP(I54,[7]stage_hints!$A:$C,3,FALSE)</f>
        <v>イベントはお知らせでチェック</v>
      </c>
      <c r="L54" s="93" t="str">
        <f>VLOOKUP(I54,[7]stage_hints!$A:$D,4,FALSE)</f>
        <v>イベント限定ユニットを取り忘れないように_x000D_お知らせをこまめにチェックしましょう</v>
      </c>
      <c r="M54" s="57" t="s">
        <v>209</v>
      </c>
    </row>
    <row r="55" spans="1:13" x14ac:dyDescent="0.15">
      <c r="A55" s="82" t="s">
        <v>199</v>
      </c>
      <c r="B55" s="83">
        <f>floors!$C$2</f>
        <v>60027</v>
      </c>
      <c r="C55" s="84" t="str">
        <f ca="1">VLOOKUP($B55,OFFSET([2]quests!$A$1,0,0,COUNTA([2]quests!$A:$A),MATCH(C$1,[2]quests!$1:$1,0)-MATCH($B$1,[2]quests!$1:$1,0)+1),MATCH(C$1,[2]quests!$1:$1,0)-MATCH($B$1,[2]quests!$1:$1,0)+1,FALSE)</f>
        <v>チューリングチャレンジ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ランキング6（再開催）</v>
      </c>
      <c r="E55" s="87" t="s">
        <v>213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198</v>
      </c>
      <c r="K55" s="92" t="str">
        <f>VLOOKUP(I55,[7]stage_hints!$A:$C,3,FALSE)</f>
        <v>敵の連続攻撃には</v>
      </c>
      <c r="L55" s="93" t="str">
        <f>VLOOKUP(I55,[7]stage_hints!$A:$D,4,FALSE)</f>
        <v>カウンタースキルを持つユニットがいれば_x000D_ダメージ回数分の反撃ができます</v>
      </c>
      <c r="M55" s="57" t="s">
        <v>209</v>
      </c>
    </row>
    <row r="56" spans="1:13" x14ac:dyDescent="0.15">
      <c r="A56" s="82" t="s">
        <v>199</v>
      </c>
      <c r="B56" s="83">
        <f>floors!$C$2</f>
        <v>60027</v>
      </c>
      <c r="C56" s="84" t="str">
        <f ca="1">VLOOKUP($B56,OFFSET([2]quests!$A$1,0,0,COUNTA([2]quests!$A:$A),MATCH(C$1,[2]quests!$1:$1,0)-MATCH($B$1,[2]quests!$1:$1,0)+1),MATCH(C$1,[2]quests!$1:$1,0)-MATCH($B$1,[2]quests!$1:$1,0)+1,FALSE)</f>
        <v>チューリングチャレンジ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ランキング6（再開催）</v>
      </c>
      <c r="E56" s="87" t="s">
        <v>213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198</v>
      </c>
      <c r="K56" s="92" t="str">
        <f>VLOOKUP(I56,[7]stage_hints!$A:$C,3,FALSE)</f>
        <v>敵のカウンター攻撃には</v>
      </c>
      <c r="L56" s="93" t="str">
        <f>VLOOKUP(I56,[7]stage_hints!$A:$D,4,FALSE)</f>
        <v>カウンターブレイクスキルを持っていれば_x000D_敵のカウンターを解除して攻撃ができます</v>
      </c>
      <c r="M56" s="57" t="s">
        <v>209</v>
      </c>
    </row>
    <row r="57" spans="1:13" x14ac:dyDescent="0.15">
      <c r="A57" s="82" t="s">
        <v>199</v>
      </c>
      <c r="B57" s="83">
        <f>floors!$C$2</f>
        <v>60027</v>
      </c>
      <c r="C57" s="84" t="str">
        <f ca="1">VLOOKUP($B57,OFFSET([2]quests!$A$1,0,0,COUNTA([2]quests!$A:$A),MATCH(C$1,[2]quests!$1:$1,0)-MATCH($B$1,[2]quests!$1:$1,0)+1),MATCH(C$1,[2]quests!$1:$1,0)-MATCH($B$1,[2]quests!$1:$1,0)+1,FALSE)</f>
        <v>チューリングチャレンジ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ランキング6（再開催）</v>
      </c>
      <c r="E57" s="87" t="s">
        <v>213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198</v>
      </c>
      <c r="K57" s="92" t="str">
        <f>VLOOKUP(I57,[7]stage_hints!$A:$C,3,FALSE)</f>
        <v>ステータスをスキルで下げられたら</v>
      </c>
      <c r="L57" s="93" t="str">
        <f>VLOOKUP(I57,[7]stage_hints!$A:$D,4,FALSE)</f>
        <v>ステータスダウンのスキルを受けたら_x000D_ステータスアップスキルで上書きしましょう</v>
      </c>
      <c r="M57" s="57" t="s">
        <v>209</v>
      </c>
    </row>
    <row r="58" spans="1:13" x14ac:dyDescent="0.15">
      <c r="A58" s="82" t="s">
        <v>199</v>
      </c>
      <c r="B58" s="83">
        <f>floors!$C$2</f>
        <v>60027</v>
      </c>
      <c r="C58" s="84" t="str">
        <f ca="1">VLOOKUP($B58,OFFSET([2]quests!$A$1,0,0,COUNTA([2]quests!$A:$A),MATCH(C$1,[2]quests!$1:$1,0)-MATCH($B$1,[2]quests!$1:$1,0)+1),MATCH(C$1,[2]quests!$1:$1,0)-MATCH($B$1,[2]quests!$1:$1,0)+1,FALSE)</f>
        <v>チューリングチャレンジ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ランキング6（再開催）</v>
      </c>
      <c r="E58" s="87" t="s">
        <v>213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198</v>
      </c>
      <c r="K58" s="92" t="str">
        <f>VLOOKUP(I58,[7]stage_hints!$A:$C,3,FALSE)</f>
        <v>敵のステータスがスキルで上がったら</v>
      </c>
      <c r="L58" s="93" t="str">
        <f>VLOOKUP(I58,[7]stage_hints!$A:$D,4,FALSE)</f>
        <v>敵のステータスがスキルでアップしたときは_x000D_ステータスダウンスキルで上書きしましょう</v>
      </c>
      <c r="M58" s="57" t="s">
        <v>209</v>
      </c>
    </row>
    <row r="59" spans="1:13" x14ac:dyDescent="0.15">
      <c r="A59" s="82" t="s">
        <v>199</v>
      </c>
      <c r="B59" s="83">
        <f>floors!$C$2</f>
        <v>60027</v>
      </c>
      <c r="C59" s="84" t="str">
        <f ca="1">VLOOKUP($B59,OFFSET([2]quests!$A$1,0,0,COUNTA([2]quests!$A:$A),MATCH(C$1,[2]quests!$1:$1,0)-MATCH($B$1,[2]quests!$1:$1,0)+1),MATCH(C$1,[2]quests!$1:$1,0)-MATCH($B$1,[2]quests!$1:$1,0)+1,FALSE)</f>
        <v>チューリングチャレンジ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ランキング6（再開催）</v>
      </c>
      <c r="E59" s="87" t="s">
        <v>213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198</v>
      </c>
      <c r="K59" s="92" t="str">
        <f>VLOOKUP(I59,[7]stage_hints!$A:$C,3,FALSE)</f>
        <v>システム適合者を確認</v>
      </c>
      <c r="L59" s="93" t="str">
        <f>VLOOKUP(I59,[7]stage_hints!$A:$D,4,FALSE)</f>
        <v>ALICEが 「アナタ」を呼んでいます</v>
      </c>
      <c r="M59" s="57" t="s">
        <v>209</v>
      </c>
    </row>
    <row r="60" spans="1:13" x14ac:dyDescent="0.15">
      <c r="A60" s="82" t="s">
        <v>199</v>
      </c>
      <c r="B60" s="83">
        <f>floors!$C$2</f>
        <v>60027</v>
      </c>
      <c r="C60" s="84" t="str">
        <f ca="1">VLOOKUP($B60,OFFSET([2]quests!$A$1,0,0,COUNTA([2]quests!$A:$A),MATCH(C$1,[2]quests!$1:$1,0)-MATCH($B$1,[2]quests!$1:$1,0)+1),MATCH(C$1,[2]quests!$1:$1,0)-MATCH($B$1,[2]quests!$1:$1,0)+1,FALSE)</f>
        <v>チューリングチャレンジ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ランキング6（再開催）</v>
      </c>
      <c r="E60" s="87" t="s">
        <v>214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6">
        <v>3</v>
      </c>
      <c r="J60" s="85" t="s">
        <v>198</v>
      </c>
      <c r="K60" s="92" t="str">
        <f>VLOOKUP(I60,[7]stage_hints!$A:$C,3,FALSE)</f>
        <v>ターゲット</v>
      </c>
      <c r="L60" s="93" t="str">
        <f>VLOOKUP(I60,[7]stage_hints!$A:$D,4,FALSE)</f>
        <v>敵ユニットをタップすると_x000D_その敵を狙い撃ちできます</v>
      </c>
      <c r="M60" s="57" t="s">
        <v>209</v>
      </c>
    </row>
    <row r="61" spans="1:13" x14ac:dyDescent="0.15">
      <c r="A61" s="82" t="s">
        <v>199</v>
      </c>
      <c r="B61" s="83">
        <f>floors!$C$2</f>
        <v>60027</v>
      </c>
      <c r="C61" s="84" t="str">
        <f ca="1">VLOOKUP($B61,OFFSET([2]quests!$A$1,0,0,COUNTA([2]quests!$A:$A),MATCH(C$1,[2]quests!$1:$1,0)-MATCH($B$1,[2]quests!$1:$1,0)+1),MATCH(C$1,[2]quests!$1:$1,0)-MATCH($B$1,[2]quests!$1:$1,0)+1,FALSE)</f>
        <v>チューリングチャレンジ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ランキング6（再開催）</v>
      </c>
      <c r="E61" s="87" t="s">
        <v>214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6">
        <v>6</v>
      </c>
      <c r="J61" s="85" t="s">
        <v>198</v>
      </c>
      <c r="K61" s="92" t="str">
        <f>VLOOKUP(I61,[7]stage_hints!$A:$C,3,FALSE)</f>
        <v>ユニット強化の属性ボーナス</v>
      </c>
      <c r="L61" s="93" t="str">
        <f>VLOOKUP(I61,[7]stage_hints!$A:$D,4,FALSE)</f>
        <v>同属性ユニットを強化素材にすると_x000D_経験値が多くもらえます</v>
      </c>
      <c r="M61" s="57" t="s">
        <v>209</v>
      </c>
    </row>
    <row r="62" spans="1:13" x14ac:dyDescent="0.15">
      <c r="A62" s="82" t="s">
        <v>199</v>
      </c>
      <c r="B62" s="83">
        <f>floors!$C$2</f>
        <v>60027</v>
      </c>
      <c r="C62" s="84" t="str">
        <f ca="1">VLOOKUP($B62,OFFSET([2]quests!$A$1,0,0,COUNTA([2]quests!$A:$A),MATCH(C$1,[2]quests!$1:$1,0)-MATCH($B$1,[2]quests!$1:$1,0)+1),MATCH(C$1,[2]quests!$1:$1,0)-MATCH($B$1,[2]quests!$1:$1,0)+1,FALSE)</f>
        <v>チューリングチャレンジ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ランキング6（再開催）</v>
      </c>
      <c r="E62" s="87" t="s">
        <v>214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6">
        <v>7</v>
      </c>
      <c r="J62" s="85" t="s">
        <v>198</v>
      </c>
      <c r="K62" s="92" t="str">
        <f>VLOOKUP(I62,[7]stage_hints!$A:$C,3,FALSE)</f>
        <v>メタルダックで経験値を獲得</v>
      </c>
      <c r="L62" s="93" t="str">
        <f>VLOOKUP(I62,[7]stage_hints!$A:$D,4,FALSE)</f>
        <v>「メタルなアヒル」を強化素材にすると_x000D_大量の経験値がもらえます</v>
      </c>
      <c r="M62" s="57" t="s">
        <v>209</v>
      </c>
    </row>
    <row r="63" spans="1:13" x14ac:dyDescent="0.15">
      <c r="A63" s="82" t="s">
        <v>199</v>
      </c>
      <c r="B63" s="83">
        <f>floors!$C$2</f>
        <v>60027</v>
      </c>
      <c r="C63" s="84" t="str">
        <f ca="1">VLOOKUP($B63,OFFSET([2]quests!$A$1,0,0,COUNTA([2]quests!$A:$A),MATCH(C$1,[2]quests!$1:$1,0)-MATCH($B$1,[2]quests!$1:$1,0)+1),MATCH(C$1,[2]quests!$1:$1,0)-MATCH($B$1,[2]quests!$1:$1,0)+1,FALSE)</f>
        <v>チューリングチャレンジ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ランキング6（再開催）</v>
      </c>
      <c r="E63" s="87" t="s">
        <v>214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6">
        <v>8</v>
      </c>
      <c r="J63" s="85" t="s">
        <v>198</v>
      </c>
      <c r="K63" s="92" t="str">
        <f>VLOOKUP(I63,[7]stage_hints!$A:$C,3,FALSE)</f>
        <v>ゲリラクエストは要チェック</v>
      </c>
      <c r="L63" s="93" t="str">
        <f>VLOOKUP(I63,[7]stage_hints!$A:$D,4,FALSE)</f>
        <v>時間限定の「アヒル捕獲作戦」では_x000D_経験値素材ユニットが多く手に入ります</v>
      </c>
      <c r="M63" s="57" t="s">
        <v>209</v>
      </c>
    </row>
    <row r="64" spans="1:13" x14ac:dyDescent="0.15">
      <c r="A64" s="82" t="s">
        <v>199</v>
      </c>
      <c r="B64" s="83">
        <f>floors!$C$2</f>
        <v>60027</v>
      </c>
      <c r="C64" s="84" t="str">
        <f ca="1">VLOOKUP($B64,OFFSET([2]quests!$A$1,0,0,COUNTA([2]quests!$A:$A),MATCH(C$1,[2]quests!$1:$1,0)-MATCH($B$1,[2]quests!$1:$1,0)+1),MATCH(C$1,[2]quests!$1:$1,0)-MATCH($B$1,[2]quests!$1:$1,0)+1,FALSE)</f>
        <v>チューリングチャレンジ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ランキング6（再開催）</v>
      </c>
      <c r="E64" s="87" t="s">
        <v>214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6">
        <v>9</v>
      </c>
      <c r="J64" s="85" t="s">
        <v>198</v>
      </c>
      <c r="K64" s="92" t="str">
        <f>VLOOKUP(I64,[7]stage_hints!$A:$C,3,FALSE)</f>
        <v>ゴールドダックでビットを獲得</v>
      </c>
      <c r="L64" s="93" t="str">
        <f>VLOOKUP(I64,[7]stage_hints!$A:$D,4,FALSE)</f>
        <v>「ゴールドなアヒル」を売却すると_x000D_大量のビットがもらえます</v>
      </c>
      <c r="M64" s="57" t="s">
        <v>209</v>
      </c>
    </row>
    <row r="65" spans="1:13" x14ac:dyDescent="0.15">
      <c r="A65" s="82" t="s">
        <v>199</v>
      </c>
      <c r="B65" s="83">
        <f>floors!$C$2</f>
        <v>60027</v>
      </c>
      <c r="C65" s="84" t="str">
        <f ca="1">VLOOKUP($B65,OFFSET([2]quests!$A$1,0,0,COUNTA([2]quests!$A:$A),MATCH(C$1,[2]quests!$1:$1,0)-MATCH($B$1,[2]quests!$1:$1,0)+1),MATCH(C$1,[2]quests!$1:$1,0)-MATCH($B$1,[2]quests!$1:$1,0)+1,FALSE)</f>
        <v>チューリングチャレンジ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ランキング6（再開催）</v>
      </c>
      <c r="E65" s="87" t="s">
        <v>214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6">
        <v>10</v>
      </c>
      <c r="J65" s="85" t="s">
        <v>198</v>
      </c>
      <c r="K65" s="92" t="str">
        <f>VLOOKUP(I65,[7]stage_hints!$A:$C,3,FALSE)</f>
        <v>土日に大量のビットを獲得</v>
      </c>
      <c r="L65" s="93" t="str">
        <f>VLOOKUP(I65,[7]stage_hints!$A:$D,4,FALSE)</f>
        <v>土日限定の「ゴールドカジノ」では_x000D_売却素材ユニットが多く手に入ります</v>
      </c>
      <c r="M65" s="57" t="s">
        <v>209</v>
      </c>
    </row>
    <row r="66" spans="1:13" x14ac:dyDescent="0.15">
      <c r="A66" s="82" t="s">
        <v>199</v>
      </c>
      <c r="B66" s="83">
        <f>floors!$C$2</f>
        <v>60027</v>
      </c>
      <c r="C66" s="84" t="str">
        <f ca="1">VLOOKUP($B66,OFFSET([2]quests!$A$1,0,0,COUNTA([2]quests!$A:$A),MATCH(C$1,[2]quests!$1:$1,0)-MATCH($B$1,[2]quests!$1:$1,0)+1),MATCH(C$1,[2]quests!$1:$1,0)-MATCH($B$1,[2]quests!$1:$1,0)+1,FALSE)</f>
        <v>チューリングチャレンジ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ランキング6（再開催）</v>
      </c>
      <c r="E66" s="87" t="s">
        <v>214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6">
        <v>11</v>
      </c>
      <c r="J66" s="85" t="s">
        <v>198</v>
      </c>
      <c r="K66" s="92" t="str">
        <f>VLOOKUP(I66,[7]stage_hints!$A:$C,3,FALSE)</f>
        <v>ランク解放クエスト</v>
      </c>
      <c r="L66" s="93" t="str">
        <f>VLOOKUP(I66,[7]stage_hints!$A:$D,4,FALSE)</f>
        <v>一定ランクに到達すると_x000D_報酬付きのランク開放クエストが現れます</v>
      </c>
      <c r="M66" s="57" t="s">
        <v>209</v>
      </c>
    </row>
    <row r="67" spans="1:13" x14ac:dyDescent="0.15">
      <c r="A67" s="82" t="s">
        <v>199</v>
      </c>
      <c r="B67" s="83">
        <f>floors!$C$2</f>
        <v>60027</v>
      </c>
      <c r="C67" s="84" t="str">
        <f ca="1">VLOOKUP($B67,OFFSET([2]quests!$A$1,0,0,COUNTA([2]quests!$A:$A),MATCH(C$1,[2]quests!$1:$1,0)-MATCH($B$1,[2]quests!$1:$1,0)+1),MATCH(C$1,[2]quests!$1:$1,0)-MATCH($B$1,[2]quests!$1:$1,0)+1,FALSE)</f>
        <v>チューリングチャレンジ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ランキング6（再開催）</v>
      </c>
      <c r="E67" s="87" t="s">
        <v>214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6">
        <v>12</v>
      </c>
      <c r="J67" s="85" t="s">
        <v>198</v>
      </c>
      <c r="K67" s="92" t="str">
        <f>VLOOKUP(I67,[7]stage_hints!$A:$C,3,FALSE)</f>
        <v>ユニットのお気に入り登録</v>
      </c>
      <c r="L67" s="93" t="str">
        <f>VLOOKUP(I67,[7]stage_hints!$A:$D,4,FALSE)</f>
        <v>大事なユニットを誤って消さないように_x000D_フォルダから「お気に入り登録」しましょう</v>
      </c>
      <c r="M67" s="57" t="s">
        <v>209</v>
      </c>
    </row>
    <row r="68" spans="1:13" x14ac:dyDescent="0.15">
      <c r="A68" s="82" t="s">
        <v>199</v>
      </c>
      <c r="B68" s="83">
        <f>floors!$C$2</f>
        <v>60027</v>
      </c>
      <c r="C68" s="84" t="str">
        <f ca="1">VLOOKUP($B68,OFFSET([2]quests!$A$1,0,0,COUNTA([2]quests!$A:$A),MATCH(C$1,[2]quests!$1:$1,0)-MATCH($B$1,[2]quests!$1:$1,0)+1),MATCH(C$1,[2]quests!$1:$1,0)-MATCH($B$1,[2]quests!$1:$1,0)+1,FALSE)</f>
        <v>チューリングチャレンジ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ランキング6（再開催）</v>
      </c>
      <c r="E68" s="87" t="s">
        <v>214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6">
        <v>13</v>
      </c>
      <c r="J68" s="85" t="s">
        <v>198</v>
      </c>
      <c r="K68" s="92" t="str">
        <f>VLOOKUP(I68,[7]stage_hints!$A:$C,3,FALSE)</f>
        <v>ユニットの覚醒</v>
      </c>
      <c r="L68" s="93" t="str">
        <f>VLOOKUP(I68,[7]stage_hints!$A:$D,4,FALSE)</f>
        <v>ユニットを覚醒させると_x000D_比べものにならない強さが手に入ります</v>
      </c>
      <c r="M68" s="57" t="s">
        <v>209</v>
      </c>
    </row>
    <row r="69" spans="1:13" x14ac:dyDescent="0.15">
      <c r="A69" s="82" t="s">
        <v>199</v>
      </c>
      <c r="B69" s="83">
        <f>floors!$C$2</f>
        <v>60027</v>
      </c>
      <c r="C69" s="84" t="str">
        <f ca="1">VLOOKUP($B69,OFFSET([2]quests!$A$1,0,0,COUNTA([2]quests!$A:$A),MATCH(C$1,[2]quests!$1:$1,0)-MATCH($B$1,[2]quests!$1:$1,0)+1),MATCH(C$1,[2]quests!$1:$1,0)-MATCH($B$1,[2]quests!$1:$1,0)+1,FALSE)</f>
        <v>チューリングチャレンジ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ランキング6（再開催）</v>
      </c>
      <c r="E69" s="87" t="s">
        <v>214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6">
        <v>14</v>
      </c>
      <c r="J69" s="85" t="s">
        <v>198</v>
      </c>
      <c r="K69" s="92" t="str">
        <f>VLOOKUP(I69,[7]stage_hints!$A:$C,3,FALSE)</f>
        <v>覚醒するにはレベルを最大に</v>
      </c>
      <c r="L69" s="93" t="str">
        <f>VLOOKUP(I69,[7]stage_hints!$A:$D,4,FALSE)</f>
        <v>覚醒するにはユニットのレベルを_x000D_最大まで上げる必要があります</v>
      </c>
      <c r="M69" s="57" t="s">
        <v>209</v>
      </c>
    </row>
    <row r="70" spans="1:13" x14ac:dyDescent="0.15">
      <c r="A70" s="82" t="s">
        <v>199</v>
      </c>
      <c r="B70" s="83">
        <f>floors!$C$2</f>
        <v>60027</v>
      </c>
      <c r="C70" s="84" t="str">
        <f ca="1">VLOOKUP($B70,OFFSET([2]quests!$A$1,0,0,COUNTA([2]quests!$A:$A),MATCH(C$1,[2]quests!$1:$1,0)-MATCH($B$1,[2]quests!$1:$1,0)+1),MATCH(C$1,[2]quests!$1:$1,0)-MATCH($B$1,[2]quests!$1:$1,0)+1,FALSE)</f>
        <v>チューリングチャレンジ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ランキング6（再開催）</v>
      </c>
      <c r="E70" s="87" t="s">
        <v>214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6">
        <v>15</v>
      </c>
      <c r="J70" s="85" t="s">
        <v>198</v>
      </c>
      <c r="K70" s="92" t="str">
        <f>VLOOKUP(I70,[7]stage_hints!$A:$C,3,FALSE)</f>
        <v>覚醒素材を獲得</v>
      </c>
      <c r="L70" s="93" t="str">
        <f>VLOOKUP(I70,[7]stage_hints!$A:$D,4,FALSE)</f>
        <v>「曜日クエスト」では_x000D_ユニットの覚醒に必要な素材が手に入ります</v>
      </c>
      <c r="M70" s="57" t="s">
        <v>209</v>
      </c>
    </row>
    <row r="71" spans="1:13" x14ac:dyDescent="0.15">
      <c r="A71" s="82" t="s">
        <v>199</v>
      </c>
      <c r="B71" s="83">
        <f>floors!$C$2</f>
        <v>60027</v>
      </c>
      <c r="C71" s="84" t="str">
        <f ca="1">VLOOKUP($B71,OFFSET([2]quests!$A$1,0,0,COUNTA([2]quests!$A:$A),MATCH(C$1,[2]quests!$1:$1,0)-MATCH($B$1,[2]quests!$1:$1,0)+1),MATCH(C$1,[2]quests!$1:$1,0)-MATCH($B$1,[2]quests!$1:$1,0)+1,FALSE)</f>
        <v>チューリングチャレンジ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ランキング6（再開催）</v>
      </c>
      <c r="E71" s="87" t="s">
        <v>214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6">
        <v>16</v>
      </c>
      <c r="J71" s="85" t="s">
        <v>198</v>
      </c>
      <c r="K71" s="92" t="str">
        <f>VLOOKUP(I71,[7]stage_hints!$A:$C,3,FALSE)</f>
        <v>マルチプレイのメリット（その1）</v>
      </c>
      <c r="L71" s="93" t="str">
        <f>VLOOKUP(I71,[7]stage_hints!$A:$D,4,FALSE)</f>
        <v>他のプレイヤーとマルチプレイで遊ぶと_x000D_ポリゴンがもらえます（100人まで）</v>
      </c>
      <c r="M71" s="57" t="s">
        <v>209</v>
      </c>
    </row>
    <row r="72" spans="1:13" x14ac:dyDescent="0.15">
      <c r="A72" s="82" t="s">
        <v>199</v>
      </c>
      <c r="B72" s="83">
        <f>floors!$C$2</f>
        <v>60027</v>
      </c>
      <c r="C72" s="84" t="str">
        <f ca="1">VLOOKUP($B72,OFFSET([2]quests!$A$1,0,0,COUNTA([2]quests!$A:$A),MATCH(C$1,[2]quests!$1:$1,0)-MATCH($B$1,[2]quests!$1:$1,0)+1),MATCH(C$1,[2]quests!$1:$1,0)-MATCH($B$1,[2]quests!$1:$1,0)+1,FALSE)</f>
        <v>チューリングチャレンジ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ランキング6（再開催）</v>
      </c>
      <c r="E72" s="87" t="s">
        <v>214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6">
        <v>17</v>
      </c>
      <c r="J72" s="85" t="s">
        <v>198</v>
      </c>
      <c r="K72" s="92" t="str">
        <f>VLOOKUP(I72,[7]stage_hints!$A:$C,3,FALSE)</f>
        <v>リンクガチャ</v>
      </c>
      <c r="L72" s="93" t="str">
        <f>VLOOKUP(I72,[7]stage_hints!$A:$D,4,FALSE)</f>
        <v>無料のリンクガチャを回して_x000D_経験値素材や売却素材を獲得しましょう</v>
      </c>
      <c r="M72" s="57" t="s">
        <v>209</v>
      </c>
    </row>
    <row r="73" spans="1:13" x14ac:dyDescent="0.15">
      <c r="A73" s="82" t="s">
        <v>199</v>
      </c>
      <c r="B73" s="83">
        <f>floors!$C$2</f>
        <v>60027</v>
      </c>
      <c r="C73" s="84" t="str">
        <f ca="1">VLOOKUP($B73,OFFSET([2]quests!$A$1,0,0,COUNTA([2]quests!$A:$A),MATCH(C$1,[2]quests!$1:$1,0)-MATCH($B$1,[2]quests!$1:$1,0)+1),MATCH(C$1,[2]quests!$1:$1,0)-MATCH($B$1,[2]quests!$1:$1,0)+1,FALSE)</f>
        <v>チューリングチャレンジ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ランキング6（再開催）</v>
      </c>
      <c r="E73" s="87" t="s">
        <v>214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6">
        <v>18</v>
      </c>
      <c r="J73" s="85" t="s">
        <v>198</v>
      </c>
      <c r="K73" s="92" t="str">
        <f>VLOOKUP(I73,[7]stage_hints!$A:$C,3,FALSE)</f>
        <v>マルチプレイのメリット（その2）</v>
      </c>
      <c r="L73" s="93" t="str">
        <f>VLOOKUP(I73,[7]stage_hints!$A:$D,4,FALSE)</f>
        <v>マルチプレイならリンクが2倍もらえます_x000D_リンクガチャをたくさん回しましょう</v>
      </c>
      <c r="M73" s="57" t="s">
        <v>209</v>
      </c>
    </row>
    <row r="74" spans="1:13" x14ac:dyDescent="0.15">
      <c r="A74" s="82" t="s">
        <v>199</v>
      </c>
      <c r="B74" s="83">
        <f>floors!$C$2</f>
        <v>60027</v>
      </c>
      <c r="C74" s="84" t="str">
        <f ca="1">VLOOKUP($B74,OFFSET([2]quests!$A$1,0,0,COUNTA([2]quests!$A:$A),MATCH(C$1,[2]quests!$1:$1,0)-MATCH($B$1,[2]quests!$1:$1,0)+1),MATCH(C$1,[2]quests!$1:$1,0)-MATCH($B$1,[2]quests!$1:$1,0)+1,FALSE)</f>
        <v>チューリングチャレンジ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ランキング6（再開催）</v>
      </c>
      <c r="E74" s="87" t="s">
        <v>214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6">
        <v>19</v>
      </c>
      <c r="J74" s="85" t="s">
        <v>198</v>
      </c>
      <c r="K74" s="92" t="str">
        <f>VLOOKUP(I74,[7]stage_hints!$A:$C,3,FALSE)</f>
        <v>ソロ専用タワーオブザクイーン</v>
      </c>
      <c r="L74" s="93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209</v>
      </c>
    </row>
    <row r="75" spans="1:13" x14ac:dyDescent="0.15">
      <c r="A75" s="82" t="s">
        <v>199</v>
      </c>
      <c r="B75" s="83">
        <f>floors!$C$2</f>
        <v>60027</v>
      </c>
      <c r="C75" s="84" t="str">
        <f ca="1">VLOOKUP($B75,OFFSET([2]quests!$A$1,0,0,COUNTA([2]quests!$A:$A),MATCH(C$1,[2]quests!$1:$1,0)-MATCH($B$1,[2]quests!$1:$1,0)+1),MATCH(C$1,[2]quests!$1:$1,0)-MATCH($B$1,[2]quests!$1:$1,0)+1,FALSE)</f>
        <v>チューリングチャレンジ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ランキング6（再開催）</v>
      </c>
      <c r="E75" s="87" t="s">
        <v>214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6">
        <v>20</v>
      </c>
      <c r="J75" s="85" t="s">
        <v>198</v>
      </c>
      <c r="K75" s="92" t="str">
        <f>VLOOKUP(I75,[7]stage_hints!$A:$C,3,FALSE)</f>
        <v>マルチプレイのメリット（その3）</v>
      </c>
      <c r="L75" s="93" t="str">
        <f>VLOOKUP(I75,[7]stage_hints!$A:$D,4,FALSE)</f>
        <v>マルチプレイへの参加はエナジー消費ゼロ_x000D_いつでも好きなだけ遊ぶことができます</v>
      </c>
      <c r="M75" s="57" t="s">
        <v>209</v>
      </c>
    </row>
    <row r="76" spans="1:13" x14ac:dyDescent="0.15">
      <c r="A76" s="82" t="s">
        <v>199</v>
      </c>
      <c r="B76" s="83">
        <f>floors!$C$2</f>
        <v>60027</v>
      </c>
      <c r="C76" s="84" t="str">
        <f ca="1">VLOOKUP($B76,OFFSET([2]quests!$A$1,0,0,COUNTA([2]quests!$A:$A),MATCH(C$1,[2]quests!$1:$1,0)-MATCH($B$1,[2]quests!$1:$1,0)+1),MATCH(C$1,[2]quests!$1:$1,0)-MATCH($B$1,[2]quests!$1:$1,0)+1,FALSE)</f>
        <v>チューリングチャレンジ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ランキング6（再開催）</v>
      </c>
      <c r="E76" s="87" t="s">
        <v>214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6">
        <v>21</v>
      </c>
      <c r="J76" s="85" t="s">
        <v>198</v>
      </c>
      <c r="K76" s="92" t="str">
        <f>VLOOKUP(I76,[7]stage_hints!$A:$C,3,FALSE)</f>
        <v>スキルを有効に</v>
      </c>
      <c r="L76" s="93" t="str">
        <f>VLOOKUP(I76,[7]stage_hints!$A:$D,4,FALSE)</f>
        <v>ターン経過でユニットのスキルが使えます_x000D_強力スキルでバトルを有利に進めましょう</v>
      </c>
      <c r="M76" s="57" t="s">
        <v>209</v>
      </c>
    </row>
    <row r="77" spans="1:13" x14ac:dyDescent="0.15">
      <c r="A77" s="82" t="s">
        <v>199</v>
      </c>
      <c r="B77" s="83">
        <f>floors!$C$2</f>
        <v>60027</v>
      </c>
      <c r="C77" s="84" t="str">
        <f ca="1">VLOOKUP($B77,OFFSET([2]quests!$A$1,0,0,COUNTA([2]quests!$A:$A),MATCH(C$1,[2]quests!$1:$1,0)-MATCH($B$1,[2]quests!$1:$1,0)+1),MATCH(C$1,[2]quests!$1:$1,0)-MATCH($B$1,[2]quests!$1:$1,0)+1,FALSE)</f>
        <v>チューリングチャレンジ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ランキング6（再開催）</v>
      </c>
      <c r="E77" s="87" t="s">
        <v>214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6">
        <v>22</v>
      </c>
      <c r="J77" s="85" t="s">
        <v>198</v>
      </c>
      <c r="K77" s="92" t="str">
        <f>VLOOKUP(I77,[7]stage_hints!$A:$C,3,FALSE)</f>
        <v>フィーバーで一発逆転（その1）</v>
      </c>
      <c r="L77" s="93" t="str">
        <f>VLOOKUP(I77,[7]stage_hints!$A:$D,4,FALSE)</f>
        <v>フィーバーは攻撃と回復を兼ね備えます_x000D_ピンチからの一発逆転を狙いましょう</v>
      </c>
      <c r="M77" s="57" t="s">
        <v>209</v>
      </c>
    </row>
    <row r="78" spans="1:13" x14ac:dyDescent="0.15">
      <c r="A78" s="82" t="s">
        <v>199</v>
      </c>
      <c r="B78" s="83">
        <f>floors!$C$2</f>
        <v>60027</v>
      </c>
      <c r="C78" s="84" t="str">
        <f ca="1">VLOOKUP($B78,OFFSET([2]quests!$A$1,0,0,COUNTA([2]quests!$A:$A),MATCH(C$1,[2]quests!$1:$1,0)-MATCH($B$1,[2]quests!$1:$1,0)+1),MATCH(C$1,[2]quests!$1:$1,0)-MATCH($B$1,[2]quests!$1:$1,0)+1,FALSE)</f>
        <v>チューリングチャレンジ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ランキング6（再開催）</v>
      </c>
      <c r="E78" s="87" t="s">
        <v>214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6">
        <v>23</v>
      </c>
      <c r="J78" s="85" t="s">
        <v>198</v>
      </c>
      <c r="K78" s="92" t="str">
        <f>VLOOKUP(I78,[7]stage_hints!$A:$C,3,FALSE)</f>
        <v>フィーバーで一発逆転（その2）</v>
      </c>
      <c r="L78" s="93" t="str">
        <f>VLOOKUP(I78,[7]stage_hints!$A:$D,4,FALSE)</f>
        <v>フィーバー中は虹色のボムパネルを狙って_x000D_画面上のパネルを一気に破壊しましょう</v>
      </c>
      <c r="M78" s="57" t="s">
        <v>209</v>
      </c>
    </row>
    <row r="79" spans="1:13" x14ac:dyDescent="0.15">
      <c r="A79" s="82" t="s">
        <v>199</v>
      </c>
      <c r="B79" s="83">
        <f>floors!$C$2</f>
        <v>60027</v>
      </c>
      <c r="C79" s="84" t="str">
        <f ca="1">VLOOKUP($B79,OFFSET([2]quests!$A$1,0,0,COUNTA([2]quests!$A:$A),MATCH(C$1,[2]quests!$1:$1,0)-MATCH($B$1,[2]quests!$1:$1,0)+1),MATCH(C$1,[2]quests!$1:$1,0)-MATCH($B$1,[2]quests!$1:$1,0)+1,FALSE)</f>
        <v>チューリングチャレンジ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ランキング6（再開催）</v>
      </c>
      <c r="E79" s="87" t="s">
        <v>214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6">
        <v>24</v>
      </c>
      <c r="J79" s="85" t="s">
        <v>198</v>
      </c>
      <c r="K79" s="92" t="str">
        <f>VLOOKUP(I79,[7]stage_hints!$A:$C,3,FALSE)</f>
        <v>りんごを使って限界突破</v>
      </c>
      <c r="L79" s="93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209</v>
      </c>
    </row>
    <row r="80" spans="1:13" x14ac:dyDescent="0.15">
      <c r="A80" s="82" t="s">
        <v>199</v>
      </c>
      <c r="B80" s="83">
        <f>floors!$C$2</f>
        <v>60027</v>
      </c>
      <c r="C80" s="84" t="str">
        <f ca="1">VLOOKUP($B80,OFFSET([2]quests!$A$1,0,0,COUNTA([2]quests!$A:$A),MATCH(C$1,[2]quests!$1:$1,0)-MATCH($B$1,[2]quests!$1:$1,0)+1),MATCH(C$1,[2]quests!$1:$1,0)-MATCH($B$1,[2]quests!$1:$1,0)+1,FALSE)</f>
        <v>チューリングチャレンジ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ランキング6（再開催）</v>
      </c>
      <c r="E80" s="87" t="s">
        <v>214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6">
        <v>25</v>
      </c>
      <c r="J80" s="85" t="s">
        <v>198</v>
      </c>
      <c r="K80" s="92" t="str">
        <f>VLOOKUP(I80,[7]stage_hints!$A:$C,3,FALSE)</f>
        <v>スキルレベルアップ</v>
      </c>
      <c r="L80" s="93" t="str">
        <f>VLOOKUP(I80,[7]stage_hints!$A:$D,4,FALSE)</f>
        <v>「クリスタルのりんご」を強化に使うと_x000D_スキルレベルを上げることができます</v>
      </c>
      <c r="M80" s="57" t="s">
        <v>209</v>
      </c>
    </row>
    <row r="81" spans="1:13" x14ac:dyDescent="0.15">
      <c r="A81" s="82" t="s">
        <v>199</v>
      </c>
      <c r="B81" s="83">
        <f>floors!$C$2</f>
        <v>60027</v>
      </c>
      <c r="C81" s="84" t="str">
        <f ca="1">VLOOKUP($B81,OFFSET([2]quests!$A$1,0,0,COUNTA([2]quests!$A:$A),MATCH(C$1,[2]quests!$1:$1,0)-MATCH($B$1,[2]quests!$1:$1,0)+1),MATCH(C$1,[2]quests!$1:$1,0)-MATCH($B$1,[2]quests!$1:$1,0)+1,FALSE)</f>
        <v>チューリングチャレンジ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ランキング6（再開催）</v>
      </c>
      <c r="E81" s="87" t="s">
        <v>214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6">
        <v>26</v>
      </c>
      <c r="J81" s="85" t="s">
        <v>198</v>
      </c>
      <c r="K81" s="92" t="str">
        <f>VLOOKUP(I81,[7]stage_hints!$A:$C,3,FALSE)</f>
        <v>スキルレベルの効果</v>
      </c>
      <c r="L81" s="93" t="str">
        <f>VLOOKUP(I81,[7]stage_hints!$A:$D,4,FALSE)</f>
        <v>スキルレベルが上がると_x000D_短いターンでスキルを使うことができます</v>
      </c>
      <c r="M81" s="57" t="s">
        <v>209</v>
      </c>
    </row>
    <row r="82" spans="1:13" x14ac:dyDescent="0.15">
      <c r="A82" s="82" t="s">
        <v>199</v>
      </c>
      <c r="B82" s="83">
        <f>floors!$C$2</f>
        <v>60027</v>
      </c>
      <c r="C82" s="84" t="str">
        <f ca="1">VLOOKUP($B82,OFFSET([2]quests!$A$1,0,0,COUNTA([2]quests!$A:$A),MATCH(C$1,[2]quests!$1:$1,0)-MATCH($B$1,[2]quests!$1:$1,0)+1),MATCH(C$1,[2]quests!$1:$1,0)-MATCH($B$1,[2]quests!$1:$1,0)+1,FALSE)</f>
        <v>チューリングチャレンジ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ランキング6（再開催）</v>
      </c>
      <c r="E82" s="87" t="s">
        <v>214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6">
        <v>27</v>
      </c>
      <c r="J82" s="85" t="s">
        <v>198</v>
      </c>
      <c r="K82" s="92" t="str">
        <f>VLOOKUP(I82,[7]stage_hints!$A:$C,3,FALSE)</f>
        <v>ホーム画面からデッキを編成</v>
      </c>
      <c r="L82" s="93" t="str">
        <f>VLOOKUP(I82,[7]stage_hints!$A:$D,4,FALSE)</f>
        <v>ホーム画面でユニットを長押しすると_x000D_すぐにパーティ編成に移動できます</v>
      </c>
      <c r="M82" s="57" t="s">
        <v>209</v>
      </c>
    </row>
    <row r="83" spans="1:13" x14ac:dyDescent="0.15">
      <c r="A83" s="82" t="s">
        <v>199</v>
      </c>
      <c r="B83" s="83">
        <f>floors!$C$2</f>
        <v>60027</v>
      </c>
      <c r="C83" s="84" t="str">
        <f ca="1">VLOOKUP($B83,OFFSET([2]quests!$A$1,0,0,COUNTA([2]quests!$A:$A),MATCH(C$1,[2]quests!$1:$1,0)-MATCH($B$1,[2]quests!$1:$1,0)+1),MATCH(C$1,[2]quests!$1:$1,0)-MATCH($B$1,[2]quests!$1:$1,0)+1,FALSE)</f>
        <v>チューリングチャレンジ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ランキング6（再開催）</v>
      </c>
      <c r="E83" s="87" t="s">
        <v>214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6">
        <v>28</v>
      </c>
      <c r="J83" s="85" t="s">
        <v>198</v>
      </c>
      <c r="K83" s="92" t="str">
        <f>VLOOKUP(I83,[7]stage_hints!$A:$C,3,FALSE)</f>
        <v>ステータス情報は長押しで</v>
      </c>
      <c r="L83" s="93" t="str">
        <f>VLOOKUP(I83,[7]stage_hints!$A:$D,4,FALSE)</f>
        <v>ユニットのアイコンを長押しすると_x000D_ステータス情報を確認することができます</v>
      </c>
      <c r="M83" s="57" t="s">
        <v>209</v>
      </c>
    </row>
    <row r="84" spans="1:13" x14ac:dyDescent="0.15">
      <c r="A84" s="82" t="s">
        <v>199</v>
      </c>
      <c r="B84" s="83">
        <f>floors!$C$2</f>
        <v>60027</v>
      </c>
      <c r="C84" s="84" t="str">
        <f ca="1">VLOOKUP($B84,OFFSET([2]quests!$A$1,0,0,COUNTA([2]quests!$A:$A),MATCH(C$1,[2]quests!$1:$1,0)-MATCH($B$1,[2]quests!$1:$1,0)+1),MATCH(C$1,[2]quests!$1:$1,0)-MATCH($B$1,[2]quests!$1:$1,0)+1,FALSE)</f>
        <v>チューリングチャレンジ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ランキング6（再開催）</v>
      </c>
      <c r="E84" s="87" t="s">
        <v>214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6">
        <v>29</v>
      </c>
      <c r="J84" s="85" t="s">
        <v>198</v>
      </c>
      <c r="K84" s="92" t="str">
        <f>VLOOKUP(I84,[7]stage_hints!$A:$C,3,FALSE)</f>
        <v>「バグ」のメリット</v>
      </c>
      <c r="L84" s="93" t="str">
        <f>VLOOKUP(I84,[7]stage_hints!$A:$D,4,FALSE)</f>
        <v>ユニットの「バグ」を増やすと_x000D_報酬をもらえる確率がアップします</v>
      </c>
      <c r="M84" s="57" t="s">
        <v>209</v>
      </c>
    </row>
    <row r="85" spans="1:13" x14ac:dyDescent="0.15">
      <c r="A85" s="82" t="s">
        <v>199</v>
      </c>
      <c r="B85" s="83">
        <f>floors!$C$2</f>
        <v>60027</v>
      </c>
      <c r="C85" s="84" t="str">
        <f ca="1">VLOOKUP($B85,OFFSET([2]quests!$A$1,0,0,COUNTA([2]quests!$A:$A),MATCH(C$1,[2]quests!$1:$1,0)-MATCH($B$1,[2]quests!$1:$1,0)+1),MATCH(C$1,[2]quests!$1:$1,0)-MATCH($B$1,[2]quests!$1:$1,0)+1,FALSE)</f>
        <v>チューリングチャレンジ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ランキング6（再開催）</v>
      </c>
      <c r="E85" s="87" t="s">
        <v>214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6">
        <v>30</v>
      </c>
      <c r="J85" s="85" t="s">
        <v>198</v>
      </c>
      <c r="K85" s="92" t="str">
        <f>VLOOKUP(I85,[7]stage_hints!$A:$C,3,FALSE)</f>
        <v>「バグ」の増やし方</v>
      </c>
      <c r="L85" s="93" t="str">
        <f>VLOOKUP(I85,[7]stage_hints!$A:$D,4,FALSE)</f>
        <v>同じユニット同士を強化で合成すると_x000D_「バグ」を増やすことができます</v>
      </c>
      <c r="M85" s="57" t="s">
        <v>209</v>
      </c>
    </row>
    <row r="86" spans="1:13" x14ac:dyDescent="0.15">
      <c r="A86" s="82" t="s">
        <v>199</v>
      </c>
      <c r="B86" s="83">
        <f>floors!$C$2</f>
        <v>60027</v>
      </c>
      <c r="C86" s="84" t="str">
        <f ca="1">VLOOKUP($B86,OFFSET([2]quests!$A$1,0,0,COUNTA([2]quests!$A:$A),MATCH(C$1,[2]quests!$1:$1,0)-MATCH($B$1,[2]quests!$1:$1,0)+1),MATCH(C$1,[2]quests!$1:$1,0)-MATCH($B$1,[2]quests!$1:$1,0)+1,FALSE)</f>
        <v>チューリングチャレンジ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ランキング6（再開催）</v>
      </c>
      <c r="E86" s="87" t="s">
        <v>214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6">
        <v>31</v>
      </c>
      <c r="J86" s="85" t="s">
        <v>198</v>
      </c>
      <c r="K86" s="92" t="str">
        <f>VLOOKUP(I86,[7]stage_hints!$A:$C,3,FALSE)</f>
        <v>イベントはお知らせでチェック</v>
      </c>
      <c r="L86" s="93" t="str">
        <f>VLOOKUP(I86,[7]stage_hints!$A:$D,4,FALSE)</f>
        <v>イベント限定ユニットを取り忘れないように_x000D_お知らせをこまめにチェックしましょう</v>
      </c>
      <c r="M86" s="57" t="s">
        <v>209</v>
      </c>
    </row>
    <row r="87" spans="1:13" x14ac:dyDescent="0.15">
      <c r="A87" s="82" t="s">
        <v>199</v>
      </c>
      <c r="B87" s="83">
        <f>floors!$C$2</f>
        <v>60027</v>
      </c>
      <c r="C87" s="84" t="str">
        <f ca="1">VLOOKUP($B87,OFFSET([2]quests!$A$1,0,0,COUNTA([2]quests!$A:$A),MATCH(C$1,[2]quests!$1:$1,0)-MATCH($B$1,[2]quests!$1:$1,0)+1),MATCH(C$1,[2]quests!$1:$1,0)-MATCH($B$1,[2]quests!$1:$1,0)+1,FALSE)</f>
        <v>チューリングチャレンジ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ランキング6（再開催）</v>
      </c>
      <c r="E87" s="87" t="s">
        <v>214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6">
        <v>32</v>
      </c>
      <c r="J87" s="85" t="s">
        <v>198</v>
      </c>
      <c r="K87" s="92" t="str">
        <f>VLOOKUP(I87,[7]stage_hints!$A:$C,3,FALSE)</f>
        <v>敵の連続攻撃には</v>
      </c>
      <c r="L87" s="93" t="str">
        <f>VLOOKUP(I87,[7]stage_hints!$A:$D,4,FALSE)</f>
        <v>カウンタースキルを持つユニットがいれば_x000D_ダメージ回数分の反撃ができます</v>
      </c>
      <c r="M87" s="57" t="s">
        <v>209</v>
      </c>
    </row>
    <row r="88" spans="1:13" x14ac:dyDescent="0.15">
      <c r="A88" s="82" t="s">
        <v>199</v>
      </c>
      <c r="B88" s="83">
        <f>floors!$C$2</f>
        <v>60027</v>
      </c>
      <c r="C88" s="84" t="str">
        <f ca="1">VLOOKUP($B88,OFFSET([2]quests!$A$1,0,0,COUNTA([2]quests!$A:$A),MATCH(C$1,[2]quests!$1:$1,0)-MATCH($B$1,[2]quests!$1:$1,0)+1),MATCH(C$1,[2]quests!$1:$1,0)-MATCH($B$1,[2]quests!$1:$1,0)+1,FALSE)</f>
        <v>チューリングチャレンジ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ランキング6（再開催）</v>
      </c>
      <c r="E88" s="87" t="s">
        <v>214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6">
        <v>33</v>
      </c>
      <c r="J88" s="85" t="s">
        <v>198</v>
      </c>
      <c r="K88" s="92" t="str">
        <f>VLOOKUP(I88,[7]stage_hints!$A:$C,3,FALSE)</f>
        <v>敵のカウンター攻撃には</v>
      </c>
      <c r="L88" s="93" t="str">
        <f>VLOOKUP(I88,[7]stage_hints!$A:$D,4,FALSE)</f>
        <v>カウンターブレイクスキルを持っていれば_x000D_敵のカウンターを解除して攻撃ができます</v>
      </c>
      <c r="M88" s="57" t="s">
        <v>209</v>
      </c>
    </row>
    <row r="89" spans="1:13" x14ac:dyDescent="0.15">
      <c r="A89" s="82" t="s">
        <v>199</v>
      </c>
      <c r="B89" s="83">
        <f>floors!$C$2</f>
        <v>60027</v>
      </c>
      <c r="C89" s="84" t="str">
        <f ca="1">VLOOKUP($B89,OFFSET([2]quests!$A$1,0,0,COUNTA([2]quests!$A:$A),MATCH(C$1,[2]quests!$1:$1,0)-MATCH($B$1,[2]quests!$1:$1,0)+1),MATCH(C$1,[2]quests!$1:$1,0)-MATCH($B$1,[2]quests!$1:$1,0)+1,FALSE)</f>
        <v>チューリングチャレンジ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ランキング6（再開催）</v>
      </c>
      <c r="E89" s="87" t="s">
        <v>214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6">
        <v>34</v>
      </c>
      <c r="J89" s="85" t="s">
        <v>198</v>
      </c>
      <c r="K89" s="92" t="str">
        <f>VLOOKUP(I89,[7]stage_hints!$A:$C,3,FALSE)</f>
        <v>ステータスをスキルで下げられたら</v>
      </c>
      <c r="L89" s="93" t="str">
        <f>VLOOKUP(I89,[7]stage_hints!$A:$D,4,FALSE)</f>
        <v>ステータスダウンのスキルを受けたら_x000D_ステータスアップスキルで上書きしましょう</v>
      </c>
      <c r="M89" s="57" t="s">
        <v>209</v>
      </c>
    </row>
    <row r="90" spans="1:13" x14ac:dyDescent="0.15">
      <c r="A90" s="82" t="s">
        <v>199</v>
      </c>
      <c r="B90" s="83">
        <f>floors!$C$2</f>
        <v>60027</v>
      </c>
      <c r="C90" s="84" t="str">
        <f ca="1">VLOOKUP($B90,OFFSET([2]quests!$A$1,0,0,COUNTA([2]quests!$A:$A),MATCH(C$1,[2]quests!$1:$1,0)-MATCH($B$1,[2]quests!$1:$1,0)+1),MATCH(C$1,[2]quests!$1:$1,0)-MATCH($B$1,[2]quests!$1:$1,0)+1,FALSE)</f>
        <v>チューリングチャレンジ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ランキング6（再開催）</v>
      </c>
      <c r="E90" s="87" t="s">
        <v>214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6">
        <v>35</v>
      </c>
      <c r="J90" s="85" t="s">
        <v>198</v>
      </c>
      <c r="K90" s="92" t="str">
        <f>VLOOKUP(I90,[7]stage_hints!$A:$C,3,FALSE)</f>
        <v>敵のステータスがスキルで上がったら</v>
      </c>
      <c r="L90" s="93" t="str">
        <f>VLOOKUP(I90,[7]stage_hints!$A:$D,4,FALSE)</f>
        <v>敵のステータスがスキルでアップしたときは_x000D_ステータスダウンスキルで上書きしましょう</v>
      </c>
      <c r="M90" s="57" t="s">
        <v>209</v>
      </c>
    </row>
    <row r="91" spans="1:13" x14ac:dyDescent="0.15">
      <c r="A91" s="82" t="s">
        <v>199</v>
      </c>
      <c r="B91" s="83">
        <f>floors!$C$2</f>
        <v>60027</v>
      </c>
      <c r="C91" s="84" t="str">
        <f ca="1">VLOOKUP($B91,OFFSET([2]quests!$A$1,0,0,COUNTA([2]quests!$A:$A),MATCH(C$1,[2]quests!$1:$1,0)-MATCH($B$1,[2]quests!$1:$1,0)+1),MATCH(C$1,[2]quests!$1:$1,0)-MATCH($B$1,[2]quests!$1:$1,0)+1,FALSE)</f>
        <v>チューリングチャレンジ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ランキング6（再開催）</v>
      </c>
      <c r="E91" s="87" t="s">
        <v>214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6">
        <v>36</v>
      </c>
      <c r="J91" s="85" t="s">
        <v>198</v>
      </c>
      <c r="K91" s="92" t="str">
        <f>VLOOKUP(I91,[7]stage_hints!$A:$C,3,FALSE)</f>
        <v>タワーオブザクイーンのボス</v>
      </c>
      <c r="L91" s="93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209</v>
      </c>
    </row>
    <row r="92" spans="1:13" x14ac:dyDescent="0.15">
      <c r="A92" s="82" t="s">
        <v>199</v>
      </c>
      <c r="B92" s="83">
        <f>floors!$C$2</f>
        <v>60027</v>
      </c>
      <c r="C92" s="84" t="str">
        <f ca="1">VLOOKUP($B92,OFFSET([2]quests!$A$1,0,0,COUNTA([2]quests!$A:$A),MATCH(C$1,[2]quests!$1:$1,0)-MATCH($B$1,[2]quests!$1:$1,0)+1),MATCH(C$1,[2]quests!$1:$1,0)-MATCH($B$1,[2]quests!$1:$1,0)+1,FALSE)</f>
        <v>チューリングチャレンジ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ランキング6（再開催）</v>
      </c>
      <c r="E92" s="87" t="s">
        <v>214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6">
        <v>37</v>
      </c>
      <c r="J92" s="85" t="s">
        <v>198</v>
      </c>
      <c r="K92" s="92" t="str">
        <f>VLOOKUP(I92,[7]stage_hints!$A:$C,3,FALSE)</f>
        <v>限界突破値の引き継ぎ</v>
      </c>
      <c r="L92" s="93" t="str">
        <f>VLOOKUP(I92,[7]stage_hints!$A:$D,4,FALSE)</f>
        <v>同じユニットを強化で合成すると_x000D_限界突破値を引き継げます（覚醒前後も可）</v>
      </c>
      <c r="M92" s="57" t="s">
        <v>209</v>
      </c>
    </row>
    <row r="93" spans="1:13" x14ac:dyDescent="0.15">
      <c r="A93" s="82" t="s">
        <v>199</v>
      </c>
      <c r="B93" s="83">
        <f>floors!$C$2</f>
        <v>60027</v>
      </c>
      <c r="C93" s="84" t="str">
        <f ca="1">VLOOKUP($B93,OFFSET([2]quests!$A$1,0,0,COUNTA([2]quests!$A:$A),MATCH(C$1,[2]quests!$1:$1,0)-MATCH($B$1,[2]quests!$1:$1,0)+1),MATCH(C$1,[2]quests!$1:$1,0)-MATCH($B$1,[2]quests!$1:$1,0)+1,FALSE)</f>
        <v>チューリングチャレンジ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ランキング6（再開催）</v>
      </c>
      <c r="E93" s="87" t="s">
        <v>214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6">
        <v>39</v>
      </c>
      <c r="J93" s="85" t="s">
        <v>198</v>
      </c>
      <c r="K93" s="92" t="str">
        <f>VLOOKUP(I93,[7]stage_hints!$A:$C,3,FALSE)</f>
        <v>システム適合者を確認</v>
      </c>
      <c r="L93" s="93" t="str">
        <f>VLOOKUP(I93,[7]stage_hints!$A:$D,4,FALSE)</f>
        <v>ALICEが 「アナタ」を呼んでいます</v>
      </c>
      <c r="M93" s="57" t="s">
        <v>209</v>
      </c>
    </row>
    <row r="94" spans="1:13" x14ac:dyDescent="0.15">
      <c r="A94" s="82" t="s">
        <v>199</v>
      </c>
      <c r="B94" s="83">
        <f>floors!$C$2</f>
        <v>60027</v>
      </c>
      <c r="C94" s="84" t="str">
        <f ca="1">VLOOKUP($B94,OFFSET([2]quests!$A$1,0,0,COUNTA([2]quests!$A:$A),MATCH(C$1,[2]quests!$1:$1,0)-MATCH($B$1,[2]quests!$1:$1,0)+1),MATCH(C$1,[2]quests!$1:$1,0)-MATCH($B$1,[2]quests!$1:$1,0)+1,FALSE)</f>
        <v>チューリングチャレンジ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ランキング6（再開催）</v>
      </c>
      <c r="E94" s="87" t="s">
        <v>215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198</v>
      </c>
      <c r="K94" s="92" t="str">
        <f>VLOOKUP(I94,[7]stage_hints!$A:$C,3,FALSE)</f>
        <v>ユニットのお気に入り登録</v>
      </c>
      <c r="L94" s="93" t="str">
        <f>VLOOKUP(I94,[7]stage_hints!$A:$D,4,FALSE)</f>
        <v>大事なユニットを誤って消さないように_x000D_フォルダから「お気に入り登録」しましょう</v>
      </c>
      <c r="M94" s="57" t="s">
        <v>209</v>
      </c>
    </row>
    <row r="95" spans="1:13" x14ac:dyDescent="0.15">
      <c r="A95" s="82" t="s">
        <v>199</v>
      </c>
      <c r="B95" s="83">
        <f>floors!$C$2</f>
        <v>60027</v>
      </c>
      <c r="C95" s="84" t="str">
        <f ca="1">VLOOKUP($B95,OFFSET([2]quests!$A$1,0,0,COUNTA([2]quests!$A:$A),MATCH(C$1,[2]quests!$1:$1,0)-MATCH($B$1,[2]quests!$1:$1,0)+1),MATCH(C$1,[2]quests!$1:$1,0)-MATCH($B$1,[2]quests!$1:$1,0)+1,FALSE)</f>
        <v>チューリングチャレンジ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ランキング6（再開催）</v>
      </c>
      <c r="E95" s="87" t="s">
        <v>215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198</v>
      </c>
      <c r="K95" s="92" t="str">
        <f>VLOOKUP(I95,[7]stage_hints!$A:$C,3,FALSE)</f>
        <v>リンクガチャ</v>
      </c>
      <c r="L95" s="93" t="str">
        <f>VLOOKUP(I95,[7]stage_hints!$A:$D,4,FALSE)</f>
        <v>無料のリンクガチャを回して_x000D_経験値素材や売却素材を獲得しましょう</v>
      </c>
      <c r="M95" s="57" t="s">
        <v>209</v>
      </c>
    </row>
    <row r="96" spans="1:13" x14ac:dyDescent="0.15">
      <c r="A96" s="82" t="s">
        <v>199</v>
      </c>
      <c r="B96" s="83">
        <f>floors!$C$2</f>
        <v>60027</v>
      </c>
      <c r="C96" s="84" t="str">
        <f ca="1">VLOOKUP($B96,OFFSET([2]quests!$A$1,0,0,COUNTA([2]quests!$A:$A),MATCH(C$1,[2]quests!$1:$1,0)-MATCH($B$1,[2]quests!$1:$1,0)+1),MATCH(C$1,[2]quests!$1:$1,0)-MATCH($B$1,[2]quests!$1:$1,0)+1,FALSE)</f>
        <v>チューリングチャレンジ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ランキング6（再開催）</v>
      </c>
      <c r="E96" s="87" t="s">
        <v>215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198</v>
      </c>
      <c r="K96" s="92" t="str">
        <f>VLOOKUP(I96,[7]stage_hints!$A:$C,3,FALSE)</f>
        <v>ソロ専用タワーオブザクイーン</v>
      </c>
      <c r="L96" s="93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209</v>
      </c>
    </row>
    <row r="97" spans="1:13" x14ac:dyDescent="0.15">
      <c r="A97" s="82" t="s">
        <v>199</v>
      </c>
      <c r="B97" s="83">
        <f>floors!$C$2</f>
        <v>60027</v>
      </c>
      <c r="C97" s="84" t="str">
        <f ca="1">VLOOKUP($B97,OFFSET([2]quests!$A$1,0,0,COUNTA([2]quests!$A:$A),MATCH(C$1,[2]quests!$1:$1,0)-MATCH($B$1,[2]quests!$1:$1,0)+1),MATCH(C$1,[2]quests!$1:$1,0)-MATCH($B$1,[2]quests!$1:$1,0)+1,FALSE)</f>
        <v>チューリングチャレンジ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ランキング6（再開催）</v>
      </c>
      <c r="E97" s="87" t="s">
        <v>215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198</v>
      </c>
      <c r="K97" s="92" t="str">
        <f>VLOOKUP(I97,[7]stage_hints!$A:$C,3,FALSE)</f>
        <v>スキルを有効に</v>
      </c>
      <c r="L97" s="93" t="str">
        <f>VLOOKUP(I97,[7]stage_hints!$A:$D,4,FALSE)</f>
        <v>ターン経過でユニットのスキルが使えます_x000D_強力スキルでバトルを有利に進めましょう</v>
      </c>
      <c r="M97" s="57" t="s">
        <v>209</v>
      </c>
    </row>
    <row r="98" spans="1:13" x14ac:dyDescent="0.15">
      <c r="A98" s="82" t="s">
        <v>199</v>
      </c>
      <c r="B98" s="83">
        <f>floors!$C$2</f>
        <v>60027</v>
      </c>
      <c r="C98" s="84" t="str">
        <f ca="1">VLOOKUP($B98,OFFSET([2]quests!$A$1,0,0,COUNTA([2]quests!$A:$A),MATCH(C$1,[2]quests!$1:$1,0)-MATCH($B$1,[2]quests!$1:$1,0)+1),MATCH(C$1,[2]quests!$1:$1,0)-MATCH($B$1,[2]quests!$1:$1,0)+1,FALSE)</f>
        <v>チューリングチャレンジ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ランキング6（再開催）</v>
      </c>
      <c r="E98" s="87" t="s">
        <v>215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198</v>
      </c>
      <c r="K98" s="92" t="str">
        <f>VLOOKUP(I98,[7]stage_hints!$A:$C,3,FALSE)</f>
        <v>ホーム画面からデッキを編成</v>
      </c>
      <c r="L98" s="93" t="str">
        <f>VLOOKUP(I98,[7]stage_hints!$A:$D,4,FALSE)</f>
        <v>ホーム画面でユニットを長押しすると_x000D_すぐにパーティ編成に移動できます</v>
      </c>
      <c r="M98" s="57" t="s">
        <v>209</v>
      </c>
    </row>
    <row r="99" spans="1:13" x14ac:dyDescent="0.15">
      <c r="A99" s="82" t="s">
        <v>199</v>
      </c>
      <c r="B99" s="83">
        <f>floors!$C$2</f>
        <v>60027</v>
      </c>
      <c r="C99" s="84" t="str">
        <f ca="1">VLOOKUP($B99,OFFSET([2]quests!$A$1,0,0,COUNTA([2]quests!$A:$A),MATCH(C$1,[2]quests!$1:$1,0)-MATCH($B$1,[2]quests!$1:$1,0)+1),MATCH(C$1,[2]quests!$1:$1,0)-MATCH($B$1,[2]quests!$1:$1,0)+1,FALSE)</f>
        <v>チューリングチャレンジ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ランキング6（再開催）</v>
      </c>
      <c r="E99" s="87" t="s">
        <v>215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198</v>
      </c>
      <c r="K99" s="92" t="str">
        <f>VLOOKUP(I99,[7]stage_hints!$A:$C,3,FALSE)</f>
        <v>ステータス情報は長押しで</v>
      </c>
      <c r="L99" s="93" t="str">
        <f>VLOOKUP(I99,[7]stage_hints!$A:$D,4,FALSE)</f>
        <v>ユニットのアイコンを長押しすると_x000D_ステータス情報を確認することができます</v>
      </c>
      <c r="M99" s="57" t="s">
        <v>209</v>
      </c>
    </row>
    <row r="100" spans="1:13" x14ac:dyDescent="0.15">
      <c r="A100" s="82" t="s">
        <v>199</v>
      </c>
      <c r="B100" s="83">
        <f>floors!$C$2</f>
        <v>60027</v>
      </c>
      <c r="C100" s="84" t="str">
        <f ca="1">VLOOKUP($B100,OFFSET([2]quests!$A$1,0,0,COUNTA([2]quests!$A:$A),MATCH(C$1,[2]quests!$1:$1,0)-MATCH($B$1,[2]quests!$1:$1,0)+1),MATCH(C$1,[2]quests!$1:$1,0)-MATCH($B$1,[2]quests!$1:$1,0)+1,FALSE)</f>
        <v>チューリングチャレンジ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ランキング6（再開催）</v>
      </c>
      <c r="E100" s="87" t="s">
        <v>215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198</v>
      </c>
      <c r="K100" s="92" t="str">
        <f>VLOOKUP(I100,[7]stage_hints!$A:$C,3,FALSE)</f>
        <v>「バグ」のメリット</v>
      </c>
      <c r="L100" s="93" t="str">
        <f>VLOOKUP(I100,[7]stage_hints!$A:$D,4,FALSE)</f>
        <v>ユニットの「バグ」を増やすと_x000D_報酬をもらえる確率がアップします</v>
      </c>
      <c r="M100" s="57" t="s">
        <v>209</v>
      </c>
    </row>
    <row r="101" spans="1:13" x14ac:dyDescent="0.15">
      <c r="A101" s="82" t="s">
        <v>199</v>
      </c>
      <c r="B101" s="83">
        <f>floors!$C$2</f>
        <v>60027</v>
      </c>
      <c r="C101" s="84" t="str">
        <f ca="1">VLOOKUP($B101,OFFSET([2]quests!$A$1,0,0,COUNTA([2]quests!$A:$A),MATCH(C$1,[2]quests!$1:$1,0)-MATCH($B$1,[2]quests!$1:$1,0)+1),MATCH(C$1,[2]quests!$1:$1,0)-MATCH($B$1,[2]quests!$1:$1,0)+1,FALSE)</f>
        <v>チューリングチャレンジ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ランキング6（再開催）</v>
      </c>
      <c r="E101" s="87" t="s">
        <v>215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198</v>
      </c>
      <c r="K101" s="92" t="str">
        <f>VLOOKUP(I101,[7]stage_hints!$A:$C,3,FALSE)</f>
        <v>「バグ」の増やし方</v>
      </c>
      <c r="L101" s="93" t="str">
        <f>VLOOKUP(I101,[7]stage_hints!$A:$D,4,FALSE)</f>
        <v>同じユニット同士を強化で合成すると_x000D_「バグ」を増やすことができます</v>
      </c>
      <c r="M101" s="57" t="s">
        <v>209</v>
      </c>
    </row>
    <row r="102" spans="1:13" x14ac:dyDescent="0.15">
      <c r="A102" s="82" t="s">
        <v>199</v>
      </c>
      <c r="B102" s="83">
        <f>floors!$C$2</f>
        <v>60027</v>
      </c>
      <c r="C102" s="84" t="str">
        <f ca="1">VLOOKUP($B102,OFFSET([2]quests!$A$1,0,0,COUNTA([2]quests!$A:$A),MATCH(C$1,[2]quests!$1:$1,0)-MATCH($B$1,[2]quests!$1:$1,0)+1),MATCH(C$1,[2]quests!$1:$1,0)-MATCH($B$1,[2]quests!$1:$1,0)+1,FALSE)</f>
        <v>チューリングチャレンジ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ランキング6（再開催）</v>
      </c>
      <c r="E102" s="87" t="s">
        <v>215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198</v>
      </c>
      <c r="K102" s="92" t="str">
        <f>VLOOKUP(I102,[7]stage_hints!$A:$C,3,FALSE)</f>
        <v>敵の連続攻撃には</v>
      </c>
      <c r="L102" s="93" t="str">
        <f>VLOOKUP(I102,[7]stage_hints!$A:$D,4,FALSE)</f>
        <v>カウンタースキルを持つユニットがいれば_x000D_ダメージ回数分の反撃ができます</v>
      </c>
      <c r="M102" s="57" t="s">
        <v>209</v>
      </c>
    </row>
    <row r="103" spans="1:13" x14ac:dyDescent="0.15">
      <c r="A103" s="82" t="s">
        <v>199</v>
      </c>
      <c r="B103" s="83">
        <f>floors!$C$2</f>
        <v>60027</v>
      </c>
      <c r="C103" s="84" t="str">
        <f ca="1">VLOOKUP($B103,OFFSET([2]quests!$A$1,0,0,COUNTA([2]quests!$A:$A),MATCH(C$1,[2]quests!$1:$1,0)-MATCH($B$1,[2]quests!$1:$1,0)+1),MATCH(C$1,[2]quests!$1:$1,0)-MATCH($B$1,[2]quests!$1:$1,0)+1,FALSE)</f>
        <v>チューリングチャレンジ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ランキング6（再開催）</v>
      </c>
      <c r="E103" s="87" t="s">
        <v>215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198</v>
      </c>
      <c r="K103" s="92" t="str">
        <f>VLOOKUP(I103,[7]stage_hints!$A:$C,3,FALSE)</f>
        <v>敵のカウンター攻撃には</v>
      </c>
      <c r="L103" s="93" t="str">
        <f>VLOOKUP(I103,[7]stage_hints!$A:$D,4,FALSE)</f>
        <v>カウンターブレイクスキルを持っていれば_x000D_敵のカウンターを解除して攻撃ができます</v>
      </c>
      <c r="M103" s="57" t="s">
        <v>209</v>
      </c>
    </row>
    <row r="104" spans="1:13" x14ac:dyDescent="0.15">
      <c r="A104" s="82" t="s">
        <v>199</v>
      </c>
      <c r="B104" s="83">
        <f>floors!$C$2</f>
        <v>60027</v>
      </c>
      <c r="C104" s="84" t="str">
        <f ca="1">VLOOKUP($B104,OFFSET([2]quests!$A$1,0,0,COUNTA([2]quests!$A:$A),MATCH(C$1,[2]quests!$1:$1,0)-MATCH($B$1,[2]quests!$1:$1,0)+1),MATCH(C$1,[2]quests!$1:$1,0)-MATCH($B$1,[2]quests!$1:$1,0)+1,FALSE)</f>
        <v>チューリングチャレンジ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ランキング6（再開催）</v>
      </c>
      <c r="E104" s="87" t="s">
        <v>215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198</v>
      </c>
      <c r="K104" s="92" t="str">
        <f>VLOOKUP(I104,[7]stage_hints!$A:$C,3,FALSE)</f>
        <v>ステータスをスキルで下げられたら</v>
      </c>
      <c r="L104" s="93" t="str">
        <f>VLOOKUP(I104,[7]stage_hints!$A:$D,4,FALSE)</f>
        <v>ステータスダウンのスキルを受けたら_x000D_ステータスアップスキルで上書きしましょう</v>
      </c>
      <c r="M104" s="57" t="s">
        <v>209</v>
      </c>
    </row>
    <row r="105" spans="1:13" x14ac:dyDescent="0.15">
      <c r="A105" s="82" t="s">
        <v>199</v>
      </c>
      <c r="B105" s="83">
        <f>floors!$C$2</f>
        <v>60027</v>
      </c>
      <c r="C105" s="84" t="str">
        <f ca="1">VLOOKUP($B105,OFFSET([2]quests!$A$1,0,0,COUNTA([2]quests!$A:$A),MATCH(C$1,[2]quests!$1:$1,0)-MATCH($B$1,[2]quests!$1:$1,0)+1),MATCH(C$1,[2]quests!$1:$1,0)-MATCH($B$1,[2]quests!$1:$1,0)+1,FALSE)</f>
        <v>チューリングチャレンジ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ランキング6（再開催）</v>
      </c>
      <c r="E105" s="87" t="s">
        <v>215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198</v>
      </c>
      <c r="K105" s="92" t="str">
        <f>VLOOKUP(I105,[7]stage_hints!$A:$C,3,FALSE)</f>
        <v>敵のステータスがスキルで上がったら</v>
      </c>
      <c r="L105" s="93" t="str">
        <f>VLOOKUP(I105,[7]stage_hints!$A:$D,4,FALSE)</f>
        <v>敵のステータスがスキルでアップしたときは_x000D_ステータスダウンスキルで上書きしましょう</v>
      </c>
      <c r="M105" s="57" t="s">
        <v>209</v>
      </c>
    </row>
    <row r="106" spans="1:13" x14ac:dyDescent="0.15">
      <c r="A106" s="82" t="s">
        <v>199</v>
      </c>
      <c r="B106" s="83">
        <f>floors!$C$2</f>
        <v>60027</v>
      </c>
      <c r="C106" s="84" t="str">
        <f ca="1">VLOOKUP($B106,OFFSET([2]quests!$A$1,0,0,COUNTA([2]quests!$A:$A),MATCH(C$1,[2]quests!$1:$1,0)-MATCH($B$1,[2]quests!$1:$1,0)+1),MATCH(C$1,[2]quests!$1:$1,0)-MATCH($B$1,[2]quests!$1:$1,0)+1,FALSE)</f>
        <v>チューリングチャレンジ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ランキング6（再開催）</v>
      </c>
      <c r="E106" s="87" t="s">
        <v>215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198</v>
      </c>
      <c r="K106" s="92" t="str">
        <f>VLOOKUP(I106,[7]stage_hints!$A:$C,3,FALSE)</f>
        <v>タワーオブザクイーンのボス</v>
      </c>
      <c r="L106" s="93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209</v>
      </c>
    </row>
    <row r="107" spans="1:13" x14ac:dyDescent="0.15">
      <c r="A107" s="82" t="s">
        <v>199</v>
      </c>
      <c r="B107" s="83">
        <f>floors!$C$2</f>
        <v>60027</v>
      </c>
      <c r="C107" s="84" t="str">
        <f ca="1">VLOOKUP($B107,OFFSET([2]quests!$A$1,0,0,COUNTA([2]quests!$A:$A),MATCH(C$1,[2]quests!$1:$1,0)-MATCH($B$1,[2]quests!$1:$1,0)+1),MATCH(C$1,[2]quests!$1:$1,0)-MATCH($B$1,[2]quests!$1:$1,0)+1,FALSE)</f>
        <v>チューリングチャレンジ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ランキング6（再開催）</v>
      </c>
      <c r="E107" s="87" t="s">
        <v>215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198</v>
      </c>
      <c r="K107" s="92" t="str">
        <f>VLOOKUP(I107,[7]stage_hints!$A:$C,3,FALSE)</f>
        <v>限界突破値の引き継ぎ</v>
      </c>
      <c r="L107" s="93" t="str">
        <f>VLOOKUP(I107,[7]stage_hints!$A:$D,4,FALSE)</f>
        <v>同じユニットを強化で合成すると_x000D_限界突破値を引き継げます（覚醒前後も可）</v>
      </c>
      <c r="M107" s="57" t="s">
        <v>209</v>
      </c>
    </row>
    <row r="108" spans="1:13" x14ac:dyDescent="0.15">
      <c r="A108" s="82" t="s">
        <v>199</v>
      </c>
      <c r="B108" s="83">
        <f>floors!$C$2</f>
        <v>60027</v>
      </c>
      <c r="C108" s="84" t="str">
        <f ca="1">VLOOKUP($B108,OFFSET([2]quests!$A$1,0,0,COUNTA([2]quests!$A:$A),MATCH(C$1,[2]quests!$1:$1,0)-MATCH($B$1,[2]quests!$1:$1,0)+1),MATCH(C$1,[2]quests!$1:$1,0)-MATCH($B$1,[2]quests!$1:$1,0)+1,FALSE)</f>
        <v>チューリングチャレンジ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ランキング6（再開催）</v>
      </c>
      <c r="E108" s="87" t="s">
        <v>215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198</v>
      </c>
      <c r="K108" s="92" t="str">
        <f>VLOOKUP(I108,[7]stage_hints!$A:$C,3,FALSE)</f>
        <v>システム適合者を確認</v>
      </c>
      <c r="L108" s="93" t="str">
        <f>VLOOKUP(I108,[7]stage_hints!$A:$D,4,FALSE)</f>
        <v>ALICEが 「アナタ」を呼んでいます</v>
      </c>
      <c r="M108" s="57" t="s">
        <v>209</v>
      </c>
    </row>
    <row r="109" spans="1:13" x14ac:dyDescent="0.15">
      <c r="A109" s="82" t="s">
        <v>199</v>
      </c>
      <c r="B109" s="83">
        <f>floors!$C$2</f>
        <v>60027</v>
      </c>
      <c r="C109" s="84" t="str">
        <f ca="1">VLOOKUP($B109,OFFSET([2]quests!$A$1,0,0,COUNTA([2]quests!$A:$A),MATCH(C$1,[2]quests!$1:$1,0)-MATCH($B$1,[2]quests!$1:$1,0)+1),MATCH(C$1,[2]quests!$1:$1,0)-MATCH($B$1,[2]quests!$1:$1,0)+1,FALSE)</f>
        <v>チューリングチャレンジ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ランキング6（再開催）</v>
      </c>
      <c r="E109" s="87" t="s">
        <v>216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198</v>
      </c>
      <c r="K109" s="92" t="str">
        <f>VLOOKUP(I109,[7]stage_hints!$A:$C,3,FALSE)</f>
        <v>ユニットのお気に入り登録</v>
      </c>
      <c r="L109" s="93" t="str">
        <f>VLOOKUP(I109,[7]stage_hints!$A:$D,4,FALSE)</f>
        <v>大事なユニットを誤って消さないように_x000D_フォルダから「お気に入り登録」しましょう</v>
      </c>
      <c r="M109" s="57" t="s">
        <v>209</v>
      </c>
    </row>
    <row r="110" spans="1:13" x14ac:dyDescent="0.15">
      <c r="A110" s="82" t="s">
        <v>199</v>
      </c>
      <c r="B110" s="83">
        <f>floors!$C$2</f>
        <v>60027</v>
      </c>
      <c r="C110" s="84" t="str">
        <f ca="1">VLOOKUP($B110,OFFSET([2]quests!$A$1,0,0,COUNTA([2]quests!$A:$A),MATCH(C$1,[2]quests!$1:$1,0)-MATCH($B$1,[2]quests!$1:$1,0)+1),MATCH(C$1,[2]quests!$1:$1,0)-MATCH($B$1,[2]quests!$1:$1,0)+1,FALSE)</f>
        <v>チューリングチャレンジ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ランキング6（再開催）</v>
      </c>
      <c r="E110" s="87" t="s">
        <v>216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198</v>
      </c>
      <c r="K110" s="92" t="str">
        <f>VLOOKUP(I110,[7]stage_hints!$A:$C,3,FALSE)</f>
        <v>リンクガチャ</v>
      </c>
      <c r="L110" s="93" t="str">
        <f>VLOOKUP(I110,[7]stage_hints!$A:$D,4,FALSE)</f>
        <v>無料のリンクガチャを回して_x000D_経験値素材や売却素材を獲得しましょう</v>
      </c>
      <c r="M110" s="57" t="s">
        <v>209</v>
      </c>
    </row>
    <row r="111" spans="1:13" x14ac:dyDescent="0.15">
      <c r="A111" s="82" t="s">
        <v>199</v>
      </c>
      <c r="B111" s="83">
        <f>floors!$C$2</f>
        <v>60027</v>
      </c>
      <c r="C111" s="84" t="str">
        <f ca="1">VLOOKUP($B111,OFFSET([2]quests!$A$1,0,0,COUNTA([2]quests!$A:$A),MATCH(C$1,[2]quests!$1:$1,0)-MATCH($B$1,[2]quests!$1:$1,0)+1),MATCH(C$1,[2]quests!$1:$1,0)-MATCH($B$1,[2]quests!$1:$1,0)+1,FALSE)</f>
        <v>チューリングチャレンジ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ランキング6（再開催）</v>
      </c>
      <c r="E111" s="87" t="s">
        <v>216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198</v>
      </c>
      <c r="K111" s="92" t="str">
        <f>VLOOKUP(I111,[7]stage_hints!$A:$C,3,FALSE)</f>
        <v>ソロ専用タワーオブザクイーン</v>
      </c>
      <c r="L111" s="93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209</v>
      </c>
    </row>
    <row r="112" spans="1:13" x14ac:dyDescent="0.15">
      <c r="A112" s="82" t="s">
        <v>199</v>
      </c>
      <c r="B112" s="83">
        <f>floors!$C$2</f>
        <v>60027</v>
      </c>
      <c r="C112" s="84" t="str">
        <f ca="1">VLOOKUP($B112,OFFSET([2]quests!$A$1,0,0,COUNTA([2]quests!$A:$A),MATCH(C$1,[2]quests!$1:$1,0)-MATCH($B$1,[2]quests!$1:$1,0)+1),MATCH(C$1,[2]quests!$1:$1,0)-MATCH($B$1,[2]quests!$1:$1,0)+1,FALSE)</f>
        <v>チューリングチャレンジ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ランキング6（再開催）</v>
      </c>
      <c r="E112" s="87" t="s">
        <v>216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198</v>
      </c>
      <c r="K112" s="92" t="str">
        <f>VLOOKUP(I112,[7]stage_hints!$A:$C,3,FALSE)</f>
        <v>スキルを有効に</v>
      </c>
      <c r="L112" s="93" t="str">
        <f>VLOOKUP(I112,[7]stage_hints!$A:$D,4,FALSE)</f>
        <v>ターン経過でユニットのスキルが使えます_x000D_強力スキルでバトルを有利に進めましょう</v>
      </c>
      <c r="M112" s="57" t="s">
        <v>209</v>
      </c>
    </row>
    <row r="113" spans="1:13" x14ac:dyDescent="0.15">
      <c r="A113" s="82" t="s">
        <v>199</v>
      </c>
      <c r="B113" s="83">
        <f>floors!$C$2</f>
        <v>60027</v>
      </c>
      <c r="C113" s="84" t="str">
        <f ca="1">VLOOKUP($B113,OFFSET([2]quests!$A$1,0,0,COUNTA([2]quests!$A:$A),MATCH(C$1,[2]quests!$1:$1,0)-MATCH($B$1,[2]quests!$1:$1,0)+1),MATCH(C$1,[2]quests!$1:$1,0)-MATCH($B$1,[2]quests!$1:$1,0)+1,FALSE)</f>
        <v>チューリングチャレンジ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ランキング6（再開催）</v>
      </c>
      <c r="E113" s="87" t="s">
        <v>216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198</v>
      </c>
      <c r="K113" s="92" t="str">
        <f>VLOOKUP(I113,[7]stage_hints!$A:$C,3,FALSE)</f>
        <v>「バグ」のメリット</v>
      </c>
      <c r="L113" s="93" t="str">
        <f>VLOOKUP(I113,[7]stage_hints!$A:$D,4,FALSE)</f>
        <v>ユニットの「バグ」を増やすと_x000D_報酬をもらえる確率がアップします</v>
      </c>
      <c r="M113" s="57" t="s">
        <v>209</v>
      </c>
    </row>
    <row r="114" spans="1:13" x14ac:dyDescent="0.15">
      <c r="A114" s="82" t="s">
        <v>199</v>
      </c>
      <c r="B114" s="83">
        <f>floors!$C$2</f>
        <v>60027</v>
      </c>
      <c r="C114" s="84" t="str">
        <f ca="1">VLOOKUP($B114,OFFSET([2]quests!$A$1,0,0,COUNTA([2]quests!$A:$A),MATCH(C$1,[2]quests!$1:$1,0)-MATCH($B$1,[2]quests!$1:$1,0)+1),MATCH(C$1,[2]quests!$1:$1,0)-MATCH($B$1,[2]quests!$1:$1,0)+1,FALSE)</f>
        <v>チューリングチャレンジ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ランキング6（再開催）</v>
      </c>
      <c r="E114" s="87" t="s">
        <v>216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198</v>
      </c>
      <c r="K114" s="92" t="str">
        <f>VLOOKUP(I114,[7]stage_hints!$A:$C,3,FALSE)</f>
        <v>「バグ」の増やし方</v>
      </c>
      <c r="L114" s="93" t="str">
        <f>VLOOKUP(I114,[7]stage_hints!$A:$D,4,FALSE)</f>
        <v>同じユニット同士を強化で合成すると_x000D_「バグ」を増やすことができます</v>
      </c>
      <c r="M114" s="57" t="s">
        <v>209</v>
      </c>
    </row>
    <row r="115" spans="1:13" x14ac:dyDescent="0.15">
      <c r="A115" s="82" t="s">
        <v>199</v>
      </c>
      <c r="B115" s="83">
        <f>floors!$C$2</f>
        <v>60027</v>
      </c>
      <c r="C115" s="84" t="str">
        <f ca="1">VLOOKUP($B115,OFFSET([2]quests!$A$1,0,0,COUNTA([2]quests!$A:$A),MATCH(C$1,[2]quests!$1:$1,0)-MATCH($B$1,[2]quests!$1:$1,0)+1),MATCH(C$1,[2]quests!$1:$1,0)-MATCH($B$1,[2]quests!$1:$1,0)+1,FALSE)</f>
        <v>チューリングチャレンジ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ランキング6（再開催）</v>
      </c>
      <c r="E115" s="87" t="s">
        <v>216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198</v>
      </c>
      <c r="K115" s="92" t="str">
        <f>VLOOKUP(I115,[7]stage_hints!$A:$C,3,FALSE)</f>
        <v>敵の連続攻撃には</v>
      </c>
      <c r="L115" s="93" t="str">
        <f>VLOOKUP(I115,[7]stage_hints!$A:$D,4,FALSE)</f>
        <v>カウンタースキルを持つユニットがいれば_x000D_ダメージ回数分の反撃ができます</v>
      </c>
      <c r="M115" s="57" t="s">
        <v>209</v>
      </c>
    </row>
    <row r="116" spans="1:13" x14ac:dyDescent="0.15">
      <c r="A116" s="82" t="s">
        <v>199</v>
      </c>
      <c r="B116" s="83">
        <f>floors!$C$2</f>
        <v>60027</v>
      </c>
      <c r="C116" s="84" t="str">
        <f ca="1">VLOOKUP($B116,OFFSET([2]quests!$A$1,0,0,COUNTA([2]quests!$A:$A),MATCH(C$1,[2]quests!$1:$1,0)-MATCH($B$1,[2]quests!$1:$1,0)+1),MATCH(C$1,[2]quests!$1:$1,0)-MATCH($B$1,[2]quests!$1:$1,0)+1,FALSE)</f>
        <v>チューリングチャレンジ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ランキング6（再開催）</v>
      </c>
      <c r="E116" s="87" t="s">
        <v>216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198</v>
      </c>
      <c r="K116" s="92" t="str">
        <f>VLOOKUP(I116,[7]stage_hints!$A:$C,3,FALSE)</f>
        <v>敵のカウンター攻撃には</v>
      </c>
      <c r="L116" s="93" t="str">
        <f>VLOOKUP(I116,[7]stage_hints!$A:$D,4,FALSE)</f>
        <v>カウンターブレイクスキルを持っていれば_x000D_敵のカウンターを解除して攻撃ができます</v>
      </c>
      <c r="M116" s="57" t="s">
        <v>209</v>
      </c>
    </row>
    <row r="117" spans="1:13" x14ac:dyDescent="0.15">
      <c r="A117" s="82" t="s">
        <v>199</v>
      </c>
      <c r="B117" s="83">
        <f>floors!$C$2</f>
        <v>60027</v>
      </c>
      <c r="C117" s="84" t="str">
        <f ca="1">VLOOKUP($B117,OFFSET([2]quests!$A$1,0,0,COUNTA([2]quests!$A:$A),MATCH(C$1,[2]quests!$1:$1,0)-MATCH($B$1,[2]quests!$1:$1,0)+1),MATCH(C$1,[2]quests!$1:$1,0)-MATCH($B$1,[2]quests!$1:$1,0)+1,FALSE)</f>
        <v>チューリングチャレンジ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ランキング6（再開催）</v>
      </c>
      <c r="E117" s="87" t="s">
        <v>216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198</v>
      </c>
      <c r="K117" s="92" t="str">
        <f>VLOOKUP(I117,[7]stage_hints!$A:$C,3,FALSE)</f>
        <v>ステータスをスキルで下げられたら</v>
      </c>
      <c r="L117" s="93" t="str">
        <f>VLOOKUP(I117,[7]stage_hints!$A:$D,4,FALSE)</f>
        <v>ステータスダウンのスキルを受けたら_x000D_ステータスアップスキルで上書きしましょう</v>
      </c>
      <c r="M117" s="57" t="s">
        <v>209</v>
      </c>
    </row>
    <row r="118" spans="1:13" x14ac:dyDescent="0.15">
      <c r="A118" s="82" t="s">
        <v>199</v>
      </c>
      <c r="B118" s="83">
        <f>floors!$C$2</f>
        <v>60027</v>
      </c>
      <c r="C118" s="84" t="str">
        <f ca="1">VLOOKUP($B118,OFFSET([2]quests!$A$1,0,0,COUNTA([2]quests!$A:$A),MATCH(C$1,[2]quests!$1:$1,0)-MATCH($B$1,[2]quests!$1:$1,0)+1),MATCH(C$1,[2]quests!$1:$1,0)-MATCH($B$1,[2]quests!$1:$1,0)+1,FALSE)</f>
        <v>チューリングチャレンジ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ランキング6（再開催）</v>
      </c>
      <c r="E118" s="87" t="s">
        <v>216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198</v>
      </c>
      <c r="K118" s="92" t="str">
        <f>VLOOKUP(I118,[7]stage_hints!$A:$C,3,FALSE)</f>
        <v>敵のステータスがスキルで上がったら</v>
      </c>
      <c r="L118" s="93" t="str">
        <f>VLOOKUP(I118,[7]stage_hints!$A:$D,4,FALSE)</f>
        <v>敵のステータスがスキルでアップしたときは_x000D_ステータスダウンスキルで上書きしましょう</v>
      </c>
      <c r="M118" s="57" t="s">
        <v>209</v>
      </c>
    </row>
    <row r="119" spans="1:13" x14ac:dyDescent="0.15">
      <c r="A119" s="82" t="s">
        <v>199</v>
      </c>
      <c r="B119" s="83">
        <f>floors!$C$2</f>
        <v>60027</v>
      </c>
      <c r="C119" s="84" t="str">
        <f ca="1">VLOOKUP($B119,OFFSET([2]quests!$A$1,0,0,COUNTA([2]quests!$A:$A),MATCH(C$1,[2]quests!$1:$1,0)-MATCH($B$1,[2]quests!$1:$1,0)+1),MATCH(C$1,[2]quests!$1:$1,0)-MATCH($B$1,[2]quests!$1:$1,0)+1,FALSE)</f>
        <v>チューリングチャレンジ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ランキング6（再開催）</v>
      </c>
      <c r="E119" s="87" t="s">
        <v>216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198</v>
      </c>
      <c r="K119" s="92" t="str">
        <f>VLOOKUP(I119,[7]stage_hints!$A:$C,3,FALSE)</f>
        <v>タワーオブザクイーンのボス</v>
      </c>
      <c r="L119" s="93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209</v>
      </c>
    </row>
    <row r="120" spans="1:13" x14ac:dyDescent="0.15">
      <c r="A120" s="82" t="s">
        <v>199</v>
      </c>
      <c r="B120" s="83">
        <f>floors!$C$2</f>
        <v>60027</v>
      </c>
      <c r="C120" s="84" t="str">
        <f ca="1">VLOOKUP($B120,OFFSET([2]quests!$A$1,0,0,COUNTA([2]quests!$A:$A),MATCH(C$1,[2]quests!$1:$1,0)-MATCH($B$1,[2]quests!$1:$1,0)+1),MATCH(C$1,[2]quests!$1:$1,0)-MATCH($B$1,[2]quests!$1:$1,0)+1,FALSE)</f>
        <v>チューリングチャレンジ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ランキング6（再開催）</v>
      </c>
      <c r="E120" s="87" t="s">
        <v>216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198</v>
      </c>
      <c r="K120" s="92" t="str">
        <f>VLOOKUP(I120,[7]stage_hints!$A:$C,3,FALSE)</f>
        <v>限界突破値の引き継ぎ</v>
      </c>
      <c r="L120" s="93" t="str">
        <f>VLOOKUP(I120,[7]stage_hints!$A:$D,4,FALSE)</f>
        <v>同じユニットを強化で合成すると_x000D_限界突破値を引き継げます（覚醒前後も可）</v>
      </c>
      <c r="M120" s="57" t="s">
        <v>209</v>
      </c>
    </row>
    <row r="121" spans="1:13" x14ac:dyDescent="0.15">
      <c r="A121" s="82" t="s">
        <v>199</v>
      </c>
      <c r="B121" s="83">
        <f>floors!$C$2</f>
        <v>60027</v>
      </c>
      <c r="C121" s="84" t="str">
        <f ca="1">VLOOKUP($B121,OFFSET([2]quests!$A$1,0,0,COUNTA([2]quests!$A:$A),MATCH(C$1,[2]quests!$1:$1,0)-MATCH($B$1,[2]quests!$1:$1,0)+1),MATCH(C$1,[2]quests!$1:$1,0)-MATCH($B$1,[2]quests!$1:$1,0)+1,FALSE)</f>
        <v>チューリングチャレンジ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ランキング6（再開催）</v>
      </c>
      <c r="E121" s="87" t="s">
        <v>216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198</v>
      </c>
      <c r="K121" s="92" t="str">
        <f>VLOOKUP(I121,[7]stage_hints!$A:$C,3,FALSE)</f>
        <v>システム適合者を確認</v>
      </c>
      <c r="L121" s="93" t="str">
        <f>VLOOKUP(I121,[7]stage_hints!$A:$D,4,FALSE)</f>
        <v>ALICEが 「アナタ」を呼んでいます</v>
      </c>
      <c r="M121" s="57" t="s">
        <v>209</v>
      </c>
    </row>
    <row r="122" spans="1:13" x14ac:dyDescent="0.15">
      <c r="A122" s="82" t="s">
        <v>199</v>
      </c>
      <c r="B122" s="83">
        <f>floors!$C$2</f>
        <v>60027</v>
      </c>
      <c r="C122" s="84" t="str">
        <f ca="1">VLOOKUP($B122,OFFSET([2]quests!$A$1,0,0,COUNTA([2]quests!$A:$A),MATCH(C$1,[2]quests!$1:$1,0)-MATCH($B$1,[2]quests!$1:$1,0)+1),MATCH(C$1,[2]quests!$1:$1,0)-MATCH($B$1,[2]quests!$1:$1,0)+1,FALSE)</f>
        <v>チューリングチャレンジ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ランキング6（再開催）</v>
      </c>
      <c r="E122" s="87" t="s">
        <v>217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198</v>
      </c>
      <c r="K122" s="92" t="str">
        <f>VLOOKUP(I122,[7]stage_hints!$A:$C,3,FALSE)</f>
        <v>ユニットのお気に入り登録</v>
      </c>
      <c r="L122" s="93" t="str">
        <f>VLOOKUP(I122,[7]stage_hints!$A:$D,4,FALSE)</f>
        <v>大事なユニットを誤って消さないように_x000D_フォルダから「お気に入り登録」しましょう</v>
      </c>
      <c r="M122" s="57" t="s">
        <v>209</v>
      </c>
    </row>
    <row r="123" spans="1:13" x14ac:dyDescent="0.15">
      <c r="A123" s="82" t="s">
        <v>199</v>
      </c>
      <c r="B123" s="83">
        <f>floors!$C$2</f>
        <v>60027</v>
      </c>
      <c r="C123" s="84" t="str">
        <f ca="1">VLOOKUP($B123,OFFSET([2]quests!$A$1,0,0,COUNTA([2]quests!$A:$A),MATCH(C$1,[2]quests!$1:$1,0)-MATCH($B$1,[2]quests!$1:$1,0)+1),MATCH(C$1,[2]quests!$1:$1,0)-MATCH($B$1,[2]quests!$1:$1,0)+1,FALSE)</f>
        <v>チューリングチャレンジ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ランキング6（再開催）</v>
      </c>
      <c r="E123" s="87" t="s">
        <v>217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198</v>
      </c>
      <c r="K123" s="92" t="str">
        <f>VLOOKUP(I123,[7]stage_hints!$A:$C,3,FALSE)</f>
        <v>リンクガチャ</v>
      </c>
      <c r="L123" s="93" t="str">
        <f>VLOOKUP(I123,[7]stage_hints!$A:$D,4,FALSE)</f>
        <v>無料のリンクガチャを回して_x000D_経験値素材や売却素材を獲得しましょう</v>
      </c>
      <c r="M123" s="57" t="s">
        <v>209</v>
      </c>
    </row>
    <row r="124" spans="1:13" x14ac:dyDescent="0.15">
      <c r="A124" s="82" t="s">
        <v>199</v>
      </c>
      <c r="B124" s="83">
        <f>floors!$C$2</f>
        <v>60027</v>
      </c>
      <c r="C124" s="84" t="str">
        <f ca="1">VLOOKUP($B124,OFFSET([2]quests!$A$1,0,0,COUNTA([2]quests!$A:$A),MATCH(C$1,[2]quests!$1:$1,0)-MATCH($B$1,[2]quests!$1:$1,0)+1),MATCH(C$1,[2]quests!$1:$1,0)-MATCH($B$1,[2]quests!$1:$1,0)+1,FALSE)</f>
        <v>チューリングチャレンジ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ランキング6（再開催）</v>
      </c>
      <c r="E124" s="87" t="s">
        <v>217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198</v>
      </c>
      <c r="K124" s="92" t="str">
        <f>VLOOKUP(I124,[7]stage_hints!$A:$C,3,FALSE)</f>
        <v>ソロ専用タワーオブザクイーン</v>
      </c>
      <c r="L124" s="93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209</v>
      </c>
    </row>
    <row r="125" spans="1:13" x14ac:dyDescent="0.15">
      <c r="A125" s="82" t="s">
        <v>199</v>
      </c>
      <c r="B125" s="83">
        <f>floors!$C$2</f>
        <v>60027</v>
      </c>
      <c r="C125" s="84" t="str">
        <f ca="1">VLOOKUP($B125,OFFSET([2]quests!$A$1,0,0,COUNTA([2]quests!$A:$A),MATCH(C$1,[2]quests!$1:$1,0)-MATCH($B$1,[2]quests!$1:$1,0)+1),MATCH(C$1,[2]quests!$1:$1,0)-MATCH($B$1,[2]quests!$1:$1,0)+1,FALSE)</f>
        <v>チューリングチャレンジ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ランキング6（再開催）</v>
      </c>
      <c r="E125" s="87" t="s">
        <v>217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198</v>
      </c>
      <c r="K125" s="92" t="str">
        <f>VLOOKUP(I125,[7]stage_hints!$A:$C,3,FALSE)</f>
        <v>スキルを有効に</v>
      </c>
      <c r="L125" s="93" t="str">
        <f>VLOOKUP(I125,[7]stage_hints!$A:$D,4,FALSE)</f>
        <v>ターン経過でユニットのスキルが使えます_x000D_強力スキルでバトルを有利に進めましょう</v>
      </c>
      <c r="M125" s="57" t="s">
        <v>209</v>
      </c>
    </row>
    <row r="126" spans="1:13" x14ac:dyDescent="0.15">
      <c r="A126" s="82" t="s">
        <v>199</v>
      </c>
      <c r="B126" s="83">
        <f>floors!$C$2</f>
        <v>60027</v>
      </c>
      <c r="C126" s="84" t="str">
        <f ca="1">VLOOKUP($B126,OFFSET([2]quests!$A$1,0,0,COUNTA([2]quests!$A:$A),MATCH(C$1,[2]quests!$1:$1,0)-MATCH($B$1,[2]quests!$1:$1,0)+1),MATCH(C$1,[2]quests!$1:$1,0)-MATCH($B$1,[2]quests!$1:$1,0)+1,FALSE)</f>
        <v>チューリングチャレンジ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ランキング6（再開催）</v>
      </c>
      <c r="E126" s="87" t="s">
        <v>217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198</v>
      </c>
      <c r="K126" s="92" t="str">
        <f>VLOOKUP(I126,[7]stage_hints!$A:$C,3,FALSE)</f>
        <v>「バグ」のメリット</v>
      </c>
      <c r="L126" s="93" t="str">
        <f>VLOOKUP(I126,[7]stage_hints!$A:$D,4,FALSE)</f>
        <v>ユニットの「バグ」を増やすと_x000D_報酬をもらえる確率がアップします</v>
      </c>
      <c r="M126" s="57" t="s">
        <v>209</v>
      </c>
    </row>
    <row r="127" spans="1:13" x14ac:dyDescent="0.15">
      <c r="A127" s="82" t="s">
        <v>199</v>
      </c>
      <c r="B127" s="83">
        <f>floors!$C$2</f>
        <v>60027</v>
      </c>
      <c r="C127" s="84" t="str">
        <f ca="1">VLOOKUP($B127,OFFSET([2]quests!$A$1,0,0,COUNTA([2]quests!$A:$A),MATCH(C$1,[2]quests!$1:$1,0)-MATCH($B$1,[2]quests!$1:$1,0)+1),MATCH(C$1,[2]quests!$1:$1,0)-MATCH($B$1,[2]quests!$1:$1,0)+1,FALSE)</f>
        <v>チューリングチャレンジ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ランキング6（再開催）</v>
      </c>
      <c r="E127" s="87" t="s">
        <v>217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198</v>
      </c>
      <c r="K127" s="92" t="str">
        <f>VLOOKUP(I127,[7]stage_hints!$A:$C,3,FALSE)</f>
        <v>「バグ」の増やし方</v>
      </c>
      <c r="L127" s="93" t="str">
        <f>VLOOKUP(I127,[7]stage_hints!$A:$D,4,FALSE)</f>
        <v>同じユニット同士を強化で合成すると_x000D_「バグ」を増やすことができます</v>
      </c>
      <c r="M127" s="57" t="s">
        <v>209</v>
      </c>
    </row>
    <row r="128" spans="1:13" x14ac:dyDescent="0.15">
      <c r="A128" s="82" t="s">
        <v>199</v>
      </c>
      <c r="B128" s="83">
        <f>floors!$C$2</f>
        <v>60027</v>
      </c>
      <c r="C128" s="84" t="str">
        <f ca="1">VLOOKUP($B128,OFFSET([2]quests!$A$1,0,0,COUNTA([2]quests!$A:$A),MATCH(C$1,[2]quests!$1:$1,0)-MATCH($B$1,[2]quests!$1:$1,0)+1),MATCH(C$1,[2]quests!$1:$1,0)-MATCH($B$1,[2]quests!$1:$1,0)+1,FALSE)</f>
        <v>チューリングチャレンジ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ランキング6（再開催）</v>
      </c>
      <c r="E128" s="87" t="s">
        <v>217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198</v>
      </c>
      <c r="K128" s="92" t="str">
        <f>VLOOKUP(I128,[7]stage_hints!$A:$C,3,FALSE)</f>
        <v>敵の連続攻撃には</v>
      </c>
      <c r="L128" s="93" t="str">
        <f>VLOOKUP(I128,[7]stage_hints!$A:$D,4,FALSE)</f>
        <v>カウンタースキルを持つユニットがいれば_x000D_ダメージ回数分の反撃ができます</v>
      </c>
      <c r="M128" s="57" t="s">
        <v>209</v>
      </c>
    </row>
    <row r="129" spans="1:13" x14ac:dyDescent="0.15">
      <c r="A129" s="82" t="s">
        <v>199</v>
      </c>
      <c r="B129" s="83">
        <f>floors!$C$2</f>
        <v>60027</v>
      </c>
      <c r="C129" s="84" t="str">
        <f ca="1">VLOOKUP($B129,OFFSET([2]quests!$A$1,0,0,COUNTA([2]quests!$A:$A),MATCH(C$1,[2]quests!$1:$1,0)-MATCH($B$1,[2]quests!$1:$1,0)+1),MATCH(C$1,[2]quests!$1:$1,0)-MATCH($B$1,[2]quests!$1:$1,0)+1,FALSE)</f>
        <v>チューリングチャレンジ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ランキング6（再開催）</v>
      </c>
      <c r="E129" s="87" t="s">
        <v>217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198</v>
      </c>
      <c r="K129" s="92" t="str">
        <f>VLOOKUP(I129,[7]stage_hints!$A:$C,3,FALSE)</f>
        <v>敵のカウンター攻撃には</v>
      </c>
      <c r="L129" s="93" t="str">
        <f>VLOOKUP(I129,[7]stage_hints!$A:$D,4,FALSE)</f>
        <v>カウンターブレイクスキルを持っていれば_x000D_敵のカウンターを解除して攻撃ができます</v>
      </c>
      <c r="M129" s="57" t="s">
        <v>209</v>
      </c>
    </row>
    <row r="130" spans="1:13" x14ac:dyDescent="0.15">
      <c r="A130" s="82" t="s">
        <v>199</v>
      </c>
      <c r="B130" s="83">
        <f>floors!$C$2</f>
        <v>60027</v>
      </c>
      <c r="C130" s="84" t="str">
        <f ca="1">VLOOKUP($B130,OFFSET([2]quests!$A$1,0,0,COUNTA([2]quests!$A:$A),MATCH(C$1,[2]quests!$1:$1,0)-MATCH($B$1,[2]quests!$1:$1,0)+1),MATCH(C$1,[2]quests!$1:$1,0)-MATCH($B$1,[2]quests!$1:$1,0)+1,FALSE)</f>
        <v>チューリングチャレンジ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ランキング6（再開催）</v>
      </c>
      <c r="E130" s="87" t="s">
        <v>217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198</v>
      </c>
      <c r="K130" s="92" t="str">
        <f>VLOOKUP(I130,[7]stage_hints!$A:$C,3,FALSE)</f>
        <v>ステータスをスキルで下げられたら</v>
      </c>
      <c r="L130" s="93" t="str">
        <f>VLOOKUP(I130,[7]stage_hints!$A:$D,4,FALSE)</f>
        <v>ステータスダウンのスキルを受けたら_x000D_ステータスアップスキルで上書きしましょう</v>
      </c>
      <c r="M130" s="57" t="s">
        <v>209</v>
      </c>
    </row>
    <row r="131" spans="1:13" x14ac:dyDescent="0.15">
      <c r="A131" s="82" t="s">
        <v>199</v>
      </c>
      <c r="B131" s="83">
        <f>floors!$C$2</f>
        <v>60027</v>
      </c>
      <c r="C131" s="84" t="str">
        <f ca="1">VLOOKUP($B131,OFFSET([2]quests!$A$1,0,0,COUNTA([2]quests!$A:$A),MATCH(C$1,[2]quests!$1:$1,0)-MATCH($B$1,[2]quests!$1:$1,0)+1),MATCH(C$1,[2]quests!$1:$1,0)-MATCH($B$1,[2]quests!$1:$1,0)+1,FALSE)</f>
        <v>チューリングチャレンジ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ランキング6（再開催）</v>
      </c>
      <c r="E131" s="87" t="s">
        <v>217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198</v>
      </c>
      <c r="K131" s="92" t="str">
        <f>VLOOKUP(I131,[7]stage_hints!$A:$C,3,FALSE)</f>
        <v>敵のステータスがスキルで上がったら</v>
      </c>
      <c r="L131" s="93" t="str">
        <f>VLOOKUP(I131,[7]stage_hints!$A:$D,4,FALSE)</f>
        <v>敵のステータスがスキルでアップしたときは_x000D_ステータスダウンスキルで上書きしましょう</v>
      </c>
      <c r="M131" s="57" t="s">
        <v>209</v>
      </c>
    </row>
    <row r="132" spans="1:13" x14ac:dyDescent="0.15">
      <c r="A132" s="82" t="s">
        <v>199</v>
      </c>
      <c r="B132" s="83">
        <f>floors!$C$2</f>
        <v>60027</v>
      </c>
      <c r="C132" s="84" t="str">
        <f ca="1">VLOOKUP($B132,OFFSET([2]quests!$A$1,0,0,COUNTA([2]quests!$A:$A),MATCH(C$1,[2]quests!$1:$1,0)-MATCH($B$1,[2]quests!$1:$1,0)+1),MATCH(C$1,[2]quests!$1:$1,0)-MATCH($B$1,[2]quests!$1:$1,0)+1,FALSE)</f>
        <v>チューリングチャレンジ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ランキング6（再開催）</v>
      </c>
      <c r="E132" s="87" t="s">
        <v>217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198</v>
      </c>
      <c r="K132" s="92" t="str">
        <f>VLOOKUP(I132,[7]stage_hints!$A:$C,3,FALSE)</f>
        <v>タワーオブザクイーンのボス</v>
      </c>
      <c r="L132" s="93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209</v>
      </c>
    </row>
    <row r="133" spans="1:13" x14ac:dyDescent="0.15">
      <c r="A133" s="82" t="s">
        <v>199</v>
      </c>
      <c r="B133" s="83">
        <f>floors!$C$2</f>
        <v>60027</v>
      </c>
      <c r="C133" s="84" t="str">
        <f ca="1">VLOOKUP($B133,OFFSET([2]quests!$A$1,0,0,COUNTA([2]quests!$A:$A),MATCH(C$1,[2]quests!$1:$1,0)-MATCH($B$1,[2]quests!$1:$1,0)+1),MATCH(C$1,[2]quests!$1:$1,0)-MATCH($B$1,[2]quests!$1:$1,0)+1,FALSE)</f>
        <v>チューリングチャレンジ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ランキング6（再開催）</v>
      </c>
      <c r="E133" s="87" t="s">
        <v>217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198</v>
      </c>
      <c r="K133" s="92" t="str">
        <f>VLOOKUP(I133,[7]stage_hints!$A:$C,3,FALSE)</f>
        <v>限界突破値の引き継ぎ</v>
      </c>
      <c r="L133" s="93" t="str">
        <f>VLOOKUP(I133,[7]stage_hints!$A:$D,4,FALSE)</f>
        <v>同じユニットを強化で合成すると_x000D_限界突破値を引き継げます（覚醒前後も可）</v>
      </c>
      <c r="M133" s="57" t="s">
        <v>209</v>
      </c>
    </row>
    <row r="134" spans="1:13" x14ac:dyDescent="0.15">
      <c r="A134" s="82" t="s">
        <v>199</v>
      </c>
      <c r="B134" s="83">
        <f>floors!$C$2</f>
        <v>60027</v>
      </c>
      <c r="C134" s="84" t="str">
        <f ca="1">VLOOKUP($B134,OFFSET([2]quests!$A$1,0,0,COUNTA([2]quests!$A:$A),MATCH(C$1,[2]quests!$1:$1,0)-MATCH($B$1,[2]quests!$1:$1,0)+1),MATCH(C$1,[2]quests!$1:$1,0)-MATCH($B$1,[2]quests!$1:$1,0)+1,FALSE)</f>
        <v>チューリングチャレンジ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ランキング6（再開催）</v>
      </c>
      <c r="E134" s="87" t="s">
        <v>217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198</v>
      </c>
      <c r="K134" s="92" t="str">
        <f>VLOOKUP(I134,[7]stage_hints!$A:$C,3,FALSE)</f>
        <v>システム適合者を確認</v>
      </c>
      <c r="L134" s="93" t="str">
        <f>VLOOKUP(I134,[7]stage_hints!$A:$D,4,FALSE)</f>
        <v>ALICEが 「アナタ」を呼んでいます</v>
      </c>
      <c r="M134" s="57" t="s">
        <v>209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189</v>
      </c>
      <c r="B1" s="73" t="s">
        <v>151</v>
      </c>
      <c r="C1" s="78" t="s">
        <v>191</v>
      </c>
      <c r="D1" s="78" t="s">
        <v>33</v>
      </c>
      <c r="E1" s="73" t="s">
        <v>192</v>
      </c>
      <c r="F1" s="78" t="s">
        <v>18</v>
      </c>
      <c r="G1" s="78" t="s">
        <v>33</v>
      </c>
      <c r="H1" s="73" t="s">
        <v>194</v>
      </c>
      <c r="I1" s="89" t="s">
        <v>195</v>
      </c>
      <c r="J1" s="90" t="s">
        <v>196</v>
      </c>
      <c r="K1" s="80" t="s">
        <v>127</v>
      </c>
      <c r="L1" s="79" t="s">
        <v>188</v>
      </c>
      <c r="M1" s="91" t="s">
        <v>187</v>
      </c>
      <c r="N1" s="81" t="s">
        <v>197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2017-01-06T07:41:35Z</dcterms:modified>
</cp:coreProperties>
</file>