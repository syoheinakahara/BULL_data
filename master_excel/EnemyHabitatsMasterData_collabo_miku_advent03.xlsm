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7920" yWindow="1800" windowWidth="18440" windowHeight="141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stage_hints_failure!$B$1:$M$5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2" l="1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A11" i="18"/>
  <c r="C11" i="18"/>
  <c r="D11" i="18"/>
  <c r="A10" i="18"/>
  <c r="C10" i="18"/>
  <c r="D10" i="18"/>
  <c r="A4" i="18"/>
  <c r="C4" i="18"/>
  <c r="D4" i="18"/>
  <c r="A9" i="18"/>
  <c r="C9" i="18"/>
  <c r="D9" i="18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A2" i="18"/>
  <c r="A3" i="18"/>
  <c r="A5" i="18"/>
  <c r="A6" i="18"/>
  <c r="A7" i="18"/>
  <c r="A8" i="18"/>
  <c r="B5" i="21"/>
  <c r="C8" i="18"/>
  <c r="D8" i="18"/>
  <c r="C7" i="18"/>
  <c r="D7" i="18"/>
  <c r="C6" i="18"/>
  <c r="D6" i="18"/>
  <c r="C5" i="18"/>
  <c r="D5" i="18"/>
  <c r="C3" i="18"/>
  <c r="D3" i="18"/>
  <c r="C2" i="18"/>
  <c r="D2" i="18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J117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116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115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114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113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112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111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110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109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108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107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106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105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10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10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10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99" i="11"/>
  <c r="O99" i="9"/>
  <c r="N99" i="9"/>
  <c r="M99" i="9"/>
  <c r="L99" i="9"/>
  <c r="K99" i="9"/>
  <c r="J99" i="9"/>
  <c r="I99" i="9"/>
  <c r="H99" i="9"/>
  <c r="G99" i="9"/>
  <c r="E99" i="9"/>
  <c r="D99" i="9"/>
  <c r="A99" i="9"/>
  <c r="J98" i="11"/>
  <c r="O98" i="9"/>
  <c r="N98" i="9"/>
  <c r="M98" i="9"/>
  <c r="L98" i="9"/>
  <c r="K98" i="9"/>
  <c r="J98" i="9"/>
  <c r="I98" i="9"/>
  <c r="H98" i="9"/>
  <c r="G98" i="9"/>
  <c r="E98" i="9"/>
  <c r="D98" i="9"/>
  <c r="A98" i="9"/>
  <c r="J97" i="11"/>
  <c r="O97" i="9"/>
  <c r="N97" i="9"/>
  <c r="M97" i="9"/>
  <c r="L97" i="9"/>
  <c r="K97" i="9"/>
  <c r="J97" i="9"/>
  <c r="I97" i="9"/>
  <c r="H97" i="9"/>
  <c r="G97" i="9"/>
  <c r="E97" i="9"/>
  <c r="D97" i="9"/>
  <c r="A97" i="9"/>
  <c r="J96" i="11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J93" i="11"/>
  <c r="O93" i="9"/>
  <c r="N93" i="9"/>
  <c r="M93" i="9"/>
  <c r="L93" i="9"/>
  <c r="K93" i="9"/>
  <c r="J93" i="9"/>
  <c r="I93" i="9"/>
  <c r="H93" i="9"/>
  <c r="G93" i="9"/>
  <c r="E93" i="9"/>
  <c r="D93" i="9"/>
  <c r="A93" i="9"/>
  <c r="J92" i="11"/>
  <c r="O92" i="9"/>
  <c r="N92" i="9"/>
  <c r="M92" i="9"/>
  <c r="L92" i="9"/>
  <c r="K92" i="9"/>
  <c r="J92" i="9"/>
  <c r="I92" i="9"/>
  <c r="H92" i="9"/>
  <c r="G92" i="9"/>
  <c r="E92" i="9"/>
  <c r="D92" i="9"/>
  <c r="A92" i="9"/>
  <c r="J91" i="11"/>
  <c r="O91" i="9"/>
  <c r="N91" i="9"/>
  <c r="M91" i="9"/>
  <c r="L91" i="9"/>
  <c r="K91" i="9"/>
  <c r="J91" i="9"/>
  <c r="I91" i="9"/>
  <c r="H91" i="9"/>
  <c r="G91" i="9"/>
  <c r="E91" i="9"/>
  <c r="D91" i="9"/>
  <c r="A91" i="9"/>
  <c r="J90" i="11"/>
  <c r="O90" i="9"/>
  <c r="N90" i="9"/>
  <c r="M90" i="9"/>
  <c r="L90" i="9"/>
  <c r="K90" i="9"/>
  <c r="J90" i="9"/>
  <c r="I90" i="9"/>
  <c r="H90" i="9"/>
  <c r="G90" i="9"/>
  <c r="E90" i="9"/>
  <c r="D90" i="9"/>
  <c r="A90" i="9"/>
  <c r="J89" i="11"/>
  <c r="O89" i="9"/>
  <c r="N89" i="9"/>
  <c r="M89" i="9"/>
  <c r="L89" i="9"/>
  <c r="K89" i="9"/>
  <c r="J89" i="9"/>
  <c r="I89" i="9"/>
  <c r="H89" i="9"/>
  <c r="G89" i="9"/>
  <c r="E89" i="9"/>
  <c r="D89" i="9"/>
  <c r="A89" i="9"/>
  <c r="J88" i="11"/>
  <c r="O88" i="9"/>
  <c r="N88" i="9"/>
  <c r="M88" i="9"/>
  <c r="L88" i="9"/>
  <c r="K88" i="9"/>
  <c r="J88" i="9"/>
  <c r="I88" i="9"/>
  <c r="H88" i="9"/>
  <c r="G88" i="9"/>
  <c r="E88" i="9"/>
  <c r="D88" i="9"/>
  <c r="A88" i="9"/>
  <c r="J87" i="11"/>
  <c r="O87" i="9"/>
  <c r="N87" i="9"/>
  <c r="M87" i="9"/>
  <c r="L87" i="9"/>
  <c r="K87" i="9"/>
  <c r="J87" i="9"/>
  <c r="I87" i="9"/>
  <c r="H87" i="9"/>
  <c r="G87" i="9"/>
  <c r="E87" i="9"/>
  <c r="D87" i="9"/>
  <c r="A87" i="9"/>
  <c r="J86" i="11"/>
  <c r="O86" i="9"/>
  <c r="N86" i="9"/>
  <c r="M86" i="9"/>
  <c r="L86" i="9"/>
  <c r="K86" i="9"/>
  <c r="J86" i="9"/>
  <c r="I86" i="9"/>
  <c r="H86" i="9"/>
  <c r="G86" i="9"/>
  <c r="E86" i="9"/>
  <c r="D86" i="9"/>
  <c r="A86" i="9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J83" i="11"/>
  <c r="O83" i="9"/>
  <c r="N83" i="9"/>
  <c r="M83" i="9"/>
  <c r="L83" i="9"/>
  <c r="K83" i="9"/>
  <c r="J83" i="9"/>
  <c r="I83" i="9"/>
  <c r="H83" i="9"/>
  <c r="G83" i="9"/>
  <c r="E83" i="9"/>
  <c r="D83" i="9"/>
  <c r="A83" i="9"/>
  <c r="J82" i="11"/>
  <c r="O82" i="9"/>
  <c r="N82" i="9"/>
  <c r="M82" i="9"/>
  <c r="L82" i="9"/>
  <c r="K82" i="9"/>
  <c r="J82" i="9"/>
  <c r="I82" i="9"/>
  <c r="H82" i="9"/>
  <c r="G82" i="9"/>
  <c r="E82" i="9"/>
  <c r="D82" i="9"/>
  <c r="A82" i="9"/>
  <c r="J81" i="11"/>
  <c r="O81" i="9"/>
  <c r="N81" i="9"/>
  <c r="M81" i="9"/>
  <c r="L81" i="9"/>
  <c r="K81" i="9"/>
  <c r="J81" i="9"/>
  <c r="I81" i="9"/>
  <c r="H81" i="9"/>
  <c r="G81" i="9"/>
  <c r="E81" i="9"/>
  <c r="D81" i="9"/>
  <c r="A81" i="9"/>
  <c r="J80" i="11"/>
  <c r="O80" i="9"/>
  <c r="N80" i="9"/>
  <c r="M80" i="9"/>
  <c r="L80" i="9"/>
  <c r="K80" i="9"/>
  <c r="J80" i="9"/>
  <c r="I80" i="9"/>
  <c r="H80" i="9"/>
  <c r="G80" i="9"/>
  <c r="E80" i="9"/>
  <c r="D80" i="9"/>
  <c r="A80" i="9"/>
  <c r="J79" i="11"/>
  <c r="O79" i="9"/>
  <c r="N79" i="9"/>
  <c r="M79" i="9"/>
  <c r="L79" i="9"/>
  <c r="K79" i="9"/>
  <c r="J79" i="9"/>
  <c r="I79" i="9"/>
  <c r="H79" i="9"/>
  <c r="G79" i="9"/>
  <c r="E79" i="9"/>
  <c r="D79" i="9"/>
  <c r="A79" i="9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G20" i="10"/>
  <c r="H20" i="10"/>
  <c r="I20" i="10"/>
  <c r="J20" i="10"/>
  <c r="K20" i="10"/>
  <c r="L20" i="10"/>
  <c r="M20" i="10"/>
  <c r="M32" i="10"/>
  <c r="M42" i="10"/>
  <c r="M52" i="10"/>
  <c r="N52" i="10"/>
  <c r="Q52" i="10"/>
  <c r="P52" i="10"/>
  <c r="R52" i="10"/>
  <c r="O52" i="10"/>
  <c r="S5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M19" i="10"/>
  <c r="T19" i="10"/>
  <c r="W19" i="10"/>
  <c r="V19" i="10"/>
  <c r="X19" i="10"/>
  <c r="U19" i="10"/>
  <c r="Y19" i="10"/>
  <c r="M37" i="10"/>
  <c r="M47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3" i="10"/>
  <c r="T23" i="10"/>
  <c r="W23" i="10"/>
  <c r="V23" i="10"/>
  <c r="X23" i="10"/>
  <c r="U23" i="10"/>
  <c r="Y23" i="10"/>
  <c r="M34" i="10"/>
  <c r="M4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M36" i="10"/>
  <c r="M4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30" i="10"/>
  <c r="T30" i="10"/>
  <c r="W30" i="10"/>
  <c r="V30" i="10"/>
  <c r="X30" i="10"/>
  <c r="U30" i="10"/>
  <c r="Y30" i="10"/>
  <c r="M38" i="10"/>
  <c r="M4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4" i="10"/>
  <c r="T24" i="10"/>
  <c r="W24" i="10"/>
  <c r="V24" i="10"/>
  <c r="X24" i="10"/>
  <c r="U24" i="10"/>
  <c r="Y24" i="10"/>
  <c r="M41" i="10"/>
  <c r="M51" i="10"/>
  <c r="N51" i="10"/>
  <c r="Q51" i="10"/>
  <c r="P51" i="10"/>
  <c r="R51" i="10"/>
  <c r="O51" i="10"/>
  <c r="S51" i="10"/>
  <c r="N41" i="10"/>
  <c r="Q41" i="10"/>
  <c r="P41" i="10"/>
  <c r="R41" i="10"/>
  <c r="O41" i="10"/>
  <c r="S41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8" i="10"/>
  <c r="T28" i="10"/>
  <c r="W28" i="10"/>
  <c r="V28" i="10"/>
  <c r="X28" i="10"/>
  <c r="U28" i="10"/>
  <c r="Y28" i="10"/>
  <c r="M40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M31" i="10"/>
  <c r="T31" i="10"/>
  <c r="W31" i="10"/>
  <c r="V31" i="10"/>
  <c r="X31" i="10"/>
  <c r="U31" i="10"/>
  <c r="Y31" i="10"/>
  <c r="M43" i="10"/>
  <c r="N43" i="10"/>
  <c r="Q43" i="10"/>
  <c r="P43" i="10"/>
  <c r="R43" i="10"/>
  <c r="O43" i="10"/>
  <c r="S43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G2" i="9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2" i="9"/>
  <c r="Y3" i="7"/>
  <c r="W3" i="7"/>
  <c r="U3" i="7"/>
  <c r="R3" i="7"/>
  <c r="Q3" i="7"/>
  <c r="P3" i="7"/>
  <c r="O3" i="7"/>
  <c r="N3" i="7"/>
  <c r="H3" i="7"/>
  <c r="G3" i="2"/>
  <c r="A3" i="2"/>
  <c r="G4" i="2"/>
  <c r="A4" i="2"/>
  <c r="G2" i="2"/>
  <c r="A2" i="2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H4" i="2"/>
  <c r="E4" i="2"/>
  <c r="D4" i="2"/>
  <c r="B4" i="2"/>
  <c r="H3" i="2"/>
  <c r="E3" i="2"/>
  <c r="D3" i="2"/>
  <c r="B3" i="2"/>
  <c r="Y2" i="7"/>
  <c r="X2" i="1"/>
  <c r="H2" i="2"/>
  <c r="E2" i="2"/>
  <c r="D2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5" i="21"/>
  <c r="J5" i="21"/>
  <c r="G5" i="21"/>
  <c r="F5" i="21"/>
  <c r="D5" i="21"/>
  <c r="C5" i="21"/>
  <c r="E12" i="16"/>
  <c r="E11" i="16"/>
  <c r="E10" i="16"/>
  <c r="J2" i="11"/>
  <c r="O2" i="9"/>
  <c r="N2" i="9"/>
  <c r="M2" i="9"/>
  <c r="L2" i="9"/>
  <c r="K2" i="9"/>
  <c r="J2" i="9"/>
  <c r="I2" i="9"/>
  <c r="H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<sst xmlns="http://schemas.openxmlformats.org/spreadsheetml/2006/main" count="1060" uniqueCount="385">
  <si>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</si>
  <si>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</si>
  <si>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</si>
  <si>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</si>
  <si>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</si>
  <si>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</si>
  <si>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</si>
  <si>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</si>
  <si>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</si>
  <si>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</si>
  <si>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</si>
  <si>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</si>
  <si>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</si>
  <si>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</si>
  <si>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</si>
  <si>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</si>
  <si>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</si>
  <si>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</si>
  <si>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</si>
  <si>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</si>
  <si>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</si>
  <si>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</si>
  <si>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</si>
  <si>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</si>
  <si>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</si>
  <si>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</si>
  <si>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</si>
  <si>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</si>
  <si>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</si>
  <si>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</si>
  <si>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</si>
  <si>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</si>
  <si>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</si>
  <si>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</si>
  <si>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</si>
  <si>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</si>
  <si>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</si>
  <si>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</si>
  <si>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</si>
  <si>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</si>
  <si>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</si>
  <si>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</si>
  <si>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</si>
  <si>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</si>
  <si>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</si>
  <si>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</si>
  <si>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</si>
  <si>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</si>
  <si>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</si>
  <si>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</si>
  <si>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</si>
  <si>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</si>
  <si>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</si>
  <si>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</si>
  <si>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</si>
  <si>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</si>
  <si>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</si>
  <si>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</si>
  <si>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</si>
  <si>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</si>
  <si>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</si>
  <si>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</si>
  <si>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</si>
  <si>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</si>
  <si>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</si>
  <si>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</si>
  <si>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</si>
  <si>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</si>
  <si>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</si>
  <si>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</si>
  <si>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</si>
  <si>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</si>
  <si>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</si>
  <si>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</si>
  <si>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</si>
  <si>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</si>
  <si>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</si>
  <si>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</si>
  <si>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</si>
  <si>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</si>
  <si>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</si>
  <si>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</si>
  <si>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</si>
  <si>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</si>
  <si>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</si>
  <si>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</si>
  <si>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</si>
  <si>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</si>
  <si>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</si>
  <si>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</si>
  <si>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</si>
  <si>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</si>
  <si>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</si>
  <si>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</si>
  <si>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</si>
  <si>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</si>
  <si>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</si>
  <si>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</si>
  <si>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</si>
  <si>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</si>
  <si>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</si>
  <si>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</si>
  <si>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</si>
  <si>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</si>
  <si>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</si>
  <si>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</si>
  <si>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</si>
  <si>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</si>
  <si>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</si>
  <si>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</si>
  <si>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</si>
  <si>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</si>
  <si>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</si>
  <si>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</si>
  <si>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</si>
  <si>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</si>
  <si>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</si>
  <si>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</si>
  <si>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</si>
  <si>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</si>
  <si>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</si>
  <si>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</si>
  <si>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</si>
  <si>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</si>
  <si>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</si>
  <si>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</si>
  <si>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</si>
  <si>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</si>
  <si>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</si>
  <si>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</si>
  <si>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</si>
  <si>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</si>
  <si>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</si>
  <si>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</si>
  <si>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</si>
  <si>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</si>
  <si>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</si>
  <si>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</si>
  <si>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</si>
  <si>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</si>
  <si>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</si>
  <si>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</si>
  <si>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</si>
  <si>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</si>
  <si>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</si>
  <si>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</si>
  <si>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</si>
  <si>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</si>
  <si>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</si>
  <si>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</si>
  <si>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</si>
  <si>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</si>
  <si>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</si>
  <si>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</si>
  <si>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</si>
  <si>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</si>
  <si>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</si>
  <si>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</si>
  <si>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</si>
  <si>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</si>
  <si>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</si>
  <si>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</si>
  <si>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</si>
  <si>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</si>
  <si>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</si>
  <si>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</si>
  <si>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</si>
  <si>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</si>
  <si>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</si>
  <si>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</si>
  <si>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</si>
  <si>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</si>
  <si>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</si>
  <si>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</si>
  <si>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</si>
  <si>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</si>
  <si>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</si>
  <si>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</si>
  <si>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</si>
  <si>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</si>
  <si>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</si>
  <si>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</si>
  <si>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</si>
  <si>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</si>
  <si>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</si>
  <si>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</si>
  <si>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</si>
  <si>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</si>
  <si>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</si>
  <si>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</si>
  <si>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</si>
  <si>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</si>
  <si>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</si>
  <si>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</si>
  <si>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</si>
  <si>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</si>
  <si>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</si>
  <si>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</si>
  <si>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</si>
  <si>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</si>
  <si>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</si>
  <si>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</si>
  <si>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</si>
  <si>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</si>
  <si>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</si>
  <si>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</si>
  <si>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</si>
  <si>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</si>
  <si>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</si>
  <si>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</si>
  <si>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</si>
  <si>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</si>
  <si>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</si>
  <si>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</si>
  <si>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</si>
  <si>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</si>
  <si>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</si>
  <si>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</si>
  <si>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</si>
  <si>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</si>
  <si>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</si>
  <si>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</si>
  <si>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</si>
  <si>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</si>
  <si>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</si>
  <si>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</si>
  <si>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</si>
  <si>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</si>
  <si>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</si>
  <si>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</si>
  <si>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</si>
  <si>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</si>
  <si>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</si>
  <si>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</si>
  <si>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</si>
  <si>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</si>
  <si>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</si>
  <si>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</si>
  <si>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</si>
  <si>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</si>
  <si>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</si>
  <si>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</si>
  <si>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</si>
  <si>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</si>
  <si>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</si>
  <si>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</si>
  <si>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</si>
  <si>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</si>
  <si>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</si>
  <si>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</si>
  <si>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</si>
  <si>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</si>
  <si>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</si>
  <si>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3回連続攻撃</t>
    <rPh sb="1" eb="6">
      <t>カイレンゾクコウゲキ</t>
    </rPh>
    <phoneticPr fontId="5"/>
  </si>
  <si>
    <t>[effect:rush, count:3, val:0.44]</t>
    <phoneticPr fontId="5"/>
  </si>
  <si>
    <t>[effect:spread, val:0.33]</t>
    <phoneticPr fontId="5"/>
  </si>
  <si>
    <t>全体攻撃</t>
    <rPh sb="0" eb="4">
      <t>ゼンタイコウゲキ</t>
    </rPh>
    <phoneticPr fontId="5"/>
  </si>
  <si>
    <t>状態異常耐性</t>
    <phoneticPr fontId="5"/>
  </si>
  <si>
    <t>4ターン赤&amp;緑パネル無効</t>
    <rPh sb="4" eb="5">
      <t>アカ</t>
    </rPh>
    <rPh sb="6" eb="7">
      <t>ミドリ</t>
    </rPh>
    <phoneticPr fontId="5"/>
  </si>
  <si>
    <t>自身の攻撃力&amp;防御力UP</t>
    <rPh sb="0" eb="2">
      <t>ジシn</t>
    </rPh>
    <phoneticPr fontId="5"/>
  </si>
  <si>
    <t>2ターン全てのパネルは確率でプロテクトされてドロップ</t>
    <rPh sb="4" eb="5">
      <t>スベテノ</t>
    </rPh>
    <phoneticPr fontId="5"/>
  </si>
  <si>
    <t>[effect:freq_turn, target:myself, turn:-1, val:1, animation:enemy_freq_turn]</t>
  </si>
  <si>
    <t>自身の攻撃頻度UP</t>
    <rPh sb="0" eb="2">
      <t>ジシン</t>
    </rPh>
    <phoneticPr fontId="5"/>
  </si>
  <si>
    <t>4ターンCパネル生成延長(効果大)</t>
    <rPh sb="15" eb="16">
      <t>ダイ</t>
    </rPh>
    <phoneticPr fontId="5"/>
  </si>
  <si>
    <t>[effect:rush, count:3, val:0.33]</t>
    <phoneticPr fontId="5"/>
  </si>
  <si>
    <t>ランダムでお邪魔パネルに14個変換</t>
    <phoneticPr fontId="5"/>
  </si>
  <si>
    <t>クリティカル！</t>
    <phoneticPr fontId="5"/>
  </si>
  <si>
    <t>4ターン全てのパネルは確率でプロテクトされてドロップ</t>
    <rPh sb="4" eb="5">
      <t>スベテノ</t>
    </rPh>
    <phoneticPr fontId="5"/>
  </si>
  <si>
    <t>[effect:spread, val:0.25]</t>
    <phoneticPr fontId="5"/>
  </si>
  <si>
    <t>2ターンCパネル生成短縮(効果大)+
確率でハートボムパネルをドロップ</t>
    <rPh sb="10" eb="12">
      <t>タンシュク</t>
    </rPh>
    <phoneticPr fontId="5"/>
  </si>
  <si>
    <t>1ターン赤&amp;緑&amp;黄パネル無効+クリティカル！</t>
    <rPh sb="4" eb="5">
      <t>アカ</t>
    </rPh>
    <rPh sb="8" eb="9">
      <t>キ</t>
    </rPh>
    <phoneticPr fontId="5"/>
  </si>
  <si>
    <t>full_member</t>
    <phoneticPr fontId="5"/>
  </si>
  <si>
    <t>old</t>
  </si>
  <si>
    <t>赤パネルを赤のダメージパネルに4個変換</t>
    <rPh sb="0" eb="1">
      <t>アカ</t>
    </rPh>
    <rPh sb="5" eb="6">
      <t>アカ</t>
    </rPh>
    <rPh sb="16" eb="17">
      <t>コ</t>
    </rPh>
    <phoneticPr fontId="5"/>
  </si>
  <si>
    <t>緑パネルを緑のダメージパネルに4個変換</t>
    <rPh sb="0" eb="1">
      <t>ミドリ</t>
    </rPh>
    <rPh sb="5" eb="6">
      <t>ミドリ</t>
    </rPh>
    <phoneticPr fontId="5"/>
  </si>
  <si>
    <t>黄パネルを黄のダメージパネルに4個変換</t>
    <rPh sb="0" eb="1">
      <t>キ</t>
    </rPh>
    <rPh sb="5" eb="6">
      <t>kino</t>
    </rPh>
    <phoneticPr fontId="5"/>
  </si>
  <si>
    <t>妨害電波</t>
  </si>
  <si>
    <t>音速キック</t>
  </si>
  <si>
    <t>トラップ</t>
  </si>
  <si>
    <t>わぁ！追いつかれちゃった！</t>
    <phoneticPr fontId="5"/>
  </si>
  <si>
    <t>ついてこれるかなっ？</t>
    <phoneticPr fontId="5"/>
  </si>
  <si>
    <t>ぶつからないように気をつけてっ！</t>
    <phoneticPr fontId="5"/>
  </si>
  <si>
    <t>ばらまいちゃえっ！</t>
  </si>
  <si>
    <t>うぅー悔しいっっ！
あと少しだったのにー！</t>
    <phoneticPr fontId="5"/>
  </si>
  <si>
    <t>また勝負してね！絶対だよっ！</t>
    <phoneticPr fontId="5"/>
  </si>
  <si>
    <t>でも楽しかったなー！また一緒に走ろうねっ！</t>
    <phoneticPr fontId="5"/>
  </si>
  <si>
    <t>4ターン黄パネル無効</t>
    <rPh sb="4" eb="5">
      <t>キ</t>
    </rPh>
    <phoneticPr fontId="5"/>
  </si>
  <si>
    <t>ユキネっち！ぴょんぴょん勝負だねっ！</t>
    <phoneticPr fontId="5"/>
  </si>
  <si>
    <t>このレースを制すのは誰だー！？</t>
    <phoneticPr fontId="5"/>
  </si>
  <si>
    <t>リンの応援でスピードあーっぷ！</t>
    <phoneticPr fontId="5"/>
  </si>
  <si>
    <t>わぁ！リンちゃん発見！超カワイイっ！</t>
    <phoneticPr fontId="5"/>
  </si>
  <si>
    <t>おお！レンくん発見！超クールっ！</t>
    <phoneticPr fontId="5"/>
  </si>
  <si>
    <t>よっしゃー！コスプレ走者対決だー！</t>
    <phoneticPr fontId="5"/>
  </si>
  <si>
    <t>一緒に優勝争いしちゃう！？</t>
    <phoneticPr fontId="5"/>
  </si>
  <si>
    <t>おそーい！置いてっちゃうよっ！</t>
    <phoneticPr fontId="5"/>
  </si>
  <si>
    <t>2ターン緑パネル無効+パネルプロテクト(最大8個)</t>
    <phoneticPr fontId="5"/>
  </si>
  <si>
    <t>接戦だねっ！負けないぞー！</t>
    <phoneticPr fontId="5"/>
  </si>
  <si>
    <t>黄パネルをお邪魔パネルに変換+単体攻撃</t>
    <phoneticPr fontId="5"/>
  </si>
  <si>
    <t>ラストスパート！加速してこっ！</t>
    <phoneticPr fontId="5"/>
  </si>
  <si>
    <t>すっごーい！完敗だよー！</t>
    <phoneticPr fontId="5"/>
  </si>
  <si>
    <t>一瞬で追い抜くぜェ！</t>
    <phoneticPr fontId="5"/>
  </si>
  <si>
    <t>オルトロスはHPが70%以上あると
赤と緑パネルを4ターンの間無効にします
攻撃を集中させてHPを減らしましょう</t>
    <phoneticPr fontId="5"/>
  </si>
  <si>
    <t>フロア3のイナバの3ゲージ目は
HPが50%程度で留まっていると
ユニット全体のCパネル生成が短縮されます</t>
    <phoneticPr fontId="5"/>
  </si>
  <si>
    <t>フロア3のイナバの2ゲージ目は
HPが50%程度で留まっていると
ユニット全体のスキルターンが短縮されます</t>
    <phoneticPr fontId="5"/>
  </si>
  <si>
    <t>old</t>
    <phoneticPr fontId="5"/>
  </si>
  <si>
    <t>フロア1の鏡音リンはHPの状況に応じて
使用するスキルが変化します</t>
    <phoneticPr fontId="5"/>
  </si>
  <si>
    <t>赤兎馬はHPが少しだけ減っている状態では
2ターンの間確率でプロテクトパネルを
ドロップさせるスキルを使用します</t>
    <phoneticPr fontId="5"/>
  </si>
  <si>
    <t>フロア3のイナバの1ゲージ目は
HPが90%以上あると
ユニット全体の攻撃力がDOWNし
フィーバーゲージが上昇します</t>
    <phoneticPr fontId="5"/>
  </si>
  <si>
    <t>complete</t>
    <phoneticPr fontId="5"/>
  </si>
  <si>
    <t>スピード自慢のスケボーライダー・イナバは
パワフルで疾走感のある鏡音リン・レンの
楽曲を好んで聴いているそうです</t>
    <phoneticPr fontId="5"/>
  </si>
  <si>
    <t>イナバ</t>
    <phoneticPr fontId="5"/>
  </si>
  <si>
    <t>鏡音リン</t>
    <phoneticPr fontId="5"/>
  </si>
  <si>
    <t>レースに出ているイナバが着用しているのは
鏡音リンの衣装です
その姿を見るためにレースに参加している
アバターもいるようです</t>
    <phoneticPr fontId="5"/>
  </si>
  <si>
    <t>ALICE GP</t>
    <phoneticPr fontId="5"/>
  </si>
  <si>
    <t>雪まつり同時開催のALICE GPは
レース型アトラクションです
イナバのように乗り物を使った
参加者も多いようです</t>
    <phoneticPr fontId="5"/>
  </si>
  <si>
    <t>現場急行！</t>
  </si>
  <si>
    <t>リンちゃんパワー全開っ！…なんてね！</t>
    <phoneticPr fontId="5"/>
  </si>
  <si>
    <t>新しい衣装のリンちゃんだー！超カワイイ！</t>
    <phoneticPr fontId="5"/>
  </si>
  <si>
    <t>ALICE GP、はじまるよー！</t>
    <phoneticPr fontId="5"/>
  </si>
  <si>
    <t>みんながんばれっ♪</t>
    <phoneticPr fontId="5"/>
  </si>
  <si>
    <t>爆音パワーボイス！</t>
    <phoneticPr fontId="5"/>
  </si>
  <si>
    <t>…イタズラしちゃえっ♪</t>
    <phoneticPr fontId="5"/>
  </si>
  <si>
    <t>ほらほらどうしたァ！</t>
    <phoneticPr fontId="5"/>
  </si>
  <si>
    <t>焼き尽くすぜェ！</t>
    <phoneticPr fontId="5"/>
  </si>
  <si>
    <t>優勝するのはオレだァ！</t>
    <phoneticPr fontId="5"/>
  </si>
  <si>
    <t>ぎゃは！オイラ優勝候補！</t>
    <phoneticPr fontId="5"/>
  </si>
  <si>
    <t>邪魔してやる〜！ぎゃは！</t>
    <phoneticPr fontId="5"/>
  </si>
  <si>
    <t>赤兎バースト！</t>
    <phoneticPr fontId="5"/>
  </si>
  <si>
    <t>ギアチェンジ！</t>
    <phoneticPr fontId="5"/>
  </si>
  <si>
    <t>なぬー！ミクさんに追いつかれるとは！</t>
    <phoneticPr fontId="5"/>
  </si>
  <si>
    <t>新しい衣装のミクさんだ！素敵ーっ♪</t>
    <phoneticPr fontId="5"/>
  </si>
  <si>
    <t>新しい衣装のレンくんだー！かっこいいっ！</t>
    <phoneticPr fontId="5"/>
  </si>
  <si>
    <t>ルカさん発見！…っとと、見惚れるとこだった！</t>
    <phoneticPr fontId="5"/>
  </si>
  <si>
    <t>新しい衣装のルカさんだー！
きれいですねっ♪</t>
    <phoneticPr fontId="5"/>
  </si>
  <si>
    <t>やば！MEIKOさんめっちゃ速いっ！！</t>
    <phoneticPr fontId="5"/>
  </si>
  <si>
    <t>わー！KAITOさんに追いつかれたっ！</t>
    <phoneticPr fontId="5"/>
  </si>
  <si>
    <t>三段ジャンプ！</t>
    <phoneticPr fontId="5"/>
  </si>
  <si>
    <t>ちょっと邪魔しちゃお！</t>
    <phoneticPr fontId="5"/>
  </si>
  <si>
    <t>踏んだら痛いよっ！</t>
    <phoneticPr fontId="5"/>
  </si>
  <si>
    <t>とげとげ攻撃！えーい！</t>
    <phoneticPr fontId="5"/>
  </si>
  <si>
    <t>三段キック！</t>
    <phoneticPr fontId="5"/>
  </si>
  <si>
    <t>追い抜いちゃうよっ！</t>
    <phoneticPr fontId="5"/>
  </si>
  <si>
    <t>ゴールまでもう少しだね！</t>
    <phoneticPr fontId="5"/>
  </si>
  <si>
    <t>追い越せるかなっ？</t>
    <phoneticPr fontId="5"/>
  </si>
  <si>
    <t>ひゃっほーい！爆音攻撃！</t>
    <phoneticPr fontId="5"/>
  </si>
  <si>
    <t>よーし！ゴールが見えてきたっ！</t>
    <phoneticPr fontId="5"/>
  </si>
  <si>
    <t>一歩リードだねっ！</t>
    <phoneticPr fontId="5"/>
  </si>
  <si>
    <t>参照用コード</t>
    <rPh sb="0" eb="3">
      <t>サンショウヨウ</t>
    </rPh>
    <phoneticPr fontId="5"/>
  </si>
  <si>
    <t>[effect:degrade_unit, target:unit_all, turn:2, status:attack, val:0.3, calc:mul]</t>
    <phoneticPr fontId="5"/>
  </si>
  <si>
    <t>[effect:degrade_unit, target:unit_all, turn:2, status:heal, val:0.3, calc:mul, animation:degrade_unit_all_heal],[effect:degrade_unit, target:unit_all, turn:2, status:defense, val:1080, calc:add]</t>
    <phoneticPr fontId="5"/>
  </si>
  <si>
    <t>[effect:enhance_unit, target:unit_all, turn:8, status:attack, val:0.3, calc:mul],[effect:enhance_unit, target:unit_all, turn:8, status:defense, val:1080, calc:add]</t>
    <phoneticPr fontId="5"/>
  </si>
  <si>
    <t>[effect:dis_panel, target:block_yellow, turn:4, animation:enemy_dis_yellow],[effect:suicide, target:myself, val:1, dead_type:escape],[effect:suicide, target:enemy_animal/enemy_machine, val:1, dead_type:suicide, animation:enemy_suicide]</t>
    <phoneticPr fontId="5"/>
  </si>
  <si>
    <t>[effect:force_change_block, new_block:block_heart, target:block_yellow, count:0, val:0],[effect:sp_boost, target:unit_all, val:2, animation:sp_boost_one02],[effect:suicide, target:myself, val:1, dead_type:escape],[effect:suicide, target:enemy_animal/enemy_machine, val:1, dead_type:suicide, animation:enemy_suicide]</t>
    <phoneticPr fontId="5"/>
  </si>
  <si>
    <t>[effect:fix_speed, target:myself, turn:2],[effect:tolerance, target:myself, turn:-1, count:-1, tolerance_effect:all, animation:enemy_tolerance]</t>
    <phoneticPr fontId="5"/>
  </si>
  <si>
    <t>[effect:dis_panel, target:block_red, turn:4, animation:enemy_dis_red],[effect:dis_panel, target:block_green, turn:4, animation:enemy_dis_green]</t>
    <phoneticPr fontId="5"/>
  </si>
  <si>
    <t>[effect:enhance_enemy, target:myself, turn:-1, status:attack, val:0.3, calc:mul, animation:enemy_enhance_attack],[effect:enhance_enemy, target:myself, turn:-1, status:defense, val:1080, calc:add, animation:enemy_enhance_defense]</t>
    <phoneticPr fontId="5"/>
  </si>
  <si>
    <t>[effect:drop_freeze, turn:2, block_type:block_all, rate:0.3, animation:drop_protect]</t>
    <phoneticPr fontId="5"/>
  </si>
  <si>
    <t>[effect:fix_speed, target:myself, turn:1],[effect:crash_condition, target:unit_all, turn:4, val:2, animation:enemy_crash_extend]</t>
    <phoneticPr fontId="5"/>
  </si>
  <si>
    <t>[effect:degrade_unit, target:unit_all, turn:2, status:attack, val:0.3, calc:mul],[effect:enhance_fever, val:500, animation:fevergauge_up03]</t>
    <phoneticPr fontId="5"/>
  </si>
  <si>
    <t>[effect:dis_panel, target:block_green, turn:2, animation:enemy_dis_green],[effect:panel_freeze, target:block_all, count:8]</t>
    <phoneticPr fontId="5"/>
  </si>
  <si>
    <t>[effect:fix_speed, target:myself, turn:1],[effect:tolerance, target:myself, turn:-1, count:-1, tolerance_effect:all, animation:enemy_tolerance]</t>
    <phoneticPr fontId="5"/>
  </si>
  <si>
    <t>[effect:critical, val:1.5, animation:enemy_critical]</t>
    <phoneticPr fontId="5"/>
  </si>
  <si>
    <t>[effect:enhance_enemy, target:myself, turn:-1, status:defense, val:1440, calc:add, animation:enemy_enhance_defense],[effect:critical, val:1]</t>
    <phoneticPr fontId="5"/>
  </si>
  <si>
    <t>[effect:drop_freeze, turn:4, block_type:block_all, rate:0.3, animation:drop_protect]</t>
    <phoneticPr fontId="5"/>
  </si>
  <si>
    <t>[effect:crash_condition, target:unit_all, turn:2, val:-2, animation:crash_panel_reduce03],[effect:drop_block, block_type:crack_bomb, block_color:block_heart, color:block_all, val:12, rate:0.15, turn:2, animation:bomb_influence04]</t>
    <phoneticPr fontId="5"/>
  </si>
  <si>
    <t>[effect:dis_panel, target:block_red, turn:1, animation:enemy_dis_red],[effect:dis_panel, target:block_green, turn:1, animation:enemy_dis_green],[effect:dis_panel, target:block_yellow, turn:1, animation:enemy_dis_yellow],[effect:critical, val:1.5, animation:enemy_critical]</t>
    <phoneticPr fontId="5"/>
  </si>
  <si>
    <t>2ターン全ユニットの攻撃力30%DOWN</t>
    <rPh sb="4" eb="5">
      <t>ゼンユニット</t>
    </rPh>
    <phoneticPr fontId="5"/>
  </si>
  <si>
    <t>2ターン全ユニットの回復力30%DOWN+防御力DOWN</t>
    <rPh sb="4" eb="5">
      <t>ゼンユニット</t>
    </rPh>
    <rPh sb="10" eb="12">
      <t>カイフク</t>
    </rPh>
    <rPh sb="21" eb="24">
      <t>ボウギョリョク</t>
    </rPh>
    <phoneticPr fontId="5"/>
  </si>
  <si>
    <t>8ターン全ユニットの攻撃力&amp;防御力UP</t>
    <rPh sb="4" eb="5">
      <t>ゼンユニット</t>
    </rPh>
    <rPh sb="10" eb="12">
      <t>コウゲキ</t>
    </rPh>
    <phoneticPr fontId="5"/>
  </si>
  <si>
    <t>黄パネルをハートパネルに変換+
全ユニットのスキルゲージを2ターン上昇</t>
    <rPh sb="0" eb="1">
      <t>キ</t>
    </rPh>
    <rPh sb="16" eb="17">
      <t>ゼンユニット</t>
    </rPh>
    <rPh sb="33" eb="35">
      <t>ジョウショウ</t>
    </rPh>
    <phoneticPr fontId="5"/>
  </si>
  <si>
    <t>2ターン全ユニットの攻撃力30%DOWN+
フィーバーゲージ増加</t>
    <rPh sb="4" eb="5">
      <t>ゼンユニット</t>
    </rPh>
    <rPh sb="30" eb="32">
      <t>ゾウカ</t>
    </rPh>
    <phoneticPr fontId="5"/>
  </si>
  <si>
    <t>お邪魔パネルを黄パネルに変換+
全ユニットのスキルゲージを2ターン上昇</t>
    <rPh sb="16" eb="17">
      <t>ゼンユニット</t>
    </rPh>
    <rPh sb="33" eb="35">
      <t>ジョウショウ</t>
    </rPh>
    <phoneticPr fontId="5"/>
  </si>
  <si>
    <t>dead_type</t>
    <phoneticPr fontId="5"/>
  </si>
  <si>
    <t>bit</t>
  </si>
  <si>
    <t>clear</t>
    <phoneticPr fontId="5"/>
  </si>
  <si>
    <t>[effect:fix_speed, target:myself, turn:3]</t>
    <phoneticPr fontId="5"/>
  </si>
  <si>
    <t>[effect:force_change_block, new_block:jammer, target:block_all, ignore01:crash, ignore02:crack_bomb, ignore03:time_bomb, ignore04:jammer, ignore05:damage, ignore06:color_break, ignore07:magnet, count:14, val:0]</t>
    <phoneticPr fontId="5"/>
  </si>
  <si>
    <t>[effect:force_change_block, new_block:block_yellow, target:jammer, ignore01:crash, ignore02:crack_bomb, ignore03:time_bomb, ignore04:damage, ignore05:color_break, ignore06:magnet, count:0, val:0],[effect:sp_boost, target:unit_all, val:2, animation:sp_boost_one02]</t>
    <phoneticPr fontId="5"/>
  </si>
  <si>
    <t>[effect:force_change_block, new_block:jammer, target:block_yellow, ignore01:crash, ignore02:crack_bomb, ignore03:time_bomb, ignore04:jammer, ignore05:damage, ignore06:color_break, ignore07:magnet, count:0, val:0],[effect:critical, val:1]</t>
    <phoneticPr fontId="5"/>
  </si>
  <si>
    <t>防御力UP+単体攻撃</t>
    <phoneticPr fontId="5"/>
  </si>
  <si>
    <t>攻撃力&amp;防御力UP</t>
    <phoneticPr fontId="5"/>
  </si>
  <si>
    <t>valid_flg</t>
    <phoneticPr fontId="5"/>
  </si>
  <si>
    <t>[effect:force_change_block, new_block:damage, target:block_red, color:block_red, count:4, val:0.1]</t>
    <phoneticPr fontId="5"/>
  </si>
  <si>
    <t>[effect:force_change_block, new_block:damage, target:block_green, color:block_green, count:4, val:0.1]</t>
    <phoneticPr fontId="5"/>
  </si>
  <si>
    <t>[effect:force_change_block, new_block:damage, target:block_yellow, color:block_yellow, count:4, val:0.1]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</si>
</sst>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7" xfId="0" applyFill="1" applyBorder="1"/>
    <xf numFmtId="0" fontId="24" fillId="0" borderId="7" xfId="615" applyFont="1" applyBorder="1"/>
    <xf numFmtId="0" fontId="16" fillId="0" borderId="7" xfId="0" applyFont="1" applyFill="1" applyBorder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6" sqref="I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272</v>
      </c>
      <c r="B2" s="57" t="s">
        <v>107</v>
      </c>
      <c r="C2" s="63">
        <v>49010</v>
      </c>
      <c r="D2" s="57" t="s">
        <v>108</v>
      </c>
      <c r="E2" s="56" t="str">
        <f>B2&amp;C2&amp;D2</f>
        <v>floors_49010.tmp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272</v>
      </c>
      <c r="B3" s="57" t="s">
        <v>110</v>
      </c>
      <c r="C3" s="63">
        <v>49010</v>
      </c>
      <c r="D3" s="57" t="s">
        <v>108</v>
      </c>
      <c r="E3" s="56" t="str">
        <f>B3&amp;C3&amp;D3</f>
        <v>enemy_habitats_49010.tmp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272</v>
      </c>
      <c r="B4" s="57" t="s">
        <v>112</v>
      </c>
      <c r="C4" s="63">
        <v>49010</v>
      </c>
      <c r="D4" s="57" t="s">
        <v>108</v>
      </c>
      <c r="E4" s="56" t="str">
        <f>B4&amp;C4&amp;D4</f>
        <v>enemy_habitat_S_49010.tmp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272</v>
      </c>
      <c r="B5" s="57" t="s">
        <v>114</v>
      </c>
      <c r="C5" s="63">
        <v>49010</v>
      </c>
      <c r="D5" s="57" t="s">
        <v>108</v>
      </c>
      <c r="E5" s="56" t="str">
        <f>B5&amp;C5&amp;D5</f>
        <v>enemy_skill_sets_49010.tmp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272</v>
      </c>
      <c r="B6" s="57" t="s">
        <v>116</v>
      </c>
      <c r="C6" s="63">
        <v>49010</v>
      </c>
      <c r="D6" s="57" t="s">
        <v>117</v>
      </c>
      <c r="E6" s="56" t="str">
        <f t="shared" ref="E6:E10" si="0">B6&amp;C6&amp;D6</f>
        <v>enemy_skills_tmp_49010.tmp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272</v>
      </c>
      <c r="B7" s="57" t="s">
        <v>118</v>
      </c>
      <c r="C7" s="63">
        <v>49010</v>
      </c>
      <c r="D7" s="57" t="s">
        <v>108</v>
      </c>
      <c r="E7" s="56" t="str">
        <f>B7&amp;C7&amp;D7</f>
        <v>enemy_skills_i18n_49010.tmp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272</v>
      </c>
      <c r="B8" s="57" t="s">
        <v>120</v>
      </c>
      <c r="C8" s="63">
        <v>49010</v>
      </c>
      <c r="D8" s="57" t="s">
        <v>121</v>
      </c>
      <c r="E8" s="56" t="str">
        <f t="shared" si="0"/>
        <v>enemy_skill_triggers_49010.tmp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304</v>
      </c>
      <c r="B9" s="68" t="s">
        <v>177</v>
      </c>
      <c r="C9" s="63">
        <v>49010</v>
      </c>
      <c r="D9" s="68" t="s">
        <v>171</v>
      </c>
      <c r="E9" s="69" t="str">
        <f t="shared" si="0"/>
        <v>stage_bug_bonuses_49010.tmp</v>
      </c>
      <c r="F9" s="68" t="s">
        <v>172</v>
      </c>
      <c r="G9" s="65" t="s">
        <v>151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304</v>
      </c>
      <c r="B10" s="68" t="s">
        <v>200</v>
      </c>
      <c r="C10" s="63">
        <v>49010</v>
      </c>
      <c r="D10" s="68" t="s">
        <v>180</v>
      </c>
      <c r="E10" s="69" t="str">
        <f t="shared" si="0"/>
        <v>stage_hints_data_c_49010.tmp</v>
      </c>
      <c r="F10" s="68" t="s">
        <v>208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304</v>
      </c>
      <c r="B11" s="68" t="s">
        <v>201</v>
      </c>
      <c r="C11" s="63">
        <v>49010</v>
      </c>
      <c r="D11" s="68" t="s">
        <v>171</v>
      </c>
      <c r="E11" s="69" t="str">
        <f t="shared" ref="E11:E13" si="1">B11&amp;C11&amp;D11</f>
        <v>stage_hints_data_f_49010.tmp</v>
      </c>
      <c r="F11" s="68" t="s">
        <v>209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121" t="s">
        <v>304</v>
      </c>
      <c r="B12" s="68" t="s">
        <v>202</v>
      </c>
      <c r="C12" s="63">
        <v>49010</v>
      </c>
      <c r="D12" s="68" t="s">
        <v>171</v>
      </c>
      <c r="E12" s="69" t="str">
        <f t="shared" si="1"/>
        <v>stage_hints_i18n_49010.tmp</v>
      </c>
      <c r="F12" s="68" t="s">
        <v>210</v>
      </c>
      <c r="G12" s="74" t="s">
        <v>203</v>
      </c>
      <c r="H12" s="93" t="s">
        <v>204</v>
      </c>
      <c r="I12" s="73" t="s">
        <v>205</v>
      </c>
      <c r="J12" s="101" t="s">
        <v>206</v>
      </c>
      <c r="K12" s="67" t="s">
        <v>207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121" t="s">
        <v>304</v>
      </c>
      <c r="B13" s="68" t="s">
        <v>250</v>
      </c>
      <c r="C13" s="63">
        <v>49010</v>
      </c>
      <c r="D13" s="68" t="s">
        <v>231</v>
      </c>
      <c r="E13" s="69" t="str">
        <f t="shared" si="1"/>
        <v>stage_bonuses_49010.tmp</v>
      </c>
      <c r="F13" s="68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F2" sqref="F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49010_1-1</v>
      </c>
      <c r="B2" s="16" t="str">
        <f>IF(COUNTIF(enemy_habitats!$H:$H,A2),"OK","NG")</f>
        <v>OK</v>
      </c>
      <c r="C2" s="7">
        <v>49010</v>
      </c>
      <c r="D2" s="11" t="str">
        <f ca="1">VLOOKUP($C2,OFFSET([2]quests!$A$1,0,0,COUNTA([2]quests!$A:$A),MATCH(D$1,[2]quests!$1:$1,0)-MATCH($C$1,[2]quests!$1:$1,0)+1),MATCH(D$1,[2]quests!$1:$1,0)-MATCH($C$1,[2]quests!$1:$1,0)+1,FALSE)</f>
        <v>走り抜けろ！ALICE GP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コラボ降臨8</v>
      </c>
      <c r="F2" s="21">
        <v>1</v>
      </c>
      <c r="G2" s="23" t="str">
        <f>C2&amp;"_"&amp;F2</f>
        <v>49010_1</v>
      </c>
      <c r="H2" s="15" t="str">
        <f ca="1">VLOOKUP($G2,OFFSET([2]stages!$A$1,0,0,COUNTA([2]stages!$A:$A),MATCH(H$1,[2]stages!$2:$2,0)-MATCH($G$1,[2]stages!$2:$2,0)+1),MATCH(H$1,[2]stages!$2:$2,0)-MATCH($G$1,[2]stages!$2:$2,0)+1,FALSE)</f>
        <v>【ｳｨｻﾞ】走り抜けろ！ALICE GP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49010_1-2</v>
      </c>
      <c r="B3" s="16" t="str">
        <f>IF(COUNTIF(enemy_habitats!$H:$H,A3),"OK","NG")</f>
        <v>OK</v>
      </c>
      <c r="C3" s="7">
        <v>49010</v>
      </c>
      <c r="D3" s="11" t="str">
        <f ca="1">VLOOKUP($C3,OFFSET([2]quests!$A$1,0,0,COUNTA([2]quests!$A:$A),MATCH(D$1,[2]quests!$1:$1,0)-MATCH($C$1,[2]quests!$1:$1,0)+1),MATCH(D$1,[2]quests!$1:$1,0)-MATCH($C$1,[2]quests!$1:$1,0)+1,FALSE)</f>
        <v>走り抜けろ！ALICE GP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コラボ降臨8</v>
      </c>
      <c r="F3" s="21">
        <v>1</v>
      </c>
      <c r="G3" s="23" t="str">
        <f>C3&amp;"_"&amp;F3</f>
        <v>49010_1</v>
      </c>
      <c r="H3" s="15" t="str">
        <f ca="1">VLOOKUP($G3,OFFSET([2]stages!$A$1,0,0,COUNTA([2]stages!$A:$A),MATCH(H$1,[2]stages!$2:$2,0)-MATCH($G$1,[2]stages!$2:$2,0)+1),MATCH(H$1,[2]stages!$2:$2,0)-MATCH($G$1,[2]stages!$2:$2,0)+1,FALSE)</f>
        <v>【ｳｨｻﾞ】走り抜けろ！ALICE GP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49010_1-3</v>
      </c>
      <c r="B4" s="16" t="str">
        <f>IF(COUNTIF(enemy_habitats!$H:$H,A4),"OK","NG")</f>
        <v>OK</v>
      </c>
      <c r="C4" s="7">
        <v>49010</v>
      </c>
      <c r="D4" s="11" t="str">
        <f ca="1">VLOOKUP($C4,OFFSET([2]quests!$A$1,0,0,COUNTA([2]quests!$A:$A),MATCH(D$1,[2]quests!$1:$1,0)-MATCH($C$1,[2]quests!$1:$1,0)+1),MATCH(D$1,[2]quests!$1:$1,0)-MATCH($C$1,[2]quests!$1:$1,0)+1,FALSE)</f>
        <v>走り抜けろ！ALICE GP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コラボ降臨8</v>
      </c>
      <c r="F4" s="21">
        <v>1</v>
      </c>
      <c r="G4" s="23" t="str">
        <f>C4&amp;"_"&amp;F4</f>
        <v>49010_1</v>
      </c>
      <c r="H4" s="15" t="str">
        <f ca="1">VLOOKUP($G4,OFFSET([2]stages!$A$1,0,0,COUNTA([2]stages!$A:$A),MATCH(H$1,[2]stages!$2:$2,0)-MATCH($G$1,[2]stages!$2:$2,0)+1),MATCH(H$1,[2]stages!$2:$2,0)-MATCH($G$1,[2]stages!$2:$2,0)+1,FALSE)</f>
        <v>【ｳｨｻﾞ】走り抜けろ！ALICE GP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5" sqref="S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49010_1-1/28&lt;lv80&gt;s2</v>
      </c>
      <c r="B2" s="22">
        <v>49010</v>
      </c>
      <c r="C2" s="21">
        <v>1</v>
      </c>
      <c r="D2" s="2" t="str">
        <f t="shared" ref="D2:D7" si="1">B2&amp;"_"&amp;C2</f>
        <v>49010_1</v>
      </c>
      <c r="E2" s="4" t="str">
        <f ca="1">VLOOKUP($B2,OFFSET([2]quests!$A$1,0,0,COUNTA([2]quests!$A:$A),MATCH(E$1,[2]quests!$1:$1,0)-MATCH($B$1,[2]quests!$1:$1,0)+1),MATCH(E$1,[2]quests!$1:$1,0)-MATCH($B$1,[2]quests!$1:$1,0)+1,FALSE)</f>
        <v>走り抜けろ！ALICE GP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【ｳｨｻﾞ】走り抜けろ！ALICE GP</v>
      </c>
      <c r="G2" s="21">
        <v>1</v>
      </c>
      <c r="H2" s="15" t="str">
        <f t="shared" ref="H2:H7" si="2">B2&amp;"_"&amp;C2&amp;"-"&amp;G2</f>
        <v>49010_1-1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現場急行 パトラインカスタム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2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26602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3738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2" s="62">
        <v>49010001</v>
      </c>
      <c r="Z2" s="6">
        <v>1</v>
      </c>
      <c r="AA2" s="6">
        <v>100</v>
      </c>
      <c r="AB2" s="6">
        <v>0</v>
      </c>
      <c r="AC2" s="105">
        <v>2</v>
      </c>
      <c r="AD2" s="24">
        <f t="shared" ref="AD2:AD7" si="3">L2</f>
        <v>28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現場急行 パトラインカスタム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7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49010_1-1/63&lt;lv80&gt;s2</v>
      </c>
      <c r="B3" s="22">
        <v>49010</v>
      </c>
      <c r="C3" s="21">
        <v>1</v>
      </c>
      <c r="D3" s="2" t="str">
        <f t="shared" si="1"/>
        <v>49010_1</v>
      </c>
      <c r="E3" s="4" t="str">
        <f ca="1">VLOOKUP($B3,OFFSET([2]quests!$A$1,0,0,COUNTA([2]quests!$A:$A),MATCH(E$1,[2]quests!$1:$1,0)-MATCH($B$1,[2]quests!$1:$1,0)+1),MATCH(E$1,[2]quests!$1:$1,0)-MATCH($B$1,[2]quests!$1:$1,0)+1,FALSE)</f>
        <v>走り抜けろ！ALICE GP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【ｳｨｻﾞ】走り抜けろ！ALICE GP</v>
      </c>
      <c r="G3" s="21">
        <v>1</v>
      </c>
      <c r="H3" s="15" t="str">
        <f t="shared" si="2"/>
        <v>49010_1-1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トニー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2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28754</v>
      </c>
      <c r="U3" s="25">
        <v>0.7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3423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3" s="62">
        <v>49010002</v>
      </c>
      <c r="Z3" s="6">
        <v>1</v>
      </c>
      <c r="AA3" s="6">
        <v>100</v>
      </c>
      <c r="AB3" s="6">
        <v>0</v>
      </c>
      <c r="AC3" s="105">
        <v>2</v>
      </c>
      <c r="AD3" s="24">
        <f t="shared" si="3"/>
        <v>63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49010_1-1/543&lt;lv80&gt;s3</v>
      </c>
      <c r="B4" s="22">
        <v>49010</v>
      </c>
      <c r="C4" s="21">
        <v>1</v>
      </c>
      <c r="D4" s="2" t="str">
        <f t="shared" si="1"/>
        <v>49010_1</v>
      </c>
      <c r="E4" s="4" t="str">
        <f ca="1">VLOOKUP($B4,OFFSET([2]quests!$A$1,0,0,COUNTA([2]quests!$A:$A),MATCH(E$1,[2]quests!$1:$1,0)-MATCH($B$1,[2]quests!$1:$1,0)+1),MATCH(E$1,[2]quests!$1:$1,0)-MATCH($B$1,[2]quests!$1:$1,0)+1,FALSE)</f>
        <v>走り抜けろ！ALICE GP</v>
      </c>
      <c r="F4" s="4" t="str">
        <f ca="1">VLOOKUP($D4,OFFSET([2]stages!$A$1,0,0,COUNTA([2]stages!$A:$A),MATCH(F$1,[2]stages!$2:$2,0)-MATCH($D$1,[2]stages!$2:$2,0)+1),MATCH(F$1,[2]stages!$2:$2,0)-MATCH($D$1,[2]stages!$2:$2,0)+1,FALSE)</f>
        <v>【ｳｨｻﾞ】走り抜けろ！ALICE GP</v>
      </c>
      <c r="G4" s="21">
        <v>1</v>
      </c>
      <c r="H4" s="15" t="str">
        <f t="shared" si="2"/>
        <v>49010_1-1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543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鏡音リン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1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103831</v>
      </c>
      <c r="U4" s="25">
        <v>0.8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6677.6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このレースを制すのは誰だー！？</v>
      </c>
      <c r="Y4" s="62">
        <v>49010003</v>
      </c>
      <c r="Z4" s="6">
        <v>1</v>
      </c>
      <c r="AA4" s="6">
        <v>100</v>
      </c>
      <c r="AB4" s="6">
        <v>1</v>
      </c>
      <c r="AC4" s="105">
        <v>3</v>
      </c>
      <c r="AD4" s="24">
        <f t="shared" si="3"/>
        <v>543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鏡音リン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49010_1-2/736&lt;lv80&gt;s2</v>
      </c>
      <c r="B5" s="22">
        <v>49010</v>
      </c>
      <c r="C5" s="21">
        <v>1</v>
      </c>
      <c r="D5" s="2" t="str">
        <f t="shared" si="1"/>
        <v>49010_1</v>
      </c>
      <c r="E5" s="4" t="str">
        <f ca="1">VLOOKUP($B5,OFFSET([2]quests!$A$1,0,0,COUNTA([2]quests!$A:$A),MATCH(E$1,[2]quests!$1:$1,0)-MATCH($B$1,[2]quests!$1:$1,0)+1),MATCH(E$1,[2]quests!$1:$1,0)-MATCH($B$1,[2]quests!$1:$1,0)+1,FALSE)</f>
        <v>走り抜けろ！ALICE GP</v>
      </c>
      <c r="F5" s="4" t="str">
        <f ca="1">VLOOKUP($D5,OFFSET([2]stages!$A$1,0,0,COUNTA([2]stages!$A:$A),MATCH(F$1,[2]stages!$2:$2,0)-MATCH($D$1,[2]stages!$2:$2,0)+1),MATCH(F$1,[2]stages!$2:$2,0)-MATCH($D$1,[2]stages!$2:$2,0)+1,FALSE)</f>
        <v>【ｳｨｻﾞ】走り抜けろ！ALICE GP</v>
      </c>
      <c r="G5" s="21">
        <v>2</v>
      </c>
      <c r="H5" s="15" t="str">
        <f t="shared" si="2"/>
        <v>49010_1-2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736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オルトロス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1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153628</v>
      </c>
      <c r="U5" s="25">
        <v>1.2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9457.1999999999989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62">
        <v>49010004</v>
      </c>
      <c r="Z5" s="6">
        <v>1</v>
      </c>
      <c r="AA5" s="6">
        <v>100</v>
      </c>
      <c r="AB5" s="6">
        <v>0</v>
      </c>
      <c r="AC5" s="105">
        <v>2</v>
      </c>
      <c r="AD5" s="24">
        <f t="shared" si="3"/>
        <v>736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オルトロス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49010_1-2/1129&lt;lv80&gt;s2</v>
      </c>
      <c r="B6" s="22">
        <v>49010</v>
      </c>
      <c r="C6" s="21">
        <v>1</v>
      </c>
      <c r="D6" s="2" t="str">
        <f t="shared" si="1"/>
        <v>49010_1</v>
      </c>
      <c r="E6" s="4" t="str">
        <f ca="1">VLOOKUP($B6,OFFSET([2]quests!$A$1,0,0,COUNTA([2]quests!$A:$A),MATCH(E$1,[2]quests!$1:$1,0)-MATCH($B$1,[2]quests!$1:$1,0)+1),MATCH(E$1,[2]quests!$1:$1,0)-MATCH($B$1,[2]quests!$1:$1,0)+1,FALSE)</f>
        <v>走り抜けろ！ALICE GP</v>
      </c>
      <c r="F6" s="4" t="str">
        <f ca="1">VLOOKUP($D6,OFFSET([2]stages!$A$1,0,0,COUNTA([2]stages!$A:$A),MATCH(F$1,[2]stages!$2:$2,0)-MATCH($D$1,[2]stages!$2:$2,0)+1),MATCH(F$1,[2]stages!$2:$2,0)-MATCH($D$1,[2]stages!$2:$2,0)+1,FALSE)</f>
        <v>【ｳｨｻﾞ】走り抜けろ！ALICE GP</v>
      </c>
      <c r="G6" s="21">
        <v>2</v>
      </c>
      <c r="H6" s="15" t="str">
        <f t="shared" si="2"/>
        <v>49010_1-2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1129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赤兎馬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1.1000000000000001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152405</v>
      </c>
      <c r="U6" s="25">
        <v>1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9986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49010005</v>
      </c>
      <c r="Z6" s="6">
        <v>1</v>
      </c>
      <c r="AA6" s="6">
        <v>100</v>
      </c>
      <c r="AB6" s="6">
        <v>0</v>
      </c>
      <c r="AC6" s="105">
        <v>2</v>
      </c>
      <c r="AD6" s="24">
        <f t="shared" si="3"/>
        <v>1129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49010_1-3/1302&lt;lv80&gt;s1</v>
      </c>
      <c r="B7" s="22">
        <v>49010</v>
      </c>
      <c r="C7" s="21">
        <v>1</v>
      </c>
      <c r="D7" s="2" t="str">
        <f t="shared" si="1"/>
        <v>49010_1</v>
      </c>
      <c r="E7" s="4" t="str">
        <f ca="1">VLOOKUP($B7,OFFSET([2]quests!$A$1,0,0,COUNTA([2]quests!$A:$A),MATCH(E$1,[2]quests!$1:$1,0)-MATCH($B$1,[2]quests!$1:$1,0)+1),MATCH(E$1,[2]quests!$1:$1,0)-MATCH($B$1,[2]quests!$1:$1,0)+1,FALSE)</f>
        <v>走り抜けろ！ALICE GP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【ｳｨｻﾞ】走り抜けろ！ALICE GP</v>
      </c>
      <c r="G7" s="21">
        <v>3</v>
      </c>
      <c r="H7" s="15" t="str">
        <f t="shared" si="2"/>
        <v>49010_1-3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1302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超天突符 イナバ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1.2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149634</v>
      </c>
      <c r="U7" s="25">
        <v>0.9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7065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4ターンCパネル生成延長(効果大)</v>
      </c>
      <c r="Y7" s="62">
        <v>49010006</v>
      </c>
      <c r="Z7" s="6">
        <v>1</v>
      </c>
      <c r="AA7" s="6">
        <v>100</v>
      </c>
      <c r="AB7" s="6">
        <v>1</v>
      </c>
      <c r="AC7" s="105">
        <v>1</v>
      </c>
      <c r="AD7" s="24">
        <f t="shared" si="3"/>
        <v>1302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超天突符 イナバ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Y1" sqref="Y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49010_1-3/1302&lt;lv80&gt;sq1st2</v>
      </c>
      <c r="B2" s="22">
        <v>49010</v>
      </c>
      <c r="C2" s="21">
        <v>1</v>
      </c>
      <c r="D2" s="2" t="str">
        <f>B2&amp;"_"&amp;C2</f>
        <v>49010_1</v>
      </c>
      <c r="E2" s="4" t="str">
        <f ca="1">VLOOKUP($B2,OFFSET([2]quests!$A$1,0,0,COUNTA([2]quests!$A:$A),MATCH(E$1,[2]quests!$1:$1,0)-MATCH($B$1,[2]quests!$1:$1,0)+1),MATCH(E$1,[2]quests!$1:$1,0)-MATCH($B$1,[2]quests!$1:$1,0)+1,FALSE)</f>
        <v>走り抜けろ！ALICE GP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【ｳｨｻﾞ】走り抜けろ！ALICE GP</v>
      </c>
      <c r="G2" s="21">
        <v>3</v>
      </c>
      <c r="H2" s="15" t="str">
        <f>B2&amp;"_"&amp;C2&amp;"-"&amp;G2</f>
        <v>49010_1-3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1302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超天突符 イナバ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1.6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199512</v>
      </c>
      <c r="V2" s="25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7850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2" s="62">
        <v>49010007</v>
      </c>
      <c r="AA2" s="106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49010_1-3/1303&lt;lv80&gt;sq1st3</v>
      </c>
      <c r="B3" s="22">
        <v>49010</v>
      </c>
      <c r="C3" s="21">
        <v>1</v>
      </c>
      <c r="D3" s="2" t="str">
        <f>B3&amp;"_"&amp;C3</f>
        <v>49010_1</v>
      </c>
      <c r="E3" s="4" t="str">
        <f ca="1">VLOOKUP($B3,OFFSET([2]quests!$A$1,0,0,COUNTA([2]quests!$A:$A),MATCH(E$1,[2]quests!$1:$1,0)-MATCH($B$1,[2]quests!$1:$1,0)+1),MATCH(E$1,[2]quests!$1:$1,0)-MATCH($B$1,[2]quests!$1:$1,0)+1,FALSE)</f>
        <v>走り抜けろ！ALICE GP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【ｳｨｻﾞ】走り抜けろ！ALICE GP</v>
      </c>
      <c r="G3" s="21">
        <v>3</v>
      </c>
      <c r="H3" s="15" t="str">
        <f>B3&amp;"_"&amp;C3&amp;"-"&amp;G3</f>
        <v>49010_1-3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1303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転調･超天突符 イナバ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1.6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199512</v>
      </c>
      <c r="V3" s="25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7850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3" s="62">
        <v>49010008</v>
      </c>
      <c r="AA3" s="10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53"/>
  <sheetViews>
    <sheetView showGridLines="0" zoomScale="80" zoomScaleNormal="80" zoomScalePageLayoutView="80" workbookViewId="0">
      <pane ySplit="1" topLeftCell="A32" activePane="bottomLeft" state="frozenSplit"/>
      <selection pane="bottomLeft" activeCell="AC36" sqref="AC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29" width="24.6640625" style="49" customWidth="1"/>
    <col min="30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381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  <c r="AC1" s="41" t="s">
        <v>347</v>
      </c>
      <c r="AD1" s="41" t="s">
        <v>372</v>
      </c>
    </row>
    <row r="2" spans="1:30" ht="21" customHeight="1" x14ac:dyDescent="0.15">
      <c r="A2" s="47">
        <v>49010001</v>
      </c>
      <c r="B2" s="47" t="str">
        <f>"[effect:enemy_message, val1:"&amp;TEXT(IF(E2="[表示しない]", "0", IF(LEN(CLEAN(E2))*0.1&lt;1.2, 1.2, LEN(CLEAN(E2))*0.1)), "0.0")&amp;", val2:"&amp;TEXT(IF(F2="[表示しない]", "0", IF(LEN(CLEAN(F2))*0.1&lt;1.2, 1.2, LEN(CLEAN(F2))*0.1)),"0.0")&amp;IF(AD2="escape",", dead_type:escape]","]")&amp;IF(LEN(AC2)&gt;0, ","&amp;AC2,AC2)</f>
        <v>[effect:enemy_message, val1:1.2, val2:1.2],[effect:rush, count:3, val:0.44]</v>
      </c>
      <c r="C2" s="50">
        <v>3</v>
      </c>
      <c r="D2" s="50" t="s">
        <v>128</v>
      </c>
      <c r="E2" s="51" t="s">
        <v>315</v>
      </c>
      <c r="F2" s="51" t="s">
        <v>253</v>
      </c>
      <c r="G2" s="64" t="str">
        <f t="shared" ref="G2:G46" si="0">IFERROR(LEFT(B2,FIND("],",B2)),B2)</f>
        <v>[effect:enemy_message, val1:1.2, val2:1.2]</v>
      </c>
      <c r="H2" s="64">
        <f t="shared" ref="H2:H51" si="1">FIND("effect:",G2)+7</f>
        <v>9</v>
      </c>
      <c r="I2" s="64">
        <f t="shared" ref="I2:I46" si="2">IFERROR(FIND(",",G2),LEN(G2))</f>
        <v>22</v>
      </c>
      <c r="J2" s="64" t="e">
        <f t="shared" ref="J2:J46" si="3">FIND("target:",G2)+7</f>
        <v>#VALUE!</v>
      </c>
      <c r="K2" s="64">
        <f t="shared" ref="K2:K46" si="4"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46" si="5">IFERROR(RIGHT(B2,LEN(B2)-FIND("],",B2)-1),"none")</f>
        <v>[effect:rush, count:3, val:0.44]</v>
      </c>
      <c r="N2" s="48" t="str">
        <f>IFERROR(LEFT(M2,FIND("],",M2)+S10),M2)</f>
        <v>[effect:rush, count:3, val:0.44]</v>
      </c>
      <c r="O2" s="64">
        <f t="shared" ref="O2:O51" si="6">FIND("effect:",N2)+7</f>
        <v>9</v>
      </c>
      <c r="P2" s="64">
        <f t="shared" ref="P2:P46" si="7">IFERROR(FIND(",",N2),LEN(N2))</f>
        <v>13</v>
      </c>
      <c r="Q2" s="64" t="e">
        <f t="shared" ref="Q2:Q46" si="8">FIND("target:",N2)+7</f>
        <v>#VALUE!</v>
      </c>
      <c r="R2" s="64">
        <f t="shared" ref="R2:R46" si="9">FIND(",",N2,P2+1)</f>
        <v>22</v>
      </c>
      <c r="S2" s="64" t="str">
        <f>IFERROR(VLOOKUP(MID(N2,Q2,R2-Q2),[5]skilldef!$C:$D,2,FALSE),"-") &amp; " / " &amp; IFERROR(VLOOKUP(MID(N2,O2,P2-O2),[5]skilldef!$A:$B,2,FALSE),"-")</f>
        <v>- / 連続攻撃</v>
      </c>
      <c r="T2" s="48" t="str">
        <f t="shared" ref="T2:T46" si="10">IFERROR(RIGHT(M2,LEN(M2)-FIND("],",M2)-1),"none")</f>
        <v>none</v>
      </c>
      <c r="U2" s="64" t="e">
        <f t="shared" ref="U2:U51" si="11">FIND("effect:",T2)+7</f>
        <v>#VALUE!</v>
      </c>
      <c r="V2" s="64">
        <f t="shared" ref="V2:V46" si="12">IFERROR(FIND(",",T2),LEN(T2))</f>
        <v>4</v>
      </c>
      <c r="W2" s="64" t="e">
        <f t="shared" ref="W2:W46" si="13">FIND("target:",T2)+7</f>
        <v>#VALUE!</v>
      </c>
      <c r="X2" s="64" t="e">
        <f t="shared" ref="X2:X46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  <c r="AC2" s="122" t="s">
        <v>254</v>
      </c>
      <c r="AD2" s="47"/>
    </row>
    <row r="3" spans="1:30" ht="21" customHeight="1" x14ac:dyDescent="0.15">
      <c r="A3" s="47">
        <v>49010002</v>
      </c>
      <c r="B3" s="47" t="str">
        <f t="shared" ref="B3:B53" si="15">"[effect:enemy_message, val1:"&amp;TEXT(IF(E3="[表示しない]", "0", IF(LEN(CLEAN(E3))*0.1&lt;1.2, 1.2, LEN(CLEAN(E3))*0.1)), "0.0")&amp;", val2:"&amp;TEXT(IF(F3="[表示しない]", "0", IF(LEN(CLEAN(F3))*0.1&lt;1.2, 1.2, LEN(CLEAN(F3))*0.1)),"0.0")&amp;IF(AD3="escape",", dead_type:escape]","]")&amp;IF(LEN(AC3)&gt;0, ","&amp;AC3,AC3)</f>
        <v>[effect:enemy_message, val1:1.2, val2:2.0],[effect:degrade_unit, target:unit_all, turn:2, status:attack, val:0.3, calc:mul]</v>
      </c>
      <c r="C3" s="50">
        <v>3</v>
      </c>
      <c r="D3" s="50" t="s">
        <v>128</v>
      </c>
      <c r="E3" s="51" t="s">
        <v>276</v>
      </c>
      <c r="F3" s="51" t="s">
        <v>366</v>
      </c>
      <c r="G3" s="64" t="str">
        <f t="shared" si="0"/>
        <v>[effect:enemy_message, val1:1.2, val2:2.0]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5"/>
        <v>[effect:degrade_unit, target:unit_all, turn:2, status:attack, val:0.3, calc:mul]</v>
      </c>
      <c r="N3" s="48" t="str">
        <f>IFERROR(LEFT(M3,FIND("],",M3)+S11),M3)</f>
        <v>[effect:degrade_unit, target:unit_all, turn:2, status:attack, val:0.3, calc:mul]</v>
      </c>
      <c r="O3" s="64">
        <f t="shared" si="6"/>
        <v>9</v>
      </c>
      <c r="P3" s="64">
        <f t="shared" si="7"/>
        <v>21</v>
      </c>
      <c r="Q3" s="64">
        <f t="shared" si="8"/>
        <v>30</v>
      </c>
      <c r="R3" s="64">
        <f t="shared" si="9"/>
        <v>38</v>
      </c>
      <c r="S3" s="64" t="str">
        <f>IFERROR(VLOOKUP(MID(N3,Q3,R3-Q3),[5]skilldef!$C:$D,2,FALSE),"-") &amp; " / " &amp; IFERROR(VLOOKUP(MID(N3,O3,P3-O3),[5]skilldef!$A:$B,2,FALSE),"-")</f>
        <v>味方全体に / ステータスDOWN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  <c r="AC3" s="122" t="s">
        <v>348</v>
      </c>
      <c r="AD3" s="47"/>
    </row>
    <row r="4" spans="1:30" ht="21" customHeight="1" x14ac:dyDescent="0.15">
      <c r="A4" s="47">
        <v>49010003</v>
      </c>
      <c r="B4" s="47" t="str">
        <f t="shared" si="15"/>
        <v>[effect:enemy_message, val1:1.2, val2:1.2],[effect:rush, count:3, val:0.44]</v>
      </c>
      <c r="C4" s="50">
        <v>3</v>
      </c>
      <c r="D4" s="50" t="s">
        <v>128</v>
      </c>
      <c r="E4" s="51" t="s">
        <v>277</v>
      </c>
      <c r="F4" s="51" t="s">
        <v>253</v>
      </c>
      <c r="G4" s="64" t="str">
        <f t="shared" si="0"/>
        <v>[effect:enemy_message, val1:1.2, val2:1.2]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[effect:rush, count:3, val:0.44]</v>
      </c>
      <c r="N4" s="48" t="str">
        <f>IFERROR(LEFT(M4,FIND("],",M4)+S13),M4)</f>
        <v>[effect:rush, count:3, val:0.44]</v>
      </c>
      <c r="O4" s="64">
        <f t="shared" si="6"/>
        <v>9</v>
      </c>
      <c r="P4" s="64">
        <f t="shared" si="7"/>
        <v>13</v>
      </c>
      <c r="Q4" s="64" t="e">
        <f t="shared" si="8"/>
        <v>#VALUE!</v>
      </c>
      <c r="R4" s="64">
        <f t="shared" si="9"/>
        <v>22</v>
      </c>
      <c r="S4" s="64" t="str">
        <f>IFERROR(VLOOKUP(MID(N4,Q4,R4-Q4),[5]skilldef!$C:$D,2,FALSE),"-") &amp; " / " &amp; IFERROR(VLOOKUP(MID(N4,O4,P4-O4),[5]skilldef!$A:$B,2,FALSE),"-")</f>
        <v>- / 連続攻撃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  <c r="AC4" s="122" t="s">
        <v>254</v>
      </c>
      <c r="AD4" s="47"/>
    </row>
    <row r="5" spans="1:30" ht="21" customHeight="1" x14ac:dyDescent="0.15">
      <c r="A5" s="47">
        <v>49010004</v>
      </c>
      <c r="B5" s="47" t="str">
        <f t="shared" si="15"/>
        <v>[effect:enemy_message, val1:1.2, val2:2.8],[effect:degrade_unit, target:unit_all, turn:2, status:heal, val:0.3, calc:mul, animation:degrade_unit_all_heal],[effect:degrade_unit, target:unit_all, turn:2, status:defense, val:1080, calc:add]</v>
      </c>
      <c r="C5" s="50">
        <v>3</v>
      </c>
      <c r="D5" s="50" t="s">
        <v>128</v>
      </c>
      <c r="E5" s="51" t="s">
        <v>278</v>
      </c>
      <c r="F5" s="51" t="s">
        <v>367</v>
      </c>
      <c r="G5" s="64" t="str">
        <f t="shared" si="0"/>
        <v>[effect:enemy_message, val1:1.2, val2:2.8]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[effect:degrade_unit, target:unit_all, turn:2, status:heal, val:0.3, calc:mul, animation:degrade_unit_all_heal],[effect:degrade_unit, target:unit_all, turn:2, status:defense, val:1080, calc:add]</v>
      </c>
      <c r="N5" s="48" t="str">
        <f>IFERROR(LEFT(M5,FIND("],",M5)+S14),M5)</f>
        <v>[effect:degrade_unit, target:unit_all, turn:2, status:heal, val:0.3, calc:mul, animation:degrade_unit_all_heal],[effect:degrade_unit, target:unit_all, turn:2, status:defense, val:1080, calc:add]</v>
      </c>
      <c r="O5" s="64">
        <f t="shared" si="6"/>
        <v>9</v>
      </c>
      <c r="P5" s="64">
        <f t="shared" si="7"/>
        <v>21</v>
      </c>
      <c r="Q5" s="64">
        <f t="shared" si="8"/>
        <v>30</v>
      </c>
      <c r="R5" s="64">
        <f t="shared" si="9"/>
        <v>38</v>
      </c>
      <c r="S5" s="64" t="str">
        <f>IFERROR(VLOOKUP(MID(N5,Q5,R5-Q5),[5]skilldef!$C:$D,2,FALSE),"-") &amp; " / " &amp; IFERROR(VLOOKUP(MID(N5,O5,P5-O5),[5]skilldef!$A:$B,2,FALSE),"-")</f>
        <v>味方全体に / ステータスDOWN</v>
      </c>
      <c r="T5" s="48" t="str">
        <f t="shared" si="10"/>
        <v>[effect:degrade_unit, target:unit_all, turn:2, status:defense, val:1080, calc:add]</v>
      </c>
      <c r="U5" s="64">
        <f t="shared" si="11"/>
        <v>9</v>
      </c>
      <c r="V5" s="64">
        <f t="shared" si="12"/>
        <v>21</v>
      </c>
      <c r="W5" s="64">
        <f t="shared" si="13"/>
        <v>30</v>
      </c>
      <c r="X5" s="64">
        <f t="shared" si="14"/>
        <v>38</v>
      </c>
      <c r="Y5" s="64" t="str">
        <f>IFERROR(VLOOKUP(MID(T5,W5,X5-W5),[5]skilldef!$C:$D,2,FALSE),"-") &amp; " / " &amp; IFERROR(VLOOKUP(MID(T5,U5,V5-U5),[5]skilldef!$A:$B,2,FALSE),"-")</f>
        <v>味方全体に / ステータスDOWN</v>
      </c>
      <c r="Z5" s="50"/>
      <c r="AA5" s="52"/>
      <c r="AB5" s="50"/>
      <c r="AC5" s="122" t="s">
        <v>349</v>
      </c>
      <c r="AD5" s="47"/>
    </row>
    <row r="6" spans="1:30" ht="21" customHeight="1" x14ac:dyDescent="0.15">
      <c r="A6" s="47">
        <v>49010005</v>
      </c>
      <c r="B6" s="47" t="str">
        <f t="shared" si="15"/>
        <v>[effect:enemy_message, val1:1.6, val2:1.5],[effect:fix_speed, target:myself, turn:3]</v>
      </c>
      <c r="C6" s="50">
        <v>3</v>
      </c>
      <c r="D6" s="50" t="s">
        <v>128</v>
      </c>
      <c r="E6" s="51" t="s">
        <v>318</v>
      </c>
      <c r="F6" s="51" t="s">
        <v>288</v>
      </c>
      <c r="G6" s="64" t="str">
        <f t="shared" si="0"/>
        <v>[effect:enemy_message, val1:1.6, val2:1.5]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[effect:fix_speed, target:myself, turn:3]</v>
      </c>
      <c r="N6" s="48" t="str">
        <f t="shared" ref="N6:N46" si="16">IFERROR(LEFT(M6,FIND("],",M6)+S16),M6)</f>
        <v>[effect:fix_speed, target:myself, turn:3]</v>
      </c>
      <c r="O6" s="64">
        <f t="shared" si="6"/>
        <v>9</v>
      </c>
      <c r="P6" s="64">
        <f t="shared" si="7"/>
        <v>18</v>
      </c>
      <c r="Q6" s="64">
        <f t="shared" si="8"/>
        <v>27</v>
      </c>
      <c r="R6" s="64">
        <f t="shared" si="9"/>
        <v>33</v>
      </c>
      <c r="S6" s="64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  <c r="AC6" s="122" t="s">
        <v>375</v>
      </c>
      <c r="AD6" s="47"/>
    </row>
    <row r="7" spans="1:30" ht="21" customHeight="1" x14ac:dyDescent="0.15">
      <c r="A7" s="47">
        <v>49010006</v>
      </c>
      <c r="B7" s="47" t="str">
        <f t="shared" si="15"/>
        <v>[effect:enemy_message, val1:1.2, val2:1.9],[effect:enhance_unit, target:unit_all, turn:8, status:attack, val:0.3, calc:mul],[effect:enhance_unit, target:unit_all, turn:8, status:defense, val:1080, calc:add]</v>
      </c>
      <c r="C7" s="50">
        <v>3</v>
      </c>
      <c r="D7" s="50" t="s">
        <v>128</v>
      </c>
      <c r="E7" s="51" t="s">
        <v>319</v>
      </c>
      <c r="F7" s="51" t="s">
        <v>368</v>
      </c>
      <c r="G7" s="64" t="str">
        <f t="shared" si="0"/>
        <v>[effect:enemy_message, val1:1.2, val2:1.9]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5"/>
        <v>[effect:enhance_unit, target:unit_all, turn:8, status:attack, val:0.3, calc:mul],[effect:enhance_unit, target:unit_all, turn:8, status:defense, val:1080, calc:add]</v>
      </c>
      <c r="N7" s="48" t="str">
        <f t="shared" si="16"/>
        <v>[effect:enhance_unit, target:unit_all, turn:8, status:attack, val:0.3, calc:mul],[effect:enhance_unit, target:unit_all, turn:8, status:defense, val:1080, calc:add]</v>
      </c>
      <c r="O7" s="64">
        <f t="shared" si="6"/>
        <v>9</v>
      </c>
      <c r="P7" s="64">
        <f t="shared" si="7"/>
        <v>21</v>
      </c>
      <c r="Q7" s="64">
        <f t="shared" si="8"/>
        <v>30</v>
      </c>
      <c r="R7" s="64">
        <f t="shared" si="9"/>
        <v>38</v>
      </c>
      <c r="S7" s="64" t="str">
        <f>IFERROR(VLOOKUP(MID(N7,Q7,R7-Q7),[5]skilldef!$C:$D,2,FALSE),"-") &amp; " / " &amp; IFERROR(VLOOKUP(MID(N7,O7,P7-O7),[5]skilldef!$A:$B,2,FALSE),"-")</f>
        <v>味方全体に / -</v>
      </c>
      <c r="T7" s="48" t="str">
        <f t="shared" si="10"/>
        <v>[effect:enhance_unit, target:unit_all, turn:8, status:defense, val:1080, calc:add]</v>
      </c>
      <c r="U7" s="64">
        <f t="shared" si="11"/>
        <v>9</v>
      </c>
      <c r="V7" s="64">
        <f t="shared" si="12"/>
        <v>21</v>
      </c>
      <c r="W7" s="64">
        <f t="shared" si="13"/>
        <v>30</v>
      </c>
      <c r="X7" s="64">
        <f t="shared" si="14"/>
        <v>38</v>
      </c>
      <c r="Y7" s="64" t="str">
        <f>IFERROR(VLOOKUP(MID(T7,W7,X7-W7),[5]skilldef!$C:$D,2,FALSE),"-") &amp; " / " &amp; IFERROR(VLOOKUP(MID(T7,U7,V7-U7),[5]skilldef!$A:$B,2,FALSE),"-")</f>
        <v>味方全体に / -</v>
      </c>
      <c r="Z7" s="50"/>
      <c r="AA7" s="52"/>
      <c r="AB7" s="50"/>
      <c r="AC7" s="122" t="s">
        <v>350</v>
      </c>
      <c r="AD7" s="47"/>
    </row>
    <row r="8" spans="1:30" ht="21" customHeight="1" x14ac:dyDescent="0.15">
      <c r="A8" s="47">
        <v>49010007</v>
      </c>
      <c r="B8" s="47" t="str">
        <f t="shared" si="15"/>
        <v>[effect:enemy_message, val1:1.2, val2:1.2],[effect:spread, val:0.33]</v>
      </c>
      <c r="C8" s="50">
        <v>3</v>
      </c>
      <c r="D8" s="50" t="s">
        <v>128</v>
      </c>
      <c r="E8" s="51" t="s">
        <v>320</v>
      </c>
      <c r="F8" s="51" t="s">
        <v>256</v>
      </c>
      <c r="G8" s="64" t="str">
        <f t="shared" si="0"/>
        <v>[effect:enemy_message, val1:1.2, val2:1.2]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[effect:spread, val:0.33]</v>
      </c>
      <c r="N8" s="48" t="str">
        <f t="shared" si="16"/>
        <v>[effect:spread, val:0.33]</v>
      </c>
      <c r="O8" s="64">
        <f t="shared" si="6"/>
        <v>9</v>
      </c>
      <c r="P8" s="64">
        <f t="shared" si="7"/>
        <v>15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全体攻撃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  <c r="AC8" s="122" t="s">
        <v>255</v>
      </c>
      <c r="AD8" s="47"/>
    </row>
    <row r="9" spans="1:30" ht="21" customHeight="1" x14ac:dyDescent="0.15">
      <c r="A9" s="47">
        <v>49010008</v>
      </c>
      <c r="B9" s="47" t="str">
        <f t="shared" si="15"/>
        <v>[effect:enemy_message, val1:1.2, val2:1.2],[effect:dis_panel, target:block_yellow, turn:4, animation:enemy_dis_yellow],[effect:suicide, target:myself, val:1, dead_type:escape],[effect:suicide, target:enemy_animal/enemy_machine, val:1, dead_type:suicide, animation:enemy_suicide]</v>
      </c>
      <c r="C9" s="50">
        <v>3</v>
      </c>
      <c r="D9" s="50" t="s">
        <v>128</v>
      </c>
      <c r="E9" s="51" t="s">
        <v>321</v>
      </c>
      <c r="F9" s="51" t="s">
        <v>286</v>
      </c>
      <c r="G9" s="64" t="str">
        <f t="shared" si="0"/>
        <v>[effect:enemy_message, val1:1.2, val2:1.2]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[effect:dis_panel, target:block_yellow, turn:4, animation:enemy_dis_yellow],[effect:suicide, target:myself, val:1, dead_type:escape],[effect:suicide, target:enemy_animal/enemy_machine, val:1, dead_type:suicide, animation:enemy_suicide]</v>
      </c>
      <c r="N9" s="48" t="str">
        <f>IFERROR(LEFT(M9,FIND("],",M9)+S25),M9)</f>
        <v>[effect:dis_panel, target:block_yellow, turn:4, animation:enemy_dis_yellow],[effect:suicide, target:myself, val:1, dead_type:escape],[effect:suicide, target:enemy_animal/enemy_machine, val:1, dead_type:suicide, animation:enemy_suicide]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39</v>
      </c>
      <c r="S9" s="64" t="str">
        <f>IFERROR(VLOOKUP(MID(N9,Q9,R9-Q9),[5]skilldef!$C:$D,2,FALSE),"-") &amp; " / " &amp; IFERROR(VLOOKUP(MID(N9,O9,P9-O9),[5]skilldef!$A:$B,2,FALSE),"-")</f>
        <v>黄色パネルを / ディスパネル</v>
      </c>
      <c r="T9" s="48" t="str">
        <f t="shared" si="10"/>
        <v>[effect:suicide, target:myself, val:1, dead_type:escape],[effect:suicide, target:enemy_animal/enemy_machine, val:1, dead_type:suicide, animation:enemy_suicide]</v>
      </c>
      <c r="U9" s="64">
        <f t="shared" si="11"/>
        <v>9</v>
      </c>
      <c r="V9" s="64">
        <f t="shared" si="12"/>
        <v>16</v>
      </c>
      <c r="W9" s="64">
        <f t="shared" si="13"/>
        <v>25</v>
      </c>
      <c r="X9" s="64">
        <f t="shared" si="14"/>
        <v>31</v>
      </c>
      <c r="Y9" s="64" t="str">
        <f>IFERROR(VLOOKUP(MID(T9,W9,X9-W9),[5]skilldef!$C:$D,2,FALSE),"-") &amp; " / " &amp; IFERROR(VLOOKUP(MID(T9,U9,V9-U9),[5]skilldef!$A:$B,2,FALSE),"-")</f>
        <v>自分自身に / -</v>
      </c>
      <c r="Z9" s="50"/>
      <c r="AA9" s="52"/>
      <c r="AB9" s="50"/>
      <c r="AC9" s="122" t="s">
        <v>351</v>
      </c>
      <c r="AD9" s="47"/>
    </row>
    <row r="10" spans="1:30" ht="21" customHeight="1" x14ac:dyDescent="0.15">
      <c r="A10" s="47">
        <v>49010009</v>
      </c>
      <c r="B10" s="47" t="str">
        <f t="shared" si="15"/>
        <v>[effect:enemy_message, val1:1.5, val2:3.4],[effect:force_change_block, new_block:block_heart, target:block_yellow, count:0, val:0],[effect:sp_boost, target:unit_all, val:2, animation:sp_boost_one02],[effect:suicide, target:myself, val:1, dead_type:escape],[effect:suicide, target:enemy_animal/enemy_machine, val:1, dead_type:suicide, animation:enemy_suicide]</v>
      </c>
      <c r="C10" s="50">
        <v>3</v>
      </c>
      <c r="D10" s="50" t="s">
        <v>128</v>
      </c>
      <c r="E10" s="51" t="s">
        <v>289</v>
      </c>
      <c r="F10" s="51" t="s">
        <v>369</v>
      </c>
      <c r="G10" s="64" t="str">
        <f t="shared" si="0"/>
        <v>[effect:enemy_message, val1:1.5, val2:3.4]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5"/>
        <v>[effect:force_change_block, new_block:block_heart, target:block_yellow, count:0, val:0],[effect:sp_boost, target:unit_all, val:2, animation:sp_boost_one02],[effect:suicide, target:myself, val:1, dead_type:escape],[effect:suicide, target:enemy_animal/enemy_machine, val:1, dead_type:suicide, animation:enemy_suicide]</v>
      </c>
      <c r="N10" s="48" t="str">
        <f t="shared" ref="N10:N18" si="17">IFERROR(LEFT(M10,FIND("],",M10)+S32),M10)</f>
        <v>[effect:force_change_block, new_block:block_heart, target:block_yellow, count:0, val:0],[effect:sp_boost, target:unit_all, val:2, animation:sp_boost_one02],[effect:suicide, target:myself, val:1, dead_type:escape],[effect:suicide, target:enemy_animal/enemy_machine, val:1, dead_type:suicide, animation:enemy_suicide]</v>
      </c>
      <c r="O10" s="64">
        <f t="shared" si="6"/>
        <v>9</v>
      </c>
      <c r="P10" s="64">
        <f t="shared" si="7"/>
        <v>27</v>
      </c>
      <c r="Q10" s="64">
        <f t="shared" si="8"/>
        <v>59</v>
      </c>
      <c r="R10" s="64">
        <f t="shared" si="9"/>
        <v>50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[effect:sp_boost, target:unit_all, val:2, animation:sp_boost_one02],[effect:suicide, target:myself, val:1, dead_type:escape],[effect:suicide, target:enemy_animal/enemy_machine, val:1, dead_type:suicide, animation:enemy_suicide]</v>
      </c>
      <c r="U10" s="64">
        <f t="shared" si="11"/>
        <v>9</v>
      </c>
      <c r="V10" s="64">
        <f t="shared" si="12"/>
        <v>17</v>
      </c>
      <c r="W10" s="64">
        <f t="shared" si="13"/>
        <v>26</v>
      </c>
      <c r="X10" s="64">
        <f t="shared" si="14"/>
        <v>34</v>
      </c>
      <c r="Y10" s="64" t="str">
        <f>IFERROR(VLOOKUP(MID(T10,W10,X10-W10),[5]skilldef!$C:$D,2,FALSE),"-") &amp; " / " &amp; IFERROR(VLOOKUP(MID(T10,U10,V10-U10),[5]skilldef!$A:$B,2,FALSE),"-")</f>
        <v>味方全体に / -</v>
      </c>
      <c r="Z10" s="50"/>
      <c r="AA10" s="52"/>
      <c r="AB10" s="50"/>
      <c r="AC10" s="122" t="s">
        <v>352</v>
      </c>
      <c r="AD10" s="47"/>
    </row>
    <row r="11" spans="1:30" ht="21" customHeight="1" x14ac:dyDescent="0.15">
      <c r="A11" s="47">
        <v>49010010</v>
      </c>
      <c r="B11" s="47" t="str">
        <f t="shared" si="15"/>
        <v>[effect:enemy_message, val1:1.2, val2:1.2],[effect:fix_speed, target:myself, turn:2],[effect:tolerance, target:myself, turn:-1, count:-1, tolerance_effect:all, animation:enemy_tolerance]</v>
      </c>
      <c r="C11" s="50">
        <v>3</v>
      </c>
      <c r="D11" s="50" t="s">
        <v>128</v>
      </c>
      <c r="E11" s="51" t="s">
        <v>300</v>
      </c>
      <c r="F11" s="51" t="s">
        <v>257</v>
      </c>
      <c r="G11" s="64" t="str">
        <f t="shared" si="0"/>
        <v>[effect:enemy_message, val1:1.2, val2:1.2]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[effect:fix_speed, target:myself, turn:2],[effect:tolerance, target:myself, turn:-1, count:-1, tolerance_effect:all, animation:enemy_tolerance]</v>
      </c>
      <c r="N11" s="48" t="str">
        <f t="shared" si="17"/>
        <v>[effect:fix_speed, target:myself, turn:2],[effect:tolerance, target:myself, turn:-1, count:-1, tolerance_effect:all, animation:enemy_tolerance]</v>
      </c>
      <c r="O11" s="64">
        <f t="shared" si="6"/>
        <v>9</v>
      </c>
      <c r="P11" s="64">
        <f t="shared" si="7"/>
        <v>18</v>
      </c>
      <c r="Q11" s="64">
        <f t="shared" si="8"/>
        <v>27</v>
      </c>
      <c r="R11" s="64">
        <f t="shared" si="9"/>
        <v>33</v>
      </c>
      <c r="S11" s="64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 t="shared" si="10"/>
        <v>[effect:tolerance, target:myself, turn:-1, count:-1, tolerance_effect:all, animation:enemy_tolerance]</v>
      </c>
      <c r="U11" s="64">
        <f t="shared" si="11"/>
        <v>9</v>
      </c>
      <c r="V11" s="64">
        <f t="shared" si="12"/>
        <v>18</v>
      </c>
      <c r="W11" s="64">
        <f t="shared" si="13"/>
        <v>27</v>
      </c>
      <c r="X11" s="64">
        <f t="shared" si="14"/>
        <v>33</v>
      </c>
      <c r="Y11" s="64" t="str">
        <f>IFERROR(VLOOKUP(MID(T11,W11,X11-W11),[5]skilldef!$C:$D,2,FALSE),"-") &amp; " / " &amp; IFERROR(VLOOKUP(MID(T11,U11,V11-U11),[5]skilldef!$A:$B,2,FALSE),"-")</f>
        <v>自分自身に / 状態異常耐性</v>
      </c>
      <c r="Z11" s="50"/>
      <c r="AA11" s="52"/>
      <c r="AB11" s="50"/>
      <c r="AC11" s="122" t="s">
        <v>353</v>
      </c>
      <c r="AD11" s="47"/>
    </row>
    <row r="12" spans="1:30" ht="21" customHeight="1" x14ac:dyDescent="0.15">
      <c r="A12" s="47">
        <v>49010011</v>
      </c>
      <c r="B12" s="47" t="str">
        <f t="shared" si="15"/>
        <v>[effect:enemy_message, val1:1.2, val2:1.2],[effect:dis_panel, target:block_red, turn:4, animation:enemy_dis_red],[effect:dis_panel, target:block_green, turn:4, animation:enemy_dis_green]</v>
      </c>
      <c r="C12" s="50">
        <v>3</v>
      </c>
      <c r="D12" s="50" t="s">
        <v>128</v>
      </c>
      <c r="E12" s="51" t="s">
        <v>322</v>
      </c>
      <c r="F12" s="51" t="s">
        <v>258</v>
      </c>
      <c r="G12" s="64" t="str">
        <f t="shared" si="0"/>
        <v>[effect:enemy_message, val1:1.2, val2:1.2]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[effect:dis_panel, target:block_red, turn:4, animation:enemy_dis_red],[effect:dis_panel, target:block_green, turn:4, animation:enemy_dis_green]</v>
      </c>
      <c r="N12" s="48" t="str">
        <f t="shared" si="17"/>
        <v>[effect:dis_panel, target:block_red, turn:4, animation:enemy_dis_red],[effect:dis_panel, target:block_green, turn:4, animation:enemy_dis_green]</v>
      </c>
      <c r="O12" s="64">
        <f t="shared" si="6"/>
        <v>9</v>
      </c>
      <c r="P12" s="64">
        <f t="shared" si="7"/>
        <v>18</v>
      </c>
      <c r="Q12" s="64">
        <f t="shared" si="8"/>
        <v>27</v>
      </c>
      <c r="R12" s="64">
        <f t="shared" si="9"/>
        <v>36</v>
      </c>
      <c r="S12" s="64" t="str">
        <f>IFERROR(VLOOKUP(MID(N12,Q12,R12-Q12),[5]skilldef!$C:$D,2,FALSE),"-") &amp; " / " &amp; IFERROR(VLOOKUP(MID(N12,O12,P12-O12),[5]skilldef!$A:$B,2,FALSE),"-")</f>
        <v>赤パネルを / ディスパネル</v>
      </c>
      <c r="T12" s="48" t="str">
        <f t="shared" si="10"/>
        <v>[effect:dis_panel, target:block_green, turn:4, animation:enemy_dis_green]</v>
      </c>
      <c r="U12" s="64">
        <f t="shared" si="11"/>
        <v>9</v>
      </c>
      <c r="V12" s="64">
        <f t="shared" si="12"/>
        <v>18</v>
      </c>
      <c r="W12" s="64">
        <f t="shared" si="13"/>
        <v>27</v>
      </c>
      <c r="X12" s="64">
        <f t="shared" si="14"/>
        <v>38</v>
      </c>
      <c r="Y12" s="64" t="str">
        <f>IFERROR(VLOOKUP(MID(T12,W12,X12-W12),[5]skilldef!$C:$D,2,FALSE),"-") &amp; " / " &amp; IFERROR(VLOOKUP(MID(T12,U12,V12-U12),[5]skilldef!$A:$B,2,FALSE),"-")</f>
        <v>緑パネルを / ディスパネル</v>
      </c>
      <c r="Z12" s="50"/>
      <c r="AA12" s="52"/>
      <c r="AB12" s="50"/>
      <c r="AC12" s="122" t="s">
        <v>354</v>
      </c>
      <c r="AD12" s="47"/>
    </row>
    <row r="13" spans="1:30" ht="21" customHeight="1" x14ac:dyDescent="0.15">
      <c r="A13" s="47">
        <v>49010012</v>
      </c>
      <c r="B13" s="47" t="str">
        <f t="shared" si="15"/>
        <v>[effect:enemy_message, val1:1.2, val2:1.2],[effect:rush, count:3, val:0.33]</v>
      </c>
      <c r="C13" s="50">
        <v>3</v>
      </c>
      <c r="D13" s="50" t="s">
        <v>128</v>
      </c>
      <c r="E13" s="51" t="s">
        <v>323</v>
      </c>
      <c r="F13" s="51" t="s">
        <v>253</v>
      </c>
      <c r="G13" s="64" t="str">
        <f t="shared" si="0"/>
        <v>[effect:enemy_message, val1:1.2, val2:1.2]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[effect:rush, count:3, val:0.33]</v>
      </c>
      <c r="N13" s="48" t="str">
        <f t="shared" si="17"/>
        <v>[effect:rush, count:3, val:0.33]</v>
      </c>
      <c r="O13" s="64">
        <f t="shared" si="6"/>
        <v>9</v>
      </c>
      <c r="P13" s="64">
        <f t="shared" si="7"/>
        <v>13</v>
      </c>
      <c r="Q13" s="64" t="e">
        <f t="shared" si="8"/>
        <v>#VALUE!</v>
      </c>
      <c r="R13" s="64">
        <f t="shared" si="9"/>
        <v>22</v>
      </c>
      <c r="S13" s="64" t="str">
        <f>IFERROR(VLOOKUP(MID(N13,Q13,R13-Q13),[5]skilldef!$C:$D,2,FALSE),"-") &amp; " / " &amp; IFERROR(VLOOKUP(MID(N13,O13,P13-O13),[5]skilldef!$A:$B,2,FALSE),"-")</f>
        <v>- / 連続攻撃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  <c r="AC13" s="122" t="s">
        <v>264</v>
      </c>
      <c r="AD13" s="47"/>
    </row>
    <row r="14" spans="1:30" ht="21" customHeight="1" x14ac:dyDescent="0.15">
      <c r="A14" s="47">
        <v>49010013</v>
      </c>
      <c r="B14" s="47" t="str">
        <f t="shared" si="15"/>
        <v>[effect:enemy_message, val1:1.2, val2:1.2],[effect:enhance_enemy, target:myself, turn:-1, status:attack, val:0.3, calc:mul, animation:enemy_enhance_attack],[effect:enhance_enemy, target:myself, turn:-1, status:defense, val:1080, calc:add, animation:enemy_enhance_defense]</v>
      </c>
      <c r="C14" s="50">
        <v>3</v>
      </c>
      <c r="D14" s="50" t="s">
        <v>128</v>
      </c>
      <c r="E14" s="51" t="s">
        <v>324</v>
      </c>
      <c r="F14" s="51" t="s">
        <v>259</v>
      </c>
      <c r="G14" s="64" t="str">
        <f t="shared" si="0"/>
        <v>[effect:enemy_message, val1:1.2, val2:1.2]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[effect:enhance_enemy, target:myself, turn:-1, status:attack, val:0.3, calc:mul, animation:enemy_enhance_attack],[effect:enhance_enemy, target:myself, turn:-1, status:defense, val:1080, calc:add, animation:enemy_enhance_defense]</v>
      </c>
      <c r="N14" s="48" t="str">
        <f t="shared" si="17"/>
        <v>[effect:enhance_enemy, target:myself, turn:-1, status:attack, val:0.3, calc:mul, animation:enemy_enhance_attack],[effect:enhance_enemy, target:myself, turn:-1, status:defense, val:1080, calc:add, animation:enemy_enhance_defense]</v>
      </c>
      <c r="O14" s="64">
        <f t="shared" si="6"/>
        <v>9</v>
      </c>
      <c r="P14" s="64">
        <f t="shared" si="7"/>
        <v>22</v>
      </c>
      <c r="Q14" s="64">
        <f t="shared" si="8"/>
        <v>31</v>
      </c>
      <c r="R14" s="64">
        <f t="shared" si="9"/>
        <v>37</v>
      </c>
      <c r="S14" s="64" t="str">
        <f>IFERROR(VLOOKUP(MID(N14,Q14,R14-Q14),[5]skilldef!$C:$D,2,FALSE),"-") &amp; " / " &amp; IFERROR(VLOOKUP(MID(N14,O14,P14-O14),[5]skilldef!$A:$B,2,FALSE),"-")</f>
        <v>自分自身に / ステータス強化</v>
      </c>
      <c r="T14" s="48" t="str">
        <f t="shared" si="10"/>
        <v>[effect:enhance_enemy, target:myself, turn:-1, status:defense, val:1080, calc:add, animation:enemy_enhance_defense]</v>
      </c>
      <c r="U14" s="64">
        <f t="shared" si="11"/>
        <v>9</v>
      </c>
      <c r="V14" s="64">
        <f t="shared" si="12"/>
        <v>22</v>
      </c>
      <c r="W14" s="64">
        <f t="shared" si="13"/>
        <v>31</v>
      </c>
      <c r="X14" s="64">
        <f t="shared" si="14"/>
        <v>37</v>
      </c>
      <c r="Y14" s="64" t="str">
        <f>IFERROR(VLOOKUP(MID(T14,W14,X14-W14),[5]skilldef!$C:$D,2,FALSE),"-") &amp; " / " &amp; IFERROR(VLOOKUP(MID(T14,U14,V14-U14),[5]skilldef!$A:$B,2,FALSE),"-")</f>
        <v>自分自身に / ステータス強化</v>
      </c>
      <c r="Z14" s="50"/>
      <c r="AA14" s="52"/>
      <c r="AB14" s="50"/>
      <c r="AC14" s="122" t="s">
        <v>355</v>
      </c>
      <c r="AD14" s="47"/>
    </row>
    <row r="15" spans="1:30" ht="21" customHeight="1" x14ac:dyDescent="0.15">
      <c r="A15" s="47">
        <v>49010014</v>
      </c>
      <c r="B15" s="47" t="str">
        <f t="shared" si="15"/>
        <v>[effect:enemy_message, val1:1.2, val2:1.2],[effect:fix_speed, target:myself, turn:2],[effect:tolerance, target:myself, turn:-1, count:-1, tolerance_effect:all, animation:enemy_tolerance]</v>
      </c>
      <c r="C15" s="50">
        <v>3</v>
      </c>
      <c r="D15" s="50" t="s">
        <v>128</v>
      </c>
      <c r="E15" s="51" t="s">
        <v>325</v>
      </c>
      <c r="F15" s="51" t="s">
        <v>257</v>
      </c>
      <c r="G15" s="64" t="str">
        <f t="shared" si="0"/>
        <v>[effect:enemy_message, val1:1.2, val2:1.2]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[effect:fix_speed, target:myself, turn:2],[effect:tolerance, target:myself, turn:-1, count:-1, tolerance_effect:all, animation:enemy_tolerance]</v>
      </c>
      <c r="N15" s="48" t="str">
        <f t="shared" si="17"/>
        <v>[effect:fix_speed, target:myself, turn:2],[effect:tolerance, target:myself, turn:-1, count:-1, tolerance_effect:all, animation:enemy_tolerance]</v>
      </c>
      <c r="O15" s="64">
        <f t="shared" si="6"/>
        <v>9</v>
      </c>
      <c r="P15" s="64">
        <f t="shared" si="7"/>
        <v>18</v>
      </c>
      <c r="Q15" s="64">
        <f t="shared" si="8"/>
        <v>27</v>
      </c>
      <c r="R15" s="64">
        <f t="shared" si="9"/>
        <v>33</v>
      </c>
      <c r="S15" s="64" t="str">
        <f>IFERROR(VLOOKUP(MID(N15,Q15,R15-Q15),[5]skilldef!$C:$D,2,FALSE),"-") &amp; " / " &amp; IFERROR(VLOOKUP(MID(N15,O15,P15-O15),[5]skilldef!$A:$B,2,FALSE),"-")</f>
        <v>自分自身に / 行動値設定</v>
      </c>
      <c r="T15" s="48" t="str">
        <f t="shared" si="10"/>
        <v>[effect:tolerance, target:myself, turn:-1, count:-1, tolerance_effect:all, animation:enemy_tolerance]</v>
      </c>
      <c r="U15" s="64">
        <f t="shared" si="11"/>
        <v>9</v>
      </c>
      <c r="V15" s="64">
        <f t="shared" si="12"/>
        <v>18</v>
      </c>
      <c r="W15" s="64">
        <f t="shared" si="13"/>
        <v>27</v>
      </c>
      <c r="X15" s="64">
        <f t="shared" si="14"/>
        <v>33</v>
      </c>
      <c r="Y15" s="64" t="str">
        <f>IFERROR(VLOOKUP(MID(T15,W15,X15-W15),[5]skilldef!$C:$D,2,FALSE),"-") &amp; " / " &amp; IFERROR(VLOOKUP(MID(T15,U15,V15-U15),[5]skilldef!$A:$B,2,FALSE),"-")</f>
        <v>自分自身に / 状態異常耐性</v>
      </c>
      <c r="Z15" s="50"/>
      <c r="AA15" s="52"/>
      <c r="AB15" s="50"/>
      <c r="AC15" s="122" t="s">
        <v>353</v>
      </c>
      <c r="AD15" s="47"/>
    </row>
    <row r="16" spans="1:30" ht="21" customHeight="1" x14ac:dyDescent="0.15">
      <c r="A16" s="47">
        <v>49010015</v>
      </c>
      <c r="B16" s="47" t="str">
        <f t="shared" si="15"/>
        <v>[effect:enemy_message, val1:1.2, val2:2.6],[effect:drop_freeze, turn:2, block_type:block_all, rate:0.3, animation:drop_protect]</v>
      </c>
      <c r="C16" s="50">
        <v>3</v>
      </c>
      <c r="D16" s="50" t="s">
        <v>128</v>
      </c>
      <c r="E16" s="51" t="s">
        <v>326</v>
      </c>
      <c r="F16" s="51" t="s">
        <v>260</v>
      </c>
      <c r="G16" s="64" t="str">
        <f t="shared" si="0"/>
        <v>[effect:enemy_message, val1:1.2, val2:2.6]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[effect:drop_freeze, turn:2, block_type:block_all, rate:0.3, animation:drop_protect]</v>
      </c>
      <c r="N16" s="48" t="str">
        <f t="shared" si="17"/>
        <v>[effect:drop_freeze, turn:2, block_type:block_all, rate:0.3, animation:drop_protect]</v>
      </c>
      <c r="O16" s="64">
        <f t="shared" si="6"/>
        <v>9</v>
      </c>
      <c r="P16" s="64">
        <f t="shared" si="7"/>
        <v>20</v>
      </c>
      <c r="Q16" s="64" t="e">
        <f t="shared" si="8"/>
        <v>#VALUE!</v>
      </c>
      <c r="R16" s="64">
        <f t="shared" si="9"/>
        <v>28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  <c r="AC16" s="122" t="s">
        <v>356</v>
      </c>
      <c r="AD16" s="47"/>
    </row>
    <row r="17" spans="1:30" ht="21" customHeight="1" x14ac:dyDescent="0.15">
      <c r="A17" s="47">
        <v>49010016</v>
      </c>
      <c r="B17" s="47" t="str">
        <f t="shared" si="15"/>
        <v>[effect:enemy_message, val1:1.2, val2:1.2],[effect:spread, val:0.25]</v>
      </c>
      <c r="C17" s="50">
        <v>3</v>
      </c>
      <c r="D17" s="50" t="s">
        <v>128</v>
      </c>
      <c r="E17" s="51" t="s">
        <v>327</v>
      </c>
      <c r="F17" s="51" t="s">
        <v>256</v>
      </c>
      <c r="G17" s="64" t="str">
        <f t="shared" si="0"/>
        <v>[effect:enemy_message, val1:1.2, val2:1.2]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5"/>
        <v>[effect:spread, val:0.25]</v>
      </c>
      <c r="N17" s="48" t="str">
        <f t="shared" si="17"/>
        <v>[effect:spread, val:0.25]</v>
      </c>
      <c r="O17" s="64">
        <f t="shared" si="6"/>
        <v>9</v>
      </c>
      <c r="P17" s="64">
        <f t="shared" si="7"/>
        <v>15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全体攻撃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  <c r="AC17" s="122" t="s">
        <v>268</v>
      </c>
      <c r="AD17" s="47"/>
    </row>
    <row r="18" spans="1:30" ht="21" customHeight="1" x14ac:dyDescent="0.15">
      <c r="A18" s="47">
        <v>49010017</v>
      </c>
      <c r="B18" s="47" t="str">
        <f t="shared" si="15"/>
        <v>[effect:enemy_message, val1:1.2, val2:1.2],[effect:freq_turn, target:myself, turn:-1, val:1, animation:enemy_freq_turn]</v>
      </c>
      <c r="C18" s="50">
        <v>3</v>
      </c>
      <c r="D18" s="50" t="s">
        <v>128</v>
      </c>
      <c r="E18" s="51" t="s">
        <v>328</v>
      </c>
      <c r="F18" s="51" t="s">
        <v>262</v>
      </c>
      <c r="G18" s="64" t="str">
        <f t="shared" si="0"/>
        <v>[effect:enemy_message, val1:1.2, val2:1.2]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5"/>
        <v>[effect:freq_turn, target:myself, turn:-1, val:1, animation:enemy_freq_turn]</v>
      </c>
      <c r="N18" s="48" t="str">
        <f t="shared" si="17"/>
        <v>[effect:freq_turn, target:myself, turn:-1, val:1, animation:enemy_freq_turn]</v>
      </c>
      <c r="O18" s="64">
        <f t="shared" si="6"/>
        <v>9</v>
      </c>
      <c r="P18" s="64">
        <f t="shared" si="7"/>
        <v>18</v>
      </c>
      <c r="Q18" s="64">
        <f t="shared" si="8"/>
        <v>27</v>
      </c>
      <c r="R18" s="64">
        <f t="shared" si="9"/>
        <v>33</v>
      </c>
      <c r="S18" s="64" t="str">
        <f>IFERROR(VLOOKUP(MID(N18,Q18,R18-Q18),[5]skilldef!$C:$D,2,FALSE),"-") &amp; " / " &amp; IFERROR(VLOOKUP(MID(N18,O18,P18-O18),[5]skilldef!$A:$B,2,FALSE),"-")</f>
        <v>自分自身に / 攻撃頻度がUP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  <c r="AC18" s="122" t="s">
        <v>261</v>
      </c>
      <c r="AD18" s="47"/>
    </row>
    <row r="19" spans="1:30" ht="21" customHeight="1" x14ac:dyDescent="0.15">
      <c r="A19" s="47">
        <v>49010018</v>
      </c>
      <c r="B19" s="47" t="str">
        <f t="shared" si="15"/>
        <v>[effect:enemy_message, val1:1.3, val2:1.7],[effect:fix_speed, target:myself, turn:1],[effect:crash_condition, target:unit_all, turn:4, val:2, animation:enemy_crash_extend]</v>
      </c>
      <c r="C19" s="50">
        <v>3</v>
      </c>
      <c r="D19" s="50" t="s">
        <v>128</v>
      </c>
      <c r="E19" s="51" t="s">
        <v>279</v>
      </c>
      <c r="F19" s="51" t="s">
        <v>263</v>
      </c>
      <c r="G19" s="64" t="str">
        <f t="shared" si="0"/>
        <v>[effect:enemy_message, val1:1.3, val2:1.7]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[effect:fix_speed, target:myself, turn:1],[effect:crash_condition, target:unit_all, turn:4, val:2, animation:enemy_crash_extend]</v>
      </c>
      <c r="N19" s="48" t="str">
        <f>IFERROR(LEFT(M19,FIND("],",M19)+S37),M19)</f>
        <v>[effect:fix_speed, target:myself, turn:1],[effect:crash_condition, target:unit_all, turn:4, val:2, animation:enemy_crash_extend]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33</v>
      </c>
      <c r="S19" s="64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[effect:crash_condition, target:unit_all, turn:4, val:2, animation:enemy_crash_extend]</v>
      </c>
      <c r="U19" s="64">
        <f t="shared" si="11"/>
        <v>9</v>
      </c>
      <c r="V19" s="64">
        <f t="shared" si="12"/>
        <v>24</v>
      </c>
      <c r="W19" s="64">
        <f t="shared" si="13"/>
        <v>33</v>
      </c>
      <c r="X19" s="64">
        <f t="shared" si="14"/>
        <v>41</v>
      </c>
      <c r="Y19" s="64" t="str">
        <f>IFERROR(VLOOKUP(MID(T19,W19,X19-W19),[5]skilldef!$C:$D,2,FALSE),"-") &amp; " / " &amp; IFERROR(VLOOKUP(MID(T19,U19,V19-U19),[5]skilldef!$A:$B,2,FALSE),"-")</f>
        <v>味方全体に / -</v>
      </c>
      <c r="Z19" s="50"/>
      <c r="AA19" s="52"/>
      <c r="AB19" s="50"/>
      <c r="AC19" s="122" t="s">
        <v>357</v>
      </c>
      <c r="AD19" s="47"/>
    </row>
    <row r="20" spans="1:30" ht="21" customHeight="1" x14ac:dyDescent="0.15">
      <c r="A20" s="47">
        <v>49010019</v>
      </c>
      <c r="B20" s="47" t="str">
        <f t="shared" si="15"/>
        <v>[effect:enemy_message, val1:1.8, val2:1.7],[effect:fix_speed, target:myself, turn:1],[effect:crash_condition, target:unit_all, turn:4, val:2, animation:enemy_crash_extend]</v>
      </c>
      <c r="C20" s="50">
        <v>3</v>
      </c>
      <c r="D20" s="50" t="s">
        <v>128</v>
      </c>
      <c r="E20" s="51" t="s">
        <v>287</v>
      </c>
      <c r="F20" s="51" t="s">
        <v>263</v>
      </c>
      <c r="G20" s="64" t="str">
        <f t="shared" si="0"/>
        <v>[effect:enemy_message, val1:1.8, val2:1.7]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5"/>
        <v>[effect:fix_speed, target:myself, turn:1],[effect:crash_condition, target:unit_all, turn:4, val:2, animation:enemy_crash_extend]</v>
      </c>
      <c r="N20" s="48" t="str">
        <f>IFERROR(LEFT(M20,FIND("],",M20)+S32),M20)</f>
        <v>[effect:fix_speed, target:myself, turn:1],[effect:crash_condition, target:unit_all, turn:4, val:2, animation:enemy_crash_extend]</v>
      </c>
      <c r="O20" s="64">
        <f t="shared" si="6"/>
        <v>9</v>
      </c>
      <c r="P20" s="64">
        <f t="shared" si="7"/>
        <v>18</v>
      </c>
      <c r="Q20" s="64">
        <f t="shared" si="8"/>
        <v>27</v>
      </c>
      <c r="R20" s="64">
        <f t="shared" si="9"/>
        <v>33</v>
      </c>
      <c r="S20" s="64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si="10"/>
        <v>[effect:crash_condition, target:unit_all, turn:4, val:2, animation:enemy_crash_extend]</v>
      </c>
      <c r="U20" s="64">
        <f t="shared" si="11"/>
        <v>9</v>
      </c>
      <c r="V20" s="64">
        <f t="shared" si="12"/>
        <v>24</v>
      </c>
      <c r="W20" s="64">
        <f t="shared" si="13"/>
        <v>33</v>
      </c>
      <c r="X20" s="64">
        <f t="shared" si="14"/>
        <v>41</v>
      </c>
      <c r="Y20" s="64" t="str">
        <f>IFERROR(VLOOKUP(MID(T20,W20,X20-W20),[5]skilldef!$C:$D,2,FALSE),"-") &amp; " / " &amp; IFERROR(VLOOKUP(MID(T20,U20,V20-U20),[5]skilldef!$A:$B,2,FALSE),"-")</f>
        <v>味方全体に / -</v>
      </c>
      <c r="Z20" s="50"/>
      <c r="AA20" s="52"/>
      <c r="AB20" s="50"/>
      <c r="AC20" s="122" t="s">
        <v>357</v>
      </c>
      <c r="AD20" s="47"/>
    </row>
    <row r="21" spans="1:30" ht="21" customHeight="1" x14ac:dyDescent="0.15">
      <c r="A21" s="47">
        <v>49010020</v>
      </c>
      <c r="B21" s="47" t="str">
        <f t="shared" si="15"/>
        <v>[effect:enemy_message, val1:1.8, val2:1.7],[effect:fix_speed, target:myself, turn:1],[effect:crash_condition, target:unit_all, turn:4, val:2, animation:enemy_crash_extend]</v>
      </c>
      <c r="C21" s="50">
        <v>3</v>
      </c>
      <c r="D21" s="50" t="s">
        <v>128</v>
      </c>
      <c r="E21" s="51" t="s">
        <v>329</v>
      </c>
      <c r="F21" s="51" t="s">
        <v>263</v>
      </c>
      <c r="G21" s="64" t="str">
        <f t="shared" ref="G21:G23" si="18">IFERROR(LEFT(B21,FIND("],",B21)),B21)</f>
        <v>[effect:enemy_message, val1:1.8, val2:1.7]</v>
      </c>
      <c r="H21" s="64">
        <f t="shared" ref="H21:H23" si="19">FIND("effect:",G21)+7</f>
        <v>9</v>
      </c>
      <c r="I21" s="64">
        <f t="shared" ref="I21:I23" si="20">IFERROR(FIND(",",G21),LEN(G21))</f>
        <v>22</v>
      </c>
      <c r="J21" s="64" t="e">
        <f t="shared" ref="J21:J23" si="21">FIND("target:",G21)+7</f>
        <v>#VALUE!</v>
      </c>
      <c r="K21" s="64">
        <f t="shared" ref="K21:K23" si="22">FIND(",",G21,I21+1)</f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ref="M21:M23" si="23">IFERROR(RIGHT(B21,LEN(B21)-FIND("],",B21)-1),"none")</f>
        <v>[effect:fix_speed, target:myself, turn:1],[effect:crash_condition, target:unit_all, turn:4, val:2, animation:enemy_crash_extend]</v>
      </c>
      <c r="N21" s="48" t="str">
        <f>IFERROR(LEFT(M21,FIND("],",M21)+S39),M21)</f>
        <v>[effect:fix_speed, target:myself, turn:1],[effect:crash_condition, target:unit_all, turn:4, val:2, animation:enemy_crash_extend]</v>
      </c>
      <c r="O21" s="64">
        <f t="shared" ref="O21:O23" si="24">FIND("effect:",N21)+7</f>
        <v>9</v>
      </c>
      <c r="P21" s="64">
        <f t="shared" ref="P21:P23" si="25">IFERROR(FIND(",",N21),LEN(N21))</f>
        <v>18</v>
      </c>
      <c r="Q21" s="64">
        <f t="shared" ref="Q21:Q23" si="26">FIND("target:",N21)+7</f>
        <v>27</v>
      </c>
      <c r="R21" s="64">
        <f t="shared" ref="R21:R23" si="27">FIND(",",N21,P21+1)</f>
        <v>33</v>
      </c>
      <c r="S21" s="64" t="str">
        <f>IFERROR(VLOOKUP(MID(N21,Q21,R21-Q21),[5]skilldef!$C:$D,2,FALSE),"-") &amp; " / " &amp; IFERROR(VLOOKUP(MID(N21,O21,P21-O21),[5]skilldef!$A:$B,2,FALSE),"-")</f>
        <v>自分自身に / 行動値設定</v>
      </c>
      <c r="T21" s="48" t="str">
        <f t="shared" ref="T21:T23" si="28">IFERROR(RIGHT(M21,LEN(M21)-FIND("],",M21)-1),"none")</f>
        <v>[effect:crash_condition, target:unit_all, turn:4, val:2, animation:enemy_crash_extend]</v>
      </c>
      <c r="U21" s="64">
        <f t="shared" ref="U21:U23" si="29">FIND("effect:",T21)+7</f>
        <v>9</v>
      </c>
      <c r="V21" s="64">
        <f t="shared" ref="V21:V23" si="30">IFERROR(FIND(",",T21),LEN(T21))</f>
        <v>24</v>
      </c>
      <c r="W21" s="64">
        <f t="shared" ref="W21:W23" si="31">FIND("target:",T21)+7</f>
        <v>33</v>
      </c>
      <c r="X21" s="64">
        <f t="shared" ref="X21:X23" si="32">FIND(",",T21,V21+1)</f>
        <v>41</v>
      </c>
      <c r="Y21" s="64" t="str">
        <f>IFERROR(VLOOKUP(MID(T21,W21,X21-W21),[5]skilldef!$C:$D,2,FALSE),"-") &amp; " / " &amp; IFERROR(VLOOKUP(MID(T21,U21,V21-U21),[5]skilldef!$A:$B,2,FALSE),"-")</f>
        <v>味方全体に / -</v>
      </c>
      <c r="Z21" s="50"/>
      <c r="AA21" s="52"/>
      <c r="AB21" s="50"/>
      <c r="AC21" s="122" t="s">
        <v>357</v>
      </c>
      <c r="AD21" s="47"/>
    </row>
    <row r="22" spans="1:30" ht="21" customHeight="1" x14ac:dyDescent="0.15">
      <c r="A22" s="47">
        <v>49010021</v>
      </c>
      <c r="B22" s="47" t="str">
        <f t="shared" si="15"/>
        <v>[effect:enemy_message, val1:1.7, val2:1.7],[effect:fix_speed, target:myself, turn:1],[effect:crash_condition, target:unit_all, turn:4, val:2, animation:enemy_crash_extend]</v>
      </c>
      <c r="C22" s="50">
        <v>3</v>
      </c>
      <c r="D22" s="50" t="s">
        <v>128</v>
      </c>
      <c r="E22" s="51" t="s">
        <v>330</v>
      </c>
      <c r="F22" s="51" t="s">
        <v>263</v>
      </c>
      <c r="G22" s="64" t="str">
        <f>IFERROR(LEFT(B22,FIND("],",B22)),B22)</f>
        <v>[effect:enemy_message, val1:1.7, val2:1.7]</v>
      </c>
      <c r="H22" s="64">
        <f>FIND("effect:",G22)+7</f>
        <v>9</v>
      </c>
      <c r="I22" s="64">
        <f>IFERROR(FIND(",",G22),LEN(G22))</f>
        <v>22</v>
      </c>
      <c r="J22" s="64" t="e">
        <f>FIND("target:",G22)+7</f>
        <v>#VALUE!</v>
      </c>
      <c r="K22" s="64">
        <f>FIND(",",G22,I22+1)</f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>IFERROR(RIGHT(B22,LEN(B22)-FIND("],",B22)-1),"none")</f>
        <v>[effect:fix_speed, target:myself, turn:1],[effect:crash_condition, target:unit_all, turn:4, val:2, animation:enemy_crash_extend]</v>
      </c>
      <c r="N22" s="48" t="str">
        <f>IFERROR(LEFT(M22,FIND("],",M22)+S39),M22)</f>
        <v>[effect:fix_speed, target:myself, turn:1],[effect:crash_condition, target:unit_all, turn:4, val:2, animation:enemy_crash_extend]</v>
      </c>
      <c r="O22" s="64">
        <f>FIND("effect:",N22)+7</f>
        <v>9</v>
      </c>
      <c r="P22" s="64">
        <f>IFERROR(FIND(",",N22),LEN(N22))</f>
        <v>18</v>
      </c>
      <c r="Q22" s="64">
        <f>FIND("target:",N22)+7</f>
        <v>27</v>
      </c>
      <c r="R22" s="64">
        <f>FIND(",",N22,P22+1)</f>
        <v>33</v>
      </c>
      <c r="S22" s="64" t="str">
        <f>IFERROR(VLOOKUP(MID(N22,Q22,R22-Q22),[5]skilldef!$C:$D,2,FALSE),"-") &amp; " / " &amp; IFERROR(VLOOKUP(MID(N22,O22,P22-O22),[5]skilldef!$A:$B,2,FALSE),"-")</f>
        <v>自分自身に / 行動値設定</v>
      </c>
      <c r="T22" s="48" t="str">
        <f>IFERROR(RIGHT(M22,LEN(M22)-FIND("],",M22)-1),"none")</f>
        <v>[effect:crash_condition, target:unit_all, turn:4, val:2, animation:enemy_crash_extend]</v>
      </c>
      <c r="U22" s="64">
        <f>FIND("effect:",T22)+7</f>
        <v>9</v>
      </c>
      <c r="V22" s="64">
        <f>IFERROR(FIND(",",T22),LEN(T22))</f>
        <v>24</v>
      </c>
      <c r="W22" s="64">
        <f>FIND("target:",T22)+7</f>
        <v>33</v>
      </c>
      <c r="X22" s="64">
        <f>FIND(",",T22,V22+1)</f>
        <v>41</v>
      </c>
      <c r="Y22" s="64" t="str">
        <f>IFERROR(VLOOKUP(MID(T22,W22,X22-W22),[5]skilldef!$C:$D,2,FALSE),"-") &amp; " / " &amp; IFERROR(VLOOKUP(MID(T22,U22,V22-U22),[5]skilldef!$A:$B,2,FALSE),"-")</f>
        <v>味方全体に / -</v>
      </c>
      <c r="Z22" s="50"/>
      <c r="AA22" s="52"/>
      <c r="AB22" s="50"/>
      <c r="AC22" s="122" t="s">
        <v>357</v>
      </c>
      <c r="AD22" s="47"/>
    </row>
    <row r="23" spans="1:30" ht="21" customHeight="1" x14ac:dyDescent="0.15">
      <c r="A23" s="47">
        <v>49010022</v>
      </c>
      <c r="B23" s="47" t="str">
        <f t="shared" si="15"/>
        <v>[effect:enemy_message, val1:1.8, val2:1.7],[effect:fix_speed, target:myself, turn:1],[effect:crash_condition, target:unit_all, turn:4, val:2, animation:enemy_crash_extend]</v>
      </c>
      <c r="C23" s="50">
        <v>3</v>
      </c>
      <c r="D23" s="50" t="s">
        <v>128</v>
      </c>
      <c r="E23" s="51" t="s">
        <v>290</v>
      </c>
      <c r="F23" s="51" t="s">
        <v>263</v>
      </c>
      <c r="G23" s="64" t="str">
        <f t="shared" si="18"/>
        <v>[effect:enemy_message, val1:1.8, val2:1.7]</v>
      </c>
      <c r="H23" s="64">
        <f t="shared" si="19"/>
        <v>9</v>
      </c>
      <c r="I23" s="64">
        <f t="shared" si="20"/>
        <v>22</v>
      </c>
      <c r="J23" s="64" t="e">
        <f t="shared" si="21"/>
        <v>#VALUE!</v>
      </c>
      <c r="K23" s="64">
        <f t="shared" si="22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23"/>
        <v>[effect:fix_speed, target:myself, turn:1],[effect:crash_condition, target:unit_all, turn:4, val:2, animation:enemy_crash_extend]</v>
      </c>
      <c r="N23" s="48" t="str">
        <f>IFERROR(LEFT(M23,FIND("],",M23)+S34),M23)</f>
        <v>[effect:fix_speed, target:myself, turn:1],[effect:crash_condition, target:unit_all, turn:4, val:2, animation:enemy_crash_extend]</v>
      </c>
      <c r="O23" s="64">
        <f t="shared" si="24"/>
        <v>9</v>
      </c>
      <c r="P23" s="64">
        <f t="shared" si="25"/>
        <v>18</v>
      </c>
      <c r="Q23" s="64">
        <f t="shared" si="26"/>
        <v>27</v>
      </c>
      <c r="R23" s="64">
        <f t="shared" si="27"/>
        <v>33</v>
      </c>
      <c r="S23" s="64" t="str">
        <f>IFERROR(VLOOKUP(MID(N23,Q23,R23-Q23),[5]skilldef!$C:$D,2,FALSE),"-") &amp; " / " &amp; IFERROR(VLOOKUP(MID(N23,O23,P23-O23),[5]skilldef!$A:$B,2,FALSE),"-")</f>
        <v>自分自身に / 行動値設定</v>
      </c>
      <c r="T23" s="48" t="str">
        <f t="shared" si="28"/>
        <v>[effect:crash_condition, target:unit_all, turn:4, val:2, animation:enemy_crash_extend]</v>
      </c>
      <c r="U23" s="64">
        <f t="shared" si="29"/>
        <v>9</v>
      </c>
      <c r="V23" s="64">
        <f t="shared" si="30"/>
        <v>24</v>
      </c>
      <c r="W23" s="64">
        <f t="shared" si="31"/>
        <v>33</v>
      </c>
      <c r="X23" s="64">
        <f t="shared" si="32"/>
        <v>41</v>
      </c>
      <c r="Y23" s="64" t="str">
        <f>IFERROR(VLOOKUP(MID(T23,W23,X23-W23),[5]skilldef!$C:$D,2,FALSE),"-") &amp; " / " &amp; IFERROR(VLOOKUP(MID(T23,U23,V23-U23),[5]skilldef!$A:$B,2,FALSE),"-")</f>
        <v>味方全体に / -</v>
      </c>
      <c r="Z23" s="50"/>
      <c r="AA23" s="52"/>
      <c r="AB23" s="50"/>
      <c r="AC23" s="122" t="s">
        <v>357</v>
      </c>
      <c r="AD23" s="47"/>
    </row>
    <row r="24" spans="1:30" ht="21" customHeight="1" x14ac:dyDescent="0.15">
      <c r="A24" s="47">
        <v>49010023</v>
      </c>
      <c r="B24" s="47" t="str">
        <f t="shared" si="15"/>
        <v>[effect:enemy_message, val1:2.0, val2:1.7],[effect:fix_speed, target:myself, turn:1],[effect:crash_condition, target:unit_all, turn:4, val:2, animation:enemy_crash_extend]</v>
      </c>
      <c r="C24" s="50">
        <v>3</v>
      </c>
      <c r="D24" s="50" t="s">
        <v>128</v>
      </c>
      <c r="E24" s="51" t="s">
        <v>317</v>
      </c>
      <c r="F24" s="51" t="s">
        <v>263</v>
      </c>
      <c r="G24" s="64" t="str">
        <f>IFERROR(LEFT(B24,FIND("],",B24)),B24)</f>
        <v>[effect:enemy_message, val1:2.0, val2:1.7]</v>
      </c>
      <c r="H24" s="64">
        <f>FIND("effect:",G24)+7</f>
        <v>9</v>
      </c>
      <c r="I24" s="64">
        <f>IFERROR(FIND(",",G24),LEN(G24))</f>
        <v>22</v>
      </c>
      <c r="J24" s="64" t="e">
        <f>FIND("target:",G24)+7</f>
        <v>#VALUE!</v>
      </c>
      <c r="K24" s="64">
        <f>FIND(",",G24,I24+1)</f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>IFERROR(RIGHT(B24,LEN(B24)-FIND("],",B24)-1),"none")</f>
        <v>[effect:fix_speed, target:myself, turn:1],[effect:crash_condition, target:unit_all, turn:4, val:2, animation:enemy_crash_extend]</v>
      </c>
      <c r="N24" s="48" t="str">
        <f>IFERROR(LEFT(M24,FIND("],",M24)+S41),M24)</f>
        <v>[effect:fix_speed, target:myself, turn:1],[effect:crash_condition, target:unit_all, turn:4, val:2, animation:enemy_crash_extend]</v>
      </c>
      <c r="O24" s="64">
        <f>FIND("effect:",N24)+7</f>
        <v>9</v>
      </c>
      <c r="P24" s="64">
        <f>IFERROR(FIND(",",N24),LEN(N24))</f>
        <v>18</v>
      </c>
      <c r="Q24" s="64">
        <f>FIND("target:",N24)+7</f>
        <v>27</v>
      </c>
      <c r="R24" s="64">
        <f>FIND(",",N24,P24+1)</f>
        <v>33</v>
      </c>
      <c r="S24" s="64" t="str">
        <f>IFERROR(VLOOKUP(MID(N24,Q24,R24-Q24),[5]skilldef!$C:$D,2,FALSE),"-") &amp; " / " &amp; IFERROR(VLOOKUP(MID(N24,O24,P24-O24),[5]skilldef!$A:$B,2,FALSE),"-")</f>
        <v>自分自身に / 行動値設定</v>
      </c>
      <c r="T24" s="48" t="str">
        <f>IFERROR(RIGHT(M24,LEN(M24)-FIND("],",M24)-1),"none")</f>
        <v>[effect:crash_condition, target:unit_all, turn:4, val:2, animation:enemy_crash_extend]</v>
      </c>
      <c r="U24" s="64">
        <f>FIND("effect:",T24)+7</f>
        <v>9</v>
      </c>
      <c r="V24" s="64">
        <f>IFERROR(FIND(",",T24),LEN(T24))</f>
        <v>24</v>
      </c>
      <c r="W24" s="64">
        <f>FIND("target:",T24)+7</f>
        <v>33</v>
      </c>
      <c r="X24" s="64">
        <f>FIND(",",T24,V24+1)</f>
        <v>41</v>
      </c>
      <c r="Y24" s="64" t="str">
        <f>IFERROR(VLOOKUP(MID(T24,W24,X24-W24),[5]skilldef!$C:$D,2,FALSE),"-") &amp; " / " &amp; IFERROR(VLOOKUP(MID(T24,U24,V24-U24),[5]skilldef!$A:$B,2,FALSE),"-")</f>
        <v>味方全体に / -</v>
      </c>
      <c r="Z24" s="50"/>
      <c r="AA24" s="52"/>
      <c r="AB24" s="50"/>
      <c r="AC24" s="122" t="s">
        <v>357</v>
      </c>
      <c r="AD24" s="47"/>
    </row>
    <row r="25" spans="1:30" ht="21" customHeight="1" x14ac:dyDescent="0.15">
      <c r="A25" s="47">
        <v>49010024</v>
      </c>
      <c r="B25" s="47" t="str">
        <f t="shared" si="15"/>
        <v>[effect:enemy_message, val1:1.6, val2:1.7],[effect:fix_speed, target:myself, turn:1],[effect:crash_condition, target:unit_all, turn:4, val:2, animation:enemy_crash_extend]</v>
      </c>
      <c r="C25" s="50">
        <v>3</v>
      </c>
      <c r="D25" s="50" t="s">
        <v>128</v>
      </c>
      <c r="E25" s="51" t="s">
        <v>291</v>
      </c>
      <c r="F25" s="51" t="s">
        <v>263</v>
      </c>
      <c r="G25" s="64" t="str">
        <f t="shared" si="0"/>
        <v>[effect:enemy_message, val1:1.6, val2:1.7]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5"/>
        <v>[effect:fix_speed, target:myself, turn:1],[effect:crash_condition, target:unit_all, turn:4, val:2, animation:enemy_crash_extend]</v>
      </c>
      <c r="N25" s="48" t="str">
        <f>IFERROR(LEFT(M25,FIND("],",M25)+S41),M25)</f>
        <v>[effect:fix_speed, target:myself, turn:1],[effect:crash_condition, target:unit_all, turn:4, val:2, animation:enemy_crash_extend]</v>
      </c>
      <c r="O25" s="64">
        <f t="shared" si="6"/>
        <v>9</v>
      </c>
      <c r="P25" s="64">
        <f t="shared" si="7"/>
        <v>18</v>
      </c>
      <c r="Q25" s="64">
        <f t="shared" si="8"/>
        <v>27</v>
      </c>
      <c r="R25" s="64">
        <f t="shared" si="9"/>
        <v>33</v>
      </c>
      <c r="S25" s="64" t="str">
        <f>IFERROR(VLOOKUP(MID(N25,Q25,R25-Q25),[5]skilldef!$C:$D,2,FALSE),"-") &amp; " / " &amp; IFERROR(VLOOKUP(MID(N25,O25,P25-O25),[5]skilldef!$A:$B,2,FALSE),"-")</f>
        <v>自分自身に / 行動値設定</v>
      </c>
      <c r="T25" s="48" t="str">
        <f t="shared" si="10"/>
        <v>[effect:crash_condition, target:unit_all, turn:4, val:2, animation:enemy_crash_extend]</v>
      </c>
      <c r="U25" s="64">
        <f t="shared" si="11"/>
        <v>9</v>
      </c>
      <c r="V25" s="64">
        <f t="shared" si="12"/>
        <v>24</v>
      </c>
      <c r="W25" s="64">
        <f t="shared" si="13"/>
        <v>33</v>
      </c>
      <c r="X25" s="64">
        <f t="shared" si="14"/>
        <v>41</v>
      </c>
      <c r="Y25" s="64" t="str">
        <f>IFERROR(VLOOKUP(MID(T25,W25,X25-W25),[5]skilldef!$C:$D,2,FALSE),"-") &amp; " / " &amp; IFERROR(VLOOKUP(MID(T25,U25,V25-U25),[5]skilldef!$A:$B,2,FALSE),"-")</f>
        <v>味方全体に / -</v>
      </c>
      <c r="Z25" s="50"/>
      <c r="AA25" s="52"/>
      <c r="AB25" s="50"/>
      <c r="AC25" s="122" t="s">
        <v>357</v>
      </c>
      <c r="AD25" s="47"/>
    </row>
    <row r="26" spans="1:30" ht="21" customHeight="1" x14ac:dyDescent="0.15">
      <c r="A26" s="47">
        <v>49010025</v>
      </c>
      <c r="B26" s="47" t="str">
        <f t="shared" si="15"/>
        <v>[effect:enemy_message, val1:2.0, val2:1.7],[effect:fix_speed, target:myself, turn:1],[effect:crash_condition, target:unit_all, turn:4, val:2, animation:enemy_crash_extend]</v>
      </c>
      <c r="C26" s="50">
        <v>3</v>
      </c>
      <c r="D26" s="50" t="s">
        <v>128</v>
      </c>
      <c r="E26" s="51" t="s">
        <v>331</v>
      </c>
      <c r="F26" s="51" t="s">
        <v>263</v>
      </c>
      <c r="G26" s="64" t="str">
        <f t="shared" ref="G26" si="33">IFERROR(LEFT(B26,FIND("],",B26)),B26)</f>
        <v>[effect:enemy_message, val1:2.0, val2:1.7]</v>
      </c>
      <c r="H26" s="64">
        <f t="shared" ref="H26" si="34">FIND("effect:",G26)+7</f>
        <v>9</v>
      </c>
      <c r="I26" s="64">
        <f t="shared" ref="I26" si="35">IFERROR(FIND(",",G26),LEN(G26))</f>
        <v>22</v>
      </c>
      <c r="J26" s="64" t="e">
        <f t="shared" ref="J26" si="36">FIND("target:",G26)+7</f>
        <v>#VALUE!</v>
      </c>
      <c r="K26" s="64">
        <f t="shared" ref="K26" si="37">FIND(",",G26,I26+1)</f>
        <v>32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ref="M26" si="38">IFERROR(RIGHT(B26,LEN(B26)-FIND("],",B26)-1),"none")</f>
        <v>[effect:fix_speed, target:myself, turn:1],[effect:crash_condition, target:unit_all, turn:4, val:2, animation:enemy_crash_extend]</v>
      </c>
      <c r="N26" s="48" t="str">
        <f>IFERROR(LEFT(M26,FIND("],",M26)+S42),M26)</f>
        <v>[effect:fix_speed, target:myself, turn:1],[effect:crash_condition, target:unit_all, turn:4, val:2, animation:enemy_crash_extend]</v>
      </c>
      <c r="O26" s="64">
        <f t="shared" ref="O26" si="39">FIND("effect:",N26)+7</f>
        <v>9</v>
      </c>
      <c r="P26" s="64">
        <f t="shared" ref="P26" si="40">IFERROR(FIND(",",N26),LEN(N26))</f>
        <v>18</v>
      </c>
      <c r="Q26" s="64">
        <f t="shared" ref="Q26" si="41">FIND("target:",N26)+7</f>
        <v>27</v>
      </c>
      <c r="R26" s="64">
        <f t="shared" ref="R26" si="42">FIND(",",N26,P26+1)</f>
        <v>33</v>
      </c>
      <c r="S26" s="64" t="str">
        <f>IFERROR(VLOOKUP(MID(N26,Q26,R26-Q26),[5]skilldef!$C:$D,2,FALSE),"-") &amp; " / " &amp; IFERROR(VLOOKUP(MID(N26,O26,P26-O26),[5]skilldef!$A:$B,2,FALSE),"-")</f>
        <v>自分自身に / 行動値設定</v>
      </c>
      <c r="T26" s="48" t="str">
        <f t="shared" ref="T26" si="43">IFERROR(RIGHT(M26,LEN(M26)-FIND("],",M26)-1),"none")</f>
        <v>[effect:crash_condition, target:unit_all, turn:4, val:2, animation:enemy_crash_extend]</v>
      </c>
      <c r="U26" s="64">
        <f t="shared" ref="U26" si="44">FIND("effect:",T26)+7</f>
        <v>9</v>
      </c>
      <c r="V26" s="64">
        <f t="shared" ref="V26" si="45">IFERROR(FIND(",",T26),LEN(T26))</f>
        <v>24</v>
      </c>
      <c r="W26" s="64">
        <f t="shared" ref="W26" si="46">FIND("target:",T26)+7</f>
        <v>33</v>
      </c>
      <c r="X26" s="64">
        <f t="shared" ref="X26" si="47">FIND(",",T26,V26+1)</f>
        <v>41</v>
      </c>
      <c r="Y26" s="64" t="str">
        <f>IFERROR(VLOOKUP(MID(T26,W26,X26-W26),[5]skilldef!$C:$D,2,FALSE),"-") &amp; " / " &amp; IFERROR(VLOOKUP(MID(T26,U26,V26-U26),[5]skilldef!$A:$B,2,FALSE),"-")</f>
        <v>味方全体に / -</v>
      </c>
      <c r="Z26" s="50"/>
      <c r="AA26" s="52"/>
      <c r="AB26" s="50"/>
      <c r="AC26" s="122" t="s">
        <v>357</v>
      </c>
      <c r="AD26" s="47"/>
    </row>
    <row r="27" spans="1:30" ht="21" customHeight="1" x14ac:dyDescent="0.15">
      <c r="A27" s="47">
        <v>49010026</v>
      </c>
      <c r="B27" s="47" t="str">
        <f t="shared" si="15"/>
        <v>[effect:enemy_message, val1:2.2, val2:1.7],[effect:fix_speed, target:myself, turn:1],[effect:crash_condition, target:unit_all, turn:4, val:2, animation:enemy_crash_extend]</v>
      </c>
      <c r="C27" s="50">
        <v>3</v>
      </c>
      <c r="D27" s="50" t="s">
        <v>128</v>
      </c>
      <c r="E27" s="51" t="s">
        <v>332</v>
      </c>
      <c r="F27" s="51" t="s">
        <v>263</v>
      </c>
      <c r="G27" s="64" t="str">
        <f t="shared" si="0"/>
        <v>[effect:enemy_message, val1:2.2, val2:1.7]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5"/>
        <v>[effect:fix_speed, target:myself, turn:1],[effect:crash_condition, target:unit_all, turn:4, val:2, animation:enemy_crash_extend]</v>
      </c>
      <c r="N27" s="48" t="str">
        <f>IFERROR(LEFT(M27,FIND("],",M27)+S36),M27)</f>
        <v>[effect:fix_speed, target:myself, turn:1],[effect:crash_condition, target:unit_all, turn:4, val:2, animation:enemy_crash_extend]</v>
      </c>
      <c r="O27" s="64">
        <f t="shared" si="6"/>
        <v>9</v>
      </c>
      <c r="P27" s="64">
        <f t="shared" si="7"/>
        <v>18</v>
      </c>
      <c r="Q27" s="64">
        <f t="shared" si="8"/>
        <v>27</v>
      </c>
      <c r="R27" s="64">
        <f t="shared" si="9"/>
        <v>33</v>
      </c>
      <c r="S27" s="64" t="str">
        <f>IFERROR(VLOOKUP(MID(N27,Q27,R27-Q27),[5]skilldef!$C:$D,2,FALSE),"-") &amp; " / " &amp; IFERROR(VLOOKUP(MID(N27,O27,P27-O27),[5]skilldef!$A:$B,2,FALSE),"-")</f>
        <v>自分自身に / 行動値設定</v>
      </c>
      <c r="T27" s="48" t="str">
        <f t="shared" si="10"/>
        <v>[effect:crash_condition, target:unit_all, turn:4, val:2, animation:enemy_crash_extend]</v>
      </c>
      <c r="U27" s="64">
        <f t="shared" si="11"/>
        <v>9</v>
      </c>
      <c r="V27" s="64">
        <f t="shared" si="12"/>
        <v>24</v>
      </c>
      <c r="W27" s="64">
        <f t="shared" si="13"/>
        <v>33</v>
      </c>
      <c r="X27" s="64">
        <f t="shared" si="14"/>
        <v>41</v>
      </c>
      <c r="Y27" s="64" t="str">
        <f>IFERROR(VLOOKUP(MID(T27,W27,X27-W27),[5]skilldef!$C:$D,2,FALSE),"-") &amp; " / " &amp; IFERROR(VLOOKUP(MID(T27,U27,V27-U27),[5]skilldef!$A:$B,2,FALSE),"-")</f>
        <v>味方全体に / -</v>
      </c>
      <c r="Z27" s="50"/>
      <c r="AA27" s="52"/>
      <c r="AB27" s="50"/>
      <c r="AC27" s="122" t="s">
        <v>357</v>
      </c>
      <c r="AD27" s="47"/>
    </row>
    <row r="28" spans="1:30" ht="21" customHeight="1" x14ac:dyDescent="0.15">
      <c r="A28" s="47">
        <v>49010027</v>
      </c>
      <c r="B28" s="47" t="str">
        <f t="shared" si="15"/>
        <v>[effect:enemy_message, val1:2.1, val2:1.7],[effect:fix_speed, target:myself, turn:1],[effect:crash_condition, target:unit_all, turn:4, val:2, animation:enemy_crash_extend]</v>
      </c>
      <c r="C28" s="50">
        <v>3</v>
      </c>
      <c r="D28" s="50" t="s">
        <v>128</v>
      </c>
      <c r="E28" s="51" t="s">
        <v>333</v>
      </c>
      <c r="F28" s="51" t="s">
        <v>263</v>
      </c>
      <c r="G28" s="64" t="str">
        <f>IFERROR(LEFT(B28,FIND("],",B28)),B28)</f>
        <v>[effect:enemy_message, val1:2.1, val2:1.7]</v>
      </c>
      <c r="H28" s="64">
        <f>FIND("effect:",G28)+7</f>
        <v>9</v>
      </c>
      <c r="I28" s="64">
        <f>IFERROR(FIND(",",G28),LEN(G28))</f>
        <v>22</v>
      </c>
      <c r="J28" s="64" t="e">
        <f>FIND("target:",G28)+7</f>
        <v>#VALUE!</v>
      </c>
      <c r="K28" s="64">
        <f>FIND(",",G28,I28+1)</f>
        <v>32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>IFERROR(RIGHT(B28,LEN(B28)-FIND("],",B28)-1),"none")</f>
        <v>[effect:fix_speed, target:myself, turn:1],[effect:crash_condition, target:unit_all, turn:4, val:2, animation:enemy_crash_extend]</v>
      </c>
      <c r="N28" s="48" t="str">
        <f>IFERROR(LEFT(M28,FIND("],",M28)+S40),M28)</f>
        <v>[effect:fix_speed, target:myself, turn:1],[effect:crash_condition, target:unit_all, turn:4, val:2, animation:enemy_crash_extend]</v>
      </c>
      <c r="O28" s="64">
        <f>FIND("effect:",N28)+7</f>
        <v>9</v>
      </c>
      <c r="P28" s="64">
        <f>IFERROR(FIND(",",N28),LEN(N28))</f>
        <v>18</v>
      </c>
      <c r="Q28" s="64">
        <f>FIND("target:",N28)+7</f>
        <v>27</v>
      </c>
      <c r="R28" s="64">
        <f>FIND(",",N28,P28+1)</f>
        <v>33</v>
      </c>
      <c r="S28" s="64" t="str">
        <f>IFERROR(VLOOKUP(MID(N28,Q28,R28-Q28),[5]skilldef!$C:$D,2,FALSE),"-") &amp; " / " &amp; IFERROR(VLOOKUP(MID(N28,O28,P28-O28),[5]skilldef!$A:$B,2,FALSE),"-")</f>
        <v>自分自身に / 行動値設定</v>
      </c>
      <c r="T28" s="48" t="str">
        <f>IFERROR(RIGHT(M28,LEN(M28)-FIND("],",M28)-1),"none")</f>
        <v>[effect:crash_condition, target:unit_all, turn:4, val:2, animation:enemy_crash_extend]</v>
      </c>
      <c r="U28" s="64">
        <f>FIND("effect:",T28)+7</f>
        <v>9</v>
      </c>
      <c r="V28" s="64">
        <f>IFERROR(FIND(",",T28),LEN(T28))</f>
        <v>24</v>
      </c>
      <c r="W28" s="64">
        <f>FIND("target:",T28)+7</f>
        <v>33</v>
      </c>
      <c r="X28" s="64">
        <f>FIND(",",T28,V28+1)</f>
        <v>41</v>
      </c>
      <c r="Y28" s="64" t="str">
        <f>IFERROR(VLOOKUP(MID(T28,W28,X28-W28),[5]skilldef!$C:$D,2,FALSE),"-") &amp; " / " &amp; IFERROR(VLOOKUP(MID(T28,U28,V28-U28),[5]skilldef!$A:$B,2,FALSE),"-")</f>
        <v>味方全体に / -</v>
      </c>
      <c r="Z28" s="50"/>
      <c r="AA28" s="52"/>
      <c r="AB28" s="50"/>
      <c r="AC28" s="122" t="s">
        <v>357</v>
      </c>
      <c r="AD28" s="47"/>
    </row>
    <row r="29" spans="1:30" ht="21" customHeight="1" x14ac:dyDescent="0.15">
      <c r="A29" s="47">
        <v>49010028</v>
      </c>
      <c r="B29" s="47" t="str">
        <f t="shared" si="15"/>
        <v>[effect:enemy_message, val1:1.9, val2:1.7],[effect:fix_speed, target:myself, turn:1],[effect:crash_condition, target:unit_all, turn:4, val:2, animation:enemy_crash_extend]</v>
      </c>
      <c r="C29" s="50">
        <v>3</v>
      </c>
      <c r="D29" s="50" t="s">
        <v>128</v>
      </c>
      <c r="E29" s="51" t="s">
        <v>334</v>
      </c>
      <c r="F29" s="51" t="s">
        <v>263</v>
      </c>
      <c r="G29" s="64" t="str">
        <f t="shared" si="0"/>
        <v>[effect:enemy_message, val1:1.9, val2:1.7]</v>
      </c>
      <c r="H29" s="64">
        <f t="shared" si="1"/>
        <v>9</v>
      </c>
      <c r="I29" s="64">
        <f t="shared" si="2"/>
        <v>22</v>
      </c>
      <c r="J29" s="64" t="e">
        <f t="shared" si="3"/>
        <v>#VALUE!</v>
      </c>
      <c r="K29" s="64">
        <f t="shared" si="4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[effect:fix_speed, target:myself, turn:1],[effect:crash_condition, target:unit_all, turn:4, val:2, animation:enemy_crash_extend]</v>
      </c>
      <c r="N29" s="48" t="str">
        <f>IFERROR(LEFT(M29,FIND("],",M29)+S37),M29)</f>
        <v>[effect:fix_speed, target:myself, turn:1],[effect:crash_condition, target:unit_all, turn:4, val:2, animation:enemy_crash_extend]</v>
      </c>
      <c r="O29" s="64">
        <f t="shared" si="6"/>
        <v>9</v>
      </c>
      <c r="P29" s="64">
        <f t="shared" si="7"/>
        <v>18</v>
      </c>
      <c r="Q29" s="64">
        <f t="shared" si="8"/>
        <v>27</v>
      </c>
      <c r="R29" s="64">
        <f t="shared" si="9"/>
        <v>33</v>
      </c>
      <c r="S29" s="64" t="str">
        <f>IFERROR(VLOOKUP(MID(N29,Q29,R29-Q29),[5]skilldef!$C:$D,2,FALSE),"-") &amp; " / " &amp; IFERROR(VLOOKUP(MID(N29,O29,P29-O29),[5]skilldef!$A:$B,2,FALSE),"-")</f>
        <v>自分自身に / 行動値設定</v>
      </c>
      <c r="T29" s="48" t="str">
        <f t="shared" si="10"/>
        <v>[effect:crash_condition, target:unit_all, turn:4, val:2, animation:enemy_crash_extend]</v>
      </c>
      <c r="U29" s="64">
        <f t="shared" si="11"/>
        <v>9</v>
      </c>
      <c r="V29" s="64">
        <f t="shared" si="12"/>
        <v>24</v>
      </c>
      <c r="W29" s="64">
        <f t="shared" si="13"/>
        <v>33</v>
      </c>
      <c r="X29" s="64">
        <f t="shared" si="14"/>
        <v>41</v>
      </c>
      <c r="Y29" s="64" t="str">
        <f>IFERROR(VLOOKUP(MID(T29,W29,X29-W29),[5]skilldef!$C:$D,2,FALSE),"-") &amp; " / " &amp; IFERROR(VLOOKUP(MID(T29,U29,V29-U29),[5]skilldef!$A:$B,2,FALSE),"-")</f>
        <v>味方全体に / -</v>
      </c>
      <c r="Z29" s="50"/>
      <c r="AA29" s="52"/>
      <c r="AB29" s="50"/>
      <c r="AC29" s="122" t="s">
        <v>357</v>
      </c>
      <c r="AD29" s="47"/>
    </row>
    <row r="30" spans="1:30" ht="21" customHeight="1" x14ac:dyDescent="0.15">
      <c r="A30" s="47">
        <v>49010029</v>
      </c>
      <c r="B30" s="47" t="str">
        <f t="shared" si="15"/>
        <v>[effect:enemy_message, val1:1.9, val2:1.7],[effect:fix_speed, target:myself, turn:1],[effect:crash_condition, target:unit_all, turn:4, val:2, animation:enemy_crash_extend]</v>
      </c>
      <c r="C30" s="50">
        <v>3</v>
      </c>
      <c r="D30" s="50" t="s">
        <v>128</v>
      </c>
      <c r="E30" s="51" t="s">
        <v>335</v>
      </c>
      <c r="F30" s="51" t="s">
        <v>263</v>
      </c>
      <c r="G30" s="64" t="str">
        <f t="shared" ref="G30" si="48">IFERROR(LEFT(B30,FIND("],",B30)),B30)</f>
        <v>[effect:enemy_message, val1:1.9, val2:1.7]</v>
      </c>
      <c r="H30" s="64">
        <f t="shared" ref="H30" si="49">FIND("effect:",G30)+7</f>
        <v>9</v>
      </c>
      <c r="I30" s="64">
        <f t="shared" ref="I30" si="50">IFERROR(FIND(",",G30),LEN(G30))</f>
        <v>22</v>
      </c>
      <c r="J30" s="64" t="e">
        <f t="shared" ref="J30" si="51">FIND("target:",G30)+7</f>
        <v>#VALUE!</v>
      </c>
      <c r="K30" s="64">
        <f t="shared" ref="K30" si="52">FIND(",",G30,I30+1)</f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53">IFERROR(RIGHT(B30,LEN(B30)-FIND("],",B30)-1),"none")</f>
        <v>[effect:fix_speed, target:myself, turn:1],[effect:crash_condition, target:unit_all, turn:4, val:2, animation:enemy_crash_extend]</v>
      </c>
      <c r="N30" s="48" t="str">
        <f>IFERROR(LEFT(M30,FIND("],",M30)+S38),M30)</f>
        <v>[effect:fix_speed, target:myself, turn:1],[effect:crash_condition, target:unit_all, turn:4, val:2, animation:enemy_crash_extend]</v>
      </c>
      <c r="O30" s="64">
        <f t="shared" ref="O30" si="54">FIND("effect:",N30)+7</f>
        <v>9</v>
      </c>
      <c r="P30" s="64">
        <f t="shared" ref="P30" si="55">IFERROR(FIND(",",N30),LEN(N30))</f>
        <v>18</v>
      </c>
      <c r="Q30" s="64">
        <f t="shared" ref="Q30" si="56">FIND("target:",N30)+7</f>
        <v>27</v>
      </c>
      <c r="R30" s="64">
        <f t="shared" ref="R30" si="57">FIND(",",N30,P30+1)</f>
        <v>33</v>
      </c>
      <c r="S30" s="64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ref="T30" si="58">IFERROR(RIGHT(M30,LEN(M30)-FIND("],",M30)-1),"none")</f>
        <v>[effect:crash_condition, target:unit_all, turn:4, val:2, animation:enemy_crash_extend]</v>
      </c>
      <c r="U30" s="64">
        <f t="shared" ref="U30" si="59">FIND("effect:",T30)+7</f>
        <v>9</v>
      </c>
      <c r="V30" s="64">
        <f t="shared" ref="V30" si="60">IFERROR(FIND(",",T30),LEN(T30))</f>
        <v>24</v>
      </c>
      <c r="W30" s="64">
        <f t="shared" ref="W30" si="61">FIND("target:",T30)+7</f>
        <v>33</v>
      </c>
      <c r="X30" s="64">
        <f t="shared" ref="X30" si="62">FIND(",",T30,V30+1)</f>
        <v>41</v>
      </c>
      <c r="Y30" s="64" t="str">
        <f>IFERROR(VLOOKUP(MID(T30,W30,X30-W30),[5]skilldef!$C:$D,2,FALSE),"-") &amp; " / " &amp; IFERROR(VLOOKUP(MID(T30,U30,V30-U30),[5]skilldef!$A:$B,2,FALSE),"-")</f>
        <v>味方全体に / -</v>
      </c>
      <c r="Z30" s="50"/>
      <c r="AA30" s="52"/>
      <c r="AB30" s="50"/>
      <c r="AC30" s="122" t="s">
        <v>357</v>
      </c>
      <c r="AD30" s="47"/>
    </row>
    <row r="31" spans="1:30" ht="21" customHeight="1" x14ac:dyDescent="0.15">
      <c r="A31" s="47">
        <v>49010030</v>
      </c>
      <c r="B31" s="47" t="str">
        <f t="shared" si="15"/>
        <v>[effect:enemy_message, val1:1.7, val2:1.7],[effect:fix_speed, target:myself, turn:1],[effect:crash_condition, target:unit_all, turn:4, val:2, animation:enemy_crash_extend]</v>
      </c>
      <c r="C31" s="50">
        <v>3</v>
      </c>
      <c r="D31" s="50" t="s">
        <v>128</v>
      </c>
      <c r="E31" s="51" t="s">
        <v>292</v>
      </c>
      <c r="F31" s="51" t="s">
        <v>263</v>
      </c>
      <c r="G31" s="64" t="str">
        <f t="shared" ref="G31" si="63">IFERROR(LEFT(B31,FIND("],",B31)),B31)</f>
        <v>[effect:enemy_message, val1:1.7, val2:1.7]</v>
      </c>
      <c r="H31" s="64">
        <f t="shared" ref="H31" si="64">FIND("effect:",G31)+7</f>
        <v>9</v>
      </c>
      <c r="I31" s="64">
        <f t="shared" ref="I31" si="65">IFERROR(FIND(",",G31),LEN(G31))</f>
        <v>22</v>
      </c>
      <c r="J31" s="64" t="e">
        <f t="shared" ref="J31" si="66">FIND("target:",G31)+7</f>
        <v>#VALUE!</v>
      </c>
      <c r="K31" s="64">
        <f t="shared" ref="K31" si="67">FIND(",",G31,I31+1)</f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ref="M31" si="68">IFERROR(RIGHT(B31,LEN(B31)-FIND("],",B31)-1),"none")</f>
        <v>[effect:fix_speed, target:myself, turn:1],[effect:crash_condition, target:unit_all, turn:4, val:2, animation:enemy_crash_extend]</v>
      </c>
      <c r="N31" s="48" t="str">
        <f>IFERROR(LEFT(M31,FIND("],",M31)+S43),M31)</f>
        <v>[effect:fix_speed, target:myself, turn:1],[effect:crash_condition, target:unit_all, turn:4, val:2, animation:enemy_crash_extend]</v>
      </c>
      <c r="O31" s="64">
        <f t="shared" ref="O31" si="69">FIND("effect:",N31)+7</f>
        <v>9</v>
      </c>
      <c r="P31" s="64">
        <f t="shared" ref="P31" si="70">IFERROR(FIND(",",N31),LEN(N31))</f>
        <v>18</v>
      </c>
      <c r="Q31" s="64">
        <f t="shared" ref="Q31" si="71">FIND("target:",N31)+7</f>
        <v>27</v>
      </c>
      <c r="R31" s="64">
        <f t="shared" ref="R31" si="72">FIND(",",N31,P31+1)</f>
        <v>33</v>
      </c>
      <c r="S31" s="64" t="str">
        <f>IFERROR(VLOOKUP(MID(N31,Q31,R31-Q31),[5]skilldef!$C:$D,2,FALSE),"-") &amp; " / " &amp; IFERROR(VLOOKUP(MID(N31,O31,P31-O31),[5]skilldef!$A:$B,2,FALSE),"-")</f>
        <v>自分自身に / 行動値設定</v>
      </c>
      <c r="T31" s="48" t="str">
        <f t="shared" ref="T31" si="73">IFERROR(RIGHT(M31,LEN(M31)-FIND("],",M31)-1),"none")</f>
        <v>[effect:crash_condition, target:unit_all, turn:4, val:2, animation:enemy_crash_extend]</v>
      </c>
      <c r="U31" s="64">
        <f t="shared" ref="U31" si="74">FIND("effect:",T31)+7</f>
        <v>9</v>
      </c>
      <c r="V31" s="64">
        <f t="shared" ref="V31" si="75">IFERROR(FIND(",",T31),LEN(T31))</f>
        <v>24</v>
      </c>
      <c r="W31" s="64">
        <f t="shared" ref="W31" si="76">FIND("target:",T31)+7</f>
        <v>33</v>
      </c>
      <c r="X31" s="64">
        <f t="shared" ref="X31" si="77">FIND(",",T31,V31+1)</f>
        <v>41</v>
      </c>
      <c r="Y31" s="64" t="str">
        <f>IFERROR(VLOOKUP(MID(T31,W31,X31-W31),[5]skilldef!$C:$D,2,FALSE),"-") &amp; " / " &amp; IFERROR(VLOOKUP(MID(T31,U31,V31-U31),[5]skilldef!$A:$B,2,FALSE),"-")</f>
        <v>味方全体に / -</v>
      </c>
      <c r="Z31" s="50"/>
      <c r="AA31" s="52"/>
      <c r="AB31" s="50"/>
      <c r="AC31" s="122" t="s">
        <v>357</v>
      </c>
      <c r="AD31" s="47"/>
    </row>
    <row r="32" spans="1:30" ht="21" customHeight="1" x14ac:dyDescent="0.15">
      <c r="A32" s="47">
        <v>49010031</v>
      </c>
      <c r="B32" s="47" t="str">
        <f t="shared" si="15"/>
        <v>[effect:enemy_message, val1:1.3, val2:3.1],[effect:degrade_unit, target:unit_all, turn:2, status:attack, val:0.3, calc:mul],[effect:enhance_fever, val:500, animation:fevergauge_up03]</v>
      </c>
      <c r="C32" s="50">
        <v>3</v>
      </c>
      <c r="D32" s="50" t="s">
        <v>128</v>
      </c>
      <c r="E32" s="51" t="s">
        <v>293</v>
      </c>
      <c r="F32" s="51" t="s">
        <v>370</v>
      </c>
      <c r="G32" s="64" t="str">
        <f t="shared" si="0"/>
        <v>[effect:enemy_message, val1:1.3, val2:3.1]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[effect:degrade_unit, target:unit_all, turn:2, status:attack, val:0.3, calc:mul],[effect:enhance_fever, val:500, animation:fevergauge_up03]</v>
      </c>
      <c r="N32" s="48" t="str">
        <f t="shared" si="16"/>
        <v>[effect:degrade_unit, target:unit_all, turn:2, status:attack, val:0.3, calc:mul],[effect:enhance_fever, val:500, animation:fevergauge_up03]</v>
      </c>
      <c r="O32" s="64">
        <f t="shared" si="6"/>
        <v>9</v>
      </c>
      <c r="P32" s="64">
        <f t="shared" si="7"/>
        <v>21</v>
      </c>
      <c r="Q32" s="64">
        <f t="shared" si="8"/>
        <v>30</v>
      </c>
      <c r="R32" s="64">
        <f t="shared" si="9"/>
        <v>38</v>
      </c>
      <c r="S32" s="64" t="str">
        <f>IFERROR(VLOOKUP(MID(N32,Q32,R32-Q32),[5]skilldef!$C:$D,2,FALSE),"-") &amp; " / " &amp; IFERROR(VLOOKUP(MID(N32,O32,P32-O32),[5]skilldef!$A:$B,2,FALSE),"-")</f>
        <v>味方全体に / ステータスDOWN</v>
      </c>
      <c r="T32" s="48" t="str">
        <f t="shared" si="10"/>
        <v>[effect:enhance_fever, val:500, animation:fevergauge_up03]</v>
      </c>
      <c r="U32" s="64">
        <f t="shared" si="11"/>
        <v>9</v>
      </c>
      <c r="V32" s="64">
        <f t="shared" si="12"/>
        <v>22</v>
      </c>
      <c r="W32" s="64" t="e">
        <f t="shared" si="13"/>
        <v>#VALUE!</v>
      </c>
      <c r="X32" s="64">
        <f t="shared" si="14"/>
        <v>31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  <c r="AC32" s="122" t="s">
        <v>358</v>
      </c>
      <c r="AD32" s="47"/>
    </row>
    <row r="33" spans="1:30" ht="21" customHeight="1" x14ac:dyDescent="0.15">
      <c r="A33" s="47">
        <v>49010032</v>
      </c>
      <c r="B33" s="47" t="str">
        <f t="shared" si="15"/>
        <v>[effect:enemy_message, val1:1.2, val2:1.2],[effect:rush, count:3, val:0.33]</v>
      </c>
      <c r="C33" s="50">
        <v>3</v>
      </c>
      <c r="D33" s="50" t="s">
        <v>128</v>
      </c>
      <c r="E33" s="51" t="s">
        <v>336</v>
      </c>
      <c r="F33" s="51" t="s">
        <v>253</v>
      </c>
      <c r="G33" s="64" t="str">
        <f t="shared" si="0"/>
        <v>[effect:enemy_message, val1:1.2, val2:1.2]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5"/>
        <v>[effect:rush, count:3, val:0.33]</v>
      </c>
      <c r="N33" s="48" t="str">
        <f t="shared" si="16"/>
        <v>[effect:rush, count:3, val:0.33]</v>
      </c>
      <c r="O33" s="64">
        <f t="shared" si="6"/>
        <v>9</v>
      </c>
      <c r="P33" s="64">
        <f t="shared" si="7"/>
        <v>13</v>
      </c>
      <c r="Q33" s="64" t="e">
        <f t="shared" si="8"/>
        <v>#VALUE!</v>
      </c>
      <c r="R33" s="64">
        <f t="shared" si="9"/>
        <v>22</v>
      </c>
      <c r="S33" s="64" t="str">
        <f>IFERROR(VLOOKUP(MID(N33,Q33,R33-Q33),[5]skilldef!$C:$D,2,FALSE),"-") &amp; " / " &amp; IFERROR(VLOOKUP(MID(N33,O33,P33-O33),[5]skilldef!$A:$B,2,FALSE),"-")</f>
        <v>- / 連続攻撃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  <c r="AC33" s="122" t="s">
        <v>264</v>
      </c>
      <c r="AD33" s="47"/>
    </row>
    <row r="34" spans="1:30" ht="21" customHeight="1" x14ac:dyDescent="0.15">
      <c r="A34" s="47">
        <v>49010033</v>
      </c>
      <c r="B34" s="47" t="str">
        <f t="shared" si="15"/>
        <v>[effect:enemy_message, val1:1.2, val2:1.9],[effect:force_change_block, new_block:damage, target:block_red, color:block_red, count:4, val:0.1]</v>
      </c>
      <c r="C34" s="50">
        <v>3</v>
      </c>
      <c r="D34" s="50" t="s">
        <v>128</v>
      </c>
      <c r="E34" s="51" t="s">
        <v>337</v>
      </c>
      <c r="F34" s="51" t="s">
        <v>273</v>
      </c>
      <c r="G34" s="64" t="str">
        <f t="shared" si="0"/>
        <v>[effect:enemy_message, val1:1.2, val2:1.9]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si="5"/>
        <v>[effect:force_change_block, new_block:damage, target:block_red, color:block_red, count:4, val:0.1]</v>
      </c>
      <c r="N34" s="48" t="str">
        <f t="shared" si="16"/>
        <v>[effect:force_change_block, new_block:damage, target:block_red, color:block_red, count:4, val:0.1]</v>
      </c>
      <c r="O34" s="64">
        <f t="shared" si="6"/>
        <v>9</v>
      </c>
      <c r="P34" s="64">
        <f t="shared" si="7"/>
        <v>27</v>
      </c>
      <c r="Q34" s="64">
        <f t="shared" si="8"/>
        <v>54</v>
      </c>
      <c r="R34" s="64">
        <f t="shared" si="9"/>
        <v>45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si="10"/>
        <v>none</v>
      </c>
      <c r="U34" s="64" t="e">
        <f t="shared" si="11"/>
        <v>#VALUE!</v>
      </c>
      <c r="V34" s="64">
        <f t="shared" si="12"/>
        <v>4</v>
      </c>
      <c r="W34" s="64" t="e">
        <f t="shared" si="13"/>
        <v>#VALUE!</v>
      </c>
      <c r="X34" s="64" t="e">
        <f t="shared" si="14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  <c r="AC34" s="122" t="s">
        <v>382</v>
      </c>
      <c r="AD34" s="47"/>
    </row>
    <row r="35" spans="1:30" ht="21" customHeight="1" x14ac:dyDescent="0.15">
      <c r="A35" s="47">
        <v>49010034</v>
      </c>
      <c r="B35" s="47" t="str">
        <f t="shared" si="15"/>
        <v>[effect:enemy_message, val1:1.2, val2:1.9],[effect:force_change_block, new_block:damage, target:block_green, color:block_green, count:4, val:0.1]</v>
      </c>
      <c r="C35" s="50">
        <v>3</v>
      </c>
      <c r="D35" s="50" t="s">
        <v>128</v>
      </c>
      <c r="E35" s="51" t="s">
        <v>338</v>
      </c>
      <c r="F35" s="51" t="s">
        <v>274</v>
      </c>
      <c r="G35" s="64" t="str">
        <f t="shared" si="0"/>
        <v>[effect:enemy_message, val1:1.2, val2:1.9]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[effect:force_change_block, new_block:damage, target:block_green, color:block_green, count:4, val:0.1]</v>
      </c>
      <c r="N35" s="48" t="str">
        <f t="shared" si="16"/>
        <v>[effect:force_change_block, new_block:damage, target:block_green, color:block_green, count:4, val:0.1]</v>
      </c>
      <c r="O35" s="64">
        <f t="shared" si="6"/>
        <v>9</v>
      </c>
      <c r="P35" s="64">
        <f t="shared" si="7"/>
        <v>27</v>
      </c>
      <c r="Q35" s="64">
        <f t="shared" si="8"/>
        <v>54</v>
      </c>
      <c r="R35" s="64">
        <f t="shared" si="9"/>
        <v>45</v>
      </c>
      <c r="S35" s="64" t="str">
        <f>IFERROR(VLOOKUP(MID(N35,Q35,R35-Q35),[5]skilldef!$C:$D,2,FALSE),"-") &amp; " / " &amp; IFERROR(VLOOKUP(MID(N35,O35,P35-O35),[5]skilldef!$A:$B,2,FALSE),"-")</f>
        <v>- / -</v>
      </c>
      <c r="T35" s="48" t="str">
        <f t="shared" si="10"/>
        <v>none</v>
      </c>
      <c r="U35" s="64" t="e">
        <f t="shared" si="11"/>
        <v>#VALUE!</v>
      </c>
      <c r="V35" s="64">
        <f t="shared" si="12"/>
        <v>4</v>
      </c>
      <c r="W35" s="64" t="e">
        <f t="shared" si="13"/>
        <v>#VALUE!</v>
      </c>
      <c r="X35" s="64" t="e">
        <f t="shared" si="14"/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  <c r="AC35" s="122" t="s">
        <v>383</v>
      </c>
      <c r="AD35" s="47"/>
    </row>
    <row r="36" spans="1:30" ht="21" customHeight="1" x14ac:dyDescent="0.15">
      <c r="A36" s="47">
        <v>49010035</v>
      </c>
      <c r="B36" s="47" t="str">
        <f t="shared" si="15"/>
        <v>[effect:enemy_message, val1:1.2, val2:1.9],[effect:force_change_block, new_block:damage, target:block_yellow, color:block_yellow, count:4, val:0.1]</v>
      </c>
      <c r="C36" s="50">
        <v>3</v>
      </c>
      <c r="D36" s="50" t="s">
        <v>128</v>
      </c>
      <c r="E36" s="51" t="s">
        <v>339</v>
      </c>
      <c r="F36" s="51" t="s">
        <v>275</v>
      </c>
      <c r="G36" s="64" t="str">
        <f t="shared" si="0"/>
        <v>[effect:enemy_message, val1:1.2, val2:1.9]</v>
      </c>
      <c r="H36" s="64">
        <f t="shared" si="1"/>
        <v>9</v>
      </c>
      <c r="I36" s="64">
        <f t="shared" si="2"/>
        <v>22</v>
      </c>
      <c r="J36" s="64" t="e">
        <f t="shared" si="3"/>
        <v>#VALUE!</v>
      </c>
      <c r="K36" s="64">
        <f t="shared" si="4"/>
        <v>32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5"/>
        <v>[effect:force_change_block, new_block:damage, target:block_yellow, color:block_yellow, count:4, val:0.1]</v>
      </c>
      <c r="N36" s="48" t="str">
        <f t="shared" si="16"/>
        <v>[effect:force_change_block, new_block:damage, target:block_yellow, color:block_yellow, count:4, val:0.1]</v>
      </c>
      <c r="O36" s="64">
        <f t="shared" si="6"/>
        <v>9</v>
      </c>
      <c r="P36" s="64">
        <f t="shared" si="7"/>
        <v>27</v>
      </c>
      <c r="Q36" s="64">
        <f t="shared" si="8"/>
        <v>54</v>
      </c>
      <c r="R36" s="64">
        <f t="shared" si="9"/>
        <v>45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0"/>
        <v>none</v>
      </c>
      <c r="U36" s="64" t="e">
        <f t="shared" si="11"/>
        <v>#VALUE!</v>
      </c>
      <c r="V36" s="64">
        <f t="shared" si="12"/>
        <v>4</v>
      </c>
      <c r="W36" s="64" t="e">
        <f t="shared" si="13"/>
        <v>#VALUE!</v>
      </c>
      <c r="X36" s="64" t="e">
        <f t="shared" si="14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  <c r="AC36" s="122" t="s">
        <v>384</v>
      </c>
      <c r="AD36" s="47"/>
    </row>
    <row r="37" spans="1:30" ht="21" customHeight="1" x14ac:dyDescent="0.15">
      <c r="A37" s="47">
        <v>49010036</v>
      </c>
      <c r="B37" s="47" t="str">
        <f t="shared" si="15"/>
        <v>[effect:enemy_message, val1:1.5, val2:2.5],[effect:dis_panel, target:block_green, turn:2, animation:enemy_dis_green],[effect:panel_freeze, target:block_all, count:8]</v>
      </c>
      <c r="C37" s="50">
        <v>3</v>
      </c>
      <c r="D37" s="50" t="s">
        <v>128</v>
      </c>
      <c r="E37" s="51" t="s">
        <v>294</v>
      </c>
      <c r="F37" s="51" t="s">
        <v>295</v>
      </c>
      <c r="G37" s="64" t="str">
        <f t="shared" si="0"/>
        <v>[effect:enemy_message, val1:1.5, val2:2.5]</v>
      </c>
      <c r="H37" s="64">
        <f t="shared" si="1"/>
        <v>9</v>
      </c>
      <c r="I37" s="64">
        <f t="shared" si="2"/>
        <v>22</v>
      </c>
      <c r="J37" s="64" t="e">
        <f t="shared" si="3"/>
        <v>#VALUE!</v>
      </c>
      <c r="K37" s="64">
        <f t="shared" si="4"/>
        <v>32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5"/>
        <v>[effect:dis_panel, target:block_green, turn:2, animation:enemy_dis_green],[effect:panel_freeze, target:block_all, count:8]</v>
      </c>
      <c r="N37" s="48" t="str">
        <f t="shared" si="16"/>
        <v>[effect:dis_panel, target:block_green, turn:2, animation:enemy_dis_green],[effect:panel_freeze, target:block_all, count:8]</v>
      </c>
      <c r="O37" s="64">
        <f t="shared" si="6"/>
        <v>9</v>
      </c>
      <c r="P37" s="64">
        <f t="shared" si="7"/>
        <v>18</v>
      </c>
      <c r="Q37" s="64">
        <f t="shared" si="8"/>
        <v>27</v>
      </c>
      <c r="R37" s="64">
        <f t="shared" si="9"/>
        <v>38</v>
      </c>
      <c r="S37" s="64" t="str">
        <f>IFERROR(VLOOKUP(MID(N37,Q37,R37-Q37),[5]skilldef!$C:$D,2,FALSE),"-") &amp; " / " &amp; IFERROR(VLOOKUP(MID(N37,O37,P37-O37),[5]skilldef!$A:$B,2,FALSE),"-")</f>
        <v>緑パネルを / ディスパネル</v>
      </c>
      <c r="T37" s="48" t="str">
        <f t="shared" si="10"/>
        <v>[effect:panel_freeze, target:block_all, count:8]</v>
      </c>
      <c r="U37" s="64">
        <f t="shared" si="11"/>
        <v>9</v>
      </c>
      <c r="V37" s="64">
        <f t="shared" si="12"/>
        <v>21</v>
      </c>
      <c r="W37" s="64">
        <f t="shared" si="13"/>
        <v>30</v>
      </c>
      <c r="X37" s="64">
        <f t="shared" si="14"/>
        <v>39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  <c r="AC37" s="122" t="s">
        <v>359</v>
      </c>
      <c r="AD37" s="47"/>
    </row>
    <row r="38" spans="1:30" ht="21" customHeight="1" x14ac:dyDescent="0.15">
      <c r="A38" s="47">
        <v>49010037</v>
      </c>
      <c r="B38" s="47" t="str">
        <f t="shared" si="15"/>
        <v>[effect:enemy_message, val1:1.2, val2:1.2],[effect:fix_speed, target:myself, turn:1],[effect:tolerance, target:myself, turn:-1, count:-1, tolerance_effect:all, animation:enemy_tolerance]</v>
      </c>
      <c r="C38" s="50">
        <v>3</v>
      </c>
      <c r="D38" s="50" t="s">
        <v>128</v>
      </c>
      <c r="E38" s="51" t="s">
        <v>280</v>
      </c>
      <c r="F38" s="51" t="s">
        <v>257</v>
      </c>
      <c r="G38" s="64" t="str">
        <f t="shared" si="0"/>
        <v>[effect:enemy_message, val1:1.2, val2:1.2]</v>
      </c>
      <c r="H38" s="64">
        <f t="shared" si="1"/>
        <v>9</v>
      </c>
      <c r="I38" s="64">
        <f t="shared" si="2"/>
        <v>22</v>
      </c>
      <c r="J38" s="64" t="e">
        <f t="shared" si="3"/>
        <v>#VALUE!</v>
      </c>
      <c r="K38" s="64">
        <f t="shared" si="4"/>
        <v>32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5"/>
        <v>[effect:fix_speed, target:myself, turn:1],[effect:tolerance, target:myself, turn:-1, count:-1, tolerance_effect:all, animation:enemy_tolerance]</v>
      </c>
      <c r="N38" s="48" t="str">
        <f t="shared" si="16"/>
        <v>[effect:fix_speed, target:myself, turn:1],[effect:tolerance, target:myself, turn:-1, count:-1, tolerance_effect:all, animation:enemy_tolerance]</v>
      </c>
      <c r="O38" s="64">
        <f t="shared" si="6"/>
        <v>9</v>
      </c>
      <c r="P38" s="64">
        <f t="shared" si="7"/>
        <v>18</v>
      </c>
      <c r="Q38" s="64">
        <f t="shared" si="8"/>
        <v>27</v>
      </c>
      <c r="R38" s="64">
        <f t="shared" si="9"/>
        <v>33</v>
      </c>
      <c r="S38" s="64" t="str">
        <f>IFERROR(VLOOKUP(MID(N38,Q38,R38-Q38),[5]skilldef!$C:$D,2,FALSE),"-") &amp; " / " &amp; IFERROR(VLOOKUP(MID(N38,O38,P38-O38),[5]skilldef!$A:$B,2,FALSE),"-")</f>
        <v>自分自身に / 行動値設定</v>
      </c>
      <c r="T38" s="48" t="str">
        <f t="shared" si="10"/>
        <v>[effect:tolerance, target:myself, turn:-1, count:-1, tolerance_effect:all, animation:enemy_tolerance]</v>
      </c>
      <c r="U38" s="64">
        <f t="shared" si="11"/>
        <v>9</v>
      </c>
      <c r="V38" s="64">
        <f t="shared" si="12"/>
        <v>18</v>
      </c>
      <c r="W38" s="64">
        <f t="shared" si="13"/>
        <v>27</v>
      </c>
      <c r="X38" s="64">
        <f t="shared" si="14"/>
        <v>33</v>
      </c>
      <c r="Y38" s="64" t="str">
        <f>IFERROR(VLOOKUP(MID(T38,W38,X38-W38),[5]skilldef!$C:$D,2,FALSE),"-") &amp; " / " &amp; IFERROR(VLOOKUP(MID(T38,U38,V38-U38),[5]skilldef!$A:$B,2,FALSE),"-")</f>
        <v>自分自身に / 状態異常耐性</v>
      </c>
      <c r="Z38" s="50"/>
      <c r="AA38" s="52"/>
      <c r="AB38" s="50"/>
      <c r="AC38" s="122" t="s">
        <v>360</v>
      </c>
      <c r="AD38" s="47"/>
    </row>
    <row r="39" spans="1:30" ht="21" customHeight="1" x14ac:dyDescent="0.15">
      <c r="A39" s="47">
        <v>49010038</v>
      </c>
      <c r="B39" s="47" t="str">
        <f t="shared" si="15"/>
        <v>[effect:enemy_message, val1:1.2, val2:1.7],[effect:force_change_block, new_block:jammer, target:block_all, ignore01:crash, ignore02:crack_bomb, ignore03:time_bomb, ignore04:jammer, ignore05:damage, ignore06:color_break, ignore07:magnet, count:14, val:0]</v>
      </c>
      <c r="C39" s="50">
        <v>3</v>
      </c>
      <c r="D39" s="50" t="s">
        <v>128</v>
      </c>
      <c r="E39" s="51" t="s">
        <v>282</v>
      </c>
      <c r="F39" s="51" t="s">
        <v>265</v>
      </c>
      <c r="G39" s="64" t="str">
        <f t="shared" si="0"/>
        <v>[effect:enemy_message, val1:1.2, val2:1.7]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[effect:force_change_block, new_block:jammer, target:block_all, ignore01:crash, ignore02:crack_bomb, ignore03:time_bomb, ignore04:jammer, ignore05:damage, ignore06:color_break, ignore07:magnet, count:14, val:0]</v>
      </c>
      <c r="N39" s="48" t="str">
        <f t="shared" si="16"/>
        <v>[effect:force_change_block, new_block:jammer, target:block_all, ignore01:crash, ignore02:crack_bomb, ignore03:time_bomb, ignore04:jammer, ignore05:damage, ignore06:color_break, ignore07:magnet, count:14, val:0]</v>
      </c>
      <c r="O39" s="64">
        <f t="shared" si="6"/>
        <v>9</v>
      </c>
      <c r="P39" s="64">
        <f t="shared" si="7"/>
        <v>27</v>
      </c>
      <c r="Q39" s="64">
        <f t="shared" si="8"/>
        <v>54</v>
      </c>
      <c r="R39" s="64">
        <f t="shared" si="9"/>
        <v>45</v>
      </c>
      <c r="S39" s="64" t="str">
        <f>IFERROR(VLOOKUP(MID(N39,Q39,R39-Q39),[5]skilldef!$C:$D,2,FALSE),"-") &amp; " / " &amp; IFERROR(VLOOKUP(MID(N39,O39,P39-O39),[5]skilldef!$A:$B,2,FALSE),"-")</f>
        <v>- / -</v>
      </c>
      <c r="T39" s="48" t="str">
        <f t="shared" si="10"/>
        <v>none</v>
      </c>
      <c r="U39" s="64" t="e">
        <f t="shared" si="11"/>
        <v>#VALUE!</v>
      </c>
      <c r="V39" s="64">
        <f t="shared" si="12"/>
        <v>4</v>
      </c>
      <c r="W39" s="64" t="e">
        <f t="shared" si="13"/>
        <v>#VALUE!</v>
      </c>
      <c r="X39" s="64" t="e">
        <f t="shared" si="14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  <c r="AC39" s="122" t="s">
        <v>376</v>
      </c>
      <c r="AD39" s="47"/>
    </row>
    <row r="40" spans="1:30" ht="21" customHeight="1" x14ac:dyDescent="0.15">
      <c r="A40" s="47">
        <v>49010039</v>
      </c>
      <c r="B40" s="47" t="str">
        <f t="shared" si="15"/>
        <v>[effect:enemy_message, val1:1.2, val2:1.2],[effect:rush, count:3, val:0.33]</v>
      </c>
      <c r="C40" s="50">
        <v>3</v>
      </c>
      <c r="D40" s="50" t="s">
        <v>128</v>
      </c>
      <c r="E40" s="51" t="s">
        <v>340</v>
      </c>
      <c r="F40" s="51" t="s">
        <v>253</v>
      </c>
      <c r="G40" s="64" t="str">
        <f t="shared" si="0"/>
        <v>[effect:enemy_message, val1:1.2, val2:1.2]</v>
      </c>
      <c r="H40" s="64">
        <f t="shared" si="1"/>
        <v>9</v>
      </c>
      <c r="I40" s="64">
        <f t="shared" si="2"/>
        <v>22</v>
      </c>
      <c r="J40" s="64" t="e">
        <f t="shared" si="3"/>
        <v>#VALUE!</v>
      </c>
      <c r="K40" s="64">
        <f t="shared" si="4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5"/>
        <v>[effect:rush, count:3, val:0.33]</v>
      </c>
      <c r="N40" s="48" t="str">
        <f t="shared" si="16"/>
        <v>[effect:rush, count:3, val:0.33]</v>
      </c>
      <c r="O40" s="64">
        <f t="shared" si="6"/>
        <v>9</v>
      </c>
      <c r="P40" s="64">
        <f t="shared" si="7"/>
        <v>13</v>
      </c>
      <c r="Q40" s="64" t="e">
        <f t="shared" si="8"/>
        <v>#VALUE!</v>
      </c>
      <c r="R40" s="64">
        <f t="shared" si="9"/>
        <v>22</v>
      </c>
      <c r="S40" s="64" t="str">
        <f>IFERROR(VLOOKUP(MID(N40,Q40,R40-Q40),[5]skilldef!$C:$D,2,FALSE),"-") &amp; " / " &amp; IFERROR(VLOOKUP(MID(N40,O40,P40-O40),[5]skilldef!$A:$B,2,FALSE),"-")</f>
        <v>- / 連続攻撃</v>
      </c>
      <c r="T40" s="48" t="str">
        <f t="shared" si="10"/>
        <v>none</v>
      </c>
      <c r="U40" s="64" t="e">
        <f t="shared" si="11"/>
        <v>#VALUE!</v>
      </c>
      <c r="V40" s="64">
        <f t="shared" si="12"/>
        <v>4</v>
      </c>
      <c r="W40" s="64" t="e">
        <f t="shared" si="13"/>
        <v>#VALUE!</v>
      </c>
      <c r="X40" s="64" t="e">
        <f t="shared" si="14"/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  <c r="AC40" s="122" t="s">
        <v>264</v>
      </c>
      <c r="AD40" s="47"/>
    </row>
    <row r="41" spans="1:30" ht="21" customHeight="1" x14ac:dyDescent="0.15">
      <c r="A41" s="47">
        <v>49010040</v>
      </c>
      <c r="B41" s="47" t="str">
        <f t="shared" si="15"/>
        <v>[effect:enemy_message, val1:1.2, val2:1.2],[effect:critical, val:1.5, animation:enemy_critical]</v>
      </c>
      <c r="C41" s="50">
        <v>3</v>
      </c>
      <c r="D41" s="50" t="s">
        <v>128</v>
      </c>
      <c r="E41" s="51" t="s">
        <v>341</v>
      </c>
      <c r="F41" s="51" t="s">
        <v>266</v>
      </c>
      <c r="G41" s="64" t="str">
        <f t="shared" si="0"/>
        <v>[effect:enemy_message, val1:1.2, val2:1.2]</v>
      </c>
      <c r="H41" s="64">
        <f t="shared" si="1"/>
        <v>9</v>
      </c>
      <c r="I41" s="64">
        <f t="shared" si="2"/>
        <v>22</v>
      </c>
      <c r="J41" s="64" t="e">
        <f t="shared" si="3"/>
        <v>#VALUE!</v>
      </c>
      <c r="K41" s="64">
        <f t="shared" si="4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5"/>
        <v>[effect:critical, val:1.5, animation:enemy_critical]</v>
      </c>
      <c r="N41" s="48" t="str">
        <f t="shared" si="16"/>
        <v>[effect:critical, val:1.5, animation:enemy_critical]</v>
      </c>
      <c r="O41" s="64">
        <f t="shared" si="6"/>
        <v>9</v>
      </c>
      <c r="P41" s="64">
        <f t="shared" si="7"/>
        <v>17</v>
      </c>
      <c r="Q41" s="64" t="e">
        <f t="shared" si="8"/>
        <v>#VALUE!</v>
      </c>
      <c r="R41" s="64">
        <f t="shared" si="9"/>
        <v>26</v>
      </c>
      <c r="S41" s="64" t="str">
        <f>IFERROR(VLOOKUP(MID(N41,Q41,R41-Q41),[5]skilldef!$C:$D,2,FALSE),"-") &amp; " / " &amp; IFERROR(VLOOKUP(MID(N41,O41,P41-O41),[5]skilldef!$A:$B,2,FALSE),"-")</f>
        <v>- / 大攻撃</v>
      </c>
      <c r="T41" s="48" t="str">
        <f t="shared" si="10"/>
        <v>none</v>
      </c>
      <c r="U41" s="64" t="e">
        <f t="shared" si="11"/>
        <v>#VALUE!</v>
      </c>
      <c r="V41" s="64">
        <f t="shared" si="12"/>
        <v>4</v>
      </c>
      <c r="W41" s="64" t="e">
        <f t="shared" si="13"/>
        <v>#VALUE!</v>
      </c>
      <c r="X41" s="64" t="e">
        <f t="shared" si="14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  <c r="AC41" s="122" t="s">
        <v>361</v>
      </c>
      <c r="AD41" s="47"/>
    </row>
    <row r="42" spans="1:30" ht="21" customHeight="1" x14ac:dyDescent="0.15">
      <c r="A42" s="47">
        <v>49010041</v>
      </c>
      <c r="B42" s="47" t="str">
        <f t="shared" si="15"/>
        <v>[effect:enemy_message, val1:1.8, val2:3.4],[effect:force_change_block, new_block:block_yellow, target:jammer, ignore01:crash, ignore02:crack_bomb, ignore03:time_bomb, ignore04:damage, ignore05:color_break, ignore06:magnet, count:0, val:0],[effect:sp_boost, target:unit_all, val:2, animation:sp_boost_one02]</v>
      </c>
      <c r="C42" s="50">
        <v>3</v>
      </c>
      <c r="D42" s="50" t="s">
        <v>128</v>
      </c>
      <c r="E42" s="51" t="s">
        <v>316</v>
      </c>
      <c r="F42" s="51" t="s">
        <v>371</v>
      </c>
      <c r="G42" s="64" t="str">
        <f t="shared" si="0"/>
        <v>[effect:enemy_message, val1:1.8, val2:3.4]</v>
      </c>
      <c r="H42" s="64">
        <f t="shared" si="1"/>
        <v>9</v>
      </c>
      <c r="I42" s="64">
        <f t="shared" si="2"/>
        <v>22</v>
      </c>
      <c r="J42" s="64" t="e">
        <f t="shared" si="3"/>
        <v>#VALUE!</v>
      </c>
      <c r="K42" s="64">
        <f t="shared" si="4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5"/>
        <v>[effect:force_change_block, new_block:block_yellow, target:jammer, ignore01:crash, ignore02:crack_bomb, ignore03:time_bomb, ignore04:damage, ignore05:color_break, ignore06:magnet, count:0, val:0],[effect:sp_boost, target:unit_all, val:2, animation:sp_boost_one02]</v>
      </c>
      <c r="N42" s="48" t="str">
        <f t="shared" si="16"/>
        <v>[effect:force_change_block, new_block:block_yellow, target:jammer, ignore01:crash, ignore02:crack_bomb, ignore03:time_bomb, ignore04:damage, ignore05:color_break, ignore06:magnet, count:0, val:0],[effect:sp_boost, target:unit_all, val:2, animation:sp_boost_one02]</v>
      </c>
      <c r="O42" s="64">
        <f t="shared" si="6"/>
        <v>9</v>
      </c>
      <c r="P42" s="64">
        <f t="shared" si="7"/>
        <v>27</v>
      </c>
      <c r="Q42" s="64">
        <f t="shared" si="8"/>
        <v>60</v>
      </c>
      <c r="R42" s="64">
        <f t="shared" si="9"/>
        <v>51</v>
      </c>
      <c r="S42" s="64" t="str">
        <f>IFERROR(VLOOKUP(MID(N42,Q42,R42-Q42),[5]skilldef!$C:$D,2,FALSE),"-") &amp; " / " &amp; IFERROR(VLOOKUP(MID(N42,O42,P42-O42),[5]skilldef!$A:$B,2,FALSE),"-")</f>
        <v>- / -</v>
      </c>
      <c r="T42" s="48" t="str">
        <f t="shared" si="10"/>
        <v>[effect:sp_boost, target:unit_all, val:2, animation:sp_boost_one02]</v>
      </c>
      <c r="U42" s="64">
        <f t="shared" si="11"/>
        <v>9</v>
      </c>
      <c r="V42" s="64">
        <f t="shared" si="12"/>
        <v>17</v>
      </c>
      <c r="W42" s="64">
        <f t="shared" si="13"/>
        <v>26</v>
      </c>
      <c r="X42" s="64">
        <f t="shared" si="14"/>
        <v>34</v>
      </c>
      <c r="Y42" s="64" t="str">
        <f>IFERROR(VLOOKUP(MID(T42,W42,X42-W42),[5]skilldef!$C:$D,2,FALSE),"-") &amp; " / " &amp; IFERROR(VLOOKUP(MID(T42,U42,V42-U42),[5]skilldef!$A:$B,2,FALSE),"-")</f>
        <v>味方全体に / -</v>
      </c>
      <c r="Z42" s="50"/>
      <c r="AA42" s="52"/>
      <c r="AB42" s="50"/>
      <c r="AC42" s="122" t="s">
        <v>377</v>
      </c>
      <c r="AD42" s="47"/>
    </row>
    <row r="43" spans="1:30" ht="21" customHeight="1" x14ac:dyDescent="0.15">
      <c r="A43" s="47">
        <v>49010042</v>
      </c>
      <c r="B43" s="47" t="str">
        <f t="shared" si="15"/>
        <v>[effect:enemy_message, val1:1.3, val2:1.2],[effect:enhance_enemy, target:myself, turn:-1, status:defense, val:1440, calc:add, animation:enemy_enhance_defense],[effect:critical, val:1]</v>
      </c>
      <c r="C43" s="50">
        <v>3</v>
      </c>
      <c r="D43" s="50" t="s">
        <v>128</v>
      </c>
      <c r="E43" s="51" t="s">
        <v>296</v>
      </c>
      <c r="F43" s="51" t="s">
        <v>379</v>
      </c>
      <c r="G43" s="64" t="str">
        <f t="shared" si="0"/>
        <v>[effect:enemy_message, val1:1.3, val2:1.2]</v>
      </c>
      <c r="H43" s="64">
        <f t="shared" si="1"/>
        <v>9</v>
      </c>
      <c r="I43" s="64">
        <f t="shared" si="2"/>
        <v>22</v>
      </c>
      <c r="J43" s="64" t="e">
        <f t="shared" si="3"/>
        <v>#VALUE!</v>
      </c>
      <c r="K43" s="64">
        <f t="shared" si="4"/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5"/>
        <v>[effect:enhance_enemy, target:myself, turn:-1, status:defense, val:1440, calc:add, animation:enemy_enhance_defense],[effect:critical, val:1]</v>
      </c>
      <c r="N43" s="48" t="str">
        <f t="shared" si="16"/>
        <v>[effect:enhance_enemy, target:myself, turn:-1, status:defense, val:1440, calc:add, animation:enemy_enhance_defense],[effect:critical, val:1]</v>
      </c>
      <c r="O43" s="64">
        <f t="shared" si="6"/>
        <v>9</v>
      </c>
      <c r="P43" s="64">
        <f t="shared" si="7"/>
        <v>22</v>
      </c>
      <c r="Q43" s="64">
        <f t="shared" si="8"/>
        <v>31</v>
      </c>
      <c r="R43" s="64">
        <f t="shared" si="9"/>
        <v>37</v>
      </c>
      <c r="S43" s="64" t="str">
        <f>IFERROR(VLOOKUP(MID(N43,Q43,R43-Q43),[5]skilldef!$C:$D,2,FALSE),"-") &amp; " / " &amp; IFERROR(VLOOKUP(MID(N43,O43,P43-O43),[5]skilldef!$A:$B,2,FALSE),"-")</f>
        <v>自分自身に / ステータス強化</v>
      </c>
      <c r="T43" s="48" t="str">
        <f t="shared" si="10"/>
        <v>[effect:critical, val:1]</v>
      </c>
      <c r="U43" s="64">
        <f t="shared" si="11"/>
        <v>9</v>
      </c>
      <c r="V43" s="64">
        <f t="shared" si="12"/>
        <v>17</v>
      </c>
      <c r="W43" s="64" t="e">
        <f t="shared" si="13"/>
        <v>#VALUE!</v>
      </c>
      <c r="X43" s="64" t="e">
        <f t="shared" si="14"/>
        <v>#VALUE!</v>
      </c>
      <c r="Y43" s="64" t="str">
        <f>IFERROR(VLOOKUP(MID(T43,W43,X43-W43),[5]skilldef!$C:$D,2,FALSE),"-") &amp; " / " &amp; IFERROR(VLOOKUP(MID(T43,U43,V43-U43),[5]skilldef!$A:$B,2,FALSE),"-")</f>
        <v>- / 大攻撃</v>
      </c>
      <c r="Z43" s="50"/>
      <c r="AA43" s="52"/>
      <c r="AB43" s="50"/>
      <c r="AC43" s="122" t="s">
        <v>362</v>
      </c>
      <c r="AD43" s="47"/>
    </row>
    <row r="44" spans="1:30" ht="21" customHeight="1" x14ac:dyDescent="0.15">
      <c r="A44" s="47">
        <v>49010043</v>
      </c>
      <c r="B44" s="47" t="str">
        <f t="shared" si="15"/>
        <v>[effect:enemy_message, val1:1.6, val2:1.9],[effect:force_change_block, new_block:jammer, target:block_yellow, ignore01:crash, ignore02:crack_bomb, ignore03:time_bomb, ignore04:jammer, ignore05:damage, ignore06:color_break, ignore07:magnet, count:0, val:0],[effect:critical, val:1]</v>
      </c>
      <c r="C44" s="50">
        <v>3</v>
      </c>
      <c r="D44" s="50" t="s">
        <v>128</v>
      </c>
      <c r="E44" s="51" t="s">
        <v>281</v>
      </c>
      <c r="F44" s="51" t="s">
        <v>297</v>
      </c>
      <c r="G44" s="64" t="str">
        <f t="shared" si="0"/>
        <v>[effect:enemy_message, val1:1.6, val2:1.9]</v>
      </c>
      <c r="H44" s="64">
        <f t="shared" si="1"/>
        <v>9</v>
      </c>
      <c r="I44" s="64">
        <f t="shared" si="2"/>
        <v>22</v>
      </c>
      <c r="J44" s="64" t="e">
        <f t="shared" si="3"/>
        <v>#VALUE!</v>
      </c>
      <c r="K44" s="64">
        <f t="shared" si="4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5"/>
        <v>[effect:force_change_block, new_block:jammer, target:block_yellow, ignore01:crash, ignore02:crack_bomb, ignore03:time_bomb, ignore04:jammer, ignore05:damage, ignore06:color_break, ignore07:magnet, count:0, val:0],[effect:critical, val:1]</v>
      </c>
      <c r="N44" s="48" t="str">
        <f t="shared" si="16"/>
        <v>[effect:force_change_block, new_block:jammer, target:block_yellow, ignore01:crash, ignore02:crack_bomb, ignore03:time_bomb, ignore04:jammer, ignore05:damage, ignore06:color_break, ignore07:magnet, count:0, val:0]</v>
      </c>
      <c r="O44" s="64">
        <f t="shared" si="6"/>
        <v>9</v>
      </c>
      <c r="P44" s="64">
        <f t="shared" si="7"/>
        <v>27</v>
      </c>
      <c r="Q44" s="64">
        <f t="shared" si="8"/>
        <v>54</v>
      </c>
      <c r="R44" s="64">
        <f t="shared" si="9"/>
        <v>45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10"/>
        <v>[effect:critical, val:1]</v>
      </c>
      <c r="U44" s="64">
        <f t="shared" si="11"/>
        <v>9</v>
      </c>
      <c r="V44" s="64">
        <f t="shared" si="12"/>
        <v>17</v>
      </c>
      <c r="W44" s="64" t="e">
        <f t="shared" si="13"/>
        <v>#VALUE!</v>
      </c>
      <c r="X44" s="64" t="e">
        <f t="shared" si="14"/>
        <v>#VALUE!</v>
      </c>
      <c r="Y44" s="64" t="str">
        <f>IFERROR(VLOOKUP(MID(T44,W44,X44-W44),[5]skilldef!$C:$D,2,FALSE),"-") &amp; " / " &amp; IFERROR(VLOOKUP(MID(T44,U44,V44-U44),[5]skilldef!$A:$B,2,FALSE),"-")</f>
        <v>- / 大攻撃</v>
      </c>
      <c r="Z44" s="50"/>
      <c r="AA44" s="52"/>
      <c r="AB44" s="50"/>
      <c r="AC44" s="122" t="s">
        <v>378</v>
      </c>
      <c r="AD44" s="47"/>
    </row>
    <row r="45" spans="1:30" ht="21" customHeight="1" x14ac:dyDescent="0.15">
      <c r="A45" s="47">
        <v>49010044</v>
      </c>
      <c r="B45" s="47" t="str">
        <f t="shared" si="15"/>
        <v>[effect:enemy_message, val1:1.2, val2:1.2],[effect:fix_speed, target:myself, turn:1],[effect:tolerance, target:myself, turn:-1, count:-1, tolerance_effect:all, animation:enemy_tolerance]</v>
      </c>
      <c r="C45" s="50">
        <v>3</v>
      </c>
      <c r="D45" s="50" t="s">
        <v>128</v>
      </c>
      <c r="E45" s="51" t="s">
        <v>342</v>
      </c>
      <c r="F45" s="51" t="s">
        <v>257</v>
      </c>
      <c r="G45" s="64" t="str">
        <f t="shared" si="0"/>
        <v>[effect:enemy_message, val1:1.2, val2:1.2]</v>
      </c>
      <c r="H45" s="64">
        <f t="shared" si="1"/>
        <v>9</v>
      </c>
      <c r="I45" s="64">
        <f t="shared" si="2"/>
        <v>22</v>
      </c>
      <c r="J45" s="64" t="e">
        <f t="shared" si="3"/>
        <v>#VALUE!</v>
      </c>
      <c r="K45" s="64">
        <f t="shared" si="4"/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5"/>
        <v>[effect:fix_speed, target:myself, turn:1],[effect:tolerance, target:myself, turn:-1, count:-1, tolerance_effect:all, animation:enemy_tolerance]</v>
      </c>
      <c r="N45" s="48" t="str">
        <f t="shared" si="16"/>
        <v>[effect:fix_speed, target:myself, turn:1]</v>
      </c>
      <c r="O45" s="64">
        <f t="shared" si="6"/>
        <v>9</v>
      </c>
      <c r="P45" s="64">
        <f t="shared" si="7"/>
        <v>18</v>
      </c>
      <c r="Q45" s="64">
        <f t="shared" si="8"/>
        <v>27</v>
      </c>
      <c r="R45" s="64">
        <f t="shared" si="9"/>
        <v>33</v>
      </c>
      <c r="S45" s="64" t="str">
        <f>IFERROR(VLOOKUP(MID(N45,Q45,R45-Q45),[5]skilldef!$C:$D,2,FALSE),"-") &amp; " / " &amp; IFERROR(VLOOKUP(MID(N45,O45,P45-O45),[5]skilldef!$A:$B,2,FALSE),"-")</f>
        <v>自分自身に / 行動値設定</v>
      </c>
      <c r="T45" s="48" t="str">
        <f t="shared" si="10"/>
        <v>[effect:tolerance, target:myself, turn:-1, count:-1, tolerance_effect:all, animation:enemy_tolerance]</v>
      </c>
      <c r="U45" s="64">
        <f t="shared" si="11"/>
        <v>9</v>
      </c>
      <c r="V45" s="64">
        <f t="shared" si="12"/>
        <v>18</v>
      </c>
      <c r="W45" s="64">
        <f t="shared" si="13"/>
        <v>27</v>
      </c>
      <c r="X45" s="64">
        <f t="shared" si="14"/>
        <v>33</v>
      </c>
      <c r="Y45" s="64" t="str">
        <f>IFERROR(VLOOKUP(MID(T45,W45,X45-W45),[5]skilldef!$C:$D,2,FALSE),"-") &amp; " / " &amp; IFERROR(VLOOKUP(MID(T45,U45,V45-U45),[5]skilldef!$A:$B,2,FALSE),"-")</f>
        <v>自分自身に / 状態異常耐性</v>
      </c>
      <c r="Z45" s="50"/>
      <c r="AA45" s="52"/>
      <c r="AB45" s="50"/>
      <c r="AC45" s="122" t="s">
        <v>360</v>
      </c>
      <c r="AD45" s="47"/>
    </row>
    <row r="46" spans="1:30" ht="21" customHeight="1" x14ac:dyDescent="0.15">
      <c r="A46" s="47">
        <v>49010045</v>
      </c>
      <c r="B46" s="47" t="str">
        <f t="shared" si="15"/>
        <v>[effect:enemy_message, val1:1.2, val2:2.6],[effect:drop_freeze, turn:4, block_type:block_all, rate:0.3, animation:drop_protect]</v>
      </c>
      <c r="C46" s="50">
        <v>3</v>
      </c>
      <c r="D46" s="50" t="s">
        <v>128</v>
      </c>
      <c r="E46" s="51" t="s">
        <v>343</v>
      </c>
      <c r="F46" s="51" t="s">
        <v>267</v>
      </c>
      <c r="G46" s="64" t="str">
        <f t="shared" si="0"/>
        <v>[effect:enemy_message, val1:1.2, val2:2.6]</v>
      </c>
      <c r="H46" s="64">
        <f t="shared" si="1"/>
        <v>9</v>
      </c>
      <c r="I46" s="64">
        <f t="shared" si="2"/>
        <v>22</v>
      </c>
      <c r="J46" s="64" t="e">
        <f t="shared" si="3"/>
        <v>#VALUE!</v>
      </c>
      <c r="K46" s="64">
        <f t="shared" si="4"/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si="5"/>
        <v>[effect:drop_freeze, turn:4, block_type:block_all, rate:0.3, animation:drop_protect]</v>
      </c>
      <c r="N46" s="48" t="str">
        <f t="shared" si="16"/>
        <v>[effect:drop_freeze, turn:4, block_type:block_all, rate:0.3, animation:drop_protect]</v>
      </c>
      <c r="O46" s="64">
        <f t="shared" si="6"/>
        <v>9</v>
      </c>
      <c r="P46" s="64">
        <f t="shared" si="7"/>
        <v>20</v>
      </c>
      <c r="Q46" s="64" t="e">
        <f t="shared" si="8"/>
        <v>#VALUE!</v>
      </c>
      <c r="R46" s="64">
        <f t="shared" si="9"/>
        <v>28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si="10"/>
        <v>none</v>
      </c>
      <c r="U46" s="64" t="e">
        <f t="shared" si="11"/>
        <v>#VALUE!</v>
      </c>
      <c r="V46" s="64">
        <f t="shared" si="12"/>
        <v>4</v>
      </c>
      <c r="W46" s="64" t="e">
        <f t="shared" si="13"/>
        <v>#VALUE!</v>
      </c>
      <c r="X46" s="64" t="e">
        <f t="shared" si="14"/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  <c r="AC46" s="122" t="s">
        <v>363</v>
      </c>
      <c r="AD46" s="47"/>
    </row>
    <row r="47" spans="1:30" ht="21" customHeight="1" x14ac:dyDescent="0.15">
      <c r="A47" s="47">
        <v>49010046</v>
      </c>
      <c r="B47" s="47" t="str">
        <f t="shared" si="15"/>
        <v>[effect:enemy_message, val1:1.2, val2:1.2],[effect:spread, val:0.25]</v>
      </c>
      <c r="C47" s="50">
        <v>3</v>
      </c>
      <c r="D47" s="50" t="s">
        <v>128</v>
      </c>
      <c r="E47" s="51" t="s">
        <v>344</v>
      </c>
      <c r="F47" s="51" t="s">
        <v>256</v>
      </c>
      <c r="G47" s="64" t="str">
        <f t="shared" ref="G47:G51" si="78">IFERROR(LEFT(B47,FIND("],",B47)),B47)</f>
        <v>[effect:enemy_message, val1:1.2, val2:1.2]</v>
      </c>
      <c r="H47" s="64">
        <f t="shared" si="1"/>
        <v>9</v>
      </c>
      <c r="I47" s="64">
        <f t="shared" ref="I47:I51" si="79">IFERROR(FIND(",",G47),LEN(G47))</f>
        <v>22</v>
      </c>
      <c r="J47" s="64" t="e">
        <f t="shared" ref="J47:J51" si="80">FIND("target:",G47)+7</f>
        <v>#VALUE!</v>
      </c>
      <c r="K47" s="64">
        <f t="shared" ref="K47:K51" si="81">FIND(",",G47,I47+1)</f>
        <v>32</v>
      </c>
      <c r="L47" s="64" t="str">
        <f>IFERROR(VLOOKUP(MID(G47,J47,K47-J47),[5]skilldef!$C:$D,2,FALSE),"-") &amp; " / " &amp; IFERROR(VLOOKUP(MID(G47,H47,I47-H47),[5]skilldef!$A:$B,2,FALSE),"-")</f>
        <v>- / -</v>
      </c>
      <c r="M47" s="64" t="str">
        <f t="shared" ref="M47:M51" si="82">IFERROR(RIGHT(B47,LEN(B47)-FIND("],",B47)-1),"none")</f>
        <v>[effect:spread, val:0.25]</v>
      </c>
      <c r="N47" s="48" t="str">
        <f t="shared" ref="N47:N51" si="83">IFERROR(LEFT(M47,FIND("],",M47)+S57),M47)</f>
        <v>[effect:spread, val:0.25]</v>
      </c>
      <c r="O47" s="64">
        <f t="shared" si="6"/>
        <v>9</v>
      </c>
      <c r="P47" s="64">
        <f t="shared" ref="P47:P51" si="84">IFERROR(FIND(",",N47),LEN(N47))</f>
        <v>15</v>
      </c>
      <c r="Q47" s="64" t="e">
        <f t="shared" ref="Q47:Q51" si="85">FIND("target:",N47)+7</f>
        <v>#VALUE!</v>
      </c>
      <c r="R47" s="64" t="e">
        <f t="shared" ref="R47:R51" si="86">FIND(",",N47,P47+1)</f>
        <v>#VALUE!</v>
      </c>
      <c r="S47" s="64" t="str">
        <f>IFERROR(VLOOKUP(MID(N47,Q47,R47-Q47),[5]skilldef!$C:$D,2,FALSE),"-") &amp; " / " &amp; IFERROR(VLOOKUP(MID(N47,O47,P47-O47),[5]skilldef!$A:$B,2,FALSE),"-")</f>
        <v>- / 全体攻撃</v>
      </c>
      <c r="T47" s="48" t="str">
        <f t="shared" ref="T47:T51" si="87">IFERROR(RIGHT(M47,LEN(M47)-FIND("],",M47)-1),"none")</f>
        <v>none</v>
      </c>
      <c r="U47" s="64" t="e">
        <f t="shared" si="11"/>
        <v>#VALUE!</v>
      </c>
      <c r="V47" s="64">
        <f t="shared" ref="V47:V51" si="88">IFERROR(FIND(",",T47),LEN(T47))</f>
        <v>4</v>
      </c>
      <c r="W47" s="64" t="e">
        <f t="shared" ref="W47:W51" si="89">FIND("target:",T47)+7</f>
        <v>#VALUE!</v>
      </c>
      <c r="X47" s="64" t="e">
        <f t="shared" ref="X47:X51" si="90">FIND(",",T47,V47+1)</f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  <c r="AC47" s="122" t="s">
        <v>268</v>
      </c>
      <c r="AD47" s="47"/>
    </row>
    <row r="48" spans="1:30" ht="21" customHeight="1" x14ac:dyDescent="0.15">
      <c r="A48" s="47">
        <v>49010047</v>
      </c>
      <c r="B48" s="47" t="str">
        <f t="shared" si="15"/>
        <v>[effect:enemy_message, val1:1.2, val2:1.2],[effect:critical, val:1.5, animation:enemy_critical]</v>
      </c>
      <c r="C48" s="50">
        <v>3</v>
      </c>
      <c r="D48" s="50" t="s">
        <v>128</v>
      </c>
      <c r="E48" s="51" t="s">
        <v>341</v>
      </c>
      <c r="F48" s="51" t="s">
        <v>266</v>
      </c>
      <c r="G48" s="64" t="str">
        <f t="shared" si="78"/>
        <v>[effect:enemy_message, val1:1.2, val2:1.2]</v>
      </c>
      <c r="H48" s="64">
        <f t="shared" si="1"/>
        <v>9</v>
      </c>
      <c r="I48" s="64">
        <f t="shared" si="79"/>
        <v>22</v>
      </c>
      <c r="J48" s="64" t="e">
        <f t="shared" si="80"/>
        <v>#VALUE!</v>
      </c>
      <c r="K48" s="64">
        <f t="shared" si="81"/>
        <v>32</v>
      </c>
      <c r="L48" s="64" t="str">
        <f>IFERROR(VLOOKUP(MID(G48,J48,K48-J48),[5]skilldef!$C:$D,2,FALSE),"-") &amp; " / " &amp; IFERROR(VLOOKUP(MID(G48,H48,I48-H48),[5]skilldef!$A:$B,2,FALSE),"-")</f>
        <v>- / -</v>
      </c>
      <c r="M48" s="64" t="str">
        <f t="shared" si="82"/>
        <v>[effect:critical, val:1.5, animation:enemy_critical]</v>
      </c>
      <c r="N48" s="48" t="str">
        <f t="shared" si="83"/>
        <v>[effect:critical, val:1.5, animation:enemy_critical]</v>
      </c>
      <c r="O48" s="64">
        <f t="shared" si="6"/>
        <v>9</v>
      </c>
      <c r="P48" s="64">
        <f t="shared" si="84"/>
        <v>17</v>
      </c>
      <c r="Q48" s="64" t="e">
        <f t="shared" si="85"/>
        <v>#VALUE!</v>
      </c>
      <c r="R48" s="64">
        <f t="shared" si="86"/>
        <v>26</v>
      </c>
      <c r="S48" s="64" t="str">
        <f>IFERROR(VLOOKUP(MID(N48,Q48,R48-Q48),[5]skilldef!$C:$D,2,FALSE),"-") &amp; " / " &amp; IFERROR(VLOOKUP(MID(N48,O48,P48-O48),[5]skilldef!$A:$B,2,FALSE),"-")</f>
        <v>- / 大攻撃</v>
      </c>
      <c r="T48" s="48" t="str">
        <f t="shared" si="87"/>
        <v>none</v>
      </c>
      <c r="U48" s="64" t="e">
        <f t="shared" si="11"/>
        <v>#VALUE!</v>
      </c>
      <c r="V48" s="64">
        <f t="shared" si="88"/>
        <v>4</v>
      </c>
      <c r="W48" s="64" t="e">
        <f t="shared" si="89"/>
        <v>#VALUE!</v>
      </c>
      <c r="X48" s="64" t="e">
        <f t="shared" si="90"/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  <c r="AC48" s="122" t="s">
        <v>361</v>
      </c>
      <c r="AD48" s="47"/>
    </row>
    <row r="49" spans="1:30" ht="21" customHeight="1" x14ac:dyDescent="0.15">
      <c r="A49" s="47">
        <v>49010048</v>
      </c>
      <c r="B49" s="47" t="str">
        <f t="shared" si="15"/>
        <v>[effect:enemy_message, val1:1.5, val2:3.4],[effect:crash_condition, target:unit_all, turn:2, val:-2, animation:crash_panel_reduce03],[effect:drop_block, block_type:crack_bomb, block_color:block_heart, color:block_all, val:12, rate:0.15, turn:2, animation:bomb_influence04]</v>
      </c>
      <c r="C49" s="50">
        <v>3</v>
      </c>
      <c r="D49" s="50" t="s">
        <v>128</v>
      </c>
      <c r="E49" s="51" t="s">
        <v>298</v>
      </c>
      <c r="F49" s="51" t="s">
        <v>269</v>
      </c>
      <c r="G49" s="64" t="str">
        <f t="shared" si="78"/>
        <v>[effect:enemy_message, val1:1.5, val2:3.4]</v>
      </c>
      <c r="H49" s="64">
        <f t="shared" si="1"/>
        <v>9</v>
      </c>
      <c r="I49" s="64">
        <f t="shared" si="79"/>
        <v>22</v>
      </c>
      <c r="J49" s="64" t="e">
        <f t="shared" si="80"/>
        <v>#VALUE!</v>
      </c>
      <c r="K49" s="64">
        <f t="shared" si="81"/>
        <v>32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si="82"/>
        <v>[effect:crash_condition, target:unit_all, turn:2, val:-2, animation:crash_panel_reduce03],[effect:drop_block, block_type:crack_bomb, block_color:block_heart, color:block_all, val:12, rate:0.15, turn:2, animation:bomb_influence04]</v>
      </c>
      <c r="N49" s="48" t="str">
        <f t="shared" si="83"/>
        <v>[effect:crash_condition, target:unit_all, turn:2, val:-2, animation:crash_panel_reduce03]</v>
      </c>
      <c r="O49" s="64">
        <f t="shared" si="6"/>
        <v>9</v>
      </c>
      <c r="P49" s="64">
        <f t="shared" si="84"/>
        <v>24</v>
      </c>
      <c r="Q49" s="64">
        <f t="shared" si="85"/>
        <v>33</v>
      </c>
      <c r="R49" s="64">
        <f t="shared" si="86"/>
        <v>41</v>
      </c>
      <c r="S49" s="64" t="str">
        <f>IFERROR(VLOOKUP(MID(N49,Q49,R49-Q49),[5]skilldef!$C:$D,2,FALSE),"-") &amp; " / " &amp; IFERROR(VLOOKUP(MID(N49,O49,P49-O49),[5]skilldef!$A:$B,2,FALSE),"-")</f>
        <v>味方全体に / -</v>
      </c>
      <c r="T49" s="48" t="str">
        <f t="shared" si="87"/>
        <v>[effect:drop_block, block_type:crack_bomb, block_color:block_heart, color:block_all, val:12, rate:0.15, turn:2, animation:bomb_influence04]</v>
      </c>
      <c r="U49" s="64">
        <f t="shared" si="11"/>
        <v>9</v>
      </c>
      <c r="V49" s="64">
        <f t="shared" si="88"/>
        <v>19</v>
      </c>
      <c r="W49" s="64" t="e">
        <f t="shared" si="89"/>
        <v>#VALUE!</v>
      </c>
      <c r="X49" s="64">
        <f t="shared" si="90"/>
        <v>42</v>
      </c>
      <c r="Y49" s="64" t="str">
        <f>IFERROR(VLOOKUP(MID(T49,W49,X49-W49),[5]skilldef!$C:$D,2,FALSE),"-") &amp; " / " &amp; IFERROR(VLOOKUP(MID(T49,U49,V49-U49),[5]skilldef!$A:$B,2,FALSE),"-")</f>
        <v>- / 特定ブロックの割合ドロップ</v>
      </c>
      <c r="Z49" s="50"/>
      <c r="AA49" s="52"/>
      <c r="AB49" s="50"/>
      <c r="AC49" s="122" t="s">
        <v>364</v>
      </c>
      <c r="AD49" s="47"/>
    </row>
    <row r="50" spans="1:30" ht="21" customHeight="1" x14ac:dyDescent="0.15">
      <c r="A50" s="47">
        <v>49010049</v>
      </c>
      <c r="B50" s="47" t="str">
        <f t="shared" si="15"/>
        <v>[effect:enemy_message, val1:1.5, val2:1.2],[effect:enhance_enemy, target:myself, turn:-1, status:attack, val:0.3, calc:mul, animation:enemy_enhance_attack],[effect:enhance_enemy, target:myself, turn:-1, status:defense, val:1080, calc:add, animation:enemy_enhance_defense]</v>
      </c>
      <c r="C50" s="50">
        <v>3</v>
      </c>
      <c r="D50" s="50" t="s">
        <v>128</v>
      </c>
      <c r="E50" s="51" t="s">
        <v>345</v>
      </c>
      <c r="F50" s="51" t="s">
        <v>380</v>
      </c>
      <c r="G50" s="64" t="str">
        <f t="shared" si="78"/>
        <v>[effect:enemy_message, val1:1.5, val2:1.2]</v>
      </c>
      <c r="H50" s="64">
        <f t="shared" si="1"/>
        <v>9</v>
      </c>
      <c r="I50" s="64">
        <f t="shared" si="79"/>
        <v>22</v>
      </c>
      <c r="J50" s="64" t="e">
        <f t="shared" si="80"/>
        <v>#VALUE!</v>
      </c>
      <c r="K50" s="64">
        <f t="shared" si="81"/>
        <v>32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82"/>
        <v>[effect:enhance_enemy, target:myself, turn:-1, status:attack, val:0.3, calc:mul, animation:enemy_enhance_attack],[effect:enhance_enemy, target:myself, turn:-1, status:defense, val:1080, calc:add, animation:enemy_enhance_defense]</v>
      </c>
      <c r="N50" s="48" t="str">
        <f t="shared" si="83"/>
        <v>[effect:enhance_enemy, target:myself, turn:-1, status:attack, val:0.3, calc:mul, animation:enemy_enhance_attack]</v>
      </c>
      <c r="O50" s="64">
        <f t="shared" si="6"/>
        <v>9</v>
      </c>
      <c r="P50" s="64">
        <f t="shared" si="84"/>
        <v>22</v>
      </c>
      <c r="Q50" s="64">
        <f t="shared" si="85"/>
        <v>31</v>
      </c>
      <c r="R50" s="64">
        <f t="shared" si="86"/>
        <v>37</v>
      </c>
      <c r="S50" s="64" t="str">
        <f>IFERROR(VLOOKUP(MID(N50,Q50,R50-Q50),[5]skilldef!$C:$D,2,FALSE),"-") &amp; " / " &amp; IFERROR(VLOOKUP(MID(N50,O50,P50-O50),[5]skilldef!$A:$B,2,FALSE),"-")</f>
        <v>自分自身に / ステータス強化</v>
      </c>
      <c r="T50" s="48" t="str">
        <f t="shared" si="87"/>
        <v>[effect:enhance_enemy, target:myself, turn:-1, status:defense, val:1080, calc:add, animation:enemy_enhance_defense]</v>
      </c>
      <c r="U50" s="64">
        <f t="shared" si="11"/>
        <v>9</v>
      </c>
      <c r="V50" s="64">
        <f t="shared" si="88"/>
        <v>22</v>
      </c>
      <c r="W50" s="64">
        <f t="shared" si="89"/>
        <v>31</v>
      </c>
      <c r="X50" s="64">
        <f t="shared" si="90"/>
        <v>37</v>
      </c>
      <c r="Y50" s="64" t="str">
        <f>IFERROR(VLOOKUP(MID(T50,W50,X50-W50),[5]skilldef!$C:$D,2,FALSE),"-") &amp; " / " &amp; IFERROR(VLOOKUP(MID(T50,U50,V50-U50),[5]skilldef!$A:$B,2,FALSE),"-")</f>
        <v>自分自身に / ステータス強化</v>
      </c>
      <c r="Z50" s="50"/>
      <c r="AA50" s="52"/>
      <c r="AB50" s="50"/>
      <c r="AC50" s="122" t="s">
        <v>355</v>
      </c>
      <c r="AD50" s="47"/>
    </row>
    <row r="51" spans="1:30" ht="21" customHeight="1" x14ac:dyDescent="0.15">
      <c r="A51" s="47">
        <v>49010050</v>
      </c>
      <c r="B51" s="47" t="str">
        <f t="shared" si="15"/>
        <v>[effect:enemy_message, val1:1.2, val2:2.2],[effect:dis_panel, target:block_red, turn:1, animation:enemy_dis_red],[effect:dis_panel, target:block_green, turn:1, animation:enemy_dis_green],[effect:dis_panel, target:block_yellow, turn:1, animation:enemy_dis_yellow],[effect:critical, val:1.5, animation:enemy_critical]</v>
      </c>
      <c r="C51" s="50">
        <v>3</v>
      </c>
      <c r="D51" s="50" t="s">
        <v>128</v>
      </c>
      <c r="E51" s="51" t="s">
        <v>346</v>
      </c>
      <c r="F51" s="51" t="s">
        <v>270</v>
      </c>
      <c r="G51" s="64" t="str">
        <f t="shared" si="78"/>
        <v>[effect:enemy_message, val1:1.2, val2:2.2]</v>
      </c>
      <c r="H51" s="64">
        <f t="shared" si="1"/>
        <v>9</v>
      </c>
      <c r="I51" s="64">
        <f t="shared" si="79"/>
        <v>22</v>
      </c>
      <c r="J51" s="64" t="e">
        <f t="shared" si="80"/>
        <v>#VALUE!</v>
      </c>
      <c r="K51" s="64">
        <f t="shared" si="81"/>
        <v>32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si="82"/>
        <v>[effect:dis_panel, target:block_red, turn:1, animation:enemy_dis_red],[effect:dis_panel, target:block_green, turn:1, animation:enemy_dis_green],[effect:dis_panel, target:block_yellow, turn:1, animation:enemy_dis_yellow],[effect:critical, val:1.5, animation:enemy_critical]</v>
      </c>
      <c r="N51" s="48" t="str">
        <f t="shared" si="83"/>
        <v>[effect:dis_panel, target:block_red, turn:1, animation:enemy_dis_red]</v>
      </c>
      <c r="O51" s="64">
        <f t="shared" si="6"/>
        <v>9</v>
      </c>
      <c r="P51" s="64">
        <f t="shared" si="84"/>
        <v>18</v>
      </c>
      <c r="Q51" s="64">
        <f t="shared" si="85"/>
        <v>27</v>
      </c>
      <c r="R51" s="64">
        <f t="shared" si="86"/>
        <v>36</v>
      </c>
      <c r="S51" s="64" t="str">
        <f>IFERROR(VLOOKUP(MID(N51,Q51,R51-Q51),[5]skilldef!$C:$D,2,FALSE),"-") &amp; " / " &amp; IFERROR(VLOOKUP(MID(N51,O51,P51-O51),[5]skilldef!$A:$B,2,FALSE),"-")</f>
        <v>赤パネルを / ディスパネル</v>
      </c>
      <c r="T51" s="48" t="str">
        <f t="shared" si="87"/>
        <v>[effect:dis_panel, target:block_green, turn:1, animation:enemy_dis_green],[effect:dis_panel, target:block_yellow, turn:1, animation:enemy_dis_yellow],[effect:critical, val:1.5, animation:enemy_critical]</v>
      </c>
      <c r="U51" s="64">
        <f t="shared" si="11"/>
        <v>9</v>
      </c>
      <c r="V51" s="64">
        <f t="shared" si="88"/>
        <v>18</v>
      </c>
      <c r="W51" s="64">
        <f t="shared" si="89"/>
        <v>27</v>
      </c>
      <c r="X51" s="64">
        <f t="shared" si="90"/>
        <v>38</v>
      </c>
      <c r="Y51" s="64" t="str">
        <f>IFERROR(VLOOKUP(MID(T51,W51,X51-W51),[5]skilldef!$C:$D,2,FALSE),"-") &amp; " / " &amp; IFERROR(VLOOKUP(MID(T51,U51,V51-U51),[5]skilldef!$A:$B,2,FALSE),"-")</f>
        <v>緑パネルを / ディスパネル</v>
      </c>
      <c r="Z51" s="50"/>
      <c r="AA51" s="52"/>
      <c r="AB51" s="50"/>
      <c r="AC51" s="122" t="s">
        <v>365</v>
      </c>
      <c r="AD51" s="47"/>
    </row>
    <row r="52" spans="1:30" ht="21" customHeight="1" x14ac:dyDescent="0.15">
      <c r="A52" s="47">
        <v>49010051</v>
      </c>
      <c r="B52" s="47" t="str">
        <f t="shared" si="15"/>
        <v>[effect:enemy_message, val1:2.0, val2:1.4]</v>
      </c>
      <c r="C52" s="50">
        <v>3</v>
      </c>
      <c r="D52" s="50" t="s">
        <v>128</v>
      </c>
      <c r="E52" s="51" t="s">
        <v>283</v>
      </c>
      <c r="F52" s="51" t="s">
        <v>284</v>
      </c>
      <c r="G52" s="64" t="str">
        <f t="shared" ref="G52:G53" si="91">IFERROR(LEFT(B52,FIND("],",B52)),B52)</f>
        <v>[effect:enemy_message, val1:2.0, val2:1.4]</v>
      </c>
      <c r="H52" s="64">
        <f t="shared" ref="H52:H53" si="92">FIND("effect:",G52)+7</f>
        <v>9</v>
      </c>
      <c r="I52" s="64">
        <f t="shared" ref="I52:I53" si="93">IFERROR(FIND(",",G52),LEN(G52))</f>
        <v>22</v>
      </c>
      <c r="J52" s="64" t="e">
        <f t="shared" ref="J52:J53" si="94">FIND("target:",G52)+7</f>
        <v>#VALUE!</v>
      </c>
      <c r="K52" s="64">
        <f t="shared" ref="K52:K53" si="95">FIND(",",G52,I52+1)</f>
        <v>32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ref="M52:M53" si="96">IFERROR(RIGHT(B52,LEN(B52)-FIND("],",B52)-1),"none")</f>
        <v>none</v>
      </c>
      <c r="N52" s="48" t="str">
        <f t="shared" ref="N52:N53" si="97">IFERROR(LEFT(M52,FIND("],",M52)+S62),M52)</f>
        <v>none</v>
      </c>
      <c r="O52" s="64" t="e">
        <f t="shared" ref="O52:O53" si="98">FIND("effect:",N52)+7</f>
        <v>#VALUE!</v>
      </c>
      <c r="P52" s="64">
        <f t="shared" ref="P52:P53" si="99">IFERROR(FIND(",",N52),LEN(N52))</f>
        <v>4</v>
      </c>
      <c r="Q52" s="64" t="e">
        <f t="shared" ref="Q52:Q53" si="100">FIND("target:",N52)+7</f>
        <v>#VALUE!</v>
      </c>
      <c r="R52" s="64" t="e">
        <f t="shared" ref="R52:R53" si="101">FIND(",",N52,P52+1)</f>
        <v>#VALUE!</v>
      </c>
      <c r="S52" s="64" t="str">
        <f>IFERROR(VLOOKUP(MID(N52,Q52,R52-Q52),[5]skilldef!$C:$D,2,FALSE),"-") &amp; " / " &amp; IFERROR(VLOOKUP(MID(N52,O52,P52-O52),[5]skilldef!$A:$B,2,FALSE),"-")</f>
        <v>- / -</v>
      </c>
      <c r="T52" s="48" t="str">
        <f t="shared" ref="T52:T53" si="102">IFERROR(RIGHT(M52,LEN(M52)-FIND("],",M52)-1),"none")</f>
        <v>none</v>
      </c>
      <c r="U52" s="64" t="e">
        <f t="shared" ref="U52:U53" si="103">FIND("effect:",T52)+7</f>
        <v>#VALUE!</v>
      </c>
      <c r="V52" s="64">
        <f t="shared" ref="V52:V53" si="104">IFERROR(FIND(",",T52),LEN(T52))</f>
        <v>4</v>
      </c>
      <c r="W52" s="64" t="e">
        <f t="shared" ref="W52:W53" si="105">FIND("target:",T52)+7</f>
        <v>#VALUE!</v>
      </c>
      <c r="X52" s="64" t="e">
        <f t="shared" ref="X52:X53" si="106">FIND(",",T52,V52+1)</f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  <c r="AC52" s="122"/>
      <c r="AD52" s="47"/>
    </row>
    <row r="53" spans="1:30" ht="21" customHeight="1" x14ac:dyDescent="0.15">
      <c r="A53" s="47">
        <v>49010052</v>
      </c>
      <c r="B53" s="47" t="str">
        <f t="shared" si="15"/>
        <v>[effect:enemy_message, val1:1.2, val2:2.1]</v>
      </c>
      <c r="C53" s="50">
        <v>3</v>
      </c>
      <c r="D53" s="50" t="s">
        <v>128</v>
      </c>
      <c r="E53" s="51" t="s">
        <v>299</v>
      </c>
      <c r="F53" s="51" t="s">
        <v>285</v>
      </c>
      <c r="G53" s="64" t="str">
        <f t="shared" si="91"/>
        <v>[effect:enemy_message, val1:1.2, val2:2.1]</v>
      </c>
      <c r="H53" s="64">
        <f t="shared" si="92"/>
        <v>9</v>
      </c>
      <c r="I53" s="64">
        <f t="shared" si="93"/>
        <v>22</v>
      </c>
      <c r="J53" s="64" t="e">
        <f t="shared" si="94"/>
        <v>#VALUE!</v>
      </c>
      <c r="K53" s="64">
        <f t="shared" si="95"/>
        <v>32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si="96"/>
        <v>none</v>
      </c>
      <c r="N53" s="48" t="str">
        <f t="shared" si="97"/>
        <v>none</v>
      </c>
      <c r="O53" s="64" t="e">
        <f t="shared" si="98"/>
        <v>#VALUE!</v>
      </c>
      <c r="P53" s="64">
        <f t="shared" si="99"/>
        <v>4</v>
      </c>
      <c r="Q53" s="64" t="e">
        <f t="shared" si="100"/>
        <v>#VALUE!</v>
      </c>
      <c r="R53" s="64" t="e">
        <f t="shared" si="101"/>
        <v>#VALUE!</v>
      </c>
      <c r="S53" s="64" t="str">
        <f>IFERROR(VLOOKUP(MID(N53,Q53,R53-Q53),[5]skilldef!$C:$D,2,FALSE),"-") &amp; " / " &amp; IFERROR(VLOOKUP(MID(N53,O53,P53-O53),[5]skilldef!$A:$B,2,FALSE),"-")</f>
        <v>- / -</v>
      </c>
      <c r="T53" s="48" t="str">
        <f t="shared" si="102"/>
        <v>none</v>
      </c>
      <c r="U53" s="64" t="e">
        <f t="shared" si="103"/>
        <v>#VALUE!</v>
      </c>
      <c r="V53" s="64">
        <f t="shared" si="104"/>
        <v>4</v>
      </c>
      <c r="W53" s="64" t="e">
        <f t="shared" si="105"/>
        <v>#VALUE!</v>
      </c>
      <c r="X53" s="64" t="e">
        <f t="shared" si="106"/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  <c r="AC53" s="122"/>
      <c r="AD53" s="4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7"/>
  <sheetViews>
    <sheetView showGridLines="0" zoomScale="75" zoomScaleNormal="75" zoomScalePageLayoutView="75" workbookViewId="0">
      <pane ySplit="1" topLeftCell="A25" activePane="bottomLeft" state="frozenSplit"/>
      <selection pane="bottomLeft" activeCell="C21" sqref="C2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49010001</v>
      </c>
      <c r="B2" s="47">
        <v>0</v>
      </c>
      <c r="C2" s="47">
        <v>1</v>
      </c>
      <c r="D2" s="47">
        <v>50</v>
      </c>
      <c r="E2" s="47" t="s">
        <v>90</v>
      </c>
      <c r="F2" s="47" t="s">
        <v>90</v>
      </c>
      <c r="G2" s="47" t="s">
        <v>90</v>
      </c>
      <c r="H2" s="47" t="s">
        <v>90</v>
      </c>
      <c r="I2" s="47" t="s">
        <v>90</v>
      </c>
      <c r="J2" s="48">
        <f t="shared" ref="J2" si="0">D2</f>
        <v>50</v>
      </c>
    </row>
    <row r="3" spans="1:11" ht="21" customHeight="1" x14ac:dyDescent="0.15">
      <c r="A3" s="47">
        <v>49010002</v>
      </c>
      <c r="B3" s="47">
        <v>0</v>
      </c>
      <c r="C3" s="47">
        <v>2</v>
      </c>
      <c r="D3" s="47">
        <v>50</v>
      </c>
      <c r="E3" s="47">
        <v>50</v>
      </c>
      <c r="F3" s="47" t="s">
        <v>90</v>
      </c>
      <c r="G3" s="47">
        <v>2</v>
      </c>
      <c r="H3" s="47" t="s">
        <v>90</v>
      </c>
      <c r="I3" s="47" t="s">
        <v>90</v>
      </c>
      <c r="J3" s="48">
        <f t="shared" ref="J3:J10" si="1">D3</f>
        <v>50</v>
      </c>
    </row>
    <row r="4" spans="1:11" ht="21" customHeight="1" x14ac:dyDescent="0.15">
      <c r="A4" s="47">
        <v>49010003</v>
      </c>
      <c r="B4" s="47">
        <v>0</v>
      </c>
      <c r="C4" s="47">
        <v>1</v>
      </c>
      <c r="D4" s="47">
        <v>50</v>
      </c>
      <c r="E4" s="47" t="s">
        <v>90</v>
      </c>
      <c r="F4" s="47" t="s">
        <v>90</v>
      </c>
      <c r="G4" s="47" t="s">
        <v>90</v>
      </c>
      <c r="H4" s="47" t="s">
        <v>90</v>
      </c>
      <c r="I4" s="47" t="s">
        <v>90</v>
      </c>
      <c r="J4" s="48">
        <f t="shared" si="1"/>
        <v>50</v>
      </c>
    </row>
    <row r="5" spans="1:11" ht="21" customHeight="1" x14ac:dyDescent="0.15">
      <c r="A5" s="47">
        <v>49010004</v>
      </c>
      <c r="B5" s="47">
        <v>0</v>
      </c>
      <c r="C5" s="47">
        <v>2</v>
      </c>
      <c r="D5" s="47">
        <v>50</v>
      </c>
      <c r="E5" s="47">
        <v>50</v>
      </c>
      <c r="F5" s="47" t="s">
        <v>90</v>
      </c>
      <c r="G5" s="47">
        <v>2</v>
      </c>
      <c r="H5" s="47" t="s">
        <v>90</v>
      </c>
      <c r="I5" s="47" t="s">
        <v>90</v>
      </c>
      <c r="J5" s="48">
        <f t="shared" si="1"/>
        <v>50</v>
      </c>
    </row>
    <row r="6" spans="1:11" ht="21" customHeight="1" x14ac:dyDescent="0.15">
      <c r="A6" s="47">
        <v>49010005</v>
      </c>
      <c r="B6" s="47">
        <v>1</v>
      </c>
      <c r="C6" s="47" t="s">
        <v>89</v>
      </c>
      <c r="D6" s="47">
        <v>100</v>
      </c>
      <c r="E6" s="47" t="s">
        <v>90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49010006</v>
      </c>
      <c r="B7" s="47">
        <v>0</v>
      </c>
      <c r="C7" s="47">
        <v>1</v>
      </c>
      <c r="D7" s="47">
        <v>100</v>
      </c>
      <c r="E7" s="47" t="s">
        <v>90</v>
      </c>
      <c r="F7" s="47">
        <v>90</v>
      </c>
      <c r="G7" s="47">
        <v>1</v>
      </c>
      <c r="H7" s="47" t="s">
        <v>89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49010007</v>
      </c>
      <c r="B8" s="47">
        <v>0</v>
      </c>
      <c r="C8" s="47">
        <v>2</v>
      </c>
      <c r="D8" s="47">
        <v>50</v>
      </c>
      <c r="E8" s="47">
        <v>90</v>
      </c>
      <c r="F8" s="47">
        <v>50</v>
      </c>
      <c r="G8" s="47" t="s">
        <v>90</v>
      </c>
      <c r="H8" s="47" t="s">
        <v>90</v>
      </c>
      <c r="I8" s="47" t="s">
        <v>90</v>
      </c>
      <c r="J8" s="48">
        <f t="shared" si="1"/>
        <v>50</v>
      </c>
    </row>
    <row r="9" spans="1:11" ht="21" customHeight="1" x14ac:dyDescent="0.15">
      <c r="A9" s="47">
        <v>49010008</v>
      </c>
      <c r="B9" s="47">
        <v>0</v>
      </c>
      <c r="C9" s="47">
        <v>3</v>
      </c>
      <c r="D9" s="47">
        <v>100</v>
      </c>
      <c r="E9" s="47">
        <v>50</v>
      </c>
      <c r="F9" s="47">
        <v>30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49010009</v>
      </c>
      <c r="B10" s="47">
        <v>0</v>
      </c>
      <c r="C10" s="47">
        <v>4</v>
      </c>
      <c r="D10" s="47">
        <v>100</v>
      </c>
      <c r="E10" s="47">
        <v>30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49010010</v>
      </c>
      <c r="B11" s="47">
        <v>1</v>
      </c>
      <c r="C11" s="47" t="s">
        <v>89</v>
      </c>
      <c r="D11" s="47">
        <v>100</v>
      </c>
      <c r="E11" s="47" t="s">
        <v>90</v>
      </c>
      <c r="F11" s="47" t="s">
        <v>90</v>
      </c>
      <c r="G11" s="47">
        <v>1</v>
      </c>
      <c r="H11" s="47" t="s">
        <v>90</v>
      </c>
      <c r="I11" s="47" t="s">
        <v>90</v>
      </c>
      <c r="J11" s="48">
        <f t="shared" ref="J11:J62" si="2">D11</f>
        <v>100</v>
      </c>
    </row>
    <row r="12" spans="1:11" ht="21" customHeight="1" x14ac:dyDescent="0.15">
      <c r="A12" s="47">
        <v>49010011</v>
      </c>
      <c r="B12" s="47">
        <v>0</v>
      </c>
      <c r="C12" s="47">
        <v>1</v>
      </c>
      <c r="D12" s="47">
        <v>100</v>
      </c>
      <c r="E12" s="47" t="s">
        <v>90</v>
      </c>
      <c r="F12" s="47">
        <v>70</v>
      </c>
      <c r="G12" s="47">
        <v>1</v>
      </c>
      <c r="H12" s="47" t="s">
        <v>90</v>
      </c>
      <c r="I12" s="47" t="s">
        <v>90</v>
      </c>
      <c r="J12" s="48">
        <f t="shared" si="2"/>
        <v>100</v>
      </c>
    </row>
    <row r="13" spans="1:11" ht="21" customHeight="1" x14ac:dyDescent="0.15">
      <c r="A13" s="47">
        <v>49010012</v>
      </c>
      <c r="B13" s="47">
        <v>0</v>
      </c>
      <c r="C13" s="47">
        <v>2</v>
      </c>
      <c r="D13" s="47">
        <v>100</v>
      </c>
      <c r="E13" s="47">
        <v>70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2"/>
        <v>100</v>
      </c>
    </row>
    <row r="14" spans="1:11" ht="21" customHeight="1" x14ac:dyDescent="0.15">
      <c r="A14" s="47">
        <v>49010013</v>
      </c>
      <c r="B14" s="47">
        <v>0</v>
      </c>
      <c r="C14" s="47">
        <v>3</v>
      </c>
      <c r="D14" s="47">
        <v>100</v>
      </c>
      <c r="E14" s="47">
        <v>30</v>
      </c>
      <c r="F14" s="47" t="s">
        <v>90</v>
      </c>
      <c r="G14" s="47">
        <v>1</v>
      </c>
      <c r="H14" s="47" t="s">
        <v>90</v>
      </c>
      <c r="I14" s="47" t="s">
        <v>90</v>
      </c>
      <c r="J14" s="48">
        <f t="shared" si="2"/>
        <v>100</v>
      </c>
    </row>
    <row r="15" spans="1:11" ht="21" customHeight="1" x14ac:dyDescent="0.15">
      <c r="A15" s="47">
        <v>49010014</v>
      </c>
      <c r="B15" s="47">
        <v>1</v>
      </c>
      <c r="C15" s="47" t="s">
        <v>89</v>
      </c>
      <c r="D15" s="47">
        <v>100</v>
      </c>
      <c r="E15" s="47" t="s">
        <v>90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2"/>
        <v>100</v>
      </c>
    </row>
    <row r="16" spans="1:11" ht="21" customHeight="1" x14ac:dyDescent="0.15">
      <c r="A16" s="47">
        <v>49010015</v>
      </c>
      <c r="B16" s="47">
        <v>0</v>
      </c>
      <c r="C16" s="47">
        <v>1</v>
      </c>
      <c r="D16" s="47">
        <v>100</v>
      </c>
      <c r="E16" s="47">
        <v>90</v>
      </c>
      <c r="F16" s="47">
        <v>50</v>
      </c>
      <c r="G16" s="47">
        <v>1</v>
      </c>
      <c r="H16" s="47">
        <v>2</v>
      </c>
      <c r="I16" s="47" t="s">
        <v>90</v>
      </c>
      <c r="J16" s="48">
        <f t="shared" si="2"/>
        <v>100</v>
      </c>
    </row>
    <row r="17" spans="1:10" ht="21" customHeight="1" x14ac:dyDescent="0.15">
      <c r="A17" s="47">
        <v>49010016</v>
      </c>
      <c r="B17" s="47">
        <v>0</v>
      </c>
      <c r="C17" s="47">
        <v>2</v>
      </c>
      <c r="D17" s="47">
        <v>100</v>
      </c>
      <c r="E17" s="47">
        <v>50</v>
      </c>
      <c r="F17" s="47" t="s">
        <v>90</v>
      </c>
      <c r="G17" s="47" t="s">
        <v>90</v>
      </c>
      <c r="H17" s="47" t="s">
        <v>90</v>
      </c>
      <c r="I17" s="47" t="s">
        <v>90</v>
      </c>
      <c r="J17" s="48">
        <f t="shared" si="2"/>
        <v>100</v>
      </c>
    </row>
    <row r="18" spans="1:10" ht="21" customHeight="1" x14ac:dyDescent="0.15">
      <c r="A18" s="47">
        <v>49010017</v>
      </c>
      <c r="B18" s="47">
        <v>0</v>
      </c>
      <c r="C18" s="47">
        <v>3</v>
      </c>
      <c r="D18" s="47">
        <v>100</v>
      </c>
      <c r="E18" s="47">
        <v>30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2"/>
        <v>100</v>
      </c>
    </row>
    <row r="19" spans="1:10" ht="21" customHeight="1" x14ac:dyDescent="0.15">
      <c r="A19" s="47">
        <v>49010018</v>
      </c>
      <c r="B19" s="47">
        <v>1</v>
      </c>
      <c r="C19" s="47">
        <v>1</v>
      </c>
      <c r="D19" s="47">
        <v>100</v>
      </c>
      <c r="E19" s="47" t="s">
        <v>90</v>
      </c>
      <c r="F19" s="47" t="s">
        <v>90</v>
      </c>
      <c r="G19" s="47">
        <v>1</v>
      </c>
      <c r="H19" s="47" t="s">
        <v>90</v>
      </c>
      <c r="I19" s="47" t="s">
        <v>89</v>
      </c>
      <c r="J19" s="48">
        <f>D19</f>
        <v>100</v>
      </c>
    </row>
    <row r="20" spans="1:10" ht="21" customHeight="1" x14ac:dyDescent="0.15">
      <c r="A20" s="47">
        <v>49010019</v>
      </c>
      <c r="B20" s="110">
        <v>1</v>
      </c>
      <c r="C20" s="47">
        <v>95</v>
      </c>
      <c r="D20" s="110">
        <v>100</v>
      </c>
      <c r="E20" s="110" t="s">
        <v>89</v>
      </c>
      <c r="F20" s="110" t="s">
        <v>89</v>
      </c>
      <c r="G20" s="110">
        <v>1</v>
      </c>
      <c r="H20" s="110" t="s">
        <v>89</v>
      </c>
      <c r="I20" s="110">
        <v>557</v>
      </c>
      <c r="J20" s="48">
        <f t="shared" si="2"/>
        <v>100</v>
      </c>
    </row>
    <row r="21" spans="1:10" ht="21" customHeight="1" x14ac:dyDescent="0.15">
      <c r="A21" s="47">
        <v>49010020</v>
      </c>
      <c r="B21" s="110">
        <v>1</v>
      </c>
      <c r="C21" s="47">
        <v>94</v>
      </c>
      <c r="D21" s="110">
        <v>100</v>
      </c>
      <c r="E21" s="110" t="s">
        <v>89</v>
      </c>
      <c r="F21" s="110" t="s">
        <v>89</v>
      </c>
      <c r="G21" s="110">
        <v>1</v>
      </c>
      <c r="H21" s="110" t="s">
        <v>89</v>
      </c>
      <c r="I21" s="110">
        <v>1295</v>
      </c>
      <c r="J21" s="48">
        <f t="shared" si="2"/>
        <v>100</v>
      </c>
    </row>
    <row r="22" spans="1:10" ht="21" customHeight="1" x14ac:dyDescent="0.15">
      <c r="A22" s="47">
        <v>49010021</v>
      </c>
      <c r="B22" s="108">
        <v>1</v>
      </c>
      <c r="C22" s="47">
        <v>100</v>
      </c>
      <c r="D22" s="108">
        <v>100</v>
      </c>
      <c r="E22" s="108" t="s">
        <v>89</v>
      </c>
      <c r="F22" s="108" t="s">
        <v>89</v>
      </c>
      <c r="G22" s="108">
        <v>1</v>
      </c>
      <c r="H22" s="108" t="s">
        <v>89</v>
      </c>
      <c r="I22" s="108">
        <v>525</v>
      </c>
      <c r="J22" s="48">
        <f t="shared" ref="J22:J30" si="3">D22</f>
        <v>100</v>
      </c>
    </row>
    <row r="23" spans="1:10" ht="21" customHeight="1" x14ac:dyDescent="0.15">
      <c r="A23" s="47">
        <v>49010022</v>
      </c>
      <c r="B23" s="108">
        <v>1</v>
      </c>
      <c r="C23" s="47">
        <v>99</v>
      </c>
      <c r="D23" s="108">
        <v>100</v>
      </c>
      <c r="E23" s="108" t="s">
        <v>89</v>
      </c>
      <c r="F23" s="108" t="s">
        <v>89</v>
      </c>
      <c r="G23" s="108">
        <v>1</v>
      </c>
      <c r="H23" s="108" t="s">
        <v>89</v>
      </c>
      <c r="I23" s="108">
        <v>526</v>
      </c>
      <c r="J23" s="48">
        <f t="shared" si="3"/>
        <v>100</v>
      </c>
    </row>
    <row r="24" spans="1:10" ht="21" customHeight="1" x14ac:dyDescent="0.15">
      <c r="A24" s="47">
        <v>49010023</v>
      </c>
      <c r="B24" s="108">
        <v>1</v>
      </c>
      <c r="C24" s="47">
        <v>97</v>
      </c>
      <c r="D24" s="108">
        <v>100</v>
      </c>
      <c r="E24" s="108" t="s">
        <v>89</v>
      </c>
      <c r="F24" s="108" t="s">
        <v>89</v>
      </c>
      <c r="G24" s="108">
        <v>1</v>
      </c>
      <c r="H24" s="108" t="s">
        <v>89</v>
      </c>
      <c r="I24" s="108">
        <v>553</v>
      </c>
      <c r="J24" s="48">
        <f t="shared" si="3"/>
        <v>100</v>
      </c>
    </row>
    <row r="25" spans="1:10" ht="21" customHeight="1" x14ac:dyDescent="0.15">
      <c r="A25" s="47">
        <v>49010024</v>
      </c>
      <c r="B25" s="108">
        <v>1</v>
      </c>
      <c r="C25" s="47">
        <v>96</v>
      </c>
      <c r="D25" s="108">
        <v>100</v>
      </c>
      <c r="E25" s="108" t="s">
        <v>89</v>
      </c>
      <c r="F25" s="108" t="s">
        <v>89</v>
      </c>
      <c r="G25" s="108">
        <v>1</v>
      </c>
      <c r="H25" s="108" t="s">
        <v>89</v>
      </c>
      <c r="I25" s="108">
        <v>555</v>
      </c>
      <c r="J25" s="48">
        <f t="shared" si="3"/>
        <v>100</v>
      </c>
    </row>
    <row r="26" spans="1:10" ht="21" customHeight="1" x14ac:dyDescent="0.15">
      <c r="A26" s="47">
        <v>49010025</v>
      </c>
      <c r="B26" s="108">
        <v>1</v>
      </c>
      <c r="C26" s="47">
        <v>90</v>
      </c>
      <c r="D26" s="108">
        <v>100</v>
      </c>
      <c r="E26" s="108" t="s">
        <v>89</v>
      </c>
      <c r="F26" s="108" t="s">
        <v>89</v>
      </c>
      <c r="G26" s="108">
        <v>1</v>
      </c>
      <c r="H26" s="108" t="s">
        <v>89</v>
      </c>
      <c r="I26" s="108">
        <v>527</v>
      </c>
      <c r="J26" s="48">
        <f t="shared" si="3"/>
        <v>100</v>
      </c>
    </row>
    <row r="27" spans="1:10" ht="21" customHeight="1" x14ac:dyDescent="0.15">
      <c r="A27" s="47">
        <v>49010026</v>
      </c>
      <c r="B27" s="108">
        <v>1</v>
      </c>
      <c r="C27" s="47">
        <v>85</v>
      </c>
      <c r="D27" s="108">
        <v>100</v>
      </c>
      <c r="E27" s="108" t="s">
        <v>89</v>
      </c>
      <c r="F27" s="108" t="s">
        <v>89</v>
      </c>
      <c r="G27" s="108">
        <v>1</v>
      </c>
      <c r="H27" s="108" t="s">
        <v>89</v>
      </c>
      <c r="I27" s="108">
        <v>539</v>
      </c>
      <c r="J27" s="48">
        <f t="shared" si="3"/>
        <v>100</v>
      </c>
    </row>
    <row r="28" spans="1:10" ht="21" customHeight="1" x14ac:dyDescent="0.15">
      <c r="A28" s="47">
        <v>49010027</v>
      </c>
      <c r="B28" s="108">
        <v>1</v>
      </c>
      <c r="C28" s="47">
        <v>84</v>
      </c>
      <c r="D28" s="108">
        <v>100</v>
      </c>
      <c r="E28" s="108" t="s">
        <v>89</v>
      </c>
      <c r="F28" s="108" t="s">
        <v>89</v>
      </c>
      <c r="G28" s="108">
        <v>1</v>
      </c>
      <c r="H28" s="108" t="s">
        <v>89</v>
      </c>
      <c r="I28" s="108">
        <v>541</v>
      </c>
      <c r="J28" s="48">
        <f t="shared" si="3"/>
        <v>100</v>
      </c>
    </row>
    <row r="29" spans="1:10" ht="21" customHeight="1" x14ac:dyDescent="0.15">
      <c r="A29" s="47">
        <v>49010028</v>
      </c>
      <c r="B29" s="108">
        <v>1</v>
      </c>
      <c r="C29" s="47">
        <v>83</v>
      </c>
      <c r="D29" s="108">
        <v>100</v>
      </c>
      <c r="E29" s="108" t="s">
        <v>89</v>
      </c>
      <c r="F29" s="108" t="s">
        <v>89</v>
      </c>
      <c r="G29" s="108">
        <v>1</v>
      </c>
      <c r="H29" s="108" t="s">
        <v>89</v>
      </c>
      <c r="I29" s="108">
        <v>1297</v>
      </c>
      <c r="J29" s="48">
        <f t="shared" si="3"/>
        <v>100</v>
      </c>
    </row>
    <row r="30" spans="1:10" ht="21" customHeight="1" x14ac:dyDescent="0.15">
      <c r="A30" s="47">
        <v>49010029</v>
      </c>
      <c r="B30" s="111">
        <v>1</v>
      </c>
      <c r="C30" s="47">
        <v>80</v>
      </c>
      <c r="D30" s="111">
        <v>100</v>
      </c>
      <c r="E30" s="111" t="s">
        <v>89</v>
      </c>
      <c r="F30" s="111" t="s">
        <v>89</v>
      </c>
      <c r="G30" s="111">
        <v>1</v>
      </c>
      <c r="H30" s="111" t="s">
        <v>89</v>
      </c>
      <c r="I30" s="111">
        <v>1316</v>
      </c>
      <c r="J30" s="48">
        <f t="shared" si="3"/>
        <v>100</v>
      </c>
    </row>
    <row r="31" spans="1:10" ht="21" customHeight="1" x14ac:dyDescent="0.15">
      <c r="A31" s="47">
        <v>49010030</v>
      </c>
      <c r="B31" s="112">
        <v>1</v>
      </c>
      <c r="C31" s="47">
        <v>89</v>
      </c>
      <c r="D31" s="112">
        <v>100</v>
      </c>
      <c r="E31" s="112" t="s">
        <v>89</v>
      </c>
      <c r="F31" s="112" t="s">
        <v>89</v>
      </c>
      <c r="G31" s="112">
        <v>1</v>
      </c>
      <c r="H31" s="112" t="s">
        <v>89</v>
      </c>
      <c r="I31" s="112">
        <v>543</v>
      </c>
      <c r="J31" s="48">
        <f t="shared" si="2"/>
        <v>100</v>
      </c>
    </row>
    <row r="32" spans="1:10" ht="21" customHeight="1" x14ac:dyDescent="0.15">
      <c r="A32" s="47">
        <v>49010031</v>
      </c>
      <c r="B32" s="107">
        <v>1</v>
      </c>
      <c r="C32" s="47">
        <v>79</v>
      </c>
      <c r="D32" s="107">
        <v>100</v>
      </c>
      <c r="E32" s="107" t="s">
        <v>89</v>
      </c>
      <c r="F32" s="107" t="s">
        <v>89</v>
      </c>
      <c r="G32" s="107">
        <v>1</v>
      </c>
      <c r="H32" s="107" t="s">
        <v>89</v>
      </c>
      <c r="I32" s="107">
        <v>1318</v>
      </c>
      <c r="J32" s="48">
        <f t="shared" ref="J32:J34" si="4">D32</f>
        <v>100</v>
      </c>
    </row>
    <row r="33" spans="1:10" ht="21" customHeight="1" x14ac:dyDescent="0.15">
      <c r="A33" s="47">
        <v>49010032</v>
      </c>
      <c r="B33" s="113">
        <v>1</v>
      </c>
      <c r="C33" s="47">
        <v>88</v>
      </c>
      <c r="D33" s="113">
        <v>100</v>
      </c>
      <c r="E33" s="113" t="s">
        <v>89</v>
      </c>
      <c r="F33" s="113" t="s">
        <v>89</v>
      </c>
      <c r="G33" s="113">
        <v>1</v>
      </c>
      <c r="H33" s="113" t="s">
        <v>89</v>
      </c>
      <c r="I33" s="113">
        <v>545</v>
      </c>
      <c r="J33" s="48">
        <f t="shared" si="4"/>
        <v>100</v>
      </c>
    </row>
    <row r="34" spans="1:10" ht="21" customHeight="1" x14ac:dyDescent="0.15">
      <c r="A34" s="47">
        <v>49010033</v>
      </c>
      <c r="B34" s="114">
        <v>1</v>
      </c>
      <c r="C34" s="47">
        <v>78</v>
      </c>
      <c r="D34" s="114">
        <v>100</v>
      </c>
      <c r="E34" s="114" t="s">
        <v>89</v>
      </c>
      <c r="F34" s="114" t="s">
        <v>89</v>
      </c>
      <c r="G34" s="114">
        <v>1</v>
      </c>
      <c r="H34" s="114" t="s">
        <v>89</v>
      </c>
      <c r="I34" s="114">
        <v>1320</v>
      </c>
      <c r="J34" s="48">
        <f t="shared" si="4"/>
        <v>100</v>
      </c>
    </row>
    <row r="35" spans="1:10" ht="21" customHeight="1" x14ac:dyDescent="0.15">
      <c r="A35" s="47">
        <v>49010034</v>
      </c>
      <c r="B35" s="109">
        <v>1</v>
      </c>
      <c r="C35" s="47">
        <v>92</v>
      </c>
      <c r="D35" s="109">
        <v>100</v>
      </c>
      <c r="E35" s="109" t="s">
        <v>89</v>
      </c>
      <c r="F35" s="109" t="s">
        <v>89</v>
      </c>
      <c r="G35" s="109">
        <v>1</v>
      </c>
      <c r="H35" s="109" t="s">
        <v>89</v>
      </c>
      <c r="I35" s="109">
        <v>547</v>
      </c>
      <c r="J35" s="48">
        <f t="shared" si="2"/>
        <v>100</v>
      </c>
    </row>
    <row r="36" spans="1:10" ht="21" customHeight="1" x14ac:dyDescent="0.15">
      <c r="A36" s="47">
        <v>49010035</v>
      </c>
      <c r="B36" s="116">
        <v>1</v>
      </c>
      <c r="C36" s="47">
        <v>81</v>
      </c>
      <c r="D36" s="116">
        <v>100</v>
      </c>
      <c r="E36" s="116" t="s">
        <v>89</v>
      </c>
      <c r="F36" s="116" t="s">
        <v>89</v>
      </c>
      <c r="G36" s="116">
        <v>1</v>
      </c>
      <c r="H36" s="116" t="s">
        <v>89</v>
      </c>
      <c r="I36" s="116">
        <v>1322</v>
      </c>
      <c r="J36" s="48">
        <f t="shared" ref="J36" si="5">D36</f>
        <v>100</v>
      </c>
    </row>
    <row r="37" spans="1:10" ht="21" customHeight="1" x14ac:dyDescent="0.15">
      <c r="A37" s="47">
        <v>49010036</v>
      </c>
      <c r="B37" s="117">
        <v>1</v>
      </c>
      <c r="C37" s="47">
        <v>91</v>
      </c>
      <c r="D37" s="117">
        <v>100</v>
      </c>
      <c r="E37" s="117" t="s">
        <v>89</v>
      </c>
      <c r="F37" s="117" t="s">
        <v>89</v>
      </c>
      <c r="G37" s="117">
        <v>1</v>
      </c>
      <c r="H37" s="117" t="s">
        <v>89</v>
      </c>
      <c r="I37" s="117">
        <v>549</v>
      </c>
      <c r="J37" s="48">
        <f t="shared" ref="J37:J38" si="6">D37</f>
        <v>100</v>
      </c>
    </row>
    <row r="38" spans="1:10" ht="21" customHeight="1" x14ac:dyDescent="0.15">
      <c r="A38" s="47">
        <v>49010037</v>
      </c>
      <c r="B38" s="118">
        <v>1</v>
      </c>
      <c r="C38" s="47">
        <v>98</v>
      </c>
      <c r="D38" s="118">
        <v>100</v>
      </c>
      <c r="E38" s="118" t="s">
        <v>89</v>
      </c>
      <c r="F38" s="118" t="s">
        <v>89</v>
      </c>
      <c r="G38" s="118">
        <v>1</v>
      </c>
      <c r="H38" s="118" t="s">
        <v>89</v>
      </c>
      <c r="I38" s="118">
        <v>551</v>
      </c>
      <c r="J38" s="48">
        <f t="shared" si="6"/>
        <v>100</v>
      </c>
    </row>
    <row r="39" spans="1:10" ht="21" customHeight="1" x14ac:dyDescent="0.15">
      <c r="A39" s="47">
        <v>49010038</v>
      </c>
      <c r="B39" s="47">
        <v>1</v>
      </c>
      <c r="C39" s="47">
        <v>82</v>
      </c>
      <c r="D39" s="47">
        <v>100</v>
      </c>
      <c r="E39" s="47" t="s">
        <v>89</v>
      </c>
      <c r="F39" s="47" t="s">
        <v>89</v>
      </c>
      <c r="G39" s="47">
        <v>1</v>
      </c>
      <c r="H39" s="47" t="s">
        <v>89</v>
      </c>
      <c r="I39" s="47">
        <v>1300</v>
      </c>
      <c r="J39" s="48">
        <f t="shared" ref="J39" si="7">D39</f>
        <v>100</v>
      </c>
    </row>
    <row r="40" spans="1:10" ht="21" customHeight="1" x14ac:dyDescent="0.15">
      <c r="A40" s="47">
        <v>49010039</v>
      </c>
      <c r="B40" s="47">
        <v>1</v>
      </c>
      <c r="C40" s="47">
        <v>87</v>
      </c>
      <c r="D40" s="47">
        <v>100</v>
      </c>
      <c r="E40" s="47" t="s">
        <v>89</v>
      </c>
      <c r="F40" s="47" t="s">
        <v>89</v>
      </c>
      <c r="G40" s="47">
        <v>1</v>
      </c>
      <c r="H40" s="47" t="s">
        <v>89</v>
      </c>
      <c r="I40" s="47">
        <v>1302</v>
      </c>
      <c r="J40" s="48">
        <f t="shared" si="2"/>
        <v>100</v>
      </c>
    </row>
    <row r="41" spans="1:10" ht="21" customHeight="1" x14ac:dyDescent="0.15">
      <c r="A41" s="47">
        <v>49010040</v>
      </c>
      <c r="B41" s="47">
        <v>1</v>
      </c>
      <c r="C41" s="47">
        <v>93</v>
      </c>
      <c r="D41" s="47">
        <v>100</v>
      </c>
      <c r="E41" s="47" t="s">
        <v>89</v>
      </c>
      <c r="F41" s="47" t="s">
        <v>89</v>
      </c>
      <c r="G41" s="47">
        <v>1</v>
      </c>
      <c r="H41" s="47" t="s">
        <v>89</v>
      </c>
      <c r="I41" s="47">
        <v>1304</v>
      </c>
      <c r="J41" s="48">
        <f t="shared" ref="J41" si="8">D41</f>
        <v>100</v>
      </c>
    </row>
    <row r="42" spans="1:10" ht="21" customHeight="1" x14ac:dyDescent="0.15">
      <c r="A42" s="47">
        <v>49010041</v>
      </c>
      <c r="B42" s="47">
        <v>1</v>
      </c>
      <c r="C42" s="47">
        <v>86</v>
      </c>
      <c r="D42" s="47">
        <v>100</v>
      </c>
      <c r="E42" s="47" t="s">
        <v>89</v>
      </c>
      <c r="F42" s="47" t="s">
        <v>89</v>
      </c>
      <c r="G42" s="47">
        <v>1</v>
      </c>
      <c r="H42" s="47" t="s">
        <v>89</v>
      </c>
      <c r="I42" s="47">
        <v>1306</v>
      </c>
      <c r="J42" s="48">
        <f t="shared" si="2"/>
        <v>100</v>
      </c>
    </row>
    <row r="43" spans="1:10" ht="21" customHeight="1" x14ac:dyDescent="0.15">
      <c r="A43" s="47">
        <v>49010042</v>
      </c>
      <c r="B43" s="47">
        <v>0</v>
      </c>
      <c r="C43" s="47">
        <v>2</v>
      </c>
      <c r="D43" s="47">
        <v>100</v>
      </c>
      <c r="E43" s="47" t="s">
        <v>90</v>
      </c>
      <c r="F43" s="47">
        <v>90</v>
      </c>
      <c r="G43" s="47">
        <v>1</v>
      </c>
      <c r="H43" s="47" t="s">
        <v>90</v>
      </c>
      <c r="I43" s="47" t="s">
        <v>90</v>
      </c>
      <c r="J43" s="48">
        <f t="shared" si="2"/>
        <v>100</v>
      </c>
    </row>
    <row r="44" spans="1:10" ht="21" customHeight="1" x14ac:dyDescent="0.15">
      <c r="A44" s="47">
        <v>49010043</v>
      </c>
      <c r="B44" s="47">
        <v>0</v>
      </c>
      <c r="C44" s="47">
        <v>3</v>
      </c>
      <c r="D44" s="47">
        <v>100</v>
      </c>
      <c r="E44" s="47">
        <v>90</v>
      </c>
      <c r="F44" s="47" t="s">
        <v>90</v>
      </c>
      <c r="G44" s="47" t="s">
        <v>90</v>
      </c>
      <c r="H44" s="47" t="s">
        <v>90</v>
      </c>
      <c r="I44" s="47" t="s">
        <v>90</v>
      </c>
      <c r="J44" s="48">
        <f t="shared" si="2"/>
        <v>100</v>
      </c>
    </row>
    <row r="45" spans="1:10" ht="21" customHeight="1" x14ac:dyDescent="0.15">
      <c r="A45" s="47">
        <v>49010044</v>
      </c>
      <c r="B45" s="47">
        <v>0</v>
      </c>
      <c r="C45" s="47">
        <v>4</v>
      </c>
      <c r="D45" s="47">
        <v>30</v>
      </c>
      <c r="E45" s="47">
        <v>50</v>
      </c>
      <c r="F45" s="47" t="s">
        <v>90</v>
      </c>
      <c r="G45" s="47">
        <v>1</v>
      </c>
      <c r="H45" s="47" t="s">
        <v>90</v>
      </c>
      <c r="I45" s="47" t="s">
        <v>90</v>
      </c>
      <c r="J45" s="48">
        <f t="shared" si="2"/>
        <v>30</v>
      </c>
    </row>
    <row r="46" spans="1:10" ht="21" customHeight="1" x14ac:dyDescent="0.15">
      <c r="A46" s="47">
        <v>49010045</v>
      </c>
      <c r="B46" s="47">
        <v>0</v>
      </c>
      <c r="C46" s="47">
        <v>5</v>
      </c>
      <c r="D46" s="47">
        <v>30</v>
      </c>
      <c r="E46" s="47">
        <v>50</v>
      </c>
      <c r="F46" s="47" t="s">
        <v>90</v>
      </c>
      <c r="G46" s="47">
        <v>1</v>
      </c>
      <c r="H46" s="47" t="s">
        <v>90</v>
      </c>
      <c r="I46" s="47" t="s">
        <v>90</v>
      </c>
      <c r="J46" s="48">
        <f t="shared" si="2"/>
        <v>30</v>
      </c>
    </row>
    <row r="47" spans="1:10" ht="21" customHeight="1" x14ac:dyDescent="0.15">
      <c r="A47" s="47">
        <v>49010046</v>
      </c>
      <c r="B47" s="47">
        <v>0</v>
      </c>
      <c r="C47" s="47">
        <v>6</v>
      </c>
      <c r="D47" s="47">
        <v>30</v>
      </c>
      <c r="E47" s="47">
        <v>50</v>
      </c>
      <c r="F47" s="47" t="s">
        <v>90</v>
      </c>
      <c r="G47" s="47">
        <v>1</v>
      </c>
      <c r="H47" s="47" t="s">
        <v>90</v>
      </c>
      <c r="I47" s="47" t="s">
        <v>90</v>
      </c>
      <c r="J47" s="48">
        <f t="shared" si="2"/>
        <v>30</v>
      </c>
    </row>
    <row r="48" spans="1:10" ht="21" customHeight="1" x14ac:dyDescent="0.15">
      <c r="A48" s="47">
        <v>49010047</v>
      </c>
      <c r="B48" s="47">
        <v>0</v>
      </c>
      <c r="C48" s="47">
        <v>7</v>
      </c>
      <c r="D48" s="47">
        <v>100</v>
      </c>
      <c r="E48" s="47">
        <v>30</v>
      </c>
      <c r="F48" s="47" t="s">
        <v>90</v>
      </c>
      <c r="G48" s="47">
        <v>1</v>
      </c>
      <c r="H48" s="47" t="s">
        <v>90</v>
      </c>
      <c r="I48" s="47" t="s">
        <v>90</v>
      </c>
      <c r="J48" s="48">
        <f t="shared" si="2"/>
        <v>100</v>
      </c>
    </row>
    <row r="49" spans="1:10" ht="21" customHeight="1" x14ac:dyDescent="0.15">
      <c r="A49" s="47">
        <v>49010048</v>
      </c>
      <c r="B49" s="47">
        <v>1</v>
      </c>
      <c r="C49" s="47" t="s">
        <v>89</v>
      </c>
      <c r="D49" s="47">
        <v>100</v>
      </c>
      <c r="E49" s="47" t="s">
        <v>90</v>
      </c>
      <c r="F49" s="47" t="s">
        <v>90</v>
      </c>
      <c r="G49" s="47">
        <v>1</v>
      </c>
      <c r="H49" s="47" t="s">
        <v>90</v>
      </c>
      <c r="I49" s="47" t="s">
        <v>90</v>
      </c>
      <c r="J49" s="48">
        <f t="shared" si="2"/>
        <v>100</v>
      </c>
    </row>
    <row r="50" spans="1:10" ht="21" customHeight="1" x14ac:dyDescent="0.15">
      <c r="A50" s="47">
        <v>49010049</v>
      </c>
      <c r="B50" s="47">
        <v>0</v>
      </c>
      <c r="C50" s="47">
        <v>1</v>
      </c>
      <c r="D50" s="47">
        <v>100</v>
      </c>
      <c r="E50" s="47" t="s">
        <v>90</v>
      </c>
      <c r="F50" s="47">
        <v>80</v>
      </c>
      <c r="G50" s="47">
        <v>1</v>
      </c>
      <c r="H50" s="47" t="s">
        <v>90</v>
      </c>
      <c r="I50" s="47" t="s">
        <v>90</v>
      </c>
      <c r="J50" s="48">
        <f t="shared" si="2"/>
        <v>100</v>
      </c>
    </row>
    <row r="51" spans="1:10" ht="21" customHeight="1" x14ac:dyDescent="0.15">
      <c r="A51" s="47">
        <v>49010050</v>
      </c>
      <c r="B51" s="47">
        <v>0</v>
      </c>
      <c r="C51" s="47">
        <v>2</v>
      </c>
      <c r="D51" s="47">
        <v>100</v>
      </c>
      <c r="E51" s="47">
        <v>80</v>
      </c>
      <c r="F51" s="47" t="s">
        <v>90</v>
      </c>
      <c r="G51" s="47" t="s">
        <v>90</v>
      </c>
      <c r="H51" s="47" t="s">
        <v>90</v>
      </c>
      <c r="I51" s="47" t="s">
        <v>90</v>
      </c>
      <c r="J51" s="48">
        <f t="shared" si="2"/>
        <v>100</v>
      </c>
    </row>
    <row r="52" spans="1:10" ht="21" customHeight="1" x14ac:dyDescent="0.15">
      <c r="A52" s="47">
        <v>49010051</v>
      </c>
      <c r="B52" s="47">
        <v>0</v>
      </c>
      <c r="C52" s="47">
        <v>3</v>
      </c>
      <c r="D52" s="47">
        <v>30</v>
      </c>
      <c r="E52" s="47">
        <v>80</v>
      </c>
      <c r="F52" s="47" t="s">
        <v>90</v>
      </c>
      <c r="G52" s="47" t="s">
        <v>90</v>
      </c>
      <c r="H52" s="47" t="s">
        <v>90</v>
      </c>
      <c r="I52" s="47" t="s">
        <v>90</v>
      </c>
      <c r="J52" s="48">
        <f t="shared" si="2"/>
        <v>30</v>
      </c>
    </row>
    <row r="53" spans="1:10" ht="21" customHeight="1" x14ac:dyDescent="0.15">
      <c r="A53" s="47">
        <v>49010052</v>
      </c>
      <c r="B53" s="47">
        <v>0</v>
      </c>
      <c r="C53" s="47">
        <v>4</v>
      </c>
      <c r="D53" s="47">
        <v>100</v>
      </c>
      <c r="E53" s="47">
        <v>60</v>
      </c>
      <c r="F53" s="47">
        <v>40</v>
      </c>
      <c r="G53" s="47">
        <v>1</v>
      </c>
      <c r="H53" s="47" t="s">
        <v>90</v>
      </c>
      <c r="I53" s="47" t="s">
        <v>90</v>
      </c>
      <c r="J53" s="48">
        <f t="shared" si="2"/>
        <v>100</v>
      </c>
    </row>
    <row r="54" spans="1:10" ht="21" customHeight="1" x14ac:dyDescent="0.15">
      <c r="A54" s="47">
        <v>49010053</v>
      </c>
      <c r="B54" s="47">
        <v>0</v>
      </c>
      <c r="C54" s="47">
        <v>5</v>
      </c>
      <c r="D54" s="47">
        <v>100</v>
      </c>
      <c r="E54" s="47">
        <v>40</v>
      </c>
      <c r="F54" s="47" t="s">
        <v>90</v>
      </c>
      <c r="G54" s="47">
        <v>1</v>
      </c>
      <c r="H54" s="47" t="s">
        <v>90</v>
      </c>
      <c r="I54" s="47" t="s">
        <v>90</v>
      </c>
      <c r="J54" s="48">
        <f t="shared" si="2"/>
        <v>100</v>
      </c>
    </row>
    <row r="55" spans="1:10" ht="21" customHeight="1" x14ac:dyDescent="0.15">
      <c r="A55" s="47">
        <v>49010054</v>
      </c>
      <c r="B55" s="47">
        <v>0</v>
      </c>
      <c r="C55" s="47">
        <v>6</v>
      </c>
      <c r="D55" s="47">
        <v>100</v>
      </c>
      <c r="E55" s="47">
        <v>30</v>
      </c>
      <c r="F55" s="47" t="s">
        <v>90</v>
      </c>
      <c r="G55" s="47">
        <v>1</v>
      </c>
      <c r="H55" s="47" t="s">
        <v>90</v>
      </c>
      <c r="I55" s="47" t="s">
        <v>90</v>
      </c>
      <c r="J55" s="48">
        <f t="shared" si="2"/>
        <v>100</v>
      </c>
    </row>
    <row r="56" spans="1:10" ht="21" customHeight="1" x14ac:dyDescent="0.15">
      <c r="A56" s="47">
        <v>49010055</v>
      </c>
      <c r="B56" s="47">
        <v>1</v>
      </c>
      <c r="C56" s="47" t="s">
        <v>89</v>
      </c>
      <c r="D56" s="47">
        <v>100</v>
      </c>
      <c r="E56" s="47" t="s">
        <v>90</v>
      </c>
      <c r="F56" s="47" t="s">
        <v>90</v>
      </c>
      <c r="G56" s="47">
        <v>1</v>
      </c>
      <c r="H56" s="47" t="s">
        <v>90</v>
      </c>
      <c r="I56" s="47" t="s">
        <v>90</v>
      </c>
      <c r="J56" s="48">
        <f t="shared" si="2"/>
        <v>100</v>
      </c>
    </row>
    <row r="57" spans="1:10" ht="21" customHeight="1" x14ac:dyDescent="0.15">
      <c r="A57" s="47">
        <v>49010056</v>
      </c>
      <c r="B57" s="47">
        <v>0</v>
      </c>
      <c r="C57" s="47">
        <v>1</v>
      </c>
      <c r="D57" s="47">
        <v>100</v>
      </c>
      <c r="E57" s="47" t="s">
        <v>90</v>
      </c>
      <c r="F57" s="47">
        <v>80</v>
      </c>
      <c r="G57" s="47">
        <v>1</v>
      </c>
      <c r="H57" s="47" t="s">
        <v>90</v>
      </c>
      <c r="I57" s="47" t="s">
        <v>90</v>
      </c>
      <c r="J57" s="48">
        <f t="shared" si="2"/>
        <v>100</v>
      </c>
    </row>
    <row r="58" spans="1:10" ht="21" customHeight="1" x14ac:dyDescent="0.15">
      <c r="A58" s="47">
        <v>49010057</v>
      </c>
      <c r="B58" s="47">
        <v>0</v>
      </c>
      <c r="C58" s="47">
        <v>2</v>
      </c>
      <c r="D58" s="47">
        <v>100</v>
      </c>
      <c r="E58" s="47">
        <v>80</v>
      </c>
      <c r="F58" s="47" t="s">
        <v>90</v>
      </c>
      <c r="G58" s="47" t="s">
        <v>90</v>
      </c>
      <c r="H58" s="47" t="s">
        <v>90</v>
      </c>
      <c r="I58" s="47" t="s">
        <v>90</v>
      </c>
      <c r="J58" s="48">
        <f t="shared" si="2"/>
        <v>100</v>
      </c>
    </row>
    <row r="59" spans="1:10" ht="21" customHeight="1" x14ac:dyDescent="0.15">
      <c r="A59" s="47">
        <v>49010058</v>
      </c>
      <c r="B59" s="47">
        <v>0</v>
      </c>
      <c r="C59" s="47">
        <v>3</v>
      </c>
      <c r="D59" s="47">
        <v>100</v>
      </c>
      <c r="E59" s="47">
        <v>80</v>
      </c>
      <c r="F59" s="47" t="s">
        <v>90</v>
      </c>
      <c r="G59" s="47" t="s">
        <v>90</v>
      </c>
      <c r="H59" s="47">
        <v>3</v>
      </c>
      <c r="I59" s="47" t="s">
        <v>90</v>
      </c>
      <c r="J59" s="48">
        <f t="shared" si="2"/>
        <v>100</v>
      </c>
    </row>
    <row r="60" spans="1:10" ht="21" customHeight="1" x14ac:dyDescent="0.15">
      <c r="A60" s="47">
        <v>49010059</v>
      </c>
      <c r="B60" s="47">
        <v>0</v>
      </c>
      <c r="C60" s="47">
        <v>4</v>
      </c>
      <c r="D60" s="47">
        <v>100</v>
      </c>
      <c r="E60" s="47">
        <v>60</v>
      </c>
      <c r="F60" s="47">
        <v>40</v>
      </c>
      <c r="G60" s="47">
        <v>1</v>
      </c>
      <c r="H60" s="47" t="s">
        <v>90</v>
      </c>
      <c r="I60" s="47" t="s">
        <v>90</v>
      </c>
      <c r="J60" s="48">
        <f t="shared" si="2"/>
        <v>100</v>
      </c>
    </row>
    <row r="61" spans="1:10" ht="21" customHeight="1" x14ac:dyDescent="0.15">
      <c r="A61" s="47">
        <v>49010060</v>
      </c>
      <c r="B61" s="47">
        <v>0</v>
      </c>
      <c r="C61" s="47">
        <v>5</v>
      </c>
      <c r="D61" s="47">
        <v>100</v>
      </c>
      <c r="E61" s="47">
        <v>40</v>
      </c>
      <c r="F61" s="47" t="s">
        <v>90</v>
      </c>
      <c r="G61" s="47">
        <v>1</v>
      </c>
      <c r="H61" s="47" t="s">
        <v>90</v>
      </c>
      <c r="I61" s="47" t="s">
        <v>90</v>
      </c>
      <c r="J61" s="48">
        <f t="shared" si="2"/>
        <v>100</v>
      </c>
    </row>
    <row r="62" spans="1:10" ht="21" customHeight="1" x14ac:dyDescent="0.15">
      <c r="A62" s="47">
        <v>49010061</v>
      </c>
      <c r="B62" s="47">
        <v>0</v>
      </c>
      <c r="C62" s="47">
        <v>6</v>
      </c>
      <c r="D62" s="47">
        <v>100</v>
      </c>
      <c r="E62" s="47">
        <v>30</v>
      </c>
      <c r="F62" s="47" t="s">
        <v>90</v>
      </c>
      <c r="G62" s="47">
        <v>1</v>
      </c>
      <c r="H62" s="47" t="s">
        <v>90</v>
      </c>
      <c r="I62" s="47" t="s">
        <v>90</v>
      </c>
      <c r="J62" s="48">
        <f t="shared" si="2"/>
        <v>100</v>
      </c>
    </row>
    <row r="63" spans="1:10" ht="21" customHeight="1" x14ac:dyDescent="0.15">
      <c r="A63" s="47">
        <v>49010062</v>
      </c>
      <c r="B63" s="47">
        <v>0</v>
      </c>
      <c r="C63" s="47">
        <v>7</v>
      </c>
      <c r="D63" s="47">
        <v>100</v>
      </c>
      <c r="E63" s="47" t="s">
        <v>89</v>
      </c>
      <c r="F63" s="47" t="s">
        <v>89</v>
      </c>
      <c r="G63" s="47">
        <v>0</v>
      </c>
      <c r="H63" s="47" t="s">
        <v>89</v>
      </c>
      <c r="I63" s="47">
        <v>0</v>
      </c>
      <c r="J63" s="48">
        <f t="shared" ref="J63" si="9">D63</f>
        <v>100</v>
      </c>
    </row>
    <row r="64" spans="1:10" ht="21" customHeight="1" x14ac:dyDescent="0.15">
      <c r="A64" s="47">
        <v>49010063</v>
      </c>
      <c r="B64" s="110">
        <v>0</v>
      </c>
      <c r="C64" s="47">
        <v>8</v>
      </c>
      <c r="D64" s="110">
        <v>100</v>
      </c>
      <c r="E64" s="110" t="s">
        <v>89</v>
      </c>
      <c r="F64" s="110" t="s">
        <v>89</v>
      </c>
      <c r="G64" s="110">
        <v>0</v>
      </c>
      <c r="H64" s="110" t="s">
        <v>89</v>
      </c>
      <c r="I64" s="110">
        <v>557</v>
      </c>
      <c r="J64" s="48">
        <f t="shared" ref="J64:J117" si="10">D64</f>
        <v>100</v>
      </c>
    </row>
    <row r="65" spans="1:10" ht="21" customHeight="1" x14ac:dyDescent="0.15">
      <c r="A65" s="47">
        <v>49010064</v>
      </c>
      <c r="B65" s="110">
        <v>0</v>
      </c>
      <c r="C65" s="47">
        <v>9</v>
      </c>
      <c r="D65" s="110">
        <v>100</v>
      </c>
      <c r="E65" s="110" t="s">
        <v>89</v>
      </c>
      <c r="F65" s="110" t="s">
        <v>89</v>
      </c>
      <c r="G65" s="110">
        <v>0</v>
      </c>
      <c r="H65" s="110" t="s">
        <v>89</v>
      </c>
      <c r="I65" s="110">
        <v>558</v>
      </c>
      <c r="J65" s="48">
        <f t="shared" si="10"/>
        <v>100</v>
      </c>
    </row>
    <row r="66" spans="1:10" ht="21" customHeight="1" x14ac:dyDescent="0.15">
      <c r="A66" s="47">
        <v>49010065</v>
      </c>
      <c r="B66" s="110">
        <v>0</v>
      </c>
      <c r="C66" s="47">
        <v>10</v>
      </c>
      <c r="D66" s="110">
        <v>100</v>
      </c>
      <c r="E66" s="110" t="s">
        <v>89</v>
      </c>
      <c r="F66" s="110" t="s">
        <v>89</v>
      </c>
      <c r="G66" s="110">
        <v>0</v>
      </c>
      <c r="H66" s="110" t="s">
        <v>89</v>
      </c>
      <c r="I66" s="110">
        <v>559</v>
      </c>
      <c r="J66" s="48">
        <f t="shared" si="10"/>
        <v>100</v>
      </c>
    </row>
    <row r="67" spans="1:10" ht="21" customHeight="1" x14ac:dyDescent="0.15">
      <c r="A67" s="47">
        <v>49010066</v>
      </c>
      <c r="B67" s="110">
        <v>0</v>
      </c>
      <c r="C67" s="47">
        <v>11</v>
      </c>
      <c r="D67" s="110">
        <v>100</v>
      </c>
      <c r="E67" s="110" t="s">
        <v>89</v>
      </c>
      <c r="F67" s="110" t="s">
        <v>89</v>
      </c>
      <c r="G67" s="110">
        <v>0</v>
      </c>
      <c r="H67" s="110" t="s">
        <v>89</v>
      </c>
      <c r="I67" s="110">
        <v>1295</v>
      </c>
      <c r="J67" s="48">
        <f t="shared" si="10"/>
        <v>100</v>
      </c>
    </row>
    <row r="68" spans="1:10" ht="21" customHeight="1" x14ac:dyDescent="0.15">
      <c r="A68" s="47">
        <v>49010067</v>
      </c>
      <c r="B68" s="110">
        <v>0</v>
      </c>
      <c r="C68" s="47">
        <v>12</v>
      </c>
      <c r="D68" s="110">
        <v>100</v>
      </c>
      <c r="E68" s="110" t="s">
        <v>89</v>
      </c>
      <c r="F68" s="110" t="s">
        <v>89</v>
      </c>
      <c r="G68" s="110">
        <v>0</v>
      </c>
      <c r="H68" s="110" t="s">
        <v>89</v>
      </c>
      <c r="I68" s="110">
        <v>1296</v>
      </c>
      <c r="J68" s="48">
        <f t="shared" si="10"/>
        <v>100</v>
      </c>
    </row>
    <row r="69" spans="1:10" ht="21" customHeight="1" x14ac:dyDescent="0.15">
      <c r="A69" s="47">
        <v>49010068</v>
      </c>
      <c r="B69" s="108">
        <v>0</v>
      </c>
      <c r="C69" s="47">
        <v>13</v>
      </c>
      <c r="D69" s="108">
        <v>100</v>
      </c>
      <c r="E69" s="108" t="s">
        <v>89</v>
      </c>
      <c r="F69" s="108" t="s">
        <v>89</v>
      </c>
      <c r="G69" s="108">
        <v>0</v>
      </c>
      <c r="H69" s="108" t="s">
        <v>89</v>
      </c>
      <c r="I69" s="108">
        <v>525</v>
      </c>
      <c r="J69" s="48">
        <f t="shared" si="10"/>
        <v>100</v>
      </c>
    </row>
    <row r="70" spans="1:10" ht="21" customHeight="1" x14ac:dyDescent="0.15">
      <c r="A70" s="47">
        <v>49010069</v>
      </c>
      <c r="B70" s="108">
        <v>0</v>
      </c>
      <c r="C70" s="47">
        <v>14</v>
      </c>
      <c r="D70" s="108">
        <v>100</v>
      </c>
      <c r="E70" s="108" t="s">
        <v>89</v>
      </c>
      <c r="F70" s="108" t="s">
        <v>89</v>
      </c>
      <c r="G70" s="108">
        <v>0</v>
      </c>
      <c r="H70" s="108" t="s">
        <v>89</v>
      </c>
      <c r="I70" s="108">
        <v>526</v>
      </c>
      <c r="J70" s="48">
        <f t="shared" si="10"/>
        <v>100</v>
      </c>
    </row>
    <row r="71" spans="1:10" ht="21" customHeight="1" x14ac:dyDescent="0.15">
      <c r="A71" s="47">
        <v>49010070</v>
      </c>
      <c r="B71" s="108">
        <v>0</v>
      </c>
      <c r="C71" s="47">
        <v>15</v>
      </c>
      <c r="D71" s="108">
        <v>100</v>
      </c>
      <c r="E71" s="108" t="s">
        <v>89</v>
      </c>
      <c r="F71" s="108" t="s">
        <v>89</v>
      </c>
      <c r="G71" s="108">
        <v>0</v>
      </c>
      <c r="H71" s="108" t="s">
        <v>89</v>
      </c>
      <c r="I71" s="108">
        <v>553</v>
      </c>
      <c r="J71" s="48">
        <f t="shared" si="10"/>
        <v>100</v>
      </c>
    </row>
    <row r="72" spans="1:10" ht="21" customHeight="1" x14ac:dyDescent="0.15">
      <c r="A72" s="47">
        <v>49010071</v>
      </c>
      <c r="B72" s="108">
        <v>0</v>
      </c>
      <c r="C72" s="47">
        <v>16</v>
      </c>
      <c r="D72" s="108">
        <v>100</v>
      </c>
      <c r="E72" s="108" t="s">
        <v>89</v>
      </c>
      <c r="F72" s="108" t="s">
        <v>89</v>
      </c>
      <c r="G72" s="108">
        <v>0</v>
      </c>
      <c r="H72" s="108" t="s">
        <v>89</v>
      </c>
      <c r="I72" s="108">
        <v>554</v>
      </c>
      <c r="J72" s="48">
        <f t="shared" si="10"/>
        <v>100</v>
      </c>
    </row>
    <row r="73" spans="1:10" ht="21" customHeight="1" x14ac:dyDescent="0.15">
      <c r="A73" s="47">
        <v>49010072</v>
      </c>
      <c r="B73" s="108">
        <v>0</v>
      </c>
      <c r="C73" s="47">
        <v>17</v>
      </c>
      <c r="D73" s="108">
        <v>100</v>
      </c>
      <c r="E73" s="108" t="s">
        <v>89</v>
      </c>
      <c r="F73" s="108" t="s">
        <v>89</v>
      </c>
      <c r="G73" s="108">
        <v>0</v>
      </c>
      <c r="H73" s="108" t="s">
        <v>89</v>
      </c>
      <c r="I73" s="108">
        <v>555</v>
      </c>
      <c r="J73" s="48">
        <f t="shared" si="10"/>
        <v>100</v>
      </c>
    </row>
    <row r="74" spans="1:10" ht="21" customHeight="1" x14ac:dyDescent="0.15">
      <c r="A74" s="47">
        <v>49010073</v>
      </c>
      <c r="B74" s="108">
        <v>0</v>
      </c>
      <c r="C74" s="47">
        <v>18</v>
      </c>
      <c r="D74" s="108">
        <v>100</v>
      </c>
      <c r="E74" s="108" t="s">
        <v>89</v>
      </c>
      <c r="F74" s="108" t="s">
        <v>89</v>
      </c>
      <c r="G74" s="108">
        <v>0</v>
      </c>
      <c r="H74" s="108" t="s">
        <v>89</v>
      </c>
      <c r="I74" s="108">
        <v>556</v>
      </c>
      <c r="J74" s="48">
        <f t="shared" si="10"/>
        <v>100</v>
      </c>
    </row>
    <row r="75" spans="1:10" ht="21" customHeight="1" x14ac:dyDescent="0.15">
      <c r="A75" s="47">
        <v>49010074</v>
      </c>
      <c r="B75" s="108">
        <v>0</v>
      </c>
      <c r="C75" s="47">
        <v>19</v>
      </c>
      <c r="D75" s="108">
        <v>100</v>
      </c>
      <c r="E75" s="108" t="s">
        <v>89</v>
      </c>
      <c r="F75" s="108" t="s">
        <v>89</v>
      </c>
      <c r="G75" s="108">
        <v>0</v>
      </c>
      <c r="H75" s="108" t="s">
        <v>89</v>
      </c>
      <c r="I75" s="108">
        <v>527</v>
      </c>
      <c r="J75" s="48">
        <f t="shared" si="10"/>
        <v>100</v>
      </c>
    </row>
    <row r="76" spans="1:10" ht="21" customHeight="1" x14ac:dyDescent="0.15">
      <c r="A76" s="47">
        <v>49010075</v>
      </c>
      <c r="B76" s="108">
        <v>0</v>
      </c>
      <c r="C76" s="47">
        <v>20</v>
      </c>
      <c r="D76" s="108">
        <v>100</v>
      </c>
      <c r="E76" s="108" t="s">
        <v>89</v>
      </c>
      <c r="F76" s="108" t="s">
        <v>89</v>
      </c>
      <c r="G76" s="108">
        <v>0</v>
      </c>
      <c r="H76" s="108" t="s">
        <v>89</v>
      </c>
      <c r="I76" s="108">
        <v>528</v>
      </c>
      <c r="J76" s="48">
        <f t="shared" si="10"/>
        <v>100</v>
      </c>
    </row>
    <row r="77" spans="1:10" ht="21" customHeight="1" x14ac:dyDescent="0.15">
      <c r="A77" s="47">
        <v>49010076</v>
      </c>
      <c r="B77" s="108">
        <v>0</v>
      </c>
      <c r="C77" s="47">
        <v>21</v>
      </c>
      <c r="D77" s="108">
        <v>100</v>
      </c>
      <c r="E77" s="108" t="s">
        <v>89</v>
      </c>
      <c r="F77" s="108" t="s">
        <v>89</v>
      </c>
      <c r="G77" s="108">
        <v>0</v>
      </c>
      <c r="H77" s="108" t="s">
        <v>89</v>
      </c>
      <c r="I77" s="108">
        <v>539</v>
      </c>
      <c r="J77" s="48">
        <f t="shared" si="10"/>
        <v>100</v>
      </c>
    </row>
    <row r="78" spans="1:10" ht="21" customHeight="1" x14ac:dyDescent="0.15">
      <c r="A78" s="47">
        <v>49010077</v>
      </c>
      <c r="B78" s="108">
        <v>0</v>
      </c>
      <c r="C78" s="47">
        <v>22</v>
      </c>
      <c r="D78" s="108">
        <v>100</v>
      </c>
      <c r="E78" s="108" t="s">
        <v>89</v>
      </c>
      <c r="F78" s="108" t="s">
        <v>89</v>
      </c>
      <c r="G78" s="108">
        <v>0</v>
      </c>
      <c r="H78" s="108" t="s">
        <v>89</v>
      </c>
      <c r="I78" s="108">
        <v>540</v>
      </c>
      <c r="J78" s="48">
        <f t="shared" si="10"/>
        <v>100</v>
      </c>
    </row>
    <row r="79" spans="1:10" ht="21" customHeight="1" x14ac:dyDescent="0.15">
      <c r="A79" s="47">
        <v>49010078</v>
      </c>
      <c r="B79" s="108">
        <v>0</v>
      </c>
      <c r="C79" s="47">
        <v>23</v>
      </c>
      <c r="D79" s="108">
        <v>100</v>
      </c>
      <c r="E79" s="108" t="s">
        <v>89</v>
      </c>
      <c r="F79" s="108" t="s">
        <v>89</v>
      </c>
      <c r="G79" s="108">
        <v>0</v>
      </c>
      <c r="H79" s="108" t="s">
        <v>89</v>
      </c>
      <c r="I79" s="108">
        <v>541</v>
      </c>
      <c r="J79" s="48">
        <f t="shared" si="10"/>
        <v>100</v>
      </c>
    </row>
    <row r="80" spans="1:10" ht="21" customHeight="1" x14ac:dyDescent="0.15">
      <c r="A80" s="47">
        <v>49010079</v>
      </c>
      <c r="B80" s="108">
        <v>0</v>
      </c>
      <c r="C80" s="47">
        <v>24</v>
      </c>
      <c r="D80" s="108">
        <v>100</v>
      </c>
      <c r="E80" s="108" t="s">
        <v>89</v>
      </c>
      <c r="F80" s="108" t="s">
        <v>89</v>
      </c>
      <c r="G80" s="108">
        <v>0</v>
      </c>
      <c r="H80" s="108" t="s">
        <v>89</v>
      </c>
      <c r="I80" s="108">
        <v>542</v>
      </c>
      <c r="J80" s="48">
        <f t="shared" si="10"/>
        <v>100</v>
      </c>
    </row>
    <row r="81" spans="1:10" ht="21" customHeight="1" x14ac:dyDescent="0.15">
      <c r="A81" s="47">
        <v>49010080</v>
      </c>
      <c r="B81" s="108">
        <v>0</v>
      </c>
      <c r="C81" s="47">
        <v>25</v>
      </c>
      <c r="D81" s="108">
        <v>100</v>
      </c>
      <c r="E81" s="108" t="s">
        <v>89</v>
      </c>
      <c r="F81" s="108" t="s">
        <v>89</v>
      </c>
      <c r="G81" s="108">
        <v>0</v>
      </c>
      <c r="H81" s="108" t="s">
        <v>89</v>
      </c>
      <c r="I81" s="108">
        <v>1297</v>
      </c>
      <c r="J81" s="48">
        <f t="shared" si="10"/>
        <v>100</v>
      </c>
    </row>
    <row r="82" spans="1:10" ht="21" customHeight="1" x14ac:dyDescent="0.15">
      <c r="A82" s="47">
        <v>49010081</v>
      </c>
      <c r="B82" s="108">
        <v>0</v>
      </c>
      <c r="C82" s="47">
        <v>26</v>
      </c>
      <c r="D82" s="108">
        <v>100</v>
      </c>
      <c r="E82" s="108" t="s">
        <v>89</v>
      </c>
      <c r="F82" s="108" t="s">
        <v>89</v>
      </c>
      <c r="G82" s="108">
        <v>0</v>
      </c>
      <c r="H82" s="108" t="s">
        <v>89</v>
      </c>
      <c r="I82" s="108">
        <v>1298</v>
      </c>
      <c r="J82" s="48">
        <f t="shared" si="10"/>
        <v>100</v>
      </c>
    </row>
    <row r="83" spans="1:10" ht="21" customHeight="1" x14ac:dyDescent="0.15">
      <c r="A83" s="47">
        <v>49010082</v>
      </c>
      <c r="B83" s="108">
        <v>0</v>
      </c>
      <c r="C83" s="47">
        <v>27</v>
      </c>
      <c r="D83" s="108">
        <v>100</v>
      </c>
      <c r="E83" s="108" t="s">
        <v>89</v>
      </c>
      <c r="F83" s="108" t="s">
        <v>89</v>
      </c>
      <c r="G83" s="108">
        <v>0</v>
      </c>
      <c r="H83" s="108" t="s">
        <v>89</v>
      </c>
      <c r="I83" s="108">
        <v>1299</v>
      </c>
      <c r="J83" s="48">
        <f t="shared" si="10"/>
        <v>100</v>
      </c>
    </row>
    <row r="84" spans="1:10" ht="21" customHeight="1" x14ac:dyDescent="0.15">
      <c r="A84" s="47">
        <v>49010083</v>
      </c>
      <c r="B84" s="108">
        <v>0</v>
      </c>
      <c r="C84" s="47">
        <v>28</v>
      </c>
      <c r="D84" s="108">
        <v>100</v>
      </c>
      <c r="E84" s="108" t="s">
        <v>89</v>
      </c>
      <c r="F84" s="108" t="s">
        <v>89</v>
      </c>
      <c r="G84" s="108">
        <v>0</v>
      </c>
      <c r="H84" s="108" t="s">
        <v>89</v>
      </c>
      <c r="I84" s="108">
        <v>1308</v>
      </c>
      <c r="J84" s="48">
        <f t="shared" si="10"/>
        <v>100</v>
      </c>
    </row>
    <row r="85" spans="1:10" ht="21" customHeight="1" x14ac:dyDescent="0.15">
      <c r="A85" s="47">
        <v>49010084</v>
      </c>
      <c r="B85" s="108">
        <v>0</v>
      </c>
      <c r="C85" s="47">
        <v>29</v>
      </c>
      <c r="D85" s="108">
        <v>100</v>
      </c>
      <c r="E85" s="108" t="s">
        <v>89</v>
      </c>
      <c r="F85" s="108" t="s">
        <v>89</v>
      </c>
      <c r="G85" s="108">
        <v>0</v>
      </c>
      <c r="H85" s="108" t="s">
        <v>89</v>
      </c>
      <c r="I85" s="108">
        <v>1309</v>
      </c>
      <c r="J85" s="48">
        <f t="shared" si="10"/>
        <v>100</v>
      </c>
    </row>
    <row r="86" spans="1:10" ht="21" customHeight="1" x14ac:dyDescent="0.15">
      <c r="A86" s="47">
        <v>49010085</v>
      </c>
      <c r="B86" s="108">
        <v>0</v>
      </c>
      <c r="C86" s="47">
        <v>30</v>
      </c>
      <c r="D86" s="108">
        <v>100</v>
      </c>
      <c r="E86" s="108" t="s">
        <v>89</v>
      </c>
      <c r="F86" s="108" t="s">
        <v>89</v>
      </c>
      <c r="G86" s="108">
        <v>0</v>
      </c>
      <c r="H86" s="108" t="s">
        <v>89</v>
      </c>
      <c r="I86" s="108">
        <v>1310</v>
      </c>
      <c r="J86" s="48">
        <f t="shared" si="10"/>
        <v>100</v>
      </c>
    </row>
    <row r="87" spans="1:10" ht="21" customHeight="1" x14ac:dyDescent="0.15">
      <c r="A87" s="47">
        <v>49010086</v>
      </c>
      <c r="B87" s="111">
        <v>0</v>
      </c>
      <c r="C87" s="47">
        <v>31</v>
      </c>
      <c r="D87" s="111">
        <v>100</v>
      </c>
      <c r="E87" s="111" t="s">
        <v>89</v>
      </c>
      <c r="F87" s="111" t="s">
        <v>89</v>
      </c>
      <c r="G87" s="111">
        <v>0</v>
      </c>
      <c r="H87" s="111" t="s">
        <v>89</v>
      </c>
      <c r="I87" s="111">
        <v>1316</v>
      </c>
      <c r="J87" s="48">
        <f t="shared" si="10"/>
        <v>100</v>
      </c>
    </row>
    <row r="88" spans="1:10" ht="21" customHeight="1" x14ac:dyDescent="0.15">
      <c r="A88" s="47">
        <v>49010087</v>
      </c>
      <c r="B88" s="111">
        <v>0</v>
      </c>
      <c r="C88" s="47">
        <v>32</v>
      </c>
      <c r="D88" s="111">
        <v>100</v>
      </c>
      <c r="E88" s="111" t="s">
        <v>89</v>
      </c>
      <c r="F88" s="111" t="s">
        <v>89</v>
      </c>
      <c r="G88" s="111">
        <v>0</v>
      </c>
      <c r="H88" s="111" t="s">
        <v>89</v>
      </c>
      <c r="I88" s="111">
        <v>1317</v>
      </c>
      <c r="J88" s="48">
        <f t="shared" si="10"/>
        <v>100</v>
      </c>
    </row>
    <row r="89" spans="1:10" ht="21" customHeight="1" x14ac:dyDescent="0.15">
      <c r="A89" s="47">
        <v>49010088</v>
      </c>
      <c r="B89" s="112">
        <v>0</v>
      </c>
      <c r="C89" s="47">
        <v>33</v>
      </c>
      <c r="D89" s="112">
        <v>100</v>
      </c>
      <c r="E89" s="112" t="s">
        <v>89</v>
      </c>
      <c r="F89" s="112" t="s">
        <v>89</v>
      </c>
      <c r="G89" s="112">
        <v>0</v>
      </c>
      <c r="H89" s="112" t="s">
        <v>89</v>
      </c>
      <c r="I89" s="112">
        <v>543</v>
      </c>
      <c r="J89" s="48">
        <f t="shared" si="10"/>
        <v>100</v>
      </c>
    </row>
    <row r="90" spans="1:10" ht="21" customHeight="1" x14ac:dyDescent="0.15">
      <c r="A90" s="47">
        <v>49010089</v>
      </c>
      <c r="B90" s="112">
        <v>0</v>
      </c>
      <c r="C90" s="47">
        <v>34</v>
      </c>
      <c r="D90" s="112">
        <v>100</v>
      </c>
      <c r="E90" s="112" t="s">
        <v>89</v>
      </c>
      <c r="F90" s="112" t="s">
        <v>89</v>
      </c>
      <c r="G90" s="112">
        <v>0</v>
      </c>
      <c r="H90" s="112" t="s">
        <v>89</v>
      </c>
      <c r="I90" s="112">
        <v>544</v>
      </c>
      <c r="J90" s="48">
        <f t="shared" si="10"/>
        <v>100</v>
      </c>
    </row>
    <row r="91" spans="1:10" ht="21" customHeight="1" x14ac:dyDescent="0.15">
      <c r="A91" s="47">
        <v>49010090</v>
      </c>
      <c r="B91" s="112">
        <v>0</v>
      </c>
      <c r="C91" s="47">
        <v>35</v>
      </c>
      <c r="D91" s="112">
        <v>100</v>
      </c>
      <c r="E91" s="112" t="s">
        <v>89</v>
      </c>
      <c r="F91" s="112" t="s">
        <v>89</v>
      </c>
      <c r="G91" s="112">
        <v>0</v>
      </c>
      <c r="H91" s="112" t="s">
        <v>89</v>
      </c>
      <c r="I91" s="112">
        <v>1311</v>
      </c>
      <c r="J91" s="48">
        <f t="shared" si="10"/>
        <v>100</v>
      </c>
    </row>
    <row r="92" spans="1:10" ht="21" customHeight="1" x14ac:dyDescent="0.15">
      <c r="A92" s="47">
        <v>49010091</v>
      </c>
      <c r="B92" s="107">
        <v>0</v>
      </c>
      <c r="C92" s="47">
        <v>36</v>
      </c>
      <c r="D92" s="107">
        <v>100</v>
      </c>
      <c r="E92" s="107" t="s">
        <v>89</v>
      </c>
      <c r="F92" s="107" t="s">
        <v>89</v>
      </c>
      <c r="G92" s="107">
        <v>0</v>
      </c>
      <c r="H92" s="107" t="s">
        <v>89</v>
      </c>
      <c r="I92" s="107">
        <v>1318</v>
      </c>
      <c r="J92" s="48">
        <f t="shared" si="10"/>
        <v>100</v>
      </c>
    </row>
    <row r="93" spans="1:10" ht="21" customHeight="1" x14ac:dyDescent="0.15">
      <c r="A93" s="47">
        <v>49010092</v>
      </c>
      <c r="B93" s="107">
        <v>0</v>
      </c>
      <c r="C93" s="47">
        <v>37</v>
      </c>
      <c r="D93" s="107">
        <v>100</v>
      </c>
      <c r="E93" s="107" t="s">
        <v>89</v>
      </c>
      <c r="F93" s="107" t="s">
        <v>89</v>
      </c>
      <c r="G93" s="107">
        <v>0</v>
      </c>
      <c r="H93" s="107" t="s">
        <v>89</v>
      </c>
      <c r="I93" s="107">
        <v>1319</v>
      </c>
      <c r="J93" s="48">
        <f t="shared" si="10"/>
        <v>100</v>
      </c>
    </row>
    <row r="94" spans="1:10" ht="21" customHeight="1" x14ac:dyDescent="0.15">
      <c r="A94" s="47">
        <v>49010093</v>
      </c>
      <c r="B94" s="113">
        <v>0</v>
      </c>
      <c r="C94" s="47">
        <v>38</v>
      </c>
      <c r="D94" s="113">
        <v>100</v>
      </c>
      <c r="E94" s="113" t="s">
        <v>89</v>
      </c>
      <c r="F94" s="113" t="s">
        <v>89</v>
      </c>
      <c r="G94" s="113">
        <v>0</v>
      </c>
      <c r="H94" s="113" t="s">
        <v>89</v>
      </c>
      <c r="I94" s="113">
        <v>545</v>
      </c>
      <c r="J94" s="48">
        <f t="shared" si="10"/>
        <v>100</v>
      </c>
    </row>
    <row r="95" spans="1:10" ht="21" customHeight="1" x14ac:dyDescent="0.15">
      <c r="A95" s="47">
        <v>49010094</v>
      </c>
      <c r="B95" s="113">
        <v>0</v>
      </c>
      <c r="C95" s="47">
        <v>39</v>
      </c>
      <c r="D95" s="113">
        <v>100</v>
      </c>
      <c r="E95" s="113" t="s">
        <v>89</v>
      </c>
      <c r="F95" s="113" t="s">
        <v>89</v>
      </c>
      <c r="G95" s="113">
        <v>0</v>
      </c>
      <c r="H95" s="113" t="s">
        <v>89</v>
      </c>
      <c r="I95" s="113">
        <v>546</v>
      </c>
      <c r="J95" s="48">
        <f t="shared" si="10"/>
        <v>100</v>
      </c>
    </row>
    <row r="96" spans="1:10" ht="21" customHeight="1" x14ac:dyDescent="0.15">
      <c r="A96" s="47">
        <v>49010095</v>
      </c>
      <c r="B96" s="113">
        <v>0</v>
      </c>
      <c r="C96" s="47">
        <v>40</v>
      </c>
      <c r="D96" s="113">
        <v>100</v>
      </c>
      <c r="E96" s="113" t="s">
        <v>89</v>
      </c>
      <c r="F96" s="113" t="s">
        <v>89</v>
      </c>
      <c r="G96" s="113">
        <v>0</v>
      </c>
      <c r="H96" s="113" t="s">
        <v>89</v>
      </c>
      <c r="I96" s="113">
        <v>1312</v>
      </c>
      <c r="J96" s="48">
        <f t="shared" si="10"/>
        <v>100</v>
      </c>
    </row>
    <row r="97" spans="1:10" ht="21" customHeight="1" x14ac:dyDescent="0.15">
      <c r="A97" s="47">
        <v>49010096</v>
      </c>
      <c r="B97" s="115">
        <v>0</v>
      </c>
      <c r="C97" s="47">
        <v>41</v>
      </c>
      <c r="D97" s="115">
        <v>100</v>
      </c>
      <c r="E97" s="115" t="s">
        <v>89</v>
      </c>
      <c r="F97" s="115" t="s">
        <v>89</v>
      </c>
      <c r="G97" s="115">
        <v>0</v>
      </c>
      <c r="H97" s="115" t="s">
        <v>89</v>
      </c>
      <c r="I97" s="115">
        <v>1320</v>
      </c>
      <c r="J97" s="48">
        <f t="shared" si="10"/>
        <v>100</v>
      </c>
    </row>
    <row r="98" spans="1:10" ht="21" customHeight="1" x14ac:dyDescent="0.15">
      <c r="A98" s="47">
        <v>49010097</v>
      </c>
      <c r="B98" s="115">
        <v>0</v>
      </c>
      <c r="C98" s="47">
        <v>42</v>
      </c>
      <c r="D98" s="115">
        <v>100</v>
      </c>
      <c r="E98" s="115" t="s">
        <v>89</v>
      </c>
      <c r="F98" s="115" t="s">
        <v>89</v>
      </c>
      <c r="G98" s="115">
        <v>0</v>
      </c>
      <c r="H98" s="115" t="s">
        <v>89</v>
      </c>
      <c r="I98" s="115">
        <v>1321</v>
      </c>
      <c r="J98" s="48">
        <f t="shared" si="10"/>
        <v>100</v>
      </c>
    </row>
    <row r="99" spans="1:10" ht="21" customHeight="1" x14ac:dyDescent="0.15">
      <c r="A99" s="47">
        <v>49010098</v>
      </c>
      <c r="B99" s="109">
        <v>0</v>
      </c>
      <c r="C99" s="47">
        <v>43</v>
      </c>
      <c r="D99" s="109">
        <v>100</v>
      </c>
      <c r="E99" s="109" t="s">
        <v>89</v>
      </c>
      <c r="F99" s="109" t="s">
        <v>89</v>
      </c>
      <c r="G99" s="109">
        <v>0</v>
      </c>
      <c r="H99" s="109" t="s">
        <v>89</v>
      </c>
      <c r="I99" s="109">
        <v>547</v>
      </c>
      <c r="J99" s="48">
        <f t="shared" si="10"/>
        <v>100</v>
      </c>
    </row>
    <row r="100" spans="1:10" ht="21" customHeight="1" x14ac:dyDescent="0.15">
      <c r="A100" s="47">
        <v>49010099</v>
      </c>
      <c r="B100" s="109">
        <v>0</v>
      </c>
      <c r="C100" s="47">
        <v>44</v>
      </c>
      <c r="D100" s="109">
        <v>100</v>
      </c>
      <c r="E100" s="109" t="s">
        <v>89</v>
      </c>
      <c r="F100" s="109" t="s">
        <v>89</v>
      </c>
      <c r="G100" s="109">
        <v>0</v>
      </c>
      <c r="H100" s="109" t="s">
        <v>89</v>
      </c>
      <c r="I100" s="109">
        <v>548</v>
      </c>
      <c r="J100" s="48">
        <f t="shared" si="10"/>
        <v>100</v>
      </c>
    </row>
    <row r="101" spans="1:10" ht="21" customHeight="1" x14ac:dyDescent="0.15">
      <c r="A101" s="47">
        <v>49010100</v>
      </c>
      <c r="B101" s="109">
        <v>0</v>
      </c>
      <c r="C101" s="47">
        <v>45</v>
      </c>
      <c r="D101" s="109">
        <v>100</v>
      </c>
      <c r="E101" s="109" t="s">
        <v>89</v>
      </c>
      <c r="F101" s="109" t="s">
        <v>89</v>
      </c>
      <c r="G101" s="109">
        <v>0</v>
      </c>
      <c r="H101" s="109" t="s">
        <v>89</v>
      </c>
      <c r="I101" s="109">
        <v>1313</v>
      </c>
      <c r="J101" s="48">
        <f t="shared" si="10"/>
        <v>100</v>
      </c>
    </row>
    <row r="102" spans="1:10" ht="21" customHeight="1" x14ac:dyDescent="0.15">
      <c r="A102" s="47">
        <v>49010101</v>
      </c>
      <c r="B102" s="116">
        <v>0</v>
      </c>
      <c r="C102" s="47">
        <v>46</v>
      </c>
      <c r="D102" s="116">
        <v>100</v>
      </c>
      <c r="E102" s="116" t="s">
        <v>89</v>
      </c>
      <c r="F102" s="116" t="s">
        <v>89</v>
      </c>
      <c r="G102" s="116">
        <v>0</v>
      </c>
      <c r="H102" s="116" t="s">
        <v>89</v>
      </c>
      <c r="I102" s="116">
        <v>1322</v>
      </c>
      <c r="J102" s="48">
        <f t="shared" si="10"/>
        <v>100</v>
      </c>
    </row>
    <row r="103" spans="1:10" ht="21" customHeight="1" x14ac:dyDescent="0.15">
      <c r="A103" s="47">
        <v>49010102</v>
      </c>
      <c r="B103" s="116">
        <v>0</v>
      </c>
      <c r="C103" s="47">
        <v>47</v>
      </c>
      <c r="D103" s="116">
        <v>100</v>
      </c>
      <c r="E103" s="116" t="s">
        <v>89</v>
      </c>
      <c r="F103" s="116" t="s">
        <v>89</v>
      </c>
      <c r="G103" s="116">
        <v>0</v>
      </c>
      <c r="H103" s="116" t="s">
        <v>89</v>
      </c>
      <c r="I103" s="116">
        <v>1323</v>
      </c>
      <c r="J103" s="48">
        <f t="shared" si="10"/>
        <v>100</v>
      </c>
    </row>
    <row r="104" spans="1:10" ht="21" customHeight="1" x14ac:dyDescent="0.15">
      <c r="A104" s="47">
        <v>49010103</v>
      </c>
      <c r="B104" s="117">
        <v>0</v>
      </c>
      <c r="C104" s="47">
        <v>48</v>
      </c>
      <c r="D104" s="117">
        <v>100</v>
      </c>
      <c r="E104" s="117" t="s">
        <v>89</v>
      </c>
      <c r="F104" s="117" t="s">
        <v>89</v>
      </c>
      <c r="G104" s="117">
        <v>0</v>
      </c>
      <c r="H104" s="117" t="s">
        <v>89</v>
      </c>
      <c r="I104" s="117">
        <v>549</v>
      </c>
      <c r="J104" s="48">
        <f t="shared" si="10"/>
        <v>100</v>
      </c>
    </row>
    <row r="105" spans="1:10" ht="21" customHeight="1" x14ac:dyDescent="0.15">
      <c r="A105" s="47">
        <v>49010104</v>
      </c>
      <c r="B105" s="117">
        <v>0</v>
      </c>
      <c r="C105" s="47">
        <v>49</v>
      </c>
      <c r="D105" s="117">
        <v>100</v>
      </c>
      <c r="E105" s="117" t="s">
        <v>89</v>
      </c>
      <c r="F105" s="117" t="s">
        <v>89</v>
      </c>
      <c r="G105" s="117">
        <v>0</v>
      </c>
      <c r="H105" s="117" t="s">
        <v>89</v>
      </c>
      <c r="I105" s="117">
        <v>550</v>
      </c>
      <c r="J105" s="48">
        <f t="shared" si="10"/>
        <v>100</v>
      </c>
    </row>
    <row r="106" spans="1:10" ht="21" customHeight="1" x14ac:dyDescent="0.15">
      <c r="A106" s="47">
        <v>49010105</v>
      </c>
      <c r="B106" s="117">
        <v>0</v>
      </c>
      <c r="C106" s="47">
        <v>50</v>
      </c>
      <c r="D106" s="117">
        <v>100</v>
      </c>
      <c r="E106" s="117" t="s">
        <v>89</v>
      </c>
      <c r="F106" s="117" t="s">
        <v>89</v>
      </c>
      <c r="G106" s="117">
        <v>0</v>
      </c>
      <c r="H106" s="117" t="s">
        <v>89</v>
      </c>
      <c r="I106" s="117">
        <v>1314</v>
      </c>
      <c r="J106" s="48">
        <f t="shared" si="10"/>
        <v>100</v>
      </c>
    </row>
    <row r="107" spans="1:10" ht="21" customHeight="1" x14ac:dyDescent="0.15">
      <c r="A107" s="47">
        <v>49010106</v>
      </c>
      <c r="B107" s="118">
        <v>0</v>
      </c>
      <c r="C107" s="47">
        <v>51</v>
      </c>
      <c r="D107" s="118">
        <v>100</v>
      </c>
      <c r="E107" s="118" t="s">
        <v>89</v>
      </c>
      <c r="F107" s="118" t="s">
        <v>89</v>
      </c>
      <c r="G107" s="118">
        <v>0</v>
      </c>
      <c r="H107" s="118" t="s">
        <v>89</v>
      </c>
      <c r="I107" s="118">
        <v>551</v>
      </c>
      <c r="J107" s="48">
        <f t="shared" si="10"/>
        <v>100</v>
      </c>
    </row>
    <row r="108" spans="1:10" ht="21" customHeight="1" x14ac:dyDescent="0.15">
      <c r="A108" s="47">
        <v>49010107</v>
      </c>
      <c r="B108" s="118">
        <v>0</v>
      </c>
      <c r="C108" s="47">
        <v>52</v>
      </c>
      <c r="D108" s="118">
        <v>100</v>
      </c>
      <c r="E108" s="118" t="s">
        <v>89</v>
      </c>
      <c r="F108" s="118" t="s">
        <v>89</v>
      </c>
      <c r="G108" s="118">
        <v>0</v>
      </c>
      <c r="H108" s="118" t="s">
        <v>89</v>
      </c>
      <c r="I108" s="118">
        <v>552</v>
      </c>
      <c r="J108" s="48">
        <f t="shared" si="10"/>
        <v>100</v>
      </c>
    </row>
    <row r="109" spans="1:10" ht="21" customHeight="1" x14ac:dyDescent="0.15">
      <c r="A109" s="47">
        <v>49010108</v>
      </c>
      <c r="B109" s="118">
        <v>0</v>
      </c>
      <c r="C109" s="47">
        <v>53</v>
      </c>
      <c r="D109" s="118">
        <v>100</v>
      </c>
      <c r="E109" s="118" t="s">
        <v>89</v>
      </c>
      <c r="F109" s="118" t="s">
        <v>89</v>
      </c>
      <c r="G109" s="118">
        <v>0</v>
      </c>
      <c r="H109" s="118" t="s">
        <v>89</v>
      </c>
      <c r="I109" s="118">
        <v>1315</v>
      </c>
      <c r="J109" s="48">
        <f t="shared" si="10"/>
        <v>100</v>
      </c>
    </row>
    <row r="110" spans="1:10" ht="21" customHeight="1" x14ac:dyDescent="0.15">
      <c r="A110" s="47">
        <v>49010109</v>
      </c>
      <c r="B110" s="47">
        <v>0</v>
      </c>
      <c r="C110" s="47">
        <v>54</v>
      </c>
      <c r="D110" s="47">
        <v>100</v>
      </c>
      <c r="E110" s="47" t="s">
        <v>89</v>
      </c>
      <c r="F110" s="47" t="s">
        <v>89</v>
      </c>
      <c r="G110" s="47">
        <v>0</v>
      </c>
      <c r="H110" s="47" t="s">
        <v>89</v>
      </c>
      <c r="I110" s="47">
        <v>1300</v>
      </c>
      <c r="J110" s="48">
        <f t="shared" si="10"/>
        <v>100</v>
      </c>
    </row>
    <row r="111" spans="1:10" ht="21" customHeight="1" x14ac:dyDescent="0.15">
      <c r="A111" s="47">
        <v>49010110</v>
      </c>
      <c r="B111" s="47">
        <v>0</v>
      </c>
      <c r="C111" s="47">
        <v>55</v>
      </c>
      <c r="D111" s="47">
        <v>100</v>
      </c>
      <c r="E111" s="47" t="s">
        <v>89</v>
      </c>
      <c r="F111" s="47" t="s">
        <v>89</v>
      </c>
      <c r="G111" s="47">
        <v>0</v>
      </c>
      <c r="H111" s="47" t="s">
        <v>89</v>
      </c>
      <c r="I111" s="47">
        <v>1301</v>
      </c>
      <c r="J111" s="48">
        <f t="shared" si="10"/>
        <v>100</v>
      </c>
    </row>
    <row r="112" spans="1:10" ht="21" customHeight="1" x14ac:dyDescent="0.15">
      <c r="A112" s="47">
        <v>49010111</v>
      </c>
      <c r="B112" s="47">
        <v>0</v>
      </c>
      <c r="C112" s="47">
        <v>56</v>
      </c>
      <c r="D112" s="47">
        <v>100</v>
      </c>
      <c r="E112" s="47" t="s">
        <v>89</v>
      </c>
      <c r="F112" s="47" t="s">
        <v>89</v>
      </c>
      <c r="G112" s="47">
        <v>0</v>
      </c>
      <c r="H112" s="47" t="s">
        <v>89</v>
      </c>
      <c r="I112" s="47">
        <v>1302</v>
      </c>
      <c r="J112" s="48">
        <f t="shared" si="10"/>
        <v>100</v>
      </c>
    </row>
    <row r="113" spans="1:10" ht="21" customHeight="1" x14ac:dyDescent="0.15">
      <c r="A113" s="47">
        <v>49010112</v>
      </c>
      <c r="B113" s="47">
        <v>0</v>
      </c>
      <c r="C113" s="47">
        <v>57</v>
      </c>
      <c r="D113" s="47">
        <v>100</v>
      </c>
      <c r="E113" s="47" t="s">
        <v>89</v>
      </c>
      <c r="F113" s="47" t="s">
        <v>89</v>
      </c>
      <c r="G113" s="47">
        <v>0</v>
      </c>
      <c r="H113" s="47" t="s">
        <v>89</v>
      </c>
      <c r="I113" s="47">
        <v>1303</v>
      </c>
      <c r="J113" s="48">
        <f t="shared" si="10"/>
        <v>100</v>
      </c>
    </row>
    <row r="114" spans="1:10" ht="21" customHeight="1" x14ac:dyDescent="0.15">
      <c r="A114" s="47">
        <v>49010113</v>
      </c>
      <c r="B114" s="47">
        <v>0</v>
      </c>
      <c r="C114" s="47">
        <v>58</v>
      </c>
      <c r="D114" s="47">
        <v>100</v>
      </c>
      <c r="E114" s="47" t="s">
        <v>89</v>
      </c>
      <c r="F114" s="47" t="s">
        <v>89</v>
      </c>
      <c r="G114" s="47">
        <v>0</v>
      </c>
      <c r="H114" s="47" t="s">
        <v>89</v>
      </c>
      <c r="I114" s="47">
        <v>1304</v>
      </c>
      <c r="J114" s="48">
        <f t="shared" si="10"/>
        <v>100</v>
      </c>
    </row>
    <row r="115" spans="1:10" ht="21" customHeight="1" x14ac:dyDescent="0.15">
      <c r="A115" s="47">
        <v>49010114</v>
      </c>
      <c r="B115" s="47">
        <v>0</v>
      </c>
      <c r="C115" s="47">
        <v>59</v>
      </c>
      <c r="D115" s="47">
        <v>100</v>
      </c>
      <c r="E115" s="47" t="s">
        <v>89</v>
      </c>
      <c r="F115" s="47" t="s">
        <v>89</v>
      </c>
      <c r="G115" s="47">
        <v>0</v>
      </c>
      <c r="H115" s="47" t="s">
        <v>89</v>
      </c>
      <c r="I115" s="47">
        <v>1305</v>
      </c>
      <c r="J115" s="48">
        <f t="shared" si="10"/>
        <v>100</v>
      </c>
    </row>
    <row r="116" spans="1:10" ht="21" customHeight="1" x14ac:dyDescent="0.15">
      <c r="A116" s="47">
        <v>49010115</v>
      </c>
      <c r="B116" s="47">
        <v>0</v>
      </c>
      <c r="C116" s="47">
        <v>60</v>
      </c>
      <c r="D116" s="47">
        <v>100</v>
      </c>
      <c r="E116" s="47" t="s">
        <v>89</v>
      </c>
      <c r="F116" s="47" t="s">
        <v>89</v>
      </c>
      <c r="G116" s="47">
        <v>0</v>
      </c>
      <c r="H116" s="47" t="s">
        <v>89</v>
      </c>
      <c r="I116" s="47">
        <v>1306</v>
      </c>
      <c r="J116" s="48">
        <f t="shared" si="10"/>
        <v>100</v>
      </c>
    </row>
    <row r="117" spans="1:10" ht="21" customHeight="1" x14ac:dyDescent="0.15">
      <c r="A117" s="47">
        <v>49010116</v>
      </c>
      <c r="B117" s="47">
        <v>0</v>
      </c>
      <c r="C117" s="47">
        <v>61</v>
      </c>
      <c r="D117" s="47">
        <v>100</v>
      </c>
      <c r="E117" s="47" t="s">
        <v>89</v>
      </c>
      <c r="F117" s="47" t="s">
        <v>89</v>
      </c>
      <c r="G117" s="47">
        <v>0</v>
      </c>
      <c r="H117" s="47" t="s">
        <v>89</v>
      </c>
      <c r="I117" s="47">
        <v>1307</v>
      </c>
      <c r="J117" s="48">
        <f t="shared" si="10"/>
        <v>100</v>
      </c>
    </row>
  </sheetData>
  <autoFilter ref="A1:G1"/>
  <phoneticPr fontId="5"/>
  <conditionalFormatting sqref="K118:K1048576 K1:K2">
    <cfRule type="duplicateValues" dxfId="115" priority="151"/>
  </conditionalFormatting>
  <conditionalFormatting sqref="K3">
    <cfRule type="duplicateValues" dxfId="114" priority="150"/>
  </conditionalFormatting>
  <conditionalFormatting sqref="K4">
    <cfRule type="duplicateValues" dxfId="113" priority="148"/>
  </conditionalFormatting>
  <conditionalFormatting sqref="K5">
    <cfRule type="duplicateValues" dxfId="112" priority="147"/>
  </conditionalFormatting>
  <conditionalFormatting sqref="K6">
    <cfRule type="duplicateValues" dxfId="111" priority="145"/>
  </conditionalFormatting>
  <conditionalFormatting sqref="K7">
    <cfRule type="duplicateValues" dxfId="110" priority="144"/>
  </conditionalFormatting>
  <conditionalFormatting sqref="K8">
    <cfRule type="duplicateValues" dxfId="109" priority="143"/>
  </conditionalFormatting>
  <conditionalFormatting sqref="K9">
    <cfRule type="duplicateValues" dxfId="108" priority="142"/>
  </conditionalFormatting>
  <conditionalFormatting sqref="K10">
    <cfRule type="duplicateValues" dxfId="107" priority="141"/>
  </conditionalFormatting>
  <conditionalFormatting sqref="K11">
    <cfRule type="duplicateValues" dxfId="106" priority="140"/>
  </conditionalFormatting>
  <conditionalFormatting sqref="K12">
    <cfRule type="duplicateValues" dxfId="105" priority="139"/>
  </conditionalFormatting>
  <conditionalFormatting sqref="K13">
    <cfRule type="duplicateValues" dxfId="104" priority="138"/>
  </conditionalFormatting>
  <conditionalFormatting sqref="K14">
    <cfRule type="duplicateValues" dxfId="103" priority="137"/>
  </conditionalFormatting>
  <conditionalFormatting sqref="K15">
    <cfRule type="duplicateValues" dxfId="102" priority="136"/>
  </conditionalFormatting>
  <conditionalFormatting sqref="K16">
    <cfRule type="duplicateValues" dxfId="101" priority="135"/>
  </conditionalFormatting>
  <conditionalFormatting sqref="K17">
    <cfRule type="duplicateValues" dxfId="100" priority="134"/>
  </conditionalFormatting>
  <conditionalFormatting sqref="K18">
    <cfRule type="duplicateValues" dxfId="99" priority="133"/>
  </conditionalFormatting>
  <conditionalFormatting sqref="K19">
    <cfRule type="duplicateValues" dxfId="98" priority="132"/>
  </conditionalFormatting>
  <conditionalFormatting sqref="K43">
    <cfRule type="duplicateValues" dxfId="97" priority="131"/>
  </conditionalFormatting>
  <conditionalFormatting sqref="K44">
    <cfRule type="duplicateValues" dxfId="96" priority="130"/>
  </conditionalFormatting>
  <conditionalFormatting sqref="K45">
    <cfRule type="duplicateValues" dxfId="95" priority="129"/>
  </conditionalFormatting>
  <conditionalFormatting sqref="K46">
    <cfRule type="duplicateValues" dxfId="94" priority="128"/>
  </conditionalFormatting>
  <conditionalFormatting sqref="K47">
    <cfRule type="duplicateValues" dxfId="93" priority="127"/>
  </conditionalFormatting>
  <conditionalFormatting sqref="K48">
    <cfRule type="duplicateValues" dxfId="92" priority="126"/>
  </conditionalFormatting>
  <conditionalFormatting sqref="K49">
    <cfRule type="duplicateValues" dxfId="91" priority="125"/>
  </conditionalFormatting>
  <conditionalFormatting sqref="K50">
    <cfRule type="duplicateValues" dxfId="90" priority="124"/>
  </conditionalFormatting>
  <conditionalFormatting sqref="K51">
    <cfRule type="duplicateValues" dxfId="89" priority="123"/>
  </conditionalFormatting>
  <conditionalFormatting sqref="K52">
    <cfRule type="duplicateValues" dxfId="88" priority="122"/>
  </conditionalFormatting>
  <conditionalFormatting sqref="K53">
    <cfRule type="duplicateValues" dxfId="87" priority="121"/>
  </conditionalFormatting>
  <conditionalFormatting sqref="K54">
    <cfRule type="duplicateValues" dxfId="86" priority="120"/>
  </conditionalFormatting>
  <conditionalFormatting sqref="K55">
    <cfRule type="duplicateValues" dxfId="85" priority="119"/>
  </conditionalFormatting>
  <conditionalFormatting sqref="K56">
    <cfRule type="duplicateValues" dxfId="84" priority="118"/>
  </conditionalFormatting>
  <conditionalFormatting sqref="K57">
    <cfRule type="duplicateValues" dxfId="83" priority="117"/>
  </conditionalFormatting>
  <conditionalFormatting sqref="K58">
    <cfRule type="duplicateValues" dxfId="82" priority="116"/>
  </conditionalFormatting>
  <conditionalFormatting sqref="K59">
    <cfRule type="duplicateValues" dxfId="81" priority="115"/>
  </conditionalFormatting>
  <conditionalFormatting sqref="K60">
    <cfRule type="duplicateValues" dxfId="80" priority="114"/>
  </conditionalFormatting>
  <conditionalFormatting sqref="K61">
    <cfRule type="duplicateValues" dxfId="79" priority="113"/>
  </conditionalFormatting>
  <conditionalFormatting sqref="K62">
    <cfRule type="duplicateValues" dxfId="78" priority="112"/>
  </conditionalFormatting>
  <conditionalFormatting sqref="K42">
    <cfRule type="duplicateValues" dxfId="77" priority="110"/>
  </conditionalFormatting>
  <conditionalFormatting sqref="K36">
    <cfRule type="duplicateValues" dxfId="76" priority="107"/>
  </conditionalFormatting>
  <conditionalFormatting sqref="K35">
    <cfRule type="duplicateValues" dxfId="75" priority="104"/>
  </conditionalFormatting>
  <conditionalFormatting sqref="K34">
    <cfRule type="duplicateValues" dxfId="74" priority="102"/>
  </conditionalFormatting>
  <conditionalFormatting sqref="K33">
    <cfRule type="duplicateValues" dxfId="73" priority="99"/>
  </conditionalFormatting>
  <conditionalFormatting sqref="K32">
    <cfRule type="duplicateValues" dxfId="72" priority="97"/>
  </conditionalFormatting>
  <conditionalFormatting sqref="K31">
    <cfRule type="duplicateValues" dxfId="71" priority="94"/>
  </conditionalFormatting>
  <conditionalFormatting sqref="K21">
    <cfRule type="duplicateValues" dxfId="70" priority="91"/>
  </conditionalFormatting>
  <conditionalFormatting sqref="K20">
    <cfRule type="duplicateValues" dxfId="69" priority="88"/>
  </conditionalFormatting>
  <conditionalFormatting sqref="K30">
    <cfRule type="duplicateValues" dxfId="68" priority="87"/>
  </conditionalFormatting>
  <conditionalFormatting sqref="K29">
    <cfRule type="duplicateValues" dxfId="67" priority="81"/>
  </conditionalFormatting>
  <conditionalFormatting sqref="K28">
    <cfRule type="duplicateValues" dxfId="66" priority="79"/>
  </conditionalFormatting>
  <conditionalFormatting sqref="K27">
    <cfRule type="duplicateValues" dxfId="65" priority="77"/>
  </conditionalFormatting>
  <conditionalFormatting sqref="K26">
    <cfRule type="duplicateValues" dxfId="64" priority="75"/>
  </conditionalFormatting>
  <conditionalFormatting sqref="K25">
    <cfRule type="duplicateValues" dxfId="63" priority="73"/>
  </conditionalFormatting>
  <conditionalFormatting sqref="K24">
    <cfRule type="duplicateValues" dxfId="62" priority="71"/>
  </conditionalFormatting>
  <conditionalFormatting sqref="K23">
    <cfRule type="duplicateValues" dxfId="61" priority="70"/>
  </conditionalFormatting>
  <conditionalFormatting sqref="K22">
    <cfRule type="duplicateValues" dxfId="60" priority="69"/>
  </conditionalFormatting>
  <conditionalFormatting sqref="K41">
    <cfRule type="duplicateValues" dxfId="59" priority="68"/>
  </conditionalFormatting>
  <conditionalFormatting sqref="K40">
    <cfRule type="duplicateValues" dxfId="58" priority="66"/>
  </conditionalFormatting>
  <conditionalFormatting sqref="K39">
    <cfRule type="duplicateValues" dxfId="57" priority="64"/>
  </conditionalFormatting>
  <conditionalFormatting sqref="K38">
    <cfRule type="duplicateValues" dxfId="56" priority="61"/>
  </conditionalFormatting>
  <conditionalFormatting sqref="K37">
    <cfRule type="duplicateValues" dxfId="55" priority="58"/>
  </conditionalFormatting>
  <conditionalFormatting sqref="K117">
    <cfRule type="duplicateValues" dxfId="54" priority="55"/>
  </conditionalFormatting>
  <conditionalFormatting sqref="K116">
    <cfRule type="duplicateValues" dxfId="53" priority="54"/>
  </conditionalFormatting>
  <conditionalFormatting sqref="K115">
    <cfRule type="duplicateValues" dxfId="52" priority="53"/>
  </conditionalFormatting>
  <conditionalFormatting sqref="K103">
    <cfRule type="duplicateValues" dxfId="51" priority="52"/>
  </conditionalFormatting>
  <conditionalFormatting sqref="K102">
    <cfRule type="duplicateValues" dxfId="50" priority="51"/>
  </conditionalFormatting>
  <conditionalFormatting sqref="K101">
    <cfRule type="duplicateValues" dxfId="49" priority="50"/>
  </conditionalFormatting>
  <conditionalFormatting sqref="K100">
    <cfRule type="duplicateValues" dxfId="48" priority="49"/>
  </conditionalFormatting>
  <conditionalFormatting sqref="K99">
    <cfRule type="duplicateValues" dxfId="47" priority="48"/>
  </conditionalFormatting>
  <conditionalFormatting sqref="K98">
    <cfRule type="duplicateValues" dxfId="46" priority="47"/>
  </conditionalFormatting>
  <conditionalFormatting sqref="K97">
    <cfRule type="duplicateValues" dxfId="45" priority="46"/>
  </conditionalFormatting>
  <conditionalFormatting sqref="K96">
    <cfRule type="duplicateValues" dxfId="44" priority="45"/>
  </conditionalFormatting>
  <conditionalFormatting sqref="K95">
    <cfRule type="duplicateValues" dxfId="43" priority="44"/>
  </conditionalFormatting>
  <conditionalFormatting sqref="K94">
    <cfRule type="duplicateValues" dxfId="42" priority="43"/>
  </conditionalFormatting>
  <conditionalFormatting sqref="K93">
    <cfRule type="duplicateValues" dxfId="41" priority="42"/>
  </conditionalFormatting>
  <conditionalFormatting sqref="K92">
    <cfRule type="duplicateValues" dxfId="40" priority="41"/>
  </conditionalFormatting>
  <conditionalFormatting sqref="K91">
    <cfRule type="duplicateValues" dxfId="39" priority="40"/>
  </conditionalFormatting>
  <conditionalFormatting sqref="K90">
    <cfRule type="duplicateValues" dxfId="38" priority="39"/>
  </conditionalFormatting>
  <conditionalFormatting sqref="K89">
    <cfRule type="duplicateValues" dxfId="37" priority="38"/>
  </conditionalFormatting>
  <conditionalFormatting sqref="K88">
    <cfRule type="duplicateValues" dxfId="36" priority="37"/>
  </conditionalFormatting>
  <conditionalFormatting sqref="K68">
    <cfRule type="duplicateValues" dxfId="35" priority="36"/>
  </conditionalFormatting>
  <conditionalFormatting sqref="K67">
    <cfRule type="duplicateValues" dxfId="34" priority="35"/>
  </conditionalFormatting>
  <conditionalFormatting sqref="K66">
    <cfRule type="duplicateValues" dxfId="33" priority="34"/>
  </conditionalFormatting>
  <conditionalFormatting sqref="K65">
    <cfRule type="duplicateValues" dxfId="32" priority="33"/>
  </conditionalFormatting>
  <conditionalFormatting sqref="K64">
    <cfRule type="duplicateValues" dxfId="31" priority="32"/>
  </conditionalFormatting>
  <conditionalFormatting sqref="K87">
    <cfRule type="duplicateValues" dxfId="30" priority="31"/>
  </conditionalFormatting>
  <conditionalFormatting sqref="K86">
    <cfRule type="duplicateValues" dxfId="29" priority="30"/>
  </conditionalFormatting>
  <conditionalFormatting sqref="K85">
    <cfRule type="duplicateValues" dxfId="28" priority="29"/>
  </conditionalFormatting>
  <conditionalFormatting sqref="K84">
    <cfRule type="duplicateValues" dxfId="27" priority="28"/>
  </conditionalFormatting>
  <conditionalFormatting sqref="K83">
    <cfRule type="duplicateValues" dxfId="26" priority="27"/>
  </conditionalFormatting>
  <conditionalFormatting sqref="K82">
    <cfRule type="duplicateValues" dxfId="25" priority="26"/>
  </conditionalFormatting>
  <conditionalFormatting sqref="K81">
    <cfRule type="duplicateValues" dxfId="24" priority="25"/>
  </conditionalFormatting>
  <conditionalFormatting sqref="K80">
    <cfRule type="duplicateValues" dxfId="23" priority="24"/>
  </conditionalFormatting>
  <conditionalFormatting sqref="K79">
    <cfRule type="duplicateValues" dxfId="22" priority="23"/>
  </conditionalFormatting>
  <conditionalFormatting sqref="K78">
    <cfRule type="duplicateValues" dxfId="21" priority="22"/>
  </conditionalFormatting>
  <conditionalFormatting sqref="K77">
    <cfRule type="duplicateValues" dxfId="20" priority="21"/>
  </conditionalFormatting>
  <conditionalFormatting sqref="K76">
    <cfRule type="duplicateValues" dxfId="19" priority="20"/>
  </conditionalFormatting>
  <conditionalFormatting sqref="K75">
    <cfRule type="duplicateValues" dxfId="18" priority="19"/>
  </conditionalFormatting>
  <conditionalFormatting sqref="K74">
    <cfRule type="duplicateValues" dxfId="17" priority="18"/>
  </conditionalFormatting>
  <conditionalFormatting sqref="K73">
    <cfRule type="duplicateValues" dxfId="16" priority="17"/>
  </conditionalFormatting>
  <conditionalFormatting sqref="K72">
    <cfRule type="duplicateValues" dxfId="15" priority="16"/>
  </conditionalFormatting>
  <conditionalFormatting sqref="K71">
    <cfRule type="duplicateValues" dxfId="14" priority="15"/>
  </conditionalFormatting>
  <conditionalFormatting sqref="K70">
    <cfRule type="duplicateValues" dxfId="13" priority="14"/>
  </conditionalFormatting>
  <conditionalFormatting sqref="K69">
    <cfRule type="duplicateValues" dxfId="12" priority="13"/>
  </conditionalFormatting>
  <conditionalFormatting sqref="K114">
    <cfRule type="duplicateValues" dxfId="11" priority="12"/>
  </conditionalFormatting>
  <conditionalFormatting sqref="K113">
    <cfRule type="duplicateValues" dxfId="10" priority="11"/>
  </conditionalFormatting>
  <conditionalFormatting sqref="K112">
    <cfRule type="duplicateValues" dxfId="9" priority="10"/>
  </conditionalFormatting>
  <conditionalFormatting sqref="K111">
    <cfRule type="duplicateValues" dxfId="8" priority="9"/>
  </conditionalFormatting>
  <conditionalFormatting sqref="K110">
    <cfRule type="duplicateValues" dxfId="7" priority="8"/>
  </conditionalFormatting>
  <conditionalFormatting sqref="K109">
    <cfRule type="duplicateValues" dxfId="6" priority="7"/>
  </conditionalFormatting>
  <conditionalFormatting sqref="K108">
    <cfRule type="duplicateValues" dxfId="5" priority="6"/>
  </conditionalFormatting>
  <conditionalFormatting sqref="K107">
    <cfRule type="duplicateValues" dxfId="4" priority="5"/>
  </conditionalFormatting>
  <conditionalFormatting sqref="K106">
    <cfRule type="duplicateValues" dxfId="3" priority="4"/>
  </conditionalFormatting>
  <conditionalFormatting sqref="K105">
    <cfRule type="duplicateValues" dxfId="2" priority="3"/>
  </conditionalFormatting>
  <conditionalFormatting sqref="K104">
    <cfRule type="duplicateValues" dxfId="1" priority="2"/>
  </conditionalFormatting>
  <conditionalFormatting sqref="K6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7"/>
  <sheetViews>
    <sheetView showGridLines="0" workbookViewId="0">
      <pane xSplit="5" ySplit="1" topLeftCell="F36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49010001_49010001</v>
      </c>
      <c r="B2" s="47">
        <v>49010001</v>
      </c>
      <c r="C2" s="47">
        <v>49010001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現場急行！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47">
        <v>49010001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49010001_49010002</v>
      </c>
      <c r="B3" s="47">
        <v>49010001</v>
      </c>
      <c r="C3" s="47">
        <v>49010002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妨害電波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2ターン全ユニットの攻撃力30%DOWN</v>
      </c>
      <c r="F3" s="47">
        <v>49010002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/>
    </row>
    <row r="4" spans="1:18" ht="21" customHeight="1" x14ac:dyDescent="0.15">
      <c r="A4" s="39" t="str">
        <f t="shared" si="1"/>
        <v>49010002_49010003</v>
      </c>
      <c r="B4" s="47">
        <v>49010002</v>
      </c>
      <c r="C4" s="47">
        <v>49010003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音速キック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" s="47">
        <v>49010003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1"/>
        <v>49010002_49010004</v>
      </c>
      <c r="B5" s="47">
        <v>49010002</v>
      </c>
      <c r="C5" s="47">
        <v>49010004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トラップ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2ターン全ユニットの回復力30%DOWN+防御力DOWN</v>
      </c>
      <c r="F5" s="47">
        <v>49010004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49010003_49010005</v>
      </c>
      <c r="B6" s="47">
        <v>49010003</v>
      </c>
      <c r="C6" s="47">
        <v>49010005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ALICE GP、はじまるよー！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このレースを制すのは誰だー！？</v>
      </c>
      <c r="F6" s="47">
        <v>49010005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49010003_49010006</v>
      </c>
      <c r="B7" s="47">
        <v>49010003</v>
      </c>
      <c r="C7" s="47">
        <v>49010006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みんながんばれっ♪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8ターン全ユニットの攻撃力&amp;防御力UP</v>
      </c>
      <c r="F7" s="47">
        <v>49010006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17" si="2">B8&amp;"_"&amp;C8</f>
        <v>49010003_49010007</v>
      </c>
      <c r="B8" s="47">
        <v>49010003</v>
      </c>
      <c r="C8" s="47">
        <v>49010007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爆音パワーボイス！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7">
        <v>49010007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8" s="48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2"/>
        <v>49010003_49010008</v>
      </c>
      <c r="B9" s="47">
        <v>49010003</v>
      </c>
      <c r="C9" s="47">
        <v>49010008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…イタズラしちゃえっ♪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4ターン黄パネル無効</v>
      </c>
      <c r="F9" s="47">
        <v>49010008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49010003_49010009</v>
      </c>
      <c r="B10" s="47">
        <v>49010003</v>
      </c>
      <c r="C10" s="47">
        <v>49010009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リンの応援でスピードあーっぷ！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黄パネルをハートパネルに変換+_x000D_全ユニットのスキルゲージを2ターン上昇</v>
      </c>
      <c r="F10" s="47">
        <v>49010009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49010004_49010010</v>
      </c>
      <c r="B11" s="47">
        <v>49010004</v>
      </c>
      <c r="C11" s="47">
        <v>49010010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一瞬で追い抜くぜェ！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47">
        <v>49010010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49010004_49010011</v>
      </c>
      <c r="B12" s="47">
        <v>49010004</v>
      </c>
      <c r="C12" s="47">
        <v>49010011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ほらほらどうしたァ！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4ターン赤&amp;緑パネル無効</v>
      </c>
      <c r="F12" s="47">
        <v>49010011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49010004_49010012</v>
      </c>
      <c r="B13" s="47">
        <v>49010004</v>
      </c>
      <c r="C13" s="47">
        <v>49010012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焼き尽くすぜェ！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3" s="47">
        <v>49010012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49010004_49010013</v>
      </c>
      <c r="B14" s="47">
        <v>49010004</v>
      </c>
      <c r="C14" s="47">
        <v>49010013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優勝するのはオレだァ！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自身の攻撃力&amp;防御力UP</v>
      </c>
      <c r="F14" s="47">
        <v>49010013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49010005_49010014</v>
      </c>
      <c r="B15" s="47">
        <v>49010005</v>
      </c>
      <c r="C15" s="47">
        <v>49010014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ぎゃは！オイラ優勝候補！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47">
        <v>49010014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49010005_49010015</v>
      </c>
      <c r="B16" s="47">
        <v>49010005</v>
      </c>
      <c r="C16" s="47">
        <v>49010015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邪魔してやる〜！ぎゃは！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2ターン全てのパネルは確率でプロテクトされてドロップ</v>
      </c>
      <c r="F16" s="47">
        <v>49010015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6" s="48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49010005_49010016</v>
      </c>
      <c r="B17" s="47">
        <v>49010005</v>
      </c>
      <c r="C17" s="47">
        <v>49010016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赤兎バースト！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47">
        <v>49010016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:A62" si="3">B18&amp;"_"&amp;C18</f>
        <v>49010005_49010017</v>
      </c>
      <c r="B18" s="47">
        <v>49010005</v>
      </c>
      <c r="C18" s="47">
        <v>49010017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ギアチェンジ！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18" s="47">
        <v>49010017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49010006_49010018</v>
      </c>
      <c r="B19" s="47">
        <v>49010006</v>
      </c>
      <c r="C19" s="47">
        <v>49010018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わぁ！追いつかれちゃった！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19" s="47">
        <v>49010018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49010006_49010019</v>
      </c>
      <c r="B20" s="47">
        <v>49010006</v>
      </c>
      <c r="C20" s="47">
        <v>49010019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ユキネっち！ぴょんぴょん勝負だねっ！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0" s="47">
        <v>49010019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49010006_49010019</v>
      </c>
      <c r="B21" s="47">
        <v>49010006</v>
      </c>
      <c r="C21" s="47">
        <v>49010019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ユキネっち！ぴょんぴょん勝負だねっ！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1" s="47">
        <v>49010020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:A27" si="4">B22&amp;"_"&amp;C22</f>
        <v>49010006_49010020</v>
      </c>
      <c r="B22" s="47">
        <v>49010006</v>
      </c>
      <c r="C22" s="47">
        <v>49010020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2" s="47">
        <v>49010021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49010006_49010020</v>
      </c>
      <c r="B23" s="47">
        <v>49010006</v>
      </c>
      <c r="C23" s="47">
        <v>49010020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3" s="47">
        <v>49010022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49010006_49010020</v>
      </c>
      <c r="B24" s="47">
        <v>49010006</v>
      </c>
      <c r="C24" s="47">
        <v>49010020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4" s="47">
        <v>49010023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49010006_49010020</v>
      </c>
      <c r="B25" s="47">
        <v>49010006</v>
      </c>
      <c r="C25" s="47">
        <v>49010020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5" s="47">
        <v>49010024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49010006_49010020</v>
      </c>
      <c r="B26" s="47">
        <v>49010006</v>
      </c>
      <c r="C26" s="47">
        <v>49010020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6" s="47">
        <v>49010025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49010006_49010020</v>
      </c>
      <c r="B27" s="47">
        <v>49010006</v>
      </c>
      <c r="C27" s="47">
        <v>49010020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7" s="47">
        <v>49010026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49010006_49010020</v>
      </c>
      <c r="B28" s="47">
        <v>49010006</v>
      </c>
      <c r="C28" s="47">
        <v>49010020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8" s="47">
        <v>49010027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3"/>
        <v>49010006_49010020</v>
      </c>
      <c r="B29" s="47">
        <v>49010006</v>
      </c>
      <c r="C29" s="47">
        <v>49010020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なぬー！ミクさんに追いつかれるとは！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29" s="47">
        <v>49010028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3"/>
        <v>49010006_49010021</v>
      </c>
      <c r="B30" s="47">
        <v>49010006</v>
      </c>
      <c r="C30" s="47">
        <v>49010021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新しい衣装のミクさんだ！素敵ーっ♪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0" s="47">
        <v>49010029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34" si="5">B31&amp;"_"&amp;C31</f>
        <v>49010006_49010022</v>
      </c>
      <c r="B31" s="47">
        <v>49010006</v>
      </c>
      <c r="C31" s="47">
        <v>49010022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わぁ！リンちゃん発見！超カワイイっ！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1" s="47">
        <v>49010030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5"/>
        <v>49010006_49010023</v>
      </c>
      <c r="B32" s="47">
        <v>49010006</v>
      </c>
      <c r="C32" s="47">
        <v>49010023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新しい衣装のリンちゃんだー！超カワイイ！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2" s="47">
        <v>49010031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5"/>
        <v>49010006_49010024</v>
      </c>
      <c r="B33" s="47">
        <v>49010006</v>
      </c>
      <c r="C33" s="47">
        <v>49010024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おお！レンくん発見！超クールっ！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3" s="47">
        <v>49010032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5"/>
        <v>49010006_49010025</v>
      </c>
      <c r="B34" s="47">
        <v>49010006</v>
      </c>
      <c r="C34" s="47">
        <v>49010025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新しい衣装のレンくんだー！かっこいいっ！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4" s="47">
        <v>49010033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38" si="6">B35&amp;"_"&amp;C35</f>
        <v>49010006_49010026</v>
      </c>
      <c r="B35" s="47">
        <v>49010006</v>
      </c>
      <c r="C35" s="47">
        <v>49010026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ルカさん発見！…っとと、見惚れるとこだった！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5" s="47">
        <v>49010034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6"/>
        <v>49010006_49010027</v>
      </c>
      <c r="B36" s="47">
        <v>49010006</v>
      </c>
      <c r="C36" s="47">
        <v>49010027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新しい衣装のルカさんだー！_x000D_きれいですねっ♪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6" s="47">
        <v>49010035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6"/>
        <v>49010006_49010028</v>
      </c>
      <c r="B37" s="47">
        <v>49010006</v>
      </c>
      <c r="C37" s="47">
        <v>49010028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やば！MEIKOさんめっちゃ速いっ！！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7" s="47">
        <v>49010036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49010006_49010029</v>
      </c>
      <c r="B38" s="47">
        <v>49010006</v>
      </c>
      <c r="C38" s="47">
        <v>49010029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わー！KAITOさんに追いつかれたっ！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8" s="47">
        <v>49010037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ref="A39" si="7">B39&amp;"_"&amp;C39</f>
        <v>49010006_49010030</v>
      </c>
      <c r="B39" s="47">
        <v>49010006</v>
      </c>
      <c r="C39" s="47">
        <v>49010030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よっしゃー！コスプレ走者対決だー！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39" s="47">
        <v>49010038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" si="8">B40&amp;"_"&amp;C40</f>
        <v>49010006_49010030</v>
      </c>
      <c r="B40" s="47">
        <v>49010006</v>
      </c>
      <c r="C40" s="47">
        <v>49010030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よっしゃー！コスプレ走者対決だー！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40" s="47">
        <v>49010039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9">B41&amp;"_"&amp;C41</f>
        <v>49010006_49010030</v>
      </c>
      <c r="B41" s="47">
        <v>49010006</v>
      </c>
      <c r="C41" s="47">
        <v>49010030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よっしゃー！コスプレ走者対決だー！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41" s="47">
        <v>49010040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10">B42&amp;"_"&amp;C42</f>
        <v>49010006_49010030</v>
      </c>
      <c r="B42" s="47">
        <v>49010006</v>
      </c>
      <c r="C42" s="47">
        <v>49010030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よっしゃー！コスプレ走者対決だー！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4ターンCパネル生成延長(効果大)</v>
      </c>
      <c r="F42" s="47">
        <v>49010041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49010006_49010031</v>
      </c>
      <c r="B43" s="47">
        <v>49010006</v>
      </c>
      <c r="C43" s="47">
        <v>49010031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一緒に優勝争いしちゃう！？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2ターン全ユニットの攻撃力30%DOWN+_x000D_フィーバーゲージ増加</v>
      </c>
      <c r="F43" s="47">
        <v>49010042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49010006_49010032</v>
      </c>
      <c r="B44" s="47">
        <v>49010006</v>
      </c>
      <c r="C44" s="47">
        <v>49010032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三段ジャンプ！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4" s="47">
        <v>49010043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49010006_49010033</v>
      </c>
      <c r="B45" s="47">
        <v>49010006</v>
      </c>
      <c r="C45" s="47">
        <v>49010033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ちょっと邪魔しちゃお！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赤パネルを赤のダメージパネルに4個変換</v>
      </c>
      <c r="F45" s="47">
        <v>49010044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5" s="47"/>
      <c r="Q45" s="47"/>
      <c r="R45" s="47"/>
    </row>
    <row r="46" spans="1:18" ht="21" customHeight="1" x14ac:dyDescent="0.15">
      <c r="A46" s="39" t="str">
        <f t="shared" si="3"/>
        <v>49010006_49010034</v>
      </c>
      <c r="B46" s="47">
        <v>49010006</v>
      </c>
      <c r="C46" s="47">
        <v>49010034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踏んだら痛いよっ！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緑パネルを緑のダメージパネルに4個変換</v>
      </c>
      <c r="F46" s="47">
        <v>49010045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6" s="47"/>
      <c r="Q46" s="47"/>
      <c r="R46" s="47"/>
    </row>
    <row r="47" spans="1:18" ht="21" customHeight="1" x14ac:dyDescent="0.15">
      <c r="A47" s="39" t="str">
        <f t="shared" si="3"/>
        <v>49010006_49010035</v>
      </c>
      <c r="B47" s="47">
        <v>49010006</v>
      </c>
      <c r="C47" s="47">
        <v>49010035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とげとげ攻撃！えーい！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黄パネルを黄のダメージパネルに4個変換</v>
      </c>
      <c r="F47" s="47">
        <v>49010046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" s="47"/>
      <c r="Q47" s="47"/>
      <c r="R47" s="47"/>
    </row>
    <row r="48" spans="1:18" ht="21" customHeight="1" x14ac:dyDescent="0.15">
      <c r="A48" s="39" t="str">
        <f t="shared" si="3"/>
        <v>49010006_49010036</v>
      </c>
      <c r="B48" s="47">
        <v>49010006</v>
      </c>
      <c r="C48" s="47">
        <v>49010036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おそーい！置いてっちゃうよっ！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2ターン緑パネル無効+パネルプロテクト(最大8個)</v>
      </c>
      <c r="F48" s="47">
        <v>49010047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3"/>
        <v>49010007_49010037</v>
      </c>
      <c r="B49" s="47">
        <v>49010007</v>
      </c>
      <c r="C49" s="47">
        <v>49010037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ついてこれるかなっ？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9" s="47">
        <v>49010048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3"/>
        <v>49010007_49010038</v>
      </c>
      <c r="B50" s="47">
        <v>49010007</v>
      </c>
      <c r="C50" s="47">
        <v>49010038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ばらまいちゃえっ！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ランダムでお邪魔パネルに14個変換</v>
      </c>
      <c r="F50" s="47">
        <v>49010049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3"/>
        <v>49010007_49010039</v>
      </c>
      <c r="B51" s="47">
        <v>49010007</v>
      </c>
      <c r="C51" s="47">
        <v>49010039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三段キック！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1" s="47">
        <v>49010050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3"/>
        <v>49010007_49010040</v>
      </c>
      <c r="B52" s="47">
        <v>49010007</v>
      </c>
      <c r="C52" s="47">
        <v>49010040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追い抜いちゃうよっ！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2" s="47">
        <v>49010051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2" s="47"/>
      <c r="Q52" s="47"/>
      <c r="R52" s="47"/>
    </row>
    <row r="53" spans="1:18" ht="21" customHeight="1" x14ac:dyDescent="0.15">
      <c r="A53" s="39" t="str">
        <f t="shared" si="3"/>
        <v>49010007_49010041</v>
      </c>
      <c r="B53" s="47">
        <v>49010007</v>
      </c>
      <c r="C53" s="47">
        <v>49010041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リンちゃんパワー全開っ！…なんてね！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お邪魔パネルを黄パネルに変換+_x000D_全ユニットのスキルゲージを2ターン上昇</v>
      </c>
      <c r="F53" s="47">
        <v>49010052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3" s="48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3"/>
        <v>49010007_49010042</v>
      </c>
      <c r="B54" s="47">
        <v>49010007</v>
      </c>
      <c r="C54" s="47">
        <v>49010042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接戦だねっ！負けないぞー！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防御力UP+単体攻撃</v>
      </c>
      <c r="F54" s="47">
        <v>49010053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3"/>
        <v>49010007_49010043</v>
      </c>
      <c r="B55" s="47">
        <v>49010007</v>
      </c>
      <c r="C55" s="47">
        <v>49010043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ぶつからないように気をつけてっ！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黄パネルをお邪魔パネルに変換+単体攻撃</v>
      </c>
      <c r="F55" s="47">
        <v>49010054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3"/>
        <v>49010008_49010044</v>
      </c>
      <c r="B56" s="47">
        <v>49010008</v>
      </c>
      <c r="C56" s="47">
        <v>49010044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ゴールまでもう少しだね！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6" s="47">
        <v>49010055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3"/>
        <v>49010008_49010045</v>
      </c>
      <c r="B57" s="47">
        <v>49010008</v>
      </c>
      <c r="C57" s="47">
        <v>49010045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追い越せるかなっ？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4ターン全てのパネルは確率でプロテクトされてドロップ</v>
      </c>
      <c r="F57" s="47">
        <v>49010056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3"/>
        <v>49010008_49010046</v>
      </c>
      <c r="B58" s="47">
        <v>49010008</v>
      </c>
      <c r="C58" s="47">
        <v>49010046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ひゃっほーい！爆音攻撃！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8" s="47">
        <v>49010057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3"/>
        <v>49010008_49010047</v>
      </c>
      <c r="B59" s="47">
        <v>49010008</v>
      </c>
      <c r="C59" s="47">
        <v>49010047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追い抜いちゃうよっ！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9" s="47">
        <v>49010058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3"/>
        <v>49010008_49010048</v>
      </c>
      <c r="B60" s="47">
        <v>49010008</v>
      </c>
      <c r="C60" s="47">
        <v>49010048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ラストスパート！加速してこっ！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2ターンCパネル生成短縮(効果大)+_x000D_確率でハートボムパネルをドロップ</v>
      </c>
      <c r="F60" s="47">
        <v>49010059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0" s="48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3"/>
        <v>49010008_49010049</v>
      </c>
      <c r="B61" s="47">
        <v>49010008</v>
      </c>
      <c r="C61" s="47">
        <v>49010049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よーし！ゴールが見えてきたっ！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攻撃力&amp;防御力UP</v>
      </c>
      <c r="F61" s="47">
        <v>49010060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3"/>
        <v>49010008_49010050</v>
      </c>
      <c r="B62" s="47">
        <v>49010008</v>
      </c>
      <c r="C62" s="47">
        <v>49010050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一歩リードだねっ！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1ターン赤&amp;緑&amp;黄パネル無効+クリティカル！</v>
      </c>
      <c r="F62" s="47">
        <v>49010061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" si="11">B63&amp;"_"&amp;C63</f>
        <v>49010008_49010051</v>
      </c>
      <c r="B63" s="47">
        <v>49010008</v>
      </c>
      <c r="C63" s="47">
        <v>49010051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うぅー悔しいっっ！_x000D_あと少しだったのにー！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また勝負してね！絶対だよっ！</v>
      </c>
      <c r="F63" s="47">
        <v>49010062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117" si="12">B64&amp;"_"&amp;C64</f>
        <v>49010008_49010052</v>
      </c>
      <c r="B64" s="47">
        <v>49010008</v>
      </c>
      <c r="C64" s="47">
        <v>49010052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4" s="47">
        <v>49010063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2"/>
        <v>49010008_49010052</v>
      </c>
      <c r="B65" s="47">
        <v>49010008</v>
      </c>
      <c r="C65" s="47">
        <v>49010052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5" s="47">
        <v>49010064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2"/>
        <v>49010008_49010052</v>
      </c>
      <c r="B66" s="47">
        <v>49010008</v>
      </c>
      <c r="C66" s="47">
        <v>49010052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6" s="47">
        <v>49010065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2"/>
        <v>49010008_49010052</v>
      </c>
      <c r="B67" s="47">
        <v>49010008</v>
      </c>
      <c r="C67" s="47">
        <v>49010052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7" s="47">
        <v>49010066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49010008_49010052</v>
      </c>
      <c r="B68" s="47">
        <v>49010008</v>
      </c>
      <c r="C68" s="47">
        <v>49010052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8" s="47">
        <v>49010067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49010008_49010052</v>
      </c>
      <c r="B69" s="47">
        <v>49010008</v>
      </c>
      <c r="C69" s="47">
        <v>49010052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69" s="47">
        <v>49010068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2"/>
        <v>49010008_49010052</v>
      </c>
      <c r="B70" s="47">
        <v>49010008</v>
      </c>
      <c r="C70" s="47">
        <v>49010052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0" s="47">
        <v>49010069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2"/>
        <v>49010008_49010052</v>
      </c>
      <c r="B71" s="47">
        <v>49010008</v>
      </c>
      <c r="C71" s="47">
        <v>49010052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1" s="47">
        <v>49010070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2"/>
        <v>49010008_49010052</v>
      </c>
      <c r="B72" s="47">
        <v>49010008</v>
      </c>
      <c r="C72" s="47">
        <v>49010052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2" s="47">
        <v>49010071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2"/>
        <v>49010008_49010052</v>
      </c>
      <c r="B73" s="47">
        <v>49010008</v>
      </c>
      <c r="C73" s="47">
        <v>49010052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3" s="47">
        <v>49010072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2"/>
        <v>49010008_49010052</v>
      </c>
      <c r="B74" s="47">
        <v>49010008</v>
      </c>
      <c r="C74" s="47">
        <v>49010052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4" s="47">
        <v>49010073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2"/>
        <v>49010008_49010052</v>
      </c>
      <c r="B75" s="47">
        <v>49010008</v>
      </c>
      <c r="C75" s="47">
        <v>49010052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5" s="47">
        <v>49010074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2"/>
        <v>49010008_49010052</v>
      </c>
      <c r="B76" s="47">
        <v>49010008</v>
      </c>
      <c r="C76" s="47">
        <v>49010052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6" s="47">
        <v>49010075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2"/>
        <v>49010008_49010052</v>
      </c>
      <c r="B77" s="47">
        <v>49010008</v>
      </c>
      <c r="C77" s="47">
        <v>49010052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7" s="47">
        <v>49010076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2"/>
        <v>49010008_49010052</v>
      </c>
      <c r="B78" s="47">
        <v>49010008</v>
      </c>
      <c r="C78" s="47">
        <v>49010052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8" s="47">
        <v>49010077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2"/>
        <v>49010008_49010052</v>
      </c>
      <c r="B79" s="47">
        <v>49010008</v>
      </c>
      <c r="C79" s="47">
        <v>49010052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79" s="47">
        <v>49010078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2"/>
        <v>49010008_49010052</v>
      </c>
      <c r="B80" s="47">
        <v>49010008</v>
      </c>
      <c r="C80" s="47">
        <v>49010052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0" s="47">
        <v>49010079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2"/>
        <v>49010008_49010052</v>
      </c>
      <c r="B81" s="47">
        <v>49010008</v>
      </c>
      <c r="C81" s="47">
        <v>49010052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1" s="47">
        <v>49010080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2"/>
        <v>49010008_49010052</v>
      </c>
      <c r="B82" s="47">
        <v>49010008</v>
      </c>
      <c r="C82" s="47">
        <v>49010052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2" s="47">
        <v>49010081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2"/>
        <v>49010008_49010052</v>
      </c>
      <c r="B83" s="47">
        <v>49010008</v>
      </c>
      <c r="C83" s="47">
        <v>49010052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3" s="47">
        <v>49010082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2"/>
        <v>49010008_49010052</v>
      </c>
      <c r="B84" s="47">
        <v>49010008</v>
      </c>
      <c r="C84" s="47">
        <v>49010052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4" s="47">
        <v>49010083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2"/>
        <v>49010008_49010052</v>
      </c>
      <c r="B85" s="47">
        <v>49010008</v>
      </c>
      <c r="C85" s="47">
        <v>49010052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5" s="47">
        <v>49010084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2"/>
        <v>49010008_49010052</v>
      </c>
      <c r="B86" s="47">
        <v>49010008</v>
      </c>
      <c r="C86" s="47">
        <v>49010052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6" s="47">
        <v>49010085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2"/>
        <v>49010008_49010052</v>
      </c>
      <c r="B87" s="47">
        <v>49010008</v>
      </c>
      <c r="C87" s="47">
        <v>49010052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7" s="47">
        <v>49010086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2"/>
        <v>49010008_49010052</v>
      </c>
      <c r="B88" s="47">
        <v>49010008</v>
      </c>
      <c r="C88" s="47">
        <v>49010052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8" s="47">
        <v>49010087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2"/>
        <v>49010008_49010052</v>
      </c>
      <c r="B89" s="47">
        <v>49010008</v>
      </c>
      <c r="C89" s="47">
        <v>49010052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89" s="47">
        <v>49010088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2"/>
        <v>49010008_49010052</v>
      </c>
      <c r="B90" s="47">
        <v>49010008</v>
      </c>
      <c r="C90" s="47">
        <v>49010052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0" s="47">
        <v>49010089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2"/>
        <v>49010008_49010052</v>
      </c>
      <c r="B91" s="47">
        <v>49010008</v>
      </c>
      <c r="C91" s="47">
        <v>49010052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1" s="47">
        <v>49010090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2"/>
        <v>49010008_49010052</v>
      </c>
      <c r="B92" s="47">
        <v>49010008</v>
      </c>
      <c r="C92" s="47">
        <v>49010052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2" s="47">
        <v>49010091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2"/>
        <v>49010008_49010052</v>
      </c>
      <c r="B93" s="47">
        <v>49010008</v>
      </c>
      <c r="C93" s="47">
        <v>49010052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3" s="47">
        <v>49010092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2"/>
        <v>49010008_49010052</v>
      </c>
      <c r="B94" s="47">
        <v>49010008</v>
      </c>
      <c r="C94" s="47">
        <v>49010052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4" s="47">
        <v>49010093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2"/>
        <v>49010008_49010052</v>
      </c>
      <c r="B95" s="47">
        <v>49010008</v>
      </c>
      <c r="C95" s="47">
        <v>49010052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5" s="47">
        <v>49010094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2"/>
        <v>49010008_49010052</v>
      </c>
      <c r="B96" s="47">
        <v>49010008</v>
      </c>
      <c r="C96" s="47">
        <v>49010052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6" s="47">
        <v>49010095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2"/>
        <v>49010008_49010052</v>
      </c>
      <c r="B97" s="47">
        <v>49010008</v>
      </c>
      <c r="C97" s="47">
        <v>49010052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7" s="47">
        <v>49010096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2"/>
        <v>49010008_49010052</v>
      </c>
      <c r="B98" s="47">
        <v>49010008</v>
      </c>
      <c r="C98" s="47">
        <v>49010052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8" s="47">
        <v>49010097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42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2"/>
        <v>49010008_49010052</v>
      </c>
      <c r="B99" s="47">
        <v>49010008</v>
      </c>
      <c r="C99" s="47">
        <v>49010052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99" s="47">
        <v>49010098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43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2"/>
        <v>49010008_49010052</v>
      </c>
      <c r="B100" s="47">
        <v>49010008</v>
      </c>
      <c r="C100" s="47">
        <v>49010052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0" s="47">
        <v>49010099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2"/>
        <v>49010008_49010052</v>
      </c>
      <c r="B101" s="47">
        <v>49010008</v>
      </c>
      <c r="C101" s="47">
        <v>49010052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1" s="47">
        <v>49010100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2"/>
        <v>49010008_49010052</v>
      </c>
      <c r="B102" s="47">
        <v>49010008</v>
      </c>
      <c r="C102" s="47">
        <v>49010052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2" s="47">
        <v>49010101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2"/>
        <v>49010008_49010052</v>
      </c>
      <c r="B103" s="47">
        <v>49010008</v>
      </c>
      <c r="C103" s="47">
        <v>49010052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3" s="47">
        <v>49010102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2"/>
        <v>49010008_49010052</v>
      </c>
      <c r="B104" s="47">
        <v>49010008</v>
      </c>
      <c r="C104" s="47">
        <v>49010052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4" s="47">
        <v>49010103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2"/>
        <v>49010008_49010052</v>
      </c>
      <c r="B105" s="47">
        <v>49010008</v>
      </c>
      <c r="C105" s="47">
        <v>49010052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5" s="47">
        <v>49010104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2"/>
        <v>49010008_49010052</v>
      </c>
      <c r="B106" s="47">
        <v>49010008</v>
      </c>
      <c r="C106" s="47">
        <v>49010052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6" s="47">
        <v>49010105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2"/>
        <v>49010008_49010052</v>
      </c>
      <c r="B107" s="47">
        <v>49010008</v>
      </c>
      <c r="C107" s="47">
        <v>49010052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7" s="47">
        <v>49010106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2"/>
        <v>49010008_49010052</v>
      </c>
      <c r="B108" s="47">
        <v>49010008</v>
      </c>
      <c r="C108" s="47">
        <v>49010052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8" s="47">
        <v>49010107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2"/>
        <v>49010008_49010052</v>
      </c>
      <c r="B109" s="47">
        <v>49010008</v>
      </c>
      <c r="C109" s="47">
        <v>49010052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09" s="47">
        <v>49010108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2"/>
        <v>49010008_49010052</v>
      </c>
      <c r="B110" s="47">
        <v>49010008</v>
      </c>
      <c r="C110" s="47">
        <v>49010052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0" s="47">
        <v>49010109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2"/>
        <v>49010008_49010052</v>
      </c>
      <c r="B111" s="47">
        <v>49010008</v>
      </c>
      <c r="C111" s="47">
        <v>49010052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1" s="47">
        <v>49010110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2"/>
        <v>49010008_49010052</v>
      </c>
      <c r="B112" s="47">
        <v>49010008</v>
      </c>
      <c r="C112" s="47">
        <v>49010052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2" s="47">
        <v>49010111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2"/>
        <v>49010008_49010052</v>
      </c>
      <c r="B113" s="47">
        <v>49010008</v>
      </c>
      <c r="C113" s="47">
        <v>49010052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3" s="47">
        <v>49010112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2"/>
        <v>49010008_49010052</v>
      </c>
      <c r="B114" s="47">
        <v>49010008</v>
      </c>
      <c r="C114" s="47">
        <v>49010052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4" s="47">
        <v>49010113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2"/>
        <v>49010008_49010052</v>
      </c>
      <c r="B115" s="47">
        <v>49010008</v>
      </c>
      <c r="C115" s="47">
        <v>49010052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5" s="47">
        <v>49010114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2"/>
        <v>49010008_49010052</v>
      </c>
      <c r="B116" s="47">
        <v>49010008</v>
      </c>
      <c r="C116" s="47">
        <v>49010052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6" s="47">
        <v>49010115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2"/>
        <v>49010008_49010052</v>
      </c>
      <c r="B117" s="47">
        <v>49010008</v>
      </c>
      <c r="C117" s="47">
        <v>49010052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すっごーい！完敗だよー！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でも楽しかったなー！また一緒に走ろうねっ！</v>
      </c>
      <c r="F117" s="47">
        <v>49010116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E3" sqref="E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20">
        <f>floors!$C$2</f>
        <v>49010</v>
      </c>
      <c r="B2" s="120">
        <v>1</v>
      </c>
      <c r="C2" s="71" t="str">
        <f t="shared" ref="C2:C8" si="0">A2&amp; "_"&amp;B2</f>
        <v>49010_1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20">
        <v>1</v>
      </c>
      <c r="F2" s="120" t="s">
        <v>226</v>
      </c>
      <c r="G2" s="120">
        <v>1302</v>
      </c>
      <c r="H2" s="120">
        <v>1</v>
      </c>
      <c r="I2" s="120">
        <v>1</v>
      </c>
      <c r="J2" s="120">
        <v>1</v>
      </c>
      <c r="K2" s="120">
        <v>0</v>
      </c>
      <c r="L2" s="120">
        <v>0</v>
      </c>
      <c r="M2" s="120">
        <v>0</v>
      </c>
      <c r="N2" s="120">
        <v>0</v>
      </c>
      <c r="O2" s="120">
        <v>1</v>
      </c>
      <c r="P2" s="120">
        <v>200</v>
      </c>
      <c r="Q2" s="120" t="s">
        <v>169</v>
      </c>
      <c r="R2" s="120" t="s">
        <v>170</v>
      </c>
    </row>
    <row r="3" spans="1:18" x14ac:dyDescent="0.15">
      <c r="A3" s="120">
        <f>floors!$C$2</f>
        <v>49010</v>
      </c>
      <c r="B3" s="120">
        <v>1</v>
      </c>
      <c r="C3" s="71" t="str">
        <f t="shared" si="0"/>
        <v>49010_1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20">
        <v>2</v>
      </c>
      <c r="F3" s="120" t="s">
        <v>226</v>
      </c>
      <c r="G3" s="120">
        <v>346</v>
      </c>
      <c r="H3" s="120">
        <v>1</v>
      </c>
      <c r="I3" s="120">
        <v>1</v>
      </c>
      <c r="J3" s="120">
        <v>1</v>
      </c>
      <c r="K3" s="120">
        <v>0</v>
      </c>
      <c r="L3" s="120">
        <v>0</v>
      </c>
      <c r="M3" s="120">
        <v>0</v>
      </c>
      <c r="N3" s="120">
        <v>0</v>
      </c>
      <c r="O3" s="120">
        <v>1</v>
      </c>
      <c r="P3" s="120">
        <v>130</v>
      </c>
      <c r="Q3" s="120" t="s">
        <v>169</v>
      </c>
      <c r="R3" s="120" t="s">
        <v>170</v>
      </c>
    </row>
    <row r="4" spans="1:18" x14ac:dyDescent="0.15">
      <c r="A4" s="120">
        <f>floors!$C$2</f>
        <v>49010</v>
      </c>
      <c r="B4" s="120">
        <v>1</v>
      </c>
      <c r="C4" s="71" t="str">
        <f t="shared" ref="C4" si="1">A4&amp; "_"&amp;B4</f>
        <v>49010_1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20">
        <v>3</v>
      </c>
      <c r="F4" s="120" t="s">
        <v>226</v>
      </c>
      <c r="G4" s="120">
        <v>347</v>
      </c>
      <c r="H4" s="120">
        <v>1</v>
      </c>
      <c r="I4" s="120">
        <v>1</v>
      </c>
      <c r="J4" s="120">
        <v>1</v>
      </c>
      <c r="K4" s="120">
        <v>0</v>
      </c>
      <c r="L4" s="120">
        <v>0</v>
      </c>
      <c r="M4" s="120">
        <v>0</v>
      </c>
      <c r="N4" s="120">
        <v>0</v>
      </c>
      <c r="O4" s="120">
        <v>1</v>
      </c>
      <c r="P4" s="120">
        <v>70</v>
      </c>
      <c r="Q4" s="120" t="s">
        <v>169</v>
      </c>
      <c r="R4" s="120" t="s">
        <v>170</v>
      </c>
    </row>
    <row r="5" spans="1:18" x14ac:dyDescent="0.15">
      <c r="A5" s="120">
        <f>floors!$C$2</f>
        <v>49010</v>
      </c>
      <c r="B5" s="120">
        <v>1</v>
      </c>
      <c r="C5" s="71" t="str">
        <f t="shared" si="0"/>
        <v>49010_1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20">
        <v>4</v>
      </c>
      <c r="F5" s="120" t="s">
        <v>226</v>
      </c>
      <c r="G5" s="120">
        <v>607</v>
      </c>
      <c r="H5" s="120">
        <v>1</v>
      </c>
      <c r="I5" s="120">
        <v>1</v>
      </c>
      <c r="J5" s="120">
        <v>1</v>
      </c>
      <c r="K5" s="120">
        <v>0</v>
      </c>
      <c r="L5" s="120">
        <v>0</v>
      </c>
      <c r="M5" s="120">
        <v>0</v>
      </c>
      <c r="N5" s="120">
        <v>0</v>
      </c>
      <c r="O5" s="120">
        <v>1</v>
      </c>
      <c r="P5" s="120">
        <v>120</v>
      </c>
      <c r="Q5" s="120" t="s">
        <v>169</v>
      </c>
      <c r="R5" s="120" t="s">
        <v>170</v>
      </c>
    </row>
    <row r="6" spans="1:18" x14ac:dyDescent="0.15">
      <c r="A6" s="120">
        <f>floors!$C$2</f>
        <v>49010</v>
      </c>
      <c r="B6" s="120">
        <v>1</v>
      </c>
      <c r="C6" s="71" t="str">
        <f t="shared" si="0"/>
        <v>49010_1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20">
        <v>5</v>
      </c>
      <c r="F6" s="120" t="s">
        <v>226</v>
      </c>
      <c r="G6" s="120">
        <v>608</v>
      </c>
      <c r="H6" s="120">
        <v>1</v>
      </c>
      <c r="I6" s="120">
        <v>1</v>
      </c>
      <c r="J6" s="120">
        <v>1</v>
      </c>
      <c r="K6" s="120">
        <v>0</v>
      </c>
      <c r="L6" s="120">
        <v>0</v>
      </c>
      <c r="M6" s="120">
        <v>0</v>
      </c>
      <c r="N6" s="120">
        <v>0</v>
      </c>
      <c r="O6" s="120">
        <v>1</v>
      </c>
      <c r="P6" s="120">
        <v>120</v>
      </c>
      <c r="Q6" s="120" t="s">
        <v>169</v>
      </c>
      <c r="R6" s="120" t="s">
        <v>170</v>
      </c>
    </row>
    <row r="7" spans="1:18" x14ac:dyDescent="0.15">
      <c r="A7" s="120">
        <f>floors!$C$2</f>
        <v>49010</v>
      </c>
      <c r="B7" s="120">
        <v>1</v>
      </c>
      <c r="C7" s="71" t="str">
        <f t="shared" si="0"/>
        <v>49010_1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20">
        <v>6</v>
      </c>
      <c r="F7" s="120" t="s">
        <v>226</v>
      </c>
      <c r="G7" s="120">
        <v>609</v>
      </c>
      <c r="H7" s="120">
        <v>1</v>
      </c>
      <c r="I7" s="120">
        <v>1</v>
      </c>
      <c r="J7" s="120">
        <v>1</v>
      </c>
      <c r="K7" s="120">
        <v>0</v>
      </c>
      <c r="L7" s="120">
        <v>0</v>
      </c>
      <c r="M7" s="120">
        <v>0</v>
      </c>
      <c r="N7" s="120">
        <v>0</v>
      </c>
      <c r="O7" s="120">
        <v>1</v>
      </c>
      <c r="P7" s="120">
        <v>120</v>
      </c>
      <c r="Q7" s="120" t="s">
        <v>169</v>
      </c>
      <c r="R7" s="120" t="s">
        <v>170</v>
      </c>
    </row>
    <row r="8" spans="1:18" x14ac:dyDescent="0.15">
      <c r="A8" s="120">
        <f>floors!$C$2</f>
        <v>49010</v>
      </c>
      <c r="B8" s="120">
        <v>1</v>
      </c>
      <c r="C8" s="71" t="str">
        <f t="shared" si="0"/>
        <v>49010_1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20">
        <v>7</v>
      </c>
      <c r="F8" s="120" t="s">
        <v>226</v>
      </c>
      <c r="G8" s="120">
        <v>125</v>
      </c>
      <c r="H8" s="120">
        <v>1</v>
      </c>
      <c r="I8" s="120">
        <v>1</v>
      </c>
      <c r="J8" s="120">
        <v>1</v>
      </c>
      <c r="K8" s="120">
        <v>0</v>
      </c>
      <c r="L8" s="120">
        <v>0</v>
      </c>
      <c r="M8" s="120">
        <v>0</v>
      </c>
      <c r="N8" s="120">
        <v>0</v>
      </c>
      <c r="O8" s="120">
        <v>1</v>
      </c>
      <c r="P8" s="120">
        <v>30</v>
      </c>
      <c r="Q8" s="120" t="s">
        <v>169</v>
      </c>
      <c r="R8" s="120" t="s">
        <v>170</v>
      </c>
    </row>
    <row r="9" spans="1:18" x14ac:dyDescent="0.15">
      <c r="A9" s="120">
        <f>floors!$C$2</f>
        <v>49010</v>
      </c>
      <c r="B9" s="120">
        <v>1</v>
      </c>
      <c r="C9" s="71" t="str">
        <f t="shared" ref="C9" si="2">A9&amp; "_"&amp;B9</f>
        <v>49010_1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20">
        <v>8</v>
      </c>
      <c r="F9" s="120" t="s">
        <v>226</v>
      </c>
      <c r="G9" s="120">
        <v>354</v>
      </c>
      <c r="H9" s="120">
        <v>1</v>
      </c>
      <c r="I9" s="120">
        <v>10</v>
      </c>
      <c r="J9" s="120">
        <v>1</v>
      </c>
      <c r="K9" s="120">
        <v>0</v>
      </c>
      <c r="L9" s="120">
        <v>0</v>
      </c>
      <c r="M9" s="120">
        <v>0</v>
      </c>
      <c r="N9" s="120">
        <v>0</v>
      </c>
      <c r="O9" s="120">
        <v>1</v>
      </c>
      <c r="P9" s="120">
        <v>30</v>
      </c>
      <c r="Q9" s="120" t="s">
        <v>169</v>
      </c>
      <c r="R9" s="120" t="s">
        <v>170</v>
      </c>
    </row>
    <row r="10" spans="1:18" x14ac:dyDescent="0.15">
      <c r="A10" s="120">
        <f>floors!$C$2</f>
        <v>49010</v>
      </c>
      <c r="B10" s="120">
        <v>1</v>
      </c>
      <c r="C10" s="71" t="str">
        <f t="shared" ref="C10" si="3">A10&amp; "_"&amp;B10</f>
        <v>49010_1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20">
        <v>9</v>
      </c>
      <c r="F10" s="120" t="s">
        <v>226</v>
      </c>
      <c r="G10" s="120">
        <v>355</v>
      </c>
      <c r="H10" s="120">
        <v>1</v>
      </c>
      <c r="I10" s="120">
        <v>1</v>
      </c>
      <c r="J10" s="120">
        <v>1</v>
      </c>
      <c r="K10" s="120">
        <v>0</v>
      </c>
      <c r="L10" s="120">
        <v>0</v>
      </c>
      <c r="M10" s="120">
        <v>0</v>
      </c>
      <c r="N10" s="120">
        <v>0</v>
      </c>
      <c r="O10" s="120">
        <v>1</v>
      </c>
      <c r="P10" s="120">
        <v>10</v>
      </c>
      <c r="Q10" s="120" t="s">
        <v>169</v>
      </c>
      <c r="R10" s="120" t="s">
        <v>170</v>
      </c>
    </row>
    <row r="11" spans="1:18" x14ac:dyDescent="0.15">
      <c r="A11" s="120">
        <f>floors!$C$2</f>
        <v>49010</v>
      </c>
      <c r="B11" s="120">
        <v>1</v>
      </c>
      <c r="C11" s="71" t="str">
        <f t="shared" ref="C11" si="4">A11&amp; "_"&amp;B11</f>
        <v>49010_1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0">
        <v>10</v>
      </c>
      <c r="F11" s="120" t="s">
        <v>373</v>
      </c>
      <c r="G11" s="120">
        <v>63000</v>
      </c>
      <c r="H11" s="120" t="s">
        <v>53</v>
      </c>
      <c r="I11" s="120">
        <v>1</v>
      </c>
      <c r="J11" s="120">
        <v>1</v>
      </c>
      <c r="K11" s="120">
        <v>0</v>
      </c>
      <c r="L11" s="120">
        <v>0</v>
      </c>
      <c r="M11" s="120">
        <v>0</v>
      </c>
      <c r="N11" s="120">
        <v>0</v>
      </c>
      <c r="O11" s="120">
        <v>1</v>
      </c>
      <c r="P11" s="120">
        <v>170</v>
      </c>
      <c r="Q11" s="120" t="s">
        <v>169</v>
      </c>
      <c r="R11" s="120" t="s">
        <v>170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I9" sqref="H9:I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127</v>
      </c>
      <c r="K1" s="78" t="s">
        <v>186</v>
      </c>
      <c r="L1" s="92" t="s">
        <v>185</v>
      </c>
      <c r="M1" s="80" t="s">
        <v>195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M9" sqref="M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151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127</v>
      </c>
      <c r="L1" s="78" t="s">
        <v>186</v>
      </c>
      <c r="M1" s="92" t="s">
        <v>185</v>
      </c>
      <c r="N1" s="80" t="s">
        <v>195</v>
      </c>
    </row>
    <row r="2" spans="1:14" ht="42" x14ac:dyDescent="0.15">
      <c r="A2" s="81" t="s">
        <v>308</v>
      </c>
      <c r="B2" s="82">
        <f>floors!$C$2</f>
        <v>49010</v>
      </c>
      <c r="C2" s="83" t="str">
        <f ca="1">VLOOKUP($B2,OFFSET([2]quests!$A$1,0,0,COUNTA([2]quests!$A:$A),MATCH(C$1,[2]quests!$1:$1,0)-MATCH($B$1,[2]quests!$1:$1,0)+1),MATCH(C$1,[2]quests!$1:$1,0)-MATCH($B$1,[2]quests!$1:$1,0)+1,FALSE)</f>
        <v>走り抜けろ！ALICE GP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コラボ降臨8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コラボ降臨8</v>
      </c>
      <c r="H2" s="85">
        <v>0</v>
      </c>
      <c r="I2" s="90">
        <f t="shared" ref="I2:I4" si="0">ROW()-1</f>
        <v>1</v>
      </c>
      <c r="J2" s="86" t="str">
        <f t="shared" ref="J2:J4" si="1">B2&amp;TEXT(I2,"00")</f>
        <v>4901001</v>
      </c>
      <c r="K2" s="84" t="s">
        <v>128</v>
      </c>
      <c r="L2" s="87" t="s">
        <v>310</v>
      </c>
      <c r="M2" s="119" t="s">
        <v>309</v>
      </c>
      <c r="N2" s="57" t="s">
        <v>199</v>
      </c>
    </row>
    <row r="3" spans="1:14" ht="56" x14ac:dyDescent="0.15">
      <c r="A3" s="81" t="s">
        <v>308</v>
      </c>
      <c r="B3" s="82">
        <f>floors!$C$2</f>
        <v>49010</v>
      </c>
      <c r="C3" s="83" t="str">
        <f ca="1">VLOOKUP($B3,OFFSET([2]quests!$A$1,0,0,COUNTA([2]quests!$A:$A),MATCH(C$1,[2]quests!$1:$1,0)-MATCH($B$1,[2]quests!$1:$1,0)+1),MATCH(C$1,[2]quests!$1:$1,0)-MATCH($B$1,[2]quests!$1:$1,0)+1,FALSE)</f>
        <v>走り抜けろ！ALICE GP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コラボ降臨8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コラボ降臨8</v>
      </c>
      <c r="H3" s="85">
        <v>0</v>
      </c>
      <c r="I3" s="90">
        <f t="shared" si="0"/>
        <v>2</v>
      </c>
      <c r="J3" s="86" t="str">
        <f t="shared" si="1"/>
        <v>4901002</v>
      </c>
      <c r="K3" s="84" t="s">
        <v>128</v>
      </c>
      <c r="L3" s="87" t="s">
        <v>311</v>
      </c>
      <c r="M3" s="119" t="s">
        <v>312</v>
      </c>
      <c r="N3" s="57" t="s">
        <v>199</v>
      </c>
    </row>
    <row r="4" spans="1:14" ht="56" x14ac:dyDescent="0.15">
      <c r="A4" s="81" t="s">
        <v>308</v>
      </c>
      <c r="B4" s="82">
        <f>floors!$C$2</f>
        <v>49010</v>
      </c>
      <c r="C4" s="83" t="str">
        <f ca="1">VLOOKUP($B4,OFFSET([2]quests!$A$1,0,0,COUNTA([2]quests!$A:$A),MATCH(C$1,[2]quests!$1:$1,0)-MATCH($B$1,[2]quests!$1:$1,0)+1),MATCH(C$1,[2]quests!$1:$1,0)-MATCH($B$1,[2]quests!$1:$1,0)+1,FALSE)</f>
        <v>走り抜けろ！ALICE GP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コラボ降臨8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コラボ降臨8</v>
      </c>
      <c r="H4" s="85">
        <v>0</v>
      </c>
      <c r="I4" s="90">
        <f t="shared" si="0"/>
        <v>3</v>
      </c>
      <c r="J4" s="86" t="str">
        <f t="shared" si="1"/>
        <v>4901003</v>
      </c>
      <c r="K4" s="84" t="s">
        <v>128</v>
      </c>
      <c r="L4" s="87" t="s">
        <v>313</v>
      </c>
      <c r="M4" s="119" t="s">
        <v>314</v>
      </c>
      <c r="N4" s="57" t="s">
        <v>199</v>
      </c>
    </row>
    <row r="5" spans="1:14" ht="28" x14ac:dyDescent="0.15">
      <c r="A5" s="81" t="s">
        <v>196</v>
      </c>
      <c r="B5" s="82">
        <f>floors!$C$2</f>
        <v>49010</v>
      </c>
      <c r="C5" s="83" t="str">
        <f ca="1">VLOOKUP($B5,OFFSET([2]quests!$A$1,0,0,COUNTA([2]quests!$A:$A),MATCH(C$1,[2]quests!$1:$1,0)-MATCH($B$1,[2]quests!$1:$1,0)+1),MATCH(C$1,[2]quests!$1:$1,0)-MATCH($B$1,[2]quests!$1:$1,0)+1,FALSE)</f>
        <v>走り抜けろ！ALICE GP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コラボ降臨8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コラボ降臨8</v>
      </c>
      <c r="H5" s="85">
        <v>1</v>
      </c>
      <c r="I5" s="90">
        <f t="shared" ref="I5:I10" si="2">ROW()-1</f>
        <v>4</v>
      </c>
      <c r="J5" s="86" t="str">
        <f t="shared" ref="J5:J10" si="3">B5&amp;TEXT(I5,"00")</f>
        <v>4901004</v>
      </c>
      <c r="K5" s="84" t="s">
        <v>197</v>
      </c>
      <c r="L5" s="87" t="s">
        <v>198</v>
      </c>
      <c r="M5" s="119" t="s">
        <v>305</v>
      </c>
      <c r="N5" s="57" t="s">
        <v>199</v>
      </c>
    </row>
    <row r="6" spans="1:14" ht="42" x14ac:dyDescent="0.15">
      <c r="A6" s="81" t="s">
        <v>196</v>
      </c>
      <c r="B6" s="82">
        <f>floors!$C$2</f>
        <v>49010</v>
      </c>
      <c r="C6" s="83" t="str">
        <f ca="1">VLOOKUP($B6,OFFSET([2]quests!$A$1,0,0,COUNTA([2]quests!$A:$A),MATCH(C$1,[2]quests!$1:$1,0)-MATCH($B$1,[2]quests!$1:$1,0)+1),MATCH(C$1,[2]quests!$1:$1,0)-MATCH($B$1,[2]quests!$1:$1,0)+1,FALSE)</f>
        <v>走り抜けろ！ALICE GP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コラボ降臨8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コラボ降臨8</v>
      </c>
      <c r="H6" s="85">
        <v>2</v>
      </c>
      <c r="I6" s="90">
        <f t="shared" si="2"/>
        <v>5</v>
      </c>
      <c r="J6" s="86" t="str">
        <f t="shared" si="3"/>
        <v>4901005</v>
      </c>
      <c r="K6" s="84" t="s">
        <v>128</v>
      </c>
      <c r="L6" s="87" t="s">
        <v>198</v>
      </c>
      <c r="M6" s="119" t="s">
        <v>301</v>
      </c>
      <c r="N6" s="57" t="s">
        <v>199</v>
      </c>
    </row>
    <row r="7" spans="1:14" ht="42" x14ac:dyDescent="0.15">
      <c r="A7" s="81" t="s">
        <v>196</v>
      </c>
      <c r="B7" s="82">
        <f>floors!$C$2</f>
        <v>49010</v>
      </c>
      <c r="C7" s="83" t="str">
        <f ca="1">VLOOKUP($B7,OFFSET([2]quests!$A$1,0,0,COUNTA([2]quests!$A:$A),MATCH(C$1,[2]quests!$1:$1,0)-MATCH($B$1,[2]quests!$1:$1,0)+1),MATCH(C$1,[2]quests!$1:$1,0)-MATCH($B$1,[2]quests!$1:$1,0)+1,FALSE)</f>
        <v>走り抜けろ！ALICE GP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コラボ降臨8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コラボ降臨8</v>
      </c>
      <c r="H7" s="85">
        <v>2</v>
      </c>
      <c r="I7" s="90">
        <f t="shared" si="2"/>
        <v>6</v>
      </c>
      <c r="J7" s="86" t="str">
        <f t="shared" si="3"/>
        <v>4901006</v>
      </c>
      <c r="K7" s="84" t="s">
        <v>128</v>
      </c>
      <c r="L7" s="87" t="s">
        <v>198</v>
      </c>
      <c r="M7" s="119" t="s">
        <v>306</v>
      </c>
      <c r="N7" s="57" t="s">
        <v>199</v>
      </c>
    </row>
    <row r="8" spans="1:14" ht="56" x14ac:dyDescent="0.15">
      <c r="A8" s="81" t="s">
        <v>196</v>
      </c>
      <c r="B8" s="82">
        <f>floors!$C$2</f>
        <v>49010</v>
      </c>
      <c r="C8" s="83" t="str">
        <f ca="1">VLOOKUP($B8,OFFSET([2]quests!$A$1,0,0,COUNTA([2]quests!$A:$A),MATCH(C$1,[2]quests!$1:$1,0)-MATCH($B$1,[2]quests!$1:$1,0)+1),MATCH(C$1,[2]quests!$1:$1,0)-MATCH($B$1,[2]quests!$1:$1,0)+1,FALSE)</f>
        <v>走り抜けろ！ALICE GP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コラボ降臨8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コラボ降臨8</v>
      </c>
      <c r="H8" s="85">
        <v>3</v>
      </c>
      <c r="I8" s="90">
        <f t="shared" si="2"/>
        <v>7</v>
      </c>
      <c r="J8" s="86" t="str">
        <f t="shared" si="3"/>
        <v>4901007</v>
      </c>
      <c r="K8" s="84" t="s">
        <v>128</v>
      </c>
      <c r="L8" s="87" t="s">
        <v>198</v>
      </c>
      <c r="M8" s="119" t="s">
        <v>307</v>
      </c>
      <c r="N8" s="57" t="s">
        <v>199</v>
      </c>
    </row>
    <row r="9" spans="1:14" ht="42" x14ac:dyDescent="0.15">
      <c r="A9" s="81" t="s">
        <v>196</v>
      </c>
      <c r="B9" s="82">
        <f>floors!$C$2</f>
        <v>49010</v>
      </c>
      <c r="C9" s="83" t="str">
        <f ca="1">VLOOKUP($B9,OFFSET([2]quests!$A$1,0,0,COUNTA([2]quests!$A:$A),MATCH(C$1,[2]quests!$1:$1,0)-MATCH($B$1,[2]quests!$1:$1,0)+1),MATCH(C$1,[2]quests!$1:$1,0)-MATCH($B$1,[2]quests!$1:$1,0)+1,FALSE)</f>
        <v>走り抜けろ！ALICE GP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コラボ降臨8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コラボ降臨8</v>
      </c>
      <c r="H9" s="85">
        <v>3</v>
      </c>
      <c r="I9" s="90">
        <f t="shared" si="2"/>
        <v>8</v>
      </c>
      <c r="J9" s="86" t="str">
        <f t="shared" si="3"/>
        <v>4901008</v>
      </c>
      <c r="K9" s="84" t="s">
        <v>128</v>
      </c>
      <c r="L9" s="87" t="s">
        <v>198</v>
      </c>
      <c r="M9" s="119" t="s">
        <v>303</v>
      </c>
      <c r="N9" s="57" t="s">
        <v>199</v>
      </c>
    </row>
    <row r="10" spans="1:14" ht="42" x14ac:dyDescent="0.15">
      <c r="A10" s="81" t="s">
        <v>196</v>
      </c>
      <c r="B10" s="82">
        <f>floors!$C$2</f>
        <v>49010</v>
      </c>
      <c r="C10" s="83" t="str">
        <f ca="1">VLOOKUP($B10,OFFSET([2]quests!$A$1,0,0,COUNTA([2]quests!$A:$A),MATCH(C$1,[2]quests!$1:$1,0)-MATCH($B$1,[2]quests!$1:$1,0)+1),MATCH(C$1,[2]quests!$1:$1,0)-MATCH($B$1,[2]quests!$1:$1,0)+1,FALSE)</f>
        <v>走り抜けろ！ALICE GP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コラボ降臨8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コラボ降臨8</v>
      </c>
      <c r="H10" s="85">
        <v>3</v>
      </c>
      <c r="I10" s="90">
        <f t="shared" si="2"/>
        <v>9</v>
      </c>
      <c r="J10" s="86" t="str">
        <f t="shared" si="3"/>
        <v>4901009</v>
      </c>
      <c r="K10" s="84" t="s">
        <v>128</v>
      </c>
      <c r="L10" s="87" t="s">
        <v>198</v>
      </c>
      <c r="M10" s="119" t="s">
        <v>302</v>
      </c>
      <c r="N10" s="57" t="s">
        <v>199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8"/>
  <sheetViews>
    <sheetView showGridLines="0" workbookViewId="0">
      <pane ySplit="1" topLeftCell="A2" activePane="bottomLeft" state="frozen"/>
      <selection pane="bottomLeft" activeCell="K9" sqref="K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 collapsed="1"/>
    <col min="3" max="3" width="17" hidden="1" customWidth="1" outlineLevel="1"/>
    <col min="4" max="4" width="18.83203125" hidden="1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 collapsed="1"/>
    <col min="14" max="14" width="12" hidden="1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211</v>
      </c>
      <c r="B1" s="95" t="s">
        <v>212</v>
      </c>
      <c r="C1" s="77" t="s">
        <v>213</v>
      </c>
      <c r="D1" s="77" t="s">
        <v>33</v>
      </c>
      <c r="E1" s="95" t="s">
        <v>214</v>
      </c>
      <c r="F1" s="77" t="s">
        <v>215</v>
      </c>
      <c r="G1" s="77" t="s">
        <v>33</v>
      </c>
      <c r="H1" s="95" t="s">
        <v>216</v>
      </c>
      <c r="I1" s="95" t="s">
        <v>217</v>
      </c>
      <c r="J1" s="95" t="s">
        <v>218</v>
      </c>
      <c r="K1" s="73" t="s">
        <v>219</v>
      </c>
      <c r="L1" s="73" t="s">
        <v>220</v>
      </c>
      <c r="M1" s="73" t="s">
        <v>157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6" t="str">
        <f t="shared" ref="A2:A8" si="0">B2&amp;"_"&amp;E2&amp;"_"&amp;H2&amp;"_"&amp;I2&amp;"_"&amp;J2</f>
        <v>49010_1_everyone_no_continue_1</v>
      </c>
      <c r="B2" s="82">
        <v>49010</v>
      </c>
      <c r="C2" s="83" t="str">
        <f ca="1">VLOOKUP($B2,OFFSET([2]quests!$A$1,0,0,COUNTA([2]quests!$A:$A),MATCH(C$1,[2]quests!$1:$1,0)-MATCH($B$1,[2]quests!$1:$1,0)+1),MATCH(C$1,[2]quests!$1:$1,0)-MATCH($B$1,[2]quests!$1:$1,0)+1,FALSE)</f>
        <v>走り抜けろ！ALICE GP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コラボ降臨8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コラボ降臨8</v>
      </c>
      <c r="H2" s="85" t="s">
        <v>225</v>
      </c>
      <c r="I2" s="84" t="s">
        <v>229</v>
      </c>
      <c r="J2" s="84">
        <v>1</v>
      </c>
      <c r="K2" s="84">
        <v>100</v>
      </c>
      <c r="L2" s="84" t="s">
        <v>226</v>
      </c>
      <c r="M2" s="84">
        <v>1302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  <row r="3" spans="1:24" x14ac:dyDescent="0.15">
      <c r="A3" s="96" t="str">
        <f t="shared" si="0"/>
        <v>49010_1_everyone_full_member_1</v>
      </c>
      <c r="B3" s="82">
        <v>49010</v>
      </c>
      <c r="C3" s="83" t="str">
        <f ca="1">VLOOKUP($B3,OFFSET([2]quests!$A$1,0,0,COUNTA([2]quests!$A:$A),MATCH(C$1,[2]quests!$1:$1,0)-MATCH($B$1,[2]quests!$1:$1,0)+1),MATCH(C$1,[2]quests!$1:$1,0)-MATCH($B$1,[2]quests!$1:$1,0)+1,FALSE)</f>
        <v>走り抜けろ！ALICE GP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コラボ降臨8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コラボ降臨8</v>
      </c>
      <c r="H3" s="85" t="s">
        <v>225</v>
      </c>
      <c r="I3" s="84" t="s">
        <v>271</v>
      </c>
      <c r="J3" s="84">
        <v>1</v>
      </c>
      <c r="K3" s="84">
        <v>100</v>
      </c>
      <c r="L3" s="84" t="s">
        <v>226</v>
      </c>
      <c r="M3" s="84">
        <v>1302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227</v>
      </c>
      <c r="X3" s="99" t="s">
        <v>228</v>
      </c>
    </row>
    <row r="4" spans="1:24" x14ac:dyDescent="0.15">
      <c r="A4" s="96" t="str">
        <f t="shared" si="0"/>
        <v>49010_1_everyone_clear_1</v>
      </c>
      <c r="B4" s="82">
        <v>49010</v>
      </c>
      <c r="C4" s="83" t="str">
        <f ca="1">VLOOKUP($B4,OFFSET([2]quests!$A$1,0,0,COUNTA([2]quests!$A:$A),MATCH(C$1,[2]quests!$1:$1,0)-MATCH($B$1,[2]quests!$1:$1,0)+1),MATCH(C$1,[2]quests!$1:$1,0)-MATCH($B$1,[2]quests!$1:$1,0)+1,FALSE)</f>
        <v>走り抜けろ！ALICE GP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コラボ降臨8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コラボ降臨8</v>
      </c>
      <c r="H4" s="85" t="s">
        <v>225</v>
      </c>
      <c r="I4" s="84" t="s">
        <v>374</v>
      </c>
      <c r="J4" s="84">
        <v>1</v>
      </c>
      <c r="K4" s="84">
        <v>40</v>
      </c>
      <c r="L4" s="84" t="s">
        <v>226</v>
      </c>
      <c r="M4" s="84">
        <v>1302</v>
      </c>
      <c r="N4" s="97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98" t="s">
        <v>227</v>
      </c>
      <c r="X4" s="99" t="s">
        <v>228</v>
      </c>
    </row>
    <row r="5" spans="1:24" x14ac:dyDescent="0.15">
      <c r="A5" s="96" t="str">
        <f t="shared" si="0"/>
        <v>49010_1_everyone_clear_2</v>
      </c>
      <c r="B5" s="82">
        <v>49010</v>
      </c>
      <c r="C5" s="83" t="str">
        <f ca="1">VLOOKUP($B5,OFFSET([2]quests!$A$1,0,0,COUNTA([2]quests!$A:$A),MATCH(C$1,[2]quests!$1:$1,0)-MATCH($B$1,[2]quests!$1:$1,0)+1),MATCH(C$1,[2]quests!$1:$1,0)-MATCH($B$1,[2]quests!$1:$1,0)+1,FALSE)</f>
        <v>走り抜けろ！ALICE GP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コラボ降臨8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コラボ降臨8</v>
      </c>
      <c r="H5" s="85" t="s">
        <v>225</v>
      </c>
      <c r="I5" s="84" t="s">
        <v>374</v>
      </c>
      <c r="J5" s="84">
        <v>2</v>
      </c>
      <c r="K5" s="84">
        <v>25</v>
      </c>
      <c r="L5" s="84" t="s">
        <v>226</v>
      </c>
      <c r="M5" s="84">
        <v>1302</v>
      </c>
      <c r="N5" s="97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5" s="84">
        <v>1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2</v>
      </c>
      <c r="W5" s="98" t="s">
        <v>227</v>
      </c>
      <c r="X5" s="99" t="s">
        <v>228</v>
      </c>
    </row>
    <row r="6" spans="1:24" x14ac:dyDescent="0.15">
      <c r="A6" s="96" t="str">
        <f t="shared" si="0"/>
        <v>49010_1_everyone_clear_3</v>
      </c>
      <c r="B6" s="82">
        <v>49010</v>
      </c>
      <c r="C6" s="83" t="str">
        <f ca="1">VLOOKUP($B6,OFFSET([2]quests!$A$1,0,0,COUNTA([2]quests!$A:$A),MATCH(C$1,[2]quests!$1:$1,0)-MATCH($B$1,[2]quests!$1:$1,0)+1),MATCH(C$1,[2]quests!$1:$1,0)-MATCH($B$1,[2]quests!$1:$1,0)+1,FALSE)</f>
        <v>走り抜けろ！ALICE GP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コラボ降臨8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コラボ降臨8</v>
      </c>
      <c r="H6" s="85" t="s">
        <v>225</v>
      </c>
      <c r="I6" s="84" t="s">
        <v>374</v>
      </c>
      <c r="J6" s="84">
        <v>3</v>
      </c>
      <c r="K6" s="84">
        <v>20</v>
      </c>
      <c r="L6" s="84" t="s">
        <v>226</v>
      </c>
      <c r="M6" s="84">
        <v>1302</v>
      </c>
      <c r="N6" s="97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3</v>
      </c>
      <c r="W6" s="98" t="s">
        <v>227</v>
      </c>
      <c r="X6" s="99" t="s">
        <v>228</v>
      </c>
    </row>
    <row r="7" spans="1:24" x14ac:dyDescent="0.15">
      <c r="A7" s="96" t="str">
        <f t="shared" si="0"/>
        <v>49010_1_everyone_clear_4</v>
      </c>
      <c r="B7" s="82">
        <v>49010</v>
      </c>
      <c r="C7" s="83" t="str">
        <f ca="1">VLOOKUP($B7,OFFSET([2]quests!$A$1,0,0,COUNTA([2]quests!$A:$A),MATCH(C$1,[2]quests!$1:$1,0)-MATCH($B$1,[2]quests!$1:$1,0)+1),MATCH(C$1,[2]quests!$1:$1,0)-MATCH($B$1,[2]quests!$1:$1,0)+1,FALSE)</f>
        <v>走り抜けろ！ALICE GP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コラボ降臨8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コラボ降臨8</v>
      </c>
      <c r="H7" s="85" t="s">
        <v>225</v>
      </c>
      <c r="I7" s="84" t="s">
        <v>374</v>
      </c>
      <c r="J7" s="84">
        <v>4</v>
      </c>
      <c r="K7" s="84">
        <v>10</v>
      </c>
      <c r="L7" s="84" t="s">
        <v>226</v>
      </c>
      <c r="M7" s="84">
        <v>1302</v>
      </c>
      <c r="N7" s="97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7" s="84">
        <v>1</v>
      </c>
      <c r="P7" s="84">
        <v>1</v>
      </c>
      <c r="Q7" s="84">
        <v>1</v>
      </c>
      <c r="R7" s="84">
        <v>0</v>
      </c>
      <c r="S7" s="84">
        <v>0</v>
      </c>
      <c r="T7" s="84">
        <v>0</v>
      </c>
      <c r="U7" s="84">
        <v>0</v>
      </c>
      <c r="V7" s="84">
        <v>4</v>
      </c>
      <c r="W7" s="98" t="s">
        <v>227</v>
      </c>
      <c r="X7" s="99" t="s">
        <v>228</v>
      </c>
    </row>
    <row r="8" spans="1:24" x14ac:dyDescent="0.15">
      <c r="A8" s="96" t="str">
        <f t="shared" si="0"/>
        <v>49010_1_everyone_clear_5</v>
      </c>
      <c r="B8" s="82">
        <v>49010</v>
      </c>
      <c r="C8" s="83" t="str">
        <f ca="1">VLOOKUP($B8,OFFSET([2]quests!$A$1,0,0,COUNTA([2]quests!$A:$A),MATCH(C$1,[2]quests!$1:$1,0)-MATCH($B$1,[2]quests!$1:$1,0)+1),MATCH(C$1,[2]quests!$1:$1,0)-MATCH($B$1,[2]quests!$1:$1,0)+1,FALSE)</f>
        <v>走り抜けろ！ALICE GP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コラボ降臨8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【ｳｨｻﾞ】走り抜けろ！ALICE GP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コラボ降臨8</v>
      </c>
      <c r="H8" s="85" t="s">
        <v>225</v>
      </c>
      <c r="I8" s="84" t="s">
        <v>374</v>
      </c>
      <c r="J8" s="84">
        <v>5</v>
      </c>
      <c r="K8" s="84">
        <v>5</v>
      </c>
      <c r="L8" s="84" t="s">
        <v>226</v>
      </c>
      <c r="M8" s="84">
        <v>1302</v>
      </c>
      <c r="N8" s="97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超天突符 イナバ</v>
      </c>
      <c r="O8" s="84">
        <v>1</v>
      </c>
      <c r="P8" s="84">
        <v>1</v>
      </c>
      <c r="Q8" s="84">
        <v>1</v>
      </c>
      <c r="R8" s="84">
        <v>0</v>
      </c>
      <c r="S8" s="84">
        <v>0</v>
      </c>
      <c r="T8" s="84">
        <v>0</v>
      </c>
      <c r="U8" s="84">
        <v>0</v>
      </c>
      <c r="V8" s="84">
        <v>5</v>
      </c>
      <c r="W8" s="98" t="s">
        <v>227</v>
      </c>
      <c r="X8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2017-01-23T09:47:36Z</dcterms:modified>
</cp:coreProperties>
</file>