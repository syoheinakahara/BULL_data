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309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880" yWindow="1540" windowWidth="28020" windowHeight="14800"/>
  </bookViews>
  <sheets>
    <sheet name="output" sheetId="7" r:id="rId1"/>
    <sheet name="floors" sheetId="2" r:id="rId2"/>
    <sheet name="enemy_habitats" sheetId="1" r:id="rId3"/>
    <sheet name="enemy_habitat_S" sheetId="8" r:id="rId4"/>
    <sheet name="enemy_skill_sets" sheetId="9" r:id="rId5"/>
    <sheet name="enemy_skills" sheetId="10" r:id="rId6"/>
    <sheet name="enemy_skill_triggers" sheetId="11" r:id="rId7"/>
    <sheet name="bugbonuses" sheetId="12" r:id="rId8"/>
    <sheet name="stage_hints_complete" sheetId="13" r:id="rId9"/>
    <sheet name="stage_hints_failure" sheetId="14" r:id="rId10"/>
    <sheet name="stage_bonuses" sheetId="15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enemy_habitats!$B$1:$AF$2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10" i="13" l="1"/>
  <c r="K310" i="13"/>
  <c r="L309" i="13"/>
  <c r="K309" i="13"/>
  <c r="L308" i="13"/>
  <c r="K308" i="13"/>
  <c r="L307" i="13"/>
  <c r="K307" i="13"/>
  <c r="L306" i="13"/>
  <c r="K306" i="13"/>
  <c r="L305" i="13"/>
  <c r="K305" i="13"/>
  <c r="L304" i="13"/>
  <c r="K304" i="13"/>
  <c r="L303" i="13"/>
  <c r="K303" i="13"/>
  <c r="L302" i="13"/>
  <c r="K302" i="13"/>
  <c r="L301" i="13"/>
  <c r="K301" i="13"/>
  <c r="L300" i="13"/>
  <c r="K300" i="13"/>
  <c r="L299" i="13"/>
  <c r="K299" i="13"/>
  <c r="L298" i="13"/>
  <c r="K298" i="13"/>
  <c r="L297" i="13"/>
  <c r="K297" i="13"/>
  <c r="L296" i="13"/>
  <c r="K296" i="13"/>
  <c r="L295" i="13"/>
  <c r="K295" i="13"/>
  <c r="L294" i="13"/>
  <c r="K294" i="13"/>
  <c r="L293" i="13"/>
  <c r="K293" i="13"/>
  <c r="L292" i="13"/>
  <c r="K292" i="13"/>
  <c r="L291" i="13"/>
  <c r="K291" i="13"/>
  <c r="L290" i="13"/>
  <c r="K290" i="13"/>
  <c r="L289" i="13"/>
  <c r="K289" i="13"/>
  <c r="L288" i="13"/>
  <c r="K288" i="13"/>
  <c r="L287" i="13"/>
  <c r="K287" i="13"/>
  <c r="L286" i="13"/>
  <c r="K286" i="13"/>
  <c r="L285" i="13"/>
  <c r="K285" i="13"/>
  <c r="L284" i="13"/>
  <c r="K284" i="13"/>
  <c r="L283" i="13"/>
  <c r="K283" i="13"/>
  <c r="L282" i="13"/>
  <c r="K282" i="13"/>
  <c r="L281" i="13"/>
  <c r="K281" i="13"/>
  <c r="L280" i="13"/>
  <c r="K280" i="13"/>
  <c r="L279" i="13"/>
  <c r="K279" i="13"/>
  <c r="L278" i="13"/>
  <c r="K278" i="13"/>
  <c r="L277" i="13"/>
  <c r="K277" i="13"/>
  <c r="L276" i="13"/>
  <c r="K276" i="13"/>
  <c r="L275" i="13"/>
  <c r="K275" i="13"/>
  <c r="L274" i="13"/>
  <c r="K274" i="13"/>
  <c r="L273" i="13"/>
  <c r="K273" i="13"/>
  <c r="L272" i="13"/>
  <c r="K272" i="13"/>
  <c r="L271" i="13"/>
  <c r="K271" i="13"/>
  <c r="L270" i="13"/>
  <c r="K270" i="13"/>
  <c r="L269" i="13"/>
  <c r="K269" i="13"/>
  <c r="L268" i="13"/>
  <c r="K268" i="13"/>
  <c r="L267" i="13"/>
  <c r="K267" i="13"/>
  <c r="L266" i="13"/>
  <c r="K266" i="13"/>
  <c r="L265" i="13"/>
  <c r="K265" i="13"/>
  <c r="L264" i="13"/>
  <c r="K264" i="13"/>
  <c r="L263" i="13"/>
  <c r="K263" i="13"/>
  <c r="L262" i="13"/>
  <c r="K262" i="13"/>
  <c r="L261" i="13"/>
  <c r="K261" i="13"/>
  <c r="L260" i="13"/>
  <c r="K260" i="13"/>
  <c r="L259" i="13"/>
  <c r="K259" i="13"/>
  <c r="L258" i="13"/>
  <c r="K258" i="13"/>
  <c r="L257" i="13"/>
  <c r="K257" i="13"/>
  <c r="L256" i="13"/>
  <c r="K256" i="13"/>
  <c r="L255" i="13"/>
  <c r="K255" i="13"/>
  <c r="L254" i="13"/>
  <c r="K254" i="13"/>
  <c r="L253" i="13"/>
  <c r="K253" i="13"/>
  <c r="L252" i="13"/>
  <c r="K252" i="13"/>
  <c r="L251" i="13"/>
  <c r="K251" i="13"/>
  <c r="L250" i="13"/>
  <c r="K250" i="13"/>
  <c r="L249" i="13"/>
  <c r="K249" i="13"/>
  <c r="L248" i="13"/>
  <c r="K248" i="13"/>
  <c r="L247" i="13"/>
  <c r="K247" i="13"/>
  <c r="L246" i="13"/>
  <c r="K246" i="13"/>
  <c r="L245" i="13"/>
  <c r="K245" i="13"/>
  <c r="L244" i="13"/>
  <c r="K244" i="13"/>
  <c r="L243" i="13"/>
  <c r="K243" i="13"/>
  <c r="L242" i="13"/>
  <c r="K242" i="13"/>
  <c r="L241" i="13"/>
  <c r="K241" i="13"/>
  <c r="L240" i="13"/>
  <c r="K240" i="13"/>
  <c r="L239" i="13"/>
  <c r="K239" i="13"/>
  <c r="L238" i="13"/>
  <c r="K238" i="13"/>
  <c r="L237" i="13"/>
  <c r="K237" i="13"/>
  <c r="L236" i="13"/>
  <c r="K236" i="13"/>
  <c r="L235" i="13"/>
  <c r="K235" i="13"/>
  <c r="L234" i="13"/>
  <c r="K234" i="13"/>
  <c r="L233" i="13"/>
  <c r="K233" i="13"/>
  <c r="L232" i="13"/>
  <c r="K232" i="13"/>
  <c r="L231" i="13"/>
  <c r="K231" i="13"/>
  <c r="L230" i="13"/>
  <c r="K230" i="13"/>
  <c r="L229" i="13"/>
  <c r="K229" i="13"/>
  <c r="L228" i="13"/>
  <c r="K228" i="13"/>
  <c r="L227" i="13"/>
  <c r="K227" i="13"/>
  <c r="L226" i="13"/>
  <c r="K226" i="13"/>
  <c r="L225" i="13"/>
  <c r="K225" i="13"/>
  <c r="L224" i="13"/>
  <c r="K224" i="13"/>
  <c r="L223" i="13"/>
  <c r="K223" i="13"/>
  <c r="L222" i="13"/>
  <c r="K222" i="13"/>
  <c r="L221" i="13"/>
  <c r="K221" i="13"/>
  <c r="L220" i="13"/>
  <c r="K220" i="13"/>
  <c r="L219" i="13"/>
  <c r="K219" i="13"/>
  <c r="L218" i="13"/>
  <c r="K218" i="13"/>
  <c r="L217" i="13"/>
  <c r="K217" i="13"/>
  <c r="L216" i="13"/>
  <c r="K216" i="13"/>
  <c r="L215" i="13"/>
  <c r="K215" i="13"/>
  <c r="L214" i="13"/>
  <c r="K214" i="13"/>
  <c r="L213" i="13"/>
  <c r="K213" i="13"/>
  <c r="L212" i="13"/>
  <c r="K212" i="13"/>
  <c r="L211" i="13"/>
  <c r="K211" i="13"/>
  <c r="L210" i="13"/>
  <c r="K210" i="13"/>
  <c r="L209" i="13"/>
  <c r="K209" i="13"/>
  <c r="L208" i="13"/>
  <c r="K208" i="13"/>
  <c r="L207" i="13"/>
  <c r="K207" i="13"/>
  <c r="L206" i="13"/>
  <c r="K206" i="13"/>
  <c r="L205" i="13"/>
  <c r="K205" i="13"/>
  <c r="L204" i="13"/>
  <c r="K204" i="13"/>
  <c r="L203" i="13"/>
  <c r="K203" i="13"/>
  <c r="L202" i="13"/>
  <c r="K202" i="13"/>
  <c r="L201" i="13"/>
  <c r="K201" i="13"/>
  <c r="L200" i="13"/>
  <c r="K200" i="13"/>
  <c r="L199" i="13"/>
  <c r="K199" i="13"/>
  <c r="L198" i="13"/>
  <c r="K198" i="13"/>
  <c r="L197" i="13"/>
  <c r="K197" i="13"/>
  <c r="L196" i="13"/>
  <c r="K196" i="13"/>
  <c r="L195" i="13"/>
  <c r="K195" i="13"/>
  <c r="L194" i="13"/>
  <c r="K194" i="13"/>
  <c r="L193" i="13"/>
  <c r="K193" i="13"/>
  <c r="L192" i="13"/>
  <c r="K192" i="13"/>
  <c r="L191" i="13"/>
  <c r="K191" i="13"/>
  <c r="L190" i="13"/>
  <c r="K190" i="13"/>
  <c r="L189" i="13"/>
  <c r="K189" i="13"/>
  <c r="L188" i="13"/>
  <c r="K188" i="13"/>
  <c r="L187" i="13"/>
  <c r="K187" i="13"/>
  <c r="L186" i="13"/>
  <c r="K186" i="13"/>
  <c r="L185" i="13"/>
  <c r="K185" i="13"/>
  <c r="L184" i="13"/>
  <c r="K184" i="13"/>
  <c r="L183" i="13"/>
  <c r="K183" i="13"/>
  <c r="L182" i="13"/>
  <c r="K182" i="13"/>
  <c r="L181" i="13"/>
  <c r="K181" i="13"/>
  <c r="L180" i="13"/>
  <c r="K180" i="13"/>
  <c r="L179" i="13"/>
  <c r="K179" i="13"/>
  <c r="L178" i="13"/>
  <c r="K178" i="13"/>
  <c r="L177" i="13"/>
  <c r="K177" i="13"/>
  <c r="L176" i="13"/>
  <c r="K176" i="13"/>
  <c r="L175" i="13"/>
  <c r="K175" i="13"/>
  <c r="L174" i="13"/>
  <c r="K174" i="13"/>
  <c r="L173" i="13"/>
  <c r="K173" i="13"/>
  <c r="L172" i="13"/>
  <c r="K172" i="13"/>
  <c r="L171" i="13"/>
  <c r="K171" i="13"/>
  <c r="L170" i="13"/>
  <c r="K170" i="13"/>
  <c r="L169" i="13"/>
  <c r="K169" i="13"/>
  <c r="L168" i="13"/>
  <c r="K168" i="13"/>
  <c r="L167" i="13"/>
  <c r="K167" i="13"/>
  <c r="L166" i="13"/>
  <c r="K166" i="13"/>
  <c r="L165" i="13"/>
  <c r="K165" i="13"/>
  <c r="L164" i="13"/>
  <c r="K164" i="13"/>
  <c r="L163" i="13"/>
  <c r="K163" i="13"/>
  <c r="L162" i="13"/>
  <c r="K162" i="13"/>
  <c r="L161" i="13"/>
  <c r="K161" i="13"/>
  <c r="L160" i="13"/>
  <c r="K160" i="13"/>
  <c r="L159" i="13"/>
  <c r="K159" i="13"/>
  <c r="L158" i="13"/>
  <c r="K158" i="13"/>
  <c r="L157" i="13"/>
  <c r="K157" i="13"/>
  <c r="L156" i="13"/>
  <c r="K156" i="13"/>
  <c r="L155" i="13"/>
  <c r="K155" i="13"/>
  <c r="L154" i="13"/>
  <c r="K154" i="13"/>
  <c r="L153" i="13"/>
  <c r="K153" i="13"/>
  <c r="L152" i="13"/>
  <c r="K152" i="13"/>
  <c r="L151" i="13"/>
  <c r="K151" i="13"/>
  <c r="L150" i="13"/>
  <c r="K150" i="13"/>
  <c r="L149" i="13"/>
  <c r="K149" i="13"/>
  <c r="L148" i="13"/>
  <c r="K148" i="13"/>
  <c r="L147" i="13"/>
  <c r="K147" i="13"/>
  <c r="L146" i="13"/>
  <c r="K146" i="13"/>
  <c r="L145" i="13"/>
  <c r="K145" i="13"/>
  <c r="L144" i="13"/>
  <c r="K144" i="13"/>
  <c r="L143" i="13"/>
  <c r="K143" i="13"/>
  <c r="L142" i="13"/>
  <c r="K142" i="13"/>
  <c r="L141" i="13"/>
  <c r="K141" i="13"/>
  <c r="L140" i="13"/>
  <c r="K140" i="13"/>
  <c r="L139" i="13"/>
  <c r="K139" i="13"/>
  <c r="L138" i="13"/>
  <c r="K138" i="13"/>
  <c r="L137" i="13"/>
  <c r="K137" i="13"/>
  <c r="L136" i="13"/>
  <c r="K136" i="13"/>
  <c r="L135" i="13"/>
  <c r="K135" i="13"/>
  <c r="L134" i="13"/>
  <c r="K134" i="13"/>
  <c r="L133" i="13"/>
  <c r="K133" i="13"/>
  <c r="L132" i="13"/>
  <c r="K132" i="13"/>
  <c r="L131" i="13"/>
  <c r="K131" i="13"/>
  <c r="L130" i="13"/>
  <c r="K130" i="13"/>
  <c r="L129" i="13"/>
  <c r="K129" i="13"/>
  <c r="L128" i="13"/>
  <c r="K128" i="13"/>
  <c r="L127" i="13"/>
  <c r="K127" i="13"/>
  <c r="L126" i="13"/>
  <c r="K126" i="13"/>
  <c r="L125" i="13"/>
  <c r="K125" i="13"/>
  <c r="L124" i="13"/>
  <c r="K124" i="13"/>
  <c r="L123" i="13"/>
  <c r="K123" i="13"/>
  <c r="L122" i="13"/>
  <c r="K122" i="13"/>
  <c r="L121" i="13"/>
  <c r="K121" i="13"/>
  <c r="L120" i="13"/>
  <c r="K120" i="13"/>
  <c r="L119" i="13"/>
  <c r="K119" i="13"/>
  <c r="L118" i="13"/>
  <c r="K118" i="13"/>
  <c r="L117" i="13"/>
  <c r="K117" i="13"/>
  <c r="L116" i="13"/>
  <c r="K116" i="13"/>
  <c r="L115" i="13"/>
  <c r="K115" i="13"/>
  <c r="L114" i="13"/>
  <c r="K114" i="13"/>
  <c r="L113" i="13"/>
  <c r="K113" i="13"/>
  <c r="L112" i="13"/>
  <c r="K112" i="13"/>
  <c r="L111" i="13"/>
  <c r="K111" i="13"/>
  <c r="L110" i="13"/>
  <c r="K110" i="13"/>
  <c r="L109" i="13"/>
  <c r="K109" i="13"/>
  <c r="L108" i="13"/>
  <c r="K108" i="13"/>
  <c r="L107" i="13"/>
  <c r="K107" i="13"/>
  <c r="L106" i="13"/>
  <c r="K106" i="13"/>
  <c r="L105" i="13"/>
  <c r="K105" i="13"/>
  <c r="L104" i="13"/>
  <c r="K104" i="13"/>
  <c r="L103" i="13"/>
  <c r="K103" i="13"/>
  <c r="L102" i="13"/>
  <c r="K102" i="13"/>
  <c r="L101" i="13"/>
  <c r="K101" i="13"/>
  <c r="L100" i="13"/>
  <c r="K100" i="13"/>
  <c r="L99" i="13"/>
  <c r="K99" i="13"/>
  <c r="L98" i="13"/>
  <c r="K98" i="13"/>
  <c r="L97" i="13"/>
  <c r="K97" i="13"/>
  <c r="L96" i="13"/>
  <c r="K96" i="13"/>
  <c r="L95" i="13"/>
  <c r="K95" i="13"/>
  <c r="L94" i="13"/>
  <c r="K94" i="13"/>
  <c r="L93" i="13"/>
  <c r="K93" i="13"/>
  <c r="L92" i="13"/>
  <c r="K92" i="13"/>
  <c r="L91" i="13"/>
  <c r="K91" i="13"/>
  <c r="L90" i="13"/>
  <c r="K90" i="13"/>
  <c r="L89" i="13"/>
  <c r="K89" i="13"/>
  <c r="L88" i="13"/>
  <c r="K88" i="13"/>
  <c r="L87" i="13"/>
  <c r="K87" i="13"/>
  <c r="L86" i="13"/>
  <c r="K86" i="13"/>
  <c r="L85" i="13"/>
  <c r="K85" i="13"/>
  <c r="L84" i="13"/>
  <c r="K84" i="13"/>
  <c r="L83" i="13"/>
  <c r="K83" i="13"/>
  <c r="L82" i="13"/>
  <c r="K82" i="13"/>
  <c r="L81" i="13"/>
  <c r="K81" i="13"/>
  <c r="L80" i="13"/>
  <c r="K80" i="13"/>
  <c r="L79" i="13"/>
  <c r="K79" i="13"/>
  <c r="L78" i="13"/>
  <c r="K78" i="13"/>
  <c r="L77" i="13"/>
  <c r="K77" i="13"/>
  <c r="L76" i="13"/>
  <c r="K76" i="13"/>
  <c r="L75" i="13"/>
  <c r="K75" i="13"/>
  <c r="L74" i="13"/>
  <c r="K74" i="13"/>
  <c r="L73" i="13"/>
  <c r="K73" i="13"/>
  <c r="L72" i="13"/>
  <c r="K72" i="13"/>
  <c r="L71" i="13"/>
  <c r="K71" i="13"/>
  <c r="L70" i="13"/>
  <c r="K70" i="13"/>
  <c r="L69" i="13"/>
  <c r="K69" i="13"/>
  <c r="L68" i="13"/>
  <c r="K68" i="13"/>
  <c r="L67" i="13"/>
  <c r="K67" i="13"/>
  <c r="L66" i="13"/>
  <c r="K66" i="13"/>
  <c r="L65" i="13"/>
  <c r="K65" i="13"/>
  <c r="L64" i="13"/>
  <c r="K64" i="13"/>
  <c r="L63" i="13"/>
  <c r="K63" i="13"/>
  <c r="L62" i="13"/>
  <c r="K62" i="13"/>
  <c r="L61" i="13"/>
  <c r="K61" i="13"/>
  <c r="L60" i="13"/>
  <c r="K60" i="13"/>
  <c r="L59" i="13"/>
  <c r="K59" i="13"/>
  <c r="L58" i="13"/>
  <c r="K58" i="13"/>
  <c r="L57" i="13"/>
  <c r="K57" i="13"/>
  <c r="L56" i="13"/>
  <c r="K56" i="13"/>
  <c r="L55" i="13"/>
  <c r="K55" i="13"/>
  <c r="L54" i="13"/>
  <c r="K54" i="13"/>
  <c r="L53" i="13"/>
  <c r="K53" i="13"/>
  <c r="L52" i="13"/>
  <c r="K52" i="13"/>
  <c r="L51" i="13"/>
  <c r="K51" i="13"/>
  <c r="L50" i="13"/>
  <c r="K50" i="13"/>
  <c r="L49" i="13"/>
  <c r="K49" i="13"/>
  <c r="L48" i="13"/>
  <c r="K48" i="13"/>
  <c r="L47" i="13"/>
  <c r="K47" i="13"/>
  <c r="L46" i="13"/>
  <c r="K46" i="13"/>
  <c r="L45" i="13"/>
  <c r="K45" i="13"/>
  <c r="L44" i="13"/>
  <c r="K44" i="13"/>
  <c r="L43" i="13"/>
  <c r="K43" i="13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L32" i="13"/>
  <c r="K32" i="13"/>
  <c r="L31" i="13"/>
  <c r="K31" i="13"/>
  <c r="L30" i="13"/>
  <c r="K30" i="13"/>
  <c r="L29" i="13"/>
  <c r="K29" i="13"/>
  <c r="L28" i="13"/>
  <c r="K28" i="13"/>
  <c r="L27" i="13"/>
  <c r="K27" i="13"/>
  <c r="L26" i="13"/>
  <c r="K26" i="13"/>
  <c r="L25" i="13"/>
  <c r="K25" i="13"/>
  <c r="L24" i="13"/>
  <c r="K24" i="13"/>
  <c r="L23" i="13"/>
  <c r="K23" i="13"/>
  <c r="L22" i="13"/>
  <c r="K22" i="13"/>
  <c r="L21" i="13"/>
  <c r="K21" i="13"/>
  <c r="L20" i="13"/>
  <c r="K20" i="13"/>
  <c r="L19" i="13"/>
  <c r="K19" i="13"/>
  <c r="L18" i="13"/>
  <c r="K18" i="13"/>
  <c r="L17" i="13"/>
  <c r="K17" i="13"/>
  <c r="L16" i="13"/>
  <c r="K16" i="13"/>
  <c r="L15" i="13"/>
  <c r="K15" i="13"/>
  <c r="L14" i="13"/>
  <c r="K14" i="13"/>
  <c r="L13" i="13"/>
  <c r="K13" i="13"/>
  <c r="L12" i="13"/>
  <c r="K12" i="13"/>
  <c r="L11" i="13"/>
  <c r="K11" i="13"/>
  <c r="L10" i="13"/>
  <c r="K10" i="13"/>
  <c r="L9" i="13"/>
  <c r="K9" i="13"/>
  <c r="L8" i="13"/>
  <c r="K8" i="13"/>
  <c r="L7" i="13"/>
  <c r="K7" i="13"/>
  <c r="L6" i="13"/>
  <c r="K6" i="13"/>
  <c r="L5" i="13"/>
  <c r="K5" i="13"/>
  <c r="L4" i="13"/>
  <c r="K4" i="13"/>
  <c r="L3" i="13"/>
  <c r="K3" i="13"/>
  <c r="L2" i="13"/>
  <c r="K2" i="13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N3" i="15"/>
  <c r="G3" i="15"/>
  <c r="F3" i="15"/>
  <c r="D3" i="15"/>
  <c r="C3" i="15"/>
  <c r="A3" i="15"/>
  <c r="N2" i="15"/>
  <c r="G2" i="15"/>
  <c r="F2" i="15"/>
  <c r="D2" i="15"/>
  <c r="C2" i="15"/>
  <c r="A2" i="15"/>
  <c r="I2" i="14"/>
  <c r="J2" i="14"/>
  <c r="G2" i="14"/>
  <c r="F2" i="14"/>
  <c r="D2" i="14"/>
  <c r="C2" i="14"/>
  <c r="J2" i="11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O2" i="9"/>
  <c r="N2" i="9"/>
  <c r="M2" i="9"/>
  <c r="L2" i="9"/>
  <c r="K2" i="9"/>
  <c r="J2" i="9"/>
  <c r="I2" i="9"/>
  <c r="H2" i="9"/>
  <c r="G2" i="9"/>
  <c r="E2" i="9"/>
  <c r="D2" i="9"/>
  <c r="A2" i="9"/>
  <c r="AA2" i="8"/>
  <c r="Z2" i="8"/>
  <c r="Y2" i="8"/>
  <c r="W2" i="8"/>
  <c r="U2" i="8"/>
  <c r="R2" i="8"/>
  <c r="Q2" i="8"/>
  <c r="P2" i="8"/>
  <c r="O2" i="8"/>
  <c r="N2" i="8"/>
  <c r="H2" i="8"/>
  <c r="D2" i="8"/>
  <c r="F2" i="8"/>
  <c r="E2" i="8"/>
  <c r="A2" i="8"/>
  <c r="C13" i="7"/>
  <c r="E13" i="7"/>
  <c r="C12" i="7"/>
  <c r="E12" i="7"/>
  <c r="C11" i="7"/>
  <c r="E11" i="7"/>
  <c r="C10" i="7"/>
  <c r="E10" i="7"/>
  <c r="C9" i="7"/>
  <c r="E9" i="7"/>
  <c r="C8" i="7"/>
  <c r="E8" i="7"/>
  <c r="C7" i="7"/>
  <c r="E7" i="7"/>
  <c r="C6" i="7"/>
  <c r="E6" i="7"/>
  <c r="C5" i="7"/>
  <c r="E5" i="7"/>
  <c r="C4" i="7"/>
  <c r="E4" i="7"/>
  <c r="C3" i="7"/>
  <c r="E3" i="7"/>
  <c r="E2" i="7"/>
  <c r="AC244" i="1"/>
  <c r="AB244" i="1"/>
  <c r="AA244" i="1"/>
  <c r="Y244" i="1"/>
  <c r="O244" i="1"/>
  <c r="N244" i="1"/>
  <c r="M244" i="1"/>
  <c r="L244" i="1"/>
  <c r="K244" i="1"/>
  <c r="AC243" i="1"/>
  <c r="AB243" i="1"/>
  <c r="AA243" i="1"/>
  <c r="Y243" i="1"/>
  <c r="U243" i="1"/>
  <c r="O243" i="1"/>
  <c r="N243" i="1"/>
  <c r="M243" i="1"/>
  <c r="L243" i="1"/>
  <c r="K243" i="1"/>
  <c r="AC242" i="1"/>
  <c r="AB242" i="1"/>
  <c r="AA242" i="1"/>
  <c r="Y242" i="1"/>
  <c r="U242" i="1"/>
  <c r="O242" i="1"/>
  <c r="N242" i="1"/>
  <c r="M242" i="1"/>
  <c r="L242" i="1"/>
  <c r="K242" i="1"/>
  <c r="AC241" i="1"/>
  <c r="AB241" i="1"/>
  <c r="AA241" i="1"/>
  <c r="Y241" i="1"/>
  <c r="O241" i="1"/>
  <c r="N241" i="1"/>
  <c r="M241" i="1"/>
  <c r="L241" i="1"/>
  <c r="K241" i="1"/>
  <c r="AC240" i="1"/>
  <c r="AB240" i="1"/>
  <c r="AA240" i="1"/>
  <c r="Y240" i="1"/>
  <c r="U240" i="1"/>
  <c r="O240" i="1"/>
  <c r="N240" i="1"/>
  <c r="M240" i="1"/>
  <c r="L240" i="1"/>
  <c r="K240" i="1"/>
  <c r="AC239" i="1"/>
  <c r="AB239" i="1"/>
  <c r="AA239" i="1"/>
  <c r="Y239" i="1"/>
  <c r="U239" i="1"/>
  <c r="O239" i="1"/>
  <c r="N239" i="1"/>
  <c r="M239" i="1"/>
  <c r="L239" i="1"/>
  <c r="K239" i="1"/>
  <c r="AC238" i="1"/>
  <c r="AB238" i="1"/>
  <c r="AA238" i="1"/>
  <c r="Y238" i="1"/>
  <c r="O238" i="1"/>
  <c r="N238" i="1"/>
  <c r="M238" i="1"/>
  <c r="L238" i="1"/>
  <c r="K238" i="1"/>
  <c r="AC237" i="1"/>
  <c r="AB237" i="1"/>
  <c r="AA237" i="1"/>
  <c r="Y237" i="1"/>
  <c r="U237" i="1"/>
  <c r="O237" i="1"/>
  <c r="N237" i="1"/>
  <c r="M237" i="1"/>
  <c r="L237" i="1"/>
  <c r="K237" i="1"/>
  <c r="AC236" i="1"/>
  <c r="AB236" i="1"/>
  <c r="AA236" i="1"/>
  <c r="Y236" i="1"/>
  <c r="U236" i="1"/>
  <c r="O236" i="1"/>
  <c r="N236" i="1"/>
  <c r="M236" i="1"/>
  <c r="L236" i="1"/>
  <c r="K236" i="1"/>
  <c r="AC235" i="1"/>
  <c r="AB235" i="1"/>
  <c r="AA235" i="1"/>
  <c r="Y235" i="1"/>
  <c r="U235" i="1"/>
  <c r="O235" i="1"/>
  <c r="N235" i="1"/>
  <c r="M235" i="1"/>
  <c r="L235" i="1"/>
  <c r="K235" i="1"/>
  <c r="AC234" i="1"/>
  <c r="AB234" i="1"/>
  <c r="AA234" i="1"/>
  <c r="Y234" i="1"/>
  <c r="U234" i="1"/>
  <c r="O234" i="1"/>
  <c r="N234" i="1"/>
  <c r="M234" i="1"/>
  <c r="L234" i="1"/>
  <c r="K234" i="1"/>
  <c r="AC233" i="1"/>
  <c r="AB233" i="1"/>
  <c r="AA233" i="1"/>
  <c r="Y233" i="1"/>
  <c r="U233" i="1"/>
  <c r="O233" i="1"/>
  <c r="N233" i="1"/>
  <c r="M233" i="1"/>
  <c r="L233" i="1"/>
  <c r="K233" i="1"/>
  <c r="AC232" i="1"/>
  <c r="AB232" i="1"/>
  <c r="AA232" i="1"/>
  <c r="Y232" i="1"/>
  <c r="U232" i="1"/>
  <c r="O232" i="1"/>
  <c r="N232" i="1"/>
  <c r="M232" i="1"/>
  <c r="L232" i="1"/>
  <c r="K232" i="1"/>
  <c r="AC231" i="1"/>
  <c r="AB231" i="1"/>
  <c r="AA231" i="1"/>
  <c r="Y231" i="1"/>
  <c r="U231" i="1"/>
  <c r="O231" i="1"/>
  <c r="N231" i="1"/>
  <c r="M231" i="1"/>
  <c r="L231" i="1"/>
  <c r="K231" i="1"/>
  <c r="AC230" i="1"/>
  <c r="AB230" i="1"/>
  <c r="AA230" i="1"/>
  <c r="Y230" i="1"/>
  <c r="U230" i="1"/>
  <c r="O230" i="1"/>
  <c r="N230" i="1"/>
  <c r="M230" i="1"/>
  <c r="L230" i="1"/>
  <c r="K230" i="1"/>
  <c r="AC229" i="1"/>
  <c r="AB229" i="1"/>
  <c r="AA229" i="1"/>
  <c r="Y229" i="1"/>
  <c r="U229" i="1"/>
  <c r="O229" i="1"/>
  <c r="N229" i="1"/>
  <c r="M229" i="1"/>
  <c r="L229" i="1"/>
  <c r="K229" i="1"/>
  <c r="AC228" i="1"/>
  <c r="AB228" i="1"/>
  <c r="AA228" i="1"/>
  <c r="Y228" i="1"/>
  <c r="O228" i="1"/>
  <c r="N228" i="1"/>
  <c r="M228" i="1"/>
  <c r="L228" i="1"/>
  <c r="K228" i="1"/>
  <c r="AC227" i="1"/>
  <c r="AB227" i="1"/>
  <c r="AA227" i="1"/>
  <c r="Y227" i="1"/>
  <c r="U227" i="1"/>
  <c r="O227" i="1"/>
  <c r="N227" i="1"/>
  <c r="M227" i="1"/>
  <c r="L227" i="1"/>
  <c r="K227" i="1"/>
  <c r="AC226" i="1"/>
  <c r="AB226" i="1"/>
  <c r="AA226" i="1"/>
  <c r="Y226" i="1"/>
  <c r="U226" i="1"/>
  <c r="O226" i="1"/>
  <c r="N226" i="1"/>
  <c r="M226" i="1"/>
  <c r="L226" i="1"/>
  <c r="K226" i="1"/>
  <c r="AC225" i="1"/>
  <c r="AB225" i="1"/>
  <c r="AA225" i="1"/>
  <c r="Y225" i="1"/>
  <c r="U225" i="1"/>
  <c r="O225" i="1"/>
  <c r="N225" i="1"/>
  <c r="M225" i="1"/>
  <c r="L225" i="1"/>
  <c r="K225" i="1"/>
  <c r="AC224" i="1"/>
  <c r="AB224" i="1"/>
  <c r="AA224" i="1"/>
  <c r="Y224" i="1"/>
  <c r="O224" i="1"/>
  <c r="N224" i="1"/>
  <c r="M224" i="1"/>
  <c r="L224" i="1"/>
  <c r="K224" i="1"/>
  <c r="AC223" i="1"/>
  <c r="AB223" i="1"/>
  <c r="AA223" i="1"/>
  <c r="Y223" i="1"/>
  <c r="O223" i="1"/>
  <c r="N223" i="1"/>
  <c r="M223" i="1"/>
  <c r="L223" i="1"/>
  <c r="K223" i="1"/>
  <c r="D223" i="1"/>
  <c r="F223" i="1"/>
  <c r="AC222" i="1"/>
  <c r="AB222" i="1"/>
  <c r="AA222" i="1"/>
  <c r="Y222" i="1"/>
  <c r="U222" i="1"/>
  <c r="O222" i="1"/>
  <c r="N222" i="1"/>
  <c r="M222" i="1"/>
  <c r="L222" i="1"/>
  <c r="K222" i="1"/>
  <c r="D222" i="1"/>
  <c r="F222" i="1"/>
  <c r="AC221" i="1"/>
  <c r="AB221" i="1"/>
  <c r="AA221" i="1"/>
  <c r="Y221" i="1"/>
  <c r="U221" i="1"/>
  <c r="O221" i="1"/>
  <c r="N221" i="1"/>
  <c r="M221" i="1"/>
  <c r="L221" i="1"/>
  <c r="K221" i="1"/>
  <c r="D221" i="1"/>
  <c r="F221" i="1"/>
  <c r="AC220" i="1"/>
  <c r="AB220" i="1"/>
  <c r="AA220" i="1"/>
  <c r="Y220" i="1"/>
  <c r="U220" i="1"/>
  <c r="O220" i="1"/>
  <c r="N220" i="1"/>
  <c r="M220" i="1"/>
  <c r="L220" i="1"/>
  <c r="K220" i="1"/>
  <c r="D220" i="1"/>
  <c r="F220" i="1"/>
  <c r="AC219" i="1"/>
  <c r="AB219" i="1"/>
  <c r="AA219" i="1"/>
  <c r="Y219" i="1"/>
  <c r="U219" i="1"/>
  <c r="O219" i="1"/>
  <c r="N219" i="1"/>
  <c r="M219" i="1"/>
  <c r="L219" i="1"/>
  <c r="K219" i="1"/>
  <c r="D219" i="1"/>
  <c r="F219" i="1"/>
  <c r="AC218" i="1"/>
  <c r="AB218" i="1"/>
  <c r="AA218" i="1"/>
  <c r="Y218" i="1"/>
  <c r="O218" i="1"/>
  <c r="N218" i="1"/>
  <c r="M218" i="1"/>
  <c r="L218" i="1"/>
  <c r="K218" i="1"/>
  <c r="D218" i="1"/>
  <c r="F218" i="1"/>
  <c r="AC217" i="1"/>
  <c r="AB217" i="1"/>
  <c r="AA217" i="1"/>
  <c r="Y217" i="1"/>
  <c r="O217" i="1"/>
  <c r="N217" i="1"/>
  <c r="M217" i="1"/>
  <c r="L217" i="1"/>
  <c r="K217" i="1"/>
  <c r="D217" i="1"/>
  <c r="F217" i="1"/>
  <c r="AC216" i="1"/>
  <c r="AB216" i="1"/>
  <c r="AA216" i="1"/>
  <c r="Y216" i="1"/>
  <c r="U216" i="1"/>
  <c r="O216" i="1"/>
  <c r="N216" i="1"/>
  <c r="M216" i="1"/>
  <c r="L216" i="1"/>
  <c r="K216" i="1"/>
  <c r="D216" i="1"/>
  <c r="F216" i="1"/>
  <c r="AC215" i="1"/>
  <c r="AB215" i="1"/>
  <c r="AA215" i="1"/>
  <c r="Y215" i="1"/>
  <c r="U215" i="1"/>
  <c r="O215" i="1"/>
  <c r="N215" i="1"/>
  <c r="M215" i="1"/>
  <c r="L215" i="1"/>
  <c r="K215" i="1"/>
  <c r="D215" i="1"/>
  <c r="F215" i="1"/>
  <c r="AC214" i="1"/>
  <c r="AB214" i="1"/>
  <c r="AA214" i="1"/>
  <c r="Y214" i="1"/>
  <c r="U214" i="1"/>
  <c r="O214" i="1"/>
  <c r="N214" i="1"/>
  <c r="M214" i="1"/>
  <c r="L214" i="1"/>
  <c r="K214" i="1"/>
  <c r="D214" i="1"/>
  <c r="F214" i="1"/>
  <c r="AC213" i="1"/>
  <c r="AB213" i="1"/>
  <c r="AA213" i="1"/>
  <c r="Y213" i="1"/>
  <c r="U213" i="1"/>
  <c r="O213" i="1"/>
  <c r="N213" i="1"/>
  <c r="M213" i="1"/>
  <c r="L213" i="1"/>
  <c r="K213" i="1"/>
  <c r="D213" i="1"/>
  <c r="F213" i="1"/>
  <c r="AC212" i="1"/>
  <c r="AB212" i="1"/>
  <c r="AA212" i="1"/>
  <c r="Y212" i="1"/>
  <c r="O212" i="1"/>
  <c r="N212" i="1"/>
  <c r="M212" i="1"/>
  <c r="L212" i="1"/>
  <c r="K212" i="1"/>
  <c r="D212" i="1"/>
  <c r="F212" i="1"/>
  <c r="AC211" i="1"/>
  <c r="AB211" i="1"/>
  <c r="AA211" i="1"/>
  <c r="Y211" i="1"/>
  <c r="U211" i="1"/>
  <c r="O211" i="1"/>
  <c r="N211" i="1"/>
  <c r="M211" i="1"/>
  <c r="L211" i="1"/>
  <c r="K211" i="1"/>
  <c r="D211" i="1"/>
  <c r="F211" i="1"/>
  <c r="AC210" i="1"/>
  <c r="AB210" i="1"/>
  <c r="AA210" i="1"/>
  <c r="Y210" i="1"/>
  <c r="U210" i="1"/>
  <c r="O210" i="1"/>
  <c r="N210" i="1"/>
  <c r="M210" i="1"/>
  <c r="L210" i="1"/>
  <c r="K210" i="1"/>
  <c r="D210" i="1"/>
  <c r="F210" i="1"/>
  <c r="AC209" i="1"/>
  <c r="AB209" i="1"/>
  <c r="AA209" i="1"/>
  <c r="Y209" i="1"/>
  <c r="U209" i="1"/>
  <c r="O209" i="1"/>
  <c r="N209" i="1"/>
  <c r="M209" i="1"/>
  <c r="L209" i="1"/>
  <c r="K209" i="1"/>
  <c r="D209" i="1"/>
  <c r="F209" i="1"/>
  <c r="AC208" i="1"/>
  <c r="AB208" i="1"/>
  <c r="AA208" i="1"/>
  <c r="Y208" i="1"/>
  <c r="U208" i="1"/>
  <c r="O208" i="1"/>
  <c r="N208" i="1"/>
  <c r="M208" i="1"/>
  <c r="L208" i="1"/>
  <c r="K208" i="1"/>
  <c r="D208" i="1"/>
  <c r="F208" i="1"/>
  <c r="AC207" i="1"/>
  <c r="AB207" i="1"/>
  <c r="AA207" i="1"/>
  <c r="Y207" i="1"/>
  <c r="U207" i="1"/>
  <c r="O207" i="1"/>
  <c r="N207" i="1"/>
  <c r="M207" i="1"/>
  <c r="L207" i="1"/>
  <c r="K207" i="1"/>
  <c r="D207" i="1"/>
  <c r="F207" i="1"/>
  <c r="AC206" i="1"/>
  <c r="AB206" i="1"/>
  <c r="AA206" i="1"/>
  <c r="Y206" i="1"/>
  <c r="O206" i="1"/>
  <c r="N206" i="1"/>
  <c r="M206" i="1"/>
  <c r="L206" i="1"/>
  <c r="K206" i="1"/>
  <c r="D206" i="1"/>
  <c r="F206" i="1"/>
  <c r="AC205" i="1"/>
  <c r="AB205" i="1"/>
  <c r="AA205" i="1"/>
  <c r="Y205" i="1"/>
  <c r="U205" i="1"/>
  <c r="O205" i="1"/>
  <c r="N205" i="1"/>
  <c r="M205" i="1"/>
  <c r="L205" i="1"/>
  <c r="K205" i="1"/>
  <c r="D205" i="1"/>
  <c r="F205" i="1"/>
  <c r="AC204" i="1"/>
  <c r="AB204" i="1"/>
  <c r="AA204" i="1"/>
  <c r="Y204" i="1"/>
  <c r="U204" i="1"/>
  <c r="O204" i="1"/>
  <c r="N204" i="1"/>
  <c r="M204" i="1"/>
  <c r="L204" i="1"/>
  <c r="K204" i="1"/>
  <c r="D204" i="1"/>
  <c r="F204" i="1"/>
  <c r="AC203" i="1"/>
  <c r="AB203" i="1"/>
  <c r="AA203" i="1"/>
  <c r="Y203" i="1"/>
  <c r="U203" i="1"/>
  <c r="O203" i="1"/>
  <c r="N203" i="1"/>
  <c r="M203" i="1"/>
  <c r="L203" i="1"/>
  <c r="K203" i="1"/>
  <c r="D203" i="1"/>
  <c r="F203" i="1"/>
  <c r="AC202" i="1"/>
  <c r="AB202" i="1"/>
  <c r="AA202" i="1"/>
  <c r="Y202" i="1"/>
  <c r="O202" i="1"/>
  <c r="N202" i="1"/>
  <c r="M202" i="1"/>
  <c r="L202" i="1"/>
  <c r="K202" i="1"/>
  <c r="D202" i="1"/>
  <c r="F202" i="1"/>
  <c r="AC201" i="1"/>
  <c r="AB201" i="1"/>
  <c r="AA201" i="1"/>
  <c r="Y201" i="1"/>
  <c r="U201" i="1"/>
  <c r="O201" i="1"/>
  <c r="N201" i="1"/>
  <c r="M201" i="1"/>
  <c r="L201" i="1"/>
  <c r="K201" i="1"/>
  <c r="D201" i="1"/>
  <c r="F201" i="1"/>
  <c r="AC200" i="1"/>
  <c r="AB200" i="1"/>
  <c r="AA200" i="1"/>
  <c r="Y200" i="1"/>
  <c r="U200" i="1"/>
  <c r="O200" i="1"/>
  <c r="N200" i="1"/>
  <c r="M200" i="1"/>
  <c r="L200" i="1"/>
  <c r="K200" i="1"/>
  <c r="D200" i="1"/>
  <c r="F200" i="1"/>
  <c r="AC199" i="1"/>
  <c r="AB199" i="1"/>
  <c r="AA199" i="1"/>
  <c r="Y199" i="1"/>
  <c r="U199" i="1"/>
  <c r="O199" i="1"/>
  <c r="N199" i="1"/>
  <c r="M199" i="1"/>
  <c r="L199" i="1"/>
  <c r="K199" i="1"/>
  <c r="D199" i="1"/>
  <c r="F199" i="1"/>
  <c r="AC198" i="1"/>
  <c r="AB198" i="1"/>
  <c r="AA198" i="1"/>
  <c r="Y198" i="1"/>
  <c r="U198" i="1"/>
  <c r="O198" i="1"/>
  <c r="N198" i="1"/>
  <c r="M198" i="1"/>
  <c r="L198" i="1"/>
  <c r="K198" i="1"/>
  <c r="D198" i="1"/>
  <c r="F198" i="1"/>
  <c r="AC197" i="1"/>
  <c r="AB197" i="1"/>
  <c r="AA197" i="1"/>
  <c r="Y197" i="1"/>
  <c r="U197" i="1"/>
  <c r="O197" i="1"/>
  <c r="N197" i="1"/>
  <c r="M197" i="1"/>
  <c r="L197" i="1"/>
  <c r="K197" i="1"/>
  <c r="D197" i="1"/>
  <c r="F197" i="1"/>
  <c r="AC196" i="1"/>
  <c r="AB196" i="1"/>
  <c r="AA196" i="1"/>
  <c r="Y196" i="1"/>
  <c r="U196" i="1"/>
  <c r="O196" i="1"/>
  <c r="N196" i="1"/>
  <c r="M196" i="1"/>
  <c r="L196" i="1"/>
  <c r="K196" i="1"/>
  <c r="D196" i="1"/>
  <c r="F196" i="1"/>
  <c r="AC195" i="1"/>
  <c r="AB195" i="1"/>
  <c r="AA195" i="1"/>
  <c r="Y195" i="1"/>
  <c r="U195" i="1"/>
  <c r="O195" i="1"/>
  <c r="N195" i="1"/>
  <c r="M195" i="1"/>
  <c r="L195" i="1"/>
  <c r="K195" i="1"/>
  <c r="D195" i="1"/>
  <c r="F195" i="1"/>
  <c r="AC194" i="1"/>
  <c r="AB194" i="1"/>
  <c r="AA194" i="1"/>
  <c r="Y194" i="1"/>
  <c r="U194" i="1"/>
  <c r="O194" i="1"/>
  <c r="N194" i="1"/>
  <c r="M194" i="1"/>
  <c r="L194" i="1"/>
  <c r="K194" i="1"/>
  <c r="D194" i="1"/>
  <c r="F194" i="1"/>
  <c r="AC193" i="1"/>
  <c r="AB193" i="1"/>
  <c r="AA193" i="1"/>
  <c r="Y193" i="1"/>
  <c r="U193" i="1"/>
  <c r="O193" i="1"/>
  <c r="N193" i="1"/>
  <c r="M193" i="1"/>
  <c r="L193" i="1"/>
  <c r="K193" i="1"/>
  <c r="D193" i="1"/>
  <c r="F193" i="1"/>
  <c r="AC192" i="1"/>
  <c r="AB192" i="1"/>
  <c r="AA192" i="1"/>
  <c r="Y192" i="1"/>
  <c r="U192" i="1"/>
  <c r="O192" i="1"/>
  <c r="N192" i="1"/>
  <c r="M192" i="1"/>
  <c r="L192" i="1"/>
  <c r="K192" i="1"/>
  <c r="D192" i="1"/>
  <c r="F192" i="1"/>
  <c r="AC191" i="1"/>
  <c r="AB191" i="1"/>
  <c r="AA191" i="1"/>
  <c r="Y191" i="1"/>
  <c r="U191" i="1"/>
  <c r="O191" i="1"/>
  <c r="N191" i="1"/>
  <c r="M191" i="1"/>
  <c r="L191" i="1"/>
  <c r="K191" i="1"/>
  <c r="D191" i="1"/>
  <c r="F191" i="1"/>
  <c r="AC190" i="1"/>
  <c r="AB190" i="1"/>
  <c r="AA190" i="1"/>
  <c r="Y190" i="1"/>
  <c r="U190" i="1"/>
  <c r="O190" i="1"/>
  <c r="N190" i="1"/>
  <c r="M190" i="1"/>
  <c r="L190" i="1"/>
  <c r="K190" i="1"/>
  <c r="D190" i="1"/>
  <c r="F190" i="1"/>
  <c r="AC189" i="1"/>
  <c r="AB189" i="1"/>
  <c r="AA189" i="1"/>
  <c r="Y189" i="1"/>
  <c r="U189" i="1"/>
  <c r="O189" i="1"/>
  <c r="N189" i="1"/>
  <c r="M189" i="1"/>
  <c r="L189" i="1"/>
  <c r="K189" i="1"/>
  <c r="D189" i="1"/>
  <c r="F189" i="1"/>
  <c r="AC188" i="1"/>
  <c r="AB188" i="1"/>
  <c r="AA188" i="1"/>
  <c r="Y188" i="1"/>
  <c r="U188" i="1"/>
  <c r="O188" i="1"/>
  <c r="N188" i="1"/>
  <c r="M188" i="1"/>
  <c r="L188" i="1"/>
  <c r="K188" i="1"/>
  <c r="D188" i="1"/>
  <c r="F188" i="1"/>
  <c r="AC187" i="1"/>
  <c r="AB187" i="1"/>
  <c r="AA187" i="1"/>
  <c r="Y187" i="1"/>
  <c r="U187" i="1"/>
  <c r="O187" i="1"/>
  <c r="N187" i="1"/>
  <c r="M187" i="1"/>
  <c r="L187" i="1"/>
  <c r="K187" i="1"/>
  <c r="D187" i="1"/>
  <c r="F187" i="1"/>
  <c r="AC186" i="1"/>
  <c r="AB186" i="1"/>
  <c r="AA186" i="1"/>
  <c r="Y186" i="1"/>
  <c r="U186" i="1"/>
  <c r="O186" i="1"/>
  <c r="N186" i="1"/>
  <c r="M186" i="1"/>
  <c r="L186" i="1"/>
  <c r="K186" i="1"/>
  <c r="D186" i="1"/>
  <c r="F186" i="1"/>
  <c r="AC185" i="1"/>
  <c r="AB185" i="1"/>
  <c r="AA185" i="1"/>
  <c r="Y185" i="1"/>
  <c r="U185" i="1"/>
  <c r="O185" i="1"/>
  <c r="N185" i="1"/>
  <c r="M185" i="1"/>
  <c r="L185" i="1"/>
  <c r="K185" i="1"/>
  <c r="D185" i="1"/>
  <c r="F185" i="1"/>
  <c r="AC184" i="1"/>
  <c r="AB184" i="1"/>
  <c r="AA184" i="1"/>
  <c r="Y184" i="1"/>
  <c r="U184" i="1"/>
  <c r="O184" i="1"/>
  <c r="N184" i="1"/>
  <c r="M184" i="1"/>
  <c r="L184" i="1"/>
  <c r="K184" i="1"/>
  <c r="D184" i="1"/>
  <c r="F184" i="1"/>
  <c r="AC183" i="1"/>
  <c r="AB183" i="1"/>
  <c r="AA183" i="1"/>
  <c r="Y183" i="1"/>
  <c r="U183" i="1"/>
  <c r="O183" i="1"/>
  <c r="N183" i="1"/>
  <c r="M183" i="1"/>
  <c r="L183" i="1"/>
  <c r="K183" i="1"/>
  <c r="D183" i="1"/>
  <c r="F183" i="1"/>
  <c r="AC182" i="1"/>
  <c r="AB182" i="1"/>
  <c r="AA182" i="1"/>
  <c r="Y182" i="1"/>
  <c r="U182" i="1"/>
  <c r="O182" i="1"/>
  <c r="N182" i="1"/>
  <c r="M182" i="1"/>
  <c r="L182" i="1"/>
  <c r="K182" i="1"/>
  <c r="D182" i="1"/>
  <c r="F182" i="1"/>
  <c r="AC181" i="1"/>
  <c r="AB181" i="1"/>
  <c r="AA181" i="1"/>
  <c r="Y181" i="1"/>
  <c r="U181" i="1"/>
  <c r="O181" i="1"/>
  <c r="N181" i="1"/>
  <c r="M181" i="1"/>
  <c r="L181" i="1"/>
  <c r="K181" i="1"/>
  <c r="D181" i="1"/>
  <c r="F181" i="1"/>
  <c r="AC180" i="1"/>
  <c r="AB180" i="1"/>
  <c r="AA180" i="1"/>
  <c r="Y180" i="1"/>
  <c r="U180" i="1"/>
  <c r="O180" i="1"/>
  <c r="N180" i="1"/>
  <c r="M180" i="1"/>
  <c r="L180" i="1"/>
  <c r="K180" i="1"/>
  <c r="D180" i="1"/>
  <c r="F180" i="1"/>
  <c r="AC179" i="1"/>
  <c r="AB179" i="1"/>
  <c r="AA179" i="1"/>
  <c r="Y179" i="1"/>
  <c r="U179" i="1"/>
  <c r="O179" i="1"/>
  <c r="N179" i="1"/>
  <c r="M179" i="1"/>
  <c r="L179" i="1"/>
  <c r="K179" i="1"/>
  <c r="D179" i="1"/>
  <c r="F179" i="1"/>
  <c r="AC178" i="1"/>
  <c r="AB178" i="1"/>
  <c r="AA178" i="1"/>
  <c r="Y178" i="1"/>
  <c r="U178" i="1"/>
  <c r="O178" i="1"/>
  <c r="N178" i="1"/>
  <c r="M178" i="1"/>
  <c r="L178" i="1"/>
  <c r="K178" i="1"/>
  <c r="D178" i="1"/>
  <c r="F178" i="1"/>
  <c r="AC177" i="1"/>
  <c r="AB177" i="1"/>
  <c r="AA177" i="1"/>
  <c r="Y177" i="1"/>
  <c r="U177" i="1"/>
  <c r="O177" i="1"/>
  <c r="N177" i="1"/>
  <c r="M177" i="1"/>
  <c r="L177" i="1"/>
  <c r="K177" i="1"/>
  <c r="D177" i="1"/>
  <c r="F177" i="1"/>
  <c r="AC176" i="1"/>
  <c r="AB176" i="1"/>
  <c r="AA176" i="1"/>
  <c r="Y176" i="1"/>
  <c r="U176" i="1"/>
  <c r="O176" i="1"/>
  <c r="N176" i="1"/>
  <c r="M176" i="1"/>
  <c r="L176" i="1"/>
  <c r="K176" i="1"/>
  <c r="D176" i="1"/>
  <c r="F176" i="1"/>
  <c r="AC175" i="1"/>
  <c r="AB175" i="1"/>
  <c r="AA175" i="1"/>
  <c r="Y175" i="1"/>
  <c r="U175" i="1"/>
  <c r="O175" i="1"/>
  <c r="N175" i="1"/>
  <c r="M175" i="1"/>
  <c r="L175" i="1"/>
  <c r="K175" i="1"/>
  <c r="D175" i="1"/>
  <c r="F175" i="1"/>
  <c r="AC174" i="1"/>
  <c r="AB174" i="1"/>
  <c r="AA174" i="1"/>
  <c r="Y174" i="1"/>
  <c r="U174" i="1"/>
  <c r="O174" i="1"/>
  <c r="N174" i="1"/>
  <c r="M174" i="1"/>
  <c r="L174" i="1"/>
  <c r="K174" i="1"/>
  <c r="D174" i="1"/>
  <c r="F174" i="1"/>
  <c r="AC173" i="1"/>
  <c r="AB173" i="1"/>
  <c r="AA173" i="1"/>
  <c r="Y173" i="1"/>
  <c r="U173" i="1"/>
  <c r="O173" i="1"/>
  <c r="N173" i="1"/>
  <c r="M173" i="1"/>
  <c r="L173" i="1"/>
  <c r="K173" i="1"/>
  <c r="D173" i="1"/>
  <c r="F173" i="1"/>
  <c r="AC172" i="1"/>
  <c r="AB172" i="1"/>
  <c r="AA172" i="1"/>
  <c r="Y172" i="1"/>
  <c r="U172" i="1"/>
  <c r="O172" i="1"/>
  <c r="N172" i="1"/>
  <c r="M172" i="1"/>
  <c r="L172" i="1"/>
  <c r="K172" i="1"/>
  <c r="D172" i="1"/>
  <c r="F172" i="1"/>
  <c r="AC171" i="1"/>
  <c r="AB171" i="1"/>
  <c r="AA171" i="1"/>
  <c r="Y171" i="1"/>
  <c r="U171" i="1"/>
  <c r="O171" i="1"/>
  <c r="N171" i="1"/>
  <c r="M171" i="1"/>
  <c r="L171" i="1"/>
  <c r="K171" i="1"/>
  <c r="D171" i="1"/>
  <c r="F171" i="1"/>
  <c r="AC170" i="1"/>
  <c r="AB170" i="1"/>
  <c r="AA170" i="1"/>
  <c r="Y170" i="1"/>
  <c r="U170" i="1"/>
  <c r="O170" i="1"/>
  <c r="N170" i="1"/>
  <c r="M170" i="1"/>
  <c r="L170" i="1"/>
  <c r="K170" i="1"/>
  <c r="D170" i="1"/>
  <c r="F170" i="1"/>
  <c r="AC169" i="1"/>
  <c r="AB169" i="1"/>
  <c r="AA169" i="1"/>
  <c r="Y169" i="1"/>
  <c r="U169" i="1"/>
  <c r="O169" i="1"/>
  <c r="N169" i="1"/>
  <c r="M169" i="1"/>
  <c r="L169" i="1"/>
  <c r="K169" i="1"/>
  <c r="D169" i="1"/>
  <c r="F169" i="1"/>
  <c r="AC168" i="1"/>
  <c r="AB168" i="1"/>
  <c r="AA168" i="1"/>
  <c r="Y168" i="1"/>
  <c r="U168" i="1"/>
  <c r="O168" i="1"/>
  <c r="N168" i="1"/>
  <c r="M168" i="1"/>
  <c r="L168" i="1"/>
  <c r="K168" i="1"/>
  <c r="D168" i="1"/>
  <c r="F168" i="1"/>
  <c r="AC167" i="1"/>
  <c r="AB167" i="1"/>
  <c r="AA167" i="1"/>
  <c r="Y167" i="1"/>
  <c r="O167" i="1"/>
  <c r="N167" i="1"/>
  <c r="M167" i="1"/>
  <c r="L167" i="1"/>
  <c r="K167" i="1"/>
  <c r="D167" i="1"/>
  <c r="F167" i="1"/>
  <c r="AC166" i="1"/>
  <c r="AB166" i="1"/>
  <c r="AA166" i="1"/>
  <c r="Y166" i="1"/>
  <c r="U166" i="1"/>
  <c r="O166" i="1"/>
  <c r="N166" i="1"/>
  <c r="M166" i="1"/>
  <c r="L166" i="1"/>
  <c r="K166" i="1"/>
  <c r="D166" i="1"/>
  <c r="F166" i="1"/>
  <c r="AC165" i="1"/>
  <c r="AB165" i="1"/>
  <c r="AA165" i="1"/>
  <c r="Y165" i="1"/>
  <c r="U165" i="1"/>
  <c r="O165" i="1"/>
  <c r="N165" i="1"/>
  <c r="M165" i="1"/>
  <c r="L165" i="1"/>
  <c r="K165" i="1"/>
  <c r="D165" i="1"/>
  <c r="F165" i="1"/>
  <c r="AC164" i="1"/>
  <c r="AB164" i="1"/>
  <c r="AA164" i="1"/>
  <c r="Y164" i="1"/>
  <c r="U164" i="1"/>
  <c r="O164" i="1"/>
  <c r="N164" i="1"/>
  <c r="M164" i="1"/>
  <c r="L164" i="1"/>
  <c r="K164" i="1"/>
  <c r="D164" i="1"/>
  <c r="F164" i="1"/>
  <c r="AC163" i="1"/>
  <c r="AB163" i="1"/>
  <c r="AA163" i="1"/>
  <c r="Y163" i="1"/>
  <c r="U163" i="1"/>
  <c r="O163" i="1"/>
  <c r="N163" i="1"/>
  <c r="M163" i="1"/>
  <c r="L163" i="1"/>
  <c r="K163" i="1"/>
  <c r="D163" i="1"/>
  <c r="F163" i="1"/>
  <c r="AC162" i="1"/>
  <c r="AB162" i="1"/>
  <c r="AA162" i="1"/>
  <c r="Y162" i="1"/>
  <c r="U162" i="1"/>
  <c r="O162" i="1"/>
  <c r="N162" i="1"/>
  <c r="M162" i="1"/>
  <c r="L162" i="1"/>
  <c r="K162" i="1"/>
  <c r="D162" i="1"/>
  <c r="F162" i="1"/>
  <c r="AC161" i="1"/>
  <c r="AB161" i="1"/>
  <c r="AA161" i="1"/>
  <c r="Y161" i="1"/>
  <c r="U161" i="1"/>
  <c r="O161" i="1"/>
  <c r="N161" i="1"/>
  <c r="M161" i="1"/>
  <c r="L161" i="1"/>
  <c r="K161" i="1"/>
  <c r="D161" i="1"/>
  <c r="F161" i="1"/>
  <c r="AC160" i="1"/>
  <c r="AB160" i="1"/>
  <c r="AA160" i="1"/>
  <c r="Y160" i="1"/>
  <c r="U160" i="1"/>
  <c r="O160" i="1"/>
  <c r="N160" i="1"/>
  <c r="M160" i="1"/>
  <c r="L160" i="1"/>
  <c r="K160" i="1"/>
  <c r="D160" i="1"/>
  <c r="F160" i="1"/>
  <c r="AC159" i="1"/>
  <c r="AB159" i="1"/>
  <c r="AA159" i="1"/>
  <c r="Y159" i="1"/>
  <c r="U159" i="1"/>
  <c r="O159" i="1"/>
  <c r="N159" i="1"/>
  <c r="M159" i="1"/>
  <c r="L159" i="1"/>
  <c r="K159" i="1"/>
  <c r="D159" i="1"/>
  <c r="F159" i="1"/>
  <c r="AC158" i="1"/>
  <c r="AB158" i="1"/>
  <c r="AA158" i="1"/>
  <c r="Y158" i="1"/>
  <c r="U158" i="1"/>
  <c r="O158" i="1"/>
  <c r="N158" i="1"/>
  <c r="M158" i="1"/>
  <c r="L158" i="1"/>
  <c r="K158" i="1"/>
  <c r="D158" i="1"/>
  <c r="F158" i="1"/>
  <c r="AC157" i="1"/>
  <c r="AB157" i="1"/>
  <c r="AA157" i="1"/>
  <c r="Y157" i="1"/>
  <c r="U157" i="1"/>
  <c r="O157" i="1"/>
  <c r="N157" i="1"/>
  <c r="M157" i="1"/>
  <c r="L157" i="1"/>
  <c r="K157" i="1"/>
  <c r="D157" i="1"/>
  <c r="F157" i="1"/>
  <c r="AC156" i="1"/>
  <c r="AB156" i="1"/>
  <c r="AA156" i="1"/>
  <c r="Y156" i="1"/>
  <c r="U156" i="1"/>
  <c r="O156" i="1"/>
  <c r="N156" i="1"/>
  <c r="M156" i="1"/>
  <c r="L156" i="1"/>
  <c r="K156" i="1"/>
  <c r="D156" i="1"/>
  <c r="F156" i="1"/>
  <c r="AC155" i="1"/>
  <c r="AB155" i="1"/>
  <c r="AA155" i="1"/>
  <c r="Y155" i="1"/>
  <c r="U155" i="1"/>
  <c r="O155" i="1"/>
  <c r="N155" i="1"/>
  <c r="M155" i="1"/>
  <c r="L155" i="1"/>
  <c r="K155" i="1"/>
  <c r="D155" i="1"/>
  <c r="F155" i="1"/>
  <c r="AC154" i="1"/>
  <c r="AB154" i="1"/>
  <c r="AA154" i="1"/>
  <c r="Y154" i="1"/>
  <c r="U154" i="1"/>
  <c r="O154" i="1"/>
  <c r="N154" i="1"/>
  <c r="M154" i="1"/>
  <c r="L154" i="1"/>
  <c r="K154" i="1"/>
  <c r="D154" i="1"/>
  <c r="F154" i="1"/>
  <c r="AC153" i="1"/>
  <c r="AB153" i="1"/>
  <c r="AA153" i="1"/>
  <c r="Y153" i="1"/>
  <c r="U153" i="1"/>
  <c r="O153" i="1"/>
  <c r="N153" i="1"/>
  <c r="M153" i="1"/>
  <c r="L153" i="1"/>
  <c r="K153" i="1"/>
  <c r="D153" i="1"/>
  <c r="F153" i="1"/>
  <c r="AC152" i="1"/>
  <c r="AB152" i="1"/>
  <c r="AA152" i="1"/>
  <c r="Y152" i="1"/>
  <c r="U152" i="1"/>
  <c r="O152" i="1"/>
  <c r="N152" i="1"/>
  <c r="M152" i="1"/>
  <c r="L152" i="1"/>
  <c r="K152" i="1"/>
  <c r="D152" i="1"/>
  <c r="F152" i="1"/>
  <c r="AC151" i="1"/>
  <c r="AB151" i="1"/>
  <c r="AA151" i="1"/>
  <c r="Y151" i="1"/>
  <c r="U151" i="1"/>
  <c r="O151" i="1"/>
  <c r="N151" i="1"/>
  <c r="M151" i="1"/>
  <c r="L151" i="1"/>
  <c r="K151" i="1"/>
  <c r="D151" i="1"/>
  <c r="F151" i="1"/>
  <c r="AC150" i="1"/>
  <c r="AB150" i="1"/>
  <c r="AA150" i="1"/>
  <c r="Y150" i="1"/>
  <c r="U150" i="1"/>
  <c r="O150" i="1"/>
  <c r="N150" i="1"/>
  <c r="M150" i="1"/>
  <c r="L150" i="1"/>
  <c r="K150" i="1"/>
  <c r="D150" i="1"/>
  <c r="F150" i="1"/>
  <c r="AC149" i="1"/>
  <c r="AB149" i="1"/>
  <c r="AA149" i="1"/>
  <c r="Y149" i="1"/>
  <c r="U149" i="1"/>
  <c r="O149" i="1"/>
  <c r="N149" i="1"/>
  <c r="M149" i="1"/>
  <c r="L149" i="1"/>
  <c r="K149" i="1"/>
  <c r="D149" i="1"/>
  <c r="F149" i="1"/>
  <c r="AC148" i="1"/>
  <c r="AB148" i="1"/>
  <c r="AA148" i="1"/>
  <c r="Y148" i="1"/>
  <c r="U148" i="1"/>
  <c r="O148" i="1"/>
  <c r="N148" i="1"/>
  <c r="M148" i="1"/>
  <c r="L148" i="1"/>
  <c r="K148" i="1"/>
  <c r="D148" i="1"/>
  <c r="F148" i="1"/>
  <c r="AC147" i="1"/>
  <c r="AB147" i="1"/>
  <c r="AA147" i="1"/>
  <c r="Y147" i="1"/>
  <c r="U147" i="1"/>
  <c r="O147" i="1"/>
  <c r="N147" i="1"/>
  <c r="M147" i="1"/>
  <c r="L147" i="1"/>
  <c r="K147" i="1"/>
  <c r="D147" i="1"/>
  <c r="F147" i="1"/>
  <c r="AC146" i="1"/>
  <c r="AB146" i="1"/>
  <c r="AA146" i="1"/>
  <c r="Y146" i="1"/>
  <c r="U146" i="1"/>
  <c r="O146" i="1"/>
  <c r="N146" i="1"/>
  <c r="M146" i="1"/>
  <c r="L146" i="1"/>
  <c r="K146" i="1"/>
  <c r="D146" i="1"/>
  <c r="F146" i="1"/>
  <c r="AC145" i="1"/>
  <c r="AB145" i="1"/>
  <c r="AA145" i="1"/>
  <c r="Y145" i="1"/>
  <c r="U145" i="1"/>
  <c r="O145" i="1"/>
  <c r="N145" i="1"/>
  <c r="M145" i="1"/>
  <c r="L145" i="1"/>
  <c r="K145" i="1"/>
  <c r="D145" i="1"/>
  <c r="F145" i="1"/>
  <c r="AC144" i="1"/>
  <c r="AB144" i="1"/>
  <c r="AA144" i="1"/>
  <c r="Y144" i="1"/>
  <c r="U144" i="1"/>
  <c r="O144" i="1"/>
  <c r="N144" i="1"/>
  <c r="M144" i="1"/>
  <c r="L144" i="1"/>
  <c r="K144" i="1"/>
  <c r="D144" i="1"/>
  <c r="F144" i="1"/>
  <c r="AC143" i="1"/>
  <c r="AB143" i="1"/>
  <c r="AA143" i="1"/>
  <c r="Y143" i="1"/>
  <c r="U143" i="1"/>
  <c r="O143" i="1"/>
  <c r="N143" i="1"/>
  <c r="M143" i="1"/>
  <c r="L143" i="1"/>
  <c r="K143" i="1"/>
  <c r="D143" i="1"/>
  <c r="F143" i="1"/>
  <c r="AC142" i="1"/>
  <c r="AB142" i="1"/>
  <c r="AA142" i="1"/>
  <c r="Y142" i="1"/>
  <c r="U142" i="1"/>
  <c r="O142" i="1"/>
  <c r="N142" i="1"/>
  <c r="M142" i="1"/>
  <c r="L142" i="1"/>
  <c r="K142" i="1"/>
  <c r="D142" i="1"/>
  <c r="F142" i="1"/>
  <c r="AC141" i="1"/>
  <c r="AB141" i="1"/>
  <c r="AA141" i="1"/>
  <c r="Y141" i="1"/>
  <c r="U141" i="1"/>
  <c r="O141" i="1"/>
  <c r="N141" i="1"/>
  <c r="M141" i="1"/>
  <c r="L141" i="1"/>
  <c r="K141" i="1"/>
  <c r="D141" i="1"/>
  <c r="F141" i="1"/>
  <c r="AC140" i="1"/>
  <c r="AB140" i="1"/>
  <c r="AA140" i="1"/>
  <c r="Y140" i="1"/>
  <c r="U140" i="1"/>
  <c r="O140" i="1"/>
  <c r="N140" i="1"/>
  <c r="M140" i="1"/>
  <c r="L140" i="1"/>
  <c r="K140" i="1"/>
  <c r="D140" i="1"/>
  <c r="F140" i="1"/>
  <c r="AC139" i="1"/>
  <c r="AB139" i="1"/>
  <c r="AA139" i="1"/>
  <c r="Y139" i="1"/>
  <c r="U139" i="1"/>
  <c r="O139" i="1"/>
  <c r="N139" i="1"/>
  <c r="M139" i="1"/>
  <c r="L139" i="1"/>
  <c r="K139" i="1"/>
  <c r="D139" i="1"/>
  <c r="F139" i="1"/>
  <c r="AC138" i="1"/>
  <c r="AB138" i="1"/>
  <c r="AA138" i="1"/>
  <c r="Y138" i="1"/>
  <c r="U138" i="1"/>
  <c r="O138" i="1"/>
  <c r="N138" i="1"/>
  <c r="M138" i="1"/>
  <c r="L138" i="1"/>
  <c r="K138" i="1"/>
  <c r="D138" i="1"/>
  <c r="F138" i="1"/>
  <c r="AC137" i="1"/>
  <c r="AB137" i="1"/>
  <c r="AA137" i="1"/>
  <c r="Y137" i="1"/>
  <c r="U137" i="1"/>
  <c r="O137" i="1"/>
  <c r="N137" i="1"/>
  <c r="M137" i="1"/>
  <c r="L137" i="1"/>
  <c r="K137" i="1"/>
  <c r="D137" i="1"/>
  <c r="F137" i="1"/>
  <c r="AC136" i="1"/>
  <c r="AB136" i="1"/>
  <c r="AA136" i="1"/>
  <c r="Y136" i="1"/>
  <c r="U136" i="1"/>
  <c r="O136" i="1"/>
  <c r="N136" i="1"/>
  <c r="M136" i="1"/>
  <c r="L136" i="1"/>
  <c r="K136" i="1"/>
  <c r="D136" i="1"/>
  <c r="F136" i="1"/>
  <c r="AC135" i="1"/>
  <c r="AB135" i="1"/>
  <c r="AA135" i="1"/>
  <c r="Y135" i="1"/>
  <c r="U135" i="1"/>
  <c r="O135" i="1"/>
  <c r="N135" i="1"/>
  <c r="M135" i="1"/>
  <c r="L135" i="1"/>
  <c r="K135" i="1"/>
  <c r="D135" i="1"/>
  <c r="F135" i="1"/>
  <c r="AC134" i="1"/>
  <c r="AB134" i="1"/>
  <c r="AA134" i="1"/>
  <c r="Y134" i="1"/>
  <c r="U134" i="1"/>
  <c r="O134" i="1"/>
  <c r="N134" i="1"/>
  <c r="M134" i="1"/>
  <c r="L134" i="1"/>
  <c r="K134" i="1"/>
  <c r="D134" i="1"/>
  <c r="F134" i="1"/>
  <c r="AC133" i="1"/>
  <c r="AB133" i="1"/>
  <c r="AA133" i="1"/>
  <c r="Y133" i="1"/>
  <c r="U133" i="1"/>
  <c r="O133" i="1"/>
  <c r="N133" i="1"/>
  <c r="M133" i="1"/>
  <c r="L133" i="1"/>
  <c r="K133" i="1"/>
  <c r="D133" i="1"/>
  <c r="F133" i="1"/>
  <c r="AC132" i="1"/>
  <c r="AB132" i="1"/>
  <c r="AA132" i="1"/>
  <c r="Y132" i="1"/>
  <c r="U132" i="1"/>
  <c r="O132" i="1"/>
  <c r="N132" i="1"/>
  <c r="M132" i="1"/>
  <c r="L132" i="1"/>
  <c r="K132" i="1"/>
  <c r="D132" i="1"/>
  <c r="F132" i="1"/>
  <c r="AC131" i="1"/>
  <c r="AB131" i="1"/>
  <c r="AA131" i="1"/>
  <c r="Y131" i="1"/>
  <c r="U131" i="1"/>
  <c r="O131" i="1"/>
  <c r="N131" i="1"/>
  <c r="M131" i="1"/>
  <c r="L131" i="1"/>
  <c r="K131" i="1"/>
  <c r="D131" i="1"/>
  <c r="F131" i="1"/>
  <c r="AC130" i="1"/>
  <c r="AB130" i="1"/>
  <c r="AA130" i="1"/>
  <c r="Y130" i="1"/>
  <c r="U130" i="1"/>
  <c r="O130" i="1"/>
  <c r="N130" i="1"/>
  <c r="M130" i="1"/>
  <c r="L130" i="1"/>
  <c r="K130" i="1"/>
  <c r="D130" i="1"/>
  <c r="F130" i="1"/>
  <c r="AC129" i="1"/>
  <c r="AB129" i="1"/>
  <c r="AA129" i="1"/>
  <c r="Y129" i="1"/>
  <c r="U129" i="1"/>
  <c r="O129" i="1"/>
  <c r="N129" i="1"/>
  <c r="M129" i="1"/>
  <c r="L129" i="1"/>
  <c r="K129" i="1"/>
  <c r="D129" i="1"/>
  <c r="F129" i="1"/>
  <c r="AC128" i="1"/>
  <c r="AB128" i="1"/>
  <c r="AA128" i="1"/>
  <c r="Y128" i="1"/>
  <c r="U128" i="1"/>
  <c r="O128" i="1"/>
  <c r="N128" i="1"/>
  <c r="M128" i="1"/>
  <c r="L128" i="1"/>
  <c r="K128" i="1"/>
  <c r="D128" i="1"/>
  <c r="F128" i="1"/>
  <c r="AC127" i="1"/>
  <c r="AB127" i="1"/>
  <c r="AA127" i="1"/>
  <c r="Y127" i="1"/>
  <c r="U127" i="1"/>
  <c r="O127" i="1"/>
  <c r="N127" i="1"/>
  <c r="M127" i="1"/>
  <c r="L127" i="1"/>
  <c r="K127" i="1"/>
  <c r="D127" i="1"/>
  <c r="F127" i="1"/>
  <c r="AC126" i="1"/>
  <c r="AB126" i="1"/>
  <c r="AA126" i="1"/>
  <c r="Y126" i="1"/>
  <c r="U126" i="1"/>
  <c r="O126" i="1"/>
  <c r="N126" i="1"/>
  <c r="M126" i="1"/>
  <c r="L126" i="1"/>
  <c r="K126" i="1"/>
  <c r="D126" i="1"/>
  <c r="F126" i="1"/>
  <c r="AC125" i="1"/>
  <c r="AB125" i="1"/>
  <c r="AA125" i="1"/>
  <c r="Y125" i="1"/>
  <c r="U125" i="1"/>
  <c r="O125" i="1"/>
  <c r="N125" i="1"/>
  <c r="M125" i="1"/>
  <c r="L125" i="1"/>
  <c r="K125" i="1"/>
  <c r="D125" i="1"/>
  <c r="F125" i="1"/>
  <c r="AC124" i="1"/>
  <c r="AB124" i="1"/>
  <c r="AA124" i="1"/>
  <c r="Y124" i="1"/>
  <c r="U124" i="1"/>
  <c r="O124" i="1"/>
  <c r="N124" i="1"/>
  <c r="M124" i="1"/>
  <c r="L124" i="1"/>
  <c r="K124" i="1"/>
  <c r="D124" i="1"/>
  <c r="F124" i="1"/>
  <c r="AC123" i="1"/>
  <c r="AB123" i="1"/>
  <c r="AA123" i="1"/>
  <c r="Y123" i="1"/>
  <c r="U123" i="1"/>
  <c r="O123" i="1"/>
  <c r="N123" i="1"/>
  <c r="M123" i="1"/>
  <c r="L123" i="1"/>
  <c r="K123" i="1"/>
  <c r="D123" i="1"/>
  <c r="F123" i="1"/>
  <c r="AC122" i="1"/>
  <c r="AB122" i="1"/>
  <c r="AA122" i="1"/>
  <c r="Y122" i="1"/>
  <c r="U122" i="1"/>
  <c r="O122" i="1"/>
  <c r="N122" i="1"/>
  <c r="M122" i="1"/>
  <c r="L122" i="1"/>
  <c r="K122" i="1"/>
  <c r="D122" i="1"/>
  <c r="F122" i="1"/>
  <c r="AC121" i="1"/>
  <c r="AB121" i="1"/>
  <c r="AA121" i="1"/>
  <c r="Y121" i="1"/>
  <c r="U121" i="1"/>
  <c r="O121" i="1"/>
  <c r="N121" i="1"/>
  <c r="M121" i="1"/>
  <c r="L121" i="1"/>
  <c r="K121" i="1"/>
  <c r="D121" i="1"/>
  <c r="F121" i="1"/>
  <c r="AC120" i="1"/>
  <c r="AB120" i="1"/>
  <c r="AA120" i="1"/>
  <c r="Y120" i="1"/>
  <c r="U120" i="1"/>
  <c r="O120" i="1"/>
  <c r="N120" i="1"/>
  <c r="M120" i="1"/>
  <c r="L120" i="1"/>
  <c r="K120" i="1"/>
  <c r="D120" i="1"/>
  <c r="F120" i="1"/>
  <c r="AC119" i="1"/>
  <c r="AB119" i="1"/>
  <c r="AA119" i="1"/>
  <c r="Y119" i="1"/>
  <c r="U119" i="1"/>
  <c r="O119" i="1"/>
  <c r="N119" i="1"/>
  <c r="M119" i="1"/>
  <c r="L119" i="1"/>
  <c r="K119" i="1"/>
  <c r="D119" i="1"/>
  <c r="F119" i="1"/>
  <c r="AC118" i="1"/>
  <c r="AB118" i="1"/>
  <c r="AA118" i="1"/>
  <c r="Y118" i="1"/>
  <c r="U118" i="1"/>
  <c r="O118" i="1"/>
  <c r="N118" i="1"/>
  <c r="M118" i="1"/>
  <c r="L118" i="1"/>
  <c r="K118" i="1"/>
  <c r="D118" i="1"/>
  <c r="F118" i="1"/>
  <c r="AC117" i="1"/>
  <c r="AB117" i="1"/>
  <c r="AA117" i="1"/>
  <c r="Y117" i="1"/>
  <c r="U117" i="1"/>
  <c r="O117" i="1"/>
  <c r="N117" i="1"/>
  <c r="M117" i="1"/>
  <c r="L117" i="1"/>
  <c r="K117" i="1"/>
  <c r="D117" i="1"/>
  <c r="F117" i="1"/>
  <c r="AC116" i="1"/>
  <c r="AB116" i="1"/>
  <c r="AA116" i="1"/>
  <c r="Y116" i="1"/>
  <c r="U116" i="1"/>
  <c r="O116" i="1"/>
  <c r="N116" i="1"/>
  <c r="M116" i="1"/>
  <c r="L116" i="1"/>
  <c r="K116" i="1"/>
  <c r="D116" i="1"/>
  <c r="F116" i="1"/>
  <c r="AC115" i="1"/>
  <c r="AB115" i="1"/>
  <c r="AA115" i="1"/>
  <c r="Y115" i="1"/>
  <c r="U115" i="1"/>
  <c r="O115" i="1"/>
  <c r="N115" i="1"/>
  <c r="M115" i="1"/>
  <c r="L115" i="1"/>
  <c r="K115" i="1"/>
  <c r="D115" i="1"/>
  <c r="F115" i="1"/>
  <c r="AC114" i="1"/>
  <c r="AB114" i="1"/>
  <c r="AA114" i="1"/>
  <c r="Y114" i="1"/>
  <c r="U114" i="1"/>
  <c r="O114" i="1"/>
  <c r="N114" i="1"/>
  <c r="M114" i="1"/>
  <c r="L114" i="1"/>
  <c r="K114" i="1"/>
  <c r="D114" i="1"/>
  <c r="F114" i="1"/>
  <c r="AC113" i="1"/>
  <c r="AB113" i="1"/>
  <c r="AA113" i="1"/>
  <c r="Y113" i="1"/>
  <c r="U113" i="1"/>
  <c r="O113" i="1"/>
  <c r="N113" i="1"/>
  <c r="M113" i="1"/>
  <c r="L113" i="1"/>
  <c r="K113" i="1"/>
  <c r="D113" i="1"/>
  <c r="F113" i="1"/>
  <c r="AC112" i="1"/>
  <c r="AB112" i="1"/>
  <c r="AA112" i="1"/>
  <c r="Y112" i="1"/>
  <c r="U112" i="1"/>
  <c r="O112" i="1"/>
  <c r="N112" i="1"/>
  <c r="M112" i="1"/>
  <c r="L112" i="1"/>
  <c r="K112" i="1"/>
  <c r="D112" i="1"/>
  <c r="F112" i="1"/>
  <c r="AC111" i="1"/>
  <c r="AB111" i="1"/>
  <c r="AA111" i="1"/>
  <c r="Y111" i="1"/>
  <c r="U111" i="1"/>
  <c r="O111" i="1"/>
  <c r="N111" i="1"/>
  <c r="M111" i="1"/>
  <c r="L111" i="1"/>
  <c r="K111" i="1"/>
  <c r="D111" i="1"/>
  <c r="F111" i="1"/>
  <c r="AC110" i="1"/>
  <c r="AB110" i="1"/>
  <c r="AA110" i="1"/>
  <c r="Y110" i="1"/>
  <c r="U110" i="1"/>
  <c r="O110" i="1"/>
  <c r="N110" i="1"/>
  <c r="M110" i="1"/>
  <c r="L110" i="1"/>
  <c r="K110" i="1"/>
  <c r="D110" i="1"/>
  <c r="F110" i="1"/>
  <c r="AC109" i="1"/>
  <c r="AB109" i="1"/>
  <c r="AA109" i="1"/>
  <c r="Y109" i="1"/>
  <c r="U109" i="1"/>
  <c r="O109" i="1"/>
  <c r="N109" i="1"/>
  <c r="M109" i="1"/>
  <c r="L109" i="1"/>
  <c r="K109" i="1"/>
  <c r="D109" i="1"/>
  <c r="F109" i="1"/>
  <c r="AC108" i="1"/>
  <c r="AB108" i="1"/>
  <c r="AA108" i="1"/>
  <c r="Y108" i="1"/>
  <c r="U108" i="1"/>
  <c r="O108" i="1"/>
  <c r="N108" i="1"/>
  <c r="M108" i="1"/>
  <c r="L108" i="1"/>
  <c r="K108" i="1"/>
  <c r="D108" i="1"/>
  <c r="F108" i="1"/>
  <c r="AC107" i="1"/>
  <c r="AB107" i="1"/>
  <c r="AA107" i="1"/>
  <c r="Y107" i="1"/>
  <c r="U107" i="1"/>
  <c r="O107" i="1"/>
  <c r="N107" i="1"/>
  <c r="M107" i="1"/>
  <c r="L107" i="1"/>
  <c r="K107" i="1"/>
  <c r="D107" i="1"/>
  <c r="F107" i="1"/>
  <c r="AC106" i="1"/>
  <c r="AB106" i="1"/>
  <c r="AA106" i="1"/>
  <c r="Y106" i="1"/>
  <c r="U106" i="1"/>
  <c r="O106" i="1"/>
  <c r="N106" i="1"/>
  <c r="M106" i="1"/>
  <c r="L106" i="1"/>
  <c r="K106" i="1"/>
  <c r="D106" i="1"/>
  <c r="F106" i="1"/>
  <c r="AC105" i="1"/>
  <c r="AB105" i="1"/>
  <c r="AA105" i="1"/>
  <c r="Y105" i="1"/>
  <c r="U105" i="1"/>
  <c r="O105" i="1"/>
  <c r="N105" i="1"/>
  <c r="M105" i="1"/>
  <c r="L105" i="1"/>
  <c r="K105" i="1"/>
  <c r="D105" i="1"/>
  <c r="F105" i="1"/>
  <c r="AC104" i="1"/>
  <c r="AB104" i="1"/>
  <c r="AA104" i="1"/>
  <c r="Y104" i="1"/>
  <c r="U104" i="1"/>
  <c r="O104" i="1"/>
  <c r="N104" i="1"/>
  <c r="M104" i="1"/>
  <c r="L104" i="1"/>
  <c r="K104" i="1"/>
  <c r="D104" i="1"/>
  <c r="F104" i="1"/>
  <c r="AC103" i="1"/>
  <c r="AB103" i="1"/>
  <c r="AA103" i="1"/>
  <c r="Y103" i="1"/>
  <c r="U103" i="1"/>
  <c r="O103" i="1"/>
  <c r="N103" i="1"/>
  <c r="M103" i="1"/>
  <c r="L103" i="1"/>
  <c r="K103" i="1"/>
  <c r="D103" i="1"/>
  <c r="F103" i="1"/>
  <c r="AC102" i="1"/>
  <c r="AB102" i="1"/>
  <c r="AA102" i="1"/>
  <c r="Y102" i="1"/>
  <c r="U102" i="1"/>
  <c r="O102" i="1"/>
  <c r="N102" i="1"/>
  <c r="M102" i="1"/>
  <c r="L102" i="1"/>
  <c r="K102" i="1"/>
  <c r="D102" i="1"/>
  <c r="F102" i="1"/>
  <c r="AC101" i="1"/>
  <c r="AB101" i="1"/>
  <c r="AA101" i="1"/>
  <c r="Y101" i="1"/>
  <c r="U101" i="1"/>
  <c r="O101" i="1"/>
  <c r="N101" i="1"/>
  <c r="M101" i="1"/>
  <c r="L101" i="1"/>
  <c r="K101" i="1"/>
  <c r="D101" i="1"/>
  <c r="F101" i="1"/>
  <c r="AC100" i="1"/>
  <c r="AB100" i="1"/>
  <c r="AA100" i="1"/>
  <c r="Y100" i="1"/>
  <c r="U100" i="1"/>
  <c r="O100" i="1"/>
  <c r="N100" i="1"/>
  <c r="M100" i="1"/>
  <c r="L100" i="1"/>
  <c r="K100" i="1"/>
  <c r="D100" i="1"/>
  <c r="F100" i="1"/>
  <c r="AC99" i="1"/>
  <c r="AB99" i="1"/>
  <c r="AA99" i="1"/>
  <c r="Y99" i="1"/>
  <c r="U99" i="1"/>
  <c r="O99" i="1"/>
  <c r="N99" i="1"/>
  <c r="M99" i="1"/>
  <c r="L99" i="1"/>
  <c r="K99" i="1"/>
  <c r="D99" i="1"/>
  <c r="F99" i="1"/>
  <c r="AC98" i="1"/>
  <c r="AB98" i="1"/>
  <c r="AA98" i="1"/>
  <c r="Y98" i="1"/>
  <c r="U98" i="1"/>
  <c r="O98" i="1"/>
  <c r="N98" i="1"/>
  <c r="M98" i="1"/>
  <c r="L98" i="1"/>
  <c r="K98" i="1"/>
  <c r="D98" i="1"/>
  <c r="F98" i="1"/>
  <c r="AC97" i="1"/>
  <c r="AB97" i="1"/>
  <c r="AA97" i="1"/>
  <c r="Y97" i="1"/>
  <c r="U97" i="1"/>
  <c r="O97" i="1"/>
  <c r="N97" i="1"/>
  <c r="M97" i="1"/>
  <c r="L97" i="1"/>
  <c r="K97" i="1"/>
  <c r="D97" i="1"/>
  <c r="F97" i="1"/>
  <c r="AC96" i="1"/>
  <c r="AB96" i="1"/>
  <c r="AA96" i="1"/>
  <c r="Y96" i="1"/>
  <c r="U96" i="1"/>
  <c r="O96" i="1"/>
  <c r="N96" i="1"/>
  <c r="M96" i="1"/>
  <c r="L96" i="1"/>
  <c r="K96" i="1"/>
  <c r="D96" i="1"/>
  <c r="F96" i="1"/>
  <c r="AC95" i="1"/>
  <c r="AB95" i="1"/>
  <c r="AA95" i="1"/>
  <c r="Y95" i="1"/>
  <c r="U95" i="1"/>
  <c r="O95" i="1"/>
  <c r="N95" i="1"/>
  <c r="M95" i="1"/>
  <c r="L95" i="1"/>
  <c r="K95" i="1"/>
  <c r="D95" i="1"/>
  <c r="F95" i="1"/>
  <c r="AC94" i="1"/>
  <c r="AB94" i="1"/>
  <c r="AA94" i="1"/>
  <c r="Y94" i="1"/>
  <c r="U94" i="1"/>
  <c r="O94" i="1"/>
  <c r="N94" i="1"/>
  <c r="M94" i="1"/>
  <c r="L94" i="1"/>
  <c r="K94" i="1"/>
  <c r="D94" i="1"/>
  <c r="F94" i="1"/>
  <c r="AC93" i="1"/>
  <c r="AB93" i="1"/>
  <c r="AA93" i="1"/>
  <c r="Y93" i="1"/>
  <c r="U93" i="1"/>
  <c r="O93" i="1"/>
  <c r="N93" i="1"/>
  <c r="M93" i="1"/>
  <c r="L93" i="1"/>
  <c r="K93" i="1"/>
  <c r="D93" i="1"/>
  <c r="F93" i="1"/>
  <c r="AC92" i="1"/>
  <c r="AB92" i="1"/>
  <c r="AA92" i="1"/>
  <c r="Y92" i="1"/>
  <c r="U92" i="1"/>
  <c r="O92" i="1"/>
  <c r="N92" i="1"/>
  <c r="M92" i="1"/>
  <c r="L92" i="1"/>
  <c r="K92" i="1"/>
  <c r="D92" i="1"/>
  <c r="F92" i="1"/>
  <c r="AC91" i="1"/>
  <c r="AB91" i="1"/>
  <c r="AA91" i="1"/>
  <c r="Y91" i="1"/>
  <c r="U91" i="1"/>
  <c r="O91" i="1"/>
  <c r="N91" i="1"/>
  <c r="M91" i="1"/>
  <c r="L91" i="1"/>
  <c r="K91" i="1"/>
  <c r="D91" i="1"/>
  <c r="F91" i="1"/>
  <c r="AC90" i="1"/>
  <c r="AB90" i="1"/>
  <c r="AA90" i="1"/>
  <c r="Y90" i="1"/>
  <c r="U90" i="1"/>
  <c r="O90" i="1"/>
  <c r="N90" i="1"/>
  <c r="M90" i="1"/>
  <c r="L90" i="1"/>
  <c r="K90" i="1"/>
  <c r="D90" i="1"/>
  <c r="F90" i="1"/>
  <c r="AC89" i="1"/>
  <c r="AB89" i="1"/>
  <c r="AA89" i="1"/>
  <c r="Y89" i="1"/>
  <c r="U89" i="1"/>
  <c r="O89" i="1"/>
  <c r="N89" i="1"/>
  <c r="M89" i="1"/>
  <c r="L89" i="1"/>
  <c r="K89" i="1"/>
  <c r="D89" i="1"/>
  <c r="F89" i="1"/>
  <c r="AC88" i="1"/>
  <c r="AB88" i="1"/>
  <c r="AA88" i="1"/>
  <c r="Y88" i="1"/>
  <c r="U88" i="1"/>
  <c r="O88" i="1"/>
  <c r="N88" i="1"/>
  <c r="M88" i="1"/>
  <c r="L88" i="1"/>
  <c r="K88" i="1"/>
  <c r="D88" i="1"/>
  <c r="F88" i="1"/>
  <c r="AC87" i="1"/>
  <c r="AB87" i="1"/>
  <c r="AA87" i="1"/>
  <c r="Y87" i="1"/>
  <c r="U87" i="1"/>
  <c r="O87" i="1"/>
  <c r="N87" i="1"/>
  <c r="M87" i="1"/>
  <c r="L87" i="1"/>
  <c r="K87" i="1"/>
  <c r="D87" i="1"/>
  <c r="F87" i="1"/>
  <c r="AC86" i="1"/>
  <c r="AB86" i="1"/>
  <c r="AA86" i="1"/>
  <c r="Y86" i="1"/>
  <c r="U86" i="1"/>
  <c r="O86" i="1"/>
  <c r="N86" i="1"/>
  <c r="M86" i="1"/>
  <c r="L86" i="1"/>
  <c r="K86" i="1"/>
  <c r="D86" i="1"/>
  <c r="F86" i="1"/>
  <c r="AC85" i="1"/>
  <c r="AB85" i="1"/>
  <c r="AA85" i="1"/>
  <c r="Y85" i="1"/>
  <c r="U85" i="1"/>
  <c r="O85" i="1"/>
  <c r="N85" i="1"/>
  <c r="M85" i="1"/>
  <c r="L85" i="1"/>
  <c r="K85" i="1"/>
  <c r="D85" i="1"/>
  <c r="F85" i="1"/>
  <c r="AC84" i="1"/>
  <c r="AB84" i="1"/>
  <c r="AA84" i="1"/>
  <c r="Y84" i="1"/>
  <c r="U84" i="1"/>
  <c r="O84" i="1"/>
  <c r="N84" i="1"/>
  <c r="M84" i="1"/>
  <c r="L84" i="1"/>
  <c r="K84" i="1"/>
  <c r="D84" i="1"/>
  <c r="F84" i="1"/>
  <c r="AC83" i="1"/>
  <c r="AB83" i="1"/>
  <c r="AA83" i="1"/>
  <c r="Y83" i="1"/>
  <c r="U83" i="1"/>
  <c r="O83" i="1"/>
  <c r="N83" i="1"/>
  <c r="M83" i="1"/>
  <c r="L83" i="1"/>
  <c r="K83" i="1"/>
  <c r="D83" i="1"/>
  <c r="F83" i="1"/>
  <c r="AC82" i="1"/>
  <c r="AB82" i="1"/>
  <c r="AA82" i="1"/>
  <c r="Y82" i="1"/>
  <c r="U82" i="1"/>
  <c r="O82" i="1"/>
  <c r="N82" i="1"/>
  <c r="M82" i="1"/>
  <c r="L82" i="1"/>
  <c r="K82" i="1"/>
  <c r="D82" i="1"/>
  <c r="F82" i="1"/>
  <c r="AC81" i="1"/>
  <c r="AB81" i="1"/>
  <c r="AA81" i="1"/>
  <c r="Y81" i="1"/>
  <c r="U81" i="1"/>
  <c r="O81" i="1"/>
  <c r="N81" i="1"/>
  <c r="M81" i="1"/>
  <c r="L81" i="1"/>
  <c r="K81" i="1"/>
  <c r="D81" i="1"/>
  <c r="F81" i="1"/>
  <c r="AC80" i="1"/>
  <c r="AB80" i="1"/>
  <c r="AA80" i="1"/>
  <c r="Y80" i="1"/>
  <c r="U80" i="1"/>
  <c r="O80" i="1"/>
  <c r="N80" i="1"/>
  <c r="M80" i="1"/>
  <c r="L80" i="1"/>
  <c r="K80" i="1"/>
  <c r="D80" i="1"/>
  <c r="F80" i="1"/>
  <c r="AC79" i="1"/>
  <c r="AB79" i="1"/>
  <c r="AA79" i="1"/>
  <c r="Y79" i="1"/>
  <c r="U79" i="1"/>
  <c r="O79" i="1"/>
  <c r="N79" i="1"/>
  <c r="M79" i="1"/>
  <c r="L79" i="1"/>
  <c r="K79" i="1"/>
  <c r="D79" i="1"/>
  <c r="F79" i="1"/>
  <c r="AC78" i="1"/>
  <c r="AB78" i="1"/>
  <c r="AA78" i="1"/>
  <c r="Y78" i="1"/>
  <c r="U78" i="1"/>
  <c r="O78" i="1"/>
  <c r="N78" i="1"/>
  <c r="M78" i="1"/>
  <c r="L78" i="1"/>
  <c r="K78" i="1"/>
  <c r="D78" i="1"/>
  <c r="F78" i="1"/>
  <c r="AC77" i="1"/>
  <c r="AB77" i="1"/>
  <c r="AA77" i="1"/>
  <c r="Y77" i="1"/>
  <c r="U77" i="1"/>
  <c r="O77" i="1"/>
  <c r="N77" i="1"/>
  <c r="M77" i="1"/>
  <c r="L77" i="1"/>
  <c r="K77" i="1"/>
  <c r="D77" i="1"/>
  <c r="F77" i="1"/>
  <c r="AC76" i="1"/>
  <c r="AB76" i="1"/>
  <c r="AA76" i="1"/>
  <c r="Y76" i="1"/>
  <c r="U76" i="1"/>
  <c r="O76" i="1"/>
  <c r="N76" i="1"/>
  <c r="M76" i="1"/>
  <c r="L76" i="1"/>
  <c r="K76" i="1"/>
  <c r="D76" i="1"/>
  <c r="F76" i="1"/>
  <c r="AC75" i="1"/>
  <c r="AB75" i="1"/>
  <c r="AA75" i="1"/>
  <c r="Y75" i="1"/>
  <c r="U75" i="1"/>
  <c r="O75" i="1"/>
  <c r="N75" i="1"/>
  <c r="M75" i="1"/>
  <c r="L75" i="1"/>
  <c r="K75" i="1"/>
  <c r="D75" i="1"/>
  <c r="F75" i="1"/>
  <c r="AC74" i="1"/>
  <c r="AB74" i="1"/>
  <c r="AA74" i="1"/>
  <c r="Y74" i="1"/>
  <c r="U74" i="1"/>
  <c r="O74" i="1"/>
  <c r="N74" i="1"/>
  <c r="M74" i="1"/>
  <c r="L74" i="1"/>
  <c r="K74" i="1"/>
  <c r="D74" i="1"/>
  <c r="F74" i="1"/>
  <c r="AC73" i="1"/>
  <c r="AB73" i="1"/>
  <c r="AA73" i="1"/>
  <c r="Y73" i="1"/>
  <c r="U73" i="1"/>
  <c r="O73" i="1"/>
  <c r="N73" i="1"/>
  <c r="M73" i="1"/>
  <c r="L73" i="1"/>
  <c r="K73" i="1"/>
  <c r="D73" i="1"/>
  <c r="F73" i="1"/>
  <c r="AC72" i="1"/>
  <c r="AB72" i="1"/>
  <c r="AA72" i="1"/>
  <c r="Y72" i="1"/>
  <c r="U72" i="1"/>
  <c r="O72" i="1"/>
  <c r="N72" i="1"/>
  <c r="M72" i="1"/>
  <c r="L72" i="1"/>
  <c r="K72" i="1"/>
  <c r="D72" i="1"/>
  <c r="F72" i="1"/>
  <c r="AC71" i="1"/>
  <c r="AB71" i="1"/>
  <c r="AA71" i="1"/>
  <c r="Y71" i="1"/>
  <c r="U71" i="1"/>
  <c r="O71" i="1"/>
  <c r="N71" i="1"/>
  <c r="M71" i="1"/>
  <c r="L71" i="1"/>
  <c r="K71" i="1"/>
  <c r="D71" i="1"/>
  <c r="F71" i="1"/>
  <c r="AC70" i="1"/>
  <c r="AB70" i="1"/>
  <c r="AA70" i="1"/>
  <c r="Y70" i="1"/>
  <c r="U70" i="1"/>
  <c r="O70" i="1"/>
  <c r="N70" i="1"/>
  <c r="M70" i="1"/>
  <c r="L70" i="1"/>
  <c r="K70" i="1"/>
  <c r="D70" i="1"/>
  <c r="F70" i="1"/>
  <c r="AC69" i="1"/>
  <c r="AB69" i="1"/>
  <c r="AA69" i="1"/>
  <c r="Y69" i="1"/>
  <c r="U69" i="1"/>
  <c r="O69" i="1"/>
  <c r="N69" i="1"/>
  <c r="M69" i="1"/>
  <c r="L69" i="1"/>
  <c r="K69" i="1"/>
  <c r="D69" i="1"/>
  <c r="F69" i="1"/>
  <c r="AC68" i="1"/>
  <c r="AB68" i="1"/>
  <c r="AA68" i="1"/>
  <c r="Y68" i="1"/>
  <c r="U68" i="1"/>
  <c r="O68" i="1"/>
  <c r="N68" i="1"/>
  <c r="M68" i="1"/>
  <c r="L68" i="1"/>
  <c r="K68" i="1"/>
  <c r="D68" i="1"/>
  <c r="F68" i="1"/>
  <c r="AC67" i="1"/>
  <c r="AB67" i="1"/>
  <c r="AA67" i="1"/>
  <c r="Y67" i="1"/>
  <c r="U67" i="1"/>
  <c r="O67" i="1"/>
  <c r="N67" i="1"/>
  <c r="M67" i="1"/>
  <c r="L67" i="1"/>
  <c r="K67" i="1"/>
  <c r="D67" i="1"/>
  <c r="F67" i="1"/>
  <c r="AC66" i="1"/>
  <c r="AB66" i="1"/>
  <c r="AA66" i="1"/>
  <c r="Y66" i="1"/>
  <c r="U66" i="1"/>
  <c r="O66" i="1"/>
  <c r="N66" i="1"/>
  <c r="M66" i="1"/>
  <c r="L66" i="1"/>
  <c r="K66" i="1"/>
  <c r="D66" i="1"/>
  <c r="F66" i="1"/>
  <c r="AC65" i="1"/>
  <c r="AB65" i="1"/>
  <c r="AA65" i="1"/>
  <c r="Y65" i="1"/>
  <c r="U65" i="1"/>
  <c r="O65" i="1"/>
  <c r="N65" i="1"/>
  <c r="M65" i="1"/>
  <c r="L65" i="1"/>
  <c r="K65" i="1"/>
  <c r="D65" i="1"/>
  <c r="F65" i="1"/>
  <c r="AC64" i="1"/>
  <c r="AB64" i="1"/>
  <c r="AA64" i="1"/>
  <c r="Y64" i="1"/>
  <c r="U64" i="1"/>
  <c r="O64" i="1"/>
  <c r="N64" i="1"/>
  <c r="M64" i="1"/>
  <c r="L64" i="1"/>
  <c r="K64" i="1"/>
  <c r="D64" i="1"/>
  <c r="F64" i="1"/>
  <c r="AC63" i="1"/>
  <c r="AB63" i="1"/>
  <c r="AA63" i="1"/>
  <c r="Y63" i="1"/>
  <c r="U63" i="1"/>
  <c r="O63" i="1"/>
  <c r="N63" i="1"/>
  <c r="M63" i="1"/>
  <c r="L63" i="1"/>
  <c r="K63" i="1"/>
  <c r="D63" i="1"/>
  <c r="F63" i="1"/>
  <c r="AC62" i="1"/>
  <c r="AB62" i="1"/>
  <c r="AA62" i="1"/>
  <c r="Y62" i="1"/>
  <c r="U62" i="1"/>
  <c r="O62" i="1"/>
  <c r="N62" i="1"/>
  <c r="M62" i="1"/>
  <c r="L62" i="1"/>
  <c r="K62" i="1"/>
  <c r="D62" i="1"/>
  <c r="F62" i="1"/>
  <c r="AC61" i="1"/>
  <c r="AB61" i="1"/>
  <c r="AA61" i="1"/>
  <c r="Y61" i="1"/>
  <c r="U61" i="1"/>
  <c r="O61" i="1"/>
  <c r="N61" i="1"/>
  <c r="M61" i="1"/>
  <c r="L61" i="1"/>
  <c r="K61" i="1"/>
  <c r="D61" i="1"/>
  <c r="F61" i="1"/>
  <c r="AC60" i="1"/>
  <c r="AB60" i="1"/>
  <c r="AA60" i="1"/>
  <c r="Y60" i="1"/>
  <c r="O60" i="1"/>
  <c r="N60" i="1"/>
  <c r="M60" i="1"/>
  <c r="L60" i="1"/>
  <c r="K60" i="1"/>
  <c r="D60" i="1"/>
  <c r="F60" i="1"/>
  <c r="AC59" i="1"/>
  <c r="AB59" i="1"/>
  <c r="AA59" i="1"/>
  <c r="Y59" i="1"/>
  <c r="U59" i="1"/>
  <c r="O59" i="1"/>
  <c r="N59" i="1"/>
  <c r="M59" i="1"/>
  <c r="L59" i="1"/>
  <c r="K59" i="1"/>
  <c r="D59" i="1"/>
  <c r="F59" i="1"/>
  <c r="AC58" i="1"/>
  <c r="AB58" i="1"/>
  <c r="AA58" i="1"/>
  <c r="Y58" i="1"/>
  <c r="U58" i="1"/>
  <c r="O58" i="1"/>
  <c r="N58" i="1"/>
  <c r="M58" i="1"/>
  <c r="L58" i="1"/>
  <c r="K58" i="1"/>
  <c r="D58" i="1"/>
  <c r="F58" i="1"/>
  <c r="AC57" i="1"/>
  <c r="AB57" i="1"/>
  <c r="AA57" i="1"/>
  <c r="Y57" i="1"/>
  <c r="U57" i="1"/>
  <c r="O57" i="1"/>
  <c r="N57" i="1"/>
  <c r="M57" i="1"/>
  <c r="L57" i="1"/>
  <c r="K57" i="1"/>
  <c r="D57" i="1"/>
  <c r="F57" i="1"/>
  <c r="AC56" i="1"/>
  <c r="AB56" i="1"/>
  <c r="AA56" i="1"/>
  <c r="Y56" i="1"/>
  <c r="U56" i="1"/>
  <c r="O56" i="1"/>
  <c r="N56" i="1"/>
  <c r="M56" i="1"/>
  <c r="L56" i="1"/>
  <c r="K56" i="1"/>
  <c r="D56" i="1"/>
  <c r="F56" i="1"/>
  <c r="AC55" i="1"/>
  <c r="AB55" i="1"/>
  <c r="AA55" i="1"/>
  <c r="Y55" i="1"/>
  <c r="U55" i="1"/>
  <c r="O55" i="1"/>
  <c r="N55" i="1"/>
  <c r="M55" i="1"/>
  <c r="L55" i="1"/>
  <c r="K55" i="1"/>
  <c r="D55" i="1"/>
  <c r="F55" i="1"/>
  <c r="AC54" i="1"/>
  <c r="AB54" i="1"/>
  <c r="AA54" i="1"/>
  <c r="Y54" i="1"/>
  <c r="U54" i="1"/>
  <c r="O54" i="1"/>
  <c r="N54" i="1"/>
  <c r="M54" i="1"/>
  <c r="L54" i="1"/>
  <c r="K54" i="1"/>
  <c r="D54" i="1"/>
  <c r="F54" i="1"/>
  <c r="AC53" i="1"/>
  <c r="AB53" i="1"/>
  <c r="AA53" i="1"/>
  <c r="Y53" i="1"/>
  <c r="U53" i="1"/>
  <c r="O53" i="1"/>
  <c r="N53" i="1"/>
  <c r="M53" i="1"/>
  <c r="L53" i="1"/>
  <c r="K53" i="1"/>
  <c r="D53" i="1"/>
  <c r="F53" i="1"/>
  <c r="AC52" i="1"/>
  <c r="AB52" i="1"/>
  <c r="AA52" i="1"/>
  <c r="Y52" i="1"/>
  <c r="U52" i="1"/>
  <c r="O52" i="1"/>
  <c r="N52" i="1"/>
  <c r="M52" i="1"/>
  <c r="L52" i="1"/>
  <c r="K52" i="1"/>
  <c r="D52" i="1"/>
  <c r="F52" i="1"/>
  <c r="AC51" i="1"/>
  <c r="AB51" i="1"/>
  <c r="AA51" i="1"/>
  <c r="Y51" i="1"/>
  <c r="U51" i="1"/>
  <c r="O51" i="1"/>
  <c r="N51" i="1"/>
  <c r="M51" i="1"/>
  <c r="L51" i="1"/>
  <c r="K51" i="1"/>
  <c r="D51" i="1"/>
  <c r="F51" i="1"/>
  <c r="AC50" i="1"/>
  <c r="AB50" i="1"/>
  <c r="AA50" i="1"/>
  <c r="Y50" i="1"/>
  <c r="U50" i="1"/>
  <c r="O50" i="1"/>
  <c r="N50" i="1"/>
  <c r="M50" i="1"/>
  <c r="L50" i="1"/>
  <c r="K50" i="1"/>
  <c r="D50" i="1"/>
  <c r="F50" i="1"/>
  <c r="AC49" i="1"/>
  <c r="AB49" i="1"/>
  <c r="AA49" i="1"/>
  <c r="Y49" i="1"/>
  <c r="U49" i="1"/>
  <c r="O49" i="1"/>
  <c r="N49" i="1"/>
  <c r="M49" i="1"/>
  <c r="L49" i="1"/>
  <c r="K49" i="1"/>
  <c r="D49" i="1"/>
  <c r="F49" i="1"/>
  <c r="AC48" i="1"/>
  <c r="AB48" i="1"/>
  <c r="AA48" i="1"/>
  <c r="Y48" i="1"/>
  <c r="U48" i="1"/>
  <c r="O48" i="1"/>
  <c r="N48" i="1"/>
  <c r="M48" i="1"/>
  <c r="L48" i="1"/>
  <c r="K48" i="1"/>
  <c r="D48" i="1"/>
  <c r="F48" i="1"/>
  <c r="AC47" i="1"/>
  <c r="AB47" i="1"/>
  <c r="AA47" i="1"/>
  <c r="Y47" i="1"/>
  <c r="U47" i="1"/>
  <c r="O47" i="1"/>
  <c r="N47" i="1"/>
  <c r="M47" i="1"/>
  <c r="L47" i="1"/>
  <c r="K47" i="1"/>
  <c r="D47" i="1"/>
  <c r="F47" i="1"/>
  <c r="AC46" i="1"/>
  <c r="AB46" i="1"/>
  <c r="AA46" i="1"/>
  <c r="Y46" i="1"/>
  <c r="U46" i="1"/>
  <c r="O46" i="1"/>
  <c r="N46" i="1"/>
  <c r="M46" i="1"/>
  <c r="L46" i="1"/>
  <c r="K46" i="1"/>
  <c r="D46" i="1"/>
  <c r="F46" i="1"/>
  <c r="AC45" i="1"/>
  <c r="AB45" i="1"/>
  <c r="AA45" i="1"/>
  <c r="Y45" i="1"/>
  <c r="U45" i="1"/>
  <c r="O45" i="1"/>
  <c r="N45" i="1"/>
  <c r="M45" i="1"/>
  <c r="L45" i="1"/>
  <c r="K45" i="1"/>
  <c r="D45" i="1"/>
  <c r="F45" i="1"/>
  <c r="AC44" i="1"/>
  <c r="AB44" i="1"/>
  <c r="AA44" i="1"/>
  <c r="Y44" i="1"/>
  <c r="U44" i="1"/>
  <c r="O44" i="1"/>
  <c r="N44" i="1"/>
  <c r="M44" i="1"/>
  <c r="L44" i="1"/>
  <c r="K44" i="1"/>
  <c r="D44" i="1"/>
  <c r="F44" i="1"/>
  <c r="AC43" i="1"/>
  <c r="AB43" i="1"/>
  <c r="AA43" i="1"/>
  <c r="Y43" i="1"/>
  <c r="U43" i="1"/>
  <c r="O43" i="1"/>
  <c r="N43" i="1"/>
  <c r="M43" i="1"/>
  <c r="L43" i="1"/>
  <c r="K43" i="1"/>
  <c r="D43" i="1"/>
  <c r="F43" i="1"/>
  <c r="AC42" i="1"/>
  <c r="AB42" i="1"/>
  <c r="AA42" i="1"/>
  <c r="Y42" i="1"/>
  <c r="U42" i="1"/>
  <c r="O42" i="1"/>
  <c r="N42" i="1"/>
  <c r="M42" i="1"/>
  <c r="L42" i="1"/>
  <c r="K42" i="1"/>
  <c r="D42" i="1"/>
  <c r="F42" i="1"/>
  <c r="AC41" i="1"/>
  <c r="AB41" i="1"/>
  <c r="AA41" i="1"/>
  <c r="Y41" i="1"/>
  <c r="U41" i="1"/>
  <c r="O41" i="1"/>
  <c r="N41" i="1"/>
  <c r="M41" i="1"/>
  <c r="L41" i="1"/>
  <c r="K41" i="1"/>
  <c r="D41" i="1"/>
  <c r="F41" i="1"/>
  <c r="AC40" i="1"/>
  <c r="AB40" i="1"/>
  <c r="AA40" i="1"/>
  <c r="Y40" i="1"/>
  <c r="U40" i="1"/>
  <c r="O40" i="1"/>
  <c r="N40" i="1"/>
  <c r="M40" i="1"/>
  <c r="L40" i="1"/>
  <c r="K40" i="1"/>
  <c r="D40" i="1"/>
  <c r="F40" i="1"/>
  <c r="AC39" i="1"/>
  <c r="AB39" i="1"/>
  <c r="AA39" i="1"/>
  <c r="Y39" i="1"/>
  <c r="U39" i="1"/>
  <c r="O39" i="1"/>
  <c r="N39" i="1"/>
  <c r="M39" i="1"/>
  <c r="L39" i="1"/>
  <c r="K39" i="1"/>
  <c r="D39" i="1"/>
  <c r="F39" i="1"/>
  <c r="AC38" i="1"/>
  <c r="AB38" i="1"/>
  <c r="AA38" i="1"/>
  <c r="Y38" i="1"/>
  <c r="U38" i="1"/>
  <c r="O38" i="1"/>
  <c r="N38" i="1"/>
  <c r="M38" i="1"/>
  <c r="L38" i="1"/>
  <c r="K38" i="1"/>
  <c r="D38" i="1"/>
  <c r="F38" i="1"/>
  <c r="AC37" i="1"/>
  <c r="AB37" i="1"/>
  <c r="AA37" i="1"/>
  <c r="Y37" i="1"/>
  <c r="U37" i="1"/>
  <c r="O37" i="1"/>
  <c r="N37" i="1"/>
  <c r="M37" i="1"/>
  <c r="L37" i="1"/>
  <c r="K37" i="1"/>
  <c r="D37" i="1"/>
  <c r="F37" i="1"/>
  <c r="AC36" i="1"/>
  <c r="AB36" i="1"/>
  <c r="AA36" i="1"/>
  <c r="Y36" i="1"/>
  <c r="U36" i="1"/>
  <c r="O36" i="1"/>
  <c r="N36" i="1"/>
  <c r="M36" i="1"/>
  <c r="L36" i="1"/>
  <c r="K36" i="1"/>
  <c r="D36" i="1"/>
  <c r="F36" i="1"/>
  <c r="AC35" i="1"/>
  <c r="AB35" i="1"/>
  <c r="AA35" i="1"/>
  <c r="Y35" i="1"/>
  <c r="U35" i="1"/>
  <c r="O35" i="1"/>
  <c r="N35" i="1"/>
  <c r="M35" i="1"/>
  <c r="L35" i="1"/>
  <c r="K35" i="1"/>
  <c r="D35" i="1"/>
  <c r="F35" i="1"/>
  <c r="AC34" i="1"/>
  <c r="AB34" i="1"/>
  <c r="AA34" i="1"/>
  <c r="Y34" i="1"/>
  <c r="U34" i="1"/>
  <c r="O34" i="1"/>
  <c r="N34" i="1"/>
  <c r="M34" i="1"/>
  <c r="L34" i="1"/>
  <c r="K34" i="1"/>
  <c r="D34" i="1"/>
  <c r="F34" i="1"/>
  <c r="AC33" i="1"/>
  <c r="AB33" i="1"/>
  <c r="AA33" i="1"/>
  <c r="Y33" i="1"/>
  <c r="U33" i="1"/>
  <c r="O33" i="1"/>
  <c r="N33" i="1"/>
  <c r="M33" i="1"/>
  <c r="L33" i="1"/>
  <c r="K33" i="1"/>
  <c r="D33" i="1"/>
  <c r="F33" i="1"/>
  <c r="AC32" i="1"/>
  <c r="AB32" i="1"/>
  <c r="AA32" i="1"/>
  <c r="Y32" i="1"/>
  <c r="U32" i="1"/>
  <c r="O32" i="1"/>
  <c r="N32" i="1"/>
  <c r="M32" i="1"/>
  <c r="L32" i="1"/>
  <c r="K32" i="1"/>
  <c r="D32" i="1"/>
  <c r="F32" i="1"/>
  <c r="AC31" i="1"/>
  <c r="AB31" i="1"/>
  <c r="AA31" i="1"/>
  <c r="Y31" i="1"/>
  <c r="U31" i="1"/>
  <c r="O31" i="1"/>
  <c r="N31" i="1"/>
  <c r="M31" i="1"/>
  <c r="L31" i="1"/>
  <c r="K31" i="1"/>
  <c r="D31" i="1"/>
  <c r="F31" i="1"/>
  <c r="AC30" i="1"/>
  <c r="AB30" i="1"/>
  <c r="AA30" i="1"/>
  <c r="Y30" i="1"/>
  <c r="U30" i="1"/>
  <c r="O30" i="1"/>
  <c r="N30" i="1"/>
  <c r="M30" i="1"/>
  <c r="L30" i="1"/>
  <c r="K30" i="1"/>
  <c r="D30" i="1"/>
  <c r="F30" i="1"/>
  <c r="AC29" i="1"/>
  <c r="AB29" i="1"/>
  <c r="AA29" i="1"/>
  <c r="Y29" i="1"/>
  <c r="U29" i="1"/>
  <c r="O29" i="1"/>
  <c r="N29" i="1"/>
  <c r="M29" i="1"/>
  <c r="L29" i="1"/>
  <c r="K29" i="1"/>
  <c r="D29" i="1"/>
  <c r="F29" i="1"/>
  <c r="AC28" i="1"/>
  <c r="AB28" i="1"/>
  <c r="AA28" i="1"/>
  <c r="Y28" i="1"/>
  <c r="U28" i="1"/>
  <c r="O28" i="1"/>
  <c r="N28" i="1"/>
  <c r="M28" i="1"/>
  <c r="L28" i="1"/>
  <c r="K28" i="1"/>
  <c r="D28" i="1"/>
  <c r="F28" i="1"/>
  <c r="AC27" i="1"/>
  <c r="AB27" i="1"/>
  <c r="AA27" i="1"/>
  <c r="Y27" i="1"/>
  <c r="O27" i="1"/>
  <c r="N27" i="1"/>
  <c r="M27" i="1"/>
  <c r="L27" i="1"/>
  <c r="K27" i="1"/>
  <c r="D27" i="1"/>
  <c r="F27" i="1"/>
  <c r="AC26" i="1"/>
  <c r="AB26" i="1"/>
  <c r="AA26" i="1"/>
  <c r="Y26" i="1"/>
  <c r="O26" i="1"/>
  <c r="N26" i="1"/>
  <c r="M26" i="1"/>
  <c r="L26" i="1"/>
  <c r="K26" i="1"/>
  <c r="D26" i="1"/>
  <c r="F26" i="1"/>
  <c r="AC25" i="1"/>
  <c r="AB25" i="1"/>
  <c r="AA25" i="1"/>
  <c r="Y25" i="1"/>
  <c r="U25" i="1"/>
  <c r="O25" i="1"/>
  <c r="N25" i="1"/>
  <c r="M25" i="1"/>
  <c r="L25" i="1"/>
  <c r="K25" i="1"/>
  <c r="D25" i="1"/>
  <c r="F25" i="1"/>
  <c r="AC24" i="1"/>
  <c r="AB24" i="1"/>
  <c r="AA24" i="1"/>
  <c r="Y24" i="1"/>
  <c r="U24" i="1"/>
  <c r="O24" i="1"/>
  <c r="N24" i="1"/>
  <c r="M24" i="1"/>
  <c r="L24" i="1"/>
  <c r="K24" i="1"/>
  <c r="D24" i="1"/>
  <c r="F24" i="1"/>
  <c r="AC23" i="1"/>
  <c r="AB23" i="1"/>
  <c r="AA23" i="1"/>
  <c r="Y23" i="1"/>
  <c r="U23" i="1"/>
  <c r="O23" i="1"/>
  <c r="N23" i="1"/>
  <c r="M23" i="1"/>
  <c r="L23" i="1"/>
  <c r="K23" i="1"/>
  <c r="D23" i="1"/>
  <c r="F23" i="1"/>
  <c r="AC22" i="1"/>
  <c r="AB22" i="1"/>
  <c r="AA22" i="1"/>
  <c r="Y22" i="1"/>
  <c r="U22" i="1"/>
  <c r="O22" i="1"/>
  <c r="N22" i="1"/>
  <c r="M22" i="1"/>
  <c r="L22" i="1"/>
  <c r="K22" i="1"/>
  <c r="D22" i="1"/>
  <c r="F22" i="1"/>
  <c r="AC21" i="1"/>
  <c r="AB21" i="1"/>
  <c r="AA21" i="1"/>
  <c r="Y21" i="1"/>
  <c r="U21" i="1"/>
  <c r="O21" i="1"/>
  <c r="N21" i="1"/>
  <c r="M21" i="1"/>
  <c r="L21" i="1"/>
  <c r="K21" i="1"/>
  <c r="D21" i="1"/>
  <c r="F21" i="1"/>
  <c r="AC20" i="1"/>
  <c r="AB20" i="1"/>
  <c r="AA20" i="1"/>
  <c r="Y20" i="1"/>
  <c r="U20" i="1"/>
  <c r="O20" i="1"/>
  <c r="N20" i="1"/>
  <c r="M20" i="1"/>
  <c r="L20" i="1"/>
  <c r="K20" i="1"/>
  <c r="D20" i="1"/>
  <c r="F20" i="1"/>
  <c r="AC19" i="1"/>
  <c r="AB19" i="1"/>
  <c r="AA19" i="1"/>
  <c r="Y19" i="1"/>
  <c r="U19" i="1"/>
  <c r="O19" i="1"/>
  <c r="N19" i="1"/>
  <c r="M19" i="1"/>
  <c r="L19" i="1"/>
  <c r="K19" i="1"/>
  <c r="D19" i="1"/>
  <c r="F19" i="1"/>
  <c r="AC18" i="1"/>
  <c r="AB18" i="1"/>
  <c r="AA18" i="1"/>
  <c r="Y18" i="1"/>
  <c r="U18" i="1"/>
  <c r="O18" i="1"/>
  <c r="N18" i="1"/>
  <c r="M18" i="1"/>
  <c r="L18" i="1"/>
  <c r="K18" i="1"/>
  <c r="D18" i="1"/>
  <c r="F18" i="1"/>
  <c r="AC17" i="1"/>
  <c r="AB17" i="1"/>
  <c r="AA17" i="1"/>
  <c r="Y17" i="1"/>
  <c r="U17" i="1"/>
  <c r="O17" i="1"/>
  <c r="N17" i="1"/>
  <c r="M17" i="1"/>
  <c r="L17" i="1"/>
  <c r="K17" i="1"/>
  <c r="D17" i="1"/>
  <c r="F17" i="1"/>
  <c r="AC16" i="1"/>
  <c r="AB16" i="1"/>
  <c r="AA16" i="1"/>
  <c r="Y16" i="1"/>
  <c r="U16" i="1"/>
  <c r="O16" i="1"/>
  <c r="N16" i="1"/>
  <c r="M16" i="1"/>
  <c r="L16" i="1"/>
  <c r="K16" i="1"/>
  <c r="D16" i="1"/>
  <c r="F16" i="1"/>
  <c r="AC15" i="1"/>
  <c r="AB15" i="1"/>
  <c r="AA15" i="1"/>
  <c r="Y15" i="1"/>
  <c r="U15" i="1"/>
  <c r="O15" i="1"/>
  <c r="N15" i="1"/>
  <c r="M15" i="1"/>
  <c r="L15" i="1"/>
  <c r="K15" i="1"/>
  <c r="D15" i="1"/>
  <c r="F15" i="1"/>
  <c r="AC14" i="1"/>
  <c r="AB14" i="1"/>
  <c r="AA14" i="1"/>
  <c r="Y14" i="1"/>
  <c r="U14" i="1"/>
  <c r="O14" i="1"/>
  <c r="N14" i="1"/>
  <c r="M14" i="1"/>
  <c r="L14" i="1"/>
  <c r="K14" i="1"/>
  <c r="D14" i="1"/>
  <c r="F14" i="1"/>
  <c r="AC13" i="1"/>
  <c r="AB13" i="1"/>
  <c r="AA13" i="1"/>
  <c r="Y13" i="1"/>
  <c r="U13" i="1"/>
  <c r="O13" i="1"/>
  <c r="N13" i="1"/>
  <c r="M13" i="1"/>
  <c r="L13" i="1"/>
  <c r="K13" i="1"/>
  <c r="D13" i="1"/>
  <c r="F13" i="1"/>
  <c r="AC12" i="1"/>
  <c r="AB12" i="1"/>
  <c r="AA12" i="1"/>
  <c r="Y12" i="1"/>
  <c r="U12" i="1"/>
  <c r="O12" i="1"/>
  <c r="N12" i="1"/>
  <c r="M12" i="1"/>
  <c r="L12" i="1"/>
  <c r="K12" i="1"/>
  <c r="D12" i="1"/>
  <c r="F12" i="1"/>
  <c r="AC11" i="1"/>
  <c r="AB11" i="1"/>
  <c r="AA11" i="1"/>
  <c r="Y11" i="1"/>
  <c r="U11" i="1"/>
  <c r="O11" i="1"/>
  <c r="N11" i="1"/>
  <c r="M11" i="1"/>
  <c r="L11" i="1"/>
  <c r="K11" i="1"/>
  <c r="D11" i="1"/>
  <c r="F11" i="1"/>
  <c r="AC10" i="1"/>
  <c r="AB10" i="1"/>
  <c r="AA10" i="1"/>
  <c r="Y10" i="1"/>
  <c r="U10" i="1"/>
  <c r="O10" i="1"/>
  <c r="N10" i="1"/>
  <c r="M10" i="1"/>
  <c r="L10" i="1"/>
  <c r="K10" i="1"/>
  <c r="D10" i="1"/>
  <c r="F10" i="1"/>
  <c r="AC9" i="1"/>
  <c r="AB9" i="1"/>
  <c r="AA9" i="1"/>
  <c r="Y9" i="1"/>
  <c r="U9" i="1"/>
  <c r="O9" i="1"/>
  <c r="N9" i="1"/>
  <c r="M9" i="1"/>
  <c r="L9" i="1"/>
  <c r="K9" i="1"/>
  <c r="D9" i="1"/>
  <c r="F9" i="1"/>
  <c r="AC8" i="1"/>
  <c r="AB8" i="1"/>
  <c r="AA8" i="1"/>
  <c r="Y8" i="1"/>
  <c r="U8" i="1"/>
  <c r="O8" i="1"/>
  <c r="N8" i="1"/>
  <c r="M8" i="1"/>
  <c r="L8" i="1"/>
  <c r="K8" i="1"/>
  <c r="D8" i="1"/>
  <c r="F8" i="1"/>
  <c r="AC7" i="1"/>
  <c r="AB7" i="1"/>
  <c r="AA7" i="1"/>
  <c r="Y7" i="1"/>
  <c r="U7" i="1"/>
  <c r="O7" i="1"/>
  <c r="N7" i="1"/>
  <c r="M7" i="1"/>
  <c r="L7" i="1"/>
  <c r="K7" i="1"/>
  <c r="D7" i="1"/>
  <c r="F7" i="1"/>
  <c r="AC6" i="1"/>
  <c r="AB6" i="1"/>
  <c r="AA6" i="1"/>
  <c r="Y6" i="1"/>
  <c r="U6" i="1"/>
  <c r="O6" i="1"/>
  <c r="N6" i="1"/>
  <c r="M6" i="1"/>
  <c r="L6" i="1"/>
  <c r="K6" i="1"/>
  <c r="D6" i="1"/>
  <c r="F6" i="1"/>
  <c r="AC5" i="1"/>
  <c r="AB5" i="1"/>
  <c r="AA5" i="1"/>
  <c r="Y5" i="1"/>
  <c r="U5" i="1"/>
  <c r="O5" i="1"/>
  <c r="N5" i="1"/>
  <c r="M5" i="1"/>
  <c r="L5" i="1"/>
  <c r="K5" i="1"/>
  <c r="D5" i="1"/>
  <c r="F5" i="1"/>
  <c r="AC4" i="1"/>
  <c r="AB4" i="1"/>
  <c r="AA4" i="1"/>
  <c r="Y4" i="1"/>
  <c r="U4" i="1"/>
  <c r="O4" i="1"/>
  <c r="N4" i="1"/>
  <c r="M4" i="1"/>
  <c r="L4" i="1"/>
  <c r="K4" i="1"/>
  <c r="D4" i="1"/>
  <c r="F4" i="1"/>
  <c r="AC3" i="1"/>
  <c r="AB3" i="1"/>
  <c r="AA3" i="1"/>
  <c r="Y3" i="1"/>
  <c r="U3" i="1"/>
  <c r="O3" i="1"/>
  <c r="N3" i="1"/>
  <c r="M3" i="1"/>
  <c r="L3" i="1"/>
  <c r="K3" i="1"/>
  <c r="D3" i="1"/>
  <c r="F3" i="1"/>
  <c r="AC2" i="1"/>
  <c r="AB2" i="1"/>
  <c r="AA2" i="1"/>
  <c r="Y2" i="1"/>
  <c r="O2" i="1"/>
  <c r="N2" i="1"/>
  <c r="M2" i="1"/>
  <c r="L2" i="1"/>
  <c r="K2" i="1"/>
  <c r="D2" i="1"/>
  <c r="F2" i="1"/>
  <c r="A244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H244" i="1"/>
  <c r="D244" i="1"/>
  <c r="H243" i="1"/>
  <c r="D243" i="1"/>
  <c r="H242" i="1"/>
  <c r="D242" i="1"/>
  <c r="H241" i="1"/>
  <c r="D241" i="1"/>
  <c r="H240" i="1"/>
  <c r="D240" i="1"/>
  <c r="H239" i="1"/>
  <c r="D239" i="1"/>
  <c r="H238" i="1"/>
  <c r="D238" i="1"/>
  <c r="H237" i="1"/>
  <c r="D237" i="1"/>
  <c r="H236" i="1"/>
  <c r="D236" i="1"/>
  <c r="H235" i="1"/>
  <c r="D235" i="1"/>
  <c r="H234" i="1"/>
  <c r="D234" i="1"/>
  <c r="H233" i="1"/>
  <c r="D233" i="1"/>
  <c r="H232" i="1"/>
  <c r="D232" i="1"/>
  <c r="H231" i="1"/>
  <c r="D231" i="1"/>
  <c r="H230" i="1"/>
  <c r="D230" i="1"/>
  <c r="H229" i="1"/>
  <c r="D229" i="1"/>
  <c r="H228" i="1"/>
  <c r="D228" i="1"/>
  <c r="H227" i="1"/>
  <c r="D227" i="1"/>
  <c r="H226" i="1"/>
  <c r="D226" i="1"/>
  <c r="H225" i="1"/>
  <c r="D225" i="1"/>
  <c r="H224" i="1"/>
  <c r="D224" i="1"/>
  <c r="T213" i="1"/>
  <c r="H213" i="1"/>
  <c r="E213" i="1"/>
  <c r="T222" i="1"/>
  <c r="H222" i="1"/>
  <c r="E222" i="1"/>
  <c r="T216" i="1"/>
  <c r="H216" i="1"/>
  <c r="E216" i="1"/>
  <c r="T211" i="1"/>
  <c r="H211" i="1"/>
  <c r="E211" i="1"/>
  <c r="T205" i="1"/>
  <c r="H205" i="1"/>
  <c r="E205" i="1"/>
  <c r="T201" i="1"/>
  <c r="H201" i="1"/>
  <c r="E201" i="1"/>
  <c r="G108" i="2"/>
  <c r="H108" i="2"/>
  <c r="A108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6" i="1"/>
  <c r="H207" i="1"/>
  <c r="H208" i="1"/>
  <c r="H209" i="1"/>
  <c r="H210" i="1"/>
  <c r="H212" i="1"/>
  <c r="H214" i="1"/>
  <c r="H215" i="1"/>
  <c r="H217" i="1"/>
  <c r="H218" i="1"/>
  <c r="H219" i="1"/>
  <c r="H220" i="1"/>
  <c r="H221" i="1"/>
  <c r="H223" i="1"/>
  <c r="B108" i="2"/>
  <c r="G107" i="2"/>
  <c r="H107" i="2"/>
  <c r="A107" i="2"/>
  <c r="B107" i="2"/>
  <c r="G106" i="2"/>
  <c r="H106" i="2"/>
  <c r="A106" i="2"/>
  <c r="B106" i="2"/>
  <c r="G105" i="2"/>
  <c r="H105" i="2"/>
  <c r="A105" i="2"/>
  <c r="B105" i="2"/>
  <c r="G104" i="2"/>
  <c r="H104" i="2"/>
  <c r="A104" i="2"/>
  <c r="B104" i="2"/>
  <c r="G103" i="2"/>
  <c r="H103" i="2"/>
  <c r="A103" i="2"/>
  <c r="B103" i="2"/>
  <c r="G102" i="2"/>
  <c r="H102" i="2"/>
  <c r="A102" i="2"/>
  <c r="B102" i="2"/>
  <c r="G101" i="2"/>
  <c r="H101" i="2"/>
  <c r="A101" i="2"/>
  <c r="B101" i="2"/>
  <c r="G100" i="2"/>
  <c r="H100" i="2"/>
  <c r="A100" i="2"/>
  <c r="B100" i="2"/>
  <c r="G99" i="2"/>
  <c r="H99" i="2"/>
  <c r="A99" i="2"/>
  <c r="B99" i="2"/>
  <c r="G98" i="2"/>
  <c r="H98" i="2"/>
  <c r="A98" i="2"/>
  <c r="B98" i="2"/>
  <c r="G97" i="2"/>
  <c r="H97" i="2"/>
  <c r="A97" i="2"/>
  <c r="B97" i="2"/>
  <c r="G96" i="2"/>
  <c r="H96" i="2"/>
  <c r="A96" i="2"/>
  <c r="B96" i="2"/>
  <c r="G95" i="2"/>
  <c r="H95" i="2"/>
  <c r="A95" i="2"/>
  <c r="B95" i="2"/>
  <c r="G94" i="2"/>
  <c r="H94" i="2"/>
  <c r="A94" i="2"/>
  <c r="B94" i="2"/>
  <c r="G93" i="2"/>
  <c r="H93" i="2"/>
  <c r="A93" i="2"/>
  <c r="B93" i="2"/>
  <c r="G92" i="2"/>
  <c r="H92" i="2"/>
  <c r="A92" i="2"/>
  <c r="B92" i="2"/>
  <c r="G91" i="2"/>
  <c r="H91" i="2"/>
  <c r="A91" i="2"/>
  <c r="B91" i="2"/>
  <c r="G90" i="2"/>
  <c r="H90" i="2"/>
  <c r="A90" i="2"/>
  <c r="B90" i="2"/>
  <c r="G89" i="2"/>
  <c r="H89" i="2"/>
  <c r="A89" i="2"/>
  <c r="B89" i="2"/>
  <c r="G88" i="2"/>
  <c r="H88" i="2"/>
  <c r="A88" i="2"/>
  <c r="B88" i="2"/>
  <c r="G87" i="2"/>
  <c r="H87" i="2"/>
  <c r="A87" i="2"/>
  <c r="B87" i="2"/>
  <c r="G86" i="2"/>
  <c r="H86" i="2"/>
  <c r="A86" i="2"/>
  <c r="B86" i="2"/>
  <c r="G85" i="2"/>
  <c r="H85" i="2"/>
  <c r="A85" i="2"/>
  <c r="B85" i="2"/>
  <c r="G84" i="2"/>
  <c r="H84" i="2"/>
  <c r="A84" i="2"/>
  <c r="B84" i="2"/>
  <c r="T218" i="1"/>
  <c r="E218" i="1"/>
  <c r="T223" i="1"/>
  <c r="E223" i="1"/>
  <c r="T221" i="1"/>
  <c r="E221" i="1"/>
  <c r="T220" i="1"/>
  <c r="E220" i="1"/>
  <c r="T219" i="1"/>
  <c r="E219" i="1"/>
  <c r="T217" i="1"/>
  <c r="E217" i="1"/>
  <c r="T215" i="1"/>
  <c r="E215" i="1"/>
  <c r="T214" i="1"/>
  <c r="E214" i="1"/>
  <c r="T212" i="1"/>
  <c r="E212" i="1"/>
  <c r="T210" i="1"/>
  <c r="E210" i="1"/>
  <c r="T209" i="1"/>
  <c r="E209" i="1"/>
  <c r="T208" i="1"/>
  <c r="E208" i="1"/>
  <c r="T207" i="1"/>
  <c r="E207" i="1"/>
  <c r="T206" i="1"/>
  <c r="E206" i="1"/>
  <c r="T204" i="1"/>
  <c r="E204" i="1"/>
  <c r="T203" i="1"/>
  <c r="E203" i="1"/>
  <c r="T202" i="1"/>
  <c r="E202" i="1"/>
  <c r="T200" i="1"/>
  <c r="E200" i="1"/>
  <c r="T199" i="1"/>
  <c r="E199" i="1"/>
  <c r="T198" i="1"/>
  <c r="E198" i="1"/>
  <c r="T196" i="1"/>
  <c r="E196" i="1"/>
  <c r="T195" i="1"/>
  <c r="E195" i="1"/>
  <c r="T70" i="1"/>
  <c r="E70" i="1"/>
  <c r="T60" i="1"/>
  <c r="E60" i="1"/>
  <c r="E2" i="1"/>
  <c r="T2" i="1"/>
  <c r="E3" i="1"/>
  <c r="T3" i="1"/>
  <c r="E4" i="1"/>
  <c r="T4" i="1"/>
  <c r="E5" i="1"/>
  <c r="T5" i="1"/>
  <c r="E6" i="1"/>
  <c r="T6" i="1"/>
  <c r="E7" i="1"/>
  <c r="T7" i="1"/>
  <c r="E8" i="1"/>
  <c r="T8" i="1"/>
  <c r="E9" i="1"/>
  <c r="T9" i="1"/>
  <c r="E10" i="1"/>
  <c r="T10" i="1"/>
  <c r="E11" i="1"/>
  <c r="T11" i="1"/>
  <c r="E12" i="1"/>
  <c r="T12" i="1"/>
  <c r="E13" i="1"/>
  <c r="T13" i="1"/>
  <c r="E14" i="1"/>
  <c r="T14" i="1"/>
  <c r="E15" i="1"/>
  <c r="T15" i="1"/>
  <c r="E16" i="1"/>
  <c r="T16" i="1"/>
  <c r="E17" i="1"/>
  <c r="T17" i="1"/>
  <c r="E18" i="1"/>
  <c r="T18" i="1"/>
  <c r="E19" i="1"/>
  <c r="T19" i="1"/>
  <c r="E20" i="1"/>
  <c r="T20" i="1"/>
  <c r="E21" i="1"/>
  <c r="T21" i="1"/>
  <c r="E22" i="1"/>
  <c r="T22" i="1"/>
  <c r="E23" i="1"/>
  <c r="T23" i="1"/>
  <c r="E24" i="1"/>
  <c r="T24" i="1"/>
  <c r="E25" i="1"/>
  <c r="T25" i="1"/>
  <c r="E26" i="1"/>
  <c r="T26" i="1"/>
  <c r="E27" i="1"/>
  <c r="T27" i="1"/>
  <c r="E28" i="1"/>
  <c r="T28" i="1"/>
  <c r="E29" i="1"/>
  <c r="T29" i="1"/>
  <c r="E30" i="1"/>
  <c r="T30" i="1"/>
  <c r="E31" i="1"/>
  <c r="T31" i="1"/>
  <c r="E32" i="1"/>
  <c r="T32" i="1"/>
  <c r="E33" i="1"/>
  <c r="T33" i="1"/>
  <c r="E34" i="1"/>
  <c r="T34" i="1"/>
  <c r="E35" i="1"/>
  <c r="T35" i="1"/>
  <c r="E36" i="1"/>
  <c r="T36" i="1"/>
  <c r="E37" i="1"/>
  <c r="T37" i="1"/>
  <c r="E38" i="1"/>
  <c r="T38" i="1"/>
  <c r="E39" i="1"/>
  <c r="T39" i="1"/>
  <c r="E40" i="1"/>
  <c r="T40" i="1"/>
  <c r="E41" i="1"/>
  <c r="T41" i="1"/>
  <c r="E42" i="1"/>
  <c r="T42" i="1"/>
  <c r="E43" i="1"/>
  <c r="T43" i="1"/>
  <c r="E44" i="1"/>
  <c r="T44" i="1"/>
  <c r="E45" i="1"/>
  <c r="T45" i="1"/>
  <c r="E46" i="1"/>
  <c r="T46" i="1"/>
  <c r="E47" i="1"/>
  <c r="T47" i="1"/>
  <c r="E48" i="1"/>
  <c r="T48" i="1"/>
  <c r="E49" i="1"/>
  <c r="T49" i="1"/>
  <c r="E50" i="1"/>
  <c r="T50" i="1"/>
  <c r="E51" i="1"/>
  <c r="T51" i="1"/>
  <c r="E52" i="1"/>
  <c r="T52" i="1"/>
  <c r="E53" i="1"/>
  <c r="T53" i="1"/>
  <c r="E54" i="1"/>
  <c r="T54" i="1"/>
  <c r="E55" i="1"/>
  <c r="T55" i="1"/>
  <c r="E56" i="1"/>
  <c r="T56" i="1"/>
  <c r="E57" i="1"/>
  <c r="T57" i="1"/>
  <c r="E58" i="1"/>
  <c r="T58" i="1"/>
  <c r="E59" i="1"/>
  <c r="T59" i="1"/>
  <c r="E61" i="1"/>
  <c r="T61" i="1"/>
  <c r="E62" i="1"/>
  <c r="T62" i="1"/>
  <c r="E63" i="1"/>
  <c r="T63" i="1"/>
  <c r="E64" i="1"/>
  <c r="T64" i="1"/>
  <c r="E65" i="1"/>
  <c r="T65" i="1"/>
  <c r="E66" i="1"/>
  <c r="T66" i="1"/>
  <c r="E67" i="1"/>
  <c r="T67" i="1"/>
  <c r="E68" i="1"/>
  <c r="T68" i="1"/>
  <c r="E69" i="1"/>
  <c r="T69" i="1"/>
  <c r="E71" i="1"/>
  <c r="T71" i="1"/>
  <c r="E72" i="1"/>
  <c r="T72" i="1"/>
  <c r="E73" i="1"/>
  <c r="T73" i="1"/>
  <c r="E74" i="1"/>
  <c r="T74" i="1"/>
  <c r="E75" i="1"/>
  <c r="T75" i="1"/>
  <c r="E76" i="1"/>
  <c r="T76" i="1"/>
  <c r="E77" i="1"/>
  <c r="T77" i="1"/>
  <c r="E78" i="1"/>
  <c r="T78" i="1"/>
  <c r="E79" i="1"/>
  <c r="T79" i="1"/>
  <c r="E80" i="1"/>
  <c r="T80" i="1"/>
  <c r="E81" i="1"/>
  <c r="T81" i="1"/>
  <c r="E82" i="1"/>
  <c r="T82" i="1"/>
  <c r="E83" i="1"/>
  <c r="T83" i="1"/>
  <c r="E84" i="1"/>
  <c r="T84" i="1"/>
  <c r="E85" i="1"/>
  <c r="T85" i="1"/>
  <c r="E86" i="1"/>
  <c r="T86" i="1"/>
  <c r="E87" i="1"/>
  <c r="T87" i="1"/>
  <c r="E88" i="1"/>
  <c r="T88" i="1"/>
  <c r="E89" i="1"/>
  <c r="T89" i="1"/>
  <c r="E90" i="1"/>
  <c r="T90" i="1"/>
  <c r="E91" i="1"/>
  <c r="T91" i="1"/>
  <c r="E92" i="1"/>
  <c r="T92" i="1"/>
  <c r="E93" i="1"/>
  <c r="T93" i="1"/>
  <c r="E94" i="1"/>
  <c r="T94" i="1"/>
  <c r="E95" i="1"/>
  <c r="T95" i="1"/>
  <c r="E96" i="1"/>
  <c r="T96" i="1"/>
  <c r="E97" i="1"/>
  <c r="T97" i="1"/>
  <c r="E98" i="1"/>
  <c r="T98" i="1"/>
  <c r="E99" i="1"/>
  <c r="T99" i="1"/>
  <c r="E100" i="1"/>
  <c r="T100" i="1"/>
  <c r="E101" i="1"/>
  <c r="T101" i="1"/>
  <c r="E102" i="1"/>
  <c r="T102" i="1"/>
  <c r="E103" i="1"/>
  <c r="T103" i="1"/>
  <c r="E104" i="1"/>
  <c r="T104" i="1"/>
  <c r="E105" i="1"/>
  <c r="T105" i="1"/>
  <c r="E106" i="1"/>
  <c r="T106" i="1"/>
  <c r="E107" i="1"/>
  <c r="T107" i="1"/>
  <c r="E108" i="1"/>
  <c r="T108" i="1"/>
  <c r="E109" i="1"/>
  <c r="T109" i="1"/>
  <c r="E110" i="1"/>
  <c r="T110" i="1"/>
  <c r="E111" i="1"/>
  <c r="T111" i="1"/>
  <c r="E112" i="1"/>
  <c r="T112" i="1"/>
  <c r="E113" i="1"/>
  <c r="T113" i="1"/>
  <c r="E114" i="1"/>
  <c r="T114" i="1"/>
  <c r="E115" i="1"/>
  <c r="T115" i="1"/>
  <c r="E116" i="1"/>
  <c r="T116" i="1"/>
  <c r="E117" i="1"/>
  <c r="T117" i="1"/>
  <c r="E118" i="1"/>
  <c r="T118" i="1"/>
  <c r="E119" i="1"/>
  <c r="T119" i="1"/>
  <c r="E120" i="1"/>
  <c r="T120" i="1"/>
  <c r="E121" i="1"/>
  <c r="T121" i="1"/>
  <c r="E122" i="1"/>
  <c r="T122" i="1"/>
  <c r="E123" i="1"/>
  <c r="T123" i="1"/>
  <c r="E124" i="1"/>
  <c r="T124" i="1"/>
  <c r="E125" i="1"/>
  <c r="T125" i="1"/>
  <c r="E126" i="1"/>
  <c r="T126" i="1"/>
  <c r="E127" i="1"/>
  <c r="T127" i="1"/>
  <c r="E128" i="1"/>
  <c r="T128" i="1"/>
  <c r="E129" i="1"/>
  <c r="T129" i="1"/>
  <c r="E130" i="1"/>
  <c r="T130" i="1"/>
  <c r="E131" i="1"/>
  <c r="T131" i="1"/>
  <c r="E132" i="1"/>
  <c r="T132" i="1"/>
  <c r="E133" i="1"/>
  <c r="T133" i="1"/>
  <c r="E134" i="1"/>
  <c r="T134" i="1"/>
  <c r="E135" i="1"/>
  <c r="T135" i="1"/>
  <c r="E136" i="1"/>
  <c r="T136" i="1"/>
  <c r="E137" i="1"/>
  <c r="T137" i="1"/>
  <c r="E138" i="1"/>
  <c r="T138" i="1"/>
  <c r="E139" i="1"/>
  <c r="T139" i="1"/>
  <c r="E140" i="1"/>
  <c r="T140" i="1"/>
  <c r="E141" i="1"/>
  <c r="T141" i="1"/>
  <c r="E142" i="1"/>
  <c r="T142" i="1"/>
  <c r="E143" i="1"/>
  <c r="T143" i="1"/>
  <c r="E144" i="1"/>
  <c r="T144" i="1"/>
  <c r="E145" i="1"/>
  <c r="T145" i="1"/>
  <c r="E146" i="1"/>
  <c r="T146" i="1"/>
  <c r="E147" i="1"/>
  <c r="T147" i="1"/>
  <c r="E148" i="1"/>
  <c r="T148" i="1"/>
  <c r="E149" i="1"/>
  <c r="T149" i="1"/>
  <c r="E150" i="1"/>
  <c r="T150" i="1"/>
  <c r="E151" i="1"/>
  <c r="T151" i="1"/>
  <c r="E152" i="1"/>
  <c r="T152" i="1"/>
  <c r="E153" i="1"/>
  <c r="T153" i="1"/>
  <c r="E154" i="1"/>
  <c r="T154" i="1"/>
  <c r="E155" i="1"/>
  <c r="T155" i="1"/>
  <c r="E156" i="1"/>
  <c r="T156" i="1"/>
  <c r="E157" i="1"/>
  <c r="T157" i="1"/>
  <c r="E158" i="1"/>
  <c r="T158" i="1"/>
  <c r="E159" i="1"/>
  <c r="T159" i="1"/>
  <c r="E160" i="1"/>
  <c r="T160" i="1"/>
  <c r="E161" i="1"/>
  <c r="T161" i="1"/>
  <c r="E162" i="1"/>
  <c r="T162" i="1"/>
  <c r="E163" i="1"/>
  <c r="T163" i="1"/>
  <c r="E164" i="1"/>
  <c r="T164" i="1"/>
  <c r="E165" i="1"/>
  <c r="T165" i="1"/>
  <c r="E166" i="1"/>
  <c r="T166" i="1"/>
  <c r="E167" i="1"/>
  <c r="T167" i="1"/>
  <c r="E168" i="1"/>
  <c r="T168" i="1"/>
  <c r="E169" i="1"/>
  <c r="T169" i="1"/>
  <c r="E170" i="1"/>
  <c r="T170" i="1"/>
  <c r="E171" i="1"/>
  <c r="T171" i="1"/>
  <c r="E172" i="1"/>
  <c r="T172" i="1"/>
  <c r="E173" i="1"/>
  <c r="T173" i="1"/>
  <c r="E174" i="1"/>
  <c r="T174" i="1"/>
  <c r="E175" i="1"/>
  <c r="T175" i="1"/>
  <c r="E176" i="1"/>
  <c r="T176" i="1"/>
  <c r="E177" i="1"/>
  <c r="T177" i="1"/>
  <c r="E178" i="1"/>
  <c r="T178" i="1"/>
  <c r="E179" i="1"/>
  <c r="T179" i="1"/>
  <c r="E180" i="1"/>
  <c r="T180" i="1"/>
  <c r="E181" i="1"/>
  <c r="T181" i="1"/>
  <c r="E182" i="1"/>
  <c r="T182" i="1"/>
  <c r="E183" i="1"/>
  <c r="T183" i="1"/>
  <c r="E184" i="1"/>
  <c r="T184" i="1"/>
  <c r="E185" i="1"/>
  <c r="T185" i="1"/>
  <c r="E186" i="1"/>
  <c r="T186" i="1"/>
  <c r="E187" i="1"/>
  <c r="T187" i="1"/>
  <c r="E188" i="1"/>
  <c r="T188" i="1"/>
  <c r="E189" i="1"/>
  <c r="T189" i="1"/>
  <c r="E190" i="1"/>
  <c r="T190" i="1"/>
  <c r="E191" i="1"/>
  <c r="T191" i="1"/>
  <c r="E192" i="1"/>
  <c r="T192" i="1"/>
  <c r="E193" i="1"/>
  <c r="T193" i="1"/>
  <c r="E194" i="1"/>
  <c r="T194" i="1"/>
  <c r="E197" i="1"/>
  <c r="T197" i="1"/>
  <c r="G83" i="2"/>
  <c r="H83" i="2"/>
  <c r="G82" i="2"/>
  <c r="H82" i="2"/>
  <c r="G81" i="2"/>
  <c r="H81" i="2"/>
  <c r="G80" i="2"/>
  <c r="H80" i="2"/>
  <c r="G79" i="2"/>
  <c r="H79" i="2"/>
  <c r="G78" i="2"/>
  <c r="H78" i="2"/>
  <c r="G77" i="2"/>
  <c r="H77" i="2"/>
  <c r="G76" i="2"/>
  <c r="H76" i="2"/>
  <c r="G75" i="2"/>
  <c r="H75" i="2"/>
  <c r="G74" i="2"/>
  <c r="H74" i="2"/>
  <c r="G73" i="2"/>
  <c r="H73" i="2"/>
  <c r="G72" i="2"/>
  <c r="H72" i="2"/>
  <c r="G71" i="2"/>
  <c r="H71" i="2"/>
  <c r="G70" i="2"/>
  <c r="H70" i="2"/>
  <c r="G69" i="2"/>
  <c r="H69" i="2"/>
  <c r="G68" i="2"/>
  <c r="H68" i="2"/>
  <c r="G67" i="2"/>
  <c r="H67" i="2"/>
  <c r="G66" i="2"/>
  <c r="H66" i="2"/>
  <c r="G65" i="2"/>
  <c r="H65" i="2"/>
  <c r="G64" i="2"/>
  <c r="H64" i="2"/>
  <c r="G63" i="2"/>
  <c r="H63" i="2"/>
  <c r="G62" i="2"/>
  <c r="H62" i="2"/>
  <c r="G61" i="2"/>
  <c r="H61" i="2"/>
  <c r="G60" i="2"/>
  <c r="H60" i="2"/>
  <c r="G59" i="2"/>
  <c r="H59" i="2"/>
  <c r="G58" i="2"/>
  <c r="H58" i="2"/>
  <c r="G57" i="2"/>
  <c r="H57" i="2"/>
  <c r="G56" i="2"/>
  <c r="H56" i="2"/>
  <c r="G55" i="2"/>
  <c r="H55" i="2"/>
  <c r="G54" i="2"/>
  <c r="H54" i="2"/>
  <c r="G53" i="2"/>
  <c r="H53" i="2"/>
  <c r="G52" i="2"/>
  <c r="H52" i="2"/>
  <c r="G51" i="2"/>
  <c r="H51" i="2"/>
  <c r="G50" i="2"/>
  <c r="H50" i="2"/>
  <c r="G49" i="2"/>
  <c r="H49" i="2"/>
  <c r="G48" i="2"/>
  <c r="H48" i="2"/>
  <c r="G47" i="2"/>
  <c r="H47" i="2"/>
  <c r="G46" i="2"/>
  <c r="H46" i="2"/>
  <c r="G45" i="2"/>
  <c r="H45" i="2"/>
  <c r="G44" i="2"/>
  <c r="H44" i="2"/>
  <c r="G43" i="2"/>
  <c r="H43" i="2"/>
  <c r="G42" i="2"/>
  <c r="H42" i="2"/>
  <c r="G41" i="2"/>
  <c r="H41" i="2"/>
  <c r="G40" i="2"/>
  <c r="H40" i="2"/>
  <c r="G39" i="2"/>
  <c r="H39" i="2"/>
  <c r="G38" i="2"/>
  <c r="H38" i="2"/>
  <c r="G37" i="2"/>
  <c r="H37" i="2"/>
  <c r="G36" i="2"/>
  <c r="H36" i="2"/>
  <c r="G35" i="2"/>
  <c r="H35" i="2"/>
  <c r="G34" i="2"/>
  <c r="H34" i="2"/>
  <c r="G33" i="2"/>
  <c r="H33" i="2"/>
  <c r="G32" i="2"/>
  <c r="H32" i="2"/>
  <c r="G31" i="2"/>
  <c r="H31" i="2"/>
  <c r="G30" i="2"/>
  <c r="H30" i="2"/>
  <c r="G29" i="2"/>
  <c r="H29" i="2"/>
  <c r="G28" i="2"/>
  <c r="H28" i="2"/>
  <c r="G27" i="2"/>
  <c r="H27" i="2"/>
  <c r="G26" i="2"/>
  <c r="H26" i="2"/>
  <c r="G25" i="2"/>
  <c r="H25" i="2"/>
  <c r="G24" i="2"/>
  <c r="H24" i="2"/>
  <c r="G23" i="2"/>
  <c r="H23" i="2"/>
  <c r="G22" i="2"/>
  <c r="H22" i="2"/>
  <c r="G21" i="2"/>
  <c r="H21" i="2"/>
  <c r="G20" i="2"/>
  <c r="H20" i="2"/>
  <c r="G19" i="2"/>
  <c r="H19" i="2"/>
  <c r="G18" i="2"/>
  <c r="H18" i="2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A83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36" i="2"/>
  <c r="B22" i="2"/>
  <c r="E36" i="2"/>
  <c r="D36" i="2"/>
  <c r="E31" i="2"/>
  <c r="D31" i="2"/>
  <c r="E30" i="2"/>
  <c r="D30" i="2"/>
  <c r="B31" i="2"/>
  <c r="B30" i="2"/>
  <c r="E16" i="2"/>
  <c r="D16" i="2"/>
  <c r="E15" i="2"/>
  <c r="D15" i="2"/>
  <c r="B16" i="2"/>
  <c r="B15" i="2"/>
  <c r="B11" i="2"/>
  <c r="E11" i="2"/>
  <c r="D11" i="2"/>
  <c r="E40" i="2"/>
  <c r="D40" i="2"/>
  <c r="B40" i="2"/>
  <c r="E39" i="2"/>
  <c r="D39" i="2"/>
  <c r="B39" i="2"/>
  <c r="E38" i="2"/>
  <c r="D38" i="2"/>
  <c r="B38" i="2"/>
  <c r="E37" i="2"/>
  <c r="D37" i="2"/>
  <c r="B37" i="2"/>
  <c r="E35" i="2"/>
  <c r="D35" i="2"/>
  <c r="B35" i="2"/>
  <c r="E34" i="2"/>
  <c r="D34" i="2"/>
  <c r="B34" i="2"/>
  <c r="E33" i="2"/>
  <c r="D33" i="2"/>
  <c r="B33" i="2"/>
  <c r="E32" i="2"/>
  <c r="D32" i="2"/>
  <c r="B32" i="2"/>
  <c r="E29" i="2"/>
  <c r="D29" i="2"/>
  <c r="B29" i="2"/>
  <c r="E28" i="2"/>
  <c r="D28" i="2"/>
  <c r="B28" i="2"/>
  <c r="E27" i="2"/>
  <c r="D27" i="2"/>
  <c r="B27" i="2"/>
  <c r="E26" i="2"/>
  <c r="D26" i="2"/>
  <c r="B26" i="2"/>
  <c r="E25" i="2"/>
  <c r="D25" i="2"/>
  <c r="B25" i="2"/>
  <c r="E24" i="2"/>
  <c r="D24" i="2"/>
  <c r="B24" i="2"/>
  <c r="E23" i="2"/>
  <c r="D23" i="2"/>
  <c r="B23" i="2"/>
  <c r="E21" i="2"/>
  <c r="D21" i="2"/>
  <c r="B21" i="2"/>
  <c r="E20" i="2"/>
  <c r="D20" i="2"/>
  <c r="B20" i="2"/>
  <c r="E19" i="2"/>
  <c r="D19" i="2"/>
  <c r="B19" i="2"/>
  <c r="E18" i="2"/>
  <c r="D18" i="2"/>
  <c r="B18" i="2"/>
  <c r="B8" i="2"/>
  <c r="D8" i="2"/>
  <c r="E8" i="2"/>
  <c r="E17" i="2"/>
  <c r="D17" i="2"/>
  <c r="B17" i="2"/>
  <c r="E14" i="2"/>
  <c r="D14" i="2"/>
  <c r="B14" i="2"/>
  <c r="E13" i="2"/>
  <c r="D13" i="2"/>
  <c r="B13" i="2"/>
  <c r="E12" i="2"/>
  <c r="D12" i="2"/>
  <c r="B12" i="2"/>
  <c r="E10" i="2"/>
  <c r="D10" i="2"/>
  <c r="B10" i="2"/>
  <c r="E9" i="2"/>
  <c r="D9" i="2"/>
  <c r="B9" i="2"/>
  <c r="E7" i="2"/>
  <c r="D7" i="2"/>
  <c r="B7" i="2"/>
  <c r="E6" i="2"/>
  <c r="D6" i="2"/>
  <c r="B6" i="2"/>
  <c r="E5" i="2"/>
  <c r="D5" i="2"/>
  <c r="B5" i="2"/>
  <c r="E4" i="2"/>
  <c r="D4" i="2"/>
  <c r="B4" i="2"/>
  <c r="E3" i="2"/>
  <c r="D3" i="2"/>
  <c r="B3" i="2"/>
  <c r="AE2" i="1"/>
  <c r="B2" i="2"/>
  <c r="E2" i="2"/>
  <c r="D2" i="2"/>
  <c r="D22" i="2"/>
  <c r="E2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<sst xmlns="http://schemas.openxmlformats.org/spreadsheetml/2006/main" count="2357" uniqueCount="275">
  <si>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</si>
  <si>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</si>
  <si>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</si>
  <si>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</si>
  <si>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</si>
  <si>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</si>
  <si>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</si>
  <si>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</si>
  <si>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</si>
  <si>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</si>
  <si>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</si>
  <si>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</si>
  <si>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</si>
  <si>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</si>
  <si>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</si>
  <si>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</si>
  <si>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</si>
  <si>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</si>
  <si>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</si>
  <si>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</si>
  <si>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</si>
  <si>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</si>
  <si>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</si>
  <si>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</si>
  <si>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</si>
  <si>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</si>
  <si>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</si>
  <si>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</si>
  <si>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</si>
  <si>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</si>
  <si>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</si>
  <si>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</si>
  <si>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</si>
  <si>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</si>
  <si>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</si>
  <si>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</si>
  <si>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</si>
  <si>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</si>
  <si>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</si>
  <si>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</si>
  <si>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</si>
  <si>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</si>
  <si>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</si>
  <si>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</si>
  <si>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</si>
  <si>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</si>
  <si>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</si>
  <si>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</si>
  <si>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</si>
  <si>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</si>
  <si>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</si>
  <si>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</si>
  <si>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</si>
  <si>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</si>
  <si>
    <t>出力flg</t>
    <rPh sb="0" eb="2">
      <t>シュツリョク</t>
    </rPh>
    <phoneticPr fontId="4"/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</si>
  <si>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</si>
  <si>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</si>
  <si>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</si>
  <si>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</si>
  <si>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</si>
  <si>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</si>
  <si>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skip</t>
  </si>
  <si>
    <t>floors_</t>
    <phoneticPr fontId="4"/>
  </si>
  <si>
    <t>.tmp</t>
    <phoneticPr fontId="4"/>
  </si>
  <si>
    <t>floors</t>
    <phoneticPr fontId="4"/>
  </si>
  <si>
    <t>enemy_habitats_</t>
    <phoneticPr fontId="4"/>
  </si>
  <si>
    <t>.tmp</t>
    <phoneticPr fontId="4"/>
  </si>
  <si>
    <t>enemy_habitats</t>
    <phoneticPr fontId="4"/>
  </si>
  <si>
    <t>seq_no</t>
    <phoneticPr fontId="4"/>
  </si>
  <si>
    <t>skill_level</t>
    <phoneticPr fontId="4"/>
  </si>
  <si>
    <t>enemy_habitat_S_</t>
    <phoneticPr fontId="4"/>
  </si>
  <si>
    <t>.tmp</t>
    <phoneticPr fontId="4"/>
  </si>
  <si>
    <t>enemy_habitat_S</t>
    <phoneticPr fontId="4"/>
  </si>
  <si>
    <t>seq_no</t>
    <phoneticPr fontId="4"/>
  </si>
  <si>
    <t>state_no</t>
    <phoneticPr fontId="4"/>
  </si>
  <si>
    <t>character_id</t>
    <phoneticPr fontId="4"/>
  </si>
  <si>
    <t>level</t>
    <phoneticPr fontId="4"/>
  </si>
  <si>
    <t>speed</t>
    <phoneticPr fontId="4"/>
  </si>
  <si>
    <t>hp_coefficient</t>
    <phoneticPr fontId="4"/>
  </si>
  <si>
    <t>defense_correction</t>
    <phoneticPr fontId="4"/>
  </si>
  <si>
    <t>enemy_skill_sets_</t>
    <phoneticPr fontId="4"/>
  </si>
  <si>
    <t>enemy_skill_sets</t>
    <phoneticPr fontId="4"/>
  </si>
  <si>
    <t>skill_id</t>
  </si>
  <si>
    <t>skill_trigger_id</t>
  </si>
  <si>
    <t>enemy_skills_tmp_</t>
    <phoneticPr fontId="4"/>
  </si>
  <si>
    <t>.tmp</t>
    <phoneticPr fontId="4"/>
  </si>
  <si>
    <t>enemy_skills</t>
    <phoneticPr fontId="4"/>
  </si>
  <si>
    <t>enemy_skill_id</t>
  </si>
  <si>
    <t>effect_param</t>
    <phoneticPr fontId="4"/>
  </si>
  <si>
    <t>valid_flg</t>
  </si>
  <si>
    <t>enemy_skills_i18n_</t>
    <phoneticPr fontId="4"/>
  </si>
  <si>
    <t>enemy_skills</t>
    <phoneticPr fontId="4"/>
  </si>
  <si>
    <t>language</t>
  </si>
  <si>
    <t>name</t>
  </si>
  <si>
    <t>comment</t>
  </si>
  <si>
    <t>enemy_skill_triggers_</t>
    <phoneticPr fontId="4"/>
  </si>
  <si>
    <t>enemy_skill_triggers</t>
    <phoneticPr fontId="4"/>
  </si>
  <si>
    <t>first_time</t>
  </si>
  <si>
    <t>invoke_rate</t>
  </si>
  <si>
    <t>hp_threshold</t>
  </si>
  <si>
    <t>hp_termination</t>
    <phoneticPr fontId="4"/>
  </si>
  <si>
    <t>invoke_times</t>
  </si>
  <si>
    <t>invoke_weight</t>
    <phoneticPr fontId="4"/>
  </si>
  <si>
    <t>every_time_count</t>
    <phoneticPr fontId="4"/>
  </si>
  <si>
    <t>neighbor_dead_id</t>
    <phoneticPr fontId="4"/>
  </si>
  <si>
    <t>priority</t>
    <phoneticPr fontId="4"/>
  </si>
  <si>
    <t>stage_bug_bonuses_</t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</si>
  <si>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</si>
  <si>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t>bugbonuses</t>
    <phoneticPr fontId="4"/>
  </si>
  <si>
    <t>quest_id</t>
    <phoneticPr fontId="4"/>
  </si>
  <si>
    <t>stage_id</t>
    <phoneticPr fontId="4"/>
  </si>
  <si>
    <t>stage_target</t>
    <phoneticPr fontId="4"/>
  </si>
  <si>
    <t>bonus_id</t>
    <phoneticPr fontId="4"/>
  </si>
  <si>
    <t>bonus_type</t>
    <phoneticPr fontId="4"/>
  </si>
  <si>
    <t>bonus_value</t>
    <phoneticPr fontId="4"/>
  </si>
  <si>
    <t>bonus_count</t>
    <phoneticPr fontId="4"/>
  </si>
  <si>
    <t>level</t>
    <phoneticPr fontId="4"/>
  </si>
  <si>
    <t>skill_level</t>
    <phoneticPr fontId="4"/>
  </si>
  <si>
    <t>attack_plus</t>
    <phoneticPr fontId="4"/>
  </si>
  <si>
    <t>defense_plus</t>
    <phoneticPr fontId="4"/>
  </si>
  <si>
    <t>heal_plus</t>
    <phoneticPr fontId="4"/>
  </si>
  <si>
    <t>weight</t>
    <phoneticPr fontId="4"/>
  </si>
  <si>
    <t>definite_start_date</t>
    <phoneticPr fontId="4"/>
  </si>
  <si>
    <t>definite_end_date</t>
    <phoneticPr fontId="4"/>
  </si>
  <si>
    <t>stage_hints_data_c_</t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</si>
  <si>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</si>
  <si>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4"/>
  </si>
  <si>
    <t>quest_id</t>
    <phoneticPr fontId="4"/>
  </si>
  <si>
    <t>stage_id</t>
    <phoneticPr fontId="4"/>
  </si>
  <si>
    <t>hint_id</t>
    <phoneticPr fontId="4"/>
  </si>
  <si>
    <t>hint_type</t>
    <phoneticPr fontId="4"/>
  </si>
  <si>
    <t>stage_hints_data_f_</t>
    <phoneticPr fontId="4"/>
  </si>
  <si>
    <t>stage_hints_failure</t>
    <phoneticPr fontId="4"/>
  </si>
  <si>
    <t>skip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</si>
  <si>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4"/>
  </si>
  <si>
    <t>language</t>
    <phoneticPr fontId="4"/>
  </si>
  <si>
    <t>hint</t>
    <phoneticPr fontId="4"/>
  </si>
  <si>
    <t>filename</t>
  </si>
  <si>
    <t>title</t>
    <phoneticPr fontId="4"/>
  </si>
  <si>
    <t>stage_bonuses_</t>
    <phoneticPr fontId="4"/>
  </si>
  <si>
    <t>stage_bonuses</t>
    <phoneticPr fontId="4"/>
  </si>
  <si>
    <t>stage_target</t>
    <phoneticPr fontId="4"/>
  </si>
  <si>
    <t>bonus_category</t>
    <phoneticPr fontId="4"/>
  </si>
  <si>
    <t>bonus_id</t>
    <phoneticPr fontId="4"/>
  </si>
  <si>
    <t>bonus_type</t>
    <phoneticPr fontId="4"/>
  </si>
  <si>
    <t>bonus_value</t>
    <phoneticPr fontId="4"/>
  </si>
  <si>
    <t>bonus_count</t>
    <phoneticPr fontId="4"/>
  </si>
  <si>
    <t>level</t>
    <phoneticPr fontId="4"/>
  </si>
  <si>
    <t>skill_level</t>
    <phoneticPr fontId="4"/>
  </si>
  <si>
    <t>state_no</t>
    <phoneticPr fontId="4"/>
  </si>
  <si>
    <t>hp</t>
    <phoneticPr fontId="4"/>
  </si>
  <si>
    <t>attack</t>
    <phoneticPr fontId="4"/>
  </si>
  <si>
    <t>temp_id</t>
    <phoneticPr fontId="4"/>
  </si>
  <si>
    <t>skill_set_id</t>
    <phoneticPr fontId="6"/>
  </si>
  <si>
    <t>skill_id</t>
    <phoneticPr fontId="6"/>
  </si>
  <si>
    <t>name</t>
    <phoneticPr fontId="6"/>
  </si>
  <si>
    <t>comment</t>
    <phoneticPr fontId="6"/>
  </si>
  <si>
    <t>skill_trigger_id</t>
    <phoneticPr fontId="6"/>
  </si>
  <si>
    <t>first_time</t>
    <phoneticPr fontId="4"/>
  </si>
  <si>
    <t>priority</t>
    <phoneticPr fontId="4"/>
  </si>
  <si>
    <t>invoke_rate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</si>
  <si>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</si>
  <si>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</si>
  <si>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</si>
  <si>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</si>
  <si>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invoke_weight</t>
    <phoneticPr fontId="4"/>
  </si>
  <si>
    <t>作成者</t>
    <rPh sb="0" eb="3">
      <t>サクセイシャ</t>
    </rPh>
    <phoneticPr fontId="4"/>
  </si>
  <si>
    <t>更新日</t>
    <rPh sb="0" eb="3">
      <t>コウシンニチジ</t>
    </rPh>
    <phoneticPr fontId="4"/>
  </si>
  <si>
    <t>備考（使用箇所）</t>
    <rPh sb="0" eb="2">
      <t>ビコウ</t>
    </rPh>
    <rPh sb="3" eb="7">
      <t>シヨウカショ</t>
    </rPh>
    <phoneticPr fontId="4"/>
  </si>
  <si>
    <t>効果１文字列</t>
    <rPh sb="0" eb="2">
      <t>コウカ</t>
    </rPh>
    <rPh sb="3" eb="6">
      <t>モジレツ</t>
    </rPh>
    <phoneticPr fontId="4"/>
  </si>
  <si>
    <t>効果１efect位置</t>
    <rPh sb="0" eb="2">
      <t>コウカ</t>
    </rPh>
    <rPh sb="8" eb="10">
      <t>イチ</t>
    </rPh>
    <phoneticPr fontId="4"/>
  </si>
  <si>
    <t>効果1終了位置</t>
    <rPh sb="0" eb="2">
      <t>コウカ</t>
    </rPh>
    <rPh sb="3" eb="5">
      <t>シュウリョウ</t>
    </rPh>
    <rPh sb="5" eb="7">
      <t>イチ</t>
    </rPh>
    <phoneticPr fontId="4"/>
  </si>
  <si>
    <t>効果１target位置</t>
    <rPh sb="0" eb="2">
      <t>コウカ</t>
    </rPh>
    <rPh sb="9" eb="11">
      <t>イチ</t>
    </rPh>
    <phoneticPr fontId="4"/>
  </si>
  <si>
    <t>効果1target終了位置</t>
    <rPh sb="0" eb="2">
      <t>コウカ</t>
    </rPh>
    <rPh sb="9" eb="11">
      <t>シュウリョウ</t>
    </rPh>
    <rPh sb="11" eb="13">
      <t>イチ</t>
    </rPh>
    <phoneticPr fontId="4"/>
  </si>
  <si>
    <t>効果１簡易デコード</t>
    <rPh sb="0" eb="2">
      <t>コウカ</t>
    </rPh>
    <rPh sb="3" eb="5">
      <t>カンイ</t>
    </rPh>
    <phoneticPr fontId="4"/>
  </si>
  <si>
    <t>中間文字列１</t>
    <rPh sb="0" eb="2">
      <t>チュウカン</t>
    </rPh>
    <rPh sb="2" eb="5">
      <t>モジレツ</t>
    </rPh>
    <phoneticPr fontId="4"/>
  </si>
  <si>
    <t>効果２文字列</t>
    <rPh sb="0" eb="2">
      <t>コウカ</t>
    </rPh>
    <rPh sb="3" eb="6">
      <t>モジレツ</t>
    </rPh>
    <phoneticPr fontId="4"/>
  </si>
  <si>
    <t>効果2efect位置</t>
    <rPh sb="0" eb="2">
      <t>コウカ</t>
    </rPh>
    <rPh sb="8" eb="10">
      <t>イチ</t>
    </rPh>
    <phoneticPr fontId="4"/>
  </si>
  <si>
    <t>効果2終了位置</t>
    <rPh sb="0" eb="2">
      <t>コウカ</t>
    </rPh>
    <rPh sb="3" eb="5">
      <t>シュウリョウ</t>
    </rPh>
    <rPh sb="5" eb="7">
      <t>イチ</t>
    </rPh>
    <phoneticPr fontId="4"/>
  </si>
  <si>
    <t>効果2target位置</t>
    <rPh sb="0" eb="2">
      <t>コウカ</t>
    </rPh>
    <rPh sb="9" eb="11">
      <t>イチ</t>
    </rPh>
    <phoneticPr fontId="4"/>
  </si>
  <si>
    <t>効果2target終了位置</t>
    <rPh sb="0" eb="2">
      <t>コウカ</t>
    </rPh>
    <rPh sb="9" eb="11">
      <t>シュウリョウ</t>
    </rPh>
    <rPh sb="11" eb="13">
      <t>イチ</t>
    </rPh>
    <phoneticPr fontId="4"/>
  </si>
  <si>
    <t>効果２簡易デコード</t>
    <rPh sb="0" eb="2">
      <t>コウカ</t>
    </rPh>
    <rPh sb="3" eb="5">
      <t>カンイ</t>
    </rPh>
    <phoneticPr fontId="4"/>
  </si>
  <si>
    <t>効果３文字列</t>
    <rPh sb="0" eb="2">
      <t>コウカ</t>
    </rPh>
    <rPh sb="3" eb="6">
      <t>モジレツ</t>
    </rPh>
    <phoneticPr fontId="4"/>
  </si>
  <si>
    <t>効果3efect位置</t>
    <rPh sb="0" eb="2">
      <t>コウカ</t>
    </rPh>
    <rPh sb="8" eb="10">
      <t>イチ</t>
    </rPh>
    <phoneticPr fontId="4"/>
  </si>
  <si>
    <t>効果3終了位置</t>
    <rPh sb="0" eb="2">
      <t>コウカ</t>
    </rPh>
    <rPh sb="3" eb="5">
      <t>シュウリョウ</t>
    </rPh>
    <rPh sb="5" eb="7">
      <t>イチ</t>
    </rPh>
    <phoneticPr fontId="4"/>
  </si>
  <si>
    <t>効果3target位置</t>
    <rPh sb="0" eb="2">
      <t>コウカ</t>
    </rPh>
    <rPh sb="9" eb="11">
      <t>イチ</t>
    </rPh>
    <phoneticPr fontId="4"/>
  </si>
  <si>
    <t>効果3target終了位置</t>
    <rPh sb="0" eb="2">
      <t>コウカ</t>
    </rPh>
    <rPh sb="9" eb="11">
      <t>シュウリョウ</t>
    </rPh>
    <rPh sb="11" eb="13">
      <t>イチ</t>
    </rPh>
    <phoneticPr fontId="4"/>
  </si>
  <si>
    <t>効果３簡易デコード</t>
    <rPh sb="0" eb="2">
      <t>コウカ</t>
    </rPh>
    <rPh sb="3" eb="5">
      <t>カンイ</t>
    </rPh>
    <phoneticPr fontId="4"/>
  </si>
  <si>
    <t>ja</t>
    <phoneticPr fontId="4"/>
  </si>
  <si>
    <t>first_time</t>
    <phoneticPr fontId="4"/>
  </si>
  <si>
    <t>重複チェック</t>
    <rPh sb="0" eb="2">
      <t>チョウフク</t>
    </rPh>
    <phoneticPr fontId="4"/>
  </si>
  <si>
    <t>null</t>
    <phoneticPr fontId="4"/>
  </si>
  <si>
    <t>temp_stage</t>
    <phoneticPr fontId="6"/>
  </si>
  <si>
    <t>bit</t>
  </si>
  <si>
    <t>2015-03-27 00:00:00</t>
  </si>
  <si>
    <t>2970-01-01 09:00:00</t>
  </si>
  <si>
    <t>hint_type</t>
    <phoneticPr fontId="4"/>
  </si>
  <si>
    <t>quest_id</t>
    <phoneticPr fontId="4"/>
  </si>
  <si>
    <t>name</t>
    <phoneticPr fontId="4"/>
  </si>
  <si>
    <t>stage_id</t>
    <phoneticPr fontId="4"/>
  </si>
  <si>
    <t>floor_id</t>
    <phoneticPr fontId="4"/>
  </si>
  <si>
    <t>hint_id</t>
    <phoneticPr fontId="4"/>
  </si>
  <si>
    <t>language</t>
    <phoneticPr fontId="4"/>
  </si>
  <si>
    <t>title</t>
    <phoneticPr fontId="4"/>
  </si>
  <si>
    <t>hint</t>
    <phoneticPr fontId="4"/>
  </si>
  <si>
    <t>filename</t>
    <phoneticPr fontId="4"/>
  </si>
  <si>
    <t>complete</t>
  </si>
  <si>
    <t>NULL</t>
    <phoneticPr fontId="4"/>
  </si>
  <si>
    <t>tmp_hint_id</t>
    <phoneticPr fontId="4"/>
  </si>
  <si>
    <t>hint_id</t>
    <phoneticPr fontId="4"/>
  </si>
  <si>
    <t>language</t>
    <phoneticPr fontId="4"/>
  </si>
  <si>
    <t>title</t>
    <phoneticPr fontId="4"/>
  </si>
  <si>
    <t>hint</t>
    <phoneticPr fontId="4"/>
  </si>
  <si>
    <t>filename</t>
    <phoneticPr fontId="4"/>
  </si>
  <si>
    <t>failure</t>
  </si>
  <si>
    <t>ja</t>
    <phoneticPr fontId="4"/>
  </si>
  <si>
    <t>攻略のヒント</t>
    <rPh sb="0" eb="2">
      <t>コウリャク</t>
    </rPh>
    <phoneticPr fontId="4"/>
  </si>
  <si>
    <t>敵が強すぎます</t>
    <rPh sb="0" eb="2">
      <t>テk</t>
    </rPh>
    <rPh sb="2" eb="7">
      <t>ツヨs</t>
    </rPh>
    <phoneticPr fontId="4"/>
  </si>
  <si>
    <t>NULL</t>
    <phoneticPr fontId="4"/>
  </si>
  <si>
    <t>temp_id</t>
    <phoneticPr fontId="4"/>
  </si>
  <si>
    <t>name</t>
    <phoneticPr fontId="4"/>
  </si>
  <si>
    <t>name</t>
    <phoneticPr fontId="4"/>
  </si>
  <si>
    <t>stage_target</t>
    <phoneticPr fontId="4"/>
  </si>
  <si>
    <t>bonus_id</t>
    <phoneticPr fontId="4"/>
  </si>
  <si>
    <t>bonus_type</t>
    <phoneticPr fontId="4"/>
  </si>
  <si>
    <t>bonus_value</t>
    <phoneticPr fontId="4"/>
  </si>
  <si>
    <t>bonus_count</t>
    <phoneticPr fontId="4"/>
  </si>
  <si>
    <t>level</t>
    <phoneticPr fontId="4"/>
  </si>
  <si>
    <t>skill_level</t>
    <phoneticPr fontId="4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</si>
  <si>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</si>
  <si>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</si>
  <si>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</si>
  <si>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</si>
  <si>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</si>
  <si>
    <t>definite_start_date</t>
    <phoneticPr fontId="4"/>
  </si>
  <si>
    <t>definite_end_date</t>
    <phoneticPr fontId="4"/>
  </si>
  <si>
    <t>everyone</t>
    <phoneticPr fontId="4"/>
  </si>
  <si>
    <t>clear</t>
    <phoneticPr fontId="4"/>
  </si>
  <si>
    <t>unit</t>
    <phoneticPr fontId="4"/>
  </si>
  <si>
    <t>2016-5-27 0:00:00</t>
    <phoneticPr fontId="4"/>
  </si>
  <si>
    <t>2970-01-01 09:00:00</t>
    <phoneticPr fontId="4"/>
  </si>
  <si>
    <t>everyone</t>
    <phoneticPr fontId="4"/>
  </si>
  <si>
    <t>no_continue</t>
    <phoneticPr fontId="4"/>
  </si>
  <si>
    <t>unit</t>
    <phoneticPr fontId="4"/>
  </si>
  <si>
    <t>2016-5-27 0:00:00</t>
    <phoneticPr fontId="4"/>
  </si>
  <si>
    <t>null</t>
    <phoneticPr fontId="4"/>
  </si>
  <si>
    <t>NULL</t>
  </si>
  <si>
    <t>link</t>
  </si>
  <si>
    <t>unit</t>
  </si>
  <si>
    <t>everyone</t>
    <phoneticPr fontId="4"/>
  </si>
  <si>
    <t>old</t>
    <phoneticPr fontId="4"/>
  </si>
  <si>
    <t>old</t>
    <phoneticPr fontId="4"/>
  </si>
  <si>
    <t>rtc1</t>
    <phoneticPr fontId="4"/>
  </si>
  <si>
    <t>incidence</t>
    <phoneticPr fontId="4"/>
  </si>
  <si>
    <t>boss_flg</t>
    <phoneticPr fontId="4"/>
  </si>
  <si>
    <t>drop_unit_id</t>
    <phoneticPr fontId="4"/>
  </si>
  <si>
    <t>drop_unit_level</t>
    <phoneticPr fontId="4"/>
  </si>
  <si>
    <t>drop_unit_rate</t>
    <phoneticPr fontId="4"/>
  </si>
  <si>
    <t>skill_level</t>
    <phoneticPr fontId="4"/>
  </si>
  <si>
    <t>invoke_rate</t>
    <phoneticPr fontId="4"/>
  </si>
  <si>
    <t>hp_threshold</t>
    <phoneticPr fontId="4"/>
  </si>
  <si>
    <t>hp_termination</t>
    <phoneticPr fontId="4"/>
  </si>
  <si>
    <t>invoke_times</t>
    <phoneticPr fontId="4"/>
  </si>
  <si>
    <t>neighbor_dead_id</t>
    <phoneticPr fontId="4"/>
  </si>
  <si>
    <t>enemy_skill_id</t>
    <phoneticPr fontId="4"/>
  </si>
  <si>
    <t>effect_param</t>
    <phoneticPr fontId="4"/>
  </si>
  <si>
    <t>valid_flg</t>
    <phoneticPr fontId="4"/>
  </si>
  <si>
    <t>name</t>
    <phoneticPr fontId="6"/>
  </si>
  <si>
    <t>comment</t>
    <phoneticPr fontId="6"/>
  </si>
  <si>
    <t>bonus_type</t>
    <phoneticPr fontId="4"/>
  </si>
  <si>
    <t>bonus_count</t>
    <phoneticPr fontId="4"/>
  </si>
  <si>
    <t>汝、選ばれし者か</t>
    <phoneticPr fontId="4"/>
  </si>
  <si>
    <t>[effect:damage_anti_tribe, target:unit_all, tribe:human, val1:0.1, val2:30][effect:damage_anti_cost, target:unit_all, lower:29, val1:30, val2:0.1, cost_type:unit][effect:enemy_message, val1:1, val2:3]</t>
    <phoneticPr fontId="4"/>
  </si>
  <si>
    <t>コスト２９以上キラー ＆ ヒューマン以外キラー</t>
    <phoneticPr fontId="4"/>
  </si>
  <si>
    <t>null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</si>
</sst>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0.0"/>
    <numFmt numFmtId="178" formatCode="yyyy\-mm\-dd\ h:mm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0"/>
      <color indexed="8"/>
      <name val="Arial"/>
      <family val="2"/>
    </font>
    <font>
      <b/>
      <sz val="18"/>
      <color indexed="62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52"/>
      <name val="lr oSVbN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ＭＳ Ｐゴシック"/>
      <family val="2"/>
      <charset val="128"/>
    </font>
    <font>
      <sz val="9.6"/>
      <color rgb="FF000000"/>
      <name val="Arial"/>
      <family val="2"/>
    </font>
    <font>
      <b/>
      <sz val="10"/>
      <color theme="1"/>
      <name val="ＭＳ Ｐゴシック"/>
      <family val="3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22"/>
        <bgColor indexed="31"/>
      </patternFill>
    </fill>
    <fill>
      <patternFill patternType="solid">
        <fgColor indexed="26"/>
        <bgColor indexed="9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55"/>
        <bgColor indexed="23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5"/>
        <bgColor indexed="29"/>
      </patternFill>
    </fill>
    <fill>
      <patternFill patternType="solid">
        <fgColor indexed="9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16"/>
        <bgColor indexed="37"/>
      </patternFill>
    </fill>
    <fill>
      <patternFill patternType="solid">
        <fgColor indexed="16"/>
        <bgColor indexed="59"/>
      </patternFill>
    </fill>
    <fill>
      <patternFill patternType="solid">
        <fgColor indexed="18"/>
        <bgColor indexed="3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2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000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>
      <alignment vertical="center"/>
    </xf>
    <xf numFmtId="0" fontId="1" fillId="0" borderId="0"/>
    <xf numFmtId="0" fontId="1" fillId="0" borderId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17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17" borderId="0" applyNumberFormat="0" applyBorder="0" applyAlignment="0" applyProtection="0"/>
    <xf numFmtId="0" fontId="22" fillId="22" borderId="0" applyNumberFormat="0" applyBorder="0" applyAlignment="0" applyProtection="0"/>
    <xf numFmtId="0" fontId="22" fillId="19" borderId="0" applyNumberFormat="0" applyBorder="0" applyAlignment="0" applyProtection="0"/>
    <xf numFmtId="0" fontId="22" fillId="17" borderId="0" applyNumberFormat="0" applyBorder="0" applyAlignment="0" applyProtection="0"/>
    <xf numFmtId="0" fontId="22" fillId="23" borderId="0" applyNumberFormat="0" applyBorder="0" applyAlignment="0" applyProtection="0"/>
    <xf numFmtId="0" fontId="22" fillId="18" borderId="0" applyNumberFormat="0" applyBorder="0" applyAlignment="0" applyProtection="0"/>
    <xf numFmtId="0" fontId="23" fillId="24" borderId="0" applyNumberFormat="0" applyBorder="0" applyAlignment="0" applyProtection="0"/>
    <xf numFmtId="0" fontId="23" fillId="22" borderId="0" applyNumberFormat="0" applyBorder="0" applyAlignment="0" applyProtection="0"/>
    <xf numFmtId="0" fontId="23" fillId="19" borderId="0" applyNumberFormat="0" applyBorder="0" applyAlignment="0" applyProtection="0"/>
    <xf numFmtId="0" fontId="23" fillId="17" borderId="0" applyNumberFormat="0" applyBorder="0" applyAlignment="0" applyProtection="0"/>
    <xf numFmtId="0" fontId="23" fillId="24" borderId="0" applyNumberFormat="0" applyBorder="0" applyAlignment="0" applyProtection="0"/>
    <xf numFmtId="0" fontId="23" fillId="18" borderId="0" applyNumberFormat="0" applyBorder="0" applyAlignment="0" applyProtection="0"/>
    <xf numFmtId="0" fontId="24" fillId="0" borderId="0"/>
    <xf numFmtId="0" fontId="25" fillId="0" borderId="0" applyNumberFormat="0" applyFill="0" applyBorder="0" applyAlignment="0" applyProtection="0"/>
    <xf numFmtId="0" fontId="26" fillId="25" borderId="13" applyNumberFormat="0" applyAlignment="0" applyProtection="0"/>
    <xf numFmtId="0" fontId="23" fillId="24" borderId="0" applyNumberFormat="0" applyBorder="0" applyAlignment="0" applyProtection="0"/>
    <xf numFmtId="0" fontId="23" fillId="26" borderId="0" applyNumberFormat="0" applyBorder="0" applyAlignment="0" applyProtection="0"/>
    <xf numFmtId="0" fontId="23" fillId="19" borderId="0" applyNumberFormat="0" applyBorder="0" applyAlignment="0" applyProtection="0"/>
    <xf numFmtId="0" fontId="23" fillId="27" borderId="0" applyNumberFormat="0" applyBorder="0" applyAlignment="0" applyProtection="0"/>
    <xf numFmtId="0" fontId="23" fillId="24" borderId="0" applyNumberFormat="0" applyBorder="0" applyAlignment="0" applyProtection="0"/>
    <xf numFmtId="0" fontId="23" fillId="22" borderId="0" applyNumberFormat="0" applyBorder="0" applyAlignment="0" applyProtection="0"/>
    <xf numFmtId="0" fontId="27" fillId="21" borderId="14" applyNumberFormat="0" applyAlignment="0" applyProtection="0"/>
    <xf numFmtId="0" fontId="28" fillId="0" borderId="15" applyNumberFormat="0" applyFill="0" applyAlignment="0" applyProtection="0"/>
    <xf numFmtId="0" fontId="29" fillId="18" borderId="0" applyNumberFormat="0" applyBorder="0" applyAlignment="0" applyProtection="0"/>
    <xf numFmtId="0" fontId="30" fillId="28" borderId="0" applyNumberFormat="0" applyBorder="0" applyAlignment="0" applyProtection="0"/>
    <xf numFmtId="0" fontId="31" fillId="29" borderId="16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7" applyNumberFormat="0" applyFill="0" applyAlignment="0" applyProtection="0"/>
    <xf numFmtId="0" fontId="34" fillId="0" borderId="18" applyNumberFormat="0" applyFill="0" applyAlignment="0" applyProtection="0"/>
    <xf numFmtId="0" fontId="35" fillId="0" borderId="19" applyNumberFormat="0" applyFill="0" applyAlignment="0" applyProtection="0"/>
    <xf numFmtId="0" fontId="36" fillId="0" borderId="20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21" applyNumberFormat="0" applyFill="0" applyAlignment="0" applyProtection="0"/>
    <xf numFmtId="0" fontId="38" fillId="17" borderId="22" applyNumberFormat="0" applyAlignment="0" applyProtection="0"/>
    <xf numFmtId="0" fontId="38" fillId="29" borderId="22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17" borderId="16" applyNumberFormat="0" applyAlignment="0" applyProtection="0"/>
    <xf numFmtId="0" fontId="40" fillId="18" borderId="16" applyNumberFormat="0" applyAlignment="0" applyProtection="0"/>
    <xf numFmtId="0" fontId="29" fillId="18" borderId="0" applyNumberFormat="0" applyBorder="0" applyAlignment="0" applyProtection="0"/>
    <xf numFmtId="0" fontId="41" fillId="30" borderId="0" applyNumberFormat="0" applyBorder="0" applyAlignment="0" applyProtection="0"/>
    <xf numFmtId="38" fontId="42" fillId="0" borderId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43" fillId="0" borderId="0"/>
    <xf numFmtId="0" fontId="15" fillId="0" borderId="0">
      <alignment vertical="center"/>
    </xf>
    <xf numFmtId="0" fontId="1" fillId="0" borderId="0"/>
    <xf numFmtId="0" fontId="1" fillId="0" borderId="0"/>
    <xf numFmtId="0" fontId="44" fillId="31" borderId="0" applyNumberFormat="0" applyBorder="0" applyAlignment="0" applyProtection="0"/>
    <xf numFmtId="0" fontId="45" fillId="32" borderId="0" applyNumberFormat="0" applyBorder="0" applyAlignment="0" applyProtection="0"/>
    <xf numFmtId="0" fontId="46" fillId="33" borderId="0" applyNumberFormat="0" applyBorder="0" applyAlignment="0" applyProtection="0"/>
  </cellStyleXfs>
  <cellXfs count="13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176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14" fillId="0" borderId="7" xfId="0" applyFont="1" applyBorder="1" applyAlignment="1">
      <alignment vertical="center"/>
    </xf>
    <xf numFmtId="0" fontId="15" fillId="0" borderId="7" xfId="0" applyFont="1" applyBorder="1" applyAlignment="1">
      <alignment vertical="center"/>
    </xf>
    <xf numFmtId="0" fontId="14" fillId="0" borderId="7" xfId="0" applyFont="1" applyBorder="1" applyAlignment="1">
      <alignment horizontal="center" vertical="center"/>
    </xf>
    <xf numFmtId="0" fontId="15" fillId="8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3" fillId="0" borderId="7" xfId="0" applyFont="1" applyFill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3" fillId="0" borderId="7" xfId="0" applyFont="1" applyBorder="1" applyAlignment="1">
      <alignment vertical="center"/>
    </xf>
    <xf numFmtId="0" fontId="7" fillId="9" borderId="4" xfId="0" applyFont="1" applyFill="1" applyBorder="1" applyAlignment="1">
      <alignment vertical="center"/>
    </xf>
    <xf numFmtId="0" fontId="3" fillId="9" borderId="5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7" fontId="7" fillId="0" borderId="4" xfId="0" applyNumberFormat="1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14" fillId="0" borderId="7" xfId="0" applyFont="1" applyFill="1" applyBorder="1" applyAlignment="1">
      <alignment vertical="center"/>
    </xf>
    <xf numFmtId="0" fontId="16" fillId="0" borderId="7" xfId="0" applyFont="1" applyFill="1" applyBorder="1" applyAlignment="1">
      <alignment vertical="center"/>
    </xf>
    <xf numFmtId="0" fontId="17" fillId="0" borderId="7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177" fontId="7" fillId="9" borderId="4" xfId="0" applyNumberFormat="1" applyFont="1" applyFill="1" applyBorder="1" applyAlignment="1">
      <alignment vertical="center"/>
    </xf>
    <xf numFmtId="0" fontId="5" fillId="10" borderId="3" xfId="0" applyFont="1" applyFill="1" applyBorder="1" applyAlignment="1">
      <alignment vertical="center"/>
    </xf>
    <xf numFmtId="0" fontId="5" fillId="9" borderId="1" xfId="0" applyFont="1" applyFill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14" fillId="11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0" fontId="14" fillId="13" borderId="7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19" fillId="9" borderId="7" xfId="0" applyFont="1" applyFill="1" applyBorder="1" applyAlignment="1">
      <alignment vertical="center"/>
    </xf>
    <xf numFmtId="0" fontId="14" fillId="9" borderId="7" xfId="0" applyFont="1" applyFill="1" applyBorder="1" applyAlignment="1">
      <alignment vertical="center"/>
    </xf>
    <xf numFmtId="0" fontId="12" fillId="15" borderId="7" xfId="940" applyFont="1" applyFill="1" applyBorder="1" applyAlignment="1"/>
    <xf numFmtId="0" fontId="12" fillId="15" borderId="7" xfId="0" applyFont="1" applyFill="1" applyBorder="1"/>
    <xf numFmtId="0" fontId="0" fillId="15" borderId="7" xfId="0" applyFill="1" applyBorder="1"/>
    <xf numFmtId="0" fontId="20" fillId="0" borderId="7" xfId="940" applyBorder="1" applyAlignment="1"/>
    <xf numFmtId="0" fontId="0" fillId="0" borderId="7" xfId="0" applyBorder="1"/>
    <xf numFmtId="0" fontId="0" fillId="9" borderId="7" xfId="0" applyFill="1" applyBorder="1"/>
    <xf numFmtId="0" fontId="0" fillId="6" borderId="7" xfId="0" applyFill="1" applyBorder="1"/>
    <xf numFmtId="0" fontId="21" fillId="16" borderId="7" xfId="0" applyFont="1" applyFill="1" applyBorder="1"/>
    <xf numFmtId="0" fontId="0" fillId="0" borderId="7" xfId="941" applyFont="1" applyBorder="1"/>
    <xf numFmtId="0" fontId="1" fillId="15" borderId="7" xfId="941" applyFill="1" applyBorder="1"/>
    <xf numFmtId="0" fontId="19" fillId="6" borderId="7" xfId="942" applyFont="1" applyFill="1" applyBorder="1" applyAlignment="1">
      <alignment horizontal="left"/>
    </xf>
    <xf numFmtId="0" fontId="0" fillId="6" borderId="7" xfId="941" applyFont="1" applyFill="1" applyBorder="1"/>
    <xf numFmtId="0" fontId="19" fillId="6" borderId="7" xfId="0" applyFont="1" applyFill="1" applyBorder="1" applyAlignment="1">
      <alignment horizontal="center"/>
    </xf>
    <xf numFmtId="56" fontId="19" fillId="6" borderId="7" xfId="0" applyNumberFormat="1" applyFont="1" applyFill="1" applyBorder="1" applyAlignment="1">
      <alignment horizontal="center"/>
    </xf>
    <xf numFmtId="0" fontId="1" fillId="0" borderId="7" xfId="941" applyBorder="1"/>
    <xf numFmtId="0" fontId="1" fillId="0" borderId="0" xfId="941"/>
    <xf numFmtId="0" fontId="1" fillId="6" borderId="7" xfId="941" applyFill="1" applyBorder="1"/>
    <xf numFmtId="0" fontId="11" fillId="7" borderId="0" xfId="0" applyFont="1" applyFill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34" borderId="7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" fontId="27" fillId="34" borderId="7" xfId="0" applyNumberFormat="1" applyFont="1" applyFill="1" applyBorder="1" applyAlignment="1">
      <alignment vertical="center"/>
    </xf>
    <xf numFmtId="0" fontId="5" fillId="5" borderId="23" xfId="0" applyFont="1" applyFill="1" applyBorder="1" applyAlignment="1">
      <alignment vertical="center"/>
    </xf>
    <xf numFmtId="0" fontId="13" fillId="7" borderId="0" xfId="0" applyFont="1" applyFill="1" applyAlignment="1">
      <alignment vertical="center"/>
    </xf>
    <xf numFmtId="0" fontId="19" fillId="6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3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 wrapText="1"/>
    </xf>
    <xf numFmtId="0" fontId="19" fillId="3" borderId="7" xfId="0" applyFont="1" applyFill="1" applyBorder="1" applyAlignment="1">
      <alignment horizontal="left" vertical="center" wrapText="1"/>
    </xf>
    <xf numFmtId="14" fontId="19" fillId="0" borderId="7" xfId="0" applyNumberFormat="1" applyFont="1" applyFill="1" applyBorder="1" applyAlignment="1">
      <alignment horizontal="left" vertical="center"/>
    </xf>
    <xf numFmtId="0" fontId="10" fillId="6" borderId="2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3" fillId="7" borderId="0" xfId="942" applyFont="1" applyFill="1" applyAlignment="1">
      <alignment horizontal="center" vertical="center"/>
    </xf>
    <xf numFmtId="0" fontId="0" fillId="3" borderId="7" xfId="0" applyFill="1" applyBorder="1"/>
    <xf numFmtId="0" fontId="49" fillId="6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9" borderId="7" xfId="0" applyFont="1" applyFill="1" applyBorder="1" applyAlignment="1">
      <alignment horizontal="center"/>
    </xf>
    <xf numFmtId="0" fontId="19" fillId="35" borderId="7" xfId="0" applyFont="1" applyFill="1" applyBorder="1" applyAlignment="1">
      <alignment horizontal="center"/>
    </xf>
    <xf numFmtId="0" fontId="19" fillId="36" borderId="7" xfId="0" applyFont="1" applyFill="1" applyBorder="1" applyAlignment="1">
      <alignment horizontal="center"/>
    </xf>
    <xf numFmtId="56" fontId="19" fillId="36" borderId="7" xfId="0" applyNumberFormat="1" applyFont="1" applyFill="1" applyBorder="1" applyAlignment="1">
      <alignment horizontal="center"/>
    </xf>
    <xf numFmtId="0" fontId="0" fillId="35" borderId="7" xfId="0" applyFill="1" applyBorder="1"/>
    <xf numFmtId="0" fontId="49" fillId="0" borderId="7" xfId="0" applyFont="1" applyFill="1" applyBorder="1"/>
    <xf numFmtId="0" fontId="50" fillId="0" borderId="7" xfId="0" applyFont="1" applyFill="1" applyBorder="1"/>
    <xf numFmtId="0" fontId="51" fillId="3" borderId="24" xfId="0" applyFont="1" applyFill="1" applyBorder="1" applyAlignment="1">
      <alignment vertical="center"/>
    </xf>
    <xf numFmtId="0" fontId="52" fillId="0" borderId="7" xfId="0" applyFont="1" applyFill="1" applyBorder="1"/>
    <xf numFmtId="0" fontId="51" fillId="0" borderId="24" xfId="0" applyFont="1" applyFill="1" applyBorder="1" applyAlignment="1">
      <alignment vertical="center"/>
    </xf>
    <xf numFmtId="0" fontId="53" fillId="0" borderId="7" xfId="0" applyFont="1" applyFill="1" applyBorder="1"/>
    <xf numFmtId="0" fontId="52" fillId="36" borderId="7" xfId="0" applyFont="1" applyFill="1" applyBorder="1"/>
    <xf numFmtId="38" fontId="19" fillId="36" borderId="7" xfId="992" applyFont="1" applyFill="1" applyBorder="1" applyAlignment="1"/>
    <xf numFmtId="0" fontId="49" fillId="0" borderId="0" xfId="0" applyFont="1" applyFill="1"/>
    <xf numFmtId="0" fontId="19" fillId="37" borderId="7" xfId="0" applyFont="1" applyFill="1" applyBorder="1" applyAlignment="1">
      <alignment horizontal="center"/>
    </xf>
    <xf numFmtId="0" fontId="53" fillId="37" borderId="7" xfId="0" applyFont="1" applyFill="1" applyBorder="1"/>
    <xf numFmtId="0" fontId="53" fillId="36" borderId="7" xfId="0" applyFont="1" applyFill="1" applyBorder="1"/>
    <xf numFmtId="38" fontId="19" fillId="0" borderId="7" xfId="992" applyFont="1" applyFill="1" applyBorder="1" applyAlignment="1"/>
    <xf numFmtId="0" fontId="12" fillId="7" borderId="0" xfId="0" applyFont="1" applyFill="1" applyAlignment="1">
      <alignment horizontal="center"/>
    </xf>
    <xf numFmtId="0" fontId="54" fillId="6" borderId="7" xfId="0" applyFont="1" applyFill="1" applyBorder="1" applyAlignment="1">
      <alignment horizontal="center"/>
    </xf>
    <xf numFmtId="0" fontId="12" fillId="7" borderId="0" xfId="0" applyFont="1" applyFill="1" applyAlignment="1">
      <alignment horizontal="left" indent="1"/>
    </xf>
    <xf numFmtId="0" fontId="53" fillId="3" borderId="7" xfId="0" applyFont="1" applyFill="1" applyBorder="1"/>
    <xf numFmtId="22" fontId="53" fillId="0" borderId="7" xfId="0" quotePrefix="1" applyNumberFormat="1" applyFont="1" applyFill="1" applyBorder="1"/>
    <xf numFmtId="0" fontId="53" fillId="0" borderId="7" xfId="0" quotePrefix="1" applyFont="1" applyFill="1" applyBorder="1"/>
    <xf numFmtId="178" fontId="0" fillId="0" borderId="7" xfId="0" applyNumberFormat="1" applyBorder="1"/>
    <xf numFmtId="0" fontId="20" fillId="9" borderId="8" xfId="940" applyFill="1" applyBorder="1" applyAlignment="1"/>
    <xf numFmtId="0" fontId="20" fillId="9" borderId="7" xfId="940" applyFill="1" applyBorder="1" applyAlignment="1"/>
    <xf numFmtId="0" fontId="0" fillId="9" borderId="7" xfId="941" applyFont="1" applyFill="1" applyBorder="1"/>
    <xf numFmtId="0" fontId="5" fillId="38" borderId="3" xfId="0" applyFont="1" applyFill="1" applyBorder="1" applyAlignment="1">
      <alignment vertical="center"/>
    </xf>
  </cellXfs>
  <cellStyles count="1000">
    <cellStyle name="20% - ANZg1" xfId="943"/>
    <cellStyle name="20% - ANZg2" xfId="944"/>
    <cellStyle name="20% - ANZg3" xfId="945"/>
    <cellStyle name="20% - ANZg4" xfId="946"/>
    <cellStyle name="20% - ANZg5" xfId="947"/>
    <cellStyle name="20% - ANZg6" xfId="948"/>
    <cellStyle name="40% - ANZg1" xfId="949"/>
    <cellStyle name="40% - ANZg2" xfId="950"/>
    <cellStyle name="40% - ANZg3" xfId="951"/>
    <cellStyle name="40% - ANZg4" xfId="952"/>
    <cellStyle name="40% - ANZg5" xfId="953"/>
    <cellStyle name="40% - ANZg6" xfId="954"/>
    <cellStyle name="60% - ANZg1" xfId="955"/>
    <cellStyle name="60% - ANZg2" xfId="956"/>
    <cellStyle name="60% - ANZg3" xfId="957"/>
    <cellStyle name="60% - ANZg4" xfId="958"/>
    <cellStyle name="60% - ANZg5" xfId="959"/>
    <cellStyle name="60% - ANZg6" xfId="960"/>
    <cellStyle name="Excel Built-in Normal" xfId="961"/>
    <cellStyle name="^Cg" xfId="962"/>
    <cellStyle name="`FbN Z" xfId="963"/>
    <cellStyle name="ANZg 1" xfId="964"/>
    <cellStyle name="ANZg 2" xfId="965"/>
    <cellStyle name="ANZg 3" xfId="966"/>
    <cellStyle name="ANZg 4" xfId="967"/>
    <cellStyle name="ANZg 5" xfId="968"/>
    <cellStyle name="ANZg 6" xfId="969"/>
    <cellStyle name="" xfId="970"/>
    <cellStyle name="N Z" xfId="971"/>
    <cellStyle name="_" xfId="972"/>
    <cellStyle name="«¢" xfId="973"/>
    <cellStyle name="vZ" xfId="974"/>
    <cellStyle name="x÷" xfId="975"/>
    <cellStyle name="x¶" xfId="976"/>
    <cellStyle name="ýo_ 1" xfId="977"/>
    <cellStyle name="©oµ 1" xfId="978"/>
    <cellStyle name="©oµ 2" xfId="979"/>
    <cellStyle name="©oµ 3" xfId="980"/>
    <cellStyle name="©oµ 4" xfId="981"/>
    <cellStyle name="v" xfId="982"/>
    <cellStyle name="o_" xfId="983"/>
    <cellStyle name="oÍ" xfId="984"/>
    <cellStyle name="__÷" xfId="985"/>
    <cellStyle name="à¾¶" xfId="986"/>
    <cellStyle name="__" xfId="987"/>
    <cellStyle name="üÍ" xfId="988"/>
    <cellStyle name="Ê" xfId="989"/>
    <cellStyle name="Ç¢" xfId="990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桁区切り 2" xfId="991"/>
    <cellStyle name="桁区切り 2 2" xfId="992"/>
    <cellStyle name="標準" xfId="0" builtinId="0"/>
    <cellStyle name="標準 2" xfId="993"/>
    <cellStyle name="標準 2 2" xfId="994"/>
    <cellStyle name="標準 3" xfId="940"/>
    <cellStyle name="標準 4" xfId="11"/>
    <cellStyle name="標準 4 2" xfId="942"/>
    <cellStyle name="標準 5" xfId="995"/>
    <cellStyle name="標準 5 2" xfId="996"/>
    <cellStyle name="標準 6" xfId="941"/>
    <cellStyle name="無題1" xfId="997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赤字強調" xfId="998"/>
    <cellStyle name="青字強調" xfId="999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13101</v>
          </cell>
        </row>
        <row r="91">
          <cell r="A91">
            <v>14001</v>
          </cell>
        </row>
        <row r="92">
          <cell r="A92">
            <v>14002</v>
          </cell>
        </row>
        <row r="93">
          <cell r="A93">
            <v>14003</v>
          </cell>
        </row>
        <row r="94">
          <cell r="A94">
            <v>14004</v>
          </cell>
        </row>
        <row r="95">
          <cell r="A95">
            <v>14005</v>
          </cell>
        </row>
        <row r="96">
          <cell r="A96">
            <v>14006</v>
          </cell>
        </row>
        <row r="97">
          <cell r="A97">
            <v>15027</v>
          </cell>
        </row>
        <row r="98">
          <cell r="A98">
            <v>15028</v>
          </cell>
        </row>
        <row r="99">
          <cell r="A99">
            <v>15029</v>
          </cell>
        </row>
        <row r="100">
          <cell r="A100">
            <v>15030</v>
          </cell>
        </row>
        <row r="101">
          <cell r="A101">
            <v>15031</v>
          </cell>
        </row>
        <row r="102">
          <cell r="A102">
            <v>20001</v>
          </cell>
        </row>
        <row r="103">
          <cell r="A103">
            <v>20002</v>
          </cell>
        </row>
        <row r="104">
          <cell r="A104">
            <v>20003</v>
          </cell>
        </row>
        <row r="105">
          <cell r="A105">
            <v>20004</v>
          </cell>
        </row>
        <row r="106">
          <cell r="A106">
            <v>20005</v>
          </cell>
        </row>
        <row r="107">
          <cell r="A107">
            <v>20006</v>
          </cell>
        </row>
        <row r="108">
          <cell r="A108">
            <v>20007</v>
          </cell>
        </row>
        <row r="109">
          <cell r="A109">
            <v>20008</v>
          </cell>
        </row>
        <row r="110">
          <cell r="A110">
            <v>20009</v>
          </cell>
        </row>
        <row r="111">
          <cell r="A111">
            <v>20010</v>
          </cell>
        </row>
        <row r="112">
          <cell r="A112">
            <v>20011</v>
          </cell>
        </row>
        <row r="113">
          <cell r="A113">
            <v>20012</v>
          </cell>
        </row>
        <row r="114">
          <cell r="A114">
            <v>20013</v>
          </cell>
        </row>
        <row r="115">
          <cell r="A115">
            <v>20014</v>
          </cell>
        </row>
        <row r="116">
          <cell r="A116">
            <v>20015</v>
          </cell>
        </row>
        <row r="117">
          <cell r="A117">
            <v>20016</v>
          </cell>
        </row>
        <row r="118">
          <cell r="A118">
            <v>20017</v>
          </cell>
        </row>
        <row r="119">
          <cell r="A119">
            <v>20018</v>
          </cell>
        </row>
        <row r="120">
          <cell r="A120">
            <v>20019</v>
          </cell>
        </row>
        <row r="121">
          <cell r="A121">
            <v>20020</v>
          </cell>
        </row>
        <row r="122">
          <cell r="A122">
            <v>30001</v>
          </cell>
        </row>
        <row r="123">
          <cell r="A123">
            <v>30002</v>
          </cell>
        </row>
        <row r="124">
          <cell r="A124">
            <v>30003</v>
          </cell>
        </row>
        <row r="125">
          <cell r="A125">
            <v>30004</v>
          </cell>
        </row>
        <row r="126">
          <cell r="A126">
            <v>30005</v>
          </cell>
        </row>
        <row r="127">
          <cell r="A127">
            <v>30006</v>
          </cell>
        </row>
        <row r="128">
          <cell r="A128">
            <v>30007</v>
          </cell>
        </row>
        <row r="129">
          <cell r="A129">
            <v>30008</v>
          </cell>
        </row>
        <row r="130">
          <cell r="A130">
            <v>30009</v>
          </cell>
        </row>
        <row r="131">
          <cell r="A131">
            <v>30010</v>
          </cell>
        </row>
        <row r="132">
          <cell r="A132">
            <v>30011</v>
          </cell>
        </row>
        <row r="133">
          <cell r="A133">
            <v>30012</v>
          </cell>
        </row>
        <row r="134">
          <cell r="A134">
            <v>30013</v>
          </cell>
        </row>
        <row r="135">
          <cell r="A135">
            <v>30014</v>
          </cell>
        </row>
        <row r="136">
          <cell r="A136">
            <v>30015</v>
          </cell>
        </row>
        <row r="137">
          <cell r="A137">
            <v>30016</v>
          </cell>
        </row>
        <row r="138">
          <cell r="A138">
            <v>30017</v>
          </cell>
        </row>
        <row r="139">
          <cell r="A139">
            <v>30018</v>
          </cell>
        </row>
        <row r="140">
          <cell r="A140">
            <v>30019</v>
          </cell>
        </row>
        <row r="141">
          <cell r="A141">
            <v>30020</v>
          </cell>
        </row>
        <row r="142">
          <cell r="A142">
            <v>30021</v>
          </cell>
        </row>
        <row r="143">
          <cell r="A143">
            <v>30022</v>
          </cell>
        </row>
        <row r="144">
          <cell r="A144">
            <v>30023</v>
          </cell>
        </row>
        <row r="145">
          <cell r="A145">
            <v>30024</v>
          </cell>
        </row>
        <row r="146">
          <cell r="A146">
            <v>30025</v>
          </cell>
        </row>
        <row r="147">
          <cell r="A147">
            <v>30026</v>
          </cell>
        </row>
        <row r="148">
          <cell r="A148">
            <v>30027</v>
          </cell>
        </row>
        <row r="149">
          <cell r="A149">
            <v>30028</v>
          </cell>
        </row>
        <row r="150">
          <cell r="A150">
            <v>30029</v>
          </cell>
        </row>
        <row r="151">
          <cell r="A151">
            <v>30030</v>
          </cell>
        </row>
        <row r="152">
          <cell r="A152">
            <v>30031</v>
          </cell>
        </row>
        <row r="153">
          <cell r="A153">
            <v>30032</v>
          </cell>
        </row>
        <row r="154">
          <cell r="A154">
            <v>30033</v>
          </cell>
        </row>
        <row r="155">
          <cell r="A155">
            <v>30034</v>
          </cell>
        </row>
        <row r="156">
          <cell r="A156">
            <v>30035</v>
          </cell>
        </row>
        <row r="157">
          <cell r="A157">
            <v>30036</v>
          </cell>
        </row>
        <row r="158">
          <cell r="A158">
            <v>30037</v>
          </cell>
        </row>
        <row r="159">
          <cell r="A159">
            <v>30038</v>
          </cell>
        </row>
        <row r="160">
          <cell r="A160">
            <v>30039</v>
          </cell>
        </row>
        <row r="161">
          <cell r="A161">
            <v>30040</v>
          </cell>
        </row>
        <row r="162">
          <cell r="A162">
            <v>39001</v>
          </cell>
        </row>
        <row r="163">
          <cell r="A163">
            <v>39002</v>
          </cell>
        </row>
        <row r="164">
          <cell r="A164">
            <v>39003</v>
          </cell>
        </row>
        <row r="165">
          <cell r="A165">
            <v>39004</v>
          </cell>
        </row>
        <row r="166">
          <cell r="A166">
            <v>39005</v>
          </cell>
        </row>
        <row r="167">
          <cell r="A167">
            <v>39006</v>
          </cell>
        </row>
        <row r="168">
          <cell r="A168">
            <v>39007</v>
          </cell>
        </row>
        <row r="169">
          <cell r="A169">
            <v>40001</v>
          </cell>
        </row>
        <row r="170">
          <cell r="A170">
            <v>40002</v>
          </cell>
        </row>
        <row r="171">
          <cell r="A171">
            <v>40003</v>
          </cell>
        </row>
        <row r="172">
          <cell r="A172">
            <v>40004</v>
          </cell>
        </row>
        <row r="173">
          <cell r="A173">
            <v>40005</v>
          </cell>
        </row>
        <row r="174">
          <cell r="A174">
            <v>40006</v>
          </cell>
        </row>
        <row r="175">
          <cell r="A175">
            <v>40007</v>
          </cell>
        </row>
        <row r="176">
          <cell r="A176">
            <v>40008</v>
          </cell>
        </row>
        <row r="177">
          <cell r="A177">
            <v>40009</v>
          </cell>
        </row>
        <row r="178">
          <cell r="A178">
            <v>40010</v>
          </cell>
        </row>
        <row r="179">
          <cell r="A179">
            <v>40011</v>
          </cell>
        </row>
        <row r="180">
          <cell r="A180">
            <v>40012</v>
          </cell>
        </row>
        <row r="181">
          <cell r="A181">
            <v>40013</v>
          </cell>
        </row>
        <row r="182">
          <cell r="A182">
            <v>40014</v>
          </cell>
        </row>
        <row r="183">
          <cell r="A183">
            <v>40015</v>
          </cell>
        </row>
        <row r="184">
          <cell r="A184">
            <v>40016</v>
          </cell>
        </row>
        <row r="185">
          <cell r="A185">
            <v>40017</v>
          </cell>
        </row>
        <row r="186">
          <cell r="A186">
            <v>40018</v>
          </cell>
        </row>
        <row r="187">
          <cell r="A187">
            <v>40019</v>
          </cell>
        </row>
        <row r="188">
          <cell r="A188">
            <v>40021</v>
          </cell>
        </row>
        <row r="189">
          <cell r="A189">
            <v>40022</v>
          </cell>
        </row>
        <row r="190">
          <cell r="A190">
            <v>40023</v>
          </cell>
        </row>
        <row r="191">
          <cell r="A191">
            <v>40024</v>
          </cell>
        </row>
        <row r="192">
          <cell r="A192">
            <v>40025</v>
          </cell>
        </row>
        <row r="193">
          <cell r="A193">
            <v>40026</v>
          </cell>
        </row>
        <row r="194">
          <cell r="A194">
            <v>40027</v>
          </cell>
        </row>
        <row r="195">
          <cell r="A195">
            <v>48001</v>
          </cell>
        </row>
        <row r="196">
          <cell r="A196">
            <v>48002</v>
          </cell>
        </row>
        <row r="197">
          <cell r="A197">
            <v>48003</v>
          </cell>
        </row>
        <row r="198">
          <cell r="A198">
            <v>48004</v>
          </cell>
        </row>
        <row r="199">
          <cell r="A199">
            <v>48005</v>
          </cell>
        </row>
        <row r="200">
          <cell r="A200">
            <v>48006</v>
          </cell>
        </row>
        <row r="201">
          <cell r="A201">
            <v>41001</v>
          </cell>
        </row>
        <row r="202">
          <cell r="A202">
            <v>41002</v>
          </cell>
        </row>
        <row r="203">
          <cell r="A203">
            <v>41003</v>
          </cell>
        </row>
        <row r="204">
          <cell r="A204">
            <v>41004</v>
          </cell>
        </row>
        <row r="205">
          <cell r="A205">
            <v>41005</v>
          </cell>
        </row>
        <row r="206">
          <cell r="A206">
            <v>41006</v>
          </cell>
        </row>
        <row r="207">
          <cell r="A207">
            <v>41007</v>
          </cell>
        </row>
        <row r="208">
          <cell r="A208">
            <v>41008</v>
          </cell>
        </row>
        <row r="209">
          <cell r="A209">
            <v>41009</v>
          </cell>
        </row>
        <row r="210">
          <cell r="A210">
            <v>41010</v>
          </cell>
        </row>
        <row r="211">
          <cell r="A211">
            <v>41011</v>
          </cell>
        </row>
        <row r="212">
          <cell r="A212">
            <v>41012</v>
          </cell>
        </row>
        <row r="213">
          <cell r="A213">
            <v>41013</v>
          </cell>
        </row>
        <row r="214">
          <cell r="A214">
            <v>41014</v>
          </cell>
        </row>
        <row r="215">
          <cell r="A215">
            <v>41015</v>
          </cell>
        </row>
        <row r="216">
          <cell r="A216">
            <v>47001</v>
          </cell>
        </row>
        <row r="217">
          <cell r="A217">
            <v>47002</v>
          </cell>
        </row>
        <row r="218">
          <cell r="A218">
            <v>49001</v>
          </cell>
        </row>
        <row r="219">
          <cell r="A219">
            <v>49002</v>
          </cell>
        </row>
        <row r="220">
          <cell r="A220">
            <v>49003</v>
          </cell>
        </row>
        <row r="221">
          <cell r="A221">
            <v>49004</v>
          </cell>
        </row>
        <row r="222">
          <cell r="A222">
            <v>49005</v>
          </cell>
        </row>
        <row r="223">
          <cell r="A223">
            <v>49006</v>
          </cell>
        </row>
        <row r="224">
          <cell r="A224">
            <v>49007</v>
          </cell>
        </row>
        <row r="225">
          <cell r="A225">
            <v>50001</v>
          </cell>
        </row>
        <row r="226">
          <cell r="A226">
            <v>50002</v>
          </cell>
        </row>
        <row r="227">
          <cell r="A227">
            <v>50003</v>
          </cell>
        </row>
        <row r="228">
          <cell r="A228">
            <v>50004</v>
          </cell>
        </row>
        <row r="229">
          <cell r="A229">
            <v>50005</v>
          </cell>
        </row>
        <row r="230">
          <cell r="A230">
            <v>50006</v>
          </cell>
        </row>
        <row r="231">
          <cell r="A231">
            <v>50007</v>
          </cell>
        </row>
        <row r="232">
          <cell r="A232">
            <v>51001</v>
          </cell>
        </row>
        <row r="233">
          <cell r="A233">
            <v>51002</v>
          </cell>
        </row>
        <row r="234">
          <cell r="A234">
            <v>60001</v>
          </cell>
        </row>
        <row r="235">
          <cell r="A235">
            <v>60002</v>
          </cell>
        </row>
        <row r="236">
          <cell r="A236">
            <v>60003</v>
          </cell>
        </row>
        <row r="237">
          <cell r="A237">
            <v>60004</v>
          </cell>
        </row>
        <row r="238">
          <cell r="A238">
            <v>60005</v>
          </cell>
        </row>
        <row r="239">
          <cell r="A239">
            <v>60006</v>
          </cell>
        </row>
        <row r="240">
          <cell r="A240">
            <v>60007</v>
          </cell>
        </row>
        <row r="241">
          <cell r="A241">
            <v>60010</v>
          </cell>
        </row>
        <row r="242">
          <cell r="A242">
            <v>60011</v>
          </cell>
        </row>
        <row r="243">
          <cell r="A243">
            <v>61011</v>
          </cell>
        </row>
        <row r="244">
          <cell r="A244">
            <v>60012</v>
          </cell>
        </row>
        <row r="245">
          <cell r="A245">
            <v>60013</v>
          </cell>
        </row>
        <row r="246">
          <cell r="A246">
            <v>60014</v>
          </cell>
        </row>
        <row r="247">
          <cell r="A247">
            <v>60015</v>
          </cell>
        </row>
        <row r="248">
          <cell r="A248">
            <v>60016</v>
          </cell>
        </row>
        <row r="249">
          <cell r="A249">
            <v>65533</v>
          </cell>
        </row>
        <row r="250">
          <cell r="A250">
            <v>65534</v>
          </cell>
        </row>
        <row r="251">
          <cell r="A251">
            <v>65535</v>
          </cell>
        </row>
        <row r="252">
          <cell r="A252">
            <v>60021</v>
          </cell>
        </row>
        <row r="253">
          <cell r="A253">
            <v>60022</v>
          </cell>
        </row>
        <row r="254">
          <cell r="A254">
            <v>60023</v>
          </cell>
        </row>
        <row r="255">
          <cell r="A255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11227_2</v>
          </cell>
        </row>
        <row r="295">
          <cell r="A295" t="str">
            <v>12001_1</v>
          </cell>
        </row>
        <row r="296">
          <cell r="A296" t="str">
            <v>12001_2</v>
          </cell>
        </row>
        <row r="297">
          <cell r="A297" t="str">
            <v>12001_3</v>
          </cell>
        </row>
        <row r="298">
          <cell r="A298" t="str">
            <v>12002_1</v>
          </cell>
        </row>
        <row r="299">
          <cell r="A299" t="str">
            <v>12002_2</v>
          </cell>
        </row>
        <row r="300">
          <cell r="A300" t="str">
            <v>12003_1</v>
          </cell>
        </row>
        <row r="301">
          <cell r="A301" t="str">
            <v>12003_2</v>
          </cell>
        </row>
        <row r="302">
          <cell r="A302" t="str">
            <v>12003_3</v>
          </cell>
        </row>
        <row r="303">
          <cell r="A303" t="str">
            <v>12003_4</v>
          </cell>
        </row>
        <row r="304">
          <cell r="A304" t="str">
            <v>12004_1</v>
          </cell>
        </row>
        <row r="305">
          <cell r="A305" t="str">
            <v>13001_1</v>
          </cell>
        </row>
        <row r="306">
          <cell r="A306" t="str">
            <v>13001_2</v>
          </cell>
        </row>
        <row r="307">
          <cell r="A307" t="str">
            <v>13001_3</v>
          </cell>
        </row>
        <row r="308">
          <cell r="A308" t="str">
            <v>13001_4</v>
          </cell>
        </row>
        <row r="309">
          <cell r="A309" t="str">
            <v>13001_5</v>
          </cell>
        </row>
        <row r="310">
          <cell r="A310" t="str">
            <v>13001_6</v>
          </cell>
        </row>
        <row r="311">
          <cell r="A311" t="str">
            <v>13001_7</v>
          </cell>
        </row>
        <row r="312">
          <cell r="A312" t="str">
            <v>13001_8</v>
          </cell>
        </row>
        <row r="313">
          <cell r="A313" t="str">
            <v>13001_9</v>
          </cell>
        </row>
        <row r="314">
          <cell r="A314" t="str">
            <v>13001_10</v>
          </cell>
        </row>
        <row r="315">
          <cell r="A315" t="str">
            <v>13001_11</v>
          </cell>
        </row>
        <row r="316">
          <cell r="A316" t="str">
            <v>13001_12</v>
          </cell>
        </row>
        <row r="317">
          <cell r="A317" t="str">
            <v>13001_13</v>
          </cell>
        </row>
        <row r="318">
          <cell r="A318" t="str">
            <v>13001_14</v>
          </cell>
        </row>
        <row r="319">
          <cell r="A319" t="str">
            <v>13001_15</v>
          </cell>
        </row>
        <row r="320">
          <cell r="A320" t="str">
            <v>13001_16</v>
          </cell>
        </row>
        <row r="321">
          <cell r="A321" t="str">
            <v>13001_17</v>
          </cell>
        </row>
        <row r="322">
          <cell r="A322" t="str">
            <v>13001_18</v>
          </cell>
        </row>
        <row r="323">
          <cell r="A323" t="str">
            <v>13001_19</v>
          </cell>
        </row>
        <row r="324">
          <cell r="A324" t="str">
            <v>13001_20</v>
          </cell>
        </row>
        <row r="325">
          <cell r="A325" t="str">
            <v>13001_21</v>
          </cell>
        </row>
        <row r="326">
          <cell r="A326" t="str">
            <v>13001_22</v>
          </cell>
        </row>
        <row r="327">
          <cell r="A327" t="str">
            <v>13001_23</v>
          </cell>
        </row>
        <row r="328">
          <cell r="A328" t="str">
            <v>13001_24</v>
          </cell>
        </row>
        <row r="329">
          <cell r="A329" t="str">
            <v>13001_25</v>
          </cell>
        </row>
        <row r="330">
          <cell r="A330" t="str">
            <v>13101_1</v>
          </cell>
        </row>
        <row r="331">
          <cell r="A331" t="str">
            <v>13101_2</v>
          </cell>
        </row>
        <row r="332">
          <cell r="A332" t="str">
            <v>13101_3</v>
          </cell>
        </row>
        <row r="333">
          <cell r="A333" t="str">
            <v>13101_4</v>
          </cell>
        </row>
        <row r="334">
          <cell r="A334" t="str">
            <v>13101_5</v>
          </cell>
        </row>
        <row r="335">
          <cell r="A335" t="str">
            <v>13101_6</v>
          </cell>
        </row>
        <row r="336">
          <cell r="A336" t="str">
            <v>13101_7</v>
          </cell>
        </row>
        <row r="337">
          <cell r="A337" t="str">
            <v>13101_8</v>
          </cell>
        </row>
        <row r="338">
          <cell r="A338" t="str">
            <v>13101_9</v>
          </cell>
        </row>
        <row r="339">
          <cell r="A339" t="str">
            <v>13101_10</v>
          </cell>
        </row>
        <row r="340">
          <cell r="A340" t="str">
            <v>13101_11</v>
          </cell>
        </row>
        <row r="341">
          <cell r="A341" t="str">
            <v>13101_12</v>
          </cell>
        </row>
        <row r="342">
          <cell r="A342" t="str">
            <v>13101_13</v>
          </cell>
        </row>
        <row r="343">
          <cell r="A343" t="str">
            <v>13101_14</v>
          </cell>
        </row>
        <row r="344">
          <cell r="A344" t="str">
            <v>13101_15</v>
          </cell>
        </row>
        <row r="345">
          <cell r="A345" t="str">
            <v>13101_16</v>
          </cell>
        </row>
        <row r="346">
          <cell r="A346" t="str">
            <v>13101_17</v>
          </cell>
        </row>
        <row r="347">
          <cell r="A347" t="str">
            <v>13101_18</v>
          </cell>
        </row>
        <row r="348">
          <cell r="A348" t="str">
            <v>13101_19</v>
          </cell>
        </row>
        <row r="349">
          <cell r="A349" t="str">
            <v>13101_20</v>
          </cell>
        </row>
        <row r="350">
          <cell r="A350" t="str">
            <v>13101_21</v>
          </cell>
        </row>
        <row r="351">
          <cell r="A351" t="str">
            <v>13101_22</v>
          </cell>
        </row>
        <row r="352">
          <cell r="A352" t="str">
            <v>13101_23</v>
          </cell>
        </row>
        <row r="353">
          <cell r="A353" t="str">
            <v>13101_24</v>
          </cell>
        </row>
        <row r="354">
          <cell r="A354" t="str">
            <v>13101_25</v>
          </cell>
        </row>
        <row r="355">
          <cell r="A355" t="str">
            <v>14001_1</v>
          </cell>
        </row>
        <row r="356">
          <cell r="A356" t="str">
            <v>14001_2</v>
          </cell>
        </row>
        <row r="357">
          <cell r="A357" t="str">
            <v>14001_3</v>
          </cell>
        </row>
        <row r="358">
          <cell r="A358" t="str">
            <v>14001_4</v>
          </cell>
        </row>
        <row r="359">
          <cell r="A359" t="str">
            <v>14001_5</v>
          </cell>
        </row>
        <row r="360">
          <cell r="A360" t="str">
            <v>14001_6</v>
          </cell>
        </row>
        <row r="361">
          <cell r="A361" t="str">
            <v>14001_7</v>
          </cell>
        </row>
        <row r="362">
          <cell r="A362" t="str">
            <v>14001_8</v>
          </cell>
        </row>
        <row r="363">
          <cell r="A363" t="str">
            <v>14002_1</v>
          </cell>
        </row>
        <row r="364">
          <cell r="A364" t="str">
            <v>14002_2</v>
          </cell>
        </row>
        <row r="365">
          <cell r="A365" t="str">
            <v>14003_1</v>
          </cell>
        </row>
        <row r="366">
          <cell r="A366" t="str">
            <v>14003_2</v>
          </cell>
        </row>
        <row r="367">
          <cell r="A367" t="str">
            <v>14003_3</v>
          </cell>
        </row>
        <row r="368">
          <cell r="A368" t="str">
            <v>14003_4</v>
          </cell>
        </row>
        <row r="369">
          <cell r="A369" t="str">
            <v>14004_1</v>
          </cell>
        </row>
        <row r="370">
          <cell r="A370" t="str">
            <v>14004_2</v>
          </cell>
        </row>
        <row r="371">
          <cell r="A371" t="str">
            <v>14004_3</v>
          </cell>
        </row>
        <row r="372">
          <cell r="A372" t="str">
            <v>14004_4</v>
          </cell>
        </row>
        <row r="373">
          <cell r="A373" t="str">
            <v>14005_1</v>
          </cell>
        </row>
        <row r="374">
          <cell r="A374" t="str">
            <v>14006_1</v>
          </cell>
        </row>
        <row r="375">
          <cell r="A375" t="str">
            <v>15027_1</v>
          </cell>
        </row>
        <row r="376">
          <cell r="A376" t="str">
            <v>15027_2</v>
          </cell>
        </row>
        <row r="377">
          <cell r="A377" t="str">
            <v>15027_3</v>
          </cell>
        </row>
        <row r="378">
          <cell r="A378" t="str">
            <v>15027_4</v>
          </cell>
        </row>
        <row r="379">
          <cell r="A379" t="str">
            <v>15028_1</v>
          </cell>
        </row>
        <row r="380">
          <cell r="A380" t="str">
            <v>15028_2</v>
          </cell>
        </row>
        <row r="381">
          <cell r="A381" t="str">
            <v>15028_3</v>
          </cell>
        </row>
        <row r="382">
          <cell r="A382" t="str">
            <v>15028_4</v>
          </cell>
        </row>
        <row r="383">
          <cell r="A383" t="str">
            <v>15029_1</v>
          </cell>
        </row>
        <row r="384">
          <cell r="A384" t="str">
            <v>15029_2</v>
          </cell>
        </row>
        <row r="385">
          <cell r="A385" t="str">
            <v>15029_3</v>
          </cell>
        </row>
        <row r="386">
          <cell r="A386" t="str">
            <v>15029_4</v>
          </cell>
        </row>
        <row r="387">
          <cell r="A387" t="str">
            <v>15030_1</v>
          </cell>
        </row>
        <row r="388">
          <cell r="A388" t="str">
            <v>15030_2</v>
          </cell>
        </row>
        <row r="389">
          <cell r="A389" t="str">
            <v>15030_3</v>
          </cell>
        </row>
        <row r="390">
          <cell r="A390" t="str">
            <v>15030_4</v>
          </cell>
        </row>
        <row r="391">
          <cell r="A391" t="str">
            <v>15031_1</v>
          </cell>
        </row>
        <row r="392">
          <cell r="A392" t="str">
            <v>15031_2</v>
          </cell>
        </row>
        <row r="393">
          <cell r="A393" t="str">
            <v>15031_3</v>
          </cell>
        </row>
        <row r="394">
          <cell r="A394" t="str">
            <v>15031_4</v>
          </cell>
        </row>
        <row r="395">
          <cell r="A395" t="str">
            <v>20001_1</v>
          </cell>
        </row>
        <row r="396">
          <cell r="A396" t="str">
            <v>20001_2</v>
          </cell>
        </row>
        <row r="397">
          <cell r="A397" t="str">
            <v>20001_3</v>
          </cell>
        </row>
        <row r="398">
          <cell r="A398" t="str">
            <v>20002_1</v>
          </cell>
        </row>
        <row r="399">
          <cell r="A399" t="str">
            <v>20002_2</v>
          </cell>
        </row>
        <row r="400">
          <cell r="A400" t="str">
            <v>20002_3</v>
          </cell>
        </row>
        <row r="401">
          <cell r="A401" t="str">
            <v>20003_1</v>
          </cell>
        </row>
        <row r="402">
          <cell r="A402" t="str">
            <v>20003_2</v>
          </cell>
        </row>
        <row r="403">
          <cell r="A403" t="str">
            <v>20003_3</v>
          </cell>
        </row>
        <row r="404">
          <cell r="A404" t="str">
            <v>20004_1</v>
          </cell>
        </row>
        <row r="405">
          <cell r="A405" t="str">
            <v>20004_2</v>
          </cell>
        </row>
        <row r="406">
          <cell r="A406" t="str">
            <v>20004_3</v>
          </cell>
        </row>
        <row r="407">
          <cell r="A407" t="str">
            <v>20005_1</v>
          </cell>
        </row>
        <row r="408">
          <cell r="A408" t="str">
            <v>20005_2</v>
          </cell>
        </row>
        <row r="409">
          <cell r="A409" t="str">
            <v>20005_3</v>
          </cell>
        </row>
        <row r="410">
          <cell r="A410" t="str">
            <v>20006_1</v>
          </cell>
        </row>
        <row r="411">
          <cell r="A411" t="str">
            <v>20006_2</v>
          </cell>
        </row>
        <row r="412">
          <cell r="A412" t="str">
            <v>20006_3</v>
          </cell>
        </row>
        <row r="413">
          <cell r="A413" t="str">
            <v>20007_1</v>
          </cell>
        </row>
        <row r="414">
          <cell r="A414" t="str">
            <v>20007_2</v>
          </cell>
        </row>
        <row r="415">
          <cell r="A415" t="str">
            <v>20007_3</v>
          </cell>
        </row>
        <row r="416">
          <cell r="A416" t="str">
            <v>20008_1</v>
          </cell>
        </row>
        <row r="417">
          <cell r="A417" t="str">
            <v>20008_2</v>
          </cell>
        </row>
        <row r="418">
          <cell r="A418" t="str">
            <v>20008_3</v>
          </cell>
        </row>
        <row r="419">
          <cell r="A419" t="str">
            <v>20009_1</v>
          </cell>
        </row>
        <row r="420">
          <cell r="A420" t="str">
            <v>20009_2</v>
          </cell>
        </row>
        <row r="421">
          <cell r="A421" t="str">
            <v>20009_3</v>
          </cell>
        </row>
        <row r="422">
          <cell r="A422" t="str">
            <v>20010_1</v>
          </cell>
        </row>
        <row r="423">
          <cell r="A423" t="str">
            <v>20010_2</v>
          </cell>
        </row>
        <row r="424">
          <cell r="A424" t="str">
            <v>20010_3</v>
          </cell>
        </row>
        <row r="425">
          <cell r="A425" t="str">
            <v>20011_1</v>
          </cell>
        </row>
        <row r="426">
          <cell r="A426" t="str">
            <v>20011_2</v>
          </cell>
        </row>
        <row r="427">
          <cell r="A427" t="str">
            <v>20011_3</v>
          </cell>
        </row>
        <row r="428">
          <cell r="A428" t="str">
            <v>20012_1</v>
          </cell>
        </row>
        <row r="429">
          <cell r="A429" t="str">
            <v>20012_2</v>
          </cell>
        </row>
        <row r="430">
          <cell r="A430" t="str">
            <v>20012_3</v>
          </cell>
        </row>
        <row r="431">
          <cell r="A431" t="str">
            <v>20013_1</v>
          </cell>
        </row>
        <row r="432">
          <cell r="A432" t="str">
            <v>20013_2</v>
          </cell>
        </row>
        <row r="433">
          <cell r="A433" t="str">
            <v>20013_3</v>
          </cell>
        </row>
        <row r="434">
          <cell r="A434" t="str">
            <v>20014_1</v>
          </cell>
        </row>
        <row r="435">
          <cell r="A435" t="str">
            <v>20014_2</v>
          </cell>
        </row>
        <row r="436">
          <cell r="A436" t="str">
            <v>20014_3</v>
          </cell>
        </row>
        <row r="437">
          <cell r="A437" t="str">
            <v>20015_1</v>
          </cell>
        </row>
        <row r="438">
          <cell r="A438" t="str">
            <v>20015_2</v>
          </cell>
        </row>
        <row r="439">
          <cell r="A439" t="str">
            <v>20015_3</v>
          </cell>
        </row>
        <row r="440">
          <cell r="A440" t="str">
            <v>20016_1</v>
          </cell>
        </row>
        <row r="441">
          <cell r="A441" t="str">
            <v>20016_2</v>
          </cell>
        </row>
        <row r="442">
          <cell r="A442" t="str">
            <v>20016_3</v>
          </cell>
        </row>
        <row r="443">
          <cell r="A443" t="str">
            <v>20017_1</v>
          </cell>
        </row>
        <row r="444">
          <cell r="A444" t="str">
            <v>20017_2</v>
          </cell>
        </row>
        <row r="445">
          <cell r="A445" t="str">
            <v>20017_3</v>
          </cell>
        </row>
        <row r="446">
          <cell r="A446" t="str">
            <v>20018_1</v>
          </cell>
        </row>
        <row r="447">
          <cell r="A447" t="str">
            <v>20018_2</v>
          </cell>
        </row>
        <row r="448">
          <cell r="A448" t="str">
            <v>20018_3</v>
          </cell>
        </row>
        <row r="449">
          <cell r="A449" t="str">
            <v>20019_1</v>
          </cell>
        </row>
        <row r="450">
          <cell r="A450" t="str">
            <v>20019_2</v>
          </cell>
        </row>
        <row r="451">
          <cell r="A451" t="str">
            <v>20019_3</v>
          </cell>
        </row>
        <row r="452">
          <cell r="A452" t="str">
            <v>20020_1</v>
          </cell>
        </row>
        <row r="453">
          <cell r="A453" t="str">
            <v>20020_2</v>
          </cell>
        </row>
        <row r="454">
          <cell r="A454" t="str">
            <v>20020_3</v>
          </cell>
        </row>
        <row r="455">
          <cell r="A455" t="str">
            <v>30001_1</v>
          </cell>
        </row>
        <row r="456">
          <cell r="A456" t="str">
            <v>30001_2</v>
          </cell>
        </row>
        <row r="457">
          <cell r="A457" t="str">
            <v>30001_3</v>
          </cell>
        </row>
        <row r="458">
          <cell r="A458" t="str">
            <v>30002_1</v>
          </cell>
        </row>
        <row r="459">
          <cell r="A459" t="str">
            <v>30002_2</v>
          </cell>
        </row>
        <row r="460">
          <cell r="A460" t="str">
            <v>30002_3</v>
          </cell>
        </row>
        <row r="461">
          <cell r="A461" t="str">
            <v>30003_1</v>
          </cell>
        </row>
        <row r="462">
          <cell r="A462" t="str">
            <v>30003_2</v>
          </cell>
        </row>
        <row r="463">
          <cell r="A463" t="str">
            <v>30003_3</v>
          </cell>
        </row>
        <row r="464">
          <cell r="A464" t="str">
            <v>30004_1</v>
          </cell>
        </row>
        <row r="465">
          <cell r="A465" t="str">
            <v>30004_2</v>
          </cell>
        </row>
        <row r="466">
          <cell r="A466" t="str">
            <v>30004_3</v>
          </cell>
        </row>
        <row r="467">
          <cell r="A467" t="str">
            <v>30005_1</v>
          </cell>
        </row>
        <row r="468">
          <cell r="A468" t="str">
            <v>30005_2</v>
          </cell>
        </row>
        <row r="469">
          <cell r="A469" t="str">
            <v>30005_3</v>
          </cell>
        </row>
        <row r="470">
          <cell r="A470" t="str">
            <v>30006_1</v>
          </cell>
        </row>
        <row r="471">
          <cell r="A471" t="str">
            <v>30006_2</v>
          </cell>
        </row>
        <row r="472">
          <cell r="A472" t="str">
            <v>30006_3</v>
          </cell>
        </row>
        <row r="473">
          <cell r="A473" t="str">
            <v>30007_1</v>
          </cell>
        </row>
        <row r="474">
          <cell r="A474" t="str">
            <v>30007_2</v>
          </cell>
        </row>
        <row r="475">
          <cell r="A475" t="str">
            <v>30007_3</v>
          </cell>
        </row>
        <row r="476">
          <cell r="A476" t="str">
            <v>30008_1</v>
          </cell>
        </row>
        <row r="477">
          <cell r="A477" t="str">
            <v>30008_2</v>
          </cell>
        </row>
        <row r="478">
          <cell r="A478" t="str">
            <v>30008_3</v>
          </cell>
        </row>
        <row r="479">
          <cell r="A479" t="str">
            <v>30009_3</v>
          </cell>
        </row>
        <row r="480">
          <cell r="A480" t="str">
            <v>30009_1</v>
          </cell>
        </row>
        <row r="481">
          <cell r="A481" t="str">
            <v>30009_2</v>
          </cell>
        </row>
        <row r="482">
          <cell r="A482" t="str">
            <v>30010_1</v>
          </cell>
        </row>
        <row r="483">
          <cell r="A483" t="str">
            <v>30010_2</v>
          </cell>
        </row>
        <row r="484">
          <cell r="A484" t="str">
            <v>30010_3</v>
          </cell>
        </row>
        <row r="485">
          <cell r="A485" t="str">
            <v>30011_1</v>
          </cell>
        </row>
        <row r="486">
          <cell r="A486" t="str">
            <v>30011_2</v>
          </cell>
        </row>
        <row r="487">
          <cell r="A487" t="str">
            <v>30011_3</v>
          </cell>
        </row>
        <row r="488">
          <cell r="A488" t="str">
            <v>30012_1</v>
          </cell>
        </row>
        <row r="489">
          <cell r="A489" t="str">
            <v>30012_2</v>
          </cell>
        </row>
        <row r="490">
          <cell r="A490" t="str">
            <v>30012_3</v>
          </cell>
        </row>
        <row r="491">
          <cell r="A491" t="str">
            <v>30013_1</v>
          </cell>
        </row>
        <row r="492">
          <cell r="A492" t="str">
            <v>30013_2</v>
          </cell>
        </row>
        <row r="493">
          <cell r="A493" t="str">
            <v>30014_1</v>
          </cell>
        </row>
        <row r="494">
          <cell r="A494" t="str">
            <v>30014_2</v>
          </cell>
        </row>
        <row r="495">
          <cell r="A495" t="str">
            <v>30015_1</v>
          </cell>
        </row>
        <row r="496">
          <cell r="A496" t="str">
            <v>30015_2</v>
          </cell>
        </row>
        <row r="497">
          <cell r="A497" t="str">
            <v>30016_1</v>
          </cell>
        </row>
        <row r="498">
          <cell r="A498" t="str">
            <v>30016_2</v>
          </cell>
        </row>
        <row r="499">
          <cell r="A499" t="str">
            <v>30017_1</v>
          </cell>
        </row>
        <row r="500">
          <cell r="A500" t="str">
            <v>30017_2</v>
          </cell>
        </row>
        <row r="501">
          <cell r="A501" t="str">
            <v>30018_1</v>
          </cell>
        </row>
        <row r="502">
          <cell r="A502" t="str">
            <v>30018_2</v>
          </cell>
        </row>
        <row r="503">
          <cell r="A503" t="str">
            <v>30019_1</v>
          </cell>
        </row>
        <row r="504">
          <cell r="A504" t="str">
            <v>30019_2</v>
          </cell>
        </row>
        <row r="505">
          <cell r="A505" t="str">
            <v>30020_1</v>
          </cell>
        </row>
        <row r="506">
          <cell r="A506" t="str">
            <v>30020_2</v>
          </cell>
        </row>
        <row r="507">
          <cell r="A507" t="str">
            <v>30021_1</v>
          </cell>
        </row>
        <row r="508">
          <cell r="A508" t="str">
            <v>30021_2</v>
          </cell>
        </row>
        <row r="509">
          <cell r="A509" t="str">
            <v>30021_3</v>
          </cell>
        </row>
        <row r="510">
          <cell r="A510" t="str">
            <v>30022_1</v>
          </cell>
        </row>
        <row r="511">
          <cell r="A511" t="str">
            <v>30022_2</v>
          </cell>
        </row>
        <row r="512">
          <cell r="A512" t="str">
            <v>30023_1</v>
          </cell>
        </row>
        <row r="513">
          <cell r="A513" t="str">
            <v>30023_2</v>
          </cell>
        </row>
        <row r="514">
          <cell r="A514" t="str">
            <v>30023_3</v>
          </cell>
        </row>
        <row r="515">
          <cell r="A515" t="str">
            <v>30024_1</v>
          </cell>
        </row>
        <row r="516">
          <cell r="A516" t="str">
            <v>30024_2</v>
          </cell>
        </row>
        <row r="517">
          <cell r="A517" t="str">
            <v>30024_3</v>
          </cell>
        </row>
        <row r="518">
          <cell r="A518" t="str">
            <v>30025_1</v>
          </cell>
        </row>
        <row r="519">
          <cell r="A519" t="str">
            <v>30025_2</v>
          </cell>
        </row>
        <row r="520">
          <cell r="A520" t="str">
            <v>30025_3</v>
          </cell>
        </row>
        <row r="521">
          <cell r="A521" t="str">
            <v>30026_1</v>
          </cell>
        </row>
        <row r="522">
          <cell r="A522" t="str">
            <v>30026_2</v>
          </cell>
        </row>
        <row r="523">
          <cell r="A523" t="str">
            <v>30026_3</v>
          </cell>
        </row>
        <row r="524">
          <cell r="A524" t="str">
            <v>30027_1</v>
          </cell>
        </row>
        <row r="525">
          <cell r="A525" t="str">
            <v>30027_2</v>
          </cell>
        </row>
        <row r="526">
          <cell r="A526" t="str">
            <v>30027_3</v>
          </cell>
        </row>
        <row r="527">
          <cell r="A527" t="str">
            <v>30028_1</v>
          </cell>
        </row>
        <row r="528">
          <cell r="A528" t="str">
            <v>30028_2</v>
          </cell>
        </row>
        <row r="529">
          <cell r="A529" t="str">
            <v>30028_3</v>
          </cell>
        </row>
        <row r="530">
          <cell r="A530" t="str">
            <v>30029_1</v>
          </cell>
        </row>
        <row r="531">
          <cell r="A531" t="str">
            <v>30029_2</v>
          </cell>
        </row>
        <row r="532">
          <cell r="A532" t="str">
            <v>30029_3</v>
          </cell>
        </row>
        <row r="533">
          <cell r="A533" t="str">
            <v>30030_1</v>
          </cell>
        </row>
        <row r="534">
          <cell r="A534" t="str">
            <v>30030_2</v>
          </cell>
        </row>
        <row r="535">
          <cell r="A535" t="str">
            <v>30030_3</v>
          </cell>
        </row>
        <row r="536">
          <cell r="A536" t="str">
            <v>30031_1</v>
          </cell>
        </row>
        <row r="537">
          <cell r="A537" t="str">
            <v>30031_2</v>
          </cell>
        </row>
        <row r="538">
          <cell r="A538" t="str">
            <v>30031_3</v>
          </cell>
        </row>
        <row r="539">
          <cell r="A539" t="str">
            <v>30032_1</v>
          </cell>
        </row>
        <row r="540">
          <cell r="A540" t="str">
            <v>30032_2</v>
          </cell>
        </row>
        <row r="541">
          <cell r="A541" t="str">
            <v>30032_3</v>
          </cell>
        </row>
        <row r="542">
          <cell r="A542" t="str">
            <v>30033_1</v>
          </cell>
        </row>
        <row r="543">
          <cell r="A543" t="str">
            <v>30033_2</v>
          </cell>
        </row>
        <row r="544">
          <cell r="A544" t="str">
            <v>30033_3</v>
          </cell>
        </row>
        <row r="545">
          <cell r="A545" t="str">
            <v>30034_1</v>
          </cell>
        </row>
        <row r="546">
          <cell r="A546" t="str">
            <v>30034_2</v>
          </cell>
        </row>
        <row r="547">
          <cell r="A547" t="str">
            <v>30034_3</v>
          </cell>
        </row>
        <row r="548">
          <cell r="A548" t="str">
            <v>30035_1</v>
          </cell>
        </row>
        <row r="549">
          <cell r="A549" t="str">
            <v>30035_2</v>
          </cell>
        </row>
        <row r="550">
          <cell r="A550" t="str">
            <v>30035_3</v>
          </cell>
        </row>
        <row r="551">
          <cell r="A551" t="str">
            <v>30036_1</v>
          </cell>
        </row>
        <row r="552">
          <cell r="A552" t="str">
            <v>30036_2</v>
          </cell>
        </row>
        <row r="553">
          <cell r="A553" t="str">
            <v>30036_3</v>
          </cell>
        </row>
        <row r="554">
          <cell r="A554" t="str">
            <v>30037_1</v>
          </cell>
        </row>
        <row r="555">
          <cell r="A555" t="str">
            <v>30037_2</v>
          </cell>
        </row>
        <row r="556">
          <cell r="A556" t="str">
            <v>30037_3</v>
          </cell>
        </row>
        <row r="557">
          <cell r="A557" t="str">
            <v>30038_1</v>
          </cell>
        </row>
        <row r="558">
          <cell r="A558" t="str">
            <v>30038_2</v>
          </cell>
        </row>
        <row r="559">
          <cell r="A559" t="str">
            <v>30038_3</v>
          </cell>
        </row>
        <row r="560">
          <cell r="A560" t="str">
            <v>30039_1</v>
          </cell>
        </row>
        <row r="561">
          <cell r="A561" t="str">
            <v>30039_2</v>
          </cell>
        </row>
        <row r="562">
          <cell r="A562" t="str">
            <v>30039_3</v>
          </cell>
        </row>
        <row r="563">
          <cell r="A563" t="str">
            <v>30040_1</v>
          </cell>
        </row>
        <row r="564">
          <cell r="A564" t="str">
            <v>30040_2</v>
          </cell>
        </row>
        <row r="565">
          <cell r="A565" t="str">
            <v>30040_3</v>
          </cell>
        </row>
        <row r="566">
          <cell r="A566" t="str">
            <v>39001_1</v>
          </cell>
        </row>
        <row r="567">
          <cell r="A567" t="str">
            <v>39001_2</v>
          </cell>
        </row>
        <row r="568">
          <cell r="A568" t="str">
            <v>39001_3</v>
          </cell>
        </row>
        <row r="569">
          <cell r="A569" t="str">
            <v>39001_4</v>
          </cell>
        </row>
        <row r="570">
          <cell r="A570" t="str">
            <v>39001_5</v>
          </cell>
        </row>
        <row r="571">
          <cell r="A571" t="str">
            <v>39002_1</v>
          </cell>
        </row>
        <row r="572">
          <cell r="A572" t="str">
            <v>39002_2</v>
          </cell>
        </row>
        <row r="573">
          <cell r="A573" t="str">
            <v>39002_3</v>
          </cell>
        </row>
        <row r="574">
          <cell r="A574" t="str">
            <v>39002_4</v>
          </cell>
        </row>
        <row r="575">
          <cell r="A575" t="str">
            <v>39003_1</v>
          </cell>
        </row>
        <row r="576">
          <cell r="A576" t="str">
            <v>39003_2</v>
          </cell>
        </row>
        <row r="577">
          <cell r="A577" t="str">
            <v>39003_3</v>
          </cell>
        </row>
        <row r="578">
          <cell r="A578" t="str">
            <v>39003_4</v>
          </cell>
        </row>
        <row r="579">
          <cell r="A579" t="str">
            <v>39004_1</v>
          </cell>
        </row>
        <row r="580">
          <cell r="A580" t="str">
            <v>39004_2</v>
          </cell>
        </row>
        <row r="581">
          <cell r="A581" t="str">
            <v>39004_3</v>
          </cell>
        </row>
        <row r="582">
          <cell r="A582" t="str">
            <v>39004_4</v>
          </cell>
        </row>
        <row r="583">
          <cell r="A583" t="str">
            <v>39005_1</v>
          </cell>
        </row>
        <row r="584">
          <cell r="A584" t="str">
            <v>39005_2</v>
          </cell>
        </row>
        <row r="585">
          <cell r="A585" t="str">
            <v>39005_3</v>
          </cell>
        </row>
        <row r="586">
          <cell r="A586" t="str">
            <v>39005_4</v>
          </cell>
        </row>
        <row r="587">
          <cell r="A587" t="str">
            <v>39005_5</v>
          </cell>
        </row>
        <row r="588">
          <cell r="A588" t="str">
            <v>39006_1</v>
          </cell>
        </row>
        <row r="589">
          <cell r="A589" t="str">
            <v>39006_2</v>
          </cell>
        </row>
        <row r="590">
          <cell r="A590" t="str">
            <v>39006_3</v>
          </cell>
        </row>
        <row r="591">
          <cell r="A591" t="str">
            <v>39006_4</v>
          </cell>
        </row>
        <row r="592">
          <cell r="A592" t="str">
            <v>39007_1</v>
          </cell>
        </row>
        <row r="593">
          <cell r="A593" t="str">
            <v>39007_2</v>
          </cell>
        </row>
        <row r="594">
          <cell r="A594" t="str">
            <v>39007_3</v>
          </cell>
        </row>
        <row r="595">
          <cell r="A595" t="str">
            <v>39007_4</v>
          </cell>
        </row>
        <row r="596">
          <cell r="A596" t="str">
            <v>40001_1</v>
          </cell>
        </row>
        <row r="597">
          <cell r="A597" t="str">
            <v>40002_1</v>
          </cell>
        </row>
        <row r="598">
          <cell r="A598" t="str">
            <v>40002_2</v>
          </cell>
        </row>
        <row r="599">
          <cell r="A599" t="str">
            <v>40002_3</v>
          </cell>
        </row>
        <row r="600">
          <cell r="A600" t="str">
            <v>40003_1</v>
          </cell>
        </row>
        <row r="601">
          <cell r="A601" t="str">
            <v>40004_1</v>
          </cell>
        </row>
        <row r="602">
          <cell r="A602" t="str">
            <v>40005_1</v>
          </cell>
        </row>
        <row r="603">
          <cell r="A603" t="str">
            <v>40006_1</v>
          </cell>
        </row>
        <row r="604">
          <cell r="A604" t="str">
            <v>40007_1</v>
          </cell>
        </row>
        <row r="605">
          <cell r="A605" t="str">
            <v>40008_1</v>
          </cell>
        </row>
        <row r="606">
          <cell r="A606" t="str">
            <v>40009_1</v>
          </cell>
        </row>
        <row r="607">
          <cell r="A607" t="str">
            <v>40010_1</v>
          </cell>
        </row>
        <row r="608">
          <cell r="A608" t="str">
            <v>40011_1</v>
          </cell>
        </row>
        <row r="609">
          <cell r="A609" t="str">
            <v>40012_1</v>
          </cell>
        </row>
        <row r="610">
          <cell r="A610" t="str">
            <v>40013_1</v>
          </cell>
        </row>
        <row r="611">
          <cell r="A611" t="str">
            <v>40014_1</v>
          </cell>
        </row>
        <row r="612">
          <cell r="A612" t="str">
            <v>40015_1</v>
          </cell>
        </row>
        <row r="613">
          <cell r="A613" t="str">
            <v>40016_1</v>
          </cell>
        </row>
        <row r="614">
          <cell r="A614" t="str">
            <v>40016_2</v>
          </cell>
        </row>
        <row r="615">
          <cell r="A615" t="str">
            <v>40017_1</v>
          </cell>
        </row>
        <row r="616">
          <cell r="A616" t="str">
            <v>40017_2</v>
          </cell>
        </row>
        <row r="617">
          <cell r="A617" t="str">
            <v>40017_3</v>
          </cell>
        </row>
        <row r="618">
          <cell r="A618" t="str">
            <v>40018_1</v>
          </cell>
        </row>
        <row r="619">
          <cell r="A619" t="str">
            <v>40018_2</v>
          </cell>
        </row>
        <row r="620">
          <cell r="A620" t="str">
            <v>40018_3</v>
          </cell>
        </row>
        <row r="621">
          <cell r="A621" t="str">
            <v>40019_1</v>
          </cell>
        </row>
        <row r="622">
          <cell r="A622" t="str">
            <v>40019_2</v>
          </cell>
        </row>
        <row r="623">
          <cell r="A623" t="str">
            <v>40019_3</v>
          </cell>
        </row>
        <row r="624">
          <cell r="A624" t="str">
            <v>40021_1</v>
          </cell>
        </row>
        <row r="625">
          <cell r="A625" t="str">
            <v>40021_2</v>
          </cell>
        </row>
        <row r="626">
          <cell r="A626" t="str">
            <v>40022_1</v>
          </cell>
        </row>
        <row r="627">
          <cell r="A627" t="str">
            <v>40022_2</v>
          </cell>
        </row>
        <row r="628">
          <cell r="A628" t="str">
            <v>40023_1</v>
          </cell>
        </row>
        <row r="629">
          <cell r="A629" t="str">
            <v>40023_2</v>
          </cell>
        </row>
        <row r="630">
          <cell r="A630" t="str">
            <v>40024_1</v>
          </cell>
        </row>
        <row r="631">
          <cell r="A631" t="str">
            <v>40024_2</v>
          </cell>
        </row>
        <row r="632">
          <cell r="A632" t="str">
            <v>40025_1</v>
          </cell>
        </row>
        <row r="633">
          <cell r="A633" t="str">
            <v>40025_2</v>
          </cell>
        </row>
        <row r="634">
          <cell r="A634" t="str">
            <v>40026_1</v>
          </cell>
        </row>
        <row r="635">
          <cell r="A635" t="str">
            <v>40026_2</v>
          </cell>
        </row>
        <row r="636">
          <cell r="A636" t="str">
            <v>40027_1</v>
          </cell>
        </row>
        <row r="637">
          <cell r="A637" t="str">
            <v>40027_2</v>
          </cell>
        </row>
        <row r="638">
          <cell r="A638" t="str">
            <v>48001_1</v>
          </cell>
        </row>
        <row r="639">
          <cell r="A639" t="str">
            <v>48002_1</v>
          </cell>
        </row>
        <row r="640">
          <cell r="A640" t="str">
            <v>48002_2</v>
          </cell>
        </row>
        <row r="641">
          <cell r="A641" t="str">
            <v>48002_3</v>
          </cell>
        </row>
        <row r="642">
          <cell r="A642" t="str">
            <v>48003_1</v>
          </cell>
        </row>
        <row r="643">
          <cell r="A643" t="str">
            <v>48003_2</v>
          </cell>
        </row>
        <row r="644">
          <cell r="A644" t="str">
            <v>48003_3</v>
          </cell>
        </row>
        <row r="645">
          <cell r="A645" t="str">
            <v>48004_1</v>
          </cell>
        </row>
        <row r="646">
          <cell r="A646" t="str">
            <v>48004_2</v>
          </cell>
        </row>
        <row r="647">
          <cell r="A647" t="str">
            <v>48005_1</v>
          </cell>
        </row>
        <row r="648">
          <cell r="A648" t="str">
            <v>48005_2</v>
          </cell>
        </row>
        <row r="649">
          <cell r="A649" t="str">
            <v>48006_1</v>
          </cell>
        </row>
        <row r="650">
          <cell r="A650" t="str">
            <v>48006_2</v>
          </cell>
        </row>
        <row r="651">
          <cell r="A651" t="str">
            <v>41001_1</v>
          </cell>
        </row>
        <row r="652">
          <cell r="A652" t="str">
            <v>41001_2</v>
          </cell>
        </row>
        <row r="653">
          <cell r="A653" t="str">
            <v>41001_3</v>
          </cell>
        </row>
        <row r="654">
          <cell r="A654" t="str">
            <v>41002_1</v>
          </cell>
        </row>
        <row r="655">
          <cell r="A655" t="str">
            <v>41002_2</v>
          </cell>
        </row>
        <row r="656">
          <cell r="A656" t="str">
            <v>41002_3</v>
          </cell>
        </row>
        <row r="657">
          <cell r="A657" t="str">
            <v>41003_1</v>
          </cell>
        </row>
        <row r="658">
          <cell r="A658" t="str">
            <v>41003_2</v>
          </cell>
        </row>
        <row r="659">
          <cell r="A659" t="str">
            <v>41003_3</v>
          </cell>
        </row>
        <row r="660">
          <cell r="A660" t="str">
            <v>41004_1</v>
          </cell>
        </row>
        <row r="661">
          <cell r="A661" t="str">
            <v>41004_2</v>
          </cell>
        </row>
        <row r="662">
          <cell r="A662" t="str">
            <v>41004_3</v>
          </cell>
        </row>
        <row r="663">
          <cell r="A663" t="str">
            <v>41005_1</v>
          </cell>
        </row>
        <row r="664">
          <cell r="A664" t="str">
            <v>41005_2</v>
          </cell>
        </row>
        <row r="665">
          <cell r="A665" t="str">
            <v>41005_3</v>
          </cell>
        </row>
        <row r="666">
          <cell r="A666" t="str">
            <v>41006_1</v>
          </cell>
        </row>
        <row r="667">
          <cell r="A667" t="str">
            <v>41006_2</v>
          </cell>
        </row>
        <row r="668">
          <cell r="A668" t="str">
            <v>41006_3</v>
          </cell>
        </row>
        <row r="669">
          <cell r="A669" t="str">
            <v>41007_1</v>
          </cell>
        </row>
        <row r="670">
          <cell r="A670" t="str">
            <v>41007_2</v>
          </cell>
        </row>
        <row r="671">
          <cell r="A671" t="str">
            <v>41007_3</v>
          </cell>
        </row>
        <row r="672">
          <cell r="A672" t="str">
            <v>41008_1</v>
          </cell>
        </row>
        <row r="673">
          <cell r="A673" t="str">
            <v>41008_2</v>
          </cell>
        </row>
        <row r="674">
          <cell r="A674" t="str">
            <v>41008_3</v>
          </cell>
        </row>
        <row r="675">
          <cell r="A675" t="str">
            <v>41009_1</v>
          </cell>
        </row>
        <row r="676">
          <cell r="A676" t="str">
            <v>41009_2</v>
          </cell>
        </row>
        <row r="677">
          <cell r="A677" t="str">
            <v>41009_3</v>
          </cell>
        </row>
        <row r="678">
          <cell r="A678" t="str">
            <v>41010_1</v>
          </cell>
        </row>
        <row r="679">
          <cell r="A679" t="str">
            <v>41010_2</v>
          </cell>
        </row>
        <row r="680">
          <cell r="A680" t="str">
            <v>41010_3</v>
          </cell>
        </row>
        <row r="681">
          <cell r="A681" t="str">
            <v>41011_1</v>
          </cell>
        </row>
        <row r="682">
          <cell r="A682" t="str">
            <v>41011_2</v>
          </cell>
        </row>
        <row r="683">
          <cell r="A683" t="str">
            <v>41012_1</v>
          </cell>
        </row>
        <row r="684">
          <cell r="A684" t="str">
            <v>41012_2</v>
          </cell>
        </row>
        <row r="685">
          <cell r="A685" t="str">
            <v>41013_1</v>
          </cell>
        </row>
        <row r="686">
          <cell r="A686" t="str">
            <v>41013_2</v>
          </cell>
        </row>
        <row r="687">
          <cell r="A687" t="str">
            <v>41014_1</v>
          </cell>
        </row>
        <row r="688">
          <cell r="A688" t="str">
            <v>41014_2</v>
          </cell>
        </row>
        <row r="689">
          <cell r="A689" t="str">
            <v>41015_1</v>
          </cell>
        </row>
        <row r="690">
          <cell r="A690" t="str">
            <v>41015_2</v>
          </cell>
        </row>
        <row r="691">
          <cell r="A691" t="str">
            <v>47001_1</v>
          </cell>
        </row>
        <row r="692">
          <cell r="A692" t="str">
            <v>47001_2</v>
          </cell>
        </row>
        <row r="693">
          <cell r="A693" t="str">
            <v>47002_1</v>
          </cell>
        </row>
        <row r="694">
          <cell r="A694" t="str">
            <v>47002_2</v>
          </cell>
        </row>
        <row r="695">
          <cell r="A695" t="str">
            <v>49001_1</v>
          </cell>
        </row>
        <row r="696">
          <cell r="A696" t="str">
            <v>49002_1</v>
          </cell>
        </row>
        <row r="697">
          <cell r="A697" t="str">
            <v>49002_2</v>
          </cell>
        </row>
        <row r="698">
          <cell r="A698" t="str">
            <v>49003_1</v>
          </cell>
        </row>
        <row r="699">
          <cell r="A699" t="str">
            <v>49003_2</v>
          </cell>
        </row>
        <row r="700">
          <cell r="A700" t="str">
            <v>49004_1</v>
          </cell>
        </row>
        <row r="701">
          <cell r="A701" t="str">
            <v>49004_2</v>
          </cell>
        </row>
        <row r="702">
          <cell r="A702" t="str">
            <v>49004_3</v>
          </cell>
        </row>
        <row r="703">
          <cell r="A703" t="str">
            <v>49005_1</v>
          </cell>
        </row>
        <row r="704">
          <cell r="A704" t="str">
            <v>49006_1</v>
          </cell>
        </row>
        <row r="705">
          <cell r="A705" t="str">
            <v>49006_2</v>
          </cell>
        </row>
        <row r="706">
          <cell r="A706" t="str">
            <v>49007_1</v>
          </cell>
        </row>
        <row r="707">
          <cell r="A707" t="str">
            <v>49007_2</v>
          </cell>
        </row>
        <row r="708">
          <cell r="A708" t="str">
            <v>49007_3</v>
          </cell>
        </row>
        <row r="709">
          <cell r="A709" t="str">
            <v>50001_1</v>
          </cell>
        </row>
        <row r="710">
          <cell r="A710" t="str">
            <v>50002_1</v>
          </cell>
        </row>
        <row r="711">
          <cell r="A711" t="str">
            <v>50003_1</v>
          </cell>
        </row>
        <row r="712">
          <cell r="A712" t="str">
            <v>50004_1</v>
          </cell>
        </row>
        <row r="713">
          <cell r="A713" t="str">
            <v>50005_1</v>
          </cell>
        </row>
        <row r="714">
          <cell r="A714" t="str">
            <v>50006_1</v>
          </cell>
        </row>
        <row r="715">
          <cell r="A715" t="str">
            <v>50007_1</v>
          </cell>
        </row>
        <row r="716">
          <cell r="A716" t="str">
            <v>51001_1</v>
          </cell>
        </row>
        <row r="717">
          <cell r="A717" t="str">
            <v>51002_1</v>
          </cell>
        </row>
        <row r="718">
          <cell r="A718" t="str">
            <v>60001_1</v>
          </cell>
        </row>
        <row r="719">
          <cell r="A719" t="str">
            <v>60002_1</v>
          </cell>
        </row>
        <row r="720">
          <cell r="A720" t="str">
            <v>60002_2</v>
          </cell>
        </row>
        <row r="721">
          <cell r="A721" t="str">
            <v>60003_1</v>
          </cell>
        </row>
        <row r="722">
          <cell r="A722" t="str">
            <v>60003_2</v>
          </cell>
        </row>
        <row r="723">
          <cell r="A723" t="str">
            <v>60003_3</v>
          </cell>
        </row>
        <row r="724">
          <cell r="A724" t="str">
            <v>60004_1</v>
          </cell>
        </row>
        <row r="725">
          <cell r="A725" t="str">
            <v>60005_1</v>
          </cell>
        </row>
        <row r="726">
          <cell r="A726" t="str">
            <v>60006_1</v>
          </cell>
        </row>
        <row r="727">
          <cell r="A727" t="str">
            <v>60006_2</v>
          </cell>
        </row>
        <row r="728">
          <cell r="A728" t="str">
            <v>60006_3</v>
          </cell>
        </row>
        <row r="729">
          <cell r="A729" t="str">
            <v>60007_1</v>
          </cell>
        </row>
        <row r="730">
          <cell r="A730" t="str">
            <v>60007_2</v>
          </cell>
        </row>
        <row r="731">
          <cell r="A731" t="str">
            <v>60007_3</v>
          </cell>
        </row>
        <row r="732">
          <cell r="A732" t="str">
            <v>60010_1</v>
          </cell>
        </row>
        <row r="733">
          <cell r="A733" t="str">
            <v>60011_1</v>
          </cell>
        </row>
        <row r="734">
          <cell r="A734" t="str">
            <v>60011_2</v>
          </cell>
        </row>
        <row r="735">
          <cell r="A735" t="str">
            <v>61011_1</v>
          </cell>
        </row>
        <row r="736">
          <cell r="A736" t="str">
            <v>60012_1</v>
          </cell>
        </row>
        <row r="737">
          <cell r="A737" t="str">
            <v>60013_1</v>
          </cell>
        </row>
        <row r="738">
          <cell r="A738" t="str">
            <v>60013_2</v>
          </cell>
        </row>
        <row r="739">
          <cell r="A739" t="str">
            <v>60013_3</v>
          </cell>
        </row>
        <row r="740">
          <cell r="A740" t="str">
            <v>60014_1</v>
          </cell>
        </row>
        <row r="741">
          <cell r="A741" t="str">
            <v>60015_1</v>
          </cell>
        </row>
        <row r="742">
          <cell r="A742" t="str">
            <v>60016_1</v>
          </cell>
        </row>
        <row r="743">
          <cell r="A743" t="str">
            <v>65533_1</v>
          </cell>
        </row>
        <row r="744">
          <cell r="A744" t="str">
            <v>65533_2</v>
          </cell>
        </row>
        <row r="745">
          <cell r="A745" t="str">
            <v>65534_1</v>
          </cell>
        </row>
        <row r="746">
          <cell r="A746" t="str">
            <v>65535_1</v>
          </cell>
        </row>
        <row r="747">
          <cell r="A747" t="str">
            <v>65535_2</v>
          </cell>
        </row>
        <row r="748">
          <cell r="A748" t="str">
            <v>65535_3</v>
          </cell>
        </row>
        <row r="749">
          <cell r="A749" t="str">
            <v>65535_4</v>
          </cell>
        </row>
        <row r="750">
          <cell r="A750" t="str">
            <v>65535_5</v>
          </cell>
        </row>
        <row r="751">
          <cell r="A751" t="str">
            <v>65535_6</v>
          </cell>
        </row>
        <row r="752">
          <cell r="A752" t="str">
            <v>65535_7</v>
          </cell>
        </row>
        <row r="753">
          <cell r="A753" t="str">
            <v>65535_8</v>
          </cell>
        </row>
        <row r="754">
          <cell r="A754" t="str">
            <v>60021_3</v>
          </cell>
        </row>
        <row r="755">
          <cell r="A755" t="str">
            <v>60022_3</v>
          </cell>
        </row>
        <row r="756">
          <cell r="A756" t="str">
            <v>60023_3</v>
          </cell>
        </row>
        <row r="757">
          <cell r="A757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  <row r="1180">
          <cell r="A1180">
            <v>8031</v>
          </cell>
        </row>
        <row r="1181">
          <cell r="A1181">
            <v>8032</v>
          </cell>
        </row>
        <row r="1182">
          <cell r="A1182">
            <v>8033</v>
          </cell>
        </row>
        <row r="1183">
          <cell r="A1183">
            <v>8034</v>
          </cell>
        </row>
        <row r="1184">
          <cell r="A1184">
            <v>8035</v>
          </cell>
        </row>
        <row r="1185">
          <cell r="A1185">
            <v>8036</v>
          </cell>
        </row>
        <row r="1186">
          <cell r="A1186">
            <v>8037</v>
          </cell>
        </row>
        <row r="1187">
          <cell r="A1187">
            <v>8038</v>
          </cell>
        </row>
        <row r="1188">
          <cell r="A1188">
            <v>8039</v>
          </cell>
        </row>
        <row r="1189">
          <cell r="A1189">
            <v>8040</v>
          </cell>
        </row>
        <row r="1190">
          <cell r="A1190">
            <v>8041</v>
          </cell>
        </row>
        <row r="1191">
          <cell r="A1191">
            <v>8042</v>
          </cell>
        </row>
        <row r="1192">
          <cell r="A1192">
            <v>8043</v>
          </cell>
        </row>
        <row r="1193">
          <cell r="A1193">
            <v>8044</v>
          </cell>
        </row>
        <row r="1194">
          <cell r="A1194">
            <v>8045</v>
          </cell>
        </row>
        <row r="1195">
          <cell r="A1195">
            <v>8046</v>
          </cell>
        </row>
        <row r="1196">
          <cell r="A1196">
            <v>8047</v>
          </cell>
        </row>
        <row r="1197">
          <cell r="A1197">
            <v>8048</v>
          </cell>
        </row>
        <row r="1198">
          <cell r="A1198">
            <v>8049</v>
          </cell>
        </row>
        <row r="1199">
          <cell r="A1199">
            <v>8050</v>
          </cell>
        </row>
        <row r="1200">
          <cell r="A1200">
            <v>8051</v>
          </cell>
        </row>
        <row r="1201">
          <cell r="A1201">
            <v>8052</v>
          </cell>
        </row>
        <row r="1202">
          <cell r="A1202">
            <v>8053</v>
          </cell>
        </row>
        <row r="1203">
          <cell r="A1203">
            <v>8054</v>
          </cell>
        </row>
        <row r="1204">
          <cell r="A1204">
            <v>8055</v>
          </cell>
        </row>
        <row r="1205">
          <cell r="A1205">
            <v>8056</v>
          </cell>
        </row>
        <row r="1206">
          <cell r="A1206">
            <v>8057</v>
          </cell>
        </row>
        <row r="1207">
          <cell r="A1207">
            <v>8058</v>
          </cell>
        </row>
        <row r="1208">
          <cell r="A1208">
            <v>8059</v>
          </cell>
        </row>
        <row r="1209">
          <cell r="A1209">
            <v>8060</v>
          </cell>
        </row>
        <row r="1210">
          <cell r="A1210">
            <v>8061</v>
          </cell>
        </row>
        <row r="1211">
          <cell r="A1211">
            <v>8062</v>
          </cell>
        </row>
        <row r="1212">
          <cell r="A1212">
            <v>8063</v>
          </cell>
        </row>
        <row r="1213">
          <cell r="A1213">
            <v>8064</v>
          </cell>
        </row>
        <row r="1214">
          <cell r="A1214">
            <v>8065</v>
          </cell>
        </row>
        <row r="1215">
          <cell r="A1215">
            <v>8066</v>
          </cell>
        </row>
        <row r="1216">
          <cell r="A1216">
            <v>8067</v>
          </cell>
        </row>
        <row r="1217">
          <cell r="A1217">
            <v>8068</v>
          </cell>
        </row>
        <row r="1218">
          <cell r="A1218">
            <v>8069</v>
          </cell>
        </row>
        <row r="1219">
          <cell r="A1219">
            <v>8070</v>
          </cell>
        </row>
        <row r="1220">
          <cell r="A1220">
            <v>8071</v>
          </cell>
        </row>
        <row r="1221">
          <cell r="A1221">
            <v>8072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1179</v>
          </cell>
        </row>
        <row r="1147">
          <cell r="A1147">
            <v>1185</v>
          </cell>
        </row>
        <row r="1148">
          <cell r="A1148">
            <v>6001</v>
          </cell>
        </row>
        <row r="1149">
          <cell r="A1149">
            <v>6002</v>
          </cell>
        </row>
        <row r="1150">
          <cell r="A1150">
            <v>6003</v>
          </cell>
        </row>
        <row r="1151">
          <cell r="A1151">
            <v>6004</v>
          </cell>
        </row>
        <row r="1152">
          <cell r="A1152">
            <v>6005</v>
          </cell>
        </row>
        <row r="1153">
          <cell r="A1153">
            <v>6006</v>
          </cell>
        </row>
        <row r="1154">
          <cell r="A1154">
            <v>6007</v>
          </cell>
        </row>
        <row r="1155">
          <cell r="A1155">
            <v>6008</v>
          </cell>
        </row>
        <row r="1156">
          <cell r="A1156">
            <v>6009</v>
          </cell>
        </row>
        <row r="1157">
          <cell r="A1157">
            <v>6010</v>
          </cell>
        </row>
        <row r="1158">
          <cell r="A1158">
            <v>6011</v>
          </cell>
        </row>
        <row r="1159">
          <cell r="A1159">
            <v>6012</v>
          </cell>
        </row>
        <row r="1160">
          <cell r="A1160">
            <v>6013</v>
          </cell>
        </row>
        <row r="1161">
          <cell r="A1161">
            <v>6014</v>
          </cell>
        </row>
        <row r="1162">
          <cell r="A1162">
            <v>6015</v>
          </cell>
        </row>
        <row r="1163">
          <cell r="A1163">
            <v>6016</v>
          </cell>
        </row>
        <row r="1164">
          <cell r="A1164">
            <v>6017</v>
          </cell>
        </row>
        <row r="1165">
          <cell r="A1165">
            <v>6018</v>
          </cell>
        </row>
        <row r="1166">
          <cell r="A1166">
            <v>6019</v>
          </cell>
        </row>
        <row r="1167">
          <cell r="A1167">
            <v>6020</v>
          </cell>
        </row>
        <row r="1168">
          <cell r="A1168">
            <v>8001</v>
          </cell>
        </row>
        <row r="1169">
          <cell r="A1169">
            <v>8002</v>
          </cell>
        </row>
        <row r="1170">
          <cell r="A1170">
            <v>8003</v>
          </cell>
        </row>
        <row r="1171">
          <cell r="A1171">
            <v>8004</v>
          </cell>
        </row>
        <row r="1172">
          <cell r="A1172">
            <v>8005</v>
          </cell>
        </row>
        <row r="1173">
          <cell r="A1173">
            <v>8006</v>
          </cell>
        </row>
        <row r="1174">
          <cell r="A1174">
            <v>8007</v>
          </cell>
        </row>
        <row r="1175">
          <cell r="A1175">
            <v>8008</v>
          </cell>
        </row>
        <row r="1176">
          <cell r="A1176">
            <v>8009</v>
          </cell>
        </row>
        <row r="1177">
          <cell r="A1177">
            <v>8010</v>
          </cell>
        </row>
        <row r="1178">
          <cell r="A1178">
            <v>8011</v>
          </cell>
        </row>
        <row r="1179">
          <cell r="A1179">
            <v>8012</v>
          </cell>
        </row>
        <row r="1180">
          <cell r="A1180">
            <v>8013</v>
          </cell>
        </row>
        <row r="1181">
          <cell r="A1181">
            <v>8014</v>
          </cell>
        </row>
        <row r="1182">
          <cell r="A1182">
            <v>8015</v>
          </cell>
        </row>
        <row r="1183">
          <cell r="A1183">
            <v>8016</v>
          </cell>
        </row>
        <row r="1184">
          <cell r="A1184">
            <v>8017</v>
          </cell>
        </row>
        <row r="1185">
          <cell r="A1185">
            <v>8018</v>
          </cell>
        </row>
        <row r="1186">
          <cell r="A1186">
            <v>8019</v>
          </cell>
        </row>
        <row r="1187">
          <cell r="A1187">
            <v>8020</v>
          </cell>
        </row>
        <row r="1188">
          <cell r="A1188">
            <v>8021</v>
          </cell>
        </row>
        <row r="1189">
          <cell r="A1189">
            <v>8022</v>
          </cell>
        </row>
        <row r="1190">
          <cell r="A1190">
            <v>8023</v>
          </cell>
        </row>
        <row r="1191">
          <cell r="A1191">
            <v>8024</v>
          </cell>
        </row>
        <row r="1192">
          <cell r="A1192">
            <v>8025</v>
          </cell>
        </row>
        <row r="1193">
          <cell r="A1193">
            <v>8026</v>
          </cell>
        </row>
        <row r="1194">
          <cell r="A1194">
            <v>8027</v>
          </cell>
        </row>
        <row r="1195">
          <cell r="A1195">
            <v>8028</v>
          </cell>
        </row>
        <row r="1196">
          <cell r="A1196">
            <v>8029</v>
          </cell>
        </row>
        <row r="1197">
          <cell r="A1197">
            <v>8030</v>
          </cell>
        </row>
        <row r="1198">
          <cell r="A1198">
            <v>8031</v>
          </cell>
        </row>
        <row r="1199">
          <cell r="A1199">
            <v>8032</v>
          </cell>
        </row>
        <row r="1200">
          <cell r="A1200">
            <v>8033</v>
          </cell>
        </row>
        <row r="1201">
          <cell r="A1201">
            <v>8034</v>
          </cell>
        </row>
        <row r="1202">
          <cell r="A1202">
            <v>8035</v>
          </cell>
        </row>
        <row r="1203">
          <cell r="A1203">
            <v>8036</v>
          </cell>
        </row>
        <row r="1204">
          <cell r="A1204">
            <v>8037</v>
          </cell>
        </row>
        <row r="1205">
          <cell r="A1205">
            <v>8038</v>
          </cell>
        </row>
        <row r="1206">
          <cell r="A1206">
            <v>8039</v>
          </cell>
        </row>
        <row r="1207">
          <cell r="A1207">
            <v>8040</v>
          </cell>
        </row>
        <row r="1208">
          <cell r="A1208">
            <v>8041</v>
          </cell>
        </row>
        <row r="1209">
          <cell r="A1209">
            <v>8042</v>
          </cell>
        </row>
        <row r="1210">
          <cell r="A1210">
            <v>8043</v>
          </cell>
        </row>
        <row r="1211">
          <cell r="A1211">
            <v>8044</v>
          </cell>
        </row>
        <row r="1212">
          <cell r="A1212">
            <v>8045</v>
          </cell>
        </row>
        <row r="1213">
          <cell r="A1213">
            <v>8046</v>
          </cell>
        </row>
        <row r="1214">
          <cell r="A1214">
            <v>8047</v>
          </cell>
        </row>
        <row r="1215">
          <cell r="A1215">
            <v>8048</v>
          </cell>
        </row>
        <row r="1216">
          <cell r="A1216">
            <v>8049</v>
          </cell>
        </row>
        <row r="1217">
          <cell r="A1217">
            <v>8050</v>
          </cell>
        </row>
        <row r="1218">
          <cell r="A1218">
            <v>8051</v>
          </cell>
        </row>
        <row r="1219">
          <cell r="A1219">
            <v>8052</v>
          </cell>
        </row>
        <row r="1220">
          <cell r="A1220">
            <v>8053</v>
          </cell>
        </row>
        <row r="1221">
          <cell r="A1221">
            <v>8054</v>
          </cell>
        </row>
        <row r="1222">
          <cell r="A1222">
            <v>8055</v>
          </cell>
        </row>
        <row r="1223">
          <cell r="A1223">
            <v>8056</v>
          </cell>
        </row>
        <row r="1224">
          <cell r="A1224">
            <v>8057</v>
          </cell>
        </row>
        <row r="1225">
          <cell r="A1225">
            <v>8058</v>
          </cell>
        </row>
        <row r="1226">
          <cell r="A1226">
            <v>8059</v>
          </cell>
        </row>
        <row r="1227">
          <cell r="A1227">
            <v>8060</v>
          </cell>
        </row>
        <row r="1228">
          <cell r="A1228">
            <v>8061</v>
          </cell>
        </row>
        <row r="1229">
          <cell r="A1229">
            <v>8062</v>
          </cell>
        </row>
        <row r="1230">
          <cell r="A1230">
            <v>8063</v>
          </cell>
        </row>
        <row r="1231">
          <cell r="A1231">
            <v>8064</v>
          </cell>
        </row>
        <row r="1232">
          <cell r="A1232">
            <v>8065</v>
          </cell>
        </row>
        <row r="1233">
          <cell r="A1233">
            <v>8066</v>
          </cell>
        </row>
        <row r="1234">
          <cell r="A1234">
            <v>8067</v>
          </cell>
        </row>
        <row r="1235">
          <cell r="A1235">
            <v>8068</v>
          </cell>
        </row>
        <row r="1236">
          <cell r="A1236">
            <v>8069</v>
          </cell>
        </row>
        <row r="1237">
          <cell r="A1237">
            <v>8070</v>
          </cell>
        </row>
        <row r="1238">
          <cell r="A1238">
            <v>8071</v>
          </cell>
        </row>
        <row r="1239">
          <cell r="A1239">
            <v>8072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zoomScale="130" zoomScaleNormal="130" zoomScalePageLayoutView="130" workbookViewId="0">
      <selection activeCell="B15" sqref="B15"/>
    </sheetView>
  </sheetViews>
  <sheetFormatPr baseColWidth="12" defaultRowHeight="15" x14ac:dyDescent="0.15"/>
  <cols>
    <col min="2" max="2" width="18" bestFit="1" customWidth="1"/>
    <col min="5" max="5" width="26.83203125" bestFit="1" customWidth="1"/>
    <col min="6" max="6" width="22.1640625" bestFit="1" customWidth="1"/>
  </cols>
  <sheetData>
    <row r="1" spans="1:30" x14ac:dyDescent="0.15">
      <c r="A1" s="61" t="s">
        <v>54</v>
      </c>
      <c r="B1" s="62" t="s">
        <v>55</v>
      </c>
      <c r="C1" s="62" t="s">
        <v>56</v>
      </c>
      <c r="D1" s="62" t="s">
        <v>57</v>
      </c>
      <c r="E1" s="62" t="s">
        <v>58</v>
      </c>
      <c r="F1" s="62" t="s">
        <v>59</v>
      </c>
      <c r="G1" s="62" t="s">
        <v>60</v>
      </c>
      <c r="H1" s="62"/>
      <c r="I1" s="62"/>
      <c r="J1" s="62"/>
      <c r="K1" s="62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</row>
    <row r="2" spans="1:30" x14ac:dyDescent="0.15">
      <c r="A2" s="64" t="s">
        <v>250</v>
      </c>
      <c r="B2" s="65" t="s">
        <v>62</v>
      </c>
      <c r="C2" s="66" t="s">
        <v>252</v>
      </c>
      <c r="D2" s="65" t="s">
        <v>63</v>
      </c>
      <c r="E2" s="63" t="str">
        <f>B2&amp;C2&amp;D2</f>
        <v>floors_rtc1.tmp</v>
      </c>
      <c r="F2" s="65" t="s">
        <v>64</v>
      </c>
      <c r="G2" s="67" t="s">
        <v>0</v>
      </c>
      <c r="H2" s="67" t="s">
        <v>1</v>
      </c>
      <c r="I2" s="67" t="s">
        <v>13</v>
      </c>
      <c r="J2" s="67" t="s">
        <v>14</v>
      </c>
      <c r="K2" s="67" t="s">
        <v>15</v>
      </c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</row>
    <row r="3" spans="1:30" x14ac:dyDescent="0.15">
      <c r="A3" s="64" t="s">
        <v>251</v>
      </c>
      <c r="B3" s="65" t="s">
        <v>65</v>
      </c>
      <c r="C3" s="66" t="str">
        <f>C$2</f>
        <v>rtc1</v>
      </c>
      <c r="D3" s="65" t="s">
        <v>66</v>
      </c>
      <c r="E3" s="63" t="str">
        <f>B3&amp;C3&amp;D3</f>
        <v>enemy_habitats_rtc1.tmp</v>
      </c>
      <c r="F3" s="65" t="s">
        <v>67</v>
      </c>
      <c r="G3" s="67" t="s">
        <v>0</v>
      </c>
      <c r="H3" s="67" t="s">
        <v>1</v>
      </c>
      <c r="I3" s="67" t="s">
        <v>13</v>
      </c>
      <c r="J3" s="67" t="s">
        <v>2</v>
      </c>
      <c r="K3" s="67" t="s">
        <v>3</v>
      </c>
      <c r="L3" s="67" t="s">
        <v>51</v>
      </c>
      <c r="M3" s="67" t="s">
        <v>52</v>
      </c>
      <c r="N3" s="67" t="s">
        <v>53</v>
      </c>
      <c r="O3" s="67" t="s">
        <v>22</v>
      </c>
      <c r="P3" s="67" t="s">
        <v>5</v>
      </c>
      <c r="Q3" s="67" t="s">
        <v>6</v>
      </c>
      <c r="R3" s="67" t="s">
        <v>7</v>
      </c>
      <c r="S3" s="67" t="s">
        <v>8</v>
      </c>
      <c r="T3" s="67" t="s">
        <v>9</v>
      </c>
      <c r="U3" s="67" t="s">
        <v>10</v>
      </c>
      <c r="V3" s="67" t="s">
        <v>11</v>
      </c>
      <c r="W3" s="67" t="s">
        <v>12</v>
      </c>
      <c r="X3" s="67" t="s">
        <v>38</v>
      </c>
      <c r="Y3" s="67" t="s">
        <v>40</v>
      </c>
      <c r="Z3" s="67" t="s">
        <v>42</v>
      </c>
      <c r="AA3" s="67" t="s">
        <v>44</v>
      </c>
      <c r="AB3" s="67" t="s">
        <v>46</v>
      </c>
      <c r="AC3" s="67" t="s">
        <v>68</v>
      </c>
      <c r="AD3" s="67" t="s">
        <v>69</v>
      </c>
    </row>
    <row r="4" spans="1:30" x14ac:dyDescent="0.15">
      <c r="A4" s="133" t="s">
        <v>61</v>
      </c>
      <c r="B4" s="65" t="s">
        <v>70</v>
      </c>
      <c r="C4" s="66" t="str">
        <f t="shared" ref="C4:C13" si="0">C$2</f>
        <v>rtc1</v>
      </c>
      <c r="D4" s="65" t="s">
        <v>71</v>
      </c>
      <c r="E4" s="63" t="str">
        <f>B4&amp;C4&amp;D4</f>
        <v>enemy_habitat_S_rtc1.tmp</v>
      </c>
      <c r="F4" s="65" t="s">
        <v>72</v>
      </c>
      <c r="G4" s="67" t="s">
        <v>0</v>
      </c>
      <c r="H4" s="67" t="s">
        <v>1</v>
      </c>
      <c r="I4" s="67" t="s">
        <v>13</v>
      </c>
      <c r="J4" s="67" t="s">
        <v>73</v>
      </c>
      <c r="K4" s="67" t="s">
        <v>74</v>
      </c>
      <c r="L4" s="67" t="s">
        <v>75</v>
      </c>
      <c r="M4" s="67" t="s">
        <v>76</v>
      </c>
      <c r="N4" s="67" t="s">
        <v>77</v>
      </c>
      <c r="O4" s="67" t="s">
        <v>4</v>
      </c>
      <c r="P4" s="67" t="s">
        <v>78</v>
      </c>
      <c r="Q4" s="67" t="s">
        <v>49</v>
      </c>
      <c r="R4" s="67" t="s">
        <v>79</v>
      </c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</row>
    <row r="5" spans="1:30" x14ac:dyDescent="0.15">
      <c r="A5" s="64" t="s">
        <v>251</v>
      </c>
      <c r="B5" s="65" t="s">
        <v>80</v>
      </c>
      <c r="C5" s="66" t="str">
        <f t="shared" si="0"/>
        <v>rtc1</v>
      </c>
      <c r="D5" s="65" t="s">
        <v>63</v>
      </c>
      <c r="E5" s="63" t="str">
        <f>B5&amp;C5&amp;D5</f>
        <v>enemy_skill_sets_rtc1.tmp</v>
      </c>
      <c r="F5" s="65" t="s">
        <v>81</v>
      </c>
      <c r="G5" s="68" t="s">
        <v>22</v>
      </c>
      <c r="H5" s="68" t="s">
        <v>82</v>
      </c>
      <c r="I5" s="68" t="s">
        <v>83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</row>
    <row r="6" spans="1:30" x14ac:dyDescent="0.15">
      <c r="A6" s="64" t="s">
        <v>251</v>
      </c>
      <c r="B6" s="65" t="s">
        <v>84</v>
      </c>
      <c r="C6" s="66" t="str">
        <f t="shared" si="0"/>
        <v>rtc1</v>
      </c>
      <c r="D6" s="65" t="s">
        <v>85</v>
      </c>
      <c r="E6" s="63" t="str">
        <f t="shared" ref="E6:E13" si="1">B6&amp;C6&amp;D6</f>
        <v>enemy_skills_tmp_rtc1.tmp</v>
      </c>
      <c r="F6" s="65" t="s">
        <v>86</v>
      </c>
      <c r="G6" s="67" t="s">
        <v>87</v>
      </c>
      <c r="H6" s="67" t="s">
        <v>88</v>
      </c>
      <c r="I6" s="67" t="s">
        <v>89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</row>
    <row r="7" spans="1:30" x14ac:dyDescent="0.15">
      <c r="A7" s="64" t="s">
        <v>251</v>
      </c>
      <c r="B7" s="65" t="s">
        <v>90</v>
      </c>
      <c r="C7" s="66" t="str">
        <f t="shared" si="0"/>
        <v>rtc1</v>
      </c>
      <c r="D7" s="65" t="s">
        <v>63</v>
      </c>
      <c r="E7" s="63" t="str">
        <f>B7&amp;C7&amp;D7</f>
        <v>enemy_skills_i18n_rtc1.tmp</v>
      </c>
      <c r="F7" s="65" t="s">
        <v>91</v>
      </c>
      <c r="G7" s="67" t="s">
        <v>87</v>
      </c>
      <c r="H7" s="67" t="s">
        <v>92</v>
      </c>
      <c r="I7" s="67" t="s">
        <v>93</v>
      </c>
      <c r="J7" s="67" t="s">
        <v>94</v>
      </c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</row>
    <row r="8" spans="1:30" x14ac:dyDescent="0.15">
      <c r="A8" s="64" t="s">
        <v>251</v>
      </c>
      <c r="B8" s="65" t="s">
        <v>95</v>
      </c>
      <c r="C8" s="66" t="str">
        <f t="shared" si="0"/>
        <v>rtc1</v>
      </c>
      <c r="D8" s="65" t="s">
        <v>85</v>
      </c>
      <c r="E8" s="63" t="str">
        <f t="shared" si="1"/>
        <v>enemy_skill_triggers_rtc1.tmp</v>
      </c>
      <c r="F8" s="65" t="s">
        <v>96</v>
      </c>
      <c r="G8" s="67" t="s">
        <v>83</v>
      </c>
      <c r="H8" s="67" t="s">
        <v>97</v>
      </c>
      <c r="I8" s="67" t="s">
        <v>98</v>
      </c>
      <c r="J8" s="67" t="s">
        <v>99</v>
      </c>
      <c r="K8" s="67" t="s">
        <v>100</v>
      </c>
      <c r="L8" s="67" t="s">
        <v>101</v>
      </c>
      <c r="M8" s="67" t="s">
        <v>102</v>
      </c>
      <c r="N8" s="67" t="s">
        <v>103</v>
      </c>
      <c r="O8" s="67" t="s">
        <v>104</v>
      </c>
      <c r="P8" s="67" t="s">
        <v>105</v>
      </c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</row>
    <row r="9" spans="1:30" x14ac:dyDescent="0.15">
      <c r="A9" s="134" t="s">
        <v>61</v>
      </c>
      <c r="B9" s="69" t="s">
        <v>106</v>
      </c>
      <c r="C9" s="66" t="str">
        <f t="shared" si="0"/>
        <v>rtc1</v>
      </c>
      <c r="D9" s="69" t="s">
        <v>107</v>
      </c>
      <c r="E9" s="70" t="str">
        <f t="shared" si="1"/>
        <v>stage_bug_bonuses_rtc1.tmp</v>
      </c>
      <c r="F9" s="69" t="s">
        <v>108</v>
      </c>
      <c r="G9" s="71" t="s">
        <v>109</v>
      </c>
      <c r="H9" s="71" t="s">
        <v>110</v>
      </c>
      <c r="I9" s="71" t="s">
        <v>111</v>
      </c>
      <c r="J9" s="72" t="s">
        <v>112</v>
      </c>
      <c r="K9" s="71" t="s">
        <v>113</v>
      </c>
      <c r="L9" s="71" t="s">
        <v>114</v>
      </c>
      <c r="M9" s="71" t="s">
        <v>115</v>
      </c>
      <c r="N9" s="71" t="s">
        <v>116</v>
      </c>
      <c r="O9" s="71" t="s">
        <v>117</v>
      </c>
      <c r="P9" s="71" t="s">
        <v>39</v>
      </c>
      <c r="Q9" s="71" t="s">
        <v>118</v>
      </c>
      <c r="R9" s="71" t="s">
        <v>119</v>
      </c>
      <c r="S9" s="71" t="s">
        <v>120</v>
      </c>
      <c r="T9" s="71" t="s">
        <v>47</v>
      </c>
      <c r="U9" s="71" t="s">
        <v>121</v>
      </c>
      <c r="V9" s="71" t="s">
        <v>122</v>
      </c>
      <c r="W9" s="71" t="s">
        <v>123</v>
      </c>
      <c r="X9" s="65"/>
      <c r="Y9" s="65"/>
      <c r="Z9" s="65"/>
      <c r="AA9" s="65"/>
      <c r="AB9" s="65"/>
      <c r="AC9" s="65"/>
      <c r="AD9" s="65"/>
    </row>
    <row r="10" spans="1:30" s="76" customFormat="1" x14ac:dyDescent="0.15">
      <c r="A10" s="64" t="s">
        <v>251</v>
      </c>
      <c r="B10" s="69" t="s">
        <v>124</v>
      </c>
      <c r="C10" s="66" t="str">
        <f>C$2</f>
        <v>rtc1</v>
      </c>
      <c r="D10" s="69" t="s">
        <v>125</v>
      </c>
      <c r="E10" s="70" t="str">
        <f t="shared" si="1"/>
        <v>stage_hints_data_c_rtc1.tmp</v>
      </c>
      <c r="F10" s="69" t="s">
        <v>126</v>
      </c>
      <c r="G10" s="73" t="s">
        <v>127</v>
      </c>
      <c r="H10" s="73" t="s">
        <v>128</v>
      </c>
      <c r="I10" s="74" t="s">
        <v>129</v>
      </c>
      <c r="J10" s="72" t="s">
        <v>19</v>
      </c>
      <c r="K10" s="72" t="s">
        <v>130</v>
      </c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</row>
    <row r="11" spans="1:30" s="76" customFormat="1" x14ac:dyDescent="0.15">
      <c r="A11" s="134" t="s">
        <v>61</v>
      </c>
      <c r="B11" s="69" t="s">
        <v>131</v>
      </c>
      <c r="C11" s="66" t="str">
        <f t="shared" si="0"/>
        <v>rtc1</v>
      </c>
      <c r="D11" s="69" t="s">
        <v>125</v>
      </c>
      <c r="E11" s="70" t="str">
        <f t="shared" si="1"/>
        <v>stage_hints_data_f_rtc1.tmp</v>
      </c>
      <c r="F11" s="69" t="s">
        <v>132</v>
      </c>
      <c r="G11" s="73" t="s">
        <v>127</v>
      </c>
      <c r="H11" s="73" t="s">
        <v>128</v>
      </c>
      <c r="I11" s="74" t="s">
        <v>129</v>
      </c>
      <c r="J11" s="72" t="s">
        <v>19</v>
      </c>
      <c r="K11" s="72" t="s">
        <v>130</v>
      </c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</row>
    <row r="12" spans="1:30" s="76" customFormat="1" x14ac:dyDescent="0.15">
      <c r="A12" s="135" t="s">
        <v>133</v>
      </c>
      <c r="B12" s="69" t="s">
        <v>134</v>
      </c>
      <c r="C12" s="66" t="str">
        <f t="shared" si="0"/>
        <v>rtc1</v>
      </c>
      <c r="D12" s="69" t="s">
        <v>125</v>
      </c>
      <c r="E12" s="70" t="str">
        <f t="shared" si="1"/>
        <v>stage_hints_i18n_rtc1.tmp</v>
      </c>
      <c r="F12" s="69" t="s">
        <v>132</v>
      </c>
      <c r="G12" s="74" t="s">
        <v>129</v>
      </c>
      <c r="H12" s="71" t="s">
        <v>135</v>
      </c>
      <c r="I12" s="73" t="s">
        <v>136</v>
      </c>
      <c r="J12" s="77" t="s">
        <v>137</v>
      </c>
      <c r="K12" s="72" t="s">
        <v>138</v>
      </c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</row>
    <row r="13" spans="1:30" s="76" customFormat="1" x14ac:dyDescent="0.15">
      <c r="A13" s="135" t="s">
        <v>133</v>
      </c>
      <c r="B13" s="69" t="s">
        <v>139</v>
      </c>
      <c r="C13" s="66" t="str">
        <f t="shared" si="0"/>
        <v>rtc1</v>
      </c>
      <c r="D13" s="69" t="s">
        <v>63</v>
      </c>
      <c r="E13" s="70" t="str">
        <f t="shared" si="1"/>
        <v>stage_bonuses_rtc1.tmp</v>
      </c>
      <c r="F13" s="69" t="s">
        <v>140</v>
      </c>
      <c r="G13" s="73" t="s">
        <v>127</v>
      </c>
      <c r="H13" s="73" t="s">
        <v>128</v>
      </c>
      <c r="I13" s="73" t="s">
        <v>141</v>
      </c>
      <c r="J13" s="73" t="s">
        <v>142</v>
      </c>
      <c r="K13" s="73" t="s">
        <v>143</v>
      </c>
      <c r="L13" s="73" t="s">
        <v>144</v>
      </c>
      <c r="M13" s="73" t="s">
        <v>145</v>
      </c>
      <c r="N13" s="73" t="s">
        <v>146</v>
      </c>
      <c r="O13" s="73" t="s">
        <v>147</v>
      </c>
      <c r="P13" s="73" t="s">
        <v>148</v>
      </c>
      <c r="Q13" s="73" t="s">
        <v>39</v>
      </c>
      <c r="R13" s="73" t="s">
        <v>41</v>
      </c>
      <c r="S13" s="73" t="s">
        <v>43</v>
      </c>
      <c r="T13" s="73" t="s">
        <v>45</v>
      </c>
      <c r="U13" s="73" t="s">
        <v>47</v>
      </c>
      <c r="V13" s="73" t="s">
        <v>121</v>
      </c>
      <c r="W13" s="73" t="s">
        <v>122</v>
      </c>
      <c r="X13" s="73" t="s">
        <v>123</v>
      </c>
      <c r="Y13" s="75"/>
      <c r="Z13" s="75"/>
      <c r="AA13" s="75"/>
      <c r="AB13" s="75"/>
      <c r="AC13" s="75"/>
      <c r="AD13" s="75"/>
    </row>
  </sheetData>
  <phoneticPr fontId="4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8"/>
  <sheetViews>
    <sheetView showGridLines="0" zoomScale="110" zoomScaleNormal="110" zoomScalePageLayoutView="110" workbookViewId="0">
      <pane ySplit="1" topLeftCell="A2" activePane="bottomLeft" state="frozen"/>
      <selection activeCell="V2" sqref="V2:X34"/>
      <selection pane="bottomLeft" activeCell="K12" sqref="K12"/>
    </sheetView>
  </sheetViews>
  <sheetFormatPr baseColWidth="12" defaultColWidth="13" defaultRowHeight="21" customHeight="1" outlineLevelCol="1" x14ac:dyDescent="0.15"/>
  <cols>
    <col min="1" max="1" width="8.83203125" style="24" bestFit="1" customWidth="1"/>
    <col min="2" max="2" width="5" style="24" bestFit="1" customWidth="1"/>
    <col min="3" max="3" width="7.1640625" style="4" bestFit="1" customWidth="1" collapsed="1"/>
    <col min="4" max="5" width="10.33203125" style="4" hidden="1" customWidth="1" outlineLevel="1"/>
    <col min="6" max="6" width="7" style="4" bestFit="1" customWidth="1"/>
    <col min="7" max="7" width="8.83203125" style="24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30</v>
      </c>
      <c r="B1" s="17" t="s">
        <v>37</v>
      </c>
      <c r="C1" s="1" t="s">
        <v>0</v>
      </c>
      <c r="D1" s="2" t="s">
        <v>18</v>
      </c>
      <c r="E1" s="16" t="s">
        <v>34</v>
      </c>
      <c r="F1" s="1" t="s">
        <v>1</v>
      </c>
      <c r="G1" s="27" t="s">
        <v>33</v>
      </c>
      <c r="H1" s="16" t="s">
        <v>35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:A24" si="0">G2&amp;"-"&amp;I2</f>
        <v>13101_1-1</v>
      </c>
      <c r="B2" s="17" t="str">
        <f>IF(COUNTIF(enemy_habitats!$H:$H,A2),"OK","NG")</f>
        <v>OK</v>
      </c>
      <c r="C2" s="8">
        <v>13101</v>
      </c>
      <c r="D2" s="12" t="str">
        <f ca="1">VLOOKUP($C2,OFFSET([2]quests!$A$1,0,0,COUNTA([2]quests!$A:$A),MATCH(D$1,[2]quests!$1:$1,0)-MATCH($C$1,[2]quests!$1:$1,0)+1),MATCH(D$1,[2]quests!$1:$1,0)-MATCH($C$1,[2]quests!$1:$1,0)+1,FALSE)</f>
        <v>チャレンジタワー</v>
      </c>
      <c r="E2" s="23" t="str">
        <f ca="1">VLOOKUP($C2,OFFSET([2]quests!$A$1,0,0,COUNTA([2]quests!$A:$A),MATCH(E$1,[2]quests!$1:$1,0)-MATCH($C$1,[2]quests!$1:$1,0)+1),MATCH(E$1,[2]quests!$1:$1,0)-MATCH($C$1,[2]quests!$1:$1,0)+1,FALSE)</f>
        <v>リセット型チャレンジタワー</v>
      </c>
      <c r="F2" s="25">
        <v>1</v>
      </c>
      <c r="G2" s="27" t="str">
        <f t="shared" ref="G2:G24" si="1">C2&amp;"_"&amp;F2</f>
        <v>13101_1</v>
      </c>
      <c r="H2" s="16" t="str">
        <f ca="1">VLOOKUP($G2,OFFSET([2]stages!$A$1,0,0,COUNTA([2]stages!$A:$A),MATCH(H$1,[2]stages!$2:$2,0)-MATCH($G$1,[2]stages!$2:$2,0)+1),MATCH(H$1,[2]stages!$2:$2,0)-MATCH($G$1,[2]stages!$2:$2,0)+1,FALSE)</f>
        <v>チャレンジタワー 1F</v>
      </c>
      <c r="I2" s="25">
        <v>1</v>
      </c>
      <c r="J2" s="13">
        <v>30</v>
      </c>
      <c r="K2" s="13">
        <v>45</v>
      </c>
    </row>
    <row r="3" spans="1:11" ht="21" customHeight="1" x14ac:dyDescent="0.15">
      <c r="A3" s="17" t="str">
        <f t="shared" si="0"/>
        <v>13101_1-2</v>
      </c>
      <c r="B3" s="17" t="str">
        <f>IF(COUNTIF(enemy_habitats!$H:$H,A3),"OK","NG")</f>
        <v>OK</v>
      </c>
      <c r="C3" s="8">
        <v>13101</v>
      </c>
      <c r="D3" s="12" t="str">
        <f ca="1">VLOOKUP($C3,OFFSET([2]quests!$A$1,0,0,COUNTA([2]quests!$A:$A),MATCH(D$1,[2]quests!$1:$1,0)-MATCH($C$1,[2]quests!$1:$1,0)+1),MATCH(D$1,[2]quests!$1:$1,0)-MATCH($C$1,[2]quests!$1:$1,0)+1,FALSE)</f>
        <v>チャレンジタワー</v>
      </c>
      <c r="E3" s="23" t="str">
        <f ca="1">VLOOKUP($C3,OFFSET([2]quests!$A$1,0,0,COUNTA([2]quests!$A:$A),MATCH(E$1,[2]quests!$1:$1,0)-MATCH($C$1,[2]quests!$1:$1,0)+1),MATCH(E$1,[2]quests!$1:$1,0)-MATCH($C$1,[2]quests!$1:$1,0)+1,FALSE)</f>
        <v>リセット型チャレンジタワー</v>
      </c>
      <c r="F3" s="25">
        <v>1</v>
      </c>
      <c r="G3" s="27" t="str">
        <f t="shared" si="1"/>
        <v>13101_1</v>
      </c>
      <c r="H3" s="16" t="str">
        <f ca="1">VLOOKUP($G3,OFFSET([2]stages!$A$1,0,0,COUNTA([2]stages!$A:$A),MATCH(H$1,[2]stages!$2:$2,0)-MATCH($G$1,[2]stages!$2:$2,0)+1),MATCH(H$1,[2]stages!$2:$2,0)-MATCH($G$1,[2]stages!$2:$2,0)+1,FALSE)</f>
        <v>チャレンジタワー 1F</v>
      </c>
      <c r="I3" s="25">
        <v>2</v>
      </c>
      <c r="J3" s="13">
        <v>45</v>
      </c>
      <c r="K3" s="13">
        <v>45</v>
      </c>
    </row>
    <row r="4" spans="1:11" ht="21" customHeight="1" x14ac:dyDescent="0.15">
      <c r="A4" s="17" t="str">
        <f t="shared" si="0"/>
        <v>13101_1-3</v>
      </c>
      <c r="B4" s="17" t="str">
        <f>IF(COUNTIF(enemy_habitats!$H:$H,A4),"OK","NG")</f>
        <v>OK</v>
      </c>
      <c r="C4" s="8">
        <v>13101</v>
      </c>
      <c r="D4" s="12" t="str">
        <f ca="1">VLOOKUP($C4,OFFSET([2]quests!$A$1,0,0,COUNTA([2]quests!$A:$A),MATCH(D$1,[2]quests!$1:$1,0)-MATCH($C$1,[2]quests!$1:$1,0)+1),MATCH(D$1,[2]quests!$1:$1,0)-MATCH($C$1,[2]quests!$1:$1,0)+1,FALSE)</f>
        <v>チャレンジタワー</v>
      </c>
      <c r="E4" s="23" t="str">
        <f ca="1">VLOOKUP($C4,OFFSET([2]quests!$A$1,0,0,COUNTA([2]quests!$A:$A),MATCH(E$1,[2]quests!$1:$1,0)-MATCH($C$1,[2]quests!$1:$1,0)+1),MATCH(E$1,[2]quests!$1:$1,0)-MATCH($C$1,[2]quests!$1:$1,0)+1,FALSE)</f>
        <v>リセット型チャレンジタワー</v>
      </c>
      <c r="F4" s="25">
        <v>1</v>
      </c>
      <c r="G4" s="27" t="str">
        <f t="shared" si="1"/>
        <v>13101_1</v>
      </c>
      <c r="H4" s="16" t="str">
        <f ca="1">VLOOKUP($G4,OFFSET([2]stages!$A$1,0,0,COUNTA([2]stages!$A:$A),MATCH(H$1,[2]stages!$2:$2,0)-MATCH($G$1,[2]stages!$2:$2,0)+1),MATCH(H$1,[2]stages!$2:$2,0)-MATCH($G$1,[2]stages!$2:$2,0)+1,FALSE)</f>
        <v>チャレンジタワー 1F</v>
      </c>
      <c r="I4" s="25">
        <v>3</v>
      </c>
      <c r="J4" s="13">
        <v>45</v>
      </c>
      <c r="K4" s="13">
        <v>45</v>
      </c>
    </row>
    <row r="5" spans="1:11" ht="21" customHeight="1" x14ac:dyDescent="0.15">
      <c r="A5" s="17" t="str">
        <f t="shared" si="0"/>
        <v>13101_2-1</v>
      </c>
      <c r="B5" s="17" t="str">
        <f>IF(COUNTIF(enemy_habitats!$H:$H,A5),"OK","NG")</f>
        <v>OK</v>
      </c>
      <c r="C5" s="8">
        <v>13101</v>
      </c>
      <c r="D5" s="12" t="str">
        <f ca="1">VLOOKUP($C5,OFFSET([2]quests!$A$1,0,0,COUNTA([2]quests!$A:$A),MATCH(D$1,[2]quests!$1:$1,0)-MATCH($C$1,[2]quests!$1:$1,0)+1),MATCH(D$1,[2]quests!$1:$1,0)-MATCH($C$1,[2]quests!$1:$1,0)+1,FALSE)</f>
        <v>チャレンジタワー</v>
      </c>
      <c r="E5" s="23" t="str">
        <f ca="1">VLOOKUP($C5,OFFSET([2]quests!$A$1,0,0,COUNTA([2]quests!$A:$A),MATCH(E$1,[2]quests!$1:$1,0)-MATCH($C$1,[2]quests!$1:$1,0)+1),MATCH(E$1,[2]quests!$1:$1,0)-MATCH($C$1,[2]quests!$1:$1,0)+1,FALSE)</f>
        <v>リセット型チャレンジタワー</v>
      </c>
      <c r="F5" s="25">
        <v>2</v>
      </c>
      <c r="G5" s="27" t="str">
        <f t="shared" si="1"/>
        <v>13101_2</v>
      </c>
      <c r="H5" s="16" t="str">
        <f ca="1">VLOOKUP($G5,OFFSET([2]stages!$A$1,0,0,COUNTA([2]stages!$A:$A),MATCH(H$1,[2]stages!$2:$2,0)-MATCH($G$1,[2]stages!$2:$2,0)+1),MATCH(H$1,[2]stages!$2:$2,0)-MATCH($G$1,[2]stages!$2:$2,0)+1,FALSE)</f>
        <v>チャレンジタワー 2F</v>
      </c>
      <c r="I5" s="25">
        <v>1</v>
      </c>
      <c r="J5" s="13">
        <v>45</v>
      </c>
      <c r="K5" s="13">
        <v>45</v>
      </c>
    </row>
    <row r="6" spans="1:11" ht="21" customHeight="1" x14ac:dyDescent="0.15">
      <c r="A6" s="17" t="str">
        <f t="shared" si="0"/>
        <v>13101_2-2</v>
      </c>
      <c r="B6" s="17" t="str">
        <f>IF(COUNTIF(enemy_habitats!$H:$H,A6),"OK","NG")</f>
        <v>OK</v>
      </c>
      <c r="C6" s="8">
        <v>13101</v>
      </c>
      <c r="D6" s="12" t="str">
        <f ca="1">VLOOKUP($C6,OFFSET([2]quests!$A$1,0,0,COUNTA([2]quests!$A:$A),MATCH(D$1,[2]quests!$1:$1,0)-MATCH($C$1,[2]quests!$1:$1,0)+1),MATCH(D$1,[2]quests!$1:$1,0)-MATCH($C$1,[2]quests!$1:$1,0)+1,FALSE)</f>
        <v>チャレンジタワー</v>
      </c>
      <c r="E6" s="23" t="str">
        <f ca="1">VLOOKUP($C6,OFFSET([2]quests!$A$1,0,0,COUNTA([2]quests!$A:$A),MATCH(E$1,[2]quests!$1:$1,0)-MATCH($C$1,[2]quests!$1:$1,0)+1),MATCH(E$1,[2]quests!$1:$1,0)-MATCH($C$1,[2]quests!$1:$1,0)+1,FALSE)</f>
        <v>リセット型チャレンジタワー</v>
      </c>
      <c r="F6" s="25">
        <v>2</v>
      </c>
      <c r="G6" s="27" t="str">
        <f t="shared" si="1"/>
        <v>13101_2</v>
      </c>
      <c r="H6" s="16" t="str">
        <f ca="1">VLOOKUP($G6,OFFSET([2]stages!$A$1,0,0,COUNTA([2]stages!$A:$A),MATCH(H$1,[2]stages!$2:$2,0)-MATCH($G$1,[2]stages!$2:$2,0)+1),MATCH(H$1,[2]stages!$2:$2,0)-MATCH($G$1,[2]stages!$2:$2,0)+1,FALSE)</f>
        <v>チャレンジタワー 2F</v>
      </c>
      <c r="I6" s="25">
        <v>2</v>
      </c>
      <c r="J6" s="13">
        <v>45</v>
      </c>
      <c r="K6" s="13">
        <v>45</v>
      </c>
    </row>
    <row r="7" spans="1:11" ht="21" customHeight="1" x14ac:dyDescent="0.15">
      <c r="A7" s="17" t="str">
        <f t="shared" si="0"/>
        <v>13101_2-3</v>
      </c>
      <c r="B7" s="17" t="str">
        <f>IF(COUNTIF(enemy_habitats!$H:$H,A7),"OK","NG")</f>
        <v>OK</v>
      </c>
      <c r="C7" s="8">
        <v>13101</v>
      </c>
      <c r="D7" s="12" t="str">
        <f ca="1">VLOOKUP($C7,OFFSET([2]quests!$A$1,0,0,COUNTA([2]quests!$A:$A),MATCH(D$1,[2]quests!$1:$1,0)-MATCH($C$1,[2]quests!$1:$1,0)+1),MATCH(D$1,[2]quests!$1:$1,0)-MATCH($C$1,[2]quests!$1:$1,0)+1,FALSE)</f>
        <v>チャレンジタワー</v>
      </c>
      <c r="E7" s="23" t="str">
        <f ca="1">VLOOKUP($C7,OFFSET([2]quests!$A$1,0,0,COUNTA([2]quests!$A:$A),MATCH(E$1,[2]quests!$1:$1,0)-MATCH($C$1,[2]quests!$1:$1,0)+1),MATCH(E$1,[2]quests!$1:$1,0)-MATCH($C$1,[2]quests!$1:$1,0)+1,FALSE)</f>
        <v>リセット型チャレンジタワー</v>
      </c>
      <c r="F7" s="25">
        <v>2</v>
      </c>
      <c r="G7" s="27" t="str">
        <f t="shared" si="1"/>
        <v>13101_2</v>
      </c>
      <c r="H7" s="16" t="str">
        <f ca="1">VLOOKUP($G7,OFFSET([2]stages!$A$1,0,0,COUNTA([2]stages!$A:$A),MATCH(H$1,[2]stages!$2:$2,0)-MATCH($G$1,[2]stages!$2:$2,0)+1),MATCH(H$1,[2]stages!$2:$2,0)-MATCH($G$1,[2]stages!$2:$2,0)+1,FALSE)</f>
        <v>チャレンジタワー 2F</v>
      </c>
      <c r="I7" s="25">
        <v>3</v>
      </c>
      <c r="J7" s="13">
        <v>60</v>
      </c>
      <c r="K7" s="13">
        <v>60</v>
      </c>
    </row>
    <row r="8" spans="1:11" ht="21" customHeight="1" x14ac:dyDescent="0.15">
      <c r="A8" s="17" t="str">
        <f t="shared" si="0"/>
        <v>13101_3-1</v>
      </c>
      <c r="B8" s="17" t="str">
        <f>IF(COUNTIF(enemy_habitats!$H:$H,A8),"OK","NG")</f>
        <v>OK</v>
      </c>
      <c r="C8" s="8">
        <v>13101</v>
      </c>
      <c r="D8" s="12" t="str">
        <f ca="1">VLOOKUP($C8,OFFSET([2]quests!$A$1,0,0,COUNTA([2]quests!$A:$A),MATCH(D$1,[2]quests!$1:$1,0)-MATCH($C$1,[2]quests!$1:$1,0)+1),MATCH(D$1,[2]quests!$1:$1,0)-MATCH($C$1,[2]quests!$1:$1,0)+1,FALSE)</f>
        <v>チャレンジタワー</v>
      </c>
      <c r="E8" s="23" t="str">
        <f ca="1">VLOOKUP($C8,OFFSET([2]quests!$A$1,0,0,COUNTA([2]quests!$A:$A),MATCH(E$1,[2]quests!$1:$1,0)-MATCH($C$1,[2]quests!$1:$1,0)+1),MATCH(E$1,[2]quests!$1:$1,0)-MATCH($C$1,[2]quests!$1:$1,0)+1,FALSE)</f>
        <v>リセット型チャレンジタワー</v>
      </c>
      <c r="F8" s="25">
        <v>3</v>
      </c>
      <c r="G8" s="27" t="str">
        <f t="shared" si="1"/>
        <v>13101_3</v>
      </c>
      <c r="H8" s="16" t="str">
        <f ca="1">VLOOKUP($G8,OFFSET([2]stages!$A$1,0,0,COUNTA([2]stages!$A:$A),MATCH(H$1,[2]stages!$2:$2,0)-MATCH($G$1,[2]stages!$2:$2,0)+1),MATCH(H$1,[2]stages!$2:$2,0)-MATCH($G$1,[2]stages!$2:$2,0)+1,FALSE)</f>
        <v>チャレンジタワー 3F</v>
      </c>
      <c r="I8" s="25">
        <v>1</v>
      </c>
      <c r="J8" s="13">
        <v>15</v>
      </c>
      <c r="K8" s="13">
        <v>30</v>
      </c>
    </row>
    <row r="9" spans="1:11" ht="21" customHeight="1" x14ac:dyDescent="0.15">
      <c r="A9" s="17" t="str">
        <f t="shared" si="0"/>
        <v>13101_3-2</v>
      </c>
      <c r="B9" s="17" t="str">
        <f>IF(COUNTIF(enemy_habitats!$H:$H,A9),"OK","NG")</f>
        <v>OK</v>
      </c>
      <c r="C9" s="8">
        <v>13101</v>
      </c>
      <c r="D9" s="12" t="str">
        <f ca="1">VLOOKUP($C9,OFFSET([2]quests!$A$1,0,0,COUNTA([2]quests!$A:$A),MATCH(D$1,[2]quests!$1:$1,0)-MATCH($C$1,[2]quests!$1:$1,0)+1),MATCH(D$1,[2]quests!$1:$1,0)-MATCH($C$1,[2]quests!$1:$1,0)+1,FALSE)</f>
        <v>チャレンジタワー</v>
      </c>
      <c r="E9" s="23" t="str">
        <f ca="1">VLOOKUP($C9,OFFSET([2]quests!$A$1,0,0,COUNTA([2]quests!$A:$A),MATCH(E$1,[2]quests!$1:$1,0)-MATCH($C$1,[2]quests!$1:$1,0)+1),MATCH(E$1,[2]quests!$1:$1,0)-MATCH($C$1,[2]quests!$1:$1,0)+1,FALSE)</f>
        <v>リセット型チャレンジタワー</v>
      </c>
      <c r="F9" s="25">
        <v>3</v>
      </c>
      <c r="G9" s="27" t="str">
        <f t="shared" si="1"/>
        <v>13101_3</v>
      </c>
      <c r="H9" s="16" t="str">
        <f ca="1">VLOOKUP($G9,OFFSET([2]stages!$A$1,0,0,COUNTA([2]stages!$A:$A),MATCH(H$1,[2]stages!$2:$2,0)-MATCH($G$1,[2]stages!$2:$2,0)+1),MATCH(H$1,[2]stages!$2:$2,0)-MATCH($G$1,[2]stages!$2:$2,0)+1,FALSE)</f>
        <v>チャレンジタワー 3F</v>
      </c>
      <c r="I9" s="25">
        <v>2</v>
      </c>
      <c r="J9" s="13">
        <v>30</v>
      </c>
      <c r="K9" s="13">
        <v>45</v>
      </c>
    </row>
    <row r="10" spans="1:11" ht="21" customHeight="1" x14ac:dyDescent="0.15">
      <c r="A10" s="17" t="str">
        <f t="shared" si="0"/>
        <v>13101_3-3</v>
      </c>
      <c r="B10" s="17" t="str">
        <f>IF(COUNTIF(enemy_habitats!$H:$H,A10),"OK","NG")</f>
        <v>OK</v>
      </c>
      <c r="C10" s="8">
        <v>13101</v>
      </c>
      <c r="D10" s="12" t="str">
        <f ca="1">VLOOKUP($C10,OFFSET([2]quests!$A$1,0,0,COUNTA([2]quests!$A:$A),MATCH(D$1,[2]quests!$1:$1,0)-MATCH($C$1,[2]quests!$1:$1,0)+1),MATCH(D$1,[2]quests!$1:$1,0)-MATCH($C$1,[2]quests!$1:$1,0)+1,FALSE)</f>
        <v>チャレンジタワー</v>
      </c>
      <c r="E10" s="23" t="str">
        <f ca="1">VLOOKUP($C10,OFFSET([2]quests!$A$1,0,0,COUNTA([2]quests!$A:$A),MATCH(E$1,[2]quests!$1:$1,0)-MATCH($C$1,[2]quests!$1:$1,0)+1),MATCH(E$1,[2]quests!$1:$1,0)-MATCH($C$1,[2]quests!$1:$1,0)+1,FALSE)</f>
        <v>リセット型チャレンジタワー</v>
      </c>
      <c r="F10" s="25">
        <v>3</v>
      </c>
      <c r="G10" s="27" t="str">
        <f t="shared" si="1"/>
        <v>13101_3</v>
      </c>
      <c r="H10" s="16" t="str">
        <f ca="1">VLOOKUP($G10,OFFSET([2]stages!$A$1,0,0,COUNTA([2]stages!$A:$A),MATCH(H$1,[2]stages!$2:$2,0)-MATCH($G$1,[2]stages!$2:$2,0)+1),MATCH(H$1,[2]stages!$2:$2,0)-MATCH($G$1,[2]stages!$2:$2,0)+1,FALSE)</f>
        <v>チャレンジタワー 3F</v>
      </c>
      <c r="I10" s="25">
        <v>3</v>
      </c>
      <c r="J10" s="13">
        <v>45</v>
      </c>
      <c r="K10" s="13">
        <v>60</v>
      </c>
    </row>
    <row r="11" spans="1:11" ht="21" customHeight="1" x14ac:dyDescent="0.15">
      <c r="A11" s="17" t="str">
        <f t="shared" si="0"/>
        <v>13101_3-4</v>
      </c>
      <c r="B11" s="17" t="str">
        <f>IF(COUNTIF(enemy_habitats!$H:$H,A11),"OK","NG")</f>
        <v>OK</v>
      </c>
      <c r="C11" s="8">
        <v>13101</v>
      </c>
      <c r="D11" s="12" t="str">
        <f ca="1">VLOOKUP($C11,OFFSET([2]quests!$A$1,0,0,COUNTA([2]quests!$A:$A),MATCH(D$1,[2]quests!$1:$1,0)-MATCH($C$1,[2]quests!$1:$1,0)+1),MATCH(D$1,[2]quests!$1:$1,0)-MATCH($C$1,[2]quests!$1:$1,0)+1,FALSE)</f>
        <v>チャレンジタワー</v>
      </c>
      <c r="E11" s="23" t="str">
        <f ca="1">VLOOKUP($C11,OFFSET([2]quests!$A$1,0,0,COUNTA([2]quests!$A:$A),MATCH(E$1,[2]quests!$1:$1,0)-MATCH($C$1,[2]quests!$1:$1,0)+1),MATCH(E$1,[2]quests!$1:$1,0)-MATCH($C$1,[2]quests!$1:$1,0)+1,FALSE)</f>
        <v>リセット型チャレンジタワー</v>
      </c>
      <c r="F11" s="25">
        <v>3</v>
      </c>
      <c r="G11" s="27" t="str">
        <f t="shared" ref="G11" si="2">C11&amp;"_"&amp;F11</f>
        <v>13101_3</v>
      </c>
      <c r="H11" s="16" t="str">
        <f ca="1">VLOOKUP($G11,OFFSET([2]stages!$A$1,0,0,COUNTA([2]stages!$A:$A),MATCH(H$1,[2]stages!$2:$2,0)-MATCH($G$1,[2]stages!$2:$2,0)+1),MATCH(H$1,[2]stages!$2:$2,0)-MATCH($G$1,[2]stages!$2:$2,0)+1,FALSE)</f>
        <v>チャレンジタワー 3F</v>
      </c>
      <c r="I11" s="25">
        <v>4</v>
      </c>
      <c r="J11" s="13">
        <v>30</v>
      </c>
      <c r="K11" s="13">
        <v>60</v>
      </c>
    </row>
    <row r="12" spans="1:11" ht="21" customHeight="1" x14ac:dyDescent="0.15">
      <c r="A12" s="17" t="str">
        <f t="shared" si="0"/>
        <v>13101_4-1</v>
      </c>
      <c r="B12" s="17" t="str">
        <f>IF(COUNTIF(enemy_habitats!$H:$H,A12),"OK","NG")</f>
        <v>OK</v>
      </c>
      <c r="C12" s="8">
        <v>13101</v>
      </c>
      <c r="D12" s="12" t="str">
        <f ca="1">VLOOKUP($C12,OFFSET([2]quests!$A$1,0,0,COUNTA([2]quests!$A:$A),MATCH(D$1,[2]quests!$1:$1,0)-MATCH($C$1,[2]quests!$1:$1,0)+1),MATCH(D$1,[2]quests!$1:$1,0)-MATCH($C$1,[2]quests!$1:$1,0)+1,FALSE)</f>
        <v>チャレンジタワー</v>
      </c>
      <c r="E12" s="23" t="str">
        <f ca="1">VLOOKUP($C12,OFFSET([2]quests!$A$1,0,0,COUNTA([2]quests!$A:$A),MATCH(E$1,[2]quests!$1:$1,0)-MATCH($C$1,[2]quests!$1:$1,0)+1),MATCH(E$1,[2]quests!$1:$1,0)-MATCH($C$1,[2]quests!$1:$1,0)+1,FALSE)</f>
        <v>リセット型チャレンジタワー</v>
      </c>
      <c r="F12" s="25">
        <v>4</v>
      </c>
      <c r="G12" s="27" t="str">
        <f t="shared" si="1"/>
        <v>13101_4</v>
      </c>
      <c r="H12" s="16" t="str">
        <f ca="1">VLOOKUP($G12,OFFSET([2]stages!$A$1,0,0,COUNTA([2]stages!$A:$A),MATCH(H$1,[2]stages!$2:$2,0)-MATCH($G$1,[2]stages!$2:$2,0)+1),MATCH(H$1,[2]stages!$2:$2,0)-MATCH($G$1,[2]stages!$2:$2,0)+1,FALSE)</f>
        <v>チャレンジタワー 4F</v>
      </c>
      <c r="I12" s="25">
        <v>1</v>
      </c>
      <c r="J12" s="13">
        <v>15</v>
      </c>
      <c r="K12" s="13">
        <v>30</v>
      </c>
    </row>
    <row r="13" spans="1:11" ht="21" customHeight="1" x14ac:dyDescent="0.15">
      <c r="A13" s="17" t="str">
        <f t="shared" si="0"/>
        <v>13101_4-2</v>
      </c>
      <c r="B13" s="17" t="str">
        <f>IF(COUNTIF(enemy_habitats!$H:$H,A13),"OK","NG")</f>
        <v>OK</v>
      </c>
      <c r="C13" s="8">
        <v>13101</v>
      </c>
      <c r="D13" s="12" t="str">
        <f ca="1">VLOOKUP($C13,OFFSET([2]quests!$A$1,0,0,COUNTA([2]quests!$A:$A),MATCH(D$1,[2]quests!$1:$1,0)-MATCH($C$1,[2]quests!$1:$1,0)+1),MATCH(D$1,[2]quests!$1:$1,0)-MATCH($C$1,[2]quests!$1:$1,0)+1,FALSE)</f>
        <v>チャレンジタワー</v>
      </c>
      <c r="E13" s="23" t="str">
        <f ca="1">VLOOKUP($C13,OFFSET([2]quests!$A$1,0,0,COUNTA([2]quests!$A:$A),MATCH(E$1,[2]quests!$1:$1,0)-MATCH($C$1,[2]quests!$1:$1,0)+1),MATCH(E$1,[2]quests!$1:$1,0)-MATCH($C$1,[2]quests!$1:$1,0)+1,FALSE)</f>
        <v>リセット型チャレンジタワー</v>
      </c>
      <c r="F13" s="25">
        <v>4</v>
      </c>
      <c r="G13" s="27" t="str">
        <f t="shared" si="1"/>
        <v>13101_4</v>
      </c>
      <c r="H13" s="16" t="str">
        <f ca="1">VLOOKUP($G13,OFFSET([2]stages!$A$1,0,0,COUNTA([2]stages!$A:$A),MATCH(H$1,[2]stages!$2:$2,0)-MATCH($G$1,[2]stages!$2:$2,0)+1),MATCH(H$1,[2]stages!$2:$2,0)-MATCH($G$1,[2]stages!$2:$2,0)+1,FALSE)</f>
        <v>チャレンジタワー 4F</v>
      </c>
      <c r="I13" s="25">
        <v>2</v>
      </c>
      <c r="J13" s="13">
        <v>30</v>
      </c>
      <c r="K13" s="13">
        <v>45</v>
      </c>
    </row>
    <row r="14" spans="1:11" ht="21" customHeight="1" x14ac:dyDescent="0.15">
      <c r="A14" s="17" t="str">
        <f t="shared" si="0"/>
        <v>13101_4-3</v>
      </c>
      <c r="B14" s="17" t="str">
        <f>IF(COUNTIF(enemy_habitats!$H:$H,A14),"OK","NG")</f>
        <v>OK</v>
      </c>
      <c r="C14" s="8">
        <v>13101</v>
      </c>
      <c r="D14" s="12" t="str">
        <f ca="1">VLOOKUP($C14,OFFSET([2]quests!$A$1,0,0,COUNTA([2]quests!$A:$A),MATCH(D$1,[2]quests!$1:$1,0)-MATCH($C$1,[2]quests!$1:$1,0)+1),MATCH(D$1,[2]quests!$1:$1,0)-MATCH($C$1,[2]quests!$1:$1,0)+1,FALSE)</f>
        <v>チャレンジタワー</v>
      </c>
      <c r="E14" s="23" t="str">
        <f ca="1">VLOOKUP($C14,OFFSET([2]quests!$A$1,0,0,COUNTA([2]quests!$A:$A),MATCH(E$1,[2]quests!$1:$1,0)-MATCH($C$1,[2]quests!$1:$1,0)+1),MATCH(E$1,[2]quests!$1:$1,0)-MATCH($C$1,[2]quests!$1:$1,0)+1,FALSE)</f>
        <v>リセット型チャレンジタワー</v>
      </c>
      <c r="F14" s="25">
        <v>4</v>
      </c>
      <c r="G14" s="27" t="str">
        <f t="shared" si="1"/>
        <v>13101_4</v>
      </c>
      <c r="H14" s="16" t="str">
        <f ca="1">VLOOKUP($G14,OFFSET([2]stages!$A$1,0,0,COUNTA([2]stages!$A:$A),MATCH(H$1,[2]stages!$2:$2,0)-MATCH($G$1,[2]stages!$2:$2,0)+1),MATCH(H$1,[2]stages!$2:$2,0)-MATCH($G$1,[2]stages!$2:$2,0)+1,FALSE)</f>
        <v>チャレンジタワー 4F</v>
      </c>
      <c r="I14" s="25">
        <v>3</v>
      </c>
      <c r="J14" s="13">
        <v>45</v>
      </c>
      <c r="K14" s="13">
        <v>60</v>
      </c>
    </row>
    <row r="15" spans="1:11" ht="21" customHeight="1" x14ac:dyDescent="0.15">
      <c r="A15" s="17" t="str">
        <f t="shared" ref="A15:A16" si="3">G15&amp;"-"&amp;I15</f>
        <v>13101_4-4</v>
      </c>
      <c r="B15" s="17" t="str">
        <f>IF(COUNTIF(enemy_habitats!$H:$H,A15),"OK","NG")</f>
        <v>OK</v>
      </c>
      <c r="C15" s="8">
        <v>13101</v>
      </c>
      <c r="D15" s="12" t="str">
        <f ca="1">VLOOKUP($C15,OFFSET([2]quests!$A$1,0,0,COUNTA([2]quests!$A:$A),MATCH(D$1,[2]quests!$1:$1,0)-MATCH($C$1,[2]quests!$1:$1,0)+1),MATCH(D$1,[2]quests!$1:$1,0)-MATCH($C$1,[2]quests!$1:$1,0)+1,FALSE)</f>
        <v>チャレンジタワー</v>
      </c>
      <c r="E15" s="23" t="str">
        <f ca="1">VLOOKUP($C15,OFFSET([2]quests!$A$1,0,0,COUNTA([2]quests!$A:$A),MATCH(E$1,[2]quests!$1:$1,0)-MATCH($C$1,[2]quests!$1:$1,0)+1),MATCH(E$1,[2]quests!$1:$1,0)-MATCH($C$1,[2]quests!$1:$1,0)+1,FALSE)</f>
        <v>リセット型チャレンジタワー</v>
      </c>
      <c r="F15" s="25">
        <v>4</v>
      </c>
      <c r="G15" s="27" t="str">
        <f t="shared" ref="G15:G16" si="4">C15&amp;"_"&amp;F15</f>
        <v>13101_4</v>
      </c>
      <c r="H15" s="16" t="str">
        <f ca="1">VLOOKUP($G15,OFFSET([2]stages!$A$1,0,0,COUNTA([2]stages!$A:$A),MATCH(H$1,[2]stages!$2:$2,0)-MATCH($G$1,[2]stages!$2:$2,0)+1),MATCH(H$1,[2]stages!$2:$2,0)-MATCH($G$1,[2]stages!$2:$2,0)+1,FALSE)</f>
        <v>チャレンジタワー 4F</v>
      </c>
      <c r="I15" s="25">
        <v>4</v>
      </c>
      <c r="J15" s="49">
        <v>60</v>
      </c>
      <c r="K15" s="13">
        <v>60</v>
      </c>
    </row>
    <row r="16" spans="1:11" ht="21" customHeight="1" x14ac:dyDescent="0.15">
      <c r="A16" s="17" t="str">
        <f t="shared" si="3"/>
        <v>13101_4-5</v>
      </c>
      <c r="B16" s="17" t="str">
        <f>IF(COUNTIF(enemy_habitats!$H:$H,A16),"OK","NG")</f>
        <v>OK</v>
      </c>
      <c r="C16" s="8">
        <v>13101</v>
      </c>
      <c r="D16" s="12" t="str">
        <f ca="1">VLOOKUP($C16,OFFSET([2]quests!$A$1,0,0,COUNTA([2]quests!$A:$A),MATCH(D$1,[2]quests!$1:$1,0)-MATCH($C$1,[2]quests!$1:$1,0)+1),MATCH(D$1,[2]quests!$1:$1,0)-MATCH($C$1,[2]quests!$1:$1,0)+1,FALSE)</f>
        <v>チャレンジタワー</v>
      </c>
      <c r="E16" s="23" t="str">
        <f ca="1">VLOOKUP($C16,OFFSET([2]quests!$A$1,0,0,COUNTA([2]quests!$A:$A),MATCH(E$1,[2]quests!$1:$1,0)-MATCH($C$1,[2]quests!$1:$1,0)+1),MATCH(E$1,[2]quests!$1:$1,0)-MATCH($C$1,[2]quests!$1:$1,0)+1,FALSE)</f>
        <v>リセット型チャレンジタワー</v>
      </c>
      <c r="F16" s="25">
        <v>4</v>
      </c>
      <c r="G16" s="27" t="str">
        <f t="shared" si="4"/>
        <v>13101_4</v>
      </c>
      <c r="H16" s="16" t="str">
        <f ca="1">VLOOKUP($G16,OFFSET([2]stages!$A$1,0,0,COUNTA([2]stages!$A:$A),MATCH(H$1,[2]stages!$2:$2,0)-MATCH($G$1,[2]stages!$2:$2,0)+1),MATCH(H$1,[2]stages!$2:$2,0)-MATCH($G$1,[2]stages!$2:$2,0)+1,FALSE)</f>
        <v>チャレンジタワー 4F</v>
      </c>
      <c r="I16" s="25">
        <v>5</v>
      </c>
      <c r="J16" s="38">
        <v>60</v>
      </c>
      <c r="K16" s="38">
        <v>60</v>
      </c>
    </row>
    <row r="17" spans="1:11" ht="21" customHeight="1" x14ac:dyDescent="0.15">
      <c r="A17" s="17" t="str">
        <f t="shared" si="0"/>
        <v>13101_5-1</v>
      </c>
      <c r="B17" s="17" t="str">
        <f>IF(COUNTIF(enemy_habitats!$H:$H,A17),"OK","NG")</f>
        <v>OK</v>
      </c>
      <c r="C17" s="8">
        <v>13101</v>
      </c>
      <c r="D17" s="12" t="str">
        <f ca="1">VLOOKUP($C17,OFFSET([2]quests!$A$1,0,0,COUNTA([2]quests!$A:$A),MATCH(D$1,[2]quests!$1:$1,0)-MATCH($C$1,[2]quests!$1:$1,0)+1),MATCH(D$1,[2]quests!$1:$1,0)-MATCH($C$1,[2]quests!$1:$1,0)+1,FALSE)</f>
        <v>チャレンジタワー</v>
      </c>
      <c r="E17" s="23" t="str">
        <f ca="1">VLOOKUP($C17,OFFSET([2]quests!$A$1,0,0,COUNTA([2]quests!$A:$A),MATCH(E$1,[2]quests!$1:$1,0)-MATCH($C$1,[2]quests!$1:$1,0)+1),MATCH(E$1,[2]quests!$1:$1,0)-MATCH($C$1,[2]quests!$1:$1,0)+1,FALSE)</f>
        <v>リセット型チャレンジタワー</v>
      </c>
      <c r="F17" s="25">
        <v>5</v>
      </c>
      <c r="G17" s="27" t="str">
        <f t="shared" si="1"/>
        <v>13101_5</v>
      </c>
      <c r="H17" s="16" t="str">
        <f ca="1">VLOOKUP($G17,OFFSET([2]stages!$A$1,0,0,COUNTA([2]stages!$A:$A),MATCH(H$1,[2]stages!$2:$2,0)-MATCH($G$1,[2]stages!$2:$2,0)+1),MATCH(H$1,[2]stages!$2:$2,0)-MATCH($G$1,[2]stages!$2:$2,0)+1,FALSE)</f>
        <v>チャレンジタワー 5F</v>
      </c>
      <c r="I17" s="25">
        <v>1</v>
      </c>
      <c r="J17" s="13">
        <v>60</v>
      </c>
      <c r="K17" s="13">
        <v>60</v>
      </c>
    </row>
    <row r="18" spans="1:11" ht="21" customHeight="1" x14ac:dyDescent="0.15">
      <c r="A18" s="17" t="str">
        <f t="shared" si="0"/>
        <v>13101_6-1</v>
      </c>
      <c r="B18" s="17" t="str">
        <f>IF(COUNTIF(enemy_habitats!$H:$H,A18),"OK","NG")</f>
        <v>OK</v>
      </c>
      <c r="C18" s="8">
        <v>13101</v>
      </c>
      <c r="D18" s="12" t="str">
        <f ca="1">VLOOKUP($C18,OFFSET([2]quests!$A$1,0,0,COUNTA([2]quests!$A:$A),MATCH(D$1,[2]quests!$1:$1,0)-MATCH($C$1,[2]quests!$1:$1,0)+1),MATCH(D$1,[2]quests!$1:$1,0)-MATCH($C$1,[2]quests!$1:$1,0)+1,FALSE)</f>
        <v>チャレンジタワー</v>
      </c>
      <c r="E18" s="23" t="str">
        <f ca="1">VLOOKUP($C18,OFFSET([2]quests!$A$1,0,0,COUNTA([2]quests!$A:$A),MATCH(E$1,[2]quests!$1:$1,0)-MATCH($C$1,[2]quests!$1:$1,0)+1),MATCH(E$1,[2]quests!$1:$1,0)-MATCH($C$1,[2]quests!$1:$1,0)+1,FALSE)</f>
        <v>リセット型チャレンジタワー</v>
      </c>
      <c r="F18" s="25">
        <v>6</v>
      </c>
      <c r="G18" s="27" t="str">
        <f t="shared" si="1"/>
        <v>13101_6</v>
      </c>
      <c r="H18" s="16" t="str">
        <f ca="1">VLOOKUP($G18,OFFSET([2]stages!$A$1,0,0,COUNTA([2]stages!$A:$A),MATCH(H$1,[2]stages!$2:$2,0)-MATCH($G$1,[2]stages!$2:$2,0)+1),MATCH(H$1,[2]stages!$2:$2,0)-MATCH($G$1,[2]stages!$2:$2,0)+1,FALSE)</f>
        <v>チャレンジタワー 6F</v>
      </c>
      <c r="I18" s="25">
        <v>1</v>
      </c>
      <c r="J18" s="13">
        <v>15</v>
      </c>
      <c r="K18" s="13">
        <v>30</v>
      </c>
    </row>
    <row r="19" spans="1:11" ht="21" customHeight="1" x14ac:dyDescent="0.15">
      <c r="A19" s="17" t="str">
        <f t="shared" si="0"/>
        <v>13101_6-2</v>
      </c>
      <c r="B19" s="17" t="str">
        <f>IF(COUNTIF(enemy_habitats!$H:$H,A19),"OK","NG")</f>
        <v>OK</v>
      </c>
      <c r="C19" s="8">
        <v>13101</v>
      </c>
      <c r="D19" s="12" t="str">
        <f ca="1">VLOOKUP($C19,OFFSET([2]quests!$A$1,0,0,COUNTA([2]quests!$A:$A),MATCH(D$1,[2]quests!$1:$1,0)-MATCH($C$1,[2]quests!$1:$1,0)+1),MATCH(D$1,[2]quests!$1:$1,0)-MATCH($C$1,[2]quests!$1:$1,0)+1,FALSE)</f>
        <v>チャレンジタワー</v>
      </c>
      <c r="E19" s="23" t="str">
        <f ca="1">VLOOKUP($C19,OFFSET([2]quests!$A$1,0,0,COUNTA([2]quests!$A:$A),MATCH(E$1,[2]quests!$1:$1,0)-MATCH($C$1,[2]quests!$1:$1,0)+1),MATCH(E$1,[2]quests!$1:$1,0)-MATCH($C$1,[2]quests!$1:$1,0)+1,FALSE)</f>
        <v>リセット型チャレンジタワー</v>
      </c>
      <c r="F19" s="25">
        <v>6</v>
      </c>
      <c r="G19" s="27" t="str">
        <f t="shared" si="1"/>
        <v>13101_6</v>
      </c>
      <c r="H19" s="16" t="str">
        <f ca="1">VLOOKUP($G19,OFFSET([2]stages!$A$1,0,0,COUNTA([2]stages!$A:$A),MATCH(H$1,[2]stages!$2:$2,0)-MATCH($G$1,[2]stages!$2:$2,0)+1),MATCH(H$1,[2]stages!$2:$2,0)-MATCH($G$1,[2]stages!$2:$2,0)+1,FALSE)</f>
        <v>チャレンジタワー 6F</v>
      </c>
      <c r="I19" s="25">
        <v>2</v>
      </c>
      <c r="J19" s="13">
        <v>30</v>
      </c>
      <c r="K19" s="13">
        <v>45</v>
      </c>
    </row>
    <row r="20" spans="1:11" ht="21" customHeight="1" x14ac:dyDescent="0.15">
      <c r="A20" s="17" t="str">
        <f t="shared" si="0"/>
        <v>13101_6-3</v>
      </c>
      <c r="B20" s="17" t="str">
        <f>IF(COUNTIF(enemy_habitats!$H:$H,A20),"OK","NG")</f>
        <v>OK</v>
      </c>
      <c r="C20" s="8">
        <v>13101</v>
      </c>
      <c r="D20" s="12" t="str">
        <f ca="1">VLOOKUP($C20,OFFSET([2]quests!$A$1,0,0,COUNTA([2]quests!$A:$A),MATCH(D$1,[2]quests!$1:$1,0)-MATCH($C$1,[2]quests!$1:$1,0)+1),MATCH(D$1,[2]quests!$1:$1,0)-MATCH($C$1,[2]quests!$1:$1,0)+1,FALSE)</f>
        <v>チャレンジタワー</v>
      </c>
      <c r="E20" s="23" t="str">
        <f ca="1">VLOOKUP($C20,OFFSET([2]quests!$A$1,0,0,COUNTA([2]quests!$A:$A),MATCH(E$1,[2]quests!$1:$1,0)-MATCH($C$1,[2]quests!$1:$1,0)+1),MATCH(E$1,[2]quests!$1:$1,0)-MATCH($C$1,[2]quests!$1:$1,0)+1,FALSE)</f>
        <v>リセット型チャレンジタワー</v>
      </c>
      <c r="F20" s="25">
        <v>6</v>
      </c>
      <c r="G20" s="27" t="str">
        <f t="shared" si="1"/>
        <v>13101_6</v>
      </c>
      <c r="H20" s="16" t="str">
        <f ca="1">VLOOKUP($G20,OFFSET([2]stages!$A$1,0,0,COUNTA([2]stages!$A:$A),MATCH(H$1,[2]stages!$2:$2,0)-MATCH($G$1,[2]stages!$2:$2,0)+1),MATCH(H$1,[2]stages!$2:$2,0)-MATCH($G$1,[2]stages!$2:$2,0)+1,FALSE)</f>
        <v>チャレンジタワー 6F</v>
      </c>
      <c r="I20" s="25">
        <v>3</v>
      </c>
      <c r="J20" s="13">
        <v>45</v>
      </c>
      <c r="K20" s="13">
        <v>60</v>
      </c>
    </row>
    <row r="21" spans="1:11" ht="21" customHeight="1" x14ac:dyDescent="0.15">
      <c r="A21" s="17" t="str">
        <f t="shared" si="0"/>
        <v>13101_6-4</v>
      </c>
      <c r="B21" s="17" t="str">
        <f>IF(COUNTIF(enemy_habitats!$H:$H,A21),"OK","NG")</f>
        <v>OK</v>
      </c>
      <c r="C21" s="8">
        <v>13101</v>
      </c>
      <c r="D21" s="12" t="str">
        <f ca="1">VLOOKUP($C21,OFFSET([2]quests!$A$1,0,0,COUNTA([2]quests!$A:$A),MATCH(D$1,[2]quests!$1:$1,0)-MATCH($C$1,[2]quests!$1:$1,0)+1),MATCH(D$1,[2]quests!$1:$1,0)-MATCH($C$1,[2]quests!$1:$1,0)+1,FALSE)</f>
        <v>チャレンジタワー</v>
      </c>
      <c r="E21" s="23" t="str">
        <f ca="1">VLOOKUP($C21,OFFSET([2]quests!$A$1,0,0,COUNTA([2]quests!$A:$A),MATCH(E$1,[2]quests!$1:$1,0)-MATCH($C$1,[2]quests!$1:$1,0)+1),MATCH(E$1,[2]quests!$1:$1,0)-MATCH($C$1,[2]quests!$1:$1,0)+1,FALSE)</f>
        <v>リセット型チャレンジタワー</v>
      </c>
      <c r="F21" s="25">
        <v>6</v>
      </c>
      <c r="G21" s="27" t="str">
        <f t="shared" si="1"/>
        <v>13101_6</v>
      </c>
      <c r="H21" s="16" t="str">
        <f ca="1">VLOOKUP($G21,OFFSET([2]stages!$A$1,0,0,COUNTA([2]stages!$A:$A),MATCH(H$1,[2]stages!$2:$2,0)-MATCH($G$1,[2]stages!$2:$2,0)+1),MATCH(H$1,[2]stages!$2:$2,0)-MATCH($G$1,[2]stages!$2:$2,0)+1,FALSE)</f>
        <v>チャレンジタワー 6F</v>
      </c>
      <c r="I21" s="25">
        <v>4</v>
      </c>
      <c r="J21" s="13">
        <v>45</v>
      </c>
      <c r="K21" s="13">
        <v>45</v>
      </c>
    </row>
    <row r="22" spans="1:11" ht="21" customHeight="1" x14ac:dyDescent="0.15">
      <c r="A22" s="17" t="str">
        <f t="shared" ref="A22" si="5">G22&amp;"-"&amp;I22</f>
        <v>13101_6-5</v>
      </c>
      <c r="B22" s="17" t="str">
        <f>IF(COUNTIF(enemy_habitats!$H:$H,A22),"OK","NG")</f>
        <v>OK</v>
      </c>
      <c r="C22" s="8">
        <v>13101</v>
      </c>
      <c r="D22" s="12" t="str">
        <f ca="1">VLOOKUP($C22,OFFSET([2]quests!$A$1,0,0,COUNTA([2]quests!$A:$A),MATCH(D$1,[2]quests!$1:$1,0)-MATCH($C$1,[2]quests!$1:$1,0)+1),MATCH(D$1,[2]quests!$1:$1,0)-MATCH($C$1,[2]quests!$1:$1,0)+1,FALSE)</f>
        <v>チャレンジタワー</v>
      </c>
      <c r="E22" s="23" t="str">
        <f ca="1">VLOOKUP($C22,OFFSET([2]quests!$A$1,0,0,COUNTA([2]quests!$A:$A),MATCH(E$1,[2]quests!$1:$1,0)-MATCH($C$1,[2]quests!$1:$1,0)+1),MATCH(E$1,[2]quests!$1:$1,0)-MATCH($C$1,[2]quests!$1:$1,0)+1,FALSE)</f>
        <v>リセット型チャレンジタワー</v>
      </c>
      <c r="F22" s="25">
        <v>6</v>
      </c>
      <c r="G22" s="27" t="str">
        <f t="shared" ref="G22" si="6">C22&amp;"_"&amp;F22</f>
        <v>13101_6</v>
      </c>
      <c r="H22" s="16" t="str">
        <f ca="1">VLOOKUP($G22,OFFSET([2]stages!$A$1,0,0,COUNTA([2]stages!$A:$A),MATCH(H$1,[2]stages!$2:$2,0)-MATCH($G$1,[2]stages!$2:$2,0)+1),MATCH(H$1,[2]stages!$2:$2,0)-MATCH($G$1,[2]stages!$2:$2,0)+1,FALSE)</f>
        <v>チャレンジタワー 6F</v>
      </c>
      <c r="I22" s="25">
        <v>5</v>
      </c>
      <c r="J22" s="13">
        <v>60</v>
      </c>
      <c r="K22" s="13">
        <v>60</v>
      </c>
    </row>
    <row r="23" spans="1:11" ht="21" customHeight="1" x14ac:dyDescent="0.15">
      <c r="A23" s="17" t="str">
        <f t="shared" si="0"/>
        <v>13101_7-1</v>
      </c>
      <c r="B23" s="17" t="str">
        <f>IF(COUNTIF(enemy_habitats!$H:$H,A23),"OK","NG")</f>
        <v>OK</v>
      </c>
      <c r="C23" s="8">
        <v>13101</v>
      </c>
      <c r="D23" s="12" t="str">
        <f ca="1">VLOOKUP($C23,OFFSET([2]quests!$A$1,0,0,COUNTA([2]quests!$A:$A),MATCH(D$1,[2]quests!$1:$1,0)-MATCH($C$1,[2]quests!$1:$1,0)+1),MATCH(D$1,[2]quests!$1:$1,0)-MATCH($C$1,[2]quests!$1:$1,0)+1,FALSE)</f>
        <v>チャレンジタワー</v>
      </c>
      <c r="E23" s="23" t="str">
        <f ca="1">VLOOKUP($C23,OFFSET([2]quests!$A$1,0,0,COUNTA([2]quests!$A:$A),MATCH(E$1,[2]quests!$1:$1,0)-MATCH($C$1,[2]quests!$1:$1,0)+1),MATCH(E$1,[2]quests!$1:$1,0)-MATCH($C$1,[2]quests!$1:$1,0)+1,FALSE)</f>
        <v>リセット型チャレンジタワー</v>
      </c>
      <c r="F23" s="25">
        <v>7</v>
      </c>
      <c r="G23" s="27" t="str">
        <f t="shared" si="1"/>
        <v>13101_7</v>
      </c>
      <c r="H23" s="16" t="str">
        <f ca="1">VLOOKUP($G23,OFFSET([2]stages!$A$1,0,0,COUNTA([2]stages!$A:$A),MATCH(H$1,[2]stages!$2:$2,0)-MATCH($G$1,[2]stages!$2:$2,0)+1),MATCH(H$1,[2]stages!$2:$2,0)-MATCH($G$1,[2]stages!$2:$2,0)+1,FALSE)</f>
        <v>チャレンジタワー 7F</v>
      </c>
      <c r="I23" s="25">
        <v>1</v>
      </c>
      <c r="J23" s="13">
        <v>15</v>
      </c>
      <c r="K23" s="13">
        <v>30</v>
      </c>
    </row>
    <row r="24" spans="1:11" ht="21" customHeight="1" x14ac:dyDescent="0.15">
      <c r="A24" s="17" t="str">
        <f t="shared" si="0"/>
        <v>13101_7-2</v>
      </c>
      <c r="B24" s="17" t="str">
        <f>IF(COUNTIF(enemy_habitats!$H:$H,A24),"OK","NG")</f>
        <v>OK</v>
      </c>
      <c r="C24" s="8">
        <v>13101</v>
      </c>
      <c r="D24" s="12" t="str">
        <f ca="1">VLOOKUP($C24,OFFSET([2]quests!$A$1,0,0,COUNTA([2]quests!$A:$A),MATCH(D$1,[2]quests!$1:$1,0)-MATCH($C$1,[2]quests!$1:$1,0)+1),MATCH(D$1,[2]quests!$1:$1,0)-MATCH($C$1,[2]quests!$1:$1,0)+1,FALSE)</f>
        <v>チャレンジタワー</v>
      </c>
      <c r="E24" s="23" t="str">
        <f ca="1">VLOOKUP($C24,OFFSET([2]quests!$A$1,0,0,COUNTA([2]quests!$A:$A),MATCH(E$1,[2]quests!$1:$1,0)-MATCH($C$1,[2]quests!$1:$1,0)+1),MATCH(E$1,[2]quests!$1:$1,0)-MATCH($C$1,[2]quests!$1:$1,0)+1,FALSE)</f>
        <v>リセット型チャレンジタワー</v>
      </c>
      <c r="F24" s="25">
        <v>7</v>
      </c>
      <c r="G24" s="27" t="str">
        <f t="shared" si="1"/>
        <v>13101_7</v>
      </c>
      <c r="H24" s="16" t="str">
        <f ca="1">VLOOKUP($G24,OFFSET([2]stages!$A$1,0,0,COUNTA([2]stages!$A:$A),MATCH(H$1,[2]stages!$2:$2,0)-MATCH($G$1,[2]stages!$2:$2,0)+1),MATCH(H$1,[2]stages!$2:$2,0)-MATCH($G$1,[2]stages!$2:$2,0)+1,FALSE)</f>
        <v>チャレンジタワー 7F</v>
      </c>
      <c r="I24" s="25">
        <v>2</v>
      </c>
      <c r="J24" s="13">
        <v>30</v>
      </c>
      <c r="K24" s="13">
        <v>45</v>
      </c>
    </row>
    <row r="25" spans="1:11" ht="21" customHeight="1" x14ac:dyDescent="0.15">
      <c r="A25" s="17" t="str">
        <f t="shared" ref="A25:A40" si="7">G25&amp;"-"&amp;I25</f>
        <v>13101_7-3</v>
      </c>
      <c r="B25" s="17" t="str">
        <f>IF(COUNTIF(enemy_habitats!$H:$H,A25),"OK","NG")</f>
        <v>OK</v>
      </c>
      <c r="C25" s="8">
        <v>13101</v>
      </c>
      <c r="D25" s="12" t="str">
        <f ca="1">VLOOKUP($C25,OFFSET([2]quests!$A$1,0,0,COUNTA([2]quests!$A:$A),MATCH(D$1,[2]quests!$1:$1,0)-MATCH($C$1,[2]quests!$1:$1,0)+1),MATCH(D$1,[2]quests!$1:$1,0)-MATCH($C$1,[2]quests!$1:$1,0)+1,FALSE)</f>
        <v>チャレンジタワー</v>
      </c>
      <c r="E25" s="23" t="str">
        <f ca="1">VLOOKUP($C25,OFFSET([2]quests!$A$1,0,0,COUNTA([2]quests!$A:$A),MATCH(E$1,[2]quests!$1:$1,0)-MATCH($C$1,[2]quests!$1:$1,0)+1),MATCH(E$1,[2]quests!$1:$1,0)-MATCH($C$1,[2]quests!$1:$1,0)+1,FALSE)</f>
        <v>リセット型チャレンジタワー</v>
      </c>
      <c r="F25" s="25">
        <v>7</v>
      </c>
      <c r="G25" s="27" t="str">
        <f t="shared" ref="G25:G40" si="8">C25&amp;"_"&amp;F25</f>
        <v>13101_7</v>
      </c>
      <c r="H25" s="16" t="str">
        <f ca="1">VLOOKUP($G25,OFFSET([2]stages!$A$1,0,0,COUNTA([2]stages!$A:$A),MATCH(H$1,[2]stages!$2:$2,0)-MATCH($G$1,[2]stages!$2:$2,0)+1),MATCH(H$1,[2]stages!$2:$2,0)-MATCH($G$1,[2]stages!$2:$2,0)+1,FALSE)</f>
        <v>チャレンジタワー 7F</v>
      </c>
      <c r="I25" s="25">
        <v>3</v>
      </c>
      <c r="J25" s="13">
        <v>45</v>
      </c>
      <c r="K25" s="13">
        <v>45</v>
      </c>
    </row>
    <row r="26" spans="1:11" ht="21" customHeight="1" x14ac:dyDescent="0.15">
      <c r="A26" s="17" t="str">
        <f t="shared" si="7"/>
        <v>13101_8-1</v>
      </c>
      <c r="B26" s="17" t="str">
        <f>IF(COUNTIF(enemy_habitats!$H:$H,A26),"OK","NG")</f>
        <v>OK</v>
      </c>
      <c r="C26" s="8">
        <v>13101</v>
      </c>
      <c r="D26" s="12" t="str">
        <f ca="1">VLOOKUP($C26,OFFSET([2]quests!$A$1,0,0,COUNTA([2]quests!$A:$A),MATCH(D$1,[2]quests!$1:$1,0)-MATCH($C$1,[2]quests!$1:$1,0)+1),MATCH(D$1,[2]quests!$1:$1,0)-MATCH($C$1,[2]quests!$1:$1,0)+1,FALSE)</f>
        <v>チャレンジタワー</v>
      </c>
      <c r="E26" s="23" t="str">
        <f ca="1">VLOOKUP($C26,OFFSET([2]quests!$A$1,0,0,COUNTA([2]quests!$A:$A),MATCH(E$1,[2]quests!$1:$1,0)-MATCH($C$1,[2]quests!$1:$1,0)+1),MATCH(E$1,[2]quests!$1:$1,0)-MATCH($C$1,[2]quests!$1:$1,0)+1,FALSE)</f>
        <v>リセット型チャレンジタワー</v>
      </c>
      <c r="F26" s="25">
        <v>8</v>
      </c>
      <c r="G26" s="27" t="str">
        <f t="shared" si="8"/>
        <v>13101_8</v>
      </c>
      <c r="H26" s="16" t="str">
        <f ca="1">VLOOKUP($G26,OFFSET([2]stages!$A$1,0,0,COUNTA([2]stages!$A:$A),MATCH(H$1,[2]stages!$2:$2,0)-MATCH($G$1,[2]stages!$2:$2,0)+1),MATCH(H$1,[2]stages!$2:$2,0)-MATCH($G$1,[2]stages!$2:$2,0)+1,FALSE)</f>
        <v>チャレンジタワー 8F</v>
      </c>
      <c r="I26" s="25">
        <v>1</v>
      </c>
      <c r="J26" s="13">
        <v>15</v>
      </c>
      <c r="K26" s="13">
        <v>30</v>
      </c>
    </row>
    <row r="27" spans="1:11" ht="21" customHeight="1" x14ac:dyDescent="0.15">
      <c r="A27" s="17" t="str">
        <f t="shared" si="7"/>
        <v>13101_8-2</v>
      </c>
      <c r="B27" s="17" t="str">
        <f>IF(COUNTIF(enemy_habitats!$H:$H,A27),"OK","NG")</f>
        <v>OK</v>
      </c>
      <c r="C27" s="8">
        <v>13101</v>
      </c>
      <c r="D27" s="12" t="str">
        <f ca="1">VLOOKUP($C27,OFFSET([2]quests!$A$1,0,0,COUNTA([2]quests!$A:$A),MATCH(D$1,[2]quests!$1:$1,0)-MATCH($C$1,[2]quests!$1:$1,0)+1),MATCH(D$1,[2]quests!$1:$1,0)-MATCH($C$1,[2]quests!$1:$1,0)+1,FALSE)</f>
        <v>チャレンジタワー</v>
      </c>
      <c r="E27" s="23" t="str">
        <f ca="1">VLOOKUP($C27,OFFSET([2]quests!$A$1,0,0,COUNTA([2]quests!$A:$A),MATCH(E$1,[2]quests!$1:$1,0)-MATCH($C$1,[2]quests!$1:$1,0)+1),MATCH(E$1,[2]quests!$1:$1,0)-MATCH($C$1,[2]quests!$1:$1,0)+1,FALSE)</f>
        <v>リセット型チャレンジタワー</v>
      </c>
      <c r="F27" s="25">
        <v>8</v>
      </c>
      <c r="G27" s="27" t="str">
        <f t="shared" si="8"/>
        <v>13101_8</v>
      </c>
      <c r="H27" s="16" t="str">
        <f ca="1">VLOOKUP($G27,OFFSET([2]stages!$A$1,0,0,COUNTA([2]stages!$A:$A),MATCH(H$1,[2]stages!$2:$2,0)-MATCH($G$1,[2]stages!$2:$2,0)+1),MATCH(H$1,[2]stages!$2:$2,0)-MATCH($G$1,[2]stages!$2:$2,0)+1,FALSE)</f>
        <v>チャレンジタワー 8F</v>
      </c>
      <c r="I27" s="25">
        <v>2</v>
      </c>
      <c r="J27" s="13">
        <v>30</v>
      </c>
      <c r="K27" s="13">
        <v>45</v>
      </c>
    </row>
    <row r="28" spans="1:11" ht="21" customHeight="1" x14ac:dyDescent="0.15">
      <c r="A28" s="17" t="str">
        <f t="shared" si="7"/>
        <v>13101_8-3</v>
      </c>
      <c r="B28" s="17" t="str">
        <f>IF(COUNTIF(enemy_habitats!$H:$H,A28),"OK","NG")</f>
        <v>OK</v>
      </c>
      <c r="C28" s="8">
        <v>13101</v>
      </c>
      <c r="D28" s="12" t="str">
        <f ca="1">VLOOKUP($C28,OFFSET([2]quests!$A$1,0,0,COUNTA([2]quests!$A:$A),MATCH(D$1,[2]quests!$1:$1,0)-MATCH($C$1,[2]quests!$1:$1,0)+1),MATCH(D$1,[2]quests!$1:$1,0)-MATCH($C$1,[2]quests!$1:$1,0)+1,FALSE)</f>
        <v>チャレンジタワー</v>
      </c>
      <c r="E28" s="23" t="str">
        <f ca="1">VLOOKUP($C28,OFFSET([2]quests!$A$1,0,0,COUNTA([2]quests!$A:$A),MATCH(E$1,[2]quests!$1:$1,0)-MATCH($C$1,[2]quests!$1:$1,0)+1),MATCH(E$1,[2]quests!$1:$1,0)-MATCH($C$1,[2]quests!$1:$1,0)+1,FALSE)</f>
        <v>リセット型チャレンジタワー</v>
      </c>
      <c r="F28" s="25">
        <v>8</v>
      </c>
      <c r="G28" s="27" t="str">
        <f t="shared" si="8"/>
        <v>13101_8</v>
      </c>
      <c r="H28" s="16" t="str">
        <f ca="1">VLOOKUP($G28,OFFSET([2]stages!$A$1,0,0,COUNTA([2]stages!$A:$A),MATCH(H$1,[2]stages!$2:$2,0)-MATCH($G$1,[2]stages!$2:$2,0)+1),MATCH(H$1,[2]stages!$2:$2,0)-MATCH($G$1,[2]stages!$2:$2,0)+1,FALSE)</f>
        <v>チャレンジタワー 8F</v>
      </c>
      <c r="I28" s="25">
        <v>3</v>
      </c>
      <c r="J28" s="13">
        <v>45</v>
      </c>
      <c r="K28" s="13">
        <v>60</v>
      </c>
    </row>
    <row r="29" spans="1:11" ht="21" customHeight="1" x14ac:dyDescent="0.15">
      <c r="A29" s="17" t="str">
        <f t="shared" si="7"/>
        <v>13101_8-4</v>
      </c>
      <c r="B29" s="17" t="str">
        <f>IF(COUNTIF(enemy_habitats!$H:$H,A29),"OK","NG")</f>
        <v>OK</v>
      </c>
      <c r="C29" s="8">
        <v>13101</v>
      </c>
      <c r="D29" s="12" t="str">
        <f ca="1">VLOOKUP($C29,OFFSET([2]quests!$A$1,0,0,COUNTA([2]quests!$A:$A),MATCH(D$1,[2]quests!$1:$1,0)-MATCH($C$1,[2]quests!$1:$1,0)+1),MATCH(D$1,[2]quests!$1:$1,0)-MATCH($C$1,[2]quests!$1:$1,0)+1,FALSE)</f>
        <v>チャレンジタワー</v>
      </c>
      <c r="E29" s="23" t="str">
        <f ca="1">VLOOKUP($C29,OFFSET([2]quests!$A$1,0,0,COUNTA([2]quests!$A:$A),MATCH(E$1,[2]quests!$1:$1,0)-MATCH($C$1,[2]quests!$1:$1,0)+1),MATCH(E$1,[2]quests!$1:$1,0)-MATCH($C$1,[2]quests!$1:$1,0)+1,FALSE)</f>
        <v>リセット型チャレンジタワー</v>
      </c>
      <c r="F29" s="25">
        <v>8</v>
      </c>
      <c r="G29" s="27" t="str">
        <f t="shared" si="8"/>
        <v>13101_8</v>
      </c>
      <c r="H29" s="16" t="str">
        <f ca="1">VLOOKUP($G29,OFFSET([2]stages!$A$1,0,0,COUNTA([2]stages!$A:$A),MATCH(H$1,[2]stages!$2:$2,0)-MATCH($G$1,[2]stages!$2:$2,0)+1),MATCH(H$1,[2]stages!$2:$2,0)-MATCH($G$1,[2]stages!$2:$2,0)+1,FALSE)</f>
        <v>チャレンジタワー 8F</v>
      </c>
      <c r="I29" s="25">
        <v>4</v>
      </c>
      <c r="J29" s="52">
        <v>45</v>
      </c>
      <c r="K29" s="13">
        <v>60</v>
      </c>
    </row>
    <row r="30" spans="1:11" ht="21" customHeight="1" x14ac:dyDescent="0.15">
      <c r="A30" s="17" t="str">
        <f t="shared" ref="A30:A31" si="9">G30&amp;"-"&amp;I30</f>
        <v>13101_8-5</v>
      </c>
      <c r="B30" s="17" t="str">
        <f>IF(COUNTIF(enemy_habitats!$H:$H,A30),"OK","NG")</f>
        <v>OK</v>
      </c>
      <c r="C30" s="8">
        <v>13101</v>
      </c>
      <c r="D30" s="12" t="str">
        <f ca="1">VLOOKUP($C30,OFFSET([2]quests!$A$1,0,0,COUNTA([2]quests!$A:$A),MATCH(D$1,[2]quests!$1:$1,0)-MATCH($C$1,[2]quests!$1:$1,0)+1),MATCH(D$1,[2]quests!$1:$1,0)-MATCH($C$1,[2]quests!$1:$1,0)+1,FALSE)</f>
        <v>チャレンジタワー</v>
      </c>
      <c r="E30" s="23" t="str">
        <f ca="1">VLOOKUP($C30,OFFSET([2]quests!$A$1,0,0,COUNTA([2]quests!$A:$A),MATCH(E$1,[2]quests!$1:$1,0)-MATCH($C$1,[2]quests!$1:$1,0)+1),MATCH(E$1,[2]quests!$1:$1,0)-MATCH($C$1,[2]quests!$1:$1,0)+1,FALSE)</f>
        <v>リセット型チャレンジタワー</v>
      </c>
      <c r="F30" s="25">
        <v>8</v>
      </c>
      <c r="G30" s="27" t="str">
        <f t="shared" ref="G30:G31" si="10">C30&amp;"_"&amp;F30</f>
        <v>13101_8</v>
      </c>
      <c r="H30" s="16" t="str">
        <f ca="1">VLOOKUP($G30,OFFSET([2]stages!$A$1,0,0,COUNTA([2]stages!$A:$A),MATCH(H$1,[2]stages!$2:$2,0)-MATCH($G$1,[2]stages!$2:$2,0)+1),MATCH(H$1,[2]stages!$2:$2,0)-MATCH($G$1,[2]stages!$2:$2,0)+1,FALSE)</f>
        <v>チャレンジタワー 8F</v>
      </c>
      <c r="I30" s="25">
        <v>5</v>
      </c>
      <c r="J30" s="38">
        <v>60</v>
      </c>
      <c r="K30" s="38">
        <v>60</v>
      </c>
    </row>
    <row r="31" spans="1:11" ht="21" customHeight="1" x14ac:dyDescent="0.15">
      <c r="A31" s="17" t="str">
        <f t="shared" si="9"/>
        <v>13101_8-6</v>
      </c>
      <c r="B31" s="17" t="str">
        <f>IF(COUNTIF(enemy_habitats!$H:$H,A31),"OK","NG")</f>
        <v>OK</v>
      </c>
      <c r="C31" s="8">
        <v>13101</v>
      </c>
      <c r="D31" s="12" t="str">
        <f ca="1">VLOOKUP($C31,OFFSET([2]quests!$A$1,0,0,COUNTA([2]quests!$A:$A),MATCH(D$1,[2]quests!$1:$1,0)-MATCH($C$1,[2]quests!$1:$1,0)+1),MATCH(D$1,[2]quests!$1:$1,0)-MATCH($C$1,[2]quests!$1:$1,0)+1,FALSE)</f>
        <v>チャレンジタワー</v>
      </c>
      <c r="E31" s="23" t="str">
        <f ca="1">VLOOKUP($C31,OFFSET([2]quests!$A$1,0,0,COUNTA([2]quests!$A:$A),MATCH(E$1,[2]quests!$1:$1,0)-MATCH($C$1,[2]quests!$1:$1,0)+1),MATCH(E$1,[2]quests!$1:$1,0)-MATCH($C$1,[2]quests!$1:$1,0)+1,FALSE)</f>
        <v>リセット型チャレンジタワー</v>
      </c>
      <c r="F31" s="25">
        <v>8</v>
      </c>
      <c r="G31" s="27" t="str">
        <f t="shared" si="10"/>
        <v>13101_8</v>
      </c>
      <c r="H31" s="16" t="str">
        <f ca="1">VLOOKUP($G31,OFFSET([2]stages!$A$1,0,0,COUNTA([2]stages!$A:$A),MATCH(H$1,[2]stages!$2:$2,0)-MATCH($G$1,[2]stages!$2:$2,0)+1),MATCH(H$1,[2]stages!$2:$2,0)-MATCH($G$1,[2]stages!$2:$2,0)+1,FALSE)</f>
        <v>チャレンジタワー 8F</v>
      </c>
      <c r="I31" s="25">
        <v>6</v>
      </c>
      <c r="J31" s="13">
        <v>45</v>
      </c>
      <c r="K31" s="13">
        <v>45</v>
      </c>
    </row>
    <row r="32" spans="1:11" ht="21" customHeight="1" x14ac:dyDescent="0.15">
      <c r="A32" s="17" t="str">
        <f t="shared" si="7"/>
        <v>13101_9-1</v>
      </c>
      <c r="B32" s="17" t="str">
        <f>IF(COUNTIF(enemy_habitats!$H:$H,A32),"OK","NG")</f>
        <v>OK</v>
      </c>
      <c r="C32" s="8">
        <v>13101</v>
      </c>
      <c r="D32" s="12" t="str">
        <f ca="1">VLOOKUP($C32,OFFSET([2]quests!$A$1,0,0,COUNTA([2]quests!$A:$A),MATCH(D$1,[2]quests!$1:$1,0)-MATCH($C$1,[2]quests!$1:$1,0)+1),MATCH(D$1,[2]quests!$1:$1,0)-MATCH($C$1,[2]quests!$1:$1,0)+1,FALSE)</f>
        <v>チャレンジタワー</v>
      </c>
      <c r="E32" s="23" t="str">
        <f ca="1">VLOOKUP($C32,OFFSET([2]quests!$A$1,0,0,COUNTA([2]quests!$A:$A),MATCH(E$1,[2]quests!$1:$1,0)-MATCH($C$1,[2]quests!$1:$1,0)+1),MATCH(E$1,[2]quests!$1:$1,0)-MATCH($C$1,[2]quests!$1:$1,0)+1,FALSE)</f>
        <v>リセット型チャレンジタワー</v>
      </c>
      <c r="F32" s="25">
        <v>9</v>
      </c>
      <c r="G32" s="27" t="str">
        <f t="shared" si="8"/>
        <v>13101_9</v>
      </c>
      <c r="H32" s="16" t="str">
        <f ca="1">VLOOKUP($G32,OFFSET([2]stages!$A$1,0,0,COUNTA([2]stages!$A:$A),MATCH(H$1,[2]stages!$2:$2,0)-MATCH($G$1,[2]stages!$2:$2,0)+1),MATCH(H$1,[2]stages!$2:$2,0)-MATCH($G$1,[2]stages!$2:$2,0)+1,FALSE)</f>
        <v>チャレンジタワー 9F</v>
      </c>
      <c r="I32" s="25">
        <v>1</v>
      </c>
      <c r="J32" s="52">
        <v>30</v>
      </c>
      <c r="K32" s="13">
        <v>30</v>
      </c>
    </row>
    <row r="33" spans="1:11" ht="21" customHeight="1" x14ac:dyDescent="0.15">
      <c r="A33" s="17" t="str">
        <f t="shared" si="7"/>
        <v>13101_9-2</v>
      </c>
      <c r="B33" s="17" t="str">
        <f>IF(COUNTIF(enemy_habitats!$H:$H,A33),"OK","NG")</f>
        <v>OK</v>
      </c>
      <c r="C33" s="8">
        <v>13101</v>
      </c>
      <c r="D33" s="12" t="str">
        <f ca="1">VLOOKUP($C33,OFFSET([2]quests!$A$1,0,0,COUNTA([2]quests!$A:$A),MATCH(D$1,[2]quests!$1:$1,0)-MATCH($C$1,[2]quests!$1:$1,0)+1),MATCH(D$1,[2]quests!$1:$1,0)-MATCH($C$1,[2]quests!$1:$1,0)+1,FALSE)</f>
        <v>チャレンジタワー</v>
      </c>
      <c r="E33" s="23" t="str">
        <f ca="1">VLOOKUP($C33,OFFSET([2]quests!$A$1,0,0,COUNTA([2]quests!$A:$A),MATCH(E$1,[2]quests!$1:$1,0)-MATCH($C$1,[2]quests!$1:$1,0)+1),MATCH(E$1,[2]quests!$1:$1,0)-MATCH($C$1,[2]quests!$1:$1,0)+1,FALSE)</f>
        <v>リセット型チャレンジタワー</v>
      </c>
      <c r="F33" s="25">
        <v>9</v>
      </c>
      <c r="G33" s="27" t="str">
        <f t="shared" si="8"/>
        <v>13101_9</v>
      </c>
      <c r="H33" s="16" t="str">
        <f ca="1">VLOOKUP($G33,OFFSET([2]stages!$A$1,0,0,COUNTA([2]stages!$A:$A),MATCH(H$1,[2]stages!$2:$2,0)-MATCH($G$1,[2]stages!$2:$2,0)+1),MATCH(H$1,[2]stages!$2:$2,0)-MATCH($G$1,[2]stages!$2:$2,0)+1,FALSE)</f>
        <v>チャレンジタワー 9F</v>
      </c>
      <c r="I33" s="25">
        <v>2</v>
      </c>
      <c r="J33" s="13">
        <v>30</v>
      </c>
      <c r="K33" s="13">
        <v>45</v>
      </c>
    </row>
    <row r="34" spans="1:11" ht="21" customHeight="1" x14ac:dyDescent="0.15">
      <c r="A34" s="17" t="str">
        <f t="shared" si="7"/>
        <v>13101_9-3</v>
      </c>
      <c r="B34" s="17" t="str">
        <f>IF(COUNTIF(enemy_habitats!$H:$H,A34),"OK","NG")</f>
        <v>OK</v>
      </c>
      <c r="C34" s="8">
        <v>13101</v>
      </c>
      <c r="D34" s="12" t="str">
        <f ca="1">VLOOKUP($C34,OFFSET([2]quests!$A$1,0,0,COUNTA([2]quests!$A:$A),MATCH(D$1,[2]quests!$1:$1,0)-MATCH($C$1,[2]quests!$1:$1,0)+1),MATCH(D$1,[2]quests!$1:$1,0)-MATCH($C$1,[2]quests!$1:$1,0)+1,FALSE)</f>
        <v>チャレンジタワー</v>
      </c>
      <c r="E34" s="23" t="str">
        <f ca="1">VLOOKUP($C34,OFFSET([2]quests!$A$1,0,0,COUNTA([2]quests!$A:$A),MATCH(E$1,[2]quests!$1:$1,0)-MATCH($C$1,[2]quests!$1:$1,0)+1),MATCH(E$1,[2]quests!$1:$1,0)-MATCH($C$1,[2]quests!$1:$1,0)+1,FALSE)</f>
        <v>リセット型チャレンジタワー</v>
      </c>
      <c r="F34" s="25">
        <v>9</v>
      </c>
      <c r="G34" s="27" t="str">
        <f t="shared" si="8"/>
        <v>13101_9</v>
      </c>
      <c r="H34" s="16" t="str">
        <f ca="1">VLOOKUP($G34,OFFSET([2]stages!$A$1,0,0,COUNTA([2]stages!$A:$A),MATCH(H$1,[2]stages!$2:$2,0)-MATCH($G$1,[2]stages!$2:$2,0)+1),MATCH(H$1,[2]stages!$2:$2,0)-MATCH($G$1,[2]stages!$2:$2,0)+1,FALSE)</f>
        <v>チャレンジタワー 9F</v>
      </c>
      <c r="I34" s="25">
        <v>3</v>
      </c>
      <c r="J34" s="13">
        <v>45</v>
      </c>
      <c r="K34" s="13">
        <v>60</v>
      </c>
    </row>
    <row r="35" spans="1:11" ht="21" customHeight="1" x14ac:dyDescent="0.15">
      <c r="A35" s="17" t="str">
        <f t="shared" si="7"/>
        <v>13101_9-4</v>
      </c>
      <c r="B35" s="17" t="str">
        <f>IF(COUNTIF(enemy_habitats!$H:$H,A35),"OK","NG")</f>
        <v>OK</v>
      </c>
      <c r="C35" s="8">
        <v>13101</v>
      </c>
      <c r="D35" s="12" t="str">
        <f ca="1">VLOOKUP($C35,OFFSET([2]quests!$A$1,0,0,COUNTA([2]quests!$A:$A),MATCH(D$1,[2]quests!$1:$1,0)-MATCH($C$1,[2]quests!$1:$1,0)+1),MATCH(D$1,[2]quests!$1:$1,0)-MATCH($C$1,[2]quests!$1:$1,0)+1,FALSE)</f>
        <v>チャレンジタワー</v>
      </c>
      <c r="E35" s="23" t="str">
        <f ca="1">VLOOKUP($C35,OFFSET([2]quests!$A$1,0,0,COUNTA([2]quests!$A:$A),MATCH(E$1,[2]quests!$1:$1,0)-MATCH($C$1,[2]quests!$1:$1,0)+1),MATCH(E$1,[2]quests!$1:$1,0)-MATCH($C$1,[2]quests!$1:$1,0)+1,FALSE)</f>
        <v>リセット型チャレンジタワー</v>
      </c>
      <c r="F35" s="25">
        <v>9</v>
      </c>
      <c r="G35" s="27" t="str">
        <f t="shared" si="8"/>
        <v>13101_9</v>
      </c>
      <c r="H35" s="16" t="str">
        <f ca="1">VLOOKUP($G35,OFFSET([2]stages!$A$1,0,0,COUNTA([2]stages!$A:$A),MATCH(H$1,[2]stages!$2:$2,0)-MATCH($G$1,[2]stages!$2:$2,0)+1),MATCH(H$1,[2]stages!$2:$2,0)-MATCH($G$1,[2]stages!$2:$2,0)+1,FALSE)</f>
        <v>チャレンジタワー 9F</v>
      </c>
      <c r="I35" s="25">
        <v>4</v>
      </c>
      <c r="J35" s="13">
        <v>30</v>
      </c>
      <c r="K35" s="13">
        <v>60</v>
      </c>
    </row>
    <row r="36" spans="1:11" ht="21" customHeight="1" x14ac:dyDescent="0.15">
      <c r="A36" s="17" t="str">
        <f t="shared" ref="A36" si="11">G36&amp;"-"&amp;I36</f>
        <v>13101_9-5</v>
      </c>
      <c r="B36" s="17" t="str">
        <f>IF(COUNTIF(enemy_habitats!$H:$H,A36),"OK","NG")</f>
        <v>OK</v>
      </c>
      <c r="C36" s="8">
        <v>13101</v>
      </c>
      <c r="D36" s="12" t="str">
        <f ca="1">VLOOKUP($C36,OFFSET([2]quests!$A$1,0,0,COUNTA([2]quests!$A:$A),MATCH(D$1,[2]quests!$1:$1,0)-MATCH($C$1,[2]quests!$1:$1,0)+1),MATCH(D$1,[2]quests!$1:$1,0)-MATCH($C$1,[2]quests!$1:$1,0)+1,FALSE)</f>
        <v>チャレンジタワー</v>
      </c>
      <c r="E36" s="23" t="str">
        <f ca="1">VLOOKUP($C36,OFFSET([2]quests!$A$1,0,0,COUNTA([2]quests!$A:$A),MATCH(E$1,[2]quests!$1:$1,0)-MATCH($C$1,[2]quests!$1:$1,0)+1),MATCH(E$1,[2]quests!$1:$1,0)-MATCH($C$1,[2]quests!$1:$1,0)+1,FALSE)</f>
        <v>リセット型チャレンジタワー</v>
      </c>
      <c r="F36" s="25">
        <v>9</v>
      </c>
      <c r="G36" s="27" t="str">
        <f t="shared" ref="G36" si="12">C36&amp;"_"&amp;F36</f>
        <v>13101_9</v>
      </c>
      <c r="H36" s="16" t="str">
        <f ca="1">VLOOKUP($G36,OFFSET([2]stages!$A$1,0,0,COUNTA([2]stages!$A:$A),MATCH(H$1,[2]stages!$2:$2,0)-MATCH($G$1,[2]stages!$2:$2,0)+1),MATCH(H$1,[2]stages!$2:$2,0)-MATCH($G$1,[2]stages!$2:$2,0)+1,FALSE)</f>
        <v>チャレンジタワー 9F</v>
      </c>
      <c r="I36" s="25">
        <v>5</v>
      </c>
      <c r="J36" s="38">
        <v>60</v>
      </c>
      <c r="K36" s="38">
        <v>60</v>
      </c>
    </row>
    <row r="37" spans="1:11" ht="21" customHeight="1" x14ac:dyDescent="0.15">
      <c r="A37" s="17" t="str">
        <f t="shared" si="7"/>
        <v>13101_10-1</v>
      </c>
      <c r="B37" s="17" t="str">
        <f>IF(COUNTIF(enemy_habitats!$H:$H,A37),"OK","NG")</f>
        <v>OK</v>
      </c>
      <c r="C37" s="8">
        <v>13101</v>
      </c>
      <c r="D37" s="12" t="str">
        <f ca="1">VLOOKUP($C37,OFFSET([2]quests!$A$1,0,0,COUNTA([2]quests!$A:$A),MATCH(D$1,[2]quests!$1:$1,0)-MATCH($C$1,[2]quests!$1:$1,0)+1),MATCH(D$1,[2]quests!$1:$1,0)-MATCH($C$1,[2]quests!$1:$1,0)+1,FALSE)</f>
        <v>チャレンジタワー</v>
      </c>
      <c r="E37" s="23" t="str">
        <f ca="1">VLOOKUP($C37,OFFSET([2]quests!$A$1,0,0,COUNTA([2]quests!$A:$A),MATCH(E$1,[2]quests!$1:$1,0)-MATCH($C$1,[2]quests!$1:$1,0)+1),MATCH(E$1,[2]quests!$1:$1,0)-MATCH($C$1,[2]quests!$1:$1,0)+1,FALSE)</f>
        <v>リセット型チャレンジタワー</v>
      </c>
      <c r="F37" s="25">
        <v>10</v>
      </c>
      <c r="G37" s="27" t="str">
        <f t="shared" si="8"/>
        <v>13101_10</v>
      </c>
      <c r="H37" s="16" t="str">
        <f ca="1">VLOOKUP($G37,OFFSET([2]stages!$A$1,0,0,COUNTA([2]stages!$A:$A),MATCH(H$1,[2]stages!$2:$2,0)-MATCH($G$1,[2]stages!$2:$2,0)+1),MATCH(H$1,[2]stages!$2:$2,0)-MATCH($G$1,[2]stages!$2:$2,0)+1,FALSE)</f>
        <v>チャレンジタワー 10F</v>
      </c>
      <c r="I37" s="25">
        <v>1</v>
      </c>
      <c r="J37" s="13">
        <v>15</v>
      </c>
      <c r="K37" s="13">
        <v>30</v>
      </c>
    </row>
    <row r="38" spans="1:11" ht="21" customHeight="1" x14ac:dyDescent="0.15">
      <c r="A38" s="17" t="str">
        <f t="shared" si="7"/>
        <v>13101_10-2</v>
      </c>
      <c r="B38" s="17" t="str">
        <f>IF(COUNTIF(enemy_habitats!$H:$H,A38),"OK","NG")</f>
        <v>OK</v>
      </c>
      <c r="C38" s="8">
        <v>13101</v>
      </c>
      <c r="D38" s="12" t="str">
        <f ca="1">VLOOKUP($C38,OFFSET([2]quests!$A$1,0,0,COUNTA([2]quests!$A:$A),MATCH(D$1,[2]quests!$1:$1,0)-MATCH($C$1,[2]quests!$1:$1,0)+1),MATCH(D$1,[2]quests!$1:$1,0)-MATCH($C$1,[2]quests!$1:$1,0)+1,FALSE)</f>
        <v>チャレンジタワー</v>
      </c>
      <c r="E38" s="23" t="str">
        <f ca="1">VLOOKUP($C38,OFFSET([2]quests!$A$1,0,0,COUNTA([2]quests!$A:$A),MATCH(E$1,[2]quests!$1:$1,0)-MATCH($C$1,[2]quests!$1:$1,0)+1),MATCH(E$1,[2]quests!$1:$1,0)-MATCH($C$1,[2]quests!$1:$1,0)+1,FALSE)</f>
        <v>リセット型チャレンジタワー</v>
      </c>
      <c r="F38" s="25">
        <v>10</v>
      </c>
      <c r="G38" s="27" t="str">
        <f t="shared" si="8"/>
        <v>13101_10</v>
      </c>
      <c r="H38" s="16" t="str">
        <f ca="1">VLOOKUP($G38,OFFSET([2]stages!$A$1,0,0,COUNTA([2]stages!$A:$A),MATCH(H$1,[2]stages!$2:$2,0)-MATCH($G$1,[2]stages!$2:$2,0)+1),MATCH(H$1,[2]stages!$2:$2,0)-MATCH($G$1,[2]stages!$2:$2,0)+1,FALSE)</f>
        <v>チャレンジタワー 10F</v>
      </c>
      <c r="I38" s="25">
        <v>2</v>
      </c>
      <c r="J38" s="13">
        <v>30</v>
      </c>
      <c r="K38" s="13">
        <v>45</v>
      </c>
    </row>
    <row r="39" spans="1:11" ht="21" customHeight="1" x14ac:dyDescent="0.15">
      <c r="A39" s="17" t="str">
        <f t="shared" si="7"/>
        <v>13101_10-3</v>
      </c>
      <c r="B39" s="17" t="str">
        <f>IF(COUNTIF(enemy_habitats!$H:$H,A39),"OK","NG")</f>
        <v>OK</v>
      </c>
      <c r="C39" s="8">
        <v>13101</v>
      </c>
      <c r="D39" s="12" t="str">
        <f ca="1">VLOOKUP($C39,OFFSET([2]quests!$A$1,0,0,COUNTA([2]quests!$A:$A),MATCH(D$1,[2]quests!$1:$1,0)-MATCH($C$1,[2]quests!$1:$1,0)+1),MATCH(D$1,[2]quests!$1:$1,0)-MATCH($C$1,[2]quests!$1:$1,0)+1,FALSE)</f>
        <v>チャレンジタワー</v>
      </c>
      <c r="E39" s="23" t="str">
        <f ca="1">VLOOKUP($C39,OFFSET([2]quests!$A$1,0,0,COUNTA([2]quests!$A:$A),MATCH(E$1,[2]quests!$1:$1,0)-MATCH($C$1,[2]quests!$1:$1,0)+1),MATCH(E$1,[2]quests!$1:$1,0)-MATCH($C$1,[2]quests!$1:$1,0)+1,FALSE)</f>
        <v>リセット型チャレンジタワー</v>
      </c>
      <c r="F39" s="25">
        <v>10</v>
      </c>
      <c r="G39" s="27" t="str">
        <f t="shared" si="8"/>
        <v>13101_10</v>
      </c>
      <c r="H39" s="16" t="str">
        <f ca="1">VLOOKUP($G39,OFFSET([2]stages!$A$1,0,0,COUNTA([2]stages!$A:$A),MATCH(H$1,[2]stages!$2:$2,0)-MATCH($G$1,[2]stages!$2:$2,0)+1),MATCH(H$1,[2]stages!$2:$2,0)-MATCH($G$1,[2]stages!$2:$2,0)+1,FALSE)</f>
        <v>チャレンジタワー 10F</v>
      </c>
      <c r="I39" s="25">
        <v>3</v>
      </c>
      <c r="J39" s="13">
        <v>45</v>
      </c>
      <c r="K39" s="13">
        <v>45</v>
      </c>
    </row>
    <row r="40" spans="1:11" ht="21" customHeight="1" x14ac:dyDescent="0.15">
      <c r="A40" s="17" t="str">
        <f t="shared" si="7"/>
        <v>13101_10-4</v>
      </c>
      <c r="B40" s="17" t="str">
        <f>IF(COUNTIF(enemy_habitats!$H:$H,A40),"OK","NG")</f>
        <v>OK</v>
      </c>
      <c r="C40" s="8">
        <v>13101</v>
      </c>
      <c r="D40" s="12" t="str">
        <f ca="1">VLOOKUP($C40,OFFSET([2]quests!$A$1,0,0,COUNTA([2]quests!$A:$A),MATCH(D$1,[2]quests!$1:$1,0)-MATCH($C$1,[2]quests!$1:$1,0)+1),MATCH(D$1,[2]quests!$1:$1,0)-MATCH($C$1,[2]quests!$1:$1,0)+1,FALSE)</f>
        <v>チャレンジタワー</v>
      </c>
      <c r="E40" s="23" t="str">
        <f ca="1">VLOOKUP($C40,OFFSET([2]quests!$A$1,0,0,COUNTA([2]quests!$A:$A),MATCH(E$1,[2]quests!$1:$1,0)-MATCH($C$1,[2]quests!$1:$1,0)+1),MATCH(E$1,[2]quests!$1:$1,0)-MATCH($C$1,[2]quests!$1:$1,0)+1,FALSE)</f>
        <v>リセット型チャレンジタワー</v>
      </c>
      <c r="F40" s="25">
        <v>10</v>
      </c>
      <c r="G40" s="27" t="str">
        <f t="shared" si="8"/>
        <v>13101_10</v>
      </c>
      <c r="H40" s="16" t="str">
        <f ca="1">VLOOKUP($G40,OFFSET([2]stages!$A$1,0,0,COUNTA([2]stages!$A:$A),MATCH(H$1,[2]stages!$2:$2,0)-MATCH($G$1,[2]stages!$2:$2,0)+1),MATCH(H$1,[2]stages!$2:$2,0)-MATCH($G$1,[2]stages!$2:$2,0)+1,FALSE)</f>
        <v>チャレンジタワー 10F</v>
      </c>
      <c r="I40" s="25">
        <v>4</v>
      </c>
      <c r="J40" s="13">
        <v>50</v>
      </c>
      <c r="K40" s="13">
        <v>50</v>
      </c>
    </row>
    <row r="41" spans="1:11" ht="21" customHeight="1" x14ac:dyDescent="0.15">
      <c r="A41" s="17" t="str">
        <f t="shared" ref="A41:A83" si="13">G41&amp;"-"&amp;I41</f>
        <v>13101_11-1</v>
      </c>
      <c r="B41" s="17" t="str">
        <f>IF(COUNTIF(enemy_habitats!$H:$H,A41),"OK","NG")</f>
        <v>OK</v>
      </c>
      <c r="C41" s="36">
        <v>13101</v>
      </c>
      <c r="D41" s="23" t="e">
        <v>#VALUE!</v>
      </c>
      <c r="E41" s="23" t="e">
        <v>#VALUE!</v>
      </c>
      <c r="F41" s="30">
        <v>11</v>
      </c>
      <c r="G41" s="27" t="str">
        <f t="shared" ref="G41:G83" si="14">C41&amp;"_"&amp;F41</f>
        <v>13101_11</v>
      </c>
      <c r="H41" s="16" t="str">
        <f ca="1">VLOOKUP($G41,OFFSET([2]stages!$A$1,0,0,COUNTA([2]stages!$A:$A),MATCH(H$1,[2]stages!$2:$2,0)-MATCH($G$1,[2]stages!$2:$2,0)+1),MATCH(H$1,[2]stages!$2:$2,0)-MATCH($G$1,[2]stages!$2:$2,0)+1,FALSE)</f>
        <v>チャレンジタワー 11F</v>
      </c>
      <c r="I41" s="30">
        <v>1</v>
      </c>
      <c r="J41" s="13">
        <v>15</v>
      </c>
      <c r="K41" s="13">
        <v>30</v>
      </c>
    </row>
    <row r="42" spans="1:11" ht="21" customHeight="1" x14ac:dyDescent="0.15">
      <c r="A42" s="17" t="str">
        <f t="shared" si="13"/>
        <v>13101_11-2</v>
      </c>
      <c r="B42" s="17" t="str">
        <f>IF(COUNTIF(enemy_habitats!$H:$H,A42),"OK","NG")</f>
        <v>OK</v>
      </c>
      <c r="C42" s="36">
        <v>13101</v>
      </c>
      <c r="D42" s="23" t="e">
        <v>#VALUE!</v>
      </c>
      <c r="E42" s="23" t="e">
        <v>#VALUE!</v>
      </c>
      <c r="F42" s="30">
        <v>11</v>
      </c>
      <c r="G42" s="27" t="str">
        <f t="shared" si="14"/>
        <v>13101_11</v>
      </c>
      <c r="H42" s="16" t="str">
        <f ca="1">VLOOKUP($G42,OFFSET([2]stages!$A$1,0,0,COUNTA([2]stages!$A:$A),MATCH(H$1,[2]stages!$2:$2,0)-MATCH($G$1,[2]stages!$2:$2,0)+1),MATCH(H$1,[2]stages!$2:$2,0)-MATCH($G$1,[2]stages!$2:$2,0)+1,FALSE)</f>
        <v>チャレンジタワー 11F</v>
      </c>
      <c r="I42" s="30">
        <v>2</v>
      </c>
      <c r="J42" s="13">
        <v>30</v>
      </c>
      <c r="K42" s="13">
        <v>45</v>
      </c>
    </row>
    <row r="43" spans="1:11" ht="21" customHeight="1" x14ac:dyDescent="0.15">
      <c r="A43" s="17" t="str">
        <f t="shared" si="13"/>
        <v>13101_11-3</v>
      </c>
      <c r="B43" s="17" t="str">
        <f>IF(COUNTIF(enemy_habitats!$H:$H,A43),"OK","NG")</f>
        <v>OK</v>
      </c>
      <c r="C43" s="36">
        <v>13101</v>
      </c>
      <c r="D43" s="23" t="e">
        <v>#VALUE!</v>
      </c>
      <c r="E43" s="23" t="e">
        <v>#VALUE!</v>
      </c>
      <c r="F43" s="30">
        <v>11</v>
      </c>
      <c r="G43" s="27" t="str">
        <f t="shared" si="14"/>
        <v>13101_11</v>
      </c>
      <c r="H43" s="16" t="str">
        <f ca="1">VLOOKUP($G43,OFFSET([2]stages!$A$1,0,0,COUNTA([2]stages!$A:$A),MATCH(H$1,[2]stages!$2:$2,0)-MATCH($G$1,[2]stages!$2:$2,0)+1),MATCH(H$1,[2]stages!$2:$2,0)-MATCH($G$1,[2]stages!$2:$2,0)+1,FALSE)</f>
        <v>チャレンジタワー 11F</v>
      </c>
      <c r="I43" s="30">
        <v>3</v>
      </c>
      <c r="J43" s="13">
        <v>45</v>
      </c>
      <c r="K43" s="13">
        <v>60</v>
      </c>
    </row>
    <row r="44" spans="1:11" ht="21" customHeight="1" x14ac:dyDescent="0.15">
      <c r="A44" s="17" t="str">
        <f t="shared" si="13"/>
        <v>13101_11-4</v>
      </c>
      <c r="B44" s="17" t="str">
        <f>IF(COUNTIF(enemy_habitats!$H:$H,A44),"OK","NG")</f>
        <v>OK</v>
      </c>
      <c r="C44" s="36">
        <v>13101</v>
      </c>
      <c r="D44" s="23" t="e">
        <v>#VALUE!</v>
      </c>
      <c r="E44" s="23" t="e">
        <v>#VALUE!</v>
      </c>
      <c r="F44" s="30">
        <v>11</v>
      </c>
      <c r="G44" s="27" t="str">
        <f t="shared" si="14"/>
        <v>13101_11</v>
      </c>
      <c r="H44" s="16" t="str">
        <f ca="1">VLOOKUP($G44,OFFSET([2]stages!$A$1,0,0,COUNTA([2]stages!$A:$A),MATCH(H$1,[2]stages!$2:$2,0)-MATCH($G$1,[2]stages!$2:$2,0)+1),MATCH(H$1,[2]stages!$2:$2,0)-MATCH($G$1,[2]stages!$2:$2,0)+1,FALSE)</f>
        <v>チャレンジタワー 11F</v>
      </c>
      <c r="I44" s="30">
        <v>4</v>
      </c>
      <c r="J44" s="13">
        <v>30</v>
      </c>
      <c r="K44" s="13">
        <v>60</v>
      </c>
    </row>
    <row r="45" spans="1:11" ht="21" customHeight="1" x14ac:dyDescent="0.15">
      <c r="A45" s="17" t="str">
        <f t="shared" si="13"/>
        <v>13101_11-5</v>
      </c>
      <c r="B45" s="17" t="str">
        <f>IF(COUNTIF(enemy_habitats!$H:$H,A45),"OK","NG")</f>
        <v>OK</v>
      </c>
      <c r="C45" s="36">
        <v>13101</v>
      </c>
      <c r="D45" s="23" t="e">
        <v>#VALUE!</v>
      </c>
      <c r="E45" s="23" t="e">
        <v>#VALUE!</v>
      </c>
      <c r="F45" s="30">
        <v>11</v>
      </c>
      <c r="G45" s="27" t="str">
        <f t="shared" si="14"/>
        <v>13101_11</v>
      </c>
      <c r="H45" s="16" t="str">
        <f ca="1">VLOOKUP($G45,OFFSET([2]stages!$A$1,0,0,COUNTA([2]stages!$A:$A),MATCH(H$1,[2]stages!$2:$2,0)-MATCH($G$1,[2]stages!$2:$2,0)+1),MATCH(H$1,[2]stages!$2:$2,0)-MATCH($G$1,[2]stages!$2:$2,0)+1,FALSE)</f>
        <v>チャレンジタワー 11F</v>
      </c>
      <c r="I45" s="30">
        <v>5</v>
      </c>
      <c r="J45" s="38">
        <v>60</v>
      </c>
      <c r="K45" s="38">
        <v>60</v>
      </c>
    </row>
    <row r="46" spans="1:11" ht="21" customHeight="1" x14ac:dyDescent="0.15">
      <c r="A46" s="17" t="str">
        <f t="shared" si="13"/>
        <v>13101_12-1</v>
      </c>
      <c r="B46" s="17" t="str">
        <f>IF(COUNTIF(enemy_habitats!$H:$H,A46),"OK","NG")</f>
        <v>OK</v>
      </c>
      <c r="C46" s="36">
        <v>13101</v>
      </c>
      <c r="D46" s="23"/>
      <c r="E46" s="23"/>
      <c r="F46" s="30">
        <v>12</v>
      </c>
      <c r="G46" s="27" t="str">
        <f t="shared" si="14"/>
        <v>13101_12</v>
      </c>
      <c r="H46" s="16" t="str">
        <f ca="1">VLOOKUP($G46,OFFSET([2]stages!$A$1,0,0,COUNTA([2]stages!$A:$A),MATCH(H$1,[2]stages!$2:$2,0)-MATCH($G$1,[2]stages!$2:$2,0)+1),MATCH(H$1,[2]stages!$2:$2,0)-MATCH($G$1,[2]stages!$2:$2,0)+1,FALSE)</f>
        <v>チャレンジタワー 12F</v>
      </c>
      <c r="I46" s="30">
        <v>1</v>
      </c>
      <c r="J46" s="13">
        <v>15</v>
      </c>
      <c r="K46" s="13">
        <v>30</v>
      </c>
    </row>
    <row r="47" spans="1:11" ht="21" customHeight="1" x14ac:dyDescent="0.15">
      <c r="A47" s="17" t="str">
        <f t="shared" si="13"/>
        <v>13101_12-2</v>
      </c>
      <c r="B47" s="17" t="str">
        <f>IF(COUNTIF(enemy_habitats!$H:$H,A47),"OK","NG")</f>
        <v>OK</v>
      </c>
      <c r="C47" s="36">
        <v>13101</v>
      </c>
      <c r="D47" s="23"/>
      <c r="E47" s="23"/>
      <c r="F47" s="30">
        <v>12</v>
      </c>
      <c r="G47" s="27" t="str">
        <f t="shared" si="14"/>
        <v>13101_12</v>
      </c>
      <c r="H47" s="16" t="str">
        <f ca="1">VLOOKUP($G47,OFFSET([2]stages!$A$1,0,0,COUNTA([2]stages!$A:$A),MATCH(H$1,[2]stages!$2:$2,0)-MATCH($G$1,[2]stages!$2:$2,0)+1),MATCH(H$1,[2]stages!$2:$2,0)-MATCH($G$1,[2]stages!$2:$2,0)+1,FALSE)</f>
        <v>チャレンジタワー 12F</v>
      </c>
      <c r="I47" s="30">
        <v>2</v>
      </c>
      <c r="J47" s="13">
        <v>30</v>
      </c>
      <c r="K47" s="13">
        <v>45</v>
      </c>
    </row>
    <row r="48" spans="1:11" ht="21" customHeight="1" x14ac:dyDescent="0.15">
      <c r="A48" s="17" t="str">
        <f t="shared" si="13"/>
        <v>13101_12-3</v>
      </c>
      <c r="B48" s="17" t="str">
        <f>IF(COUNTIF(enemy_habitats!$H:$H,A48),"OK","NG")</f>
        <v>OK</v>
      </c>
      <c r="C48" s="36">
        <v>13101</v>
      </c>
      <c r="D48" s="23"/>
      <c r="E48" s="23"/>
      <c r="F48" s="30">
        <v>12</v>
      </c>
      <c r="G48" s="27" t="str">
        <f t="shared" si="14"/>
        <v>13101_12</v>
      </c>
      <c r="H48" s="16" t="str">
        <f ca="1">VLOOKUP($G48,OFFSET([2]stages!$A$1,0,0,COUNTA([2]stages!$A:$A),MATCH(H$1,[2]stages!$2:$2,0)-MATCH($G$1,[2]stages!$2:$2,0)+1),MATCH(H$1,[2]stages!$2:$2,0)-MATCH($G$1,[2]stages!$2:$2,0)+1,FALSE)</f>
        <v>チャレンジタワー 12F</v>
      </c>
      <c r="I48" s="30">
        <v>3</v>
      </c>
      <c r="J48" s="13">
        <v>45</v>
      </c>
      <c r="K48" s="13">
        <v>60</v>
      </c>
    </row>
    <row r="49" spans="1:11" ht="21" customHeight="1" x14ac:dyDescent="0.15">
      <c r="A49" s="17" t="str">
        <f t="shared" si="13"/>
        <v>13101_12-4</v>
      </c>
      <c r="B49" s="17" t="str">
        <f>IF(COUNTIF(enemy_habitats!$H:$H,A49),"OK","NG")</f>
        <v>OK</v>
      </c>
      <c r="C49" s="36">
        <v>13101</v>
      </c>
      <c r="D49" s="23"/>
      <c r="E49" s="23"/>
      <c r="F49" s="30">
        <v>12</v>
      </c>
      <c r="G49" s="27" t="str">
        <f t="shared" si="14"/>
        <v>13101_12</v>
      </c>
      <c r="H49" s="16" t="str">
        <f ca="1">VLOOKUP($G49,OFFSET([2]stages!$A$1,0,0,COUNTA([2]stages!$A:$A),MATCH(H$1,[2]stages!$2:$2,0)-MATCH($G$1,[2]stages!$2:$2,0)+1),MATCH(H$1,[2]stages!$2:$2,0)-MATCH($G$1,[2]stages!$2:$2,0)+1,FALSE)</f>
        <v>チャレンジタワー 12F</v>
      </c>
      <c r="I49" s="30">
        <v>4</v>
      </c>
      <c r="J49" s="13">
        <v>30</v>
      </c>
      <c r="K49" s="13">
        <v>60</v>
      </c>
    </row>
    <row r="50" spans="1:11" ht="21" customHeight="1" x14ac:dyDescent="0.15">
      <c r="A50" s="17" t="str">
        <f t="shared" si="13"/>
        <v>13101_12-5</v>
      </c>
      <c r="B50" s="17" t="str">
        <f>IF(COUNTIF(enemy_habitats!$H:$H,A50),"OK","NG")</f>
        <v>OK</v>
      </c>
      <c r="C50" s="36">
        <v>13101</v>
      </c>
      <c r="D50" s="23"/>
      <c r="E50" s="23"/>
      <c r="F50" s="30">
        <v>12</v>
      </c>
      <c r="G50" s="27" t="str">
        <f t="shared" si="14"/>
        <v>13101_12</v>
      </c>
      <c r="H50" s="16" t="str">
        <f ca="1">VLOOKUP($G50,OFFSET([2]stages!$A$1,0,0,COUNTA([2]stages!$A:$A),MATCH(H$1,[2]stages!$2:$2,0)-MATCH($G$1,[2]stages!$2:$2,0)+1),MATCH(H$1,[2]stages!$2:$2,0)-MATCH($G$1,[2]stages!$2:$2,0)+1,FALSE)</f>
        <v>チャレンジタワー 12F</v>
      </c>
      <c r="I50" s="30">
        <v>5</v>
      </c>
      <c r="J50" s="38">
        <v>60</v>
      </c>
      <c r="K50" s="38">
        <v>60</v>
      </c>
    </row>
    <row r="51" spans="1:11" ht="21" customHeight="1" x14ac:dyDescent="0.15">
      <c r="A51" s="17" t="str">
        <f t="shared" si="13"/>
        <v>13101_12-6</v>
      </c>
      <c r="B51" s="17" t="str">
        <f>IF(COUNTIF(enemy_habitats!$H:$H,A51),"OK","NG")</f>
        <v>OK</v>
      </c>
      <c r="C51" s="36">
        <v>13101</v>
      </c>
      <c r="D51" s="23"/>
      <c r="E51" s="23"/>
      <c r="F51" s="30">
        <v>12</v>
      </c>
      <c r="G51" s="27" t="str">
        <f t="shared" si="14"/>
        <v>13101_12</v>
      </c>
      <c r="H51" s="16" t="str">
        <f ca="1">VLOOKUP($G51,OFFSET([2]stages!$A$1,0,0,COUNTA([2]stages!$A:$A),MATCH(H$1,[2]stages!$2:$2,0)-MATCH($G$1,[2]stages!$2:$2,0)+1),MATCH(H$1,[2]stages!$2:$2,0)-MATCH($G$1,[2]stages!$2:$2,0)+1,FALSE)</f>
        <v>チャレンジタワー 12F</v>
      </c>
      <c r="I51" s="30">
        <v>6</v>
      </c>
      <c r="J51" s="38">
        <v>60</v>
      </c>
      <c r="K51" s="38">
        <v>60</v>
      </c>
    </row>
    <row r="52" spans="1:11" ht="21" customHeight="1" x14ac:dyDescent="0.15">
      <c r="A52" s="17" t="str">
        <f t="shared" si="13"/>
        <v>13101_13-1</v>
      </c>
      <c r="B52" s="17" t="str">
        <f>IF(COUNTIF(enemy_habitats!$H:$H,A52),"OK","NG")</f>
        <v>OK</v>
      </c>
      <c r="C52" s="36">
        <v>13101</v>
      </c>
      <c r="D52" s="23"/>
      <c r="E52" s="23"/>
      <c r="F52" s="30">
        <v>13</v>
      </c>
      <c r="G52" s="27" t="str">
        <f t="shared" si="14"/>
        <v>13101_13</v>
      </c>
      <c r="H52" s="16" t="str">
        <f ca="1">VLOOKUP($G52,OFFSET([2]stages!$A$1,0,0,COUNTA([2]stages!$A:$A),MATCH(H$1,[2]stages!$2:$2,0)-MATCH($G$1,[2]stages!$2:$2,0)+1),MATCH(H$1,[2]stages!$2:$2,0)-MATCH($G$1,[2]stages!$2:$2,0)+1,FALSE)</f>
        <v>チャレンジタワー 13F</v>
      </c>
      <c r="I52" s="30">
        <v>1</v>
      </c>
      <c r="J52" s="38">
        <v>45</v>
      </c>
      <c r="K52" s="38">
        <v>45</v>
      </c>
    </row>
    <row r="53" spans="1:11" ht="21" customHeight="1" x14ac:dyDescent="0.15">
      <c r="A53" s="17" t="str">
        <f t="shared" si="13"/>
        <v>13101_14-1</v>
      </c>
      <c r="B53" s="17" t="str">
        <f>IF(COUNTIF(enemy_habitats!$H:$H,A53),"OK","NG")</f>
        <v>OK</v>
      </c>
      <c r="C53" s="36">
        <v>13101</v>
      </c>
      <c r="D53" s="23"/>
      <c r="E53" s="23"/>
      <c r="F53" s="30">
        <v>14</v>
      </c>
      <c r="G53" s="27" t="str">
        <f t="shared" si="14"/>
        <v>13101_14</v>
      </c>
      <c r="H53" s="16" t="str">
        <f ca="1">VLOOKUP($G53,OFFSET([2]stages!$A$1,0,0,COUNTA([2]stages!$A:$A),MATCH(H$1,[2]stages!$2:$2,0)-MATCH($G$1,[2]stages!$2:$2,0)+1),MATCH(H$1,[2]stages!$2:$2,0)-MATCH($G$1,[2]stages!$2:$2,0)+1,FALSE)</f>
        <v>チャレンジタワー 14F</v>
      </c>
      <c r="I53" s="30">
        <v>1</v>
      </c>
      <c r="J53" s="13">
        <v>15</v>
      </c>
      <c r="K53" s="13">
        <v>30</v>
      </c>
    </row>
    <row r="54" spans="1:11" ht="21" customHeight="1" x14ac:dyDescent="0.15">
      <c r="A54" s="17" t="str">
        <f t="shared" si="13"/>
        <v>13101_14-2</v>
      </c>
      <c r="B54" s="17" t="str">
        <f>IF(COUNTIF(enemy_habitats!$H:$H,A54),"OK","NG")</f>
        <v>OK</v>
      </c>
      <c r="C54" s="36">
        <v>13101</v>
      </c>
      <c r="D54" s="23"/>
      <c r="E54" s="23"/>
      <c r="F54" s="30">
        <v>14</v>
      </c>
      <c r="G54" s="27" t="str">
        <f t="shared" si="14"/>
        <v>13101_14</v>
      </c>
      <c r="H54" s="16" t="str">
        <f ca="1">VLOOKUP($G54,OFFSET([2]stages!$A$1,0,0,COUNTA([2]stages!$A:$A),MATCH(H$1,[2]stages!$2:$2,0)-MATCH($G$1,[2]stages!$2:$2,0)+1),MATCH(H$1,[2]stages!$2:$2,0)-MATCH($G$1,[2]stages!$2:$2,0)+1,FALSE)</f>
        <v>チャレンジタワー 14F</v>
      </c>
      <c r="I54" s="30">
        <v>2</v>
      </c>
      <c r="J54" s="13">
        <v>30</v>
      </c>
      <c r="K54" s="13">
        <v>45</v>
      </c>
    </row>
    <row r="55" spans="1:11" ht="21" customHeight="1" x14ac:dyDescent="0.15">
      <c r="A55" s="17" t="str">
        <f t="shared" si="13"/>
        <v>13101_14-3</v>
      </c>
      <c r="B55" s="17" t="str">
        <f>IF(COUNTIF(enemy_habitats!$H:$H,A55),"OK","NG")</f>
        <v>OK</v>
      </c>
      <c r="C55" s="36">
        <v>13101</v>
      </c>
      <c r="D55" s="23"/>
      <c r="E55" s="23"/>
      <c r="F55" s="30">
        <v>14</v>
      </c>
      <c r="G55" s="27" t="str">
        <f t="shared" si="14"/>
        <v>13101_14</v>
      </c>
      <c r="H55" s="16" t="str">
        <f ca="1">VLOOKUP($G55,OFFSET([2]stages!$A$1,0,0,COUNTA([2]stages!$A:$A),MATCH(H$1,[2]stages!$2:$2,0)-MATCH($G$1,[2]stages!$2:$2,0)+1),MATCH(H$1,[2]stages!$2:$2,0)-MATCH($G$1,[2]stages!$2:$2,0)+1,FALSE)</f>
        <v>チャレンジタワー 14F</v>
      </c>
      <c r="I55" s="30">
        <v>3</v>
      </c>
      <c r="J55" s="13">
        <v>45</v>
      </c>
      <c r="K55" s="13">
        <v>60</v>
      </c>
    </row>
    <row r="56" spans="1:11" ht="21" customHeight="1" x14ac:dyDescent="0.15">
      <c r="A56" s="17" t="str">
        <f t="shared" si="13"/>
        <v>13101_14-4</v>
      </c>
      <c r="B56" s="17" t="str">
        <f>IF(COUNTIF(enemy_habitats!$H:$H,A56),"OK","NG")</f>
        <v>OK</v>
      </c>
      <c r="C56" s="36">
        <v>13101</v>
      </c>
      <c r="D56" s="23"/>
      <c r="E56" s="23"/>
      <c r="F56" s="30">
        <v>14</v>
      </c>
      <c r="G56" s="27" t="str">
        <f t="shared" si="14"/>
        <v>13101_14</v>
      </c>
      <c r="H56" s="16" t="str">
        <f ca="1">VLOOKUP($G56,OFFSET([2]stages!$A$1,0,0,COUNTA([2]stages!$A:$A),MATCH(H$1,[2]stages!$2:$2,0)-MATCH($G$1,[2]stages!$2:$2,0)+1),MATCH(H$1,[2]stages!$2:$2,0)-MATCH($G$1,[2]stages!$2:$2,0)+1,FALSE)</f>
        <v>チャレンジタワー 14F</v>
      </c>
      <c r="I56" s="30">
        <v>4</v>
      </c>
      <c r="J56" s="13">
        <v>30</v>
      </c>
      <c r="K56" s="13">
        <v>60</v>
      </c>
    </row>
    <row r="57" spans="1:11" ht="21" customHeight="1" x14ac:dyDescent="0.15">
      <c r="A57" s="17" t="str">
        <f t="shared" si="13"/>
        <v>13101_14-5</v>
      </c>
      <c r="B57" s="17" t="str">
        <f>IF(COUNTIF(enemy_habitats!$H:$H,A57),"OK","NG")</f>
        <v>OK</v>
      </c>
      <c r="C57" s="36">
        <v>13101</v>
      </c>
      <c r="D57" s="23"/>
      <c r="E57" s="23"/>
      <c r="F57" s="30">
        <v>14</v>
      </c>
      <c r="G57" s="27" t="str">
        <f t="shared" si="14"/>
        <v>13101_14</v>
      </c>
      <c r="H57" s="16" t="str">
        <f ca="1">VLOOKUP($G57,OFFSET([2]stages!$A$1,0,0,COUNTA([2]stages!$A:$A),MATCH(H$1,[2]stages!$2:$2,0)-MATCH($G$1,[2]stages!$2:$2,0)+1),MATCH(H$1,[2]stages!$2:$2,0)-MATCH($G$1,[2]stages!$2:$2,0)+1,FALSE)</f>
        <v>チャレンジタワー 14F</v>
      </c>
      <c r="I57" s="30">
        <v>5</v>
      </c>
      <c r="J57" s="38">
        <v>60</v>
      </c>
      <c r="K57" s="38">
        <v>60</v>
      </c>
    </row>
    <row r="58" spans="1:11" ht="21" customHeight="1" x14ac:dyDescent="0.15">
      <c r="A58" s="17" t="str">
        <f t="shared" si="13"/>
        <v>13101_15-1</v>
      </c>
      <c r="B58" s="17" t="str">
        <f>IF(COUNTIF(enemy_habitats!$H:$H,A58),"OK","NG")</f>
        <v>OK</v>
      </c>
      <c r="C58" s="36">
        <v>13101</v>
      </c>
      <c r="D58" s="23"/>
      <c r="E58" s="23"/>
      <c r="F58" s="30">
        <v>15</v>
      </c>
      <c r="G58" s="27" t="str">
        <f t="shared" si="14"/>
        <v>13101_15</v>
      </c>
      <c r="H58" s="16" t="str">
        <f ca="1">VLOOKUP($G58,OFFSET([2]stages!$A$1,0,0,COUNTA([2]stages!$A:$A),MATCH(H$1,[2]stages!$2:$2,0)-MATCH($G$1,[2]stages!$2:$2,0)+1),MATCH(H$1,[2]stages!$2:$2,0)-MATCH($G$1,[2]stages!$2:$2,0)+1,FALSE)</f>
        <v>チャレンジタワー 15F</v>
      </c>
      <c r="I58" s="30">
        <v>1</v>
      </c>
      <c r="J58" s="38">
        <v>45</v>
      </c>
      <c r="K58" s="38">
        <v>45</v>
      </c>
    </row>
    <row r="59" spans="1:11" ht="21" customHeight="1" x14ac:dyDescent="0.15">
      <c r="A59" s="17" t="str">
        <f t="shared" si="13"/>
        <v>13101_15-2</v>
      </c>
      <c r="B59" s="17" t="str">
        <f>IF(COUNTIF(enemy_habitats!$H:$H,A59),"OK","NG")</f>
        <v>OK</v>
      </c>
      <c r="C59" s="36">
        <v>13101</v>
      </c>
      <c r="D59" s="23"/>
      <c r="E59" s="23"/>
      <c r="F59" s="30">
        <v>15</v>
      </c>
      <c r="G59" s="27" t="str">
        <f t="shared" si="14"/>
        <v>13101_15</v>
      </c>
      <c r="H59" s="16" t="str">
        <f ca="1">VLOOKUP($G59,OFFSET([2]stages!$A$1,0,0,COUNTA([2]stages!$A:$A),MATCH(H$1,[2]stages!$2:$2,0)-MATCH($G$1,[2]stages!$2:$2,0)+1),MATCH(H$1,[2]stages!$2:$2,0)-MATCH($G$1,[2]stages!$2:$2,0)+1,FALSE)</f>
        <v>チャレンジタワー 15F</v>
      </c>
      <c r="I59" s="30">
        <v>2</v>
      </c>
      <c r="J59" s="38">
        <v>45</v>
      </c>
      <c r="K59" s="38">
        <v>45</v>
      </c>
    </row>
    <row r="60" spans="1:11" ht="21" customHeight="1" x14ac:dyDescent="0.15">
      <c r="A60" s="17" t="str">
        <f t="shared" si="13"/>
        <v>13101_15-3</v>
      </c>
      <c r="B60" s="17" t="str">
        <f>IF(COUNTIF(enemy_habitats!$H:$H,A60),"OK","NG")</f>
        <v>OK</v>
      </c>
      <c r="C60" s="36">
        <v>13101</v>
      </c>
      <c r="D60" s="23"/>
      <c r="E60" s="23"/>
      <c r="F60" s="30">
        <v>15</v>
      </c>
      <c r="G60" s="27" t="str">
        <f t="shared" si="14"/>
        <v>13101_15</v>
      </c>
      <c r="H60" s="16" t="str">
        <f ca="1">VLOOKUP($G60,OFFSET([2]stages!$A$1,0,0,COUNTA([2]stages!$A:$A),MATCH(H$1,[2]stages!$2:$2,0)-MATCH($G$1,[2]stages!$2:$2,0)+1),MATCH(H$1,[2]stages!$2:$2,0)-MATCH($G$1,[2]stages!$2:$2,0)+1,FALSE)</f>
        <v>チャレンジタワー 15F</v>
      </c>
      <c r="I60" s="30">
        <v>3</v>
      </c>
      <c r="J60" s="38">
        <v>60</v>
      </c>
      <c r="K60" s="38">
        <v>60</v>
      </c>
    </row>
    <row r="61" spans="1:11" ht="21" customHeight="1" x14ac:dyDescent="0.15">
      <c r="A61" s="17" t="str">
        <f t="shared" si="13"/>
        <v>13101_16-1</v>
      </c>
      <c r="B61" s="17" t="str">
        <f>IF(COUNTIF(enemy_habitats!$H:$H,A61),"OK","NG")</f>
        <v>OK</v>
      </c>
      <c r="C61" s="36">
        <v>13101</v>
      </c>
      <c r="D61" s="23"/>
      <c r="E61" s="23"/>
      <c r="F61" s="30">
        <v>16</v>
      </c>
      <c r="G61" s="27" t="str">
        <f t="shared" si="14"/>
        <v>13101_16</v>
      </c>
      <c r="H61" s="16" t="str">
        <f ca="1">VLOOKUP($G61,OFFSET([2]stages!$A$1,0,0,COUNTA([2]stages!$A:$A),MATCH(H$1,[2]stages!$2:$2,0)-MATCH($G$1,[2]stages!$2:$2,0)+1),MATCH(H$1,[2]stages!$2:$2,0)-MATCH($G$1,[2]stages!$2:$2,0)+1,FALSE)</f>
        <v>チャレンジタワー 16F</v>
      </c>
      <c r="I61" s="30">
        <v>1</v>
      </c>
      <c r="J61" s="13">
        <v>15</v>
      </c>
      <c r="K61" s="13">
        <v>30</v>
      </c>
    </row>
    <row r="62" spans="1:11" ht="21" customHeight="1" x14ac:dyDescent="0.15">
      <c r="A62" s="17" t="str">
        <f t="shared" si="13"/>
        <v>13101_16-2</v>
      </c>
      <c r="B62" s="17" t="str">
        <f>IF(COUNTIF(enemy_habitats!$H:$H,A62),"OK","NG")</f>
        <v>OK</v>
      </c>
      <c r="C62" s="36">
        <v>13101</v>
      </c>
      <c r="D62" s="23"/>
      <c r="E62" s="23"/>
      <c r="F62" s="30">
        <v>16</v>
      </c>
      <c r="G62" s="27" t="str">
        <f t="shared" si="14"/>
        <v>13101_16</v>
      </c>
      <c r="H62" s="16" t="str">
        <f ca="1">VLOOKUP($G62,OFFSET([2]stages!$A$1,0,0,COUNTA([2]stages!$A:$A),MATCH(H$1,[2]stages!$2:$2,0)-MATCH($G$1,[2]stages!$2:$2,0)+1),MATCH(H$1,[2]stages!$2:$2,0)-MATCH($G$1,[2]stages!$2:$2,0)+1,FALSE)</f>
        <v>チャレンジタワー 16F</v>
      </c>
      <c r="I62" s="30">
        <v>2</v>
      </c>
      <c r="J62" s="13">
        <v>30</v>
      </c>
      <c r="K62" s="13">
        <v>45</v>
      </c>
    </row>
    <row r="63" spans="1:11" ht="21" customHeight="1" x14ac:dyDescent="0.15">
      <c r="A63" s="17" t="str">
        <f t="shared" si="13"/>
        <v>13101_16-3</v>
      </c>
      <c r="B63" s="17" t="str">
        <f>IF(COUNTIF(enemy_habitats!$H:$H,A63),"OK","NG")</f>
        <v>OK</v>
      </c>
      <c r="C63" s="36">
        <v>13101</v>
      </c>
      <c r="D63" s="23"/>
      <c r="E63" s="23"/>
      <c r="F63" s="30">
        <v>16</v>
      </c>
      <c r="G63" s="27" t="str">
        <f t="shared" si="14"/>
        <v>13101_16</v>
      </c>
      <c r="H63" s="16" t="str">
        <f ca="1">VLOOKUP($G63,OFFSET([2]stages!$A$1,0,0,COUNTA([2]stages!$A:$A),MATCH(H$1,[2]stages!$2:$2,0)-MATCH($G$1,[2]stages!$2:$2,0)+1),MATCH(H$1,[2]stages!$2:$2,0)-MATCH($G$1,[2]stages!$2:$2,0)+1,FALSE)</f>
        <v>チャレンジタワー 16F</v>
      </c>
      <c r="I63" s="30">
        <v>3</v>
      </c>
      <c r="J63" s="13">
        <v>45</v>
      </c>
      <c r="K63" s="13">
        <v>60</v>
      </c>
    </row>
    <row r="64" spans="1:11" ht="21" customHeight="1" x14ac:dyDescent="0.15">
      <c r="A64" s="17" t="str">
        <f t="shared" si="13"/>
        <v>13101_16-4</v>
      </c>
      <c r="B64" s="17" t="str">
        <f>IF(COUNTIF(enemy_habitats!$H:$H,A64),"OK","NG")</f>
        <v>OK</v>
      </c>
      <c r="C64" s="36">
        <v>13101</v>
      </c>
      <c r="D64" s="23"/>
      <c r="E64" s="23"/>
      <c r="F64" s="30">
        <v>16</v>
      </c>
      <c r="G64" s="27" t="str">
        <f t="shared" si="14"/>
        <v>13101_16</v>
      </c>
      <c r="H64" s="16" t="str">
        <f ca="1">VLOOKUP($G64,OFFSET([2]stages!$A$1,0,0,COUNTA([2]stages!$A:$A),MATCH(H$1,[2]stages!$2:$2,0)-MATCH($G$1,[2]stages!$2:$2,0)+1),MATCH(H$1,[2]stages!$2:$2,0)-MATCH($G$1,[2]stages!$2:$2,0)+1,FALSE)</f>
        <v>チャレンジタワー 16F</v>
      </c>
      <c r="I64" s="30">
        <v>4</v>
      </c>
      <c r="J64" s="13">
        <v>30</v>
      </c>
      <c r="K64" s="13">
        <v>60</v>
      </c>
    </row>
    <row r="65" spans="1:11" ht="21" customHeight="1" x14ac:dyDescent="0.15">
      <c r="A65" s="17" t="str">
        <f t="shared" si="13"/>
        <v>13101_16-5</v>
      </c>
      <c r="B65" s="17" t="str">
        <f>IF(COUNTIF(enemy_habitats!$H:$H,A65),"OK","NG")</f>
        <v>OK</v>
      </c>
      <c r="C65" s="36">
        <v>13101</v>
      </c>
      <c r="D65" s="23"/>
      <c r="E65" s="23"/>
      <c r="F65" s="30">
        <v>16</v>
      </c>
      <c r="G65" s="27" t="str">
        <f t="shared" si="14"/>
        <v>13101_16</v>
      </c>
      <c r="H65" s="16" t="str">
        <f ca="1">VLOOKUP($G65,OFFSET([2]stages!$A$1,0,0,COUNTA([2]stages!$A:$A),MATCH(H$1,[2]stages!$2:$2,0)-MATCH($G$1,[2]stages!$2:$2,0)+1),MATCH(H$1,[2]stages!$2:$2,0)-MATCH($G$1,[2]stages!$2:$2,0)+1,FALSE)</f>
        <v>チャレンジタワー 16F</v>
      </c>
      <c r="I65" s="30">
        <v>5</v>
      </c>
      <c r="J65" s="38">
        <v>60</v>
      </c>
      <c r="K65" s="38">
        <v>60</v>
      </c>
    </row>
    <row r="66" spans="1:11" ht="21" customHeight="1" x14ac:dyDescent="0.15">
      <c r="A66" s="17" t="str">
        <f t="shared" si="13"/>
        <v>13101_17-1</v>
      </c>
      <c r="B66" s="17" t="str">
        <f>IF(COUNTIF(enemy_habitats!$H:$H,A66),"OK","NG")</f>
        <v>OK</v>
      </c>
      <c r="C66" s="8">
        <v>13101</v>
      </c>
      <c r="D66" s="12"/>
      <c r="E66" s="23"/>
      <c r="F66" s="25">
        <v>17</v>
      </c>
      <c r="G66" s="27" t="str">
        <f t="shared" si="14"/>
        <v>13101_17</v>
      </c>
      <c r="H66" s="16" t="str">
        <f ca="1">VLOOKUP($G66,OFFSET([2]stages!$A$1,0,0,COUNTA([2]stages!$A:$A),MATCH(H$1,[2]stages!$2:$2,0)-MATCH($G$1,[2]stages!$2:$2,0)+1),MATCH(H$1,[2]stages!$2:$2,0)-MATCH($G$1,[2]stages!$2:$2,0)+1,FALSE)</f>
        <v>チャレンジタワー 17F</v>
      </c>
      <c r="I66" s="25">
        <v>1</v>
      </c>
      <c r="J66" s="13">
        <v>15</v>
      </c>
      <c r="K66" s="13">
        <v>30</v>
      </c>
    </row>
    <row r="67" spans="1:11" ht="21" customHeight="1" x14ac:dyDescent="0.15">
      <c r="A67" s="17" t="str">
        <f t="shared" si="13"/>
        <v>13101_17-2</v>
      </c>
      <c r="B67" s="17" t="str">
        <f>IF(COUNTIF(enemy_habitats!$H:$H,A67),"OK","NG")</f>
        <v>OK</v>
      </c>
      <c r="C67" s="8">
        <v>13101</v>
      </c>
      <c r="D67" s="12"/>
      <c r="E67" s="23"/>
      <c r="F67" s="25">
        <v>17</v>
      </c>
      <c r="G67" s="27" t="str">
        <f t="shared" si="14"/>
        <v>13101_17</v>
      </c>
      <c r="H67" s="16" t="str">
        <f ca="1">VLOOKUP($G67,OFFSET([2]stages!$A$1,0,0,COUNTA([2]stages!$A:$A),MATCH(H$1,[2]stages!$2:$2,0)-MATCH($G$1,[2]stages!$2:$2,0)+1),MATCH(H$1,[2]stages!$2:$2,0)-MATCH($G$1,[2]stages!$2:$2,0)+1,FALSE)</f>
        <v>チャレンジタワー 17F</v>
      </c>
      <c r="I67" s="25">
        <v>2</v>
      </c>
      <c r="J67" s="13">
        <v>30</v>
      </c>
      <c r="K67" s="13">
        <v>45</v>
      </c>
    </row>
    <row r="68" spans="1:11" ht="21" customHeight="1" x14ac:dyDescent="0.15">
      <c r="A68" s="17" t="str">
        <f t="shared" si="13"/>
        <v>13101_17-3</v>
      </c>
      <c r="B68" s="17" t="str">
        <f>IF(COUNTIF(enemy_habitats!$H:$H,A68),"OK","NG")</f>
        <v>OK</v>
      </c>
      <c r="C68" s="8">
        <v>13101</v>
      </c>
      <c r="D68" s="12"/>
      <c r="E68" s="23"/>
      <c r="F68" s="25">
        <v>17</v>
      </c>
      <c r="G68" s="27" t="str">
        <f t="shared" si="14"/>
        <v>13101_17</v>
      </c>
      <c r="H68" s="16" t="str">
        <f ca="1">VLOOKUP($G68,OFFSET([2]stages!$A$1,0,0,COUNTA([2]stages!$A:$A),MATCH(H$1,[2]stages!$2:$2,0)-MATCH($G$1,[2]stages!$2:$2,0)+1),MATCH(H$1,[2]stages!$2:$2,0)-MATCH($G$1,[2]stages!$2:$2,0)+1,FALSE)</f>
        <v>チャレンジタワー 17F</v>
      </c>
      <c r="I68" s="25">
        <v>3</v>
      </c>
      <c r="J68" s="13">
        <v>45</v>
      </c>
      <c r="K68" s="13">
        <v>60</v>
      </c>
    </row>
    <row r="69" spans="1:11" ht="21" customHeight="1" x14ac:dyDescent="0.15">
      <c r="A69" s="17" t="str">
        <f t="shared" si="13"/>
        <v>13101_17-4</v>
      </c>
      <c r="B69" s="17" t="str">
        <f>IF(COUNTIF(enemy_habitats!$H:$H,A69),"OK","NG")</f>
        <v>OK</v>
      </c>
      <c r="C69" s="8">
        <v>13101</v>
      </c>
      <c r="D69" s="12"/>
      <c r="E69" s="23"/>
      <c r="F69" s="25">
        <v>17</v>
      </c>
      <c r="G69" s="27" t="str">
        <f t="shared" si="14"/>
        <v>13101_17</v>
      </c>
      <c r="H69" s="16" t="str">
        <f ca="1">VLOOKUP($G69,OFFSET([2]stages!$A$1,0,0,COUNTA([2]stages!$A:$A),MATCH(H$1,[2]stages!$2:$2,0)-MATCH($G$1,[2]stages!$2:$2,0)+1),MATCH(H$1,[2]stages!$2:$2,0)-MATCH($G$1,[2]stages!$2:$2,0)+1,FALSE)</f>
        <v>チャレンジタワー 17F</v>
      </c>
      <c r="I69" s="25">
        <v>4</v>
      </c>
      <c r="J69" s="13">
        <v>30</v>
      </c>
      <c r="K69" s="13">
        <v>60</v>
      </c>
    </row>
    <row r="70" spans="1:11" ht="21" customHeight="1" x14ac:dyDescent="0.15">
      <c r="A70" s="17" t="str">
        <f t="shared" si="13"/>
        <v>13101_17-5</v>
      </c>
      <c r="B70" s="17" t="str">
        <f>IF(COUNTIF(enemy_habitats!$H:$H,A70),"OK","NG")</f>
        <v>OK</v>
      </c>
      <c r="C70" s="8">
        <v>13101</v>
      </c>
      <c r="D70" s="12"/>
      <c r="E70" s="23"/>
      <c r="F70" s="25">
        <v>17</v>
      </c>
      <c r="G70" s="27" t="str">
        <f t="shared" si="14"/>
        <v>13101_17</v>
      </c>
      <c r="H70" s="16" t="str">
        <f ca="1">VLOOKUP($G70,OFFSET([2]stages!$A$1,0,0,COUNTA([2]stages!$A:$A),MATCH(H$1,[2]stages!$2:$2,0)-MATCH($G$1,[2]stages!$2:$2,0)+1),MATCH(H$1,[2]stages!$2:$2,0)-MATCH($G$1,[2]stages!$2:$2,0)+1,FALSE)</f>
        <v>チャレンジタワー 17F</v>
      </c>
      <c r="I70" s="25">
        <v>5</v>
      </c>
      <c r="J70" s="38">
        <v>60</v>
      </c>
      <c r="K70" s="38">
        <v>60</v>
      </c>
    </row>
    <row r="71" spans="1:11" ht="21" customHeight="1" x14ac:dyDescent="0.15">
      <c r="A71" s="17" t="str">
        <f t="shared" si="13"/>
        <v>13101_18-1</v>
      </c>
      <c r="B71" s="17" t="str">
        <f>IF(COUNTIF(enemy_habitats!$H:$H,A71),"OK","NG")</f>
        <v>OK</v>
      </c>
      <c r="C71" s="8">
        <v>13101</v>
      </c>
      <c r="D71" s="12"/>
      <c r="E71" s="23"/>
      <c r="F71" s="25">
        <v>18</v>
      </c>
      <c r="G71" s="27" t="str">
        <f t="shared" si="14"/>
        <v>13101_18</v>
      </c>
      <c r="H71" s="16" t="str">
        <f ca="1">VLOOKUP($G71,OFFSET([2]stages!$A$1,0,0,COUNTA([2]stages!$A:$A),MATCH(H$1,[2]stages!$2:$2,0)-MATCH($G$1,[2]stages!$2:$2,0)+1),MATCH(H$1,[2]stages!$2:$2,0)-MATCH($G$1,[2]stages!$2:$2,0)+1,FALSE)</f>
        <v>チャレンジタワー 18F</v>
      </c>
      <c r="I71" s="25">
        <v>1</v>
      </c>
      <c r="J71" s="13">
        <v>15</v>
      </c>
      <c r="K71" s="13">
        <v>30</v>
      </c>
    </row>
    <row r="72" spans="1:11" ht="21" customHeight="1" x14ac:dyDescent="0.15">
      <c r="A72" s="17" t="str">
        <f t="shared" si="13"/>
        <v>13101_18-2</v>
      </c>
      <c r="B72" s="17" t="str">
        <f>IF(COUNTIF(enemy_habitats!$H:$H,A72),"OK","NG")</f>
        <v>OK</v>
      </c>
      <c r="C72" s="8">
        <v>13101</v>
      </c>
      <c r="D72" s="12"/>
      <c r="E72" s="23"/>
      <c r="F72" s="25">
        <v>18</v>
      </c>
      <c r="G72" s="27" t="str">
        <f t="shared" si="14"/>
        <v>13101_18</v>
      </c>
      <c r="H72" s="16" t="str">
        <f ca="1">VLOOKUP($G72,OFFSET([2]stages!$A$1,0,0,COUNTA([2]stages!$A:$A),MATCH(H$1,[2]stages!$2:$2,0)-MATCH($G$1,[2]stages!$2:$2,0)+1),MATCH(H$1,[2]stages!$2:$2,0)-MATCH($G$1,[2]stages!$2:$2,0)+1,FALSE)</f>
        <v>チャレンジタワー 18F</v>
      </c>
      <c r="I72" s="25">
        <v>2</v>
      </c>
      <c r="J72" s="13">
        <v>30</v>
      </c>
      <c r="K72" s="13">
        <v>45</v>
      </c>
    </row>
    <row r="73" spans="1:11" ht="21" customHeight="1" x14ac:dyDescent="0.15">
      <c r="A73" s="17" t="str">
        <f t="shared" si="13"/>
        <v>13101_18-3</v>
      </c>
      <c r="B73" s="17" t="str">
        <f>IF(COUNTIF(enemy_habitats!$H:$H,A73),"OK","NG")</f>
        <v>OK</v>
      </c>
      <c r="C73" s="8">
        <v>13101</v>
      </c>
      <c r="D73" s="12"/>
      <c r="E73" s="23"/>
      <c r="F73" s="25">
        <v>18</v>
      </c>
      <c r="G73" s="27" t="str">
        <f t="shared" si="14"/>
        <v>13101_18</v>
      </c>
      <c r="H73" s="16" t="str">
        <f ca="1">VLOOKUP($G73,OFFSET([2]stages!$A$1,0,0,COUNTA([2]stages!$A:$A),MATCH(H$1,[2]stages!$2:$2,0)-MATCH($G$1,[2]stages!$2:$2,0)+1),MATCH(H$1,[2]stages!$2:$2,0)-MATCH($G$1,[2]stages!$2:$2,0)+1,FALSE)</f>
        <v>チャレンジタワー 18F</v>
      </c>
      <c r="I73" s="25">
        <v>3</v>
      </c>
      <c r="J73" s="13">
        <v>45</v>
      </c>
      <c r="K73" s="13">
        <v>60</v>
      </c>
    </row>
    <row r="74" spans="1:11" ht="21" customHeight="1" x14ac:dyDescent="0.15">
      <c r="A74" s="17" t="str">
        <f t="shared" si="13"/>
        <v>13101_18-4</v>
      </c>
      <c r="B74" s="17" t="str">
        <f>IF(COUNTIF(enemy_habitats!$H:$H,A74),"OK","NG")</f>
        <v>OK</v>
      </c>
      <c r="C74" s="8">
        <v>13101</v>
      </c>
      <c r="D74" s="12"/>
      <c r="E74" s="23"/>
      <c r="F74" s="25">
        <v>18</v>
      </c>
      <c r="G74" s="27" t="str">
        <f t="shared" si="14"/>
        <v>13101_18</v>
      </c>
      <c r="H74" s="16" t="str">
        <f ca="1">VLOOKUP($G74,OFFSET([2]stages!$A$1,0,0,COUNTA([2]stages!$A:$A),MATCH(H$1,[2]stages!$2:$2,0)-MATCH($G$1,[2]stages!$2:$2,0)+1),MATCH(H$1,[2]stages!$2:$2,0)-MATCH($G$1,[2]stages!$2:$2,0)+1,FALSE)</f>
        <v>チャレンジタワー 18F</v>
      </c>
      <c r="I74" s="25">
        <v>4</v>
      </c>
      <c r="J74" s="13">
        <v>30</v>
      </c>
      <c r="K74" s="13">
        <v>60</v>
      </c>
    </row>
    <row r="75" spans="1:11" ht="21" customHeight="1" x14ac:dyDescent="0.15">
      <c r="A75" s="17" t="str">
        <f t="shared" si="13"/>
        <v>13101_18-5</v>
      </c>
      <c r="B75" s="17" t="str">
        <f>IF(COUNTIF(enemy_habitats!$H:$H,A75),"OK","NG")</f>
        <v>OK</v>
      </c>
      <c r="C75" s="8">
        <v>13101</v>
      </c>
      <c r="D75" s="12"/>
      <c r="E75" s="23"/>
      <c r="F75" s="25">
        <v>18</v>
      </c>
      <c r="G75" s="27" t="str">
        <f t="shared" si="14"/>
        <v>13101_18</v>
      </c>
      <c r="H75" s="16" t="str">
        <f ca="1">VLOOKUP($G75,OFFSET([2]stages!$A$1,0,0,COUNTA([2]stages!$A:$A),MATCH(H$1,[2]stages!$2:$2,0)-MATCH($G$1,[2]stages!$2:$2,0)+1),MATCH(H$1,[2]stages!$2:$2,0)-MATCH($G$1,[2]stages!$2:$2,0)+1,FALSE)</f>
        <v>チャレンジタワー 18F</v>
      </c>
      <c r="I75" s="25">
        <v>5</v>
      </c>
      <c r="J75" s="38">
        <v>60</v>
      </c>
      <c r="K75" s="38">
        <v>60</v>
      </c>
    </row>
    <row r="76" spans="1:11" ht="21" customHeight="1" x14ac:dyDescent="0.15">
      <c r="A76" s="17" t="str">
        <f t="shared" si="13"/>
        <v>13101_19-1</v>
      </c>
      <c r="B76" s="17" t="str">
        <f>IF(COUNTIF(enemy_habitats!$H:$H,A76),"OK","NG")</f>
        <v>OK</v>
      </c>
      <c r="C76" s="8">
        <v>13101</v>
      </c>
      <c r="D76" s="12"/>
      <c r="E76" s="23"/>
      <c r="F76" s="25">
        <v>19</v>
      </c>
      <c r="G76" s="27" t="str">
        <f t="shared" si="14"/>
        <v>13101_19</v>
      </c>
      <c r="H76" s="16" t="str">
        <f ca="1">VLOOKUP($G76,OFFSET([2]stages!$A$1,0,0,COUNTA([2]stages!$A:$A),MATCH(H$1,[2]stages!$2:$2,0)-MATCH($G$1,[2]stages!$2:$2,0)+1),MATCH(H$1,[2]stages!$2:$2,0)-MATCH($G$1,[2]stages!$2:$2,0)+1,FALSE)</f>
        <v>チャレンジタワー 19F</v>
      </c>
      <c r="I76" s="25">
        <v>1</v>
      </c>
      <c r="J76" s="13">
        <v>15</v>
      </c>
      <c r="K76" s="13">
        <v>30</v>
      </c>
    </row>
    <row r="77" spans="1:11" ht="21" customHeight="1" x14ac:dyDescent="0.15">
      <c r="A77" s="17" t="str">
        <f t="shared" si="13"/>
        <v>13101_19-2</v>
      </c>
      <c r="B77" s="17" t="str">
        <f>IF(COUNTIF(enemy_habitats!$H:$H,A77),"OK","NG")</f>
        <v>OK</v>
      </c>
      <c r="C77" s="8">
        <v>13101</v>
      </c>
      <c r="D77" s="12"/>
      <c r="E77" s="23"/>
      <c r="F77" s="25">
        <v>19</v>
      </c>
      <c r="G77" s="27" t="str">
        <f t="shared" si="14"/>
        <v>13101_19</v>
      </c>
      <c r="H77" s="16" t="str">
        <f ca="1">VLOOKUP($G77,OFFSET([2]stages!$A$1,0,0,COUNTA([2]stages!$A:$A),MATCH(H$1,[2]stages!$2:$2,0)-MATCH($G$1,[2]stages!$2:$2,0)+1),MATCH(H$1,[2]stages!$2:$2,0)-MATCH($G$1,[2]stages!$2:$2,0)+1,FALSE)</f>
        <v>チャレンジタワー 19F</v>
      </c>
      <c r="I77" s="25">
        <v>2</v>
      </c>
      <c r="J77" s="13">
        <v>30</v>
      </c>
      <c r="K77" s="13">
        <v>45</v>
      </c>
    </row>
    <row r="78" spans="1:11" ht="21" customHeight="1" x14ac:dyDescent="0.15">
      <c r="A78" s="17" t="str">
        <f t="shared" si="13"/>
        <v>13101_19-3</v>
      </c>
      <c r="B78" s="17" t="str">
        <f>IF(COUNTIF(enemy_habitats!$H:$H,A78),"OK","NG")</f>
        <v>OK</v>
      </c>
      <c r="C78" s="8">
        <v>13101</v>
      </c>
      <c r="D78" s="12"/>
      <c r="E78" s="23"/>
      <c r="F78" s="25">
        <v>19</v>
      </c>
      <c r="G78" s="27" t="str">
        <f t="shared" si="14"/>
        <v>13101_19</v>
      </c>
      <c r="H78" s="16" t="str">
        <f ca="1">VLOOKUP($G78,OFFSET([2]stages!$A$1,0,0,COUNTA([2]stages!$A:$A),MATCH(H$1,[2]stages!$2:$2,0)-MATCH($G$1,[2]stages!$2:$2,0)+1),MATCH(H$1,[2]stages!$2:$2,0)-MATCH($G$1,[2]stages!$2:$2,0)+1,FALSE)</f>
        <v>チャレンジタワー 19F</v>
      </c>
      <c r="I78" s="25">
        <v>3</v>
      </c>
      <c r="J78" s="13">
        <v>45</v>
      </c>
      <c r="K78" s="13">
        <v>60</v>
      </c>
    </row>
    <row r="79" spans="1:11" ht="21" customHeight="1" x14ac:dyDescent="0.15">
      <c r="A79" s="17" t="str">
        <f t="shared" si="13"/>
        <v>13101_19-4</v>
      </c>
      <c r="B79" s="17" t="str">
        <f>IF(COUNTIF(enemy_habitats!$H:$H,A79),"OK","NG")</f>
        <v>OK</v>
      </c>
      <c r="C79" s="8">
        <v>13101</v>
      </c>
      <c r="D79" s="12"/>
      <c r="E79" s="23"/>
      <c r="F79" s="25">
        <v>19</v>
      </c>
      <c r="G79" s="27" t="str">
        <f t="shared" si="14"/>
        <v>13101_19</v>
      </c>
      <c r="H79" s="16" t="str">
        <f ca="1">VLOOKUP($G79,OFFSET([2]stages!$A$1,0,0,COUNTA([2]stages!$A:$A),MATCH(H$1,[2]stages!$2:$2,0)-MATCH($G$1,[2]stages!$2:$2,0)+1),MATCH(H$1,[2]stages!$2:$2,0)-MATCH($G$1,[2]stages!$2:$2,0)+1,FALSE)</f>
        <v>チャレンジタワー 19F</v>
      </c>
      <c r="I79" s="25">
        <v>4</v>
      </c>
      <c r="J79" s="13">
        <v>30</v>
      </c>
      <c r="K79" s="13">
        <v>60</v>
      </c>
    </row>
    <row r="80" spans="1:11" ht="21" customHeight="1" x14ac:dyDescent="0.15">
      <c r="A80" s="17" t="str">
        <f t="shared" si="13"/>
        <v>13101_19-5</v>
      </c>
      <c r="B80" s="17" t="str">
        <f>IF(COUNTIF(enemy_habitats!$H:$H,A80),"OK","NG")</f>
        <v>OK</v>
      </c>
      <c r="C80" s="8">
        <v>13101</v>
      </c>
      <c r="D80" s="12"/>
      <c r="E80" s="23"/>
      <c r="F80" s="25">
        <v>19</v>
      </c>
      <c r="G80" s="27" t="str">
        <f t="shared" si="14"/>
        <v>13101_19</v>
      </c>
      <c r="H80" s="16" t="str">
        <f ca="1">VLOOKUP($G80,OFFSET([2]stages!$A$1,0,0,COUNTA([2]stages!$A:$A),MATCH(H$1,[2]stages!$2:$2,0)-MATCH($G$1,[2]stages!$2:$2,0)+1),MATCH(H$1,[2]stages!$2:$2,0)-MATCH($G$1,[2]stages!$2:$2,0)+1,FALSE)</f>
        <v>チャレンジタワー 19F</v>
      </c>
      <c r="I80" s="25">
        <v>5</v>
      </c>
      <c r="J80" s="38">
        <v>60</v>
      </c>
      <c r="K80" s="38">
        <v>60</v>
      </c>
    </row>
    <row r="81" spans="1:11" ht="21" customHeight="1" x14ac:dyDescent="0.15">
      <c r="A81" s="17" t="str">
        <f t="shared" si="13"/>
        <v>13101_20-1</v>
      </c>
      <c r="B81" s="17" t="str">
        <f>IF(COUNTIF(enemy_habitats!$H:$H,A81),"OK","NG")</f>
        <v>OK</v>
      </c>
      <c r="C81" s="8">
        <v>13101</v>
      </c>
      <c r="D81" s="12"/>
      <c r="E81" s="23"/>
      <c r="F81" s="25">
        <v>20</v>
      </c>
      <c r="G81" s="27" t="str">
        <f t="shared" si="14"/>
        <v>13101_20</v>
      </c>
      <c r="H81" s="16" t="str">
        <f ca="1">VLOOKUP($G81,OFFSET([2]stages!$A$1,0,0,COUNTA([2]stages!$A:$A),MATCH(H$1,[2]stages!$2:$2,0)-MATCH($G$1,[2]stages!$2:$2,0)+1),MATCH(H$1,[2]stages!$2:$2,0)-MATCH($G$1,[2]stages!$2:$2,0)+1,FALSE)</f>
        <v>チャレンジタワー 20F</v>
      </c>
      <c r="I81" s="25">
        <v>1</v>
      </c>
      <c r="J81" s="13">
        <v>30</v>
      </c>
      <c r="K81" s="13">
        <v>45</v>
      </c>
    </row>
    <row r="82" spans="1:11" ht="21" customHeight="1" x14ac:dyDescent="0.15">
      <c r="A82" s="17" t="str">
        <f t="shared" si="13"/>
        <v>13101_20-2</v>
      </c>
      <c r="B82" s="17" t="str">
        <f>IF(COUNTIF(enemy_habitats!$H:$H,A82),"OK","NG")</f>
        <v>OK</v>
      </c>
      <c r="C82" s="8">
        <v>13101</v>
      </c>
      <c r="D82" s="12"/>
      <c r="E82" s="23"/>
      <c r="F82" s="25">
        <v>20</v>
      </c>
      <c r="G82" s="27" t="str">
        <f t="shared" si="14"/>
        <v>13101_20</v>
      </c>
      <c r="H82" s="16" t="str">
        <f ca="1">VLOOKUP($G82,OFFSET([2]stages!$A$1,0,0,COUNTA([2]stages!$A:$A),MATCH(H$1,[2]stages!$2:$2,0)-MATCH($G$1,[2]stages!$2:$2,0)+1),MATCH(H$1,[2]stages!$2:$2,0)-MATCH($G$1,[2]stages!$2:$2,0)+1,FALSE)</f>
        <v>チャレンジタワー 20F</v>
      </c>
      <c r="I82" s="25">
        <v>2</v>
      </c>
      <c r="J82" s="13">
        <v>40</v>
      </c>
      <c r="K82" s="13">
        <v>40</v>
      </c>
    </row>
    <row r="83" spans="1:11" ht="21" customHeight="1" x14ac:dyDescent="0.15">
      <c r="A83" s="17" t="str">
        <f t="shared" si="13"/>
        <v>13101_20-3</v>
      </c>
      <c r="B83" s="17" t="str">
        <f>IF(COUNTIF(enemy_habitats!$H:$H,A83),"OK","NG")</f>
        <v>OK</v>
      </c>
      <c r="C83" s="8">
        <v>13101</v>
      </c>
      <c r="D83" s="12"/>
      <c r="E83" s="23"/>
      <c r="F83" s="25">
        <v>20</v>
      </c>
      <c r="G83" s="27" t="str">
        <f t="shared" si="14"/>
        <v>13101_20</v>
      </c>
      <c r="H83" s="16" t="str">
        <f ca="1">VLOOKUP($G83,OFFSET([2]stages!$A$1,0,0,COUNTA([2]stages!$A:$A),MATCH(H$1,[2]stages!$2:$2,0)-MATCH($G$1,[2]stages!$2:$2,0)+1),MATCH(H$1,[2]stages!$2:$2,0)-MATCH($G$1,[2]stages!$2:$2,0)+1,FALSE)</f>
        <v>チャレンジタワー 20F</v>
      </c>
      <c r="I83" s="25">
        <v>3</v>
      </c>
      <c r="J83" s="38">
        <v>60</v>
      </c>
      <c r="K83" s="38">
        <v>60</v>
      </c>
    </row>
    <row r="84" spans="1:11" ht="21" customHeight="1" x14ac:dyDescent="0.15">
      <c r="A84" s="17" t="str">
        <f t="shared" ref="A84:A88" si="15">G84&amp;"-"&amp;I84</f>
        <v>13101_21-1</v>
      </c>
      <c r="B84" s="17" t="str">
        <f>IF(COUNTIF(enemy_habitats!$H:$H,A84),"OK","NG")</f>
        <v>OK</v>
      </c>
      <c r="C84" s="8">
        <v>13101</v>
      </c>
      <c r="D84" s="12"/>
      <c r="E84" s="23"/>
      <c r="F84" s="25">
        <v>21</v>
      </c>
      <c r="G84" s="27" t="str">
        <f t="shared" ref="G84:G88" si="16">C84&amp;"_"&amp;F84</f>
        <v>13101_21</v>
      </c>
      <c r="H84" s="16" t="str">
        <f ca="1">VLOOKUP($G84,OFFSET([2]stages!$A$1,0,0,COUNTA([2]stages!$A:$A),MATCH(H$1,[2]stages!$2:$2,0)-MATCH($G$1,[2]stages!$2:$2,0)+1),MATCH(H$1,[2]stages!$2:$2,0)-MATCH($G$1,[2]stages!$2:$2,0)+1,FALSE)</f>
        <v>チャレンジタワー 21F</v>
      </c>
      <c r="I84" s="25">
        <v>1</v>
      </c>
      <c r="J84" s="13">
        <v>30</v>
      </c>
      <c r="K84" s="13">
        <v>30</v>
      </c>
    </row>
    <row r="85" spans="1:11" ht="21" customHeight="1" x14ac:dyDescent="0.15">
      <c r="A85" s="17" t="str">
        <f t="shared" si="15"/>
        <v>13101_21-2</v>
      </c>
      <c r="B85" s="17" t="str">
        <f>IF(COUNTIF(enemy_habitats!$H:$H,A85),"OK","NG")</f>
        <v>OK</v>
      </c>
      <c r="C85" s="8">
        <v>13101</v>
      </c>
      <c r="D85" s="12"/>
      <c r="E85" s="23"/>
      <c r="F85" s="25">
        <v>21</v>
      </c>
      <c r="G85" s="27" t="str">
        <f t="shared" si="16"/>
        <v>13101_21</v>
      </c>
      <c r="H85" s="16" t="str">
        <f ca="1">VLOOKUP($G85,OFFSET([2]stages!$A$1,0,0,COUNTA([2]stages!$A:$A),MATCH(H$1,[2]stages!$2:$2,0)-MATCH($G$1,[2]stages!$2:$2,0)+1),MATCH(H$1,[2]stages!$2:$2,0)-MATCH($G$1,[2]stages!$2:$2,0)+1,FALSE)</f>
        <v>チャレンジタワー 21F</v>
      </c>
      <c r="I85" s="25">
        <v>2</v>
      </c>
      <c r="J85" s="13">
        <v>30</v>
      </c>
      <c r="K85" s="13">
        <v>45</v>
      </c>
    </row>
    <row r="86" spans="1:11" ht="21" customHeight="1" x14ac:dyDescent="0.15">
      <c r="A86" s="17" t="str">
        <f t="shared" si="15"/>
        <v>13101_21-3</v>
      </c>
      <c r="B86" s="17" t="str">
        <f>IF(COUNTIF(enemy_habitats!$H:$H,A86),"OK","NG")</f>
        <v>OK</v>
      </c>
      <c r="C86" s="8">
        <v>13101</v>
      </c>
      <c r="D86" s="12"/>
      <c r="E86" s="23"/>
      <c r="F86" s="25">
        <v>21</v>
      </c>
      <c r="G86" s="27" t="str">
        <f t="shared" si="16"/>
        <v>13101_21</v>
      </c>
      <c r="H86" s="16" t="str">
        <f ca="1">VLOOKUP($G86,OFFSET([2]stages!$A$1,0,0,COUNTA([2]stages!$A:$A),MATCH(H$1,[2]stages!$2:$2,0)-MATCH($G$1,[2]stages!$2:$2,0)+1),MATCH(H$1,[2]stages!$2:$2,0)-MATCH($G$1,[2]stages!$2:$2,0)+1,FALSE)</f>
        <v>チャレンジタワー 21F</v>
      </c>
      <c r="I86" s="25">
        <v>3</v>
      </c>
      <c r="J86" s="13">
        <v>45</v>
      </c>
      <c r="K86" s="13">
        <v>60</v>
      </c>
    </row>
    <row r="87" spans="1:11" ht="21" customHeight="1" x14ac:dyDescent="0.15">
      <c r="A87" s="17" t="str">
        <f t="shared" si="15"/>
        <v>13101_21-4</v>
      </c>
      <c r="B87" s="17" t="str">
        <f>IF(COUNTIF(enemy_habitats!$H:$H,A87),"OK","NG")</f>
        <v>OK</v>
      </c>
      <c r="C87" s="8">
        <v>13101</v>
      </c>
      <c r="D87" s="12"/>
      <c r="E87" s="23"/>
      <c r="F87" s="25">
        <v>21</v>
      </c>
      <c r="G87" s="27" t="str">
        <f t="shared" si="16"/>
        <v>13101_21</v>
      </c>
      <c r="H87" s="16" t="str">
        <f ca="1">VLOOKUP($G87,OFFSET([2]stages!$A$1,0,0,COUNTA([2]stages!$A:$A),MATCH(H$1,[2]stages!$2:$2,0)-MATCH($G$1,[2]stages!$2:$2,0)+1),MATCH(H$1,[2]stages!$2:$2,0)-MATCH($G$1,[2]stages!$2:$2,0)+1,FALSE)</f>
        <v>チャレンジタワー 21F</v>
      </c>
      <c r="I87" s="25">
        <v>4</v>
      </c>
      <c r="J87" s="13">
        <v>30</v>
      </c>
      <c r="K87" s="13">
        <v>60</v>
      </c>
    </row>
    <row r="88" spans="1:11" ht="21" customHeight="1" x14ac:dyDescent="0.15">
      <c r="A88" s="17" t="str">
        <f t="shared" si="15"/>
        <v>13101_21-5</v>
      </c>
      <c r="B88" s="17" t="str">
        <f>IF(COUNTIF(enemy_habitats!$H:$H,A88),"OK","NG")</f>
        <v>OK</v>
      </c>
      <c r="C88" s="8">
        <v>13101</v>
      </c>
      <c r="D88" s="12"/>
      <c r="E88" s="23"/>
      <c r="F88" s="25">
        <v>21</v>
      </c>
      <c r="G88" s="27" t="str">
        <f t="shared" si="16"/>
        <v>13101_21</v>
      </c>
      <c r="H88" s="16" t="str">
        <f ca="1">VLOOKUP($G88,OFFSET([2]stages!$A$1,0,0,COUNTA([2]stages!$A:$A),MATCH(H$1,[2]stages!$2:$2,0)-MATCH($G$1,[2]stages!$2:$2,0)+1),MATCH(H$1,[2]stages!$2:$2,0)-MATCH($G$1,[2]stages!$2:$2,0)+1,FALSE)</f>
        <v>チャレンジタワー 21F</v>
      </c>
      <c r="I88" s="25">
        <v>5</v>
      </c>
      <c r="J88" s="38">
        <v>60</v>
      </c>
      <c r="K88" s="38">
        <v>60</v>
      </c>
    </row>
    <row r="89" spans="1:11" ht="21" customHeight="1" x14ac:dyDescent="0.15">
      <c r="A89" s="17" t="str">
        <f t="shared" ref="A89:A93" si="17">G89&amp;"-"&amp;I89</f>
        <v>13101_22-1</v>
      </c>
      <c r="B89" s="17" t="str">
        <f>IF(COUNTIF(enemy_habitats!$H:$H,A89),"OK","NG")</f>
        <v>OK</v>
      </c>
      <c r="C89" s="8">
        <v>13101</v>
      </c>
      <c r="D89" s="12"/>
      <c r="E89" s="23"/>
      <c r="F89" s="25">
        <v>22</v>
      </c>
      <c r="G89" s="27" t="str">
        <f t="shared" ref="G89:G93" si="18">C89&amp;"_"&amp;F89</f>
        <v>13101_22</v>
      </c>
      <c r="H89" s="16" t="str">
        <f ca="1">VLOOKUP($G89,OFFSET([2]stages!$A$1,0,0,COUNTA([2]stages!$A:$A),MATCH(H$1,[2]stages!$2:$2,0)-MATCH($G$1,[2]stages!$2:$2,0)+1),MATCH(H$1,[2]stages!$2:$2,0)-MATCH($G$1,[2]stages!$2:$2,0)+1,FALSE)</f>
        <v>チャレンジタワー 22F</v>
      </c>
      <c r="I89" s="25">
        <v>1</v>
      </c>
      <c r="J89" s="13">
        <v>30</v>
      </c>
      <c r="K89" s="13">
        <v>30</v>
      </c>
    </row>
    <row r="90" spans="1:11" ht="21" customHeight="1" x14ac:dyDescent="0.15">
      <c r="A90" s="17" t="str">
        <f t="shared" si="17"/>
        <v>13101_22-2</v>
      </c>
      <c r="B90" s="17" t="str">
        <f>IF(COUNTIF(enemy_habitats!$H:$H,A90),"OK","NG")</f>
        <v>OK</v>
      </c>
      <c r="C90" s="8">
        <v>13101</v>
      </c>
      <c r="D90" s="12"/>
      <c r="E90" s="23"/>
      <c r="F90" s="25">
        <v>22</v>
      </c>
      <c r="G90" s="27" t="str">
        <f t="shared" si="18"/>
        <v>13101_22</v>
      </c>
      <c r="H90" s="16" t="str">
        <f ca="1">VLOOKUP($G90,OFFSET([2]stages!$A$1,0,0,COUNTA([2]stages!$A:$A),MATCH(H$1,[2]stages!$2:$2,0)-MATCH($G$1,[2]stages!$2:$2,0)+1),MATCH(H$1,[2]stages!$2:$2,0)-MATCH($G$1,[2]stages!$2:$2,0)+1,FALSE)</f>
        <v>チャレンジタワー 22F</v>
      </c>
      <c r="I90" s="25">
        <v>2</v>
      </c>
      <c r="J90" s="13">
        <v>30</v>
      </c>
      <c r="K90" s="13">
        <v>45</v>
      </c>
    </row>
    <row r="91" spans="1:11" ht="21" customHeight="1" x14ac:dyDescent="0.15">
      <c r="A91" s="17" t="str">
        <f t="shared" si="17"/>
        <v>13101_22-3</v>
      </c>
      <c r="B91" s="17" t="str">
        <f>IF(COUNTIF(enemy_habitats!$H:$H,A91),"OK","NG")</f>
        <v>OK</v>
      </c>
      <c r="C91" s="8">
        <v>13101</v>
      </c>
      <c r="D91" s="12"/>
      <c r="E91" s="23"/>
      <c r="F91" s="25">
        <v>22</v>
      </c>
      <c r="G91" s="27" t="str">
        <f t="shared" si="18"/>
        <v>13101_22</v>
      </c>
      <c r="H91" s="16" t="str">
        <f ca="1">VLOOKUP($G91,OFFSET([2]stages!$A$1,0,0,COUNTA([2]stages!$A:$A),MATCH(H$1,[2]stages!$2:$2,0)-MATCH($G$1,[2]stages!$2:$2,0)+1),MATCH(H$1,[2]stages!$2:$2,0)-MATCH($G$1,[2]stages!$2:$2,0)+1,FALSE)</f>
        <v>チャレンジタワー 22F</v>
      </c>
      <c r="I91" s="25">
        <v>3</v>
      </c>
      <c r="J91" s="13">
        <v>45</v>
      </c>
      <c r="K91" s="13">
        <v>60</v>
      </c>
    </row>
    <row r="92" spans="1:11" ht="21" customHeight="1" x14ac:dyDescent="0.15">
      <c r="A92" s="17" t="str">
        <f t="shared" si="17"/>
        <v>13101_22-4</v>
      </c>
      <c r="B92" s="17" t="str">
        <f>IF(COUNTIF(enemy_habitats!$H:$H,A92),"OK","NG")</f>
        <v>OK</v>
      </c>
      <c r="C92" s="8">
        <v>13101</v>
      </c>
      <c r="D92" s="12"/>
      <c r="E92" s="23"/>
      <c r="F92" s="25">
        <v>22</v>
      </c>
      <c r="G92" s="27" t="str">
        <f t="shared" si="18"/>
        <v>13101_22</v>
      </c>
      <c r="H92" s="16" t="str">
        <f ca="1">VLOOKUP($G92,OFFSET([2]stages!$A$1,0,0,COUNTA([2]stages!$A:$A),MATCH(H$1,[2]stages!$2:$2,0)-MATCH($G$1,[2]stages!$2:$2,0)+1),MATCH(H$1,[2]stages!$2:$2,0)-MATCH($G$1,[2]stages!$2:$2,0)+1,FALSE)</f>
        <v>チャレンジタワー 22F</v>
      </c>
      <c r="I92" s="25">
        <v>4</v>
      </c>
      <c r="J92" s="13">
        <v>30</v>
      </c>
      <c r="K92" s="13">
        <v>60</v>
      </c>
    </row>
    <row r="93" spans="1:11" ht="21" customHeight="1" x14ac:dyDescent="0.15">
      <c r="A93" s="17" t="str">
        <f t="shared" si="17"/>
        <v>13101_22-5</v>
      </c>
      <c r="B93" s="17" t="str">
        <f>IF(COUNTIF(enemy_habitats!$H:$H,A93),"OK","NG")</f>
        <v>OK</v>
      </c>
      <c r="C93" s="8">
        <v>13101</v>
      </c>
      <c r="D93" s="12"/>
      <c r="E93" s="23"/>
      <c r="F93" s="25">
        <v>22</v>
      </c>
      <c r="G93" s="27" t="str">
        <f t="shared" si="18"/>
        <v>13101_22</v>
      </c>
      <c r="H93" s="16" t="str">
        <f ca="1">VLOOKUP($G93,OFFSET([2]stages!$A$1,0,0,COUNTA([2]stages!$A:$A),MATCH(H$1,[2]stages!$2:$2,0)-MATCH($G$1,[2]stages!$2:$2,0)+1),MATCH(H$1,[2]stages!$2:$2,0)-MATCH($G$1,[2]stages!$2:$2,0)+1,FALSE)</f>
        <v>チャレンジタワー 22F</v>
      </c>
      <c r="I93" s="25">
        <v>5</v>
      </c>
      <c r="J93" s="38">
        <v>60</v>
      </c>
      <c r="K93" s="38">
        <v>60</v>
      </c>
    </row>
    <row r="94" spans="1:11" ht="21" customHeight="1" x14ac:dyDescent="0.15">
      <c r="A94" s="17" t="str">
        <f t="shared" ref="A94:A98" si="19">G94&amp;"-"&amp;I94</f>
        <v>13101_23-1</v>
      </c>
      <c r="B94" s="17" t="str">
        <f>IF(COUNTIF(enemy_habitats!$H:$H,A94),"OK","NG")</f>
        <v>OK</v>
      </c>
      <c r="C94" s="8">
        <v>13101</v>
      </c>
      <c r="D94" s="12"/>
      <c r="E94" s="23"/>
      <c r="F94" s="25">
        <v>23</v>
      </c>
      <c r="G94" s="27" t="str">
        <f t="shared" ref="G94:G98" si="20">C94&amp;"_"&amp;F94</f>
        <v>13101_23</v>
      </c>
      <c r="H94" s="16" t="str">
        <f ca="1">VLOOKUP($G94,OFFSET([2]stages!$A$1,0,0,COUNTA([2]stages!$A:$A),MATCH(H$1,[2]stages!$2:$2,0)-MATCH($G$1,[2]stages!$2:$2,0)+1),MATCH(H$1,[2]stages!$2:$2,0)-MATCH($G$1,[2]stages!$2:$2,0)+1,FALSE)</f>
        <v>チャレンジタワー 23F</v>
      </c>
      <c r="I94" s="25">
        <v>1</v>
      </c>
      <c r="J94" s="13">
        <v>30</v>
      </c>
      <c r="K94" s="13">
        <v>30</v>
      </c>
    </row>
    <row r="95" spans="1:11" ht="21" customHeight="1" x14ac:dyDescent="0.15">
      <c r="A95" s="17" t="str">
        <f t="shared" si="19"/>
        <v>13101_23-2</v>
      </c>
      <c r="B95" s="17" t="str">
        <f>IF(COUNTIF(enemy_habitats!$H:$H,A95),"OK","NG")</f>
        <v>OK</v>
      </c>
      <c r="C95" s="8">
        <v>13101</v>
      </c>
      <c r="D95" s="12"/>
      <c r="E95" s="23"/>
      <c r="F95" s="25">
        <v>23</v>
      </c>
      <c r="G95" s="27" t="str">
        <f t="shared" si="20"/>
        <v>13101_23</v>
      </c>
      <c r="H95" s="16" t="str">
        <f ca="1">VLOOKUP($G95,OFFSET([2]stages!$A$1,0,0,COUNTA([2]stages!$A:$A),MATCH(H$1,[2]stages!$2:$2,0)-MATCH($G$1,[2]stages!$2:$2,0)+1),MATCH(H$1,[2]stages!$2:$2,0)-MATCH($G$1,[2]stages!$2:$2,0)+1,FALSE)</f>
        <v>チャレンジタワー 23F</v>
      </c>
      <c r="I95" s="25">
        <v>2</v>
      </c>
      <c r="J95" s="13">
        <v>30</v>
      </c>
      <c r="K95" s="13">
        <v>45</v>
      </c>
    </row>
    <row r="96" spans="1:11" ht="21" customHeight="1" x14ac:dyDescent="0.15">
      <c r="A96" s="17" t="str">
        <f t="shared" si="19"/>
        <v>13101_23-3</v>
      </c>
      <c r="B96" s="17" t="str">
        <f>IF(COUNTIF(enemy_habitats!$H:$H,A96),"OK","NG")</f>
        <v>OK</v>
      </c>
      <c r="C96" s="8">
        <v>13101</v>
      </c>
      <c r="D96" s="12"/>
      <c r="E96" s="23"/>
      <c r="F96" s="25">
        <v>23</v>
      </c>
      <c r="G96" s="27" t="str">
        <f t="shared" si="20"/>
        <v>13101_23</v>
      </c>
      <c r="H96" s="16" t="str">
        <f ca="1">VLOOKUP($G96,OFFSET([2]stages!$A$1,0,0,COUNTA([2]stages!$A:$A),MATCH(H$1,[2]stages!$2:$2,0)-MATCH($G$1,[2]stages!$2:$2,0)+1),MATCH(H$1,[2]stages!$2:$2,0)-MATCH($G$1,[2]stages!$2:$2,0)+1,FALSE)</f>
        <v>チャレンジタワー 23F</v>
      </c>
      <c r="I96" s="25">
        <v>3</v>
      </c>
      <c r="J96" s="13">
        <v>60</v>
      </c>
      <c r="K96" s="13">
        <v>60</v>
      </c>
    </row>
    <row r="97" spans="1:11" ht="21" customHeight="1" x14ac:dyDescent="0.15">
      <c r="A97" s="17" t="str">
        <f t="shared" si="19"/>
        <v>13101_23-4</v>
      </c>
      <c r="B97" s="17" t="str">
        <f>IF(COUNTIF(enemy_habitats!$H:$H,A97),"OK","NG")</f>
        <v>OK</v>
      </c>
      <c r="C97" s="8">
        <v>13101</v>
      </c>
      <c r="D97" s="12"/>
      <c r="E97" s="23"/>
      <c r="F97" s="25">
        <v>23</v>
      </c>
      <c r="G97" s="27" t="str">
        <f t="shared" si="20"/>
        <v>13101_23</v>
      </c>
      <c r="H97" s="16" t="str">
        <f ca="1">VLOOKUP($G97,OFFSET([2]stages!$A$1,0,0,COUNTA([2]stages!$A:$A),MATCH(H$1,[2]stages!$2:$2,0)-MATCH($G$1,[2]stages!$2:$2,0)+1),MATCH(H$1,[2]stages!$2:$2,0)-MATCH($G$1,[2]stages!$2:$2,0)+1,FALSE)</f>
        <v>チャレンジタワー 23F</v>
      </c>
      <c r="I97" s="25">
        <v>4</v>
      </c>
      <c r="J97" s="13">
        <v>30</v>
      </c>
      <c r="K97" s="13">
        <v>60</v>
      </c>
    </row>
    <row r="98" spans="1:11" ht="21" customHeight="1" x14ac:dyDescent="0.15">
      <c r="A98" s="17" t="str">
        <f t="shared" si="19"/>
        <v>13101_23-5</v>
      </c>
      <c r="B98" s="17" t="str">
        <f>IF(COUNTIF(enemy_habitats!$H:$H,A98),"OK","NG")</f>
        <v>OK</v>
      </c>
      <c r="C98" s="8">
        <v>13101</v>
      </c>
      <c r="D98" s="12"/>
      <c r="E98" s="23"/>
      <c r="F98" s="25">
        <v>23</v>
      </c>
      <c r="G98" s="27" t="str">
        <f t="shared" si="20"/>
        <v>13101_23</v>
      </c>
      <c r="H98" s="16" t="str">
        <f ca="1">VLOOKUP($G98,OFFSET([2]stages!$A$1,0,0,COUNTA([2]stages!$A:$A),MATCH(H$1,[2]stages!$2:$2,0)-MATCH($G$1,[2]stages!$2:$2,0)+1),MATCH(H$1,[2]stages!$2:$2,0)-MATCH($G$1,[2]stages!$2:$2,0)+1,FALSE)</f>
        <v>チャレンジタワー 23F</v>
      </c>
      <c r="I98" s="25">
        <v>5</v>
      </c>
      <c r="J98" s="38">
        <v>60</v>
      </c>
      <c r="K98" s="38">
        <v>60</v>
      </c>
    </row>
    <row r="99" spans="1:11" ht="21" customHeight="1" x14ac:dyDescent="0.15">
      <c r="A99" s="17" t="str">
        <f t="shared" ref="A99:A103" si="21">G99&amp;"-"&amp;I99</f>
        <v>13101_24-1</v>
      </c>
      <c r="B99" s="17" t="str">
        <f>IF(COUNTIF(enemy_habitats!$H:$H,A99),"OK","NG")</f>
        <v>OK</v>
      </c>
      <c r="C99" s="8">
        <v>13101</v>
      </c>
      <c r="D99" s="12"/>
      <c r="E99" s="23"/>
      <c r="F99" s="25">
        <v>24</v>
      </c>
      <c r="G99" s="27" t="str">
        <f t="shared" ref="G99:G103" si="22">C99&amp;"_"&amp;F99</f>
        <v>13101_24</v>
      </c>
      <c r="H99" s="16" t="str">
        <f ca="1">VLOOKUP($G99,OFFSET([2]stages!$A$1,0,0,COUNTA([2]stages!$A:$A),MATCH(H$1,[2]stages!$2:$2,0)-MATCH($G$1,[2]stages!$2:$2,0)+1),MATCH(H$1,[2]stages!$2:$2,0)-MATCH($G$1,[2]stages!$2:$2,0)+1,FALSE)</f>
        <v>チャレンジタワー 24F</v>
      </c>
      <c r="I99" s="25">
        <v>1</v>
      </c>
      <c r="J99" s="13">
        <v>30</v>
      </c>
      <c r="K99" s="13">
        <v>30</v>
      </c>
    </row>
    <row r="100" spans="1:11" ht="21" customHeight="1" x14ac:dyDescent="0.15">
      <c r="A100" s="17" t="str">
        <f t="shared" si="21"/>
        <v>13101_24-2</v>
      </c>
      <c r="B100" s="17" t="str">
        <f>IF(COUNTIF(enemy_habitats!$H:$H,A100),"OK","NG")</f>
        <v>OK</v>
      </c>
      <c r="C100" s="8">
        <v>13101</v>
      </c>
      <c r="D100" s="12"/>
      <c r="E100" s="23"/>
      <c r="F100" s="25">
        <v>24</v>
      </c>
      <c r="G100" s="27" t="str">
        <f t="shared" si="22"/>
        <v>13101_24</v>
      </c>
      <c r="H100" s="16" t="str">
        <f ca="1">VLOOKUP($G100,OFFSET([2]stages!$A$1,0,0,COUNTA([2]stages!$A:$A),MATCH(H$1,[2]stages!$2:$2,0)-MATCH($G$1,[2]stages!$2:$2,0)+1),MATCH(H$1,[2]stages!$2:$2,0)-MATCH($G$1,[2]stages!$2:$2,0)+1,FALSE)</f>
        <v>チャレンジタワー 24F</v>
      </c>
      <c r="I100" s="25">
        <v>2</v>
      </c>
      <c r="J100" s="13">
        <v>30</v>
      </c>
      <c r="K100" s="13">
        <v>45</v>
      </c>
    </row>
    <row r="101" spans="1:11" ht="21" customHeight="1" x14ac:dyDescent="0.15">
      <c r="A101" s="17" t="str">
        <f t="shared" si="21"/>
        <v>13101_24-3</v>
      </c>
      <c r="B101" s="17" t="str">
        <f>IF(COUNTIF(enemy_habitats!$H:$H,A101),"OK","NG")</f>
        <v>OK</v>
      </c>
      <c r="C101" s="8">
        <v>13101</v>
      </c>
      <c r="D101" s="12"/>
      <c r="E101" s="23"/>
      <c r="F101" s="25">
        <v>24</v>
      </c>
      <c r="G101" s="27" t="str">
        <f t="shared" si="22"/>
        <v>13101_24</v>
      </c>
      <c r="H101" s="16" t="str">
        <f ca="1">VLOOKUP($G101,OFFSET([2]stages!$A$1,0,0,COUNTA([2]stages!$A:$A),MATCH(H$1,[2]stages!$2:$2,0)-MATCH($G$1,[2]stages!$2:$2,0)+1),MATCH(H$1,[2]stages!$2:$2,0)-MATCH($G$1,[2]stages!$2:$2,0)+1,FALSE)</f>
        <v>チャレンジタワー 24F</v>
      </c>
      <c r="I101" s="25">
        <v>3</v>
      </c>
      <c r="J101" s="13">
        <v>60</v>
      </c>
      <c r="K101" s="13">
        <v>60</v>
      </c>
    </row>
    <row r="102" spans="1:11" ht="21" customHeight="1" x14ac:dyDescent="0.15">
      <c r="A102" s="17" t="str">
        <f t="shared" si="21"/>
        <v>13101_24-4</v>
      </c>
      <c r="B102" s="17" t="str">
        <f>IF(COUNTIF(enemy_habitats!$H:$H,A102),"OK","NG")</f>
        <v>OK</v>
      </c>
      <c r="C102" s="8">
        <v>13101</v>
      </c>
      <c r="D102" s="12"/>
      <c r="E102" s="23"/>
      <c r="F102" s="25">
        <v>24</v>
      </c>
      <c r="G102" s="27" t="str">
        <f t="shared" si="22"/>
        <v>13101_24</v>
      </c>
      <c r="H102" s="16" t="str">
        <f ca="1">VLOOKUP($G102,OFFSET([2]stages!$A$1,0,0,COUNTA([2]stages!$A:$A),MATCH(H$1,[2]stages!$2:$2,0)-MATCH($G$1,[2]stages!$2:$2,0)+1),MATCH(H$1,[2]stages!$2:$2,0)-MATCH($G$1,[2]stages!$2:$2,0)+1,FALSE)</f>
        <v>チャレンジタワー 24F</v>
      </c>
      <c r="I102" s="25">
        <v>4</v>
      </c>
      <c r="J102" s="13">
        <v>30</v>
      </c>
      <c r="K102" s="13">
        <v>60</v>
      </c>
    </row>
    <row r="103" spans="1:11" ht="21" customHeight="1" x14ac:dyDescent="0.15">
      <c r="A103" s="17" t="str">
        <f t="shared" si="21"/>
        <v>13101_24-5</v>
      </c>
      <c r="B103" s="17" t="str">
        <f>IF(COUNTIF(enemy_habitats!$H:$H,A103),"OK","NG")</f>
        <v>OK</v>
      </c>
      <c r="C103" s="8">
        <v>13101</v>
      </c>
      <c r="D103" s="12"/>
      <c r="E103" s="23"/>
      <c r="F103" s="25">
        <v>24</v>
      </c>
      <c r="G103" s="27" t="str">
        <f t="shared" si="22"/>
        <v>13101_24</v>
      </c>
      <c r="H103" s="16" t="str">
        <f ca="1">VLOOKUP($G103,OFFSET([2]stages!$A$1,0,0,COUNTA([2]stages!$A:$A),MATCH(H$1,[2]stages!$2:$2,0)-MATCH($G$1,[2]stages!$2:$2,0)+1),MATCH(H$1,[2]stages!$2:$2,0)-MATCH($G$1,[2]stages!$2:$2,0)+1,FALSE)</f>
        <v>チャレンジタワー 24F</v>
      </c>
      <c r="I103" s="25">
        <v>5</v>
      </c>
      <c r="J103" s="38">
        <v>60</v>
      </c>
      <c r="K103" s="38">
        <v>60</v>
      </c>
    </row>
    <row r="104" spans="1:11" ht="21" customHeight="1" x14ac:dyDescent="0.15">
      <c r="A104" s="17" t="str">
        <f t="shared" ref="A104:A108" si="23">G104&amp;"-"&amp;I104</f>
        <v>13101_25-1</v>
      </c>
      <c r="B104" s="17" t="str">
        <f>IF(COUNTIF(enemy_habitats!$H:$H,A104),"OK","NG")</f>
        <v>OK</v>
      </c>
      <c r="C104" s="8">
        <v>13101</v>
      </c>
      <c r="D104" s="12"/>
      <c r="E104" s="23"/>
      <c r="F104" s="25">
        <v>25</v>
      </c>
      <c r="G104" s="27" t="str">
        <f t="shared" ref="G104:G108" si="24">C104&amp;"_"&amp;F104</f>
        <v>13101_25</v>
      </c>
      <c r="H104" s="16" t="str">
        <f ca="1">VLOOKUP($G104,OFFSET([2]stages!$A$1,0,0,COUNTA([2]stages!$A:$A),MATCH(H$1,[2]stages!$2:$2,0)-MATCH($G$1,[2]stages!$2:$2,0)+1),MATCH(H$1,[2]stages!$2:$2,0)-MATCH($G$1,[2]stages!$2:$2,0)+1,FALSE)</f>
        <v>チャレンジタワー 25F</v>
      </c>
      <c r="I104" s="25">
        <v>1</v>
      </c>
      <c r="J104" s="13">
        <v>30</v>
      </c>
      <c r="K104" s="13">
        <v>30</v>
      </c>
    </row>
    <row r="105" spans="1:11" ht="21" customHeight="1" x14ac:dyDescent="0.15">
      <c r="A105" s="17" t="str">
        <f t="shared" si="23"/>
        <v>13101_25-2</v>
      </c>
      <c r="B105" s="17" t="str">
        <f>IF(COUNTIF(enemy_habitats!$H:$H,A105),"OK","NG")</f>
        <v>OK</v>
      </c>
      <c r="C105" s="8">
        <v>13101</v>
      </c>
      <c r="D105" s="12"/>
      <c r="E105" s="23"/>
      <c r="F105" s="25">
        <v>25</v>
      </c>
      <c r="G105" s="27" t="str">
        <f t="shared" si="24"/>
        <v>13101_25</v>
      </c>
      <c r="H105" s="16" t="str">
        <f ca="1">VLOOKUP($G105,OFFSET([2]stages!$A$1,0,0,COUNTA([2]stages!$A:$A),MATCH(H$1,[2]stages!$2:$2,0)-MATCH($G$1,[2]stages!$2:$2,0)+1),MATCH(H$1,[2]stages!$2:$2,0)-MATCH($G$1,[2]stages!$2:$2,0)+1,FALSE)</f>
        <v>チャレンジタワー 25F</v>
      </c>
      <c r="I105" s="25">
        <v>2</v>
      </c>
      <c r="J105" s="13">
        <v>30</v>
      </c>
      <c r="K105" s="13">
        <v>45</v>
      </c>
    </row>
    <row r="106" spans="1:11" ht="21" customHeight="1" x14ac:dyDescent="0.15">
      <c r="A106" s="17" t="str">
        <f t="shared" si="23"/>
        <v>13101_25-3</v>
      </c>
      <c r="B106" s="17" t="str">
        <f>IF(COUNTIF(enemy_habitats!$H:$H,A106),"OK","NG")</f>
        <v>OK</v>
      </c>
      <c r="C106" s="8">
        <v>13101</v>
      </c>
      <c r="D106" s="12"/>
      <c r="E106" s="23"/>
      <c r="F106" s="25">
        <v>25</v>
      </c>
      <c r="G106" s="27" t="str">
        <f t="shared" si="24"/>
        <v>13101_25</v>
      </c>
      <c r="H106" s="16" t="str">
        <f ca="1">VLOOKUP($G106,OFFSET([2]stages!$A$1,0,0,COUNTA([2]stages!$A:$A),MATCH(H$1,[2]stages!$2:$2,0)-MATCH($G$1,[2]stages!$2:$2,0)+1),MATCH(H$1,[2]stages!$2:$2,0)-MATCH($G$1,[2]stages!$2:$2,0)+1,FALSE)</f>
        <v>チャレンジタワー 25F</v>
      </c>
      <c r="I106" s="25">
        <v>3</v>
      </c>
      <c r="J106" s="13">
        <v>45</v>
      </c>
      <c r="K106" s="13">
        <v>60</v>
      </c>
    </row>
    <row r="107" spans="1:11" ht="21" customHeight="1" x14ac:dyDescent="0.15">
      <c r="A107" s="17" t="str">
        <f t="shared" si="23"/>
        <v>13101_25-4</v>
      </c>
      <c r="B107" s="17" t="str">
        <f>IF(COUNTIF(enemy_habitats!$H:$H,A107),"OK","NG")</f>
        <v>OK</v>
      </c>
      <c r="C107" s="8">
        <v>13101</v>
      </c>
      <c r="D107" s="12"/>
      <c r="E107" s="23"/>
      <c r="F107" s="25">
        <v>25</v>
      </c>
      <c r="G107" s="27" t="str">
        <f t="shared" si="24"/>
        <v>13101_25</v>
      </c>
      <c r="H107" s="16" t="str">
        <f ca="1">VLOOKUP($G107,OFFSET([2]stages!$A$1,0,0,COUNTA([2]stages!$A:$A),MATCH(H$1,[2]stages!$2:$2,0)-MATCH($G$1,[2]stages!$2:$2,0)+1),MATCH(H$1,[2]stages!$2:$2,0)-MATCH($G$1,[2]stages!$2:$2,0)+1,FALSE)</f>
        <v>チャレンジタワー 25F</v>
      </c>
      <c r="I107" s="25">
        <v>4</v>
      </c>
      <c r="J107" s="13">
        <v>45</v>
      </c>
      <c r="K107" s="13">
        <v>60</v>
      </c>
    </row>
    <row r="108" spans="1:11" ht="21" customHeight="1" x14ac:dyDescent="0.15">
      <c r="A108" s="17" t="str">
        <f t="shared" si="23"/>
        <v>13101_25-5</v>
      </c>
      <c r="B108" s="17" t="str">
        <f>IF(COUNTIF(enemy_habitats!$H:$H,A108),"OK","NG")</f>
        <v>OK</v>
      </c>
      <c r="C108" s="8">
        <v>13101</v>
      </c>
      <c r="D108" s="12"/>
      <c r="E108" s="23"/>
      <c r="F108" s="25">
        <v>25</v>
      </c>
      <c r="G108" s="27" t="str">
        <f t="shared" si="24"/>
        <v>13101_25</v>
      </c>
      <c r="H108" s="16" t="str">
        <f ca="1">VLOOKUP($G108,OFFSET([2]stages!$A$1,0,0,COUNTA([2]stages!$A:$A),MATCH(H$1,[2]stages!$2:$2,0)-MATCH($G$1,[2]stages!$2:$2,0)+1),MATCH(H$1,[2]stages!$2:$2,0)-MATCH($G$1,[2]stages!$2:$2,0)+1,FALSE)</f>
        <v>チャレンジタワー 25F</v>
      </c>
      <c r="I108" s="25">
        <v>5</v>
      </c>
      <c r="J108" s="38">
        <v>60</v>
      </c>
      <c r="K108" s="38">
        <v>60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L244"/>
  <sheetViews>
    <sheetView showGridLines="0" workbookViewId="0">
      <pane xSplit="15" ySplit="1" topLeftCell="T2" activePane="bottomRight" state="frozen"/>
      <selection pane="topRight" activeCell="N1" sqref="N1"/>
      <selection pane="bottomLeft" activeCell="A2" sqref="A2"/>
      <selection pane="bottomRight" activeCell="I4" sqref="I4"/>
    </sheetView>
  </sheetViews>
  <sheetFormatPr baseColWidth="12" defaultColWidth="13" defaultRowHeight="21" customHeight="1" outlineLevelCol="1" x14ac:dyDescent="0.15"/>
  <cols>
    <col min="1" max="1" width="12.5" style="24" bestFit="1" customWidth="1"/>
    <col min="2" max="2" width="12.5" style="4" bestFit="1" customWidth="1"/>
    <col min="3" max="3" width="12.33203125" style="4" bestFit="1" customWidth="1" collapsed="1"/>
    <col min="4" max="4" width="14.6640625" style="15" hidden="1" customWidth="1" outlineLevel="1"/>
    <col min="5" max="6" width="15.6640625" style="4" hidden="1" customWidth="1" outlineLevel="1"/>
    <col min="7" max="7" width="11.83203125" style="4" bestFit="1" customWidth="1" collapsed="1"/>
    <col min="8" max="8" width="11.83203125" style="4" hidden="1" customWidth="1" outlineLevel="1"/>
    <col min="9" max="9" width="13.5" style="10" bestFit="1" customWidth="1"/>
    <col min="10" max="10" width="15.33203125" style="10" bestFit="1" customWidth="1"/>
    <col min="11" max="11" width="17.6640625" style="4" customWidth="1" outlineLevel="1"/>
    <col min="12" max="12" width="10.33203125" style="4" customWidth="1" outlineLevel="1"/>
    <col min="13" max="13" width="13.6640625" style="4" customWidth="1" outlineLevel="1"/>
    <col min="14" max="14" width="22.83203125" style="4" customWidth="1" outlineLevel="1"/>
    <col min="15" max="15" width="11.6640625" style="4" customWidth="1" outlineLevel="1"/>
    <col min="16" max="16" width="10.1640625" style="4" bestFit="1" customWidth="1"/>
    <col min="17" max="17" width="14.83203125" style="4" bestFit="1" customWidth="1"/>
    <col min="18" max="18" width="17.5" style="4" bestFit="1" customWidth="1"/>
    <col min="19" max="19" width="18.33203125" style="4" bestFit="1" customWidth="1"/>
    <col min="20" max="20" width="14" style="4" customWidth="1"/>
    <col min="21" max="21" width="14" style="4" customWidth="1" outlineLevel="1"/>
    <col min="22" max="22" width="13" style="4" bestFit="1" customWidth="1"/>
    <col min="23" max="23" width="13.5" style="4" bestFit="1" customWidth="1"/>
    <col min="24" max="24" width="12.33203125" style="4" bestFit="1" customWidth="1"/>
    <col min="25" max="25" width="11" style="4" bestFit="1" customWidth="1"/>
    <col min="26" max="26" width="14.83203125" style="4" bestFit="1" customWidth="1"/>
    <col min="27" max="27" width="17.6640625" style="14" customWidth="1" outlineLevel="1"/>
    <col min="28" max="29" width="13.6640625" style="15" customWidth="1" outlineLevel="1"/>
    <col min="30" max="30" width="16.83203125" style="11" bestFit="1" customWidth="1" collapsed="1"/>
    <col min="31" max="32" width="16.5" style="4" bestFit="1" customWidth="1"/>
    <col min="33" max="33" width="15.33203125" style="4" customWidth="1"/>
    <col min="34" max="16384" width="13" style="4"/>
  </cols>
  <sheetData>
    <row r="1" spans="1:38" ht="21" customHeight="1" x14ac:dyDescent="0.15">
      <c r="A1" s="17" t="s">
        <v>29</v>
      </c>
      <c r="B1" s="1" t="s">
        <v>0</v>
      </c>
      <c r="C1" s="1" t="s">
        <v>1</v>
      </c>
      <c r="D1" s="16" t="s">
        <v>28</v>
      </c>
      <c r="E1" s="2" t="s">
        <v>20</v>
      </c>
      <c r="F1" s="2" t="s">
        <v>20</v>
      </c>
      <c r="G1" s="1" t="s">
        <v>19</v>
      </c>
      <c r="H1" s="16" t="s">
        <v>36</v>
      </c>
      <c r="I1" s="1" t="s">
        <v>73</v>
      </c>
      <c r="J1" s="1" t="s">
        <v>2</v>
      </c>
      <c r="K1" s="19" t="s">
        <v>21</v>
      </c>
      <c r="L1" s="16" t="s">
        <v>24</v>
      </c>
      <c r="M1" s="16" t="s">
        <v>23</v>
      </c>
      <c r="N1" s="21" t="s">
        <v>26</v>
      </c>
      <c r="O1" s="2" t="s">
        <v>25</v>
      </c>
      <c r="P1" s="1" t="s">
        <v>3</v>
      </c>
      <c r="Q1" s="42" t="s">
        <v>48</v>
      </c>
      <c r="R1" s="42" t="s">
        <v>49</v>
      </c>
      <c r="S1" s="42" t="s">
        <v>50</v>
      </c>
      <c r="T1" s="16" t="s">
        <v>32</v>
      </c>
      <c r="U1" s="1" t="s">
        <v>4</v>
      </c>
      <c r="V1" s="1" t="s">
        <v>5</v>
      </c>
      <c r="W1" s="1" t="s">
        <v>253</v>
      </c>
      <c r="X1" s="1" t="s">
        <v>254</v>
      </c>
      <c r="Y1" s="1" t="s">
        <v>8</v>
      </c>
      <c r="Z1" s="3" t="s">
        <v>255</v>
      </c>
      <c r="AA1" s="18" t="s">
        <v>16</v>
      </c>
      <c r="AB1" s="18" t="s">
        <v>17</v>
      </c>
      <c r="AC1" s="18" t="s">
        <v>27</v>
      </c>
      <c r="AD1" s="3" t="s">
        <v>256</v>
      </c>
      <c r="AE1" s="1" t="s">
        <v>11</v>
      </c>
      <c r="AF1" s="1" t="s">
        <v>257</v>
      </c>
      <c r="AG1" s="1" t="s">
        <v>39</v>
      </c>
      <c r="AH1" s="1" t="s">
        <v>41</v>
      </c>
      <c r="AI1" s="1" t="s">
        <v>43</v>
      </c>
      <c r="AJ1" s="1" t="s">
        <v>45</v>
      </c>
      <c r="AK1" s="1" t="s">
        <v>47</v>
      </c>
      <c r="AL1" s="1" t="s">
        <v>258</v>
      </c>
    </row>
    <row r="2" spans="1:38" ht="21" customHeight="1" x14ac:dyDescent="0.15">
      <c r="A2" s="17" t="str">
        <f ca="1">B2&amp;"_"&amp;C2&amp;"-"&amp;G2&amp;"/"&amp;J2&amp;"&lt;lv"&amp;P2&amp;"&gt;s"&amp;Y2</f>
        <v>13101_1-1/7&lt;lv10&gt;s2</v>
      </c>
      <c r="B2" s="26">
        <v>13101</v>
      </c>
      <c r="C2" s="25">
        <v>1</v>
      </c>
      <c r="D2" s="2" t="str">
        <f>B2&amp;"_"&amp;C2</f>
        <v>13101_1</v>
      </c>
      <c r="E2" s="5" t="str">
        <f ca="1">VLOOKUP($B2,OFFSET([2]quests!$A$1,0,0,COUNTA([2]quests!$A:$A),MATCH(E$1,[2]quests!$1:$1,0)-MATCH($B$1,[2]quests!$1:$1,0)+1),MATCH(E$1,[2]quests!$1:$1,0)-MATCH($B$1,[2]quests!$1:$1,0)+1,FALSE)</f>
        <v>チャレンジタワー</v>
      </c>
      <c r="F2" s="5" t="e">
        <f ca="1">VLOOKUP($D2,OFFSET([2]stages!$A$1,0,0,COUNTA([2]stages!$A:$A),MATCH(F$1,[2]stages!$1:$1,0)-MATCH($D$1,[2]stages!$1:$1,0)+1),MATCH(F$1,[2]stages!$1:$1,0)-MATCH($D$1,[2]stages!$1:$1,0)+1,FALSE)</f>
        <v>#N/A</v>
      </c>
      <c r="G2" s="30">
        <v>1</v>
      </c>
      <c r="H2" s="16" t="str">
        <f>B2&amp;"_"&amp;C2&amp;"-"&amp;G2</f>
        <v>13101_1-1</v>
      </c>
      <c r="I2" s="39" t="s">
        <v>245</v>
      </c>
      <c r="J2" s="39">
        <v>7</v>
      </c>
      <c r="K2" s="20" t="str">
        <f ca="1">VLOOKUP($J2,OFFSET([3]enemies!$A$1,0,0,COUNTA([3]enemies!$A:$A),MATCH(K$1,[3]enemies!$1:$1,0)-MATCH($J$1,[3]enemies!$1:$1,0)+1),MATCH(K$1,[3]enemies!$1:$1,0)-MATCH($J$1,[3]enemies!$1:$1,0)+1,FALSE)</f>
        <v>エレキポット</v>
      </c>
      <c r="L2" s="23" t="str">
        <f ca="1">VLOOKUP($J2,OFFSET([3]enemies!$A$1,0,0,COUNTA([3]enemies!$A:$A),MATCH(L$1,[3]enemies!$1:$1,0)-MATCH($J$1,[3]enemies!$1:$1,0)+1),MATCH(L$1,[3]enemies!$1:$1,0)-MATCH($J$1,[3]enemies!$1:$1,0)+1,FALSE)</f>
        <v>yellow</v>
      </c>
      <c r="M2" s="23" t="str">
        <f ca="1">VLOOKUP($J2,OFFSET([4]characters!$A$1,0,0,COUNTA([4]characters!$A:$A),MATCH(M$1,[4]characters!$1:$1,0)-MATCH($J$1,[4]characters!$1:$1,0)+1),MATCH(M$1,[4]characters!$1:$1,0)-MATCH($J$1,[4]characters!$1:$1,0)+1,FALSE)</f>
        <v>Drop1T</v>
      </c>
      <c r="N2" s="22" t="str">
        <f ca="1">VLOOKUP($J2,OFFSET([4]characters!$A$1,0,0,COUNTA([4]characters!$A:$A),MATCH(N$1,[4]characters!$1:$1,0)-MATCH($J$1,[4]characters!$1:$1,0)+2),MATCH(N$1,[4]characters!$1:$1,0)-MATCH($J$1,[4]characters!$1:$1,0)+2,FALSE)</f>
        <v>Unknown</v>
      </c>
      <c r="O2" s="5">
        <f ca="1">VLOOKUP($J2,OFFSET([3]enemies!$A$1,0,0,COUNTA([3]enemies!$A:$A),MATCH(O$1,[3]enemies!$1:$1,0)-MATCH($J$1,[3]enemies!$1:$1,0)+1),MATCH(O$1,[3]enemies!$1:$1,0)-MATCH($J$1,[3]enemies!$1:$1,0)+1,FALSE)</f>
        <v>15</v>
      </c>
      <c r="P2" s="45">
        <v>10</v>
      </c>
      <c r="Q2" s="43">
        <v>1</v>
      </c>
      <c r="R2" s="43">
        <v>1</v>
      </c>
      <c r="S2" s="6">
        <v>0</v>
      </c>
      <c r="T2" s="5" t="e">
        <f ca="1">VLOOKUP($U2,OFFSET([5]enemy_skill_sets!$B$1,0,0,COUNTA([5]enemy_skill_sets!$B:$B),MATCH(K$1,[5]enemy_skill_sets!$1:$1,0)-MATCH($U$1,[5]enemy_skill_sets!$1:$1,0)+2),MATCH(K$1,[5]enemy_skill_sets!$1:$1,0)-MATCH($U$1,[5]enemy_skill_sets!$1:$1,0)+2,FALSE)</f>
        <v>#N/A</v>
      </c>
      <c r="U2" s="136">
        <v>13101000</v>
      </c>
      <c r="V2" s="7">
        <v>1</v>
      </c>
      <c r="W2" s="7">
        <v>100</v>
      </c>
      <c r="X2" s="7">
        <v>0</v>
      </c>
      <c r="Y2" s="20">
        <f ca="1">VLOOKUP($J2,OFFSET([3]enemies!$A$1,0,0,COUNTA([3]enemies!$A:$A),MATCH(Y$1,[3]enemies!$1:$1,0)-MATCH($J$1,[3]enemies!$1:$1,0)+1),MATCH(Y$1,[3]enemies!$1:$1,0)-MATCH($J$1,[3]enemies!$1:$1,0)+1,FALSE)</f>
        <v>2</v>
      </c>
      <c r="Z2" s="29">
        <v>7</v>
      </c>
      <c r="AA2" s="5" t="str">
        <f ca="1">IFERROR(VLOOKUP($Z2,OFFSET([4]characters!$A$1,0,0,COUNTA([4]characters!$A:$A),MATCH(AA$1,[4]characters!$1:$1,0)-MATCH("character_id",[4]characters!$1:$1,0)+1),MATCH(AA$1,[4]characters!$1:$1,0)-MATCH("character_id",[4]characters!$1:$1,0)+1,FALSE),"")</f>
        <v>エレキポット</v>
      </c>
      <c r="AB2" s="5">
        <f ca="1">IFERROR(VLOOKUP($Z2,OFFSET([4]characters!$A$1,0,0,COUNTA([4]characters!$A:$A),MATCH(AB$1,[4]characters!$1:$1,0)-MATCH("character_id",[4]characters!$1:$1,0)+1),MATCH(AB$1,[4]characters!$1:$1,0)-MATCH("character_id",[4]characters!$1:$1,0)+1,FALSE),"")</f>
        <v>1</v>
      </c>
      <c r="AC2" s="5" t="str">
        <f ca="1">IFERROR(VLOOKUP($Z2,OFFSET([4]characters!$A$1,0,0,COUNTA([4]characters!$A:$A),MATCH(AC$1,[4]characters!$1:$1,0)-MATCH("character_id",[4]characters!$1:$1,0)+1),MATCH(AC$1,[4]characters!$1:$1,0)-MATCH("character_id",[4]characters!$1:$1,0)+1,FALSE),"")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2" s="8">
        <v>1</v>
      </c>
      <c r="AE2" s="28">
        <f ca="1">AB2</f>
        <v>1</v>
      </c>
      <c r="AF2" s="9">
        <v>25</v>
      </c>
      <c r="AG2" s="8">
        <v>0</v>
      </c>
      <c r="AH2" s="8">
        <v>0</v>
      </c>
      <c r="AI2" s="8">
        <v>0</v>
      </c>
      <c r="AJ2" s="8">
        <v>0</v>
      </c>
      <c r="AK2" s="8">
        <v>1</v>
      </c>
      <c r="AL2" s="8">
        <v>1</v>
      </c>
    </row>
    <row r="3" spans="1:38" ht="21" customHeight="1" x14ac:dyDescent="0.15">
      <c r="A3" s="17" t="str">
        <f t="shared" ref="A3:A8" ca="1" si="0">B3&amp;"_"&amp;C3&amp;"-"&amp;G3&amp;"/"&amp;J3&amp;"&lt;lv"&amp;P3&amp;"&gt;s"&amp;Y3</f>
        <v>13101_1-1/13&lt;lv10&gt;s2</v>
      </c>
      <c r="B3" s="26">
        <v>13101</v>
      </c>
      <c r="C3" s="25">
        <v>1</v>
      </c>
      <c r="D3" s="2" t="str">
        <f t="shared" ref="D3:D8" si="1">B3&amp;"_"&amp;C3</f>
        <v>13101_1</v>
      </c>
      <c r="E3" s="5" t="str">
        <f ca="1">VLOOKUP($B3,OFFSET([2]quests!$A$1,0,0,COUNTA([2]quests!$A:$A),MATCH(E$1,[2]quests!$1:$1,0)-MATCH($B$1,[2]quests!$1:$1,0)+1),MATCH(E$1,[2]quests!$1:$1,0)-MATCH($B$1,[2]quests!$1:$1,0)+1,FALSE)</f>
        <v>チャレンジタワー</v>
      </c>
      <c r="F3" s="5" t="e">
        <f ca="1">VLOOKUP($D3,OFFSET([2]stages!$A$1,0,0,COUNTA([2]stages!$A:$A),MATCH(F$1,[2]stages!$1:$1,0)-MATCH($D$1,[2]stages!$1:$1,0)+1),MATCH(F$1,[2]stages!$1:$1,0)-MATCH($D$1,[2]stages!$1:$1,0)+1,FALSE)</f>
        <v>#N/A</v>
      </c>
      <c r="G3" s="30">
        <v>1</v>
      </c>
      <c r="H3" s="16" t="str">
        <f t="shared" ref="H3:H15" si="2">B3&amp;"_"&amp;C3&amp;"-"&amp;G3</f>
        <v>13101_1-1</v>
      </c>
      <c r="I3" s="39" t="s">
        <v>245</v>
      </c>
      <c r="J3" s="39">
        <v>13</v>
      </c>
      <c r="K3" s="20" t="str">
        <f ca="1">VLOOKUP($J3,OFFSET([3]enemies!$A$1,0,0,COUNTA([3]enemies!$A:$A),MATCH(K$1,[3]enemies!$1:$1,0)-MATCH($J$1,[3]enemies!$1:$1,0)+1),MATCH(K$1,[3]enemies!$1:$1,0)-MATCH($J$1,[3]enemies!$1:$1,0)+1,FALSE)</f>
        <v>ミミ</v>
      </c>
      <c r="L3" s="23" t="str">
        <f ca="1">VLOOKUP($J3,OFFSET([3]enemies!$A$1,0,0,COUNTA([3]enemies!$A:$A),MATCH(L$1,[3]enemies!$1:$1,0)-MATCH($J$1,[3]enemies!$1:$1,0)+1),MATCH(L$1,[3]enemies!$1:$1,0)-MATCH($J$1,[3]enemies!$1:$1,0)+1,FALSE)</f>
        <v>yellow</v>
      </c>
      <c r="M3" s="23" t="str">
        <f ca="1">VLOOKUP($J3,OFFSET([4]characters!$A$1,0,0,COUNTA([4]characters!$A:$A),MATCH(M$1,[4]characters!$1:$1,0)-MATCH($J$1,[4]characters!$1:$1,0)+1),MATCH(M$1,[4]characters!$1:$1,0)-MATCH($J$1,[4]characters!$1:$1,0)+1,FALSE)</f>
        <v>Drop1W</v>
      </c>
      <c r="N3" s="22" t="str">
        <f ca="1">VLOOKUP($J3,OFFSET([4]characters!$A$1,0,0,COUNTA([4]characters!$A:$A),MATCH(N$1,[4]characters!$1:$1,0)-MATCH($J$1,[4]characters!$1:$1,0)+2),MATCH(N$1,[4]characters!$1:$1,0)-MATCH($J$1,[4]characters!$1:$1,0)+2,FALSE)</f>
        <v>アニマル</v>
      </c>
      <c r="O3" s="5">
        <f ca="1">VLOOKUP($J3,OFFSET([3]enemies!$A$1,0,0,COUNTA([3]enemies!$A:$A),MATCH(O$1,[3]enemies!$1:$1,0)-MATCH($J$1,[3]enemies!$1:$1,0)+1),MATCH(O$1,[3]enemies!$1:$1,0)-MATCH($J$1,[3]enemies!$1:$1,0)+1,FALSE)</f>
        <v>15</v>
      </c>
      <c r="P3" s="45">
        <v>10</v>
      </c>
      <c r="Q3" s="43">
        <v>1</v>
      </c>
      <c r="R3" s="43">
        <v>1</v>
      </c>
      <c r="S3" s="6">
        <v>0</v>
      </c>
      <c r="T3" s="5" t="str">
        <f ca="1">VLOOKUP($U3,OFFSET([5]enemy_skill_sets!$B$1,0,0,COUNTA([5]enemy_skill_sets!$B:$B),MATCH(K$1,[5]enemy_skill_sets!$1:$1,0)-MATCH($U$1,[5]enemy_skill_sets!$1:$1,0)+2),MATCH(K$1,[5]enemy_skill_sets!$1:$1,0)-MATCH($U$1,[5]enemy_skill_sets!$1:$1,0)+2,FALSE)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" s="5">
        <f ca="1">VLOOKUP($J3,OFFSET([3]enemies!$A$1,0,0,COUNTA([3]enemies!$A:$A),MATCH(U$1,[3]enemies!$1:$1,0)-MATCH($J$1,[3]enemies!$1:$1,0)+1),MATCH(U$1,[3]enemies!$1:$1,0)-MATCH($J$1,[3]enemies!$1:$1,0)+1,FALSE)</f>
        <v>0</v>
      </c>
      <c r="V3" s="7">
        <v>0</v>
      </c>
      <c r="W3" s="7">
        <v>100</v>
      </c>
      <c r="X3" s="7">
        <v>0</v>
      </c>
      <c r="Y3" s="20">
        <f ca="1">VLOOKUP($J3,OFFSET([3]enemies!$A$1,0,0,COUNTA([3]enemies!$A:$A),MATCH(Y$1,[3]enemies!$1:$1,0)-MATCH($J$1,[3]enemies!$1:$1,0)+1),MATCH(Y$1,[3]enemies!$1:$1,0)-MATCH($J$1,[3]enemies!$1:$1,0)+1,FALSE)</f>
        <v>2</v>
      </c>
      <c r="Z3" s="29">
        <v>13</v>
      </c>
      <c r="AA3" s="5" t="str">
        <f ca="1">IFERROR(VLOOKUP($Z3,OFFSET([4]characters!$A$1,0,0,COUNTA([4]characters!$A:$A),MATCH(AA$1,[4]characters!$1:$1,0)-MATCH("character_id",[4]characters!$1:$1,0)+1),MATCH(AA$1,[4]characters!$1:$1,0)-MATCH("character_id",[4]characters!$1:$1,0)+1,FALSE),"")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3" s="5">
        <f ca="1">IFERROR(VLOOKUP($Z3,OFFSET([4]characters!$A$1,0,0,COUNTA([4]characters!$A:$A),MATCH(AB$1,[4]characters!$1:$1,0)-MATCH("character_id",[4]characters!$1:$1,0)+1),MATCH(AB$1,[4]characters!$1:$1,0)-MATCH("character_id",[4]characters!$1:$1,0)+1,FALSE),"")</f>
        <v>1</v>
      </c>
      <c r="AC3" s="5" t="str">
        <f ca="1">IFERROR(VLOOKUP($Z3,OFFSET([4]characters!$A$1,0,0,COUNTA([4]characters!$A:$A),MATCH(AC$1,[4]characters!$1:$1,0)-MATCH("character_id",[4]characters!$1:$1,0)+1),MATCH(AC$1,[4]characters!$1:$1,0)-MATCH("character_id",[4]characters!$1:$1,0)+1,FALSE),"")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3" s="8">
        <v>1</v>
      </c>
      <c r="AE3" s="28">
        <f t="shared" ref="AE3:AE8" ca="1" si="3">AB3</f>
        <v>1</v>
      </c>
      <c r="AF3" s="9">
        <v>25</v>
      </c>
      <c r="AG3" s="8">
        <v>0</v>
      </c>
      <c r="AH3" s="8">
        <v>0</v>
      </c>
      <c r="AI3" s="8">
        <v>0</v>
      </c>
      <c r="AJ3" s="8">
        <v>0</v>
      </c>
      <c r="AK3" s="8">
        <v>1</v>
      </c>
      <c r="AL3" s="8">
        <v>1</v>
      </c>
    </row>
    <row r="4" spans="1:38" ht="21" customHeight="1" x14ac:dyDescent="0.15">
      <c r="A4" s="17" t="str">
        <f t="shared" ca="1" si="0"/>
        <v>13101_1-1/19&lt;lv10&gt;s3</v>
      </c>
      <c r="B4" s="26">
        <v>13101</v>
      </c>
      <c r="C4" s="25">
        <v>1</v>
      </c>
      <c r="D4" s="2" t="str">
        <f t="shared" si="1"/>
        <v>13101_1</v>
      </c>
      <c r="E4" s="5" t="str">
        <f ca="1">VLOOKUP($B4,OFFSET([2]quests!$A$1,0,0,COUNTA([2]quests!$A:$A),MATCH(E$1,[2]quests!$1:$1,0)-MATCH($B$1,[2]quests!$1:$1,0)+1),MATCH(E$1,[2]quests!$1:$1,0)-MATCH($B$1,[2]quests!$1:$1,0)+1,FALSE)</f>
        <v>チャレンジタワー</v>
      </c>
      <c r="F4" s="5" t="e">
        <f ca="1">VLOOKUP($D4,OFFSET([2]stages!$A$1,0,0,COUNTA([2]stages!$A:$A),MATCH(F$1,[2]stages!$1:$1,0)-MATCH($D$1,[2]stages!$1:$1,0)+1),MATCH(F$1,[2]stages!$1:$1,0)-MATCH($D$1,[2]stages!$1:$1,0)+1,FALSE)</f>
        <v>#N/A</v>
      </c>
      <c r="G4" s="30">
        <v>1</v>
      </c>
      <c r="H4" s="16" t="str">
        <f t="shared" si="2"/>
        <v>13101_1-1</v>
      </c>
      <c r="I4" s="39" t="s">
        <v>245</v>
      </c>
      <c r="J4" s="39">
        <v>19</v>
      </c>
      <c r="K4" s="20" t="str">
        <f ca="1">VLOOKUP($J4,OFFSET([3]enemies!$A$1,0,0,COUNTA([3]enemies!$A:$A),MATCH(K$1,[3]enemies!$1:$1,0)-MATCH($J$1,[3]enemies!$1:$1,0)+1),MATCH(K$1,[3]enemies!$1:$1,0)-MATCH($J$1,[3]enemies!$1:$1,0)+1,FALSE)</f>
        <v>ティンク</v>
      </c>
      <c r="L4" s="23" t="str">
        <f ca="1">VLOOKUP($J4,OFFSET([3]enemies!$A$1,0,0,COUNTA([3]enemies!$A:$A),MATCH(L$1,[3]enemies!$1:$1,0)-MATCH($J$1,[3]enemies!$1:$1,0)+1),MATCH(L$1,[3]enemies!$1:$1,0)-MATCH($J$1,[3]enemies!$1:$1,0)+1,FALSE)</f>
        <v>yellow</v>
      </c>
      <c r="M4" s="23" t="str">
        <f ca="1">VLOOKUP($J4,OFFSET([4]characters!$A$1,0,0,COUNTA([4]characters!$A:$A),MATCH(M$1,[4]characters!$1:$1,0)-MATCH($J$1,[4]characters!$1:$1,0)+1),MATCH(M$1,[4]characters!$1:$1,0)-MATCH($J$1,[4]characters!$1:$1,0)+1,FALSE)</f>
        <v>Drop1W</v>
      </c>
      <c r="N4" s="22" t="str">
        <f ca="1">VLOOKUP($J4,OFFSET([4]characters!$A$1,0,0,COUNTA([4]characters!$A:$A),MATCH(N$1,[4]characters!$1:$1,0)-MATCH($J$1,[4]characters!$1:$1,0)+2),MATCH(N$1,[4]characters!$1:$1,0)-MATCH($J$1,[4]characters!$1:$1,0)+2,FALSE)</f>
        <v>ヒューマン</v>
      </c>
      <c r="O4" s="5">
        <f ca="1">VLOOKUP($J4,OFFSET([3]enemies!$A$1,0,0,COUNTA([3]enemies!$A:$A),MATCH(O$1,[3]enemies!$1:$1,0)-MATCH($J$1,[3]enemies!$1:$1,0)+1),MATCH(O$1,[3]enemies!$1:$1,0)-MATCH($J$1,[3]enemies!$1:$1,0)+1,FALSE)</f>
        <v>15</v>
      </c>
      <c r="P4" s="45">
        <v>10</v>
      </c>
      <c r="Q4" s="43">
        <v>1</v>
      </c>
      <c r="R4" s="43">
        <v>1</v>
      </c>
      <c r="S4" s="6">
        <v>0</v>
      </c>
      <c r="T4" s="5" t="str">
        <f ca="1">VLOOKUP($U4,OFFSET([5]enemy_skill_sets!$B$1,0,0,COUNTA([5]enemy_skill_sets!$B:$B),MATCH(K$1,[5]enemy_skill_sets!$1:$1,0)-MATCH($U$1,[5]enemy_skill_sets!$1:$1,0)+2),MATCH(K$1,[5]enemy_skill_sets!$1:$1,0)-MATCH($U$1,[5]enemy_skill_sets!$1:$1,0)+2,FALSE)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4" s="5">
        <f ca="1">VLOOKUP($J4,OFFSET([3]enemies!$A$1,0,0,COUNTA([3]enemies!$A:$A),MATCH(U$1,[3]enemies!$1:$1,0)-MATCH($J$1,[3]enemies!$1:$1,0)+1),MATCH(U$1,[3]enemies!$1:$1,0)-MATCH($J$1,[3]enemies!$1:$1,0)+1,FALSE)</f>
        <v>0</v>
      </c>
      <c r="V4" s="7">
        <v>0</v>
      </c>
      <c r="W4" s="7">
        <v>100</v>
      </c>
      <c r="X4" s="7">
        <v>0</v>
      </c>
      <c r="Y4" s="20">
        <f ca="1">VLOOKUP($J4,OFFSET([3]enemies!$A$1,0,0,COUNTA([3]enemies!$A:$A),MATCH(Y$1,[3]enemies!$1:$1,0)-MATCH($J$1,[3]enemies!$1:$1,0)+1),MATCH(Y$1,[3]enemies!$1:$1,0)-MATCH($J$1,[3]enemies!$1:$1,0)+1,FALSE)</f>
        <v>3</v>
      </c>
      <c r="Z4" s="29">
        <v>19</v>
      </c>
      <c r="AA4" s="5" t="str">
        <f ca="1">IFERROR(VLOOKUP($Z4,OFFSET([4]characters!$A$1,0,0,COUNTA([4]characters!$A:$A),MATCH(AA$1,[4]characters!$1:$1,0)-MATCH("character_id",[4]characters!$1:$1,0)+1),MATCH(AA$1,[4]characters!$1:$1,0)-MATCH("character_id",[4]characters!$1:$1,0)+1,FALSE),"")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4" s="5">
        <f ca="1">IFERROR(VLOOKUP($Z4,OFFSET([4]characters!$A$1,0,0,COUNTA([4]characters!$A:$A),MATCH(AB$1,[4]characters!$1:$1,0)-MATCH("character_id",[4]characters!$1:$1,0)+1),MATCH(AB$1,[4]characters!$1:$1,0)-MATCH("character_id",[4]characters!$1:$1,0)+1,FALSE),"")</f>
        <v>1</v>
      </c>
      <c r="AC4" s="5" t="str">
        <f ca="1">IFERROR(VLOOKUP($Z4,OFFSET([4]characters!$A$1,0,0,COUNTA([4]characters!$A:$A),MATCH(AC$1,[4]characters!$1:$1,0)-MATCH("character_id",[4]characters!$1:$1,0)+1),MATCH(AC$1,[4]characters!$1:$1,0)-MATCH("character_id",[4]characters!$1:$1,0)+1,FALSE),"")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4" s="8">
        <v>1</v>
      </c>
      <c r="AE4" s="28">
        <f t="shared" ca="1" si="3"/>
        <v>1</v>
      </c>
      <c r="AF4" s="9">
        <v>25</v>
      </c>
      <c r="AG4" s="8">
        <v>0</v>
      </c>
      <c r="AH4" s="8">
        <v>0</v>
      </c>
      <c r="AI4" s="8">
        <v>0</v>
      </c>
      <c r="AJ4" s="8">
        <v>0</v>
      </c>
      <c r="AK4" s="8">
        <v>1</v>
      </c>
      <c r="AL4" s="8">
        <v>1</v>
      </c>
    </row>
    <row r="5" spans="1:38" ht="21" customHeight="1" x14ac:dyDescent="0.15">
      <c r="A5" s="17" t="str">
        <f t="shared" ca="1" si="0"/>
        <v>13101_1-2/7&lt;lv10&gt;s2</v>
      </c>
      <c r="B5" s="26">
        <v>13101</v>
      </c>
      <c r="C5" s="25">
        <v>1</v>
      </c>
      <c r="D5" s="2" t="str">
        <f t="shared" si="1"/>
        <v>13101_1</v>
      </c>
      <c r="E5" s="5" t="str">
        <f ca="1">VLOOKUP($B5,OFFSET([2]quests!$A$1,0,0,COUNTA([2]quests!$A:$A),MATCH(E$1,[2]quests!$1:$1,0)-MATCH($B$1,[2]quests!$1:$1,0)+1),MATCH(E$1,[2]quests!$1:$1,0)-MATCH($B$1,[2]quests!$1:$1,0)+1,FALSE)</f>
        <v>チャレンジタワー</v>
      </c>
      <c r="F5" s="5" t="e">
        <f ca="1">VLOOKUP($D5,OFFSET([2]stages!$A$1,0,0,COUNTA([2]stages!$A:$A),MATCH(F$1,[2]stages!$1:$1,0)-MATCH($D$1,[2]stages!$1:$1,0)+1),MATCH(F$1,[2]stages!$1:$1,0)-MATCH($D$1,[2]stages!$1:$1,0)+1,FALSE)</f>
        <v>#N/A</v>
      </c>
      <c r="G5" s="30">
        <v>2</v>
      </c>
      <c r="H5" s="16" t="str">
        <f t="shared" si="2"/>
        <v>13101_1-2</v>
      </c>
      <c r="I5" s="39" t="s">
        <v>245</v>
      </c>
      <c r="J5" s="39">
        <v>7</v>
      </c>
      <c r="K5" s="20" t="str">
        <f ca="1">VLOOKUP($J5,OFFSET([3]enemies!$A$1,0,0,COUNTA([3]enemies!$A:$A),MATCH(K$1,[3]enemies!$1:$1,0)-MATCH($J$1,[3]enemies!$1:$1,0)+1),MATCH(K$1,[3]enemies!$1:$1,0)-MATCH($J$1,[3]enemies!$1:$1,0)+1,FALSE)</f>
        <v>エレキポット</v>
      </c>
      <c r="L5" s="23" t="str">
        <f ca="1">VLOOKUP($J5,OFFSET([3]enemies!$A$1,0,0,COUNTA([3]enemies!$A:$A),MATCH(L$1,[3]enemies!$1:$1,0)-MATCH($J$1,[3]enemies!$1:$1,0)+1),MATCH(L$1,[3]enemies!$1:$1,0)-MATCH($J$1,[3]enemies!$1:$1,0)+1,FALSE)</f>
        <v>yellow</v>
      </c>
      <c r="M5" s="23" t="str">
        <f ca="1">VLOOKUP($J5,OFFSET([4]characters!$A$1,0,0,COUNTA([4]characters!$A:$A),MATCH(M$1,[4]characters!$1:$1,0)-MATCH($J$1,[4]characters!$1:$1,0)+1),MATCH(M$1,[4]characters!$1:$1,0)-MATCH($J$1,[4]characters!$1:$1,0)+1,FALSE)</f>
        <v>Drop1T</v>
      </c>
      <c r="N5" s="22" t="str">
        <f ca="1">VLOOKUP($J5,OFFSET([4]characters!$A$1,0,0,COUNTA([4]characters!$A:$A),MATCH(N$1,[4]characters!$1:$1,0)-MATCH($J$1,[4]characters!$1:$1,0)+2),MATCH(N$1,[4]characters!$1:$1,0)-MATCH($J$1,[4]characters!$1:$1,0)+2,FALSE)</f>
        <v>Unknown</v>
      </c>
      <c r="O5" s="5">
        <f ca="1">VLOOKUP($J5,OFFSET([3]enemies!$A$1,0,0,COUNTA([3]enemies!$A:$A),MATCH(O$1,[3]enemies!$1:$1,0)-MATCH($J$1,[3]enemies!$1:$1,0)+1),MATCH(O$1,[3]enemies!$1:$1,0)-MATCH($J$1,[3]enemies!$1:$1,0)+1,FALSE)</f>
        <v>15</v>
      </c>
      <c r="P5" s="45">
        <v>10</v>
      </c>
      <c r="Q5" s="43">
        <v>1</v>
      </c>
      <c r="R5" s="43">
        <v>1</v>
      </c>
      <c r="S5" s="6">
        <v>0</v>
      </c>
      <c r="T5" s="5" t="str">
        <f ca="1">VLOOKUP($U5,OFFSET([5]enemy_skill_sets!$B$1,0,0,COUNTA([5]enemy_skill_sets!$B:$B),MATCH(K$1,[5]enemy_skill_sets!$1:$1,0)-MATCH($U$1,[5]enemy_skill_sets!$1:$1,0)+2),MATCH(K$1,[5]enemy_skill_sets!$1:$1,0)-MATCH($U$1,[5]enemy_skill_sets!$1:$1,0)+2,FALSE)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5" s="5">
        <f ca="1">VLOOKUP($J5,OFFSET([3]enemies!$A$1,0,0,COUNTA([3]enemies!$A:$A),MATCH(U$1,[3]enemies!$1:$1,0)-MATCH($J$1,[3]enemies!$1:$1,0)+1),MATCH(U$1,[3]enemies!$1:$1,0)-MATCH($J$1,[3]enemies!$1:$1,0)+1,FALSE)</f>
        <v>0</v>
      </c>
      <c r="V5" s="7">
        <v>0</v>
      </c>
      <c r="W5" s="7">
        <v>100</v>
      </c>
      <c r="X5" s="7">
        <v>0</v>
      </c>
      <c r="Y5" s="20">
        <f ca="1">VLOOKUP($J5,OFFSET([3]enemies!$A$1,0,0,COUNTA([3]enemies!$A:$A),MATCH(Y$1,[3]enemies!$1:$1,0)-MATCH($J$1,[3]enemies!$1:$1,0)+1),MATCH(Y$1,[3]enemies!$1:$1,0)-MATCH($J$1,[3]enemies!$1:$1,0)+1,FALSE)</f>
        <v>2</v>
      </c>
      <c r="Z5" s="29">
        <v>7</v>
      </c>
      <c r="AA5" s="5" t="str">
        <f ca="1">IFERROR(VLOOKUP($Z5,OFFSET([4]characters!$A$1,0,0,COUNTA([4]characters!$A:$A),MATCH(AA$1,[4]characters!$1:$1,0)-MATCH("character_id",[4]characters!$1:$1,0)+1),MATCH(AA$1,[4]characters!$1:$1,0)-MATCH("character_id",[4]characters!$1:$1,0)+1,FALSE),"")</f>
        <v>エレキポット</v>
      </c>
      <c r="AB5" s="5">
        <f ca="1">IFERROR(VLOOKUP($Z5,OFFSET([4]characters!$A$1,0,0,COUNTA([4]characters!$A:$A),MATCH(AB$1,[4]characters!$1:$1,0)-MATCH("character_id",[4]characters!$1:$1,0)+1),MATCH(AB$1,[4]characters!$1:$1,0)-MATCH("character_id",[4]characters!$1:$1,0)+1,FALSE),"")</f>
        <v>1</v>
      </c>
      <c r="AC5" s="5" t="str">
        <f ca="1">IFERROR(VLOOKUP($Z5,OFFSET([4]characters!$A$1,0,0,COUNTA([4]characters!$A:$A),MATCH(AC$1,[4]characters!$1:$1,0)-MATCH("character_id",[4]characters!$1:$1,0)+1),MATCH(AC$1,[4]characters!$1:$1,0)-MATCH("character_id",[4]characters!$1:$1,0)+1,FALSE),"")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5" s="8">
        <v>1</v>
      </c>
      <c r="AE5" s="28">
        <f t="shared" ca="1" si="3"/>
        <v>1</v>
      </c>
      <c r="AF5" s="9">
        <v>25</v>
      </c>
      <c r="AG5" s="8">
        <v>0</v>
      </c>
      <c r="AH5" s="8">
        <v>0</v>
      </c>
      <c r="AI5" s="8">
        <v>0</v>
      </c>
      <c r="AJ5" s="8">
        <v>0</v>
      </c>
      <c r="AK5" s="8">
        <v>1</v>
      </c>
      <c r="AL5" s="8">
        <v>1</v>
      </c>
    </row>
    <row r="6" spans="1:38" ht="21" customHeight="1" x14ac:dyDescent="0.15">
      <c r="A6" s="17" t="str">
        <f t="shared" ca="1" si="0"/>
        <v>13101_1-2/13&lt;lv10&gt;s2</v>
      </c>
      <c r="B6" s="26">
        <v>13101</v>
      </c>
      <c r="C6" s="25">
        <v>1</v>
      </c>
      <c r="D6" s="2" t="str">
        <f t="shared" si="1"/>
        <v>13101_1</v>
      </c>
      <c r="E6" s="5" t="str">
        <f ca="1">VLOOKUP($B6,OFFSET([2]quests!$A$1,0,0,COUNTA([2]quests!$A:$A),MATCH(E$1,[2]quests!$1:$1,0)-MATCH($B$1,[2]quests!$1:$1,0)+1),MATCH(E$1,[2]quests!$1:$1,0)-MATCH($B$1,[2]quests!$1:$1,0)+1,FALSE)</f>
        <v>チャレンジタワー</v>
      </c>
      <c r="F6" s="5" t="e">
        <f ca="1">VLOOKUP($D6,OFFSET([2]stages!$A$1,0,0,COUNTA([2]stages!$A:$A),MATCH(F$1,[2]stages!$1:$1,0)-MATCH($D$1,[2]stages!$1:$1,0)+1),MATCH(F$1,[2]stages!$1:$1,0)-MATCH($D$1,[2]stages!$1:$1,0)+1,FALSE)</f>
        <v>#N/A</v>
      </c>
      <c r="G6" s="30">
        <v>2</v>
      </c>
      <c r="H6" s="16" t="str">
        <f t="shared" si="2"/>
        <v>13101_1-2</v>
      </c>
      <c r="I6" s="39" t="s">
        <v>245</v>
      </c>
      <c r="J6" s="39">
        <v>13</v>
      </c>
      <c r="K6" s="20" t="str">
        <f ca="1">VLOOKUP($J6,OFFSET([3]enemies!$A$1,0,0,COUNTA([3]enemies!$A:$A),MATCH(K$1,[3]enemies!$1:$1,0)-MATCH($J$1,[3]enemies!$1:$1,0)+1),MATCH(K$1,[3]enemies!$1:$1,0)-MATCH($J$1,[3]enemies!$1:$1,0)+1,FALSE)</f>
        <v>ミミ</v>
      </c>
      <c r="L6" s="23" t="str">
        <f ca="1">VLOOKUP($J6,OFFSET([3]enemies!$A$1,0,0,COUNTA([3]enemies!$A:$A),MATCH(L$1,[3]enemies!$1:$1,0)-MATCH($J$1,[3]enemies!$1:$1,0)+1),MATCH(L$1,[3]enemies!$1:$1,0)-MATCH($J$1,[3]enemies!$1:$1,0)+1,FALSE)</f>
        <v>yellow</v>
      </c>
      <c r="M6" s="23" t="str">
        <f ca="1">VLOOKUP($J6,OFFSET([4]characters!$A$1,0,0,COUNTA([4]characters!$A:$A),MATCH(M$1,[4]characters!$1:$1,0)-MATCH($J$1,[4]characters!$1:$1,0)+1),MATCH(M$1,[4]characters!$1:$1,0)-MATCH($J$1,[4]characters!$1:$1,0)+1,FALSE)</f>
        <v>Drop1W</v>
      </c>
      <c r="N6" s="22" t="str">
        <f ca="1">VLOOKUP($J6,OFFSET([4]characters!$A$1,0,0,COUNTA([4]characters!$A:$A),MATCH(N$1,[4]characters!$1:$1,0)-MATCH($J$1,[4]characters!$1:$1,0)+2),MATCH(N$1,[4]characters!$1:$1,0)-MATCH($J$1,[4]characters!$1:$1,0)+2,FALSE)</f>
        <v>アニマル</v>
      </c>
      <c r="O6" s="5">
        <f ca="1">VLOOKUP($J6,OFFSET([3]enemies!$A$1,0,0,COUNTA([3]enemies!$A:$A),MATCH(O$1,[3]enemies!$1:$1,0)-MATCH($J$1,[3]enemies!$1:$1,0)+1),MATCH(O$1,[3]enemies!$1:$1,0)-MATCH($J$1,[3]enemies!$1:$1,0)+1,FALSE)</f>
        <v>15</v>
      </c>
      <c r="P6" s="45">
        <v>10</v>
      </c>
      <c r="Q6" s="43">
        <v>1</v>
      </c>
      <c r="R6" s="43">
        <v>1</v>
      </c>
      <c r="S6" s="6">
        <v>0</v>
      </c>
      <c r="T6" s="5" t="str">
        <f ca="1">VLOOKUP($U6,OFFSET([5]enemy_skill_sets!$B$1,0,0,COUNTA([5]enemy_skill_sets!$B:$B),MATCH(K$1,[5]enemy_skill_sets!$1:$1,0)-MATCH($U$1,[5]enemy_skill_sets!$1:$1,0)+2),MATCH(K$1,[5]enemy_skill_sets!$1:$1,0)-MATCH($U$1,[5]enemy_skill_sets!$1:$1,0)+2,FALSE)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6" s="5">
        <f ca="1">VLOOKUP($J6,OFFSET([3]enemies!$A$1,0,0,COUNTA([3]enemies!$A:$A),MATCH(U$1,[3]enemies!$1:$1,0)-MATCH($J$1,[3]enemies!$1:$1,0)+1),MATCH(U$1,[3]enemies!$1:$1,0)-MATCH($J$1,[3]enemies!$1:$1,0)+1,FALSE)</f>
        <v>0</v>
      </c>
      <c r="V6" s="7">
        <v>0</v>
      </c>
      <c r="W6" s="7">
        <v>100</v>
      </c>
      <c r="X6" s="7">
        <v>0</v>
      </c>
      <c r="Y6" s="20">
        <f ca="1">VLOOKUP($J6,OFFSET([3]enemies!$A$1,0,0,COUNTA([3]enemies!$A:$A),MATCH(Y$1,[3]enemies!$1:$1,0)-MATCH($J$1,[3]enemies!$1:$1,0)+1),MATCH(Y$1,[3]enemies!$1:$1,0)-MATCH($J$1,[3]enemies!$1:$1,0)+1,FALSE)</f>
        <v>2</v>
      </c>
      <c r="Z6" s="29">
        <v>13</v>
      </c>
      <c r="AA6" s="5" t="str">
        <f ca="1">IFERROR(VLOOKUP($Z6,OFFSET([4]characters!$A$1,0,0,COUNTA([4]characters!$A:$A),MATCH(AA$1,[4]characters!$1:$1,0)-MATCH("character_id",[4]characters!$1:$1,0)+1),MATCH(AA$1,[4]characters!$1:$1,0)-MATCH("character_id",[4]characters!$1:$1,0)+1,FALSE),"")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6" s="5">
        <f ca="1">IFERROR(VLOOKUP($Z6,OFFSET([4]characters!$A$1,0,0,COUNTA([4]characters!$A:$A),MATCH(AB$1,[4]characters!$1:$1,0)-MATCH("character_id",[4]characters!$1:$1,0)+1),MATCH(AB$1,[4]characters!$1:$1,0)-MATCH("character_id",[4]characters!$1:$1,0)+1,FALSE),"")</f>
        <v>1</v>
      </c>
      <c r="AC6" s="5" t="str">
        <f ca="1">IFERROR(VLOOKUP($Z6,OFFSET([4]characters!$A$1,0,0,COUNTA([4]characters!$A:$A),MATCH(AC$1,[4]characters!$1:$1,0)-MATCH("character_id",[4]characters!$1:$1,0)+1),MATCH(AC$1,[4]characters!$1:$1,0)-MATCH("character_id",[4]characters!$1:$1,0)+1,FALSE),"")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6" s="8">
        <v>1</v>
      </c>
      <c r="AE6" s="28">
        <f t="shared" ca="1" si="3"/>
        <v>1</v>
      </c>
      <c r="AF6" s="9">
        <v>25</v>
      </c>
      <c r="AG6" s="8">
        <v>0</v>
      </c>
      <c r="AH6" s="8">
        <v>0</v>
      </c>
      <c r="AI6" s="8">
        <v>0</v>
      </c>
      <c r="AJ6" s="8">
        <v>0</v>
      </c>
      <c r="AK6" s="8">
        <v>1</v>
      </c>
      <c r="AL6" s="8">
        <v>1</v>
      </c>
    </row>
    <row r="7" spans="1:38" ht="21" customHeight="1" x14ac:dyDescent="0.15">
      <c r="A7" s="17" t="str">
        <f t="shared" ca="1" si="0"/>
        <v>13101_1-2/19&lt;lv10&gt;s3</v>
      </c>
      <c r="B7" s="26">
        <v>13101</v>
      </c>
      <c r="C7" s="25">
        <v>1</v>
      </c>
      <c r="D7" s="2" t="str">
        <f t="shared" si="1"/>
        <v>13101_1</v>
      </c>
      <c r="E7" s="5" t="str">
        <f ca="1">VLOOKUP($B7,OFFSET([2]quests!$A$1,0,0,COUNTA([2]quests!$A:$A),MATCH(E$1,[2]quests!$1:$1,0)-MATCH($B$1,[2]quests!$1:$1,0)+1),MATCH(E$1,[2]quests!$1:$1,0)-MATCH($B$1,[2]quests!$1:$1,0)+1,FALSE)</f>
        <v>チャレンジタワー</v>
      </c>
      <c r="F7" s="5" t="e">
        <f ca="1">VLOOKUP($D7,OFFSET([2]stages!$A$1,0,0,COUNTA([2]stages!$A:$A),MATCH(F$1,[2]stages!$1:$1,0)-MATCH($D$1,[2]stages!$1:$1,0)+1),MATCH(F$1,[2]stages!$1:$1,0)-MATCH($D$1,[2]stages!$1:$1,0)+1,FALSE)</f>
        <v>#N/A</v>
      </c>
      <c r="G7" s="30">
        <v>2</v>
      </c>
      <c r="H7" s="16" t="str">
        <f t="shared" si="2"/>
        <v>13101_1-2</v>
      </c>
      <c r="I7" s="39" t="s">
        <v>245</v>
      </c>
      <c r="J7" s="39">
        <v>19</v>
      </c>
      <c r="K7" s="20" t="str">
        <f ca="1">VLOOKUP($J7,OFFSET([3]enemies!$A$1,0,0,COUNTA([3]enemies!$A:$A),MATCH(K$1,[3]enemies!$1:$1,0)-MATCH($J$1,[3]enemies!$1:$1,0)+1),MATCH(K$1,[3]enemies!$1:$1,0)-MATCH($J$1,[3]enemies!$1:$1,0)+1,FALSE)</f>
        <v>ティンク</v>
      </c>
      <c r="L7" s="23" t="str">
        <f ca="1">VLOOKUP($J7,OFFSET([3]enemies!$A$1,0,0,COUNTA([3]enemies!$A:$A),MATCH(L$1,[3]enemies!$1:$1,0)-MATCH($J$1,[3]enemies!$1:$1,0)+1),MATCH(L$1,[3]enemies!$1:$1,0)-MATCH($J$1,[3]enemies!$1:$1,0)+1,FALSE)</f>
        <v>yellow</v>
      </c>
      <c r="M7" s="23" t="str">
        <f ca="1">VLOOKUP($J7,OFFSET([4]characters!$A$1,0,0,COUNTA([4]characters!$A:$A),MATCH(M$1,[4]characters!$1:$1,0)-MATCH($J$1,[4]characters!$1:$1,0)+1),MATCH(M$1,[4]characters!$1:$1,0)-MATCH($J$1,[4]characters!$1:$1,0)+1,FALSE)</f>
        <v>Drop1W</v>
      </c>
      <c r="N7" s="22" t="str">
        <f ca="1">VLOOKUP($J7,OFFSET([4]characters!$A$1,0,0,COUNTA([4]characters!$A:$A),MATCH(N$1,[4]characters!$1:$1,0)-MATCH($J$1,[4]characters!$1:$1,0)+2),MATCH(N$1,[4]characters!$1:$1,0)-MATCH($J$1,[4]characters!$1:$1,0)+2,FALSE)</f>
        <v>ヒューマン</v>
      </c>
      <c r="O7" s="5">
        <f ca="1">VLOOKUP($J7,OFFSET([3]enemies!$A$1,0,0,COUNTA([3]enemies!$A:$A),MATCH(O$1,[3]enemies!$1:$1,0)-MATCH($J$1,[3]enemies!$1:$1,0)+1),MATCH(O$1,[3]enemies!$1:$1,0)-MATCH($J$1,[3]enemies!$1:$1,0)+1,FALSE)</f>
        <v>15</v>
      </c>
      <c r="P7" s="45">
        <v>10</v>
      </c>
      <c r="Q7" s="43">
        <v>1</v>
      </c>
      <c r="R7" s="43">
        <v>1</v>
      </c>
      <c r="S7" s="6">
        <v>0</v>
      </c>
      <c r="T7" s="5" t="str">
        <f ca="1">VLOOKUP($U7,OFFSET([5]enemy_skill_sets!$B$1,0,0,COUNTA([5]enemy_skill_sets!$B:$B),MATCH(K$1,[5]enemy_skill_sets!$1:$1,0)-MATCH($U$1,[5]enemy_skill_sets!$1:$1,0)+2),MATCH(K$1,[5]enemy_skill_sets!$1:$1,0)-MATCH($U$1,[5]enemy_skill_sets!$1:$1,0)+2,FALSE)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7" s="5">
        <f ca="1">VLOOKUP($J7,OFFSET([3]enemies!$A$1,0,0,COUNTA([3]enemies!$A:$A),MATCH(U$1,[3]enemies!$1:$1,0)-MATCH($J$1,[3]enemies!$1:$1,0)+1),MATCH(U$1,[3]enemies!$1:$1,0)-MATCH($J$1,[3]enemies!$1:$1,0)+1,FALSE)</f>
        <v>0</v>
      </c>
      <c r="V7" s="7">
        <v>0</v>
      </c>
      <c r="W7" s="7">
        <v>100</v>
      </c>
      <c r="X7" s="7">
        <v>0</v>
      </c>
      <c r="Y7" s="20">
        <f ca="1">VLOOKUP($J7,OFFSET([3]enemies!$A$1,0,0,COUNTA([3]enemies!$A:$A),MATCH(Y$1,[3]enemies!$1:$1,0)-MATCH($J$1,[3]enemies!$1:$1,0)+1),MATCH(Y$1,[3]enemies!$1:$1,0)-MATCH($J$1,[3]enemies!$1:$1,0)+1,FALSE)</f>
        <v>3</v>
      </c>
      <c r="Z7" s="29">
        <v>19</v>
      </c>
      <c r="AA7" s="5" t="str">
        <f ca="1">IFERROR(VLOOKUP($Z7,OFFSET([4]characters!$A$1,0,0,COUNTA([4]characters!$A:$A),MATCH(AA$1,[4]characters!$1:$1,0)-MATCH("character_id",[4]characters!$1:$1,0)+1),MATCH(AA$1,[4]characters!$1:$1,0)-MATCH("character_id",[4]characters!$1:$1,0)+1,FALSE),"")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7" s="5">
        <f ca="1">IFERROR(VLOOKUP($Z7,OFFSET([4]characters!$A$1,0,0,COUNTA([4]characters!$A:$A),MATCH(AB$1,[4]characters!$1:$1,0)-MATCH("character_id",[4]characters!$1:$1,0)+1),MATCH(AB$1,[4]characters!$1:$1,0)-MATCH("character_id",[4]characters!$1:$1,0)+1,FALSE),"")</f>
        <v>1</v>
      </c>
      <c r="AC7" s="5" t="str">
        <f ca="1">IFERROR(VLOOKUP($Z7,OFFSET([4]characters!$A$1,0,0,COUNTA([4]characters!$A:$A),MATCH(AC$1,[4]characters!$1:$1,0)-MATCH("character_id",[4]characters!$1:$1,0)+1),MATCH(AC$1,[4]characters!$1:$1,0)-MATCH("character_id",[4]characters!$1:$1,0)+1,FALSE),"")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7" s="8">
        <v>1</v>
      </c>
      <c r="AE7" s="28">
        <f t="shared" ca="1" si="3"/>
        <v>1</v>
      </c>
      <c r="AF7" s="9">
        <v>25</v>
      </c>
      <c r="AG7" s="8">
        <v>0</v>
      </c>
      <c r="AH7" s="8">
        <v>0</v>
      </c>
      <c r="AI7" s="8">
        <v>0</v>
      </c>
      <c r="AJ7" s="8">
        <v>0</v>
      </c>
      <c r="AK7" s="8">
        <v>1</v>
      </c>
      <c r="AL7" s="8">
        <v>1</v>
      </c>
    </row>
    <row r="8" spans="1:38" ht="21" customHeight="1" x14ac:dyDescent="0.15">
      <c r="A8" s="17" t="str">
        <f t="shared" ca="1" si="0"/>
        <v>13101_1-3/75&lt;lv12&gt;s3</v>
      </c>
      <c r="B8" s="26">
        <v>13101</v>
      </c>
      <c r="C8" s="25">
        <v>1</v>
      </c>
      <c r="D8" s="2" t="str">
        <f t="shared" si="1"/>
        <v>13101_1</v>
      </c>
      <c r="E8" s="5" t="str">
        <f ca="1">VLOOKUP($B8,OFFSET([2]quests!$A$1,0,0,COUNTA([2]quests!$A:$A),MATCH(E$1,[2]quests!$1:$1,0)-MATCH($B$1,[2]quests!$1:$1,0)+1),MATCH(E$1,[2]quests!$1:$1,0)-MATCH($B$1,[2]quests!$1:$1,0)+1,FALSE)</f>
        <v>チャレンジタワー</v>
      </c>
      <c r="F8" s="5" t="e">
        <f ca="1">VLOOKUP($D8,OFFSET([2]stages!$A$1,0,0,COUNTA([2]stages!$A:$A),MATCH(F$1,[2]stages!$1:$1,0)-MATCH($D$1,[2]stages!$1:$1,0)+1),MATCH(F$1,[2]stages!$1:$1,0)-MATCH($D$1,[2]stages!$1:$1,0)+1,FALSE)</f>
        <v>#N/A</v>
      </c>
      <c r="G8" s="30">
        <v>3</v>
      </c>
      <c r="H8" s="16" t="str">
        <f t="shared" si="2"/>
        <v>13101_1-3</v>
      </c>
      <c r="I8" s="39" t="s">
        <v>245</v>
      </c>
      <c r="J8" s="39">
        <v>75</v>
      </c>
      <c r="K8" s="20" t="str">
        <f ca="1">VLOOKUP($J8,OFFSET([3]enemies!$A$1,0,0,COUNTA([3]enemies!$A:$A),MATCH(K$1,[3]enemies!$1:$1,0)-MATCH($J$1,[3]enemies!$1:$1,0)+1),MATCH(K$1,[3]enemies!$1:$1,0)-MATCH($J$1,[3]enemies!$1:$1,0)+1,FALSE)</f>
        <v>伝令者 サンダーバード</v>
      </c>
      <c r="L8" s="23" t="str">
        <f ca="1">VLOOKUP($J8,OFFSET([3]enemies!$A$1,0,0,COUNTA([3]enemies!$A:$A),MATCH(L$1,[3]enemies!$1:$1,0)-MATCH($J$1,[3]enemies!$1:$1,0)+1),MATCH(L$1,[3]enemies!$1:$1,0)-MATCH($J$1,[3]enemies!$1:$1,0)+1,FALSE)</f>
        <v>yellow</v>
      </c>
      <c r="M8" s="23" t="str">
        <f ca="1">VLOOKUP($J8,OFFSET([4]characters!$A$1,0,0,COUNTA([4]characters!$A:$A),MATCH(M$1,[4]characters!$1:$1,0)-MATCH($J$1,[4]characters!$1:$1,0)+1),MATCH(M$1,[4]characters!$1:$1,0)-MATCH($J$1,[4]characters!$1:$1,0)+1,FALSE)</f>
        <v>Drop1S</v>
      </c>
      <c r="N8" s="22" t="str">
        <f ca="1">VLOOKUP($J8,OFFSET([4]characters!$A$1,0,0,COUNTA([4]characters!$A:$A),MATCH(N$1,[4]characters!$1:$1,0)-MATCH($J$1,[4]characters!$1:$1,0)+2),MATCH(N$1,[4]characters!$1:$1,0)-MATCH($J$1,[4]characters!$1:$1,0)+2,FALSE)</f>
        <v>アニマル</v>
      </c>
      <c r="O8" s="5">
        <f ca="1">VLOOKUP($J8,OFFSET([3]enemies!$A$1,0,0,COUNTA([3]enemies!$A:$A),MATCH(O$1,[3]enemies!$1:$1,0)-MATCH($J$1,[3]enemies!$1:$1,0)+1),MATCH(O$1,[3]enemies!$1:$1,0)-MATCH($J$1,[3]enemies!$1:$1,0)+1,FALSE)</f>
        <v>20</v>
      </c>
      <c r="P8" s="45">
        <v>12</v>
      </c>
      <c r="Q8" s="43">
        <v>1</v>
      </c>
      <c r="R8" s="43">
        <v>1</v>
      </c>
      <c r="S8" s="6">
        <v>0</v>
      </c>
      <c r="T8" s="5" t="str">
        <f ca="1">VLOOKUP($U8,OFFSET([5]enemy_skill_sets!$B$1,0,0,COUNTA([5]enemy_skill_sets!$B:$B),MATCH(K$1,[5]enemy_skill_sets!$1:$1,0)-MATCH($U$1,[5]enemy_skill_sets!$1:$1,0)+2),MATCH(K$1,[5]enemy_skill_sets!$1:$1,0)-MATCH($U$1,[5]enemy_skill_sets!$1:$1,0)+2,FALSE)</f>
        <v>少しだけお邪魔パネル出現</v>
      </c>
      <c r="U8" s="5">
        <f ca="1">VLOOKUP($J8,OFFSET([3]enemies!$A$1,0,0,COUNTA([3]enemies!$A:$A),MATCH(U$1,[3]enemies!$1:$1,0)-MATCH($J$1,[3]enemies!$1:$1,0)+1),MATCH(U$1,[3]enemies!$1:$1,0)-MATCH($J$1,[3]enemies!$1:$1,0)+1,FALSE)</f>
        <v>75</v>
      </c>
      <c r="V8" s="7">
        <v>1</v>
      </c>
      <c r="W8" s="7">
        <v>100</v>
      </c>
      <c r="X8" s="7">
        <v>1</v>
      </c>
      <c r="Y8" s="20">
        <f ca="1">VLOOKUP($J8,OFFSET([3]enemies!$A$1,0,0,COUNTA([3]enemies!$A:$A),MATCH(Y$1,[3]enemies!$1:$1,0)-MATCH($J$1,[3]enemies!$1:$1,0)+1),MATCH(Y$1,[3]enemies!$1:$1,0)-MATCH($J$1,[3]enemies!$1:$1,0)+1,FALSE)</f>
        <v>3</v>
      </c>
      <c r="Z8" s="29">
        <v>74</v>
      </c>
      <c r="AA8" s="5" t="str">
        <f ca="1">IFERROR(VLOOKUP($Z8,OFFSET([4]characters!$A$1,0,0,COUNTA([4]characters!$A:$A),MATCH(AA$1,[4]characters!$1:$1,0)-MATCH("character_id",[4]characters!$1:$1,0)+1),MATCH(AA$1,[4]characters!$1:$1,0)-MATCH("character_id",[4]characters!$1:$1,0)+1,FALSE),"")</f>
        <v>サンダーバード</v>
      </c>
      <c r="AB8" s="5">
        <f ca="1">IFERROR(VLOOKUP($Z8,OFFSET([4]characters!$A$1,0,0,COUNTA([4]characters!$A:$A),MATCH(AB$1,[4]characters!$1:$1,0)-MATCH("character_id",[4]characters!$1:$1,0)+1),MATCH(AB$1,[4]characters!$1:$1,0)-MATCH("character_id",[4]characters!$1:$1,0)+1,FALSE),"")</f>
        <v>2</v>
      </c>
      <c r="AC8" s="5" t="str">
        <f ca="1">IFERROR(VLOOKUP($Z8,OFFSET([4]characters!$A$1,0,0,COUNTA([4]characters!$A:$A),MATCH(AC$1,[4]characters!$1:$1,0)-MATCH("character_id",[4]characters!$1:$1,0)+1),MATCH(AC$1,[4]characters!$1:$1,0)-MATCH("character_id",[4]characters!$1:$1,0)+1,FALSE),"")</f>
        <v>Drop1S</v>
      </c>
      <c r="AD8" s="8">
        <v>1</v>
      </c>
      <c r="AE8" s="28">
        <f t="shared" ca="1" si="3"/>
        <v>2</v>
      </c>
      <c r="AF8" s="9">
        <v>0</v>
      </c>
      <c r="AG8" s="8">
        <v>0</v>
      </c>
      <c r="AH8" s="8">
        <v>0</v>
      </c>
      <c r="AI8" s="8">
        <v>0</v>
      </c>
      <c r="AJ8" s="8">
        <v>0</v>
      </c>
      <c r="AK8" s="8">
        <v>1</v>
      </c>
      <c r="AL8" s="8">
        <v>1</v>
      </c>
    </row>
    <row r="9" spans="1:38" ht="21" customHeight="1" x14ac:dyDescent="0.15">
      <c r="A9" s="17" t="str">
        <f t="shared" ref="A9" ca="1" si="4">B9&amp;"_"&amp;C9&amp;"-"&amp;G9&amp;"/"&amp;J9&amp;"&lt;lv"&amp;P9&amp;"&gt;s"&amp;Y9</f>
        <v>13101_2-1/1&lt;lv12&gt;s1</v>
      </c>
      <c r="B9" s="26">
        <v>13101</v>
      </c>
      <c r="C9" s="25">
        <v>2</v>
      </c>
      <c r="D9" s="2" t="str">
        <f t="shared" ref="D9" si="5">B9&amp;"_"&amp;C9</f>
        <v>13101_2</v>
      </c>
      <c r="E9" s="5" t="str">
        <f ca="1">VLOOKUP($B9,OFFSET([2]quests!$A$1,0,0,COUNTA([2]quests!$A:$A),MATCH(E$1,[2]quests!$1:$1,0)-MATCH($B$1,[2]quests!$1:$1,0)+1),MATCH(E$1,[2]quests!$1:$1,0)-MATCH($B$1,[2]quests!$1:$1,0)+1,FALSE)</f>
        <v>チャレンジタワー</v>
      </c>
      <c r="F9" s="5" t="e">
        <f ca="1">VLOOKUP($D9,OFFSET([2]stages!$A$1,0,0,COUNTA([2]stages!$A:$A),MATCH(F$1,[2]stages!$1:$1,0)-MATCH($D$1,[2]stages!$1:$1,0)+1),MATCH(F$1,[2]stages!$1:$1,0)-MATCH($D$1,[2]stages!$1:$1,0)+1,FALSE)</f>
        <v>#N/A</v>
      </c>
      <c r="G9" s="30">
        <v>1</v>
      </c>
      <c r="H9" s="16" t="str">
        <f t="shared" si="2"/>
        <v>13101_2-1</v>
      </c>
      <c r="I9" s="39" t="s">
        <v>245</v>
      </c>
      <c r="J9" s="39">
        <v>1</v>
      </c>
      <c r="K9" s="20" t="str">
        <f ca="1">VLOOKUP($J9,OFFSET([3]enemies!$A$1,0,0,COUNTA([3]enemies!$A:$A),MATCH(K$1,[3]enemies!$1:$1,0)-MATCH($J$1,[3]enemies!$1:$1,0)+1),MATCH(K$1,[3]enemies!$1:$1,0)-MATCH($J$1,[3]enemies!$1:$1,0)+1,FALSE)</f>
        <v>ジェリー</v>
      </c>
      <c r="L9" s="23" t="str">
        <f ca="1">VLOOKUP($J9,OFFSET([3]enemies!$A$1,0,0,COUNTA([3]enemies!$A:$A),MATCH(L$1,[3]enemies!$1:$1,0)-MATCH($J$1,[3]enemies!$1:$1,0)+1),MATCH(L$1,[3]enemies!$1:$1,0)-MATCH($J$1,[3]enemies!$1:$1,0)+1,FALSE)</f>
        <v>red</v>
      </c>
      <c r="M9" s="23" t="str">
        <f ca="1">VLOOKUP($J9,OFFSET([4]characters!$A$1,0,0,COUNTA([4]characters!$A:$A),MATCH(M$1,[4]characters!$1:$1,0)-MATCH($J$1,[4]characters!$1:$1,0)+1),MATCH(M$1,[4]characters!$1:$1,0)-MATCH($J$1,[4]characters!$1:$1,0)+1,FALSE)</f>
        <v>Drop1T</v>
      </c>
      <c r="N9" s="22" t="str">
        <f ca="1">VLOOKUP($J9,OFFSET([4]characters!$A$1,0,0,COUNTA([4]characters!$A:$A),MATCH(N$1,[4]characters!$1:$1,0)-MATCH($J$1,[4]characters!$1:$1,0)+2),MATCH(N$1,[4]characters!$1:$1,0)-MATCH($J$1,[4]characters!$1:$1,0)+2,FALSE)</f>
        <v>Unknown</v>
      </c>
      <c r="O9" s="5">
        <f ca="1">VLOOKUP($J9,OFFSET([3]enemies!$A$1,0,0,COUNTA([3]enemies!$A:$A),MATCH(O$1,[3]enemies!$1:$1,0)-MATCH($J$1,[3]enemies!$1:$1,0)+1),MATCH(O$1,[3]enemies!$1:$1,0)-MATCH($J$1,[3]enemies!$1:$1,0)+1,FALSE)</f>
        <v>15</v>
      </c>
      <c r="P9" s="45">
        <v>12</v>
      </c>
      <c r="Q9" s="43">
        <v>1</v>
      </c>
      <c r="R9" s="43">
        <v>1</v>
      </c>
      <c r="S9" s="6">
        <v>0</v>
      </c>
      <c r="T9" s="5" t="str">
        <f ca="1">VLOOKUP($U9,OFFSET([5]enemy_skill_sets!$B$1,0,0,COUNTA([5]enemy_skill_sets!$B:$B),MATCH(K$1,[5]enemy_skill_sets!$1:$1,0)-MATCH($U$1,[5]enemy_skill_sets!$1:$1,0)+2),MATCH(K$1,[5]enemy_skill_sets!$1:$1,0)-MATCH($U$1,[5]enemy_skill_sets!$1:$1,0)+2,FALSE)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9" s="5">
        <f ca="1">VLOOKUP($J9,OFFSET([3]enemies!$A$1,0,0,COUNTA([3]enemies!$A:$A),MATCH(U$1,[3]enemies!$1:$1,0)-MATCH($J$1,[3]enemies!$1:$1,0)+1),MATCH(U$1,[3]enemies!$1:$1,0)-MATCH($J$1,[3]enemies!$1:$1,0)+1,FALSE)</f>
        <v>0</v>
      </c>
      <c r="V9" s="7">
        <v>0</v>
      </c>
      <c r="W9" s="7">
        <v>100</v>
      </c>
      <c r="X9" s="7">
        <v>0</v>
      </c>
      <c r="Y9" s="20">
        <f ca="1">VLOOKUP($J9,OFFSET([3]enemies!$A$1,0,0,COUNTA([3]enemies!$A:$A),MATCH(Y$1,[3]enemies!$1:$1,0)-MATCH($J$1,[3]enemies!$1:$1,0)+1),MATCH(Y$1,[3]enemies!$1:$1,0)-MATCH($J$1,[3]enemies!$1:$1,0)+1,FALSE)</f>
        <v>1</v>
      </c>
      <c r="Z9" s="29">
        <v>1</v>
      </c>
      <c r="AA9" s="5" t="str">
        <f ca="1">IFERROR(VLOOKUP($Z9,OFFSET([4]characters!$A$1,0,0,COUNTA([4]characters!$A:$A),MATCH(AA$1,[4]characters!$1:$1,0)-MATCH("character_id",[4]characters!$1:$1,0)+1),MATCH(AA$1,[4]characters!$1:$1,0)-MATCH("character_id",[4]characters!$1:$1,0)+1,FALSE),"")</f>
        <v>ジェリー</v>
      </c>
      <c r="AB9" s="5">
        <f ca="1">IFERROR(VLOOKUP($Z9,OFFSET([4]characters!$A$1,0,0,COUNTA([4]characters!$A:$A),MATCH(AB$1,[4]characters!$1:$1,0)-MATCH("character_id",[4]characters!$1:$1,0)+1),MATCH(AB$1,[4]characters!$1:$1,0)-MATCH("character_id",[4]characters!$1:$1,0)+1,FALSE),"")</f>
        <v>1</v>
      </c>
      <c r="AC9" s="5" t="str">
        <f ca="1">IFERROR(VLOOKUP($Z9,OFFSET([4]characters!$A$1,0,0,COUNTA([4]characters!$A:$A),MATCH(AC$1,[4]characters!$1:$1,0)-MATCH("character_id",[4]characters!$1:$1,0)+1),MATCH(AC$1,[4]characters!$1:$1,0)-MATCH("character_id",[4]characters!$1:$1,0)+1,FALSE),"")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9" s="8">
        <v>2</v>
      </c>
      <c r="AE9" s="28">
        <f t="shared" ref="AE9" ca="1" si="6">AB9</f>
        <v>1</v>
      </c>
      <c r="AF9" s="9">
        <v>25</v>
      </c>
      <c r="AG9" s="8">
        <v>0</v>
      </c>
      <c r="AH9" s="8">
        <v>0</v>
      </c>
      <c r="AI9" s="8">
        <v>0</v>
      </c>
      <c r="AJ9" s="8">
        <v>0</v>
      </c>
      <c r="AK9" s="8">
        <v>1</v>
      </c>
      <c r="AL9" s="8">
        <v>1</v>
      </c>
    </row>
    <row r="10" spans="1:38" ht="21" customHeight="1" x14ac:dyDescent="0.15">
      <c r="A10" s="17" t="str">
        <f t="shared" ref="A10:A17" ca="1" si="7">B10&amp;"_"&amp;C10&amp;"-"&amp;G10&amp;"/"&amp;J10&amp;"&lt;lv"&amp;P10&amp;"&gt;s"&amp;Y10</f>
        <v>13101_2-1/9&lt;lv12&gt;s2</v>
      </c>
      <c r="B10" s="26">
        <v>13101</v>
      </c>
      <c r="C10" s="25">
        <v>2</v>
      </c>
      <c r="D10" s="2" t="str">
        <f t="shared" ref="D10:D17" si="8">B10&amp;"_"&amp;C10</f>
        <v>13101_2</v>
      </c>
      <c r="E10" s="5" t="str">
        <f ca="1">VLOOKUP($B10,OFFSET([2]quests!$A$1,0,0,COUNTA([2]quests!$A:$A),MATCH(E$1,[2]quests!$1:$1,0)-MATCH($B$1,[2]quests!$1:$1,0)+1),MATCH(E$1,[2]quests!$1:$1,0)-MATCH($B$1,[2]quests!$1:$1,0)+1,FALSE)</f>
        <v>チャレンジタワー</v>
      </c>
      <c r="F10" s="5" t="e">
        <f ca="1">VLOOKUP($D10,OFFSET([2]stages!$A$1,0,0,COUNTA([2]stages!$A:$A),MATCH(F$1,[2]stages!$1:$1,0)-MATCH($D$1,[2]stages!$1:$1,0)+1),MATCH(F$1,[2]stages!$1:$1,0)-MATCH($D$1,[2]stages!$1:$1,0)+1,FALSE)</f>
        <v>#N/A</v>
      </c>
      <c r="G10" s="30">
        <v>1</v>
      </c>
      <c r="H10" s="16" t="str">
        <f t="shared" si="2"/>
        <v>13101_2-1</v>
      </c>
      <c r="I10" s="39" t="s">
        <v>245</v>
      </c>
      <c r="J10" s="39">
        <v>9</v>
      </c>
      <c r="K10" s="20" t="str">
        <f ca="1">VLOOKUP($J10,OFFSET([3]enemies!$A$1,0,0,COUNTA([3]enemies!$A:$A),MATCH(K$1,[3]enemies!$1:$1,0)-MATCH($J$1,[3]enemies!$1:$1,0)+1),MATCH(K$1,[3]enemies!$1:$1,0)-MATCH($J$1,[3]enemies!$1:$1,0)+1,FALSE)</f>
        <v>ブレット</v>
      </c>
      <c r="L10" s="23" t="str">
        <f ca="1">VLOOKUP($J10,OFFSET([3]enemies!$A$1,0,0,COUNTA([3]enemies!$A:$A),MATCH(L$1,[3]enemies!$1:$1,0)-MATCH($J$1,[3]enemies!$1:$1,0)+1),MATCH(L$1,[3]enemies!$1:$1,0)-MATCH($J$1,[3]enemies!$1:$1,0)+1,FALSE)</f>
        <v>red</v>
      </c>
      <c r="M10" s="23" t="str">
        <f ca="1">VLOOKUP($J10,OFFSET([4]characters!$A$1,0,0,COUNTA([4]characters!$A:$A),MATCH(M$1,[4]characters!$1:$1,0)-MATCH($J$1,[4]characters!$1:$1,0)+1),MATCH(M$1,[4]characters!$1:$1,0)-MATCH($J$1,[4]characters!$1:$1,0)+1,FALSE)</f>
        <v>Drop1W</v>
      </c>
      <c r="N10" s="22" t="str">
        <f ca="1">VLOOKUP($J10,OFFSET([4]characters!$A$1,0,0,COUNTA([4]characters!$A:$A),MATCH(N$1,[4]characters!$1:$1,0)-MATCH($J$1,[4]characters!$1:$1,0)+2),MATCH(N$1,[4]characters!$1:$1,0)-MATCH($J$1,[4]characters!$1:$1,0)+2,FALSE)</f>
        <v>アニマル</v>
      </c>
      <c r="O10" s="5">
        <f ca="1">VLOOKUP($J10,OFFSET([3]enemies!$A$1,0,0,COUNTA([3]enemies!$A:$A),MATCH(O$1,[3]enemies!$1:$1,0)-MATCH($J$1,[3]enemies!$1:$1,0)+1),MATCH(O$1,[3]enemies!$1:$1,0)-MATCH($J$1,[3]enemies!$1:$1,0)+1,FALSE)</f>
        <v>15</v>
      </c>
      <c r="P10" s="45">
        <v>12</v>
      </c>
      <c r="Q10" s="43">
        <v>1</v>
      </c>
      <c r="R10" s="43">
        <v>1</v>
      </c>
      <c r="S10" s="6">
        <v>0</v>
      </c>
      <c r="T10" s="5" t="str">
        <f ca="1">VLOOKUP($U10,OFFSET([5]enemy_skill_sets!$B$1,0,0,COUNTA([5]enemy_skill_sets!$B:$B),MATCH(K$1,[5]enemy_skill_sets!$1:$1,0)-MATCH($U$1,[5]enemy_skill_sets!$1:$1,0)+2),MATCH(K$1,[5]enemy_skill_sets!$1:$1,0)-MATCH($U$1,[5]enemy_skill_sets!$1:$1,0)+2,FALSE)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0" s="5">
        <f ca="1">VLOOKUP($J10,OFFSET([3]enemies!$A$1,0,0,COUNTA([3]enemies!$A:$A),MATCH(U$1,[3]enemies!$1:$1,0)-MATCH($J$1,[3]enemies!$1:$1,0)+1),MATCH(U$1,[3]enemies!$1:$1,0)-MATCH($J$1,[3]enemies!$1:$1,0)+1,FALSE)</f>
        <v>0</v>
      </c>
      <c r="V10" s="7">
        <v>0</v>
      </c>
      <c r="W10" s="7">
        <v>100</v>
      </c>
      <c r="X10" s="7">
        <v>0</v>
      </c>
      <c r="Y10" s="20">
        <f ca="1">VLOOKUP($J10,OFFSET([3]enemies!$A$1,0,0,COUNTA([3]enemies!$A:$A),MATCH(Y$1,[3]enemies!$1:$1,0)-MATCH($J$1,[3]enemies!$1:$1,0)+1),MATCH(Y$1,[3]enemies!$1:$1,0)-MATCH($J$1,[3]enemies!$1:$1,0)+1,FALSE)</f>
        <v>2</v>
      </c>
      <c r="Z10" s="29">
        <v>9</v>
      </c>
      <c r="AA10" s="5" t="str">
        <f ca="1">IFERROR(VLOOKUP($Z10,OFFSET([4]characters!$A$1,0,0,COUNTA([4]characters!$A:$A),MATCH(AA$1,[4]characters!$1:$1,0)-MATCH("character_id",[4]characters!$1:$1,0)+1),MATCH(AA$1,[4]characters!$1:$1,0)-MATCH("character_id",[4]characters!$1:$1,0)+1,FALSE),"")</f>
        <v>ブレット</v>
      </c>
      <c r="AB10" s="5">
        <f ca="1">IFERROR(VLOOKUP($Z10,OFFSET([4]characters!$A$1,0,0,COUNTA([4]characters!$A:$A),MATCH(AB$1,[4]characters!$1:$1,0)-MATCH("character_id",[4]characters!$1:$1,0)+1),MATCH(AB$1,[4]characters!$1:$1,0)-MATCH("character_id",[4]characters!$1:$1,0)+1,FALSE),"")</f>
        <v>1</v>
      </c>
      <c r="AC10" s="5" t="str">
        <f ca="1">IFERROR(VLOOKUP($Z10,OFFSET([4]characters!$A$1,0,0,COUNTA([4]characters!$A:$A),MATCH(AC$1,[4]characters!$1:$1,0)-MATCH("character_id",[4]characters!$1:$1,0)+1),MATCH(AC$1,[4]characters!$1:$1,0)-MATCH("character_id",[4]characters!$1:$1,0)+1,FALSE),"")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0" s="8">
        <v>1</v>
      </c>
      <c r="AE10" s="28">
        <f t="shared" ref="AE10:AE17" ca="1" si="9">AB10</f>
        <v>1</v>
      </c>
      <c r="AF10" s="9">
        <v>25</v>
      </c>
      <c r="AG10" s="8">
        <v>0</v>
      </c>
      <c r="AH10" s="8">
        <v>0</v>
      </c>
      <c r="AI10" s="8">
        <v>0</v>
      </c>
      <c r="AJ10" s="8">
        <v>0</v>
      </c>
      <c r="AK10" s="8">
        <v>1</v>
      </c>
      <c r="AL10" s="8">
        <v>1</v>
      </c>
    </row>
    <row r="11" spans="1:38" ht="21" customHeight="1" x14ac:dyDescent="0.15">
      <c r="A11" s="17" t="str">
        <f t="shared" ca="1" si="7"/>
        <v>13101_2-1/15&lt;lv12&gt;s3</v>
      </c>
      <c r="B11" s="26">
        <v>13101</v>
      </c>
      <c r="C11" s="25">
        <v>2</v>
      </c>
      <c r="D11" s="2" t="str">
        <f t="shared" si="8"/>
        <v>13101_2</v>
      </c>
      <c r="E11" s="5" t="str">
        <f ca="1">VLOOKUP($B11,OFFSET([2]quests!$A$1,0,0,COUNTA([2]quests!$A:$A),MATCH(E$1,[2]quests!$1:$1,0)-MATCH($B$1,[2]quests!$1:$1,0)+1),MATCH(E$1,[2]quests!$1:$1,0)-MATCH($B$1,[2]quests!$1:$1,0)+1,FALSE)</f>
        <v>チャレンジタワー</v>
      </c>
      <c r="F11" s="5" t="e">
        <f ca="1">VLOOKUP($D11,OFFSET([2]stages!$A$1,0,0,COUNTA([2]stages!$A:$A),MATCH(F$1,[2]stages!$1:$1,0)-MATCH($D$1,[2]stages!$1:$1,0)+1),MATCH(F$1,[2]stages!$1:$1,0)-MATCH($D$1,[2]stages!$1:$1,0)+1,FALSE)</f>
        <v>#N/A</v>
      </c>
      <c r="G11" s="30">
        <v>1</v>
      </c>
      <c r="H11" s="16" t="str">
        <f t="shared" si="2"/>
        <v>13101_2-1</v>
      </c>
      <c r="I11" s="39" t="s">
        <v>245</v>
      </c>
      <c r="J11" s="39">
        <v>15</v>
      </c>
      <c r="K11" s="20" t="str">
        <f ca="1">VLOOKUP($J11,OFFSET([3]enemies!$A$1,0,0,COUNTA([3]enemies!$A:$A),MATCH(K$1,[3]enemies!$1:$1,0)-MATCH($J$1,[3]enemies!$1:$1,0)+1),MATCH(K$1,[3]enemies!$1:$1,0)-MATCH($J$1,[3]enemies!$1:$1,0)+1,FALSE)</f>
        <v>アカネ</v>
      </c>
      <c r="L11" s="23" t="str">
        <f ca="1">VLOOKUP($J11,OFFSET([3]enemies!$A$1,0,0,COUNTA([3]enemies!$A:$A),MATCH(L$1,[3]enemies!$1:$1,0)-MATCH($J$1,[3]enemies!$1:$1,0)+1),MATCH(L$1,[3]enemies!$1:$1,0)-MATCH($J$1,[3]enemies!$1:$1,0)+1,FALSE)</f>
        <v>red</v>
      </c>
      <c r="M11" s="23" t="str">
        <f ca="1">VLOOKUP($J11,OFFSET([4]characters!$A$1,0,0,COUNTA([4]characters!$A:$A),MATCH(M$1,[4]characters!$1:$1,0)-MATCH($J$1,[4]characters!$1:$1,0)+1),MATCH(M$1,[4]characters!$1:$1,0)-MATCH($J$1,[4]characters!$1:$1,0)+1,FALSE)</f>
        <v>Drop1W</v>
      </c>
      <c r="N11" s="22" t="str">
        <f ca="1">VLOOKUP($J11,OFFSET([4]characters!$A$1,0,0,COUNTA([4]characters!$A:$A),MATCH(N$1,[4]characters!$1:$1,0)-MATCH($J$1,[4]characters!$1:$1,0)+2),MATCH(N$1,[4]characters!$1:$1,0)-MATCH($J$1,[4]characters!$1:$1,0)+2,FALSE)</f>
        <v>ヒューマン</v>
      </c>
      <c r="O11" s="5">
        <f ca="1">VLOOKUP($J11,OFFSET([3]enemies!$A$1,0,0,COUNTA([3]enemies!$A:$A),MATCH(O$1,[3]enemies!$1:$1,0)-MATCH($J$1,[3]enemies!$1:$1,0)+1),MATCH(O$1,[3]enemies!$1:$1,0)-MATCH($J$1,[3]enemies!$1:$1,0)+1,FALSE)</f>
        <v>15</v>
      </c>
      <c r="P11" s="45">
        <v>12</v>
      </c>
      <c r="Q11" s="43">
        <v>1</v>
      </c>
      <c r="R11" s="43">
        <v>1</v>
      </c>
      <c r="S11" s="6">
        <v>0</v>
      </c>
      <c r="T11" s="5" t="str">
        <f ca="1">VLOOKUP($U11,OFFSET([5]enemy_skill_sets!$B$1,0,0,COUNTA([5]enemy_skill_sets!$B:$B),MATCH(K$1,[5]enemy_skill_sets!$1:$1,0)-MATCH($U$1,[5]enemy_skill_sets!$1:$1,0)+2),MATCH(K$1,[5]enemy_skill_sets!$1:$1,0)-MATCH($U$1,[5]enemy_skill_sets!$1:$1,0)+2,FALSE)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1" s="5">
        <f ca="1">VLOOKUP($J11,OFFSET([3]enemies!$A$1,0,0,COUNTA([3]enemies!$A:$A),MATCH(U$1,[3]enemies!$1:$1,0)-MATCH($J$1,[3]enemies!$1:$1,0)+1),MATCH(U$1,[3]enemies!$1:$1,0)-MATCH($J$1,[3]enemies!$1:$1,0)+1,FALSE)</f>
        <v>0</v>
      </c>
      <c r="V11" s="7">
        <v>0</v>
      </c>
      <c r="W11" s="7">
        <v>100</v>
      </c>
      <c r="X11" s="7">
        <v>0</v>
      </c>
      <c r="Y11" s="20">
        <f ca="1">VLOOKUP($J11,OFFSET([3]enemies!$A$1,0,0,COUNTA([3]enemies!$A:$A),MATCH(Y$1,[3]enemies!$1:$1,0)-MATCH($J$1,[3]enemies!$1:$1,0)+1),MATCH(Y$1,[3]enemies!$1:$1,0)-MATCH($J$1,[3]enemies!$1:$1,0)+1,FALSE)</f>
        <v>3</v>
      </c>
      <c r="Z11" s="29">
        <v>15</v>
      </c>
      <c r="AA11" s="5" t="str">
        <f ca="1">IFERROR(VLOOKUP($Z11,OFFSET([4]characters!$A$1,0,0,COUNTA([4]characters!$A:$A),MATCH(AA$1,[4]characters!$1:$1,0)-MATCH("character_id",[4]characters!$1:$1,0)+1),MATCH(AA$1,[4]characters!$1:$1,0)-MATCH("character_id",[4]characters!$1:$1,0)+1,FALSE),"")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11" s="5">
        <f ca="1">IFERROR(VLOOKUP($Z11,OFFSET([4]characters!$A$1,0,0,COUNTA([4]characters!$A:$A),MATCH(AB$1,[4]characters!$1:$1,0)-MATCH("character_id",[4]characters!$1:$1,0)+1),MATCH(AB$1,[4]characters!$1:$1,0)-MATCH("character_id",[4]characters!$1:$1,0)+1,FALSE),"")</f>
        <v>1</v>
      </c>
      <c r="AC11" s="5" t="str">
        <f ca="1">IFERROR(VLOOKUP($Z11,OFFSET([4]characters!$A$1,0,0,COUNTA([4]characters!$A:$A),MATCH(AC$1,[4]characters!$1:$1,0)-MATCH("character_id",[4]characters!$1:$1,0)+1),MATCH(AC$1,[4]characters!$1:$1,0)-MATCH("character_id",[4]characters!$1:$1,0)+1,FALSE),"")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1" s="8">
        <v>1</v>
      </c>
      <c r="AE11" s="28">
        <f t="shared" ca="1" si="9"/>
        <v>1</v>
      </c>
      <c r="AF11" s="9">
        <v>25</v>
      </c>
      <c r="AG11" s="8">
        <v>0</v>
      </c>
      <c r="AH11" s="8">
        <v>0</v>
      </c>
      <c r="AI11" s="8">
        <v>0</v>
      </c>
      <c r="AJ11" s="8">
        <v>0</v>
      </c>
      <c r="AK11" s="8">
        <v>1</v>
      </c>
      <c r="AL11" s="8">
        <v>1</v>
      </c>
    </row>
    <row r="12" spans="1:38" ht="21" customHeight="1" x14ac:dyDescent="0.15">
      <c r="A12" s="17" t="str">
        <f t="shared" ca="1" si="7"/>
        <v>13101_2-2/1&lt;lv12&gt;s1</v>
      </c>
      <c r="B12" s="26">
        <v>13101</v>
      </c>
      <c r="C12" s="25">
        <v>2</v>
      </c>
      <c r="D12" s="2" t="str">
        <f t="shared" si="8"/>
        <v>13101_2</v>
      </c>
      <c r="E12" s="5" t="str">
        <f ca="1">VLOOKUP($B12,OFFSET([2]quests!$A$1,0,0,COUNTA([2]quests!$A:$A),MATCH(E$1,[2]quests!$1:$1,0)-MATCH($B$1,[2]quests!$1:$1,0)+1),MATCH(E$1,[2]quests!$1:$1,0)-MATCH($B$1,[2]quests!$1:$1,0)+1,FALSE)</f>
        <v>チャレンジタワー</v>
      </c>
      <c r="F12" s="5" t="e">
        <f ca="1">VLOOKUP($D12,OFFSET([2]stages!$A$1,0,0,COUNTA([2]stages!$A:$A),MATCH(F$1,[2]stages!$1:$1,0)-MATCH($D$1,[2]stages!$1:$1,0)+1),MATCH(F$1,[2]stages!$1:$1,0)-MATCH($D$1,[2]stages!$1:$1,0)+1,FALSE)</f>
        <v>#N/A</v>
      </c>
      <c r="G12" s="30">
        <v>2</v>
      </c>
      <c r="H12" s="16" t="str">
        <f t="shared" si="2"/>
        <v>13101_2-2</v>
      </c>
      <c r="I12" s="39" t="s">
        <v>245</v>
      </c>
      <c r="J12" s="39">
        <v>1</v>
      </c>
      <c r="K12" s="20" t="str">
        <f ca="1">VLOOKUP($J12,OFFSET([3]enemies!$A$1,0,0,COUNTA([3]enemies!$A:$A),MATCH(K$1,[3]enemies!$1:$1,0)-MATCH($J$1,[3]enemies!$1:$1,0)+1),MATCH(K$1,[3]enemies!$1:$1,0)-MATCH($J$1,[3]enemies!$1:$1,0)+1,FALSE)</f>
        <v>ジェリー</v>
      </c>
      <c r="L12" s="23" t="str">
        <f ca="1">VLOOKUP($J12,OFFSET([3]enemies!$A$1,0,0,COUNTA([3]enemies!$A:$A),MATCH(L$1,[3]enemies!$1:$1,0)-MATCH($J$1,[3]enemies!$1:$1,0)+1),MATCH(L$1,[3]enemies!$1:$1,0)-MATCH($J$1,[3]enemies!$1:$1,0)+1,FALSE)</f>
        <v>red</v>
      </c>
      <c r="M12" s="23" t="str">
        <f ca="1">VLOOKUP($J12,OFFSET([4]characters!$A$1,0,0,COUNTA([4]characters!$A:$A),MATCH(M$1,[4]characters!$1:$1,0)-MATCH($J$1,[4]characters!$1:$1,0)+1),MATCH(M$1,[4]characters!$1:$1,0)-MATCH($J$1,[4]characters!$1:$1,0)+1,FALSE)</f>
        <v>Drop1T</v>
      </c>
      <c r="N12" s="22" t="str">
        <f ca="1">VLOOKUP($J12,OFFSET([4]characters!$A$1,0,0,COUNTA([4]characters!$A:$A),MATCH(N$1,[4]characters!$1:$1,0)-MATCH($J$1,[4]characters!$1:$1,0)+2),MATCH(N$1,[4]characters!$1:$1,0)-MATCH($J$1,[4]characters!$1:$1,0)+2,FALSE)</f>
        <v>Unknown</v>
      </c>
      <c r="O12" s="5">
        <f ca="1">VLOOKUP($J12,OFFSET([3]enemies!$A$1,0,0,COUNTA([3]enemies!$A:$A),MATCH(O$1,[3]enemies!$1:$1,0)-MATCH($J$1,[3]enemies!$1:$1,0)+1),MATCH(O$1,[3]enemies!$1:$1,0)-MATCH($J$1,[3]enemies!$1:$1,0)+1,FALSE)</f>
        <v>15</v>
      </c>
      <c r="P12" s="45">
        <v>12</v>
      </c>
      <c r="Q12" s="43">
        <v>1</v>
      </c>
      <c r="R12" s="43">
        <v>1</v>
      </c>
      <c r="S12" s="6">
        <v>0</v>
      </c>
      <c r="T12" s="5" t="str">
        <f ca="1">VLOOKUP($U12,OFFSET([5]enemy_skill_sets!$B$1,0,0,COUNTA([5]enemy_skill_sets!$B:$B),MATCH(K$1,[5]enemy_skill_sets!$1:$1,0)-MATCH($U$1,[5]enemy_skill_sets!$1:$1,0)+2),MATCH(K$1,[5]enemy_skill_sets!$1:$1,0)-MATCH($U$1,[5]enemy_skill_sets!$1:$1,0)+2,FALSE)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2" s="5">
        <f ca="1">VLOOKUP($J12,OFFSET([3]enemies!$A$1,0,0,COUNTA([3]enemies!$A:$A),MATCH(U$1,[3]enemies!$1:$1,0)-MATCH($J$1,[3]enemies!$1:$1,0)+1),MATCH(U$1,[3]enemies!$1:$1,0)-MATCH($J$1,[3]enemies!$1:$1,0)+1,FALSE)</f>
        <v>0</v>
      </c>
      <c r="V12" s="7">
        <v>0</v>
      </c>
      <c r="W12" s="7">
        <v>100</v>
      </c>
      <c r="X12" s="7">
        <v>0</v>
      </c>
      <c r="Y12" s="20">
        <f ca="1">VLOOKUP($J12,OFFSET([3]enemies!$A$1,0,0,COUNTA([3]enemies!$A:$A),MATCH(Y$1,[3]enemies!$1:$1,0)-MATCH($J$1,[3]enemies!$1:$1,0)+1),MATCH(Y$1,[3]enemies!$1:$1,0)-MATCH($J$1,[3]enemies!$1:$1,0)+1,FALSE)</f>
        <v>1</v>
      </c>
      <c r="Z12" s="29">
        <v>1</v>
      </c>
      <c r="AA12" s="5" t="str">
        <f ca="1">IFERROR(VLOOKUP($Z12,OFFSET([4]characters!$A$1,0,0,COUNTA([4]characters!$A:$A),MATCH(AA$1,[4]characters!$1:$1,0)-MATCH("character_id",[4]characters!$1:$1,0)+1),MATCH(AA$1,[4]characters!$1:$1,0)-MATCH("character_id",[4]characters!$1:$1,0)+1,FALSE),"")</f>
        <v>ジェリー</v>
      </c>
      <c r="AB12" s="5">
        <f ca="1">IFERROR(VLOOKUP($Z12,OFFSET([4]characters!$A$1,0,0,COUNTA([4]characters!$A:$A),MATCH(AB$1,[4]characters!$1:$1,0)-MATCH("character_id",[4]characters!$1:$1,0)+1),MATCH(AB$1,[4]characters!$1:$1,0)-MATCH("character_id",[4]characters!$1:$1,0)+1,FALSE),"")</f>
        <v>1</v>
      </c>
      <c r="AC12" s="5" t="str">
        <f ca="1">IFERROR(VLOOKUP($Z12,OFFSET([4]characters!$A$1,0,0,COUNTA([4]characters!$A:$A),MATCH(AC$1,[4]characters!$1:$1,0)-MATCH("character_id",[4]characters!$1:$1,0)+1),MATCH(AC$1,[4]characters!$1:$1,0)-MATCH("character_id",[4]characters!$1:$1,0)+1,FALSE),"")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12" s="8">
        <v>2</v>
      </c>
      <c r="AE12" s="28">
        <f t="shared" ca="1" si="9"/>
        <v>1</v>
      </c>
      <c r="AF12" s="9">
        <v>25</v>
      </c>
      <c r="AG12" s="8">
        <v>0</v>
      </c>
      <c r="AH12" s="8">
        <v>0</v>
      </c>
      <c r="AI12" s="8">
        <v>0</v>
      </c>
      <c r="AJ12" s="8">
        <v>0</v>
      </c>
      <c r="AK12" s="8">
        <v>1</v>
      </c>
      <c r="AL12" s="8">
        <v>1</v>
      </c>
    </row>
    <row r="13" spans="1:38" ht="21" customHeight="1" x14ac:dyDescent="0.15">
      <c r="A13" s="17" t="str">
        <f t="shared" ca="1" si="7"/>
        <v>13101_2-2/9&lt;lv12&gt;s2</v>
      </c>
      <c r="B13" s="26">
        <v>13101</v>
      </c>
      <c r="C13" s="25">
        <v>2</v>
      </c>
      <c r="D13" s="2" t="str">
        <f t="shared" si="8"/>
        <v>13101_2</v>
      </c>
      <c r="E13" s="5" t="str">
        <f ca="1">VLOOKUP($B13,OFFSET([2]quests!$A$1,0,0,COUNTA([2]quests!$A:$A),MATCH(E$1,[2]quests!$1:$1,0)-MATCH($B$1,[2]quests!$1:$1,0)+1),MATCH(E$1,[2]quests!$1:$1,0)-MATCH($B$1,[2]quests!$1:$1,0)+1,FALSE)</f>
        <v>チャレンジタワー</v>
      </c>
      <c r="F13" s="5" t="e">
        <f ca="1">VLOOKUP($D13,OFFSET([2]stages!$A$1,0,0,COUNTA([2]stages!$A:$A),MATCH(F$1,[2]stages!$1:$1,0)-MATCH($D$1,[2]stages!$1:$1,0)+1),MATCH(F$1,[2]stages!$1:$1,0)-MATCH($D$1,[2]stages!$1:$1,0)+1,FALSE)</f>
        <v>#N/A</v>
      </c>
      <c r="G13" s="30">
        <v>2</v>
      </c>
      <c r="H13" s="16" t="str">
        <f t="shared" si="2"/>
        <v>13101_2-2</v>
      </c>
      <c r="I13" s="39" t="s">
        <v>245</v>
      </c>
      <c r="J13" s="39">
        <v>9</v>
      </c>
      <c r="K13" s="20" t="str">
        <f ca="1">VLOOKUP($J13,OFFSET([3]enemies!$A$1,0,0,COUNTA([3]enemies!$A:$A),MATCH(K$1,[3]enemies!$1:$1,0)-MATCH($J$1,[3]enemies!$1:$1,0)+1),MATCH(K$1,[3]enemies!$1:$1,0)-MATCH($J$1,[3]enemies!$1:$1,0)+1,FALSE)</f>
        <v>ブレット</v>
      </c>
      <c r="L13" s="23" t="str">
        <f ca="1">VLOOKUP($J13,OFFSET([3]enemies!$A$1,0,0,COUNTA([3]enemies!$A:$A),MATCH(L$1,[3]enemies!$1:$1,0)-MATCH($J$1,[3]enemies!$1:$1,0)+1),MATCH(L$1,[3]enemies!$1:$1,0)-MATCH($J$1,[3]enemies!$1:$1,0)+1,FALSE)</f>
        <v>red</v>
      </c>
      <c r="M13" s="23" t="str">
        <f ca="1">VLOOKUP($J13,OFFSET([4]characters!$A$1,0,0,COUNTA([4]characters!$A:$A),MATCH(M$1,[4]characters!$1:$1,0)-MATCH($J$1,[4]characters!$1:$1,0)+1),MATCH(M$1,[4]characters!$1:$1,0)-MATCH($J$1,[4]characters!$1:$1,0)+1,FALSE)</f>
        <v>Drop1W</v>
      </c>
      <c r="N13" s="22" t="str">
        <f ca="1">VLOOKUP($J13,OFFSET([4]characters!$A$1,0,0,COUNTA([4]characters!$A:$A),MATCH(N$1,[4]characters!$1:$1,0)-MATCH($J$1,[4]characters!$1:$1,0)+2),MATCH(N$1,[4]characters!$1:$1,0)-MATCH($J$1,[4]characters!$1:$1,0)+2,FALSE)</f>
        <v>アニマル</v>
      </c>
      <c r="O13" s="5">
        <f ca="1">VLOOKUP($J13,OFFSET([3]enemies!$A$1,0,0,COUNTA([3]enemies!$A:$A),MATCH(O$1,[3]enemies!$1:$1,0)-MATCH($J$1,[3]enemies!$1:$1,0)+1),MATCH(O$1,[3]enemies!$1:$1,0)-MATCH($J$1,[3]enemies!$1:$1,0)+1,FALSE)</f>
        <v>15</v>
      </c>
      <c r="P13" s="45">
        <v>12</v>
      </c>
      <c r="Q13" s="43">
        <v>1</v>
      </c>
      <c r="R13" s="43">
        <v>1</v>
      </c>
      <c r="S13" s="6">
        <v>0</v>
      </c>
      <c r="T13" s="5" t="str">
        <f ca="1">VLOOKUP($U13,OFFSET([5]enemy_skill_sets!$B$1,0,0,COUNTA([5]enemy_skill_sets!$B:$B),MATCH(K$1,[5]enemy_skill_sets!$1:$1,0)-MATCH($U$1,[5]enemy_skill_sets!$1:$1,0)+2),MATCH(K$1,[5]enemy_skill_sets!$1:$1,0)-MATCH($U$1,[5]enemy_skill_sets!$1:$1,0)+2,FALSE)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3" s="5">
        <f ca="1">VLOOKUP($J13,OFFSET([3]enemies!$A$1,0,0,COUNTA([3]enemies!$A:$A),MATCH(U$1,[3]enemies!$1:$1,0)-MATCH($J$1,[3]enemies!$1:$1,0)+1),MATCH(U$1,[3]enemies!$1:$1,0)-MATCH($J$1,[3]enemies!$1:$1,0)+1,FALSE)</f>
        <v>0</v>
      </c>
      <c r="V13" s="7">
        <v>0</v>
      </c>
      <c r="W13" s="7">
        <v>100</v>
      </c>
      <c r="X13" s="7">
        <v>0</v>
      </c>
      <c r="Y13" s="20">
        <f ca="1">VLOOKUP($J13,OFFSET([3]enemies!$A$1,0,0,COUNTA([3]enemies!$A:$A),MATCH(Y$1,[3]enemies!$1:$1,0)-MATCH($J$1,[3]enemies!$1:$1,0)+1),MATCH(Y$1,[3]enemies!$1:$1,0)-MATCH($J$1,[3]enemies!$1:$1,0)+1,FALSE)</f>
        <v>2</v>
      </c>
      <c r="Z13" s="29">
        <v>9</v>
      </c>
      <c r="AA13" s="5" t="str">
        <f ca="1">IFERROR(VLOOKUP($Z13,OFFSET([4]characters!$A$1,0,0,COUNTA([4]characters!$A:$A),MATCH(AA$1,[4]characters!$1:$1,0)-MATCH("character_id",[4]characters!$1:$1,0)+1),MATCH(AA$1,[4]characters!$1:$1,0)-MATCH("character_id",[4]characters!$1:$1,0)+1,FALSE),"")</f>
        <v>ブレット</v>
      </c>
      <c r="AB13" s="5">
        <f ca="1">IFERROR(VLOOKUP($Z13,OFFSET([4]characters!$A$1,0,0,COUNTA([4]characters!$A:$A),MATCH(AB$1,[4]characters!$1:$1,0)-MATCH("character_id",[4]characters!$1:$1,0)+1),MATCH(AB$1,[4]characters!$1:$1,0)-MATCH("character_id",[4]characters!$1:$1,0)+1,FALSE),"")</f>
        <v>1</v>
      </c>
      <c r="AC13" s="5" t="str">
        <f ca="1">IFERROR(VLOOKUP($Z13,OFFSET([4]characters!$A$1,0,0,COUNTA([4]characters!$A:$A),MATCH(AC$1,[4]characters!$1:$1,0)-MATCH("character_id",[4]characters!$1:$1,0)+1),MATCH(AC$1,[4]characters!$1:$1,0)-MATCH("character_id",[4]characters!$1:$1,0)+1,FALSE),"")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3" s="8">
        <v>1</v>
      </c>
      <c r="AE13" s="28">
        <f t="shared" ca="1" si="9"/>
        <v>1</v>
      </c>
      <c r="AF13" s="9">
        <v>25</v>
      </c>
      <c r="AG13" s="8">
        <v>0</v>
      </c>
      <c r="AH13" s="8">
        <v>0</v>
      </c>
      <c r="AI13" s="8">
        <v>0</v>
      </c>
      <c r="AJ13" s="8">
        <v>0</v>
      </c>
      <c r="AK13" s="8">
        <v>1</v>
      </c>
      <c r="AL13" s="8">
        <v>1</v>
      </c>
    </row>
    <row r="14" spans="1:38" ht="21" customHeight="1" x14ac:dyDescent="0.15">
      <c r="A14" s="17" t="str">
        <f t="shared" ca="1" si="7"/>
        <v>13101_2-2/15&lt;lv12&gt;s3</v>
      </c>
      <c r="B14" s="26">
        <v>13101</v>
      </c>
      <c r="C14" s="25">
        <v>2</v>
      </c>
      <c r="D14" s="2" t="str">
        <f t="shared" si="8"/>
        <v>13101_2</v>
      </c>
      <c r="E14" s="5" t="str">
        <f ca="1">VLOOKUP($B14,OFFSET([2]quests!$A$1,0,0,COUNTA([2]quests!$A:$A),MATCH(E$1,[2]quests!$1:$1,0)-MATCH($B$1,[2]quests!$1:$1,0)+1),MATCH(E$1,[2]quests!$1:$1,0)-MATCH($B$1,[2]quests!$1:$1,0)+1,FALSE)</f>
        <v>チャレンジタワー</v>
      </c>
      <c r="F14" s="5" t="e">
        <f ca="1">VLOOKUP($D14,OFFSET([2]stages!$A$1,0,0,COUNTA([2]stages!$A:$A),MATCH(F$1,[2]stages!$1:$1,0)-MATCH($D$1,[2]stages!$1:$1,0)+1),MATCH(F$1,[2]stages!$1:$1,0)-MATCH($D$1,[2]stages!$1:$1,0)+1,FALSE)</f>
        <v>#N/A</v>
      </c>
      <c r="G14" s="30">
        <v>2</v>
      </c>
      <c r="H14" s="16" t="str">
        <f t="shared" si="2"/>
        <v>13101_2-2</v>
      </c>
      <c r="I14" s="39" t="s">
        <v>245</v>
      </c>
      <c r="J14" s="39">
        <v>15</v>
      </c>
      <c r="K14" s="20" t="str">
        <f ca="1">VLOOKUP($J14,OFFSET([3]enemies!$A$1,0,0,COUNTA([3]enemies!$A:$A),MATCH(K$1,[3]enemies!$1:$1,0)-MATCH($J$1,[3]enemies!$1:$1,0)+1),MATCH(K$1,[3]enemies!$1:$1,0)-MATCH($J$1,[3]enemies!$1:$1,0)+1,FALSE)</f>
        <v>アカネ</v>
      </c>
      <c r="L14" s="23" t="str">
        <f ca="1">VLOOKUP($J14,OFFSET([3]enemies!$A$1,0,0,COUNTA([3]enemies!$A:$A),MATCH(L$1,[3]enemies!$1:$1,0)-MATCH($J$1,[3]enemies!$1:$1,0)+1),MATCH(L$1,[3]enemies!$1:$1,0)-MATCH($J$1,[3]enemies!$1:$1,0)+1,FALSE)</f>
        <v>red</v>
      </c>
      <c r="M14" s="23" t="str">
        <f ca="1">VLOOKUP($J14,OFFSET([4]characters!$A$1,0,0,COUNTA([4]characters!$A:$A),MATCH(M$1,[4]characters!$1:$1,0)-MATCH($J$1,[4]characters!$1:$1,0)+1),MATCH(M$1,[4]characters!$1:$1,0)-MATCH($J$1,[4]characters!$1:$1,0)+1,FALSE)</f>
        <v>Drop1W</v>
      </c>
      <c r="N14" s="22" t="str">
        <f ca="1">VLOOKUP($J14,OFFSET([4]characters!$A$1,0,0,COUNTA([4]characters!$A:$A),MATCH(N$1,[4]characters!$1:$1,0)-MATCH($J$1,[4]characters!$1:$1,0)+2),MATCH(N$1,[4]characters!$1:$1,0)-MATCH($J$1,[4]characters!$1:$1,0)+2,FALSE)</f>
        <v>ヒューマン</v>
      </c>
      <c r="O14" s="5">
        <f ca="1">VLOOKUP($J14,OFFSET([3]enemies!$A$1,0,0,COUNTA([3]enemies!$A:$A),MATCH(O$1,[3]enemies!$1:$1,0)-MATCH($J$1,[3]enemies!$1:$1,0)+1),MATCH(O$1,[3]enemies!$1:$1,0)-MATCH($J$1,[3]enemies!$1:$1,0)+1,FALSE)</f>
        <v>15</v>
      </c>
      <c r="P14" s="45">
        <v>12</v>
      </c>
      <c r="Q14" s="43">
        <v>1</v>
      </c>
      <c r="R14" s="43">
        <v>1</v>
      </c>
      <c r="S14" s="6">
        <v>0</v>
      </c>
      <c r="T14" s="5" t="str">
        <f ca="1">VLOOKUP($U14,OFFSET([5]enemy_skill_sets!$B$1,0,0,COUNTA([5]enemy_skill_sets!$B:$B),MATCH(K$1,[5]enemy_skill_sets!$1:$1,0)-MATCH($U$1,[5]enemy_skill_sets!$1:$1,0)+2),MATCH(K$1,[5]enemy_skill_sets!$1:$1,0)-MATCH($U$1,[5]enemy_skill_sets!$1:$1,0)+2,FALSE)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4" s="5">
        <f ca="1">VLOOKUP($J14,OFFSET([3]enemies!$A$1,0,0,COUNTA([3]enemies!$A:$A),MATCH(U$1,[3]enemies!$1:$1,0)-MATCH($J$1,[3]enemies!$1:$1,0)+1),MATCH(U$1,[3]enemies!$1:$1,0)-MATCH($J$1,[3]enemies!$1:$1,0)+1,FALSE)</f>
        <v>0</v>
      </c>
      <c r="V14" s="7">
        <v>0</v>
      </c>
      <c r="W14" s="7">
        <v>100</v>
      </c>
      <c r="X14" s="7">
        <v>0</v>
      </c>
      <c r="Y14" s="20">
        <f ca="1">VLOOKUP($J14,OFFSET([3]enemies!$A$1,0,0,COUNTA([3]enemies!$A:$A),MATCH(Y$1,[3]enemies!$1:$1,0)-MATCH($J$1,[3]enemies!$1:$1,0)+1),MATCH(Y$1,[3]enemies!$1:$1,0)-MATCH($J$1,[3]enemies!$1:$1,0)+1,FALSE)</f>
        <v>3</v>
      </c>
      <c r="Z14" s="29">
        <v>15</v>
      </c>
      <c r="AA14" s="5" t="str">
        <f ca="1">IFERROR(VLOOKUP($Z14,OFFSET([4]characters!$A$1,0,0,COUNTA([4]characters!$A:$A),MATCH(AA$1,[4]characters!$1:$1,0)-MATCH("character_id",[4]characters!$1:$1,0)+1),MATCH(AA$1,[4]characters!$1:$1,0)-MATCH("character_id",[4]characters!$1:$1,0)+1,FALSE),"")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14" s="5">
        <f ca="1">IFERROR(VLOOKUP($Z14,OFFSET([4]characters!$A$1,0,0,COUNTA([4]characters!$A:$A),MATCH(AB$1,[4]characters!$1:$1,0)-MATCH("character_id",[4]characters!$1:$1,0)+1),MATCH(AB$1,[4]characters!$1:$1,0)-MATCH("character_id",[4]characters!$1:$1,0)+1,FALSE),"")</f>
        <v>1</v>
      </c>
      <c r="AC14" s="5" t="str">
        <f ca="1">IFERROR(VLOOKUP($Z14,OFFSET([4]characters!$A$1,0,0,COUNTA([4]characters!$A:$A),MATCH(AC$1,[4]characters!$1:$1,0)-MATCH("character_id",[4]characters!$1:$1,0)+1),MATCH(AC$1,[4]characters!$1:$1,0)-MATCH("character_id",[4]characters!$1:$1,0)+1,FALSE),"")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4" s="8">
        <v>1</v>
      </c>
      <c r="AE14" s="28">
        <f t="shared" ca="1" si="9"/>
        <v>1</v>
      </c>
      <c r="AF14" s="9">
        <v>25</v>
      </c>
      <c r="AG14" s="8">
        <v>0</v>
      </c>
      <c r="AH14" s="8">
        <v>0</v>
      </c>
      <c r="AI14" s="8">
        <v>0</v>
      </c>
      <c r="AJ14" s="8">
        <v>0</v>
      </c>
      <c r="AK14" s="8">
        <v>1</v>
      </c>
      <c r="AL14" s="8">
        <v>1</v>
      </c>
    </row>
    <row r="15" spans="1:38" ht="21" customHeight="1" x14ac:dyDescent="0.15">
      <c r="A15" s="17" t="str">
        <f t="shared" ca="1" si="7"/>
        <v>13101_2-3/41&lt;lv14&gt;s1</v>
      </c>
      <c r="B15" s="26">
        <v>13101</v>
      </c>
      <c r="C15" s="25">
        <v>2</v>
      </c>
      <c r="D15" s="2" t="str">
        <f t="shared" si="8"/>
        <v>13101_2</v>
      </c>
      <c r="E15" s="5" t="str">
        <f ca="1">VLOOKUP($B15,OFFSET([2]quests!$A$1,0,0,COUNTA([2]quests!$A:$A),MATCH(E$1,[2]quests!$1:$1,0)-MATCH($B$1,[2]quests!$1:$1,0)+1),MATCH(E$1,[2]quests!$1:$1,0)-MATCH($B$1,[2]quests!$1:$1,0)+1,FALSE)</f>
        <v>チャレンジタワー</v>
      </c>
      <c r="F15" s="5" t="e">
        <f ca="1">VLOOKUP($D15,OFFSET([2]stages!$A$1,0,0,COUNTA([2]stages!$A:$A),MATCH(F$1,[2]stages!$1:$1,0)-MATCH($D$1,[2]stages!$1:$1,0)+1),MATCH(F$1,[2]stages!$1:$1,0)-MATCH($D$1,[2]stages!$1:$1,0)+1,FALSE)</f>
        <v>#N/A</v>
      </c>
      <c r="G15" s="30">
        <v>3</v>
      </c>
      <c r="H15" s="16" t="str">
        <f t="shared" si="2"/>
        <v>13101_2-3</v>
      </c>
      <c r="I15" s="39" t="s">
        <v>245</v>
      </c>
      <c r="J15" s="39">
        <v>41</v>
      </c>
      <c r="K15" s="20" t="str">
        <f ca="1">VLOOKUP($J15,OFFSET([3]enemies!$A$1,0,0,COUNTA([3]enemies!$A:$A),MATCH(K$1,[3]enemies!$1:$1,0)-MATCH($J$1,[3]enemies!$1:$1,0)+1),MATCH(K$1,[3]enemies!$1:$1,0)-MATCH($J$1,[3]enemies!$1:$1,0)+1,FALSE)</f>
        <v>ヒュウガ</v>
      </c>
      <c r="L15" s="23" t="str">
        <f ca="1">VLOOKUP($J15,OFFSET([3]enemies!$A$1,0,0,COUNTA([3]enemies!$A:$A),MATCH(L$1,[3]enemies!$1:$1,0)-MATCH($J$1,[3]enemies!$1:$1,0)+1),MATCH(L$1,[3]enemies!$1:$1,0)-MATCH($J$1,[3]enemies!$1:$1,0)+1,FALSE)</f>
        <v>red</v>
      </c>
      <c r="M15" s="23" t="str">
        <f ca="1">VLOOKUP($J15,OFFSET([4]characters!$A$1,0,0,COUNTA([4]characters!$A:$A),MATCH(M$1,[4]characters!$1:$1,0)-MATCH($J$1,[4]characters!$1:$1,0)+1),MATCH(M$1,[4]characters!$1:$1,0)-MATCH($J$1,[4]characters!$1:$1,0)+1,FALSE)</f>
        <v>Drop1N</v>
      </c>
      <c r="N15" s="22" t="str">
        <f ca="1">VLOOKUP($J15,OFFSET([4]characters!$A$1,0,0,COUNTA([4]characters!$A:$A),MATCH(N$1,[4]characters!$1:$1,0)-MATCH($J$1,[4]characters!$1:$1,0)+2),MATCH(N$1,[4]characters!$1:$1,0)-MATCH($J$1,[4]characters!$1:$1,0)+2,FALSE)</f>
        <v>ドラゴン</v>
      </c>
      <c r="O15" s="5">
        <f ca="1">VLOOKUP($J15,OFFSET([3]enemies!$A$1,0,0,COUNTA([3]enemies!$A:$A),MATCH(O$1,[3]enemies!$1:$1,0)-MATCH($J$1,[3]enemies!$1:$1,0)+1),MATCH(O$1,[3]enemies!$1:$1,0)-MATCH($J$1,[3]enemies!$1:$1,0)+1,FALSE)</f>
        <v>15</v>
      </c>
      <c r="P15" s="45">
        <v>14</v>
      </c>
      <c r="Q15" s="43">
        <v>1</v>
      </c>
      <c r="R15" s="43">
        <v>1</v>
      </c>
      <c r="S15" s="6">
        <v>0</v>
      </c>
      <c r="T15" s="5" t="str">
        <f ca="1">VLOOKUP($U15,OFFSET([5]enemy_skill_sets!$B$1,0,0,COUNTA([5]enemy_skill_sets!$B:$B),MATCH(K$1,[5]enemy_skill_sets!$1:$1,0)-MATCH($U$1,[5]enemy_skill_sets!$1:$1,0)+2),MATCH(K$1,[5]enemy_skill_sets!$1:$1,0)-MATCH($U$1,[5]enemy_skill_sets!$1:$1,0)+2,FALSE)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5" s="5">
        <f ca="1">VLOOKUP($J15,OFFSET([3]enemies!$A$1,0,0,COUNTA([3]enemies!$A:$A),MATCH(U$1,[3]enemies!$1:$1,0)-MATCH($J$1,[3]enemies!$1:$1,0)+1),MATCH(U$1,[3]enemies!$1:$1,0)-MATCH($J$1,[3]enemies!$1:$1,0)+1,FALSE)</f>
        <v>0</v>
      </c>
      <c r="V15" s="7">
        <v>2</v>
      </c>
      <c r="W15" s="7">
        <v>100</v>
      </c>
      <c r="X15" s="7">
        <v>1</v>
      </c>
      <c r="Y15" s="20">
        <f ca="1">VLOOKUP($J15,OFFSET([3]enemies!$A$1,0,0,COUNTA([3]enemies!$A:$A),MATCH(Y$1,[3]enemies!$1:$1,0)-MATCH($J$1,[3]enemies!$1:$1,0)+1),MATCH(Y$1,[3]enemies!$1:$1,0)-MATCH($J$1,[3]enemies!$1:$1,0)+1,FALSE)</f>
        <v>1</v>
      </c>
      <c r="Z15" s="29">
        <v>41</v>
      </c>
      <c r="AA15" s="5" t="str">
        <f ca="1">IFERROR(VLOOKUP($Z15,OFFSET([4]characters!$A$1,0,0,COUNTA([4]characters!$A:$A),MATCH(AA$1,[4]characters!$1:$1,0)-MATCH("character_id",[4]characters!$1:$1,0)+1),MATCH(AA$1,[4]characters!$1:$1,0)-MATCH("character_id",[4]characters!$1:$1,0)+1,FALSE),"")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15" s="5">
        <f ca="1">IFERROR(VLOOKUP($Z15,OFFSET([4]characters!$A$1,0,0,COUNTA([4]characters!$A:$A),MATCH(AB$1,[4]characters!$1:$1,0)-MATCH("character_id",[4]characters!$1:$1,0)+1),MATCH(AB$1,[4]characters!$1:$1,0)-MATCH("character_id",[4]characters!$1:$1,0)+1,FALSE),"")</f>
        <v>2</v>
      </c>
      <c r="AC15" s="5" t="str">
        <f ca="1">IFERROR(VLOOKUP($Z15,OFFSET([4]characters!$A$1,0,0,COUNTA([4]characters!$A:$A),MATCH(AC$1,[4]characters!$1:$1,0)-MATCH("character_id",[4]characters!$1:$1,0)+1),MATCH(AC$1,[4]characters!$1:$1,0)-MATCH("character_id",[4]characters!$1:$1,0)+1,FALSE),"")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5" s="8">
        <v>1</v>
      </c>
      <c r="AE15" s="28">
        <f t="shared" ca="1" si="9"/>
        <v>2</v>
      </c>
      <c r="AF15" s="9">
        <v>0</v>
      </c>
      <c r="AG15" s="8">
        <v>0</v>
      </c>
      <c r="AH15" s="8">
        <v>0</v>
      </c>
      <c r="AI15" s="8">
        <v>0</v>
      </c>
      <c r="AJ15" s="8">
        <v>0</v>
      </c>
      <c r="AK15" s="8">
        <v>1</v>
      </c>
      <c r="AL15" s="8">
        <v>1</v>
      </c>
    </row>
    <row r="16" spans="1:38" ht="21" customHeight="1" x14ac:dyDescent="0.15">
      <c r="A16" s="17" t="str">
        <f t="shared" ref="A16" ca="1" si="10">B16&amp;"_"&amp;C16&amp;"-"&amp;G16&amp;"/"&amp;J16&amp;"&lt;lv"&amp;P16&amp;"&gt;s"&amp;Y16</f>
        <v>13101_2-3/2&lt;lv14&gt;s1</v>
      </c>
      <c r="B16" s="26">
        <v>13101</v>
      </c>
      <c r="C16" s="25">
        <v>2</v>
      </c>
      <c r="D16" s="2" t="str">
        <f t="shared" ref="D16" si="11">B16&amp;"_"&amp;C16</f>
        <v>13101_2</v>
      </c>
      <c r="E16" s="5" t="str">
        <f ca="1">VLOOKUP($B16,OFFSET([2]quests!$A$1,0,0,COUNTA([2]quests!$A:$A),MATCH(E$1,[2]quests!$1:$1,0)-MATCH($B$1,[2]quests!$1:$1,0)+1),MATCH(E$1,[2]quests!$1:$1,0)-MATCH($B$1,[2]quests!$1:$1,0)+1,FALSE)</f>
        <v>チャレンジタワー</v>
      </c>
      <c r="F16" s="5" t="e">
        <f ca="1">VLOOKUP($D16,OFFSET([2]stages!$A$1,0,0,COUNTA([2]stages!$A:$A),MATCH(F$1,[2]stages!$1:$1,0)-MATCH($D$1,[2]stages!$1:$1,0)+1),MATCH(F$1,[2]stages!$1:$1,0)-MATCH($D$1,[2]stages!$1:$1,0)+1,FALSE)</f>
        <v>#N/A</v>
      </c>
      <c r="G16" s="30">
        <v>3</v>
      </c>
      <c r="H16" s="16" t="str">
        <f t="shared" ref="H16" si="12">B16&amp;"_"&amp;C16&amp;"-"&amp;G16</f>
        <v>13101_2-3</v>
      </c>
      <c r="I16" s="39" t="s">
        <v>245</v>
      </c>
      <c r="J16" s="39">
        <v>2</v>
      </c>
      <c r="K16" s="20" t="str">
        <f ca="1">VLOOKUP($J16,OFFSET([3]enemies!$A$1,0,0,COUNTA([3]enemies!$A:$A),MATCH(K$1,[3]enemies!$1:$1,0)-MATCH($J$1,[3]enemies!$1:$1,0)+1),MATCH(K$1,[3]enemies!$1:$1,0)-MATCH($J$1,[3]enemies!$1:$1,0)+1,FALSE)</f>
        <v>イレギュラー・ジェリー</v>
      </c>
      <c r="L16" s="23" t="str">
        <f ca="1">VLOOKUP($J16,OFFSET([3]enemies!$A$1,0,0,COUNTA([3]enemies!$A:$A),MATCH(L$1,[3]enemies!$1:$1,0)-MATCH($J$1,[3]enemies!$1:$1,0)+1),MATCH(L$1,[3]enemies!$1:$1,0)-MATCH($J$1,[3]enemies!$1:$1,0)+1,FALSE)</f>
        <v>red</v>
      </c>
      <c r="M16" s="23" t="str">
        <f ca="1">VLOOKUP($J16,OFFSET([4]characters!$A$1,0,0,COUNTA([4]characters!$A:$A),MATCH(M$1,[4]characters!$1:$1,0)-MATCH($J$1,[4]characters!$1:$1,0)+1),MATCH(M$1,[4]characters!$1:$1,0)-MATCH($J$1,[4]characters!$1:$1,0)+1,FALSE)</f>
        <v>Drop1T</v>
      </c>
      <c r="N16" s="22" t="str">
        <f ca="1">VLOOKUP($J16,OFFSET([4]characters!$A$1,0,0,COUNTA([4]characters!$A:$A),MATCH(N$1,[4]characters!$1:$1,0)-MATCH($J$1,[4]characters!$1:$1,0)+2),MATCH(N$1,[4]characters!$1:$1,0)-MATCH($J$1,[4]characters!$1:$1,0)+2,FALSE)</f>
        <v>Unknown</v>
      </c>
      <c r="O16" s="5">
        <f ca="1">VLOOKUP($J16,OFFSET([3]enemies!$A$1,0,0,COUNTA([3]enemies!$A:$A),MATCH(O$1,[3]enemies!$1:$1,0)-MATCH($J$1,[3]enemies!$1:$1,0)+1),MATCH(O$1,[3]enemies!$1:$1,0)-MATCH($J$1,[3]enemies!$1:$1,0)+1,FALSE)</f>
        <v>15</v>
      </c>
      <c r="P16" s="45">
        <v>14</v>
      </c>
      <c r="Q16" s="43">
        <v>1</v>
      </c>
      <c r="R16" s="43">
        <v>1</v>
      </c>
      <c r="S16" s="6">
        <v>0</v>
      </c>
      <c r="T16" s="5" t="str">
        <f ca="1">VLOOKUP($U16,OFFSET([5]enemy_skill_sets!$B$1,0,0,COUNTA([5]enemy_skill_sets!$B:$B),MATCH(K$1,[5]enemy_skill_sets!$1:$1,0)-MATCH($U$1,[5]enemy_skill_sets!$1:$1,0)+2),MATCH(K$1,[5]enemy_skill_sets!$1:$1,0)-MATCH($U$1,[5]enemy_skill_sets!$1:$1,0)+2,FALSE)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6" s="5">
        <f ca="1">VLOOKUP($J16,OFFSET([3]enemies!$A$1,0,0,COUNTA([3]enemies!$A:$A),MATCH(U$1,[3]enemies!$1:$1,0)-MATCH($J$1,[3]enemies!$1:$1,0)+1),MATCH(U$1,[3]enemies!$1:$1,0)-MATCH($J$1,[3]enemies!$1:$1,0)+1,FALSE)</f>
        <v>0</v>
      </c>
      <c r="V16" s="7">
        <v>2</v>
      </c>
      <c r="W16" s="7">
        <v>100</v>
      </c>
      <c r="X16" s="7">
        <v>1</v>
      </c>
      <c r="Y16" s="20">
        <f ca="1">VLOOKUP($J16,OFFSET([3]enemies!$A$1,0,0,COUNTA([3]enemies!$A:$A),MATCH(Y$1,[3]enemies!$1:$1,0)-MATCH($J$1,[3]enemies!$1:$1,0)+1),MATCH(Y$1,[3]enemies!$1:$1,0)-MATCH($J$1,[3]enemies!$1:$1,0)+1,FALSE)</f>
        <v>1</v>
      </c>
      <c r="Z16" s="29">
        <v>1</v>
      </c>
      <c r="AA16" s="5" t="str">
        <f ca="1">IFERROR(VLOOKUP($Z16,OFFSET([4]characters!$A$1,0,0,COUNTA([4]characters!$A:$A),MATCH(AA$1,[4]characters!$1:$1,0)-MATCH("character_id",[4]characters!$1:$1,0)+1),MATCH(AA$1,[4]characters!$1:$1,0)-MATCH("character_id",[4]characters!$1:$1,0)+1,FALSE),"")</f>
        <v>ジェリー</v>
      </c>
      <c r="AB16" s="5">
        <f ca="1">IFERROR(VLOOKUP($Z16,OFFSET([4]characters!$A$1,0,0,COUNTA([4]characters!$A:$A),MATCH(AB$1,[4]characters!$1:$1,0)-MATCH("character_id",[4]characters!$1:$1,0)+1),MATCH(AB$1,[4]characters!$1:$1,0)-MATCH("character_id",[4]characters!$1:$1,0)+1,FALSE),"")</f>
        <v>1</v>
      </c>
      <c r="AC16" s="5" t="str">
        <f ca="1">IFERROR(VLOOKUP($Z16,OFFSET([4]characters!$A$1,0,0,COUNTA([4]characters!$A:$A),MATCH(AC$1,[4]characters!$1:$1,0)-MATCH("character_id",[4]characters!$1:$1,0)+1),MATCH(AC$1,[4]characters!$1:$1,0)-MATCH("character_id",[4]characters!$1:$1,0)+1,FALSE),"")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16" s="8">
        <v>2</v>
      </c>
      <c r="AE16" s="28">
        <f t="shared" ref="AE16" ca="1" si="13">AB16</f>
        <v>1</v>
      </c>
      <c r="AF16" s="9">
        <v>0</v>
      </c>
      <c r="AG16" s="8">
        <v>0</v>
      </c>
      <c r="AH16" s="8">
        <v>0</v>
      </c>
      <c r="AI16" s="8">
        <v>0</v>
      </c>
      <c r="AJ16" s="8">
        <v>0</v>
      </c>
      <c r="AK16" s="8">
        <v>1</v>
      </c>
      <c r="AL16" s="8">
        <v>1</v>
      </c>
    </row>
    <row r="17" spans="1:38" ht="21" customHeight="1" x14ac:dyDescent="0.15">
      <c r="A17" s="17" t="str">
        <f t="shared" ca="1" si="7"/>
        <v>13101_3-1/3&lt;lv13&gt;s2</v>
      </c>
      <c r="B17" s="26">
        <v>13101</v>
      </c>
      <c r="C17" s="25">
        <v>3</v>
      </c>
      <c r="D17" s="2" t="str">
        <f t="shared" si="8"/>
        <v>13101_3</v>
      </c>
      <c r="E17" s="5" t="str">
        <f ca="1">VLOOKUP($B17,OFFSET([2]quests!$A$1,0,0,COUNTA([2]quests!$A:$A),MATCH(E$1,[2]quests!$1:$1,0)-MATCH($B$1,[2]quests!$1:$1,0)+1),MATCH(E$1,[2]quests!$1:$1,0)-MATCH($B$1,[2]quests!$1:$1,0)+1,FALSE)</f>
        <v>チャレンジタワー</v>
      </c>
      <c r="F17" s="5" t="e">
        <f ca="1">VLOOKUP($D17,OFFSET([2]stages!$A$1,0,0,COUNTA([2]stages!$A:$A),MATCH(F$1,[2]stages!$1:$1,0)-MATCH($D$1,[2]stages!$1:$1,0)+1),MATCH(F$1,[2]stages!$1:$1,0)-MATCH($D$1,[2]stages!$1:$1,0)+1,FALSE)</f>
        <v>#N/A</v>
      </c>
      <c r="G17" s="30">
        <v>1</v>
      </c>
      <c r="H17" s="16" t="str">
        <f t="shared" ref="H17:H26" si="14">B17&amp;"_"&amp;C17&amp;"-"&amp;G17</f>
        <v>13101_3-1</v>
      </c>
      <c r="I17" s="39" t="s">
        <v>245</v>
      </c>
      <c r="J17" s="39">
        <v>3</v>
      </c>
      <c r="K17" s="20" t="str">
        <f ca="1">VLOOKUP($J17,OFFSET([3]enemies!$A$1,0,0,COUNTA([3]enemies!$A:$A),MATCH(K$1,[3]enemies!$1:$1,0)-MATCH($J$1,[3]enemies!$1:$1,0)+1),MATCH(K$1,[3]enemies!$1:$1,0)-MATCH($J$1,[3]enemies!$1:$1,0)+1,FALSE)</f>
        <v>エージェント ジョー</v>
      </c>
      <c r="L17" s="23" t="str">
        <f ca="1">VLOOKUP($J17,OFFSET([3]enemies!$A$1,0,0,COUNTA([3]enemies!$A:$A),MATCH(L$1,[3]enemies!$1:$1,0)-MATCH($J$1,[3]enemies!$1:$1,0)+1),MATCH(L$1,[3]enemies!$1:$1,0)-MATCH($J$1,[3]enemies!$1:$1,0)+1,FALSE)</f>
        <v>green</v>
      </c>
      <c r="M17" s="23" t="str">
        <f ca="1">VLOOKUP($J17,OFFSET([4]characters!$A$1,0,0,COUNTA([4]characters!$A:$A),MATCH(M$1,[4]characters!$1:$1,0)-MATCH($J$1,[4]characters!$1:$1,0)+1),MATCH(M$1,[4]characters!$1:$1,0)-MATCH($J$1,[4]characters!$1:$1,0)+1,FALSE)</f>
        <v>Drop1T</v>
      </c>
      <c r="N17" s="22" t="str">
        <f ca="1">VLOOKUP($J17,OFFSET([4]characters!$A$1,0,0,COUNTA([4]characters!$A:$A),MATCH(N$1,[4]characters!$1:$1,0)-MATCH($J$1,[4]characters!$1:$1,0)+2),MATCH(N$1,[4]characters!$1:$1,0)-MATCH($J$1,[4]characters!$1:$1,0)+2,FALSE)</f>
        <v>Unknown</v>
      </c>
      <c r="O17" s="5">
        <f ca="1">VLOOKUP($J17,OFFSET([3]enemies!$A$1,0,0,COUNTA([3]enemies!$A:$A),MATCH(O$1,[3]enemies!$1:$1,0)-MATCH($J$1,[3]enemies!$1:$1,0)+1),MATCH(O$1,[3]enemies!$1:$1,0)-MATCH($J$1,[3]enemies!$1:$1,0)+1,FALSE)</f>
        <v>15</v>
      </c>
      <c r="P17" s="45">
        <v>13</v>
      </c>
      <c r="Q17" s="43">
        <v>1</v>
      </c>
      <c r="R17" s="43">
        <v>1</v>
      </c>
      <c r="S17" s="6">
        <v>0</v>
      </c>
      <c r="T17" s="5" t="str">
        <f ca="1">VLOOKUP($U17,OFFSET([5]enemy_skill_sets!$B$1,0,0,COUNTA([5]enemy_skill_sets!$B:$B),MATCH(K$1,[5]enemy_skill_sets!$1:$1,0)-MATCH($U$1,[5]enemy_skill_sets!$1:$1,0)+2),MATCH(K$1,[5]enemy_skill_sets!$1:$1,0)-MATCH($U$1,[5]enemy_skill_sets!$1:$1,0)+2,FALSE)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7" s="5">
        <f ca="1">VLOOKUP($J17,OFFSET([3]enemies!$A$1,0,0,COUNTA([3]enemies!$A:$A),MATCH(U$1,[3]enemies!$1:$1,0)-MATCH($J$1,[3]enemies!$1:$1,0)+1),MATCH(U$1,[3]enemies!$1:$1,0)-MATCH($J$1,[3]enemies!$1:$1,0)+1,FALSE)</f>
        <v>0</v>
      </c>
      <c r="V17" s="7">
        <v>0</v>
      </c>
      <c r="W17" s="7">
        <v>100</v>
      </c>
      <c r="X17" s="7">
        <v>0</v>
      </c>
      <c r="Y17" s="20">
        <f ca="1">VLOOKUP($J17,OFFSET([3]enemies!$A$1,0,0,COUNTA([3]enemies!$A:$A),MATCH(Y$1,[3]enemies!$1:$1,0)-MATCH($J$1,[3]enemies!$1:$1,0)+1),MATCH(Y$1,[3]enemies!$1:$1,0)-MATCH($J$1,[3]enemies!$1:$1,0)+1,FALSE)</f>
        <v>2</v>
      </c>
      <c r="Z17" s="29">
        <v>3</v>
      </c>
      <c r="AA17" s="5" t="str">
        <f ca="1">IFERROR(VLOOKUP($Z17,OFFSET([4]characters!$A$1,0,0,COUNTA([4]characters!$A:$A),MATCH(AA$1,[4]characters!$1:$1,0)-MATCH("character_id",[4]characters!$1:$1,0)+1),MATCH(AA$1,[4]characters!$1:$1,0)-MATCH("character_id",[4]characters!$1:$1,0)+1,FALSE),"")</f>
        <v>エージェント ジョー</v>
      </c>
      <c r="AB17" s="5">
        <f ca="1">IFERROR(VLOOKUP($Z17,OFFSET([4]characters!$A$1,0,0,COUNTA([4]characters!$A:$A),MATCH(AB$1,[4]characters!$1:$1,0)-MATCH("character_id",[4]characters!$1:$1,0)+1),MATCH(AB$1,[4]characters!$1:$1,0)-MATCH("character_id",[4]characters!$1:$1,0)+1,FALSE),"")</f>
        <v>1</v>
      </c>
      <c r="AC17" s="5" t="str">
        <f ca="1">IFERROR(VLOOKUP($Z17,OFFSET([4]characters!$A$1,0,0,COUNTA([4]characters!$A:$A),MATCH(AC$1,[4]characters!$1:$1,0)-MATCH("character_id",[4]characters!$1:$1,0)+1),MATCH(AC$1,[4]characters!$1:$1,0)-MATCH("character_id",[4]characters!$1:$1,0)+1,FALSE),"")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17" s="8">
        <v>4</v>
      </c>
      <c r="AE17" s="28">
        <f t="shared" ca="1" si="9"/>
        <v>1</v>
      </c>
      <c r="AF17" s="9">
        <v>25</v>
      </c>
      <c r="AG17" s="8">
        <v>0</v>
      </c>
      <c r="AH17" s="8">
        <v>0</v>
      </c>
      <c r="AI17" s="8">
        <v>0</v>
      </c>
      <c r="AJ17" s="8">
        <v>0</v>
      </c>
      <c r="AK17" s="8">
        <v>1</v>
      </c>
      <c r="AL17" s="8">
        <v>1</v>
      </c>
    </row>
    <row r="18" spans="1:38" ht="21" customHeight="1" x14ac:dyDescent="0.15">
      <c r="A18" s="17" t="str">
        <f t="shared" ref="A18:A28" ca="1" si="15">B18&amp;"_"&amp;C18&amp;"-"&amp;G18&amp;"/"&amp;J18&amp;"&lt;lv"&amp;P18&amp;"&gt;s"&amp;Y18</f>
        <v>13101_3-1/11&lt;lv13&gt;s3</v>
      </c>
      <c r="B18" s="26">
        <v>13101</v>
      </c>
      <c r="C18" s="25">
        <v>3</v>
      </c>
      <c r="D18" s="2" t="str">
        <f t="shared" ref="D18:D28" si="16">B18&amp;"_"&amp;C18</f>
        <v>13101_3</v>
      </c>
      <c r="E18" s="5" t="str">
        <f ca="1">VLOOKUP($B18,OFFSET([2]quests!$A$1,0,0,COUNTA([2]quests!$A:$A),MATCH(E$1,[2]quests!$1:$1,0)-MATCH($B$1,[2]quests!$1:$1,0)+1),MATCH(E$1,[2]quests!$1:$1,0)-MATCH($B$1,[2]quests!$1:$1,0)+1,FALSE)</f>
        <v>チャレンジタワー</v>
      </c>
      <c r="F18" s="5" t="e">
        <f ca="1">VLOOKUP($D18,OFFSET([2]stages!$A$1,0,0,COUNTA([2]stages!$A:$A),MATCH(F$1,[2]stages!$1:$1,0)-MATCH($D$1,[2]stages!$1:$1,0)+1),MATCH(F$1,[2]stages!$1:$1,0)-MATCH($D$1,[2]stages!$1:$1,0)+1,FALSE)</f>
        <v>#N/A</v>
      </c>
      <c r="G18" s="30">
        <v>1</v>
      </c>
      <c r="H18" s="16" t="str">
        <f t="shared" si="14"/>
        <v>13101_3-1</v>
      </c>
      <c r="I18" s="39" t="s">
        <v>245</v>
      </c>
      <c r="J18" s="39">
        <v>11</v>
      </c>
      <c r="K18" s="20" t="str">
        <f ca="1">VLOOKUP($J18,OFFSET([3]enemies!$A$1,0,0,COUNTA([3]enemies!$A:$A),MATCH(K$1,[3]enemies!$1:$1,0)-MATCH($J$1,[3]enemies!$1:$1,0)+1),MATCH(K$1,[3]enemies!$1:$1,0)-MATCH($J$1,[3]enemies!$1:$1,0)+1,FALSE)</f>
        <v>マグリット</v>
      </c>
      <c r="L18" s="23" t="str">
        <f ca="1">VLOOKUP($J18,OFFSET([3]enemies!$A$1,0,0,COUNTA([3]enemies!$A:$A),MATCH(L$1,[3]enemies!$1:$1,0)-MATCH($J$1,[3]enemies!$1:$1,0)+1),MATCH(L$1,[3]enemies!$1:$1,0)-MATCH($J$1,[3]enemies!$1:$1,0)+1,FALSE)</f>
        <v>green</v>
      </c>
      <c r="M18" s="23" t="str">
        <f ca="1">VLOOKUP($J18,OFFSET([4]characters!$A$1,0,0,COUNTA([4]characters!$A:$A),MATCH(M$1,[4]characters!$1:$1,0)-MATCH($J$1,[4]characters!$1:$1,0)+1),MATCH(M$1,[4]characters!$1:$1,0)-MATCH($J$1,[4]characters!$1:$1,0)+1,FALSE)</f>
        <v>Drop1W</v>
      </c>
      <c r="N18" s="22" t="str">
        <f ca="1">VLOOKUP($J18,OFFSET([4]characters!$A$1,0,0,COUNTA([4]characters!$A:$A),MATCH(N$1,[4]characters!$1:$1,0)-MATCH($J$1,[4]characters!$1:$1,0)+2),MATCH(N$1,[4]characters!$1:$1,0)-MATCH($J$1,[4]characters!$1:$1,0)+2,FALSE)</f>
        <v>アニマル</v>
      </c>
      <c r="O18" s="5">
        <f ca="1">VLOOKUP($J18,OFFSET([3]enemies!$A$1,0,0,COUNTA([3]enemies!$A:$A),MATCH(O$1,[3]enemies!$1:$1,0)-MATCH($J$1,[3]enemies!$1:$1,0)+1),MATCH(O$1,[3]enemies!$1:$1,0)-MATCH($J$1,[3]enemies!$1:$1,0)+1,FALSE)</f>
        <v>15</v>
      </c>
      <c r="P18" s="45">
        <v>13</v>
      </c>
      <c r="Q18" s="43">
        <v>1</v>
      </c>
      <c r="R18" s="43">
        <v>1</v>
      </c>
      <c r="S18" s="6">
        <v>0</v>
      </c>
      <c r="T18" s="5" t="str">
        <f ca="1">VLOOKUP($U18,OFFSET([5]enemy_skill_sets!$B$1,0,0,COUNTA([5]enemy_skill_sets!$B:$B),MATCH(K$1,[5]enemy_skill_sets!$1:$1,0)-MATCH($U$1,[5]enemy_skill_sets!$1:$1,0)+2),MATCH(K$1,[5]enemy_skill_sets!$1:$1,0)-MATCH($U$1,[5]enemy_skill_sets!$1:$1,0)+2,FALSE)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8" s="5">
        <f ca="1">VLOOKUP($J18,OFFSET([3]enemies!$A$1,0,0,COUNTA([3]enemies!$A:$A),MATCH(U$1,[3]enemies!$1:$1,0)-MATCH($J$1,[3]enemies!$1:$1,0)+1),MATCH(U$1,[3]enemies!$1:$1,0)-MATCH($J$1,[3]enemies!$1:$1,0)+1,FALSE)</f>
        <v>0</v>
      </c>
      <c r="V18" s="7">
        <v>0</v>
      </c>
      <c r="W18" s="7">
        <v>100</v>
      </c>
      <c r="X18" s="7">
        <v>0</v>
      </c>
      <c r="Y18" s="20">
        <f ca="1">VLOOKUP($J18,OFFSET([3]enemies!$A$1,0,0,COUNTA([3]enemies!$A:$A),MATCH(Y$1,[3]enemies!$1:$1,0)-MATCH($J$1,[3]enemies!$1:$1,0)+1),MATCH(Y$1,[3]enemies!$1:$1,0)-MATCH($J$1,[3]enemies!$1:$1,0)+1,FALSE)</f>
        <v>3</v>
      </c>
      <c r="Z18" s="29">
        <v>11</v>
      </c>
      <c r="AA18" s="5" t="str">
        <f ca="1">IFERROR(VLOOKUP($Z18,OFFSET([4]characters!$A$1,0,0,COUNTA([4]characters!$A:$A),MATCH(AA$1,[4]characters!$1:$1,0)-MATCH("character_id",[4]characters!$1:$1,0)+1),MATCH(AA$1,[4]characters!$1:$1,0)-MATCH("character_id",[4]characters!$1:$1,0)+1,FALSE),"")</f>
        <v>マグリット</v>
      </c>
      <c r="AB18" s="5">
        <f ca="1">IFERROR(VLOOKUP($Z18,OFFSET([4]characters!$A$1,0,0,COUNTA([4]characters!$A:$A),MATCH(AB$1,[4]characters!$1:$1,0)-MATCH("character_id",[4]characters!$1:$1,0)+1),MATCH(AB$1,[4]characters!$1:$1,0)-MATCH("character_id",[4]characters!$1:$1,0)+1,FALSE),"")</f>
        <v>1</v>
      </c>
      <c r="AC18" s="5" t="str">
        <f ca="1">IFERROR(VLOOKUP($Z18,OFFSET([4]characters!$A$1,0,0,COUNTA([4]characters!$A:$A),MATCH(AC$1,[4]characters!$1:$1,0)-MATCH("character_id",[4]characters!$1:$1,0)+1),MATCH(AC$1,[4]characters!$1:$1,0)-MATCH("character_id",[4]characters!$1:$1,0)+1,FALSE),"")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8" s="8">
        <v>2</v>
      </c>
      <c r="AE18" s="28">
        <f t="shared" ref="AE18:AE28" ca="1" si="17">AB18</f>
        <v>1</v>
      </c>
      <c r="AF18" s="9">
        <v>25</v>
      </c>
      <c r="AG18" s="8">
        <v>0</v>
      </c>
      <c r="AH18" s="8">
        <v>0</v>
      </c>
      <c r="AI18" s="8">
        <v>0</v>
      </c>
      <c r="AJ18" s="8">
        <v>0</v>
      </c>
      <c r="AK18" s="8">
        <v>1</v>
      </c>
      <c r="AL18" s="8">
        <v>1</v>
      </c>
    </row>
    <row r="19" spans="1:38" ht="21" customHeight="1" x14ac:dyDescent="0.15">
      <c r="A19" s="17" t="str">
        <f t="shared" ca="1" si="15"/>
        <v>13101_3-1/23&lt;lv13&gt;s4</v>
      </c>
      <c r="B19" s="26">
        <v>13101</v>
      </c>
      <c r="C19" s="25">
        <v>3</v>
      </c>
      <c r="D19" s="2" t="str">
        <f t="shared" si="16"/>
        <v>13101_3</v>
      </c>
      <c r="E19" s="5" t="str">
        <f ca="1">VLOOKUP($B19,OFFSET([2]quests!$A$1,0,0,COUNTA([2]quests!$A:$A),MATCH(E$1,[2]quests!$1:$1,0)-MATCH($B$1,[2]quests!$1:$1,0)+1),MATCH(E$1,[2]quests!$1:$1,0)-MATCH($B$1,[2]quests!$1:$1,0)+1,FALSE)</f>
        <v>チャレンジタワー</v>
      </c>
      <c r="F19" s="5" t="e">
        <f ca="1">VLOOKUP($D19,OFFSET([2]stages!$A$1,0,0,COUNTA([2]stages!$A:$A),MATCH(F$1,[2]stages!$1:$1,0)-MATCH($D$1,[2]stages!$1:$1,0)+1),MATCH(F$1,[2]stages!$1:$1,0)-MATCH($D$1,[2]stages!$1:$1,0)+1,FALSE)</f>
        <v>#N/A</v>
      </c>
      <c r="G19" s="30">
        <v>1</v>
      </c>
      <c r="H19" s="16" t="str">
        <f t="shared" si="14"/>
        <v>13101_3-1</v>
      </c>
      <c r="I19" s="39" t="s">
        <v>245</v>
      </c>
      <c r="J19" s="39">
        <v>23</v>
      </c>
      <c r="K19" s="20" t="str">
        <f ca="1">VLOOKUP($J19,OFFSET([3]enemies!$A$1,0,0,COUNTA([3]enemies!$A:$A),MATCH(K$1,[3]enemies!$1:$1,0)-MATCH($J$1,[3]enemies!$1:$1,0)+1),MATCH(K$1,[3]enemies!$1:$1,0)-MATCH($J$1,[3]enemies!$1:$1,0)+1,FALSE)</f>
        <v>ミール</v>
      </c>
      <c r="L19" s="23" t="str">
        <f ca="1">VLOOKUP($J19,OFFSET([3]enemies!$A$1,0,0,COUNTA([3]enemies!$A:$A),MATCH(L$1,[3]enemies!$1:$1,0)-MATCH($J$1,[3]enemies!$1:$1,0)+1),MATCH(L$1,[3]enemies!$1:$1,0)-MATCH($J$1,[3]enemies!$1:$1,0)+1,FALSE)</f>
        <v>green</v>
      </c>
      <c r="M19" s="23" t="str">
        <f ca="1">VLOOKUP($J19,OFFSET([4]characters!$A$1,0,0,COUNTA([4]characters!$A:$A),MATCH(M$1,[4]characters!$1:$1,0)-MATCH($J$1,[4]characters!$1:$1,0)+1),MATCH(M$1,[4]characters!$1:$1,0)-MATCH($J$1,[4]characters!$1:$1,0)+1,FALSE)</f>
        <v>Drop1N</v>
      </c>
      <c r="N19" s="22" t="str">
        <f ca="1">VLOOKUP($J19,OFFSET([4]characters!$A$1,0,0,COUNTA([4]characters!$A:$A),MATCH(N$1,[4]characters!$1:$1,0)-MATCH($J$1,[4]characters!$1:$1,0)+2),MATCH(N$1,[4]characters!$1:$1,0)-MATCH($J$1,[4]characters!$1:$1,0)+2,FALSE)</f>
        <v>アニマル</v>
      </c>
      <c r="O19" s="5">
        <f ca="1">VLOOKUP($J19,OFFSET([3]enemies!$A$1,0,0,COUNTA([3]enemies!$A:$A),MATCH(O$1,[3]enemies!$1:$1,0)-MATCH($J$1,[3]enemies!$1:$1,0)+1),MATCH(O$1,[3]enemies!$1:$1,0)-MATCH($J$1,[3]enemies!$1:$1,0)+1,FALSE)</f>
        <v>15</v>
      </c>
      <c r="P19" s="45">
        <v>13</v>
      </c>
      <c r="Q19" s="43">
        <v>1</v>
      </c>
      <c r="R19" s="43">
        <v>1</v>
      </c>
      <c r="S19" s="6">
        <v>0</v>
      </c>
      <c r="T19" s="5" t="str">
        <f ca="1">VLOOKUP($U19,OFFSET([5]enemy_skill_sets!$B$1,0,0,COUNTA([5]enemy_skill_sets!$B:$B),MATCH(K$1,[5]enemy_skill_sets!$1:$1,0)-MATCH($U$1,[5]enemy_skill_sets!$1:$1,0)+2),MATCH(K$1,[5]enemy_skill_sets!$1:$1,0)-MATCH($U$1,[5]enemy_skill_sets!$1:$1,0)+2,FALSE)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9" s="5">
        <f ca="1">VLOOKUP($J19,OFFSET([3]enemies!$A$1,0,0,COUNTA([3]enemies!$A:$A),MATCH(U$1,[3]enemies!$1:$1,0)-MATCH($J$1,[3]enemies!$1:$1,0)+1),MATCH(U$1,[3]enemies!$1:$1,0)-MATCH($J$1,[3]enemies!$1:$1,0)+1,FALSE)</f>
        <v>0</v>
      </c>
      <c r="V19" s="7">
        <v>0</v>
      </c>
      <c r="W19" s="7">
        <v>100</v>
      </c>
      <c r="X19" s="7">
        <v>0</v>
      </c>
      <c r="Y19" s="20">
        <f ca="1">VLOOKUP($J19,OFFSET([3]enemies!$A$1,0,0,COUNTA([3]enemies!$A:$A),MATCH(Y$1,[3]enemies!$1:$1,0)-MATCH($J$1,[3]enemies!$1:$1,0)+1),MATCH(Y$1,[3]enemies!$1:$1,0)-MATCH($J$1,[3]enemies!$1:$1,0)+1,FALSE)</f>
        <v>4</v>
      </c>
      <c r="Z19" s="29">
        <v>23</v>
      </c>
      <c r="AA19" s="5" t="str">
        <f ca="1">IFERROR(VLOOKUP($Z19,OFFSET([4]characters!$A$1,0,0,COUNTA([4]characters!$A:$A),MATCH(AA$1,[4]characters!$1:$1,0)-MATCH("character_id",[4]characters!$1:$1,0)+1),MATCH(AA$1,[4]characters!$1:$1,0)-MATCH("character_id",[4]characters!$1:$1,0)+1,FALSE),"")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19" s="5">
        <f ca="1">IFERROR(VLOOKUP($Z19,OFFSET([4]characters!$A$1,0,0,COUNTA([4]characters!$A:$A),MATCH(AB$1,[4]characters!$1:$1,0)-MATCH("character_id",[4]characters!$1:$1,0)+1),MATCH(AB$1,[4]characters!$1:$1,0)-MATCH("character_id",[4]characters!$1:$1,0)+1,FALSE),"")</f>
        <v>1</v>
      </c>
      <c r="AC19" s="5" t="str">
        <f ca="1">IFERROR(VLOOKUP($Z19,OFFSET([4]characters!$A$1,0,0,COUNTA([4]characters!$A:$A),MATCH(AC$1,[4]characters!$1:$1,0)-MATCH("character_id",[4]characters!$1:$1,0)+1),MATCH(AC$1,[4]characters!$1:$1,0)-MATCH("character_id",[4]characters!$1:$1,0)+1,FALSE),"")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9" s="8">
        <v>1</v>
      </c>
      <c r="AE19" s="28">
        <f t="shared" ca="1" si="17"/>
        <v>1</v>
      </c>
      <c r="AF19" s="9">
        <v>25</v>
      </c>
      <c r="AG19" s="8">
        <v>0</v>
      </c>
      <c r="AH19" s="8">
        <v>0</v>
      </c>
      <c r="AI19" s="8">
        <v>0</v>
      </c>
      <c r="AJ19" s="8">
        <v>0</v>
      </c>
      <c r="AK19" s="8">
        <v>1</v>
      </c>
      <c r="AL19" s="8">
        <v>1</v>
      </c>
    </row>
    <row r="20" spans="1:38" ht="21" customHeight="1" x14ac:dyDescent="0.15">
      <c r="A20" s="17" t="str">
        <f t="shared" ca="1" si="15"/>
        <v>13101_3-2/3&lt;lv13&gt;s2</v>
      </c>
      <c r="B20" s="26">
        <v>13101</v>
      </c>
      <c r="C20" s="25">
        <v>3</v>
      </c>
      <c r="D20" s="2" t="str">
        <f t="shared" si="16"/>
        <v>13101_3</v>
      </c>
      <c r="E20" s="5" t="str">
        <f ca="1">VLOOKUP($B20,OFFSET([2]quests!$A$1,0,0,COUNTA([2]quests!$A:$A),MATCH(E$1,[2]quests!$1:$1,0)-MATCH($B$1,[2]quests!$1:$1,0)+1),MATCH(E$1,[2]quests!$1:$1,0)-MATCH($B$1,[2]quests!$1:$1,0)+1,FALSE)</f>
        <v>チャレンジタワー</v>
      </c>
      <c r="F20" s="5" t="e">
        <f ca="1">VLOOKUP($D20,OFFSET([2]stages!$A$1,0,0,COUNTA([2]stages!$A:$A),MATCH(F$1,[2]stages!$1:$1,0)-MATCH($D$1,[2]stages!$1:$1,0)+1),MATCH(F$1,[2]stages!$1:$1,0)-MATCH($D$1,[2]stages!$1:$1,0)+1,FALSE)</f>
        <v>#N/A</v>
      </c>
      <c r="G20" s="30">
        <v>2</v>
      </c>
      <c r="H20" s="16" t="str">
        <f t="shared" si="14"/>
        <v>13101_3-2</v>
      </c>
      <c r="I20" s="39" t="s">
        <v>245</v>
      </c>
      <c r="J20" s="39">
        <v>3</v>
      </c>
      <c r="K20" s="20" t="str">
        <f ca="1">VLOOKUP($J20,OFFSET([3]enemies!$A$1,0,0,COUNTA([3]enemies!$A:$A),MATCH(K$1,[3]enemies!$1:$1,0)-MATCH($J$1,[3]enemies!$1:$1,0)+1),MATCH(K$1,[3]enemies!$1:$1,0)-MATCH($J$1,[3]enemies!$1:$1,0)+1,FALSE)</f>
        <v>エージェント ジョー</v>
      </c>
      <c r="L20" s="23" t="str">
        <f ca="1">VLOOKUP($J20,OFFSET([3]enemies!$A$1,0,0,COUNTA([3]enemies!$A:$A),MATCH(L$1,[3]enemies!$1:$1,0)-MATCH($J$1,[3]enemies!$1:$1,0)+1),MATCH(L$1,[3]enemies!$1:$1,0)-MATCH($J$1,[3]enemies!$1:$1,0)+1,FALSE)</f>
        <v>green</v>
      </c>
      <c r="M20" s="23" t="str">
        <f ca="1">VLOOKUP($J20,OFFSET([4]characters!$A$1,0,0,COUNTA([4]characters!$A:$A),MATCH(M$1,[4]characters!$1:$1,0)-MATCH($J$1,[4]characters!$1:$1,0)+1),MATCH(M$1,[4]characters!$1:$1,0)-MATCH($J$1,[4]characters!$1:$1,0)+1,FALSE)</f>
        <v>Drop1T</v>
      </c>
      <c r="N20" s="22" t="str">
        <f ca="1">VLOOKUP($J20,OFFSET([4]characters!$A$1,0,0,COUNTA([4]characters!$A:$A),MATCH(N$1,[4]characters!$1:$1,0)-MATCH($J$1,[4]characters!$1:$1,0)+2),MATCH(N$1,[4]characters!$1:$1,0)-MATCH($J$1,[4]characters!$1:$1,0)+2,FALSE)</f>
        <v>Unknown</v>
      </c>
      <c r="O20" s="5">
        <f ca="1">VLOOKUP($J20,OFFSET([3]enemies!$A$1,0,0,COUNTA([3]enemies!$A:$A),MATCH(O$1,[3]enemies!$1:$1,0)-MATCH($J$1,[3]enemies!$1:$1,0)+1),MATCH(O$1,[3]enemies!$1:$1,0)-MATCH($J$1,[3]enemies!$1:$1,0)+1,FALSE)</f>
        <v>15</v>
      </c>
      <c r="P20" s="45">
        <v>13</v>
      </c>
      <c r="Q20" s="43">
        <v>1</v>
      </c>
      <c r="R20" s="43">
        <v>1</v>
      </c>
      <c r="S20" s="6">
        <v>0</v>
      </c>
      <c r="T20" s="5" t="str">
        <f ca="1">VLOOKUP($U20,OFFSET([5]enemy_skill_sets!$B$1,0,0,COUNTA([5]enemy_skill_sets!$B:$B),MATCH(K$1,[5]enemy_skill_sets!$1:$1,0)-MATCH($U$1,[5]enemy_skill_sets!$1:$1,0)+2),MATCH(K$1,[5]enemy_skill_sets!$1:$1,0)-MATCH($U$1,[5]enemy_skill_sets!$1:$1,0)+2,FALSE)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0" s="5">
        <f ca="1">VLOOKUP($J20,OFFSET([3]enemies!$A$1,0,0,COUNTA([3]enemies!$A:$A),MATCH(U$1,[3]enemies!$1:$1,0)-MATCH($J$1,[3]enemies!$1:$1,0)+1),MATCH(U$1,[3]enemies!$1:$1,0)-MATCH($J$1,[3]enemies!$1:$1,0)+1,FALSE)</f>
        <v>0</v>
      </c>
      <c r="V20" s="7">
        <v>0</v>
      </c>
      <c r="W20" s="7">
        <v>100</v>
      </c>
      <c r="X20" s="7">
        <v>0</v>
      </c>
      <c r="Y20" s="20">
        <f ca="1">VLOOKUP($J20,OFFSET([3]enemies!$A$1,0,0,COUNTA([3]enemies!$A:$A),MATCH(Y$1,[3]enemies!$1:$1,0)-MATCH($J$1,[3]enemies!$1:$1,0)+1),MATCH(Y$1,[3]enemies!$1:$1,0)-MATCH($J$1,[3]enemies!$1:$1,0)+1,FALSE)</f>
        <v>2</v>
      </c>
      <c r="Z20" s="29">
        <v>3</v>
      </c>
      <c r="AA20" s="5" t="str">
        <f ca="1">IFERROR(VLOOKUP($Z20,OFFSET([4]characters!$A$1,0,0,COUNTA([4]characters!$A:$A),MATCH(AA$1,[4]characters!$1:$1,0)-MATCH("character_id",[4]characters!$1:$1,0)+1),MATCH(AA$1,[4]characters!$1:$1,0)-MATCH("character_id",[4]characters!$1:$1,0)+1,FALSE),"")</f>
        <v>エージェント ジョー</v>
      </c>
      <c r="AB20" s="5">
        <f ca="1">IFERROR(VLOOKUP($Z20,OFFSET([4]characters!$A$1,0,0,COUNTA([4]characters!$A:$A),MATCH(AB$1,[4]characters!$1:$1,0)-MATCH("character_id",[4]characters!$1:$1,0)+1),MATCH(AB$1,[4]characters!$1:$1,0)-MATCH("character_id",[4]characters!$1:$1,0)+1,FALSE),"")</f>
        <v>1</v>
      </c>
      <c r="AC20" s="5" t="str">
        <f ca="1">IFERROR(VLOOKUP($Z20,OFFSET([4]characters!$A$1,0,0,COUNTA([4]characters!$A:$A),MATCH(AC$1,[4]characters!$1:$1,0)-MATCH("character_id",[4]characters!$1:$1,0)+1),MATCH(AC$1,[4]characters!$1:$1,0)-MATCH("character_id",[4]characters!$1:$1,0)+1,FALSE),"")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20" s="8">
        <v>4</v>
      </c>
      <c r="AE20" s="28">
        <f t="shared" ca="1" si="17"/>
        <v>1</v>
      </c>
      <c r="AF20" s="9">
        <v>25</v>
      </c>
      <c r="AG20" s="8">
        <v>0</v>
      </c>
      <c r="AH20" s="8">
        <v>0</v>
      </c>
      <c r="AI20" s="8">
        <v>0</v>
      </c>
      <c r="AJ20" s="8">
        <v>0</v>
      </c>
      <c r="AK20" s="8">
        <v>1</v>
      </c>
      <c r="AL20" s="8">
        <v>1</v>
      </c>
    </row>
    <row r="21" spans="1:38" ht="21" customHeight="1" x14ac:dyDescent="0.15">
      <c r="A21" s="17" t="str">
        <f t="shared" ca="1" si="15"/>
        <v>13101_3-2/11&lt;lv13&gt;s3</v>
      </c>
      <c r="B21" s="26">
        <v>13101</v>
      </c>
      <c r="C21" s="25">
        <v>3</v>
      </c>
      <c r="D21" s="2" t="str">
        <f t="shared" si="16"/>
        <v>13101_3</v>
      </c>
      <c r="E21" s="5" t="str">
        <f ca="1">VLOOKUP($B21,OFFSET([2]quests!$A$1,0,0,COUNTA([2]quests!$A:$A),MATCH(E$1,[2]quests!$1:$1,0)-MATCH($B$1,[2]quests!$1:$1,0)+1),MATCH(E$1,[2]quests!$1:$1,0)-MATCH($B$1,[2]quests!$1:$1,0)+1,FALSE)</f>
        <v>チャレンジタワー</v>
      </c>
      <c r="F21" s="5" t="e">
        <f ca="1">VLOOKUP($D21,OFFSET([2]stages!$A$1,0,0,COUNTA([2]stages!$A:$A),MATCH(F$1,[2]stages!$1:$1,0)-MATCH($D$1,[2]stages!$1:$1,0)+1),MATCH(F$1,[2]stages!$1:$1,0)-MATCH($D$1,[2]stages!$1:$1,0)+1,FALSE)</f>
        <v>#N/A</v>
      </c>
      <c r="G21" s="30">
        <v>2</v>
      </c>
      <c r="H21" s="16" t="str">
        <f t="shared" si="14"/>
        <v>13101_3-2</v>
      </c>
      <c r="I21" s="39" t="s">
        <v>245</v>
      </c>
      <c r="J21" s="39">
        <v>11</v>
      </c>
      <c r="K21" s="20" t="str">
        <f ca="1">VLOOKUP($J21,OFFSET([3]enemies!$A$1,0,0,COUNTA([3]enemies!$A:$A),MATCH(K$1,[3]enemies!$1:$1,0)-MATCH($J$1,[3]enemies!$1:$1,0)+1),MATCH(K$1,[3]enemies!$1:$1,0)-MATCH($J$1,[3]enemies!$1:$1,0)+1,FALSE)</f>
        <v>マグリット</v>
      </c>
      <c r="L21" s="23" t="str">
        <f ca="1">VLOOKUP($J21,OFFSET([3]enemies!$A$1,0,0,COUNTA([3]enemies!$A:$A),MATCH(L$1,[3]enemies!$1:$1,0)-MATCH($J$1,[3]enemies!$1:$1,0)+1),MATCH(L$1,[3]enemies!$1:$1,0)-MATCH($J$1,[3]enemies!$1:$1,0)+1,FALSE)</f>
        <v>green</v>
      </c>
      <c r="M21" s="23" t="str">
        <f ca="1">VLOOKUP($J21,OFFSET([4]characters!$A$1,0,0,COUNTA([4]characters!$A:$A),MATCH(M$1,[4]characters!$1:$1,0)-MATCH($J$1,[4]characters!$1:$1,0)+1),MATCH(M$1,[4]characters!$1:$1,0)-MATCH($J$1,[4]characters!$1:$1,0)+1,FALSE)</f>
        <v>Drop1W</v>
      </c>
      <c r="N21" s="22" t="str">
        <f ca="1">VLOOKUP($J21,OFFSET([4]characters!$A$1,0,0,COUNTA([4]characters!$A:$A),MATCH(N$1,[4]characters!$1:$1,0)-MATCH($J$1,[4]characters!$1:$1,0)+2),MATCH(N$1,[4]characters!$1:$1,0)-MATCH($J$1,[4]characters!$1:$1,0)+2,FALSE)</f>
        <v>アニマル</v>
      </c>
      <c r="O21" s="5">
        <f ca="1">VLOOKUP($J21,OFFSET([3]enemies!$A$1,0,0,COUNTA([3]enemies!$A:$A),MATCH(O$1,[3]enemies!$1:$1,0)-MATCH($J$1,[3]enemies!$1:$1,0)+1),MATCH(O$1,[3]enemies!$1:$1,0)-MATCH($J$1,[3]enemies!$1:$1,0)+1,FALSE)</f>
        <v>15</v>
      </c>
      <c r="P21" s="45">
        <v>13</v>
      </c>
      <c r="Q21" s="43">
        <v>1</v>
      </c>
      <c r="R21" s="43">
        <v>1</v>
      </c>
      <c r="S21" s="6">
        <v>0</v>
      </c>
      <c r="T21" s="5" t="str">
        <f ca="1">VLOOKUP($U21,OFFSET([5]enemy_skill_sets!$B$1,0,0,COUNTA([5]enemy_skill_sets!$B:$B),MATCH(K$1,[5]enemy_skill_sets!$1:$1,0)-MATCH($U$1,[5]enemy_skill_sets!$1:$1,0)+2),MATCH(K$1,[5]enemy_skill_sets!$1:$1,0)-MATCH($U$1,[5]enemy_skill_sets!$1:$1,0)+2,FALSE)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1" s="5">
        <f ca="1">VLOOKUP($J21,OFFSET([3]enemies!$A$1,0,0,COUNTA([3]enemies!$A:$A),MATCH(U$1,[3]enemies!$1:$1,0)-MATCH($J$1,[3]enemies!$1:$1,0)+1),MATCH(U$1,[3]enemies!$1:$1,0)-MATCH($J$1,[3]enemies!$1:$1,0)+1,FALSE)</f>
        <v>0</v>
      </c>
      <c r="V21" s="7">
        <v>0</v>
      </c>
      <c r="W21" s="7">
        <v>100</v>
      </c>
      <c r="X21" s="7">
        <v>0</v>
      </c>
      <c r="Y21" s="20">
        <f ca="1">VLOOKUP($J21,OFFSET([3]enemies!$A$1,0,0,COUNTA([3]enemies!$A:$A),MATCH(Y$1,[3]enemies!$1:$1,0)-MATCH($J$1,[3]enemies!$1:$1,0)+1),MATCH(Y$1,[3]enemies!$1:$1,0)-MATCH($J$1,[3]enemies!$1:$1,0)+1,FALSE)</f>
        <v>3</v>
      </c>
      <c r="Z21" s="29">
        <v>11</v>
      </c>
      <c r="AA21" s="5" t="str">
        <f ca="1">IFERROR(VLOOKUP($Z21,OFFSET([4]characters!$A$1,0,0,COUNTA([4]characters!$A:$A),MATCH(AA$1,[4]characters!$1:$1,0)-MATCH("character_id",[4]characters!$1:$1,0)+1),MATCH(AA$1,[4]characters!$1:$1,0)-MATCH("character_id",[4]characters!$1:$1,0)+1,FALSE),"")</f>
        <v>マグリット</v>
      </c>
      <c r="AB21" s="5">
        <f ca="1">IFERROR(VLOOKUP($Z21,OFFSET([4]characters!$A$1,0,0,COUNTA([4]characters!$A:$A),MATCH(AB$1,[4]characters!$1:$1,0)-MATCH("character_id",[4]characters!$1:$1,0)+1),MATCH(AB$1,[4]characters!$1:$1,0)-MATCH("character_id",[4]characters!$1:$1,0)+1,FALSE),"")</f>
        <v>1</v>
      </c>
      <c r="AC21" s="5" t="str">
        <f ca="1">IFERROR(VLOOKUP($Z21,OFFSET([4]characters!$A$1,0,0,COUNTA([4]characters!$A:$A),MATCH(AC$1,[4]characters!$1:$1,0)-MATCH("character_id",[4]characters!$1:$1,0)+1),MATCH(AC$1,[4]characters!$1:$1,0)-MATCH("character_id",[4]characters!$1:$1,0)+1,FALSE),"")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1" s="8">
        <v>2</v>
      </c>
      <c r="AE21" s="28">
        <f t="shared" ca="1" si="17"/>
        <v>1</v>
      </c>
      <c r="AF21" s="9">
        <v>25</v>
      </c>
      <c r="AG21" s="8">
        <v>0</v>
      </c>
      <c r="AH21" s="8">
        <v>0</v>
      </c>
      <c r="AI21" s="8">
        <v>0</v>
      </c>
      <c r="AJ21" s="8">
        <v>0</v>
      </c>
      <c r="AK21" s="8">
        <v>1</v>
      </c>
      <c r="AL21" s="8">
        <v>1</v>
      </c>
    </row>
    <row r="22" spans="1:38" ht="21" customHeight="1" x14ac:dyDescent="0.15">
      <c r="A22" s="17" t="str">
        <f t="shared" ca="1" si="15"/>
        <v>13101_3-2/23&lt;lv13&gt;s4</v>
      </c>
      <c r="B22" s="26">
        <v>13101</v>
      </c>
      <c r="C22" s="25">
        <v>3</v>
      </c>
      <c r="D22" s="2" t="str">
        <f t="shared" si="16"/>
        <v>13101_3</v>
      </c>
      <c r="E22" s="5" t="str">
        <f ca="1">VLOOKUP($B22,OFFSET([2]quests!$A$1,0,0,COUNTA([2]quests!$A:$A),MATCH(E$1,[2]quests!$1:$1,0)-MATCH($B$1,[2]quests!$1:$1,0)+1),MATCH(E$1,[2]quests!$1:$1,0)-MATCH($B$1,[2]quests!$1:$1,0)+1,FALSE)</f>
        <v>チャレンジタワー</v>
      </c>
      <c r="F22" s="5" t="e">
        <f ca="1">VLOOKUP($D22,OFFSET([2]stages!$A$1,0,0,COUNTA([2]stages!$A:$A),MATCH(F$1,[2]stages!$1:$1,0)-MATCH($D$1,[2]stages!$1:$1,0)+1),MATCH(F$1,[2]stages!$1:$1,0)-MATCH($D$1,[2]stages!$1:$1,0)+1,FALSE)</f>
        <v>#N/A</v>
      </c>
      <c r="G22" s="30">
        <v>2</v>
      </c>
      <c r="H22" s="16" t="str">
        <f t="shared" si="14"/>
        <v>13101_3-2</v>
      </c>
      <c r="I22" s="39" t="s">
        <v>245</v>
      </c>
      <c r="J22" s="39">
        <v>23</v>
      </c>
      <c r="K22" s="20" t="str">
        <f ca="1">VLOOKUP($J22,OFFSET([3]enemies!$A$1,0,0,COUNTA([3]enemies!$A:$A),MATCH(K$1,[3]enemies!$1:$1,0)-MATCH($J$1,[3]enemies!$1:$1,0)+1),MATCH(K$1,[3]enemies!$1:$1,0)-MATCH($J$1,[3]enemies!$1:$1,0)+1,FALSE)</f>
        <v>ミール</v>
      </c>
      <c r="L22" s="23" t="str">
        <f ca="1">VLOOKUP($J22,OFFSET([3]enemies!$A$1,0,0,COUNTA([3]enemies!$A:$A),MATCH(L$1,[3]enemies!$1:$1,0)-MATCH($J$1,[3]enemies!$1:$1,0)+1),MATCH(L$1,[3]enemies!$1:$1,0)-MATCH($J$1,[3]enemies!$1:$1,0)+1,FALSE)</f>
        <v>green</v>
      </c>
      <c r="M22" s="23" t="str">
        <f ca="1">VLOOKUP($J22,OFFSET([4]characters!$A$1,0,0,COUNTA([4]characters!$A:$A),MATCH(M$1,[4]characters!$1:$1,0)-MATCH($J$1,[4]characters!$1:$1,0)+1),MATCH(M$1,[4]characters!$1:$1,0)-MATCH($J$1,[4]characters!$1:$1,0)+1,FALSE)</f>
        <v>Drop1N</v>
      </c>
      <c r="N22" s="22" t="str">
        <f ca="1">VLOOKUP($J22,OFFSET([4]characters!$A$1,0,0,COUNTA([4]characters!$A:$A),MATCH(N$1,[4]characters!$1:$1,0)-MATCH($J$1,[4]characters!$1:$1,0)+2),MATCH(N$1,[4]characters!$1:$1,0)-MATCH($J$1,[4]characters!$1:$1,0)+2,FALSE)</f>
        <v>アニマル</v>
      </c>
      <c r="O22" s="5">
        <f ca="1">VLOOKUP($J22,OFFSET([3]enemies!$A$1,0,0,COUNTA([3]enemies!$A:$A),MATCH(O$1,[3]enemies!$1:$1,0)-MATCH($J$1,[3]enemies!$1:$1,0)+1),MATCH(O$1,[3]enemies!$1:$1,0)-MATCH($J$1,[3]enemies!$1:$1,0)+1,FALSE)</f>
        <v>15</v>
      </c>
      <c r="P22" s="45">
        <v>13</v>
      </c>
      <c r="Q22" s="43">
        <v>1</v>
      </c>
      <c r="R22" s="43">
        <v>1</v>
      </c>
      <c r="S22" s="6">
        <v>0</v>
      </c>
      <c r="T22" s="5" t="str">
        <f ca="1">VLOOKUP($U22,OFFSET([5]enemy_skill_sets!$B$1,0,0,COUNTA([5]enemy_skill_sets!$B:$B),MATCH(K$1,[5]enemy_skill_sets!$1:$1,0)-MATCH($U$1,[5]enemy_skill_sets!$1:$1,0)+2),MATCH(K$1,[5]enemy_skill_sets!$1:$1,0)-MATCH($U$1,[5]enemy_skill_sets!$1:$1,0)+2,FALSE)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2" s="5">
        <f ca="1">VLOOKUP($J22,OFFSET([3]enemies!$A$1,0,0,COUNTA([3]enemies!$A:$A),MATCH(U$1,[3]enemies!$1:$1,0)-MATCH($J$1,[3]enemies!$1:$1,0)+1),MATCH(U$1,[3]enemies!$1:$1,0)-MATCH($J$1,[3]enemies!$1:$1,0)+1,FALSE)</f>
        <v>0</v>
      </c>
      <c r="V22" s="7">
        <v>0</v>
      </c>
      <c r="W22" s="7">
        <v>100</v>
      </c>
      <c r="X22" s="7">
        <v>0</v>
      </c>
      <c r="Y22" s="20">
        <f ca="1">VLOOKUP($J22,OFFSET([3]enemies!$A$1,0,0,COUNTA([3]enemies!$A:$A),MATCH(Y$1,[3]enemies!$1:$1,0)-MATCH($J$1,[3]enemies!$1:$1,0)+1),MATCH(Y$1,[3]enemies!$1:$1,0)-MATCH($J$1,[3]enemies!$1:$1,0)+1,FALSE)</f>
        <v>4</v>
      </c>
      <c r="Z22" s="29">
        <v>23</v>
      </c>
      <c r="AA22" s="5" t="str">
        <f ca="1">IFERROR(VLOOKUP($Z22,OFFSET([4]characters!$A$1,0,0,COUNTA([4]characters!$A:$A),MATCH(AA$1,[4]characters!$1:$1,0)-MATCH("character_id",[4]characters!$1:$1,0)+1),MATCH(AA$1,[4]characters!$1:$1,0)-MATCH("character_id",[4]characters!$1:$1,0)+1,FALSE),"")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22" s="5">
        <f ca="1">IFERROR(VLOOKUP($Z22,OFFSET([4]characters!$A$1,0,0,COUNTA([4]characters!$A:$A),MATCH(AB$1,[4]characters!$1:$1,0)-MATCH("character_id",[4]characters!$1:$1,0)+1),MATCH(AB$1,[4]characters!$1:$1,0)-MATCH("character_id",[4]characters!$1:$1,0)+1,FALSE),"")</f>
        <v>1</v>
      </c>
      <c r="AC22" s="5" t="str">
        <f ca="1">IFERROR(VLOOKUP($Z22,OFFSET([4]characters!$A$1,0,0,COUNTA([4]characters!$A:$A),MATCH(AC$1,[4]characters!$1:$1,0)-MATCH("character_id",[4]characters!$1:$1,0)+1),MATCH(AC$1,[4]characters!$1:$1,0)-MATCH("character_id",[4]characters!$1:$1,0)+1,FALSE),"")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2" s="8">
        <v>1</v>
      </c>
      <c r="AE22" s="28">
        <f t="shared" ca="1" si="17"/>
        <v>1</v>
      </c>
      <c r="AF22" s="9">
        <v>25</v>
      </c>
      <c r="AG22" s="8">
        <v>0</v>
      </c>
      <c r="AH22" s="8">
        <v>0</v>
      </c>
      <c r="AI22" s="8">
        <v>0</v>
      </c>
      <c r="AJ22" s="8">
        <v>0</v>
      </c>
      <c r="AK22" s="8">
        <v>1</v>
      </c>
      <c r="AL22" s="8">
        <v>1</v>
      </c>
    </row>
    <row r="23" spans="1:38" ht="21" customHeight="1" x14ac:dyDescent="0.15">
      <c r="A23" s="17" t="str">
        <f t="shared" ca="1" si="15"/>
        <v>13101_3-3/3&lt;lv13&gt;s2</v>
      </c>
      <c r="B23" s="26">
        <v>13101</v>
      </c>
      <c r="C23" s="25">
        <v>3</v>
      </c>
      <c r="D23" s="2" t="str">
        <f t="shared" si="16"/>
        <v>13101_3</v>
      </c>
      <c r="E23" s="5" t="str">
        <f ca="1">VLOOKUP($B23,OFFSET([2]quests!$A$1,0,0,COUNTA([2]quests!$A:$A),MATCH(E$1,[2]quests!$1:$1,0)-MATCH($B$1,[2]quests!$1:$1,0)+1),MATCH(E$1,[2]quests!$1:$1,0)-MATCH($B$1,[2]quests!$1:$1,0)+1,FALSE)</f>
        <v>チャレンジタワー</v>
      </c>
      <c r="F23" s="5" t="e">
        <f ca="1">VLOOKUP($D23,OFFSET([2]stages!$A$1,0,0,COUNTA([2]stages!$A:$A),MATCH(F$1,[2]stages!$1:$1,0)-MATCH($D$1,[2]stages!$1:$1,0)+1),MATCH(F$1,[2]stages!$1:$1,0)-MATCH($D$1,[2]stages!$1:$1,0)+1,FALSE)</f>
        <v>#N/A</v>
      </c>
      <c r="G23" s="30">
        <v>3</v>
      </c>
      <c r="H23" s="16" t="str">
        <f t="shared" si="14"/>
        <v>13101_3-3</v>
      </c>
      <c r="I23" s="39" t="s">
        <v>245</v>
      </c>
      <c r="J23" s="39">
        <v>3</v>
      </c>
      <c r="K23" s="20" t="str">
        <f ca="1">VLOOKUP($J23,OFFSET([3]enemies!$A$1,0,0,COUNTA([3]enemies!$A:$A),MATCH(K$1,[3]enemies!$1:$1,0)-MATCH($J$1,[3]enemies!$1:$1,0)+1),MATCH(K$1,[3]enemies!$1:$1,0)-MATCH($J$1,[3]enemies!$1:$1,0)+1,FALSE)</f>
        <v>エージェント ジョー</v>
      </c>
      <c r="L23" s="23" t="str">
        <f ca="1">VLOOKUP($J23,OFFSET([3]enemies!$A$1,0,0,COUNTA([3]enemies!$A:$A),MATCH(L$1,[3]enemies!$1:$1,0)-MATCH($J$1,[3]enemies!$1:$1,0)+1),MATCH(L$1,[3]enemies!$1:$1,0)-MATCH($J$1,[3]enemies!$1:$1,0)+1,FALSE)</f>
        <v>green</v>
      </c>
      <c r="M23" s="23" t="str">
        <f ca="1">VLOOKUP($J23,OFFSET([4]characters!$A$1,0,0,COUNTA([4]characters!$A:$A),MATCH(M$1,[4]characters!$1:$1,0)-MATCH($J$1,[4]characters!$1:$1,0)+1),MATCH(M$1,[4]characters!$1:$1,0)-MATCH($J$1,[4]characters!$1:$1,0)+1,FALSE)</f>
        <v>Drop1T</v>
      </c>
      <c r="N23" s="22" t="str">
        <f ca="1">VLOOKUP($J23,OFFSET([4]characters!$A$1,0,0,COUNTA([4]characters!$A:$A),MATCH(N$1,[4]characters!$1:$1,0)-MATCH($J$1,[4]characters!$1:$1,0)+2),MATCH(N$1,[4]characters!$1:$1,0)-MATCH($J$1,[4]characters!$1:$1,0)+2,FALSE)</f>
        <v>Unknown</v>
      </c>
      <c r="O23" s="5">
        <f ca="1">VLOOKUP($J23,OFFSET([3]enemies!$A$1,0,0,COUNTA([3]enemies!$A:$A),MATCH(O$1,[3]enemies!$1:$1,0)-MATCH($J$1,[3]enemies!$1:$1,0)+1),MATCH(O$1,[3]enemies!$1:$1,0)-MATCH($J$1,[3]enemies!$1:$1,0)+1,FALSE)</f>
        <v>15</v>
      </c>
      <c r="P23" s="45">
        <v>13</v>
      </c>
      <c r="Q23" s="43">
        <v>1</v>
      </c>
      <c r="R23" s="43">
        <v>1</v>
      </c>
      <c r="S23" s="6">
        <v>0</v>
      </c>
      <c r="T23" s="5" t="str">
        <f ca="1">VLOOKUP($U23,OFFSET([5]enemy_skill_sets!$B$1,0,0,COUNTA([5]enemy_skill_sets!$B:$B),MATCH(K$1,[5]enemy_skill_sets!$1:$1,0)-MATCH($U$1,[5]enemy_skill_sets!$1:$1,0)+2),MATCH(K$1,[5]enemy_skill_sets!$1:$1,0)-MATCH($U$1,[5]enemy_skill_sets!$1:$1,0)+2,FALSE)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3" s="5">
        <f ca="1">VLOOKUP($J23,OFFSET([3]enemies!$A$1,0,0,COUNTA([3]enemies!$A:$A),MATCH(U$1,[3]enemies!$1:$1,0)-MATCH($J$1,[3]enemies!$1:$1,0)+1),MATCH(U$1,[3]enemies!$1:$1,0)-MATCH($J$1,[3]enemies!$1:$1,0)+1,FALSE)</f>
        <v>0</v>
      </c>
      <c r="V23" s="7">
        <v>0</v>
      </c>
      <c r="W23" s="7">
        <v>100</v>
      </c>
      <c r="X23" s="7">
        <v>0</v>
      </c>
      <c r="Y23" s="20">
        <f ca="1">VLOOKUP($J23,OFFSET([3]enemies!$A$1,0,0,COUNTA([3]enemies!$A:$A),MATCH(Y$1,[3]enemies!$1:$1,0)-MATCH($J$1,[3]enemies!$1:$1,0)+1),MATCH(Y$1,[3]enemies!$1:$1,0)-MATCH($J$1,[3]enemies!$1:$1,0)+1,FALSE)</f>
        <v>2</v>
      </c>
      <c r="Z23" s="29">
        <v>3</v>
      </c>
      <c r="AA23" s="5" t="str">
        <f ca="1">IFERROR(VLOOKUP($Z23,OFFSET([4]characters!$A$1,0,0,COUNTA([4]characters!$A:$A),MATCH(AA$1,[4]characters!$1:$1,0)-MATCH("character_id",[4]characters!$1:$1,0)+1),MATCH(AA$1,[4]characters!$1:$1,0)-MATCH("character_id",[4]characters!$1:$1,0)+1,FALSE),"")</f>
        <v>エージェント ジョー</v>
      </c>
      <c r="AB23" s="5">
        <f ca="1">IFERROR(VLOOKUP($Z23,OFFSET([4]characters!$A$1,0,0,COUNTA([4]characters!$A:$A),MATCH(AB$1,[4]characters!$1:$1,0)-MATCH("character_id",[4]characters!$1:$1,0)+1),MATCH(AB$1,[4]characters!$1:$1,0)-MATCH("character_id",[4]characters!$1:$1,0)+1,FALSE),"")</f>
        <v>1</v>
      </c>
      <c r="AC23" s="5" t="str">
        <f ca="1">IFERROR(VLOOKUP($Z23,OFFSET([4]characters!$A$1,0,0,COUNTA([4]characters!$A:$A),MATCH(AC$1,[4]characters!$1:$1,0)-MATCH("character_id",[4]characters!$1:$1,0)+1),MATCH(AC$1,[4]characters!$1:$1,0)-MATCH("character_id",[4]characters!$1:$1,0)+1,FALSE),"")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23" s="8">
        <v>4</v>
      </c>
      <c r="AE23" s="28">
        <f t="shared" ca="1" si="17"/>
        <v>1</v>
      </c>
      <c r="AF23" s="9">
        <v>25</v>
      </c>
      <c r="AG23" s="8">
        <v>0</v>
      </c>
      <c r="AH23" s="8">
        <v>0</v>
      </c>
      <c r="AI23" s="8">
        <v>0</v>
      </c>
      <c r="AJ23" s="8">
        <v>0</v>
      </c>
      <c r="AK23" s="8">
        <v>1</v>
      </c>
      <c r="AL23" s="8">
        <v>1</v>
      </c>
    </row>
    <row r="24" spans="1:38" ht="21" customHeight="1" x14ac:dyDescent="0.15">
      <c r="A24" s="17" t="str">
        <f t="shared" ca="1" si="15"/>
        <v>13101_3-3/11&lt;lv13&gt;s3</v>
      </c>
      <c r="B24" s="26">
        <v>13101</v>
      </c>
      <c r="C24" s="25">
        <v>3</v>
      </c>
      <c r="D24" s="2" t="str">
        <f t="shared" si="16"/>
        <v>13101_3</v>
      </c>
      <c r="E24" s="5" t="str">
        <f ca="1">VLOOKUP($B24,OFFSET([2]quests!$A$1,0,0,COUNTA([2]quests!$A:$A),MATCH(E$1,[2]quests!$1:$1,0)-MATCH($B$1,[2]quests!$1:$1,0)+1),MATCH(E$1,[2]quests!$1:$1,0)-MATCH($B$1,[2]quests!$1:$1,0)+1,FALSE)</f>
        <v>チャレンジタワー</v>
      </c>
      <c r="F24" s="5" t="e">
        <f ca="1">VLOOKUP($D24,OFFSET([2]stages!$A$1,0,0,COUNTA([2]stages!$A:$A),MATCH(F$1,[2]stages!$1:$1,0)-MATCH($D$1,[2]stages!$1:$1,0)+1),MATCH(F$1,[2]stages!$1:$1,0)-MATCH($D$1,[2]stages!$1:$1,0)+1,FALSE)</f>
        <v>#N/A</v>
      </c>
      <c r="G24" s="30">
        <v>3</v>
      </c>
      <c r="H24" s="16" t="str">
        <f t="shared" si="14"/>
        <v>13101_3-3</v>
      </c>
      <c r="I24" s="39" t="s">
        <v>245</v>
      </c>
      <c r="J24" s="39">
        <v>11</v>
      </c>
      <c r="K24" s="20" t="str">
        <f ca="1">VLOOKUP($J24,OFFSET([3]enemies!$A$1,0,0,COUNTA([3]enemies!$A:$A),MATCH(K$1,[3]enemies!$1:$1,0)-MATCH($J$1,[3]enemies!$1:$1,0)+1),MATCH(K$1,[3]enemies!$1:$1,0)-MATCH($J$1,[3]enemies!$1:$1,0)+1,FALSE)</f>
        <v>マグリット</v>
      </c>
      <c r="L24" s="23" t="str">
        <f ca="1">VLOOKUP($J24,OFFSET([3]enemies!$A$1,0,0,COUNTA([3]enemies!$A:$A),MATCH(L$1,[3]enemies!$1:$1,0)-MATCH($J$1,[3]enemies!$1:$1,0)+1),MATCH(L$1,[3]enemies!$1:$1,0)-MATCH($J$1,[3]enemies!$1:$1,0)+1,FALSE)</f>
        <v>green</v>
      </c>
      <c r="M24" s="23" t="str">
        <f ca="1">VLOOKUP($J24,OFFSET([4]characters!$A$1,0,0,COUNTA([4]characters!$A:$A),MATCH(M$1,[4]characters!$1:$1,0)-MATCH($J$1,[4]characters!$1:$1,0)+1),MATCH(M$1,[4]characters!$1:$1,0)-MATCH($J$1,[4]characters!$1:$1,0)+1,FALSE)</f>
        <v>Drop1W</v>
      </c>
      <c r="N24" s="22" t="str">
        <f ca="1">VLOOKUP($J24,OFFSET([4]characters!$A$1,0,0,COUNTA([4]characters!$A:$A),MATCH(N$1,[4]characters!$1:$1,0)-MATCH($J$1,[4]characters!$1:$1,0)+2),MATCH(N$1,[4]characters!$1:$1,0)-MATCH($J$1,[4]characters!$1:$1,0)+2,FALSE)</f>
        <v>アニマル</v>
      </c>
      <c r="O24" s="5">
        <f ca="1">VLOOKUP($J24,OFFSET([3]enemies!$A$1,0,0,COUNTA([3]enemies!$A:$A),MATCH(O$1,[3]enemies!$1:$1,0)-MATCH($J$1,[3]enemies!$1:$1,0)+1),MATCH(O$1,[3]enemies!$1:$1,0)-MATCH($J$1,[3]enemies!$1:$1,0)+1,FALSE)</f>
        <v>15</v>
      </c>
      <c r="P24" s="45">
        <v>13</v>
      </c>
      <c r="Q24" s="43">
        <v>1</v>
      </c>
      <c r="R24" s="43">
        <v>1</v>
      </c>
      <c r="S24" s="6">
        <v>0</v>
      </c>
      <c r="T24" s="5" t="str">
        <f ca="1">VLOOKUP($U24,OFFSET([5]enemy_skill_sets!$B$1,0,0,COUNTA([5]enemy_skill_sets!$B:$B),MATCH(K$1,[5]enemy_skill_sets!$1:$1,0)-MATCH($U$1,[5]enemy_skill_sets!$1:$1,0)+2),MATCH(K$1,[5]enemy_skill_sets!$1:$1,0)-MATCH($U$1,[5]enemy_skill_sets!$1:$1,0)+2,FALSE)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4" s="5">
        <f ca="1">VLOOKUP($J24,OFFSET([3]enemies!$A$1,0,0,COUNTA([3]enemies!$A:$A),MATCH(U$1,[3]enemies!$1:$1,0)-MATCH($J$1,[3]enemies!$1:$1,0)+1),MATCH(U$1,[3]enemies!$1:$1,0)-MATCH($J$1,[3]enemies!$1:$1,0)+1,FALSE)</f>
        <v>0</v>
      </c>
      <c r="V24" s="7">
        <v>0</v>
      </c>
      <c r="W24" s="7">
        <v>100</v>
      </c>
      <c r="X24" s="7">
        <v>0</v>
      </c>
      <c r="Y24" s="20">
        <f ca="1">VLOOKUP($J24,OFFSET([3]enemies!$A$1,0,0,COUNTA([3]enemies!$A:$A),MATCH(Y$1,[3]enemies!$1:$1,0)-MATCH($J$1,[3]enemies!$1:$1,0)+1),MATCH(Y$1,[3]enemies!$1:$1,0)-MATCH($J$1,[3]enemies!$1:$1,0)+1,FALSE)</f>
        <v>3</v>
      </c>
      <c r="Z24" s="29">
        <v>11</v>
      </c>
      <c r="AA24" s="5" t="str">
        <f ca="1">IFERROR(VLOOKUP($Z24,OFFSET([4]characters!$A$1,0,0,COUNTA([4]characters!$A:$A),MATCH(AA$1,[4]characters!$1:$1,0)-MATCH("character_id",[4]characters!$1:$1,0)+1),MATCH(AA$1,[4]characters!$1:$1,0)-MATCH("character_id",[4]characters!$1:$1,0)+1,FALSE),"")</f>
        <v>マグリット</v>
      </c>
      <c r="AB24" s="5">
        <f ca="1">IFERROR(VLOOKUP($Z24,OFFSET([4]characters!$A$1,0,0,COUNTA([4]characters!$A:$A),MATCH(AB$1,[4]characters!$1:$1,0)-MATCH("character_id",[4]characters!$1:$1,0)+1),MATCH(AB$1,[4]characters!$1:$1,0)-MATCH("character_id",[4]characters!$1:$1,0)+1,FALSE),"")</f>
        <v>1</v>
      </c>
      <c r="AC24" s="5" t="str">
        <f ca="1">IFERROR(VLOOKUP($Z24,OFFSET([4]characters!$A$1,0,0,COUNTA([4]characters!$A:$A),MATCH(AC$1,[4]characters!$1:$1,0)-MATCH("character_id",[4]characters!$1:$1,0)+1),MATCH(AC$1,[4]characters!$1:$1,0)-MATCH("character_id",[4]characters!$1:$1,0)+1,FALSE),"")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4" s="8">
        <v>2</v>
      </c>
      <c r="AE24" s="28">
        <f t="shared" ca="1" si="17"/>
        <v>1</v>
      </c>
      <c r="AF24" s="9">
        <v>25</v>
      </c>
      <c r="AG24" s="8">
        <v>0</v>
      </c>
      <c r="AH24" s="8">
        <v>0</v>
      </c>
      <c r="AI24" s="8">
        <v>0</v>
      </c>
      <c r="AJ24" s="8">
        <v>0</v>
      </c>
      <c r="AK24" s="8">
        <v>1</v>
      </c>
      <c r="AL24" s="8">
        <v>1</v>
      </c>
    </row>
    <row r="25" spans="1:38" ht="21" customHeight="1" x14ac:dyDescent="0.15">
      <c r="A25" s="17" t="str">
        <f t="shared" ca="1" si="15"/>
        <v>13101_3-3/23&lt;lv13&gt;s4</v>
      </c>
      <c r="B25" s="26">
        <v>13101</v>
      </c>
      <c r="C25" s="25">
        <v>3</v>
      </c>
      <c r="D25" s="2" t="str">
        <f t="shared" si="16"/>
        <v>13101_3</v>
      </c>
      <c r="E25" s="5" t="str">
        <f ca="1">VLOOKUP($B25,OFFSET([2]quests!$A$1,0,0,COUNTA([2]quests!$A:$A),MATCH(E$1,[2]quests!$1:$1,0)-MATCH($B$1,[2]quests!$1:$1,0)+1),MATCH(E$1,[2]quests!$1:$1,0)-MATCH($B$1,[2]quests!$1:$1,0)+1,FALSE)</f>
        <v>チャレンジタワー</v>
      </c>
      <c r="F25" s="5" t="e">
        <f ca="1">VLOOKUP($D25,OFFSET([2]stages!$A$1,0,0,COUNTA([2]stages!$A:$A),MATCH(F$1,[2]stages!$1:$1,0)-MATCH($D$1,[2]stages!$1:$1,0)+1),MATCH(F$1,[2]stages!$1:$1,0)-MATCH($D$1,[2]stages!$1:$1,0)+1,FALSE)</f>
        <v>#N/A</v>
      </c>
      <c r="G25" s="30">
        <v>3</v>
      </c>
      <c r="H25" s="16" t="str">
        <f t="shared" si="14"/>
        <v>13101_3-3</v>
      </c>
      <c r="I25" s="39" t="s">
        <v>245</v>
      </c>
      <c r="J25" s="39">
        <v>23</v>
      </c>
      <c r="K25" s="20" t="str">
        <f ca="1">VLOOKUP($J25,OFFSET([3]enemies!$A$1,0,0,COUNTA([3]enemies!$A:$A),MATCH(K$1,[3]enemies!$1:$1,0)-MATCH($J$1,[3]enemies!$1:$1,0)+1),MATCH(K$1,[3]enemies!$1:$1,0)-MATCH($J$1,[3]enemies!$1:$1,0)+1,FALSE)</f>
        <v>ミール</v>
      </c>
      <c r="L25" s="23" t="str">
        <f ca="1">VLOOKUP($J25,OFFSET([3]enemies!$A$1,0,0,COUNTA([3]enemies!$A:$A),MATCH(L$1,[3]enemies!$1:$1,0)-MATCH($J$1,[3]enemies!$1:$1,0)+1),MATCH(L$1,[3]enemies!$1:$1,0)-MATCH($J$1,[3]enemies!$1:$1,0)+1,FALSE)</f>
        <v>green</v>
      </c>
      <c r="M25" s="23" t="str">
        <f ca="1">VLOOKUP($J25,OFFSET([4]characters!$A$1,0,0,COUNTA([4]characters!$A:$A),MATCH(M$1,[4]characters!$1:$1,0)-MATCH($J$1,[4]characters!$1:$1,0)+1),MATCH(M$1,[4]characters!$1:$1,0)-MATCH($J$1,[4]characters!$1:$1,0)+1,FALSE)</f>
        <v>Drop1N</v>
      </c>
      <c r="N25" s="22" t="str">
        <f ca="1">VLOOKUP($J25,OFFSET([4]characters!$A$1,0,0,COUNTA([4]characters!$A:$A),MATCH(N$1,[4]characters!$1:$1,0)-MATCH($J$1,[4]characters!$1:$1,0)+2),MATCH(N$1,[4]characters!$1:$1,0)-MATCH($J$1,[4]characters!$1:$1,0)+2,FALSE)</f>
        <v>アニマル</v>
      </c>
      <c r="O25" s="5">
        <f ca="1">VLOOKUP($J25,OFFSET([3]enemies!$A$1,0,0,COUNTA([3]enemies!$A:$A),MATCH(O$1,[3]enemies!$1:$1,0)-MATCH($J$1,[3]enemies!$1:$1,0)+1),MATCH(O$1,[3]enemies!$1:$1,0)-MATCH($J$1,[3]enemies!$1:$1,0)+1,FALSE)</f>
        <v>15</v>
      </c>
      <c r="P25" s="45">
        <v>13</v>
      </c>
      <c r="Q25" s="43">
        <v>1</v>
      </c>
      <c r="R25" s="43">
        <v>1</v>
      </c>
      <c r="S25" s="6">
        <v>0</v>
      </c>
      <c r="T25" s="5" t="str">
        <f ca="1">VLOOKUP($U25,OFFSET([5]enemy_skill_sets!$B$1,0,0,COUNTA([5]enemy_skill_sets!$B:$B),MATCH(K$1,[5]enemy_skill_sets!$1:$1,0)-MATCH($U$1,[5]enemy_skill_sets!$1:$1,0)+2),MATCH(K$1,[5]enemy_skill_sets!$1:$1,0)-MATCH($U$1,[5]enemy_skill_sets!$1:$1,0)+2,FALSE)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5" s="5">
        <f ca="1">VLOOKUP($J25,OFFSET([3]enemies!$A$1,0,0,COUNTA([3]enemies!$A:$A),MATCH(U$1,[3]enemies!$1:$1,0)-MATCH($J$1,[3]enemies!$1:$1,0)+1),MATCH(U$1,[3]enemies!$1:$1,0)-MATCH($J$1,[3]enemies!$1:$1,0)+1,FALSE)</f>
        <v>0</v>
      </c>
      <c r="V25" s="7">
        <v>0</v>
      </c>
      <c r="W25" s="7">
        <v>100</v>
      </c>
      <c r="X25" s="7">
        <v>0</v>
      </c>
      <c r="Y25" s="20">
        <f ca="1">VLOOKUP($J25,OFFSET([3]enemies!$A$1,0,0,COUNTA([3]enemies!$A:$A),MATCH(Y$1,[3]enemies!$1:$1,0)-MATCH($J$1,[3]enemies!$1:$1,0)+1),MATCH(Y$1,[3]enemies!$1:$1,0)-MATCH($J$1,[3]enemies!$1:$1,0)+1,FALSE)</f>
        <v>4</v>
      </c>
      <c r="Z25" s="29">
        <v>23</v>
      </c>
      <c r="AA25" s="5" t="str">
        <f ca="1">IFERROR(VLOOKUP($Z25,OFFSET([4]characters!$A$1,0,0,COUNTA([4]characters!$A:$A),MATCH(AA$1,[4]characters!$1:$1,0)-MATCH("character_id",[4]characters!$1:$1,0)+1),MATCH(AA$1,[4]characters!$1:$1,0)-MATCH("character_id",[4]characters!$1:$1,0)+1,FALSE),"")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25" s="5">
        <f ca="1">IFERROR(VLOOKUP($Z25,OFFSET([4]characters!$A$1,0,0,COUNTA([4]characters!$A:$A),MATCH(AB$1,[4]characters!$1:$1,0)-MATCH("character_id",[4]characters!$1:$1,0)+1),MATCH(AB$1,[4]characters!$1:$1,0)-MATCH("character_id",[4]characters!$1:$1,0)+1,FALSE),"")</f>
        <v>1</v>
      </c>
      <c r="AC25" s="5" t="str">
        <f ca="1">IFERROR(VLOOKUP($Z25,OFFSET([4]characters!$A$1,0,0,COUNTA([4]characters!$A:$A),MATCH(AC$1,[4]characters!$1:$1,0)-MATCH("character_id",[4]characters!$1:$1,0)+1),MATCH(AC$1,[4]characters!$1:$1,0)-MATCH("character_id",[4]characters!$1:$1,0)+1,FALSE),"")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5" s="8">
        <v>1</v>
      </c>
      <c r="AE25" s="28">
        <f t="shared" ca="1" si="17"/>
        <v>1</v>
      </c>
      <c r="AF25" s="9">
        <v>25</v>
      </c>
      <c r="AG25" s="8">
        <v>0</v>
      </c>
      <c r="AH25" s="8">
        <v>0</v>
      </c>
      <c r="AI25" s="8">
        <v>0</v>
      </c>
      <c r="AJ25" s="8">
        <v>0</v>
      </c>
      <c r="AK25" s="8">
        <v>1</v>
      </c>
      <c r="AL25" s="8">
        <v>1</v>
      </c>
    </row>
    <row r="26" spans="1:38" ht="21" customHeight="1" x14ac:dyDescent="0.15">
      <c r="A26" s="17" t="str">
        <f t="shared" ca="1" si="15"/>
        <v>13101_3-4/128&lt;lv15&gt;s2</v>
      </c>
      <c r="B26" s="26">
        <v>13101</v>
      </c>
      <c r="C26" s="25">
        <v>3</v>
      </c>
      <c r="D26" s="2" t="str">
        <f t="shared" si="16"/>
        <v>13101_3</v>
      </c>
      <c r="E26" s="5" t="str">
        <f ca="1">VLOOKUP($B26,OFFSET([2]quests!$A$1,0,0,COUNTA([2]quests!$A:$A),MATCH(E$1,[2]quests!$1:$1,0)-MATCH($B$1,[2]quests!$1:$1,0)+1),MATCH(E$1,[2]quests!$1:$1,0)-MATCH($B$1,[2]quests!$1:$1,0)+1,FALSE)</f>
        <v>チャレンジタワー</v>
      </c>
      <c r="F26" s="5" t="e">
        <f ca="1">VLOOKUP($D26,OFFSET([2]stages!$A$1,0,0,COUNTA([2]stages!$A:$A),MATCH(F$1,[2]stages!$1:$1,0)-MATCH($D$1,[2]stages!$1:$1,0)+1),MATCH(F$1,[2]stages!$1:$1,0)-MATCH($D$1,[2]stages!$1:$1,0)+1,FALSE)</f>
        <v>#N/A</v>
      </c>
      <c r="G26" s="30">
        <v>4</v>
      </c>
      <c r="H26" s="16" t="str">
        <f t="shared" si="14"/>
        <v>13101_3-4</v>
      </c>
      <c r="I26" s="39" t="s">
        <v>245</v>
      </c>
      <c r="J26" s="39">
        <v>128</v>
      </c>
      <c r="K26" s="20" t="str">
        <f ca="1">VLOOKUP($J26,OFFSET([3]enemies!$A$1,0,0,COUNTA([3]enemies!$A:$A),MATCH(K$1,[3]enemies!$1:$1,0)-MATCH($J$1,[3]enemies!$1:$1,0)+1),MATCH(K$1,[3]enemies!$1:$1,0)-MATCH($J$1,[3]enemies!$1:$1,0)+1,FALSE)</f>
        <v>野生児 アマラ</v>
      </c>
      <c r="L26" s="23" t="str">
        <f ca="1">VLOOKUP($J26,OFFSET([3]enemies!$A$1,0,0,COUNTA([3]enemies!$A:$A),MATCH(L$1,[3]enemies!$1:$1,0)-MATCH($J$1,[3]enemies!$1:$1,0)+1),MATCH(L$1,[3]enemies!$1:$1,0)-MATCH($J$1,[3]enemies!$1:$1,0)+1,FALSE)</f>
        <v>green</v>
      </c>
      <c r="M26" s="23" t="str">
        <f ca="1">VLOOKUP($J26,OFFSET([4]characters!$A$1,0,0,COUNTA([4]characters!$A:$A),MATCH(M$1,[4]characters!$1:$1,0)-MATCH($J$1,[4]characters!$1:$1,0)+1),MATCH(M$1,[4]characters!$1:$1,0)-MATCH($J$1,[4]characters!$1:$1,0)+1,FALSE)</f>
        <v>PremiumW</v>
      </c>
      <c r="N26" s="22" t="str">
        <f ca="1">VLOOKUP($J26,OFFSET([4]characters!$A$1,0,0,COUNTA([4]characters!$A:$A),MATCH(N$1,[4]characters!$1:$1,0)-MATCH($J$1,[4]characters!$1:$1,0)+2),MATCH(N$1,[4]characters!$1:$1,0)-MATCH($J$1,[4]characters!$1:$1,0)+2,FALSE)</f>
        <v>ヒューマン</v>
      </c>
      <c r="O26" s="5">
        <f ca="1">VLOOKUP($J26,OFFSET([3]enemies!$A$1,0,0,COUNTA([3]enemies!$A:$A),MATCH(O$1,[3]enemies!$1:$1,0)-MATCH($J$1,[3]enemies!$1:$1,0)+1),MATCH(O$1,[3]enemies!$1:$1,0)-MATCH($J$1,[3]enemies!$1:$1,0)+1,FALSE)</f>
        <v>20</v>
      </c>
      <c r="P26" s="45">
        <v>15</v>
      </c>
      <c r="Q26" s="43">
        <v>1</v>
      </c>
      <c r="R26" s="43">
        <v>1</v>
      </c>
      <c r="S26" s="6">
        <v>0</v>
      </c>
      <c r="T26" s="5" t="str">
        <f ca="1">VLOOKUP($U26,OFFSET([5]enemy_skill_sets!$B$1,0,0,COUNTA([5]enemy_skill_sets!$B:$B),MATCH(K$1,[5]enemy_skill_sets!$1:$1,0)-MATCH($U$1,[5]enemy_skill_sets!$1:$1,0)+2),MATCH(K$1,[5]enemy_skill_sets!$1:$1,0)-MATCH($U$1,[5]enemy_skill_sets!$1:$1,0)+2,FALSE)</f>
        <v>3ターン攻撃力小UP</v>
      </c>
      <c r="U26" s="51">
        <v>12801</v>
      </c>
      <c r="V26" s="7">
        <v>1</v>
      </c>
      <c r="W26" s="7">
        <v>100</v>
      </c>
      <c r="X26" s="7">
        <v>1</v>
      </c>
      <c r="Y26" s="20">
        <f ca="1">VLOOKUP($J26,OFFSET([3]enemies!$A$1,0,0,COUNTA([3]enemies!$A:$A),MATCH(Y$1,[3]enemies!$1:$1,0)-MATCH($J$1,[3]enemies!$1:$1,0)+1),MATCH(Y$1,[3]enemies!$1:$1,0)-MATCH($J$1,[3]enemies!$1:$1,0)+1,FALSE)</f>
        <v>2</v>
      </c>
      <c r="Z26" s="29">
        <v>128</v>
      </c>
      <c r="AA26" s="5" t="str">
        <f ca="1">IFERROR(VLOOKUP($Z26,OFFSET([4]characters!$A$1,0,0,COUNTA([4]characters!$A:$A),MATCH(AA$1,[4]characters!$1:$1,0)-MATCH("character_id",[4]characters!$1:$1,0)+1),MATCH(AA$1,[4]characters!$1:$1,0)-MATCH("character_id",[4]characters!$1:$1,0)+1,FALSE),"")</f>
        <v>野生児 アマラ</v>
      </c>
      <c r="AB26" s="5">
        <f ca="1">IFERROR(VLOOKUP($Z26,OFFSET([4]characters!$A$1,0,0,COUNTA([4]characters!$A:$A),MATCH(AB$1,[4]characters!$1:$1,0)-MATCH("character_id",[4]characters!$1:$1,0)+1),MATCH(AB$1,[4]characters!$1:$1,0)-MATCH("character_id",[4]characters!$1:$1,0)+1,FALSE),"")</f>
        <v>3</v>
      </c>
      <c r="AC26" s="5" t="str">
        <f ca="1">IFERROR(VLOOKUP($Z26,OFFSET([4]characters!$A$1,0,0,COUNTA([4]characters!$A:$A),MATCH(AC$1,[4]characters!$1:$1,0)-MATCH("character_id",[4]characters!$1:$1,0)+1),MATCH(AC$1,[4]characters!$1:$1,0)-MATCH("character_id",[4]characters!$1:$1,0)+1,FALSE),"")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26" s="8">
        <v>1</v>
      </c>
      <c r="AE26" s="28">
        <f t="shared" ca="1" si="17"/>
        <v>3</v>
      </c>
      <c r="AF26" s="9">
        <v>0</v>
      </c>
      <c r="AG26" s="8">
        <v>0</v>
      </c>
      <c r="AH26" s="8">
        <v>0</v>
      </c>
      <c r="AI26" s="8">
        <v>0</v>
      </c>
      <c r="AJ26" s="8">
        <v>0</v>
      </c>
      <c r="AK26" s="8">
        <v>1</v>
      </c>
      <c r="AL26" s="8">
        <v>1</v>
      </c>
    </row>
    <row r="27" spans="1:38" ht="21" customHeight="1" x14ac:dyDescent="0.15">
      <c r="A27" s="17" t="str">
        <f t="shared" ref="A27" ca="1" si="18">B27&amp;"_"&amp;C27&amp;"-"&amp;G27&amp;"/"&amp;J27&amp;"&lt;lv"&amp;P27&amp;"&gt;s"&amp;Y27</f>
        <v>13101_3-4/51&lt;lv15&gt;s2</v>
      </c>
      <c r="B27" s="26">
        <v>13101</v>
      </c>
      <c r="C27" s="25">
        <v>3</v>
      </c>
      <c r="D27" s="2" t="str">
        <f t="shared" ref="D27" si="19">B27&amp;"_"&amp;C27</f>
        <v>13101_3</v>
      </c>
      <c r="E27" s="5" t="str">
        <f ca="1">VLOOKUP($B27,OFFSET([2]quests!$A$1,0,0,COUNTA([2]quests!$A:$A),MATCH(E$1,[2]quests!$1:$1,0)-MATCH($B$1,[2]quests!$1:$1,0)+1),MATCH(E$1,[2]quests!$1:$1,0)-MATCH($B$1,[2]quests!$1:$1,0)+1,FALSE)</f>
        <v>チャレンジタワー</v>
      </c>
      <c r="F27" s="5" t="e">
        <f ca="1">VLOOKUP($D27,OFFSET([2]stages!$A$1,0,0,COUNTA([2]stages!$A:$A),MATCH(F$1,[2]stages!$1:$1,0)-MATCH($D$1,[2]stages!$1:$1,0)+1),MATCH(F$1,[2]stages!$1:$1,0)-MATCH($D$1,[2]stages!$1:$1,0)+1,FALSE)</f>
        <v>#N/A</v>
      </c>
      <c r="G27" s="30">
        <v>4</v>
      </c>
      <c r="H27" s="16" t="str">
        <f t="shared" ref="H27" si="20">B27&amp;"_"&amp;C27&amp;"-"&amp;G27</f>
        <v>13101_3-4</v>
      </c>
      <c r="I27" s="39" t="s">
        <v>245</v>
      </c>
      <c r="J27" s="39">
        <v>51</v>
      </c>
      <c r="K27" s="20" t="str">
        <f ca="1">VLOOKUP($J27,OFFSET([3]enemies!$A$1,0,0,COUNTA([3]enemies!$A:$A),MATCH(K$1,[3]enemies!$1:$1,0)-MATCH($J$1,[3]enemies!$1:$1,0)+1),MATCH(K$1,[3]enemies!$1:$1,0)-MATCH($J$1,[3]enemies!$1:$1,0)+1,FALSE)</f>
        <v>マイ</v>
      </c>
      <c r="L27" s="23" t="str">
        <f ca="1">VLOOKUP($J27,OFFSET([3]enemies!$A$1,0,0,COUNTA([3]enemies!$A:$A),MATCH(L$1,[3]enemies!$1:$1,0)-MATCH($J$1,[3]enemies!$1:$1,0)+1),MATCH(L$1,[3]enemies!$1:$1,0)-MATCH($J$1,[3]enemies!$1:$1,0)+1,FALSE)</f>
        <v>green</v>
      </c>
      <c r="M27" s="23" t="str">
        <f ca="1">VLOOKUP($J27,OFFSET([4]characters!$A$1,0,0,COUNTA([4]characters!$A:$A),MATCH(M$1,[4]characters!$1:$1,0)-MATCH($J$1,[4]characters!$1:$1,0)+1),MATCH(M$1,[4]characters!$1:$1,0)-MATCH($J$1,[4]characters!$1:$1,0)+1,FALSE)</f>
        <v>Drop1N</v>
      </c>
      <c r="N27" s="22" t="str">
        <f ca="1">VLOOKUP($J27,OFFSET([4]characters!$A$1,0,0,COUNTA([4]characters!$A:$A),MATCH(N$1,[4]characters!$1:$1,0)-MATCH($J$1,[4]characters!$1:$1,0)+2),MATCH(N$1,[4]characters!$1:$1,0)-MATCH($J$1,[4]characters!$1:$1,0)+2,FALSE)</f>
        <v>ヒューマン</v>
      </c>
      <c r="O27" s="5">
        <f ca="1">VLOOKUP($J27,OFFSET([3]enemies!$A$1,0,0,COUNTA([3]enemies!$A:$A),MATCH(O$1,[3]enemies!$1:$1,0)-MATCH($J$1,[3]enemies!$1:$1,0)+1),MATCH(O$1,[3]enemies!$1:$1,0)-MATCH($J$1,[3]enemies!$1:$1,0)+1,FALSE)</f>
        <v>15</v>
      </c>
      <c r="P27" s="45">
        <v>15</v>
      </c>
      <c r="Q27" s="43">
        <v>2</v>
      </c>
      <c r="R27" s="43">
        <v>1</v>
      </c>
      <c r="S27" s="6">
        <v>0</v>
      </c>
      <c r="T27" s="5" t="str">
        <f ca="1">VLOOKUP($U27,OFFSET([5]enemy_skill_sets!$B$1,0,0,COUNTA([5]enemy_skill_sets!$B:$B),MATCH(K$1,[5]enemy_skill_sets!$1:$1,0)-MATCH($U$1,[5]enemy_skill_sets!$1:$1,0)+2),MATCH(K$1,[5]enemy_skill_sets!$1:$1,0)-MATCH($U$1,[5]enemy_skill_sets!$1:$1,0)+2,FALSE)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7" s="51">
        <v>0</v>
      </c>
      <c r="V27" s="7">
        <v>1</v>
      </c>
      <c r="W27" s="7">
        <v>100</v>
      </c>
      <c r="X27" s="7">
        <v>1</v>
      </c>
      <c r="Y27" s="20">
        <f ca="1">VLOOKUP($J27,OFFSET([3]enemies!$A$1,0,0,COUNTA([3]enemies!$A:$A),MATCH(Y$1,[3]enemies!$1:$1,0)-MATCH($J$1,[3]enemies!$1:$1,0)+1),MATCH(Y$1,[3]enemies!$1:$1,0)-MATCH($J$1,[3]enemies!$1:$1,0)+1,FALSE)</f>
        <v>2</v>
      </c>
      <c r="Z27" s="29">
        <v>51</v>
      </c>
      <c r="AA27" s="5" t="str">
        <f ca="1">IFERROR(VLOOKUP($Z27,OFFSET([4]characters!$A$1,0,0,COUNTA([4]characters!$A:$A),MATCH(AA$1,[4]characters!$1:$1,0)-MATCH("character_id",[4]characters!$1:$1,0)+1),MATCH(AA$1,[4]characters!$1:$1,0)-MATCH("character_id",[4]characters!$1:$1,0)+1,FALSE),"")</f>
        <v>マイ</v>
      </c>
      <c r="AB27" s="5">
        <f ca="1">IFERROR(VLOOKUP($Z27,OFFSET([4]characters!$A$1,0,0,COUNTA([4]characters!$A:$A),MATCH(AB$1,[4]characters!$1:$1,0)-MATCH("character_id",[4]characters!$1:$1,0)+1),MATCH(AB$1,[4]characters!$1:$1,0)-MATCH("character_id",[4]characters!$1:$1,0)+1,FALSE),"")</f>
        <v>2</v>
      </c>
      <c r="AC27" s="5" t="str">
        <f ca="1">IFERROR(VLOOKUP($Z27,OFFSET([4]characters!$A$1,0,0,COUNTA([4]characters!$A:$A),MATCH(AC$1,[4]characters!$1:$1,0)-MATCH("character_id",[4]characters!$1:$1,0)+1),MATCH(AC$1,[4]characters!$1:$1,0)-MATCH("character_id",[4]characters!$1:$1,0)+1,FALSE),"")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7" s="8">
        <v>2</v>
      </c>
      <c r="AE27" s="28">
        <f t="shared" ref="AE27" ca="1" si="21">AB27</f>
        <v>2</v>
      </c>
      <c r="AF27" s="9">
        <v>0</v>
      </c>
      <c r="AG27" s="8">
        <v>0</v>
      </c>
      <c r="AH27" s="8">
        <v>0</v>
      </c>
      <c r="AI27" s="8">
        <v>0</v>
      </c>
      <c r="AJ27" s="8">
        <v>0</v>
      </c>
      <c r="AK27" s="8">
        <v>1</v>
      </c>
      <c r="AL27" s="8">
        <v>1</v>
      </c>
    </row>
    <row r="28" spans="1:38" ht="21" customHeight="1" x14ac:dyDescent="0.15">
      <c r="A28" s="17" t="str">
        <f t="shared" ca="1" si="15"/>
        <v>13101_4-1/5&lt;lv14&gt;s3</v>
      </c>
      <c r="B28" s="26">
        <v>13101</v>
      </c>
      <c r="C28" s="25">
        <v>4</v>
      </c>
      <c r="D28" s="2" t="str">
        <f t="shared" si="16"/>
        <v>13101_4</v>
      </c>
      <c r="E28" s="5" t="str">
        <f ca="1">VLOOKUP($B28,OFFSET([2]quests!$A$1,0,0,COUNTA([2]quests!$A:$A),MATCH(E$1,[2]quests!$1:$1,0)-MATCH($B$1,[2]quests!$1:$1,0)+1),MATCH(E$1,[2]quests!$1:$1,0)-MATCH($B$1,[2]quests!$1:$1,0)+1,FALSE)</f>
        <v>チャレンジタワー</v>
      </c>
      <c r="F28" s="5" t="e">
        <f ca="1">VLOOKUP($D28,OFFSET([2]stages!$A$1,0,0,COUNTA([2]stages!$A:$A),MATCH(F$1,[2]stages!$1:$1,0)-MATCH($D$1,[2]stages!$1:$1,0)+1),MATCH(F$1,[2]stages!$1:$1,0)-MATCH($D$1,[2]stages!$1:$1,0)+1,FALSE)</f>
        <v>#N/A</v>
      </c>
      <c r="G28" s="30">
        <v>1</v>
      </c>
      <c r="H28" s="16" t="str">
        <f t="shared" ref="H28:H39" si="22">B28&amp;"_"&amp;C28&amp;"-"&amp;G28</f>
        <v>13101_4-1</v>
      </c>
      <c r="I28" s="39" t="s">
        <v>245</v>
      </c>
      <c r="J28" s="39">
        <v>5</v>
      </c>
      <c r="K28" s="20" t="str">
        <f ca="1">VLOOKUP($J28,OFFSET([3]enemies!$A$1,0,0,COUNTA([3]enemies!$A:$A),MATCH(K$1,[3]enemies!$1:$1,0)-MATCH($J$1,[3]enemies!$1:$1,0)+1),MATCH(K$1,[3]enemies!$1:$1,0)-MATCH($J$1,[3]enemies!$1:$1,0)+1,FALSE)</f>
        <v>パトドッグ ポチ</v>
      </c>
      <c r="L28" s="23" t="str">
        <f ca="1">VLOOKUP($J28,OFFSET([3]enemies!$A$1,0,0,COUNTA([3]enemies!$A:$A),MATCH(L$1,[3]enemies!$1:$1,0)-MATCH($J$1,[3]enemies!$1:$1,0)+1),MATCH(L$1,[3]enemies!$1:$1,0)-MATCH($J$1,[3]enemies!$1:$1,0)+1,FALSE)</f>
        <v>blue</v>
      </c>
      <c r="M28" s="23" t="str">
        <f ca="1">VLOOKUP($J28,OFFSET([4]characters!$A$1,0,0,COUNTA([4]characters!$A:$A),MATCH(M$1,[4]characters!$1:$1,0)-MATCH($J$1,[4]characters!$1:$1,0)+1),MATCH(M$1,[4]characters!$1:$1,0)-MATCH($J$1,[4]characters!$1:$1,0)+1,FALSE)</f>
        <v>Drop1T</v>
      </c>
      <c r="N28" s="22" t="str">
        <f ca="1">VLOOKUP($J28,OFFSET([4]characters!$A$1,0,0,COUNTA([4]characters!$A:$A),MATCH(N$1,[4]characters!$1:$1,0)-MATCH($J$1,[4]characters!$1:$1,0)+2),MATCH(N$1,[4]characters!$1:$1,0)-MATCH($J$1,[4]characters!$1:$1,0)+2,FALSE)</f>
        <v>Unknown</v>
      </c>
      <c r="O28" s="5">
        <f ca="1">VLOOKUP($J28,OFFSET([3]enemies!$A$1,0,0,COUNTA([3]enemies!$A:$A),MATCH(O$1,[3]enemies!$1:$1,0)-MATCH($J$1,[3]enemies!$1:$1,0)+1),MATCH(O$1,[3]enemies!$1:$1,0)-MATCH($J$1,[3]enemies!$1:$1,0)+1,FALSE)</f>
        <v>15</v>
      </c>
      <c r="P28" s="45">
        <v>14</v>
      </c>
      <c r="Q28" s="43">
        <v>1</v>
      </c>
      <c r="R28" s="43">
        <v>1</v>
      </c>
      <c r="S28" s="6">
        <v>0</v>
      </c>
      <c r="T28" s="5" t="str">
        <f ca="1">VLOOKUP($U28,OFFSET([5]enemy_skill_sets!$B$1,0,0,COUNTA([5]enemy_skill_sets!$B:$B),MATCH(K$1,[5]enemy_skill_sets!$1:$1,0)-MATCH($U$1,[5]enemy_skill_sets!$1:$1,0)+2),MATCH(K$1,[5]enemy_skill_sets!$1:$1,0)-MATCH($U$1,[5]enemy_skill_sets!$1:$1,0)+2,FALSE)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8" s="5">
        <f ca="1">VLOOKUP($J28,OFFSET([3]enemies!$A$1,0,0,COUNTA([3]enemies!$A:$A),MATCH(U$1,[3]enemies!$1:$1,0)-MATCH($J$1,[3]enemies!$1:$1,0)+1),MATCH(U$1,[3]enemies!$1:$1,0)-MATCH($J$1,[3]enemies!$1:$1,0)+1,FALSE)</f>
        <v>0</v>
      </c>
      <c r="V28" s="7">
        <v>0</v>
      </c>
      <c r="W28" s="7">
        <v>100</v>
      </c>
      <c r="X28" s="7">
        <v>0</v>
      </c>
      <c r="Y28" s="20">
        <f ca="1">VLOOKUP($J28,OFFSET([3]enemies!$A$1,0,0,COUNTA([3]enemies!$A:$A),MATCH(Y$1,[3]enemies!$1:$1,0)-MATCH($J$1,[3]enemies!$1:$1,0)+1),MATCH(Y$1,[3]enemies!$1:$1,0)-MATCH($J$1,[3]enemies!$1:$1,0)+1,FALSE)</f>
        <v>3</v>
      </c>
      <c r="Z28" s="29">
        <v>5</v>
      </c>
      <c r="AA28" s="5" t="str">
        <f ca="1">IFERROR(VLOOKUP($Z28,OFFSET([4]characters!$A$1,0,0,COUNTA([4]characters!$A:$A),MATCH(AA$1,[4]characters!$1:$1,0)-MATCH("character_id",[4]characters!$1:$1,0)+1),MATCH(AA$1,[4]characters!$1:$1,0)-MATCH("character_id",[4]characters!$1:$1,0)+1,FALSE),"")</f>
        <v>パトドッグ ポチ</v>
      </c>
      <c r="AB28" s="5">
        <f ca="1">IFERROR(VLOOKUP($Z28,OFFSET([4]characters!$A$1,0,0,COUNTA([4]characters!$A:$A),MATCH(AB$1,[4]characters!$1:$1,0)-MATCH("character_id",[4]characters!$1:$1,0)+1),MATCH(AB$1,[4]characters!$1:$1,0)-MATCH("character_id",[4]characters!$1:$1,0)+1,FALSE),"")</f>
        <v>1</v>
      </c>
      <c r="AC28" s="5" t="str">
        <f ca="1">IFERROR(VLOOKUP($Z28,OFFSET([4]characters!$A$1,0,0,COUNTA([4]characters!$A:$A),MATCH(AC$1,[4]characters!$1:$1,0)-MATCH("character_id",[4]characters!$1:$1,0)+1),MATCH(AC$1,[4]characters!$1:$1,0)-MATCH("character_id",[4]characters!$1:$1,0)+1,FALSE),"")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28" s="8">
        <v>5</v>
      </c>
      <c r="AE28" s="28">
        <f t="shared" ca="1" si="17"/>
        <v>1</v>
      </c>
      <c r="AF28" s="9">
        <v>25</v>
      </c>
      <c r="AG28" s="8">
        <v>0</v>
      </c>
      <c r="AH28" s="8">
        <v>0</v>
      </c>
      <c r="AI28" s="8">
        <v>0</v>
      </c>
      <c r="AJ28" s="8">
        <v>0</v>
      </c>
      <c r="AK28" s="8">
        <v>1</v>
      </c>
      <c r="AL28" s="8">
        <v>1</v>
      </c>
    </row>
    <row r="29" spans="1:38" ht="21" customHeight="1" x14ac:dyDescent="0.15">
      <c r="A29" s="17" t="str">
        <f t="shared" ref="A29:A41" ca="1" si="23">B29&amp;"_"&amp;C29&amp;"-"&amp;G29&amp;"/"&amp;J29&amp;"&lt;lv"&amp;P29&amp;"&gt;s"&amp;Y29</f>
        <v>13101_4-1/17&lt;lv14&gt;s2</v>
      </c>
      <c r="B29" s="26">
        <v>13101</v>
      </c>
      <c r="C29" s="25">
        <v>4</v>
      </c>
      <c r="D29" s="2" t="str">
        <f t="shared" ref="D29:D41" si="24">B29&amp;"_"&amp;C29</f>
        <v>13101_4</v>
      </c>
      <c r="E29" s="5" t="str">
        <f ca="1">VLOOKUP($B29,OFFSET([2]quests!$A$1,0,0,COUNTA([2]quests!$A:$A),MATCH(E$1,[2]quests!$1:$1,0)-MATCH($B$1,[2]quests!$1:$1,0)+1),MATCH(E$1,[2]quests!$1:$1,0)-MATCH($B$1,[2]quests!$1:$1,0)+1,FALSE)</f>
        <v>チャレンジタワー</v>
      </c>
      <c r="F29" s="5" t="e">
        <f ca="1">VLOOKUP($D29,OFFSET([2]stages!$A$1,0,0,COUNTA([2]stages!$A:$A),MATCH(F$1,[2]stages!$1:$1,0)-MATCH($D$1,[2]stages!$1:$1,0)+1),MATCH(F$1,[2]stages!$1:$1,0)-MATCH($D$1,[2]stages!$1:$1,0)+1,FALSE)</f>
        <v>#N/A</v>
      </c>
      <c r="G29" s="30">
        <v>1</v>
      </c>
      <c r="H29" s="16" t="str">
        <f t="shared" si="22"/>
        <v>13101_4-1</v>
      </c>
      <c r="I29" s="39" t="s">
        <v>245</v>
      </c>
      <c r="J29" s="32">
        <v>17</v>
      </c>
      <c r="K29" s="20" t="str">
        <f ca="1">VLOOKUP($J29,OFFSET([3]enemies!$A$1,0,0,COUNTA([3]enemies!$A:$A),MATCH(K$1,[3]enemies!$1:$1,0)-MATCH($J$1,[3]enemies!$1:$1,0)+1),MATCH(K$1,[3]enemies!$1:$1,0)-MATCH($J$1,[3]enemies!$1:$1,0)+1,FALSE)</f>
        <v>リム</v>
      </c>
      <c r="L29" s="23" t="str">
        <f ca="1">VLOOKUP($J29,OFFSET([3]enemies!$A$1,0,0,COUNTA([3]enemies!$A:$A),MATCH(L$1,[3]enemies!$1:$1,0)-MATCH($J$1,[3]enemies!$1:$1,0)+1),MATCH(L$1,[3]enemies!$1:$1,0)-MATCH($J$1,[3]enemies!$1:$1,0)+1,FALSE)</f>
        <v>blue</v>
      </c>
      <c r="M29" s="23" t="str">
        <f ca="1">VLOOKUP($J29,OFFSET([4]characters!$A$1,0,0,COUNTA([4]characters!$A:$A),MATCH(M$1,[4]characters!$1:$1,0)-MATCH($J$1,[4]characters!$1:$1,0)+1),MATCH(M$1,[4]characters!$1:$1,0)-MATCH($J$1,[4]characters!$1:$1,0)+1,FALSE)</f>
        <v>Drop1W</v>
      </c>
      <c r="N29" s="22" t="str">
        <f ca="1">VLOOKUP($J29,OFFSET([4]characters!$A$1,0,0,COUNTA([4]characters!$A:$A),MATCH(N$1,[4]characters!$1:$1,0)-MATCH($J$1,[4]characters!$1:$1,0)+2),MATCH(N$1,[4]characters!$1:$1,0)-MATCH($J$1,[4]characters!$1:$1,0)+2,FALSE)</f>
        <v>ヒューマン</v>
      </c>
      <c r="O29" s="5">
        <f ca="1">VLOOKUP($J29,OFFSET([3]enemies!$A$1,0,0,COUNTA([3]enemies!$A:$A),MATCH(O$1,[3]enemies!$1:$1,0)-MATCH($J$1,[3]enemies!$1:$1,0)+1),MATCH(O$1,[3]enemies!$1:$1,0)-MATCH($J$1,[3]enemies!$1:$1,0)+1,FALSE)</f>
        <v>15</v>
      </c>
      <c r="P29" s="45">
        <v>14</v>
      </c>
      <c r="Q29" s="43">
        <v>1</v>
      </c>
      <c r="R29" s="43">
        <v>1</v>
      </c>
      <c r="S29" s="6">
        <v>0</v>
      </c>
      <c r="T29" s="5" t="str">
        <f ca="1">VLOOKUP($U29,OFFSET([5]enemy_skill_sets!$B$1,0,0,COUNTA([5]enemy_skill_sets!$B:$B),MATCH(K$1,[5]enemy_skill_sets!$1:$1,0)-MATCH($U$1,[5]enemy_skill_sets!$1:$1,0)+2),MATCH(K$1,[5]enemy_skill_sets!$1:$1,0)-MATCH($U$1,[5]enemy_skill_sets!$1:$1,0)+2,FALSE)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9" s="5">
        <f ca="1">VLOOKUP($J29,OFFSET([3]enemies!$A$1,0,0,COUNTA([3]enemies!$A:$A),MATCH(U$1,[3]enemies!$1:$1,0)-MATCH($J$1,[3]enemies!$1:$1,0)+1),MATCH(U$1,[3]enemies!$1:$1,0)-MATCH($J$1,[3]enemies!$1:$1,0)+1,FALSE)</f>
        <v>0</v>
      </c>
      <c r="V29" s="7">
        <v>0</v>
      </c>
      <c r="W29" s="7">
        <v>100</v>
      </c>
      <c r="X29" s="7">
        <v>0</v>
      </c>
      <c r="Y29" s="20">
        <f ca="1">VLOOKUP($J29,OFFSET([3]enemies!$A$1,0,0,COUNTA([3]enemies!$A:$A),MATCH(Y$1,[3]enemies!$1:$1,0)-MATCH($J$1,[3]enemies!$1:$1,0)+1),MATCH(Y$1,[3]enemies!$1:$1,0)-MATCH($J$1,[3]enemies!$1:$1,0)+1,FALSE)</f>
        <v>2</v>
      </c>
      <c r="Z29" s="35">
        <v>17</v>
      </c>
      <c r="AA29" s="5" t="str">
        <f ca="1">IFERROR(VLOOKUP($Z29,OFFSET([4]characters!$A$1,0,0,COUNTA([4]characters!$A:$A),MATCH(AA$1,[4]characters!$1:$1,0)-MATCH("character_id",[4]characters!$1:$1,0)+1),MATCH(AA$1,[4]characters!$1:$1,0)-MATCH("character_id",[4]characters!$1:$1,0)+1,FALSE),"")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29" s="5">
        <f ca="1">IFERROR(VLOOKUP($Z29,OFFSET([4]characters!$A$1,0,0,COUNTA([4]characters!$A:$A),MATCH(AB$1,[4]characters!$1:$1,0)-MATCH("character_id",[4]characters!$1:$1,0)+1),MATCH(AB$1,[4]characters!$1:$1,0)-MATCH("character_id",[4]characters!$1:$1,0)+1,FALSE),"")</f>
        <v>1</v>
      </c>
      <c r="AC29" s="5" t="str">
        <f ca="1">IFERROR(VLOOKUP($Z29,OFFSET([4]characters!$A$1,0,0,COUNTA([4]characters!$A:$A),MATCH(AC$1,[4]characters!$1:$1,0)-MATCH("character_id",[4]characters!$1:$1,0)+1),MATCH(AC$1,[4]characters!$1:$1,0)-MATCH("character_id",[4]characters!$1:$1,0)+1,FALSE),"")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9" s="8">
        <v>3</v>
      </c>
      <c r="AE29" s="28">
        <f t="shared" ref="AE29:AE41" ca="1" si="25">AB29</f>
        <v>1</v>
      </c>
      <c r="AF29" s="9">
        <v>25</v>
      </c>
      <c r="AG29" s="8">
        <v>0</v>
      </c>
      <c r="AH29" s="8">
        <v>0</v>
      </c>
      <c r="AI29" s="8">
        <v>0</v>
      </c>
      <c r="AJ29" s="8">
        <v>0</v>
      </c>
      <c r="AK29" s="8">
        <v>1</v>
      </c>
      <c r="AL29" s="8">
        <v>1</v>
      </c>
    </row>
    <row r="30" spans="1:38" ht="21" customHeight="1" x14ac:dyDescent="0.15">
      <c r="A30" s="17" t="str">
        <f t="shared" ca="1" si="23"/>
        <v>13101_4-1/25&lt;lv14&gt;s3</v>
      </c>
      <c r="B30" s="26">
        <v>13101</v>
      </c>
      <c r="C30" s="25">
        <v>4</v>
      </c>
      <c r="D30" s="2" t="str">
        <f t="shared" si="24"/>
        <v>13101_4</v>
      </c>
      <c r="E30" s="5" t="str">
        <f ca="1">VLOOKUP($B30,OFFSET([2]quests!$A$1,0,0,COUNTA([2]quests!$A:$A),MATCH(E$1,[2]quests!$1:$1,0)-MATCH($B$1,[2]quests!$1:$1,0)+1),MATCH(E$1,[2]quests!$1:$1,0)-MATCH($B$1,[2]quests!$1:$1,0)+1,FALSE)</f>
        <v>チャレンジタワー</v>
      </c>
      <c r="F30" s="5" t="e">
        <f ca="1">VLOOKUP($D30,OFFSET([2]stages!$A$1,0,0,COUNTA([2]stages!$A:$A),MATCH(F$1,[2]stages!$1:$1,0)-MATCH($D$1,[2]stages!$1:$1,0)+1),MATCH(F$1,[2]stages!$1:$1,0)-MATCH($D$1,[2]stages!$1:$1,0)+1,FALSE)</f>
        <v>#N/A</v>
      </c>
      <c r="G30" s="30">
        <v>1</v>
      </c>
      <c r="H30" s="16" t="str">
        <f t="shared" si="22"/>
        <v>13101_4-1</v>
      </c>
      <c r="I30" s="39" t="s">
        <v>245</v>
      </c>
      <c r="J30" s="32">
        <v>25</v>
      </c>
      <c r="K30" s="20" t="str">
        <f ca="1">VLOOKUP($J30,OFFSET([3]enemies!$A$1,0,0,COUNTA([3]enemies!$A:$A),MATCH(K$1,[3]enemies!$1:$1,0)-MATCH($J$1,[3]enemies!$1:$1,0)+1),MATCH(K$1,[3]enemies!$1:$1,0)-MATCH($J$1,[3]enemies!$1:$1,0)+1,FALSE)</f>
        <v>ハチ</v>
      </c>
      <c r="L30" s="23" t="str">
        <f ca="1">VLOOKUP($J30,OFFSET([3]enemies!$A$1,0,0,COUNTA([3]enemies!$A:$A),MATCH(L$1,[3]enemies!$1:$1,0)-MATCH($J$1,[3]enemies!$1:$1,0)+1),MATCH(L$1,[3]enemies!$1:$1,0)-MATCH($J$1,[3]enemies!$1:$1,0)+1,FALSE)</f>
        <v>blue</v>
      </c>
      <c r="M30" s="23" t="str">
        <f ca="1">VLOOKUP($J30,OFFSET([4]characters!$A$1,0,0,COUNTA([4]characters!$A:$A),MATCH(M$1,[4]characters!$1:$1,0)-MATCH($J$1,[4]characters!$1:$1,0)+1),MATCH(M$1,[4]characters!$1:$1,0)-MATCH($J$1,[4]characters!$1:$1,0)+1,FALSE)</f>
        <v>Drop1N</v>
      </c>
      <c r="N30" s="22" t="str">
        <f ca="1">VLOOKUP($J30,OFFSET([4]characters!$A$1,0,0,COUNTA([4]characters!$A:$A),MATCH(N$1,[4]characters!$1:$1,0)-MATCH($J$1,[4]characters!$1:$1,0)+2),MATCH(N$1,[4]characters!$1:$1,0)-MATCH($J$1,[4]characters!$1:$1,0)+2,FALSE)</f>
        <v>アニマル</v>
      </c>
      <c r="O30" s="5">
        <f ca="1">VLOOKUP($J30,OFFSET([3]enemies!$A$1,0,0,COUNTA([3]enemies!$A:$A),MATCH(O$1,[3]enemies!$1:$1,0)-MATCH($J$1,[3]enemies!$1:$1,0)+1),MATCH(O$1,[3]enemies!$1:$1,0)-MATCH($J$1,[3]enemies!$1:$1,0)+1,FALSE)</f>
        <v>15</v>
      </c>
      <c r="P30" s="45">
        <v>14</v>
      </c>
      <c r="Q30" s="43">
        <v>1</v>
      </c>
      <c r="R30" s="43">
        <v>1</v>
      </c>
      <c r="S30" s="6">
        <v>0</v>
      </c>
      <c r="T30" s="5" t="str">
        <f ca="1">VLOOKUP($U30,OFFSET([5]enemy_skill_sets!$B$1,0,0,COUNTA([5]enemy_skill_sets!$B:$B),MATCH(K$1,[5]enemy_skill_sets!$1:$1,0)-MATCH($U$1,[5]enemy_skill_sets!$1:$1,0)+2),MATCH(K$1,[5]enemy_skill_sets!$1:$1,0)-MATCH($U$1,[5]enemy_skill_sets!$1:$1,0)+2,FALSE)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0" s="5">
        <f ca="1">VLOOKUP($J30,OFFSET([3]enemies!$A$1,0,0,COUNTA([3]enemies!$A:$A),MATCH(U$1,[3]enemies!$1:$1,0)-MATCH($J$1,[3]enemies!$1:$1,0)+1),MATCH(U$1,[3]enemies!$1:$1,0)-MATCH($J$1,[3]enemies!$1:$1,0)+1,FALSE)</f>
        <v>0</v>
      </c>
      <c r="V30" s="7">
        <v>0</v>
      </c>
      <c r="W30" s="7">
        <v>100</v>
      </c>
      <c r="X30" s="7">
        <v>0</v>
      </c>
      <c r="Y30" s="20">
        <f ca="1">VLOOKUP($J30,OFFSET([3]enemies!$A$1,0,0,COUNTA([3]enemies!$A:$A),MATCH(Y$1,[3]enemies!$1:$1,0)-MATCH($J$1,[3]enemies!$1:$1,0)+1),MATCH(Y$1,[3]enemies!$1:$1,0)-MATCH($J$1,[3]enemies!$1:$1,0)+1,FALSE)</f>
        <v>3</v>
      </c>
      <c r="Z30" s="35">
        <v>25</v>
      </c>
      <c r="AA30" s="5" t="str">
        <f ca="1">IFERROR(VLOOKUP($Z30,OFFSET([4]characters!$A$1,0,0,COUNTA([4]characters!$A:$A),MATCH(AA$1,[4]characters!$1:$1,0)-MATCH("character_id",[4]characters!$1:$1,0)+1),MATCH(AA$1,[4]characters!$1:$1,0)-MATCH("character_id",[4]characters!$1:$1,0)+1,FALSE),"")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30" s="5">
        <f ca="1">IFERROR(VLOOKUP($Z30,OFFSET([4]characters!$A$1,0,0,COUNTA([4]characters!$A:$A),MATCH(AB$1,[4]characters!$1:$1,0)-MATCH("character_id",[4]characters!$1:$1,0)+1),MATCH(AB$1,[4]characters!$1:$1,0)-MATCH("character_id",[4]characters!$1:$1,0)+1,FALSE),"")</f>
        <v>1</v>
      </c>
      <c r="AC30" s="5" t="str">
        <f ca="1">IFERROR(VLOOKUP($Z30,OFFSET([4]characters!$A$1,0,0,COUNTA([4]characters!$A:$A),MATCH(AC$1,[4]characters!$1:$1,0)-MATCH("character_id",[4]characters!$1:$1,0)+1),MATCH(AC$1,[4]characters!$1:$1,0)-MATCH("character_id",[4]characters!$1:$1,0)+1,FALSE),"")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30" s="8">
        <v>1</v>
      </c>
      <c r="AE30" s="28">
        <f t="shared" ca="1" si="25"/>
        <v>1</v>
      </c>
      <c r="AF30" s="9">
        <v>25</v>
      </c>
      <c r="AG30" s="8">
        <v>0</v>
      </c>
      <c r="AH30" s="8">
        <v>0</v>
      </c>
      <c r="AI30" s="8">
        <v>0</v>
      </c>
      <c r="AJ30" s="8">
        <v>0</v>
      </c>
      <c r="AK30" s="8">
        <v>1</v>
      </c>
      <c r="AL30" s="8">
        <v>1</v>
      </c>
    </row>
    <row r="31" spans="1:38" ht="21" customHeight="1" x14ac:dyDescent="0.15">
      <c r="A31" s="17" t="str">
        <f t="shared" ca="1" si="23"/>
        <v>13101_4-2/5&lt;lv14&gt;s3</v>
      </c>
      <c r="B31" s="26">
        <v>13101</v>
      </c>
      <c r="C31" s="25">
        <v>4</v>
      </c>
      <c r="D31" s="2" t="str">
        <f t="shared" si="24"/>
        <v>13101_4</v>
      </c>
      <c r="E31" s="5" t="str">
        <f ca="1">VLOOKUP($B31,OFFSET([2]quests!$A$1,0,0,COUNTA([2]quests!$A:$A),MATCH(E$1,[2]quests!$1:$1,0)-MATCH($B$1,[2]quests!$1:$1,0)+1),MATCH(E$1,[2]quests!$1:$1,0)-MATCH($B$1,[2]quests!$1:$1,0)+1,FALSE)</f>
        <v>チャレンジタワー</v>
      </c>
      <c r="F31" s="5" t="e">
        <f ca="1">VLOOKUP($D31,OFFSET([2]stages!$A$1,0,0,COUNTA([2]stages!$A:$A),MATCH(F$1,[2]stages!$1:$1,0)-MATCH($D$1,[2]stages!$1:$1,0)+1),MATCH(F$1,[2]stages!$1:$1,0)-MATCH($D$1,[2]stages!$1:$1,0)+1,FALSE)</f>
        <v>#N/A</v>
      </c>
      <c r="G31" s="30">
        <v>2</v>
      </c>
      <c r="H31" s="16" t="str">
        <f t="shared" si="22"/>
        <v>13101_4-2</v>
      </c>
      <c r="I31" s="39" t="s">
        <v>245</v>
      </c>
      <c r="J31" s="39">
        <v>5</v>
      </c>
      <c r="K31" s="20" t="str">
        <f ca="1">VLOOKUP($J31,OFFSET([3]enemies!$A$1,0,0,COUNTA([3]enemies!$A:$A),MATCH(K$1,[3]enemies!$1:$1,0)-MATCH($J$1,[3]enemies!$1:$1,0)+1),MATCH(K$1,[3]enemies!$1:$1,0)-MATCH($J$1,[3]enemies!$1:$1,0)+1,FALSE)</f>
        <v>パトドッグ ポチ</v>
      </c>
      <c r="L31" s="23" t="str">
        <f ca="1">VLOOKUP($J31,OFFSET([3]enemies!$A$1,0,0,COUNTA([3]enemies!$A:$A),MATCH(L$1,[3]enemies!$1:$1,0)-MATCH($J$1,[3]enemies!$1:$1,0)+1),MATCH(L$1,[3]enemies!$1:$1,0)-MATCH($J$1,[3]enemies!$1:$1,0)+1,FALSE)</f>
        <v>blue</v>
      </c>
      <c r="M31" s="23" t="str">
        <f ca="1">VLOOKUP($J31,OFFSET([4]characters!$A$1,0,0,COUNTA([4]characters!$A:$A),MATCH(M$1,[4]characters!$1:$1,0)-MATCH($J$1,[4]characters!$1:$1,0)+1),MATCH(M$1,[4]characters!$1:$1,0)-MATCH($J$1,[4]characters!$1:$1,0)+1,FALSE)</f>
        <v>Drop1T</v>
      </c>
      <c r="N31" s="22" t="str">
        <f ca="1">VLOOKUP($J31,OFFSET([4]characters!$A$1,0,0,COUNTA([4]characters!$A:$A),MATCH(N$1,[4]characters!$1:$1,0)-MATCH($J$1,[4]characters!$1:$1,0)+2),MATCH(N$1,[4]characters!$1:$1,0)-MATCH($J$1,[4]characters!$1:$1,0)+2,FALSE)</f>
        <v>Unknown</v>
      </c>
      <c r="O31" s="5">
        <f ca="1">VLOOKUP($J31,OFFSET([3]enemies!$A$1,0,0,COUNTA([3]enemies!$A:$A),MATCH(O$1,[3]enemies!$1:$1,0)-MATCH($J$1,[3]enemies!$1:$1,0)+1),MATCH(O$1,[3]enemies!$1:$1,0)-MATCH($J$1,[3]enemies!$1:$1,0)+1,FALSE)</f>
        <v>15</v>
      </c>
      <c r="P31" s="45">
        <v>14</v>
      </c>
      <c r="Q31" s="43">
        <v>1</v>
      </c>
      <c r="R31" s="43">
        <v>1</v>
      </c>
      <c r="S31" s="6">
        <v>0</v>
      </c>
      <c r="T31" s="5" t="str">
        <f ca="1">VLOOKUP($U31,OFFSET([5]enemy_skill_sets!$B$1,0,0,COUNTA([5]enemy_skill_sets!$B:$B),MATCH(K$1,[5]enemy_skill_sets!$1:$1,0)-MATCH($U$1,[5]enemy_skill_sets!$1:$1,0)+2),MATCH(K$1,[5]enemy_skill_sets!$1:$1,0)-MATCH($U$1,[5]enemy_skill_sets!$1:$1,0)+2,FALSE)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1" s="5">
        <f ca="1">VLOOKUP($J31,OFFSET([3]enemies!$A$1,0,0,COUNTA([3]enemies!$A:$A),MATCH(U$1,[3]enemies!$1:$1,0)-MATCH($J$1,[3]enemies!$1:$1,0)+1),MATCH(U$1,[3]enemies!$1:$1,0)-MATCH($J$1,[3]enemies!$1:$1,0)+1,FALSE)</f>
        <v>0</v>
      </c>
      <c r="V31" s="7">
        <v>0</v>
      </c>
      <c r="W31" s="7">
        <v>100</v>
      </c>
      <c r="X31" s="7">
        <v>0</v>
      </c>
      <c r="Y31" s="20">
        <f ca="1">VLOOKUP($J31,OFFSET([3]enemies!$A$1,0,0,COUNTA([3]enemies!$A:$A),MATCH(Y$1,[3]enemies!$1:$1,0)-MATCH($J$1,[3]enemies!$1:$1,0)+1),MATCH(Y$1,[3]enemies!$1:$1,0)-MATCH($J$1,[3]enemies!$1:$1,0)+1,FALSE)</f>
        <v>3</v>
      </c>
      <c r="Z31" s="29">
        <v>5</v>
      </c>
      <c r="AA31" s="5" t="str">
        <f ca="1">IFERROR(VLOOKUP($Z31,OFFSET([4]characters!$A$1,0,0,COUNTA([4]characters!$A:$A),MATCH(AA$1,[4]characters!$1:$1,0)-MATCH("character_id",[4]characters!$1:$1,0)+1),MATCH(AA$1,[4]characters!$1:$1,0)-MATCH("character_id",[4]characters!$1:$1,0)+1,FALSE),"")</f>
        <v>パトドッグ ポチ</v>
      </c>
      <c r="AB31" s="5">
        <f ca="1">IFERROR(VLOOKUP($Z31,OFFSET([4]characters!$A$1,0,0,COUNTA([4]characters!$A:$A),MATCH(AB$1,[4]characters!$1:$1,0)-MATCH("character_id",[4]characters!$1:$1,0)+1),MATCH(AB$1,[4]characters!$1:$1,0)-MATCH("character_id",[4]characters!$1:$1,0)+1,FALSE),"")</f>
        <v>1</v>
      </c>
      <c r="AC31" s="5" t="str">
        <f ca="1">IFERROR(VLOOKUP($Z31,OFFSET([4]characters!$A$1,0,0,COUNTA([4]characters!$A:$A),MATCH(AC$1,[4]characters!$1:$1,0)-MATCH("character_id",[4]characters!$1:$1,0)+1),MATCH(AC$1,[4]characters!$1:$1,0)-MATCH("character_id",[4]characters!$1:$1,0)+1,FALSE),"")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31" s="8">
        <v>5</v>
      </c>
      <c r="AE31" s="28">
        <f t="shared" ca="1" si="25"/>
        <v>1</v>
      </c>
      <c r="AF31" s="9">
        <v>25</v>
      </c>
      <c r="AG31" s="8">
        <v>0</v>
      </c>
      <c r="AH31" s="8">
        <v>0</v>
      </c>
      <c r="AI31" s="8">
        <v>0</v>
      </c>
      <c r="AJ31" s="8">
        <v>0</v>
      </c>
      <c r="AK31" s="8">
        <v>1</v>
      </c>
      <c r="AL31" s="8">
        <v>1</v>
      </c>
    </row>
    <row r="32" spans="1:38" ht="21" customHeight="1" x14ac:dyDescent="0.15">
      <c r="A32" s="17" t="str">
        <f t="shared" ca="1" si="23"/>
        <v>13101_4-2/17&lt;lv14&gt;s2</v>
      </c>
      <c r="B32" s="26">
        <v>13101</v>
      </c>
      <c r="C32" s="25">
        <v>4</v>
      </c>
      <c r="D32" s="2" t="str">
        <f t="shared" si="24"/>
        <v>13101_4</v>
      </c>
      <c r="E32" s="5" t="str">
        <f ca="1">VLOOKUP($B32,OFFSET([2]quests!$A$1,0,0,COUNTA([2]quests!$A:$A),MATCH(E$1,[2]quests!$1:$1,0)-MATCH($B$1,[2]quests!$1:$1,0)+1),MATCH(E$1,[2]quests!$1:$1,0)-MATCH($B$1,[2]quests!$1:$1,0)+1,FALSE)</f>
        <v>チャレンジタワー</v>
      </c>
      <c r="F32" s="5" t="e">
        <f ca="1">VLOOKUP($D32,OFFSET([2]stages!$A$1,0,0,COUNTA([2]stages!$A:$A),MATCH(F$1,[2]stages!$1:$1,0)-MATCH($D$1,[2]stages!$1:$1,0)+1),MATCH(F$1,[2]stages!$1:$1,0)-MATCH($D$1,[2]stages!$1:$1,0)+1,FALSE)</f>
        <v>#N/A</v>
      </c>
      <c r="G32" s="30">
        <v>2</v>
      </c>
      <c r="H32" s="16" t="str">
        <f t="shared" si="22"/>
        <v>13101_4-2</v>
      </c>
      <c r="I32" s="39" t="s">
        <v>245</v>
      </c>
      <c r="J32" s="32">
        <v>17</v>
      </c>
      <c r="K32" s="20" t="str">
        <f ca="1">VLOOKUP($J32,OFFSET([3]enemies!$A$1,0,0,COUNTA([3]enemies!$A:$A),MATCH(K$1,[3]enemies!$1:$1,0)-MATCH($J$1,[3]enemies!$1:$1,0)+1),MATCH(K$1,[3]enemies!$1:$1,0)-MATCH($J$1,[3]enemies!$1:$1,0)+1,FALSE)</f>
        <v>リム</v>
      </c>
      <c r="L32" s="23" t="str">
        <f ca="1">VLOOKUP($J32,OFFSET([3]enemies!$A$1,0,0,COUNTA([3]enemies!$A:$A),MATCH(L$1,[3]enemies!$1:$1,0)-MATCH($J$1,[3]enemies!$1:$1,0)+1),MATCH(L$1,[3]enemies!$1:$1,0)-MATCH($J$1,[3]enemies!$1:$1,0)+1,FALSE)</f>
        <v>blue</v>
      </c>
      <c r="M32" s="23" t="str">
        <f ca="1">VLOOKUP($J32,OFFSET([4]characters!$A$1,0,0,COUNTA([4]characters!$A:$A),MATCH(M$1,[4]characters!$1:$1,0)-MATCH($J$1,[4]characters!$1:$1,0)+1),MATCH(M$1,[4]characters!$1:$1,0)-MATCH($J$1,[4]characters!$1:$1,0)+1,FALSE)</f>
        <v>Drop1W</v>
      </c>
      <c r="N32" s="22" t="str">
        <f ca="1">VLOOKUP($J32,OFFSET([4]characters!$A$1,0,0,COUNTA([4]characters!$A:$A),MATCH(N$1,[4]characters!$1:$1,0)-MATCH($J$1,[4]characters!$1:$1,0)+2),MATCH(N$1,[4]characters!$1:$1,0)-MATCH($J$1,[4]characters!$1:$1,0)+2,FALSE)</f>
        <v>ヒューマン</v>
      </c>
      <c r="O32" s="5">
        <f ca="1">VLOOKUP($J32,OFFSET([3]enemies!$A$1,0,0,COUNTA([3]enemies!$A:$A),MATCH(O$1,[3]enemies!$1:$1,0)-MATCH($J$1,[3]enemies!$1:$1,0)+1),MATCH(O$1,[3]enemies!$1:$1,0)-MATCH($J$1,[3]enemies!$1:$1,0)+1,FALSE)</f>
        <v>15</v>
      </c>
      <c r="P32" s="45">
        <v>14</v>
      </c>
      <c r="Q32" s="43">
        <v>1</v>
      </c>
      <c r="R32" s="43">
        <v>1</v>
      </c>
      <c r="S32" s="6">
        <v>0</v>
      </c>
      <c r="T32" s="5" t="str">
        <f ca="1">VLOOKUP($U32,OFFSET([5]enemy_skill_sets!$B$1,0,0,COUNTA([5]enemy_skill_sets!$B:$B),MATCH(K$1,[5]enemy_skill_sets!$1:$1,0)-MATCH($U$1,[5]enemy_skill_sets!$1:$1,0)+2),MATCH(K$1,[5]enemy_skill_sets!$1:$1,0)-MATCH($U$1,[5]enemy_skill_sets!$1:$1,0)+2,FALSE)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2" s="5">
        <f ca="1">VLOOKUP($J32,OFFSET([3]enemies!$A$1,0,0,COUNTA([3]enemies!$A:$A),MATCH(U$1,[3]enemies!$1:$1,0)-MATCH($J$1,[3]enemies!$1:$1,0)+1),MATCH(U$1,[3]enemies!$1:$1,0)-MATCH($J$1,[3]enemies!$1:$1,0)+1,FALSE)</f>
        <v>0</v>
      </c>
      <c r="V32" s="7">
        <v>0</v>
      </c>
      <c r="W32" s="7">
        <v>100</v>
      </c>
      <c r="X32" s="7">
        <v>0</v>
      </c>
      <c r="Y32" s="20">
        <f ca="1">VLOOKUP($J32,OFFSET([3]enemies!$A$1,0,0,COUNTA([3]enemies!$A:$A),MATCH(Y$1,[3]enemies!$1:$1,0)-MATCH($J$1,[3]enemies!$1:$1,0)+1),MATCH(Y$1,[3]enemies!$1:$1,0)-MATCH($J$1,[3]enemies!$1:$1,0)+1,FALSE)</f>
        <v>2</v>
      </c>
      <c r="Z32" s="35">
        <v>17</v>
      </c>
      <c r="AA32" s="5" t="str">
        <f ca="1">IFERROR(VLOOKUP($Z32,OFFSET([4]characters!$A$1,0,0,COUNTA([4]characters!$A:$A),MATCH(AA$1,[4]characters!$1:$1,0)-MATCH("character_id",[4]characters!$1:$1,0)+1),MATCH(AA$1,[4]characters!$1:$1,0)-MATCH("character_id",[4]characters!$1:$1,0)+1,FALSE),"")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32" s="5">
        <f ca="1">IFERROR(VLOOKUP($Z32,OFFSET([4]characters!$A$1,0,0,COUNTA([4]characters!$A:$A),MATCH(AB$1,[4]characters!$1:$1,0)-MATCH("character_id",[4]characters!$1:$1,0)+1),MATCH(AB$1,[4]characters!$1:$1,0)-MATCH("character_id",[4]characters!$1:$1,0)+1,FALSE),"")</f>
        <v>1</v>
      </c>
      <c r="AC32" s="5" t="str">
        <f ca="1">IFERROR(VLOOKUP($Z32,OFFSET([4]characters!$A$1,0,0,COUNTA([4]characters!$A:$A),MATCH(AC$1,[4]characters!$1:$1,0)-MATCH("character_id",[4]characters!$1:$1,0)+1),MATCH(AC$1,[4]characters!$1:$1,0)-MATCH("character_id",[4]characters!$1:$1,0)+1,FALSE),"")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32" s="8">
        <v>3</v>
      </c>
      <c r="AE32" s="28">
        <f t="shared" ca="1" si="25"/>
        <v>1</v>
      </c>
      <c r="AF32" s="9">
        <v>25</v>
      </c>
      <c r="AG32" s="8">
        <v>0</v>
      </c>
      <c r="AH32" s="8">
        <v>0</v>
      </c>
      <c r="AI32" s="8">
        <v>0</v>
      </c>
      <c r="AJ32" s="8">
        <v>0</v>
      </c>
      <c r="AK32" s="8">
        <v>1</v>
      </c>
      <c r="AL32" s="8">
        <v>1</v>
      </c>
    </row>
    <row r="33" spans="1:38" ht="21" customHeight="1" x14ac:dyDescent="0.15">
      <c r="A33" s="17" t="str">
        <f t="shared" ca="1" si="23"/>
        <v>13101_4-2/25&lt;lv14&gt;s3</v>
      </c>
      <c r="B33" s="26">
        <v>13101</v>
      </c>
      <c r="C33" s="25">
        <v>4</v>
      </c>
      <c r="D33" s="2" t="str">
        <f t="shared" si="24"/>
        <v>13101_4</v>
      </c>
      <c r="E33" s="5" t="str">
        <f ca="1">VLOOKUP($B33,OFFSET([2]quests!$A$1,0,0,COUNTA([2]quests!$A:$A),MATCH(E$1,[2]quests!$1:$1,0)-MATCH($B$1,[2]quests!$1:$1,0)+1),MATCH(E$1,[2]quests!$1:$1,0)-MATCH($B$1,[2]quests!$1:$1,0)+1,FALSE)</f>
        <v>チャレンジタワー</v>
      </c>
      <c r="F33" s="5" t="e">
        <f ca="1">VLOOKUP($D33,OFFSET([2]stages!$A$1,0,0,COUNTA([2]stages!$A:$A),MATCH(F$1,[2]stages!$1:$1,0)-MATCH($D$1,[2]stages!$1:$1,0)+1),MATCH(F$1,[2]stages!$1:$1,0)-MATCH($D$1,[2]stages!$1:$1,0)+1,FALSE)</f>
        <v>#N/A</v>
      </c>
      <c r="G33" s="30">
        <v>2</v>
      </c>
      <c r="H33" s="16" t="str">
        <f t="shared" si="22"/>
        <v>13101_4-2</v>
      </c>
      <c r="I33" s="39" t="s">
        <v>245</v>
      </c>
      <c r="J33" s="32">
        <v>25</v>
      </c>
      <c r="K33" s="20" t="str">
        <f ca="1">VLOOKUP($J33,OFFSET([3]enemies!$A$1,0,0,COUNTA([3]enemies!$A:$A),MATCH(K$1,[3]enemies!$1:$1,0)-MATCH($J$1,[3]enemies!$1:$1,0)+1),MATCH(K$1,[3]enemies!$1:$1,0)-MATCH($J$1,[3]enemies!$1:$1,0)+1,FALSE)</f>
        <v>ハチ</v>
      </c>
      <c r="L33" s="23" t="str">
        <f ca="1">VLOOKUP($J33,OFFSET([3]enemies!$A$1,0,0,COUNTA([3]enemies!$A:$A),MATCH(L$1,[3]enemies!$1:$1,0)-MATCH($J$1,[3]enemies!$1:$1,0)+1),MATCH(L$1,[3]enemies!$1:$1,0)-MATCH($J$1,[3]enemies!$1:$1,0)+1,FALSE)</f>
        <v>blue</v>
      </c>
      <c r="M33" s="23" t="str">
        <f ca="1">VLOOKUP($J33,OFFSET([4]characters!$A$1,0,0,COUNTA([4]characters!$A:$A),MATCH(M$1,[4]characters!$1:$1,0)-MATCH($J$1,[4]characters!$1:$1,0)+1),MATCH(M$1,[4]characters!$1:$1,0)-MATCH($J$1,[4]characters!$1:$1,0)+1,FALSE)</f>
        <v>Drop1N</v>
      </c>
      <c r="N33" s="22" t="str">
        <f ca="1">VLOOKUP($J33,OFFSET([4]characters!$A$1,0,0,COUNTA([4]characters!$A:$A),MATCH(N$1,[4]characters!$1:$1,0)-MATCH($J$1,[4]characters!$1:$1,0)+2),MATCH(N$1,[4]characters!$1:$1,0)-MATCH($J$1,[4]characters!$1:$1,0)+2,FALSE)</f>
        <v>アニマル</v>
      </c>
      <c r="O33" s="5">
        <f ca="1">VLOOKUP($J33,OFFSET([3]enemies!$A$1,0,0,COUNTA([3]enemies!$A:$A),MATCH(O$1,[3]enemies!$1:$1,0)-MATCH($J$1,[3]enemies!$1:$1,0)+1),MATCH(O$1,[3]enemies!$1:$1,0)-MATCH($J$1,[3]enemies!$1:$1,0)+1,FALSE)</f>
        <v>15</v>
      </c>
      <c r="P33" s="45">
        <v>14</v>
      </c>
      <c r="Q33" s="43">
        <v>1</v>
      </c>
      <c r="R33" s="43">
        <v>1</v>
      </c>
      <c r="S33" s="6">
        <v>0</v>
      </c>
      <c r="T33" s="5" t="str">
        <f ca="1">VLOOKUP($U33,OFFSET([5]enemy_skill_sets!$B$1,0,0,COUNTA([5]enemy_skill_sets!$B:$B),MATCH(K$1,[5]enemy_skill_sets!$1:$1,0)-MATCH($U$1,[5]enemy_skill_sets!$1:$1,0)+2),MATCH(K$1,[5]enemy_skill_sets!$1:$1,0)-MATCH($U$1,[5]enemy_skill_sets!$1:$1,0)+2,FALSE)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3" s="5">
        <f ca="1">VLOOKUP($J33,OFFSET([3]enemies!$A$1,0,0,COUNTA([3]enemies!$A:$A),MATCH(U$1,[3]enemies!$1:$1,0)-MATCH($J$1,[3]enemies!$1:$1,0)+1),MATCH(U$1,[3]enemies!$1:$1,0)-MATCH($J$1,[3]enemies!$1:$1,0)+1,FALSE)</f>
        <v>0</v>
      </c>
      <c r="V33" s="7">
        <v>0</v>
      </c>
      <c r="W33" s="7">
        <v>100</v>
      </c>
      <c r="X33" s="7">
        <v>0</v>
      </c>
      <c r="Y33" s="20">
        <f ca="1">VLOOKUP($J33,OFFSET([3]enemies!$A$1,0,0,COUNTA([3]enemies!$A:$A),MATCH(Y$1,[3]enemies!$1:$1,0)-MATCH($J$1,[3]enemies!$1:$1,0)+1),MATCH(Y$1,[3]enemies!$1:$1,0)-MATCH($J$1,[3]enemies!$1:$1,0)+1,FALSE)</f>
        <v>3</v>
      </c>
      <c r="Z33" s="35">
        <v>25</v>
      </c>
      <c r="AA33" s="5" t="str">
        <f ca="1">IFERROR(VLOOKUP($Z33,OFFSET([4]characters!$A$1,0,0,COUNTA([4]characters!$A:$A),MATCH(AA$1,[4]characters!$1:$1,0)-MATCH("character_id",[4]characters!$1:$1,0)+1),MATCH(AA$1,[4]characters!$1:$1,0)-MATCH("character_id",[4]characters!$1:$1,0)+1,FALSE),"")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33" s="5">
        <f ca="1">IFERROR(VLOOKUP($Z33,OFFSET([4]characters!$A$1,0,0,COUNTA([4]characters!$A:$A),MATCH(AB$1,[4]characters!$1:$1,0)-MATCH("character_id",[4]characters!$1:$1,0)+1),MATCH(AB$1,[4]characters!$1:$1,0)-MATCH("character_id",[4]characters!$1:$1,0)+1,FALSE),"")</f>
        <v>1</v>
      </c>
      <c r="AC33" s="5" t="str">
        <f ca="1">IFERROR(VLOOKUP($Z33,OFFSET([4]characters!$A$1,0,0,COUNTA([4]characters!$A:$A),MATCH(AC$1,[4]characters!$1:$1,0)-MATCH("character_id",[4]characters!$1:$1,0)+1),MATCH(AC$1,[4]characters!$1:$1,0)-MATCH("character_id",[4]characters!$1:$1,0)+1,FALSE),"")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33" s="8">
        <v>1</v>
      </c>
      <c r="AE33" s="28">
        <f t="shared" ca="1" si="25"/>
        <v>1</v>
      </c>
      <c r="AF33" s="9">
        <v>25</v>
      </c>
      <c r="AG33" s="8">
        <v>0</v>
      </c>
      <c r="AH33" s="8">
        <v>0</v>
      </c>
      <c r="AI33" s="8">
        <v>0</v>
      </c>
      <c r="AJ33" s="8">
        <v>0</v>
      </c>
      <c r="AK33" s="8">
        <v>1</v>
      </c>
      <c r="AL33" s="8">
        <v>1</v>
      </c>
    </row>
    <row r="34" spans="1:38" ht="21" customHeight="1" x14ac:dyDescent="0.15">
      <c r="A34" s="17" t="str">
        <f t="shared" ca="1" si="23"/>
        <v>13101_4-3/17&lt;lv14&gt;s2</v>
      </c>
      <c r="B34" s="26">
        <v>13101</v>
      </c>
      <c r="C34" s="25">
        <v>4</v>
      </c>
      <c r="D34" s="2" t="str">
        <f t="shared" si="24"/>
        <v>13101_4</v>
      </c>
      <c r="E34" s="5" t="str">
        <f ca="1">VLOOKUP($B34,OFFSET([2]quests!$A$1,0,0,COUNTA([2]quests!$A:$A),MATCH(E$1,[2]quests!$1:$1,0)-MATCH($B$1,[2]quests!$1:$1,0)+1),MATCH(E$1,[2]quests!$1:$1,0)-MATCH($B$1,[2]quests!$1:$1,0)+1,FALSE)</f>
        <v>チャレンジタワー</v>
      </c>
      <c r="F34" s="5" t="e">
        <f ca="1">VLOOKUP($D34,OFFSET([2]stages!$A$1,0,0,COUNTA([2]stages!$A:$A),MATCH(F$1,[2]stages!$1:$1,0)-MATCH($D$1,[2]stages!$1:$1,0)+1),MATCH(F$1,[2]stages!$1:$1,0)-MATCH($D$1,[2]stages!$1:$1,0)+1,FALSE)</f>
        <v>#N/A</v>
      </c>
      <c r="G34" s="30">
        <v>3</v>
      </c>
      <c r="H34" s="16" t="str">
        <f t="shared" si="22"/>
        <v>13101_4-3</v>
      </c>
      <c r="I34" s="39" t="s">
        <v>245</v>
      </c>
      <c r="J34" s="32">
        <v>17</v>
      </c>
      <c r="K34" s="20" t="str">
        <f ca="1">VLOOKUP($J34,OFFSET([3]enemies!$A$1,0,0,COUNTA([3]enemies!$A:$A),MATCH(K$1,[3]enemies!$1:$1,0)-MATCH($J$1,[3]enemies!$1:$1,0)+1),MATCH(K$1,[3]enemies!$1:$1,0)-MATCH($J$1,[3]enemies!$1:$1,0)+1,FALSE)</f>
        <v>リム</v>
      </c>
      <c r="L34" s="23" t="str">
        <f ca="1">VLOOKUP($J34,OFFSET([3]enemies!$A$1,0,0,COUNTA([3]enemies!$A:$A),MATCH(L$1,[3]enemies!$1:$1,0)-MATCH($J$1,[3]enemies!$1:$1,0)+1),MATCH(L$1,[3]enemies!$1:$1,0)-MATCH($J$1,[3]enemies!$1:$1,0)+1,FALSE)</f>
        <v>blue</v>
      </c>
      <c r="M34" s="23" t="str">
        <f ca="1">VLOOKUP($J34,OFFSET([4]characters!$A$1,0,0,COUNTA([4]characters!$A:$A),MATCH(M$1,[4]characters!$1:$1,0)-MATCH($J$1,[4]characters!$1:$1,0)+1),MATCH(M$1,[4]characters!$1:$1,0)-MATCH($J$1,[4]characters!$1:$1,0)+1,FALSE)</f>
        <v>Drop1W</v>
      </c>
      <c r="N34" s="22" t="str">
        <f ca="1">VLOOKUP($J34,OFFSET([4]characters!$A$1,0,0,COUNTA([4]characters!$A:$A),MATCH(N$1,[4]characters!$1:$1,0)-MATCH($J$1,[4]characters!$1:$1,0)+2),MATCH(N$1,[4]characters!$1:$1,0)-MATCH($J$1,[4]characters!$1:$1,0)+2,FALSE)</f>
        <v>ヒューマン</v>
      </c>
      <c r="O34" s="5">
        <f ca="1">VLOOKUP($J34,OFFSET([3]enemies!$A$1,0,0,COUNTA([3]enemies!$A:$A),MATCH(O$1,[3]enemies!$1:$1,0)-MATCH($J$1,[3]enemies!$1:$1,0)+1),MATCH(O$1,[3]enemies!$1:$1,0)-MATCH($J$1,[3]enemies!$1:$1,0)+1,FALSE)</f>
        <v>15</v>
      </c>
      <c r="P34" s="45">
        <v>14</v>
      </c>
      <c r="Q34" s="43">
        <v>1</v>
      </c>
      <c r="R34" s="43">
        <v>1</v>
      </c>
      <c r="S34" s="6">
        <v>0</v>
      </c>
      <c r="T34" s="5" t="str">
        <f ca="1">VLOOKUP($U34,OFFSET([5]enemy_skill_sets!$B$1,0,0,COUNTA([5]enemy_skill_sets!$B:$B),MATCH(K$1,[5]enemy_skill_sets!$1:$1,0)-MATCH($U$1,[5]enemy_skill_sets!$1:$1,0)+2),MATCH(K$1,[5]enemy_skill_sets!$1:$1,0)-MATCH($U$1,[5]enemy_skill_sets!$1:$1,0)+2,FALSE)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4" s="5">
        <f ca="1">VLOOKUP($J34,OFFSET([3]enemies!$A$1,0,0,COUNTA([3]enemies!$A:$A),MATCH(U$1,[3]enemies!$1:$1,0)-MATCH($J$1,[3]enemies!$1:$1,0)+1),MATCH(U$1,[3]enemies!$1:$1,0)-MATCH($J$1,[3]enemies!$1:$1,0)+1,FALSE)</f>
        <v>0</v>
      </c>
      <c r="V34" s="7">
        <v>1</v>
      </c>
      <c r="W34" s="7">
        <v>100</v>
      </c>
      <c r="X34" s="7">
        <v>0</v>
      </c>
      <c r="Y34" s="20">
        <f ca="1">VLOOKUP($J34,OFFSET([3]enemies!$A$1,0,0,COUNTA([3]enemies!$A:$A),MATCH(Y$1,[3]enemies!$1:$1,0)-MATCH($J$1,[3]enemies!$1:$1,0)+1),MATCH(Y$1,[3]enemies!$1:$1,0)-MATCH($J$1,[3]enemies!$1:$1,0)+1,FALSE)</f>
        <v>2</v>
      </c>
      <c r="Z34" s="35">
        <v>17</v>
      </c>
      <c r="AA34" s="5" t="str">
        <f ca="1">IFERROR(VLOOKUP($Z34,OFFSET([4]characters!$A$1,0,0,COUNTA([4]characters!$A:$A),MATCH(AA$1,[4]characters!$1:$1,0)-MATCH("character_id",[4]characters!$1:$1,0)+1),MATCH(AA$1,[4]characters!$1:$1,0)-MATCH("character_id",[4]characters!$1:$1,0)+1,FALSE),"")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34" s="5">
        <f ca="1">IFERROR(VLOOKUP($Z34,OFFSET([4]characters!$A$1,0,0,COUNTA([4]characters!$A:$A),MATCH(AB$1,[4]characters!$1:$1,0)-MATCH("character_id",[4]characters!$1:$1,0)+1),MATCH(AB$1,[4]characters!$1:$1,0)-MATCH("character_id",[4]characters!$1:$1,0)+1,FALSE),"")</f>
        <v>1</v>
      </c>
      <c r="AC34" s="5" t="str">
        <f ca="1">IFERROR(VLOOKUP($Z34,OFFSET([4]characters!$A$1,0,0,COUNTA([4]characters!$A:$A),MATCH(AC$1,[4]characters!$1:$1,0)-MATCH("character_id",[4]characters!$1:$1,0)+1),MATCH(AC$1,[4]characters!$1:$1,0)-MATCH("character_id",[4]characters!$1:$1,0)+1,FALSE),"")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34" s="8">
        <v>3</v>
      </c>
      <c r="AE34" s="28">
        <f t="shared" ca="1" si="25"/>
        <v>1</v>
      </c>
      <c r="AF34" s="9">
        <v>25</v>
      </c>
      <c r="AG34" s="8">
        <v>0</v>
      </c>
      <c r="AH34" s="8">
        <v>0</v>
      </c>
      <c r="AI34" s="8">
        <v>0</v>
      </c>
      <c r="AJ34" s="8">
        <v>0</v>
      </c>
      <c r="AK34" s="8">
        <v>1</v>
      </c>
      <c r="AL34" s="8">
        <v>1</v>
      </c>
    </row>
    <row r="35" spans="1:38" ht="21" customHeight="1" x14ac:dyDescent="0.15">
      <c r="A35" s="17" t="str">
        <f t="shared" ca="1" si="23"/>
        <v>13101_4-3/25&lt;lv14&gt;s3</v>
      </c>
      <c r="B35" s="26">
        <v>13101</v>
      </c>
      <c r="C35" s="25">
        <v>4</v>
      </c>
      <c r="D35" s="2" t="str">
        <f t="shared" si="24"/>
        <v>13101_4</v>
      </c>
      <c r="E35" s="5" t="str">
        <f ca="1">VLOOKUP($B35,OFFSET([2]quests!$A$1,0,0,COUNTA([2]quests!$A:$A),MATCH(E$1,[2]quests!$1:$1,0)-MATCH($B$1,[2]quests!$1:$1,0)+1),MATCH(E$1,[2]quests!$1:$1,0)-MATCH($B$1,[2]quests!$1:$1,0)+1,FALSE)</f>
        <v>チャレンジタワー</v>
      </c>
      <c r="F35" s="5" t="e">
        <f ca="1">VLOOKUP($D35,OFFSET([2]stages!$A$1,0,0,COUNTA([2]stages!$A:$A),MATCH(F$1,[2]stages!$1:$1,0)-MATCH($D$1,[2]stages!$1:$1,0)+1),MATCH(F$1,[2]stages!$1:$1,0)-MATCH($D$1,[2]stages!$1:$1,0)+1,FALSE)</f>
        <v>#N/A</v>
      </c>
      <c r="G35" s="30">
        <v>3</v>
      </c>
      <c r="H35" s="16" t="str">
        <f t="shared" si="22"/>
        <v>13101_4-3</v>
      </c>
      <c r="I35" s="39" t="s">
        <v>245</v>
      </c>
      <c r="J35" s="32">
        <v>25</v>
      </c>
      <c r="K35" s="20" t="str">
        <f ca="1">VLOOKUP($J35,OFFSET([3]enemies!$A$1,0,0,COUNTA([3]enemies!$A:$A),MATCH(K$1,[3]enemies!$1:$1,0)-MATCH($J$1,[3]enemies!$1:$1,0)+1),MATCH(K$1,[3]enemies!$1:$1,0)-MATCH($J$1,[3]enemies!$1:$1,0)+1,FALSE)</f>
        <v>ハチ</v>
      </c>
      <c r="L35" s="23" t="str">
        <f ca="1">VLOOKUP($J35,OFFSET([3]enemies!$A$1,0,0,COUNTA([3]enemies!$A:$A),MATCH(L$1,[3]enemies!$1:$1,0)-MATCH($J$1,[3]enemies!$1:$1,0)+1),MATCH(L$1,[3]enemies!$1:$1,0)-MATCH($J$1,[3]enemies!$1:$1,0)+1,FALSE)</f>
        <v>blue</v>
      </c>
      <c r="M35" s="23" t="str">
        <f ca="1">VLOOKUP($J35,OFFSET([4]characters!$A$1,0,0,COUNTA([4]characters!$A:$A),MATCH(M$1,[4]characters!$1:$1,0)-MATCH($J$1,[4]characters!$1:$1,0)+1),MATCH(M$1,[4]characters!$1:$1,0)-MATCH($J$1,[4]characters!$1:$1,0)+1,FALSE)</f>
        <v>Drop1N</v>
      </c>
      <c r="N35" s="22" t="str">
        <f ca="1">VLOOKUP($J35,OFFSET([4]characters!$A$1,0,0,COUNTA([4]characters!$A:$A),MATCH(N$1,[4]characters!$1:$1,0)-MATCH($J$1,[4]characters!$1:$1,0)+2),MATCH(N$1,[4]characters!$1:$1,0)-MATCH($J$1,[4]characters!$1:$1,0)+2,FALSE)</f>
        <v>アニマル</v>
      </c>
      <c r="O35" s="5">
        <f ca="1">VLOOKUP($J35,OFFSET([3]enemies!$A$1,0,0,COUNTA([3]enemies!$A:$A),MATCH(O$1,[3]enemies!$1:$1,0)-MATCH($J$1,[3]enemies!$1:$1,0)+1),MATCH(O$1,[3]enemies!$1:$1,0)-MATCH($J$1,[3]enemies!$1:$1,0)+1,FALSE)</f>
        <v>15</v>
      </c>
      <c r="P35" s="45">
        <v>14</v>
      </c>
      <c r="Q35" s="43">
        <v>1</v>
      </c>
      <c r="R35" s="43">
        <v>1</v>
      </c>
      <c r="S35" s="6">
        <v>0</v>
      </c>
      <c r="T35" s="5" t="str">
        <f ca="1">VLOOKUP($U35,OFFSET([5]enemy_skill_sets!$B$1,0,0,COUNTA([5]enemy_skill_sets!$B:$B),MATCH(K$1,[5]enemy_skill_sets!$1:$1,0)-MATCH($U$1,[5]enemy_skill_sets!$1:$1,0)+2),MATCH(K$1,[5]enemy_skill_sets!$1:$1,0)-MATCH($U$1,[5]enemy_skill_sets!$1:$1,0)+2,FALSE)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5" s="5">
        <f ca="1">VLOOKUP($J35,OFFSET([3]enemies!$A$1,0,0,COUNTA([3]enemies!$A:$A),MATCH(U$1,[3]enemies!$1:$1,0)-MATCH($J$1,[3]enemies!$1:$1,0)+1),MATCH(U$1,[3]enemies!$1:$1,0)-MATCH($J$1,[3]enemies!$1:$1,0)+1,FALSE)</f>
        <v>0</v>
      </c>
      <c r="V35" s="7">
        <v>2</v>
      </c>
      <c r="W35" s="7">
        <v>100</v>
      </c>
      <c r="X35" s="7">
        <v>0</v>
      </c>
      <c r="Y35" s="20">
        <f ca="1">VLOOKUP($J35,OFFSET([3]enemies!$A$1,0,0,COUNTA([3]enemies!$A:$A),MATCH(Y$1,[3]enemies!$1:$1,0)-MATCH($J$1,[3]enemies!$1:$1,0)+1),MATCH(Y$1,[3]enemies!$1:$1,0)-MATCH($J$1,[3]enemies!$1:$1,0)+1,FALSE)</f>
        <v>3</v>
      </c>
      <c r="Z35" s="35">
        <v>25</v>
      </c>
      <c r="AA35" s="5" t="str">
        <f ca="1">IFERROR(VLOOKUP($Z35,OFFSET([4]characters!$A$1,0,0,COUNTA([4]characters!$A:$A),MATCH(AA$1,[4]characters!$1:$1,0)-MATCH("character_id",[4]characters!$1:$1,0)+1),MATCH(AA$1,[4]characters!$1:$1,0)-MATCH("character_id",[4]characters!$1:$1,0)+1,FALSE),"")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35" s="5">
        <f ca="1">IFERROR(VLOOKUP($Z35,OFFSET([4]characters!$A$1,0,0,COUNTA([4]characters!$A:$A),MATCH(AB$1,[4]characters!$1:$1,0)-MATCH("character_id",[4]characters!$1:$1,0)+1),MATCH(AB$1,[4]characters!$1:$1,0)-MATCH("character_id",[4]characters!$1:$1,0)+1,FALSE),"")</f>
        <v>1</v>
      </c>
      <c r="AC35" s="5" t="str">
        <f ca="1">IFERROR(VLOOKUP($Z35,OFFSET([4]characters!$A$1,0,0,COUNTA([4]characters!$A:$A),MATCH(AC$1,[4]characters!$1:$1,0)-MATCH("character_id",[4]characters!$1:$1,0)+1),MATCH(AC$1,[4]characters!$1:$1,0)-MATCH("character_id",[4]characters!$1:$1,0)+1,FALSE),"")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35" s="8">
        <v>1</v>
      </c>
      <c r="AE35" s="28">
        <f t="shared" ca="1" si="25"/>
        <v>1</v>
      </c>
      <c r="AF35" s="9">
        <v>25</v>
      </c>
      <c r="AG35" s="8">
        <v>0</v>
      </c>
      <c r="AH35" s="8">
        <v>0</v>
      </c>
      <c r="AI35" s="8">
        <v>0</v>
      </c>
      <c r="AJ35" s="8">
        <v>0</v>
      </c>
      <c r="AK35" s="8">
        <v>1</v>
      </c>
      <c r="AL35" s="8">
        <v>1</v>
      </c>
    </row>
    <row r="36" spans="1:38" ht="21" customHeight="1" x14ac:dyDescent="0.15">
      <c r="A36" s="17" t="str">
        <f t="shared" ca="1" si="23"/>
        <v>13101_4-4/5&lt;lv15&gt;s3</v>
      </c>
      <c r="B36" s="26">
        <v>13101</v>
      </c>
      <c r="C36" s="25">
        <v>4</v>
      </c>
      <c r="D36" s="2" t="str">
        <f t="shared" si="24"/>
        <v>13101_4</v>
      </c>
      <c r="E36" s="5" t="str">
        <f ca="1">VLOOKUP($B36,OFFSET([2]quests!$A$1,0,0,COUNTA([2]quests!$A:$A),MATCH(E$1,[2]quests!$1:$1,0)-MATCH($B$1,[2]quests!$1:$1,0)+1),MATCH(E$1,[2]quests!$1:$1,0)-MATCH($B$1,[2]quests!$1:$1,0)+1,FALSE)</f>
        <v>チャレンジタワー</v>
      </c>
      <c r="F36" s="5" t="e">
        <f ca="1">VLOOKUP($D36,OFFSET([2]stages!$A$1,0,0,COUNTA([2]stages!$A:$A),MATCH(F$1,[2]stages!$1:$1,0)-MATCH($D$1,[2]stages!$1:$1,0)+1),MATCH(F$1,[2]stages!$1:$1,0)-MATCH($D$1,[2]stages!$1:$1,0)+1,FALSE)</f>
        <v>#N/A</v>
      </c>
      <c r="G36" s="30">
        <v>4</v>
      </c>
      <c r="H36" s="16" t="str">
        <f t="shared" si="22"/>
        <v>13101_4-4</v>
      </c>
      <c r="I36" s="39" t="s">
        <v>245</v>
      </c>
      <c r="J36" s="39">
        <v>5</v>
      </c>
      <c r="K36" s="20" t="str">
        <f ca="1">VLOOKUP($J36,OFFSET([3]enemies!$A$1,0,0,COUNTA([3]enemies!$A:$A),MATCH(K$1,[3]enemies!$1:$1,0)-MATCH($J$1,[3]enemies!$1:$1,0)+1),MATCH(K$1,[3]enemies!$1:$1,0)-MATCH($J$1,[3]enemies!$1:$1,0)+1,FALSE)</f>
        <v>パトドッグ ポチ</v>
      </c>
      <c r="L36" s="23" t="str">
        <f ca="1">VLOOKUP($J36,OFFSET([3]enemies!$A$1,0,0,COUNTA([3]enemies!$A:$A),MATCH(L$1,[3]enemies!$1:$1,0)-MATCH($J$1,[3]enemies!$1:$1,0)+1),MATCH(L$1,[3]enemies!$1:$1,0)-MATCH($J$1,[3]enemies!$1:$1,0)+1,FALSE)</f>
        <v>blue</v>
      </c>
      <c r="M36" s="23" t="str">
        <f ca="1">VLOOKUP($J36,OFFSET([4]characters!$A$1,0,0,COUNTA([4]characters!$A:$A),MATCH(M$1,[4]characters!$1:$1,0)-MATCH($J$1,[4]characters!$1:$1,0)+1),MATCH(M$1,[4]characters!$1:$1,0)-MATCH($J$1,[4]characters!$1:$1,0)+1,FALSE)</f>
        <v>Drop1T</v>
      </c>
      <c r="N36" s="22" t="str">
        <f ca="1">VLOOKUP($J36,OFFSET([4]characters!$A$1,0,0,COUNTA([4]characters!$A:$A),MATCH(N$1,[4]characters!$1:$1,0)-MATCH($J$1,[4]characters!$1:$1,0)+2),MATCH(N$1,[4]characters!$1:$1,0)-MATCH($J$1,[4]characters!$1:$1,0)+2,FALSE)</f>
        <v>Unknown</v>
      </c>
      <c r="O36" s="5">
        <f ca="1">VLOOKUP($J36,OFFSET([3]enemies!$A$1,0,0,COUNTA([3]enemies!$A:$A),MATCH(O$1,[3]enemies!$1:$1,0)-MATCH($J$1,[3]enemies!$1:$1,0)+1),MATCH(O$1,[3]enemies!$1:$1,0)-MATCH($J$1,[3]enemies!$1:$1,0)+1,FALSE)</f>
        <v>15</v>
      </c>
      <c r="P36" s="40">
        <v>15</v>
      </c>
      <c r="Q36" s="43">
        <v>1</v>
      </c>
      <c r="R36" s="43">
        <v>1</v>
      </c>
      <c r="S36" s="6">
        <v>0</v>
      </c>
      <c r="T36" s="5" t="str">
        <f ca="1">VLOOKUP($U36,OFFSET([5]enemy_skill_sets!$B$1,0,0,COUNTA([5]enemy_skill_sets!$B:$B),MATCH(K$1,[5]enemy_skill_sets!$1:$1,0)-MATCH($U$1,[5]enemy_skill_sets!$1:$1,0)+2),MATCH(K$1,[5]enemy_skill_sets!$1:$1,0)-MATCH($U$1,[5]enemy_skill_sets!$1:$1,0)+2,FALSE)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6" s="5">
        <f ca="1">VLOOKUP($J36,OFFSET([3]enemies!$A$1,0,0,COUNTA([3]enemies!$A:$A),MATCH(U$1,[3]enemies!$1:$1,0)-MATCH($J$1,[3]enemies!$1:$1,0)+1),MATCH(U$1,[3]enemies!$1:$1,0)-MATCH($J$1,[3]enemies!$1:$1,0)+1,FALSE)</f>
        <v>0</v>
      </c>
      <c r="V36" s="7">
        <v>0</v>
      </c>
      <c r="W36" s="7">
        <v>100</v>
      </c>
      <c r="X36" s="7">
        <v>0</v>
      </c>
      <c r="Y36" s="20">
        <f ca="1">VLOOKUP($J36,OFFSET([3]enemies!$A$1,0,0,COUNTA([3]enemies!$A:$A),MATCH(Y$1,[3]enemies!$1:$1,0)-MATCH($J$1,[3]enemies!$1:$1,0)+1),MATCH(Y$1,[3]enemies!$1:$1,0)-MATCH($J$1,[3]enemies!$1:$1,0)+1,FALSE)</f>
        <v>3</v>
      </c>
      <c r="Z36" s="29">
        <v>5</v>
      </c>
      <c r="AA36" s="5" t="str">
        <f ca="1">IFERROR(VLOOKUP($Z36,OFFSET([4]characters!$A$1,0,0,COUNTA([4]characters!$A:$A),MATCH(AA$1,[4]characters!$1:$1,0)-MATCH("character_id",[4]characters!$1:$1,0)+1),MATCH(AA$1,[4]characters!$1:$1,0)-MATCH("character_id",[4]characters!$1:$1,0)+1,FALSE),"")</f>
        <v>パトドッグ ポチ</v>
      </c>
      <c r="AB36" s="5">
        <f ca="1">IFERROR(VLOOKUP($Z36,OFFSET([4]characters!$A$1,0,0,COUNTA([4]characters!$A:$A),MATCH(AB$1,[4]characters!$1:$1,0)-MATCH("character_id",[4]characters!$1:$1,0)+1),MATCH(AB$1,[4]characters!$1:$1,0)-MATCH("character_id",[4]characters!$1:$1,0)+1,FALSE),"")</f>
        <v>1</v>
      </c>
      <c r="AC36" s="5" t="str">
        <f ca="1">IFERROR(VLOOKUP($Z36,OFFSET([4]characters!$A$1,0,0,COUNTA([4]characters!$A:$A),MATCH(AC$1,[4]characters!$1:$1,0)-MATCH("character_id",[4]characters!$1:$1,0)+1),MATCH(AC$1,[4]characters!$1:$1,0)-MATCH("character_id",[4]characters!$1:$1,0)+1,FALSE),"")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36" s="8">
        <v>5</v>
      </c>
      <c r="AE36" s="28">
        <f t="shared" ca="1" si="25"/>
        <v>1</v>
      </c>
      <c r="AF36" s="9">
        <v>25</v>
      </c>
      <c r="AG36" s="8">
        <v>0</v>
      </c>
      <c r="AH36" s="8">
        <v>0</v>
      </c>
      <c r="AI36" s="8">
        <v>0</v>
      </c>
      <c r="AJ36" s="8">
        <v>0</v>
      </c>
      <c r="AK36" s="8">
        <v>1</v>
      </c>
      <c r="AL36" s="8">
        <v>1</v>
      </c>
    </row>
    <row r="37" spans="1:38" ht="21" customHeight="1" x14ac:dyDescent="0.15">
      <c r="A37" s="17" t="str">
        <f t="shared" ca="1" si="23"/>
        <v>13101_4-4/17&lt;lv15&gt;s2</v>
      </c>
      <c r="B37" s="26">
        <v>13101</v>
      </c>
      <c r="C37" s="25">
        <v>4</v>
      </c>
      <c r="D37" s="2" t="str">
        <f t="shared" si="24"/>
        <v>13101_4</v>
      </c>
      <c r="E37" s="5" t="str">
        <f ca="1">VLOOKUP($B37,OFFSET([2]quests!$A$1,0,0,COUNTA([2]quests!$A:$A),MATCH(E$1,[2]quests!$1:$1,0)-MATCH($B$1,[2]quests!$1:$1,0)+1),MATCH(E$1,[2]quests!$1:$1,0)-MATCH($B$1,[2]quests!$1:$1,0)+1,FALSE)</f>
        <v>チャレンジタワー</v>
      </c>
      <c r="F37" s="5" t="e">
        <f ca="1">VLOOKUP($D37,OFFSET([2]stages!$A$1,0,0,COUNTA([2]stages!$A:$A),MATCH(F$1,[2]stages!$1:$1,0)-MATCH($D$1,[2]stages!$1:$1,0)+1),MATCH(F$1,[2]stages!$1:$1,0)-MATCH($D$1,[2]stages!$1:$1,0)+1,FALSE)</f>
        <v>#N/A</v>
      </c>
      <c r="G37" s="30">
        <v>4</v>
      </c>
      <c r="H37" s="16" t="str">
        <f t="shared" si="22"/>
        <v>13101_4-4</v>
      </c>
      <c r="I37" s="39" t="s">
        <v>245</v>
      </c>
      <c r="J37" s="32">
        <v>17</v>
      </c>
      <c r="K37" s="20" t="str">
        <f ca="1">VLOOKUP($J37,OFFSET([3]enemies!$A$1,0,0,COUNTA([3]enemies!$A:$A),MATCH(K$1,[3]enemies!$1:$1,0)-MATCH($J$1,[3]enemies!$1:$1,0)+1),MATCH(K$1,[3]enemies!$1:$1,0)-MATCH($J$1,[3]enemies!$1:$1,0)+1,FALSE)</f>
        <v>リム</v>
      </c>
      <c r="L37" s="23" t="str">
        <f ca="1">VLOOKUP($J37,OFFSET([3]enemies!$A$1,0,0,COUNTA([3]enemies!$A:$A),MATCH(L$1,[3]enemies!$1:$1,0)-MATCH($J$1,[3]enemies!$1:$1,0)+1),MATCH(L$1,[3]enemies!$1:$1,0)-MATCH($J$1,[3]enemies!$1:$1,0)+1,FALSE)</f>
        <v>blue</v>
      </c>
      <c r="M37" s="23" t="str">
        <f ca="1">VLOOKUP($J37,OFFSET([4]characters!$A$1,0,0,COUNTA([4]characters!$A:$A),MATCH(M$1,[4]characters!$1:$1,0)-MATCH($J$1,[4]characters!$1:$1,0)+1),MATCH(M$1,[4]characters!$1:$1,0)-MATCH($J$1,[4]characters!$1:$1,0)+1,FALSE)</f>
        <v>Drop1W</v>
      </c>
      <c r="N37" s="22" t="str">
        <f ca="1">VLOOKUP($J37,OFFSET([4]characters!$A$1,0,0,COUNTA([4]characters!$A:$A),MATCH(N$1,[4]characters!$1:$1,0)-MATCH($J$1,[4]characters!$1:$1,0)+2),MATCH(N$1,[4]characters!$1:$1,0)-MATCH($J$1,[4]characters!$1:$1,0)+2,FALSE)</f>
        <v>ヒューマン</v>
      </c>
      <c r="O37" s="5">
        <f ca="1">VLOOKUP($J37,OFFSET([3]enemies!$A$1,0,0,COUNTA([3]enemies!$A:$A),MATCH(O$1,[3]enemies!$1:$1,0)-MATCH($J$1,[3]enemies!$1:$1,0)+1),MATCH(O$1,[3]enemies!$1:$1,0)-MATCH($J$1,[3]enemies!$1:$1,0)+1,FALSE)</f>
        <v>15</v>
      </c>
      <c r="P37" s="40">
        <v>15</v>
      </c>
      <c r="Q37" s="43">
        <v>1</v>
      </c>
      <c r="R37" s="43">
        <v>1</v>
      </c>
      <c r="S37" s="6">
        <v>0</v>
      </c>
      <c r="T37" s="5" t="str">
        <f ca="1">VLOOKUP($U37,OFFSET([5]enemy_skill_sets!$B$1,0,0,COUNTA([5]enemy_skill_sets!$B:$B),MATCH(K$1,[5]enemy_skill_sets!$1:$1,0)-MATCH($U$1,[5]enemy_skill_sets!$1:$1,0)+2),MATCH(K$1,[5]enemy_skill_sets!$1:$1,0)-MATCH($U$1,[5]enemy_skill_sets!$1:$1,0)+2,FALSE)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7" s="5">
        <f ca="1">VLOOKUP($J37,OFFSET([3]enemies!$A$1,0,0,COUNTA([3]enemies!$A:$A),MATCH(U$1,[3]enemies!$1:$1,0)-MATCH($J$1,[3]enemies!$1:$1,0)+1),MATCH(U$1,[3]enemies!$1:$1,0)-MATCH($J$1,[3]enemies!$1:$1,0)+1,FALSE)</f>
        <v>0</v>
      </c>
      <c r="V37" s="7">
        <v>0</v>
      </c>
      <c r="W37" s="7">
        <v>100</v>
      </c>
      <c r="X37" s="7">
        <v>0</v>
      </c>
      <c r="Y37" s="20">
        <f ca="1">VLOOKUP($J37,OFFSET([3]enemies!$A$1,0,0,COUNTA([3]enemies!$A:$A),MATCH(Y$1,[3]enemies!$1:$1,0)-MATCH($J$1,[3]enemies!$1:$1,0)+1),MATCH(Y$1,[3]enemies!$1:$1,0)-MATCH($J$1,[3]enemies!$1:$1,0)+1,FALSE)</f>
        <v>2</v>
      </c>
      <c r="Z37" s="35">
        <v>17</v>
      </c>
      <c r="AA37" s="5" t="str">
        <f ca="1">IFERROR(VLOOKUP($Z37,OFFSET([4]characters!$A$1,0,0,COUNTA([4]characters!$A:$A),MATCH(AA$1,[4]characters!$1:$1,0)-MATCH("character_id",[4]characters!$1:$1,0)+1),MATCH(AA$1,[4]characters!$1:$1,0)-MATCH("character_id",[4]characters!$1:$1,0)+1,FALSE),"")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37" s="5">
        <f ca="1">IFERROR(VLOOKUP($Z37,OFFSET([4]characters!$A$1,0,0,COUNTA([4]characters!$A:$A),MATCH(AB$1,[4]characters!$1:$1,0)-MATCH("character_id",[4]characters!$1:$1,0)+1),MATCH(AB$1,[4]characters!$1:$1,0)-MATCH("character_id",[4]characters!$1:$1,0)+1,FALSE),"")</f>
        <v>1</v>
      </c>
      <c r="AC37" s="5" t="str">
        <f ca="1">IFERROR(VLOOKUP($Z37,OFFSET([4]characters!$A$1,0,0,COUNTA([4]characters!$A:$A),MATCH(AC$1,[4]characters!$1:$1,0)-MATCH("character_id",[4]characters!$1:$1,0)+1),MATCH(AC$1,[4]characters!$1:$1,0)-MATCH("character_id",[4]characters!$1:$1,0)+1,FALSE),"")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37" s="8">
        <v>3</v>
      </c>
      <c r="AE37" s="28">
        <f t="shared" ca="1" si="25"/>
        <v>1</v>
      </c>
      <c r="AF37" s="9">
        <v>25</v>
      </c>
      <c r="AG37" s="8">
        <v>0</v>
      </c>
      <c r="AH37" s="8">
        <v>0</v>
      </c>
      <c r="AI37" s="8">
        <v>0</v>
      </c>
      <c r="AJ37" s="8">
        <v>0</v>
      </c>
      <c r="AK37" s="8">
        <v>1</v>
      </c>
      <c r="AL37" s="8">
        <v>1</v>
      </c>
    </row>
    <row r="38" spans="1:38" ht="21" customHeight="1" x14ac:dyDescent="0.15">
      <c r="A38" s="17" t="str">
        <f t="shared" ca="1" si="23"/>
        <v>13101_4-4/25&lt;lv15&gt;s3</v>
      </c>
      <c r="B38" s="26">
        <v>13101</v>
      </c>
      <c r="C38" s="25">
        <v>4</v>
      </c>
      <c r="D38" s="2" t="str">
        <f t="shared" si="24"/>
        <v>13101_4</v>
      </c>
      <c r="E38" s="5" t="str">
        <f ca="1">VLOOKUP($B38,OFFSET([2]quests!$A$1,0,0,COUNTA([2]quests!$A:$A),MATCH(E$1,[2]quests!$1:$1,0)-MATCH($B$1,[2]quests!$1:$1,0)+1),MATCH(E$1,[2]quests!$1:$1,0)-MATCH($B$1,[2]quests!$1:$1,0)+1,FALSE)</f>
        <v>チャレンジタワー</v>
      </c>
      <c r="F38" s="5" t="e">
        <f ca="1">VLOOKUP($D38,OFFSET([2]stages!$A$1,0,0,COUNTA([2]stages!$A:$A),MATCH(F$1,[2]stages!$1:$1,0)-MATCH($D$1,[2]stages!$1:$1,0)+1),MATCH(F$1,[2]stages!$1:$1,0)-MATCH($D$1,[2]stages!$1:$1,0)+1,FALSE)</f>
        <v>#N/A</v>
      </c>
      <c r="G38" s="30">
        <v>4</v>
      </c>
      <c r="H38" s="16" t="str">
        <f t="shared" si="22"/>
        <v>13101_4-4</v>
      </c>
      <c r="I38" s="39" t="s">
        <v>245</v>
      </c>
      <c r="J38" s="32">
        <v>25</v>
      </c>
      <c r="K38" s="20" t="str">
        <f ca="1">VLOOKUP($J38,OFFSET([3]enemies!$A$1,0,0,COUNTA([3]enemies!$A:$A),MATCH(K$1,[3]enemies!$1:$1,0)-MATCH($J$1,[3]enemies!$1:$1,0)+1),MATCH(K$1,[3]enemies!$1:$1,0)-MATCH($J$1,[3]enemies!$1:$1,0)+1,FALSE)</f>
        <v>ハチ</v>
      </c>
      <c r="L38" s="23" t="str">
        <f ca="1">VLOOKUP($J38,OFFSET([3]enemies!$A$1,0,0,COUNTA([3]enemies!$A:$A),MATCH(L$1,[3]enemies!$1:$1,0)-MATCH($J$1,[3]enemies!$1:$1,0)+1),MATCH(L$1,[3]enemies!$1:$1,0)-MATCH($J$1,[3]enemies!$1:$1,0)+1,FALSE)</f>
        <v>blue</v>
      </c>
      <c r="M38" s="23" t="str">
        <f ca="1">VLOOKUP($J38,OFFSET([4]characters!$A$1,0,0,COUNTA([4]characters!$A:$A),MATCH(M$1,[4]characters!$1:$1,0)-MATCH($J$1,[4]characters!$1:$1,0)+1),MATCH(M$1,[4]characters!$1:$1,0)-MATCH($J$1,[4]characters!$1:$1,0)+1,FALSE)</f>
        <v>Drop1N</v>
      </c>
      <c r="N38" s="22" t="str">
        <f ca="1">VLOOKUP($J38,OFFSET([4]characters!$A$1,0,0,COUNTA([4]characters!$A:$A),MATCH(N$1,[4]characters!$1:$1,0)-MATCH($J$1,[4]characters!$1:$1,0)+2),MATCH(N$1,[4]characters!$1:$1,0)-MATCH($J$1,[4]characters!$1:$1,0)+2,FALSE)</f>
        <v>アニマル</v>
      </c>
      <c r="O38" s="5">
        <f ca="1">VLOOKUP($J38,OFFSET([3]enemies!$A$1,0,0,COUNTA([3]enemies!$A:$A),MATCH(O$1,[3]enemies!$1:$1,0)-MATCH($J$1,[3]enemies!$1:$1,0)+1),MATCH(O$1,[3]enemies!$1:$1,0)-MATCH($J$1,[3]enemies!$1:$1,0)+1,FALSE)</f>
        <v>15</v>
      </c>
      <c r="P38" s="40">
        <v>15</v>
      </c>
      <c r="Q38" s="43">
        <v>1</v>
      </c>
      <c r="R38" s="43">
        <v>1</v>
      </c>
      <c r="S38" s="6">
        <v>0</v>
      </c>
      <c r="T38" s="5" t="str">
        <f ca="1">VLOOKUP($U38,OFFSET([5]enemy_skill_sets!$B$1,0,0,COUNTA([5]enemy_skill_sets!$B:$B),MATCH(K$1,[5]enemy_skill_sets!$1:$1,0)-MATCH($U$1,[5]enemy_skill_sets!$1:$1,0)+2),MATCH(K$1,[5]enemy_skill_sets!$1:$1,0)-MATCH($U$1,[5]enemy_skill_sets!$1:$1,0)+2,FALSE)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8" s="5">
        <f ca="1">VLOOKUP($J38,OFFSET([3]enemies!$A$1,0,0,COUNTA([3]enemies!$A:$A),MATCH(U$1,[3]enemies!$1:$1,0)-MATCH($J$1,[3]enemies!$1:$1,0)+1),MATCH(U$1,[3]enemies!$1:$1,0)-MATCH($J$1,[3]enemies!$1:$1,0)+1,FALSE)</f>
        <v>0</v>
      </c>
      <c r="V38" s="7">
        <v>0</v>
      </c>
      <c r="W38" s="7">
        <v>100</v>
      </c>
      <c r="X38" s="7">
        <v>0</v>
      </c>
      <c r="Y38" s="20">
        <f ca="1">VLOOKUP($J38,OFFSET([3]enemies!$A$1,0,0,COUNTA([3]enemies!$A:$A),MATCH(Y$1,[3]enemies!$1:$1,0)-MATCH($J$1,[3]enemies!$1:$1,0)+1),MATCH(Y$1,[3]enemies!$1:$1,0)-MATCH($J$1,[3]enemies!$1:$1,0)+1,FALSE)</f>
        <v>3</v>
      </c>
      <c r="Z38" s="35">
        <v>25</v>
      </c>
      <c r="AA38" s="5" t="str">
        <f ca="1">IFERROR(VLOOKUP($Z38,OFFSET([4]characters!$A$1,0,0,COUNTA([4]characters!$A:$A),MATCH(AA$1,[4]characters!$1:$1,0)-MATCH("character_id",[4]characters!$1:$1,0)+1),MATCH(AA$1,[4]characters!$1:$1,0)-MATCH("character_id",[4]characters!$1:$1,0)+1,FALSE),"")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38" s="5">
        <f ca="1">IFERROR(VLOOKUP($Z38,OFFSET([4]characters!$A$1,0,0,COUNTA([4]characters!$A:$A),MATCH(AB$1,[4]characters!$1:$1,0)-MATCH("character_id",[4]characters!$1:$1,0)+1),MATCH(AB$1,[4]characters!$1:$1,0)-MATCH("character_id",[4]characters!$1:$1,0)+1,FALSE),"")</f>
        <v>1</v>
      </c>
      <c r="AC38" s="5" t="str">
        <f ca="1">IFERROR(VLOOKUP($Z38,OFFSET([4]characters!$A$1,0,0,COUNTA([4]characters!$A:$A),MATCH(AC$1,[4]characters!$1:$1,0)-MATCH("character_id",[4]characters!$1:$1,0)+1),MATCH(AC$1,[4]characters!$1:$1,0)-MATCH("character_id",[4]characters!$1:$1,0)+1,FALSE),"")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38" s="8">
        <v>1</v>
      </c>
      <c r="AE38" s="28">
        <f t="shared" ca="1" si="25"/>
        <v>1</v>
      </c>
      <c r="AF38" s="9">
        <v>25</v>
      </c>
      <c r="AG38" s="8">
        <v>0</v>
      </c>
      <c r="AH38" s="8">
        <v>0</v>
      </c>
      <c r="AI38" s="8">
        <v>0</v>
      </c>
      <c r="AJ38" s="8">
        <v>0</v>
      </c>
      <c r="AK38" s="8">
        <v>1</v>
      </c>
      <c r="AL38" s="8">
        <v>1</v>
      </c>
    </row>
    <row r="39" spans="1:38" ht="21" customHeight="1" x14ac:dyDescent="0.15">
      <c r="A39" s="17" t="str">
        <f t="shared" ca="1" si="23"/>
        <v>13101_4-5/162&lt;lv18&gt;s2</v>
      </c>
      <c r="B39" s="26">
        <v>13101</v>
      </c>
      <c r="C39" s="30">
        <v>4</v>
      </c>
      <c r="D39" s="2" t="str">
        <f t="shared" ref="D39:D40" si="26">B39&amp;"_"&amp;C39</f>
        <v>13101_4</v>
      </c>
      <c r="E39" s="5" t="str">
        <f ca="1">VLOOKUP($B39,OFFSET([2]quests!$A$1,0,0,COUNTA([2]quests!$A:$A),MATCH(E$1,[2]quests!$1:$1,0)-MATCH($B$1,[2]quests!$1:$1,0)+1),MATCH(E$1,[2]quests!$1:$1,0)-MATCH($B$1,[2]quests!$1:$1,0)+1,FALSE)</f>
        <v>チャレンジタワー</v>
      </c>
      <c r="F39" s="5" t="e">
        <f ca="1">VLOOKUP($D39,OFFSET([2]stages!$A$1,0,0,COUNTA([2]stages!$A:$A),MATCH(F$1,[2]stages!$1:$1,0)-MATCH($D$1,[2]stages!$1:$1,0)+1),MATCH(F$1,[2]stages!$1:$1,0)-MATCH($D$1,[2]stages!$1:$1,0)+1,FALSE)</f>
        <v>#N/A</v>
      </c>
      <c r="G39" s="30">
        <v>5</v>
      </c>
      <c r="H39" s="16" t="str">
        <f t="shared" si="22"/>
        <v>13101_4-5</v>
      </c>
      <c r="I39" s="39" t="s">
        <v>245</v>
      </c>
      <c r="J39" s="39">
        <v>162</v>
      </c>
      <c r="K39" s="20" t="str">
        <f ca="1">VLOOKUP($J39,OFFSET([3]enemies!$A$1,0,0,COUNTA([3]enemies!$A:$A),MATCH(K$1,[3]enemies!$1:$1,0)-MATCH($J$1,[3]enemies!$1:$1,0)+1),MATCH(K$1,[3]enemies!$1:$1,0)-MATCH($J$1,[3]enemies!$1:$1,0)+1,FALSE)</f>
        <v>狂女 クララ</v>
      </c>
      <c r="L39" s="23" t="str">
        <f ca="1">VLOOKUP($J39,OFFSET([3]enemies!$A$1,0,0,COUNTA([3]enemies!$A:$A),MATCH(L$1,[3]enemies!$1:$1,0)-MATCH($J$1,[3]enemies!$1:$1,0)+1),MATCH(L$1,[3]enemies!$1:$1,0)-MATCH($J$1,[3]enemies!$1:$1,0)+1,FALSE)</f>
        <v>blue</v>
      </c>
      <c r="M39" s="23" t="str">
        <f ca="1">VLOOKUP($J39,OFFSET([4]characters!$A$1,0,0,COUNTA([4]characters!$A:$A),MATCH(M$1,[4]characters!$1:$1,0)-MATCH($J$1,[4]characters!$1:$1,0)+1),MATCH(M$1,[4]characters!$1:$1,0)-MATCH($J$1,[4]characters!$1:$1,0)+1,FALSE)</f>
        <v>PremiumW</v>
      </c>
      <c r="N39" s="22" t="str">
        <f ca="1">VLOOKUP($J39,OFFSET([4]characters!$A$1,0,0,COUNTA([4]characters!$A:$A),MATCH(N$1,[4]characters!$1:$1,0)-MATCH($J$1,[4]characters!$1:$1,0)+2),MATCH(N$1,[4]characters!$1:$1,0)-MATCH($J$1,[4]characters!$1:$1,0)+2,FALSE)</f>
        <v>ヒューマン</v>
      </c>
      <c r="O39" s="5">
        <f ca="1">VLOOKUP($J39,OFFSET([3]enemies!$A$1,0,0,COUNTA([3]enemies!$A:$A),MATCH(O$1,[3]enemies!$1:$1,0)-MATCH($J$1,[3]enemies!$1:$1,0)+1),MATCH(O$1,[3]enemies!$1:$1,0)-MATCH($J$1,[3]enemies!$1:$1,0)+1,FALSE)</f>
        <v>20</v>
      </c>
      <c r="P39" s="40">
        <v>18</v>
      </c>
      <c r="Q39" s="50">
        <v>1.5</v>
      </c>
      <c r="R39" s="43">
        <v>1</v>
      </c>
      <c r="S39" s="6">
        <v>0</v>
      </c>
      <c r="T39" s="5" t="str">
        <f ca="1">VLOOKUP($U39,OFFSET([5]enemy_skill_sets!$B$1,0,0,COUNTA([5]enemy_skill_sets!$B:$B),MATCH(K$1,[5]enemy_skill_sets!$1:$1,0)-MATCH($U$1,[5]enemy_skill_sets!$1:$1,0)+2),MATCH(K$1,[5]enemy_skill_sets!$1:$1,0)-MATCH($U$1,[5]enemy_skill_sets!$1:$1,0)+2,FALSE)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39" s="5">
        <f ca="1">VLOOKUP($J39,OFFSET([3]enemies!$A$1,0,0,COUNTA([3]enemies!$A:$A),MATCH(U$1,[3]enemies!$1:$1,0)-MATCH($J$1,[3]enemies!$1:$1,0)+1),MATCH(U$1,[3]enemies!$1:$1,0)-MATCH($J$1,[3]enemies!$1:$1,0)+1,FALSE)</f>
        <v>0</v>
      </c>
      <c r="V39" s="7">
        <v>1</v>
      </c>
      <c r="W39" s="7">
        <v>100</v>
      </c>
      <c r="X39" s="7">
        <v>1</v>
      </c>
      <c r="Y39" s="20">
        <f ca="1">VLOOKUP($J39,OFFSET([3]enemies!$A$1,0,0,COUNTA([3]enemies!$A:$A),MATCH(Y$1,[3]enemies!$1:$1,0)-MATCH($J$1,[3]enemies!$1:$1,0)+1),MATCH(Y$1,[3]enemies!$1:$1,0)-MATCH($J$1,[3]enemies!$1:$1,0)+1,FALSE)</f>
        <v>2</v>
      </c>
      <c r="Z39" s="29">
        <v>162</v>
      </c>
      <c r="AA39" s="5" t="str">
        <f ca="1">IFERROR(VLOOKUP($Z39,OFFSET([4]characters!$A$1,0,0,COUNTA([4]characters!$A:$A),MATCH(AA$1,[4]characters!$1:$1,0)-MATCH("character_id",[4]characters!$1:$1,0)+1),MATCH(AA$1,[4]characters!$1:$1,0)-MATCH("character_id",[4]characters!$1:$1,0)+1,FALSE),"")</f>
        <v>狂女 クララ</v>
      </c>
      <c r="AB39" s="5">
        <f ca="1">IFERROR(VLOOKUP($Z39,OFFSET([4]characters!$A$1,0,0,COUNTA([4]characters!$A:$A),MATCH(AB$1,[4]characters!$1:$1,0)-MATCH("character_id",[4]characters!$1:$1,0)+1),MATCH(AB$1,[4]characters!$1:$1,0)-MATCH("character_id",[4]characters!$1:$1,0)+1,FALSE),"")</f>
        <v>3</v>
      </c>
      <c r="AC39" s="5" t="str">
        <f ca="1">IFERROR(VLOOKUP($Z39,OFFSET([4]characters!$A$1,0,0,COUNTA([4]characters!$A:$A),MATCH(AC$1,[4]characters!$1:$1,0)-MATCH("character_id",[4]characters!$1:$1,0)+1),MATCH(AC$1,[4]characters!$1:$1,0)-MATCH("character_id",[4]characters!$1:$1,0)+1,FALSE),"")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39" s="8">
        <v>1</v>
      </c>
      <c r="AE39" s="28">
        <f t="shared" ref="AE39" ca="1" si="27">AB39</f>
        <v>3</v>
      </c>
      <c r="AF39" s="9">
        <v>0</v>
      </c>
      <c r="AG39" s="8">
        <v>0</v>
      </c>
      <c r="AH39" s="8">
        <v>0</v>
      </c>
      <c r="AI39" s="8">
        <v>0</v>
      </c>
      <c r="AJ39" s="8">
        <v>0</v>
      </c>
      <c r="AK39" s="8">
        <v>1</v>
      </c>
      <c r="AL39" s="8">
        <v>1</v>
      </c>
    </row>
    <row r="40" spans="1:38" ht="21" customHeight="1" x14ac:dyDescent="0.15">
      <c r="A40" s="17" t="str">
        <f t="shared" ref="A40" ca="1" si="28">B40&amp;"_"&amp;C40&amp;"-"&amp;G40&amp;"/"&amp;J40&amp;"&lt;lv"&amp;P40&amp;"&gt;s"&amp;Y40</f>
        <v>13101_4-5/6&lt;lv18&gt;s3</v>
      </c>
      <c r="B40" s="26">
        <v>13101</v>
      </c>
      <c r="C40" s="25">
        <v>4</v>
      </c>
      <c r="D40" s="2" t="str">
        <f t="shared" si="26"/>
        <v>13101_4</v>
      </c>
      <c r="E40" s="5" t="str">
        <f ca="1">VLOOKUP($B40,OFFSET([2]quests!$A$1,0,0,COUNTA([2]quests!$A:$A),MATCH(E$1,[2]quests!$1:$1,0)-MATCH($B$1,[2]quests!$1:$1,0)+1),MATCH(E$1,[2]quests!$1:$1,0)-MATCH($B$1,[2]quests!$1:$1,0)+1,FALSE)</f>
        <v>チャレンジタワー</v>
      </c>
      <c r="F40" s="5" t="e">
        <f ca="1">VLOOKUP($D40,OFFSET([2]stages!$A$1,0,0,COUNTA([2]stages!$A:$A),MATCH(F$1,[2]stages!$1:$1,0)-MATCH($D$1,[2]stages!$1:$1,0)+1),MATCH(F$1,[2]stages!$1:$1,0)-MATCH($D$1,[2]stages!$1:$1,0)+1,FALSE)</f>
        <v>#N/A</v>
      </c>
      <c r="G40" s="30">
        <v>5</v>
      </c>
      <c r="H40" s="16" t="str">
        <f t="shared" ref="H40" si="29">B40&amp;"_"&amp;C40&amp;"-"&amp;G40</f>
        <v>13101_4-5</v>
      </c>
      <c r="I40" s="39" t="s">
        <v>245</v>
      </c>
      <c r="J40" s="39">
        <v>6</v>
      </c>
      <c r="K40" s="20" t="str">
        <f ca="1">VLOOKUP($J40,OFFSET([3]enemies!$A$1,0,0,COUNTA([3]enemies!$A:$A),MATCH(K$1,[3]enemies!$1:$1,0)-MATCH($J$1,[3]enemies!$1:$1,0)+1),MATCH(K$1,[3]enemies!$1:$1,0)-MATCH($J$1,[3]enemies!$1:$1,0)+1,FALSE)</f>
        <v>パトドッグリーダー ポチ</v>
      </c>
      <c r="L40" s="23" t="str">
        <f ca="1">VLOOKUP($J40,OFFSET([3]enemies!$A$1,0,0,COUNTA([3]enemies!$A:$A),MATCH(L$1,[3]enemies!$1:$1,0)-MATCH($J$1,[3]enemies!$1:$1,0)+1),MATCH(L$1,[3]enemies!$1:$1,0)-MATCH($J$1,[3]enemies!$1:$1,0)+1,FALSE)</f>
        <v>blue</v>
      </c>
      <c r="M40" s="23" t="str">
        <f ca="1">VLOOKUP($J40,OFFSET([4]characters!$A$1,0,0,COUNTA([4]characters!$A:$A),MATCH(M$1,[4]characters!$1:$1,0)-MATCH($J$1,[4]characters!$1:$1,0)+1),MATCH(M$1,[4]characters!$1:$1,0)-MATCH($J$1,[4]characters!$1:$1,0)+1,FALSE)</f>
        <v>Drop1T</v>
      </c>
      <c r="N40" s="22" t="str">
        <f ca="1">VLOOKUP($J40,OFFSET([4]characters!$A$1,0,0,COUNTA([4]characters!$A:$A),MATCH(N$1,[4]characters!$1:$1,0)-MATCH($J$1,[4]characters!$1:$1,0)+2),MATCH(N$1,[4]characters!$1:$1,0)-MATCH($J$1,[4]characters!$1:$1,0)+2,FALSE)</f>
        <v>Unknown</v>
      </c>
      <c r="O40" s="5">
        <f ca="1">VLOOKUP($J40,OFFSET([3]enemies!$A$1,0,0,COUNTA([3]enemies!$A:$A),MATCH(O$1,[3]enemies!$1:$1,0)-MATCH($J$1,[3]enemies!$1:$1,0)+1),MATCH(O$1,[3]enemies!$1:$1,0)-MATCH($J$1,[3]enemies!$1:$1,0)+1,FALSE)</f>
        <v>15</v>
      </c>
      <c r="P40" s="40">
        <v>18</v>
      </c>
      <c r="Q40" s="50">
        <v>1.5</v>
      </c>
      <c r="R40" s="43">
        <v>1</v>
      </c>
      <c r="S40" s="6">
        <v>0</v>
      </c>
      <c r="T40" s="5" t="str">
        <f ca="1">VLOOKUP($U40,OFFSET([5]enemy_skill_sets!$B$1,0,0,COUNTA([5]enemy_skill_sets!$B:$B),MATCH(K$1,[5]enemy_skill_sets!$1:$1,0)-MATCH($U$1,[5]enemy_skill_sets!$1:$1,0)+2),MATCH(K$1,[5]enemy_skill_sets!$1:$1,0)-MATCH($U$1,[5]enemy_skill_sets!$1:$1,0)+2,FALSE)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40" s="5">
        <f ca="1">VLOOKUP($J40,OFFSET([3]enemies!$A$1,0,0,COUNTA([3]enemies!$A:$A),MATCH(U$1,[3]enemies!$1:$1,0)-MATCH($J$1,[3]enemies!$1:$1,0)+1),MATCH(U$1,[3]enemies!$1:$1,0)-MATCH($J$1,[3]enemies!$1:$1,0)+1,FALSE)</f>
        <v>0</v>
      </c>
      <c r="V40" s="7">
        <v>2</v>
      </c>
      <c r="W40" s="7">
        <v>100</v>
      </c>
      <c r="X40" s="7">
        <v>0</v>
      </c>
      <c r="Y40" s="20">
        <f ca="1">VLOOKUP($J40,OFFSET([3]enemies!$A$1,0,0,COUNTA([3]enemies!$A:$A),MATCH(Y$1,[3]enemies!$1:$1,0)-MATCH($J$1,[3]enemies!$1:$1,0)+1),MATCH(Y$1,[3]enemies!$1:$1,0)-MATCH($J$1,[3]enemies!$1:$1,0)+1,FALSE)</f>
        <v>3</v>
      </c>
      <c r="Z40" s="29">
        <v>5</v>
      </c>
      <c r="AA40" s="5" t="str">
        <f ca="1">IFERROR(VLOOKUP($Z40,OFFSET([4]characters!$A$1,0,0,COUNTA([4]characters!$A:$A),MATCH(AA$1,[4]characters!$1:$1,0)-MATCH("character_id",[4]characters!$1:$1,0)+1),MATCH(AA$1,[4]characters!$1:$1,0)-MATCH("character_id",[4]characters!$1:$1,0)+1,FALSE),"")</f>
        <v>パトドッグ ポチ</v>
      </c>
      <c r="AB40" s="5">
        <f ca="1">IFERROR(VLOOKUP($Z40,OFFSET([4]characters!$A$1,0,0,COUNTA([4]characters!$A:$A),MATCH(AB$1,[4]characters!$1:$1,0)-MATCH("character_id",[4]characters!$1:$1,0)+1),MATCH(AB$1,[4]characters!$1:$1,0)-MATCH("character_id",[4]characters!$1:$1,0)+1,FALSE),"")</f>
        <v>1</v>
      </c>
      <c r="AC40" s="5" t="str">
        <f ca="1">IFERROR(VLOOKUP($Z40,OFFSET([4]characters!$A$1,0,0,COUNTA([4]characters!$A:$A),MATCH(AC$1,[4]characters!$1:$1,0)-MATCH("character_id",[4]characters!$1:$1,0)+1),MATCH(AC$1,[4]characters!$1:$1,0)-MATCH("character_id",[4]characters!$1:$1,0)+1,FALSE),"")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40" s="8">
        <v>5</v>
      </c>
      <c r="AE40" s="28">
        <f t="shared" ref="AE40" ca="1" si="30">AB40</f>
        <v>1</v>
      </c>
      <c r="AF40" s="9">
        <v>0</v>
      </c>
      <c r="AG40" s="8">
        <v>0</v>
      </c>
      <c r="AH40" s="8">
        <v>0</v>
      </c>
      <c r="AI40" s="8">
        <v>0</v>
      </c>
      <c r="AJ40" s="8">
        <v>0</v>
      </c>
      <c r="AK40" s="8">
        <v>1</v>
      </c>
      <c r="AL40" s="8">
        <v>1</v>
      </c>
    </row>
    <row r="41" spans="1:38" ht="21" customHeight="1" x14ac:dyDescent="0.15">
      <c r="A41" s="17" t="str">
        <f t="shared" ca="1" si="23"/>
        <v>13101_5-1/132&lt;lv17&gt;s3</v>
      </c>
      <c r="B41" s="26">
        <v>13101</v>
      </c>
      <c r="C41" s="25">
        <v>5</v>
      </c>
      <c r="D41" s="2" t="str">
        <f t="shared" si="24"/>
        <v>13101_5</v>
      </c>
      <c r="E41" s="5" t="str">
        <f ca="1">VLOOKUP($B41,OFFSET([2]quests!$A$1,0,0,COUNTA([2]quests!$A:$A),MATCH(E$1,[2]quests!$1:$1,0)-MATCH($B$1,[2]quests!$1:$1,0)+1),MATCH(E$1,[2]quests!$1:$1,0)-MATCH($B$1,[2]quests!$1:$1,0)+1,FALSE)</f>
        <v>チャレンジタワー</v>
      </c>
      <c r="F41" s="5" t="e">
        <f ca="1">VLOOKUP($D41,OFFSET([2]stages!$A$1,0,0,COUNTA([2]stages!$A:$A),MATCH(F$1,[2]stages!$1:$1,0)-MATCH($D$1,[2]stages!$1:$1,0)+1),MATCH(F$1,[2]stages!$1:$1,0)-MATCH($D$1,[2]stages!$1:$1,0)+1,FALSE)</f>
        <v>#N/A</v>
      </c>
      <c r="G41" s="30">
        <v>1</v>
      </c>
      <c r="H41" s="16" t="str">
        <f t="shared" ref="H41" si="31">B41&amp;"_"&amp;C41&amp;"-"&amp;G41</f>
        <v>13101_5-1</v>
      </c>
      <c r="I41" s="39" t="s">
        <v>245</v>
      </c>
      <c r="J41" s="39">
        <v>132</v>
      </c>
      <c r="K41" s="20" t="str">
        <f ca="1">VLOOKUP($J41,OFFSET([3]enemies!$A$1,0,0,COUNTA([3]enemies!$A:$A),MATCH(K$1,[3]enemies!$1:$1,0)-MATCH($J$1,[3]enemies!$1:$1,0)+1),MATCH(K$1,[3]enemies!$1:$1,0)-MATCH($J$1,[3]enemies!$1:$1,0)+1,FALSE)</f>
        <v>鳥人ハヤト</v>
      </c>
      <c r="L41" s="23" t="str">
        <f ca="1">VLOOKUP($J41,OFFSET([3]enemies!$A$1,0,0,COUNTA([3]enemies!$A:$A),MATCH(L$1,[3]enemies!$1:$1,0)-MATCH($J$1,[3]enemies!$1:$1,0)+1),MATCH(L$1,[3]enemies!$1:$1,0)-MATCH($J$1,[3]enemies!$1:$1,0)+1,FALSE)</f>
        <v>yellow</v>
      </c>
      <c r="M41" s="23" t="str">
        <f ca="1">VLOOKUP($J41,OFFSET([4]characters!$A$1,0,0,COUNTA([4]characters!$A:$A),MATCH(M$1,[4]characters!$1:$1,0)-MATCH($J$1,[4]characters!$1:$1,0)+1),MATCH(M$1,[4]characters!$1:$1,0)-MATCH($J$1,[4]characters!$1:$1,0)+1,FALSE)</f>
        <v>PremiumW</v>
      </c>
      <c r="N41" s="22" t="str">
        <f ca="1">VLOOKUP($J41,OFFSET([4]characters!$A$1,0,0,COUNTA([4]characters!$A:$A),MATCH(N$1,[4]characters!$1:$1,0)-MATCH($J$1,[4]characters!$1:$1,0)+2),MATCH(N$1,[4]characters!$1:$1,0)-MATCH($J$1,[4]characters!$1:$1,0)+2,FALSE)</f>
        <v>ヒューマン</v>
      </c>
      <c r="O41" s="5">
        <f ca="1">VLOOKUP($J41,OFFSET([3]enemies!$A$1,0,0,COUNTA([3]enemies!$A:$A),MATCH(O$1,[3]enemies!$1:$1,0)-MATCH($J$1,[3]enemies!$1:$1,0)+1),MATCH(O$1,[3]enemies!$1:$1,0)-MATCH($J$1,[3]enemies!$1:$1,0)+1,FALSE)</f>
        <v>20</v>
      </c>
      <c r="P41" s="45">
        <v>17</v>
      </c>
      <c r="Q41" s="43">
        <v>2</v>
      </c>
      <c r="R41" s="43">
        <v>1</v>
      </c>
      <c r="S41" s="6">
        <v>0</v>
      </c>
      <c r="T41" s="5" t="str">
        <f ca="1">VLOOKUP($U41,OFFSET([5]enemy_skill_sets!$B$1,0,0,COUNTA([5]enemy_skill_sets!$B:$B),MATCH(K$1,[5]enemy_skill_sets!$1:$1,0)-MATCH($U$1,[5]enemy_skill_sets!$1:$1,0)+2),MATCH(K$1,[5]enemy_skill_sets!$1:$1,0)-MATCH($U$1,[5]enemy_skill_sets!$1:$1,0)+2,FALSE)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41" s="5">
        <f ca="1">VLOOKUP($J41,OFFSET([3]enemies!$A$1,0,0,COUNTA([3]enemies!$A:$A),MATCH(U$1,[3]enemies!$1:$1,0)-MATCH($J$1,[3]enemies!$1:$1,0)+1),MATCH(U$1,[3]enemies!$1:$1,0)-MATCH($J$1,[3]enemies!$1:$1,0)+1,FALSE)</f>
        <v>0</v>
      </c>
      <c r="V41" s="7">
        <v>1</v>
      </c>
      <c r="W41" s="7">
        <v>100</v>
      </c>
      <c r="X41" s="7">
        <v>1</v>
      </c>
      <c r="Y41" s="20">
        <f ca="1">VLOOKUP($J41,OFFSET([3]enemies!$A$1,0,0,COUNTA([3]enemies!$A:$A),MATCH(Y$1,[3]enemies!$1:$1,0)-MATCH($J$1,[3]enemies!$1:$1,0)+1),MATCH(Y$1,[3]enemies!$1:$1,0)-MATCH($J$1,[3]enemies!$1:$1,0)+1,FALSE)</f>
        <v>3</v>
      </c>
      <c r="Z41" s="29">
        <v>132</v>
      </c>
      <c r="AA41" s="5" t="str">
        <f ca="1">IFERROR(VLOOKUP($Z41,OFFSET([4]characters!$A$1,0,0,COUNTA([4]characters!$A:$A),MATCH(AA$1,[4]characters!$1:$1,0)-MATCH("character_id",[4]characters!$1:$1,0)+1),MATCH(AA$1,[4]characters!$1:$1,0)-MATCH("character_id",[4]characters!$1:$1,0)+1,FALSE),"")</f>
        <v>鳥人ハヤト</v>
      </c>
      <c r="AB41" s="5">
        <f ca="1">IFERROR(VLOOKUP($Z41,OFFSET([4]characters!$A$1,0,0,COUNTA([4]characters!$A:$A),MATCH(AB$1,[4]characters!$1:$1,0)-MATCH("character_id",[4]characters!$1:$1,0)+1),MATCH(AB$1,[4]characters!$1:$1,0)-MATCH("character_id",[4]characters!$1:$1,0)+1,FALSE),"")</f>
        <v>3</v>
      </c>
      <c r="AC41" s="5" t="str">
        <f ca="1">IFERROR(VLOOKUP($Z41,OFFSET([4]characters!$A$1,0,0,COUNTA([4]characters!$A:$A),MATCH(AC$1,[4]characters!$1:$1,0)-MATCH("character_id",[4]characters!$1:$1,0)+1),MATCH(AC$1,[4]characters!$1:$1,0)-MATCH("character_id",[4]characters!$1:$1,0)+1,FALSE),"")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41" s="8">
        <v>1</v>
      </c>
      <c r="AE41" s="28">
        <f t="shared" ca="1" si="25"/>
        <v>3</v>
      </c>
      <c r="AF41" s="9">
        <v>0</v>
      </c>
      <c r="AG41" s="8">
        <v>0</v>
      </c>
      <c r="AH41" s="8">
        <v>0</v>
      </c>
      <c r="AI41" s="8">
        <v>0</v>
      </c>
      <c r="AJ41" s="8">
        <v>0</v>
      </c>
      <c r="AK41" s="8">
        <v>1</v>
      </c>
      <c r="AL41" s="8">
        <v>1</v>
      </c>
    </row>
    <row r="42" spans="1:38" ht="20" customHeight="1" x14ac:dyDescent="0.15">
      <c r="A42" s="17" t="str">
        <f t="shared" ref="A42" ca="1" si="32">B42&amp;"_"&amp;C42&amp;"-"&amp;G42&amp;"/"&amp;J42&amp;"&lt;lv"&amp;P42&amp;"&gt;s"&amp;Y42</f>
        <v>13101_5-1/49&lt;lv17&gt;s2</v>
      </c>
      <c r="B42" s="26">
        <v>13101</v>
      </c>
      <c r="C42" s="25">
        <v>5</v>
      </c>
      <c r="D42" s="2" t="str">
        <f t="shared" ref="D42" si="33">B42&amp;"_"&amp;C42</f>
        <v>13101_5</v>
      </c>
      <c r="E42" s="5" t="str">
        <f ca="1">VLOOKUP($B42,OFFSET([2]quests!$A$1,0,0,COUNTA([2]quests!$A:$A),MATCH(E$1,[2]quests!$1:$1,0)-MATCH($B$1,[2]quests!$1:$1,0)+1),MATCH(E$1,[2]quests!$1:$1,0)-MATCH($B$1,[2]quests!$1:$1,0)+1,FALSE)</f>
        <v>チャレンジタワー</v>
      </c>
      <c r="F42" s="5" t="e">
        <f ca="1">VLOOKUP($D42,OFFSET([2]stages!$A$1,0,0,COUNTA([2]stages!$A:$A),MATCH(F$1,[2]stages!$1:$1,0)-MATCH($D$1,[2]stages!$1:$1,0)+1),MATCH(F$1,[2]stages!$1:$1,0)-MATCH($D$1,[2]stages!$1:$1,0)+1,FALSE)</f>
        <v>#N/A</v>
      </c>
      <c r="G42" s="30">
        <v>1</v>
      </c>
      <c r="H42" s="16" t="str">
        <f t="shared" ref="H42" si="34">B42&amp;"_"&amp;C42&amp;"-"&amp;G42</f>
        <v>13101_5-1</v>
      </c>
      <c r="I42" s="39" t="s">
        <v>245</v>
      </c>
      <c r="J42" s="39">
        <v>49</v>
      </c>
      <c r="K42" s="20" t="str">
        <f ca="1">VLOOKUP($J42,OFFSET([3]enemies!$A$1,0,0,COUNTA([3]enemies!$A:$A),MATCH(K$1,[3]enemies!$1:$1,0)-MATCH($J$1,[3]enemies!$1:$1,0)+1),MATCH(K$1,[3]enemies!$1:$1,0)-MATCH($J$1,[3]enemies!$1:$1,0)+1,FALSE)</f>
        <v>ヨシタカ</v>
      </c>
      <c r="L42" s="23" t="str">
        <f ca="1">VLOOKUP($J42,OFFSET([3]enemies!$A$1,0,0,COUNTA([3]enemies!$A:$A),MATCH(L$1,[3]enemies!$1:$1,0)-MATCH($J$1,[3]enemies!$1:$1,0)+1),MATCH(L$1,[3]enemies!$1:$1,0)-MATCH($J$1,[3]enemies!$1:$1,0)+1,FALSE)</f>
        <v>red</v>
      </c>
      <c r="M42" s="23" t="str">
        <f ca="1">VLOOKUP($J42,OFFSET([4]characters!$A$1,0,0,COUNTA([4]characters!$A:$A),MATCH(M$1,[4]characters!$1:$1,0)-MATCH($J$1,[4]characters!$1:$1,0)+1),MATCH(M$1,[4]characters!$1:$1,0)-MATCH($J$1,[4]characters!$1:$1,0)+1,FALSE)</f>
        <v>Drop1N</v>
      </c>
      <c r="N42" s="22" t="str">
        <f ca="1">VLOOKUP($J42,OFFSET([4]characters!$A$1,0,0,COUNTA([4]characters!$A:$A),MATCH(N$1,[4]characters!$1:$1,0)-MATCH($J$1,[4]characters!$1:$1,0)+2),MATCH(N$1,[4]characters!$1:$1,0)-MATCH($J$1,[4]characters!$1:$1,0)+2,FALSE)</f>
        <v>ヒューマン</v>
      </c>
      <c r="O42" s="5">
        <f ca="1">VLOOKUP($J42,OFFSET([3]enemies!$A$1,0,0,COUNTA([3]enemies!$A:$A),MATCH(O$1,[3]enemies!$1:$1,0)-MATCH($J$1,[3]enemies!$1:$1,0)+1),MATCH(O$1,[3]enemies!$1:$1,0)-MATCH($J$1,[3]enemies!$1:$1,0)+1,FALSE)</f>
        <v>15</v>
      </c>
      <c r="P42" s="45">
        <v>17</v>
      </c>
      <c r="Q42" s="43">
        <v>1.5</v>
      </c>
      <c r="R42" s="43">
        <v>1</v>
      </c>
      <c r="S42" s="6">
        <v>0</v>
      </c>
      <c r="T42" s="5" t="str">
        <f ca="1">VLOOKUP($U42,OFFSET([5]enemy_skill_sets!$B$1,0,0,COUNTA([5]enemy_skill_sets!$B:$B),MATCH(K$1,[5]enemy_skill_sets!$1:$1,0)-MATCH($U$1,[5]enemy_skill_sets!$1:$1,0)+2),MATCH(K$1,[5]enemy_skill_sets!$1:$1,0)-MATCH($U$1,[5]enemy_skill_sets!$1:$1,0)+2,FALSE)</f>
        <v>3ターンの間ダメージを受ける</v>
      </c>
      <c r="U42" s="5">
        <f ca="1">VLOOKUP($J42,OFFSET([3]enemies!$A$1,0,0,COUNTA([3]enemies!$A:$A),MATCH(U$1,[3]enemies!$1:$1,0)-MATCH($J$1,[3]enemies!$1:$1,0)+1),MATCH(U$1,[3]enemies!$1:$1,0)-MATCH($J$1,[3]enemies!$1:$1,0)+1,FALSE)</f>
        <v>49</v>
      </c>
      <c r="V42" s="7">
        <v>1</v>
      </c>
      <c r="W42" s="7">
        <v>100</v>
      </c>
      <c r="X42" s="7">
        <v>0</v>
      </c>
      <c r="Y42" s="20">
        <f ca="1">VLOOKUP($J42,OFFSET([3]enemies!$A$1,0,0,COUNTA([3]enemies!$A:$A),MATCH(Y$1,[3]enemies!$1:$1,0)-MATCH($J$1,[3]enemies!$1:$1,0)+1),MATCH(Y$1,[3]enemies!$1:$1,0)-MATCH($J$1,[3]enemies!$1:$1,0)+1,FALSE)</f>
        <v>2</v>
      </c>
      <c r="Z42" s="29">
        <v>49</v>
      </c>
      <c r="AA42" s="5" t="str">
        <f ca="1">IFERROR(VLOOKUP($Z42,OFFSET([4]characters!$A$1,0,0,COUNTA([4]characters!$A:$A),MATCH(AA$1,[4]characters!$1:$1,0)-MATCH("character_id",[4]characters!$1:$1,0)+1),MATCH(AA$1,[4]characters!$1:$1,0)-MATCH("character_id",[4]characters!$1:$1,0)+1,FALSE),"")</f>
        <v>ヨシタカ</v>
      </c>
      <c r="AB42" s="5">
        <f ca="1">IFERROR(VLOOKUP($Z42,OFFSET([4]characters!$A$1,0,0,COUNTA([4]characters!$A:$A),MATCH(AB$1,[4]characters!$1:$1,0)-MATCH("character_id",[4]characters!$1:$1,0)+1),MATCH(AB$1,[4]characters!$1:$1,0)-MATCH("character_id",[4]characters!$1:$1,0)+1,FALSE),"")</f>
        <v>2</v>
      </c>
      <c r="AC42" s="5" t="str">
        <f ca="1">IFERROR(VLOOKUP($Z42,OFFSET([4]characters!$A$1,0,0,COUNTA([4]characters!$A:$A),MATCH(AC$1,[4]characters!$1:$1,0)-MATCH("character_id",[4]characters!$1:$1,0)+1),MATCH(AC$1,[4]characters!$1:$1,0)-MATCH("character_id",[4]characters!$1:$1,0)+1,FALSE),"")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42" s="8">
        <v>1</v>
      </c>
      <c r="AE42" s="28">
        <f t="shared" ref="AE42" ca="1" si="35">AB42</f>
        <v>2</v>
      </c>
      <c r="AF42" s="9">
        <v>0</v>
      </c>
      <c r="AG42" s="8">
        <v>0</v>
      </c>
      <c r="AH42" s="8">
        <v>0</v>
      </c>
      <c r="AI42" s="8">
        <v>0</v>
      </c>
      <c r="AJ42" s="8">
        <v>0</v>
      </c>
      <c r="AK42" s="8">
        <v>1</v>
      </c>
      <c r="AL42" s="8">
        <v>1</v>
      </c>
    </row>
    <row r="43" spans="1:38" ht="20" customHeight="1" x14ac:dyDescent="0.15">
      <c r="A43" s="17" t="str">
        <f t="shared" ref="A43" ca="1" si="36">B43&amp;"_"&amp;C43&amp;"-"&amp;G43&amp;"/"&amp;J43&amp;"&lt;lv"&amp;P43&amp;"&gt;s"&amp;Y43</f>
        <v>13101_5-1/53&lt;lv17&gt;s2</v>
      </c>
      <c r="B43" s="26">
        <v>13101</v>
      </c>
      <c r="C43" s="25">
        <v>5</v>
      </c>
      <c r="D43" s="2" t="str">
        <f t="shared" ref="D43" si="37">B43&amp;"_"&amp;C43</f>
        <v>13101_5</v>
      </c>
      <c r="E43" s="5" t="str">
        <f ca="1">VLOOKUP($B43,OFFSET([2]quests!$A$1,0,0,COUNTA([2]quests!$A:$A),MATCH(E$1,[2]quests!$1:$1,0)-MATCH($B$1,[2]quests!$1:$1,0)+1),MATCH(E$1,[2]quests!$1:$1,0)-MATCH($B$1,[2]quests!$1:$1,0)+1,FALSE)</f>
        <v>チャレンジタワー</v>
      </c>
      <c r="F43" s="5" t="e">
        <f ca="1">VLOOKUP($D43,OFFSET([2]stages!$A$1,0,0,COUNTA([2]stages!$A:$A),MATCH(F$1,[2]stages!$1:$1,0)-MATCH($D$1,[2]stages!$1:$1,0)+1),MATCH(F$1,[2]stages!$1:$1,0)-MATCH($D$1,[2]stages!$1:$1,0)+1,FALSE)</f>
        <v>#N/A</v>
      </c>
      <c r="G43" s="30">
        <v>1</v>
      </c>
      <c r="H43" s="16" t="str">
        <f t="shared" ref="H43" si="38">B43&amp;"_"&amp;C43&amp;"-"&amp;G43</f>
        <v>13101_5-1</v>
      </c>
      <c r="I43" s="39" t="s">
        <v>245</v>
      </c>
      <c r="J43" s="39">
        <v>53</v>
      </c>
      <c r="K43" s="20" t="str">
        <f ca="1">VLOOKUP($J43,OFFSET([3]enemies!$A$1,0,0,COUNTA([3]enemies!$A:$A),MATCH(K$1,[3]enemies!$1:$1,0)-MATCH($J$1,[3]enemies!$1:$1,0)+1),MATCH(K$1,[3]enemies!$1:$1,0)-MATCH($J$1,[3]enemies!$1:$1,0)+1,FALSE)</f>
        <v>ケンジ</v>
      </c>
      <c r="L43" s="23" t="str">
        <f ca="1">VLOOKUP($J43,OFFSET([3]enemies!$A$1,0,0,COUNTA([3]enemies!$A:$A),MATCH(L$1,[3]enemies!$1:$1,0)-MATCH($J$1,[3]enemies!$1:$1,0)+1),MATCH(L$1,[3]enemies!$1:$1,0)-MATCH($J$1,[3]enemies!$1:$1,0)+1,FALSE)</f>
        <v>blue</v>
      </c>
      <c r="M43" s="23" t="str">
        <f ca="1">VLOOKUP($J43,OFFSET([4]characters!$A$1,0,0,COUNTA([4]characters!$A:$A),MATCH(M$1,[4]characters!$1:$1,0)-MATCH($J$1,[4]characters!$1:$1,0)+1),MATCH(M$1,[4]characters!$1:$1,0)-MATCH($J$1,[4]characters!$1:$1,0)+1,FALSE)</f>
        <v>Drop1N</v>
      </c>
      <c r="N43" s="22" t="str">
        <f ca="1">VLOOKUP($J43,OFFSET([4]characters!$A$1,0,0,COUNTA([4]characters!$A:$A),MATCH(N$1,[4]characters!$1:$1,0)-MATCH($J$1,[4]characters!$1:$1,0)+2),MATCH(N$1,[4]characters!$1:$1,0)-MATCH($J$1,[4]characters!$1:$1,0)+2,FALSE)</f>
        <v>ヒューマン</v>
      </c>
      <c r="O43" s="5">
        <f ca="1">VLOOKUP($J43,OFFSET([3]enemies!$A$1,0,0,COUNTA([3]enemies!$A:$A),MATCH(O$1,[3]enemies!$1:$1,0)-MATCH($J$1,[3]enemies!$1:$1,0)+1),MATCH(O$1,[3]enemies!$1:$1,0)-MATCH($J$1,[3]enemies!$1:$1,0)+1,FALSE)</f>
        <v>15</v>
      </c>
      <c r="P43" s="45">
        <v>17</v>
      </c>
      <c r="Q43" s="43">
        <v>1.5</v>
      </c>
      <c r="R43" s="43">
        <v>1</v>
      </c>
      <c r="S43" s="6">
        <v>0</v>
      </c>
      <c r="T43" s="5" t="str">
        <f ca="1">VLOOKUP($U43,OFFSET([5]enemy_skill_sets!$B$1,0,0,COUNTA([5]enemy_skill_sets!$B:$B),MATCH(K$1,[5]enemy_skill_sets!$1:$1,0)-MATCH($U$1,[5]enemy_skill_sets!$1:$1,0)+2),MATCH(K$1,[5]enemy_skill_sets!$1:$1,0)-MATCH($U$1,[5]enemy_skill_sets!$1:$1,0)+2,FALSE)</f>
        <v>効いてしまうと２ターン行動できない</v>
      </c>
      <c r="U43" s="5">
        <f ca="1">VLOOKUP($J43,OFFSET([3]enemies!$A$1,0,0,COUNTA([3]enemies!$A:$A),MATCH(U$1,[3]enemies!$1:$1,0)-MATCH($J$1,[3]enemies!$1:$1,0)+1),MATCH(U$1,[3]enemies!$1:$1,0)-MATCH($J$1,[3]enemies!$1:$1,0)+1,FALSE)</f>
        <v>53</v>
      </c>
      <c r="V43" s="7">
        <v>1</v>
      </c>
      <c r="W43" s="7">
        <v>100</v>
      </c>
      <c r="X43" s="7">
        <v>0</v>
      </c>
      <c r="Y43" s="20">
        <f ca="1">VLOOKUP($J43,OFFSET([3]enemies!$A$1,0,0,COUNTA([3]enemies!$A:$A),MATCH(Y$1,[3]enemies!$1:$1,0)-MATCH($J$1,[3]enemies!$1:$1,0)+1),MATCH(Y$1,[3]enemies!$1:$1,0)-MATCH($J$1,[3]enemies!$1:$1,0)+1,FALSE)</f>
        <v>2</v>
      </c>
      <c r="Z43" s="29">
        <v>53</v>
      </c>
      <c r="AA43" s="5" t="str">
        <f ca="1">IFERROR(VLOOKUP($Z43,OFFSET([4]characters!$A$1,0,0,COUNTA([4]characters!$A:$A),MATCH(AA$1,[4]characters!$1:$1,0)-MATCH("character_id",[4]characters!$1:$1,0)+1),MATCH(AA$1,[4]characters!$1:$1,0)-MATCH("character_id",[4]characters!$1:$1,0)+1,FALSE),"")</f>
        <v>ケンジ</v>
      </c>
      <c r="AB43" s="5">
        <f ca="1">IFERROR(VLOOKUP($Z43,OFFSET([4]characters!$A$1,0,0,COUNTA([4]characters!$A:$A),MATCH(AB$1,[4]characters!$1:$1,0)-MATCH("character_id",[4]characters!$1:$1,0)+1),MATCH(AB$1,[4]characters!$1:$1,0)-MATCH("character_id",[4]characters!$1:$1,0)+1,FALSE),"")</f>
        <v>2</v>
      </c>
      <c r="AC43" s="5" t="str">
        <f ca="1">IFERROR(VLOOKUP($Z43,OFFSET([4]characters!$A$1,0,0,COUNTA([4]characters!$A:$A),MATCH(AC$1,[4]characters!$1:$1,0)-MATCH("character_id",[4]characters!$1:$1,0)+1),MATCH(AC$1,[4]characters!$1:$1,0)-MATCH("character_id",[4]characters!$1:$1,0)+1,FALSE),"")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43" s="8">
        <v>1</v>
      </c>
      <c r="AE43" s="28">
        <f t="shared" ref="AE43" ca="1" si="39">AB43</f>
        <v>2</v>
      </c>
      <c r="AF43" s="9">
        <v>0</v>
      </c>
      <c r="AG43" s="8">
        <v>0</v>
      </c>
      <c r="AH43" s="8">
        <v>0</v>
      </c>
      <c r="AI43" s="8">
        <v>0</v>
      </c>
      <c r="AJ43" s="8">
        <v>0</v>
      </c>
      <c r="AK43" s="8">
        <v>1</v>
      </c>
      <c r="AL43" s="8">
        <v>1</v>
      </c>
    </row>
    <row r="44" spans="1:38" ht="21" customHeight="1" x14ac:dyDescent="0.15">
      <c r="A44" s="17" t="str">
        <f t="shared" ref="A44" ca="1" si="40">B44&amp;"_"&amp;C44&amp;"-"&amp;G44&amp;"/"&amp;J44&amp;"&lt;lv"&amp;P44&amp;"&gt;s"&amp;Y44</f>
        <v>13101_6-1/13&lt;lv17&gt;s2</v>
      </c>
      <c r="B44" s="26">
        <v>13101</v>
      </c>
      <c r="C44" s="25">
        <v>6</v>
      </c>
      <c r="D44" s="2" t="str">
        <f t="shared" ref="D44" si="41">B44&amp;"_"&amp;C44</f>
        <v>13101_6</v>
      </c>
      <c r="E44" s="5" t="str">
        <f ca="1">VLOOKUP($B44,OFFSET([2]quests!$A$1,0,0,COUNTA([2]quests!$A:$A),MATCH(E$1,[2]quests!$1:$1,0)-MATCH($B$1,[2]quests!$1:$1,0)+1),MATCH(E$1,[2]quests!$1:$1,0)-MATCH($B$1,[2]quests!$1:$1,0)+1,FALSE)</f>
        <v>チャレンジタワー</v>
      </c>
      <c r="F44" s="5" t="e">
        <f ca="1">VLOOKUP($D44,OFFSET([2]stages!$A$1,0,0,COUNTA([2]stages!$A:$A),MATCH(F$1,[2]stages!$1:$1,0)-MATCH($D$1,[2]stages!$1:$1,0)+1),MATCH(F$1,[2]stages!$1:$1,0)-MATCH($D$1,[2]stages!$1:$1,0)+1,FALSE)</f>
        <v>#N/A</v>
      </c>
      <c r="G44" s="30">
        <v>1</v>
      </c>
      <c r="H44" s="16" t="str">
        <f t="shared" ref="H44:H54" si="42">B44&amp;"_"&amp;C44&amp;"-"&amp;G44</f>
        <v>13101_6-1</v>
      </c>
      <c r="I44" s="39" t="s">
        <v>245</v>
      </c>
      <c r="J44" s="39">
        <v>13</v>
      </c>
      <c r="K44" s="20" t="str">
        <f ca="1">VLOOKUP($J44,OFFSET([3]enemies!$A$1,0,0,COUNTA([3]enemies!$A:$A),MATCH(K$1,[3]enemies!$1:$1,0)-MATCH($J$1,[3]enemies!$1:$1,0)+1),MATCH(K$1,[3]enemies!$1:$1,0)-MATCH($J$1,[3]enemies!$1:$1,0)+1,FALSE)</f>
        <v>ミミ</v>
      </c>
      <c r="L44" s="23" t="str">
        <f ca="1">VLOOKUP($J44,OFFSET([3]enemies!$A$1,0,0,COUNTA([3]enemies!$A:$A),MATCH(L$1,[3]enemies!$1:$1,0)-MATCH($J$1,[3]enemies!$1:$1,0)+1),MATCH(L$1,[3]enemies!$1:$1,0)-MATCH($J$1,[3]enemies!$1:$1,0)+1,FALSE)</f>
        <v>yellow</v>
      </c>
      <c r="M44" s="23" t="str">
        <f ca="1">VLOOKUP($J44,OFFSET([4]characters!$A$1,0,0,COUNTA([4]characters!$A:$A),MATCH(M$1,[4]characters!$1:$1,0)-MATCH($J$1,[4]characters!$1:$1,0)+1),MATCH(M$1,[4]characters!$1:$1,0)-MATCH($J$1,[4]characters!$1:$1,0)+1,FALSE)</f>
        <v>Drop1W</v>
      </c>
      <c r="N44" s="22" t="str">
        <f ca="1">VLOOKUP($J44,OFFSET([4]characters!$A$1,0,0,COUNTA([4]characters!$A:$A),MATCH(N$1,[4]characters!$1:$1,0)-MATCH($J$1,[4]characters!$1:$1,0)+2),MATCH(N$1,[4]characters!$1:$1,0)-MATCH($J$1,[4]characters!$1:$1,0)+2,FALSE)</f>
        <v>アニマル</v>
      </c>
      <c r="O44" s="5">
        <f ca="1">VLOOKUP($J44,OFFSET([3]enemies!$A$1,0,0,COUNTA([3]enemies!$A:$A),MATCH(O$1,[3]enemies!$1:$1,0)-MATCH($J$1,[3]enemies!$1:$1,0)+1),MATCH(O$1,[3]enemies!$1:$1,0)-MATCH($J$1,[3]enemies!$1:$1,0)+1,FALSE)</f>
        <v>15</v>
      </c>
      <c r="P44" s="45">
        <v>17</v>
      </c>
      <c r="Q44" s="43">
        <v>1</v>
      </c>
      <c r="R44" s="43">
        <v>1</v>
      </c>
      <c r="S44" s="6">
        <v>0</v>
      </c>
      <c r="T44" s="5" t="str">
        <f ca="1">VLOOKUP($U44,OFFSET([5]enemy_skill_sets!$B$1,0,0,COUNTA([5]enemy_skill_sets!$B:$B),MATCH(K$1,[5]enemy_skill_sets!$1:$1,0)-MATCH($U$1,[5]enemy_skill_sets!$1:$1,0)+2),MATCH(K$1,[5]enemy_skill_sets!$1:$1,0)-MATCH($U$1,[5]enemy_skill_sets!$1:$1,0)+2,FALSE)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44" s="5">
        <f ca="1">VLOOKUP($J44,OFFSET([3]enemies!$A$1,0,0,COUNTA([3]enemies!$A:$A),MATCH(U$1,[3]enemies!$1:$1,0)-MATCH($J$1,[3]enemies!$1:$1,0)+1),MATCH(U$1,[3]enemies!$1:$1,0)-MATCH($J$1,[3]enemies!$1:$1,0)+1,FALSE)</f>
        <v>0</v>
      </c>
      <c r="V44" s="7">
        <v>2</v>
      </c>
      <c r="W44" s="7">
        <v>100</v>
      </c>
      <c r="X44" s="7">
        <v>0</v>
      </c>
      <c r="Y44" s="20">
        <f ca="1">VLOOKUP($J44,OFFSET([3]enemies!$A$1,0,0,COUNTA([3]enemies!$A:$A),MATCH(Y$1,[3]enemies!$1:$1,0)-MATCH($J$1,[3]enemies!$1:$1,0)+1),MATCH(Y$1,[3]enemies!$1:$1,0)-MATCH($J$1,[3]enemies!$1:$1,0)+1,FALSE)</f>
        <v>2</v>
      </c>
      <c r="Z44" s="29">
        <v>13</v>
      </c>
      <c r="AA44" s="5" t="str">
        <f ca="1">IFERROR(VLOOKUP($Z44,OFFSET([4]characters!$A$1,0,0,COUNTA([4]characters!$A:$A),MATCH(AA$1,[4]characters!$1:$1,0)-MATCH("character_id",[4]characters!$1:$1,0)+1),MATCH(AA$1,[4]characters!$1:$1,0)-MATCH("character_id",[4]characters!$1:$1,0)+1,FALSE),"")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44" s="5">
        <f ca="1">IFERROR(VLOOKUP($Z44,OFFSET([4]characters!$A$1,0,0,COUNTA([4]characters!$A:$A),MATCH(AB$1,[4]characters!$1:$1,0)-MATCH("character_id",[4]characters!$1:$1,0)+1),MATCH(AB$1,[4]characters!$1:$1,0)-MATCH("character_id",[4]characters!$1:$1,0)+1,FALSE),"")</f>
        <v>1</v>
      </c>
      <c r="AC44" s="5" t="str">
        <f ca="1">IFERROR(VLOOKUP($Z44,OFFSET([4]characters!$A$1,0,0,COUNTA([4]characters!$A:$A),MATCH(AC$1,[4]characters!$1:$1,0)-MATCH("character_id",[4]characters!$1:$1,0)+1),MATCH(AC$1,[4]characters!$1:$1,0)-MATCH("character_id",[4]characters!$1:$1,0)+1,FALSE),"")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44" s="8">
        <v>3</v>
      </c>
      <c r="AE44" s="28">
        <f t="shared" ref="AE44" ca="1" si="43">AB44</f>
        <v>1</v>
      </c>
      <c r="AF44" s="9">
        <v>25</v>
      </c>
      <c r="AG44" s="8">
        <v>0</v>
      </c>
      <c r="AH44" s="8">
        <v>0</v>
      </c>
      <c r="AI44" s="8">
        <v>0</v>
      </c>
      <c r="AJ44" s="8">
        <v>0</v>
      </c>
      <c r="AK44" s="8">
        <v>1</v>
      </c>
      <c r="AL44" s="8">
        <v>1</v>
      </c>
    </row>
    <row r="45" spans="1:38" ht="21" customHeight="1" x14ac:dyDescent="0.15">
      <c r="A45" s="17" t="str">
        <f t="shared" ref="A45:A56" ca="1" si="44">B45&amp;"_"&amp;C45&amp;"-"&amp;G45&amp;"/"&amp;J45&amp;"&lt;lv"&amp;P45&amp;"&gt;s"&amp;Y45</f>
        <v>13101_6-1/19&lt;lv17&gt;s3</v>
      </c>
      <c r="B45" s="26">
        <v>13101</v>
      </c>
      <c r="C45" s="25">
        <v>6</v>
      </c>
      <c r="D45" s="2" t="str">
        <f t="shared" ref="D45:D56" si="45">B45&amp;"_"&amp;C45</f>
        <v>13101_6</v>
      </c>
      <c r="E45" s="5" t="str">
        <f ca="1">VLOOKUP($B45,OFFSET([2]quests!$A$1,0,0,COUNTA([2]quests!$A:$A),MATCH(E$1,[2]quests!$1:$1,0)-MATCH($B$1,[2]quests!$1:$1,0)+1),MATCH(E$1,[2]quests!$1:$1,0)-MATCH($B$1,[2]quests!$1:$1,0)+1,FALSE)</f>
        <v>チャレンジタワー</v>
      </c>
      <c r="F45" s="5" t="e">
        <f ca="1">VLOOKUP($D45,OFFSET([2]stages!$A$1,0,0,COUNTA([2]stages!$A:$A),MATCH(F$1,[2]stages!$1:$1,0)-MATCH($D$1,[2]stages!$1:$1,0)+1),MATCH(F$1,[2]stages!$1:$1,0)-MATCH($D$1,[2]stages!$1:$1,0)+1,FALSE)</f>
        <v>#N/A</v>
      </c>
      <c r="G45" s="30">
        <v>1</v>
      </c>
      <c r="H45" s="16" t="str">
        <f t="shared" si="42"/>
        <v>13101_6-1</v>
      </c>
      <c r="I45" s="39" t="s">
        <v>245</v>
      </c>
      <c r="J45" s="39">
        <v>19</v>
      </c>
      <c r="K45" s="20" t="str">
        <f ca="1">VLOOKUP($J45,OFFSET([3]enemies!$A$1,0,0,COUNTA([3]enemies!$A:$A),MATCH(K$1,[3]enemies!$1:$1,0)-MATCH($J$1,[3]enemies!$1:$1,0)+1),MATCH(K$1,[3]enemies!$1:$1,0)-MATCH($J$1,[3]enemies!$1:$1,0)+1,FALSE)</f>
        <v>ティンク</v>
      </c>
      <c r="L45" s="23" t="str">
        <f ca="1">VLOOKUP($J45,OFFSET([3]enemies!$A$1,0,0,COUNTA([3]enemies!$A:$A),MATCH(L$1,[3]enemies!$1:$1,0)-MATCH($J$1,[3]enemies!$1:$1,0)+1),MATCH(L$1,[3]enemies!$1:$1,0)-MATCH($J$1,[3]enemies!$1:$1,0)+1,FALSE)</f>
        <v>yellow</v>
      </c>
      <c r="M45" s="23" t="str">
        <f ca="1">VLOOKUP($J45,OFFSET([4]characters!$A$1,0,0,COUNTA([4]characters!$A:$A),MATCH(M$1,[4]characters!$1:$1,0)-MATCH($J$1,[4]characters!$1:$1,0)+1),MATCH(M$1,[4]characters!$1:$1,0)-MATCH($J$1,[4]characters!$1:$1,0)+1,FALSE)</f>
        <v>Drop1W</v>
      </c>
      <c r="N45" s="22" t="str">
        <f ca="1">VLOOKUP($J45,OFFSET([4]characters!$A$1,0,0,COUNTA([4]characters!$A:$A),MATCH(N$1,[4]characters!$1:$1,0)-MATCH($J$1,[4]characters!$1:$1,0)+2),MATCH(N$1,[4]characters!$1:$1,0)-MATCH($J$1,[4]characters!$1:$1,0)+2,FALSE)</f>
        <v>ヒューマン</v>
      </c>
      <c r="O45" s="5">
        <f ca="1">VLOOKUP($J45,OFFSET([3]enemies!$A$1,0,0,COUNTA([3]enemies!$A:$A),MATCH(O$1,[3]enemies!$1:$1,0)-MATCH($J$1,[3]enemies!$1:$1,0)+1),MATCH(O$1,[3]enemies!$1:$1,0)-MATCH($J$1,[3]enemies!$1:$1,0)+1,FALSE)</f>
        <v>15</v>
      </c>
      <c r="P45" s="45">
        <v>17</v>
      </c>
      <c r="Q45" s="43">
        <v>1</v>
      </c>
      <c r="R45" s="43">
        <v>1</v>
      </c>
      <c r="S45" s="6">
        <v>0</v>
      </c>
      <c r="T45" s="5" t="str">
        <f ca="1">VLOOKUP($U45,OFFSET([5]enemy_skill_sets!$B$1,0,0,COUNTA([5]enemy_skill_sets!$B:$B),MATCH(K$1,[5]enemy_skill_sets!$1:$1,0)-MATCH($U$1,[5]enemy_skill_sets!$1:$1,0)+2),MATCH(K$1,[5]enemy_skill_sets!$1:$1,0)-MATCH($U$1,[5]enemy_skill_sets!$1:$1,0)+2,FALSE)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45" s="5">
        <f ca="1">VLOOKUP($J45,OFFSET([3]enemies!$A$1,0,0,COUNTA([3]enemies!$A:$A),MATCH(U$1,[3]enemies!$1:$1,0)-MATCH($J$1,[3]enemies!$1:$1,0)+1),MATCH(U$1,[3]enemies!$1:$1,0)-MATCH($J$1,[3]enemies!$1:$1,0)+1,FALSE)</f>
        <v>0</v>
      </c>
      <c r="V45" s="7">
        <v>1</v>
      </c>
      <c r="W45" s="7">
        <v>100</v>
      </c>
      <c r="X45" s="7">
        <v>1</v>
      </c>
      <c r="Y45" s="20">
        <f ca="1">VLOOKUP($J45,OFFSET([3]enemies!$A$1,0,0,COUNTA([3]enemies!$A:$A),MATCH(Y$1,[3]enemies!$1:$1,0)-MATCH($J$1,[3]enemies!$1:$1,0)+1),MATCH(Y$1,[3]enemies!$1:$1,0)-MATCH($J$1,[3]enemies!$1:$1,0)+1,FALSE)</f>
        <v>3</v>
      </c>
      <c r="Z45" s="29">
        <v>19</v>
      </c>
      <c r="AA45" s="5" t="str">
        <f ca="1">IFERROR(VLOOKUP($Z45,OFFSET([4]characters!$A$1,0,0,COUNTA([4]characters!$A:$A),MATCH(AA$1,[4]characters!$1:$1,0)-MATCH("character_id",[4]characters!$1:$1,0)+1),MATCH(AA$1,[4]characters!$1:$1,0)-MATCH("character_id",[4]characters!$1:$1,0)+1,FALSE),"")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45" s="5">
        <f ca="1">IFERROR(VLOOKUP($Z45,OFFSET([4]characters!$A$1,0,0,COUNTA([4]characters!$A:$A),MATCH(AB$1,[4]characters!$1:$1,0)-MATCH("character_id",[4]characters!$1:$1,0)+1),MATCH(AB$1,[4]characters!$1:$1,0)-MATCH("character_id",[4]characters!$1:$1,0)+1,FALSE),"")</f>
        <v>1</v>
      </c>
      <c r="AC45" s="5" t="str">
        <f ca="1">IFERROR(VLOOKUP($Z45,OFFSET([4]characters!$A$1,0,0,COUNTA([4]characters!$A:$A),MATCH(AC$1,[4]characters!$1:$1,0)-MATCH("character_id",[4]characters!$1:$1,0)+1),MATCH(AC$1,[4]characters!$1:$1,0)-MATCH("character_id",[4]characters!$1:$1,0)+1,FALSE),"")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45" s="8">
        <v>3</v>
      </c>
      <c r="AE45" s="28">
        <f t="shared" ref="AE45:AE56" ca="1" si="46">AB45</f>
        <v>1</v>
      </c>
      <c r="AF45" s="9">
        <v>25</v>
      </c>
      <c r="AG45" s="8">
        <v>0</v>
      </c>
      <c r="AH45" s="8">
        <v>0</v>
      </c>
      <c r="AI45" s="8">
        <v>0</v>
      </c>
      <c r="AJ45" s="8">
        <v>0</v>
      </c>
      <c r="AK45" s="8">
        <v>1</v>
      </c>
      <c r="AL45" s="8">
        <v>1</v>
      </c>
    </row>
    <row r="46" spans="1:38" ht="21" customHeight="1" x14ac:dyDescent="0.15">
      <c r="A46" s="17" t="str">
        <f t="shared" ca="1" si="44"/>
        <v>13101_6-2/19&lt;lv17&gt;s3</v>
      </c>
      <c r="B46" s="26">
        <v>13101</v>
      </c>
      <c r="C46" s="25">
        <v>6</v>
      </c>
      <c r="D46" s="2" t="str">
        <f t="shared" si="45"/>
        <v>13101_6</v>
      </c>
      <c r="E46" s="5" t="str">
        <f ca="1">VLOOKUP($B46,OFFSET([2]quests!$A$1,0,0,COUNTA([2]quests!$A:$A),MATCH(E$1,[2]quests!$1:$1,0)-MATCH($B$1,[2]quests!$1:$1,0)+1),MATCH(E$1,[2]quests!$1:$1,0)-MATCH($B$1,[2]quests!$1:$1,0)+1,FALSE)</f>
        <v>チャレンジタワー</v>
      </c>
      <c r="F46" s="5" t="e">
        <f ca="1">VLOOKUP($D46,OFFSET([2]stages!$A$1,0,0,COUNTA([2]stages!$A:$A),MATCH(F$1,[2]stages!$1:$1,0)-MATCH($D$1,[2]stages!$1:$1,0)+1),MATCH(F$1,[2]stages!$1:$1,0)-MATCH($D$1,[2]stages!$1:$1,0)+1,FALSE)</f>
        <v>#N/A</v>
      </c>
      <c r="G46" s="30">
        <v>2</v>
      </c>
      <c r="H46" s="16" t="str">
        <f t="shared" si="42"/>
        <v>13101_6-2</v>
      </c>
      <c r="I46" s="39" t="s">
        <v>245</v>
      </c>
      <c r="J46" s="39">
        <v>19</v>
      </c>
      <c r="K46" s="20" t="str">
        <f ca="1">VLOOKUP($J46,OFFSET([3]enemies!$A$1,0,0,COUNTA([3]enemies!$A:$A),MATCH(K$1,[3]enemies!$1:$1,0)-MATCH($J$1,[3]enemies!$1:$1,0)+1),MATCH(K$1,[3]enemies!$1:$1,0)-MATCH($J$1,[3]enemies!$1:$1,0)+1,FALSE)</f>
        <v>ティンク</v>
      </c>
      <c r="L46" s="23" t="str">
        <f ca="1">VLOOKUP($J46,OFFSET([3]enemies!$A$1,0,0,COUNTA([3]enemies!$A:$A),MATCH(L$1,[3]enemies!$1:$1,0)-MATCH($J$1,[3]enemies!$1:$1,0)+1),MATCH(L$1,[3]enemies!$1:$1,0)-MATCH($J$1,[3]enemies!$1:$1,0)+1,FALSE)</f>
        <v>yellow</v>
      </c>
      <c r="M46" s="23" t="str">
        <f ca="1">VLOOKUP($J46,OFFSET([4]characters!$A$1,0,0,COUNTA([4]characters!$A:$A),MATCH(M$1,[4]characters!$1:$1,0)-MATCH($J$1,[4]characters!$1:$1,0)+1),MATCH(M$1,[4]characters!$1:$1,0)-MATCH($J$1,[4]characters!$1:$1,0)+1,FALSE)</f>
        <v>Drop1W</v>
      </c>
      <c r="N46" s="22" t="str">
        <f ca="1">VLOOKUP($J46,OFFSET([4]characters!$A$1,0,0,COUNTA([4]characters!$A:$A),MATCH(N$1,[4]characters!$1:$1,0)-MATCH($J$1,[4]characters!$1:$1,0)+2),MATCH(N$1,[4]characters!$1:$1,0)-MATCH($J$1,[4]characters!$1:$1,0)+2,FALSE)</f>
        <v>ヒューマン</v>
      </c>
      <c r="O46" s="5">
        <f ca="1">VLOOKUP($J46,OFFSET([3]enemies!$A$1,0,0,COUNTA([3]enemies!$A:$A),MATCH(O$1,[3]enemies!$1:$1,0)-MATCH($J$1,[3]enemies!$1:$1,0)+1),MATCH(O$1,[3]enemies!$1:$1,0)-MATCH($J$1,[3]enemies!$1:$1,0)+1,FALSE)</f>
        <v>15</v>
      </c>
      <c r="P46" s="45">
        <v>17</v>
      </c>
      <c r="Q46" s="43">
        <v>1</v>
      </c>
      <c r="R46" s="43">
        <v>1</v>
      </c>
      <c r="S46" s="6">
        <v>0</v>
      </c>
      <c r="T46" s="5" t="str">
        <f ca="1">VLOOKUP($U46,OFFSET([5]enemy_skill_sets!$B$1,0,0,COUNTA([5]enemy_skill_sets!$B:$B),MATCH(K$1,[5]enemy_skill_sets!$1:$1,0)-MATCH($U$1,[5]enemy_skill_sets!$1:$1,0)+2),MATCH(K$1,[5]enemy_skill_sets!$1:$1,0)-MATCH($U$1,[5]enemy_skill_sets!$1:$1,0)+2,FALSE)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46" s="5">
        <f ca="1">VLOOKUP($J46,OFFSET([3]enemies!$A$1,0,0,COUNTA([3]enemies!$A:$A),MATCH(U$1,[3]enemies!$1:$1,0)-MATCH($J$1,[3]enemies!$1:$1,0)+1),MATCH(U$1,[3]enemies!$1:$1,0)-MATCH($J$1,[3]enemies!$1:$1,0)+1,FALSE)</f>
        <v>0</v>
      </c>
      <c r="V46" s="7">
        <v>1</v>
      </c>
      <c r="W46" s="7">
        <v>100</v>
      </c>
      <c r="X46" s="7">
        <v>1</v>
      </c>
      <c r="Y46" s="20">
        <f ca="1">VLOOKUP($J46,OFFSET([3]enemies!$A$1,0,0,COUNTA([3]enemies!$A:$A),MATCH(Y$1,[3]enemies!$1:$1,0)-MATCH($J$1,[3]enemies!$1:$1,0)+1),MATCH(Y$1,[3]enemies!$1:$1,0)-MATCH($J$1,[3]enemies!$1:$1,0)+1,FALSE)</f>
        <v>3</v>
      </c>
      <c r="Z46" s="29">
        <v>19</v>
      </c>
      <c r="AA46" s="5" t="str">
        <f ca="1">IFERROR(VLOOKUP($Z46,OFFSET([4]characters!$A$1,0,0,COUNTA([4]characters!$A:$A),MATCH(AA$1,[4]characters!$1:$1,0)-MATCH("character_id",[4]characters!$1:$1,0)+1),MATCH(AA$1,[4]characters!$1:$1,0)-MATCH("character_id",[4]characters!$1:$1,0)+1,FALSE),"")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46" s="5">
        <f ca="1">IFERROR(VLOOKUP($Z46,OFFSET([4]characters!$A$1,0,0,COUNTA([4]characters!$A:$A),MATCH(AB$1,[4]characters!$1:$1,0)-MATCH("character_id",[4]characters!$1:$1,0)+1),MATCH(AB$1,[4]characters!$1:$1,0)-MATCH("character_id",[4]characters!$1:$1,0)+1,FALSE),"")</f>
        <v>1</v>
      </c>
      <c r="AC46" s="5" t="str">
        <f ca="1">IFERROR(VLOOKUP($Z46,OFFSET([4]characters!$A$1,0,0,COUNTA([4]characters!$A:$A),MATCH(AC$1,[4]characters!$1:$1,0)-MATCH("character_id",[4]characters!$1:$1,0)+1),MATCH(AC$1,[4]characters!$1:$1,0)-MATCH("character_id",[4]characters!$1:$1,0)+1,FALSE),"")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46" s="8">
        <v>3</v>
      </c>
      <c r="AE46" s="28">
        <f t="shared" ca="1" si="46"/>
        <v>1</v>
      </c>
      <c r="AF46" s="9">
        <v>25</v>
      </c>
      <c r="AG46" s="8">
        <v>0</v>
      </c>
      <c r="AH46" s="8">
        <v>0</v>
      </c>
      <c r="AI46" s="8">
        <v>0</v>
      </c>
      <c r="AJ46" s="8">
        <v>0</v>
      </c>
      <c r="AK46" s="8">
        <v>1</v>
      </c>
      <c r="AL46" s="8">
        <v>1</v>
      </c>
    </row>
    <row r="47" spans="1:38" ht="21" customHeight="1" x14ac:dyDescent="0.15">
      <c r="A47" s="17" t="str">
        <f t="shared" ca="1" si="44"/>
        <v>13101_6-2/31&lt;lv17&gt;s2</v>
      </c>
      <c r="B47" s="26">
        <v>13101</v>
      </c>
      <c r="C47" s="25">
        <v>6</v>
      </c>
      <c r="D47" s="2" t="str">
        <f t="shared" si="45"/>
        <v>13101_6</v>
      </c>
      <c r="E47" s="5" t="str">
        <f ca="1">VLOOKUP($B47,OFFSET([2]quests!$A$1,0,0,COUNTA([2]quests!$A:$A),MATCH(E$1,[2]quests!$1:$1,0)-MATCH($B$1,[2]quests!$1:$1,0)+1),MATCH(E$1,[2]quests!$1:$1,0)-MATCH($B$1,[2]quests!$1:$1,0)+1,FALSE)</f>
        <v>チャレンジタワー</v>
      </c>
      <c r="F47" s="5" t="e">
        <f ca="1">VLOOKUP($D47,OFFSET([2]stages!$A$1,0,0,COUNTA([2]stages!$A:$A),MATCH(F$1,[2]stages!$1:$1,0)-MATCH($D$1,[2]stages!$1:$1,0)+1),MATCH(F$1,[2]stages!$1:$1,0)-MATCH($D$1,[2]stages!$1:$1,0)+1,FALSE)</f>
        <v>#N/A</v>
      </c>
      <c r="G47" s="30">
        <v>2</v>
      </c>
      <c r="H47" s="16" t="str">
        <f t="shared" si="42"/>
        <v>13101_6-2</v>
      </c>
      <c r="I47" s="39" t="s">
        <v>245</v>
      </c>
      <c r="J47" s="39">
        <v>31</v>
      </c>
      <c r="K47" s="20" t="str">
        <f ca="1">VLOOKUP($J47,OFFSET([3]enemies!$A$1,0,0,COUNTA([3]enemies!$A:$A),MATCH(K$1,[3]enemies!$1:$1,0)-MATCH($J$1,[3]enemies!$1:$1,0)+1),MATCH(K$1,[3]enemies!$1:$1,0)-MATCH($J$1,[3]enemies!$1:$1,0)+1,FALSE)</f>
        <v>マービー</v>
      </c>
      <c r="L47" s="23" t="str">
        <f ca="1">VLOOKUP($J47,OFFSET([3]enemies!$A$1,0,0,COUNTA([3]enemies!$A:$A),MATCH(L$1,[3]enemies!$1:$1,0)-MATCH($J$1,[3]enemies!$1:$1,0)+1),MATCH(L$1,[3]enemies!$1:$1,0)-MATCH($J$1,[3]enemies!$1:$1,0)+1,FALSE)</f>
        <v>yellow</v>
      </c>
      <c r="M47" s="23" t="str">
        <f ca="1">VLOOKUP($J47,OFFSET([4]characters!$A$1,0,0,COUNTA([4]characters!$A:$A),MATCH(M$1,[4]characters!$1:$1,0)-MATCH($J$1,[4]characters!$1:$1,0)+1),MATCH(M$1,[4]characters!$1:$1,0)-MATCH($J$1,[4]characters!$1:$1,0)+1,FALSE)</f>
        <v>Drop1N</v>
      </c>
      <c r="N47" s="22" t="str">
        <f ca="1">VLOOKUP($J47,OFFSET([4]characters!$A$1,0,0,COUNTA([4]characters!$A:$A),MATCH(N$1,[4]characters!$1:$1,0)-MATCH($J$1,[4]characters!$1:$1,0)+2),MATCH(N$1,[4]characters!$1:$1,0)-MATCH($J$1,[4]characters!$1:$1,0)+2,FALSE)</f>
        <v>マシン</v>
      </c>
      <c r="O47" s="5">
        <f ca="1">VLOOKUP($J47,OFFSET([3]enemies!$A$1,0,0,COUNTA([3]enemies!$A:$A),MATCH(O$1,[3]enemies!$1:$1,0)-MATCH($J$1,[3]enemies!$1:$1,0)+1),MATCH(O$1,[3]enemies!$1:$1,0)-MATCH($J$1,[3]enemies!$1:$1,0)+1,FALSE)</f>
        <v>15</v>
      </c>
      <c r="P47" s="45">
        <v>17</v>
      </c>
      <c r="Q47" s="43">
        <v>1</v>
      </c>
      <c r="R47" s="43">
        <v>1</v>
      </c>
      <c r="S47" s="6">
        <v>0</v>
      </c>
      <c r="T47" s="5" t="str">
        <f ca="1">VLOOKUP($U47,OFFSET([5]enemy_skill_sets!$B$1,0,0,COUNTA([5]enemy_skill_sets!$B:$B),MATCH(K$1,[5]enemy_skill_sets!$1:$1,0)-MATCH($U$1,[5]enemy_skill_sets!$1:$1,0)+2),MATCH(K$1,[5]enemy_skill_sets!$1:$1,0)-MATCH($U$1,[5]enemy_skill_sets!$1:$1,0)+2,FALSE)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47" s="5">
        <f ca="1">VLOOKUP($J47,OFFSET([3]enemies!$A$1,0,0,COUNTA([3]enemies!$A:$A),MATCH(U$1,[3]enemies!$1:$1,0)-MATCH($J$1,[3]enemies!$1:$1,0)+1),MATCH(U$1,[3]enemies!$1:$1,0)-MATCH($J$1,[3]enemies!$1:$1,0)+1,FALSE)</f>
        <v>0</v>
      </c>
      <c r="V47" s="7">
        <v>2</v>
      </c>
      <c r="W47" s="7">
        <v>100</v>
      </c>
      <c r="X47" s="7">
        <v>0</v>
      </c>
      <c r="Y47" s="20">
        <f ca="1">VLOOKUP($J47,OFFSET([3]enemies!$A$1,0,0,COUNTA([3]enemies!$A:$A),MATCH(Y$1,[3]enemies!$1:$1,0)-MATCH($J$1,[3]enemies!$1:$1,0)+1),MATCH(Y$1,[3]enemies!$1:$1,0)-MATCH($J$1,[3]enemies!$1:$1,0)+1,FALSE)</f>
        <v>2</v>
      </c>
      <c r="Z47" s="29">
        <v>31</v>
      </c>
      <c r="AA47" s="5" t="str">
        <f ca="1">IFERROR(VLOOKUP($Z47,OFFSET([4]characters!$A$1,0,0,COUNTA([4]characters!$A:$A),MATCH(AA$1,[4]characters!$1:$1,0)-MATCH("character_id",[4]characters!$1:$1,0)+1),MATCH(AA$1,[4]characters!$1:$1,0)-MATCH("character_id",[4]characters!$1:$1,0)+1,FALSE),"")</f>
        <v>マービー</v>
      </c>
      <c r="AB47" s="5">
        <f ca="1">IFERROR(VLOOKUP($Z47,OFFSET([4]characters!$A$1,0,0,COUNTA([4]characters!$A:$A),MATCH(AB$1,[4]characters!$1:$1,0)-MATCH("character_id",[4]characters!$1:$1,0)+1),MATCH(AB$1,[4]characters!$1:$1,0)-MATCH("character_id",[4]characters!$1:$1,0)+1,FALSE),"")</f>
        <v>1</v>
      </c>
      <c r="AC47" s="5" t="str">
        <f ca="1">IFERROR(VLOOKUP($Z47,OFFSET([4]characters!$A$1,0,0,COUNTA([4]characters!$A:$A),MATCH(AC$1,[4]characters!$1:$1,0)-MATCH("character_id",[4]characters!$1:$1,0)+1),MATCH(AC$1,[4]characters!$1:$1,0)-MATCH("character_id",[4]characters!$1:$1,0)+1,FALSE),"")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47" s="8">
        <v>1</v>
      </c>
      <c r="AE47" s="28">
        <f t="shared" ca="1" si="46"/>
        <v>1</v>
      </c>
      <c r="AF47" s="9">
        <v>25</v>
      </c>
      <c r="AG47" s="8">
        <v>0</v>
      </c>
      <c r="AH47" s="8">
        <v>0</v>
      </c>
      <c r="AI47" s="8">
        <v>0</v>
      </c>
      <c r="AJ47" s="8">
        <v>0</v>
      </c>
      <c r="AK47" s="8">
        <v>1</v>
      </c>
      <c r="AL47" s="8">
        <v>1</v>
      </c>
    </row>
    <row r="48" spans="1:38" ht="21" customHeight="1" x14ac:dyDescent="0.15">
      <c r="A48" s="17" t="str">
        <f t="shared" ca="1" si="44"/>
        <v>13101_6-3/13&lt;lv17&gt;s2</v>
      </c>
      <c r="B48" s="26">
        <v>13101</v>
      </c>
      <c r="C48" s="25">
        <v>6</v>
      </c>
      <c r="D48" s="2" t="str">
        <f t="shared" si="45"/>
        <v>13101_6</v>
      </c>
      <c r="E48" s="5" t="str">
        <f ca="1">VLOOKUP($B48,OFFSET([2]quests!$A$1,0,0,COUNTA([2]quests!$A:$A),MATCH(E$1,[2]quests!$1:$1,0)-MATCH($B$1,[2]quests!$1:$1,0)+1),MATCH(E$1,[2]quests!$1:$1,0)-MATCH($B$1,[2]quests!$1:$1,0)+1,FALSE)</f>
        <v>チャレンジタワー</v>
      </c>
      <c r="F48" s="5" t="e">
        <f ca="1">VLOOKUP($D48,OFFSET([2]stages!$A$1,0,0,COUNTA([2]stages!$A:$A),MATCH(F$1,[2]stages!$1:$1,0)-MATCH($D$1,[2]stages!$1:$1,0)+1),MATCH(F$1,[2]stages!$1:$1,0)-MATCH($D$1,[2]stages!$1:$1,0)+1,FALSE)</f>
        <v>#N/A</v>
      </c>
      <c r="G48" s="30">
        <v>3</v>
      </c>
      <c r="H48" s="16" t="str">
        <f t="shared" si="42"/>
        <v>13101_6-3</v>
      </c>
      <c r="I48" s="39" t="s">
        <v>245</v>
      </c>
      <c r="J48" s="39">
        <v>13</v>
      </c>
      <c r="K48" s="20" t="str">
        <f ca="1">VLOOKUP($J48,OFFSET([3]enemies!$A$1,0,0,COUNTA([3]enemies!$A:$A),MATCH(K$1,[3]enemies!$1:$1,0)-MATCH($J$1,[3]enemies!$1:$1,0)+1),MATCH(K$1,[3]enemies!$1:$1,0)-MATCH($J$1,[3]enemies!$1:$1,0)+1,FALSE)</f>
        <v>ミミ</v>
      </c>
      <c r="L48" s="23" t="str">
        <f ca="1">VLOOKUP($J48,OFFSET([3]enemies!$A$1,0,0,COUNTA([3]enemies!$A:$A),MATCH(L$1,[3]enemies!$1:$1,0)-MATCH($J$1,[3]enemies!$1:$1,0)+1),MATCH(L$1,[3]enemies!$1:$1,0)-MATCH($J$1,[3]enemies!$1:$1,0)+1,FALSE)</f>
        <v>yellow</v>
      </c>
      <c r="M48" s="23" t="str">
        <f ca="1">VLOOKUP($J48,OFFSET([4]characters!$A$1,0,0,COUNTA([4]characters!$A:$A),MATCH(M$1,[4]characters!$1:$1,0)-MATCH($J$1,[4]characters!$1:$1,0)+1),MATCH(M$1,[4]characters!$1:$1,0)-MATCH($J$1,[4]characters!$1:$1,0)+1,FALSE)</f>
        <v>Drop1W</v>
      </c>
      <c r="N48" s="22" t="str">
        <f ca="1">VLOOKUP($J48,OFFSET([4]characters!$A$1,0,0,COUNTA([4]characters!$A:$A),MATCH(N$1,[4]characters!$1:$1,0)-MATCH($J$1,[4]characters!$1:$1,0)+2),MATCH(N$1,[4]characters!$1:$1,0)-MATCH($J$1,[4]characters!$1:$1,0)+2,FALSE)</f>
        <v>アニマル</v>
      </c>
      <c r="O48" s="5">
        <f ca="1">VLOOKUP($J48,OFFSET([3]enemies!$A$1,0,0,COUNTA([3]enemies!$A:$A),MATCH(O$1,[3]enemies!$1:$1,0)-MATCH($J$1,[3]enemies!$1:$1,0)+1),MATCH(O$1,[3]enemies!$1:$1,0)-MATCH($J$1,[3]enemies!$1:$1,0)+1,FALSE)</f>
        <v>15</v>
      </c>
      <c r="P48" s="45">
        <v>17</v>
      </c>
      <c r="Q48" s="43">
        <v>1</v>
      </c>
      <c r="R48" s="43">
        <v>1</v>
      </c>
      <c r="S48" s="6">
        <v>0</v>
      </c>
      <c r="T48" s="5" t="str">
        <f ca="1">VLOOKUP($U48,OFFSET([5]enemy_skill_sets!$B$1,0,0,COUNTA([5]enemy_skill_sets!$B:$B),MATCH(K$1,[5]enemy_skill_sets!$1:$1,0)-MATCH($U$1,[5]enemy_skill_sets!$1:$1,0)+2),MATCH(K$1,[5]enemy_skill_sets!$1:$1,0)-MATCH($U$1,[5]enemy_skill_sets!$1:$1,0)+2,FALSE)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48" s="5">
        <f ca="1">VLOOKUP($J48,OFFSET([3]enemies!$A$1,0,0,COUNTA([3]enemies!$A:$A),MATCH(U$1,[3]enemies!$1:$1,0)-MATCH($J$1,[3]enemies!$1:$1,0)+1),MATCH(U$1,[3]enemies!$1:$1,0)-MATCH($J$1,[3]enemies!$1:$1,0)+1,FALSE)</f>
        <v>0</v>
      </c>
      <c r="V48" s="7">
        <v>0</v>
      </c>
      <c r="W48" s="7">
        <v>100</v>
      </c>
      <c r="X48" s="7">
        <v>0</v>
      </c>
      <c r="Y48" s="20">
        <f ca="1">VLOOKUP($J48,OFFSET([3]enemies!$A$1,0,0,COUNTA([3]enemies!$A:$A),MATCH(Y$1,[3]enemies!$1:$1,0)-MATCH($J$1,[3]enemies!$1:$1,0)+1),MATCH(Y$1,[3]enemies!$1:$1,0)-MATCH($J$1,[3]enemies!$1:$1,0)+1,FALSE)</f>
        <v>2</v>
      </c>
      <c r="Z48" s="29">
        <v>13</v>
      </c>
      <c r="AA48" s="5" t="str">
        <f ca="1">IFERROR(VLOOKUP($Z48,OFFSET([4]characters!$A$1,0,0,COUNTA([4]characters!$A:$A),MATCH(AA$1,[4]characters!$1:$1,0)-MATCH("character_id",[4]characters!$1:$1,0)+1),MATCH(AA$1,[4]characters!$1:$1,0)-MATCH("character_id",[4]characters!$1:$1,0)+1,FALSE),"")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48" s="5">
        <f ca="1">IFERROR(VLOOKUP($Z48,OFFSET([4]characters!$A$1,0,0,COUNTA([4]characters!$A:$A),MATCH(AB$1,[4]characters!$1:$1,0)-MATCH("character_id",[4]characters!$1:$1,0)+1),MATCH(AB$1,[4]characters!$1:$1,0)-MATCH("character_id",[4]characters!$1:$1,0)+1,FALSE),"")</f>
        <v>1</v>
      </c>
      <c r="AC48" s="5" t="str">
        <f ca="1">IFERROR(VLOOKUP($Z48,OFFSET([4]characters!$A$1,0,0,COUNTA([4]characters!$A:$A),MATCH(AC$1,[4]characters!$1:$1,0)-MATCH("character_id",[4]characters!$1:$1,0)+1),MATCH(AC$1,[4]characters!$1:$1,0)-MATCH("character_id",[4]characters!$1:$1,0)+1,FALSE),"")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48" s="8">
        <v>3</v>
      </c>
      <c r="AE48" s="28">
        <f t="shared" ca="1" si="46"/>
        <v>1</v>
      </c>
      <c r="AF48" s="9">
        <v>25</v>
      </c>
      <c r="AG48" s="8">
        <v>0</v>
      </c>
      <c r="AH48" s="8">
        <v>0</v>
      </c>
      <c r="AI48" s="8">
        <v>0</v>
      </c>
      <c r="AJ48" s="8">
        <v>0</v>
      </c>
      <c r="AK48" s="8">
        <v>1</v>
      </c>
      <c r="AL48" s="8">
        <v>1</v>
      </c>
    </row>
    <row r="49" spans="1:38" ht="21" customHeight="1" x14ac:dyDescent="0.15">
      <c r="A49" s="17" t="str">
        <f t="shared" ca="1" si="44"/>
        <v>13101_6-3/19&lt;lv17&gt;s3</v>
      </c>
      <c r="B49" s="26">
        <v>13101</v>
      </c>
      <c r="C49" s="25">
        <v>6</v>
      </c>
      <c r="D49" s="2" t="str">
        <f t="shared" si="45"/>
        <v>13101_6</v>
      </c>
      <c r="E49" s="5" t="str">
        <f ca="1">VLOOKUP($B49,OFFSET([2]quests!$A$1,0,0,COUNTA([2]quests!$A:$A),MATCH(E$1,[2]quests!$1:$1,0)-MATCH($B$1,[2]quests!$1:$1,0)+1),MATCH(E$1,[2]quests!$1:$1,0)-MATCH($B$1,[2]quests!$1:$1,0)+1,FALSE)</f>
        <v>チャレンジタワー</v>
      </c>
      <c r="F49" s="5" t="e">
        <f ca="1">VLOOKUP($D49,OFFSET([2]stages!$A$1,0,0,COUNTA([2]stages!$A:$A),MATCH(F$1,[2]stages!$1:$1,0)-MATCH($D$1,[2]stages!$1:$1,0)+1),MATCH(F$1,[2]stages!$1:$1,0)-MATCH($D$1,[2]stages!$1:$1,0)+1,FALSE)</f>
        <v>#N/A</v>
      </c>
      <c r="G49" s="30">
        <v>3</v>
      </c>
      <c r="H49" s="16" t="str">
        <f t="shared" si="42"/>
        <v>13101_6-3</v>
      </c>
      <c r="I49" s="39" t="s">
        <v>245</v>
      </c>
      <c r="J49" s="39">
        <v>19</v>
      </c>
      <c r="K49" s="20" t="str">
        <f ca="1">VLOOKUP($J49,OFFSET([3]enemies!$A$1,0,0,COUNTA([3]enemies!$A:$A),MATCH(K$1,[3]enemies!$1:$1,0)-MATCH($J$1,[3]enemies!$1:$1,0)+1),MATCH(K$1,[3]enemies!$1:$1,0)-MATCH($J$1,[3]enemies!$1:$1,0)+1,FALSE)</f>
        <v>ティンク</v>
      </c>
      <c r="L49" s="23" t="str">
        <f ca="1">VLOOKUP($J49,OFFSET([3]enemies!$A$1,0,0,COUNTA([3]enemies!$A:$A),MATCH(L$1,[3]enemies!$1:$1,0)-MATCH($J$1,[3]enemies!$1:$1,0)+1),MATCH(L$1,[3]enemies!$1:$1,0)-MATCH($J$1,[3]enemies!$1:$1,0)+1,FALSE)</f>
        <v>yellow</v>
      </c>
      <c r="M49" s="23" t="str">
        <f ca="1">VLOOKUP($J49,OFFSET([4]characters!$A$1,0,0,COUNTA([4]characters!$A:$A),MATCH(M$1,[4]characters!$1:$1,0)-MATCH($J$1,[4]characters!$1:$1,0)+1),MATCH(M$1,[4]characters!$1:$1,0)-MATCH($J$1,[4]characters!$1:$1,0)+1,FALSE)</f>
        <v>Drop1W</v>
      </c>
      <c r="N49" s="22" t="str">
        <f ca="1">VLOOKUP($J49,OFFSET([4]characters!$A$1,0,0,COUNTA([4]characters!$A:$A),MATCH(N$1,[4]characters!$1:$1,0)-MATCH($J$1,[4]characters!$1:$1,0)+2),MATCH(N$1,[4]characters!$1:$1,0)-MATCH($J$1,[4]characters!$1:$1,0)+2,FALSE)</f>
        <v>ヒューマン</v>
      </c>
      <c r="O49" s="5">
        <f ca="1">VLOOKUP($J49,OFFSET([3]enemies!$A$1,0,0,COUNTA([3]enemies!$A:$A),MATCH(O$1,[3]enemies!$1:$1,0)-MATCH($J$1,[3]enemies!$1:$1,0)+1),MATCH(O$1,[3]enemies!$1:$1,0)-MATCH($J$1,[3]enemies!$1:$1,0)+1,FALSE)</f>
        <v>15</v>
      </c>
      <c r="P49" s="45">
        <v>17</v>
      </c>
      <c r="Q49" s="43">
        <v>1</v>
      </c>
      <c r="R49" s="43">
        <v>1</v>
      </c>
      <c r="S49" s="6">
        <v>0</v>
      </c>
      <c r="T49" s="5" t="str">
        <f ca="1">VLOOKUP($U49,OFFSET([5]enemy_skill_sets!$B$1,0,0,COUNTA([5]enemy_skill_sets!$B:$B),MATCH(K$1,[5]enemy_skill_sets!$1:$1,0)-MATCH($U$1,[5]enemy_skill_sets!$1:$1,0)+2),MATCH(K$1,[5]enemy_skill_sets!$1:$1,0)-MATCH($U$1,[5]enemy_skill_sets!$1:$1,0)+2,FALSE)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49" s="5">
        <f ca="1">VLOOKUP($J49,OFFSET([3]enemies!$A$1,0,0,COUNTA([3]enemies!$A:$A),MATCH(U$1,[3]enemies!$1:$1,0)-MATCH($J$1,[3]enemies!$1:$1,0)+1),MATCH(U$1,[3]enemies!$1:$1,0)-MATCH($J$1,[3]enemies!$1:$1,0)+1,FALSE)</f>
        <v>0</v>
      </c>
      <c r="V49" s="7">
        <v>0</v>
      </c>
      <c r="W49" s="7">
        <v>100</v>
      </c>
      <c r="X49" s="7">
        <v>0</v>
      </c>
      <c r="Y49" s="20">
        <f ca="1">VLOOKUP($J49,OFFSET([3]enemies!$A$1,0,0,COUNTA([3]enemies!$A:$A),MATCH(Y$1,[3]enemies!$1:$1,0)-MATCH($J$1,[3]enemies!$1:$1,0)+1),MATCH(Y$1,[3]enemies!$1:$1,0)-MATCH($J$1,[3]enemies!$1:$1,0)+1,FALSE)</f>
        <v>3</v>
      </c>
      <c r="Z49" s="29">
        <v>19</v>
      </c>
      <c r="AA49" s="5" t="str">
        <f ca="1">IFERROR(VLOOKUP($Z49,OFFSET([4]characters!$A$1,0,0,COUNTA([4]characters!$A:$A),MATCH(AA$1,[4]characters!$1:$1,0)-MATCH("character_id",[4]characters!$1:$1,0)+1),MATCH(AA$1,[4]characters!$1:$1,0)-MATCH("character_id",[4]characters!$1:$1,0)+1,FALSE),"")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49" s="5">
        <f ca="1">IFERROR(VLOOKUP($Z49,OFFSET([4]characters!$A$1,0,0,COUNTA([4]characters!$A:$A),MATCH(AB$1,[4]characters!$1:$1,0)-MATCH("character_id",[4]characters!$1:$1,0)+1),MATCH(AB$1,[4]characters!$1:$1,0)-MATCH("character_id",[4]characters!$1:$1,0)+1,FALSE),"")</f>
        <v>1</v>
      </c>
      <c r="AC49" s="5" t="str">
        <f ca="1">IFERROR(VLOOKUP($Z49,OFFSET([4]characters!$A$1,0,0,COUNTA([4]characters!$A:$A),MATCH(AC$1,[4]characters!$1:$1,0)-MATCH("character_id",[4]characters!$1:$1,0)+1),MATCH(AC$1,[4]characters!$1:$1,0)-MATCH("character_id",[4]characters!$1:$1,0)+1,FALSE),"")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49" s="8">
        <v>3</v>
      </c>
      <c r="AE49" s="28">
        <f t="shared" ca="1" si="46"/>
        <v>1</v>
      </c>
      <c r="AF49" s="9">
        <v>25</v>
      </c>
      <c r="AG49" s="8">
        <v>0</v>
      </c>
      <c r="AH49" s="8">
        <v>0</v>
      </c>
      <c r="AI49" s="8">
        <v>0</v>
      </c>
      <c r="AJ49" s="8">
        <v>0</v>
      </c>
      <c r="AK49" s="8">
        <v>1</v>
      </c>
      <c r="AL49" s="8">
        <v>1</v>
      </c>
    </row>
    <row r="50" spans="1:38" ht="21" customHeight="1" x14ac:dyDescent="0.15">
      <c r="A50" s="17" t="str">
        <f t="shared" ca="1" si="44"/>
        <v>13101_6-3/31&lt;lv17&gt;s2</v>
      </c>
      <c r="B50" s="26">
        <v>13101</v>
      </c>
      <c r="C50" s="25">
        <v>6</v>
      </c>
      <c r="D50" s="2" t="str">
        <f t="shared" si="45"/>
        <v>13101_6</v>
      </c>
      <c r="E50" s="5" t="str">
        <f ca="1">VLOOKUP($B50,OFFSET([2]quests!$A$1,0,0,COUNTA([2]quests!$A:$A),MATCH(E$1,[2]quests!$1:$1,0)-MATCH($B$1,[2]quests!$1:$1,0)+1),MATCH(E$1,[2]quests!$1:$1,0)-MATCH($B$1,[2]quests!$1:$1,0)+1,FALSE)</f>
        <v>チャレンジタワー</v>
      </c>
      <c r="F50" s="5" t="e">
        <f ca="1">VLOOKUP($D50,OFFSET([2]stages!$A$1,0,0,COUNTA([2]stages!$A:$A),MATCH(F$1,[2]stages!$1:$1,0)-MATCH($D$1,[2]stages!$1:$1,0)+1),MATCH(F$1,[2]stages!$1:$1,0)-MATCH($D$1,[2]stages!$1:$1,0)+1,FALSE)</f>
        <v>#N/A</v>
      </c>
      <c r="G50" s="30">
        <v>3</v>
      </c>
      <c r="H50" s="16" t="str">
        <f t="shared" si="42"/>
        <v>13101_6-3</v>
      </c>
      <c r="I50" s="39" t="s">
        <v>245</v>
      </c>
      <c r="J50" s="39">
        <v>31</v>
      </c>
      <c r="K50" s="20" t="str">
        <f ca="1">VLOOKUP($J50,OFFSET([3]enemies!$A$1,0,0,COUNTA([3]enemies!$A:$A),MATCH(K$1,[3]enemies!$1:$1,0)-MATCH($J$1,[3]enemies!$1:$1,0)+1),MATCH(K$1,[3]enemies!$1:$1,0)-MATCH($J$1,[3]enemies!$1:$1,0)+1,FALSE)</f>
        <v>マービー</v>
      </c>
      <c r="L50" s="23" t="str">
        <f ca="1">VLOOKUP($J50,OFFSET([3]enemies!$A$1,0,0,COUNTA([3]enemies!$A:$A),MATCH(L$1,[3]enemies!$1:$1,0)-MATCH($J$1,[3]enemies!$1:$1,0)+1),MATCH(L$1,[3]enemies!$1:$1,0)-MATCH($J$1,[3]enemies!$1:$1,0)+1,FALSE)</f>
        <v>yellow</v>
      </c>
      <c r="M50" s="23" t="str">
        <f ca="1">VLOOKUP($J50,OFFSET([4]characters!$A$1,0,0,COUNTA([4]characters!$A:$A),MATCH(M$1,[4]characters!$1:$1,0)-MATCH($J$1,[4]characters!$1:$1,0)+1),MATCH(M$1,[4]characters!$1:$1,0)-MATCH($J$1,[4]characters!$1:$1,0)+1,FALSE)</f>
        <v>Drop1N</v>
      </c>
      <c r="N50" s="22" t="str">
        <f ca="1">VLOOKUP($J50,OFFSET([4]characters!$A$1,0,0,COUNTA([4]characters!$A:$A),MATCH(N$1,[4]characters!$1:$1,0)-MATCH($J$1,[4]characters!$1:$1,0)+2),MATCH(N$1,[4]characters!$1:$1,0)-MATCH($J$1,[4]characters!$1:$1,0)+2,FALSE)</f>
        <v>マシン</v>
      </c>
      <c r="O50" s="5">
        <f ca="1">VLOOKUP($J50,OFFSET([3]enemies!$A$1,0,0,COUNTA([3]enemies!$A:$A),MATCH(O$1,[3]enemies!$1:$1,0)-MATCH($J$1,[3]enemies!$1:$1,0)+1),MATCH(O$1,[3]enemies!$1:$1,0)-MATCH($J$1,[3]enemies!$1:$1,0)+1,FALSE)</f>
        <v>15</v>
      </c>
      <c r="P50" s="45">
        <v>17</v>
      </c>
      <c r="Q50" s="43">
        <v>1</v>
      </c>
      <c r="R50" s="43">
        <v>1</v>
      </c>
      <c r="S50" s="6">
        <v>0</v>
      </c>
      <c r="T50" s="5" t="str">
        <f ca="1">VLOOKUP($U50,OFFSET([5]enemy_skill_sets!$B$1,0,0,COUNTA([5]enemy_skill_sets!$B:$B),MATCH(K$1,[5]enemy_skill_sets!$1:$1,0)-MATCH($U$1,[5]enemy_skill_sets!$1:$1,0)+2),MATCH(K$1,[5]enemy_skill_sets!$1:$1,0)-MATCH($U$1,[5]enemy_skill_sets!$1:$1,0)+2,FALSE)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50" s="5">
        <f ca="1">VLOOKUP($J50,OFFSET([3]enemies!$A$1,0,0,COUNTA([3]enemies!$A:$A),MATCH(U$1,[3]enemies!$1:$1,0)-MATCH($J$1,[3]enemies!$1:$1,0)+1),MATCH(U$1,[3]enemies!$1:$1,0)-MATCH($J$1,[3]enemies!$1:$1,0)+1,FALSE)</f>
        <v>0</v>
      </c>
      <c r="V50" s="7">
        <v>0</v>
      </c>
      <c r="W50" s="7">
        <v>100</v>
      </c>
      <c r="X50" s="7">
        <v>0</v>
      </c>
      <c r="Y50" s="20">
        <f ca="1">VLOOKUP($J50,OFFSET([3]enemies!$A$1,0,0,COUNTA([3]enemies!$A:$A),MATCH(Y$1,[3]enemies!$1:$1,0)-MATCH($J$1,[3]enemies!$1:$1,0)+1),MATCH(Y$1,[3]enemies!$1:$1,0)-MATCH($J$1,[3]enemies!$1:$1,0)+1,FALSE)</f>
        <v>2</v>
      </c>
      <c r="Z50" s="29">
        <v>31</v>
      </c>
      <c r="AA50" s="5" t="str">
        <f ca="1">IFERROR(VLOOKUP($Z50,OFFSET([4]characters!$A$1,0,0,COUNTA([4]characters!$A:$A),MATCH(AA$1,[4]characters!$1:$1,0)-MATCH("character_id",[4]characters!$1:$1,0)+1),MATCH(AA$1,[4]characters!$1:$1,0)-MATCH("character_id",[4]characters!$1:$1,0)+1,FALSE),"")</f>
        <v>マービー</v>
      </c>
      <c r="AB50" s="5">
        <f ca="1">IFERROR(VLOOKUP($Z50,OFFSET([4]characters!$A$1,0,0,COUNTA([4]characters!$A:$A),MATCH(AB$1,[4]characters!$1:$1,0)-MATCH("character_id",[4]characters!$1:$1,0)+1),MATCH(AB$1,[4]characters!$1:$1,0)-MATCH("character_id",[4]characters!$1:$1,0)+1,FALSE),"")</f>
        <v>1</v>
      </c>
      <c r="AC50" s="5" t="str">
        <f ca="1">IFERROR(VLOOKUP($Z50,OFFSET([4]characters!$A$1,0,0,COUNTA([4]characters!$A:$A),MATCH(AC$1,[4]characters!$1:$1,0)-MATCH("character_id",[4]characters!$1:$1,0)+1),MATCH(AC$1,[4]characters!$1:$1,0)-MATCH("character_id",[4]characters!$1:$1,0)+1,FALSE),"")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50" s="8">
        <v>1</v>
      </c>
      <c r="AE50" s="28">
        <f t="shared" ca="1" si="46"/>
        <v>1</v>
      </c>
      <c r="AF50" s="9">
        <v>25</v>
      </c>
      <c r="AG50" s="8">
        <v>0</v>
      </c>
      <c r="AH50" s="8">
        <v>0</v>
      </c>
      <c r="AI50" s="8">
        <v>0</v>
      </c>
      <c r="AJ50" s="8">
        <v>0</v>
      </c>
      <c r="AK50" s="8">
        <v>1</v>
      </c>
      <c r="AL50" s="8">
        <v>1</v>
      </c>
    </row>
    <row r="51" spans="1:38" ht="21" customHeight="1" x14ac:dyDescent="0.15">
      <c r="A51" s="17" t="str">
        <f t="shared" ca="1" si="44"/>
        <v>13101_6-4/31&lt;lv17&gt;s2</v>
      </c>
      <c r="B51" s="26">
        <v>13101</v>
      </c>
      <c r="C51" s="25">
        <v>6</v>
      </c>
      <c r="D51" s="2" t="str">
        <f t="shared" si="45"/>
        <v>13101_6</v>
      </c>
      <c r="E51" s="5" t="str">
        <f ca="1">VLOOKUP($B51,OFFSET([2]quests!$A$1,0,0,COUNTA([2]quests!$A:$A),MATCH(E$1,[2]quests!$1:$1,0)-MATCH($B$1,[2]quests!$1:$1,0)+1),MATCH(E$1,[2]quests!$1:$1,0)-MATCH($B$1,[2]quests!$1:$1,0)+1,FALSE)</f>
        <v>チャレンジタワー</v>
      </c>
      <c r="F51" s="5" t="e">
        <f ca="1">VLOOKUP($D51,OFFSET([2]stages!$A$1,0,0,COUNTA([2]stages!$A:$A),MATCH(F$1,[2]stages!$1:$1,0)-MATCH($D$1,[2]stages!$1:$1,0)+1),MATCH(F$1,[2]stages!$1:$1,0)-MATCH($D$1,[2]stages!$1:$1,0)+1,FALSE)</f>
        <v>#N/A</v>
      </c>
      <c r="G51" s="30">
        <v>4</v>
      </c>
      <c r="H51" s="16" t="str">
        <f t="shared" si="42"/>
        <v>13101_6-4</v>
      </c>
      <c r="I51" s="39" t="s">
        <v>245</v>
      </c>
      <c r="J51" s="39">
        <v>31</v>
      </c>
      <c r="K51" s="20" t="str">
        <f ca="1">VLOOKUP($J51,OFFSET([3]enemies!$A$1,0,0,COUNTA([3]enemies!$A:$A),MATCH(K$1,[3]enemies!$1:$1,0)-MATCH($J$1,[3]enemies!$1:$1,0)+1),MATCH(K$1,[3]enemies!$1:$1,0)-MATCH($J$1,[3]enemies!$1:$1,0)+1,FALSE)</f>
        <v>マービー</v>
      </c>
      <c r="L51" s="23" t="str">
        <f ca="1">VLOOKUP($J51,OFFSET([3]enemies!$A$1,0,0,COUNTA([3]enemies!$A:$A),MATCH(L$1,[3]enemies!$1:$1,0)-MATCH($J$1,[3]enemies!$1:$1,0)+1),MATCH(L$1,[3]enemies!$1:$1,0)-MATCH($J$1,[3]enemies!$1:$1,0)+1,FALSE)</f>
        <v>yellow</v>
      </c>
      <c r="M51" s="23" t="str">
        <f ca="1">VLOOKUP($J51,OFFSET([4]characters!$A$1,0,0,COUNTA([4]characters!$A:$A),MATCH(M$1,[4]characters!$1:$1,0)-MATCH($J$1,[4]characters!$1:$1,0)+1),MATCH(M$1,[4]characters!$1:$1,0)-MATCH($J$1,[4]characters!$1:$1,0)+1,FALSE)</f>
        <v>Drop1N</v>
      </c>
      <c r="N51" s="22" t="str">
        <f ca="1">VLOOKUP($J51,OFFSET([4]characters!$A$1,0,0,COUNTA([4]characters!$A:$A),MATCH(N$1,[4]characters!$1:$1,0)-MATCH($J$1,[4]characters!$1:$1,0)+2),MATCH(N$1,[4]characters!$1:$1,0)-MATCH($J$1,[4]characters!$1:$1,0)+2,FALSE)</f>
        <v>マシン</v>
      </c>
      <c r="O51" s="5">
        <f ca="1">VLOOKUP($J51,OFFSET([3]enemies!$A$1,0,0,COUNTA([3]enemies!$A:$A),MATCH(O$1,[3]enemies!$1:$1,0)-MATCH($J$1,[3]enemies!$1:$1,0)+1),MATCH(O$1,[3]enemies!$1:$1,0)-MATCH($J$1,[3]enemies!$1:$1,0)+1,FALSE)</f>
        <v>15</v>
      </c>
      <c r="P51" s="45">
        <v>17</v>
      </c>
      <c r="Q51" s="43">
        <v>1</v>
      </c>
      <c r="R51" s="43">
        <v>1</v>
      </c>
      <c r="S51" s="6">
        <v>0</v>
      </c>
      <c r="T51" s="5" t="str">
        <f ca="1">VLOOKUP($U51,OFFSET([5]enemy_skill_sets!$B$1,0,0,COUNTA([5]enemy_skill_sets!$B:$B),MATCH(K$1,[5]enemy_skill_sets!$1:$1,0)-MATCH($U$1,[5]enemy_skill_sets!$1:$1,0)+2),MATCH(K$1,[5]enemy_skill_sets!$1:$1,0)-MATCH($U$1,[5]enemy_skill_sets!$1:$1,0)+2,FALSE)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51" s="5">
        <f ca="1">VLOOKUP($J51,OFFSET([3]enemies!$A$1,0,0,COUNTA([3]enemies!$A:$A),MATCH(U$1,[3]enemies!$1:$1,0)-MATCH($J$1,[3]enemies!$1:$1,0)+1),MATCH(U$1,[3]enemies!$1:$1,0)-MATCH($J$1,[3]enemies!$1:$1,0)+1,FALSE)</f>
        <v>0</v>
      </c>
      <c r="V51" s="7">
        <v>2</v>
      </c>
      <c r="W51" s="7">
        <v>100</v>
      </c>
      <c r="X51" s="7">
        <v>0</v>
      </c>
      <c r="Y51" s="20">
        <f ca="1">VLOOKUP($J51,OFFSET([3]enemies!$A$1,0,0,COUNTA([3]enemies!$A:$A),MATCH(Y$1,[3]enemies!$1:$1,0)-MATCH($J$1,[3]enemies!$1:$1,0)+1),MATCH(Y$1,[3]enemies!$1:$1,0)-MATCH($J$1,[3]enemies!$1:$1,0)+1,FALSE)</f>
        <v>2</v>
      </c>
      <c r="Z51" s="29">
        <v>31</v>
      </c>
      <c r="AA51" s="5" t="str">
        <f ca="1">IFERROR(VLOOKUP($Z51,OFFSET([4]characters!$A$1,0,0,COUNTA([4]characters!$A:$A),MATCH(AA$1,[4]characters!$1:$1,0)-MATCH("character_id",[4]characters!$1:$1,0)+1),MATCH(AA$1,[4]characters!$1:$1,0)-MATCH("character_id",[4]characters!$1:$1,0)+1,FALSE),"")</f>
        <v>マービー</v>
      </c>
      <c r="AB51" s="5">
        <f ca="1">IFERROR(VLOOKUP($Z51,OFFSET([4]characters!$A$1,0,0,COUNTA([4]characters!$A:$A),MATCH(AB$1,[4]characters!$1:$1,0)-MATCH("character_id",[4]characters!$1:$1,0)+1),MATCH(AB$1,[4]characters!$1:$1,0)-MATCH("character_id",[4]characters!$1:$1,0)+1,FALSE),"")</f>
        <v>1</v>
      </c>
      <c r="AC51" s="5" t="str">
        <f ca="1">IFERROR(VLOOKUP($Z51,OFFSET([4]characters!$A$1,0,0,COUNTA([4]characters!$A:$A),MATCH(AC$1,[4]characters!$1:$1,0)-MATCH("character_id",[4]characters!$1:$1,0)+1),MATCH(AC$1,[4]characters!$1:$1,0)-MATCH("character_id",[4]characters!$1:$1,0)+1,FALSE),"")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51" s="8">
        <v>1</v>
      </c>
      <c r="AE51" s="28">
        <f t="shared" ca="1" si="46"/>
        <v>1</v>
      </c>
      <c r="AF51" s="9">
        <v>25</v>
      </c>
      <c r="AG51" s="8">
        <v>0</v>
      </c>
      <c r="AH51" s="8">
        <v>0</v>
      </c>
      <c r="AI51" s="8">
        <v>0</v>
      </c>
      <c r="AJ51" s="8">
        <v>0</v>
      </c>
      <c r="AK51" s="8">
        <v>1</v>
      </c>
      <c r="AL51" s="8">
        <v>1</v>
      </c>
    </row>
    <row r="52" spans="1:38" ht="21" customHeight="1" x14ac:dyDescent="0.15">
      <c r="A52" s="17" t="str">
        <f t="shared" ca="1" si="44"/>
        <v>13101_6-4/47&lt;lv17&gt;s1</v>
      </c>
      <c r="B52" s="26">
        <v>13101</v>
      </c>
      <c r="C52" s="25">
        <v>6</v>
      </c>
      <c r="D52" s="2" t="str">
        <f t="shared" si="45"/>
        <v>13101_6</v>
      </c>
      <c r="E52" s="5" t="str">
        <f ca="1">VLOOKUP($B52,OFFSET([2]quests!$A$1,0,0,COUNTA([2]quests!$A:$A),MATCH(E$1,[2]quests!$1:$1,0)-MATCH($B$1,[2]quests!$1:$1,0)+1),MATCH(E$1,[2]quests!$1:$1,0)-MATCH($B$1,[2]quests!$1:$1,0)+1,FALSE)</f>
        <v>チャレンジタワー</v>
      </c>
      <c r="F52" s="5" t="e">
        <f ca="1">VLOOKUP($D52,OFFSET([2]stages!$A$1,0,0,COUNTA([2]stages!$A:$A),MATCH(F$1,[2]stages!$1:$1,0)-MATCH($D$1,[2]stages!$1:$1,0)+1),MATCH(F$1,[2]stages!$1:$1,0)-MATCH($D$1,[2]stages!$1:$1,0)+1,FALSE)</f>
        <v>#N/A</v>
      </c>
      <c r="G52" s="30">
        <v>4</v>
      </c>
      <c r="H52" s="16" t="str">
        <f t="shared" si="42"/>
        <v>13101_6-4</v>
      </c>
      <c r="I52" s="39" t="s">
        <v>245</v>
      </c>
      <c r="J52" s="39">
        <v>47</v>
      </c>
      <c r="K52" s="20" t="str">
        <f ca="1">VLOOKUP($J52,OFFSET([3]enemies!$A$1,0,0,COUNTA([3]enemies!$A:$A),MATCH(K$1,[3]enemies!$1:$1,0)-MATCH($J$1,[3]enemies!$1:$1,0)+1),MATCH(K$1,[3]enemies!$1:$1,0)-MATCH($J$1,[3]enemies!$1:$1,0)+1,FALSE)</f>
        <v>ヒロ</v>
      </c>
      <c r="L52" s="23" t="str">
        <f ca="1">VLOOKUP($J52,OFFSET([3]enemies!$A$1,0,0,COUNTA([3]enemies!$A:$A),MATCH(L$1,[3]enemies!$1:$1,0)-MATCH($J$1,[3]enemies!$1:$1,0)+1),MATCH(L$1,[3]enemies!$1:$1,0)-MATCH($J$1,[3]enemies!$1:$1,0)+1,FALSE)</f>
        <v>yellow</v>
      </c>
      <c r="M52" s="23" t="str">
        <f ca="1">VLOOKUP($J52,OFFSET([4]characters!$A$1,0,0,COUNTA([4]characters!$A:$A),MATCH(M$1,[4]characters!$1:$1,0)-MATCH($J$1,[4]characters!$1:$1,0)+1),MATCH(M$1,[4]characters!$1:$1,0)-MATCH($J$1,[4]characters!$1:$1,0)+1,FALSE)</f>
        <v>Drop1N</v>
      </c>
      <c r="N52" s="22" t="str">
        <f ca="1">VLOOKUP($J52,OFFSET([4]characters!$A$1,0,0,COUNTA([4]characters!$A:$A),MATCH(N$1,[4]characters!$1:$1,0)-MATCH($J$1,[4]characters!$1:$1,0)+2),MATCH(N$1,[4]characters!$1:$1,0)-MATCH($J$1,[4]characters!$1:$1,0)+2,FALSE)</f>
        <v>アニマル</v>
      </c>
      <c r="O52" s="5">
        <f ca="1">VLOOKUP($J52,OFFSET([3]enemies!$A$1,0,0,COUNTA([3]enemies!$A:$A),MATCH(O$1,[3]enemies!$1:$1,0)-MATCH($J$1,[3]enemies!$1:$1,0)+1),MATCH(O$1,[3]enemies!$1:$1,0)-MATCH($J$1,[3]enemies!$1:$1,0)+1,FALSE)</f>
        <v>15</v>
      </c>
      <c r="P52" s="45">
        <v>17</v>
      </c>
      <c r="Q52" s="43">
        <v>1</v>
      </c>
      <c r="R52" s="43">
        <v>1</v>
      </c>
      <c r="S52" s="6">
        <v>0</v>
      </c>
      <c r="T52" s="5" t="str">
        <f ca="1">VLOOKUP($U52,OFFSET([5]enemy_skill_sets!$B$1,0,0,COUNTA([5]enemy_skill_sets!$B:$B),MATCH(K$1,[5]enemy_skill_sets!$1:$1,0)-MATCH($U$1,[5]enemy_skill_sets!$1:$1,0)+2),MATCH(K$1,[5]enemy_skill_sets!$1:$1,0)-MATCH($U$1,[5]enemy_skill_sets!$1:$1,0)+2,FALSE)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52" s="5">
        <f ca="1">VLOOKUP($J52,OFFSET([3]enemies!$A$1,0,0,COUNTA([3]enemies!$A:$A),MATCH(U$1,[3]enemies!$1:$1,0)-MATCH($J$1,[3]enemies!$1:$1,0)+1),MATCH(U$1,[3]enemies!$1:$1,0)-MATCH($J$1,[3]enemies!$1:$1,0)+1,FALSE)</f>
        <v>0</v>
      </c>
      <c r="V52" s="7">
        <v>1</v>
      </c>
      <c r="W52" s="7">
        <v>100</v>
      </c>
      <c r="X52" s="7">
        <v>0</v>
      </c>
      <c r="Y52" s="20">
        <f ca="1">VLOOKUP($J52,OFFSET([3]enemies!$A$1,0,0,COUNTA([3]enemies!$A:$A),MATCH(Y$1,[3]enemies!$1:$1,0)-MATCH($J$1,[3]enemies!$1:$1,0)+1),MATCH(Y$1,[3]enemies!$1:$1,0)-MATCH($J$1,[3]enemies!$1:$1,0)+1,FALSE)</f>
        <v>1</v>
      </c>
      <c r="Z52" s="29">
        <v>47</v>
      </c>
      <c r="AA52" s="5" t="str">
        <f ca="1">IFERROR(VLOOKUP($Z52,OFFSET([4]characters!$A$1,0,0,COUNTA([4]characters!$A:$A),MATCH(AA$1,[4]characters!$1:$1,0)-MATCH("character_id",[4]characters!$1:$1,0)+1),MATCH(AA$1,[4]characters!$1:$1,0)-MATCH("character_id",[4]characters!$1:$1,0)+1,FALSE),"")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52" s="5">
        <f ca="1">IFERROR(VLOOKUP($Z52,OFFSET([4]characters!$A$1,0,0,COUNTA([4]characters!$A:$A),MATCH(AB$1,[4]characters!$1:$1,0)-MATCH("character_id",[4]characters!$1:$1,0)+1),MATCH(AB$1,[4]characters!$1:$1,0)-MATCH("character_id",[4]characters!$1:$1,0)+1,FALSE),"")</f>
        <v>2</v>
      </c>
      <c r="AC52" s="5" t="str">
        <f ca="1">IFERROR(VLOOKUP($Z52,OFFSET([4]characters!$A$1,0,0,COUNTA([4]characters!$A:$A),MATCH(AC$1,[4]characters!$1:$1,0)-MATCH("character_id",[4]characters!$1:$1,0)+1),MATCH(AC$1,[4]characters!$1:$1,0)-MATCH("character_id",[4]characters!$1:$1,0)+1,FALSE),"")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52" s="8">
        <v>1</v>
      </c>
      <c r="AE52" s="28">
        <f t="shared" ca="1" si="46"/>
        <v>2</v>
      </c>
      <c r="AF52" s="9">
        <v>25</v>
      </c>
      <c r="AG52" s="8">
        <v>0</v>
      </c>
      <c r="AH52" s="8">
        <v>0</v>
      </c>
      <c r="AI52" s="8">
        <v>0</v>
      </c>
      <c r="AJ52" s="8">
        <v>0</v>
      </c>
      <c r="AK52" s="8">
        <v>1</v>
      </c>
      <c r="AL52" s="8">
        <v>1</v>
      </c>
    </row>
    <row r="53" spans="1:38" ht="21" customHeight="1" x14ac:dyDescent="0.15">
      <c r="A53" s="17" t="str">
        <f t="shared" ca="1" si="44"/>
        <v>13101_6-5/156&lt;lv19&gt;s2</v>
      </c>
      <c r="B53" s="26">
        <v>13101</v>
      </c>
      <c r="C53" s="25">
        <v>6</v>
      </c>
      <c r="D53" s="2" t="str">
        <f t="shared" ref="D53:D54" si="47">B53&amp;"_"&amp;C53</f>
        <v>13101_6</v>
      </c>
      <c r="E53" s="5" t="str">
        <f ca="1">VLOOKUP($B53,OFFSET([2]quests!$A$1,0,0,COUNTA([2]quests!$A:$A),MATCH(E$1,[2]quests!$1:$1,0)-MATCH($B$1,[2]quests!$1:$1,0)+1),MATCH(E$1,[2]quests!$1:$1,0)-MATCH($B$1,[2]quests!$1:$1,0)+1,FALSE)</f>
        <v>チャレンジタワー</v>
      </c>
      <c r="F53" s="5" t="e">
        <f ca="1">VLOOKUP($D53,OFFSET([2]stages!$A$1,0,0,COUNTA([2]stages!$A:$A),MATCH(F$1,[2]stages!$1:$1,0)-MATCH($D$1,[2]stages!$1:$1,0)+1),MATCH(F$1,[2]stages!$1:$1,0)-MATCH($D$1,[2]stages!$1:$1,0)+1,FALSE)</f>
        <v>#N/A</v>
      </c>
      <c r="G53" s="30">
        <v>5</v>
      </c>
      <c r="H53" s="16" t="str">
        <f t="shared" si="42"/>
        <v>13101_6-5</v>
      </c>
      <c r="I53" s="39" t="s">
        <v>245</v>
      </c>
      <c r="J53" s="39">
        <v>156</v>
      </c>
      <c r="K53" s="20" t="str">
        <f ca="1">VLOOKUP($J53,OFFSET([3]enemies!$A$1,0,0,COUNTA([3]enemies!$A:$A),MATCH(K$1,[3]enemies!$1:$1,0)-MATCH($J$1,[3]enemies!$1:$1,0)+1),MATCH(K$1,[3]enemies!$1:$1,0)-MATCH($J$1,[3]enemies!$1:$1,0)+1,FALSE)</f>
        <v>踊り子 エレナ</v>
      </c>
      <c r="L53" s="23" t="str">
        <f ca="1">VLOOKUP($J53,OFFSET([3]enemies!$A$1,0,0,COUNTA([3]enemies!$A:$A),MATCH(L$1,[3]enemies!$1:$1,0)-MATCH($J$1,[3]enemies!$1:$1,0)+1),MATCH(L$1,[3]enemies!$1:$1,0)-MATCH($J$1,[3]enemies!$1:$1,0)+1,FALSE)</f>
        <v>yellow</v>
      </c>
      <c r="M53" s="23" t="str">
        <f ca="1">VLOOKUP($J53,OFFSET([4]characters!$A$1,0,0,COUNTA([4]characters!$A:$A),MATCH(M$1,[4]characters!$1:$1,0)-MATCH($J$1,[4]characters!$1:$1,0)+1),MATCH(M$1,[4]characters!$1:$1,0)-MATCH($J$1,[4]characters!$1:$1,0)+1,FALSE)</f>
        <v>PremiumW</v>
      </c>
      <c r="N53" s="22" t="str">
        <f ca="1">VLOOKUP($J53,OFFSET([4]characters!$A$1,0,0,COUNTA([4]characters!$A:$A),MATCH(N$1,[4]characters!$1:$1,0)-MATCH($J$1,[4]characters!$1:$1,0)+2),MATCH(N$1,[4]characters!$1:$1,0)-MATCH($J$1,[4]characters!$1:$1,0)+2,FALSE)</f>
        <v>ヒューマン</v>
      </c>
      <c r="O53" s="5">
        <f ca="1">VLOOKUP($J53,OFFSET([3]enemies!$A$1,0,0,COUNTA([3]enemies!$A:$A),MATCH(O$1,[3]enemies!$1:$1,0)-MATCH($J$1,[3]enemies!$1:$1,0)+1),MATCH(O$1,[3]enemies!$1:$1,0)-MATCH($J$1,[3]enemies!$1:$1,0)+1,FALSE)</f>
        <v>20</v>
      </c>
      <c r="P53" s="45">
        <v>19</v>
      </c>
      <c r="Q53" s="43">
        <v>1</v>
      </c>
      <c r="R53" s="43">
        <v>1</v>
      </c>
      <c r="S53" s="6">
        <v>0</v>
      </c>
      <c r="T53" s="5" t="str">
        <f ca="1">VLOOKUP($U53,OFFSET([5]enemy_skill_sets!$B$1,0,0,COUNTA([5]enemy_skill_sets!$B:$B),MATCH(K$1,[5]enemy_skill_sets!$1:$1,0)-MATCH($U$1,[5]enemy_skill_sets!$1:$1,0)+2),MATCH(K$1,[5]enemy_skill_sets!$1:$1,0)-MATCH($U$1,[5]enemy_skill_sets!$1:$1,0)+2,FALSE)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53" s="5">
        <f ca="1">VLOOKUP($J53,OFFSET([3]enemies!$A$1,0,0,COUNTA([3]enemies!$A:$A),MATCH(U$1,[3]enemies!$1:$1,0)-MATCH($J$1,[3]enemies!$1:$1,0)+1),MATCH(U$1,[3]enemies!$1:$1,0)-MATCH($J$1,[3]enemies!$1:$1,0)+1,FALSE)</f>
        <v>156</v>
      </c>
      <c r="V53" s="7">
        <v>1</v>
      </c>
      <c r="W53" s="7">
        <v>100</v>
      </c>
      <c r="X53" s="7">
        <v>0</v>
      </c>
      <c r="Y53" s="20">
        <f ca="1">VLOOKUP($J53,OFFSET([3]enemies!$A$1,0,0,COUNTA([3]enemies!$A:$A),MATCH(Y$1,[3]enemies!$1:$1,0)-MATCH($J$1,[3]enemies!$1:$1,0)+1),MATCH(Y$1,[3]enemies!$1:$1,0)-MATCH($J$1,[3]enemies!$1:$1,0)+1,FALSE)</f>
        <v>2</v>
      </c>
      <c r="Z53" s="29">
        <v>156</v>
      </c>
      <c r="AA53" s="5" t="str">
        <f ca="1">IFERROR(VLOOKUP($Z53,OFFSET([4]characters!$A$1,0,0,COUNTA([4]characters!$A:$A),MATCH(AA$1,[4]characters!$1:$1,0)-MATCH("character_id",[4]characters!$1:$1,0)+1),MATCH(AA$1,[4]characters!$1:$1,0)-MATCH("character_id",[4]characters!$1:$1,0)+1,FALSE),"")</f>
        <v>踊り子 エレナ</v>
      </c>
      <c r="AB53" s="5">
        <f ca="1">IFERROR(VLOOKUP($Z53,OFFSET([4]characters!$A$1,0,0,COUNTA([4]characters!$A:$A),MATCH(AB$1,[4]characters!$1:$1,0)-MATCH("character_id",[4]characters!$1:$1,0)+1),MATCH(AB$1,[4]characters!$1:$1,0)-MATCH("character_id",[4]characters!$1:$1,0)+1,FALSE),"")</f>
        <v>3</v>
      </c>
      <c r="AC53" s="5" t="str">
        <f ca="1">IFERROR(VLOOKUP($Z53,OFFSET([4]characters!$A$1,0,0,COUNTA([4]characters!$A:$A),MATCH(AC$1,[4]characters!$1:$1,0)-MATCH("character_id",[4]characters!$1:$1,0)+1),MATCH(AC$1,[4]characters!$1:$1,0)-MATCH("character_id",[4]characters!$1:$1,0)+1,FALSE),"")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53" s="8">
        <v>1</v>
      </c>
      <c r="AE53" s="28">
        <f t="shared" ref="AE53" ca="1" si="48">AB53</f>
        <v>3</v>
      </c>
      <c r="AF53" s="9">
        <v>0</v>
      </c>
      <c r="AG53" s="8">
        <v>0</v>
      </c>
      <c r="AH53" s="8">
        <v>0</v>
      </c>
      <c r="AI53" s="8">
        <v>0</v>
      </c>
      <c r="AJ53" s="8">
        <v>0</v>
      </c>
      <c r="AK53" s="8">
        <v>1</v>
      </c>
      <c r="AL53" s="8">
        <v>1</v>
      </c>
    </row>
    <row r="54" spans="1:38" ht="21" customHeight="1" x14ac:dyDescent="0.15">
      <c r="A54" s="17" t="str">
        <f t="shared" ca="1" si="44"/>
        <v>13101_6-5/187&lt;lv19&gt;s1</v>
      </c>
      <c r="B54" s="26">
        <v>13101</v>
      </c>
      <c r="C54" s="25">
        <v>6</v>
      </c>
      <c r="D54" s="2" t="str">
        <f t="shared" si="47"/>
        <v>13101_6</v>
      </c>
      <c r="E54" s="5" t="str">
        <f ca="1">VLOOKUP($B54,OFFSET([2]quests!$A$1,0,0,COUNTA([2]quests!$A:$A),MATCH(E$1,[2]quests!$1:$1,0)-MATCH($B$1,[2]quests!$1:$1,0)+1),MATCH(E$1,[2]quests!$1:$1,0)-MATCH($B$1,[2]quests!$1:$1,0)+1,FALSE)</f>
        <v>チャレンジタワー</v>
      </c>
      <c r="F54" s="5" t="e">
        <f ca="1">VLOOKUP($D54,OFFSET([2]stages!$A$1,0,0,COUNTA([2]stages!$A:$A),MATCH(F$1,[2]stages!$1:$1,0)-MATCH($D$1,[2]stages!$1:$1,0)+1),MATCH(F$1,[2]stages!$1:$1,0)-MATCH($D$1,[2]stages!$1:$1,0)+1,FALSE)</f>
        <v>#N/A</v>
      </c>
      <c r="G54" s="30">
        <v>5</v>
      </c>
      <c r="H54" s="16" t="str">
        <f t="shared" si="42"/>
        <v>13101_6-5</v>
      </c>
      <c r="I54" s="39" t="s">
        <v>245</v>
      </c>
      <c r="J54" s="39">
        <v>187</v>
      </c>
      <c r="K54" s="20" t="str">
        <f ca="1">VLOOKUP($J54,OFFSET([3]enemies!$A$1,0,0,COUNTA([3]enemies!$A:$A),MATCH(K$1,[3]enemies!$1:$1,0)-MATCH($J$1,[3]enemies!$1:$1,0)+1),MATCH(K$1,[3]enemies!$1:$1,0)-MATCH($J$1,[3]enemies!$1:$1,0)+1,FALSE)</f>
        <v>ホルス</v>
      </c>
      <c r="L54" s="23" t="str">
        <f ca="1">VLOOKUP($J54,OFFSET([3]enemies!$A$1,0,0,COUNTA([3]enemies!$A:$A),MATCH(L$1,[3]enemies!$1:$1,0)-MATCH($J$1,[3]enemies!$1:$1,0)+1),MATCH(L$1,[3]enemies!$1:$1,0)-MATCH($J$1,[3]enemies!$1:$1,0)+1,FALSE)</f>
        <v>yellow</v>
      </c>
      <c r="M54" s="23" t="str">
        <f ca="1">VLOOKUP($J54,OFFSET([4]characters!$A$1,0,0,COUNTA([4]characters!$A:$A),MATCH(M$1,[4]characters!$1:$1,0)-MATCH($J$1,[4]characters!$1:$1,0)+1),MATCH(M$1,[4]characters!$1:$1,0)-MATCH($J$1,[4]characters!$1:$1,0)+1,FALSE)</f>
        <v>PremiumN</v>
      </c>
      <c r="N54" s="22" t="str">
        <f ca="1">VLOOKUP($J54,OFFSET([4]characters!$A$1,0,0,COUNTA([4]characters!$A:$A),MATCH(N$1,[4]characters!$1:$1,0)-MATCH($J$1,[4]characters!$1:$1,0)+2),MATCH(N$1,[4]characters!$1:$1,0)-MATCH($J$1,[4]characters!$1:$1,0)+2,FALSE)</f>
        <v>アニマル</v>
      </c>
      <c r="O54" s="5">
        <f ca="1">VLOOKUP($J54,OFFSET([3]enemies!$A$1,0,0,COUNTA([3]enemies!$A:$A),MATCH(O$1,[3]enemies!$1:$1,0)-MATCH($J$1,[3]enemies!$1:$1,0)+1),MATCH(O$1,[3]enemies!$1:$1,0)-MATCH($J$1,[3]enemies!$1:$1,0)+1,FALSE)</f>
        <v>20</v>
      </c>
      <c r="P54" s="45">
        <v>19</v>
      </c>
      <c r="Q54" s="43">
        <v>1</v>
      </c>
      <c r="R54" s="43">
        <v>1</v>
      </c>
      <c r="S54" s="6">
        <v>0</v>
      </c>
      <c r="T54" s="5" t="str">
        <f ca="1">VLOOKUP($U54,OFFSET([5]enemy_skill_sets!$B$1,0,0,COUNTA([5]enemy_skill_sets!$B:$B),MATCH(K$1,[5]enemy_skill_sets!$1:$1,0)-MATCH($U$1,[5]enemy_skill_sets!$1:$1,0)+2),MATCH(K$1,[5]enemy_skill_sets!$1:$1,0)-MATCH($U$1,[5]enemy_skill_sets!$1:$1,0)+2,FALSE)</f>
        <v>攻撃力×1.5倍の攻撃</v>
      </c>
      <c r="U54" s="5">
        <f ca="1">VLOOKUP($J54,OFFSET([3]enemies!$A$1,0,0,COUNTA([3]enemies!$A:$A),MATCH(U$1,[3]enemies!$1:$1,0)-MATCH($J$1,[3]enemies!$1:$1,0)+1),MATCH(U$1,[3]enemies!$1:$1,0)-MATCH($J$1,[3]enemies!$1:$1,0)+1,FALSE)</f>
        <v>187</v>
      </c>
      <c r="V54" s="7">
        <v>1</v>
      </c>
      <c r="W54" s="7">
        <v>100</v>
      </c>
      <c r="X54" s="7">
        <v>1</v>
      </c>
      <c r="Y54" s="20">
        <f ca="1">VLOOKUP($J54,OFFSET([3]enemies!$A$1,0,0,COUNTA([3]enemies!$A:$A),MATCH(Y$1,[3]enemies!$1:$1,0)-MATCH($J$1,[3]enemies!$1:$1,0)+1),MATCH(Y$1,[3]enemies!$1:$1,0)-MATCH($J$1,[3]enemies!$1:$1,0)+1,FALSE)</f>
        <v>1</v>
      </c>
      <c r="Z54" s="29">
        <v>187</v>
      </c>
      <c r="AA54" s="5" t="str">
        <f ca="1">IFERROR(VLOOKUP($Z54,OFFSET([4]characters!$A$1,0,0,COUNTA([4]characters!$A:$A),MATCH(AA$1,[4]characters!$1:$1,0)-MATCH("character_id",[4]characters!$1:$1,0)+1),MATCH(AA$1,[4]characters!$1:$1,0)-MATCH("character_id",[4]characters!$1:$1,0)+1,FALSE),"")</f>
        <v>ホルス</v>
      </c>
      <c r="AB54" s="5">
        <f ca="1">IFERROR(VLOOKUP($Z54,OFFSET([4]characters!$A$1,0,0,COUNTA([4]characters!$A:$A),MATCH(AB$1,[4]characters!$1:$1,0)-MATCH("character_id",[4]characters!$1:$1,0)+1),MATCH(AB$1,[4]characters!$1:$1,0)-MATCH("character_id",[4]characters!$1:$1,0)+1,FALSE),"")</f>
        <v>3</v>
      </c>
      <c r="AC54" s="5" t="str">
        <f ca="1">IFERROR(VLOOKUP($Z54,OFFSET([4]characters!$A$1,0,0,COUNTA([4]characters!$A:$A),MATCH(AC$1,[4]characters!$1:$1,0)-MATCH("character_id",[4]characters!$1:$1,0)+1),MATCH(AC$1,[4]characters!$1:$1,0)-MATCH("character_id",[4]characters!$1:$1,0)+1,FALSE),"")</f>
        <v>PremiumN</v>
      </c>
      <c r="AD54" s="8">
        <v>1</v>
      </c>
      <c r="AE54" s="28">
        <f t="shared" ref="AE54" ca="1" si="49">AB54</f>
        <v>3</v>
      </c>
      <c r="AF54" s="9">
        <v>0</v>
      </c>
      <c r="AG54" s="8">
        <v>0</v>
      </c>
      <c r="AH54" s="8">
        <v>0</v>
      </c>
      <c r="AI54" s="8">
        <v>0</v>
      </c>
      <c r="AJ54" s="8">
        <v>0</v>
      </c>
      <c r="AK54" s="8">
        <v>1</v>
      </c>
      <c r="AL54" s="8">
        <v>1</v>
      </c>
    </row>
    <row r="55" spans="1:38" ht="21" customHeight="1" x14ac:dyDescent="0.15">
      <c r="A55" s="17" t="str">
        <f t="shared" ref="A55" ca="1" si="50">B55&amp;"_"&amp;C55&amp;"-"&amp;G55&amp;"/"&amp;J55&amp;"&lt;lv"&amp;P55&amp;"&gt;s"&amp;Y55</f>
        <v>13101_6-5/48&lt;lv19&gt;s1</v>
      </c>
      <c r="B55" s="26">
        <v>13101</v>
      </c>
      <c r="C55" s="25">
        <v>6</v>
      </c>
      <c r="D55" s="2" t="str">
        <f t="shared" ref="D55" si="51">B55&amp;"_"&amp;C55</f>
        <v>13101_6</v>
      </c>
      <c r="E55" s="5" t="str">
        <f ca="1">VLOOKUP($B55,OFFSET([2]quests!$A$1,0,0,COUNTA([2]quests!$A:$A),MATCH(E$1,[2]quests!$1:$1,0)-MATCH($B$1,[2]quests!$1:$1,0)+1),MATCH(E$1,[2]quests!$1:$1,0)-MATCH($B$1,[2]quests!$1:$1,0)+1,FALSE)</f>
        <v>チャレンジタワー</v>
      </c>
      <c r="F55" s="5" t="e">
        <f ca="1">VLOOKUP($D55,OFFSET([2]stages!$A$1,0,0,COUNTA([2]stages!$A:$A),MATCH(F$1,[2]stages!$1:$1,0)-MATCH($D$1,[2]stages!$1:$1,0)+1),MATCH(F$1,[2]stages!$1:$1,0)-MATCH($D$1,[2]stages!$1:$1,0)+1,FALSE)</f>
        <v>#N/A</v>
      </c>
      <c r="G55" s="30">
        <v>5</v>
      </c>
      <c r="H55" s="16" t="str">
        <f t="shared" ref="H55" si="52">B55&amp;"_"&amp;C55&amp;"-"&amp;G55</f>
        <v>13101_6-5</v>
      </c>
      <c r="I55" s="39" t="s">
        <v>245</v>
      </c>
      <c r="J55" s="39">
        <v>48</v>
      </c>
      <c r="K55" s="20" t="str">
        <f ca="1">VLOOKUP($J55,OFFSET([3]enemies!$A$1,0,0,COUNTA([3]enemies!$A:$A),MATCH(K$1,[3]enemies!$1:$1,0)-MATCH($J$1,[3]enemies!$1:$1,0)+1),MATCH(K$1,[3]enemies!$1:$1,0)-MATCH($J$1,[3]enemies!$1:$1,0)+1,FALSE)</f>
        <v>サンダーステップのヒロ</v>
      </c>
      <c r="L55" s="23" t="str">
        <f ca="1">VLOOKUP($J55,OFFSET([3]enemies!$A$1,0,0,COUNTA([3]enemies!$A:$A),MATCH(L$1,[3]enemies!$1:$1,0)-MATCH($J$1,[3]enemies!$1:$1,0)+1),MATCH(L$1,[3]enemies!$1:$1,0)-MATCH($J$1,[3]enemies!$1:$1,0)+1,FALSE)</f>
        <v>yellow</v>
      </c>
      <c r="M55" s="23" t="str">
        <f ca="1">VLOOKUP($J55,OFFSET([4]characters!$A$1,0,0,COUNTA([4]characters!$A:$A),MATCH(M$1,[4]characters!$1:$1,0)-MATCH($J$1,[4]characters!$1:$1,0)+1),MATCH(M$1,[4]characters!$1:$1,0)-MATCH($J$1,[4]characters!$1:$1,0)+1,FALSE)</f>
        <v>Drop1N</v>
      </c>
      <c r="N55" s="22" t="str">
        <f ca="1">VLOOKUP($J55,OFFSET([4]characters!$A$1,0,0,COUNTA([4]characters!$A:$A),MATCH(N$1,[4]characters!$1:$1,0)-MATCH($J$1,[4]characters!$1:$1,0)+2),MATCH(N$1,[4]characters!$1:$1,0)-MATCH($J$1,[4]characters!$1:$1,0)+2,FALSE)</f>
        <v>アニマル</v>
      </c>
      <c r="O55" s="5">
        <f ca="1">VLOOKUP($J55,OFFSET([3]enemies!$A$1,0,0,COUNTA([3]enemies!$A:$A),MATCH(O$1,[3]enemies!$1:$1,0)-MATCH($J$1,[3]enemies!$1:$1,0)+1),MATCH(O$1,[3]enemies!$1:$1,0)-MATCH($J$1,[3]enemies!$1:$1,0)+1,FALSE)</f>
        <v>20</v>
      </c>
      <c r="P55" s="45">
        <v>19</v>
      </c>
      <c r="Q55" s="43">
        <v>1</v>
      </c>
      <c r="R55" s="43">
        <v>1</v>
      </c>
      <c r="S55" s="6">
        <v>0</v>
      </c>
      <c r="T55" s="5" t="str">
        <f ca="1">VLOOKUP($U55,OFFSET([5]enemy_skill_sets!$B$1,0,0,COUNTA([5]enemy_skill_sets!$B:$B),MATCH(K$1,[5]enemy_skill_sets!$1:$1,0)-MATCH($U$1,[5]enemy_skill_sets!$1:$1,0)+2),MATCH(K$1,[5]enemy_skill_sets!$1:$1,0)-MATCH($U$1,[5]enemy_skill_sets!$1:$1,0)+2,FALSE)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55" s="5">
        <f ca="1">VLOOKUP($J55,OFFSET([3]enemies!$A$1,0,0,COUNTA([3]enemies!$A:$A),MATCH(U$1,[3]enemies!$1:$1,0)-MATCH($J$1,[3]enemies!$1:$1,0)+1),MATCH(U$1,[3]enemies!$1:$1,0)-MATCH($J$1,[3]enemies!$1:$1,0)+1,FALSE)</f>
        <v>0</v>
      </c>
      <c r="V55" s="7">
        <v>1</v>
      </c>
      <c r="W55" s="7">
        <v>100</v>
      </c>
      <c r="X55" s="7">
        <v>0</v>
      </c>
      <c r="Y55" s="20">
        <f ca="1">VLOOKUP($J55,OFFSET([3]enemies!$A$1,0,0,COUNTA([3]enemies!$A:$A),MATCH(Y$1,[3]enemies!$1:$1,0)-MATCH($J$1,[3]enemies!$1:$1,0)+1),MATCH(Y$1,[3]enemies!$1:$1,0)-MATCH($J$1,[3]enemies!$1:$1,0)+1,FALSE)</f>
        <v>1</v>
      </c>
      <c r="Z55" s="29">
        <v>47</v>
      </c>
      <c r="AA55" s="5" t="str">
        <f ca="1">IFERROR(VLOOKUP($Z55,OFFSET([4]characters!$A$1,0,0,COUNTA([4]characters!$A:$A),MATCH(AA$1,[4]characters!$1:$1,0)-MATCH("character_id",[4]characters!$1:$1,0)+1),MATCH(AA$1,[4]characters!$1:$1,0)-MATCH("character_id",[4]characters!$1:$1,0)+1,FALSE),"")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55" s="5">
        <f ca="1">IFERROR(VLOOKUP($Z55,OFFSET([4]characters!$A$1,0,0,COUNTA([4]characters!$A:$A),MATCH(AB$1,[4]characters!$1:$1,0)-MATCH("character_id",[4]characters!$1:$1,0)+1),MATCH(AB$1,[4]characters!$1:$1,0)-MATCH("character_id",[4]characters!$1:$1,0)+1,FALSE),"")</f>
        <v>2</v>
      </c>
      <c r="AC55" s="5" t="str">
        <f ca="1">IFERROR(VLOOKUP($Z55,OFFSET([4]characters!$A$1,0,0,COUNTA([4]characters!$A:$A),MATCH(AC$1,[4]characters!$1:$1,0)-MATCH("character_id",[4]characters!$1:$1,0)+1),MATCH(AC$1,[4]characters!$1:$1,0)-MATCH("character_id",[4]characters!$1:$1,0)+1,FALSE),"")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55" s="8">
        <v>1</v>
      </c>
      <c r="AE55" s="28">
        <f t="shared" ref="AE55" ca="1" si="53">AB55</f>
        <v>2</v>
      </c>
      <c r="AF55" s="9">
        <v>0</v>
      </c>
      <c r="AG55" s="8">
        <v>0</v>
      </c>
      <c r="AH55" s="8">
        <v>0</v>
      </c>
      <c r="AI55" s="8">
        <v>0</v>
      </c>
      <c r="AJ55" s="8">
        <v>0</v>
      </c>
      <c r="AK55" s="8">
        <v>1</v>
      </c>
      <c r="AL55" s="8">
        <v>1</v>
      </c>
    </row>
    <row r="56" spans="1:38" ht="21" customHeight="1" x14ac:dyDescent="0.15">
      <c r="A56" s="17" t="str">
        <f t="shared" ca="1" si="44"/>
        <v>13101_7-1/17&lt;lv19&gt;s2</v>
      </c>
      <c r="B56" s="26">
        <v>13101</v>
      </c>
      <c r="C56" s="25">
        <v>7</v>
      </c>
      <c r="D56" s="2" t="str">
        <f t="shared" si="45"/>
        <v>13101_7</v>
      </c>
      <c r="E56" s="5" t="str">
        <f ca="1">VLOOKUP($B56,OFFSET([2]quests!$A$1,0,0,COUNTA([2]quests!$A:$A),MATCH(E$1,[2]quests!$1:$1,0)-MATCH($B$1,[2]quests!$1:$1,0)+1),MATCH(E$1,[2]quests!$1:$1,0)-MATCH($B$1,[2]quests!$1:$1,0)+1,FALSE)</f>
        <v>チャレンジタワー</v>
      </c>
      <c r="F56" s="5" t="e">
        <f ca="1">VLOOKUP($D56,OFFSET([2]stages!$A$1,0,0,COUNTA([2]stages!$A:$A),MATCH(F$1,[2]stages!$1:$1,0)-MATCH($D$1,[2]stages!$1:$1,0)+1),MATCH(F$1,[2]stages!$1:$1,0)-MATCH($D$1,[2]stages!$1:$1,0)+1,FALSE)</f>
        <v>#N/A</v>
      </c>
      <c r="G56" s="30">
        <v>1</v>
      </c>
      <c r="H56" s="16" t="str">
        <f t="shared" ref="H56:H61" si="54">B56&amp;"_"&amp;C56&amp;"-"&amp;G56</f>
        <v>13101_7-1</v>
      </c>
      <c r="I56" s="39" t="s">
        <v>245</v>
      </c>
      <c r="J56" s="39">
        <v>17</v>
      </c>
      <c r="K56" s="20" t="str">
        <f ca="1">VLOOKUP($J56,OFFSET([3]enemies!$A$1,0,0,COUNTA([3]enemies!$A:$A),MATCH(K$1,[3]enemies!$1:$1,0)-MATCH($J$1,[3]enemies!$1:$1,0)+1),MATCH(K$1,[3]enemies!$1:$1,0)-MATCH($J$1,[3]enemies!$1:$1,0)+1,FALSE)</f>
        <v>リム</v>
      </c>
      <c r="L56" s="23" t="str">
        <f ca="1">VLOOKUP($J56,OFFSET([3]enemies!$A$1,0,0,COUNTA([3]enemies!$A:$A),MATCH(L$1,[3]enemies!$1:$1,0)-MATCH($J$1,[3]enemies!$1:$1,0)+1),MATCH(L$1,[3]enemies!$1:$1,0)-MATCH($J$1,[3]enemies!$1:$1,0)+1,FALSE)</f>
        <v>blue</v>
      </c>
      <c r="M56" s="23" t="str">
        <f ca="1">VLOOKUP($J56,OFFSET([4]characters!$A$1,0,0,COUNTA([4]characters!$A:$A),MATCH(M$1,[4]characters!$1:$1,0)-MATCH($J$1,[4]characters!$1:$1,0)+1),MATCH(M$1,[4]characters!$1:$1,0)-MATCH($J$1,[4]characters!$1:$1,0)+1,FALSE)</f>
        <v>Drop1W</v>
      </c>
      <c r="N56" s="22" t="str">
        <f ca="1">VLOOKUP($J56,OFFSET([4]characters!$A$1,0,0,COUNTA([4]characters!$A:$A),MATCH(N$1,[4]characters!$1:$1,0)-MATCH($J$1,[4]characters!$1:$1,0)+2),MATCH(N$1,[4]characters!$1:$1,0)-MATCH($J$1,[4]characters!$1:$1,0)+2,FALSE)</f>
        <v>ヒューマン</v>
      </c>
      <c r="O56" s="5">
        <f ca="1">VLOOKUP($J56,OFFSET([3]enemies!$A$1,0,0,COUNTA([3]enemies!$A:$A),MATCH(O$1,[3]enemies!$1:$1,0)-MATCH($J$1,[3]enemies!$1:$1,0)+1),MATCH(O$1,[3]enemies!$1:$1,0)-MATCH($J$1,[3]enemies!$1:$1,0)+1,FALSE)</f>
        <v>15</v>
      </c>
      <c r="P56" s="45">
        <v>19</v>
      </c>
      <c r="Q56" s="43">
        <v>1</v>
      </c>
      <c r="R56" s="43">
        <v>1</v>
      </c>
      <c r="S56" s="6">
        <v>0</v>
      </c>
      <c r="T56" s="5" t="str">
        <f ca="1">VLOOKUP($U56,OFFSET([5]enemy_skill_sets!$B$1,0,0,COUNTA([5]enemy_skill_sets!$B:$B),MATCH(K$1,[5]enemy_skill_sets!$1:$1,0)-MATCH($U$1,[5]enemy_skill_sets!$1:$1,0)+2),MATCH(K$1,[5]enemy_skill_sets!$1:$1,0)-MATCH($U$1,[5]enemy_skill_sets!$1:$1,0)+2,FALSE)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56" s="5">
        <f ca="1">VLOOKUP($J56,OFFSET([3]enemies!$A$1,0,0,COUNTA([3]enemies!$A:$A),MATCH(U$1,[3]enemies!$1:$1,0)-MATCH($J$1,[3]enemies!$1:$1,0)+1),MATCH(U$1,[3]enemies!$1:$1,0)-MATCH($J$1,[3]enemies!$1:$1,0)+1,FALSE)</f>
        <v>0</v>
      </c>
      <c r="V56" s="7">
        <v>0</v>
      </c>
      <c r="W56" s="7">
        <v>100</v>
      </c>
      <c r="X56" s="7">
        <v>0</v>
      </c>
      <c r="Y56" s="20">
        <f ca="1">VLOOKUP($J56,OFFSET([3]enemies!$A$1,0,0,COUNTA([3]enemies!$A:$A),MATCH(Y$1,[3]enemies!$1:$1,0)-MATCH($J$1,[3]enemies!$1:$1,0)+1),MATCH(Y$1,[3]enemies!$1:$1,0)-MATCH($J$1,[3]enemies!$1:$1,0)+1,FALSE)</f>
        <v>2</v>
      </c>
      <c r="Z56" s="29">
        <v>17</v>
      </c>
      <c r="AA56" s="5" t="str">
        <f ca="1">IFERROR(VLOOKUP($Z56,OFFSET([4]characters!$A$1,0,0,COUNTA([4]characters!$A:$A),MATCH(AA$1,[4]characters!$1:$1,0)-MATCH("character_id",[4]characters!$1:$1,0)+1),MATCH(AA$1,[4]characters!$1:$1,0)-MATCH("character_id",[4]characters!$1:$1,0)+1,FALSE),"")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56" s="5">
        <f ca="1">IFERROR(VLOOKUP($Z56,OFFSET([4]characters!$A$1,0,0,COUNTA([4]characters!$A:$A),MATCH(AB$1,[4]characters!$1:$1,0)-MATCH("character_id",[4]characters!$1:$1,0)+1),MATCH(AB$1,[4]characters!$1:$1,0)-MATCH("character_id",[4]characters!$1:$1,0)+1,FALSE),"")</f>
        <v>1</v>
      </c>
      <c r="AC56" s="5" t="str">
        <f ca="1">IFERROR(VLOOKUP($Z56,OFFSET([4]characters!$A$1,0,0,COUNTA([4]characters!$A:$A),MATCH(AC$1,[4]characters!$1:$1,0)-MATCH("character_id",[4]characters!$1:$1,0)+1),MATCH(AC$1,[4]characters!$1:$1,0)-MATCH("character_id",[4]characters!$1:$1,0)+1,FALSE),"")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56" s="8">
        <v>3</v>
      </c>
      <c r="AE56" s="28">
        <f t="shared" ca="1" si="46"/>
        <v>1</v>
      </c>
      <c r="AF56" s="9">
        <v>25</v>
      </c>
      <c r="AG56" s="8">
        <v>0</v>
      </c>
      <c r="AH56" s="8">
        <v>0</v>
      </c>
      <c r="AI56" s="8">
        <v>0</v>
      </c>
      <c r="AJ56" s="8">
        <v>0</v>
      </c>
      <c r="AK56" s="8">
        <v>1</v>
      </c>
      <c r="AL56" s="8">
        <v>1</v>
      </c>
    </row>
    <row r="57" spans="1:38" ht="21" customHeight="1" x14ac:dyDescent="0.15">
      <c r="A57" s="17" t="str">
        <f t="shared" ref="A57:A62" ca="1" si="55">B57&amp;"_"&amp;C57&amp;"-"&amp;G57&amp;"/"&amp;J57&amp;"&lt;lv"&amp;P57&amp;"&gt;s"&amp;Y57</f>
        <v>13101_7-1/25&lt;lv19&gt;s3</v>
      </c>
      <c r="B57" s="26">
        <v>13101</v>
      </c>
      <c r="C57" s="25">
        <v>7</v>
      </c>
      <c r="D57" s="2" t="str">
        <f t="shared" ref="D57:D62" si="56">B57&amp;"_"&amp;C57</f>
        <v>13101_7</v>
      </c>
      <c r="E57" s="5" t="str">
        <f ca="1">VLOOKUP($B57,OFFSET([2]quests!$A$1,0,0,COUNTA([2]quests!$A:$A),MATCH(E$1,[2]quests!$1:$1,0)-MATCH($B$1,[2]quests!$1:$1,0)+1),MATCH(E$1,[2]quests!$1:$1,0)-MATCH($B$1,[2]quests!$1:$1,0)+1,FALSE)</f>
        <v>チャレンジタワー</v>
      </c>
      <c r="F57" s="5" t="e">
        <f ca="1">VLOOKUP($D57,OFFSET([2]stages!$A$1,0,0,COUNTA([2]stages!$A:$A),MATCH(F$1,[2]stages!$1:$1,0)-MATCH($D$1,[2]stages!$1:$1,0)+1),MATCH(F$1,[2]stages!$1:$1,0)-MATCH($D$1,[2]stages!$1:$1,0)+1,FALSE)</f>
        <v>#N/A</v>
      </c>
      <c r="G57" s="30">
        <v>1</v>
      </c>
      <c r="H57" s="16" t="str">
        <f t="shared" si="54"/>
        <v>13101_7-1</v>
      </c>
      <c r="I57" s="39" t="s">
        <v>245</v>
      </c>
      <c r="J57" s="39">
        <v>25</v>
      </c>
      <c r="K57" s="20" t="str">
        <f ca="1">VLOOKUP($J57,OFFSET([3]enemies!$A$1,0,0,COUNTA([3]enemies!$A:$A),MATCH(K$1,[3]enemies!$1:$1,0)-MATCH($J$1,[3]enemies!$1:$1,0)+1),MATCH(K$1,[3]enemies!$1:$1,0)-MATCH($J$1,[3]enemies!$1:$1,0)+1,FALSE)</f>
        <v>ハチ</v>
      </c>
      <c r="L57" s="23" t="str">
        <f ca="1">VLOOKUP($J57,OFFSET([3]enemies!$A$1,0,0,COUNTA([3]enemies!$A:$A),MATCH(L$1,[3]enemies!$1:$1,0)-MATCH($J$1,[3]enemies!$1:$1,0)+1),MATCH(L$1,[3]enemies!$1:$1,0)-MATCH($J$1,[3]enemies!$1:$1,0)+1,FALSE)</f>
        <v>blue</v>
      </c>
      <c r="M57" s="23" t="str">
        <f ca="1">VLOOKUP($J57,OFFSET([4]characters!$A$1,0,0,COUNTA([4]characters!$A:$A),MATCH(M$1,[4]characters!$1:$1,0)-MATCH($J$1,[4]characters!$1:$1,0)+1),MATCH(M$1,[4]characters!$1:$1,0)-MATCH($J$1,[4]characters!$1:$1,0)+1,FALSE)</f>
        <v>Drop1N</v>
      </c>
      <c r="N57" s="22" t="str">
        <f ca="1">VLOOKUP($J57,OFFSET([4]characters!$A$1,0,0,COUNTA([4]characters!$A:$A),MATCH(N$1,[4]characters!$1:$1,0)-MATCH($J$1,[4]characters!$1:$1,0)+2),MATCH(N$1,[4]characters!$1:$1,0)-MATCH($J$1,[4]characters!$1:$1,0)+2,FALSE)</f>
        <v>アニマル</v>
      </c>
      <c r="O57" s="5">
        <f ca="1">VLOOKUP($J57,OFFSET([3]enemies!$A$1,0,0,COUNTA([3]enemies!$A:$A),MATCH(O$1,[3]enemies!$1:$1,0)-MATCH($J$1,[3]enemies!$1:$1,0)+1),MATCH(O$1,[3]enemies!$1:$1,0)-MATCH($J$1,[3]enemies!$1:$1,0)+1,FALSE)</f>
        <v>15</v>
      </c>
      <c r="P57" s="45">
        <v>19</v>
      </c>
      <c r="Q57" s="43">
        <v>1</v>
      </c>
      <c r="R57" s="43">
        <v>1</v>
      </c>
      <c r="S57" s="6">
        <v>0</v>
      </c>
      <c r="T57" s="5" t="str">
        <f ca="1">VLOOKUP($U57,OFFSET([5]enemy_skill_sets!$B$1,0,0,COUNTA([5]enemy_skill_sets!$B:$B),MATCH(K$1,[5]enemy_skill_sets!$1:$1,0)-MATCH($U$1,[5]enemy_skill_sets!$1:$1,0)+2),MATCH(K$1,[5]enemy_skill_sets!$1:$1,0)-MATCH($U$1,[5]enemy_skill_sets!$1:$1,0)+2,FALSE)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57" s="5">
        <f ca="1">VLOOKUP($J57,OFFSET([3]enemies!$A$1,0,0,COUNTA([3]enemies!$A:$A),MATCH(U$1,[3]enemies!$1:$1,0)-MATCH($J$1,[3]enemies!$1:$1,0)+1),MATCH(U$1,[3]enemies!$1:$1,0)-MATCH($J$1,[3]enemies!$1:$1,0)+1,FALSE)</f>
        <v>0</v>
      </c>
      <c r="V57" s="7">
        <v>0</v>
      </c>
      <c r="W57" s="7">
        <v>100</v>
      </c>
      <c r="X57" s="7">
        <v>0</v>
      </c>
      <c r="Y57" s="20">
        <f ca="1">VLOOKUP($J57,OFFSET([3]enemies!$A$1,0,0,COUNTA([3]enemies!$A:$A),MATCH(Y$1,[3]enemies!$1:$1,0)-MATCH($J$1,[3]enemies!$1:$1,0)+1),MATCH(Y$1,[3]enemies!$1:$1,0)-MATCH($J$1,[3]enemies!$1:$1,0)+1,FALSE)</f>
        <v>3</v>
      </c>
      <c r="Z57" s="29">
        <v>25</v>
      </c>
      <c r="AA57" s="5" t="str">
        <f ca="1">IFERROR(VLOOKUP($Z57,OFFSET([4]characters!$A$1,0,0,COUNTA([4]characters!$A:$A),MATCH(AA$1,[4]characters!$1:$1,0)-MATCH("character_id",[4]characters!$1:$1,0)+1),MATCH(AA$1,[4]characters!$1:$1,0)-MATCH("character_id",[4]characters!$1:$1,0)+1,FALSE),"")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57" s="5">
        <f ca="1">IFERROR(VLOOKUP($Z57,OFFSET([4]characters!$A$1,0,0,COUNTA([4]characters!$A:$A),MATCH(AB$1,[4]characters!$1:$1,0)-MATCH("character_id",[4]characters!$1:$1,0)+1),MATCH(AB$1,[4]characters!$1:$1,0)-MATCH("character_id",[4]characters!$1:$1,0)+1,FALSE),"")</f>
        <v>1</v>
      </c>
      <c r="AC57" s="5" t="str">
        <f ca="1">IFERROR(VLOOKUP($Z57,OFFSET([4]characters!$A$1,0,0,COUNTA([4]characters!$A:$A),MATCH(AC$1,[4]characters!$1:$1,0)-MATCH("character_id",[4]characters!$1:$1,0)+1),MATCH(AC$1,[4]characters!$1:$1,0)-MATCH("character_id",[4]characters!$1:$1,0)+1,FALSE),"")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57" s="8">
        <v>1</v>
      </c>
      <c r="AE57" s="28">
        <f t="shared" ref="AE57:AE62" ca="1" si="57">AB57</f>
        <v>1</v>
      </c>
      <c r="AF57" s="9">
        <v>25</v>
      </c>
      <c r="AG57" s="8">
        <v>0</v>
      </c>
      <c r="AH57" s="8">
        <v>0</v>
      </c>
      <c r="AI57" s="8">
        <v>0</v>
      </c>
      <c r="AJ57" s="8">
        <v>0</v>
      </c>
      <c r="AK57" s="8">
        <v>1</v>
      </c>
      <c r="AL57" s="8">
        <v>1</v>
      </c>
    </row>
    <row r="58" spans="1:38" ht="21" customHeight="1" x14ac:dyDescent="0.15">
      <c r="A58" s="17" t="str">
        <f t="shared" ca="1" si="55"/>
        <v>13101_7-1/29&lt;lv19&gt;s2</v>
      </c>
      <c r="B58" s="26">
        <v>13101</v>
      </c>
      <c r="C58" s="25">
        <v>7</v>
      </c>
      <c r="D58" s="2" t="str">
        <f t="shared" si="56"/>
        <v>13101_7</v>
      </c>
      <c r="E58" s="5" t="str">
        <f ca="1">VLOOKUP($B58,OFFSET([2]quests!$A$1,0,0,COUNTA([2]quests!$A:$A),MATCH(E$1,[2]quests!$1:$1,0)-MATCH($B$1,[2]quests!$1:$1,0)+1),MATCH(E$1,[2]quests!$1:$1,0)-MATCH($B$1,[2]quests!$1:$1,0)+1,FALSE)</f>
        <v>チャレンジタワー</v>
      </c>
      <c r="F58" s="5" t="e">
        <f ca="1">VLOOKUP($D58,OFFSET([2]stages!$A$1,0,0,COUNTA([2]stages!$A:$A),MATCH(F$1,[2]stages!$1:$1,0)-MATCH($D$1,[2]stages!$1:$1,0)+1),MATCH(F$1,[2]stages!$1:$1,0)-MATCH($D$1,[2]stages!$1:$1,0)+1,FALSE)</f>
        <v>#N/A</v>
      </c>
      <c r="G58" s="30">
        <v>1</v>
      </c>
      <c r="H58" s="16" t="str">
        <f t="shared" si="54"/>
        <v>13101_7-1</v>
      </c>
      <c r="I58" s="39" t="s">
        <v>245</v>
      </c>
      <c r="J58" s="39">
        <v>29</v>
      </c>
      <c r="K58" s="20" t="str">
        <f ca="1">VLOOKUP($J58,OFFSET([3]enemies!$A$1,0,0,COUNTA([3]enemies!$A:$A),MATCH(K$1,[3]enemies!$1:$1,0)-MATCH($J$1,[3]enemies!$1:$1,0)+1),MATCH(K$1,[3]enemies!$1:$1,0)-MATCH($J$1,[3]enemies!$1:$1,0)+1,FALSE)</f>
        <v>スケアクロウ</v>
      </c>
      <c r="L58" s="23" t="str">
        <f ca="1">VLOOKUP($J58,OFFSET([3]enemies!$A$1,0,0,COUNTA([3]enemies!$A:$A),MATCH(L$1,[3]enemies!$1:$1,0)-MATCH($J$1,[3]enemies!$1:$1,0)+1),MATCH(L$1,[3]enemies!$1:$1,0)-MATCH($J$1,[3]enemies!$1:$1,0)+1,FALSE)</f>
        <v>blue</v>
      </c>
      <c r="M58" s="23" t="str">
        <f ca="1">VLOOKUP($J58,OFFSET([4]characters!$A$1,0,0,COUNTA([4]characters!$A:$A),MATCH(M$1,[4]characters!$1:$1,0)-MATCH($J$1,[4]characters!$1:$1,0)+1),MATCH(M$1,[4]characters!$1:$1,0)-MATCH($J$1,[4]characters!$1:$1,0)+1,FALSE)</f>
        <v>Drop1N</v>
      </c>
      <c r="N58" s="22" t="str">
        <f ca="1">VLOOKUP($J58,OFFSET([4]characters!$A$1,0,0,COUNTA([4]characters!$A:$A),MATCH(N$1,[4]characters!$1:$1,0)-MATCH($J$1,[4]characters!$1:$1,0)+2),MATCH(N$1,[4]characters!$1:$1,0)-MATCH($J$1,[4]characters!$1:$1,0)+2,FALSE)</f>
        <v>マシン</v>
      </c>
      <c r="O58" s="5">
        <f ca="1">VLOOKUP($J58,OFFSET([3]enemies!$A$1,0,0,COUNTA([3]enemies!$A:$A),MATCH(O$1,[3]enemies!$1:$1,0)-MATCH($J$1,[3]enemies!$1:$1,0)+1),MATCH(O$1,[3]enemies!$1:$1,0)-MATCH($J$1,[3]enemies!$1:$1,0)+1,FALSE)</f>
        <v>15</v>
      </c>
      <c r="P58" s="45">
        <v>19</v>
      </c>
      <c r="Q58" s="43">
        <v>1</v>
      </c>
      <c r="R58" s="43">
        <v>1</v>
      </c>
      <c r="S58" s="6">
        <v>0</v>
      </c>
      <c r="T58" s="5" t="str">
        <f ca="1">VLOOKUP($U58,OFFSET([5]enemy_skill_sets!$B$1,0,0,COUNTA([5]enemy_skill_sets!$B:$B),MATCH(K$1,[5]enemy_skill_sets!$1:$1,0)-MATCH($U$1,[5]enemy_skill_sets!$1:$1,0)+2),MATCH(K$1,[5]enemy_skill_sets!$1:$1,0)-MATCH($U$1,[5]enemy_skill_sets!$1:$1,0)+2,FALSE)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58" s="5">
        <f ca="1">VLOOKUP($J58,OFFSET([3]enemies!$A$1,0,0,COUNTA([3]enemies!$A:$A),MATCH(U$1,[3]enemies!$1:$1,0)-MATCH($J$1,[3]enemies!$1:$1,0)+1),MATCH(U$1,[3]enemies!$1:$1,0)-MATCH($J$1,[3]enemies!$1:$1,0)+1,FALSE)</f>
        <v>0</v>
      </c>
      <c r="V58" s="7">
        <v>0</v>
      </c>
      <c r="W58" s="7">
        <v>100</v>
      </c>
      <c r="X58" s="7">
        <v>0</v>
      </c>
      <c r="Y58" s="20">
        <f ca="1">VLOOKUP($J58,OFFSET([3]enemies!$A$1,0,0,COUNTA([3]enemies!$A:$A),MATCH(Y$1,[3]enemies!$1:$1,0)-MATCH($J$1,[3]enemies!$1:$1,0)+1),MATCH(Y$1,[3]enemies!$1:$1,0)-MATCH($J$1,[3]enemies!$1:$1,0)+1,FALSE)</f>
        <v>2</v>
      </c>
      <c r="Z58" s="29">
        <v>29</v>
      </c>
      <c r="AA58" s="5" t="str">
        <f ca="1">IFERROR(VLOOKUP($Z58,OFFSET([4]characters!$A$1,0,0,COUNTA([4]characters!$A:$A),MATCH(AA$1,[4]characters!$1:$1,0)-MATCH("character_id",[4]characters!$1:$1,0)+1),MATCH(AA$1,[4]characters!$1:$1,0)-MATCH("character_id",[4]characters!$1:$1,0)+1,FALSE),"")</f>
        <v>スケアクロウ</v>
      </c>
      <c r="AB58" s="5">
        <f ca="1">IFERROR(VLOOKUP($Z58,OFFSET([4]characters!$A$1,0,0,COUNTA([4]characters!$A:$A),MATCH(AB$1,[4]characters!$1:$1,0)-MATCH("character_id",[4]characters!$1:$1,0)+1),MATCH(AB$1,[4]characters!$1:$1,0)-MATCH("character_id",[4]characters!$1:$1,0)+1,FALSE),"")</f>
        <v>1</v>
      </c>
      <c r="AC58" s="5" t="str">
        <f ca="1">IFERROR(VLOOKUP($Z58,OFFSET([4]characters!$A$1,0,0,COUNTA([4]characters!$A:$A),MATCH(AC$1,[4]characters!$1:$1,0)-MATCH("character_id",[4]characters!$1:$1,0)+1),MATCH(AC$1,[4]characters!$1:$1,0)-MATCH("character_id",[4]characters!$1:$1,0)+1,FALSE),"")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58" s="8">
        <v>1</v>
      </c>
      <c r="AE58" s="28">
        <f t="shared" ca="1" si="57"/>
        <v>1</v>
      </c>
      <c r="AF58" s="9">
        <v>25</v>
      </c>
      <c r="AG58" s="8">
        <v>0</v>
      </c>
      <c r="AH58" s="8">
        <v>0</v>
      </c>
      <c r="AI58" s="8">
        <v>0</v>
      </c>
      <c r="AJ58" s="8">
        <v>0</v>
      </c>
      <c r="AK58" s="8">
        <v>1</v>
      </c>
      <c r="AL58" s="8">
        <v>1</v>
      </c>
    </row>
    <row r="59" spans="1:38" ht="21" customHeight="1" x14ac:dyDescent="0.15">
      <c r="A59" s="17" t="str">
        <f t="shared" ca="1" si="55"/>
        <v>13101_7-2/56&lt;lv19&gt;s4</v>
      </c>
      <c r="B59" s="26">
        <v>13101</v>
      </c>
      <c r="C59" s="25">
        <v>7</v>
      </c>
      <c r="D59" s="2" t="str">
        <f t="shared" si="56"/>
        <v>13101_7</v>
      </c>
      <c r="E59" s="5" t="str">
        <f ca="1">VLOOKUP($B59,OFFSET([2]quests!$A$1,0,0,COUNTA([2]quests!$A:$A),MATCH(E$1,[2]quests!$1:$1,0)-MATCH($B$1,[2]quests!$1:$1,0)+1),MATCH(E$1,[2]quests!$1:$1,0)-MATCH($B$1,[2]quests!$1:$1,0)+1,FALSE)</f>
        <v>チャレンジタワー</v>
      </c>
      <c r="F59" s="5" t="e">
        <f ca="1">VLOOKUP($D59,OFFSET([2]stages!$A$1,0,0,COUNTA([2]stages!$A:$A),MATCH(F$1,[2]stages!$1:$1,0)-MATCH($D$1,[2]stages!$1:$1,0)+1),MATCH(F$1,[2]stages!$1:$1,0)-MATCH($D$1,[2]stages!$1:$1,0)+1,FALSE)</f>
        <v>#N/A</v>
      </c>
      <c r="G59" s="30">
        <v>2</v>
      </c>
      <c r="H59" s="16" t="str">
        <f t="shared" si="54"/>
        <v>13101_7-2</v>
      </c>
      <c r="I59" s="39" t="s">
        <v>245</v>
      </c>
      <c r="J59" s="39">
        <v>56</v>
      </c>
      <c r="K59" s="20" t="str">
        <f ca="1">VLOOKUP($J59,OFFSET([3]enemies!$A$1,0,0,COUNTA([3]enemies!$A:$A),MATCH(K$1,[3]enemies!$1:$1,0)-MATCH($J$1,[3]enemies!$1:$1,0)+1),MATCH(K$1,[3]enemies!$1:$1,0)-MATCH($J$1,[3]enemies!$1:$1,0)+1,FALSE)</f>
        <v>黄槌のレジスタンス マミコ</v>
      </c>
      <c r="L59" s="23" t="str">
        <f ca="1">VLOOKUP($J59,OFFSET([3]enemies!$A$1,0,0,COUNTA([3]enemies!$A:$A),MATCH(L$1,[3]enemies!$1:$1,0)-MATCH($J$1,[3]enemies!$1:$1,0)+1),MATCH(L$1,[3]enemies!$1:$1,0)-MATCH($J$1,[3]enemies!$1:$1,0)+1,FALSE)</f>
        <v>yellow</v>
      </c>
      <c r="M59" s="23" t="str">
        <f ca="1">VLOOKUP($J59,OFFSET([4]characters!$A$1,0,0,COUNTA([4]characters!$A:$A),MATCH(M$1,[4]characters!$1:$1,0)-MATCH($J$1,[4]characters!$1:$1,0)+1),MATCH(M$1,[4]characters!$1:$1,0)-MATCH($J$1,[4]characters!$1:$1,0)+1,FALSE)</f>
        <v>Drop1N</v>
      </c>
      <c r="N59" s="22" t="str">
        <f ca="1">VLOOKUP($J59,OFFSET([4]characters!$A$1,0,0,COUNTA([4]characters!$A:$A),MATCH(N$1,[4]characters!$1:$1,0)-MATCH($J$1,[4]characters!$1:$1,0)+2),MATCH(N$1,[4]characters!$1:$1,0)-MATCH($J$1,[4]characters!$1:$1,0)+2,FALSE)</f>
        <v>ヒューマン</v>
      </c>
      <c r="O59" s="5">
        <f ca="1">VLOOKUP($J59,OFFSET([3]enemies!$A$1,0,0,COUNTA([3]enemies!$A:$A),MATCH(O$1,[3]enemies!$1:$1,0)-MATCH($J$1,[3]enemies!$1:$1,0)+1),MATCH(O$1,[3]enemies!$1:$1,0)-MATCH($J$1,[3]enemies!$1:$1,0)+1,FALSE)</f>
        <v>20</v>
      </c>
      <c r="P59" s="45">
        <v>19</v>
      </c>
      <c r="Q59" s="43">
        <v>1.5</v>
      </c>
      <c r="R59" s="43">
        <v>1</v>
      </c>
      <c r="S59" s="6">
        <v>0</v>
      </c>
      <c r="T59" s="5" t="str">
        <f ca="1">VLOOKUP($U59,OFFSET([5]enemy_skill_sets!$B$1,0,0,COUNTA([5]enemy_skill_sets!$B:$B),MATCH(K$1,[5]enemy_skill_sets!$1:$1,0)-MATCH($U$1,[5]enemy_skill_sets!$1:$1,0)+2),MATCH(K$1,[5]enemy_skill_sets!$1:$1,0)-MATCH($U$1,[5]enemy_skill_sets!$1:$1,0)+2,FALSE)</f>
        <v>4ターンスキルが使えない！</v>
      </c>
      <c r="U59" s="5">
        <f ca="1">VLOOKUP($J59,OFFSET([3]enemies!$A$1,0,0,COUNTA([3]enemies!$A:$A),MATCH(U$1,[3]enemies!$1:$1,0)-MATCH($J$1,[3]enemies!$1:$1,0)+1),MATCH(U$1,[3]enemies!$1:$1,0)-MATCH($J$1,[3]enemies!$1:$1,0)+1,FALSE)</f>
        <v>56</v>
      </c>
      <c r="V59" s="41">
        <v>1</v>
      </c>
      <c r="W59" s="7">
        <v>100</v>
      </c>
      <c r="X59" s="41">
        <v>1</v>
      </c>
      <c r="Y59" s="20">
        <f ca="1">VLOOKUP($J59,OFFSET([3]enemies!$A$1,0,0,COUNTA([3]enemies!$A:$A),MATCH(Y$1,[3]enemies!$1:$1,0)-MATCH($J$1,[3]enemies!$1:$1,0)+1),MATCH(Y$1,[3]enemies!$1:$1,0)-MATCH($J$1,[3]enemies!$1:$1,0)+1,FALSE)</f>
        <v>4</v>
      </c>
      <c r="Z59" s="29">
        <v>55</v>
      </c>
      <c r="AA59" s="5" t="str">
        <f ca="1">IFERROR(VLOOKUP($Z59,OFFSET([4]characters!$A$1,0,0,COUNTA([4]characters!$A:$A),MATCH(AA$1,[4]characters!$1:$1,0)-MATCH("character_id",[4]characters!$1:$1,0)+1),MATCH(AA$1,[4]characters!$1:$1,0)-MATCH("character_id",[4]characters!$1:$1,0)+1,FALSE),"")</f>
        <v>マミコ</v>
      </c>
      <c r="AB59" s="5">
        <f ca="1">IFERROR(VLOOKUP($Z59,OFFSET([4]characters!$A$1,0,0,COUNTA([4]characters!$A:$A),MATCH(AB$1,[4]characters!$1:$1,0)-MATCH("character_id",[4]characters!$1:$1,0)+1),MATCH(AB$1,[4]characters!$1:$1,0)-MATCH("character_id",[4]characters!$1:$1,0)+1,FALSE),"")</f>
        <v>2</v>
      </c>
      <c r="AC59" s="5" t="str">
        <f ca="1">IFERROR(VLOOKUP($Z59,OFFSET([4]characters!$A$1,0,0,COUNTA([4]characters!$A:$A),MATCH(AC$1,[4]characters!$1:$1,0)-MATCH("character_id",[4]characters!$1:$1,0)+1),MATCH(AC$1,[4]characters!$1:$1,0)-MATCH("character_id",[4]characters!$1:$1,0)+1,FALSE),"")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59" s="8">
        <v>1</v>
      </c>
      <c r="AE59" s="28">
        <f t="shared" ca="1" si="57"/>
        <v>2</v>
      </c>
      <c r="AF59" s="9">
        <v>0</v>
      </c>
      <c r="AG59" s="8">
        <v>0</v>
      </c>
      <c r="AH59" s="8">
        <v>0</v>
      </c>
      <c r="AI59" s="8">
        <v>0</v>
      </c>
      <c r="AJ59" s="8">
        <v>0</v>
      </c>
      <c r="AK59" s="8">
        <v>1</v>
      </c>
      <c r="AL59" s="8">
        <v>1</v>
      </c>
    </row>
    <row r="60" spans="1:38" ht="21" customHeight="1" x14ac:dyDescent="0.15">
      <c r="A60" s="17" t="str">
        <f t="shared" ref="A60" ca="1" si="58">B60&amp;"_"&amp;C60&amp;"-"&amp;G60&amp;"/"&amp;J60&amp;"&lt;lv"&amp;P60&amp;"&gt;s"&amp;Y60</f>
        <v>13101_7-2/56&lt;lv20&gt;s4</v>
      </c>
      <c r="B60" s="26">
        <v>13101</v>
      </c>
      <c r="C60" s="25">
        <v>7</v>
      </c>
      <c r="D60" s="2" t="str">
        <f t="shared" ref="D60" si="59">B60&amp;"_"&amp;C60</f>
        <v>13101_7</v>
      </c>
      <c r="E60" s="5" t="str">
        <f ca="1">VLOOKUP($B60,OFFSET([2]quests!$A$1,0,0,COUNTA([2]quests!$A:$A),MATCH(E$1,[2]quests!$1:$1,0)-MATCH($B$1,[2]quests!$1:$1,0)+1),MATCH(E$1,[2]quests!$1:$1,0)-MATCH($B$1,[2]quests!$1:$1,0)+1,FALSE)</f>
        <v>チャレンジタワー</v>
      </c>
      <c r="F60" s="5" t="e">
        <f ca="1">VLOOKUP($D60,OFFSET([2]stages!$A$1,0,0,COUNTA([2]stages!$A:$A),MATCH(F$1,[2]stages!$1:$1,0)-MATCH($D$1,[2]stages!$1:$1,0)+1),MATCH(F$1,[2]stages!$1:$1,0)-MATCH($D$1,[2]stages!$1:$1,0)+1,FALSE)</f>
        <v>#N/A</v>
      </c>
      <c r="G60" s="30">
        <v>2</v>
      </c>
      <c r="H60" s="16" t="str">
        <f t="shared" ref="H60" si="60">B60&amp;"_"&amp;C60&amp;"-"&amp;G60</f>
        <v>13101_7-2</v>
      </c>
      <c r="I60" s="39" t="s">
        <v>245</v>
      </c>
      <c r="J60" s="39">
        <v>56</v>
      </c>
      <c r="K60" s="20" t="str">
        <f ca="1">VLOOKUP($J60,OFFSET([3]enemies!$A$1,0,0,COUNTA([3]enemies!$A:$A),MATCH(K$1,[3]enemies!$1:$1,0)-MATCH($J$1,[3]enemies!$1:$1,0)+1),MATCH(K$1,[3]enemies!$1:$1,0)-MATCH($J$1,[3]enemies!$1:$1,0)+1,FALSE)</f>
        <v>黄槌のレジスタンス マミコ</v>
      </c>
      <c r="L60" s="23" t="str">
        <f ca="1">VLOOKUP($J60,OFFSET([3]enemies!$A$1,0,0,COUNTA([3]enemies!$A:$A),MATCH(L$1,[3]enemies!$1:$1,0)-MATCH($J$1,[3]enemies!$1:$1,0)+1),MATCH(L$1,[3]enemies!$1:$1,0)-MATCH($J$1,[3]enemies!$1:$1,0)+1,FALSE)</f>
        <v>yellow</v>
      </c>
      <c r="M60" s="23" t="str">
        <f ca="1">VLOOKUP($J60,OFFSET([4]characters!$A$1,0,0,COUNTA([4]characters!$A:$A),MATCH(M$1,[4]characters!$1:$1,0)-MATCH($J$1,[4]characters!$1:$1,0)+1),MATCH(M$1,[4]characters!$1:$1,0)-MATCH($J$1,[4]characters!$1:$1,0)+1,FALSE)</f>
        <v>Drop1N</v>
      </c>
      <c r="N60" s="22" t="str">
        <f ca="1">VLOOKUP($J60,OFFSET([4]characters!$A$1,0,0,COUNTA([4]characters!$A:$A),MATCH(N$1,[4]characters!$1:$1,0)-MATCH($J$1,[4]characters!$1:$1,0)+2),MATCH(N$1,[4]characters!$1:$1,0)-MATCH($J$1,[4]characters!$1:$1,0)+2,FALSE)</f>
        <v>ヒューマン</v>
      </c>
      <c r="O60" s="5">
        <f ca="1">VLOOKUP($J60,OFFSET([3]enemies!$A$1,0,0,COUNTA([3]enemies!$A:$A),MATCH(O$1,[3]enemies!$1:$1,0)-MATCH($J$1,[3]enemies!$1:$1,0)+1),MATCH(O$1,[3]enemies!$1:$1,0)-MATCH($J$1,[3]enemies!$1:$1,0)+1,FALSE)</f>
        <v>20</v>
      </c>
      <c r="P60" s="40">
        <v>20</v>
      </c>
      <c r="Q60" s="43">
        <v>1.5</v>
      </c>
      <c r="R60" s="43">
        <v>1</v>
      </c>
      <c r="S60" s="6">
        <v>0</v>
      </c>
      <c r="T60" s="5" t="str">
        <f ca="1">VLOOKUP($U60,OFFSET([5]enemy_skill_sets!$B$1,0,0,COUNTA([5]enemy_skill_sets!$B:$B),MATCH(K$1,[5]enemy_skill_sets!$1:$1,0)-MATCH($U$1,[5]enemy_skill_sets!$1:$1,0)+2),MATCH(K$1,[5]enemy_skill_sets!$1:$1,0)-MATCH($U$1,[5]enemy_skill_sets!$1:$1,0)+2,FALSE)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60" s="51">
        <v>0</v>
      </c>
      <c r="V60" s="41">
        <v>1</v>
      </c>
      <c r="W60" s="7">
        <v>100</v>
      </c>
      <c r="X60" s="41">
        <v>1</v>
      </c>
      <c r="Y60" s="20">
        <f ca="1">VLOOKUP($J60,OFFSET([3]enemies!$A$1,0,0,COUNTA([3]enemies!$A:$A),MATCH(Y$1,[3]enemies!$1:$1,0)-MATCH($J$1,[3]enemies!$1:$1,0)+1),MATCH(Y$1,[3]enemies!$1:$1,0)-MATCH($J$1,[3]enemies!$1:$1,0)+1,FALSE)</f>
        <v>4</v>
      </c>
      <c r="Z60" s="29">
        <v>55</v>
      </c>
      <c r="AA60" s="5" t="str">
        <f ca="1">IFERROR(VLOOKUP($Z60,OFFSET([4]characters!$A$1,0,0,COUNTA([4]characters!$A:$A),MATCH(AA$1,[4]characters!$1:$1,0)-MATCH("character_id",[4]characters!$1:$1,0)+1),MATCH(AA$1,[4]characters!$1:$1,0)-MATCH("character_id",[4]characters!$1:$1,0)+1,FALSE),"")</f>
        <v>マミコ</v>
      </c>
      <c r="AB60" s="5">
        <f ca="1">IFERROR(VLOOKUP($Z60,OFFSET([4]characters!$A$1,0,0,COUNTA([4]characters!$A:$A),MATCH(AB$1,[4]characters!$1:$1,0)-MATCH("character_id",[4]characters!$1:$1,0)+1),MATCH(AB$1,[4]characters!$1:$1,0)-MATCH("character_id",[4]characters!$1:$1,0)+1,FALSE),"")</f>
        <v>2</v>
      </c>
      <c r="AC60" s="5" t="str">
        <f ca="1">IFERROR(VLOOKUP($Z60,OFFSET([4]characters!$A$1,0,0,COUNTA([4]characters!$A:$A),MATCH(AC$1,[4]characters!$1:$1,0)-MATCH("character_id",[4]characters!$1:$1,0)+1),MATCH(AC$1,[4]characters!$1:$1,0)-MATCH("character_id",[4]characters!$1:$1,0)+1,FALSE),"")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60" s="8">
        <v>1</v>
      </c>
      <c r="AE60" s="28">
        <f t="shared" ref="AE60" ca="1" si="61">AB60</f>
        <v>2</v>
      </c>
      <c r="AF60" s="9">
        <v>0</v>
      </c>
      <c r="AG60" s="8">
        <v>0</v>
      </c>
      <c r="AH60" s="8">
        <v>0</v>
      </c>
      <c r="AI60" s="8">
        <v>0</v>
      </c>
      <c r="AJ60" s="8">
        <v>0</v>
      </c>
      <c r="AK60" s="8">
        <v>1</v>
      </c>
      <c r="AL60" s="8">
        <v>1</v>
      </c>
    </row>
    <row r="61" spans="1:38" ht="21" customHeight="1" x14ac:dyDescent="0.15">
      <c r="A61" s="17" t="str">
        <f t="shared" ca="1" si="55"/>
        <v>13101_7-3/141&lt;lv24&gt;s2</v>
      </c>
      <c r="B61" s="26">
        <v>13101</v>
      </c>
      <c r="C61" s="25">
        <v>7</v>
      </c>
      <c r="D61" s="2" t="str">
        <f t="shared" si="56"/>
        <v>13101_7</v>
      </c>
      <c r="E61" s="5" t="str">
        <f ca="1">VLOOKUP($B61,OFFSET([2]quests!$A$1,0,0,COUNTA([2]quests!$A:$A),MATCH(E$1,[2]quests!$1:$1,0)-MATCH($B$1,[2]quests!$1:$1,0)+1),MATCH(E$1,[2]quests!$1:$1,0)-MATCH($B$1,[2]quests!$1:$1,0)+1,FALSE)</f>
        <v>チャレンジタワー</v>
      </c>
      <c r="F61" s="5" t="e">
        <f ca="1">VLOOKUP($D61,OFFSET([2]stages!$A$1,0,0,COUNTA([2]stages!$A:$A),MATCH(F$1,[2]stages!$1:$1,0)-MATCH($D$1,[2]stages!$1:$1,0)+1),MATCH(F$1,[2]stages!$1:$1,0)-MATCH($D$1,[2]stages!$1:$1,0)+1,FALSE)</f>
        <v>#N/A</v>
      </c>
      <c r="G61" s="30">
        <v>3</v>
      </c>
      <c r="H61" s="16" t="str">
        <f t="shared" si="54"/>
        <v>13101_7-3</v>
      </c>
      <c r="I61" s="39" t="s">
        <v>245</v>
      </c>
      <c r="J61" s="39">
        <v>141</v>
      </c>
      <c r="K61" s="20" t="str">
        <f ca="1">VLOOKUP($J61,OFFSET([3]enemies!$A$1,0,0,COUNTA([3]enemies!$A:$A),MATCH(K$1,[3]enemies!$1:$1,0)-MATCH($J$1,[3]enemies!$1:$1,0)+1),MATCH(K$1,[3]enemies!$1:$1,0)-MATCH($J$1,[3]enemies!$1:$1,0)+1,FALSE)</f>
        <v>妖狐演舞 タマモ</v>
      </c>
      <c r="L61" s="23" t="str">
        <f ca="1">VLOOKUP($J61,OFFSET([3]enemies!$A$1,0,0,COUNTA([3]enemies!$A:$A),MATCH(L$1,[3]enemies!$1:$1,0)-MATCH($J$1,[3]enemies!$1:$1,0)+1),MATCH(L$1,[3]enemies!$1:$1,0)-MATCH($J$1,[3]enemies!$1:$1,0)+1,FALSE)</f>
        <v>yellow</v>
      </c>
      <c r="M61" s="23" t="str">
        <f ca="1">VLOOKUP($J61,OFFSET([4]characters!$A$1,0,0,COUNTA([4]characters!$A:$A),MATCH(M$1,[4]characters!$1:$1,0)-MATCH($J$1,[4]characters!$1:$1,0)+1),MATCH(M$1,[4]characters!$1:$1,0)-MATCH($J$1,[4]characters!$1:$1,0)+1,FALSE)</f>
        <v>PremiumW</v>
      </c>
      <c r="N61" s="22" t="str">
        <f ca="1">VLOOKUP($J61,OFFSET([4]characters!$A$1,0,0,COUNTA([4]characters!$A:$A),MATCH(N$1,[4]characters!$1:$1,0)-MATCH($J$1,[4]characters!$1:$1,0)+2),MATCH(N$1,[4]characters!$1:$1,0)-MATCH($J$1,[4]characters!$1:$1,0)+2,FALSE)</f>
        <v>アニマル</v>
      </c>
      <c r="O61" s="5">
        <f ca="1">VLOOKUP($J61,OFFSET([3]enemies!$A$1,0,0,COUNTA([3]enemies!$A:$A),MATCH(O$1,[3]enemies!$1:$1,0)-MATCH($J$1,[3]enemies!$1:$1,0)+1),MATCH(O$1,[3]enemies!$1:$1,0)-MATCH($J$1,[3]enemies!$1:$1,0)+1,FALSE)</f>
        <v>30</v>
      </c>
      <c r="P61" s="45">
        <v>24</v>
      </c>
      <c r="Q61" s="43">
        <v>1</v>
      </c>
      <c r="R61" s="43">
        <v>1</v>
      </c>
      <c r="S61" s="6">
        <v>0</v>
      </c>
      <c r="T61" s="5" t="str">
        <f ca="1">VLOOKUP($U61,OFFSET([5]enemy_skill_sets!$B$1,0,0,COUNTA([5]enemy_skill_sets!$B:$B),MATCH(K$1,[5]enemy_skill_sets!$1:$1,0)-MATCH($U$1,[5]enemy_skill_sets!$1:$1,0)+2),MATCH(K$1,[5]enemy_skill_sets!$1:$1,0)-MATCH($U$1,[5]enemy_skill_sets!$1:$1,0)+2,FALSE)</f>
        <v>2ターン攻撃頻度が1ターンにUP</v>
      </c>
      <c r="U61" s="5">
        <f ca="1">VLOOKUP($J61,OFFSET([3]enemies!$A$1,0,0,COUNTA([3]enemies!$A:$A),MATCH(U$1,[3]enemies!$1:$1,0)-MATCH($J$1,[3]enemies!$1:$1,0)+1),MATCH(U$1,[3]enemies!$1:$1,0)-MATCH($J$1,[3]enemies!$1:$1,0)+1,FALSE)</f>
        <v>141</v>
      </c>
      <c r="V61" s="7">
        <v>1</v>
      </c>
      <c r="W61" s="7">
        <v>100</v>
      </c>
      <c r="X61" s="7">
        <v>1</v>
      </c>
      <c r="Y61" s="20">
        <f ca="1">VLOOKUP($J61,OFFSET([3]enemies!$A$1,0,0,COUNTA([3]enemies!$A:$A),MATCH(Y$1,[3]enemies!$1:$1,0)-MATCH($J$1,[3]enemies!$1:$1,0)+1),MATCH(Y$1,[3]enemies!$1:$1,0)-MATCH($J$1,[3]enemies!$1:$1,0)+1,FALSE)</f>
        <v>2</v>
      </c>
      <c r="Z61" s="29">
        <v>141</v>
      </c>
      <c r="AA61" s="5" t="str">
        <f ca="1">IFERROR(VLOOKUP($Z61,OFFSET([4]characters!$A$1,0,0,COUNTA([4]characters!$A:$A),MATCH(AA$1,[4]characters!$1:$1,0)-MATCH("character_id",[4]characters!$1:$1,0)+1),MATCH(AA$1,[4]characters!$1:$1,0)-MATCH("character_id",[4]characters!$1:$1,0)+1,FALSE),"")</f>
        <v>妖狐演舞 タマモ</v>
      </c>
      <c r="AB61" s="5">
        <f ca="1">IFERROR(VLOOKUP($Z61,OFFSET([4]characters!$A$1,0,0,COUNTA([4]characters!$A:$A),MATCH(AB$1,[4]characters!$1:$1,0)-MATCH("character_id",[4]characters!$1:$1,0)+1),MATCH(AB$1,[4]characters!$1:$1,0)-MATCH("character_id",[4]characters!$1:$1,0)+1,FALSE),"")</f>
        <v>4</v>
      </c>
      <c r="AC61" s="5" t="str">
        <f ca="1">IFERROR(VLOOKUP($Z61,OFFSET([4]characters!$A$1,0,0,COUNTA([4]characters!$A:$A),MATCH(AC$1,[4]characters!$1:$1,0)-MATCH("character_id",[4]characters!$1:$1,0)+1),MATCH(AC$1,[4]characters!$1:$1,0)-MATCH("character_id",[4]characters!$1:$1,0)+1,FALSE),"")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61" s="8">
        <v>1</v>
      </c>
      <c r="AE61" s="28">
        <f t="shared" ca="1" si="57"/>
        <v>4</v>
      </c>
      <c r="AF61" s="9">
        <v>0</v>
      </c>
      <c r="AG61" s="8">
        <v>0</v>
      </c>
      <c r="AH61" s="8">
        <v>0</v>
      </c>
      <c r="AI61" s="8">
        <v>0</v>
      </c>
      <c r="AJ61" s="8">
        <v>0</v>
      </c>
      <c r="AK61" s="8">
        <v>1</v>
      </c>
      <c r="AL61" s="8">
        <v>1</v>
      </c>
    </row>
    <row r="62" spans="1:38" ht="21" customHeight="1" x14ac:dyDescent="0.15">
      <c r="A62" s="17" t="str">
        <f t="shared" ca="1" si="55"/>
        <v>13101_8-1/1&lt;lv22&gt;s1</v>
      </c>
      <c r="B62" s="26">
        <v>13101</v>
      </c>
      <c r="C62" s="25">
        <v>8</v>
      </c>
      <c r="D62" s="2" t="str">
        <f t="shared" si="56"/>
        <v>13101_8</v>
      </c>
      <c r="E62" s="5" t="str">
        <f ca="1">VLOOKUP($B62,OFFSET([2]quests!$A$1,0,0,COUNTA([2]quests!$A:$A),MATCH(E$1,[2]quests!$1:$1,0)-MATCH($B$1,[2]quests!$1:$1,0)+1),MATCH(E$1,[2]quests!$1:$1,0)-MATCH($B$1,[2]quests!$1:$1,0)+1,FALSE)</f>
        <v>チャレンジタワー</v>
      </c>
      <c r="F62" s="5" t="e">
        <f ca="1">VLOOKUP($D62,OFFSET([2]stages!$A$1,0,0,COUNTA([2]stages!$A:$A),MATCH(F$1,[2]stages!$1:$1,0)-MATCH($D$1,[2]stages!$1:$1,0)+1),MATCH(F$1,[2]stages!$1:$1,0)-MATCH($D$1,[2]stages!$1:$1,0)+1,FALSE)</f>
        <v>#N/A</v>
      </c>
      <c r="G62" s="30">
        <v>1</v>
      </c>
      <c r="H62" s="16" t="str">
        <f t="shared" ref="H62:H71" si="62">B62&amp;"_"&amp;C62&amp;"-"&amp;G62</f>
        <v>13101_8-1</v>
      </c>
      <c r="I62" s="39" t="s">
        <v>245</v>
      </c>
      <c r="J62" s="39">
        <v>1</v>
      </c>
      <c r="K62" s="20" t="str">
        <f ca="1">VLOOKUP($J62,OFFSET([3]enemies!$A$1,0,0,COUNTA([3]enemies!$A:$A),MATCH(K$1,[3]enemies!$1:$1,0)-MATCH($J$1,[3]enemies!$1:$1,0)+1),MATCH(K$1,[3]enemies!$1:$1,0)-MATCH($J$1,[3]enemies!$1:$1,0)+1,FALSE)</f>
        <v>ジェリー</v>
      </c>
      <c r="L62" s="23" t="str">
        <f ca="1">VLOOKUP($J62,OFFSET([3]enemies!$A$1,0,0,COUNTA([3]enemies!$A:$A),MATCH(L$1,[3]enemies!$1:$1,0)-MATCH($J$1,[3]enemies!$1:$1,0)+1),MATCH(L$1,[3]enemies!$1:$1,0)-MATCH($J$1,[3]enemies!$1:$1,0)+1,FALSE)</f>
        <v>red</v>
      </c>
      <c r="M62" s="23" t="str">
        <f ca="1">VLOOKUP($J62,OFFSET([4]characters!$A$1,0,0,COUNTA([4]characters!$A:$A),MATCH(M$1,[4]characters!$1:$1,0)-MATCH($J$1,[4]characters!$1:$1,0)+1),MATCH(M$1,[4]characters!$1:$1,0)-MATCH($J$1,[4]characters!$1:$1,0)+1,FALSE)</f>
        <v>Drop1T</v>
      </c>
      <c r="N62" s="22" t="str">
        <f ca="1">VLOOKUP($J62,OFFSET([4]characters!$A$1,0,0,COUNTA([4]characters!$A:$A),MATCH(N$1,[4]characters!$1:$1,0)-MATCH($J$1,[4]characters!$1:$1,0)+2),MATCH(N$1,[4]characters!$1:$1,0)-MATCH($J$1,[4]characters!$1:$1,0)+2,FALSE)</f>
        <v>Unknown</v>
      </c>
      <c r="O62" s="5">
        <f ca="1">VLOOKUP($J62,OFFSET([3]enemies!$A$1,0,0,COUNTA([3]enemies!$A:$A),MATCH(O$1,[3]enemies!$1:$1,0)-MATCH($J$1,[3]enemies!$1:$1,0)+1),MATCH(O$1,[3]enemies!$1:$1,0)-MATCH($J$1,[3]enemies!$1:$1,0)+1,FALSE)</f>
        <v>15</v>
      </c>
      <c r="P62" s="45">
        <v>22</v>
      </c>
      <c r="Q62" s="43">
        <v>1</v>
      </c>
      <c r="R62" s="43">
        <v>1</v>
      </c>
      <c r="S62" s="6">
        <v>0</v>
      </c>
      <c r="T62" s="5" t="str">
        <f ca="1">VLOOKUP($U62,OFFSET([5]enemy_skill_sets!$B$1,0,0,COUNTA([5]enemy_skill_sets!$B:$B),MATCH(K$1,[5]enemy_skill_sets!$1:$1,0)-MATCH($U$1,[5]enemy_skill_sets!$1:$1,0)+2),MATCH(K$1,[5]enemy_skill_sets!$1:$1,0)-MATCH($U$1,[5]enemy_skill_sets!$1:$1,0)+2,FALSE)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62" s="5">
        <f ca="1">VLOOKUP($J62,OFFSET([3]enemies!$A$1,0,0,COUNTA([3]enemies!$A:$A),MATCH(U$1,[3]enemies!$1:$1,0)-MATCH($J$1,[3]enemies!$1:$1,0)+1),MATCH(U$1,[3]enemies!$1:$1,0)-MATCH($J$1,[3]enemies!$1:$1,0)+1,FALSE)</f>
        <v>0</v>
      </c>
      <c r="V62" s="7">
        <v>0</v>
      </c>
      <c r="W62" s="7">
        <v>100</v>
      </c>
      <c r="X62" s="7">
        <v>0</v>
      </c>
      <c r="Y62" s="20">
        <f ca="1">VLOOKUP($J62,OFFSET([3]enemies!$A$1,0,0,COUNTA([3]enemies!$A:$A),MATCH(Y$1,[3]enemies!$1:$1,0)-MATCH($J$1,[3]enemies!$1:$1,0)+1),MATCH(Y$1,[3]enemies!$1:$1,0)-MATCH($J$1,[3]enemies!$1:$1,0)+1,FALSE)</f>
        <v>1</v>
      </c>
      <c r="Z62" s="29">
        <v>1</v>
      </c>
      <c r="AA62" s="5" t="str">
        <f ca="1">IFERROR(VLOOKUP($Z62,OFFSET([4]characters!$A$1,0,0,COUNTA([4]characters!$A:$A),MATCH(AA$1,[4]characters!$1:$1,0)-MATCH("character_id",[4]characters!$1:$1,0)+1),MATCH(AA$1,[4]characters!$1:$1,0)-MATCH("character_id",[4]characters!$1:$1,0)+1,FALSE),"")</f>
        <v>ジェリー</v>
      </c>
      <c r="AB62" s="5">
        <f ca="1">IFERROR(VLOOKUP($Z62,OFFSET([4]characters!$A$1,0,0,COUNTA([4]characters!$A:$A),MATCH(AB$1,[4]characters!$1:$1,0)-MATCH("character_id",[4]characters!$1:$1,0)+1),MATCH(AB$1,[4]characters!$1:$1,0)-MATCH("character_id",[4]characters!$1:$1,0)+1,FALSE),"")</f>
        <v>1</v>
      </c>
      <c r="AC62" s="5" t="str">
        <f ca="1">IFERROR(VLOOKUP($Z62,OFFSET([4]characters!$A$1,0,0,COUNTA([4]characters!$A:$A),MATCH(AC$1,[4]characters!$1:$1,0)-MATCH("character_id",[4]characters!$1:$1,0)+1),MATCH(AC$1,[4]characters!$1:$1,0)-MATCH("character_id",[4]characters!$1:$1,0)+1,FALSE),"")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62" s="8">
        <v>6</v>
      </c>
      <c r="AE62" s="28">
        <f t="shared" ca="1" si="57"/>
        <v>1</v>
      </c>
      <c r="AF62" s="9">
        <v>25</v>
      </c>
      <c r="AG62" s="8">
        <v>0</v>
      </c>
      <c r="AH62" s="8">
        <v>0</v>
      </c>
      <c r="AI62" s="8">
        <v>0</v>
      </c>
      <c r="AJ62" s="8">
        <v>0</v>
      </c>
      <c r="AK62" s="8">
        <v>1</v>
      </c>
      <c r="AL62" s="8">
        <v>1</v>
      </c>
    </row>
    <row r="63" spans="1:38" ht="21" customHeight="1" x14ac:dyDescent="0.15">
      <c r="A63" s="17" t="str">
        <f t="shared" ref="A63:A73" ca="1" si="63">B63&amp;"_"&amp;C63&amp;"-"&amp;G63&amp;"/"&amp;J63&amp;"&lt;lv"&amp;P63&amp;"&gt;s"&amp;Y63</f>
        <v>13101_8-1/9&lt;lv22&gt;s2</v>
      </c>
      <c r="B63" s="26">
        <v>13101</v>
      </c>
      <c r="C63" s="25">
        <v>8</v>
      </c>
      <c r="D63" s="2" t="str">
        <f t="shared" ref="D63:D73" si="64">B63&amp;"_"&amp;C63</f>
        <v>13101_8</v>
      </c>
      <c r="E63" s="5" t="str">
        <f ca="1">VLOOKUP($B63,OFFSET([2]quests!$A$1,0,0,COUNTA([2]quests!$A:$A),MATCH(E$1,[2]quests!$1:$1,0)-MATCH($B$1,[2]quests!$1:$1,0)+1),MATCH(E$1,[2]quests!$1:$1,0)-MATCH($B$1,[2]quests!$1:$1,0)+1,FALSE)</f>
        <v>チャレンジタワー</v>
      </c>
      <c r="F63" s="5" t="e">
        <f ca="1">VLOOKUP($D63,OFFSET([2]stages!$A$1,0,0,COUNTA([2]stages!$A:$A),MATCH(F$1,[2]stages!$1:$1,0)-MATCH($D$1,[2]stages!$1:$1,0)+1),MATCH(F$1,[2]stages!$1:$1,0)-MATCH($D$1,[2]stages!$1:$1,0)+1,FALSE)</f>
        <v>#N/A</v>
      </c>
      <c r="G63" s="30">
        <v>1</v>
      </c>
      <c r="H63" s="16" t="str">
        <f t="shared" si="62"/>
        <v>13101_8-1</v>
      </c>
      <c r="I63" s="39" t="s">
        <v>245</v>
      </c>
      <c r="J63" s="39">
        <v>9</v>
      </c>
      <c r="K63" s="20" t="str">
        <f ca="1">VLOOKUP($J63,OFFSET([3]enemies!$A$1,0,0,COUNTA([3]enemies!$A:$A),MATCH(K$1,[3]enemies!$1:$1,0)-MATCH($J$1,[3]enemies!$1:$1,0)+1),MATCH(K$1,[3]enemies!$1:$1,0)-MATCH($J$1,[3]enemies!$1:$1,0)+1,FALSE)</f>
        <v>ブレット</v>
      </c>
      <c r="L63" s="23" t="str">
        <f ca="1">VLOOKUP($J63,OFFSET([3]enemies!$A$1,0,0,COUNTA([3]enemies!$A:$A),MATCH(L$1,[3]enemies!$1:$1,0)-MATCH($J$1,[3]enemies!$1:$1,0)+1),MATCH(L$1,[3]enemies!$1:$1,0)-MATCH($J$1,[3]enemies!$1:$1,0)+1,FALSE)</f>
        <v>red</v>
      </c>
      <c r="M63" s="23" t="str">
        <f ca="1">VLOOKUP($J63,OFFSET([4]characters!$A$1,0,0,COUNTA([4]characters!$A:$A),MATCH(M$1,[4]characters!$1:$1,0)-MATCH($J$1,[4]characters!$1:$1,0)+1),MATCH(M$1,[4]characters!$1:$1,0)-MATCH($J$1,[4]characters!$1:$1,0)+1,FALSE)</f>
        <v>Drop1W</v>
      </c>
      <c r="N63" s="22" t="str">
        <f ca="1">VLOOKUP($J63,OFFSET([4]characters!$A$1,0,0,COUNTA([4]characters!$A:$A),MATCH(N$1,[4]characters!$1:$1,0)-MATCH($J$1,[4]characters!$1:$1,0)+2),MATCH(N$1,[4]characters!$1:$1,0)-MATCH($J$1,[4]characters!$1:$1,0)+2,FALSE)</f>
        <v>アニマル</v>
      </c>
      <c r="O63" s="5">
        <f ca="1">VLOOKUP($J63,OFFSET([3]enemies!$A$1,0,0,COUNTA([3]enemies!$A:$A),MATCH(O$1,[3]enemies!$1:$1,0)-MATCH($J$1,[3]enemies!$1:$1,0)+1),MATCH(O$1,[3]enemies!$1:$1,0)-MATCH($J$1,[3]enemies!$1:$1,0)+1,FALSE)</f>
        <v>15</v>
      </c>
      <c r="P63" s="45">
        <v>22</v>
      </c>
      <c r="Q63" s="43">
        <v>1</v>
      </c>
      <c r="R63" s="43">
        <v>1</v>
      </c>
      <c r="S63" s="6">
        <v>0</v>
      </c>
      <c r="T63" s="5" t="str">
        <f ca="1">VLOOKUP($U63,OFFSET([5]enemy_skill_sets!$B$1,0,0,COUNTA([5]enemy_skill_sets!$B:$B),MATCH(K$1,[5]enemy_skill_sets!$1:$1,0)-MATCH($U$1,[5]enemy_skill_sets!$1:$1,0)+2),MATCH(K$1,[5]enemy_skill_sets!$1:$1,0)-MATCH($U$1,[5]enemy_skill_sets!$1:$1,0)+2,FALSE)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63" s="5">
        <f ca="1">VLOOKUP($J63,OFFSET([3]enemies!$A$1,0,0,COUNTA([3]enemies!$A:$A),MATCH(U$1,[3]enemies!$1:$1,0)-MATCH($J$1,[3]enemies!$1:$1,0)+1),MATCH(U$1,[3]enemies!$1:$1,0)-MATCH($J$1,[3]enemies!$1:$1,0)+1,FALSE)</f>
        <v>0</v>
      </c>
      <c r="V63" s="7">
        <v>0</v>
      </c>
      <c r="W63" s="7">
        <v>100</v>
      </c>
      <c r="X63" s="7">
        <v>0</v>
      </c>
      <c r="Y63" s="20">
        <f ca="1">VLOOKUP($J63,OFFSET([3]enemies!$A$1,0,0,COUNTA([3]enemies!$A:$A),MATCH(Y$1,[3]enemies!$1:$1,0)-MATCH($J$1,[3]enemies!$1:$1,0)+1),MATCH(Y$1,[3]enemies!$1:$1,0)-MATCH($J$1,[3]enemies!$1:$1,0)+1,FALSE)</f>
        <v>2</v>
      </c>
      <c r="Z63" s="29">
        <v>9</v>
      </c>
      <c r="AA63" s="5" t="str">
        <f ca="1">IFERROR(VLOOKUP($Z63,OFFSET([4]characters!$A$1,0,0,COUNTA([4]characters!$A:$A),MATCH(AA$1,[4]characters!$1:$1,0)-MATCH("character_id",[4]characters!$1:$1,0)+1),MATCH(AA$1,[4]characters!$1:$1,0)-MATCH("character_id",[4]characters!$1:$1,0)+1,FALSE),"")</f>
        <v>ブレット</v>
      </c>
      <c r="AB63" s="5">
        <f ca="1">IFERROR(VLOOKUP($Z63,OFFSET([4]characters!$A$1,0,0,COUNTA([4]characters!$A:$A),MATCH(AB$1,[4]characters!$1:$1,0)-MATCH("character_id",[4]characters!$1:$1,0)+1),MATCH(AB$1,[4]characters!$1:$1,0)-MATCH("character_id",[4]characters!$1:$1,0)+1,FALSE),"")</f>
        <v>1</v>
      </c>
      <c r="AC63" s="5" t="str">
        <f ca="1">IFERROR(VLOOKUP($Z63,OFFSET([4]characters!$A$1,0,0,COUNTA([4]characters!$A:$A),MATCH(AC$1,[4]characters!$1:$1,0)-MATCH("character_id",[4]characters!$1:$1,0)+1),MATCH(AC$1,[4]characters!$1:$1,0)-MATCH("character_id",[4]characters!$1:$1,0)+1,FALSE),"")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63" s="8">
        <v>4</v>
      </c>
      <c r="AE63" s="28">
        <f t="shared" ref="AE63:AE73" ca="1" si="65">AB63</f>
        <v>1</v>
      </c>
      <c r="AF63" s="9">
        <v>25</v>
      </c>
      <c r="AG63" s="8">
        <v>0</v>
      </c>
      <c r="AH63" s="8">
        <v>0</v>
      </c>
      <c r="AI63" s="8">
        <v>0</v>
      </c>
      <c r="AJ63" s="8">
        <v>0</v>
      </c>
      <c r="AK63" s="8">
        <v>1</v>
      </c>
      <c r="AL63" s="8">
        <v>1</v>
      </c>
    </row>
    <row r="64" spans="1:38" ht="21" customHeight="1" x14ac:dyDescent="0.15">
      <c r="A64" s="17" t="str">
        <f t="shared" ca="1" si="63"/>
        <v>13101_8-2/15&lt;lv22&gt;s3</v>
      </c>
      <c r="B64" s="26">
        <v>13101</v>
      </c>
      <c r="C64" s="25">
        <v>8</v>
      </c>
      <c r="D64" s="2" t="str">
        <f t="shared" si="64"/>
        <v>13101_8</v>
      </c>
      <c r="E64" s="5" t="str">
        <f ca="1">VLOOKUP($B64,OFFSET([2]quests!$A$1,0,0,COUNTA([2]quests!$A:$A),MATCH(E$1,[2]quests!$1:$1,0)-MATCH($B$1,[2]quests!$1:$1,0)+1),MATCH(E$1,[2]quests!$1:$1,0)-MATCH($B$1,[2]quests!$1:$1,0)+1,FALSE)</f>
        <v>チャレンジタワー</v>
      </c>
      <c r="F64" s="5" t="e">
        <f ca="1">VLOOKUP($D64,OFFSET([2]stages!$A$1,0,0,COUNTA([2]stages!$A:$A),MATCH(F$1,[2]stages!$1:$1,0)-MATCH($D$1,[2]stages!$1:$1,0)+1),MATCH(F$1,[2]stages!$1:$1,0)-MATCH($D$1,[2]stages!$1:$1,0)+1,FALSE)</f>
        <v>#N/A</v>
      </c>
      <c r="G64" s="30">
        <v>2</v>
      </c>
      <c r="H64" s="16" t="str">
        <f t="shared" si="62"/>
        <v>13101_8-2</v>
      </c>
      <c r="I64" s="39" t="s">
        <v>245</v>
      </c>
      <c r="J64" s="39">
        <v>15</v>
      </c>
      <c r="K64" s="20" t="str">
        <f ca="1">VLOOKUP($J64,OFFSET([3]enemies!$A$1,0,0,COUNTA([3]enemies!$A:$A),MATCH(K$1,[3]enemies!$1:$1,0)-MATCH($J$1,[3]enemies!$1:$1,0)+1),MATCH(K$1,[3]enemies!$1:$1,0)-MATCH($J$1,[3]enemies!$1:$1,0)+1,FALSE)</f>
        <v>アカネ</v>
      </c>
      <c r="L64" s="23" t="str">
        <f ca="1">VLOOKUP($J64,OFFSET([3]enemies!$A$1,0,0,COUNTA([3]enemies!$A:$A),MATCH(L$1,[3]enemies!$1:$1,0)-MATCH($J$1,[3]enemies!$1:$1,0)+1),MATCH(L$1,[3]enemies!$1:$1,0)-MATCH($J$1,[3]enemies!$1:$1,0)+1,FALSE)</f>
        <v>red</v>
      </c>
      <c r="M64" s="23" t="str">
        <f ca="1">VLOOKUP($J64,OFFSET([4]characters!$A$1,0,0,COUNTA([4]characters!$A:$A),MATCH(M$1,[4]characters!$1:$1,0)-MATCH($J$1,[4]characters!$1:$1,0)+1),MATCH(M$1,[4]characters!$1:$1,0)-MATCH($J$1,[4]characters!$1:$1,0)+1,FALSE)</f>
        <v>Drop1W</v>
      </c>
      <c r="N64" s="22" t="str">
        <f ca="1">VLOOKUP($J64,OFFSET([4]characters!$A$1,0,0,COUNTA([4]characters!$A:$A),MATCH(N$1,[4]characters!$1:$1,0)-MATCH($J$1,[4]characters!$1:$1,0)+2),MATCH(N$1,[4]characters!$1:$1,0)-MATCH($J$1,[4]characters!$1:$1,0)+2,FALSE)</f>
        <v>ヒューマン</v>
      </c>
      <c r="O64" s="5">
        <f ca="1">VLOOKUP($J64,OFFSET([3]enemies!$A$1,0,0,COUNTA([3]enemies!$A:$A),MATCH(O$1,[3]enemies!$1:$1,0)-MATCH($J$1,[3]enemies!$1:$1,0)+1),MATCH(O$1,[3]enemies!$1:$1,0)-MATCH($J$1,[3]enemies!$1:$1,0)+1,FALSE)</f>
        <v>15</v>
      </c>
      <c r="P64" s="45">
        <v>22</v>
      </c>
      <c r="Q64" s="43">
        <v>1</v>
      </c>
      <c r="R64" s="43">
        <v>1</v>
      </c>
      <c r="S64" s="6">
        <v>0</v>
      </c>
      <c r="T64" s="5" t="str">
        <f ca="1">VLOOKUP($U64,OFFSET([5]enemy_skill_sets!$B$1,0,0,COUNTA([5]enemy_skill_sets!$B:$B),MATCH(K$1,[5]enemy_skill_sets!$1:$1,0)-MATCH($U$1,[5]enemy_skill_sets!$1:$1,0)+2),MATCH(K$1,[5]enemy_skill_sets!$1:$1,0)-MATCH($U$1,[5]enemy_skill_sets!$1:$1,0)+2,FALSE)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64" s="5">
        <f ca="1">VLOOKUP($J64,OFFSET([3]enemies!$A$1,0,0,COUNTA([3]enemies!$A:$A),MATCH(U$1,[3]enemies!$1:$1,0)-MATCH($J$1,[3]enemies!$1:$1,0)+1),MATCH(U$1,[3]enemies!$1:$1,0)-MATCH($J$1,[3]enemies!$1:$1,0)+1,FALSE)</f>
        <v>0</v>
      </c>
      <c r="V64" s="7">
        <v>0</v>
      </c>
      <c r="W64" s="7">
        <v>100</v>
      </c>
      <c r="X64" s="7">
        <v>0</v>
      </c>
      <c r="Y64" s="20">
        <f ca="1">VLOOKUP($J64,OFFSET([3]enemies!$A$1,0,0,COUNTA([3]enemies!$A:$A),MATCH(Y$1,[3]enemies!$1:$1,0)-MATCH($J$1,[3]enemies!$1:$1,0)+1),MATCH(Y$1,[3]enemies!$1:$1,0)-MATCH($J$1,[3]enemies!$1:$1,0)+1,FALSE)</f>
        <v>3</v>
      </c>
      <c r="Z64" s="29">
        <v>15</v>
      </c>
      <c r="AA64" s="5" t="str">
        <f ca="1">IFERROR(VLOOKUP($Z64,OFFSET([4]characters!$A$1,0,0,COUNTA([4]characters!$A:$A),MATCH(AA$1,[4]characters!$1:$1,0)-MATCH("character_id",[4]characters!$1:$1,0)+1),MATCH(AA$1,[4]characters!$1:$1,0)-MATCH("character_id",[4]characters!$1:$1,0)+1,FALSE),"")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64" s="5">
        <f ca="1">IFERROR(VLOOKUP($Z64,OFFSET([4]characters!$A$1,0,0,COUNTA([4]characters!$A:$A),MATCH(AB$1,[4]characters!$1:$1,0)-MATCH("character_id",[4]characters!$1:$1,0)+1),MATCH(AB$1,[4]characters!$1:$1,0)-MATCH("character_id",[4]characters!$1:$1,0)+1,FALSE),"")</f>
        <v>1</v>
      </c>
      <c r="AC64" s="5" t="str">
        <f ca="1">IFERROR(VLOOKUP($Z64,OFFSET([4]characters!$A$1,0,0,COUNTA([4]characters!$A:$A),MATCH(AC$1,[4]characters!$1:$1,0)-MATCH("character_id",[4]characters!$1:$1,0)+1),MATCH(AC$1,[4]characters!$1:$1,0)-MATCH("character_id",[4]characters!$1:$1,0)+1,FALSE),"")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64" s="8">
        <v>4</v>
      </c>
      <c r="AE64" s="28">
        <f t="shared" ca="1" si="65"/>
        <v>1</v>
      </c>
      <c r="AF64" s="9">
        <v>25</v>
      </c>
      <c r="AG64" s="8">
        <v>0</v>
      </c>
      <c r="AH64" s="8">
        <v>0</v>
      </c>
      <c r="AI64" s="8">
        <v>0</v>
      </c>
      <c r="AJ64" s="8">
        <v>0</v>
      </c>
      <c r="AK64" s="8">
        <v>1</v>
      </c>
      <c r="AL64" s="8">
        <v>1</v>
      </c>
    </row>
    <row r="65" spans="1:38" ht="21" customHeight="1" x14ac:dyDescent="0.15">
      <c r="A65" s="17" t="str">
        <f t="shared" ca="1" si="63"/>
        <v>13101_8-3/41&lt;lv22&gt;s1</v>
      </c>
      <c r="B65" s="26">
        <v>13101</v>
      </c>
      <c r="C65" s="25">
        <v>8</v>
      </c>
      <c r="D65" s="2" t="str">
        <f t="shared" si="64"/>
        <v>13101_8</v>
      </c>
      <c r="E65" s="5" t="str">
        <f ca="1">VLOOKUP($B65,OFFSET([2]quests!$A$1,0,0,COUNTA([2]quests!$A:$A),MATCH(E$1,[2]quests!$1:$1,0)-MATCH($B$1,[2]quests!$1:$1,0)+1),MATCH(E$1,[2]quests!$1:$1,0)-MATCH($B$1,[2]quests!$1:$1,0)+1,FALSE)</f>
        <v>チャレンジタワー</v>
      </c>
      <c r="F65" s="5" t="e">
        <f ca="1">VLOOKUP($D65,OFFSET([2]stages!$A$1,0,0,COUNTA([2]stages!$A:$A),MATCH(F$1,[2]stages!$1:$1,0)-MATCH($D$1,[2]stages!$1:$1,0)+1),MATCH(F$1,[2]stages!$1:$1,0)-MATCH($D$1,[2]stages!$1:$1,0)+1,FALSE)</f>
        <v>#N/A</v>
      </c>
      <c r="G65" s="30">
        <v>3</v>
      </c>
      <c r="H65" s="16" t="str">
        <f t="shared" si="62"/>
        <v>13101_8-3</v>
      </c>
      <c r="I65" s="39" t="s">
        <v>245</v>
      </c>
      <c r="J65" s="39">
        <v>41</v>
      </c>
      <c r="K65" s="20" t="str">
        <f ca="1">VLOOKUP($J65,OFFSET([3]enemies!$A$1,0,0,COUNTA([3]enemies!$A:$A),MATCH(K$1,[3]enemies!$1:$1,0)-MATCH($J$1,[3]enemies!$1:$1,0)+1),MATCH(K$1,[3]enemies!$1:$1,0)-MATCH($J$1,[3]enemies!$1:$1,0)+1,FALSE)</f>
        <v>ヒュウガ</v>
      </c>
      <c r="L65" s="23" t="str">
        <f ca="1">VLOOKUP($J65,OFFSET([3]enemies!$A$1,0,0,COUNTA([3]enemies!$A:$A),MATCH(L$1,[3]enemies!$1:$1,0)-MATCH($J$1,[3]enemies!$1:$1,0)+1),MATCH(L$1,[3]enemies!$1:$1,0)-MATCH($J$1,[3]enemies!$1:$1,0)+1,FALSE)</f>
        <v>red</v>
      </c>
      <c r="M65" s="23" t="str">
        <f ca="1">VLOOKUP($J65,OFFSET([4]characters!$A$1,0,0,COUNTA([4]characters!$A:$A),MATCH(M$1,[4]characters!$1:$1,0)-MATCH($J$1,[4]characters!$1:$1,0)+1),MATCH(M$1,[4]characters!$1:$1,0)-MATCH($J$1,[4]characters!$1:$1,0)+1,FALSE)</f>
        <v>Drop1N</v>
      </c>
      <c r="N65" s="22" t="str">
        <f ca="1">VLOOKUP($J65,OFFSET([4]characters!$A$1,0,0,COUNTA([4]characters!$A:$A),MATCH(N$1,[4]characters!$1:$1,0)-MATCH($J$1,[4]characters!$1:$1,0)+2),MATCH(N$1,[4]characters!$1:$1,0)-MATCH($J$1,[4]characters!$1:$1,0)+2,FALSE)</f>
        <v>ドラゴン</v>
      </c>
      <c r="O65" s="5">
        <f ca="1">VLOOKUP($J65,OFFSET([3]enemies!$A$1,0,0,COUNTA([3]enemies!$A:$A),MATCH(O$1,[3]enemies!$1:$1,0)-MATCH($J$1,[3]enemies!$1:$1,0)+1),MATCH(O$1,[3]enemies!$1:$1,0)-MATCH($J$1,[3]enemies!$1:$1,0)+1,FALSE)</f>
        <v>15</v>
      </c>
      <c r="P65" s="45">
        <v>22</v>
      </c>
      <c r="Q65" s="43">
        <v>1</v>
      </c>
      <c r="R65" s="43">
        <v>1</v>
      </c>
      <c r="S65" s="6">
        <v>0</v>
      </c>
      <c r="T65" s="5" t="str">
        <f ca="1">VLOOKUP($U65,OFFSET([5]enemy_skill_sets!$B$1,0,0,COUNTA([5]enemy_skill_sets!$B:$B),MATCH(K$1,[5]enemy_skill_sets!$1:$1,0)-MATCH($U$1,[5]enemy_skill_sets!$1:$1,0)+2),MATCH(K$1,[5]enemy_skill_sets!$1:$1,0)-MATCH($U$1,[5]enemy_skill_sets!$1:$1,0)+2,FALSE)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65" s="5">
        <f ca="1">VLOOKUP($J65,OFFSET([3]enemies!$A$1,0,0,COUNTA([3]enemies!$A:$A),MATCH(U$1,[3]enemies!$1:$1,0)-MATCH($J$1,[3]enemies!$1:$1,0)+1),MATCH(U$1,[3]enemies!$1:$1,0)-MATCH($J$1,[3]enemies!$1:$1,0)+1,FALSE)</f>
        <v>0</v>
      </c>
      <c r="V65" s="7">
        <v>0</v>
      </c>
      <c r="W65" s="7">
        <v>100</v>
      </c>
      <c r="X65" s="7">
        <v>0</v>
      </c>
      <c r="Y65" s="20">
        <f ca="1">VLOOKUP($J65,OFFSET([3]enemies!$A$1,0,0,COUNTA([3]enemies!$A:$A),MATCH(Y$1,[3]enemies!$1:$1,0)-MATCH($J$1,[3]enemies!$1:$1,0)+1),MATCH(Y$1,[3]enemies!$1:$1,0)-MATCH($J$1,[3]enemies!$1:$1,0)+1,FALSE)</f>
        <v>1</v>
      </c>
      <c r="Z65" s="29">
        <v>41</v>
      </c>
      <c r="AA65" s="5" t="str">
        <f ca="1">IFERROR(VLOOKUP($Z65,OFFSET([4]characters!$A$1,0,0,COUNTA([4]characters!$A:$A),MATCH(AA$1,[4]characters!$1:$1,0)-MATCH("character_id",[4]characters!$1:$1,0)+1),MATCH(AA$1,[4]characters!$1:$1,0)-MATCH("character_id",[4]characters!$1:$1,0)+1,FALSE),"")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65" s="5">
        <f ca="1">IFERROR(VLOOKUP($Z65,OFFSET([4]characters!$A$1,0,0,COUNTA([4]characters!$A:$A),MATCH(AB$1,[4]characters!$1:$1,0)-MATCH("character_id",[4]characters!$1:$1,0)+1),MATCH(AB$1,[4]characters!$1:$1,0)-MATCH("character_id",[4]characters!$1:$1,0)+1,FALSE),"")</f>
        <v>2</v>
      </c>
      <c r="AC65" s="5" t="str">
        <f ca="1">IFERROR(VLOOKUP($Z65,OFFSET([4]characters!$A$1,0,0,COUNTA([4]characters!$A:$A),MATCH(AC$1,[4]characters!$1:$1,0)-MATCH("character_id",[4]characters!$1:$1,0)+1),MATCH(AC$1,[4]characters!$1:$1,0)-MATCH("character_id",[4]characters!$1:$1,0)+1,FALSE),"")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65" s="8">
        <v>2</v>
      </c>
      <c r="AE65" s="28">
        <f t="shared" ca="1" si="65"/>
        <v>2</v>
      </c>
      <c r="AF65" s="9">
        <v>25</v>
      </c>
      <c r="AG65" s="8">
        <v>0</v>
      </c>
      <c r="AH65" s="8">
        <v>0</v>
      </c>
      <c r="AI65" s="8">
        <v>0</v>
      </c>
      <c r="AJ65" s="8">
        <v>0</v>
      </c>
      <c r="AK65" s="8">
        <v>1</v>
      </c>
      <c r="AL65" s="8">
        <v>1</v>
      </c>
    </row>
    <row r="66" spans="1:38" ht="21" customHeight="1" x14ac:dyDescent="0.15">
      <c r="A66" s="17" t="str">
        <f t="shared" ca="1" si="63"/>
        <v>13101_8-3/15&lt;lv22&gt;s3</v>
      </c>
      <c r="B66" s="26">
        <v>13101</v>
      </c>
      <c r="C66" s="25">
        <v>8</v>
      </c>
      <c r="D66" s="2" t="str">
        <f t="shared" si="64"/>
        <v>13101_8</v>
      </c>
      <c r="E66" s="5" t="str">
        <f ca="1">VLOOKUP($B66,OFFSET([2]quests!$A$1,0,0,COUNTA([2]quests!$A:$A),MATCH(E$1,[2]quests!$1:$1,0)-MATCH($B$1,[2]quests!$1:$1,0)+1),MATCH(E$1,[2]quests!$1:$1,0)-MATCH($B$1,[2]quests!$1:$1,0)+1,FALSE)</f>
        <v>チャレンジタワー</v>
      </c>
      <c r="F66" s="5" t="e">
        <f ca="1">VLOOKUP($D66,OFFSET([2]stages!$A$1,0,0,COUNTA([2]stages!$A:$A),MATCH(F$1,[2]stages!$1:$1,0)-MATCH($D$1,[2]stages!$1:$1,0)+1),MATCH(F$1,[2]stages!$1:$1,0)-MATCH($D$1,[2]stages!$1:$1,0)+1,FALSE)</f>
        <v>#N/A</v>
      </c>
      <c r="G66" s="30">
        <v>3</v>
      </c>
      <c r="H66" s="16" t="str">
        <f t="shared" si="62"/>
        <v>13101_8-3</v>
      </c>
      <c r="I66" s="39" t="s">
        <v>245</v>
      </c>
      <c r="J66" s="39">
        <v>15</v>
      </c>
      <c r="K66" s="20" t="str">
        <f ca="1">VLOOKUP($J66,OFFSET([3]enemies!$A$1,0,0,COUNTA([3]enemies!$A:$A),MATCH(K$1,[3]enemies!$1:$1,0)-MATCH($J$1,[3]enemies!$1:$1,0)+1),MATCH(K$1,[3]enemies!$1:$1,0)-MATCH($J$1,[3]enemies!$1:$1,0)+1,FALSE)</f>
        <v>アカネ</v>
      </c>
      <c r="L66" s="23" t="str">
        <f ca="1">VLOOKUP($J66,OFFSET([3]enemies!$A$1,0,0,COUNTA([3]enemies!$A:$A),MATCH(L$1,[3]enemies!$1:$1,0)-MATCH($J$1,[3]enemies!$1:$1,0)+1),MATCH(L$1,[3]enemies!$1:$1,0)-MATCH($J$1,[3]enemies!$1:$1,0)+1,FALSE)</f>
        <v>red</v>
      </c>
      <c r="M66" s="23" t="str">
        <f ca="1">VLOOKUP($J66,OFFSET([4]characters!$A$1,0,0,COUNTA([4]characters!$A:$A),MATCH(M$1,[4]characters!$1:$1,0)-MATCH($J$1,[4]characters!$1:$1,0)+1),MATCH(M$1,[4]characters!$1:$1,0)-MATCH($J$1,[4]characters!$1:$1,0)+1,FALSE)</f>
        <v>Drop1W</v>
      </c>
      <c r="N66" s="22" t="str">
        <f ca="1">VLOOKUP($J66,OFFSET([4]characters!$A$1,0,0,COUNTA([4]characters!$A:$A),MATCH(N$1,[4]characters!$1:$1,0)-MATCH($J$1,[4]characters!$1:$1,0)+2),MATCH(N$1,[4]characters!$1:$1,0)-MATCH($J$1,[4]characters!$1:$1,0)+2,FALSE)</f>
        <v>ヒューマン</v>
      </c>
      <c r="O66" s="5">
        <f ca="1">VLOOKUP($J66,OFFSET([3]enemies!$A$1,0,0,COUNTA([3]enemies!$A:$A),MATCH(O$1,[3]enemies!$1:$1,0)-MATCH($J$1,[3]enemies!$1:$1,0)+1),MATCH(O$1,[3]enemies!$1:$1,0)-MATCH($J$1,[3]enemies!$1:$1,0)+1,FALSE)</f>
        <v>15</v>
      </c>
      <c r="P66" s="45">
        <v>22</v>
      </c>
      <c r="Q66" s="43">
        <v>1</v>
      </c>
      <c r="R66" s="43">
        <v>1</v>
      </c>
      <c r="S66" s="6">
        <v>0</v>
      </c>
      <c r="T66" s="5" t="str">
        <f ca="1">VLOOKUP($U66,OFFSET([5]enemy_skill_sets!$B$1,0,0,COUNTA([5]enemy_skill_sets!$B:$B),MATCH(K$1,[5]enemy_skill_sets!$1:$1,0)-MATCH($U$1,[5]enemy_skill_sets!$1:$1,0)+2),MATCH(K$1,[5]enemy_skill_sets!$1:$1,0)-MATCH($U$1,[5]enemy_skill_sets!$1:$1,0)+2,FALSE)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66" s="5">
        <f ca="1">VLOOKUP($J66,OFFSET([3]enemies!$A$1,0,0,COUNTA([3]enemies!$A:$A),MATCH(U$1,[3]enemies!$1:$1,0)-MATCH($J$1,[3]enemies!$1:$1,0)+1),MATCH(U$1,[3]enemies!$1:$1,0)-MATCH($J$1,[3]enemies!$1:$1,0)+1,FALSE)</f>
        <v>0</v>
      </c>
      <c r="V66" s="7">
        <v>1</v>
      </c>
      <c r="W66" s="7">
        <v>100</v>
      </c>
      <c r="X66" s="7">
        <v>0</v>
      </c>
      <c r="Y66" s="20">
        <f ca="1">VLOOKUP($J66,OFFSET([3]enemies!$A$1,0,0,COUNTA([3]enemies!$A:$A),MATCH(Y$1,[3]enemies!$1:$1,0)-MATCH($J$1,[3]enemies!$1:$1,0)+1),MATCH(Y$1,[3]enemies!$1:$1,0)-MATCH($J$1,[3]enemies!$1:$1,0)+1,FALSE)</f>
        <v>3</v>
      </c>
      <c r="Z66" s="29">
        <v>15</v>
      </c>
      <c r="AA66" s="5" t="str">
        <f ca="1">IFERROR(VLOOKUP($Z66,OFFSET([4]characters!$A$1,0,0,COUNTA([4]characters!$A:$A),MATCH(AA$1,[4]characters!$1:$1,0)-MATCH("character_id",[4]characters!$1:$1,0)+1),MATCH(AA$1,[4]characters!$1:$1,0)-MATCH("character_id",[4]characters!$1:$1,0)+1,FALSE),"")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66" s="5">
        <f ca="1">IFERROR(VLOOKUP($Z66,OFFSET([4]characters!$A$1,0,0,COUNTA([4]characters!$A:$A),MATCH(AB$1,[4]characters!$1:$1,0)-MATCH("character_id",[4]characters!$1:$1,0)+1),MATCH(AB$1,[4]characters!$1:$1,0)-MATCH("character_id",[4]characters!$1:$1,0)+1,FALSE),"")</f>
        <v>1</v>
      </c>
      <c r="AC66" s="5" t="str">
        <f ca="1">IFERROR(VLOOKUP($Z66,OFFSET([4]characters!$A$1,0,0,COUNTA([4]characters!$A:$A),MATCH(AC$1,[4]characters!$1:$1,0)-MATCH("character_id",[4]characters!$1:$1,0)+1),MATCH(AC$1,[4]characters!$1:$1,0)-MATCH("character_id",[4]characters!$1:$1,0)+1,FALSE),"")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66" s="8">
        <v>4</v>
      </c>
      <c r="AE66" s="28">
        <f t="shared" ca="1" si="65"/>
        <v>1</v>
      </c>
      <c r="AF66" s="9">
        <v>25</v>
      </c>
      <c r="AG66" s="8">
        <v>0</v>
      </c>
      <c r="AH66" s="8">
        <v>0</v>
      </c>
      <c r="AI66" s="8">
        <v>0</v>
      </c>
      <c r="AJ66" s="8">
        <v>0</v>
      </c>
      <c r="AK66" s="8">
        <v>1</v>
      </c>
      <c r="AL66" s="8">
        <v>1</v>
      </c>
    </row>
    <row r="67" spans="1:38" ht="21" customHeight="1" x14ac:dyDescent="0.15">
      <c r="A67" s="17" t="str">
        <f t="shared" ca="1" si="63"/>
        <v>13101_8-4/9&lt;lv22&gt;s2</v>
      </c>
      <c r="B67" s="26">
        <v>13101</v>
      </c>
      <c r="C67" s="25">
        <v>8</v>
      </c>
      <c r="D67" s="2" t="str">
        <f t="shared" si="64"/>
        <v>13101_8</v>
      </c>
      <c r="E67" s="5" t="str">
        <f ca="1">VLOOKUP($B67,OFFSET([2]quests!$A$1,0,0,COUNTA([2]quests!$A:$A),MATCH(E$1,[2]quests!$1:$1,0)-MATCH($B$1,[2]quests!$1:$1,0)+1),MATCH(E$1,[2]quests!$1:$1,0)-MATCH($B$1,[2]quests!$1:$1,0)+1,FALSE)</f>
        <v>チャレンジタワー</v>
      </c>
      <c r="F67" s="5" t="e">
        <f ca="1">VLOOKUP($D67,OFFSET([2]stages!$A$1,0,0,COUNTA([2]stages!$A:$A),MATCH(F$1,[2]stages!$1:$1,0)-MATCH($D$1,[2]stages!$1:$1,0)+1),MATCH(F$1,[2]stages!$1:$1,0)-MATCH($D$1,[2]stages!$1:$1,0)+1,FALSE)</f>
        <v>#N/A</v>
      </c>
      <c r="G67" s="30">
        <v>4</v>
      </c>
      <c r="H67" s="16" t="str">
        <f t="shared" si="62"/>
        <v>13101_8-4</v>
      </c>
      <c r="I67" s="39" t="s">
        <v>245</v>
      </c>
      <c r="J67" s="39">
        <v>9</v>
      </c>
      <c r="K67" s="20" t="str">
        <f ca="1">VLOOKUP($J67,OFFSET([3]enemies!$A$1,0,0,COUNTA([3]enemies!$A:$A),MATCH(K$1,[3]enemies!$1:$1,0)-MATCH($J$1,[3]enemies!$1:$1,0)+1),MATCH(K$1,[3]enemies!$1:$1,0)-MATCH($J$1,[3]enemies!$1:$1,0)+1,FALSE)</f>
        <v>ブレット</v>
      </c>
      <c r="L67" s="23" t="str">
        <f ca="1">VLOOKUP($J67,OFFSET([3]enemies!$A$1,0,0,COUNTA([3]enemies!$A:$A),MATCH(L$1,[3]enemies!$1:$1,0)-MATCH($J$1,[3]enemies!$1:$1,0)+1),MATCH(L$1,[3]enemies!$1:$1,0)-MATCH($J$1,[3]enemies!$1:$1,0)+1,FALSE)</f>
        <v>red</v>
      </c>
      <c r="M67" s="23" t="str">
        <f ca="1">VLOOKUP($J67,OFFSET([4]characters!$A$1,0,0,COUNTA([4]characters!$A:$A),MATCH(M$1,[4]characters!$1:$1,0)-MATCH($J$1,[4]characters!$1:$1,0)+1),MATCH(M$1,[4]characters!$1:$1,0)-MATCH($J$1,[4]characters!$1:$1,0)+1,FALSE)</f>
        <v>Drop1W</v>
      </c>
      <c r="N67" s="22" t="str">
        <f ca="1">VLOOKUP($J67,OFFSET([4]characters!$A$1,0,0,COUNTA([4]characters!$A:$A),MATCH(N$1,[4]characters!$1:$1,0)-MATCH($J$1,[4]characters!$1:$1,0)+2),MATCH(N$1,[4]characters!$1:$1,0)-MATCH($J$1,[4]characters!$1:$1,0)+2,FALSE)</f>
        <v>アニマル</v>
      </c>
      <c r="O67" s="5">
        <f ca="1">VLOOKUP($J67,OFFSET([3]enemies!$A$1,0,0,COUNTA([3]enemies!$A:$A),MATCH(O$1,[3]enemies!$1:$1,0)-MATCH($J$1,[3]enemies!$1:$1,0)+1),MATCH(O$1,[3]enemies!$1:$1,0)-MATCH($J$1,[3]enemies!$1:$1,0)+1,FALSE)</f>
        <v>15</v>
      </c>
      <c r="P67" s="45">
        <v>22</v>
      </c>
      <c r="Q67" s="43">
        <v>1</v>
      </c>
      <c r="R67" s="43">
        <v>1</v>
      </c>
      <c r="S67" s="6">
        <v>0</v>
      </c>
      <c r="T67" s="5" t="str">
        <f ca="1">VLOOKUP($U67,OFFSET([5]enemy_skill_sets!$B$1,0,0,COUNTA([5]enemy_skill_sets!$B:$B),MATCH(K$1,[5]enemy_skill_sets!$1:$1,0)-MATCH($U$1,[5]enemy_skill_sets!$1:$1,0)+2),MATCH(K$1,[5]enemy_skill_sets!$1:$1,0)-MATCH($U$1,[5]enemy_skill_sets!$1:$1,0)+2,FALSE)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67" s="5">
        <f ca="1">VLOOKUP($J67,OFFSET([3]enemies!$A$1,0,0,COUNTA([3]enemies!$A:$A),MATCH(U$1,[3]enemies!$1:$1,0)-MATCH($J$1,[3]enemies!$1:$1,0)+1),MATCH(U$1,[3]enemies!$1:$1,0)-MATCH($J$1,[3]enemies!$1:$1,0)+1,FALSE)</f>
        <v>0</v>
      </c>
      <c r="V67" s="41">
        <v>0</v>
      </c>
      <c r="W67" s="7">
        <v>100</v>
      </c>
      <c r="X67" s="7">
        <v>0</v>
      </c>
      <c r="Y67" s="20">
        <f ca="1">VLOOKUP($J67,OFFSET([3]enemies!$A$1,0,0,COUNTA([3]enemies!$A:$A),MATCH(Y$1,[3]enemies!$1:$1,0)-MATCH($J$1,[3]enemies!$1:$1,0)+1),MATCH(Y$1,[3]enemies!$1:$1,0)-MATCH($J$1,[3]enemies!$1:$1,0)+1,FALSE)</f>
        <v>2</v>
      </c>
      <c r="Z67" s="29">
        <v>9</v>
      </c>
      <c r="AA67" s="5" t="str">
        <f ca="1">IFERROR(VLOOKUP($Z67,OFFSET([4]characters!$A$1,0,0,COUNTA([4]characters!$A:$A),MATCH(AA$1,[4]characters!$1:$1,0)-MATCH("character_id",[4]characters!$1:$1,0)+1),MATCH(AA$1,[4]characters!$1:$1,0)-MATCH("character_id",[4]characters!$1:$1,0)+1,FALSE),"")</f>
        <v>ブレット</v>
      </c>
      <c r="AB67" s="5">
        <f ca="1">IFERROR(VLOOKUP($Z67,OFFSET([4]characters!$A$1,0,0,COUNTA([4]characters!$A:$A),MATCH(AB$1,[4]characters!$1:$1,0)-MATCH("character_id",[4]characters!$1:$1,0)+1),MATCH(AB$1,[4]characters!$1:$1,0)-MATCH("character_id",[4]characters!$1:$1,0)+1,FALSE),"")</f>
        <v>1</v>
      </c>
      <c r="AC67" s="5" t="str">
        <f ca="1">IFERROR(VLOOKUP($Z67,OFFSET([4]characters!$A$1,0,0,COUNTA([4]characters!$A:$A),MATCH(AC$1,[4]characters!$1:$1,0)-MATCH("character_id",[4]characters!$1:$1,0)+1),MATCH(AC$1,[4]characters!$1:$1,0)-MATCH("character_id",[4]characters!$1:$1,0)+1,FALSE),"")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67" s="8">
        <v>4</v>
      </c>
      <c r="AE67" s="28">
        <f t="shared" ca="1" si="65"/>
        <v>1</v>
      </c>
      <c r="AF67" s="9">
        <v>25</v>
      </c>
      <c r="AG67" s="8">
        <v>0</v>
      </c>
      <c r="AH67" s="8">
        <v>0</v>
      </c>
      <c r="AI67" s="8">
        <v>0</v>
      </c>
      <c r="AJ67" s="8">
        <v>0</v>
      </c>
      <c r="AK67" s="8">
        <v>1</v>
      </c>
      <c r="AL67" s="8">
        <v>1</v>
      </c>
    </row>
    <row r="68" spans="1:38" ht="21" customHeight="1" x14ac:dyDescent="0.15">
      <c r="A68" s="17" t="str">
        <f t="shared" ca="1" si="63"/>
        <v>13101_8-4/21&lt;lv22&gt;s2</v>
      </c>
      <c r="B68" s="26">
        <v>13101</v>
      </c>
      <c r="C68" s="25">
        <v>8</v>
      </c>
      <c r="D68" s="2" t="str">
        <f t="shared" si="64"/>
        <v>13101_8</v>
      </c>
      <c r="E68" s="5" t="str">
        <f ca="1">VLOOKUP($B68,OFFSET([2]quests!$A$1,0,0,COUNTA([2]quests!$A:$A),MATCH(E$1,[2]quests!$1:$1,0)-MATCH($B$1,[2]quests!$1:$1,0)+1),MATCH(E$1,[2]quests!$1:$1,0)-MATCH($B$1,[2]quests!$1:$1,0)+1,FALSE)</f>
        <v>チャレンジタワー</v>
      </c>
      <c r="F68" s="5" t="e">
        <f ca="1">VLOOKUP($D68,OFFSET([2]stages!$A$1,0,0,COUNTA([2]stages!$A:$A),MATCH(F$1,[2]stages!$1:$1,0)-MATCH($D$1,[2]stages!$1:$1,0)+1),MATCH(F$1,[2]stages!$1:$1,0)-MATCH($D$1,[2]stages!$1:$1,0)+1,FALSE)</f>
        <v>#N/A</v>
      </c>
      <c r="G68" s="30">
        <v>4</v>
      </c>
      <c r="H68" s="16" t="str">
        <f t="shared" si="62"/>
        <v>13101_8-4</v>
      </c>
      <c r="I68" s="39" t="s">
        <v>245</v>
      </c>
      <c r="J68" s="39">
        <v>21</v>
      </c>
      <c r="K68" s="20" t="str">
        <f ca="1">VLOOKUP($J68,OFFSET([3]enemies!$A$1,0,0,COUNTA([3]enemies!$A:$A),MATCH(K$1,[3]enemies!$1:$1,0)-MATCH($J$1,[3]enemies!$1:$1,0)+1),MATCH(K$1,[3]enemies!$1:$1,0)-MATCH($J$1,[3]enemies!$1:$1,0)+1,FALSE)</f>
        <v>ヴェロキー</v>
      </c>
      <c r="L68" s="23" t="str">
        <f ca="1">VLOOKUP($J68,OFFSET([3]enemies!$A$1,0,0,COUNTA([3]enemies!$A:$A),MATCH(L$1,[3]enemies!$1:$1,0)-MATCH($J$1,[3]enemies!$1:$1,0)+1),MATCH(L$1,[3]enemies!$1:$1,0)-MATCH($J$1,[3]enemies!$1:$1,0)+1,FALSE)</f>
        <v>red</v>
      </c>
      <c r="M68" s="23" t="str">
        <f ca="1">VLOOKUP($J68,OFFSET([4]characters!$A$1,0,0,COUNTA([4]characters!$A:$A),MATCH(M$1,[4]characters!$1:$1,0)-MATCH($J$1,[4]characters!$1:$1,0)+1),MATCH(M$1,[4]characters!$1:$1,0)-MATCH($J$1,[4]characters!$1:$1,0)+1,FALSE)</f>
        <v>Drop1N</v>
      </c>
      <c r="N68" s="22" t="str">
        <f ca="1">VLOOKUP($J68,OFFSET([4]characters!$A$1,0,0,COUNTA([4]characters!$A:$A),MATCH(N$1,[4]characters!$1:$1,0)-MATCH($J$1,[4]characters!$1:$1,0)+2),MATCH(N$1,[4]characters!$1:$1,0)-MATCH($J$1,[4]characters!$1:$1,0)+2,FALSE)</f>
        <v>ドラゴン</v>
      </c>
      <c r="O68" s="5">
        <f ca="1">VLOOKUP($J68,OFFSET([3]enemies!$A$1,0,0,COUNTA([3]enemies!$A:$A),MATCH(O$1,[3]enemies!$1:$1,0)-MATCH($J$1,[3]enemies!$1:$1,0)+1),MATCH(O$1,[3]enemies!$1:$1,0)-MATCH($J$1,[3]enemies!$1:$1,0)+1,FALSE)</f>
        <v>15</v>
      </c>
      <c r="P68" s="45">
        <v>22</v>
      </c>
      <c r="Q68" s="43">
        <v>1</v>
      </c>
      <c r="R68" s="43">
        <v>1</v>
      </c>
      <c r="S68" s="6">
        <v>0</v>
      </c>
      <c r="T68" s="5" t="str">
        <f ca="1">VLOOKUP($U68,OFFSET([5]enemy_skill_sets!$B$1,0,0,COUNTA([5]enemy_skill_sets!$B:$B),MATCH(K$1,[5]enemy_skill_sets!$1:$1,0)-MATCH($U$1,[5]enemy_skill_sets!$1:$1,0)+2),MATCH(K$1,[5]enemy_skill_sets!$1:$1,0)-MATCH($U$1,[5]enemy_skill_sets!$1:$1,0)+2,FALSE)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68" s="5">
        <f ca="1">VLOOKUP($J68,OFFSET([3]enemies!$A$1,0,0,COUNTA([3]enemies!$A:$A),MATCH(U$1,[3]enemies!$1:$1,0)-MATCH($J$1,[3]enemies!$1:$1,0)+1),MATCH(U$1,[3]enemies!$1:$1,0)-MATCH($J$1,[3]enemies!$1:$1,0)+1,FALSE)</f>
        <v>0</v>
      </c>
      <c r="V68" s="41">
        <v>0</v>
      </c>
      <c r="W68" s="7">
        <v>100</v>
      </c>
      <c r="X68" s="7">
        <v>0</v>
      </c>
      <c r="Y68" s="20">
        <f ca="1">VLOOKUP($J68,OFFSET([3]enemies!$A$1,0,0,COUNTA([3]enemies!$A:$A),MATCH(Y$1,[3]enemies!$1:$1,0)-MATCH($J$1,[3]enemies!$1:$1,0)+1),MATCH(Y$1,[3]enemies!$1:$1,0)-MATCH($J$1,[3]enemies!$1:$1,0)+1,FALSE)</f>
        <v>2</v>
      </c>
      <c r="Z68" s="29">
        <v>21</v>
      </c>
      <c r="AA68" s="5" t="str">
        <f ca="1">IFERROR(VLOOKUP($Z68,OFFSET([4]characters!$A$1,0,0,COUNTA([4]characters!$A:$A),MATCH(AA$1,[4]characters!$1:$1,0)-MATCH("character_id",[4]characters!$1:$1,0)+1),MATCH(AA$1,[4]characters!$1:$1,0)-MATCH("character_id",[4]characters!$1:$1,0)+1,FALSE),"")</f>
        <v>ヴェロキー</v>
      </c>
      <c r="AB68" s="5">
        <f ca="1">IFERROR(VLOOKUP($Z68,OFFSET([4]characters!$A$1,0,0,COUNTA([4]characters!$A:$A),MATCH(AB$1,[4]characters!$1:$1,0)-MATCH("character_id",[4]characters!$1:$1,0)+1),MATCH(AB$1,[4]characters!$1:$1,0)-MATCH("character_id",[4]characters!$1:$1,0)+1,FALSE),"")</f>
        <v>1</v>
      </c>
      <c r="AC68" s="5" t="str">
        <f ca="1">IFERROR(VLOOKUP($Z68,OFFSET([4]characters!$A$1,0,0,COUNTA([4]characters!$A:$A),MATCH(AC$1,[4]characters!$1:$1,0)-MATCH("character_id",[4]characters!$1:$1,0)+1),MATCH(AC$1,[4]characters!$1:$1,0)-MATCH("character_id",[4]characters!$1:$1,0)+1,FALSE),"")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68" s="8">
        <v>2</v>
      </c>
      <c r="AE68" s="28">
        <f t="shared" ca="1" si="65"/>
        <v>1</v>
      </c>
      <c r="AF68" s="9">
        <v>25</v>
      </c>
      <c r="AG68" s="8">
        <v>0</v>
      </c>
      <c r="AH68" s="8">
        <v>0</v>
      </c>
      <c r="AI68" s="8">
        <v>0</v>
      </c>
      <c r="AJ68" s="8">
        <v>0</v>
      </c>
      <c r="AK68" s="8">
        <v>1</v>
      </c>
      <c r="AL68" s="8">
        <v>1</v>
      </c>
    </row>
    <row r="69" spans="1:38" ht="21" customHeight="1" x14ac:dyDescent="0.15">
      <c r="A69" s="17" t="str">
        <f t="shared" ca="1" si="63"/>
        <v>13101_8-4/41&lt;lv22&gt;s1</v>
      </c>
      <c r="B69" s="26">
        <v>13101</v>
      </c>
      <c r="C69" s="25">
        <v>8</v>
      </c>
      <c r="D69" s="2" t="str">
        <f t="shared" ref="D69:D71" si="66">B69&amp;"_"&amp;C69</f>
        <v>13101_8</v>
      </c>
      <c r="E69" s="5" t="str">
        <f ca="1">VLOOKUP($B69,OFFSET([2]quests!$A$1,0,0,COUNTA([2]quests!$A:$A),MATCH(E$1,[2]quests!$1:$1,0)-MATCH($B$1,[2]quests!$1:$1,0)+1),MATCH(E$1,[2]quests!$1:$1,0)-MATCH($B$1,[2]quests!$1:$1,0)+1,FALSE)</f>
        <v>チャレンジタワー</v>
      </c>
      <c r="F69" s="5" t="e">
        <f ca="1">VLOOKUP($D69,OFFSET([2]stages!$A$1,0,0,COUNTA([2]stages!$A:$A),MATCH(F$1,[2]stages!$1:$1,0)-MATCH($D$1,[2]stages!$1:$1,0)+1),MATCH(F$1,[2]stages!$1:$1,0)-MATCH($D$1,[2]stages!$1:$1,0)+1,FALSE)</f>
        <v>#N/A</v>
      </c>
      <c r="G69" s="30">
        <v>4</v>
      </c>
      <c r="H69" s="16" t="str">
        <f>B69&amp;"_"&amp;C69&amp;"-"&amp;G69</f>
        <v>13101_8-4</v>
      </c>
      <c r="I69" s="39" t="s">
        <v>245</v>
      </c>
      <c r="J69" s="39">
        <v>41</v>
      </c>
      <c r="K69" s="20" t="str">
        <f ca="1">VLOOKUP($J69,OFFSET([3]enemies!$A$1,0,0,COUNTA([3]enemies!$A:$A),MATCH(K$1,[3]enemies!$1:$1,0)-MATCH($J$1,[3]enemies!$1:$1,0)+1),MATCH(K$1,[3]enemies!$1:$1,0)-MATCH($J$1,[3]enemies!$1:$1,0)+1,FALSE)</f>
        <v>ヒュウガ</v>
      </c>
      <c r="L69" s="23" t="str">
        <f ca="1">VLOOKUP($J69,OFFSET([3]enemies!$A$1,0,0,COUNTA([3]enemies!$A:$A),MATCH(L$1,[3]enemies!$1:$1,0)-MATCH($J$1,[3]enemies!$1:$1,0)+1),MATCH(L$1,[3]enemies!$1:$1,0)-MATCH($J$1,[3]enemies!$1:$1,0)+1,FALSE)</f>
        <v>red</v>
      </c>
      <c r="M69" s="23" t="str">
        <f ca="1">VLOOKUP($J69,OFFSET([4]characters!$A$1,0,0,COUNTA([4]characters!$A:$A),MATCH(M$1,[4]characters!$1:$1,0)-MATCH($J$1,[4]characters!$1:$1,0)+1),MATCH(M$1,[4]characters!$1:$1,0)-MATCH($J$1,[4]characters!$1:$1,0)+1,FALSE)</f>
        <v>Drop1N</v>
      </c>
      <c r="N69" s="22" t="str">
        <f ca="1">VLOOKUP($J69,OFFSET([4]characters!$A$1,0,0,COUNTA([4]characters!$A:$A),MATCH(N$1,[4]characters!$1:$1,0)-MATCH($J$1,[4]characters!$1:$1,0)+2),MATCH(N$1,[4]characters!$1:$1,0)-MATCH($J$1,[4]characters!$1:$1,0)+2,FALSE)</f>
        <v>ドラゴン</v>
      </c>
      <c r="O69" s="5">
        <f ca="1">VLOOKUP($J69,OFFSET([3]enemies!$A$1,0,0,COUNTA([3]enemies!$A:$A),MATCH(O$1,[3]enemies!$1:$1,0)-MATCH($J$1,[3]enemies!$1:$1,0)+1),MATCH(O$1,[3]enemies!$1:$1,0)-MATCH($J$1,[3]enemies!$1:$1,0)+1,FALSE)</f>
        <v>15</v>
      </c>
      <c r="P69" s="45">
        <v>22</v>
      </c>
      <c r="Q69" s="43">
        <v>1</v>
      </c>
      <c r="R69" s="43">
        <v>1</v>
      </c>
      <c r="S69" s="6">
        <v>0</v>
      </c>
      <c r="T69" s="5" t="str">
        <f ca="1">VLOOKUP($U69,OFFSET([5]enemy_skill_sets!$B$1,0,0,COUNTA([5]enemy_skill_sets!$B:$B),MATCH(K$1,[5]enemy_skill_sets!$1:$1,0)-MATCH($U$1,[5]enemy_skill_sets!$1:$1,0)+2),MATCH(K$1,[5]enemy_skill_sets!$1:$1,0)-MATCH($U$1,[5]enemy_skill_sets!$1:$1,0)+2,FALSE)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69" s="5">
        <f ca="1">VLOOKUP($J69,OFFSET([3]enemies!$A$1,0,0,COUNTA([3]enemies!$A:$A),MATCH(U$1,[3]enemies!$1:$1,0)-MATCH($J$1,[3]enemies!$1:$1,0)+1),MATCH(U$1,[3]enemies!$1:$1,0)-MATCH($J$1,[3]enemies!$1:$1,0)+1,FALSE)</f>
        <v>0</v>
      </c>
      <c r="V69" s="41">
        <v>0</v>
      </c>
      <c r="W69" s="7">
        <v>100</v>
      </c>
      <c r="X69" s="7">
        <v>0</v>
      </c>
      <c r="Y69" s="20">
        <f ca="1">VLOOKUP($J69,OFFSET([3]enemies!$A$1,0,0,COUNTA([3]enemies!$A:$A),MATCH(Y$1,[3]enemies!$1:$1,0)-MATCH($J$1,[3]enemies!$1:$1,0)+1),MATCH(Y$1,[3]enemies!$1:$1,0)-MATCH($J$1,[3]enemies!$1:$1,0)+1,FALSE)</f>
        <v>1</v>
      </c>
      <c r="Z69" s="29">
        <v>41</v>
      </c>
      <c r="AA69" s="5" t="str">
        <f ca="1">IFERROR(VLOOKUP($Z69,OFFSET([4]characters!$A$1,0,0,COUNTA([4]characters!$A:$A),MATCH(AA$1,[4]characters!$1:$1,0)-MATCH("character_id",[4]characters!$1:$1,0)+1),MATCH(AA$1,[4]characters!$1:$1,0)-MATCH("character_id",[4]characters!$1:$1,0)+1,FALSE),"")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69" s="5">
        <f ca="1">IFERROR(VLOOKUP($Z69,OFFSET([4]characters!$A$1,0,0,COUNTA([4]characters!$A:$A),MATCH(AB$1,[4]characters!$1:$1,0)-MATCH("character_id",[4]characters!$1:$1,0)+1),MATCH(AB$1,[4]characters!$1:$1,0)-MATCH("character_id",[4]characters!$1:$1,0)+1,FALSE),"")</f>
        <v>2</v>
      </c>
      <c r="AC69" s="5" t="str">
        <f ca="1">IFERROR(VLOOKUP($Z69,OFFSET([4]characters!$A$1,0,0,COUNTA([4]characters!$A:$A),MATCH(AC$1,[4]characters!$1:$1,0)-MATCH("character_id",[4]characters!$1:$1,0)+1),MATCH(AC$1,[4]characters!$1:$1,0)-MATCH("character_id",[4]characters!$1:$1,0)+1,FALSE),"")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69" s="8">
        <v>2</v>
      </c>
      <c r="AE69" s="28">
        <f t="shared" ref="AE69:AE72" ca="1" si="67">AB69</f>
        <v>2</v>
      </c>
      <c r="AF69" s="9">
        <v>25</v>
      </c>
      <c r="AG69" s="8">
        <v>0</v>
      </c>
      <c r="AH69" s="8">
        <v>0</v>
      </c>
      <c r="AI69" s="8">
        <v>0</v>
      </c>
      <c r="AJ69" s="8">
        <v>0</v>
      </c>
      <c r="AK69" s="8">
        <v>1</v>
      </c>
      <c r="AL69" s="8">
        <v>1</v>
      </c>
    </row>
    <row r="70" spans="1:38" ht="21" customHeight="1" x14ac:dyDescent="0.15">
      <c r="A70" s="17" t="str">
        <f t="shared" ref="A70" ca="1" si="68">B70&amp;"_"&amp;C70&amp;"-"&amp;G70&amp;"/"&amp;J70&amp;"&lt;lv"&amp;P70&amp;"&gt;s"&amp;Y70</f>
        <v>13101_8-5/49&lt;lv22&gt;s2</v>
      </c>
      <c r="B70" s="26">
        <v>13101</v>
      </c>
      <c r="C70" s="25">
        <v>8</v>
      </c>
      <c r="D70" s="2" t="str">
        <f t="shared" ref="D70" si="69">B70&amp;"_"&amp;C70</f>
        <v>13101_8</v>
      </c>
      <c r="E70" s="5" t="str">
        <f ca="1">VLOOKUP($B70,OFFSET([2]quests!$A$1,0,0,COUNTA([2]quests!$A:$A),MATCH(E$1,[2]quests!$1:$1,0)-MATCH($B$1,[2]quests!$1:$1,0)+1),MATCH(E$1,[2]quests!$1:$1,0)-MATCH($B$1,[2]quests!$1:$1,0)+1,FALSE)</f>
        <v>チャレンジタワー</v>
      </c>
      <c r="F70" s="5" t="e">
        <f ca="1">VLOOKUP($D70,OFFSET([2]stages!$A$1,0,0,COUNTA([2]stages!$A:$A),MATCH(F$1,[2]stages!$1:$1,0)-MATCH($D$1,[2]stages!$1:$1,0)+1),MATCH(F$1,[2]stages!$1:$1,0)-MATCH($D$1,[2]stages!$1:$1,0)+1,FALSE)</f>
        <v>#N/A</v>
      </c>
      <c r="G70" s="30">
        <v>5</v>
      </c>
      <c r="H70" s="16" t="str">
        <f t="shared" ref="H70" si="70">B70&amp;"_"&amp;C70&amp;"-"&amp;G70</f>
        <v>13101_8-5</v>
      </c>
      <c r="I70" s="39" t="s">
        <v>245</v>
      </c>
      <c r="J70" s="39">
        <v>49</v>
      </c>
      <c r="K70" s="20" t="str">
        <f ca="1">VLOOKUP($J70,OFFSET([3]enemies!$A$1,0,0,COUNTA([3]enemies!$A:$A),MATCH(K$1,[3]enemies!$1:$1,0)-MATCH($J$1,[3]enemies!$1:$1,0)+1),MATCH(K$1,[3]enemies!$1:$1,0)-MATCH($J$1,[3]enemies!$1:$1,0)+1,FALSE)</f>
        <v>ヨシタカ</v>
      </c>
      <c r="L70" s="23" t="str">
        <f ca="1">VLOOKUP($J70,OFFSET([3]enemies!$A$1,0,0,COUNTA([3]enemies!$A:$A),MATCH(L$1,[3]enemies!$1:$1,0)-MATCH($J$1,[3]enemies!$1:$1,0)+1),MATCH(L$1,[3]enemies!$1:$1,0)-MATCH($J$1,[3]enemies!$1:$1,0)+1,FALSE)</f>
        <v>red</v>
      </c>
      <c r="M70" s="23" t="str">
        <f ca="1">VLOOKUP($J70,OFFSET([4]characters!$A$1,0,0,COUNTA([4]characters!$A:$A),MATCH(M$1,[4]characters!$1:$1,0)-MATCH($J$1,[4]characters!$1:$1,0)+1),MATCH(M$1,[4]characters!$1:$1,0)-MATCH($J$1,[4]characters!$1:$1,0)+1,FALSE)</f>
        <v>Drop1N</v>
      </c>
      <c r="N70" s="22" t="str">
        <f ca="1">VLOOKUP($J70,OFFSET([4]characters!$A$1,0,0,COUNTA([4]characters!$A:$A),MATCH(N$1,[4]characters!$1:$1,0)-MATCH($J$1,[4]characters!$1:$1,0)+2),MATCH(N$1,[4]characters!$1:$1,0)-MATCH($J$1,[4]characters!$1:$1,0)+2,FALSE)</f>
        <v>ヒューマン</v>
      </c>
      <c r="O70" s="5">
        <f ca="1">VLOOKUP($J70,OFFSET([3]enemies!$A$1,0,0,COUNTA([3]enemies!$A:$A),MATCH(O$1,[3]enemies!$1:$1,0)-MATCH($J$1,[3]enemies!$1:$1,0)+1),MATCH(O$1,[3]enemies!$1:$1,0)-MATCH($J$1,[3]enemies!$1:$1,0)+1,FALSE)</f>
        <v>15</v>
      </c>
      <c r="P70" s="45">
        <v>22</v>
      </c>
      <c r="Q70" s="50">
        <v>1.5</v>
      </c>
      <c r="R70" s="50">
        <v>1.5</v>
      </c>
      <c r="S70" s="6">
        <v>0</v>
      </c>
      <c r="T70" s="5" t="str">
        <f ca="1">VLOOKUP($U70,OFFSET([5]enemy_skill_sets!$B$1,0,0,COUNTA([5]enemy_skill_sets!$B:$B),MATCH(K$1,[5]enemy_skill_sets!$1:$1,0)-MATCH($U$1,[5]enemy_skill_sets!$1:$1,0)+2),MATCH(K$1,[5]enemy_skill_sets!$1:$1,0)-MATCH($U$1,[5]enemy_skill_sets!$1:$1,0)+2,FALSE)</f>
        <v>3ターンの間ダメージを受ける</v>
      </c>
      <c r="U70" s="5">
        <f ca="1">VLOOKUP($J70,OFFSET([3]enemies!$A$1,0,0,COUNTA([3]enemies!$A:$A),MATCH(U$1,[3]enemies!$1:$1,0)-MATCH($J$1,[3]enemies!$1:$1,0)+1),MATCH(U$1,[3]enemies!$1:$1,0)-MATCH($J$1,[3]enemies!$1:$1,0)+1,FALSE)</f>
        <v>49</v>
      </c>
      <c r="V70" s="41">
        <v>2</v>
      </c>
      <c r="W70" s="7">
        <v>100</v>
      </c>
      <c r="X70" s="7">
        <v>0</v>
      </c>
      <c r="Y70" s="20">
        <f ca="1">VLOOKUP($J70,OFFSET([3]enemies!$A$1,0,0,COUNTA([3]enemies!$A:$A),MATCH(Y$1,[3]enemies!$1:$1,0)-MATCH($J$1,[3]enemies!$1:$1,0)+1),MATCH(Y$1,[3]enemies!$1:$1,0)-MATCH($J$1,[3]enemies!$1:$1,0)+1,FALSE)</f>
        <v>2</v>
      </c>
      <c r="Z70" s="29">
        <v>49</v>
      </c>
      <c r="AA70" s="5" t="str">
        <f ca="1">IFERROR(VLOOKUP($Z70,OFFSET([4]characters!$A$1,0,0,COUNTA([4]characters!$A:$A),MATCH(AA$1,[4]characters!$1:$1,0)-MATCH("character_id",[4]characters!$1:$1,0)+1),MATCH(AA$1,[4]characters!$1:$1,0)-MATCH("character_id",[4]characters!$1:$1,0)+1,FALSE),"")</f>
        <v>ヨシタカ</v>
      </c>
      <c r="AB70" s="5">
        <f ca="1">IFERROR(VLOOKUP($Z70,OFFSET([4]characters!$A$1,0,0,COUNTA([4]characters!$A:$A),MATCH(AB$1,[4]characters!$1:$1,0)-MATCH("character_id",[4]characters!$1:$1,0)+1),MATCH(AB$1,[4]characters!$1:$1,0)-MATCH("character_id",[4]characters!$1:$1,0)+1,FALSE),"")</f>
        <v>2</v>
      </c>
      <c r="AC70" s="5" t="str">
        <f ca="1">IFERROR(VLOOKUP($Z70,OFFSET([4]characters!$A$1,0,0,COUNTA([4]characters!$A:$A),MATCH(AC$1,[4]characters!$1:$1,0)-MATCH("character_id",[4]characters!$1:$1,0)+1),MATCH(AC$1,[4]characters!$1:$1,0)-MATCH("character_id",[4]characters!$1:$1,0)+1,FALSE),"")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70" s="8">
        <v>2</v>
      </c>
      <c r="AE70" s="28">
        <f t="shared" ref="AE70" ca="1" si="71">AB70</f>
        <v>2</v>
      </c>
      <c r="AF70" s="9">
        <v>25</v>
      </c>
      <c r="AG70" s="8">
        <v>0</v>
      </c>
      <c r="AH70" s="8">
        <v>0</v>
      </c>
      <c r="AI70" s="8">
        <v>0</v>
      </c>
      <c r="AJ70" s="8">
        <v>0</v>
      </c>
      <c r="AK70" s="8">
        <v>1</v>
      </c>
      <c r="AL70" s="8">
        <v>1</v>
      </c>
    </row>
    <row r="71" spans="1:38" ht="21" customHeight="1" x14ac:dyDescent="0.15">
      <c r="A71" s="17" t="str">
        <f t="shared" ca="1" si="63"/>
        <v>13101_8-6/135&lt;lv24&gt;s3</v>
      </c>
      <c r="B71" s="26">
        <v>13101</v>
      </c>
      <c r="C71" s="25">
        <v>8</v>
      </c>
      <c r="D71" s="2" t="str">
        <f t="shared" si="66"/>
        <v>13101_8</v>
      </c>
      <c r="E71" s="5" t="str">
        <f ca="1">VLOOKUP($B71,OFFSET([2]quests!$A$1,0,0,COUNTA([2]quests!$A:$A),MATCH(E$1,[2]quests!$1:$1,0)-MATCH($B$1,[2]quests!$1:$1,0)+1),MATCH(E$1,[2]quests!$1:$1,0)-MATCH($B$1,[2]quests!$1:$1,0)+1,FALSE)</f>
        <v>チャレンジタワー</v>
      </c>
      <c r="F71" s="5" t="e">
        <f ca="1">VLOOKUP($D71,OFFSET([2]stages!$A$1,0,0,COUNTA([2]stages!$A:$A),MATCH(F$1,[2]stages!$1:$1,0)-MATCH($D$1,[2]stages!$1:$1,0)+1),MATCH(F$1,[2]stages!$1:$1,0)-MATCH($D$1,[2]stages!$1:$1,0)+1,FALSE)</f>
        <v>#N/A</v>
      </c>
      <c r="G71" s="30">
        <v>6</v>
      </c>
      <c r="H71" s="16" t="str">
        <f t="shared" si="62"/>
        <v>13101_8-6</v>
      </c>
      <c r="I71" s="39" t="s">
        <v>245</v>
      </c>
      <c r="J71" s="39">
        <v>135</v>
      </c>
      <c r="K71" s="20" t="str">
        <f ca="1">VLOOKUP($J71,OFFSET([3]enemies!$A$1,0,0,COUNTA([3]enemies!$A:$A),MATCH(K$1,[3]enemies!$1:$1,0)-MATCH($J$1,[3]enemies!$1:$1,0)+1),MATCH(K$1,[3]enemies!$1:$1,0)-MATCH($J$1,[3]enemies!$1:$1,0)+1,FALSE)</f>
        <v>京の炎華夕霧</v>
      </c>
      <c r="L71" s="23" t="str">
        <f ca="1">VLOOKUP($J71,OFFSET([3]enemies!$A$1,0,0,COUNTA([3]enemies!$A:$A),MATCH(L$1,[3]enemies!$1:$1,0)-MATCH($J$1,[3]enemies!$1:$1,0)+1),MATCH(L$1,[3]enemies!$1:$1,0)-MATCH($J$1,[3]enemies!$1:$1,0)+1,FALSE)</f>
        <v>red</v>
      </c>
      <c r="M71" s="23" t="str">
        <f ca="1">VLOOKUP($J71,OFFSET([4]characters!$A$1,0,0,COUNTA([4]characters!$A:$A),MATCH(M$1,[4]characters!$1:$1,0)-MATCH($J$1,[4]characters!$1:$1,0)+1),MATCH(M$1,[4]characters!$1:$1,0)-MATCH($J$1,[4]characters!$1:$1,0)+1,FALSE)</f>
        <v>PremiumW</v>
      </c>
      <c r="N71" s="22" t="str">
        <f ca="1">VLOOKUP($J71,OFFSET([4]characters!$A$1,0,0,COUNTA([4]characters!$A:$A),MATCH(N$1,[4]characters!$1:$1,0)-MATCH($J$1,[4]characters!$1:$1,0)+2),MATCH(N$1,[4]characters!$1:$1,0)-MATCH($J$1,[4]characters!$1:$1,0)+2,FALSE)</f>
        <v>ヒューマン</v>
      </c>
      <c r="O71" s="5">
        <f ca="1">VLOOKUP($J71,OFFSET([3]enemies!$A$1,0,0,COUNTA([3]enemies!$A:$A),MATCH(O$1,[3]enemies!$1:$1,0)-MATCH($J$1,[3]enemies!$1:$1,0)+1),MATCH(O$1,[3]enemies!$1:$1,0)-MATCH($J$1,[3]enemies!$1:$1,0)+1,FALSE)</f>
        <v>30</v>
      </c>
      <c r="P71" s="45">
        <v>24</v>
      </c>
      <c r="Q71" s="50">
        <v>2</v>
      </c>
      <c r="R71" s="43">
        <v>1</v>
      </c>
      <c r="S71" s="6">
        <v>0</v>
      </c>
      <c r="T71" s="5" t="str">
        <f ca="1">VLOOKUP($U71,OFFSET([5]enemy_skill_sets!$B$1,0,0,COUNTA([5]enemy_skill_sets!$B:$B),MATCH(K$1,[5]enemy_skill_sets!$1:$1,0)-MATCH($U$1,[5]enemy_skill_sets!$1:$1,0)+2),MATCH(K$1,[5]enemy_skill_sets!$1:$1,0)-MATCH($U$1,[5]enemy_skill_sets!$1:$1,0)+2,FALSE)</f>
        <v>3ターンの間ダメージを受ける</v>
      </c>
      <c r="U71" s="5">
        <f ca="1">VLOOKUP($J71,OFFSET([3]enemies!$A$1,0,0,COUNTA([3]enemies!$A:$A),MATCH(U$1,[3]enemies!$1:$1,0)-MATCH($J$1,[3]enemies!$1:$1,0)+1),MATCH(U$1,[3]enemies!$1:$1,0)-MATCH($J$1,[3]enemies!$1:$1,0)+1,FALSE)</f>
        <v>134</v>
      </c>
      <c r="V71" s="7">
        <v>1</v>
      </c>
      <c r="W71" s="7">
        <v>100</v>
      </c>
      <c r="X71" s="7">
        <v>1</v>
      </c>
      <c r="Y71" s="20">
        <f ca="1">VLOOKUP($J71,OFFSET([3]enemies!$A$1,0,0,COUNTA([3]enemies!$A:$A),MATCH(Y$1,[3]enemies!$1:$1,0)-MATCH($J$1,[3]enemies!$1:$1,0)+1),MATCH(Y$1,[3]enemies!$1:$1,0)-MATCH($J$1,[3]enemies!$1:$1,0)+1,FALSE)</f>
        <v>3</v>
      </c>
      <c r="Z71" s="29">
        <v>134</v>
      </c>
      <c r="AA71" s="5" t="str">
        <f ca="1">IFERROR(VLOOKUP($Z71,OFFSET([4]characters!$A$1,0,0,COUNTA([4]characters!$A:$A),MATCH(AA$1,[4]characters!$1:$1,0)-MATCH("character_id",[4]characters!$1:$1,0)+1),MATCH(AA$1,[4]characters!$1:$1,0)-MATCH("character_id",[4]characters!$1:$1,0)+1,FALSE),"")</f>
        <v>妖炎の夕霧</v>
      </c>
      <c r="AB71" s="5">
        <f ca="1">IFERROR(VLOOKUP($Z71,OFFSET([4]characters!$A$1,0,0,COUNTA([4]characters!$A:$A),MATCH(AB$1,[4]characters!$1:$1,0)-MATCH("character_id",[4]characters!$1:$1,0)+1),MATCH(AB$1,[4]characters!$1:$1,0)-MATCH("character_id",[4]characters!$1:$1,0)+1,FALSE),"")</f>
        <v>3</v>
      </c>
      <c r="AC71" s="5" t="str">
        <f ca="1">IFERROR(VLOOKUP($Z71,OFFSET([4]characters!$A$1,0,0,COUNTA([4]characters!$A:$A),MATCH(AC$1,[4]characters!$1:$1,0)-MATCH("character_id",[4]characters!$1:$1,0)+1),MATCH(AC$1,[4]characters!$1:$1,0)-MATCH("character_id",[4]characters!$1:$1,0)+1,FALSE),"")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71" s="8">
        <v>1</v>
      </c>
      <c r="AE71" s="28">
        <f t="shared" ca="1" si="67"/>
        <v>3</v>
      </c>
      <c r="AF71" s="9">
        <v>0</v>
      </c>
      <c r="AG71" s="8">
        <v>0</v>
      </c>
      <c r="AH71" s="8">
        <v>0</v>
      </c>
      <c r="AI71" s="8">
        <v>0</v>
      </c>
      <c r="AJ71" s="8">
        <v>0</v>
      </c>
      <c r="AK71" s="8">
        <v>1</v>
      </c>
      <c r="AL71" s="8">
        <v>1</v>
      </c>
    </row>
    <row r="72" spans="1:38" ht="21" customHeight="1" x14ac:dyDescent="0.15">
      <c r="A72" s="17" t="str">
        <f t="shared" ref="A72" ca="1" si="72">B72&amp;"_"&amp;C72&amp;"-"&amp;G72&amp;"/"&amp;J72&amp;"&lt;lv"&amp;P72&amp;"&gt;s"&amp;Y72</f>
        <v>13101_8-6/16&lt;lv24&gt;s3</v>
      </c>
      <c r="B72" s="26">
        <v>13101</v>
      </c>
      <c r="C72" s="25">
        <v>8</v>
      </c>
      <c r="D72" s="2" t="str">
        <f t="shared" ref="D72" si="73">B72&amp;"_"&amp;C72</f>
        <v>13101_8</v>
      </c>
      <c r="E72" s="5" t="str">
        <f ca="1">VLOOKUP($B72,OFFSET([2]quests!$A$1,0,0,COUNTA([2]quests!$A:$A),MATCH(E$1,[2]quests!$1:$1,0)-MATCH($B$1,[2]quests!$1:$1,0)+1),MATCH(E$1,[2]quests!$1:$1,0)-MATCH($B$1,[2]quests!$1:$1,0)+1,FALSE)</f>
        <v>チャレンジタワー</v>
      </c>
      <c r="F72" s="5" t="e">
        <f ca="1">VLOOKUP($D72,OFFSET([2]stages!$A$1,0,0,COUNTA([2]stages!$A:$A),MATCH(F$1,[2]stages!$1:$1,0)-MATCH($D$1,[2]stages!$1:$1,0)+1),MATCH(F$1,[2]stages!$1:$1,0)-MATCH($D$1,[2]stages!$1:$1,0)+1,FALSE)</f>
        <v>#N/A</v>
      </c>
      <c r="G72" s="30">
        <v>6</v>
      </c>
      <c r="H72" s="16" t="str">
        <f t="shared" ref="H72" si="74">B72&amp;"_"&amp;C72&amp;"-"&amp;G72</f>
        <v>13101_8-6</v>
      </c>
      <c r="I72" s="39" t="s">
        <v>245</v>
      </c>
      <c r="J72" s="39">
        <v>16</v>
      </c>
      <c r="K72" s="20" t="str">
        <f ca="1">VLOOKUP($J72,OFFSET([3]enemies!$A$1,0,0,COUNTA([3]enemies!$A:$A),MATCH(K$1,[3]enemies!$1:$1,0)-MATCH($J$1,[3]enemies!$1:$1,0)+1),MATCH(K$1,[3]enemies!$1:$1,0)-MATCH($J$1,[3]enemies!$1:$1,0)+1,FALSE)</f>
        <v>炎戦少女 アカネ</v>
      </c>
      <c r="L72" s="23" t="str">
        <f ca="1">VLOOKUP($J72,OFFSET([3]enemies!$A$1,0,0,COUNTA([3]enemies!$A:$A),MATCH(L$1,[3]enemies!$1:$1,0)-MATCH($J$1,[3]enemies!$1:$1,0)+1),MATCH(L$1,[3]enemies!$1:$1,0)-MATCH($J$1,[3]enemies!$1:$1,0)+1,FALSE)</f>
        <v>red</v>
      </c>
      <c r="M72" s="23" t="str">
        <f ca="1">VLOOKUP($J72,OFFSET([4]characters!$A$1,0,0,COUNTA([4]characters!$A:$A),MATCH(M$1,[4]characters!$1:$1,0)-MATCH($J$1,[4]characters!$1:$1,0)+1),MATCH(M$1,[4]characters!$1:$1,0)-MATCH($J$1,[4]characters!$1:$1,0)+1,FALSE)</f>
        <v>Drop1W</v>
      </c>
      <c r="N72" s="22" t="str">
        <f ca="1">VLOOKUP($J72,OFFSET([4]characters!$A$1,0,0,COUNTA([4]characters!$A:$A),MATCH(N$1,[4]characters!$1:$1,0)-MATCH($J$1,[4]characters!$1:$1,0)+2),MATCH(N$1,[4]characters!$1:$1,0)-MATCH($J$1,[4]characters!$1:$1,0)+2,FALSE)</f>
        <v>ヒューマン</v>
      </c>
      <c r="O72" s="5">
        <f ca="1">VLOOKUP($J72,OFFSET([3]enemies!$A$1,0,0,COUNTA([3]enemies!$A:$A),MATCH(O$1,[3]enemies!$1:$1,0)-MATCH($J$1,[3]enemies!$1:$1,0)+1),MATCH(O$1,[3]enemies!$1:$1,0)-MATCH($J$1,[3]enemies!$1:$1,0)+1,FALSE)</f>
        <v>15</v>
      </c>
      <c r="P72" s="45">
        <v>24</v>
      </c>
      <c r="Q72" s="50">
        <v>1.5</v>
      </c>
      <c r="R72" s="50">
        <v>1.5</v>
      </c>
      <c r="S72" s="6">
        <v>0</v>
      </c>
      <c r="T72" s="5" t="str">
        <f ca="1">VLOOKUP($U72,OFFSET([5]enemy_skill_sets!$B$1,0,0,COUNTA([5]enemy_skill_sets!$B:$B),MATCH(K$1,[5]enemy_skill_sets!$1:$1,0)-MATCH($U$1,[5]enemy_skill_sets!$1:$1,0)+2),MATCH(K$1,[5]enemy_skill_sets!$1:$1,0)-MATCH($U$1,[5]enemy_skill_sets!$1:$1,0)+2,FALSE)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72" s="5">
        <f ca="1">VLOOKUP($J72,OFFSET([3]enemies!$A$1,0,0,COUNTA([3]enemies!$A:$A),MATCH(U$1,[3]enemies!$1:$1,0)-MATCH($J$1,[3]enemies!$1:$1,0)+1),MATCH(U$1,[3]enemies!$1:$1,0)-MATCH($J$1,[3]enemies!$1:$1,0)+1,FALSE)</f>
        <v>0</v>
      </c>
      <c r="V72" s="7">
        <v>2</v>
      </c>
      <c r="W72" s="7">
        <v>100</v>
      </c>
      <c r="X72" s="7">
        <v>0</v>
      </c>
      <c r="Y72" s="20">
        <f ca="1">VLOOKUP($J72,OFFSET([3]enemies!$A$1,0,0,COUNTA([3]enemies!$A:$A),MATCH(Y$1,[3]enemies!$1:$1,0)-MATCH($J$1,[3]enemies!$1:$1,0)+1),MATCH(Y$1,[3]enemies!$1:$1,0)-MATCH($J$1,[3]enemies!$1:$1,0)+1,FALSE)</f>
        <v>3</v>
      </c>
      <c r="Z72" s="29">
        <v>15</v>
      </c>
      <c r="AA72" s="5" t="str">
        <f ca="1">IFERROR(VLOOKUP($Z72,OFFSET([4]characters!$A$1,0,0,COUNTA([4]characters!$A:$A),MATCH(AA$1,[4]characters!$1:$1,0)-MATCH("character_id",[4]characters!$1:$1,0)+1),MATCH(AA$1,[4]characters!$1:$1,0)-MATCH("character_id",[4]characters!$1:$1,0)+1,FALSE),"")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72" s="5">
        <f ca="1">IFERROR(VLOOKUP($Z72,OFFSET([4]characters!$A$1,0,0,COUNTA([4]characters!$A:$A),MATCH(AB$1,[4]characters!$1:$1,0)-MATCH("character_id",[4]characters!$1:$1,0)+1),MATCH(AB$1,[4]characters!$1:$1,0)-MATCH("character_id",[4]characters!$1:$1,0)+1,FALSE),"")</f>
        <v>1</v>
      </c>
      <c r="AC72" s="5" t="str">
        <f ca="1">IFERROR(VLOOKUP($Z72,OFFSET([4]characters!$A$1,0,0,COUNTA([4]characters!$A:$A),MATCH(AC$1,[4]characters!$1:$1,0)-MATCH("character_id",[4]characters!$1:$1,0)+1),MATCH(AC$1,[4]characters!$1:$1,0)-MATCH("character_id",[4]characters!$1:$1,0)+1,FALSE),"")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72" s="8">
        <v>4</v>
      </c>
      <c r="AE72" s="28">
        <f t="shared" ca="1" si="67"/>
        <v>1</v>
      </c>
      <c r="AF72" s="9">
        <v>0</v>
      </c>
      <c r="AG72" s="8">
        <v>0</v>
      </c>
      <c r="AH72" s="8">
        <v>0</v>
      </c>
      <c r="AI72" s="8">
        <v>0</v>
      </c>
      <c r="AJ72" s="8">
        <v>0</v>
      </c>
      <c r="AK72" s="8">
        <v>1</v>
      </c>
      <c r="AL72" s="8">
        <v>1</v>
      </c>
    </row>
    <row r="73" spans="1:38" ht="21" customHeight="1" x14ac:dyDescent="0.15">
      <c r="A73" s="17" t="str">
        <f t="shared" ca="1" si="63"/>
        <v>13101_9-1/27&lt;lv25&gt;s1</v>
      </c>
      <c r="B73" s="26">
        <v>13101</v>
      </c>
      <c r="C73" s="25">
        <v>9</v>
      </c>
      <c r="D73" s="2" t="str">
        <f t="shared" si="64"/>
        <v>13101_9</v>
      </c>
      <c r="E73" s="5" t="str">
        <f ca="1">VLOOKUP($B73,OFFSET([2]quests!$A$1,0,0,COUNTA([2]quests!$A:$A),MATCH(E$1,[2]quests!$1:$1,0)-MATCH($B$1,[2]quests!$1:$1,0)+1),MATCH(E$1,[2]quests!$1:$1,0)-MATCH($B$1,[2]quests!$1:$1,0)+1,FALSE)</f>
        <v>チャレンジタワー</v>
      </c>
      <c r="F73" s="5" t="e">
        <f ca="1">VLOOKUP($D73,OFFSET([2]stages!$A$1,0,0,COUNTA([2]stages!$A:$A),MATCH(F$1,[2]stages!$1:$1,0)-MATCH($D$1,[2]stages!$1:$1,0)+1),MATCH(F$1,[2]stages!$1:$1,0)-MATCH($D$1,[2]stages!$1:$1,0)+1,FALSE)</f>
        <v>#N/A</v>
      </c>
      <c r="G73" s="30">
        <v>1</v>
      </c>
      <c r="H73" s="16" t="str">
        <f t="shared" ref="H73:H82" si="75">B73&amp;"_"&amp;C73&amp;"-"&amp;G73</f>
        <v>13101_9-1</v>
      </c>
      <c r="I73" s="39" t="s">
        <v>245</v>
      </c>
      <c r="J73" s="39">
        <v>27</v>
      </c>
      <c r="K73" s="20" t="str">
        <f ca="1">VLOOKUP($J73,OFFSET([3]enemies!$A$1,0,0,COUNTA([3]enemies!$A:$A),MATCH(K$1,[3]enemies!$1:$1,0)-MATCH($J$1,[3]enemies!$1:$1,0)+1),MATCH(K$1,[3]enemies!$1:$1,0)-MATCH($J$1,[3]enemies!$1:$1,0)+1,FALSE)</f>
        <v>パトライン</v>
      </c>
      <c r="L73" s="23" t="str">
        <f ca="1">VLOOKUP($J73,OFFSET([3]enemies!$A$1,0,0,COUNTA([3]enemies!$A:$A),MATCH(L$1,[3]enemies!$1:$1,0)-MATCH($J$1,[3]enemies!$1:$1,0)+1),MATCH(L$1,[3]enemies!$1:$1,0)-MATCH($J$1,[3]enemies!$1:$1,0)+1,FALSE)</f>
        <v>green</v>
      </c>
      <c r="M73" s="23" t="str">
        <f ca="1">VLOOKUP($J73,OFFSET([4]characters!$A$1,0,0,COUNTA([4]characters!$A:$A),MATCH(M$1,[4]characters!$1:$1,0)-MATCH($J$1,[4]characters!$1:$1,0)+1),MATCH(M$1,[4]characters!$1:$1,0)-MATCH($J$1,[4]characters!$1:$1,0)+1,FALSE)</f>
        <v>Drop1N</v>
      </c>
      <c r="N73" s="22" t="str">
        <f ca="1">VLOOKUP($J73,OFFSET([4]characters!$A$1,0,0,COUNTA([4]characters!$A:$A),MATCH(N$1,[4]characters!$1:$1,0)-MATCH($J$1,[4]characters!$1:$1,0)+2),MATCH(N$1,[4]characters!$1:$1,0)-MATCH($J$1,[4]characters!$1:$1,0)+2,FALSE)</f>
        <v>マシン</v>
      </c>
      <c r="O73" s="5">
        <f ca="1">VLOOKUP($J73,OFFSET([3]enemies!$A$1,0,0,COUNTA([3]enemies!$A:$A),MATCH(O$1,[3]enemies!$1:$1,0)-MATCH($J$1,[3]enemies!$1:$1,0)+1),MATCH(O$1,[3]enemies!$1:$1,0)-MATCH($J$1,[3]enemies!$1:$1,0)+1,FALSE)</f>
        <v>15</v>
      </c>
      <c r="P73" s="45">
        <v>25</v>
      </c>
      <c r="Q73" s="43">
        <v>1</v>
      </c>
      <c r="R73" s="43">
        <v>1</v>
      </c>
      <c r="S73" s="6">
        <v>0</v>
      </c>
      <c r="T73" s="5" t="str">
        <f ca="1">VLOOKUP($U73,OFFSET([5]enemy_skill_sets!$B$1,0,0,COUNTA([5]enemy_skill_sets!$B:$B),MATCH(K$1,[5]enemy_skill_sets!$1:$1,0)-MATCH($U$1,[5]enemy_skill_sets!$1:$1,0)+2),MATCH(K$1,[5]enemy_skill_sets!$1:$1,0)-MATCH($U$1,[5]enemy_skill_sets!$1:$1,0)+2,FALSE)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73" s="5">
        <f ca="1">VLOOKUP($J73,OFFSET([3]enemies!$A$1,0,0,COUNTA([3]enemies!$A:$A),MATCH(U$1,[3]enemies!$1:$1,0)-MATCH($J$1,[3]enemies!$1:$1,0)+1),MATCH(U$1,[3]enemies!$1:$1,0)-MATCH($J$1,[3]enemies!$1:$1,0)+1,FALSE)</f>
        <v>0</v>
      </c>
      <c r="V73" s="41">
        <v>0</v>
      </c>
      <c r="W73" s="7">
        <v>100</v>
      </c>
      <c r="X73" s="41">
        <v>0</v>
      </c>
      <c r="Y73" s="20">
        <f ca="1">VLOOKUP($J73,OFFSET([3]enemies!$A$1,0,0,COUNTA([3]enemies!$A:$A),MATCH(Y$1,[3]enemies!$1:$1,0)-MATCH($J$1,[3]enemies!$1:$1,0)+1),MATCH(Y$1,[3]enemies!$1:$1,0)-MATCH($J$1,[3]enemies!$1:$1,0)+1,FALSE)</f>
        <v>1</v>
      </c>
      <c r="Z73" s="29">
        <v>27</v>
      </c>
      <c r="AA73" s="5" t="str">
        <f ca="1">IFERROR(VLOOKUP($Z73,OFFSET([4]characters!$A$1,0,0,COUNTA([4]characters!$A:$A),MATCH(AA$1,[4]characters!$1:$1,0)-MATCH("character_id",[4]characters!$1:$1,0)+1),MATCH(AA$1,[4]characters!$1:$1,0)-MATCH("character_id",[4]characters!$1:$1,0)+1,FALSE),"")</f>
        <v>パトライン</v>
      </c>
      <c r="AB73" s="5">
        <f ca="1">IFERROR(VLOOKUP($Z73,OFFSET([4]characters!$A$1,0,0,COUNTA([4]characters!$A:$A),MATCH(AB$1,[4]characters!$1:$1,0)-MATCH("character_id",[4]characters!$1:$1,0)+1),MATCH(AB$1,[4]characters!$1:$1,0)-MATCH("character_id",[4]characters!$1:$1,0)+1,FALSE),"")</f>
        <v>1</v>
      </c>
      <c r="AC73" s="5" t="str">
        <f ca="1">IFERROR(VLOOKUP($Z73,OFFSET([4]characters!$A$1,0,0,COUNTA([4]characters!$A:$A),MATCH(AC$1,[4]characters!$1:$1,0)-MATCH("character_id",[4]characters!$1:$1,0)+1),MATCH(AC$1,[4]characters!$1:$1,0)-MATCH("character_id",[4]characters!$1:$1,0)+1,FALSE),"")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73" s="8">
        <v>3</v>
      </c>
      <c r="AE73" s="28">
        <f t="shared" ca="1" si="65"/>
        <v>1</v>
      </c>
      <c r="AF73" s="9">
        <v>25</v>
      </c>
      <c r="AG73" s="8">
        <v>0</v>
      </c>
      <c r="AH73" s="8">
        <v>0</v>
      </c>
      <c r="AI73" s="8">
        <v>0</v>
      </c>
      <c r="AJ73" s="8">
        <v>0</v>
      </c>
      <c r="AK73" s="8">
        <v>1</v>
      </c>
      <c r="AL73" s="8">
        <v>1</v>
      </c>
    </row>
    <row r="74" spans="1:38" ht="21" customHeight="1" x14ac:dyDescent="0.15">
      <c r="A74" s="17" t="str">
        <f t="shared" ref="A74:A82" ca="1" si="76">B74&amp;"_"&amp;C74&amp;"-"&amp;G74&amp;"/"&amp;J74&amp;"&lt;lv"&amp;P74&amp;"&gt;s"&amp;Y74</f>
        <v>13101_9-1/23&lt;lv25&gt;s4</v>
      </c>
      <c r="B74" s="26">
        <v>13101</v>
      </c>
      <c r="C74" s="25">
        <v>9</v>
      </c>
      <c r="D74" s="2" t="str">
        <f t="shared" ref="D74:D81" si="77">B74&amp;"_"&amp;C74</f>
        <v>13101_9</v>
      </c>
      <c r="E74" s="5" t="str">
        <f ca="1">VLOOKUP($B74,OFFSET([2]quests!$A$1,0,0,COUNTA([2]quests!$A:$A),MATCH(E$1,[2]quests!$1:$1,0)-MATCH($B$1,[2]quests!$1:$1,0)+1),MATCH(E$1,[2]quests!$1:$1,0)-MATCH($B$1,[2]quests!$1:$1,0)+1,FALSE)</f>
        <v>チャレンジタワー</v>
      </c>
      <c r="F74" s="5" t="e">
        <f ca="1">VLOOKUP($D74,OFFSET([2]stages!$A$1,0,0,COUNTA([2]stages!$A:$A),MATCH(F$1,[2]stages!$1:$1,0)-MATCH($D$1,[2]stages!$1:$1,0)+1),MATCH(F$1,[2]stages!$1:$1,0)-MATCH($D$1,[2]stages!$1:$1,0)+1,FALSE)</f>
        <v>#N/A</v>
      </c>
      <c r="G74" s="30">
        <v>1</v>
      </c>
      <c r="H74" s="16" t="str">
        <f t="shared" si="75"/>
        <v>13101_9-1</v>
      </c>
      <c r="I74" s="39" t="s">
        <v>245</v>
      </c>
      <c r="J74" s="39">
        <v>23</v>
      </c>
      <c r="K74" s="20" t="str">
        <f ca="1">VLOOKUP($J74,OFFSET([3]enemies!$A$1,0,0,COUNTA([3]enemies!$A:$A),MATCH(K$1,[3]enemies!$1:$1,0)-MATCH($J$1,[3]enemies!$1:$1,0)+1),MATCH(K$1,[3]enemies!$1:$1,0)-MATCH($J$1,[3]enemies!$1:$1,0)+1,FALSE)</f>
        <v>ミール</v>
      </c>
      <c r="L74" s="23" t="str">
        <f ca="1">VLOOKUP($J74,OFFSET([3]enemies!$A$1,0,0,COUNTA([3]enemies!$A:$A),MATCH(L$1,[3]enemies!$1:$1,0)-MATCH($J$1,[3]enemies!$1:$1,0)+1),MATCH(L$1,[3]enemies!$1:$1,0)-MATCH($J$1,[3]enemies!$1:$1,0)+1,FALSE)</f>
        <v>green</v>
      </c>
      <c r="M74" s="23" t="str">
        <f ca="1">VLOOKUP($J74,OFFSET([4]characters!$A$1,0,0,COUNTA([4]characters!$A:$A),MATCH(M$1,[4]characters!$1:$1,0)-MATCH($J$1,[4]characters!$1:$1,0)+1),MATCH(M$1,[4]characters!$1:$1,0)-MATCH($J$1,[4]characters!$1:$1,0)+1,FALSE)</f>
        <v>Drop1N</v>
      </c>
      <c r="N74" s="22" t="str">
        <f ca="1">VLOOKUP($J74,OFFSET([4]characters!$A$1,0,0,COUNTA([4]characters!$A:$A),MATCH(N$1,[4]characters!$1:$1,0)-MATCH($J$1,[4]characters!$1:$1,0)+2),MATCH(N$1,[4]characters!$1:$1,0)-MATCH($J$1,[4]characters!$1:$1,0)+2,FALSE)</f>
        <v>アニマル</v>
      </c>
      <c r="O74" s="5">
        <f ca="1">VLOOKUP($J74,OFFSET([3]enemies!$A$1,0,0,COUNTA([3]enemies!$A:$A),MATCH(O$1,[3]enemies!$1:$1,0)-MATCH($J$1,[3]enemies!$1:$1,0)+1),MATCH(O$1,[3]enemies!$1:$1,0)-MATCH($J$1,[3]enemies!$1:$1,0)+1,FALSE)</f>
        <v>15</v>
      </c>
      <c r="P74" s="45">
        <v>25</v>
      </c>
      <c r="Q74" s="43">
        <v>1</v>
      </c>
      <c r="R74" s="43">
        <v>1</v>
      </c>
      <c r="S74" s="6">
        <v>0</v>
      </c>
      <c r="T74" s="5" t="str">
        <f ca="1">VLOOKUP($U74,OFFSET([5]enemy_skill_sets!$B$1,0,0,COUNTA([5]enemy_skill_sets!$B:$B),MATCH(K$1,[5]enemy_skill_sets!$1:$1,0)-MATCH($U$1,[5]enemy_skill_sets!$1:$1,0)+2),MATCH(K$1,[5]enemy_skill_sets!$1:$1,0)-MATCH($U$1,[5]enemy_skill_sets!$1:$1,0)+2,FALSE)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74" s="5">
        <f ca="1">VLOOKUP($J74,OFFSET([3]enemies!$A$1,0,0,COUNTA([3]enemies!$A:$A),MATCH(U$1,[3]enemies!$1:$1,0)-MATCH($J$1,[3]enemies!$1:$1,0)+1),MATCH(U$1,[3]enemies!$1:$1,0)-MATCH($J$1,[3]enemies!$1:$1,0)+1,FALSE)</f>
        <v>0</v>
      </c>
      <c r="V74" s="41">
        <v>0</v>
      </c>
      <c r="W74" s="7">
        <v>100</v>
      </c>
      <c r="X74" s="7">
        <v>0</v>
      </c>
      <c r="Y74" s="20">
        <f ca="1">VLOOKUP($J74,OFFSET([3]enemies!$A$1,0,0,COUNTA([3]enemies!$A:$A),MATCH(Y$1,[3]enemies!$1:$1,0)-MATCH($J$1,[3]enemies!$1:$1,0)+1),MATCH(Y$1,[3]enemies!$1:$1,0)-MATCH($J$1,[3]enemies!$1:$1,0)+1,FALSE)</f>
        <v>4</v>
      </c>
      <c r="Z74" s="29">
        <v>23</v>
      </c>
      <c r="AA74" s="5" t="str">
        <f ca="1">IFERROR(VLOOKUP($Z74,OFFSET([4]characters!$A$1,0,0,COUNTA([4]characters!$A:$A),MATCH(AA$1,[4]characters!$1:$1,0)-MATCH("character_id",[4]characters!$1:$1,0)+1),MATCH(AA$1,[4]characters!$1:$1,0)-MATCH("character_id",[4]characters!$1:$1,0)+1,FALSE),"")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74" s="5">
        <f ca="1">IFERROR(VLOOKUP($Z74,OFFSET([4]characters!$A$1,0,0,COUNTA([4]characters!$A:$A),MATCH(AB$1,[4]characters!$1:$1,0)-MATCH("character_id",[4]characters!$1:$1,0)+1),MATCH(AB$1,[4]characters!$1:$1,0)-MATCH("character_id",[4]characters!$1:$1,0)+1,FALSE),"")</f>
        <v>1</v>
      </c>
      <c r="AC74" s="5" t="str">
        <f ca="1">IFERROR(VLOOKUP($Z74,OFFSET([4]characters!$A$1,0,0,COUNTA([4]characters!$A:$A),MATCH(AC$1,[4]characters!$1:$1,0)-MATCH("character_id",[4]characters!$1:$1,0)+1),MATCH(AC$1,[4]characters!$1:$1,0)-MATCH("character_id",[4]characters!$1:$1,0)+1,FALSE),"")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74" s="8">
        <v>3</v>
      </c>
      <c r="AE74" s="28">
        <f t="shared" ref="AE74:AE80" ca="1" si="78">AB74</f>
        <v>1</v>
      </c>
      <c r="AF74" s="9">
        <v>25</v>
      </c>
      <c r="AG74" s="8">
        <v>0</v>
      </c>
      <c r="AH74" s="8">
        <v>0</v>
      </c>
      <c r="AI74" s="8">
        <v>0</v>
      </c>
      <c r="AJ74" s="8">
        <v>0</v>
      </c>
      <c r="AK74" s="8">
        <v>1</v>
      </c>
      <c r="AL74" s="8">
        <v>1</v>
      </c>
    </row>
    <row r="75" spans="1:38" ht="21" customHeight="1" x14ac:dyDescent="0.15">
      <c r="A75" s="17" t="str">
        <f t="shared" ca="1" si="76"/>
        <v>13101_9-2/27&lt;lv25&gt;s1</v>
      </c>
      <c r="B75" s="26">
        <v>13101</v>
      </c>
      <c r="C75" s="25">
        <v>9</v>
      </c>
      <c r="D75" s="2" t="str">
        <f t="shared" si="77"/>
        <v>13101_9</v>
      </c>
      <c r="E75" s="5" t="str">
        <f ca="1">VLOOKUP($B75,OFFSET([2]quests!$A$1,0,0,COUNTA([2]quests!$A:$A),MATCH(E$1,[2]quests!$1:$1,0)-MATCH($B$1,[2]quests!$1:$1,0)+1),MATCH(E$1,[2]quests!$1:$1,0)-MATCH($B$1,[2]quests!$1:$1,0)+1,FALSE)</f>
        <v>チャレンジタワー</v>
      </c>
      <c r="F75" s="5" t="e">
        <f ca="1">VLOOKUP($D75,OFFSET([2]stages!$A$1,0,0,COUNTA([2]stages!$A:$A),MATCH(F$1,[2]stages!$1:$1,0)-MATCH($D$1,[2]stages!$1:$1,0)+1),MATCH(F$1,[2]stages!$1:$1,0)-MATCH($D$1,[2]stages!$1:$1,0)+1,FALSE)</f>
        <v>#N/A</v>
      </c>
      <c r="G75" s="30">
        <v>2</v>
      </c>
      <c r="H75" s="16" t="str">
        <f t="shared" si="75"/>
        <v>13101_9-2</v>
      </c>
      <c r="I75" s="39" t="s">
        <v>245</v>
      </c>
      <c r="J75" s="39">
        <v>27</v>
      </c>
      <c r="K75" s="20" t="str">
        <f ca="1">VLOOKUP($J75,OFFSET([3]enemies!$A$1,0,0,COUNTA([3]enemies!$A:$A),MATCH(K$1,[3]enemies!$1:$1,0)-MATCH($J$1,[3]enemies!$1:$1,0)+1),MATCH(K$1,[3]enemies!$1:$1,0)-MATCH($J$1,[3]enemies!$1:$1,0)+1,FALSE)</f>
        <v>パトライン</v>
      </c>
      <c r="L75" s="23" t="str">
        <f ca="1">VLOOKUP($J75,OFFSET([3]enemies!$A$1,0,0,COUNTA([3]enemies!$A:$A),MATCH(L$1,[3]enemies!$1:$1,0)-MATCH($J$1,[3]enemies!$1:$1,0)+1),MATCH(L$1,[3]enemies!$1:$1,0)-MATCH($J$1,[3]enemies!$1:$1,0)+1,FALSE)</f>
        <v>green</v>
      </c>
      <c r="M75" s="23" t="str">
        <f ca="1">VLOOKUP($J75,OFFSET([4]characters!$A$1,0,0,COUNTA([4]characters!$A:$A),MATCH(M$1,[4]characters!$1:$1,0)-MATCH($J$1,[4]characters!$1:$1,0)+1),MATCH(M$1,[4]characters!$1:$1,0)-MATCH($J$1,[4]characters!$1:$1,0)+1,FALSE)</f>
        <v>Drop1N</v>
      </c>
      <c r="N75" s="22" t="str">
        <f ca="1">VLOOKUP($J75,OFFSET([4]characters!$A$1,0,0,COUNTA([4]characters!$A:$A),MATCH(N$1,[4]characters!$1:$1,0)-MATCH($J$1,[4]characters!$1:$1,0)+2),MATCH(N$1,[4]characters!$1:$1,0)-MATCH($J$1,[4]characters!$1:$1,0)+2,FALSE)</f>
        <v>マシン</v>
      </c>
      <c r="O75" s="5">
        <f ca="1">VLOOKUP($J75,OFFSET([3]enemies!$A$1,0,0,COUNTA([3]enemies!$A:$A),MATCH(O$1,[3]enemies!$1:$1,0)-MATCH($J$1,[3]enemies!$1:$1,0)+1),MATCH(O$1,[3]enemies!$1:$1,0)-MATCH($J$1,[3]enemies!$1:$1,0)+1,FALSE)</f>
        <v>15</v>
      </c>
      <c r="P75" s="45">
        <v>25</v>
      </c>
      <c r="Q75" s="43">
        <v>1</v>
      </c>
      <c r="R75" s="43">
        <v>1</v>
      </c>
      <c r="S75" s="6">
        <v>0</v>
      </c>
      <c r="T75" s="5" t="str">
        <f ca="1">VLOOKUP($U75,OFFSET([5]enemy_skill_sets!$B$1,0,0,COUNTA([5]enemy_skill_sets!$B:$B),MATCH(K$1,[5]enemy_skill_sets!$1:$1,0)-MATCH($U$1,[5]enemy_skill_sets!$1:$1,0)+2),MATCH(K$1,[5]enemy_skill_sets!$1:$1,0)-MATCH($U$1,[5]enemy_skill_sets!$1:$1,0)+2,FALSE)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75" s="5">
        <f ca="1">VLOOKUP($J75,OFFSET([3]enemies!$A$1,0,0,COUNTA([3]enemies!$A:$A),MATCH(U$1,[3]enemies!$1:$1,0)-MATCH($J$1,[3]enemies!$1:$1,0)+1),MATCH(U$1,[3]enemies!$1:$1,0)-MATCH($J$1,[3]enemies!$1:$1,0)+1,FALSE)</f>
        <v>0</v>
      </c>
      <c r="V75" s="7">
        <v>0</v>
      </c>
      <c r="W75" s="7">
        <v>100</v>
      </c>
      <c r="X75" s="7">
        <v>0</v>
      </c>
      <c r="Y75" s="20">
        <f ca="1">VLOOKUP($J75,OFFSET([3]enemies!$A$1,0,0,COUNTA([3]enemies!$A:$A),MATCH(Y$1,[3]enemies!$1:$1,0)-MATCH($J$1,[3]enemies!$1:$1,0)+1),MATCH(Y$1,[3]enemies!$1:$1,0)-MATCH($J$1,[3]enemies!$1:$1,0)+1,FALSE)</f>
        <v>1</v>
      </c>
      <c r="Z75" s="29">
        <v>27</v>
      </c>
      <c r="AA75" s="5" t="str">
        <f ca="1">IFERROR(VLOOKUP($Z75,OFFSET([4]characters!$A$1,0,0,COUNTA([4]characters!$A:$A),MATCH(AA$1,[4]characters!$1:$1,0)-MATCH("character_id",[4]characters!$1:$1,0)+1),MATCH(AA$1,[4]characters!$1:$1,0)-MATCH("character_id",[4]characters!$1:$1,0)+1,FALSE),"")</f>
        <v>パトライン</v>
      </c>
      <c r="AB75" s="5">
        <f ca="1">IFERROR(VLOOKUP($Z75,OFFSET([4]characters!$A$1,0,0,COUNTA([4]characters!$A:$A),MATCH(AB$1,[4]characters!$1:$1,0)-MATCH("character_id",[4]characters!$1:$1,0)+1),MATCH(AB$1,[4]characters!$1:$1,0)-MATCH("character_id",[4]characters!$1:$1,0)+1,FALSE),"")</f>
        <v>1</v>
      </c>
      <c r="AC75" s="5" t="str">
        <f ca="1">IFERROR(VLOOKUP($Z75,OFFSET([4]characters!$A$1,0,0,COUNTA([4]characters!$A:$A),MATCH(AC$1,[4]characters!$1:$1,0)-MATCH("character_id",[4]characters!$1:$1,0)+1),MATCH(AC$1,[4]characters!$1:$1,0)-MATCH("character_id",[4]characters!$1:$1,0)+1,FALSE),"")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75" s="8">
        <v>3</v>
      </c>
      <c r="AE75" s="28">
        <f t="shared" ca="1" si="78"/>
        <v>1</v>
      </c>
      <c r="AF75" s="9">
        <v>25</v>
      </c>
      <c r="AG75" s="8">
        <v>0</v>
      </c>
      <c r="AH75" s="8">
        <v>0</v>
      </c>
      <c r="AI75" s="8">
        <v>0</v>
      </c>
      <c r="AJ75" s="8">
        <v>0</v>
      </c>
      <c r="AK75" s="8">
        <v>1</v>
      </c>
      <c r="AL75" s="8">
        <v>1</v>
      </c>
    </row>
    <row r="76" spans="1:38" ht="21" customHeight="1" x14ac:dyDescent="0.15">
      <c r="A76" s="17" t="str">
        <f t="shared" ca="1" si="76"/>
        <v>13101_9-2/43&lt;lv25&gt;s2</v>
      </c>
      <c r="B76" s="26">
        <v>13101</v>
      </c>
      <c r="C76" s="25">
        <v>9</v>
      </c>
      <c r="D76" s="2" t="str">
        <f t="shared" si="77"/>
        <v>13101_9</v>
      </c>
      <c r="E76" s="5" t="str">
        <f ca="1">VLOOKUP($B76,OFFSET([2]quests!$A$1,0,0,COUNTA([2]quests!$A:$A),MATCH(E$1,[2]quests!$1:$1,0)-MATCH($B$1,[2]quests!$1:$1,0)+1),MATCH(E$1,[2]quests!$1:$1,0)-MATCH($B$1,[2]quests!$1:$1,0)+1,FALSE)</f>
        <v>チャレンジタワー</v>
      </c>
      <c r="F76" s="5" t="e">
        <f ca="1">VLOOKUP($D76,OFFSET([2]stages!$A$1,0,0,COUNTA([2]stages!$A:$A),MATCH(F$1,[2]stages!$1:$1,0)-MATCH($D$1,[2]stages!$1:$1,0)+1),MATCH(F$1,[2]stages!$1:$1,0)-MATCH($D$1,[2]stages!$1:$1,0)+1,FALSE)</f>
        <v>#N/A</v>
      </c>
      <c r="G76" s="30">
        <v>2</v>
      </c>
      <c r="H76" s="16" t="str">
        <f t="shared" si="75"/>
        <v>13101_9-2</v>
      </c>
      <c r="I76" s="39" t="s">
        <v>245</v>
      </c>
      <c r="J76" s="39">
        <v>43</v>
      </c>
      <c r="K76" s="20" t="str">
        <f ca="1">VLOOKUP($J76,OFFSET([3]enemies!$A$1,0,0,COUNTA([3]enemies!$A:$A),MATCH(K$1,[3]enemies!$1:$1,0)-MATCH($J$1,[3]enemies!$1:$1,0)+1),MATCH(K$1,[3]enemies!$1:$1,0)-MATCH($J$1,[3]enemies!$1:$1,0)+1,FALSE)</f>
        <v>ムゥ</v>
      </c>
      <c r="L76" s="23" t="str">
        <f ca="1">VLOOKUP($J76,OFFSET([3]enemies!$A$1,0,0,COUNTA([3]enemies!$A:$A),MATCH(L$1,[3]enemies!$1:$1,0)-MATCH($J$1,[3]enemies!$1:$1,0)+1),MATCH(L$1,[3]enemies!$1:$1,0)-MATCH($J$1,[3]enemies!$1:$1,0)+1,FALSE)</f>
        <v>green</v>
      </c>
      <c r="M76" s="23" t="str">
        <f ca="1">VLOOKUP($J76,OFFSET([4]characters!$A$1,0,0,COUNTA([4]characters!$A:$A),MATCH(M$1,[4]characters!$1:$1,0)-MATCH($J$1,[4]characters!$1:$1,0)+1),MATCH(M$1,[4]characters!$1:$1,0)-MATCH($J$1,[4]characters!$1:$1,0)+1,FALSE)</f>
        <v>Drop1N</v>
      </c>
      <c r="N76" s="22" t="str">
        <f ca="1">VLOOKUP($J76,OFFSET([4]characters!$A$1,0,0,COUNTA([4]characters!$A:$A),MATCH(N$1,[4]characters!$1:$1,0)-MATCH($J$1,[4]characters!$1:$1,0)+2),MATCH(N$1,[4]characters!$1:$1,0)-MATCH($J$1,[4]characters!$1:$1,0)+2,FALSE)</f>
        <v>ドラゴン</v>
      </c>
      <c r="O76" s="5">
        <f ca="1">VLOOKUP($J76,OFFSET([3]enemies!$A$1,0,0,COUNTA([3]enemies!$A:$A),MATCH(O$1,[3]enemies!$1:$1,0)-MATCH($J$1,[3]enemies!$1:$1,0)+1),MATCH(O$1,[3]enemies!$1:$1,0)-MATCH($J$1,[3]enemies!$1:$1,0)+1,FALSE)</f>
        <v>15</v>
      </c>
      <c r="P76" s="45">
        <v>25</v>
      </c>
      <c r="Q76" s="43">
        <v>1</v>
      </c>
      <c r="R76" s="43">
        <v>1</v>
      </c>
      <c r="S76" s="6">
        <v>0</v>
      </c>
      <c r="T76" s="5" t="str">
        <f ca="1">VLOOKUP($U76,OFFSET([5]enemy_skill_sets!$B$1,0,0,COUNTA([5]enemy_skill_sets!$B:$B),MATCH(K$1,[5]enemy_skill_sets!$1:$1,0)-MATCH($U$1,[5]enemy_skill_sets!$1:$1,0)+2),MATCH(K$1,[5]enemy_skill_sets!$1:$1,0)-MATCH($U$1,[5]enemy_skill_sets!$1:$1,0)+2,FALSE)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76" s="5">
        <f ca="1">VLOOKUP($J76,OFFSET([3]enemies!$A$1,0,0,COUNTA([3]enemies!$A:$A),MATCH(U$1,[3]enemies!$1:$1,0)-MATCH($J$1,[3]enemies!$1:$1,0)+1),MATCH(U$1,[3]enemies!$1:$1,0)-MATCH($J$1,[3]enemies!$1:$1,0)+1,FALSE)</f>
        <v>0</v>
      </c>
      <c r="V76" s="7">
        <v>0</v>
      </c>
      <c r="W76" s="7">
        <v>100</v>
      </c>
      <c r="X76" s="7">
        <v>0</v>
      </c>
      <c r="Y76" s="20">
        <f ca="1">VLOOKUP($J76,OFFSET([3]enemies!$A$1,0,0,COUNTA([3]enemies!$A:$A),MATCH(Y$1,[3]enemies!$1:$1,0)-MATCH($J$1,[3]enemies!$1:$1,0)+1),MATCH(Y$1,[3]enemies!$1:$1,0)-MATCH($J$1,[3]enemies!$1:$1,0)+1,FALSE)</f>
        <v>2</v>
      </c>
      <c r="Z76" s="29">
        <v>43</v>
      </c>
      <c r="AA76" s="5" t="str">
        <f ca="1">IFERROR(VLOOKUP($Z76,OFFSET([4]characters!$A$1,0,0,COUNTA([4]characters!$A:$A),MATCH(AA$1,[4]characters!$1:$1,0)-MATCH("character_id",[4]characters!$1:$1,0)+1),MATCH(AA$1,[4]characters!$1:$1,0)-MATCH("character_id",[4]characters!$1:$1,0)+1,FALSE),"")</f>
        <v>ムゥ</v>
      </c>
      <c r="AB76" s="5">
        <f ca="1">IFERROR(VLOOKUP($Z76,OFFSET([4]characters!$A$1,0,0,COUNTA([4]characters!$A:$A),MATCH(AB$1,[4]characters!$1:$1,0)-MATCH("character_id",[4]characters!$1:$1,0)+1),MATCH(AB$1,[4]characters!$1:$1,0)-MATCH("character_id",[4]characters!$1:$1,0)+1,FALSE),"")</f>
        <v>2</v>
      </c>
      <c r="AC76" s="5" t="str">
        <f ca="1">IFERROR(VLOOKUP($Z76,OFFSET([4]characters!$A$1,0,0,COUNTA([4]characters!$A:$A),MATCH(AC$1,[4]characters!$1:$1,0)-MATCH("character_id",[4]characters!$1:$1,0)+1),MATCH(AC$1,[4]characters!$1:$1,0)-MATCH("character_id",[4]characters!$1:$1,0)+1,FALSE),"")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76" s="8">
        <v>3</v>
      </c>
      <c r="AE76" s="28">
        <f t="shared" ca="1" si="78"/>
        <v>2</v>
      </c>
      <c r="AF76" s="9">
        <v>25</v>
      </c>
      <c r="AG76" s="8">
        <v>0</v>
      </c>
      <c r="AH76" s="8">
        <v>0</v>
      </c>
      <c r="AI76" s="8">
        <v>0</v>
      </c>
      <c r="AJ76" s="8">
        <v>0</v>
      </c>
      <c r="AK76" s="8">
        <v>1</v>
      </c>
      <c r="AL76" s="8">
        <v>1</v>
      </c>
    </row>
    <row r="77" spans="1:38" ht="21" customHeight="1" x14ac:dyDescent="0.15">
      <c r="A77" s="17" t="str">
        <f t="shared" ca="1" si="76"/>
        <v>13101_9-3/11&lt;lv25&gt;s3</v>
      </c>
      <c r="B77" s="26">
        <v>13101</v>
      </c>
      <c r="C77" s="25">
        <v>9</v>
      </c>
      <c r="D77" s="2" t="str">
        <f t="shared" si="77"/>
        <v>13101_9</v>
      </c>
      <c r="E77" s="5" t="str">
        <f ca="1">VLOOKUP($B77,OFFSET([2]quests!$A$1,0,0,COUNTA([2]quests!$A:$A),MATCH(E$1,[2]quests!$1:$1,0)-MATCH($B$1,[2]quests!$1:$1,0)+1),MATCH(E$1,[2]quests!$1:$1,0)-MATCH($B$1,[2]quests!$1:$1,0)+1,FALSE)</f>
        <v>チャレンジタワー</v>
      </c>
      <c r="F77" s="5" t="e">
        <f ca="1">VLOOKUP($D77,OFFSET([2]stages!$A$1,0,0,COUNTA([2]stages!$A:$A),MATCH(F$1,[2]stages!$1:$1,0)-MATCH($D$1,[2]stages!$1:$1,0)+1),MATCH(F$1,[2]stages!$1:$1,0)-MATCH($D$1,[2]stages!$1:$1,0)+1,FALSE)</f>
        <v>#N/A</v>
      </c>
      <c r="G77" s="30">
        <v>3</v>
      </c>
      <c r="H77" s="16" t="str">
        <f t="shared" si="75"/>
        <v>13101_9-3</v>
      </c>
      <c r="I77" s="39" t="s">
        <v>245</v>
      </c>
      <c r="J77" s="39">
        <v>11</v>
      </c>
      <c r="K77" s="20" t="str">
        <f ca="1">VLOOKUP($J77,OFFSET([3]enemies!$A$1,0,0,COUNTA([3]enemies!$A:$A),MATCH(K$1,[3]enemies!$1:$1,0)-MATCH($J$1,[3]enemies!$1:$1,0)+1),MATCH(K$1,[3]enemies!$1:$1,0)-MATCH($J$1,[3]enemies!$1:$1,0)+1,FALSE)</f>
        <v>マグリット</v>
      </c>
      <c r="L77" s="23" t="str">
        <f ca="1">VLOOKUP($J77,OFFSET([3]enemies!$A$1,0,0,COUNTA([3]enemies!$A:$A),MATCH(L$1,[3]enemies!$1:$1,0)-MATCH($J$1,[3]enemies!$1:$1,0)+1),MATCH(L$1,[3]enemies!$1:$1,0)-MATCH($J$1,[3]enemies!$1:$1,0)+1,FALSE)</f>
        <v>green</v>
      </c>
      <c r="M77" s="23" t="str">
        <f ca="1">VLOOKUP($J77,OFFSET([4]characters!$A$1,0,0,COUNTA([4]characters!$A:$A),MATCH(M$1,[4]characters!$1:$1,0)-MATCH($J$1,[4]characters!$1:$1,0)+1),MATCH(M$1,[4]characters!$1:$1,0)-MATCH($J$1,[4]characters!$1:$1,0)+1,FALSE)</f>
        <v>Drop1W</v>
      </c>
      <c r="N77" s="22" t="str">
        <f ca="1">VLOOKUP($J77,OFFSET([4]characters!$A$1,0,0,COUNTA([4]characters!$A:$A),MATCH(N$1,[4]characters!$1:$1,0)-MATCH($J$1,[4]characters!$1:$1,0)+2),MATCH(N$1,[4]characters!$1:$1,0)-MATCH($J$1,[4]characters!$1:$1,0)+2,FALSE)</f>
        <v>アニマル</v>
      </c>
      <c r="O77" s="5">
        <f ca="1">VLOOKUP($J77,OFFSET([3]enemies!$A$1,0,0,COUNTA([3]enemies!$A:$A),MATCH(O$1,[3]enemies!$1:$1,0)-MATCH($J$1,[3]enemies!$1:$1,0)+1),MATCH(O$1,[3]enemies!$1:$1,0)-MATCH($J$1,[3]enemies!$1:$1,0)+1,FALSE)</f>
        <v>15</v>
      </c>
      <c r="P77" s="45">
        <v>25</v>
      </c>
      <c r="Q77" s="43">
        <v>1</v>
      </c>
      <c r="R77" s="43">
        <v>1</v>
      </c>
      <c r="S77" s="6">
        <v>0</v>
      </c>
      <c r="T77" s="5" t="str">
        <f ca="1">VLOOKUP($U77,OFFSET([5]enemy_skill_sets!$B$1,0,0,COUNTA([5]enemy_skill_sets!$B:$B),MATCH(K$1,[5]enemy_skill_sets!$1:$1,0)-MATCH($U$1,[5]enemy_skill_sets!$1:$1,0)+2),MATCH(K$1,[5]enemy_skill_sets!$1:$1,0)-MATCH($U$1,[5]enemy_skill_sets!$1:$1,0)+2,FALSE)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77" s="5">
        <f ca="1">VLOOKUP($J77,OFFSET([3]enemies!$A$1,0,0,COUNTA([3]enemies!$A:$A),MATCH(U$1,[3]enemies!$1:$1,0)-MATCH($J$1,[3]enemies!$1:$1,0)+1),MATCH(U$1,[3]enemies!$1:$1,0)-MATCH($J$1,[3]enemies!$1:$1,0)+1,FALSE)</f>
        <v>0</v>
      </c>
      <c r="V77" s="7">
        <v>0</v>
      </c>
      <c r="W77" s="7">
        <v>100</v>
      </c>
      <c r="X77" s="7">
        <v>0</v>
      </c>
      <c r="Y77" s="20">
        <f ca="1">VLOOKUP($J77,OFFSET([3]enemies!$A$1,0,0,COUNTA([3]enemies!$A:$A),MATCH(Y$1,[3]enemies!$1:$1,0)-MATCH($J$1,[3]enemies!$1:$1,0)+1),MATCH(Y$1,[3]enemies!$1:$1,0)-MATCH($J$1,[3]enemies!$1:$1,0)+1,FALSE)</f>
        <v>3</v>
      </c>
      <c r="Z77" s="29">
        <v>11</v>
      </c>
      <c r="AA77" s="5" t="str">
        <f ca="1">IFERROR(VLOOKUP($Z77,OFFSET([4]characters!$A$1,0,0,COUNTA([4]characters!$A:$A),MATCH(AA$1,[4]characters!$1:$1,0)-MATCH("character_id",[4]characters!$1:$1,0)+1),MATCH(AA$1,[4]characters!$1:$1,0)-MATCH("character_id",[4]characters!$1:$1,0)+1,FALSE),"")</f>
        <v>マグリット</v>
      </c>
      <c r="AB77" s="5">
        <f ca="1">IFERROR(VLOOKUP($Z77,OFFSET([4]characters!$A$1,0,0,COUNTA([4]characters!$A:$A),MATCH(AB$1,[4]characters!$1:$1,0)-MATCH("character_id",[4]characters!$1:$1,0)+1),MATCH(AB$1,[4]characters!$1:$1,0)-MATCH("character_id",[4]characters!$1:$1,0)+1,FALSE),"")</f>
        <v>1</v>
      </c>
      <c r="AC77" s="5" t="str">
        <f ca="1">IFERROR(VLOOKUP($Z77,OFFSET([4]characters!$A$1,0,0,COUNTA([4]characters!$A:$A),MATCH(AC$1,[4]characters!$1:$1,0)-MATCH("character_id",[4]characters!$1:$1,0)+1),MATCH(AC$1,[4]characters!$1:$1,0)-MATCH("character_id",[4]characters!$1:$1,0)+1,FALSE),"")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77" s="8">
        <v>5</v>
      </c>
      <c r="AE77" s="28">
        <f t="shared" ca="1" si="78"/>
        <v>1</v>
      </c>
      <c r="AF77" s="9">
        <v>25</v>
      </c>
      <c r="AG77" s="8">
        <v>0</v>
      </c>
      <c r="AH77" s="8">
        <v>0</v>
      </c>
      <c r="AI77" s="8">
        <v>0</v>
      </c>
      <c r="AJ77" s="8">
        <v>0</v>
      </c>
      <c r="AK77" s="8">
        <v>1</v>
      </c>
      <c r="AL77" s="8">
        <v>1</v>
      </c>
    </row>
    <row r="78" spans="1:38" ht="21" customHeight="1" x14ac:dyDescent="0.15">
      <c r="A78" s="17" t="str">
        <f t="shared" ca="1" si="76"/>
        <v>13101_9-3/23&lt;lv25&gt;s4</v>
      </c>
      <c r="B78" s="26">
        <v>13101</v>
      </c>
      <c r="C78" s="25">
        <v>9</v>
      </c>
      <c r="D78" s="2" t="str">
        <f t="shared" si="77"/>
        <v>13101_9</v>
      </c>
      <c r="E78" s="5" t="str">
        <f ca="1">VLOOKUP($B78,OFFSET([2]quests!$A$1,0,0,COUNTA([2]quests!$A:$A),MATCH(E$1,[2]quests!$1:$1,0)-MATCH($B$1,[2]quests!$1:$1,0)+1),MATCH(E$1,[2]quests!$1:$1,0)-MATCH($B$1,[2]quests!$1:$1,0)+1,FALSE)</f>
        <v>チャレンジタワー</v>
      </c>
      <c r="F78" s="5" t="e">
        <f ca="1">VLOOKUP($D78,OFFSET([2]stages!$A$1,0,0,COUNTA([2]stages!$A:$A),MATCH(F$1,[2]stages!$1:$1,0)-MATCH($D$1,[2]stages!$1:$1,0)+1),MATCH(F$1,[2]stages!$1:$1,0)-MATCH($D$1,[2]stages!$1:$1,0)+1,FALSE)</f>
        <v>#N/A</v>
      </c>
      <c r="G78" s="30">
        <v>3</v>
      </c>
      <c r="H78" s="16" t="str">
        <f t="shared" si="75"/>
        <v>13101_9-3</v>
      </c>
      <c r="I78" s="39" t="s">
        <v>245</v>
      </c>
      <c r="J78" s="39">
        <v>23</v>
      </c>
      <c r="K78" s="20" t="str">
        <f ca="1">VLOOKUP($J78,OFFSET([3]enemies!$A$1,0,0,COUNTA([3]enemies!$A:$A),MATCH(K$1,[3]enemies!$1:$1,0)-MATCH($J$1,[3]enemies!$1:$1,0)+1),MATCH(K$1,[3]enemies!$1:$1,0)-MATCH($J$1,[3]enemies!$1:$1,0)+1,FALSE)</f>
        <v>ミール</v>
      </c>
      <c r="L78" s="23" t="str">
        <f ca="1">VLOOKUP($J78,OFFSET([3]enemies!$A$1,0,0,COUNTA([3]enemies!$A:$A),MATCH(L$1,[3]enemies!$1:$1,0)-MATCH($J$1,[3]enemies!$1:$1,0)+1),MATCH(L$1,[3]enemies!$1:$1,0)-MATCH($J$1,[3]enemies!$1:$1,0)+1,FALSE)</f>
        <v>green</v>
      </c>
      <c r="M78" s="23" t="str">
        <f ca="1">VLOOKUP($J78,OFFSET([4]characters!$A$1,0,0,COUNTA([4]characters!$A:$A),MATCH(M$1,[4]characters!$1:$1,0)-MATCH($J$1,[4]characters!$1:$1,0)+1),MATCH(M$1,[4]characters!$1:$1,0)-MATCH($J$1,[4]characters!$1:$1,0)+1,FALSE)</f>
        <v>Drop1N</v>
      </c>
      <c r="N78" s="22" t="str">
        <f ca="1">VLOOKUP($J78,OFFSET([4]characters!$A$1,0,0,COUNTA([4]characters!$A:$A),MATCH(N$1,[4]characters!$1:$1,0)-MATCH($J$1,[4]characters!$1:$1,0)+2),MATCH(N$1,[4]characters!$1:$1,0)-MATCH($J$1,[4]characters!$1:$1,0)+2,FALSE)</f>
        <v>アニマル</v>
      </c>
      <c r="O78" s="5">
        <f ca="1">VLOOKUP($J78,OFFSET([3]enemies!$A$1,0,0,COUNTA([3]enemies!$A:$A),MATCH(O$1,[3]enemies!$1:$1,0)-MATCH($J$1,[3]enemies!$1:$1,0)+1),MATCH(O$1,[3]enemies!$1:$1,0)-MATCH($J$1,[3]enemies!$1:$1,0)+1,FALSE)</f>
        <v>15</v>
      </c>
      <c r="P78" s="45">
        <v>25</v>
      </c>
      <c r="Q78" s="43">
        <v>1</v>
      </c>
      <c r="R78" s="43">
        <v>1</v>
      </c>
      <c r="S78" s="6">
        <v>0</v>
      </c>
      <c r="T78" s="5" t="str">
        <f ca="1">VLOOKUP($U78,OFFSET([5]enemy_skill_sets!$B$1,0,0,COUNTA([5]enemy_skill_sets!$B:$B),MATCH(K$1,[5]enemy_skill_sets!$1:$1,0)-MATCH($U$1,[5]enemy_skill_sets!$1:$1,0)+2),MATCH(K$1,[5]enemy_skill_sets!$1:$1,0)-MATCH($U$1,[5]enemy_skill_sets!$1:$1,0)+2,FALSE)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78" s="5">
        <f ca="1">VLOOKUP($J78,OFFSET([3]enemies!$A$1,0,0,COUNTA([3]enemies!$A:$A),MATCH(U$1,[3]enemies!$1:$1,0)-MATCH($J$1,[3]enemies!$1:$1,0)+1),MATCH(U$1,[3]enemies!$1:$1,0)-MATCH($J$1,[3]enemies!$1:$1,0)+1,FALSE)</f>
        <v>0</v>
      </c>
      <c r="V78" s="7">
        <v>0</v>
      </c>
      <c r="W78" s="7">
        <v>100</v>
      </c>
      <c r="X78" s="7">
        <v>0</v>
      </c>
      <c r="Y78" s="20">
        <f ca="1">VLOOKUP($J78,OFFSET([3]enemies!$A$1,0,0,COUNTA([3]enemies!$A:$A),MATCH(Y$1,[3]enemies!$1:$1,0)-MATCH($J$1,[3]enemies!$1:$1,0)+1),MATCH(Y$1,[3]enemies!$1:$1,0)-MATCH($J$1,[3]enemies!$1:$1,0)+1,FALSE)</f>
        <v>4</v>
      </c>
      <c r="Z78" s="29">
        <v>23</v>
      </c>
      <c r="AA78" s="5" t="str">
        <f ca="1">IFERROR(VLOOKUP($Z78,OFFSET([4]characters!$A$1,0,0,COUNTA([4]characters!$A:$A),MATCH(AA$1,[4]characters!$1:$1,0)-MATCH("character_id",[4]characters!$1:$1,0)+1),MATCH(AA$1,[4]characters!$1:$1,0)-MATCH("character_id",[4]characters!$1:$1,0)+1,FALSE),"")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78" s="5">
        <f ca="1">IFERROR(VLOOKUP($Z78,OFFSET([4]characters!$A$1,0,0,COUNTA([4]characters!$A:$A),MATCH(AB$1,[4]characters!$1:$1,0)-MATCH("character_id",[4]characters!$1:$1,0)+1),MATCH(AB$1,[4]characters!$1:$1,0)-MATCH("character_id",[4]characters!$1:$1,0)+1,FALSE),"")</f>
        <v>1</v>
      </c>
      <c r="AC78" s="5" t="str">
        <f ca="1">IFERROR(VLOOKUP($Z78,OFFSET([4]characters!$A$1,0,0,COUNTA([4]characters!$A:$A),MATCH(AC$1,[4]characters!$1:$1,0)-MATCH("character_id",[4]characters!$1:$1,0)+1),MATCH(AC$1,[4]characters!$1:$1,0)-MATCH("character_id",[4]characters!$1:$1,0)+1,FALSE),"")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78" s="8">
        <v>3</v>
      </c>
      <c r="AE78" s="28">
        <f t="shared" ca="1" si="78"/>
        <v>1</v>
      </c>
      <c r="AF78" s="9">
        <v>25</v>
      </c>
      <c r="AG78" s="8">
        <v>0</v>
      </c>
      <c r="AH78" s="8">
        <v>0</v>
      </c>
      <c r="AI78" s="8">
        <v>0</v>
      </c>
      <c r="AJ78" s="8">
        <v>0</v>
      </c>
      <c r="AK78" s="8">
        <v>1</v>
      </c>
      <c r="AL78" s="8">
        <v>1</v>
      </c>
    </row>
    <row r="79" spans="1:38" ht="21" customHeight="1" x14ac:dyDescent="0.15">
      <c r="A79" s="17" t="str">
        <f t="shared" ca="1" si="76"/>
        <v>13101_9-4/43&lt;lv25&gt;s2</v>
      </c>
      <c r="B79" s="26">
        <v>13101</v>
      </c>
      <c r="C79" s="25">
        <v>9</v>
      </c>
      <c r="D79" s="2" t="str">
        <f t="shared" si="77"/>
        <v>13101_9</v>
      </c>
      <c r="E79" s="5" t="str">
        <f ca="1">VLOOKUP($B79,OFFSET([2]quests!$A$1,0,0,COUNTA([2]quests!$A:$A),MATCH(E$1,[2]quests!$1:$1,0)-MATCH($B$1,[2]quests!$1:$1,0)+1),MATCH(E$1,[2]quests!$1:$1,0)-MATCH($B$1,[2]quests!$1:$1,0)+1,FALSE)</f>
        <v>チャレンジタワー</v>
      </c>
      <c r="F79" s="5" t="e">
        <f ca="1">VLOOKUP($D79,OFFSET([2]stages!$A$1,0,0,COUNTA([2]stages!$A:$A),MATCH(F$1,[2]stages!$1:$1,0)-MATCH($D$1,[2]stages!$1:$1,0)+1),MATCH(F$1,[2]stages!$1:$1,0)-MATCH($D$1,[2]stages!$1:$1,0)+1,FALSE)</f>
        <v>#N/A</v>
      </c>
      <c r="G79" s="30">
        <v>4</v>
      </c>
      <c r="H79" s="16" t="str">
        <f t="shared" si="75"/>
        <v>13101_9-4</v>
      </c>
      <c r="I79" s="39" t="s">
        <v>245</v>
      </c>
      <c r="J79" s="39">
        <v>43</v>
      </c>
      <c r="K79" s="20" t="str">
        <f ca="1">VLOOKUP($J79,OFFSET([3]enemies!$A$1,0,0,COUNTA([3]enemies!$A:$A),MATCH(K$1,[3]enemies!$1:$1,0)-MATCH($J$1,[3]enemies!$1:$1,0)+1),MATCH(K$1,[3]enemies!$1:$1,0)-MATCH($J$1,[3]enemies!$1:$1,0)+1,FALSE)</f>
        <v>ムゥ</v>
      </c>
      <c r="L79" s="23" t="str">
        <f ca="1">VLOOKUP($J79,OFFSET([3]enemies!$A$1,0,0,COUNTA([3]enemies!$A:$A),MATCH(L$1,[3]enemies!$1:$1,0)-MATCH($J$1,[3]enemies!$1:$1,0)+1),MATCH(L$1,[3]enemies!$1:$1,0)-MATCH($J$1,[3]enemies!$1:$1,0)+1,FALSE)</f>
        <v>green</v>
      </c>
      <c r="M79" s="23" t="str">
        <f ca="1">VLOOKUP($J79,OFFSET([4]characters!$A$1,0,0,COUNTA([4]characters!$A:$A),MATCH(M$1,[4]characters!$1:$1,0)-MATCH($J$1,[4]characters!$1:$1,0)+1),MATCH(M$1,[4]characters!$1:$1,0)-MATCH($J$1,[4]characters!$1:$1,0)+1,FALSE)</f>
        <v>Drop1N</v>
      </c>
      <c r="N79" s="22" t="str">
        <f ca="1">VLOOKUP($J79,OFFSET([4]characters!$A$1,0,0,COUNTA([4]characters!$A:$A),MATCH(N$1,[4]characters!$1:$1,0)-MATCH($J$1,[4]characters!$1:$1,0)+2),MATCH(N$1,[4]characters!$1:$1,0)-MATCH($J$1,[4]characters!$1:$1,0)+2,FALSE)</f>
        <v>ドラゴン</v>
      </c>
      <c r="O79" s="5">
        <f ca="1">VLOOKUP($J79,OFFSET([3]enemies!$A$1,0,0,COUNTA([3]enemies!$A:$A),MATCH(O$1,[3]enemies!$1:$1,0)-MATCH($J$1,[3]enemies!$1:$1,0)+1),MATCH(O$1,[3]enemies!$1:$1,0)-MATCH($J$1,[3]enemies!$1:$1,0)+1,FALSE)</f>
        <v>15</v>
      </c>
      <c r="P79" s="45">
        <v>25</v>
      </c>
      <c r="Q79" s="50">
        <v>1.5</v>
      </c>
      <c r="R79" s="43">
        <v>1</v>
      </c>
      <c r="S79" s="6">
        <v>0</v>
      </c>
      <c r="T79" s="5" t="str">
        <f ca="1">VLOOKUP($U79,OFFSET([5]enemy_skill_sets!$B$1,0,0,COUNTA([5]enemy_skill_sets!$B:$B),MATCH(K$1,[5]enemy_skill_sets!$1:$1,0)-MATCH($U$1,[5]enemy_skill_sets!$1:$1,0)+2),MATCH(K$1,[5]enemy_skill_sets!$1:$1,0)-MATCH($U$1,[5]enemy_skill_sets!$1:$1,0)+2,FALSE)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79" s="5">
        <f ca="1">VLOOKUP($J79,OFFSET([3]enemies!$A$1,0,0,COUNTA([3]enemies!$A:$A),MATCH(U$1,[3]enemies!$1:$1,0)-MATCH($J$1,[3]enemies!$1:$1,0)+1),MATCH(U$1,[3]enemies!$1:$1,0)-MATCH($J$1,[3]enemies!$1:$1,0)+1,FALSE)</f>
        <v>0</v>
      </c>
      <c r="V79" s="7">
        <v>1</v>
      </c>
      <c r="W79" s="7">
        <v>100</v>
      </c>
      <c r="X79" s="7">
        <v>1</v>
      </c>
      <c r="Y79" s="20">
        <f ca="1">VLOOKUP($J79,OFFSET([3]enemies!$A$1,0,0,COUNTA([3]enemies!$A:$A),MATCH(Y$1,[3]enemies!$1:$1,0)-MATCH($J$1,[3]enemies!$1:$1,0)+1),MATCH(Y$1,[3]enemies!$1:$1,0)-MATCH($J$1,[3]enemies!$1:$1,0)+1,FALSE)</f>
        <v>2</v>
      </c>
      <c r="Z79" s="29">
        <v>43</v>
      </c>
      <c r="AA79" s="5" t="str">
        <f ca="1">IFERROR(VLOOKUP($Z79,OFFSET([4]characters!$A$1,0,0,COUNTA([4]characters!$A:$A),MATCH(AA$1,[4]characters!$1:$1,0)-MATCH("character_id",[4]characters!$1:$1,0)+1),MATCH(AA$1,[4]characters!$1:$1,0)-MATCH("character_id",[4]characters!$1:$1,0)+1,FALSE),"")</f>
        <v>ムゥ</v>
      </c>
      <c r="AB79" s="5">
        <f ca="1">IFERROR(VLOOKUP($Z79,OFFSET([4]characters!$A$1,0,0,COUNTA([4]characters!$A:$A),MATCH(AB$1,[4]characters!$1:$1,0)-MATCH("character_id",[4]characters!$1:$1,0)+1),MATCH(AB$1,[4]characters!$1:$1,0)-MATCH("character_id",[4]characters!$1:$1,0)+1,FALSE),"")</f>
        <v>2</v>
      </c>
      <c r="AC79" s="5" t="str">
        <f ca="1">IFERROR(VLOOKUP($Z79,OFFSET([4]characters!$A$1,0,0,COUNTA([4]characters!$A:$A),MATCH(AC$1,[4]characters!$1:$1,0)-MATCH("character_id",[4]characters!$1:$1,0)+1),MATCH(AC$1,[4]characters!$1:$1,0)-MATCH("character_id",[4]characters!$1:$1,0)+1,FALSE),"")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79" s="8">
        <v>3</v>
      </c>
      <c r="AE79" s="28">
        <f t="shared" ca="1" si="78"/>
        <v>2</v>
      </c>
      <c r="AF79" s="9">
        <v>25</v>
      </c>
      <c r="AG79" s="8">
        <v>0</v>
      </c>
      <c r="AH79" s="8">
        <v>0</v>
      </c>
      <c r="AI79" s="8">
        <v>0</v>
      </c>
      <c r="AJ79" s="8">
        <v>0</v>
      </c>
      <c r="AK79" s="8">
        <v>1</v>
      </c>
      <c r="AL79" s="8">
        <v>1</v>
      </c>
    </row>
    <row r="80" spans="1:38" ht="21" customHeight="1" x14ac:dyDescent="0.15">
      <c r="A80" s="17" t="str">
        <f t="shared" ca="1" si="76"/>
        <v>13101_9-4/59&lt;lv25&gt;s2</v>
      </c>
      <c r="B80" s="26">
        <v>13101</v>
      </c>
      <c r="C80" s="25">
        <v>9</v>
      </c>
      <c r="D80" s="2" t="str">
        <f t="shared" si="77"/>
        <v>13101_9</v>
      </c>
      <c r="E80" s="5" t="str">
        <f ca="1">VLOOKUP($B80,OFFSET([2]quests!$A$1,0,0,COUNTA([2]quests!$A:$A),MATCH(E$1,[2]quests!$1:$1,0)-MATCH($B$1,[2]quests!$1:$1,0)+1),MATCH(E$1,[2]quests!$1:$1,0)-MATCH($B$1,[2]quests!$1:$1,0)+1,FALSE)</f>
        <v>チャレンジタワー</v>
      </c>
      <c r="F80" s="5" t="e">
        <f ca="1">VLOOKUP($D80,OFFSET([2]stages!$A$1,0,0,COUNTA([2]stages!$A:$A),MATCH(F$1,[2]stages!$1:$1,0)-MATCH($D$1,[2]stages!$1:$1,0)+1),MATCH(F$1,[2]stages!$1:$1,0)-MATCH($D$1,[2]stages!$1:$1,0)+1,FALSE)</f>
        <v>#N/A</v>
      </c>
      <c r="G80" s="30">
        <v>4</v>
      </c>
      <c r="H80" s="16" t="str">
        <f t="shared" si="75"/>
        <v>13101_9-4</v>
      </c>
      <c r="I80" s="39" t="s">
        <v>245</v>
      </c>
      <c r="J80" s="39">
        <v>59</v>
      </c>
      <c r="K80" s="20" t="str">
        <f ca="1">VLOOKUP($J80,OFFSET([3]enemies!$A$1,0,0,COUNTA([3]enemies!$A:$A),MATCH(K$1,[3]enemies!$1:$1,0)-MATCH($J$1,[3]enemies!$1:$1,0)+1),MATCH(K$1,[3]enemies!$1:$1,0)-MATCH($J$1,[3]enemies!$1:$1,0)+1,FALSE)</f>
        <v>マーチ</v>
      </c>
      <c r="L80" s="23" t="str">
        <f ca="1">VLOOKUP($J80,OFFSET([3]enemies!$A$1,0,0,COUNTA([3]enemies!$A:$A),MATCH(L$1,[3]enemies!$1:$1,0)-MATCH($J$1,[3]enemies!$1:$1,0)+1),MATCH(L$1,[3]enemies!$1:$1,0)-MATCH($J$1,[3]enemies!$1:$1,0)+1,FALSE)</f>
        <v>green</v>
      </c>
      <c r="M80" s="23" t="str">
        <f ca="1">VLOOKUP($J80,OFFSET([4]characters!$A$1,0,0,COUNTA([4]characters!$A:$A),MATCH(M$1,[4]characters!$1:$1,0)-MATCH($J$1,[4]characters!$1:$1,0)+1),MATCH(M$1,[4]characters!$1:$1,0)-MATCH($J$1,[4]characters!$1:$1,0)+1,FALSE)</f>
        <v>Drop1N</v>
      </c>
      <c r="N80" s="22" t="str">
        <f ca="1">VLOOKUP($J80,OFFSET([4]characters!$A$1,0,0,COUNTA([4]characters!$A:$A),MATCH(N$1,[4]characters!$1:$1,0)-MATCH($J$1,[4]characters!$1:$1,0)+2),MATCH(N$1,[4]characters!$1:$1,0)-MATCH($J$1,[4]characters!$1:$1,0)+2,FALSE)</f>
        <v>アニマル</v>
      </c>
      <c r="O80" s="5">
        <f ca="1">VLOOKUP($J80,OFFSET([3]enemies!$A$1,0,0,COUNTA([3]enemies!$A:$A),MATCH(O$1,[3]enemies!$1:$1,0)-MATCH($J$1,[3]enemies!$1:$1,0)+1),MATCH(O$1,[3]enemies!$1:$1,0)-MATCH($J$1,[3]enemies!$1:$1,0)+1,FALSE)</f>
        <v>15</v>
      </c>
      <c r="P80" s="45">
        <v>25</v>
      </c>
      <c r="Q80" s="43">
        <v>1</v>
      </c>
      <c r="R80" s="43">
        <v>1</v>
      </c>
      <c r="S80" s="6">
        <v>0</v>
      </c>
      <c r="T80" s="5" t="str">
        <f ca="1">VLOOKUP($U80,OFFSET([5]enemy_skill_sets!$B$1,0,0,COUNTA([5]enemy_skill_sets!$B:$B),MATCH(K$1,[5]enemy_skill_sets!$1:$1,0)-MATCH($U$1,[5]enemy_skill_sets!$1:$1,0)+2),MATCH(K$1,[5]enemy_skill_sets!$1:$1,0)-MATCH($U$1,[5]enemy_skill_sets!$1:$1,0)+2,FALSE)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80" s="5">
        <f ca="1">VLOOKUP($J80,OFFSET([3]enemies!$A$1,0,0,COUNTA([3]enemies!$A:$A),MATCH(U$1,[3]enemies!$1:$1,0)-MATCH($J$1,[3]enemies!$1:$1,0)+1),MATCH(U$1,[3]enemies!$1:$1,0)-MATCH($J$1,[3]enemies!$1:$1,0)+1,FALSE)</f>
        <v>59</v>
      </c>
      <c r="V80" s="7">
        <v>2</v>
      </c>
      <c r="W80" s="7">
        <v>100</v>
      </c>
      <c r="X80" s="7">
        <v>0</v>
      </c>
      <c r="Y80" s="20">
        <f ca="1">VLOOKUP($J80,OFFSET([3]enemies!$A$1,0,0,COUNTA([3]enemies!$A:$A),MATCH(Y$1,[3]enemies!$1:$1,0)-MATCH($J$1,[3]enemies!$1:$1,0)+1),MATCH(Y$1,[3]enemies!$1:$1,0)-MATCH($J$1,[3]enemies!$1:$1,0)+1,FALSE)</f>
        <v>2</v>
      </c>
      <c r="Z80" s="29">
        <v>59</v>
      </c>
      <c r="AA80" s="5" t="str">
        <f ca="1">IFERROR(VLOOKUP($Z80,OFFSET([4]characters!$A$1,0,0,COUNTA([4]characters!$A:$A),MATCH(AA$1,[4]characters!$1:$1,0)-MATCH("character_id",[4]characters!$1:$1,0)+1),MATCH(AA$1,[4]characters!$1:$1,0)-MATCH("character_id",[4]characters!$1:$1,0)+1,FALSE),"")</f>
        <v>マーチ</v>
      </c>
      <c r="AB80" s="5">
        <f ca="1">IFERROR(VLOOKUP($Z80,OFFSET([4]characters!$A$1,0,0,COUNTA([4]characters!$A:$A),MATCH(AB$1,[4]characters!$1:$1,0)-MATCH("character_id",[4]characters!$1:$1,0)+1),MATCH(AB$1,[4]characters!$1:$1,0)-MATCH("character_id",[4]characters!$1:$1,0)+1,FALSE),"")</f>
        <v>2</v>
      </c>
      <c r="AC80" s="5" t="str">
        <f ca="1">IFERROR(VLOOKUP($Z80,OFFSET([4]characters!$A$1,0,0,COUNTA([4]characters!$A:$A),MATCH(AC$1,[4]characters!$1:$1,0)-MATCH("character_id",[4]characters!$1:$1,0)+1),MATCH(AC$1,[4]characters!$1:$1,0)-MATCH("character_id",[4]characters!$1:$1,0)+1,FALSE),"")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80" s="8">
        <v>3</v>
      </c>
      <c r="AE80" s="28">
        <f t="shared" ca="1" si="78"/>
        <v>2</v>
      </c>
      <c r="AF80" s="9">
        <v>25</v>
      </c>
      <c r="AG80" s="8">
        <v>0</v>
      </c>
      <c r="AH80" s="8">
        <v>0</v>
      </c>
      <c r="AI80" s="8">
        <v>0</v>
      </c>
      <c r="AJ80" s="8">
        <v>0</v>
      </c>
      <c r="AK80" s="8">
        <v>1</v>
      </c>
      <c r="AL80" s="8">
        <v>1</v>
      </c>
    </row>
    <row r="81" spans="1:38" ht="21" customHeight="1" x14ac:dyDescent="0.15">
      <c r="A81" s="17" t="str">
        <f t="shared" ref="A81" ca="1" si="79">B81&amp;"_"&amp;C81&amp;"-"&amp;G81&amp;"/"&amp;J81&amp;"&lt;lv"&amp;P81&amp;"&gt;s"&amp;Y81</f>
        <v>13101_9-5/160&lt;lv24&gt;s1</v>
      </c>
      <c r="B81" s="26">
        <v>13101</v>
      </c>
      <c r="C81" s="30">
        <v>9</v>
      </c>
      <c r="D81" s="2" t="str">
        <f t="shared" si="77"/>
        <v>13101_9</v>
      </c>
      <c r="E81" s="5" t="str">
        <f ca="1">VLOOKUP($B81,OFFSET([2]quests!$A$1,0,0,COUNTA([2]quests!$A:$A),MATCH(E$1,[2]quests!$1:$1,0)-MATCH($B$1,[2]quests!$1:$1,0)+1),MATCH(E$1,[2]quests!$1:$1,0)-MATCH($B$1,[2]quests!$1:$1,0)+1,FALSE)</f>
        <v>チャレンジタワー</v>
      </c>
      <c r="F81" s="5" t="e">
        <f ca="1">VLOOKUP($D81,OFFSET([2]stages!$A$1,0,0,COUNTA([2]stages!$A:$A),MATCH(F$1,[2]stages!$1:$1,0)-MATCH($D$1,[2]stages!$1:$1,0)+1),MATCH(F$1,[2]stages!$1:$1,0)-MATCH($D$1,[2]stages!$1:$1,0)+1,FALSE)</f>
        <v>#N/A</v>
      </c>
      <c r="G81" s="30">
        <v>5</v>
      </c>
      <c r="H81" s="16" t="str">
        <f t="shared" ref="H81" si="80">B81&amp;"_"&amp;C81&amp;"-"&amp;G81</f>
        <v>13101_9-5</v>
      </c>
      <c r="I81" s="39" t="s">
        <v>245</v>
      </c>
      <c r="J81" s="39">
        <v>160</v>
      </c>
      <c r="K81" s="20" t="str">
        <f ca="1">VLOOKUP($J81,OFFSET([3]enemies!$A$1,0,0,COUNTA([3]enemies!$A:$A),MATCH(K$1,[3]enemies!$1:$1,0)-MATCH($J$1,[3]enemies!$1:$1,0)+1),MATCH(K$1,[3]enemies!$1:$1,0)-MATCH($J$1,[3]enemies!$1:$1,0)+1,FALSE)</f>
        <v>反逆者 クリエ</v>
      </c>
      <c r="L81" s="23" t="str">
        <f ca="1">VLOOKUP($J81,OFFSET([3]enemies!$A$1,0,0,COUNTA([3]enemies!$A:$A),MATCH(L$1,[3]enemies!$1:$1,0)-MATCH($J$1,[3]enemies!$1:$1,0)+1),MATCH(L$1,[3]enemies!$1:$1,0)-MATCH($J$1,[3]enemies!$1:$1,0)+1,FALSE)</f>
        <v>green</v>
      </c>
      <c r="M81" s="23" t="str">
        <f ca="1">VLOOKUP($J81,OFFSET([4]characters!$A$1,0,0,COUNTA([4]characters!$A:$A),MATCH(M$1,[4]characters!$1:$1,0)-MATCH($J$1,[4]characters!$1:$1,0)+1),MATCH(M$1,[4]characters!$1:$1,0)-MATCH($J$1,[4]characters!$1:$1,0)+1,FALSE)</f>
        <v>PremiumW</v>
      </c>
      <c r="N81" s="22" t="str">
        <f ca="1">VLOOKUP($J81,OFFSET([4]characters!$A$1,0,0,COUNTA([4]characters!$A:$A),MATCH(N$1,[4]characters!$1:$1,0)-MATCH($J$1,[4]characters!$1:$1,0)+2),MATCH(N$1,[4]characters!$1:$1,0)-MATCH($J$1,[4]characters!$1:$1,0)+2,FALSE)</f>
        <v>ヒューマン</v>
      </c>
      <c r="O81" s="5">
        <f ca="1">VLOOKUP($J81,OFFSET([3]enemies!$A$1,0,0,COUNTA([3]enemies!$A:$A),MATCH(O$1,[3]enemies!$1:$1,0)-MATCH($J$1,[3]enemies!$1:$1,0)+1),MATCH(O$1,[3]enemies!$1:$1,0)-MATCH($J$1,[3]enemies!$1:$1,0)+1,FALSE)</f>
        <v>20</v>
      </c>
      <c r="P81" s="45">
        <v>24</v>
      </c>
      <c r="Q81" s="50">
        <v>2</v>
      </c>
      <c r="R81" s="43">
        <v>1</v>
      </c>
      <c r="S81" s="6">
        <v>0</v>
      </c>
      <c r="T81" s="5" t="str">
        <f ca="1">VLOOKUP($U81,OFFSET([5]enemy_skill_sets!$B$1,0,0,COUNTA([5]enemy_skill_sets!$B:$B),MATCH(K$1,[5]enemy_skill_sets!$1:$1,0)-MATCH($U$1,[5]enemy_skill_sets!$1:$1,0)+2),MATCH(K$1,[5]enemy_skill_sets!$1:$1,0)-MATCH($U$1,[5]enemy_skill_sets!$1:$1,0)+2,FALSE)</f>
        <v>少しだけお邪魔パネル出現</v>
      </c>
      <c r="U81" s="5">
        <f ca="1">VLOOKUP($J81,OFFSET([3]enemies!$A$1,0,0,COUNTA([3]enemies!$A:$A),MATCH(U$1,[3]enemies!$1:$1,0)-MATCH($J$1,[3]enemies!$1:$1,0)+1),MATCH(U$1,[3]enemies!$1:$1,0)-MATCH($J$1,[3]enemies!$1:$1,0)+1,FALSE)</f>
        <v>160</v>
      </c>
      <c r="V81" s="7">
        <v>1</v>
      </c>
      <c r="W81" s="7">
        <v>100</v>
      </c>
      <c r="X81" s="7">
        <v>1</v>
      </c>
      <c r="Y81" s="20">
        <f ca="1">VLOOKUP($J81,OFFSET([3]enemies!$A$1,0,0,COUNTA([3]enemies!$A:$A),MATCH(Y$1,[3]enemies!$1:$1,0)-MATCH($J$1,[3]enemies!$1:$1,0)+1),MATCH(Y$1,[3]enemies!$1:$1,0)-MATCH($J$1,[3]enemies!$1:$1,0)+1,FALSE)</f>
        <v>1</v>
      </c>
      <c r="Z81" s="29">
        <v>160</v>
      </c>
      <c r="AA81" s="5" t="str">
        <f ca="1">IFERROR(VLOOKUP($Z81,OFFSET([4]characters!$A$1,0,0,COUNTA([4]characters!$A:$A),MATCH(AA$1,[4]characters!$1:$1,0)-MATCH("character_id",[4]characters!$1:$1,0)+1),MATCH(AA$1,[4]characters!$1:$1,0)-MATCH("character_id",[4]characters!$1:$1,0)+1,FALSE),"")</f>
        <v>反逆者 クリエ</v>
      </c>
      <c r="AB81" s="5">
        <f ca="1">IFERROR(VLOOKUP($Z81,OFFSET([4]characters!$A$1,0,0,COUNTA([4]characters!$A:$A),MATCH(AB$1,[4]characters!$1:$1,0)-MATCH("character_id",[4]characters!$1:$1,0)+1),MATCH(AB$1,[4]characters!$1:$1,0)-MATCH("character_id",[4]characters!$1:$1,0)+1,FALSE),"")</f>
        <v>3</v>
      </c>
      <c r="AC81" s="5" t="str">
        <f ca="1">IFERROR(VLOOKUP($Z81,OFFSET([4]characters!$A$1,0,0,COUNTA([4]characters!$A:$A),MATCH(AC$1,[4]characters!$1:$1,0)-MATCH("character_id",[4]characters!$1:$1,0)+1),MATCH(AC$1,[4]characters!$1:$1,0)-MATCH("character_id",[4]characters!$1:$1,0)+1,FALSE),"")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81" s="8">
        <v>1</v>
      </c>
      <c r="AE81" s="28">
        <f t="shared" ref="AE81:AE82" ca="1" si="81">AB81</f>
        <v>3</v>
      </c>
      <c r="AF81" s="9">
        <v>0</v>
      </c>
      <c r="AG81" s="8">
        <v>0</v>
      </c>
      <c r="AH81" s="8">
        <v>0</v>
      </c>
      <c r="AI81" s="8">
        <v>0</v>
      </c>
      <c r="AJ81" s="8">
        <v>0</v>
      </c>
      <c r="AK81" s="8">
        <v>1</v>
      </c>
      <c r="AL81" s="8">
        <v>1</v>
      </c>
    </row>
    <row r="82" spans="1:38" ht="21" customHeight="1" x14ac:dyDescent="0.15">
      <c r="A82" s="17" t="str">
        <f t="shared" ca="1" si="76"/>
        <v>13101_9-5/230&lt;lv22&gt;s5</v>
      </c>
      <c r="B82" s="26">
        <v>13101</v>
      </c>
      <c r="C82" s="30">
        <v>9</v>
      </c>
      <c r="D82" s="2" t="str">
        <f t="shared" ref="D82" si="82">B82&amp;"_"&amp;C82</f>
        <v>13101_9</v>
      </c>
      <c r="E82" s="5" t="str">
        <f ca="1">VLOOKUP($B82,OFFSET([2]quests!$A$1,0,0,COUNTA([2]quests!$A:$A),MATCH(E$1,[2]quests!$1:$1,0)-MATCH($B$1,[2]quests!$1:$1,0)+1),MATCH(E$1,[2]quests!$1:$1,0)-MATCH($B$1,[2]quests!$1:$1,0)+1,FALSE)</f>
        <v>チャレンジタワー</v>
      </c>
      <c r="F82" s="5" t="e">
        <f ca="1">VLOOKUP($D82,OFFSET([2]stages!$A$1,0,0,COUNTA([2]stages!$A:$A),MATCH(F$1,[2]stages!$1:$1,0)-MATCH($D$1,[2]stages!$1:$1,0)+1),MATCH(F$1,[2]stages!$1:$1,0)-MATCH($D$1,[2]stages!$1:$1,0)+1,FALSE)</f>
        <v>#N/A</v>
      </c>
      <c r="G82" s="30">
        <v>5</v>
      </c>
      <c r="H82" s="16" t="str">
        <f t="shared" si="75"/>
        <v>13101_9-5</v>
      </c>
      <c r="I82" s="39" t="s">
        <v>245</v>
      </c>
      <c r="J82" s="39">
        <v>230</v>
      </c>
      <c r="K82" s="20" t="str">
        <f ca="1">VLOOKUP($J82,OFFSET([3]enemies!$A$1,0,0,COUNTA([3]enemies!$A:$A),MATCH(K$1,[3]enemies!$1:$1,0)-MATCH($J$1,[3]enemies!$1:$1,0)+1),MATCH(K$1,[3]enemies!$1:$1,0)-MATCH($J$1,[3]enemies!$1:$1,0)+1,FALSE)</f>
        <v>毒銃 ヨルムンガンド</v>
      </c>
      <c r="L82" s="23" t="str">
        <f ca="1">VLOOKUP($J82,OFFSET([3]enemies!$A$1,0,0,COUNTA([3]enemies!$A:$A),MATCH(L$1,[3]enemies!$1:$1,0)-MATCH($J$1,[3]enemies!$1:$1,0)+1),MATCH(L$1,[3]enemies!$1:$1,0)-MATCH($J$1,[3]enemies!$1:$1,0)+1,FALSE)</f>
        <v>green</v>
      </c>
      <c r="M82" s="23" t="str">
        <f ca="1">VLOOKUP($J82,OFFSET([4]characters!$A$1,0,0,COUNTA([4]characters!$A:$A),MATCH(M$1,[4]characters!$1:$1,0)-MATCH($J$1,[4]characters!$1:$1,0)+1),MATCH(M$1,[4]characters!$1:$1,0)-MATCH($J$1,[4]characters!$1:$1,0)+1,FALSE)</f>
        <v>PremiumS</v>
      </c>
      <c r="N82" s="22" t="str">
        <f ca="1">VLOOKUP($J82,OFFSET([4]characters!$A$1,0,0,COUNTA([4]characters!$A:$A),MATCH(N$1,[4]characters!$1:$1,0)-MATCH($J$1,[4]characters!$1:$1,0)+2),MATCH(N$1,[4]characters!$1:$1,0)-MATCH($J$1,[4]characters!$1:$1,0)+2,FALSE)</f>
        <v>ドラゴン</v>
      </c>
      <c r="O82" s="5">
        <f ca="1">VLOOKUP($J82,OFFSET([3]enemies!$A$1,0,0,COUNTA([3]enemies!$A:$A),MATCH(O$1,[3]enemies!$1:$1,0)-MATCH($J$1,[3]enemies!$1:$1,0)+1),MATCH(O$1,[3]enemies!$1:$1,0)-MATCH($J$1,[3]enemies!$1:$1,0)+1,FALSE)</f>
        <v>30</v>
      </c>
      <c r="P82" s="45">
        <v>22</v>
      </c>
      <c r="Q82" s="50">
        <v>1.5</v>
      </c>
      <c r="R82" s="43">
        <v>1</v>
      </c>
      <c r="S82" s="6">
        <v>0</v>
      </c>
      <c r="T82" s="5" t="str">
        <f ca="1">VLOOKUP($U82,OFFSET([5]enemy_skill_sets!$B$1,0,0,COUNTA([5]enemy_skill_sets!$B:$B),MATCH(K$1,[5]enemy_skill_sets!$1:$1,0)-MATCH($U$1,[5]enemy_skill_sets!$1:$1,0)+2),MATCH(K$1,[5]enemy_skill_sets!$1:$1,0)-MATCH($U$1,[5]enemy_skill_sets!$1:$1,0)+2,FALSE)</f>
        <v>5回連続攻撃</v>
      </c>
      <c r="U82" s="5">
        <f ca="1">VLOOKUP($J82,OFFSET([3]enemies!$A$1,0,0,COUNTA([3]enemies!$A:$A),MATCH(U$1,[3]enemies!$1:$1,0)-MATCH($J$1,[3]enemies!$1:$1,0)+1),MATCH(U$1,[3]enemies!$1:$1,0)-MATCH($J$1,[3]enemies!$1:$1,0)+1,FALSE)</f>
        <v>230</v>
      </c>
      <c r="V82" s="7">
        <v>1</v>
      </c>
      <c r="W82" s="7">
        <v>100</v>
      </c>
      <c r="X82" s="7">
        <v>1</v>
      </c>
      <c r="Y82" s="20">
        <f ca="1">VLOOKUP($J82,OFFSET([3]enemies!$A$1,0,0,COUNTA([3]enemies!$A:$A),MATCH(Y$1,[3]enemies!$1:$1,0)-MATCH($J$1,[3]enemies!$1:$1,0)+1),MATCH(Y$1,[3]enemies!$1:$1,0)-MATCH($J$1,[3]enemies!$1:$1,0)+1,FALSE)</f>
        <v>5</v>
      </c>
      <c r="Z82" s="29">
        <v>229</v>
      </c>
      <c r="AA82" s="5" t="str">
        <f ca="1">IFERROR(VLOOKUP($Z82,OFFSET([4]characters!$A$1,0,0,COUNTA([4]characters!$A:$A),MATCH(AA$1,[4]characters!$1:$1,0)-MATCH("character_id",[4]characters!$1:$1,0)+1),MATCH(AA$1,[4]characters!$1:$1,0)-MATCH("character_id",[4]characters!$1:$1,0)+1,FALSE),"")</f>
        <v>ヨルムンガンド</v>
      </c>
      <c r="AB82" s="5">
        <f ca="1">IFERROR(VLOOKUP($Z82,OFFSET([4]characters!$A$1,0,0,COUNTA([4]characters!$A:$A),MATCH(AB$1,[4]characters!$1:$1,0)-MATCH("character_id",[4]characters!$1:$1,0)+1),MATCH(AB$1,[4]characters!$1:$1,0)-MATCH("character_id",[4]characters!$1:$1,0)+1,FALSE),"")</f>
        <v>3</v>
      </c>
      <c r="AC82" s="5" t="str">
        <f ca="1">IFERROR(VLOOKUP($Z82,OFFSET([4]characters!$A$1,0,0,COUNTA([4]characters!$A:$A),MATCH(AC$1,[4]characters!$1:$1,0)-MATCH("character_id",[4]characters!$1:$1,0)+1),MATCH(AC$1,[4]characters!$1:$1,0)-MATCH("character_id",[4]characters!$1:$1,0)+1,FALSE),"")</f>
        <v>PremiumS</v>
      </c>
      <c r="AD82" s="8">
        <v>1</v>
      </c>
      <c r="AE82" s="28">
        <f t="shared" ca="1" si="81"/>
        <v>3</v>
      </c>
      <c r="AF82" s="9">
        <v>0</v>
      </c>
      <c r="AG82" s="8">
        <v>0</v>
      </c>
      <c r="AH82" s="8">
        <v>0</v>
      </c>
      <c r="AI82" s="8">
        <v>0</v>
      </c>
      <c r="AJ82" s="8">
        <v>0</v>
      </c>
      <c r="AK82" s="8">
        <v>1</v>
      </c>
      <c r="AL82" s="8">
        <v>1</v>
      </c>
    </row>
    <row r="83" spans="1:38" ht="21" customHeight="1" x14ac:dyDescent="0.15">
      <c r="A83" s="17" t="str">
        <f t="shared" ref="A83:A197" ca="1" si="83">B83&amp;"_"&amp;C83&amp;"-"&amp;G83&amp;"/"&amp;J83&amp;"&lt;lv"&amp;P83&amp;"&gt;s"&amp;Y83</f>
        <v>13101_10-1/15&lt;lv28&gt;s3</v>
      </c>
      <c r="B83" s="26">
        <v>13101</v>
      </c>
      <c r="C83" s="25">
        <v>10</v>
      </c>
      <c r="D83" s="2" t="str">
        <f t="shared" ref="D83:D146" si="84">B83&amp;"_"&amp;C83</f>
        <v>13101_10</v>
      </c>
      <c r="E83" s="5" t="str">
        <f ca="1">VLOOKUP($B83,OFFSET([2]quests!$A$1,0,0,COUNTA([2]quests!$A:$A),MATCH(E$1,[2]quests!$1:$1,0)-MATCH($B$1,[2]quests!$1:$1,0)+1),MATCH(E$1,[2]quests!$1:$1,0)-MATCH($B$1,[2]quests!$1:$1,0)+1,FALSE)</f>
        <v>チャレンジタワー</v>
      </c>
      <c r="F83" s="5" t="e">
        <f ca="1">VLOOKUP($D83,OFFSET([2]stages!$A$1,0,0,COUNTA([2]stages!$A:$A),MATCH(F$1,[2]stages!$1:$1,0)-MATCH($D$1,[2]stages!$1:$1,0)+1),MATCH(F$1,[2]stages!$1:$1,0)-MATCH($D$1,[2]stages!$1:$1,0)+1,FALSE)</f>
        <v>#N/A</v>
      </c>
      <c r="G83" s="33">
        <v>1</v>
      </c>
      <c r="H83" s="16" t="str">
        <f t="shared" ref="H83:H197" si="85">B83&amp;"_"&amp;C83&amp;"-"&amp;G83</f>
        <v>13101_10-1</v>
      </c>
      <c r="I83" s="39" t="s">
        <v>245</v>
      </c>
      <c r="J83" s="31">
        <v>15</v>
      </c>
      <c r="K83" s="20" t="str">
        <f ca="1">VLOOKUP($J83,OFFSET([3]enemies!$A$1,0,0,COUNTA([3]enemies!$A:$A),MATCH(K$1,[3]enemies!$1:$1,0)-MATCH($J$1,[3]enemies!$1:$1,0)+1),MATCH(K$1,[3]enemies!$1:$1,0)-MATCH($J$1,[3]enemies!$1:$1,0)+1,FALSE)</f>
        <v>アカネ</v>
      </c>
      <c r="L83" s="23" t="str">
        <f ca="1">VLOOKUP($J83,OFFSET([3]enemies!$A$1,0,0,COUNTA([3]enemies!$A:$A),MATCH(L$1,[3]enemies!$1:$1,0)-MATCH($J$1,[3]enemies!$1:$1,0)+1),MATCH(L$1,[3]enemies!$1:$1,0)-MATCH($J$1,[3]enemies!$1:$1,0)+1,FALSE)</f>
        <v>red</v>
      </c>
      <c r="M83" s="23" t="str">
        <f ca="1">VLOOKUP($J83,OFFSET([4]characters!$A$1,0,0,COUNTA([4]characters!$A:$A),MATCH(M$1,[4]characters!$1:$1,0)-MATCH($J$1,[4]characters!$1:$1,0)+1),MATCH(M$1,[4]characters!$1:$1,0)-MATCH($J$1,[4]characters!$1:$1,0)+1,FALSE)</f>
        <v>Drop1W</v>
      </c>
      <c r="N83" s="22" t="str">
        <f ca="1">VLOOKUP($J83,OFFSET([4]characters!$A$1,0,0,COUNTA([4]characters!$A:$A),MATCH(N$1,[4]characters!$1:$1,0)-MATCH($J$1,[4]characters!$1:$1,0)+2),MATCH(N$1,[4]characters!$1:$1,0)-MATCH($J$1,[4]characters!$1:$1,0)+2,FALSE)</f>
        <v>ヒューマン</v>
      </c>
      <c r="O83" s="5">
        <f ca="1">VLOOKUP($J83,OFFSET([3]enemies!$A$1,0,0,COUNTA([3]enemies!$A:$A),MATCH(O$1,[3]enemies!$1:$1,0)-MATCH($J$1,[3]enemies!$1:$1,0)+1),MATCH(O$1,[3]enemies!$1:$1,0)-MATCH($J$1,[3]enemies!$1:$1,0)+1,FALSE)</f>
        <v>15</v>
      </c>
      <c r="P83" s="46">
        <v>28</v>
      </c>
      <c r="Q83" s="43">
        <v>1</v>
      </c>
      <c r="R83" s="43">
        <v>1</v>
      </c>
      <c r="S83" s="6">
        <v>0</v>
      </c>
      <c r="T83" s="5" t="str">
        <f ca="1">VLOOKUP($U83,OFFSET([5]enemy_skill_sets!$B$1,0,0,COUNTA([5]enemy_skill_sets!$B:$B),MATCH(K$1,[5]enemy_skill_sets!$1:$1,0)-MATCH($U$1,[5]enemy_skill_sets!$1:$1,0)+2),MATCH(K$1,[5]enemy_skill_sets!$1:$1,0)-MATCH($U$1,[5]enemy_skill_sets!$1:$1,0)+2,FALSE)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83" s="5">
        <f ca="1">VLOOKUP($J83,OFFSET([3]enemies!$A$1,0,0,COUNTA([3]enemies!$A:$A),MATCH(U$1,[3]enemies!$1:$1,0)-MATCH($J$1,[3]enemies!$1:$1,0)+1),MATCH(U$1,[3]enemies!$1:$1,0)-MATCH($J$1,[3]enemies!$1:$1,0)+1,FALSE)</f>
        <v>0</v>
      </c>
      <c r="V83" s="7">
        <v>0</v>
      </c>
      <c r="W83" s="7">
        <v>100</v>
      </c>
      <c r="X83" s="7">
        <v>0</v>
      </c>
      <c r="Y83" s="20">
        <f ca="1">VLOOKUP($J83,OFFSET([3]enemies!$A$1,0,0,COUNTA([3]enemies!$A:$A),MATCH(Y$1,[3]enemies!$1:$1,0)-MATCH($J$1,[3]enemies!$1:$1,0)+1),MATCH(Y$1,[3]enemies!$1:$1,0)-MATCH($J$1,[3]enemies!$1:$1,0)+1,FALSE)</f>
        <v>3</v>
      </c>
      <c r="Z83" s="31">
        <v>15</v>
      </c>
      <c r="AA83" s="5" t="str">
        <f ca="1">IFERROR(VLOOKUP($Z83,OFFSET([4]characters!$A$1,0,0,COUNTA([4]characters!$A:$A),MATCH(AA$1,[4]characters!$1:$1,0)-MATCH("character_id",[4]characters!$1:$1,0)+1),MATCH(AA$1,[4]characters!$1:$1,0)-MATCH("character_id",[4]characters!$1:$1,0)+1,FALSE),"")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83" s="5">
        <f ca="1">IFERROR(VLOOKUP($Z83,OFFSET([4]characters!$A$1,0,0,COUNTA([4]characters!$A:$A),MATCH(AB$1,[4]characters!$1:$1,0)-MATCH("character_id",[4]characters!$1:$1,0)+1),MATCH(AB$1,[4]characters!$1:$1,0)-MATCH("character_id",[4]characters!$1:$1,0)+1,FALSE),"")</f>
        <v>1</v>
      </c>
      <c r="AC83" s="5" t="str">
        <f ca="1">IFERROR(VLOOKUP($Z83,OFFSET([4]characters!$A$1,0,0,COUNTA([4]characters!$A:$A),MATCH(AC$1,[4]characters!$1:$1,0)-MATCH("character_id",[4]characters!$1:$1,0)+1),MATCH(AC$1,[4]characters!$1:$1,0)-MATCH("character_id",[4]characters!$1:$1,0)+1,FALSE),"")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83" s="8">
        <v>5</v>
      </c>
      <c r="AE83" s="28">
        <f t="shared" ref="AE83:AE197" ca="1" si="86">AB83</f>
        <v>1</v>
      </c>
      <c r="AF83" s="9">
        <v>25</v>
      </c>
      <c r="AG83" s="8">
        <v>0</v>
      </c>
      <c r="AH83" s="8">
        <v>0</v>
      </c>
      <c r="AI83" s="8">
        <v>0</v>
      </c>
      <c r="AJ83" s="8">
        <v>0</v>
      </c>
      <c r="AK83" s="8">
        <v>1</v>
      </c>
      <c r="AL83" s="8">
        <v>1</v>
      </c>
    </row>
    <row r="84" spans="1:38" ht="21" customHeight="1" x14ac:dyDescent="0.15">
      <c r="A84" s="17" t="str">
        <f t="shared" ca="1" si="83"/>
        <v>13101_10-1/17&lt;lv28&gt;s2</v>
      </c>
      <c r="B84" s="26">
        <v>13101</v>
      </c>
      <c r="C84" s="25">
        <v>10</v>
      </c>
      <c r="D84" s="2" t="str">
        <f t="shared" si="84"/>
        <v>13101_10</v>
      </c>
      <c r="E84" s="5" t="str">
        <f ca="1">VLOOKUP($B84,OFFSET([2]quests!$A$1,0,0,COUNTA([2]quests!$A:$A),MATCH(E$1,[2]quests!$1:$1,0)-MATCH($B$1,[2]quests!$1:$1,0)+1),MATCH(E$1,[2]quests!$1:$1,0)-MATCH($B$1,[2]quests!$1:$1,0)+1,FALSE)</f>
        <v>チャレンジタワー</v>
      </c>
      <c r="F84" s="5" t="e">
        <f ca="1">VLOOKUP($D84,OFFSET([2]stages!$A$1,0,0,COUNTA([2]stages!$A:$A),MATCH(F$1,[2]stages!$1:$1,0)-MATCH($D$1,[2]stages!$1:$1,0)+1),MATCH(F$1,[2]stages!$1:$1,0)-MATCH($D$1,[2]stages!$1:$1,0)+1,FALSE)</f>
        <v>#N/A</v>
      </c>
      <c r="G84" s="33">
        <v>1</v>
      </c>
      <c r="H84" s="16" t="str">
        <f t="shared" si="85"/>
        <v>13101_10-1</v>
      </c>
      <c r="I84" s="39" t="s">
        <v>245</v>
      </c>
      <c r="J84" s="31">
        <v>17</v>
      </c>
      <c r="K84" s="20" t="str">
        <f ca="1">VLOOKUP($J84,OFFSET([3]enemies!$A$1,0,0,COUNTA([3]enemies!$A:$A),MATCH(K$1,[3]enemies!$1:$1,0)-MATCH($J$1,[3]enemies!$1:$1,0)+1),MATCH(K$1,[3]enemies!$1:$1,0)-MATCH($J$1,[3]enemies!$1:$1,0)+1,FALSE)</f>
        <v>リム</v>
      </c>
      <c r="L84" s="23" t="str">
        <f ca="1">VLOOKUP($J84,OFFSET([3]enemies!$A$1,0,0,COUNTA([3]enemies!$A:$A),MATCH(L$1,[3]enemies!$1:$1,0)-MATCH($J$1,[3]enemies!$1:$1,0)+1),MATCH(L$1,[3]enemies!$1:$1,0)-MATCH($J$1,[3]enemies!$1:$1,0)+1,FALSE)</f>
        <v>blue</v>
      </c>
      <c r="M84" s="23" t="str">
        <f ca="1">VLOOKUP($J84,OFFSET([4]characters!$A$1,0,0,COUNTA([4]characters!$A:$A),MATCH(M$1,[4]characters!$1:$1,0)-MATCH($J$1,[4]characters!$1:$1,0)+1),MATCH(M$1,[4]characters!$1:$1,0)-MATCH($J$1,[4]characters!$1:$1,0)+1,FALSE)</f>
        <v>Drop1W</v>
      </c>
      <c r="N84" s="22" t="str">
        <f ca="1">VLOOKUP($J84,OFFSET([4]characters!$A$1,0,0,COUNTA([4]characters!$A:$A),MATCH(N$1,[4]characters!$1:$1,0)-MATCH($J$1,[4]characters!$1:$1,0)+2),MATCH(N$1,[4]characters!$1:$1,0)-MATCH($J$1,[4]characters!$1:$1,0)+2,FALSE)</f>
        <v>ヒューマン</v>
      </c>
      <c r="O84" s="5">
        <f ca="1">VLOOKUP($J84,OFFSET([3]enemies!$A$1,0,0,COUNTA([3]enemies!$A:$A),MATCH(O$1,[3]enemies!$1:$1,0)-MATCH($J$1,[3]enemies!$1:$1,0)+1),MATCH(O$1,[3]enemies!$1:$1,0)-MATCH($J$1,[3]enemies!$1:$1,0)+1,FALSE)</f>
        <v>15</v>
      </c>
      <c r="P84" s="46">
        <v>28</v>
      </c>
      <c r="Q84" s="43">
        <v>1</v>
      </c>
      <c r="R84" s="43">
        <v>1</v>
      </c>
      <c r="S84" s="6">
        <v>0</v>
      </c>
      <c r="T84" s="5" t="str">
        <f ca="1">VLOOKUP($U84,OFFSET([5]enemy_skill_sets!$B$1,0,0,COUNTA([5]enemy_skill_sets!$B:$B),MATCH(K$1,[5]enemy_skill_sets!$1:$1,0)-MATCH($U$1,[5]enemy_skill_sets!$1:$1,0)+2),MATCH(K$1,[5]enemy_skill_sets!$1:$1,0)-MATCH($U$1,[5]enemy_skill_sets!$1:$1,0)+2,FALSE)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84" s="5">
        <f ca="1">VLOOKUP($J84,OFFSET([3]enemies!$A$1,0,0,COUNTA([3]enemies!$A:$A),MATCH(U$1,[3]enemies!$1:$1,0)-MATCH($J$1,[3]enemies!$1:$1,0)+1),MATCH(U$1,[3]enemies!$1:$1,0)-MATCH($J$1,[3]enemies!$1:$1,0)+1,FALSE)</f>
        <v>0</v>
      </c>
      <c r="V84" s="7">
        <v>0</v>
      </c>
      <c r="W84" s="7">
        <v>100</v>
      </c>
      <c r="X84" s="7">
        <v>0</v>
      </c>
      <c r="Y84" s="20">
        <f ca="1">VLOOKUP($J84,OFFSET([3]enemies!$A$1,0,0,COUNTA([3]enemies!$A:$A),MATCH(Y$1,[3]enemies!$1:$1,0)-MATCH($J$1,[3]enemies!$1:$1,0)+1),MATCH(Y$1,[3]enemies!$1:$1,0)-MATCH($J$1,[3]enemies!$1:$1,0)+1,FALSE)</f>
        <v>2</v>
      </c>
      <c r="Z84" s="31">
        <v>17</v>
      </c>
      <c r="AA84" s="5" t="str">
        <f ca="1">IFERROR(VLOOKUP($Z84,OFFSET([4]characters!$A$1,0,0,COUNTA([4]characters!$A:$A),MATCH(AA$1,[4]characters!$1:$1,0)-MATCH("character_id",[4]characters!$1:$1,0)+1),MATCH(AA$1,[4]characters!$1:$1,0)-MATCH("character_id",[4]characters!$1:$1,0)+1,FALSE),"")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84" s="5">
        <f ca="1">IFERROR(VLOOKUP($Z84,OFFSET([4]characters!$A$1,0,0,COUNTA([4]characters!$A:$A),MATCH(AB$1,[4]characters!$1:$1,0)-MATCH("character_id",[4]characters!$1:$1,0)+1),MATCH(AB$1,[4]characters!$1:$1,0)-MATCH("character_id",[4]characters!$1:$1,0)+1,FALSE),"")</f>
        <v>1</v>
      </c>
      <c r="AC84" s="5" t="str">
        <f ca="1">IFERROR(VLOOKUP($Z84,OFFSET([4]characters!$A$1,0,0,COUNTA([4]characters!$A:$A),MATCH(AC$1,[4]characters!$1:$1,0)-MATCH("character_id",[4]characters!$1:$1,0)+1),MATCH(AC$1,[4]characters!$1:$1,0)-MATCH("character_id",[4]characters!$1:$1,0)+1,FALSE),"")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84" s="8">
        <v>5</v>
      </c>
      <c r="AE84" s="28">
        <f t="shared" ca="1" si="86"/>
        <v>1</v>
      </c>
      <c r="AF84" s="9">
        <v>25</v>
      </c>
      <c r="AG84" s="8">
        <v>0</v>
      </c>
      <c r="AH84" s="8">
        <v>0</v>
      </c>
      <c r="AI84" s="8">
        <v>0</v>
      </c>
      <c r="AJ84" s="8">
        <v>0</v>
      </c>
      <c r="AK84" s="8">
        <v>1</v>
      </c>
      <c r="AL84" s="8">
        <v>1</v>
      </c>
    </row>
    <row r="85" spans="1:38" ht="21" customHeight="1" x14ac:dyDescent="0.15">
      <c r="A85" s="17" t="str">
        <f t="shared" ca="1" si="83"/>
        <v>13101_10-1/19&lt;lv28&gt;s3</v>
      </c>
      <c r="B85" s="26">
        <v>13101</v>
      </c>
      <c r="C85" s="25">
        <v>10</v>
      </c>
      <c r="D85" s="2" t="str">
        <f t="shared" si="84"/>
        <v>13101_10</v>
      </c>
      <c r="E85" s="5" t="str">
        <f ca="1">VLOOKUP($B85,OFFSET([2]quests!$A$1,0,0,COUNTA([2]quests!$A:$A),MATCH(E$1,[2]quests!$1:$1,0)-MATCH($B$1,[2]quests!$1:$1,0)+1),MATCH(E$1,[2]quests!$1:$1,0)-MATCH($B$1,[2]quests!$1:$1,0)+1,FALSE)</f>
        <v>チャレンジタワー</v>
      </c>
      <c r="F85" s="5" t="e">
        <f ca="1">VLOOKUP($D85,OFFSET([2]stages!$A$1,0,0,COUNTA([2]stages!$A:$A),MATCH(F$1,[2]stages!$1:$1,0)-MATCH($D$1,[2]stages!$1:$1,0)+1),MATCH(F$1,[2]stages!$1:$1,0)-MATCH($D$1,[2]stages!$1:$1,0)+1,FALSE)</f>
        <v>#N/A</v>
      </c>
      <c r="G85" s="33">
        <v>1</v>
      </c>
      <c r="H85" s="16" t="str">
        <f t="shared" si="85"/>
        <v>13101_10-1</v>
      </c>
      <c r="I85" s="39" t="s">
        <v>245</v>
      </c>
      <c r="J85" s="31">
        <v>19</v>
      </c>
      <c r="K85" s="20" t="str">
        <f ca="1">VLOOKUP($J85,OFFSET([3]enemies!$A$1,0,0,COUNTA([3]enemies!$A:$A),MATCH(K$1,[3]enemies!$1:$1,0)-MATCH($J$1,[3]enemies!$1:$1,0)+1),MATCH(K$1,[3]enemies!$1:$1,0)-MATCH($J$1,[3]enemies!$1:$1,0)+1,FALSE)</f>
        <v>ティンク</v>
      </c>
      <c r="L85" s="23" t="str">
        <f ca="1">VLOOKUP($J85,OFFSET([3]enemies!$A$1,0,0,COUNTA([3]enemies!$A:$A),MATCH(L$1,[3]enemies!$1:$1,0)-MATCH($J$1,[3]enemies!$1:$1,0)+1),MATCH(L$1,[3]enemies!$1:$1,0)-MATCH($J$1,[3]enemies!$1:$1,0)+1,FALSE)</f>
        <v>yellow</v>
      </c>
      <c r="M85" s="23" t="str">
        <f ca="1">VLOOKUP($J85,OFFSET([4]characters!$A$1,0,0,COUNTA([4]characters!$A:$A),MATCH(M$1,[4]characters!$1:$1,0)-MATCH($J$1,[4]characters!$1:$1,0)+1),MATCH(M$1,[4]characters!$1:$1,0)-MATCH($J$1,[4]characters!$1:$1,0)+1,FALSE)</f>
        <v>Drop1W</v>
      </c>
      <c r="N85" s="22" t="str">
        <f ca="1">VLOOKUP($J85,OFFSET([4]characters!$A$1,0,0,COUNTA([4]characters!$A:$A),MATCH(N$1,[4]characters!$1:$1,0)-MATCH($J$1,[4]characters!$1:$1,0)+2),MATCH(N$1,[4]characters!$1:$1,0)-MATCH($J$1,[4]characters!$1:$1,0)+2,FALSE)</f>
        <v>ヒューマン</v>
      </c>
      <c r="O85" s="5">
        <f ca="1">VLOOKUP($J85,OFFSET([3]enemies!$A$1,0,0,COUNTA([3]enemies!$A:$A),MATCH(O$1,[3]enemies!$1:$1,0)-MATCH($J$1,[3]enemies!$1:$1,0)+1),MATCH(O$1,[3]enemies!$1:$1,0)-MATCH($J$1,[3]enemies!$1:$1,0)+1,FALSE)</f>
        <v>15</v>
      </c>
      <c r="P85" s="46">
        <v>28</v>
      </c>
      <c r="Q85" s="43">
        <v>1</v>
      </c>
      <c r="R85" s="43">
        <v>1</v>
      </c>
      <c r="S85" s="6">
        <v>0</v>
      </c>
      <c r="T85" s="5" t="str">
        <f ca="1">VLOOKUP($U85,OFFSET([5]enemy_skill_sets!$B$1,0,0,COUNTA([5]enemy_skill_sets!$B:$B),MATCH(K$1,[5]enemy_skill_sets!$1:$1,0)-MATCH($U$1,[5]enemy_skill_sets!$1:$1,0)+2),MATCH(K$1,[5]enemy_skill_sets!$1:$1,0)-MATCH($U$1,[5]enemy_skill_sets!$1:$1,0)+2,FALSE)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85" s="5">
        <f ca="1">VLOOKUP($J85,OFFSET([3]enemies!$A$1,0,0,COUNTA([3]enemies!$A:$A),MATCH(U$1,[3]enemies!$1:$1,0)-MATCH($J$1,[3]enemies!$1:$1,0)+1),MATCH(U$1,[3]enemies!$1:$1,0)-MATCH($J$1,[3]enemies!$1:$1,0)+1,FALSE)</f>
        <v>0</v>
      </c>
      <c r="V85" s="7">
        <v>0</v>
      </c>
      <c r="W85" s="7">
        <v>100</v>
      </c>
      <c r="X85" s="7">
        <v>0</v>
      </c>
      <c r="Y85" s="20">
        <f ca="1">VLOOKUP($J85,OFFSET([3]enemies!$A$1,0,0,COUNTA([3]enemies!$A:$A),MATCH(Y$1,[3]enemies!$1:$1,0)-MATCH($J$1,[3]enemies!$1:$1,0)+1),MATCH(Y$1,[3]enemies!$1:$1,0)-MATCH($J$1,[3]enemies!$1:$1,0)+1,FALSE)</f>
        <v>3</v>
      </c>
      <c r="Z85" s="31">
        <v>19</v>
      </c>
      <c r="AA85" s="5" t="str">
        <f ca="1">IFERROR(VLOOKUP($Z85,OFFSET([4]characters!$A$1,0,0,COUNTA([4]characters!$A:$A),MATCH(AA$1,[4]characters!$1:$1,0)-MATCH("character_id",[4]characters!$1:$1,0)+1),MATCH(AA$1,[4]characters!$1:$1,0)-MATCH("character_id",[4]characters!$1:$1,0)+1,FALSE),"")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85" s="5">
        <f ca="1">IFERROR(VLOOKUP($Z85,OFFSET([4]characters!$A$1,0,0,COUNTA([4]characters!$A:$A),MATCH(AB$1,[4]characters!$1:$1,0)-MATCH("character_id",[4]characters!$1:$1,0)+1),MATCH(AB$1,[4]characters!$1:$1,0)-MATCH("character_id",[4]characters!$1:$1,0)+1,FALSE),"")</f>
        <v>1</v>
      </c>
      <c r="AC85" s="5" t="str">
        <f ca="1">IFERROR(VLOOKUP($Z85,OFFSET([4]characters!$A$1,0,0,COUNTA([4]characters!$A:$A),MATCH(AC$1,[4]characters!$1:$1,0)-MATCH("character_id",[4]characters!$1:$1,0)+1),MATCH(AC$1,[4]characters!$1:$1,0)-MATCH("character_id",[4]characters!$1:$1,0)+1,FALSE),"")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85" s="8">
        <v>5</v>
      </c>
      <c r="AE85" s="28">
        <f t="shared" ca="1" si="86"/>
        <v>1</v>
      </c>
      <c r="AF85" s="9">
        <v>25</v>
      </c>
      <c r="AG85" s="8">
        <v>0</v>
      </c>
      <c r="AH85" s="8">
        <v>0</v>
      </c>
      <c r="AI85" s="8">
        <v>0</v>
      </c>
      <c r="AJ85" s="8">
        <v>0</v>
      </c>
      <c r="AK85" s="8">
        <v>1</v>
      </c>
      <c r="AL85" s="8">
        <v>1</v>
      </c>
    </row>
    <row r="86" spans="1:38" ht="21" customHeight="1" x14ac:dyDescent="0.15">
      <c r="A86" s="17" t="str">
        <f t="shared" ref="A86" ca="1" si="87">B86&amp;"_"&amp;C86&amp;"-"&amp;G86&amp;"/"&amp;J86&amp;"&lt;lv"&amp;P86&amp;"&gt;s"&amp;Y86</f>
        <v>13101_10-1/23&lt;lv28&gt;s4</v>
      </c>
      <c r="B86" s="26">
        <v>13101</v>
      </c>
      <c r="C86" s="25">
        <v>10</v>
      </c>
      <c r="D86" s="2" t="str">
        <f t="shared" ref="D86" si="88">B86&amp;"_"&amp;C86</f>
        <v>13101_10</v>
      </c>
      <c r="E86" s="5" t="str">
        <f ca="1">VLOOKUP($B86,OFFSET([2]quests!$A$1,0,0,COUNTA([2]quests!$A:$A),MATCH(E$1,[2]quests!$1:$1,0)-MATCH($B$1,[2]quests!$1:$1,0)+1),MATCH(E$1,[2]quests!$1:$1,0)-MATCH($B$1,[2]quests!$1:$1,0)+1,FALSE)</f>
        <v>チャレンジタワー</v>
      </c>
      <c r="F86" s="5" t="e">
        <f ca="1">VLOOKUP($D86,OFFSET([2]stages!$A$1,0,0,COUNTA([2]stages!$A:$A),MATCH(F$1,[2]stages!$1:$1,0)-MATCH($D$1,[2]stages!$1:$1,0)+1),MATCH(F$1,[2]stages!$1:$1,0)-MATCH($D$1,[2]stages!$1:$1,0)+1,FALSE)</f>
        <v>#N/A</v>
      </c>
      <c r="G86" s="33">
        <v>1</v>
      </c>
      <c r="H86" s="16" t="str">
        <f t="shared" ref="H86" si="89">B86&amp;"_"&amp;C86&amp;"-"&amp;G86</f>
        <v>13101_10-1</v>
      </c>
      <c r="I86" s="39" t="s">
        <v>245</v>
      </c>
      <c r="J86" s="31">
        <v>23</v>
      </c>
      <c r="K86" s="20" t="str">
        <f ca="1">VLOOKUP($J86,OFFSET([3]enemies!$A$1,0,0,COUNTA([3]enemies!$A:$A),MATCH(K$1,[3]enemies!$1:$1,0)-MATCH($J$1,[3]enemies!$1:$1,0)+1),MATCH(K$1,[3]enemies!$1:$1,0)-MATCH($J$1,[3]enemies!$1:$1,0)+1,FALSE)</f>
        <v>ミール</v>
      </c>
      <c r="L86" s="23" t="str">
        <f ca="1">VLOOKUP($J86,OFFSET([3]enemies!$A$1,0,0,COUNTA([3]enemies!$A:$A),MATCH(L$1,[3]enemies!$1:$1,0)-MATCH($J$1,[3]enemies!$1:$1,0)+1),MATCH(L$1,[3]enemies!$1:$1,0)-MATCH($J$1,[3]enemies!$1:$1,0)+1,FALSE)</f>
        <v>green</v>
      </c>
      <c r="M86" s="23" t="str">
        <f ca="1">VLOOKUP($J86,OFFSET([4]characters!$A$1,0,0,COUNTA([4]characters!$A:$A),MATCH(M$1,[4]characters!$1:$1,0)-MATCH($J$1,[4]characters!$1:$1,0)+1),MATCH(M$1,[4]characters!$1:$1,0)-MATCH($J$1,[4]characters!$1:$1,0)+1,FALSE)</f>
        <v>Drop1N</v>
      </c>
      <c r="N86" s="22" t="str">
        <f ca="1">VLOOKUP($J86,OFFSET([4]characters!$A$1,0,0,COUNTA([4]characters!$A:$A),MATCH(N$1,[4]characters!$1:$1,0)-MATCH($J$1,[4]characters!$1:$1,0)+2),MATCH(N$1,[4]characters!$1:$1,0)-MATCH($J$1,[4]characters!$1:$1,0)+2,FALSE)</f>
        <v>アニマル</v>
      </c>
      <c r="O86" s="5">
        <f ca="1">VLOOKUP($J86,OFFSET([3]enemies!$A$1,0,0,COUNTA([3]enemies!$A:$A),MATCH(O$1,[3]enemies!$1:$1,0)-MATCH($J$1,[3]enemies!$1:$1,0)+1),MATCH(O$1,[3]enemies!$1:$1,0)-MATCH($J$1,[3]enemies!$1:$1,0)+1,FALSE)</f>
        <v>15</v>
      </c>
      <c r="P86" s="46">
        <v>28</v>
      </c>
      <c r="Q86" s="43">
        <v>1</v>
      </c>
      <c r="R86" s="43">
        <v>1</v>
      </c>
      <c r="S86" s="6">
        <v>0</v>
      </c>
      <c r="T86" s="5" t="str">
        <f ca="1">VLOOKUP($U86,OFFSET([5]enemy_skill_sets!$B$1,0,0,COUNTA([5]enemy_skill_sets!$B:$B),MATCH(K$1,[5]enemy_skill_sets!$1:$1,0)-MATCH($U$1,[5]enemy_skill_sets!$1:$1,0)+2),MATCH(K$1,[5]enemy_skill_sets!$1:$1,0)-MATCH($U$1,[5]enemy_skill_sets!$1:$1,0)+2,FALSE)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86" s="5">
        <f ca="1">VLOOKUP($J86,OFFSET([3]enemies!$A$1,0,0,COUNTA([3]enemies!$A:$A),MATCH(U$1,[3]enemies!$1:$1,0)-MATCH($J$1,[3]enemies!$1:$1,0)+1),MATCH(U$1,[3]enemies!$1:$1,0)-MATCH($J$1,[3]enemies!$1:$1,0)+1,FALSE)</f>
        <v>0</v>
      </c>
      <c r="V86" s="7">
        <v>0</v>
      </c>
      <c r="W86" s="7">
        <v>100</v>
      </c>
      <c r="X86" s="7">
        <v>0</v>
      </c>
      <c r="Y86" s="20">
        <f ca="1">VLOOKUP($J86,OFFSET([3]enemies!$A$1,0,0,COUNTA([3]enemies!$A:$A),MATCH(Y$1,[3]enemies!$1:$1,0)-MATCH($J$1,[3]enemies!$1:$1,0)+1),MATCH(Y$1,[3]enemies!$1:$1,0)-MATCH($J$1,[3]enemies!$1:$1,0)+1,FALSE)</f>
        <v>4</v>
      </c>
      <c r="Z86" s="31">
        <v>23</v>
      </c>
      <c r="AA86" s="5" t="str">
        <f ca="1">IFERROR(VLOOKUP($Z86,OFFSET([4]characters!$A$1,0,0,COUNTA([4]characters!$A:$A),MATCH(AA$1,[4]characters!$1:$1,0)-MATCH("character_id",[4]characters!$1:$1,0)+1),MATCH(AA$1,[4]characters!$1:$1,0)-MATCH("character_id",[4]characters!$1:$1,0)+1,FALSE),"")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86" s="5">
        <f ca="1">IFERROR(VLOOKUP($Z86,OFFSET([4]characters!$A$1,0,0,COUNTA([4]characters!$A:$A),MATCH(AB$1,[4]characters!$1:$1,0)-MATCH("character_id",[4]characters!$1:$1,0)+1),MATCH(AB$1,[4]characters!$1:$1,0)-MATCH("character_id",[4]characters!$1:$1,0)+1,FALSE),"")</f>
        <v>1</v>
      </c>
      <c r="AC86" s="5" t="str">
        <f ca="1">IFERROR(VLOOKUP($Z86,OFFSET([4]characters!$A$1,0,0,COUNTA([4]characters!$A:$A),MATCH(AC$1,[4]characters!$1:$1,0)-MATCH("character_id",[4]characters!$1:$1,0)+1),MATCH(AC$1,[4]characters!$1:$1,0)-MATCH("character_id",[4]characters!$1:$1,0)+1,FALSE),"")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86" s="8">
        <v>3</v>
      </c>
      <c r="AE86" s="28">
        <f t="shared" ref="AE86" ca="1" si="90">AB86</f>
        <v>1</v>
      </c>
      <c r="AF86" s="9">
        <v>25</v>
      </c>
      <c r="AG86" s="8">
        <v>0</v>
      </c>
      <c r="AH86" s="8">
        <v>0</v>
      </c>
      <c r="AI86" s="8">
        <v>0</v>
      </c>
      <c r="AJ86" s="8">
        <v>0</v>
      </c>
      <c r="AK86" s="8">
        <v>1</v>
      </c>
      <c r="AL86" s="8">
        <v>1</v>
      </c>
    </row>
    <row r="87" spans="1:38" ht="21" customHeight="1" x14ac:dyDescent="0.15">
      <c r="A87" s="17" t="str">
        <f t="shared" ca="1" si="83"/>
        <v>13101_10-2/41&lt;lv28&gt;s1</v>
      </c>
      <c r="B87" s="26">
        <v>13101</v>
      </c>
      <c r="C87" s="25">
        <v>10</v>
      </c>
      <c r="D87" s="2" t="str">
        <f t="shared" si="84"/>
        <v>13101_10</v>
      </c>
      <c r="E87" s="5" t="str">
        <f ca="1">VLOOKUP($B87,OFFSET([2]quests!$A$1,0,0,COUNTA([2]quests!$A:$A),MATCH(E$1,[2]quests!$1:$1,0)-MATCH($B$1,[2]quests!$1:$1,0)+1),MATCH(E$1,[2]quests!$1:$1,0)-MATCH($B$1,[2]quests!$1:$1,0)+1,FALSE)</f>
        <v>チャレンジタワー</v>
      </c>
      <c r="F87" s="5" t="e">
        <f ca="1">VLOOKUP($D87,OFFSET([2]stages!$A$1,0,0,COUNTA([2]stages!$A:$A),MATCH(F$1,[2]stages!$1:$1,0)-MATCH($D$1,[2]stages!$1:$1,0)+1),MATCH(F$1,[2]stages!$1:$1,0)-MATCH($D$1,[2]stages!$1:$1,0)+1,FALSE)</f>
        <v>#N/A</v>
      </c>
      <c r="G87" s="33">
        <v>2</v>
      </c>
      <c r="H87" s="16" t="str">
        <f t="shared" si="85"/>
        <v>13101_10-2</v>
      </c>
      <c r="I87" s="39" t="s">
        <v>245</v>
      </c>
      <c r="J87" s="39">
        <v>41</v>
      </c>
      <c r="K87" s="20" t="str">
        <f ca="1">VLOOKUP($J87,OFFSET([3]enemies!$A$1,0,0,COUNTA([3]enemies!$A:$A),MATCH(K$1,[3]enemies!$1:$1,0)-MATCH($J$1,[3]enemies!$1:$1,0)+1),MATCH(K$1,[3]enemies!$1:$1,0)-MATCH($J$1,[3]enemies!$1:$1,0)+1,FALSE)</f>
        <v>ヒュウガ</v>
      </c>
      <c r="L87" s="23" t="str">
        <f ca="1">VLOOKUP($J87,OFFSET([3]enemies!$A$1,0,0,COUNTA([3]enemies!$A:$A),MATCH(L$1,[3]enemies!$1:$1,0)-MATCH($J$1,[3]enemies!$1:$1,0)+1),MATCH(L$1,[3]enemies!$1:$1,0)-MATCH($J$1,[3]enemies!$1:$1,0)+1,FALSE)</f>
        <v>red</v>
      </c>
      <c r="M87" s="23" t="str">
        <f ca="1">VLOOKUP($J87,OFFSET([4]characters!$A$1,0,0,COUNTA([4]characters!$A:$A),MATCH(M$1,[4]characters!$1:$1,0)-MATCH($J$1,[4]characters!$1:$1,0)+1),MATCH(M$1,[4]characters!$1:$1,0)-MATCH($J$1,[4]characters!$1:$1,0)+1,FALSE)</f>
        <v>Drop1N</v>
      </c>
      <c r="N87" s="22" t="str">
        <f ca="1">VLOOKUP($J87,OFFSET([4]characters!$A$1,0,0,COUNTA([4]characters!$A:$A),MATCH(N$1,[4]characters!$1:$1,0)-MATCH($J$1,[4]characters!$1:$1,0)+2),MATCH(N$1,[4]characters!$1:$1,0)-MATCH($J$1,[4]characters!$1:$1,0)+2,FALSE)</f>
        <v>ドラゴン</v>
      </c>
      <c r="O87" s="5">
        <f ca="1">VLOOKUP($J87,OFFSET([3]enemies!$A$1,0,0,COUNTA([3]enemies!$A:$A),MATCH(O$1,[3]enemies!$1:$1,0)-MATCH($J$1,[3]enemies!$1:$1,0)+1),MATCH(O$1,[3]enemies!$1:$1,0)-MATCH($J$1,[3]enemies!$1:$1,0)+1,FALSE)</f>
        <v>15</v>
      </c>
      <c r="P87" s="46">
        <v>28</v>
      </c>
      <c r="Q87" s="43">
        <v>1</v>
      </c>
      <c r="R87" s="43">
        <v>1</v>
      </c>
      <c r="S87" s="6">
        <v>0</v>
      </c>
      <c r="T87" s="5" t="str">
        <f ca="1">VLOOKUP($U87,OFFSET([5]enemy_skill_sets!$B$1,0,0,COUNTA([5]enemy_skill_sets!$B:$B),MATCH(K$1,[5]enemy_skill_sets!$1:$1,0)-MATCH($U$1,[5]enemy_skill_sets!$1:$1,0)+2),MATCH(K$1,[5]enemy_skill_sets!$1:$1,0)-MATCH($U$1,[5]enemy_skill_sets!$1:$1,0)+2,FALSE)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87" s="5">
        <f ca="1">VLOOKUP($J87,OFFSET([3]enemies!$A$1,0,0,COUNTA([3]enemies!$A:$A),MATCH(U$1,[3]enemies!$1:$1,0)-MATCH($J$1,[3]enemies!$1:$1,0)+1),MATCH(U$1,[3]enemies!$1:$1,0)-MATCH($J$1,[3]enemies!$1:$1,0)+1,FALSE)</f>
        <v>0</v>
      </c>
      <c r="V87" s="7">
        <v>0</v>
      </c>
      <c r="W87" s="7">
        <v>100</v>
      </c>
      <c r="X87" s="7">
        <v>0</v>
      </c>
      <c r="Y87" s="20">
        <f ca="1">VLOOKUP($J87,OFFSET([3]enemies!$A$1,0,0,COUNTA([3]enemies!$A:$A),MATCH(Y$1,[3]enemies!$1:$1,0)-MATCH($J$1,[3]enemies!$1:$1,0)+1),MATCH(Y$1,[3]enemies!$1:$1,0)-MATCH($J$1,[3]enemies!$1:$1,0)+1,FALSE)</f>
        <v>1</v>
      </c>
      <c r="Z87" s="29">
        <v>41</v>
      </c>
      <c r="AA87" s="5" t="str">
        <f ca="1">IFERROR(VLOOKUP($Z87,OFFSET([4]characters!$A$1,0,0,COUNTA([4]characters!$A:$A),MATCH(AA$1,[4]characters!$1:$1,0)-MATCH("character_id",[4]characters!$1:$1,0)+1),MATCH(AA$1,[4]characters!$1:$1,0)-MATCH("character_id",[4]characters!$1:$1,0)+1,FALSE),"")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87" s="5">
        <f ca="1">IFERROR(VLOOKUP($Z87,OFFSET([4]characters!$A$1,0,0,COUNTA([4]characters!$A:$A),MATCH(AB$1,[4]characters!$1:$1,0)-MATCH("character_id",[4]characters!$1:$1,0)+1),MATCH(AB$1,[4]characters!$1:$1,0)-MATCH("character_id",[4]characters!$1:$1,0)+1,FALSE),"")</f>
        <v>2</v>
      </c>
      <c r="AC87" s="5" t="str">
        <f ca="1">IFERROR(VLOOKUP($Z87,OFFSET([4]characters!$A$1,0,0,COUNTA([4]characters!$A:$A),MATCH(AC$1,[4]characters!$1:$1,0)-MATCH("character_id",[4]characters!$1:$1,0)+1),MATCH(AC$1,[4]characters!$1:$1,0)-MATCH("character_id",[4]characters!$1:$1,0)+1,FALSE),"")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87" s="8">
        <v>3</v>
      </c>
      <c r="AE87" s="28">
        <f t="shared" ca="1" si="86"/>
        <v>2</v>
      </c>
      <c r="AF87" s="9">
        <v>25</v>
      </c>
      <c r="AG87" s="8">
        <v>0</v>
      </c>
      <c r="AH87" s="8">
        <v>0</v>
      </c>
      <c r="AI87" s="8">
        <v>0</v>
      </c>
      <c r="AJ87" s="8">
        <v>0</v>
      </c>
      <c r="AK87" s="8">
        <v>1</v>
      </c>
      <c r="AL87" s="8">
        <v>1</v>
      </c>
    </row>
    <row r="88" spans="1:38" ht="21" customHeight="1" x14ac:dyDescent="0.15">
      <c r="A88" s="17" t="str">
        <f t="shared" ca="1" si="83"/>
        <v>13101_10-2/43&lt;lv28&gt;s2</v>
      </c>
      <c r="B88" s="26">
        <v>13101</v>
      </c>
      <c r="C88" s="25">
        <v>10</v>
      </c>
      <c r="D88" s="2" t="str">
        <f t="shared" si="84"/>
        <v>13101_10</v>
      </c>
      <c r="E88" s="5" t="str">
        <f ca="1">VLOOKUP($B88,OFFSET([2]quests!$A$1,0,0,COUNTA([2]quests!$A:$A),MATCH(E$1,[2]quests!$1:$1,0)-MATCH($B$1,[2]quests!$1:$1,0)+1),MATCH(E$1,[2]quests!$1:$1,0)-MATCH($B$1,[2]quests!$1:$1,0)+1,FALSE)</f>
        <v>チャレンジタワー</v>
      </c>
      <c r="F88" s="5" t="e">
        <f ca="1">VLOOKUP($D88,OFFSET([2]stages!$A$1,0,0,COUNTA([2]stages!$A:$A),MATCH(F$1,[2]stages!$1:$1,0)-MATCH($D$1,[2]stages!$1:$1,0)+1),MATCH(F$1,[2]stages!$1:$1,0)-MATCH($D$1,[2]stages!$1:$1,0)+1,FALSE)</f>
        <v>#N/A</v>
      </c>
      <c r="G88" s="33">
        <v>2</v>
      </c>
      <c r="H88" s="16" t="str">
        <f t="shared" si="85"/>
        <v>13101_10-2</v>
      </c>
      <c r="I88" s="39" t="s">
        <v>245</v>
      </c>
      <c r="J88" s="31">
        <v>43</v>
      </c>
      <c r="K88" s="20" t="str">
        <f ca="1">VLOOKUP($J88,OFFSET([3]enemies!$A$1,0,0,COUNTA([3]enemies!$A:$A),MATCH(K$1,[3]enemies!$1:$1,0)-MATCH($J$1,[3]enemies!$1:$1,0)+1),MATCH(K$1,[3]enemies!$1:$1,0)-MATCH($J$1,[3]enemies!$1:$1,0)+1,FALSE)</f>
        <v>ムゥ</v>
      </c>
      <c r="L88" s="23" t="str">
        <f ca="1">VLOOKUP($J88,OFFSET([3]enemies!$A$1,0,0,COUNTA([3]enemies!$A:$A),MATCH(L$1,[3]enemies!$1:$1,0)-MATCH($J$1,[3]enemies!$1:$1,0)+1),MATCH(L$1,[3]enemies!$1:$1,0)-MATCH($J$1,[3]enemies!$1:$1,0)+1,FALSE)</f>
        <v>green</v>
      </c>
      <c r="M88" s="23" t="str">
        <f ca="1">VLOOKUP($J88,OFFSET([4]characters!$A$1,0,0,COUNTA([4]characters!$A:$A),MATCH(M$1,[4]characters!$1:$1,0)-MATCH($J$1,[4]characters!$1:$1,0)+1),MATCH(M$1,[4]characters!$1:$1,0)-MATCH($J$1,[4]characters!$1:$1,0)+1,FALSE)</f>
        <v>Drop1N</v>
      </c>
      <c r="N88" s="22" t="str">
        <f ca="1">VLOOKUP($J88,OFFSET([4]characters!$A$1,0,0,COUNTA([4]characters!$A:$A),MATCH(N$1,[4]characters!$1:$1,0)-MATCH($J$1,[4]characters!$1:$1,0)+2),MATCH(N$1,[4]characters!$1:$1,0)-MATCH($J$1,[4]characters!$1:$1,0)+2,FALSE)</f>
        <v>ドラゴン</v>
      </c>
      <c r="O88" s="5">
        <f ca="1">VLOOKUP($J88,OFFSET([3]enemies!$A$1,0,0,COUNTA([3]enemies!$A:$A),MATCH(O$1,[3]enemies!$1:$1,0)-MATCH($J$1,[3]enemies!$1:$1,0)+1),MATCH(O$1,[3]enemies!$1:$1,0)-MATCH($J$1,[3]enemies!$1:$1,0)+1,FALSE)</f>
        <v>15</v>
      </c>
      <c r="P88" s="46">
        <v>28</v>
      </c>
      <c r="Q88" s="43">
        <v>1</v>
      </c>
      <c r="R88" s="43">
        <v>1</v>
      </c>
      <c r="S88" s="6">
        <v>0</v>
      </c>
      <c r="T88" s="5" t="str">
        <f ca="1">VLOOKUP($U88,OFFSET([5]enemy_skill_sets!$B$1,0,0,COUNTA([5]enemy_skill_sets!$B:$B),MATCH(K$1,[5]enemy_skill_sets!$1:$1,0)-MATCH($U$1,[5]enemy_skill_sets!$1:$1,0)+2),MATCH(K$1,[5]enemy_skill_sets!$1:$1,0)-MATCH($U$1,[5]enemy_skill_sets!$1:$1,0)+2,FALSE)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88" s="5">
        <f ca="1">VLOOKUP($J88,OFFSET([3]enemies!$A$1,0,0,COUNTA([3]enemies!$A:$A),MATCH(U$1,[3]enemies!$1:$1,0)-MATCH($J$1,[3]enemies!$1:$1,0)+1),MATCH(U$1,[3]enemies!$1:$1,0)-MATCH($J$1,[3]enemies!$1:$1,0)+1,FALSE)</f>
        <v>0</v>
      </c>
      <c r="V88" s="7">
        <v>0</v>
      </c>
      <c r="W88" s="7">
        <v>100</v>
      </c>
      <c r="X88" s="7">
        <v>0</v>
      </c>
      <c r="Y88" s="20">
        <f ca="1">VLOOKUP($J88,OFFSET([3]enemies!$A$1,0,0,COUNTA([3]enemies!$A:$A),MATCH(Y$1,[3]enemies!$1:$1,0)-MATCH($J$1,[3]enemies!$1:$1,0)+1),MATCH(Y$1,[3]enemies!$1:$1,0)-MATCH($J$1,[3]enemies!$1:$1,0)+1,FALSE)</f>
        <v>2</v>
      </c>
      <c r="Z88" s="31">
        <v>43</v>
      </c>
      <c r="AA88" s="5" t="str">
        <f ca="1">IFERROR(VLOOKUP($Z88,OFFSET([4]characters!$A$1,0,0,COUNTA([4]characters!$A:$A),MATCH(AA$1,[4]characters!$1:$1,0)-MATCH("character_id",[4]characters!$1:$1,0)+1),MATCH(AA$1,[4]characters!$1:$1,0)-MATCH("character_id",[4]characters!$1:$1,0)+1,FALSE),"")</f>
        <v>ムゥ</v>
      </c>
      <c r="AB88" s="5">
        <f ca="1">IFERROR(VLOOKUP($Z88,OFFSET([4]characters!$A$1,0,0,COUNTA([4]characters!$A:$A),MATCH(AB$1,[4]characters!$1:$1,0)-MATCH("character_id",[4]characters!$1:$1,0)+1),MATCH(AB$1,[4]characters!$1:$1,0)-MATCH("character_id",[4]characters!$1:$1,0)+1,FALSE),"")</f>
        <v>2</v>
      </c>
      <c r="AC88" s="5" t="str">
        <f ca="1">IFERROR(VLOOKUP($Z88,OFFSET([4]characters!$A$1,0,0,COUNTA([4]characters!$A:$A),MATCH(AC$1,[4]characters!$1:$1,0)-MATCH("character_id",[4]characters!$1:$1,0)+1),MATCH(AC$1,[4]characters!$1:$1,0)-MATCH("character_id",[4]characters!$1:$1,0)+1,FALSE),"")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88" s="8">
        <v>3</v>
      </c>
      <c r="AE88" s="28">
        <f t="shared" ca="1" si="86"/>
        <v>2</v>
      </c>
      <c r="AF88" s="9">
        <v>25</v>
      </c>
      <c r="AG88" s="8">
        <v>0</v>
      </c>
      <c r="AH88" s="8">
        <v>0</v>
      </c>
      <c r="AI88" s="8">
        <v>0</v>
      </c>
      <c r="AJ88" s="8">
        <v>0</v>
      </c>
      <c r="AK88" s="8">
        <v>1</v>
      </c>
      <c r="AL88" s="8">
        <v>1</v>
      </c>
    </row>
    <row r="89" spans="1:38" ht="21" customHeight="1" x14ac:dyDescent="0.15">
      <c r="A89" s="17" t="str">
        <f t="shared" ref="A89" ca="1" si="91">B89&amp;"_"&amp;C89&amp;"-"&amp;G89&amp;"/"&amp;J89&amp;"&lt;lv"&amp;P89&amp;"&gt;s"&amp;Y89</f>
        <v>13101_10-2/45&lt;lv28&gt;s3</v>
      </c>
      <c r="B89" s="26">
        <v>13101</v>
      </c>
      <c r="C89" s="25">
        <v>10</v>
      </c>
      <c r="D89" s="2" t="str">
        <f t="shared" ref="D89" si="92">B89&amp;"_"&amp;C89</f>
        <v>13101_10</v>
      </c>
      <c r="E89" s="5" t="str">
        <f ca="1">VLOOKUP($B89,OFFSET([2]quests!$A$1,0,0,COUNTA([2]quests!$A:$A),MATCH(E$1,[2]quests!$1:$1,0)-MATCH($B$1,[2]quests!$1:$1,0)+1),MATCH(E$1,[2]quests!$1:$1,0)-MATCH($B$1,[2]quests!$1:$1,0)+1,FALSE)</f>
        <v>チャレンジタワー</v>
      </c>
      <c r="F89" s="5" t="e">
        <f ca="1">VLOOKUP($D89,OFFSET([2]stages!$A$1,0,0,COUNTA([2]stages!$A:$A),MATCH(F$1,[2]stages!$1:$1,0)-MATCH($D$1,[2]stages!$1:$1,0)+1),MATCH(F$1,[2]stages!$1:$1,0)-MATCH($D$1,[2]stages!$1:$1,0)+1,FALSE)</f>
        <v>#N/A</v>
      </c>
      <c r="G89" s="33">
        <v>2</v>
      </c>
      <c r="H89" s="16" t="str">
        <f t="shared" ref="H89" si="93">B89&amp;"_"&amp;C89&amp;"-"&amp;G89</f>
        <v>13101_10-2</v>
      </c>
      <c r="I89" s="39" t="s">
        <v>245</v>
      </c>
      <c r="J89" s="31">
        <v>45</v>
      </c>
      <c r="K89" s="20" t="str">
        <f ca="1">VLOOKUP($J89,OFFSET([3]enemies!$A$1,0,0,COUNTA([3]enemies!$A:$A),MATCH(K$1,[3]enemies!$1:$1,0)-MATCH($J$1,[3]enemies!$1:$1,0)+1),MATCH(K$1,[3]enemies!$1:$1,0)-MATCH($J$1,[3]enemies!$1:$1,0)+1,FALSE)</f>
        <v>ショウイン</v>
      </c>
      <c r="L89" s="23" t="str">
        <f ca="1">VLOOKUP($J89,OFFSET([3]enemies!$A$1,0,0,COUNTA([3]enemies!$A:$A),MATCH(L$1,[3]enemies!$1:$1,0)-MATCH($J$1,[3]enemies!$1:$1,0)+1),MATCH(L$1,[3]enemies!$1:$1,0)-MATCH($J$1,[3]enemies!$1:$1,0)+1,FALSE)</f>
        <v>blue</v>
      </c>
      <c r="M89" s="23" t="str">
        <f ca="1">VLOOKUP($J89,OFFSET([4]characters!$A$1,0,0,COUNTA([4]characters!$A:$A),MATCH(M$1,[4]characters!$1:$1,0)-MATCH($J$1,[4]characters!$1:$1,0)+1),MATCH(M$1,[4]characters!$1:$1,0)-MATCH($J$1,[4]characters!$1:$1,0)+1,FALSE)</f>
        <v>Drop1N</v>
      </c>
      <c r="N89" s="22" t="str">
        <f ca="1">VLOOKUP($J89,OFFSET([4]characters!$A$1,0,0,COUNTA([4]characters!$A:$A),MATCH(N$1,[4]characters!$1:$1,0)-MATCH($J$1,[4]characters!$1:$1,0)+2),MATCH(N$1,[4]characters!$1:$1,0)-MATCH($J$1,[4]characters!$1:$1,0)+2,FALSE)</f>
        <v>アニマル</v>
      </c>
      <c r="O89" s="5">
        <f ca="1">VLOOKUP($J89,OFFSET([3]enemies!$A$1,0,0,COUNTA([3]enemies!$A:$A),MATCH(O$1,[3]enemies!$1:$1,0)-MATCH($J$1,[3]enemies!$1:$1,0)+1),MATCH(O$1,[3]enemies!$1:$1,0)-MATCH($J$1,[3]enemies!$1:$1,0)+1,FALSE)</f>
        <v>15</v>
      </c>
      <c r="P89" s="46">
        <v>28</v>
      </c>
      <c r="Q89" s="43">
        <v>1</v>
      </c>
      <c r="R89" s="43">
        <v>1</v>
      </c>
      <c r="S89" s="6">
        <v>0</v>
      </c>
      <c r="T89" s="5" t="str">
        <f ca="1">VLOOKUP($U89,OFFSET([5]enemy_skill_sets!$B$1,0,0,COUNTA([5]enemy_skill_sets!$B:$B),MATCH(K$1,[5]enemy_skill_sets!$1:$1,0)-MATCH($U$1,[5]enemy_skill_sets!$1:$1,0)+2),MATCH(K$1,[5]enemy_skill_sets!$1:$1,0)-MATCH($U$1,[5]enemy_skill_sets!$1:$1,0)+2,FALSE)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89" s="5">
        <f ca="1">VLOOKUP($J89,OFFSET([3]enemies!$A$1,0,0,COUNTA([3]enemies!$A:$A),MATCH(U$1,[3]enemies!$1:$1,0)-MATCH($J$1,[3]enemies!$1:$1,0)+1),MATCH(U$1,[3]enemies!$1:$1,0)-MATCH($J$1,[3]enemies!$1:$1,0)+1,FALSE)</f>
        <v>0</v>
      </c>
      <c r="V89" s="7">
        <v>0</v>
      </c>
      <c r="W89" s="7">
        <v>100</v>
      </c>
      <c r="X89" s="7">
        <v>0</v>
      </c>
      <c r="Y89" s="20">
        <f ca="1">VLOOKUP($J89,OFFSET([3]enemies!$A$1,0,0,COUNTA([3]enemies!$A:$A),MATCH(Y$1,[3]enemies!$1:$1,0)-MATCH($J$1,[3]enemies!$1:$1,0)+1),MATCH(Y$1,[3]enemies!$1:$1,0)-MATCH($J$1,[3]enemies!$1:$1,0)+1,FALSE)</f>
        <v>3</v>
      </c>
      <c r="Z89" s="31">
        <v>45</v>
      </c>
      <c r="AA89" s="5" t="str">
        <f ca="1">IFERROR(VLOOKUP($Z89,OFFSET([4]characters!$A$1,0,0,COUNTA([4]characters!$A:$A),MATCH(AA$1,[4]characters!$1:$1,0)-MATCH("character_id",[4]characters!$1:$1,0)+1),MATCH(AA$1,[4]characters!$1:$1,0)-MATCH("character_id",[4]characters!$1:$1,0)+1,FALSE),"")</f>
        <v>ショウイン</v>
      </c>
      <c r="AB89" s="5">
        <f ca="1">IFERROR(VLOOKUP($Z89,OFFSET([4]characters!$A$1,0,0,COUNTA([4]characters!$A:$A),MATCH(AB$1,[4]characters!$1:$1,0)-MATCH("character_id",[4]characters!$1:$1,0)+1),MATCH(AB$1,[4]characters!$1:$1,0)-MATCH("character_id",[4]characters!$1:$1,0)+1,FALSE),"")</f>
        <v>2</v>
      </c>
      <c r="AC89" s="5" t="str">
        <f ca="1">IFERROR(VLOOKUP($Z89,OFFSET([4]characters!$A$1,0,0,COUNTA([4]characters!$A:$A),MATCH(AC$1,[4]characters!$1:$1,0)-MATCH("character_id",[4]characters!$1:$1,0)+1),MATCH(AC$1,[4]characters!$1:$1,0)-MATCH("character_id",[4]characters!$1:$1,0)+1,FALSE),"")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89" s="8">
        <v>3</v>
      </c>
      <c r="AE89" s="28">
        <f t="shared" ref="AE89" ca="1" si="94">AB89</f>
        <v>2</v>
      </c>
      <c r="AF89" s="9">
        <v>25</v>
      </c>
      <c r="AG89" s="8">
        <v>0</v>
      </c>
      <c r="AH89" s="8">
        <v>0</v>
      </c>
      <c r="AI89" s="8">
        <v>0</v>
      </c>
      <c r="AJ89" s="8">
        <v>0</v>
      </c>
      <c r="AK89" s="8">
        <v>1</v>
      </c>
      <c r="AL89" s="8">
        <v>1</v>
      </c>
    </row>
    <row r="90" spans="1:38" ht="21" customHeight="1" x14ac:dyDescent="0.15">
      <c r="A90" s="17" t="str">
        <f t="shared" ca="1" si="83"/>
        <v>13101_10-2/47&lt;lv28&gt;s1</v>
      </c>
      <c r="B90" s="26">
        <v>13101</v>
      </c>
      <c r="C90" s="25">
        <v>10</v>
      </c>
      <c r="D90" s="2" t="str">
        <f t="shared" si="84"/>
        <v>13101_10</v>
      </c>
      <c r="E90" s="5" t="str">
        <f ca="1">VLOOKUP($B90,OFFSET([2]quests!$A$1,0,0,COUNTA([2]quests!$A:$A),MATCH(E$1,[2]quests!$1:$1,0)-MATCH($B$1,[2]quests!$1:$1,0)+1),MATCH(E$1,[2]quests!$1:$1,0)-MATCH($B$1,[2]quests!$1:$1,0)+1,FALSE)</f>
        <v>チャレンジタワー</v>
      </c>
      <c r="F90" s="5" t="e">
        <f ca="1">VLOOKUP($D90,OFFSET([2]stages!$A$1,0,0,COUNTA([2]stages!$A:$A),MATCH(F$1,[2]stages!$1:$1,0)-MATCH($D$1,[2]stages!$1:$1,0)+1),MATCH(F$1,[2]stages!$1:$1,0)-MATCH($D$1,[2]stages!$1:$1,0)+1,FALSE)</f>
        <v>#N/A</v>
      </c>
      <c r="G90" s="33">
        <v>2</v>
      </c>
      <c r="H90" s="16" t="str">
        <f t="shared" si="85"/>
        <v>13101_10-2</v>
      </c>
      <c r="I90" s="39" t="s">
        <v>245</v>
      </c>
      <c r="J90" s="31">
        <v>47</v>
      </c>
      <c r="K90" s="20" t="str">
        <f ca="1">VLOOKUP($J90,OFFSET([3]enemies!$A$1,0,0,COUNTA([3]enemies!$A:$A),MATCH(K$1,[3]enemies!$1:$1,0)-MATCH($J$1,[3]enemies!$1:$1,0)+1),MATCH(K$1,[3]enemies!$1:$1,0)-MATCH($J$1,[3]enemies!$1:$1,0)+1,FALSE)</f>
        <v>ヒロ</v>
      </c>
      <c r="L90" s="23" t="str">
        <f ca="1">VLOOKUP($J90,OFFSET([3]enemies!$A$1,0,0,COUNTA([3]enemies!$A:$A),MATCH(L$1,[3]enemies!$1:$1,0)-MATCH($J$1,[3]enemies!$1:$1,0)+1),MATCH(L$1,[3]enemies!$1:$1,0)-MATCH($J$1,[3]enemies!$1:$1,0)+1,FALSE)</f>
        <v>yellow</v>
      </c>
      <c r="M90" s="23" t="str">
        <f ca="1">VLOOKUP($J90,OFFSET([4]characters!$A$1,0,0,COUNTA([4]characters!$A:$A),MATCH(M$1,[4]characters!$1:$1,0)-MATCH($J$1,[4]characters!$1:$1,0)+1),MATCH(M$1,[4]characters!$1:$1,0)-MATCH($J$1,[4]characters!$1:$1,0)+1,FALSE)</f>
        <v>Drop1N</v>
      </c>
      <c r="N90" s="22" t="str">
        <f ca="1">VLOOKUP($J90,OFFSET([4]characters!$A$1,0,0,COUNTA([4]characters!$A:$A),MATCH(N$1,[4]characters!$1:$1,0)-MATCH($J$1,[4]characters!$1:$1,0)+2),MATCH(N$1,[4]characters!$1:$1,0)-MATCH($J$1,[4]characters!$1:$1,0)+2,FALSE)</f>
        <v>アニマル</v>
      </c>
      <c r="O90" s="5">
        <f ca="1">VLOOKUP($J90,OFFSET([3]enemies!$A$1,0,0,COUNTA([3]enemies!$A:$A),MATCH(O$1,[3]enemies!$1:$1,0)-MATCH($J$1,[3]enemies!$1:$1,0)+1),MATCH(O$1,[3]enemies!$1:$1,0)-MATCH($J$1,[3]enemies!$1:$1,0)+1,FALSE)</f>
        <v>15</v>
      </c>
      <c r="P90" s="46">
        <v>28</v>
      </c>
      <c r="Q90" s="43">
        <v>1</v>
      </c>
      <c r="R90" s="43">
        <v>1</v>
      </c>
      <c r="S90" s="6">
        <v>0</v>
      </c>
      <c r="T90" s="5" t="str">
        <f ca="1">VLOOKUP($U90,OFFSET([5]enemy_skill_sets!$B$1,0,0,COUNTA([5]enemy_skill_sets!$B:$B),MATCH(K$1,[5]enemy_skill_sets!$1:$1,0)-MATCH($U$1,[5]enemy_skill_sets!$1:$1,0)+2),MATCH(K$1,[5]enemy_skill_sets!$1:$1,0)-MATCH($U$1,[5]enemy_skill_sets!$1:$1,0)+2,FALSE)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90" s="5">
        <f ca="1">VLOOKUP($J90,OFFSET([3]enemies!$A$1,0,0,COUNTA([3]enemies!$A:$A),MATCH(U$1,[3]enemies!$1:$1,0)-MATCH($J$1,[3]enemies!$1:$1,0)+1),MATCH(U$1,[3]enemies!$1:$1,0)-MATCH($J$1,[3]enemies!$1:$1,0)+1,FALSE)</f>
        <v>0</v>
      </c>
      <c r="V90" s="7">
        <v>0</v>
      </c>
      <c r="W90" s="7">
        <v>100</v>
      </c>
      <c r="X90" s="7">
        <v>0</v>
      </c>
      <c r="Y90" s="20">
        <f ca="1">VLOOKUP($J90,OFFSET([3]enemies!$A$1,0,0,COUNTA([3]enemies!$A:$A),MATCH(Y$1,[3]enemies!$1:$1,0)-MATCH($J$1,[3]enemies!$1:$1,0)+1),MATCH(Y$1,[3]enemies!$1:$1,0)-MATCH($J$1,[3]enemies!$1:$1,0)+1,FALSE)</f>
        <v>1</v>
      </c>
      <c r="Z90" s="31">
        <v>47</v>
      </c>
      <c r="AA90" s="5" t="str">
        <f ca="1">IFERROR(VLOOKUP($Z90,OFFSET([4]characters!$A$1,0,0,COUNTA([4]characters!$A:$A),MATCH(AA$1,[4]characters!$1:$1,0)-MATCH("character_id",[4]characters!$1:$1,0)+1),MATCH(AA$1,[4]characters!$1:$1,0)-MATCH("character_id",[4]characters!$1:$1,0)+1,FALSE),"")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90" s="5">
        <f ca="1">IFERROR(VLOOKUP($Z90,OFFSET([4]characters!$A$1,0,0,COUNTA([4]characters!$A:$A),MATCH(AB$1,[4]characters!$1:$1,0)-MATCH("character_id",[4]characters!$1:$1,0)+1),MATCH(AB$1,[4]characters!$1:$1,0)-MATCH("character_id",[4]characters!$1:$1,0)+1,FALSE),"")</f>
        <v>2</v>
      </c>
      <c r="AC90" s="5" t="str">
        <f ca="1">IFERROR(VLOOKUP($Z90,OFFSET([4]characters!$A$1,0,0,COUNTA([4]characters!$A:$A),MATCH(AC$1,[4]characters!$1:$1,0)-MATCH("character_id",[4]characters!$1:$1,0)+1),MATCH(AC$1,[4]characters!$1:$1,0)-MATCH("character_id",[4]characters!$1:$1,0)+1,FALSE),"")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90" s="8">
        <v>3</v>
      </c>
      <c r="AE90" s="28">
        <f t="shared" ca="1" si="86"/>
        <v>2</v>
      </c>
      <c r="AF90" s="9">
        <v>25</v>
      </c>
      <c r="AG90" s="8">
        <v>0</v>
      </c>
      <c r="AH90" s="8">
        <v>0</v>
      </c>
      <c r="AI90" s="8">
        <v>0</v>
      </c>
      <c r="AJ90" s="8">
        <v>0</v>
      </c>
      <c r="AK90" s="8">
        <v>1</v>
      </c>
      <c r="AL90" s="8">
        <v>1</v>
      </c>
    </row>
    <row r="91" spans="1:38" ht="21" customHeight="1" x14ac:dyDescent="0.15">
      <c r="A91" s="17" t="str">
        <f t="shared" ca="1" si="83"/>
        <v>13101_10-3/50&lt;lv28&gt;s2</v>
      </c>
      <c r="B91" s="26">
        <v>13101</v>
      </c>
      <c r="C91" s="25">
        <v>10</v>
      </c>
      <c r="D91" s="2" t="str">
        <f t="shared" si="84"/>
        <v>13101_10</v>
      </c>
      <c r="E91" s="5" t="str">
        <f ca="1">VLOOKUP($B91,OFFSET([2]quests!$A$1,0,0,COUNTA([2]quests!$A:$A),MATCH(E$1,[2]quests!$1:$1,0)-MATCH($B$1,[2]quests!$1:$1,0)+1),MATCH(E$1,[2]quests!$1:$1,0)-MATCH($B$1,[2]quests!$1:$1,0)+1,FALSE)</f>
        <v>チャレンジタワー</v>
      </c>
      <c r="F91" s="5" t="e">
        <f ca="1">VLOOKUP($D91,OFFSET([2]stages!$A$1,0,0,COUNTA([2]stages!$A:$A),MATCH(F$1,[2]stages!$1:$1,0)-MATCH($D$1,[2]stages!$1:$1,0)+1),MATCH(F$1,[2]stages!$1:$1,0)-MATCH($D$1,[2]stages!$1:$1,0)+1,FALSE)</f>
        <v>#N/A</v>
      </c>
      <c r="G91" s="34">
        <v>3</v>
      </c>
      <c r="H91" s="16" t="str">
        <f t="shared" si="85"/>
        <v>13101_10-3</v>
      </c>
      <c r="I91" s="39" t="s">
        <v>245</v>
      </c>
      <c r="J91" s="32">
        <v>50</v>
      </c>
      <c r="K91" s="20" t="str">
        <f ca="1">VLOOKUP($J91,OFFSET([3]enemies!$A$1,0,0,COUNTA([3]enemies!$A:$A),MATCH(K$1,[3]enemies!$1:$1,0)-MATCH($J$1,[3]enemies!$1:$1,0)+1),MATCH(K$1,[3]enemies!$1:$1,0)-MATCH($J$1,[3]enemies!$1:$1,0)+1,FALSE)</f>
        <v>炎銃のレジスタンス ヨシタカ</v>
      </c>
      <c r="L91" s="23" t="str">
        <f ca="1">VLOOKUP($J91,OFFSET([3]enemies!$A$1,0,0,COUNTA([3]enemies!$A:$A),MATCH(L$1,[3]enemies!$1:$1,0)-MATCH($J$1,[3]enemies!$1:$1,0)+1),MATCH(L$1,[3]enemies!$1:$1,0)-MATCH($J$1,[3]enemies!$1:$1,0)+1,FALSE)</f>
        <v>red</v>
      </c>
      <c r="M91" s="23" t="str">
        <f ca="1">VLOOKUP($J91,OFFSET([4]characters!$A$1,0,0,COUNTA([4]characters!$A:$A),MATCH(M$1,[4]characters!$1:$1,0)-MATCH($J$1,[4]characters!$1:$1,0)+1),MATCH(M$1,[4]characters!$1:$1,0)-MATCH($J$1,[4]characters!$1:$1,0)+1,FALSE)</f>
        <v>Drop1N</v>
      </c>
      <c r="N91" s="22" t="str">
        <f ca="1">VLOOKUP($J91,OFFSET([4]characters!$A$1,0,0,COUNTA([4]characters!$A:$A),MATCH(N$1,[4]characters!$1:$1,0)-MATCH($J$1,[4]characters!$1:$1,0)+2),MATCH(N$1,[4]characters!$1:$1,0)-MATCH($J$1,[4]characters!$1:$1,0)+2,FALSE)</f>
        <v>ヒューマン</v>
      </c>
      <c r="O91" s="5">
        <f ca="1">VLOOKUP($J91,OFFSET([3]enemies!$A$1,0,0,COUNTA([3]enemies!$A:$A),MATCH(O$1,[3]enemies!$1:$1,0)-MATCH($J$1,[3]enemies!$1:$1,0)+1),MATCH(O$1,[3]enemies!$1:$1,0)-MATCH($J$1,[3]enemies!$1:$1,0)+1,FALSE)</f>
        <v>20</v>
      </c>
      <c r="P91" s="46">
        <v>28</v>
      </c>
      <c r="Q91" s="43">
        <v>1.5</v>
      </c>
      <c r="R91" s="43">
        <v>1</v>
      </c>
      <c r="S91" s="6">
        <v>0</v>
      </c>
      <c r="T91" s="5" t="str">
        <f ca="1">VLOOKUP($U91,OFFSET([5]enemy_skill_sets!$B$1,0,0,COUNTA([5]enemy_skill_sets!$B:$B),MATCH(K$1,[5]enemy_skill_sets!$1:$1,0)-MATCH($U$1,[5]enemy_skill_sets!$1:$1,0)+2),MATCH(K$1,[5]enemy_skill_sets!$1:$1,0)-MATCH($U$1,[5]enemy_skill_sets!$1:$1,0)+2,FALSE)</f>
        <v>5ターンの間ダメージを受ける</v>
      </c>
      <c r="U91" s="5">
        <f ca="1">VLOOKUP($J91,OFFSET([3]enemies!$A$1,0,0,COUNTA([3]enemies!$A:$A),MATCH(U$1,[3]enemies!$1:$1,0)-MATCH($J$1,[3]enemies!$1:$1,0)+1),MATCH(U$1,[3]enemies!$1:$1,0)-MATCH($J$1,[3]enemies!$1:$1,0)+1,FALSE)</f>
        <v>50</v>
      </c>
      <c r="V91" s="7">
        <v>2</v>
      </c>
      <c r="W91" s="7">
        <v>100</v>
      </c>
      <c r="X91" s="7">
        <v>1</v>
      </c>
      <c r="Y91" s="20">
        <f ca="1">VLOOKUP($J91,OFFSET([3]enemies!$A$1,0,0,COUNTA([3]enemies!$A:$A),MATCH(Y$1,[3]enemies!$1:$1,0)-MATCH($J$1,[3]enemies!$1:$1,0)+1),MATCH(Y$1,[3]enemies!$1:$1,0)-MATCH($J$1,[3]enemies!$1:$1,0)+1,FALSE)</f>
        <v>2</v>
      </c>
      <c r="Z91" s="32">
        <v>49</v>
      </c>
      <c r="AA91" s="5" t="str">
        <f ca="1">IFERROR(VLOOKUP($Z91,OFFSET([4]characters!$A$1,0,0,COUNTA([4]characters!$A:$A),MATCH(AA$1,[4]characters!$1:$1,0)-MATCH("character_id",[4]characters!$1:$1,0)+1),MATCH(AA$1,[4]characters!$1:$1,0)-MATCH("character_id",[4]characters!$1:$1,0)+1,FALSE),"")</f>
        <v>ヨシタカ</v>
      </c>
      <c r="AB91" s="5">
        <f ca="1">IFERROR(VLOOKUP($Z91,OFFSET([4]characters!$A$1,0,0,COUNTA([4]characters!$A:$A),MATCH(AB$1,[4]characters!$1:$1,0)-MATCH("character_id",[4]characters!$1:$1,0)+1),MATCH(AB$1,[4]characters!$1:$1,0)-MATCH("character_id",[4]characters!$1:$1,0)+1,FALSE),"")</f>
        <v>2</v>
      </c>
      <c r="AC91" s="5" t="str">
        <f ca="1">IFERROR(VLOOKUP($Z91,OFFSET([4]characters!$A$1,0,0,COUNTA([4]characters!$A:$A),MATCH(AC$1,[4]characters!$1:$1,0)-MATCH("character_id",[4]characters!$1:$1,0)+1),MATCH(AC$1,[4]characters!$1:$1,0)-MATCH("character_id",[4]characters!$1:$1,0)+1,FALSE),"")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91" s="8">
        <v>3</v>
      </c>
      <c r="AE91" s="28">
        <f t="shared" ca="1" si="86"/>
        <v>2</v>
      </c>
      <c r="AF91" s="9">
        <v>0</v>
      </c>
      <c r="AG91" s="8">
        <v>0</v>
      </c>
      <c r="AH91" s="8">
        <v>0</v>
      </c>
      <c r="AI91" s="8">
        <v>0</v>
      </c>
      <c r="AJ91" s="8">
        <v>0</v>
      </c>
      <c r="AK91" s="8">
        <v>1</v>
      </c>
      <c r="AL91" s="8">
        <v>1</v>
      </c>
    </row>
    <row r="92" spans="1:38" ht="21" customHeight="1" x14ac:dyDescent="0.15">
      <c r="A92" s="17" t="str">
        <f t="shared" ca="1" si="83"/>
        <v>13101_10-4/193&lt;lv26&gt;s3</v>
      </c>
      <c r="B92" s="26">
        <v>13101</v>
      </c>
      <c r="C92" s="25">
        <v>10</v>
      </c>
      <c r="D92" s="2" t="str">
        <f t="shared" si="84"/>
        <v>13101_10</v>
      </c>
      <c r="E92" s="5" t="str">
        <f ca="1">VLOOKUP($B92,OFFSET([2]quests!$A$1,0,0,COUNTA([2]quests!$A:$A),MATCH(E$1,[2]quests!$1:$1,0)-MATCH($B$1,[2]quests!$1:$1,0)+1),MATCH(E$1,[2]quests!$1:$1,0)-MATCH($B$1,[2]quests!$1:$1,0)+1,FALSE)</f>
        <v>チャレンジタワー</v>
      </c>
      <c r="F92" s="5" t="e">
        <f ca="1">VLOOKUP($D92,OFFSET([2]stages!$A$1,0,0,COUNTA([2]stages!$A:$A),MATCH(F$1,[2]stages!$1:$1,0)-MATCH($D$1,[2]stages!$1:$1,0)+1),MATCH(F$1,[2]stages!$1:$1,0)-MATCH($D$1,[2]stages!$1:$1,0)+1,FALSE)</f>
        <v>#N/A</v>
      </c>
      <c r="G92" s="33">
        <v>4</v>
      </c>
      <c r="H92" s="16" t="str">
        <f t="shared" si="85"/>
        <v>13101_10-4</v>
      </c>
      <c r="I92" s="39" t="s">
        <v>245</v>
      </c>
      <c r="J92" s="31">
        <v>193</v>
      </c>
      <c r="K92" s="20" t="str">
        <f ca="1">VLOOKUP($J92,OFFSET([3]enemies!$A$1,0,0,COUNTA([3]enemies!$A:$A),MATCH(K$1,[3]enemies!$1:$1,0)-MATCH($J$1,[3]enemies!$1:$1,0)+1),MATCH(K$1,[3]enemies!$1:$1,0)-MATCH($J$1,[3]enemies!$1:$1,0)+1,FALSE)</f>
        <v>ロビンフッド</v>
      </c>
      <c r="L92" s="23" t="str">
        <f ca="1">VLOOKUP($J92,OFFSET([3]enemies!$A$1,0,0,COUNTA([3]enemies!$A:$A),MATCH(L$1,[3]enemies!$1:$1,0)-MATCH($J$1,[3]enemies!$1:$1,0)+1),MATCH(L$1,[3]enemies!$1:$1,0)-MATCH($J$1,[3]enemies!$1:$1,0)+1,FALSE)</f>
        <v>green</v>
      </c>
      <c r="M92" s="23" t="str">
        <f ca="1">VLOOKUP($J92,OFFSET([4]characters!$A$1,0,0,COUNTA([4]characters!$A:$A),MATCH(M$1,[4]characters!$1:$1,0)-MATCH($J$1,[4]characters!$1:$1,0)+1),MATCH(M$1,[4]characters!$1:$1,0)-MATCH($J$1,[4]characters!$1:$1,0)+1,FALSE)</f>
        <v>PremiumN</v>
      </c>
      <c r="N92" s="22" t="str">
        <f ca="1">VLOOKUP($J92,OFFSET([4]characters!$A$1,0,0,COUNTA([4]characters!$A:$A),MATCH(N$1,[4]characters!$1:$1,0)-MATCH($J$1,[4]characters!$1:$1,0)+2),MATCH(N$1,[4]characters!$1:$1,0)-MATCH($J$1,[4]characters!$1:$1,0)+2,FALSE)</f>
        <v>ヒューマン</v>
      </c>
      <c r="O92" s="5">
        <f ca="1">VLOOKUP($J92,OFFSET([3]enemies!$A$1,0,0,COUNTA([3]enemies!$A:$A),MATCH(O$1,[3]enemies!$1:$1,0)-MATCH($J$1,[3]enemies!$1:$1,0)+1),MATCH(O$1,[3]enemies!$1:$1,0)-MATCH($J$1,[3]enemies!$1:$1,0)+1,FALSE)</f>
        <v>20</v>
      </c>
      <c r="P92" s="46">
        <v>26</v>
      </c>
      <c r="Q92" s="43">
        <v>1</v>
      </c>
      <c r="R92" s="43">
        <v>1</v>
      </c>
      <c r="S92" s="6">
        <v>0</v>
      </c>
      <c r="T92" s="5" t="str">
        <f ca="1">VLOOKUP($U92,OFFSET([5]enemy_skill_sets!$B$1,0,0,COUNTA([5]enemy_skill_sets!$B:$B),MATCH(K$1,[5]enemy_skill_sets!$1:$1,0)-MATCH($U$1,[5]enemy_skill_sets!$1:$1,0)+2),MATCH(K$1,[5]enemy_skill_sets!$1:$1,0)-MATCH($U$1,[5]enemy_skill_sets!$1:$1,0)+2,FALSE)</f>
        <v>5回連続攻撃</v>
      </c>
      <c r="U92" s="5">
        <f ca="1">VLOOKUP($J92,OFFSET([3]enemies!$A$1,0,0,COUNTA([3]enemies!$A:$A),MATCH(U$1,[3]enemies!$1:$1,0)-MATCH($J$1,[3]enemies!$1:$1,0)+1),MATCH(U$1,[3]enemies!$1:$1,0)-MATCH($J$1,[3]enemies!$1:$1,0)+1,FALSE)</f>
        <v>193</v>
      </c>
      <c r="V92" s="7">
        <v>1</v>
      </c>
      <c r="W92" s="7">
        <v>100</v>
      </c>
      <c r="X92" s="7">
        <v>1</v>
      </c>
      <c r="Y92" s="20">
        <f ca="1">VLOOKUP($J92,OFFSET([3]enemies!$A$1,0,0,COUNTA([3]enemies!$A:$A),MATCH(Y$1,[3]enemies!$1:$1,0)-MATCH($J$1,[3]enemies!$1:$1,0)+1),MATCH(Y$1,[3]enemies!$1:$1,0)-MATCH($J$1,[3]enemies!$1:$1,0)+1,FALSE)</f>
        <v>3</v>
      </c>
      <c r="Z92" s="31">
        <v>193</v>
      </c>
      <c r="AA92" s="5" t="str">
        <f ca="1">IFERROR(VLOOKUP($Z92,OFFSET([4]characters!$A$1,0,0,COUNTA([4]characters!$A:$A),MATCH(AA$1,[4]characters!$1:$1,0)-MATCH("character_id",[4]characters!$1:$1,0)+1),MATCH(AA$1,[4]characters!$1:$1,0)-MATCH("character_id",[4]characters!$1:$1,0)+1,FALSE),"")</f>
        <v>ロビンフッド</v>
      </c>
      <c r="AB92" s="5">
        <f ca="1">IFERROR(VLOOKUP($Z92,OFFSET([4]characters!$A$1,0,0,COUNTA([4]characters!$A:$A),MATCH(AB$1,[4]characters!$1:$1,0)-MATCH("character_id",[4]characters!$1:$1,0)+1),MATCH(AB$1,[4]characters!$1:$1,0)-MATCH("character_id",[4]characters!$1:$1,0)+1,FALSE),"")</f>
        <v>3</v>
      </c>
      <c r="AC92" s="5" t="str">
        <f ca="1">IFERROR(VLOOKUP($Z92,OFFSET([4]characters!$A$1,0,0,COUNTA([4]characters!$A:$A),MATCH(AC$1,[4]characters!$1:$1,0)-MATCH("character_id",[4]characters!$1:$1,0)+1),MATCH(AC$1,[4]characters!$1:$1,0)-MATCH("character_id",[4]characters!$1:$1,0)+1,FALSE),"")</f>
        <v>PremiumN</v>
      </c>
      <c r="AD92" s="8">
        <v>1</v>
      </c>
      <c r="AE92" s="28">
        <f t="shared" ca="1" si="86"/>
        <v>3</v>
      </c>
      <c r="AF92" s="9">
        <v>0</v>
      </c>
      <c r="AG92" s="8">
        <v>0</v>
      </c>
      <c r="AH92" s="8">
        <v>0</v>
      </c>
      <c r="AI92" s="8">
        <v>0</v>
      </c>
      <c r="AJ92" s="8">
        <v>0</v>
      </c>
      <c r="AK92" s="8">
        <v>1</v>
      </c>
      <c r="AL92" s="8">
        <v>1</v>
      </c>
    </row>
    <row r="93" spans="1:38" ht="21" customHeight="1" x14ac:dyDescent="0.15">
      <c r="A93" s="17" t="str">
        <f t="shared" ca="1" si="83"/>
        <v>13101_10-4/199&lt;lv26&gt;s2</v>
      </c>
      <c r="B93" s="26">
        <v>13101</v>
      </c>
      <c r="C93" s="25">
        <v>10</v>
      </c>
      <c r="D93" s="2" t="str">
        <f t="shared" si="84"/>
        <v>13101_10</v>
      </c>
      <c r="E93" s="5" t="str">
        <f ca="1">VLOOKUP($B93,OFFSET([2]quests!$A$1,0,0,COUNTA([2]quests!$A:$A),MATCH(E$1,[2]quests!$1:$1,0)-MATCH($B$1,[2]quests!$1:$1,0)+1),MATCH(E$1,[2]quests!$1:$1,0)-MATCH($B$1,[2]quests!$1:$1,0)+1,FALSE)</f>
        <v>チャレンジタワー</v>
      </c>
      <c r="F93" s="5" t="e">
        <f ca="1">VLOOKUP($D93,OFFSET([2]stages!$A$1,0,0,COUNTA([2]stages!$A:$A),MATCH(F$1,[2]stages!$1:$1,0)-MATCH($D$1,[2]stages!$1:$1,0)+1),MATCH(F$1,[2]stages!$1:$1,0)-MATCH($D$1,[2]stages!$1:$1,0)+1,FALSE)</f>
        <v>#N/A</v>
      </c>
      <c r="G93" s="33">
        <v>4</v>
      </c>
      <c r="H93" s="16" t="str">
        <f t="shared" si="85"/>
        <v>13101_10-4</v>
      </c>
      <c r="I93" s="39" t="s">
        <v>245</v>
      </c>
      <c r="J93" s="31">
        <v>199</v>
      </c>
      <c r="K93" s="20" t="str">
        <f ca="1">VLOOKUP($J93,OFFSET([3]enemies!$A$1,0,0,COUNTA([3]enemies!$A:$A),MATCH(K$1,[3]enemies!$1:$1,0)-MATCH($J$1,[3]enemies!$1:$1,0)+1),MATCH(K$1,[3]enemies!$1:$1,0)-MATCH($J$1,[3]enemies!$1:$1,0)+1,FALSE)</f>
        <v>ジークフリート</v>
      </c>
      <c r="L93" s="23" t="str">
        <f ca="1">VLOOKUP($J93,OFFSET([3]enemies!$A$1,0,0,COUNTA([3]enemies!$A:$A),MATCH(L$1,[3]enemies!$1:$1,0)-MATCH($J$1,[3]enemies!$1:$1,0)+1),MATCH(L$1,[3]enemies!$1:$1,0)-MATCH($J$1,[3]enemies!$1:$1,0)+1,FALSE)</f>
        <v>blue</v>
      </c>
      <c r="M93" s="23" t="str">
        <f ca="1">VLOOKUP($J93,OFFSET([4]characters!$A$1,0,0,COUNTA([4]characters!$A:$A),MATCH(M$1,[4]characters!$1:$1,0)-MATCH($J$1,[4]characters!$1:$1,0)+1),MATCH(M$1,[4]characters!$1:$1,0)-MATCH($J$1,[4]characters!$1:$1,0)+1,FALSE)</f>
        <v>PremiumN</v>
      </c>
      <c r="N93" s="22" t="str">
        <f ca="1">VLOOKUP($J93,OFFSET([4]characters!$A$1,0,0,COUNTA([4]characters!$A:$A),MATCH(N$1,[4]characters!$1:$1,0)-MATCH($J$1,[4]characters!$1:$1,0)+2),MATCH(N$1,[4]characters!$1:$1,0)-MATCH($J$1,[4]characters!$1:$1,0)+2,FALSE)</f>
        <v>ヒューマン</v>
      </c>
      <c r="O93" s="5">
        <f ca="1">VLOOKUP($J93,OFFSET([3]enemies!$A$1,0,0,COUNTA([3]enemies!$A:$A),MATCH(O$1,[3]enemies!$1:$1,0)-MATCH($J$1,[3]enemies!$1:$1,0)+1),MATCH(O$1,[3]enemies!$1:$1,0)-MATCH($J$1,[3]enemies!$1:$1,0)+1,FALSE)</f>
        <v>20</v>
      </c>
      <c r="P93" s="46">
        <v>26</v>
      </c>
      <c r="Q93" s="43">
        <v>1</v>
      </c>
      <c r="R93" s="43">
        <v>1</v>
      </c>
      <c r="S93" s="6">
        <v>0</v>
      </c>
      <c r="T93" s="5" t="str">
        <f ca="1">VLOOKUP($U93,OFFSET([5]enemy_skill_sets!$B$1,0,0,COUNTA([5]enemy_skill_sets!$B:$B),MATCH(K$1,[5]enemy_skill_sets!$1:$1,0)-MATCH($U$1,[5]enemy_skill_sets!$1:$1,0)+2),MATCH(K$1,[5]enemy_skill_sets!$1:$1,0)-MATCH($U$1,[5]enemy_skill_sets!$1:$1,0)+2,FALSE)</f>
        <v>全体攻撃</v>
      </c>
      <c r="U93" s="5">
        <f ca="1">VLOOKUP($J93,OFFSET([3]enemies!$A$1,0,0,COUNTA([3]enemies!$A:$A),MATCH(U$1,[3]enemies!$1:$1,0)-MATCH($J$1,[3]enemies!$1:$1,0)+1),MATCH(U$1,[3]enemies!$1:$1,0)-MATCH($J$1,[3]enemies!$1:$1,0)+1,FALSE)</f>
        <v>199</v>
      </c>
      <c r="V93" s="7">
        <v>1</v>
      </c>
      <c r="W93" s="7">
        <v>100</v>
      </c>
      <c r="X93" s="7">
        <v>1</v>
      </c>
      <c r="Y93" s="20">
        <f ca="1">VLOOKUP($J93,OFFSET([3]enemies!$A$1,0,0,COUNTA([3]enemies!$A:$A),MATCH(Y$1,[3]enemies!$1:$1,0)-MATCH($J$1,[3]enemies!$1:$1,0)+1),MATCH(Y$1,[3]enemies!$1:$1,0)-MATCH($J$1,[3]enemies!$1:$1,0)+1,FALSE)</f>
        <v>2</v>
      </c>
      <c r="Z93" s="31">
        <v>199</v>
      </c>
      <c r="AA93" s="5" t="str">
        <f ca="1">IFERROR(VLOOKUP($Z93,OFFSET([4]characters!$A$1,0,0,COUNTA([4]characters!$A:$A),MATCH(AA$1,[4]characters!$1:$1,0)-MATCH("character_id",[4]characters!$1:$1,0)+1),MATCH(AA$1,[4]characters!$1:$1,0)-MATCH("character_id",[4]characters!$1:$1,0)+1,FALSE),"")</f>
        <v>ジークフリート</v>
      </c>
      <c r="AB93" s="5">
        <f ca="1">IFERROR(VLOOKUP($Z93,OFFSET([4]characters!$A$1,0,0,COUNTA([4]characters!$A:$A),MATCH(AB$1,[4]characters!$1:$1,0)-MATCH("character_id",[4]characters!$1:$1,0)+1),MATCH(AB$1,[4]characters!$1:$1,0)-MATCH("character_id",[4]characters!$1:$1,0)+1,FALSE),"")</f>
        <v>3</v>
      </c>
      <c r="AC93" s="5" t="str">
        <f ca="1">IFERROR(VLOOKUP($Z93,OFFSET([4]characters!$A$1,0,0,COUNTA([4]characters!$A:$A),MATCH(AC$1,[4]characters!$1:$1,0)-MATCH("character_id",[4]characters!$1:$1,0)+1),MATCH(AC$1,[4]characters!$1:$1,0)-MATCH("character_id",[4]characters!$1:$1,0)+1,FALSE),"")</f>
        <v>PremiumN</v>
      </c>
      <c r="AD93" s="8">
        <v>1</v>
      </c>
      <c r="AE93" s="28">
        <f t="shared" ca="1" si="86"/>
        <v>3</v>
      </c>
      <c r="AF93" s="9">
        <v>0</v>
      </c>
      <c r="AG93" s="8">
        <v>0</v>
      </c>
      <c r="AH93" s="8">
        <v>0</v>
      </c>
      <c r="AI93" s="8">
        <v>0</v>
      </c>
      <c r="AJ93" s="8">
        <v>0</v>
      </c>
      <c r="AK93" s="8">
        <v>1</v>
      </c>
      <c r="AL93" s="8">
        <v>1</v>
      </c>
    </row>
    <row r="94" spans="1:38" ht="21" customHeight="1" x14ac:dyDescent="0.15">
      <c r="A94" s="17" t="str">
        <f t="shared" ca="1" si="83"/>
        <v>13101_11-1/19&lt;lv29&gt;s3</v>
      </c>
      <c r="B94" s="26">
        <v>13101</v>
      </c>
      <c r="C94" s="30">
        <v>11</v>
      </c>
      <c r="D94" s="16" t="str">
        <f t="shared" si="84"/>
        <v>13101_11</v>
      </c>
      <c r="E94" s="5" t="str">
        <f ca="1">VLOOKUP($B94,OFFSET([2]quests!$A$1,0,0,COUNTA([2]quests!$A:$A),MATCH(E$1,[2]quests!$1:$1,0)-MATCH($B$1,[2]quests!$1:$1,0)+1),MATCH(E$1,[2]quests!$1:$1,0)-MATCH($B$1,[2]quests!$1:$1,0)+1,FALSE)</f>
        <v>チャレンジタワー</v>
      </c>
      <c r="F94" s="5" t="e">
        <f ca="1">VLOOKUP($D94,OFFSET([2]stages!$A$1,0,0,COUNTA([2]stages!$A:$A),MATCH(F$1,[2]stages!$1:$1,0)-MATCH($D$1,[2]stages!$1:$1,0)+1),MATCH(F$1,[2]stages!$1:$1,0)-MATCH($D$1,[2]stages!$1:$1,0)+1,FALSE)</f>
        <v>#N/A</v>
      </c>
      <c r="G94" s="33">
        <v>1</v>
      </c>
      <c r="H94" s="16" t="str">
        <f t="shared" si="85"/>
        <v>13101_11-1</v>
      </c>
      <c r="I94" s="39" t="s">
        <v>245</v>
      </c>
      <c r="J94" s="31">
        <v>19</v>
      </c>
      <c r="K94" s="20" t="str">
        <f ca="1">VLOOKUP($J94,OFFSET([3]enemies!$A$1,0,0,COUNTA([3]enemies!$A:$A),MATCH(K$1,[3]enemies!$1:$1,0)-MATCH($J$1,[3]enemies!$1:$1,0)+1),MATCH(K$1,[3]enemies!$1:$1,0)-MATCH($J$1,[3]enemies!$1:$1,0)+1,FALSE)</f>
        <v>ティンク</v>
      </c>
      <c r="L94" s="23" t="str">
        <f ca="1">VLOOKUP($J94,OFFSET([3]enemies!$A$1,0,0,COUNTA([3]enemies!$A:$A),MATCH(L$1,[3]enemies!$1:$1,0)-MATCH($J$1,[3]enemies!$1:$1,0)+1),MATCH(L$1,[3]enemies!$1:$1,0)-MATCH($J$1,[3]enemies!$1:$1,0)+1,FALSE)</f>
        <v>yellow</v>
      </c>
      <c r="M94" s="23" t="str">
        <f ca="1">VLOOKUP($J94,OFFSET([4]characters!$A$1,0,0,COUNTA([4]characters!$A:$A),MATCH(M$1,[4]characters!$1:$1,0)-MATCH($J$1,[4]characters!$1:$1,0)+1),MATCH(M$1,[4]characters!$1:$1,0)-MATCH($J$1,[4]characters!$1:$1,0)+1,FALSE)</f>
        <v>Drop1W</v>
      </c>
      <c r="N94" s="22" t="str">
        <f ca="1">VLOOKUP($J94,OFFSET([4]characters!$A$1,0,0,COUNTA([4]characters!$A:$A),MATCH(N$1,[4]characters!$1:$1,0)-MATCH($J$1,[4]characters!$1:$1,0)+2),MATCH(N$1,[4]characters!$1:$1,0)-MATCH($J$1,[4]characters!$1:$1,0)+2,FALSE)</f>
        <v>ヒューマン</v>
      </c>
      <c r="O94" s="5">
        <f ca="1">VLOOKUP($J94,OFFSET([3]enemies!$A$1,0,0,COUNTA([3]enemies!$A:$A),MATCH(O$1,[3]enemies!$1:$1,0)-MATCH($J$1,[3]enemies!$1:$1,0)+1),MATCH(O$1,[3]enemies!$1:$1,0)-MATCH($J$1,[3]enemies!$1:$1,0)+1,FALSE)</f>
        <v>15</v>
      </c>
      <c r="P94" s="46">
        <v>29</v>
      </c>
      <c r="Q94" s="43">
        <v>1</v>
      </c>
      <c r="R94" s="43">
        <v>1</v>
      </c>
      <c r="S94" s="6">
        <v>0</v>
      </c>
      <c r="T94" s="5" t="str">
        <f ca="1">VLOOKUP($U94,OFFSET([5]enemy_skill_sets!$B$1,0,0,COUNTA([5]enemy_skill_sets!$B:$B),MATCH(K$1,[5]enemy_skill_sets!$1:$1,0)-MATCH($U$1,[5]enemy_skill_sets!$1:$1,0)+2),MATCH(K$1,[5]enemy_skill_sets!$1:$1,0)-MATCH($U$1,[5]enemy_skill_sets!$1:$1,0)+2,FALSE)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94" s="5">
        <f ca="1">VLOOKUP($J94,OFFSET([3]enemies!$A$1,0,0,COUNTA([3]enemies!$A:$A),MATCH(U$1,[3]enemies!$1:$1,0)-MATCH($J$1,[3]enemies!$1:$1,0)+1),MATCH(U$1,[3]enemies!$1:$1,0)-MATCH($J$1,[3]enemies!$1:$1,0)+1,FALSE)</f>
        <v>0</v>
      </c>
      <c r="V94" s="7">
        <v>2</v>
      </c>
      <c r="W94" s="7">
        <v>100</v>
      </c>
      <c r="X94" s="7">
        <v>0</v>
      </c>
      <c r="Y94" s="20">
        <f ca="1">VLOOKUP($J94,OFFSET([3]enemies!$A$1,0,0,COUNTA([3]enemies!$A:$A),MATCH(Y$1,[3]enemies!$1:$1,0)-MATCH($J$1,[3]enemies!$1:$1,0)+1),MATCH(Y$1,[3]enemies!$1:$1,0)-MATCH($J$1,[3]enemies!$1:$1,0)+1,FALSE)</f>
        <v>3</v>
      </c>
      <c r="Z94" s="31">
        <v>19</v>
      </c>
      <c r="AA94" s="5" t="str">
        <f ca="1">IFERROR(VLOOKUP($Z94,OFFSET([4]characters!$A$1,0,0,COUNTA([4]characters!$A:$A),MATCH(AA$1,[4]characters!$1:$1,0)-MATCH("character_id",[4]characters!$1:$1,0)+1),MATCH(AA$1,[4]characters!$1:$1,0)-MATCH("character_id",[4]characters!$1:$1,0)+1,FALSE),"")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94" s="5">
        <f ca="1">IFERROR(VLOOKUP($Z94,OFFSET([4]characters!$A$1,0,0,COUNTA([4]characters!$A:$A),MATCH(AB$1,[4]characters!$1:$1,0)-MATCH("character_id",[4]characters!$1:$1,0)+1),MATCH(AB$1,[4]characters!$1:$1,0)-MATCH("character_id",[4]characters!$1:$1,0)+1,FALSE),"")</f>
        <v>1</v>
      </c>
      <c r="AC94" s="5" t="str">
        <f ca="1">IFERROR(VLOOKUP($Z94,OFFSET([4]characters!$A$1,0,0,COUNTA([4]characters!$A:$A),MATCH(AC$1,[4]characters!$1:$1,0)-MATCH("character_id",[4]characters!$1:$1,0)+1),MATCH(AC$1,[4]characters!$1:$1,0)-MATCH("character_id",[4]characters!$1:$1,0)+1,FALSE),"")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94" s="36">
        <v>5</v>
      </c>
      <c r="AE94" s="37">
        <f t="shared" ca="1" si="86"/>
        <v>1</v>
      </c>
      <c r="AF94" s="7">
        <v>25</v>
      </c>
      <c r="AG94" s="36">
        <v>0</v>
      </c>
      <c r="AH94" s="36">
        <v>0</v>
      </c>
      <c r="AI94" s="36">
        <v>0</v>
      </c>
      <c r="AJ94" s="36">
        <v>0</v>
      </c>
      <c r="AK94" s="36">
        <v>1</v>
      </c>
      <c r="AL94" s="36">
        <v>1</v>
      </c>
    </row>
    <row r="95" spans="1:38" ht="21" customHeight="1" x14ac:dyDescent="0.15">
      <c r="A95" s="17" t="str">
        <f t="shared" ca="1" si="83"/>
        <v>13101_11-1/47&lt;lv29&gt;s1</v>
      </c>
      <c r="B95" s="26">
        <v>13101</v>
      </c>
      <c r="C95" s="30">
        <v>11</v>
      </c>
      <c r="D95" s="16" t="str">
        <f t="shared" si="84"/>
        <v>13101_11</v>
      </c>
      <c r="E95" s="5" t="str">
        <f ca="1">VLOOKUP($B95,OFFSET([2]quests!$A$1,0,0,COUNTA([2]quests!$A:$A),MATCH(E$1,[2]quests!$1:$1,0)-MATCH($B$1,[2]quests!$1:$1,0)+1),MATCH(E$1,[2]quests!$1:$1,0)-MATCH($B$1,[2]quests!$1:$1,0)+1,FALSE)</f>
        <v>チャレンジタワー</v>
      </c>
      <c r="F95" s="5" t="e">
        <f ca="1">VLOOKUP($D95,OFFSET([2]stages!$A$1,0,0,COUNTA([2]stages!$A:$A),MATCH(F$1,[2]stages!$1:$1,0)-MATCH($D$1,[2]stages!$1:$1,0)+1),MATCH(F$1,[2]stages!$1:$1,0)-MATCH($D$1,[2]stages!$1:$1,0)+1,FALSE)</f>
        <v>#N/A</v>
      </c>
      <c r="G95" s="33">
        <v>1</v>
      </c>
      <c r="H95" s="16" t="str">
        <f t="shared" si="85"/>
        <v>13101_11-1</v>
      </c>
      <c r="I95" s="39" t="s">
        <v>245</v>
      </c>
      <c r="J95" s="31">
        <v>47</v>
      </c>
      <c r="K95" s="20" t="str">
        <f ca="1">VLOOKUP($J95,OFFSET([3]enemies!$A$1,0,0,COUNTA([3]enemies!$A:$A),MATCH(K$1,[3]enemies!$1:$1,0)-MATCH($J$1,[3]enemies!$1:$1,0)+1),MATCH(K$1,[3]enemies!$1:$1,0)-MATCH($J$1,[3]enemies!$1:$1,0)+1,FALSE)</f>
        <v>ヒロ</v>
      </c>
      <c r="L95" s="23" t="str">
        <f ca="1">VLOOKUP($J95,OFFSET([3]enemies!$A$1,0,0,COUNTA([3]enemies!$A:$A),MATCH(L$1,[3]enemies!$1:$1,0)-MATCH($J$1,[3]enemies!$1:$1,0)+1),MATCH(L$1,[3]enemies!$1:$1,0)-MATCH($J$1,[3]enemies!$1:$1,0)+1,FALSE)</f>
        <v>yellow</v>
      </c>
      <c r="M95" s="23" t="str">
        <f ca="1">VLOOKUP($J95,OFFSET([4]characters!$A$1,0,0,COUNTA([4]characters!$A:$A),MATCH(M$1,[4]characters!$1:$1,0)-MATCH($J$1,[4]characters!$1:$1,0)+1),MATCH(M$1,[4]characters!$1:$1,0)-MATCH($J$1,[4]characters!$1:$1,0)+1,FALSE)</f>
        <v>Drop1N</v>
      </c>
      <c r="N95" s="22" t="str">
        <f ca="1">VLOOKUP($J95,OFFSET([4]characters!$A$1,0,0,COUNTA([4]characters!$A:$A),MATCH(N$1,[4]characters!$1:$1,0)-MATCH($J$1,[4]characters!$1:$1,0)+2),MATCH(N$1,[4]characters!$1:$1,0)-MATCH($J$1,[4]characters!$1:$1,0)+2,FALSE)</f>
        <v>アニマル</v>
      </c>
      <c r="O95" s="5">
        <f ca="1">VLOOKUP($J95,OFFSET([3]enemies!$A$1,0,0,COUNTA([3]enemies!$A:$A),MATCH(O$1,[3]enemies!$1:$1,0)-MATCH($J$1,[3]enemies!$1:$1,0)+1),MATCH(O$1,[3]enemies!$1:$1,0)-MATCH($J$1,[3]enemies!$1:$1,0)+1,FALSE)</f>
        <v>15</v>
      </c>
      <c r="P95" s="46">
        <v>29</v>
      </c>
      <c r="Q95" s="43">
        <v>1</v>
      </c>
      <c r="R95" s="43">
        <v>1</v>
      </c>
      <c r="S95" s="6">
        <v>0</v>
      </c>
      <c r="T95" s="5" t="str">
        <f ca="1">VLOOKUP($U95,OFFSET([5]enemy_skill_sets!$B$1,0,0,COUNTA([5]enemy_skill_sets!$B:$B),MATCH(K$1,[5]enemy_skill_sets!$1:$1,0)-MATCH($U$1,[5]enemy_skill_sets!$1:$1,0)+2),MATCH(K$1,[5]enemy_skill_sets!$1:$1,0)-MATCH($U$1,[5]enemy_skill_sets!$1:$1,0)+2,FALSE)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95" s="5">
        <f ca="1">VLOOKUP($J95,OFFSET([3]enemies!$A$1,0,0,COUNTA([3]enemies!$A:$A),MATCH(U$1,[3]enemies!$1:$1,0)-MATCH($J$1,[3]enemies!$1:$1,0)+1),MATCH(U$1,[3]enemies!$1:$1,0)-MATCH($J$1,[3]enemies!$1:$1,0)+1,FALSE)</f>
        <v>0</v>
      </c>
      <c r="V95" s="7">
        <v>1</v>
      </c>
      <c r="W95" s="7">
        <v>100</v>
      </c>
      <c r="X95" s="7">
        <v>1</v>
      </c>
      <c r="Y95" s="20">
        <f ca="1">VLOOKUP($J95,OFFSET([3]enemies!$A$1,0,0,COUNTA([3]enemies!$A:$A),MATCH(Y$1,[3]enemies!$1:$1,0)-MATCH($J$1,[3]enemies!$1:$1,0)+1),MATCH(Y$1,[3]enemies!$1:$1,0)-MATCH($J$1,[3]enemies!$1:$1,0)+1,FALSE)</f>
        <v>1</v>
      </c>
      <c r="Z95" s="31">
        <v>47</v>
      </c>
      <c r="AA95" s="5" t="str">
        <f ca="1">IFERROR(VLOOKUP($Z95,OFFSET([4]characters!$A$1,0,0,COUNTA([4]characters!$A:$A),MATCH(AA$1,[4]characters!$1:$1,0)-MATCH("character_id",[4]characters!$1:$1,0)+1),MATCH(AA$1,[4]characters!$1:$1,0)-MATCH("character_id",[4]characters!$1:$1,0)+1,FALSE),"")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95" s="5">
        <f ca="1">IFERROR(VLOOKUP($Z95,OFFSET([4]characters!$A$1,0,0,COUNTA([4]characters!$A:$A),MATCH(AB$1,[4]characters!$1:$1,0)-MATCH("character_id",[4]characters!$1:$1,0)+1),MATCH(AB$1,[4]characters!$1:$1,0)-MATCH("character_id",[4]characters!$1:$1,0)+1,FALSE),"")</f>
        <v>2</v>
      </c>
      <c r="AC95" s="5" t="str">
        <f ca="1">IFERROR(VLOOKUP($Z95,OFFSET([4]characters!$A$1,0,0,COUNTA([4]characters!$A:$A),MATCH(AC$1,[4]characters!$1:$1,0)-MATCH("character_id",[4]characters!$1:$1,0)+1),MATCH(AC$1,[4]characters!$1:$1,0)-MATCH("character_id",[4]characters!$1:$1,0)+1,FALSE),"")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95" s="36">
        <v>1</v>
      </c>
      <c r="AE95" s="37">
        <f t="shared" ca="1" si="86"/>
        <v>2</v>
      </c>
      <c r="AF95" s="7">
        <v>25</v>
      </c>
      <c r="AG95" s="36">
        <v>0</v>
      </c>
      <c r="AH95" s="36">
        <v>0</v>
      </c>
      <c r="AI95" s="36">
        <v>0</v>
      </c>
      <c r="AJ95" s="36">
        <v>0</v>
      </c>
      <c r="AK95" s="36">
        <v>1</v>
      </c>
      <c r="AL95" s="36">
        <v>1</v>
      </c>
    </row>
    <row r="96" spans="1:38" ht="21" customHeight="1" x14ac:dyDescent="0.15">
      <c r="A96" s="17" t="str">
        <f t="shared" ca="1" si="83"/>
        <v>13101_11-2/19&lt;lv29&gt;s3</v>
      </c>
      <c r="B96" s="26">
        <v>13101</v>
      </c>
      <c r="C96" s="30">
        <v>11</v>
      </c>
      <c r="D96" s="16" t="str">
        <f t="shared" si="84"/>
        <v>13101_11</v>
      </c>
      <c r="E96" s="5" t="str">
        <f ca="1">VLOOKUP($B96,OFFSET([2]quests!$A$1,0,0,COUNTA([2]quests!$A:$A),MATCH(E$1,[2]quests!$1:$1,0)-MATCH($B$1,[2]quests!$1:$1,0)+1),MATCH(E$1,[2]quests!$1:$1,0)-MATCH($B$1,[2]quests!$1:$1,0)+1,FALSE)</f>
        <v>チャレンジタワー</v>
      </c>
      <c r="F96" s="5" t="e">
        <f ca="1">VLOOKUP($D96,OFFSET([2]stages!$A$1,0,0,COUNTA([2]stages!$A:$A),MATCH(F$1,[2]stages!$1:$1,0)-MATCH($D$1,[2]stages!$1:$1,0)+1),MATCH(F$1,[2]stages!$1:$1,0)-MATCH($D$1,[2]stages!$1:$1,0)+1,FALSE)</f>
        <v>#N/A</v>
      </c>
      <c r="G96" s="33">
        <v>2</v>
      </c>
      <c r="H96" s="16" t="str">
        <f t="shared" si="85"/>
        <v>13101_11-2</v>
      </c>
      <c r="I96" s="39" t="s">
        <v>245</v>
      </c>
      <c r="J96" s="31">
        <v>19</v>
      </c>
      <c r="K96" s="20" t="str">
        <f ca="1">VLOOKUP($J96,OFFSET([3]enemies!$A$1,0,0,COUNTA([3]enemies!$A:$A),MATCH(K$1,[3]enemies!$1:$1,0)-MATCH($J$1,[3]enemies!$1:$1,0)+1),MATCH(K$1,[3]enemies!$1:$1,0)-MATCH($J$1,[3]enemies!$1:$1,0)+1,FALSE)</f>
        <v>ティンク</v>
      </c>
      <c r="L96" s="23" t="str">
        <f ca="1">VLOOKUP($J96,OFFSET([3]enemies!$A$1,0,0,COUNTA([3]enemies!$A:$A),MATCH(L$1,[3]enemies!$1:$1,0)-MATCH($J$1,[3]enemies!$1:$1,0)+1),MATCH(L$1,[3]enemies!$1:$1,0)-MATCH($J$1,[3]enemies!$1:$1,0)+1,FALSE)</f>
        <v>yellow</v>
      </c>
      <c r="M96" s="23" t="str">
        <f ca="1">VLOOKUP($J96,OFFSET([4]characters!$A$1,0,0,COUNTA([4]characters!$A:$A),MATCH(M$1,[4]characters!$1:$1,0)-MATCH($J$1,[4]characters!$1:$1,0)+1),MATCH(M$1,[4]characters!$1:$1,0)-MATCH($J$1,[4]characters!$1:$1,0)+1,FALSE)</f>
        <v>Drop1W</v>
      </c>
      <c r="N96" s="22" t="str">
        <f ca="1">VLOOKUP($J96,OFFSET([4]characters!$A$1,0,0,COUNTA([4]characters!$A:$A),MATCH(N$1,[4]characters!$1:$1,0)-MATCH($J$1,[4]characters!$1:$1,0)+2),MATCH(N$1,[4]characters!$1:$1,0)-MATCH($J$1,[4]characters!$1:$1,0)+2,FALSE)</f>
        <v>ヒューマン</v>
      </c>
      <c r="O96" s="5">
        <f ca="1">VLOOKUP($J96,OFFSET([3]enemies!$A$1,0,0,COUNTA([3]enemies!$A:$A),MATCH(O$1,[3]enemies!$1:$1,0)-MATCH($J$1,[3]enemies!$1:$1,0)+1),MATCH(O$1,[3]enemies!$1:$1,0)-MATCH($J$1,[3]enemies!$1:$1,0)+1,FALSE)</f>
        <v>15</v>
      </c>
      <c r="P96" s="46">
        <v>29</v>
      </c>
      <c r="Q96" s="43">
        <v>1</v>
      </c>
      <c r="R96" s="43">
        <v>1</v>
      </c>
      <c r="S96" s="6">
        <v>0</v>
      </c>
      <c r="T96" s="5" t="str">
        <f ca="1">VLOOKUP($U96,OFFSET([5]enemy_skill_sets!$B$1,0,0,COUNTA([5]enemy_skill_sets!$B:$B),MATCH(K$1,[5]enemy_skill_sets!$1:$1,0)-MATCH($U$1,[5]enemy_skill_sets!$1:$1,0)+2),MATCH(K$1,[5]enemy_skill_sets!$1:$1,0)-MATCH($U$1,[5]enemy_skill_sets!$1:$1,0)+2,FALSE)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96" s="5">
        <f ca="1">VLOOKUP($J96,OFFSET([3]enemies!$A$1,0,0,COUNTA([3]enemies!$A:$A),MATCH(U$1,[3]enemies!$1:$1,0)-MATCH($J$1,[3]enemies!$1:$1,0)+1),MATCH(U$1,[3]enemies!$1:$1,0)-MATCH($J$1,[3]enemies!$1:$1,0)+1,FALSE)</f>
        <v>0</v>
      </c>
      <c r="V96" s="7">
        <v>0</v>
      </c>
      <c r="W96" s="7">
        <v>100</v>
      </c>
      <c r="X96" s="7">
        <v>0</v>
      </c>
      <c r="Y96" s="20">
        <f ca="1">VLOOKUP($J96,OFFSET([3]enemies!$A$1,0,0,COUNTA([3]enemies!$A:$A),MATCH(Y$1,[3]enemies!$1:$1,0)-MATCH($J$1,[3]enemies!$1:$1,0)+1),MATCH(Y$1,[3]enemies!$1:$1,0)-MATCH($J$1,[3]enemies!$1:$1,0)+1,FALSE)</f>
        <v>3</v>
      </c>
      <c r="Z96" s="31">
        <v>19</v>
      </c>
      <c r="AA96" s="5" t="str">
        <f ca="1">IFERROR(VLOOKUP($Z96,OFFSET([4]characters!$A$1,0,0,COUNTA([4]characters!$A:$A),MATCH(AA$1,[4]characters!$1:$1,0)-MATCH("character_id",[4]characters!$1:$1,0)+1),MATCH(AA$1,[4]characters!$1:$1,0)-MATCH("character_id",[4]characters!$1:$1,0)+1,FALSE),"")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96" s="5">
        <f ca="1">IFERROR(VLOOKUP($Z96,OFFSET([4]characters!$A$1,0,0,COUNTA([4]characters!$A:$A),MATCH(AB$1,[4]characters!$1:$1,0)-MATCH("character_id",[4]characters!$1:$1,0)+1),MATCH(AB$1,[4]characters!$1:$1,0)-MATCH("character_id",[4]characters!$1:$1,0)+1,FALSE),"")</f>
        <v>1</v>
      </c>
      <c r="AC96" s="5" t="str">
        <f ca="1">IFERROR(VLOOKUP($Z96,OFFSET([4]characters!$A$1,0,0,COUNTA([4]characters!$A:$A),MATCH(AC$1,[4]characters!$1:$1,0)-MATCH("character_id",[4]characters!$1:$1,0)+1),MATCH(AC$1,[4]characters!$1:$1,0)-MATCH("character_id",[4]characters!$1:$1,0)+1,FALSE),"")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96" s="36">
        <v>5</v>
      </c>
      <c r="AE96" s="37">
        <f t="shared" ca="1" si="86"/>
        <v>1</v>
      </c>
      <c r="AF96" s="7">
        <v>25</v>
      </c>
      <c r="AG96" s="36">
        <v>0</v>
      </c>
      <c r="AH96" s="36">
        <v>0</v>
      </c>
      <c r="AI96" s="36">
        <v>0</v>
      </c>
      <c r="AJ96" s="36">
        <v>0</v>
      </c>
      <c r="AK96" s="36">
        <v>1</v>
      </c>
      <c r="AL96" s="36">
        <v>1</v>
      </c>
    </row>
    <row r="97" spans="1:38" ht="21" customHeight="1" x14ac:dyDescent="0.15">
      <c r="A97" s="17" t="str">
        <f t="shared" ca="1" si="83"/>
        <v>13101_11-2/47&lt;lv29&gt;s1</v>
      </c>
      <c r="B97" s="26">
        <v>13101</v>
      </c>
      <c r="C97" s="30">
        <v>11</v>
      </c>
      <c r="D97" s="16" t="str">
        <f t="shared" si="84"/>
        <v>13101_11</v>
      </c>
      <c r="E97" s="5" t="str">
        <f ca="1">VLOOKUP($B97,OFFSET([2]quests!$A$1,0,0,COUNTA([2]quests!$A:$A),MATCH(E$1,[2]quests!$1:$1,0)-MATCH($B$1,[2]quests!$1:$1,0)+1),MATCH(E$1,[2]quests!$1:$1,0)-MATCH($B$1,[2]quests!$1:$1,0)+1,FALSE)</f>
        <v>チャレンジタワー</v>
      </c>
      <c r="F97" s="5" t="e">
        <f ca="1">VLOOKUP($D97,OFFSET([2]stages!$A$1,0,0,COUNTA([2]stages!$A:$A),MATCH(F$1,[2]stages!$1:$1,0)-MATCH($D$1,[2]stages!$1:$1,0)+1),MATCH(F$1,[2]stages!$1:$1,0)-MATCH($D$1,[2]stages!$1:$1,0)+1,FALSE)</f>
        <v>#N/A</v>
      </c>
      <c r="G97" s="33">
        <v>2</v>
      </c>
      <c r="H97" s="16" t="str">
        <f t="shared" si="85"/>
        <v>13101_11-2</v>
      </c>
      <c r="I97" s="39" t="s">
        <v>245</v>
      </c>
      <c r="J97" s="31">
        <v>47</v>
      </c>
      <c r="K97" s="20" t="str">
        <f ca="1">VLOOKUP($J97,OFFSET([3]enemies!$A$1,0,0,COUNTA([3]enemies!$A:$A),MATCH(K$1,[3]enemies!$1:$1,0)-MATCH($J$1,[3]enemies!$1:$1,0)+1),MATCH(K$1,[3]enemies!$1:$1,0)-MATCH($J$1,[3]enemies!$1:$1,0)+1,FALSE)</f>
        <v>ヒロ</v>
      </c>
      <c r="L97" s="23" t="str">
        <f ca="1">VLOOKUP($J97,OFFSET([3]enemies!$A$1,0,0,COUNTA([3]enemies!$A:$A),MATCH(L$1,[3]enemies!$1:$1,0)-MATCH($J$1,[3]enemies!$1:$1,0)+1),MATCH(L$1,[3]enemies!$1:$1,0)-MATCH($J$1,[3]enemies!$1:$1,0)+1,FALSE)</f>
        <v>yellow</v>
      </c>
      <c r="M97" s="23" t="str">
        <f ca="1">VLOOKUP($J97,OFFSET([4]characters!$A$1,0,0,COUNTA([4]characters!$A:$A),MATCH(M$1,[4]characters!$1:$1,0)-MATCH($J$1,[4]characters!$1:$1,0)+1),MATCH(M$1,[4]characters!$1:$1,0)-MATCH($J$1,[4]characters!$1:$1,0)+1,FALSE)</f>
        <v>Drop1N</v>
      </c>
      <c r="N97" s="22" t="str">
        <f ca="1">VLOOKUP($J97,OFFSET([4]characters!$A$1,0,0,COUNTA([4]characters!$A:$A),MATCH(N$1,[4]characters!$1:$1,0)-MATCH($J$1,[4]characters!$1:$1,0)+2),MATCH(N$1,[4]characters!$1:$1,0)-MATCH($J$1,[4]characters!$1:$1,0)+2,FALSE)</f>
        <v>アニマル</v>
      </c>
      <c r="O97" s="5">
        <f ca="1">VLOOKUP($J97,OFFSET([3]enemies!$A$1,0,0,COUNTA([3]enemies!$A:$A),MATCH(O$1,[3]enemies!$1:$1,0)-MATCH($J$1,[3]enemies!$1:$1,0)+1),MATCH(O$1,[3]enemies!$1:$1,0)-MATCH($J$1,[3]enemies!$1:$1,0)+1,FALSE)</f>
        <v>15</v>
      </c>
      <c r="P97" s="46">
        <v>29</v>
      </c>
      <c r="Q97" s="43">
        <v>1</v>
      </c>
      <c r="R97" s="43">
        <v>1</v>
      </c>
      <c r="S97" s="6">
        <v>0</v>
      </c>
      <c r="T97" s="5" t="str">
        <f ca="1">VLOOKUP($U97,OFFSET([5]enemy_skill_sets!$B$1,0,0,COUNTA([5]enemy_skill_sets!$B:$B),MATCH(K$1,[5]enemy_skill_sets!$1:$1,0)-MATCH($U$1,[5]enemy_skill_sets!$1:$1,0)+2),MATCH(K$1,[5]enemy_skill_sets!$1:$1,0)-MATCH($U$1,[5]enemy_skill_sets!$1:$1,0)+2,FALSE)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97" s="5">
        <f ca="1">VLOOKUP($J97,OFFSET([3]enemies!$A$1,0,0,COUNTA([3]enemies!$A:$A),MATCH(U$1,[3]enemies!$1:$1,0)-MATCH($J$1,[3]enemies!$1:$1,0)+1),MATCH(U$1,[3]enemies!$1:$1,0)-MATCH($J$1,[3]enemies!$1:$1,0)+1,FALSE)</f>
        <v>0</v>
      </c>
      <c r="V97" s="7">
        <v>0</v>
      </c>
      <c r="W97" s="7">
        <v>100</v>
      </c>
      <c r="X97" s="7">
        <v>0</v>
      </c>
      <c r="Y97" s="20">
        <f ca="1">VLOOKUP($J97,OFFSET([3]enemies!$A$1,0,0,COUNTA([3]enemies!$A:$A),MATCH(Y$1,[3]enemies!$1:$1,0)-MATCH($J$1,[3]enemies!$1:$1,0)+1),MATCH(Y$1,[3]enemies!$1:$1,0)-MATCH($J$1,[3]enemies!$1:$1,0)+1,FALSE)</f>
        <v>1</v>
      </c>
      <c r="Z97" s="31">
        <v>47</v>
      </c>
      <c r="AA97" s="5" t="str">
        <f ca="1">IFERROR(VLOOKUP($Z97,OFFSET([4]characters!$A$1,0,0,COUNTA([4]characters!$A:$A),MATCH(AA$1,[4]characters!$1:$1,0)-MATCH("character_id",[4]characters!$1:$1,0)+1),MATCH(AA$1,[4]characters!$1:$1,0)-MATCH("character_id",[4]characters!$1:$1,0)+1,FALSE),"")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97" s="5">
        <f ca="1">IFERROR(VLOOKUP($Z97,OFFSET([4]characters!$A$1,0,0,COUNTA([4]characters!$A:$A),MATCH(AB$1,[4]characters!$1:$1,0)-MATCH("character_id",[4]characters!$1:$1,0)+1),MATCH(AB$1,[4]characters!$1:$1,0)-MATCH("character_id",[4]characters!$1:$1,0)+1,FALSE),"")</f>
        <v>2</v>
      </c>
      <c r="AC97" s="5" t="str">
        <f ca="1">IFERROR(VLOOKUP($Z97,OFFSET([4]characters!$A$1,0,0,COUNTA([4]characters!$A:$A),MATCH(AC$1,[4]characters!$1:$1,0)-MATCH("character_id",[4]characters!$1:$1,0)+1),MATCH(AC$1,[4]characters!$1:$1,0)-MATCH("character_id",[4]characters!$1:$1,0)+1,FALSE),"")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97" s="36">
        <v>3</v>
      </c>
      <c r="AE97" s="37">
        <f t="shared" ca="1" si="86"/>
        <v>2</v>
      </c>
      <c r="AF97" s="7">
        <v>25</v>
      </c>
      <c r="AG97" s="36">
        <v>0</v>
      </c>
      <c r="AH97" s="36">
        <v>0</v>
      </c>
      <c r="AI97" s="36">
        <v>0</v>
      </c>
      <c r="AJ97" s="36">
        <v>0</v>
      </c>
      <c r="AK97" s="36">
        <v>1</v>
      </c>
      <c r="AL97" s="36">
        <v>1</v>
      </c>
    </row>
    <row r="98" spans="1:38" ht="21" customHeight="1" x14ac:dyDescent="0.15">
      <c r="A98" s="17" t="str">
        <f t="shared" ca="1" si="83"/>
        <v>13101_11-2/63&lt;lv29&gt;s2</v>
      </c>
      <c r="B98" s="26">
        <v>13101</v>
      </c>
      <c r="C98" s="30">
        <v>11</v>
      </c>
      <c r="D98" s="16" t="str">
        <f t="shared" si="84"/>
        <v>13101_11</v>
      </c>
      <c r="E98" s="5" t="str">
        <f ca="1">VLOOKUP($B98,OFFSET([2]quests!$A$1,0,0,COUNTA([2]quests!$A:$A),MATCH(E$1,[2]quests!$1:$1,0)-MATCH($B$1,[2]quests!$1:$1,0)+1),MATCH(E$1,[2]quests!$1:$1,0)-MATCH($B$1,[2]quests!$1:$1,0)+1,FALSE)</f>
        <v>チャレンジタワー</v>
      </c>
      <c r="F98" s="5" t="e">
        <f ca="1">VLOOKUP($D98,OFFSET([2]stages!$A$1,0,0,COUNTA([2]stages!$A:$A),MATCH(F$1,[2]stages!$1:$1,0)-MATCH($D$1,[2]stages!$1:$1,0)+1),MATCH(F$1,[2]stages!$1:$1,0)-MATCH($D$1,[2]stages!$1:$1,0)+1,FALSE)</f>
        <v>#N/A</v>
      </c>
      <c r="G98" s="33">
        <v>2</v>
      </c>
      <c r="H98" s="16" t="str">
        <f t="shared" si="85"/>
        <v>13101_11-2</v>
      </c>
      <c r="I98" s="39" t="s">
        <v>245</v>
      </c>
      <c r="J98" s="31">
        <v>63</v>
      </c>
      <c r="K98" s="20" t="str">
        <f ca="1">VLOOKUP($J98,OFFSET([3]enemies!$A$1,0,0,COUNTA([3]enemies!$A:$A),MATCH(K$1,[3]enemies!$1:$1,0)-MATCH($J$1,[3]enemies!$1:$1,0)+1),MATCH(K$1,[3]enemies!$1:$1,0)-MATCH($J$1,[3]enemies!$1:$1,0)+1,FALSE)</f>
        <v>トニー</v>
      </c>
      <c r="L98" s="23" t="str">
        <f ca="1">VLOOKUP($J98,OFFSET([3]enemies!$A$1,0,0,COUNTA([3]enemies!$A:$A),MATCH(L$1,[3]enemies!$1:$1,0)-MATCH($J$1,[3]enemies!$1:$1,0)+1),MATCH(L$1,[3]enemies!$1:$1,0)-MATCH($J$1,[3]enemies!$1:$1,0)+1,FALSE)</f>
        <v>yellow</v>
      </c>
      <c r="M98" s="23" t="str">
        <f ca="1">VLOOKUP($J98,OFFSET([4]characters!$A$1,0,0,COUNTA([4]characters!$A:$A),MATCH(M$1,[4]characters!$1:$1,0)-MATCH($J$1,[4]characters!$1:$1,0)+1),MATCH(M$1,[4]characters!$1:$1,0)-MATCH($J$1,[4]characters!$1:$1,0)+1,FALSE)</f>
        <v>Drop1N</v>
      </c>
      <c r="N98" s="22" t="str">
        <f ca="1">VLOOKUP($J98,OFFSET([4]characters!$A$1,0,0,COUNTA([4]characters!$A:$A),MATCH(N$1,[4]characters!$1:$1,0)-MATCH($J$1,[4]characters!$1:$1,0)+2),MATCH(N$1,[4]characters!$1:$1,0)-MATCH($J$1,[4]characters!$1:$1,0)+2,FALSE)</f>
        <v>アニマル</v>
      </c>
      <c r="O98" s="5">
        <f ca="1">VLOOKUP($J98,OFFSET([3]enemies!$A$1,0,0,COUNTA([3]enemies!$A:$A),MATCH(O$1,[3]enemies!$1:$1,0)-MATCH($J$1,[3]enemies!$1:$1,0)+1),MATCH(O$1,[3]enemies!$1:$1,0)-MATCH($J$1,[3]enemies!$1:$1,0)+1,FALSE)</f>
        <v>15</v>
      </c>
      <c r="P98" s="46">
        <v>29</v>
      </c>
      <c r="Q98" s="43">
        <v>1</v>
      </c>
      <c r="R98" s="43">
        <v>1</v>
      </c>
      <c r="S98" s="6">
        <v>0</v>
      </c>
      <c r="T98" s="5" t="str">
        <f ca="1">VLOOKUP($U98,OFFSET([5]enemy_skill_sets!$B$1,0,0,COUNTA([5]enemy_skill_sets!$B:$B),MATCH(K$1,[5]enemy_skill_sets!$1:$1,0)-MATCH($U$1,[5]enemy_skill_sets!$1:$1,0)+2),MATCH(K$1,[5]enemy_skill_sets!$1:$1,0)-MATCH($U$1,[5]enemy_skill_sets!$1:$1,0)+2,FALSE)</f>
        <v>2回連続攻撃</v>
      </c>
      <c r="U98" s="5">
        <f ca="1">VLOOKUP($J98,OFFSET([3]enemies!$A$1,0,0,COUNTA([3]enemies!$A:$A),MATCH(U$1,[3]enemies!$1:$1,0)-MATCH($J$1,[3]enemies!$1:$1,0)+1),MATCH(U$1,[3]enemies!$1:$1,0)-MATCH($J$1,[3]enemies!$1:$1,0)+1,FALSE)</f>
        <v>63</v>
      </c>
      <c r="V98" s="7">
        <v>1</v>
      </c>
      <c r="W98" s="7">
        <v>100</v>
      </c>
      <c r="X98" s="7">
        <v>0</v>
      </c>
      <c r="Y98" s="20">
        <f ca="1">VLOOKUP($J98,OFFSET([3]enemies!$A$1,0,0,COUNTA([3]enemies!$A:$A),MATCH(Y$1,[3]enemies!$1:$1,0)-MATCH($J$1,[3]enemies!$1:$1,0)+1),MATCH(Y$1,[3]enemies!$1:$1,0)-MATCH($J$1,[3]enemies!$1:$1,0)+1,FALSE)</f>
        <v>2</v>
      </c>
      <c r="Z98" s="31">
        <v>63</v>
      </c>
      <c r="AA98" s="5" t="str">
        <f ca="1">IFERROR(VLOOKUP($Z98,OFFSET([4]characters!$A$1,0,0,COUNTA([4]characters!$A:$A),MATCH(AA$1,[4]characters!$1:$1,0)-MATCH("character_id",[4]characters!$1:$1,0)+1),MATCH(AA$1,[4]characters!$1:$1,0)-MATCH("character_id",[4]characters!$1:$1,0)+1,FALSE),"")</f>
        <v>トニー</v>
      </c>
      <c r="AB98" s="5">
        <f ca="1">IFERROR(VLOOKUP($Z98,OFFSET([4]characters!$A$1,0,0,COUNTA([4]characters!$A:$A),MATCH(AB$1,[4]characters!$1:$1,0)-MATCH("character_id",[4]characters!$1:$1,0)+1),MATCH(AB$1,[4]characters!$1:$1,0)-MATCH("character_id",[4]characters!$1:$1,0)+1,FALSE),"")</f>
        <v>2</v>
      </c>
      <c r="AC98" s="5" t="str">
        <f ca="1">IFERROR(VLOOKUP($Z98,OFFSET([4]characters!$A$1,0,0,COUNTA([4]characters!$A:$A),MATCH(AC$1,[4]characters!$1:$1,0)-MATCH("character_id",[4]characters!$1:$1,0)+1),MATCH(AC$1,[4]characters!$1:$1,0)-MATCH("character_id",[4]characters!$1:$1,0)+1,FALSE),"")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98" s="36">
        <v>3</v>
      </c>
      <c r="AE98" s="37">
        <f t="shared" ca="1" si="86"/>
        <v>2</v>
      </c>
      <c r="AF98" s="7">
        <v>25</v>
      </c>
      <c r="AG98" s="36">
        <v>0</v>
      </c>
      <c r="AH98" s="36">
        <v>0</v>
      </c>
      <c r="AI98" s="36">
        <v>0</v>
      </c>
      <c r="AJ98" s="36">
        <v>0</v>
      </c>
      <c r="AK98" s="36">
        <v>1</v>
      </c>
      <c r="AL98" s="36">
        <v>1</v>
      </c>
    </row>
    <row r="99" spans="1:38" ht="21" customHeight="1" x14ac:dyDescent="0.15">
      <c r="A99" s="17" t="str">
        <f t="shared" ca="1" si="83"/>
        <v>13101_11-3/13&lt;lv29&gt;s2</v>
      </c>
      <c r="B99" s="26">
        <v>13101</v>
      </c>
      <c r="C99" s="30">
        <v>11</v>
      </c>
      <c r="D99" s="16" t="str">
        <f t="shared" si="84"/>
        <v>13101_11</v>
      </c>
      <c r="E99" s="5" t="str">
        <f ca="1">VLOOKUP($B99,OFFSET([2]quests!$A$1,0,0,COUNTA([2]quests!$A:$A),MATCH(E$1,[2]quests!$1:$1,0)-MATCH($B$1,[2]quests!$1:$1,0)+1),MATCH(E$1,[2]quests!$1:$1,0)-MATCH($B$1,[2]quests!$1:$1,0)+1,FALSE)</f>
        <v>チャレンジタワー</v>
      </c>
      <c r="F99" s="5" t="e">
        <f ca="1">VLOOKUP($D99,OFFSET([2]stages!$A$1,0,0,COUNTA([2]stages!$A:$A),MATCH(F$1,[2]stages!$1:$1,0)-MATCH($D$1,[2]stages!$1:$1,0)+1),MATCH(F$1,[2]stages!$1:$1,0)-MATCH($D$1,[2]stages!$1:$1,0)+1,FALSE)</f>
        <v>#N/A</v>
      </c>
      <c r="G99" s="33">
        <v>3</v>
      </c>
      <c r="H99" s="16" t="str">
        <f t="shared" si="85"/>
        <v>13101_11-3</v>
      </c>
      <c r="I99" s="39" t="s">
        <v>245</v>
      </c>
      <c r="J99" s="31">
        <v>13</v>
      </c>
      <c r="K99" s="20" t="str">
        <f ca="1">VLOOKUP($J99,OFFSET([3]enemies!$A$1,0,0,COUNTA([3]enemies!$A:$A),MATCH(K$1,[3]enemies!$1:$1,0)-MATCH($J$1,[3]enemies!$1:$1,0)+1),MATCH(K$1,[3]enemies!$1:$1,0)-MATCH($J$1,[3]enemies!$1:$1,0)+1,FALSE)</f>
        <v>ミミ</v>
      </c>
      <c r="L99" s="23" t="str">
        <f ca="1">VLOOKUP($J99,OFFSET([3]enemies!$A$1,0,0,COUNTA([3]enemies!$A:$A),MATCH(L$1,[3]enemies!$1:$1,0)-MATCH($J$1,[3]enemies!$1:$1,0)+1),MATCH(L$1,[3]enemies!$1:$1,0)-MATCH($J$1,[3]enemies!$1:$1,0)+1,FALSE)</f>
        <v>yellow</v>
      </c>
      <c r="M99" s="23" t="str">
        <f ca="1">VLOOKUP($J99,OFFSET([4]characters!$A$1,0,0,COUNTA([4]characters!$A:$A),MATCH(M$1,[4]characters!$1:$1,0)-MATCH($J$1,[4]characters!$1:$1,0)+1),MATCH(M$1,[4]characters!$1:$1,0)-MATCH($J$1,[4]characters!$1:$1,0)+1,FALSE)</f>
        <v>Drop1W</v>
      </c>
      <c r="N99" s="22" t="str">
        <f ca="1">VLOOKUP($J99,OFFSET([4]characters!$A$1,0,0,COUNTA([4]characters!$A:$A),MATCH(N$1,[4]characters!$1:$1,0)-MATCH($J$1,[4]characters!$1:$1,0)+2),MATCH(N$1,[4]characters!$1:$1,0)-MATCH($J$1,[4]characters!$1:$1,0)+2,FALSE)</f>
        <v>アニマル</v>
      </c>
      <c r="O99" s="5">
        <f ca="1">VLOOKUP($J99,OFFSET([3]enemies!$A$1,0,0,COUNTA([3]enemies!$A:$A),MATCH(O$1,[3]enemies!$1:$1,0)-MATCH($J$1,[3]enemies!$1:$1,0)+1),MATCH(O$1,[3]enemies!$1:$1,0)-MATCH($J$1,[3]enemies!$1:$1,0)+1,FALSE)</f>
        <v>15</v>
      </c>
      <c r="P99" s="46">
        <v>29</v>
      </c>
      <c r="Q99" s="43">
        <v>1</v>
      </c>
      <c r="R99" s="43">
        <v>1</v>
      </c>
      <c r="S99" s="6">
        <v>0</v>
      </c>
      <c r="T99" s="5" t="str">
        <f ca="1">VLOOKUP($U99,OFFSET([5]enemy_skill_sets!$B$1,0,0,COUNTA([5]enemy_skill_sets!$B:$B),MATCH(K$1,[5]enemy_skill_sets!$1:$1,0)-MATCH($U$1,[5]enemy_skill_sets!$1:$1,0)+2),MATCH(K$1,[5]enemy_skill_sets!$1:$1,0)-MATCH($U$1,[5]enemy_skill_sets!$1:$1,0)+2,FALSE)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99" s="5">
        <f ca="1">VLOOKUP($J99,OFFSET([3]enemies!$A$1,0,0,COUNTA([3]enemies!$A:$A),MATCH(U$1,[3]enemies!$1:$1,0)-MATCH($J$1,[3]enemies!$1:$1,0)+1),MATCH(U$1,[3]enemies!$1:$1,0)-MATCH($J$1,[3]enemies!$1:$1,0)+1,FALSE)</f>
        <v>0</v>
      </c>
      <c r="V99" s="7">
        <v>0</v>
      </c>
      <c r="W99" s="7">
        <v>100</v>
      </c>
      <c r="X99" s="7">
        <v>0</v>
      </c>
      <c r="Y99" s="20">
        <f ca="1">VLOOKUP($J99,OFFSET([3]enemies!$A$1,0,0,COUNTA([3]enemies!$A:$A),MATCH(Y$1,[3]enemies!$1:$1,0)-MATCH($J$1,[3]enemies!$1:$1,0)+1),MATCH(Y$1,[3]enemies!$1:$1,0)-MATCH($J$1,[3]enemies!$1:$1,0)+1,FALSE)</f>
        <v>2</v>
      </c>
      <c r="Z99" s="31">
        <v>13</v>
      </c>
      <c r="AA99" s="5" t="str">
        <f ca="1">IFERROR(VLOOKUP($Z99,OFFSET([4]characters!$A$1,0,0,COUNTA([4]characters!$A:$A),MATCH(AA$1,[4]characters!$1:$1,0)-MATCH("character_id",[4]characters!$1:$1,0)+1),MATCH(AA$1,[4]characters!$1:$1,0)-MATCH("character_id",[4]characters!$1:$1,0)+1,FALSE),"")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99" s="5">
        <f ca="1">IFERROR(VLOOKUP($Z99,OFFSET([4]characters!$A$1,0,0,COUNTA([4]characters!$A:$A),MATCH(AB$1,[4]characters!$1:$1,0)-MATCH("character_id",[4]characters!$1:$1,0)+1),MATCH(AB$1,[4]characters!$1:$1,0)-MATCH("character_id",[4]characters!$1:$1,0)+1,FALSE),"")</f>
        <v>1</v>
      </c>
      <c r="AC99" s="5" t="str">
        <f ca="1">IFERROR(VLOOKUP($Z99,OFFSET([4]characters!$A$1,0,0,COUNTA([4]characters!$A:$A),MATCH(AC$1,[4]characters!$1:$1,0)-MATCH("character_id",[4]characters!$1:$1,0)+1),MATCH(AC$1,[4]characters!$1:$1,0)-MATCH("character_id",[4]characters!$1:$1,0)+1,FALSE),"")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99" s="36">
        <v>5</v>
      </c>
      <c r="AE99" s="37">
        <f t="shared" ca="1" si="86"/>
        <v>1</v>
      </c>
      <c r="AF99" s="7">
        <v>25</v>
      </c>
      <c r="AG99" s="36">
        <v>0</v>
      </c>
      <c r="AH99" s="36">
        <v>0</v>
      </c>
      <c r="AI99" s="36">
        <v>0</v>
      </c>
      <c r="AJ99" s="36">
        <v>0</v>
      </c>
      <c r="AK99" s="36">
        <v>1</v>
      </c>
      <c r="AL99" s="36">
        <v>1</v>
      </c>
    </row>
    <row r="100" spans="1:38" ht="21" customHeight="1" x14ac:dyDescent="0.15">
      <c r="A100" s="17" t="str">
        <f t="shared" ca="1" si="83"/>
        <v>13101_11-3/19&lt;lv29&gt;s3</v>
      </c>
      <c r="B100" s="26">
        <v>13101</v>
      </c>
      <c r="C100" s="30">
        <v>11</v>
      </c>
      <c r="D100" s="16" t="str">
        <f t="shared" si="84"/>
        <v>13101_11</v>
      </c>
      <c r="E100" s="5" t="str">
        <f ca="1">VLOOKUP($B100,OFFSET([2]quests!$A$1,0,0,COUNTA([2]quests!$A:$A),MATCH(E$1,[2]quests!$1:$1,0)-MATCH($B$1,[2]quests!$1:$1,0)+1),MATCH(E$1,[2]quests!$1:$1,0)-MATCH($B$1,[2]quests!$1:$1,0)+1,FALSE)</f>
        <v>チャレンジタワー</v>
      </c>
      <c r="F100" s="5" t="e">
        <f ca="1">VLOOKUP($D100,OFFSET([2]stages!$A$1,0,0,COUNTA([2]stages!$A:$A),MATCH(F$1,[2]stages!$1:$1,0)-MATCH($D$1,[2]stages!$1:$1,0)+1),MATCH(F$1,[2]stages!$1:$1,0)-MATCH($D$1,[2]stages!$1:$1,0)+1,FALSE)</f>
        <v>#N/A</v>
      </c>
      <c r="G100" s="33">
        <v>3</v>
      </c>
      <c r="H100" s="16" t="str">
        <f t="shared" si="85"/>
        <v>13101_11-3</v>
      </c>
      <c r="I100" s="39" t="s">
        <v>245</v>
      </c>
      <c r="J100" s="31">
        <v>19</v>
      </c>
      <c r="K100" s="20" t="str">
        <f ca="1">VLOOKUP($J100,OFFSET([3]enemies!$A$1,0,0,COUNTA([3]enemies!$A:$A),MATCH(K$1,[3]enemies!$1:$1,0)-MATCH($J$1,[3]enemies!$1:$1,0)+1),MATCH(K$1,[3]enemies!$1:$1,0)-MATCH($J$1,[3]enemies!$1:$1,0)+1,FALSE)</f>
        <v>ティンク</v>
      </c>
      <c r="L100" s="23" t="str">
        <f ca="1">VLOOKUP($J100,OFFSET([3]enemies!$A$1,0,0,COUNTA([3]enemies!$A:$A),MATCH(L$1,[3]enemies!$1:$1,0)-MATCH($J$1,[3]enemies!$1:$1,0)+1),MATCH(L$1,[3]enemies!$1:$1,0)-MATCH($J$1,[3]enemies!$1:$1,0)+1,FALSE)</f>
        <v>yellow</v>
      </c>
      <c r="M100" s="23" t="str">
        <f ca="1">VLOOKUP($J100,OFFSET([4]characters!$A$1,0,0,COUNTA([4]characters!$A:$A),MATCH(M$1,[4]characters!$1:$1,0)-MATCH($J$1,[4]characters!$1:$1,0)+1),MATCH(M$1,[4]characters!$1:$1,0)-MATCH($J$1,[4]characters!$1:$1,0)+1,FALSE)</f>
        <v>Drop1W</v>
      </c>
      <c r="N100" s="22" t="str">
        <f ca="1">VLOOKUP($J100,OFFSET([4]characters!$A$1,0,0,COUNTA([4]characters!$A:$A),MATCH(N$1,[4]characters!$1:$1,0)-MATCH($J$1,[4]characters!$1:$1,0)+2),MATCH(N$1,[4]characters!$1:$1,0)-MATCH($J$1,[4]characters!$1:$1,0)+2,FALSE)</f>
        <v>ヒューマン</v>
      </c>
      <c r="O100" s="5">
        <f ca="1">VLOOKUP($J100,OFFSET([3]enemies!$A$1,0,0,COUNTA([3]enemies!$A:$A),MATCH(O$1,[3]enemies!$1:$1,0)-MATCH($J$1,[3]enemies!$1:$1,0)+1),MATCH(O$1,[3]enemies!$1:$1,0)-MATCH($J$1,[3]enemies!$1:$1,0)+1,FALSE)</f>
        <v>15</v>
      </c>
      <c r="P100" s="46">
        <v>29</v>
      </c>
      <c r="Q100" s="43">
        <v>1</v>
      </c>
      <c r="R100" s="43">
        <v>1</v>
      </c>
      <c r="S100" s="6">
        <v>0</v>
      </c>
      <c r="T100" s="5" t="str">
        <f ca="1">VLOOKUP($U100,OFFSET([5]enemy_skill_sets!$B$1,0,0,COUNTA([5]enemy_skill_sets!$B:$B),MATCH(K$1,[5]enemy_skill_sets!$1:$1,0)-MATCH($U$1,[5]enemy_skill_sets!$1:$1,0)+2),MATCH(K$1,[5]enemy_skill_sets!$1:$1,0)-MATCH($U$1,[5]enemy_skill_sets!$1:$1,0)+2,FALSE)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00" s="5">
        <f ca="1">VLOOKUP($J100,OFFSET([3]enemies!$A$1,0,0,COUNTA([3]enemies!$A:$A),MATCH(U$1,[3]enemies!$1:$1,0)-MATCH($J$1,[3]enemies!$1:$1,0)+1),MATCH(U$1,[3]enemies!$1:$1,0)-MATCH($J$1,[3]enemies!$1:$1,0)+1,FALSE)</f>
        <v>0</v>
      </c>
      <c r="V100" s="7">
        <v>0</v>
      </c>
      <c r="W100" s="7">
        <v>100</v>
      </c>
      <c r="X100" s="7">
        <v>0</v>
      </c>
      <c r="Y100" s="20">
        <f ca="1">VLOOKUP($J100,OFFSET([3]enemies!$A$1,0,0,COUNTA([3]enemies!$A:$A),MATCH(Y$1,[3]enemies!$1:$1,0)-MATCH($J$1,[3]enemies!$1:$1,0)+1),MATCH(Y$1,[3]enemies!$1:$1,0)-MATCH($J$1,[3]enemies!$1:$1,0)+1,FALSE)</f>
        <v>3</v>
      </c>
      <c r="Z100" s="31">
        <v>19</v>
      </c>
      <c r="AA100" s="5" t="str">
        <f ca="1">IFERROR(VLOOKUP($Z100,OFFSET([4]characters!$A$1,0,0,COUNTA([4]characters!$A:$A),MATCH(AA$1,[4]characters!$1:$1,0)-MATCH("character_id",[4]characters!$1:$1,0)+1),MATCH(AA$1,[4]characters!$1:$1,0)-MATCH("character_id",[4]characters!$1:$1,0)+1,FALSE),"")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100" s="5">
        <f ca="1">IFERROR(VLOOKUP($Z100,OFFSET([4]characters!$A$1,0,0,COUNTA([4]characters!$A:$A),MATCH(AB$1,[4]characters!$1:$1,0)-MATCH("character_id",[4]characters!$1:$1,0)+1),MATCH(AB$1,[4]characters!$1:$1,0)-MATCH("character_id",[4]characters!$1:$1,0)+1,FALSE),"")</f>
        <v>1</v>
      </c>
      <c r="AC100" s="5" t="str">
        <f ca="1">IFERROR(VLOOKUP($Z100,OFFSET([4]characters!$A$1,0,0,COUNTA([4]characters!$A:$A),MATCH(AC$1,[4]characters!$1:$1,0)-MATCH("character_id",[4]characters!$1:$1,0)+1),MATCH(AC$1,[4]characters!$1:$1,0)-MATCH("character_id",[4]characters!$1:$1,0)+1,FALSE),"")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00" s="36">
        <v>5</v>
      </c>
      <c r="AE100" s="37">
        <f t="shared" ca="1" si="86"/>
        <v>1</v>
      </c>
      <c r="AF100" s="7">
        <v>25</v>
      </c>
      <c r="AG100" s="36">
        <v>0</v>
      </c>
      <c r="AH100" s="36">
        <v>0</v>
      </c>
      <c r="AI100" s="36">
        <v>0</v>
      </c>
      <c r="AJ100" s="36">
        <v>0</v>
      </c>
      <c r="AK100" s="36">
        <v>1</v>
      </c>
      <c r="AL100" s="36">
        <v>1</v>
      </c>
    </row>
    <row r="101" spans="1:38" ht="21" customHeight="1" x14ac:dyDescent="0.15">
      <c r="A101" s="17" t="str">
        <f t="shared" ca="1" si="83"/>
        <v>13101_11-3/47&lt;lv29&gt;s1</v>
      </c>
      <c r="B101" s="26">
        <v>13101</v>
      </c>
      <c r="C101" s="30">
        <v>11</v>
      </c>
      <c r="D101" s="16" t="str">
        <f t="shared" si="84"/>
        <v>13101_11</v>
      </c>
      <c r="E101" s="5" t="str">
        <f ca="1">VLOOKUP($B101,OFFSET([2]quests!$A$1,0,0,COUNTA([2]quests!$A:$A),MATCH(E$1,[2]quests!$1:$1,0)-MATCH($B$1,[2]quests!$1:$1,0)+1),MATCH(E$1,[2]quests!$1:$1,0)-MATCH($B$1,[2]quests!$1:$1,0)+1,FALSE)</f>
        <v>チャレンジタワー</v>
      </c>
      <c r="F101" s="5" t="e">
        <f ca="1">VLOOKUP($D101,OFFSET([2]stages!$A$1,0,0,COUNTA([2]stages!$A:$A),MATCH(F$1,[2]stages!$1:$1,0)-MATCH($D$1,[2]stages!$1:$1,0)+1),MATCH(F$1,[2]stages!$1:$1,0)-MATCH($D$1,[2]stages!$1:$1,0)+1,FALSE)</f>
        <v>#N/A</v>
      </c>
      <c r="G101" s="33">
        <v>3</v>
      </c>
      <c r="H101" s="16" t="str">
        <f t="shared" si="85"/>
        <v>13101_11-3</v>
      </c>
      <c r="I101" s="39" t="s">
        <v>245</v>
      </c>
      <c r="J101" s="31">
        <v>47</v>
      </c>
      <c r="K101" s="20" t="str">
        <f ca="1">VLOOKUP($J101,OFFSET([3]enemies!$A$1,0,0,COUNTA([3]enemies!$A:$A),MATCH(K$1,[3]enemies!$1:$1,0)-MATCH($J$1,[3]enemies!$1:$1,0)+1),MATCH(K$1,[3]enemies!$1:$1,0)-MATCH($J$1,[3]enemies!$1:$1,0)+1,FALSE)</f>
        <v>ヒロ</v>
      </c>
      <c r="L101" s="23" t="str">
        <f ca="1">VLOOKUP($J101,OFFSET([3]enemies!$A$1,0,0,COUNTA([3]enemies!$A:$A),MATCH(L$1,[3]enemies!$1:$1,0)-MATCH($J$1,[3]enemies!$1:$1,0)+1),MATCH(L$1,[3]enemies!$1:$1,0)-MATCH($J$1,[3]enemies!$1:$1,0)+1,FALSE)</f>
        <v>yellow</v>
      </c>
      <c r="M101" s="23" t="str">
        <f ca="1">VLOOKUP($J101,OFFSET([4]characters!$A$1,0,0,COUNTA([4]characters!$A:$A),MATCH(M$1,[4]characters!$1:$1,0)-MATCH($J$1,[4]characters!$1:$1,0)+1),MATCH(M$1,[4]characters!$1:$1,0)-MATCH($J$1,[4]characters!$1:$1,0)+1,FALSE)</f>
        <v>Drop1N</v>
      </c>
      <c r="N101" s="22" t="str">
        <f ca="1">VLOOKUP($J101,OFFSET([4]characters!$A$1,0,0,COUNTA([4]characters!$A:$A),MATCH(N$1,[4]characters!$1:$1,0)-MATCH($J$1,[4]characters!$1:$1,0)+2),MATCH(N$1,[4]characters!$1:$1,0)-MATCH($J$1,[4]characters!$1:$1,0)+2,FALSE)</f>
        <v>アニマル</v>
      </c>
      <c r="O101" s="5">
        <f ca="1">VLOOKUP($J101,OFFSET([3]enemies!$A$1,0,0,COUNTA([3]enemies!$A:$A),MATCH(O$1,[3]enemies!$1:$1,0)-MATCH($J$1,[3]enemies!$1:$1,0)+1),MATCH(O$1,[3]enemies!$1:$1,0)-MATCH($J$1,[3]enemies!$1:$1,0)+1,FALSE)</f>
        <v>15</v>
      </c>
      <c r="P101" s="46">
        <v>29</v>
      </c>
      <c r="Q101" s="43">
        <v>1</v>
      </c>
      <c r="R101" s="43">
        <v>1</v>
      </c>
      <c r="S101" s="6">
        <v>0</v>
      </c>
      <c r="T101" s="5" t="str">
        <f ca="1">VLOOKUP($U101,OFFSET([5]enemy_skill_sets!$B$1,0,0,COUNTA([5]enemy_skill_sets!$B:$B),MATCH(K$1,[5]enemy_skill_sets!$1:$1,0)-MATCH($U$1,[5]enemy_skill_sets!$1:$1,0)+2),MATCH(K$1,[5]enemy_skill_sets!$1:$1,0)-MATCH($U$1,[5]enemy_skill_sets!$1:$1,0)+2,FALSE)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01" s="5">
        <f ca="1">VLOOKUP($J101,OFFSET([3]enemies!$A$1,0,0,COUNTA([3]enemies!$A:$A),MATCH(U$1,[3]enemies!$1:$1,0)-MATCH($J$1,[3]enemies!$1:$1,0)+1),MATCH(U$1,[3]enemies!$1:$1,0)-MATCH($J$1,[3]enemies!$1:$1,0)+1,FALSE)</f>
        <v>0</v>
      </c>
      <c r="V101" s="7">
        <v>0</v>
      </c>
      <c r="W101" s="7">
        <v>100</v>
      </c>
      <c r="X101" s="7">
        <v>0</v>
      </c>
      <c r="Y101" s="20">
        <f ca="1">VLOOKUP($J101,OFFSET([3]enemies!$A$1,0,0,COUNTA([3]enemies!$A:$A),MATCH(Y$1,[3]enemies!$1:$1,0)-MATCH($J$1,[3]enemies!$1:$1,0)+1),MATCH(Y$1,[3]enemies!$1:$1,0)-MATCH($J$1,[3]enemies!$1:$1,0)+1,FALSE)</f>
        <v>1</v>
      </c>
      <c r="Z101" s="31">
        <v>47</v>
      </c>
      <c r="AA101" s="5" t="str">
        <f ca="1">IFERROR(VLOOKUP($Z101,OFFSET([4]characters!$A$1,0,0,COUNTA([4]characters!$A:$A),MATCH(AA$1,[4]characters!$1:$1,0)-MATCH("character_id",[4]characters!$1:$1,0)+1),MATCH(AA$1,[4]characters!$1:$1,0)-MATCH("character_id",[4]characters!$1:$1,0)+1,FALSE),"")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101" s="5">
        <f ca="1">IFERROR(VLOOKUP($Z101,OFFSET([4]characters!$A$1,0,0,COUNTA([4]characters!$A:$A),MATCH(AB$1,[4]characters!$1:$1,0)-MATCH("character_id",[4]characters!$1:$1,0)+1),MATCH(AB$1,[4]characters!$1:$1,0)-MATCH("character_id",[4]characters!$1:$1,0)+1,FALSE),"")</f>
        <v>2</v>
      </c>
      <c r="AC101" s="5" t="str">
        <f ca="1">IFERROR(VLOOKUP($Z101,OFFSET([4]characters!$A$1,0,0,COUNTA([4]characters!$A:$A),MATCH(AC$1,[4]characters!$1:$1,0)-MATCH("character_id",[4]characters!$1:$1,0)+1),MATCH(AC$1,[4]characters!$1:$1,0)-MATCH("character_id",[4]characters!$1:$1,0)+1,FALSE),"")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01" s="36">
        <v>3</v>
      </c>
      <c r="AE101" s="37">
        <f t="shared" ca="1" si="86"/>
        <v>2</v>
      </c>
      <c r="AF101" s="7">
        <v>25</v>
      </c>
      <c r="AG101" s="36">
        <v>0</v>
      </c>
      <c r="AH101" s="36">
        <v>0</v>
      </c>
      <c r="AI101" s="36">
        <v>0</v>
      </c>
      <c r="AJ101" s="36">
        <v>0</v>
      </c>
      <c r="AK101" s="36">
        <v>1</v>
      </c>
      <c r="AL101" s="36">
        <v>1</v>
      </c>
    </row>
    <row r="102" spans="1:38" ht="21" customHeight="1" x14ac:dyDescent="0.15">
      <c r="A102" s="17" t="str">
        <f t="shared" ca="1" si="83"/>
        <v>13101_11-3/63&lt;lv29&gt;s2</v>
      </c>
      <c r="B102" s="26">
        <v>13101</v>
      </c>
      <c r="C102" s="30">
        <v>11</v>
      </c>
      <c r="D102" s="16" t="str">
        <f t="shared" si="84"/>
        <v>13101_11</v>
      </c>
      <c r="E102" s="5" t="str">
        <f ca="1">VLOOKUP($B102,OFFSET([2]quests!$A$1,0,0,COUNTA([2]quests!$A:$A),MATCH(E$1,[2]quests!$1:$1,0)-MATCH($B$1,[2]quests!$1:$1,0)+1),MATCH(E$1,[2]quests!$1:$1,0)-MATCH($B$1,[2]quests!$1:$1,0)+1,FALSE)</f>
        <v>チャレンジタワー</v>
      </c>
      <c r="F102" s="5" t="e">
        <f ca="1">VLOOKUP($D102,OFFSET([2]stages!$A$1,0,0,COUNTA([2]stages!$A:$A),MATCH(F$1,[2]stages!$1:$1,0)-MATCH($D$1,[2]stages!$1:$1,0)+1),MATCH(F$1,[2]stages!$1:$1,0)-MATCH($D$1,[2]stages!$1:$1,0)+1,FALSE)</f>
        <v>#N/A</v>
      </c>
      <c r="G102" s="33">
        <v>3</v>
      </c>
      <c r="H102" s="16" t="str">
        <f t="shared" si="85"/>
        <v>13101_11-3</v>
      </c>
      <c r="I102" s="39" t="s">
        <v>245</v>
      </c>
      <c r="J102" s="31">
        <v>63</v>
      </c>
      <c r="K102" s="20" t="str">
        <f ca="1">VLOOKUP($J102,OFFSET([3]enemies!$A$1,0,0,COUNTA([3]enemies!$A:$A),MATCH(K$1,[3]enemies!$1:$1,0)-MATCH($J$1,[3]enemies!$1:$1,0)+1),MATCH(K$1,[3]enemies!$1:$1,0)-MATCH($J$1,[3]enemies!$1:$1,0)+1,FALSE)</f>
        <v>トニー</v>
      </c>
      <c r="L102" s="23" t="str">
        <f ca="1">VLOOKUP($J102,OFFSET([3]enemies!$A$1,0,0,COUNTA([3]enemies!$A:$A),MATCH(L$1,[3]enemies!$1:$1,0)-MATCH($J$1,[3]enemies!$1:$1,0)+1),MATCH(L$1,[3]enemies!$1:$1,0)-MATCH($J$1,[3]enemies!$1:$1,0)+1,FALSE)</f>
        <v>yellow</v>
      </c>
      <c r="M102" s="23" t="str">
        <f ca="1">VLOOKUP($J102,OFFSET([4]characters!$A$1,0,0,COUNTA([4]characters!$A:$A),MATCH(M$1,[4]characters!$1:$1,0)-MATCH($J$1,[4]characters!$1:$1,0)+1),MATCH(M$1,[4]characters!$1:$1,0)-MATCH($J$1,[4]characters!$1:$1,0)+1,FALSE)</f>
        <v>Drop1N</v>
      </c>
      <c r="N102" s="22" t="str">
        <f ca="1">VLOOKUP($J102,OFFSET([4]characters!$A$1,0,0,COUNTA([4]characters!$A:$A),MATCH(N$1,[4]characters!$1:$1,0)-MATCH($J$1,[4]characters!$1:$1,0)+2),MATCH(N$1,[4]characters!$1:$1,0)-MATCH($J$1,[4]characters!$1:$1,0)+2,FALSE)</f>
        <v>アニマル</v>
      </c>
      <c r="O102" s="5">
        <f ca="1">VLOOKUP($J102,OFFSET([3]enemies!$A$1,0,0,COUNTA([3]enemies!$A:$A),MATCH(O$1,[3]enemies!$1:$1,0)-MATCH($J$1,[3]enemies!$1:$1,0)+1),MATCH(O$1,[3]enemies!$1:$1,0)-MATCH($J$1,[3]enemies!$1:$1,0)+1,FALSE)</f>
        <v>15</v>
      </c>
      <c r="P102" s="46">
        <v>29</v>
      </c>
      <c r="Q102" s="43">
        <v>1</v>
      </c>
      <c r="R102" s="43">
        <v>1</v>
      </c>
      <c r="S102" s="6">
        <v>0</v>
      </c>
      <c r="T102" s="5" t="str">
        <f ca="1">VLOOKUP($U102,OFFSET([5]enemy_skill_sets!$B$1,0,0,COUNTA([5]enemy_skill_sets!$B:$B),MATCH(K$1,[5]enemy_skill_sets!$1:$1,0)-MATCH($U$1,[5]enemy_skill_sets!$1:$1,0)+2),MATCH(K$1,[5]enemy_skill_sets!$1:$1,0)-MATCH($U$1,[5]enemy_skill_sets!$1:$1,0)+2,FALSE)</f>
        <v>2回連続攻撃</v>
      </c>
      <c r="U102" s="5">
        <f ca="1">VLOOKUP($J102,OFFSET([3]enemies!$A$1,0,0,COUNTA([3]enemies!$A:$A),MATCH(U$1,[3]enemies!$1:$1,0)-MATCH($J$1,[3]enemies!$1:$1,0)+1),MATCH(U$1,[3]enemies!$1:$1,0)-MATCH($J$1,[3]enemies!$1:$1,0)+1,FALSE)</f>
        <v>63</v>
      </c>
      <c r="V102" s="7">
        <v>1</v>
      </c>
      <c r="W102" s="7">
        <v>100</v>
      </c>
      <c r="X102" s="7">
        <v>0</v>
      </c>
      <c r="Y102" s="20">
        <f ca="1">VLOOKUP($J102,OFFSET([3]enemies!$A$1,0,0,COUNTA([3]enemies!$A:$A),MATCH(Y$1,[3]enemies!$1:$1,0)-MATCH($J$1,[3]enemies!$1:$1,0)+1),MATCH(Y$1,[3]enemies!$1:$1,0)-MATCH($J$1,[3]enemies!$1:$1,0)+1,FALSE)</f>
        <v>2</v>
      </c>
      <c r="Z102" s="31">
        <v>63</v>
      </c>
      <c r="AA102" s="5" t="str">
        <f ca="1">IFERROR(VLOOKUP($Z102,OFFSET([4]characters!$A$1,0,0,COUNTA([4]characters!$A:$A),MATCH(AA$1,[4]characters!$1:$1,0)-MATCH("character_id",[4]characters!$1:$1,0)+1),MATCH(AA$1,[4]characters!$1:$1,0)-MATCH("character_id",[4]characters!$1:$1,0)+1,FALSE),"")</f>
        <v>トニー</v>
      </c>
      <c r="AB102" s="5">
        <f ca="1">IFERROR(VLOOKUP($Z102,OFFSET([4]characters!$A$1,0,0,COUNTA([4]characters!$A:$A),MATCH(AB$1,[4]characters!$1:$1,0)-MATCH("character_id",[4]characters!$1:$1,0)+1),MATCH(AB$1,[4]characters!$1:$1,0)-MATCH("character_id",[4]characters!$1:$1,0)+1,FALSE),"")</f>
        <v>2</v>
      </c>
      <c r="AC102" s="5" t="str">
        <f ca="1">IFERROR(VLOOKUP($Z102,OFFSET([4]characters!$A$1,0,0,COUNTA([4]characters!$A:$A),MATCH(AC$1,[4]characters!$1:$1,0)-MATCH("character_id",[4]characters!$1:$1,0)+1),MATCH(AC$1,[4]characters!$1:$1,0)-MATCH("character_id",[4]characters!$1:$1,0)+1,FALSE),"")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02" s="36">
        <v>3</v>
      </c>
      <c r="AE102" s="37">
        <f t="shared" ca="1" si="86"/>
        <v>2</v>
      </c>
      <c r="AF102" s="7">
        <v>25</v>
      </c>
      <c r="AG102" s="36">
        <v>0</v>
      </c>
      <c r="AH102" s="36">
        <v>0</v>
      </c>
      <c r="AI102" s="36">
        <v>0</v>
      </c>
      <c r="AJ102" s="36">
        <v>0</v>
      </c>
      <c r="AK102" s="36">
        <v>1</v>
      </c>
      <c r="AL102" s="36">
        <v>1</v>
      </c>
    </row>
    <row r="103" spans="1:38" ht="21" customHeight="1" x14ac:dyDescent="0.15">
      <c r="A103" s="17" t="str">
        <f t="shared" ca="1" si="83"/>
        <v>13101_11-4/13&lt;lv29&gt;s2</v>
      </c>
      <c r="B103" s="26">
        <v>13101</v>
      </c>
      <c r="C103" s="30">
        <v>11</v>
      </c>
      <c r="D103" s="16" t="str">
        <f t="shared" si="84"/>
        <v>13101_11</v>
      </c>
      <c r="E103" s="5" t="str">
        <f ca="1">VLOOKUP($B103,OFFSET([2]quests!$A$1,0,0,COUNTA([2]quests!$A:$A),MATCH(E$1,[2]quests!$1:$1,0)-MATCH($B$1,[2]quests!$1:$1,0)+1),MATCH(E$1,[2]quests!$1:$1,0)-MATCH($B$1,[2]quests!$1:$1,0)+1,FALSE)</f>
        <v>チャレンジタワー</v>
      </c>
      <c r="F103" s="5" t="e">
        <f ca="1">VLOOKUP($D103,OFFSET([2]stages!$A$1,0,0,COUNTA([2]stages!$A:$A),MATCH(F$1,[2]stages!$1:$1,0)-MATCH($D$1,[2]stages!$1:$1,0)+1),MATCH(F$1,[2]stages!$1:$1,0)-MATCH($D$1,[2]stages!$1:$1,0)+1,FALSE)</f>
        <v>#N/A</v>
      </c>
      <c r="G103" s="33">
        <v>4</v>
      </c>
      <c r="H103" s="16" t="str">
        <f t="shared" si="85"/>
        <v>13101_11-4</v>
      </c>
      <c r="I103" s="39" t="s">
        <v>245</v>
      </c>
      <c r="J103" s="31">
        <v>13</v>
      </c>
      <c r="K103" s="20" t="str">
        <f ca="1">VLOOKUP($J103,OFFSET([3]enemies!$A$1,0,0,COUNTA([3]enemies!$A:$A),MATCH(K$1,[3]enemies!$1:$1,0)-MATCH($J$1,[3]enemies!$1:$1,0)+1),MATCH(K$1,[3]enemies!$1:$1,0)-MATCH($J$1,[3]enemies!$1:$1,0)+1,FALSE)</f>
        <v>ミミ</v>
      </c>
      <c r="L103" s="23" t="str">
        <f ca="1">VLOOKUP($J103,OFFSET([3]enemies!$A$1,0,0,COUNTA([3]enemies!$A:$A),MATCH(L$1,[3]enemies!$1:$1,0)-MATCH($J$1,[3]enemies!$1:$1,0)+1),MATCH(L$1,[3]enemies!$1:$1,0)-MATCH($J$1,[3]enemies!$1:$1,0)+1,FALSE)</f>
        <v>yellow</v>
      </c>
      <c r="M103" s="23" t="str">
        <f ca="1">VLOOKUP($J103,OFFSET([4]characters!$A$1,0,0,COUNTA([4]characters!$A:$A),MATCH(M$1,[4]characters!$1:$1,0)-MATCH($J$1,[4]characters!$1:$1,0)+1),MATCH(M$1,[4]characters!$1:$1,0)-MATCH($J$1,[4]characters!$1:$1,0)+1,FALSE)</f>
        <v>Drop1W</v>
      </c>
      <c r="N103" s="22" t="str">
        <f ca="1">VLOOKUP($J103,OFFSET([4]characters!$A$1,0,0,COUNTA([4]characters!$A:$A),MATCH(N$1,[4]characters!$1:$1,0)-MATCH($J$1,[4]characters!$1:$1,0)+2),MATCH(N$1,[4]characters!$1:$1,0)-MATCH($J$1,[4]characters!$1:$1,0)+2,FALSE)</f>
        <v>アニマル</v>
      </c>
      <c r="O103" s="5">
        <f ca="1">VLOOKUP($J103,OFFSET([3]enemies!$A$1,0,0,COUNTA([3]enemies!$A:$A),MATCH(O$1,[3]enemies!$1:$1,0)-MATCH($J$1,[3]enemies!$1:$1,0)+1),MATCH(O$1,[3]enemies!$1:$1,0)-MATCH($J$1,[3]enemies!$1:$1,0)+1,FALSE)</f>
        <v>15</v>
      </c>
      <c r="P103" s="46">
        <v>29</v>
      </c>
      <c r="Q103" s="43">
        <v>1</v>
      </c>
      <c r="R103" s="43">
        <v>1</v>
      </c>
      <c r="S103" s="6">
        <v>0</v>
      </c>
      <c r="T103" s="5" t="str">
        <f ca="1">VLOOKUP($U103,OFFSET([5]enemy_skill_sets!$B$1,0,0,COUNTA([5]enemy_skill_sets!$B:$B),MATCH(K$1,[5]enemy_skill_sets!$1:$1,0)-MATCH($U$1,[5]enemy_skill_sets!$1:$1,0)+2),MATCH(K$1,[5]enemy_skill_sets!$1:$1,0)-MATCH($U$1,[5]enemy_skill_sets!$1:$1,0)+2,FALSE)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03" s="5">
        <f ca="1">VLOOKUP($J103,OFFSET([3]enemies!$A$1,0,0,COUNTA([3]enemies!$A:$A),MATCH(U$1,[3]enemies!$1:$1,0)-MATCH($J$1,[3]enemies!$1:$1,0)+1),MATCH(U$1,[3]enemies!$1:$1,0)-MATCH($J$1,[3]enemies!$1:$1,0)+1,FALSE)</f>
        <v>0</v>
      </c>
      <c r="V103" s="7">
        <v>0</v>
      </c>
      <c r="W103" s="7">
        <v>100</v>
      </c>
      <c r="X103" s="7">
        <v>0</v>
      </c>
      <c r="Y103" s="20">
        <f ca="1">VLOOKUP($J103,OFFSET([3]enemies!$A$1,0,0,COUNTA([3]enemies!$A:$A),MATCH(Y$1,[3]enemies!$1:$1,0)-MATCH($J$1,[3]enemies!$1:$1,0)+1),MATCH(Y$1,[3]enemies!$1:$1,0)-MATCH($J$1,[3]enemies!$1:$1,0)+1,FALSE)</f>
        <v>2</v>
      </c>
      <c r="Z103" s="31">
        <v>13</v>
      </c>
      <c r="AA103" s="5" t="str">
        <f ca="1">IFERROR(VLOOKUP($Z103,OFFSET([4]characters!$A$1,0,0,COUNTA([4]characters!$A:$A),MATCH(AA$1,[4]characters!$1:$1,0)-MATCH("character_id",[4]characters!$1:$1,0)+1),MATCH(AA$1,[4]characters!$1:$1,0)-MATCH("character_id",[4]characters!$1:$1,0)+1,FALSE),"")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103" s="5">
        <f ca="1">IFERROR(VLOOKUP($Z103,OFFSET([4]characters!$A$1,0,0,COUNTA([4]characters!$A:$A),MATCH(AB$1,[4]characters!$1:$1,0)-MATCH("character_id",[4]characters!$1:$1,0)+1),MATCH(AB$1,[4]characters!$1:$1,0)-MATCH("character_id",[4]characters!$1:$1,0)+1,FALSE),"")</f>
        <v>1</v>
      </c>
      <c r="AC103" s="5" t="str">
        <f ca="1">IFERROR(VLOOKUP($Z103,OFFSET([4]characters!$A$1,0,0,COUNTA([4]characters!$A:$A),MATCH(AC$1,[4]characters!$1:$1,0)-MATCH("character_id",[4]characters!$1:$1,0)+1),MATCH(AC$1,[4]characters!$1:$1,0)-MATCH("character_id",[4]characters!$1:$1,0)+1,FALSE),"")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03" s="36">
        <v>5</v>
      </c>
      <c r="AE103" s="37">
        <f t="shared" ca="1" si="86"/>
        <v>1</v>
      </c>
      <c r="AF103" s="7">
        <v>25</v>
      </c>
      <c r="AG103" s="36">
        <v>0</v>
      </c>
      <c r="AH103" s="36">
        <v>0</v>
      </c>
      <c r="AI103" s="36">
        <v>0</v>
      </c>
      <c r="AJ103" s="36">
        <v>0</v>
      </c>
      <c r="AK103" s="36">
        <v>1</v>
      </c>
      <c r="AL103" s="36">
        <v>1</v>
      </c>
    </row>
    <row r="104" spans="1:38" ht="21" customHeight="1" x14ac:dyDescent="0.15">
      <c r="A104" s="17" t="str">
        <f t="shared" ca="1" si="83"/>
        <v>13101_11-4/19&lt;lv29&gt;s3</v>
      </c>
      <c r="B104" s="26">
        <v>13101</v>
      </c>
      <c r="C104" s="30">
        <v>11</v>
      </c>
      <c r="D104" s="16" t="str">
        <f t="shared" si="84"/>
        <v>13101_11</v>
      </c>
      <c r="E104" s="5" t="str">
        <f ca="1">VLOOKUP($B104,OFFSET([2]quests!$A$1,0,0,COUNTA([2]quests!$A:$A),MATCH(E$1,[2]quests!$1:$1,0)-MATCH($B$1,[2]quests!$1:$1,0)+1),MATCH(E$1,[2]quests!$1:$1,0)-MATCH($B$1,[2]quests!$1:$1,0)+1,FALSE)</f>
        <v>チャレンジタワー</v>
      </c>
      <c r="F104" s="5" t="e">
        <f ca="1">VLOOKUP($D104,OFFSET([2]stages!$A$1,0,0,COUNTA([2]stages!$A:$A),MATCH(F$1,[2]stages!$1:$1,0)-MATCH($D$1,[2]stages!$1:$1,0)+1),MATCH(F$1,[2]stages!$1:$1,0)-MATCH($D$1,[2]stages!$1:$1,0)+1,FALSE)</f>
        <v>#N/A</v>
      </c>
      <c r="G104" s="33">
        <v>4</v>
      </c>
      <c r="H104" s="16" t="str">
        <f t="shared" si="85"/>
        <v>13101_11-4</v>
      </c>
      <c r="I104" s="39" t="s">
        <v>245</v>
      </c>
      <c r="J104" s="31">
        <v>19</v>
      </c>
      <c r="K104" s="20" t="str">
        <f ca="1">VLOOKUP($J104,OFFSET([3]enemies!$A$1,0,0,COUNTA([3]enemies!$A:$A),MATCH(K$1,[3]enemies!$1:$1,0)-MATCH($J$1,[3]enemies!$1:$1,0)+1),MATCH(K$1,[3]enemies!$1:$1,0)-MATCH($J$1,[3]enemies!$1:$1,0)+1,FALSE)</f>
        <v>ティンク</v>
      </c>
      <c r="L104" s="23" t="str">
        <f ca="1">VLOOKUP($J104,OFFSET([3]enemies!$A$1,0,0,COUNTA([3]enemies!$A:$A),MATCH(L$1,[3]enemies!$1:$1,0)-MATCH($J$1,[3]enemies!$1:$1,0)+1),MATCH(L$1,[3]enemies!$1:$1,0)-MATCH($J$1,[3]enemies!$1:$1,0)+1,FALSE)</f>
        <v>yellow</v>
      </c>
      <c r="M104" s="23" t="str">
        <f ca="1">VLOOKUP($J104,OFFSET([4]characters!$A$1,0,0,COUNTA([4]characters!$A:$A),MATCH(M$1,[4]characters!$1:$1,0)-MATCH($J$1,[4]characters!$1:$1,0)+1),MATCH(M$1,[4]characters!$1:$1,0)-MATCH($J$1,[4]characters!$1:$1,0)+1,FALSE)</f>
        <v>Drop1W</v>
      </c>
      <c r="N104" s="22" t="str">
        <f ca="1">VLOOKUP($J104,OFFSET([4]characters!$A$1,0,0,COUNTA([4]characters!$A:$A),MATCH(N$1,[4]characters!$1:$1,0)-MATCH($J$1,[4]characters!$1:$1,0)+2),MATCH(N$1,[4]characters!$1:$1,0)-MATCH($J$1,[4]characters!$1:$1,0)+2,FALSE)</f>
        <v>ヒューマン</v>
      </c>
      <c r="O104" s="5">
        <f ca="1">VLOOKUP($J104,OFFSET([3]enemies!$A$1,0,0,COUNTA([3]enemies!$A:$A),MATCH(O$1,[3]enemies!$1:$1,0)-MATCH($J$1,[3]enemies!$1:$1,0)+1),MATCH(O$1,[3]enemies!$1:$1,0)-MATCH($J$1,[3]enemies!$1:$1,0)+1,FALSE)</f>
        <v>15</v>
      </c>
      <c r="P104" s="46">
        <v>29</v>
      </c>
      <c r="Q104" s="43">
        <v>1</v>
      </c>
      <c r="R104" s="43">
        <v>1</v>
      </c>
      <c r="S104" s="6">
        <v>0</v>
      </c>
      <c r="T104" s="5" t="str">
        <f ca="1">VLOOKUP($U104,OFFSET([5]enemy_skill_sets!$B$1,0,0,COUNTA([5]enemy_skill_sets!$B:$B),MATCH(K$1,[5]enemy_skill_sets!$1:$1,0)-MATCH($U$1,[5]enemy_skill_sets!$1:$1,0)+2),MATCH(K$1,[5]enemy_skill_sets!$1:$1,0)-MATCH($U$1,[5]enemy_skill_sets!$1:$1,0)+2,FALSE)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04" s="5">
        <f ca="1">VLOOKUP($J104,OFFSET([3]enemies!$A$1,0,0,COUNTA([3]enemies!$A:$A),MATCH(U$1,[3]enemies!$1:$1,0)-MATCH($J$1,[3]enemies!$1:$1,0)+1),MATCH(U$1,[3]enemies!$1:$1,0)-MATCH($J$1,[3]enemies!$1:$1,0)+1,FALSE)</f>
        <v>0</v>
      </c>
      <c r="V104" s="7">
        <v>0</v>
      </c>
      <c r="W104" s="7">
        <v>100</v>
      </c>
      <c r="X104" s="7">
        <v>0</v>
      </c>
      <c r="Y104" s="20">
        <f ca="1">VLOOKUP($J104,OFFSET([3]enemies!$A$1,0,0,COUNTA([3]enemies!$A:$A),MATCH(Y$1,[3]enemies!$1:$1,0)-MATCH($J$1,[3]enemies!$1:$1,0)+1),MATCH(Y$1,[3]enemies!$1:$1,0)-MATCH($J$1,[3]enemies!$1:$1,0)+1,FALSE)</f>
        <v>3</v>
      </c>
      <c r="Z104" s="31">
        <v>19</v>
      </c>
      <c r="AA104" s="5" t="str">
        <f ca="1">IFERROR(VLOOKUP($Z104,OFFSET([4]characters!$A$1,0,0,COUNTA([4]characters!$A:$A),MATCH(AA$1,[4]characters!$1:$1,0)-MATCH("character_id",[4]characters!$1:$1,0)+1),MATCH(AA$1,[4]characters!$1:$1,0)-MATCH("character_id",[4]characters!$1:$1,0)+1,FALSE),"")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104" s="5">
        <f ca="1">IFERROR(VLOOKUP($Z104,OFFSET([4]characters!$A$1,0,0,COUNTA([4]characters!$A:$A),MATCH(AB$1,[4]characters!$1:$1,0)-MATCH("character_id",[4]characters!$1:$1,0)+1),MATCH(AB$1,[4]characters!$1:$1,0)-MATCH("character_id",[4]characters!$1:$1,0)+1,FALSE),"")</f>
        <v>1</v>
      </c>
      <c r="AC104" s="5" t="str">
        <f ca="1">IFERROR(VLOOKUP($Z104,OFFSET([4]characters!$A$1,0,0,COUNTA([4]characters!$A:$A),MATCH(AC$1,[4]characters!$1:$1,0)-MATCH("character_id",[4]characters!$1:$1,0)+1),MATCH(AC$1,[4]characters!$1:$1,0)-MATCH("character_id",[4]characters!$1:$1,0)+1,FALSE),"")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04" s="36">
        <v>5</v>
      </c>
      <c r="AE104" s="37">
        <f t="shared" ca="1" si="86"/>
        <v>1</v>
      </c>
      <c r="AF104" s="7">
        <v>25</v>
      </c>
      <c r="AG104" s="36">
        <v>0</v>
      </c>
      <c r="AH104" s="36">
        <v>0</v>
      </c>
      <c r="AI104" s="36">
        <v>0</v>
      </c>
      <c r="AJ104" s="36">
        <v>0</v>
      </c>
      <c r="AK104" s="36">
        <v>1</v>
      </c>
      <c r="AL104" s="36">
        <v>1</v>
      </c>
    </row>
    <row r="105" spans="1:38" ht="21" customHeight="1" x14ac:dyDescent="0.15">
      <c r="A105" s="17" t="str">
        <f t="shared" ca="1" si="83"/>
        <v>13101_11-4/63&lt;lv29&gt;s2</v>
      </c>
      <c r="B105" s="26">
        <v>13101</v>
      </c>
      <c r="C105" s="30">
        <v>11</v>
      </c>
      <c r="D105" s="16" t="str">
        <f t="shared" si="84"/>
        <v>13101_11</v>
      </c>
      <c r="E105" s="5" t="str">
        <f ca="1">VLOOKUP($B105,OFFSET([2]quests!$A$1,0,0,COUNTA([2]quests!$A:$A),MATCH(E$1,[2]quests!$1:$1,0)-MATCH($B$1,[2]quests!$1:$1,0)+1),MATCH(E$1,[2]quests!$1:$1,0)-MATCH($B$1,[2]quests!$1:$1,0)+1,FALSE)</f>
        <v>チャレンジタワー</v>
      </c>
      <c r="F105" s="5" t="e">
        <f ca="1">VLOOKUP($D105,OFFSET([2]stages!$A$1,0,0,COUNTA([2]stages!$A:$A),MATCH(F$1,[2]stages!$1:$1,0)-MATCH($D$1,[2]stages!$1:$1,0)+1),MATCH(F$1,[2]stages!$1:$1,0)-MATCH($D$1,[2]stages!$1:$1,0)+1,FALSE)</f>
        <v>#N/A</v>
      </c>
      <c r="G105" s="33">
        <v>4</v>
      </c>
      <c r="H105" s="16" t="str">
        <f t="shared" si="85"/>
        <v>13101_11-4</v>
      </c>
      <c r="I105" s="39" t="s">
        <v>245</v>
      </c>
      <c r="J105" s="31">
        <v>63</v>
      </c>
      <c r="K105" s="20" t="str">
        <f ca="1">VLOOKUP($J105,OFFSET([3]enemies!$A$1,0,0,COUNTA([3]enemies!$A:$A),MATCH(K$1,[3]enemies!$1:$1,0)-MATCH($J$1,[3]enemies!$1:$1,0)+1),MATCH(K$1,[3]enemies!$1:$1,0)-MATCH($J$1,[3]enemies!$1:$1,0)+1,FALSE)</f>
        <v>トニー</v>
      </c>
      <c r="L105" s="23" t="str">
        <f ca="1">VLOOKUP($J105,OFFSET([3]enemies!$A$1,0,0,COUNTA([3]enemies!$A:$A),MATCH(L$1,[3]enemies!$1:$1,0)-MATCH($J$1,[3]enemies!$1:$1,0)+1),MATCH(L$1,[3]enemies!$1:$1,0)-MATCH($J$1,[3]enemies!$1:$1,0)+1,FALSE)</f>
        <v>yellow</v>
      </c>
      <c r="M105" s="23" t="str">
        <f ca="1">VLOOKUP($J105,OFFSET([4]characters!$A$1,0,0,COUNTA([4]characters!$A:$A),MATCH(M$1,[4]characters!$1:$1,0)-MATCH($J$1,[4]characters!$1:$1,0)+1),MATCH(M$1,[4]characters!$1:$1,0)-MATCH($J$1,[4]characters!$1:$1,0)+1,FALSE)</f>
        <v>Drop1N</v>
      </c>
      <c r="N105" s="22" t="str">
        <f ca="1">VLOOKUP($J105,OFFSET([4]characters!$A$1,0,0,COUNTA([4]characters!$A:$A),MATCH(N$1,[4]characters!$1:$1,0)-MATCH($J$1,[4]characters!$1:$1,0)+2),MATCH(N$1,[4]characters!$1:$1,0)-MATCH($J$1,[4]characters!$1:$1,0)+2,FALSE)</f>
        <v>アニマル</v>
      </c>
      <c r="O105" s="5">
        <f ca="1">VLOOKUP($J105,OFFSET([3]enemies!$A$1,0,0,COUNTA([3]enemies!$A:$A),MATCH(O$1,[3]enemies!$1:$1,0)-MATCH($J$1,[3]enemies!$1:$1,0)+1),MATCH(O$1,[3]enemies!$1:$1,0)-MATCH($J$1,[3]enemies!$1:$1,0)+1,FALSE)</f>
        <v>15</v>
      </c>
      <c r="P105" s="46">
        <v>29</v>
      </c>
      <c r="Q105" s="43">
        <v>1</v>
      </c>
      <c r="R105" s="43">
        <v>1</v>
      </c>
      <c r="S105" s="6">
        <v>0</v>
      </c>
      <c r="T105" s="5" t="str">
        <f ca="1">VLOOKUP($U105,OFFSET([5]enemy_skill_sets!$B$1,0,0,COUNTA([5]enemy_skill_sets!$B:$B),MATCH(K$1,[5]enemy_skill_sets!$1:$1,0)-MATCH($U$1,[5]enemy_skill_sets!$1:$1,0)+2),MATCH(K$1,[5]enemy_skill_sets!$1:$1,0)-MATCH($U$1,[5]enemy_skill_sets!$1:$1,0)+2,FALSE)</f>
        <v>2回連続攻撃</v>
      </c>
      <c r="U105" s="5">
        <f ca="1">VLOOKUP($J105,OFFSET([3]enemies!$A$1,0,0,COUNTA([3]enemies!$A:$A),MATCH(U$1,[3]enemies!$1:$1,0)-MATCH($J$1,[3]enemies!$1:$1,0)+1),MATCH(U$1,[3]enemies!$1:$1,0)-MATCH($J$1,[3]enemies!$1:$1,0)+1,FALSE)</f>
        <v>63</v>
      </c>
      <c r="V105" s="7">
        <v>1</v>
      </c>
      <c r="W105" s="7">
        <v>100</v>
      </c>
      <c r="X105" s="7">
        <v>0</v>
      </c>
      <c r="Y105" s="20">
        <f ca="1">VLOOKUP($J105,OFFSET([3]enemies!$A$1,0,0,COUNTA([3]enemies!$A:$A),MATCH(Y$1,[3]enemies!$1:$1,0)-MATCH($J$1,[3]enemies!$1:$1,0)+1),MATCH(Y$1,[3]enemies!$1:$1,0)-MATCH($J$1,[3]enemies!$1:$1,0)+1,FALSE)</f>
        <v>2</v>
      </c>
      <c r="Z105" s="31">
        <v>63</v>
      </c>
      <c r="AA105" s="5" t="str">
        <f ca="1">IFERROR(VLOOKUP($Z105,OFFSET([4]characters!$A$1,0,0,COUNTA([4]characters!$A:$A),MATCH(AA$1,[4]characters!$1:$1,0)-MATCH("character_id",[4]characters!$1:$1,0)+1),MATCH(AA$1,[4]characters!$1:$1,0)-MATCH("character_id",[4]characters!$1:$1,0)+1,FALSE),"")</f>
        <v>トニー</v>
      </c>
      <c r="AB105" s="5">
        <f ca="1">IFERROR(VLOOKUP($Z105,OFFSET([4]characters!$A$1,0,0,COUNTA([4]characters!$A:$A),MATCH(AB$1,[4]characters!$1:$1,0)-MATCH("character_id",[4]characters!$1:$1,0)+1),MATCH(AB$1,[4]characters!$1:$1,0)-MATCH("character_id",[4]characters!$1:$1,0)+1,FALSE),"")</f>
        <v>2</v>
      </c>
      <c r="AC105" s="5" t="str">
        <f ca="1">IFERROR(VLOOKUP($Z105,OFFSET([4]characters!$A$1,0,0,COUNTA([4]characters!$A:$A),MATCH(AC$1,[4]characters!$1:$1,0)-MATCH("character_id",[4]characters!$1:$1,0)+1),MATCH(AC$1,[4]characters!$1:$1,0)-MATCH("character_id",[4]characters!$1:$1,0)+1,FALSE),"")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05" s="36">
        <v>3</v>
      </c>
      <c r="AE105" s="37">
        <f t="shared" ca="1" si="86"/>
        <v>2</v>
      </c>
      <c r="AF105" s="7">
        <v>25</v>
      </c>
      <c r="AG105" s="36">
        <v>0</v>
      </c>
      <c r="AH105" s="36">
        <v>0</v>
      </c>
      <c r="AI105" s="36">
        <v>0</v>
      </c>
      <c r="AJ105" s="36">
        <v>0</v>
      </c>
      <c r="AK105" s="36">
        <v>1</v>
      </c>
      <c r="AL105" s="36">
        <v>1</v>
      </c>
    </row>
    <row r="106" spans="1:38" ht="21" customHeight="1" x14ac:dyDescent="0.15">
      <c r="A106" s="17" t="str">
        <f t="shared" ca="1" si="83"/>
        <v>13101_11-5/164&lt;lv31&gt;s3</v>
      </c>
      <c r="B106" s="26">
        <v>13101</v>
      </c>
      <c r="C106" s="30">
        <v>11</v>
      </c>
      <c r="D106" s="16" t="str">
        <f t="shared" si="84"/>
        <v>13101_11</v>
      </c>
      <c r="E106" s="5" t="str">
        <f ca="1">VLOOKUP($B106,OFFSET([2]quests!$A$1,0,0,COUNTA([2]quests!$A:$A),MATCH(E$1,[2]quests!$1:$1,0)-MATCH($B$1,[2]quests!$1:$1,0)+1),MATCH(E$1,[2]quests!$1:$1,0)-MATCH($B$1,[2]quests!$1:$1,0)+1,FALSE)</f>
        <v>チャレンジタワー</v>
      </c>
      <c r="F106" s="5" t="e">
        <f ca="1">VLOOKUP($D106,OFFSET([2]stages!$A$1,0,0,COUNTA([2]stages!$A:$A),MATCH(F$1,[2]stages!$1:$1,0)-MATCH($D$1,[2]stages!$1:$1,0)+1),MATCH(F$1,[2]stages!$1:$1,0)-MATCH($D$1,[2]stages!$1:$1,0)+1,FALSE)</f>
        <v>#N/A</v>
      </c>
      <c r="G106" s="33">
        <v>5</v>
      </c>
      <c r="H106" s="16" t="str">
        <f t="shared" si="85"/>
        <v>13101_11-5</v>
      </c>
      <c r="I106" s="39" t="s">
        <v>245</v>
      </c>
      <c r="J106" s="31">
        <v>164</v>
      </c>
      <c r="K106" s="20" t="str">
        <f ca="1">VLOOKUP($J106,OFFSET([3]enemies!$A$1,0,0,COUNTA([3]enemies!$A:$A),MATCH(K$1,[3]enemies!$1:$1,0)-MATCH($J$1,[3]enemies!$1:$1,0)+1),MATCH(K$1,[3]enemies!$1:$1,0)-MATCH($J$1,[3]enemies!$1:$1,0)+1,FALSE)</f>
        <v>イブとトモダチ</v>
      </c>
      <c r="L106" s="23" t="str">
        <f ca="1">VLOOKUP($J106,OFFSET([3]enemies!$A$1,0,0,COUNTA([3]enemies!$A:$A),MATCH(L$1,[3]enemies!$1:$1,0)-MATCH($J$1,[3]enemies!$1:$1,0)+1),MATCH(L$1,[3]enemies!$1:$1,0)-MATCH($J$1,[3]enemies!$1:$1,0)+1,FALSE)</f>
        <v>yellow</v>
      </c>
      <c r="M106" s="23" t="str">
        <f ca="1">VLOOKUP($J106,OFFSET([4]characters!$A$1,0,0,COUNTA([4]characters!$A:$A),MATCH(M$1,[4]characters!$1:$1,0)-MATCH($J$1,[4]characters!$1:$1,0)+1),MATCH(M$1,[4]characters!$1:$1,0)-MATCH($J$1,[4]characters!$1:$1,0)+1,FALSE)</f>
        <v>PremiumW</v>
      </c>
      <c r="N106" s="22" t="str">
        <f ca="1">VLOOKUP($J106,OFFSET([4]characters!$A$1,0,0,COUNTA([4]characters!$A:$A),MATCH(N$1,[4]characters!$1:$1,0)-MATCH($J$1,[4]characters!$1:$1,0)+2),MATCH(N$1,[4]characters!$1:$1,0)-MATCH($J$1,[4]characters!$1:$1,0)+2,FALSE)</f>
        <v>ヒューマン</v>
      </c>
      <c r="O106" s="5">
        <f ca="1">VLOOKUP($J106,OFFSET([3]enemies!$A$1,0,0,COUNTA([3]enemies!$A:$A),MATCH(O$1,[3]enemies!$1:$1,0)-MATCH($J$1,[3]enemies!$1:$1,0)+1),MATCH(O$1,[3]enemies!$1:$1,0)-MATCH($J$1,[3]enemies!$1:$1,0)+1,FALSE)</f>
        <v>20</v>
      </c>
      <c r="P106" s="46">
        <v>31</v>
      </c>
      <c r="Q106" s="43">
        <v>1</v>
      </c>
      <c r="R106" s="43">
        <v>1</v>
      </c>
      <c r="S106" s="6">
        <v>0</v>
      </c>
      <c r="T106" s="5" t="str">
        <f ca="1">VLOOKUP($U106,OFFSET([5]enemy_skill_sets!$B$1,0,0,COUNTA([5]enemy_skill_sets!$B:$B),MATCH(K$1,[5]enemy_skill_sets!$1:$1,0)-MATCH($U$1,[5]enemy_skill_sets!$1:$1,0)+2),MATCH(K$1,[5]enemy_skill_sets!$1:$1,0)-MATCH($U$1,[5]enemy_skill_sets!$1:$1,0)+2,FALSE)</f>
        <v>少しだけお邪魔パネル出現</v>
      </c>
      <c r="U106" s="5">
        <f ca="1">VLOOKUP($J106,OFFSET([3]enemies!$A$1,0,0,COUNTA([3]enemies!$A:$A),MATCH(U$1,[3]enemies!$1:$1,0)-MATCH($J$1,[3]enemies!$1:$1,0)+1),MATCH(U$1,[3]enemies!$1:$1,0)-MATCH($J$1,[3]enemies!$1:$1,0)+1,FALSE)</f>
        <v>164</v>
      </c>
      <c r="V106" s="7">
        <v>1</v>
      </c>
      <c r="W106" s="7">
        <v>100</v>
      </c>
      <c r="X106" s="7">
        <v>1</v>
      </c>
      <c r="Y106" s="20">
        <f ca="1">VLOOKUP($J106,OFFSET([3]enemies!$A$1,0,0,COUNTA([3]enemies!$A:$A),MATCH(Y$1,[3]enemies!$1:$1,0)-MATCH($J$1,[3]enemies!$1:$1,0)+1),MATCH(Y$1,[3]enemies!$1:$1,0)-MATCH($J$1,[3]enemies!$1:$1,0)+1,FALSE)</f>
        <v>3</v>
      </c>
      <c r="Z106" s="31">
        <v>164</v>
      </c>
      <c r="AA106" s="5" t="str">
        <f ca="1">IFERROR(VLOOKUP($Z106,OFFSET([4]characters!$A$1,0,0,COUNTA([4]characters!$A:$A),MATCH(AA$1,[4]characters!$1:$1,0)-MATCH("character_id",[4]characters!$1:$1,0)+1),MATCH(AA$1,[4]characters!$1:$1,0)-MATCH("character_id",[4]characters!$1:$1,0)+1,FALSE),"")</f>
        <v>イブとトモダチ</v>
      </c>
      <c r="AB106" s="5">
        <f ca="1">IFERROR(VLOOKUP($Z106,OFFSET([4]characters!$A$1,0,0,COUNTA([4]characters!$A:$A),MATCH(AB$1,[4]characters!$1:$1,0)-MATCH("character_id",[4]characters!$1:$1,0)+1),MATCH(AB$1,[4]characters!$1:$1,0)-MATCH("character_id",[4]characters!$1:$1,0)+1,FALSE),"")</f>
        <v>3</v>
      </c>
      <c r="AC106" s="5" t="str">
        <f ca="1">IFERROR(VLOOKUP($Z106,OFFSET([4]characters!$A$1,0,0,COUNTA([4]characters!$A:$A),MATCH(AC$1,[4]characters!$1:$1,0)-MATCH("character_id",[4]characters!$1:$1,0)+1),MATCH(AC$1,[4]characters!$1:$1,0)-MATCH("character_id",[4]characters!$1:$1,0)+1,FALSE),"")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106" s="36">
        <v>1</v>
      </c>
      <c r="AE106" s="37">
        <f t="shared" ca="1" si="86"/>
        <v>3</v>
      </c>
      <c r="AF106" s="7">
        <v>0</v>
      </c>
      <c r="AG106" s="36">
        <v>0</v>
      </c>
      <c r="AH106" s="36">
        <v>0</v>
      </c>
      <c r="AI106" s="36">
        <v>0</v>
      </c>
      <c r="AJ106" s="36">
        <v>0</v>
      </c>
      <c r="AK106" s="36">
        <v>1</v>
      </c>
      <c r="AL106" s="36">
        <v>1</v>
      </c>
    </row>
    <row r="107" spans="1:38" ht="21" customHeight="1" x14ac:dyDescent="0.15">
      <c r="A107" s="17" t="str">
        <f t="shared" ref="A107" ca="1" si="95">B107&amp;"_"&amp;C107&amp;"-"&amp;G107&amp;"/"&amp;J107&amp;"&lt;lv"&amp;P107&amp;"&gt;s"&amp;Y107</f>
        <v>13101_11-5/14&lt;lv31&gt;s2</v>
      </c>
      <c r="B107" s="26">
        <v>13101</v>
      </c>
      <c r="C107" s="30">
        <v>11</v>
      </c>
      <c r="D107" s="16" t="str">
        <f t="shared" ref="D107" si="96">B107&amp;"_"&amp;C107</f>
        <v>13101_11</v>
      </c>
      <c r="E107" s="5" t="str">
        <f ca="1">VLOOKUP($B107,OFFSET([2]quests!$A$1,0,0,COUNTA([2]quests!$A:$A),MATCH(E$1,[2]quests!$1:$1,0)-MATCH($B$1,[2]quests!$1:$1,0)+1),MATCH(E$1,[2]quests!$1:$1,0)-MATCH($B$1,[2]quests!$1:$1,0)+1,FALSE)</f>
        <v>チャレンジタワー</v>
      </c>
      <c r="F107" s="5" t="e">
        <f ca="1">VLOOKUP($D107,OFFSET([2]stages!$A$1,0,0,COUNTA([2]stages!$A:$A),MATCH(F$1,[2]stages!$1:$1,0)-MATCH($D$1,[2]stages!$1:$1,0)+1),MATCH(F$1,[2]stages!$1:$1,0)-MATCH($D$1,[2]stages!$1:$1,0)+1,FALSE)</f>
        <v>#N/A</v>
      </c>
      <c r="G107" s="33">
        <v>5</v>
      </c>
      <c r="H107" s="16" t="str">
        <f t="shared" ref="H107" si="97">B107&amp;"_"&amp;C107&amp;"-"&amp;G107</f>
        <v>13101_11-5</v>
      </c>
      <c r="I107" s="39" t="s">
        <v>245</v>
      </c>
      <c r="J107" s="31">
        <v>14</v>
      </c>
      <c r="K107" s="20" t="str">
        <f ca="1">VLOOKUP($J107,OFFSET([3]enemies!$A$1,0,0,COUNTA([3]enemies!$A:$A),MATCH(K$1,[3]enemies!$1:$1,0)-MATCH($J$1,[3]enemies!$1:$1,0)+1),MATCH(K$1,[3]enemies!$1:$1,0)-MATCH($J$1,[3]enemies!$1:$1,0)+1,FALSE)</f>
        <v>ミミ・ザ・ガンマンキャット</v>
      </c>
      <c r="L107" s="23" t="str">
        <f ca="1">VLOOKUP($J107,OFFSET([3]enemies!$A$1,0,0,COUNTA([3]enemies!$A:$A),MATCH(L$1,[3]enemies!$1:$1,0)-MATCH($J$1,[3]enemies!$1:$1,0)+1),MATCH(L$1,[3]enemies!$1:$1,0)-MATCH($J$1,[3]enemies!$1:$1,0)+1,FALSE)</f>
        <v>yellow</v>
      </c>
      <c r="M107" s="23" t="str">
        <f ca="1">VLOOKUP($J107,OFFSET([4]characters!$A$1,0,0,COUNTA([4]characters!$A:$A),MATCH(M$1,[4]characters!$1:$1,0)-MATCH($J$1,[4]characters!$1:$1,0)+1),MATCH(M$1,[4]characters!$1:$1,0)-MATCH($J$1,[4]characters!$1:$1,0)+1,FALSE)</f>
        <v>Drop1W</v>
      </c>
      <c r="N107" s="22" t="str">
        <f ca="1">VLOOKUP($J107,OFFSET([4]characters!$A$1,0,0,COUNTA([4]characters!$A:$A),MATCH(N$1,[4]characters!$1:$1,0)-MATCH($J$1,[4]characters!$1:$1,0)+2),MATCH(N$1,[4]characters!$1:$1,0)-MATCH($J$1,[4]characters!$1:$1,0)+2,FALSE)</f>
        <v>アニマル</v>
      </c>
      <c r="O107" s="5">
        <f ca="1">VLOOKUP($J107,OFFSET([3]enemies!$A$1,0,0,COUNTA([3]enemies!$A:$A),MATCH(O$1,[3]enemies!$1:$1,0)-MATCH($J$1,[3]enemies!$1:$1,0)+1),MATCH(O$1,[3]enemies!$1:$1,0)-MATCH($J$1,[3]enemies!$1:$1,0)+1,FALSE)</f>
        <v>15</v>
      </c>
      <c r="P107" s="46">
        <v>31</v>
      </c>
      <c r="Q107" s="43">
        <v>2</v>
      </c>
      <c r="R107" s="43">
        <v>1</v>
      </c>
      <c r="S107" s="6">
        <v>0</v>
      </c>
      <c r="T107" s="5" t="str">
        <f ca="1">VLOOKUP($U107,OFFSET([5]enemy_skill_sets!$B$1,0,0,COUNTA([5]enemy_skill_sets!$B:$B),MATCH(K$1,[5]enemy_skill_sets!$1:$1,0)-MATCH($U$1,[5]enemy_skill_sets!$1:$1,0)+2),MATCH(K$1,[5]enemy_skill_sets!$1:$1,0)-MATCH($U$1,[5]enemy_skill_sets!$1:$1,0)+2,FALSE)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07" s="5">
        <f ca="1">VLOOKUP($J107,OFFSET([3]enemies!$A$1,0,0,COUNTA([3]enemies!$A:$A),MATCH(U$1,[3]enemies!$1:$1,0)-MATCH($J$1,[3]enemies!$1:$1,0)+1),MATCH(U$1,[3]enemies!$1:$1,0)-MATCH($J$1,[3]enemies!$1:$1,0)+1,FALSE)</f>
        <v>0</v>
      </c>
      <c r="V107" s="7">
        <v>2</v>
      </c>
      <c r="W107" s="7">
        <v>100</v>
      </c>
      <c r="X107" s="7">
        <v>0</v>
      </c>
      <c r="Y107" s="20">
        <f ca="1">VLOOKUP($J107,OFFSET([3]enemies!$A$1,0,0,COUNTA([3]enemies!$A:$A),MATCH(Y$1,[3]enemies!$1:$1,0)-MATCH($J$1,[3]enemies!$1:$1,0)+1),MATCH(Y$1,[3]enemies!$1:$1,0)-MATCH($J$1,[3]enemies!$1:$1,0)+1,FALSE)</f>
        <v>2</v>
      </c>
      <c r="Z107" s="31">
        <v>13</v>
      </c>
      <c r="AA107" s="5" t="str">
        <f ca="1">IFERROR(VLOOKUP($Z107,OFFSET([4]characters!$A$1,0,0,COUNTA([4]characters!$A:$A),MATCH(AA$1,[4]characters!$1:$1,0)-MATCH("character_id",[4]characters!$1:$1,0)+1),MATCH(AA$1,[4]characters!$1:$1,0)-MATCH("character_id",[4]characters!$1:$1,0)+1,FALSE),"")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107" s="5">
        <f ca="1">IFERROR(VLOOKUP($Z107,OFFSET([4]characters!$A$1,0,0,COUNTA([4]characters!$A:$A),MATCH(AB$1,[4]characters!$1:$1,0)-MATCH("character_id",[4]characters!$1:$1,0)+1),MATCH(AB$1,[4]characters!$1:$1,0)-MATCH("character_id",[4]characters!$1:$1,0)+1,FALSE),"")</f>
        <v>1</v>
      </c>
      <c r="AC107" s="5" t="str">
        <f ca="1">IFERROR(VLOOKUP($Z107,OFFSET([4]characters!$A$1,0,0,COUNTA([4]characters!$A:$A),MATCH(AC$1,[4]characters!$1:$1,0)-MATCH("character_id",[4]characters!$1:$1,0)+1),MATCH(AC$1,[4]characters!$1:$1,0)-MATCH("character_id",[4]characters!$1:$1,0)+1,FALSE),"")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07" s="36">
        <v>5</v>
      </c>
      <c r="AE107" s="37">
        <f t="shared" ref="AE107" ca="1" si="98">AB107</f>
        <v>1</v>
      </c>
      <c r="AF107" s="7">
        <v>0</v>
      </c>
      <c r="AG107" s="36">
        <v>0</v>
      </c>
      <c r="AH107" s="36">
        <v>0</v>
      </c>
      <c r="AI107" s="36">
        <v>0</v>
      </c>
      <c r="AJ107" s="36">
        <v>0</v>
      </c>
      <c r="AK107" s="36">
        <v>1</v>
      </c>
      <c r="AL107" s="36">
        <v>1</v>
      </c>
    </row>
    <row r="108" spans="1:38" ht="21" customHeight="1" x14ac:dyDescent="0.15">
      <c r="A108" s="17" t="str">
        <f t="shared" ca="1" si="83"/>
        <v>13101_12-1/17&lt;lv30&gt;s2</v>
      </c>
      <c r="B108" s="26">
        <v>13101</v>
      </c>
      <c r="C108" s="30">
        <v>12</v>
      </c>
      <c r="D108" s="16" t="str">
        <f t="shared" si="84"/>
        <v>13101_12</v>
      </c>
      <c r="E108" s="5" t="str">
        <f ca="1">VLOOKUP($B108,OFFSET([2]quests!$A$1,0,0,COUNTA([2]quests!$A:$A),MATCH(E$1,[2]quests!$1:$1,0)-MATCH($B$1,[2]quests!$1:$1,0)+1),MATCH(E$1,[2]quests!$1:$1,0)-MATCH($B$1,[2]quests!$1:$1,0)+1,FALSE)</f>
        <v>チャレンジタワー</v>
      </c>
      <c r="F108" s="5" t="e">
        <f ca="1">VLOOKUP($D108,OFFSET([2]stages!$A$1,0,0,COUNTA([2]stages!$A:$A),MATCH(F$1,[2]stages!$1:$1,0)-MATCH($D$1,[2]stages!$1:$1,0)+1),MATCH(F$1,[2]stages!$1:$1,0)-MATCH($D$1,[2]stages!$1:$1,0)+1,FALSE)</f>
        <v>#N/A</v>
      </c>
      <c r="G108" s="33">
        <v>1</v>
      </c>
      <c r="H108" s="16" t="str">
        <f t="shared" si="85"/>
        <v>13101_12-1</v>
      </c>
      <c r="I108" s="39" t="s">
        <v>245</v>
      </c>
      <c r="J108" s="31">
        <v>17</v>
      </c>
      <c r="K108" s="20" t="str">
        <f ca="1">VLOOKUP($J108,OFFSET([3]enemies!$A$1,0,0,COUNTA([3]enemies!$A:$A),MATCH(K$1,[3]enemies!$1:$1,0)-MATCH($J$1,[3]enemies!$1:$1,0)+1),MATCH(K$1,[3]enemies!$1:$1,0)-MATCH($J$1,[3]enemies!$1:$1,0)+1,FALSE)</f>
        <v>リム</v>
      </c>
      <c r="L108" s="23" t="str">
        <f ca="1">VLOOKUP($J108,OFFSET([3]enemies!$A$1,0,0,COUNTA([3]enemies!$A:$A),MATCH(L$1,[3]enemies!$1:$1,0)-MATCH($J$1,[3]enemies!$1:$1,0)+1),MATCH(L$1,[3]enemies!$1:$1,0)-MATCH($J$1,[3]enemies!$1:$1,0)+1,FALSE)</f>
        <v>blue</v>
      </c>
      <c r="M108" s="23" t="str">
        <f ca="1">VLOOKUP($J108,OFFSET([4]characters!$A$1,0,0,COUNTA([4]characters!$A:$A),MATCH(M$1,[4]characters!$1:$1,0)-MATCH($J$1,[4]characters!$1:$1,0)+1),MATCH(M$1,[4]characters!$1:$1,0)-MATCH($J$1,[4]characters!$1:$1,0)+1,FALSE)</f>
        <v>Drop1W</v>
      </c>
      <c r="N108" s="22" t="str">
        <f ca="1">VLOOKUP($J108,OFFSET([4]characters!$A$1,0,0,COUNTA([4]characters!$A:$A),MATCH(N$1,[4]characters!$1:$1,0)-MATCH($J$1,[4]characters!$1:$1,0)+2),MATCH(N$1,[4]characters!$1:$1,0)-MATCH($J$1,[4]characters!$1:$1,0)+2,FALSE)</f>
        <v>ヒューマン</v>
      </c>
      <c r="O108" s="5">
        <f ca="1">VLOOKUP($J108,OFFSET([3]enemies!$A$1,0,0,COUNTA([3]enemies!$A:$A),MATCH(O$1,[3]enemies!$1:$1,0)-MATCH($J$1,[3]enemies!$1:$1,0)+1),MATCH(O$1,[3]enemies!$1:$1,0)-MATCH($J$1,[3]enemies!$1:$1,0)+1,FALSE)</f>
        <v>15</v>
      </c>
      <c r="P108" s="46">
        <v>30</v>
      </c>
      <c r="Q108" s="43">
        <v>1</v>
      </c>
      <c r="R108" s="43">
        <v>1</v>
      </c>
      <c r="S108" s="6">
        <v>0</v>
      </c>
      <c r="T108" s="5" t="str">
        <f ca="1">VLOOKUP($U108,OFFSET([5]enemy_skill_sets!$B$1,0,0,COUNTA([5]enemy_skill_sets!$B:$B),MATCH(K$1,[5]enemy_skill_sets!$1:$1,0)-MATCH($U$1,[5]enemy_skill_sets!$1:$1,0)+2),MATCH(K$1,[5]enemy_skill_sets!$1:$1,0)-MATCH($U$1,[5]enemy_skill_sets!$1:$1,0)+2,FALSE)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08" s="5">
        <f ca="1">VLOOKUP($J108,OFFSET([3]enemies!$A$1,0,0,COUNTA([3]enemies!$A:$A),MATCH(U$1,[3]enemies!$1:$1,0)-MATCH($J$1,[3]enemies!$1:$1,0)+1),MATCH(U$1,[3]enemies!$1:$1,0)-MATCH($J$1,[3]enemies!$1:$1,0)+1,FALSE)</f>
        <v>0</v>
      </c>
      <c r="V108" s="7">
        <v>0</v>
      </c>
      <c r="W108" s="7">
        <v>100</v>
      </c>
      <c r="X108" s="7">
        <v>0</v>
      </c>
      <c r="Y108" s="20">
        <f ca="1">VLOOKUP($J108,OFFSET([3]enemies!$A$1,0,0,COUNTA([3]enemies!$A:$A),MATCH(Y$1,[3]enemies!$1:$1,0)-MATCH($J$1,[3]enemies!$1:$1,0)+1),MATCH(Y$1,[3]enemies!$1:$1,0)-MATCH($J$1,[3]enemies!$1:$1,0)+1,FALSE)</f>
        <v>2</v>
      </c>
      <c r="Z108" s="31">
        <v>17</v>
      </c>
      <c r="AA108" s="5" t="str">
        <f ca="1">IFERROR(VLOOKUP($Z108,OFFSET([4]characters!$A$1,0,0,COUNTA([4]characters!$A:$A),MATCH(AA$1,[4]characters!$1:$1,0)-MATCH("character_id",[4]characters!$1:$1,0)+1),MATCH(AA$1,[4]characters!$1:$1,0)-MATCH("character_id",[4]characters!$1:$1,0)+1,FALSE),"")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108" s="5">
        <f ca="1">IFERROR(VLOOKUP($Z108,OFFSET([4]characters!$A$1,0,0,COUNTA([4]characters!$A:$A),MATCH(AB$1,[4]characters!$1:$1,0)-MATCH("character_id",[4]characters!$1:$1,0)+1),MATCH(AB$1,[4]characters!$1:$1,0)-MATCH("character_id",[4]characters!$1:$1,0)+1,FALSE),"")</f>
        <v>1</v>
      </c>
      <c r="AC108" s="5" t="str">
        <f ca="1">IFERROR(VLOOKUP($Z108,OFFSET([4]characters!$A$1,0,0,COUNTA([4]characters!$A:$A),MATCH(AC$1,[4]characters!$1:$1,0)-MATCH("character_id",[4]characters!$1:$1,0)+1),MATCH(AC$1,[4]characters!$1:$1,0)-MATCH("character_id",[4]characters!$1:$1,0)+1,FALSE),"")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08" s="36">
        <v>5</v>
      </c>
      <c r="AE108" s="37">
        <f t="shared" ca="1" si="86"/>
        <v>1</v>
      </c>
      <c r="AF108" s="7">
        <v>25</v>
      </c>
      <c r="AG108" s="36">
        <v>0</v>
      </c>
      <c r="AH108" s="36">
        <v>0</v>
      </c>
      <c r="AI108" s="36">
        <v>0</v>
      </c>
      <c r="AJ108" s="36">
        <v>0</v>
      </c>
      <c r="AK108" s="36">
        <v>1</v>
      </c>
      <c r="AL108" s="36">
        <v>1</v>
      </c>
    </row>
    <row r="109" spans="1:38" ht="21" customHeight="1" x14ac:dyDescent="0.15">
      <c r="A109" s="17" t="str">
        <f t="shared" ca="1" si="83"/>
        <v>13101_12-1/61&lt;lv30&gt;s2</v>
      </c>
      <c r="B109" s="26">
        <v>13101</v>
      </c>
      <c r="C109" s="30">
        <v>12</v>
      </c>
      <c r="D109" s="16" t="str">
        <f t="shared" si="84"/>
        <v>13101_12</v>
      </c>
      <c r="E109" s="5" t="str">
        <f ca="1">VLOOKUP($B109,OFFSET([2]quests!$A$1,0,0,COUNTA([2]quests!$A:$A),MATCH(E$1,[2]quests!$1:$1,0)-MATCH($B$1,[2]quests!$1:$1,0)+1),MATCH(E$1,[2]quests!$1:$1,0)-MATCH($B$1,[2]quests!$1:$1,0)+1,FALSE)</f>
        <v>チャレンジタワー</v>
      </c>
      <c r="F109" s="5" t="e">
        <f ca="1">VLOOKUP($D109,OFFSET([2]stages!$A$1,0,0,COUNTA([2]stages!$A:$A),MATCH(F$1,[2]stages!$1:$1,0)-MATCH($D$1,[2]stages!$1:$1,0)+1),MATCH(F$1,[2]stages!$1:$1,0)-MATCH($D$1,[2]stages!$1:$1,0)+1,FALSE)</f>
        <v>#N/A</v>
      </c>
      <c r="G109" s="33">
        <v>1</v>
      </c>
      <c r="H109" s="16" t="str">
        <f t="shared" si="85"/>
        <v>13101_12-1</v>
      </c>
      <c r="I109" s="39" t="s">
        <v>245</v>
      </c>
      <c r="J109" s="31">
        <v>61</v>
      </c>
      <c r="K109" s="20" t="str">
        <f ca="1">VLOOKUP($J109,OFFSET([3]enemies!$A$1,0,0,COUNTA([3]enemies!$A:$A),MATCH(K$1,[3]enemies!$1:$1,0)-MATCH($J$1,[3]enemies!$1:$1,0)+1),MATCH(K$1,[3]enemies!$1:$1,0)-MATCH($J$1,[3]enemies!$1:$1,0)+1,FALSE)</f>
        <v>クロウ</v>
      </c>
      <c r="L109" s="23" t="str">
        <f ca="1">VLOOKUP($J109,OFFSET([3]enemies!$A$1,0,0,COUNTA([3]enemies!$A:$A),MATCH(L$1,[3]enemies!$1:$1,0)-MATCH($J$1,[3]enemies!$1:$1,0)+1),MATCH(L$1,[3]enemies!$1:$1,0)-MATCH($J$1,[3]enemies!$1:$1,0)+1,FALSE)</f>
        <v>blue</v>
      </c>
      <c r="M109" s="23" t="str">
        <f ca="1">VLOOKUP($J109,OFFSET([4]characters!$A$1,0,0,COUNTA([4]characters!$A:$A),MATCH(M$1,[4]characters!$1:$1,0)-MATCH($J$1,[4]characters!$1:$1,0)+1),MATCH(M$1,[4]characters!$1:$1,0)-MATCH($J$1,[4]characters!$1:$1,0)+1,FALSE)</f>
        <v>Drop1N</v>
      </c>
      <c r="N109" s="22" t="str">
        <f ca="1">VLOOKUP($J109,OFFSET([4]characters!$A$1,0,0,COUNTA([4]characters!$A:$A),MATCH(N$1,[4]characters!$1:$1,0)-MATCH($J$1,[4]characters!$1:$1,0)+2),MATCH(N$1,[4]characters!$1:$1,0)-MATCH($J$1,[4]characters!$1:$1,0)+2,FALSE)</f>
        <v>アニマル</v>
      </c>
      <c r="O109" s="5">
        <f ca="1">VLOOKUP($J109,OFFSET([3]enemies!$A$1,0,0,COUNTA([3]enemies!$A:$A),MATCH(O$1,[3]enemies!$1:$1,0)-MATCH($J$1,[3]enemies!$1:$1,0)+1),MATCH(O$1,[3]enemies!$1:$1,0)-MATCH($J$1,[3]enemies!$1:$1,0)+1,FALSE)</f>
        <v>15</v>
      </c>
      <c r="P109" s="46">
        <v>30</v>
      </c>
      <c r="Q109" s="43">
        <v>1</v>
      </c>
      <c r="R109" s="43">
        <v>1</v>
      </c>
      <c r="S109" s="6">
        <v>0</v>
      </c>
      <c r="T109" s="5" t="str">
        <f ca="1">VLOOKUP($U109,OFFSET([5]enemy_skill_sets!$B$1,0,0,COUNTA([5]enemy_skill_sets!$B:$B),MATCH(K$1,[5]enemy_skill_sets!$1:$1,0)-MATCH($U$1,[5]enemy_skill_sets!$1:$1,0)+2),MATCH(K$1,[5]enemy_skill_sets!$1:$1,0)-MATCH($U$1,[5]enemy_skill_sets!$1:$1,0)+2,FALSE)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09" s="5">
        <f ca="1">VLOOKUP($J109,OFFSET([3]enemies!$A$1,0,0,COUNTA([3]enemies!$A:$A),MATCH(U$1,[3]enemies!$1:$1,0)-MATCH($J$1,[3]enemies!$1:$1,0)+1),MATCH(U$1,[3]enemies!$1:$1,0)-MATCH($J$1,[3]enemies!$1:$1,0)+1,FALSE)</f>
        <v>61</v>
      </c>
      <c r="V109" s="7">
        <v>1</v>
      </c>
      <c r="W109" s="7">
        <v>0</v>
      </c>
      <c r="X109" s="7">
        <v>1</v>
      </c>
      <c r="Y109" s="20">
        <f ca="1">VLOOKUP($J109,OFFSET([3]enemies!$A$1,0,0,COUNTA([3]enemies!$A:$A),MATCH(Y$1,[3]enemies!$1:$1,0)-MATCH($J$1,[3]enemies!$1:$1,0)+1),MATCH(Y$1,[3]enemies!$1:$1,0)-MATCH($J$1,[3]enemies!$1:$1,0)+1,FALSE)</f>
        <v>2</v>
      </c>
      <c r="Z109" s="31">
        <v>61</v>
      </c>
      <c r="AA109" s="5" t="str">
        <f ca="1">IFERROR(VLOOKUP($Z109,OFFSET([4]characters!$A$1,0,0,COUNTA([4]characters!$A:$A),MATCH(AA$1,[4]characters!$1:$1,0)-MATCH("character_id",[4]characters!$1:$1,0)+1),MATCH(AA$1,[4]characters!$1:$1,0)-MATCH("character_id",[4]characters!$1:$1,0)+1,FALSE),"")</f>
        <v>クロウ</v>
      </c>
      <c r="AB109" s="5">
        <f ca="1">IFERROR(VLOOKUP($Z109,OFFSET([4]characters!$A$1,0,0,COUNTA([4]characters!$A:$A),MATCH(AB$1,[4]characters!$1:$1,0)-MATCH("character_id",[4]characters!$1:$1,0)+1),MATCH(AB$1,[4]characters!$1:$1,0)-MATCH("character_id",[4]characters!$1:$1,0)+1,FALSE),"")</f>
        <v>2</v>
      </c>
      <c r="AC109" s="5" t="str">
        <f ca="1">IFERROR(VLOOKUP($Z109,OFFSET([4]characters!$A$1,0,0,COUNTA([4]characters!$A:$A),MATCH(AC$1,[4]characters!$1:$1,0)-MATCH("character_id",[4]characters!$1:$1,0)+1),MATCH(AC$1,[4]characters!$1:$1,0)-MATCH("character_id",[4]characters!$1:$1,0)+1,FALSE),"")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09" s="36">
        <v>3</v>
      </c>
      <c r="AE109" s="37">
        <f t="shared" ca="1" si="86"/>
        <v>2</v>
      </c>
      <c r="AF109" s="7">
        <v>25</v>
      </c>
      <c r="AG109" s="36">
        <v>0</v>
      </c>
      <c r="AH109" s="36">
        <v>0</v>
      </c>
      <c r="AI109" s="36">
        <v>0</v>
      </c>
      <c r="AJ109" s="36">
        <v>0</v>
      </c>
      <c r="AK109" s="36">
        <v>1</v>
      </c>
      <c r="AL109" s="36">
        <v>1</v>
      </c>
    </row>
    <row r="110" spans="1:38" ht="21" customHeight="1" x14ac:dyDescent="0.15">
      <c r="A110" s="17" t="str">
        <f t="shared" ca="1" si="83"/>
        <v>13101_12-2/17&lt;lv30&gt;s2</v>
      </c>
      <c r="B110" s="26">
        <v>13101</v>
      </c>
      <c r="C110" s="30">
        <v>12</v>
      </c>
      <c r="D110" s="16" t="str">
        <f t="shared" si="84"/>
        <v>13101_12</v>
      </c>
      <c r="E110" s="5" t="str">
        <f ca="1">VLOOKUP($B110,OFFSET([2]quests!$A$1,0,0,COUNTA([2]quests!$A:$A),MATCH(E$1,[2]quests!$1:$1,0)-MATCH($B$1,[2]quests!$1:$1,0)+1),MATCH(E$1,[2]quests!$1:$1,0)-MATCH($B$1,[2]quests!$1:$1,0)+1,FALSE)</f>
        <v>チャレンジタワー</v>
      </c>
      <c r="F110" s="5" t="e">
        <f ca="1">VLOOKUP($D110,OFFSET([2]stages!$A$1,0,0,COUNTA([2]stages!$A:$A),MATCH(F$1,[2]stages!$1:$1,0)-MATCH($D$1,[2]stages!$1:$1,0)+1),MATCH(F$1,[2]stages!$1:$1,0)-MATCH($D$1,[2]stages!$1:$1,0)+1,FALSE)</f>
        <v>#N/A</v>
      </c>
      <c r="G110" s="33">
        <v>2</v>
      </c>
      <c r="H110" s="16" t="str">
        <f t="shared" si="85"/>
        <v>13101_12-2</v>
      </c>
      <c r="I110" s="39" t="s">
        <v>245</v>
      </c>
      <c r="J110" s="31">
        <v>17</v>
      </c>
      <c r="K110" s="20" t="str">
        <f ca="1">VLOOKUP($J110,OFFSET([3]enemies!$A$1,0,0,COUNTA([3]enemies!$A:$A),MATCH(K$1,[3]enemies!$1:$1,0)-MATCH($J$1,[3]enemies!$1:$1,0)+1),MATCH(K$1,[3]enemies!$1:$1,0)-MATCH($J$1,[3]enemies!$1:$1,0)+1,FALSE)</f>
        <v>リム</v>
      </c>
      <c r="L110" s="23" t="str">
        <f ca="1">VLOOKUP($J110,OFFSET([3]enemies!$A$1,0,0,COUNTA([3]enemies!$A:$A),MATCH(L$1,[3]enemies!$1:$1,0)-MATCH($J$1,[3]enemies!$1:$1,0)+1),MATCH(L$1,[3]enemies!$1:$1,0)-MATCH($J$1,[3]enemies!$1:$1,0)+1,FALSE)</f>
        <v>blue</v>
      </c>
      <c r="M110" s="23" t="str">
        <f ca="1">VLOOKUP($J110,OFFSET([4]characters!$A$1,0,0,COUNTA([4]characters!$A:$A),MATCH(M$1,[4]characters!$1:$1,0)-MATCH($J$1,[4]characters!$1:$1,0)+1),MATCH(M$1,[4]characters!$1:$1,0)-MATCH($J$1,[4]characters!$1:$1,0)+1,FALSE)</f>
        <v>Drop1W</v>
      </c>
      <c r="N110" s="22" t="str">
        <f ca="1">VLOOKUP($J110,OFFSET([4]characters!$A$1,0,0,COUNTA([4]characters!$A:$A),MATCH(N$1,[4]characters!$1:$1,0)-MATCH($J$1,[4]characters!$1:$1,0)+2),MATCH(N$1,[4]characters!$1:$1,0)-MATCH($J$1,[4]characters!$1:$1,0)+2,FALSE)</f>
        <v>ヒューマン</v>
      </c>
      <c r="O110" s="5">
        <f ca="1">VLOOKUP($J110,OFFSET([3]enemies!$A$1,0,0,COUNTA([3]enemies!$A:$A),MATCH(O$1,[3]enemies!$1:$1,0)-MATCH($J$1,[3]enemies!$1:$1,0)+1),MATCH(O$1,[3]enemies!$1:$1,0)-MATCH($J$1,[3]enemies!$1:$1,0)+1,FALSE)</f>
        <v>15</v>
      </c>
      <c r="P110" s="46">
        <v>30</v>
      </c>
      <c r="Q110" s="43">
        <v>1</v>
      </c>
      <c r="R110" s="43">
        <v>1</v>
      </c>
      <c r="S110" s="6">
        <v>0</v>
      </c>
      <c r="T110" s="5" t="str">
        <f ca="1">VLOOKUP($U110,OFFSET([5]enemy_skill_sets!$B$1,0,0,COUNTA([5]enemy_skill_sets!$B:$B),MATCH(K$1,[5]enemy_skill_sets!$1:$1,0)-MATCH($U$1,[5]enemy_skill_sets!$1:$1,0)+2),MATCH(K$1,[5]enemy_skill_sets!$1:$1,0)-MATCH($U$1,[5]enemy_skill_sets!$1:$1,0)+2,FALSE)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10" s="5">
        <f ca="1">VLOOKUP($J110,OFFSET([3]enemies!$A$1,0,0,COUNTA([3]enemies!$A:$A),MATCH(U$1,[3]enemies!$1:$1,0)-MATCH($J$1,[3]enemies!$1:$1,0)+1),MATCH(U$1,[3]enemies!$1:$1,0)-MATCH($J$1,[3]enemies!$1:$1,0)+1,FALSE)</f>
        <v>0</v>
      </c>
      <c r="V110" s="7">
        <v>0</v>
      </c>
      <c r="W110" s="7">
        <v>100</v>
      </c>
      <c r="X110" s="7">
        <v>0</v>
      </c>
      <c r="Y110" s="20">
        <f ca="1">VLOOKUP($J110,OFFSET([3]enemies!$A$1,0,0,COUNTA([3]enemies!$A:$A),MATCH(Y$1,[3]enemies!$1:$1,0)-MATCH($J$1,[3]enemies!$1:$1,0)+1),MATCH(Y$1,[3]enemies!$1:$1,0)-MATCH($J$1,[3]enemies!$1:$1,0)+1,FALSE)</f>
        <v>2</v>
      </c>
      <c r="Z110" s="31">
        <v>17</v>
      </c>
      <c r="AA110" s="5" t="str">
        <f ca="1">IFERROR(VLOOKUP($Z110,OFFSET([4]characters!$A$1,0,0,COUNTA([4]characters!$A:$A),MATCH(AA$1,[4]characters!$1:$1,0)-MATCH("character_id",[4]characters!$1:$1,0)+1),MATCH(AA$1,[4]characters!$1:$1,0)-MATCH("character_id",[4]characters!$1:$1,0)+1,FALSE),"")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110" s="5">
        <f ca="1">IFERROR(VLOOKUP($Z110,OFFSET([4]characters!$A$1,0,0,COUNTA([4]characters!$A:$A),MATCH(AB$1,[4]characters!$1:$1,0)-MATCH("character_id",[4]characters!$1:$1,0)+1),MATCH(AB$1,[4]characters!$1:$1,0)-MATCH("character_id",[4]characters!$1:$1,0)+1,FALSE),"")</f>
        <v>1</v>
      </c>
      <c r="AC110" s="5" t="str">
        <f ca="1">IFERROR(VLOOKUP($Z110,OFFSET([4]characters!$A$1,0,0,COUNTA([4]characters!$A:$A),MATCH(AC$1,[4]characters!$1:$1,0)-MATCH("character_id",[4]characters!$1:$1,0)+1),MATCH(AC$1,[4]characters!$1:$1,0)-MATCH("character_id",[4]characters!$1:$1,0)+1,FALSE),"")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10" s="36">
        <v>5</v>
      </c>
      <c r="AE110" s="37">
        <f t="shared" ca="1" si="86"/>
        <v>1</v>
      </c>
      <c r="AF110" s="7">
        <v>25</v>
      </c>
      <c r="AG110" s="36">
        <v>0</v>
      </c>
      <c r="AH110" s="36">
        <v>0</v>
      </c>
      <c r="AI110" s="36">
        <v>0</v>
      </c>
      <c r="AJ110" s="36">
        <v>0</v>
      </c>
      <c r="AK110" s="36">
        <v>1</v>
      </c>
      <c r="AL110" s="36">
        <v>1</v>
      </c>
    </row>
    <row r="111" spans="1:38" ht="21" customHeight="1" x14ac:dyDescent="0.15">
      <c r="A111" s="17" t="str">
        <f t="shared" ca="1" si="83"/>
        <v>13101_12-2/25&lt;lv30&gt;s3</v>
      </c>
      <c r="B111" s="26">
        <v>13101</v>
      </c>
      <c r="C111" s="30">
        <v>12</v>
      </c>
      <c r="D111" s="16" t="str">
        <f t="shared" si="84"/>
        <v>13101_12</v>
      </c>
      <c r="E111" s="5" t="str">
        <f ca="1">VLOOKUP($B111,OFFSET([2]quests!$A$1,0,0,COUNTA([2]quests!$A:$A),MATCH(E$1,[2]quests!$1:$1,0)-MATCH($B$1,[2]quests!$1:$1,0)+1),MATCH(E$1,[2]quests!$1:$1,0)-MATCH($B$1,[2]quests!$1:$1,0)+1,FALSE)</f>
        <v>チャレンジタワー</v>
      </c>
      <c r="F111" s="5" t="e">
        <f ca="1">VLOOKUP($D111,OFFSET([2]stages!$A$1,0,0,COUNTA([2]stages!$A:$A),MATCH(F$1,[2]stages!$1:$1,0)-MATCH($D$1,[2]stages!$1:$1,0)+1),MATCH(F$1,[2]stages!$1:$1,0)-MATCH($D$1,[2]stages!$1:$1,0)+1,FALSE)</f>
        <v>#N/A</v>
      </c>
      <c r="G111" s="33">
        <v>2</v>
      </c>
      <c r="H111" s="16" t="str">
        <f t="shared" si="85"/>
        <v>13101_12-2</v>
      </c>
      <c r="I111" s="39" t="s">
        <v>245</v>
      </c>
      <c r="J111" s="31">
        <v>25</v>
      </c>
      <c r="K111" s="20" t="str">
        <f ca="1">VLOOKUP($J111,OFFSET([3]enemies!$A$1,0,0,COUNTA([3]enemies!$A:$A),MATCH(K$1,[3]enemies!$1:$1,0)-MATCH($J$1,[3]enemies!$1:$1,0)+1),MATCH(K$1,[3]enemies!$1:$1,0)-MATCH($J$1,[3]enemies!$1:$1,0)+1,FALSE)</f>
        <v>ハチ</v>
      </c>
      <c r="L111" s="23" t="str">
        <f ca="1">VLOOKUP($J111,OFFSET([3]enemies!$A$1,0,0,COUNTA([3]enemies!$A:$A),MATCH(L$1,[3]enemies!$1:$1,0)-MATCH($J$1,[3]enemies!$1:$1,0)+1),MATCH(L$1,[3]enemies!$1:$1,0)-MATCH($J$1,[3]enemies!$1:$1,0)+1,FALSE)</f>
        <v>blue</v>
      </c>
      <c r="M111" s="23" t="str">
        <f ca="1">VLOOKUP($J111,OFFSET([4]characters!$A$1,0,0,COUNTA([4]characters!$A:$A),MATCH(M$1,[4]characters!$1:$1,0)-MATCH($J$1,[4]characters!$1:$1,0)+1),MATCH(M$1,[4]characters!$1:$1,0)-MATCH($J$1,[4]characters!$1:$1,0)+1,FALSE)</f>
        <v>Drop1N</v>
      </c>
      <c r="N111" s="22" t="str">
        <f ca="1">VLOOKUP($J111,OFFSET([4]characters!$A$1,0,0,COUNTA([4]characters!$A:$A),MATCH(N$1,[4]characters!$1:$1,0)-MATCH($J$1,[4]characters!$1:$1,0)+2),MATCH(N$1,[4]characters!$1:$1,0)-MATCH($J$1,[4]characters!$1:$1,0)+2,FALSE)</f>
        <v>アニマル</v>
      </c>
      <c r="O111" s="5">
        <f ca="1">VLOOKUP($J111,OFFSET([3]enemies!$A$1,0,0,COUNTA([3]enemies!$A:$A),MATCH(O$1,[3]enemies!$1:$1,0)-MATCH($J$1,[3]enemies!$1:$1,0)+1),MATCH(O$1,[3]enemies!$1:$1,0)-MATCH($J$1,[3]enemies!$1:$1,0)+1,FALSE)</f>
        <v>15</v>
      </c>
      <c r="P111" s="46">
        <v>30</v>
      </c>
      <c r="Q111" s="43">
        <v>1</v>
      </c>
      <c r="R111" s="43">
        <v>1</v>
      </c>
      <c r="S111" s="6">
        <v>0</v>
      </c>
      <c r="T111" s="5" t="str">
        <f ca="1">VLOOKUP($U111,OFFSET([5]enemy_skill_sets!$B$1,0,0,COUNTA([5]enemy_skill_sets!$B:$B),MATCH(K$1,[5]enemy_skill_sets!$1:$1,0)-MATCH($U$1,[5]enemy_skill_sets!$1:$1,0)+2),MATCH(K$1,[5]enemy_skill_sets!$1:$1,0)-MATCH($U$1,[5]enemy_skill_sets!$1:$1,0)+2,FALSE)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11" s="5">
        <f ca="1">VLOOKUP($J111,OFFSET([3]enemies!$A$1,0,0,COUNTA([3]enemies!$A:$A),MATCH(U$1,[3]enemies!$1:$1,0)-MATCH($J$1,[3]enemies!$1:$1,0)+1),MATCH(U$1,[3]enemies!$1:$1,0)-MATCH($J$1,[3]enemies!$1:$1,0)+1,FALSE)</f>
        <v>0</v>
      </c>
      <c r="V111" s="7">
        <v>0</v>
      </c>
      <c r="W111" s="7">
        <v>100</v>
      </c>
      <c r="X111" s="7">
        <v>0</v>
      </c>
      <c r="Y111" s="20">
        <f ca="1">VLOOKUP($J111,OFFSET([3]enemies!$A$1,0,0,COUNTA([3]enemies!$A:$A),MATCH(Y$1,[3]enemies!$1:$1,0)-MATCH($J$1,[3]enemies!$1:$1,0)+1),MATCH(Y$1,[3]enemies!$1:$1,0)-MATCH($J$1,[3]enemies!$1:$1,0)+1,FALSE)</f>
        <v>3</v>
      </c>
      <c r="Z111" s="31">
        <v>25</v>
      </c>
      <c r="AA111" s="5" t="str">
        <f ca="1">IFERROR(VLOOKUP($Z111,OFFSET([4]characters!$A$1,0,0,COUNTA([4]characters!$A:$A),MATCH(AA$1,[4]characters!$1:$1,0)-MATCH("character_id",[4]characters!$1:$1,0)+1),MATCH(AA$1,[4]characters!$1:$1,0)-MATCH("character_id",[4]characters!$1:$1,0)+1,FALSE),"")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111" s="5">
        <f ca="1">IFERROR(VLOOKUP($Z111,OFFSET([4]characters!$A$1,0,0,COUNTA([4]characters!$A:$A),MATCH(AB$1,[4]characters!$1:$1,0)-MATCH("character_id",[4]characters!$1:$1,0)+1),MATCH(AB$1,[4]characters!$1:$1,0)-MATCH("character_id",[4]characters!$1:$1,0)+1,FALSE),"")</f>
        <v>1</v>
      </c>
      <c r="AC111" s="5" t="str">
        <f ca="1">IFERROR(VLOOKUP($Z111,OFFSET([4]characters!$A$1,0,0,COUNTA([4]characters!$A:$A),MATCH(AC$1,[4]characters!$1:$1,0)-MATCH("character_id",[4]characters!$1:$1,0)+1),MATCH(AC$1,[4]characters!$1:$1,0)-MATCH("character_id",[4]characters!$1:$1,0)+1,FALSE),"")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11" s="36">
        <v>3</v>
      </c>
      <c r="AE111" s="37">
        <f t="shared" ca="1" si="86"/>
        <v>1</v>
      </c>
      <c r="AF111" s="7">
        <v>25</v>
      </c>
      <c r="AG111" s="36">
        <v>0</v>
      </c>
      <c r="AH111" s="36">
        <v>0</v>
      </c>
      <c r="AI111" s="36">
        <v>0</v>
      </c>
      <c r="AJ111" s="36">
        <v>0</v>
      </c>
      <c r="AK111" s="36">
        <v>1</v>
      </c>
      <c r="AL111" s="36">
        <v>1</v>
      </c>
    </row>
    <row r="112" spans="1:38" ht="21" customHeight="1" x14ac:dyDescent="0.15">
      <c r="A112" s="17" t="str">
        <f t="shared" ca="1" si="83"/>
        <v>13101_12-3/45&lt;lv30&gt;s3</v>
      </c>
      <c r="B112" s="26">
        <v>13101</v>
      </c>
      <c r="C112" s="30">
        <v>12</v>
      </c>
      <c r="D112" s="16" t="str">
        <f t="shared" si="84"/>
        <v>13101_12</v>
      </c>
      <c r="E112" s="5" t="str">
        <f ca="1">VLOOKUP($B112,OFFSET([2]quests!$A$1,0,0,COUNTA([2]quests!$A:$A),MATCH(E$1,[2]quests!$1:$1,0)-MATCH($B$1,[2]quests!$1:$1,0)+1),MATCH(E$1,[2]quests!$1:$1,0)-MATCH($B$1,[2]quests!$1:$1,0)+1,FALSE)</f>
        <v>チャレンジタワー</v>
      </c>
      <c r="F112" s="5" t="e">
        <f ca="1">VLOOKUP($D112,OFFSET([2]stages!$A$1,0,0,COUNTA([2]stages!$A:$A),MATCH(F$1,[2]stages!$1:$1,0)-MATCH($D$1,[2]stages!$1:$1,0)+1),MATCH(F$1,[2]stages!$1:$1,0)-MATCH($D$1,[2]stages!$1:$1,0)+1,FALSE)</f>
        <v>#N/A</v>
      </c>
      <c r="G112" s="33">
        <v>3</v>
      </c>
      <c r="H112" s="16" t="str">
        <f t="shared" si="85"/>
        <v>13101_12-3</v>
      </c>
      <c r="I112" s="39" t="s">
        <v>245</v>
      </c>
      <c r="J112" s="31">
        <v>45</v>
      </c>
      <c r="K112" s="20" t="str">
        <f ca="1">VLOOKUP($J112,OFFSET([3]enemies!$A$1,0,0,COUNTA([3]enemies!$A:$A),MATCH(K$1,[3]enemies!$1:$1,0)-MATCH($J$1,[3]enemies!$1:$1,0)+1),MATCH(K$1,[3]enemies!$1:$1,0)-MATCH($J$1,[3]enemies!$1:$1,0)+1,FALSE)</f>
        <v>ショウイン</v>
      </c>
      <c r="L112" s="23" t="str">
        <f ca="1">VLOOKUP($J112,OFFSET([3]enemies!$A$1,0,0,COUNTA([3]enemies!$A:$A),MATCH(L$1,[3]enemies!$1:$1,0)-MATCH($J$1,[3]enemies!$1:$1,0)+1),MATCH(L$1,[3]enemies!$1:$1,0)-MATCH($J$1,[3]enemies!$1:$1,0)+1,FALSE)</f>
        <v>blue</v>
      </c>
      <c r="M112" s="23" t="str">
        <f ca="1">VLOOKUP($J112,OFFSET([4]characters!$A$1,0,0,COUNTA([4]characters!$A:$A),MATCH(M$1,[4]characters!$1:$1,0)-MATCH($J$1,[4]characters!$1:$1,0)+1),MATCH(M$1,[4]characters!$1:$1,0)-MATCH($J$1,[4]characters!$1:$1,0)+1,FALSE)</f>
        <v>Drop1N</v>
      </c>
      <c r="N112" s="22" t="str">
        <f ca="1">VLOOKUP($J112,OFFSET([4]characters!$A$1,0,0,COUNTA([4]characters!$A:$A),MATCH(N$1,[4]characters!$1:$1,0)-MATCH($J$1,[4]characters!$1:$1,0)+2),MATCH(N$1,[4]characters!$1:$1,0)-MATCH($J$1,[4]characters!$1:$1,0)+2,FALSE)</f>
        <v>アニマル</v>
      </c>
      <c r="O112" s="5">
        <f ca="1">VLOOKUP($J112,OFFSET([3]enemies!$A$1,0,0,COUNTA([3]enemies!$A:$A),MATCH(O$1,[3]enemies!$1:$1,0)-MATCH($J$1,[3]enemies!$1:$1,0)+1),MATCH(O$1,[3]enemies!$1:$1,0)-MATCH($J$1,[3]enemies!$1:$1,0)+1,FALSE)</f>
        <v>15</v>
      </c>
      <c r="P112" s="46">
        <v>30</v>
      </c>
      <c r="Q112" s="43">
        <v>1</v>
      </c>
      <c r="R112" s="43">
        <v>1</v>
      </c>
      <c r="S112" s="6">
        <v>0</v>
      </c>
      <c r="T112" s="5" t="str">
        <f ca="1">VLOOKUP($U112,OFFSET([5]enemy_skill_sets!$B$1,0,0,COUNTA([5]enemy_skill_sets!$B:$B),MATCH(K$1,[5]enemy_skill_sets!$1:$1,0)-MATCH($U$1,[5]enemy_skill_sets!$1:$1,0)+2),MATCH(K$1,[5]enemy_skill_sets!$1:$1,0)-MATCH($U$1,[5]enemy_skill_sets!$1:$1,0)+2,FALSE)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12" s="5">
        <f ca="1">VLOOKUP($J112,OFFSET([3]enemies!$A$1,0,0,COUNTA([3]enemies!$A:$A),MATCH(U$1,[3]enemies!$1:$1,0)-MATCH($J$1,[3]enemies!$1:$1,0)+1),MATCH(U$1,[3]enemies!$1:$1,0)-MATCH($J$1,[3]enemies!$1:$1,0)+1,FALSE)</f>
        <v>0</v>
      </c>
      <c r="V112" s="7">
        <v>0</v>
      </c>
      <c r="W112" s="7">
        <v>100</v>
      </c>
      <c r="X112" s="7">
        <v>0</v>
      </c>
      <c r="Y112" s="20">
        <f ca="1">VLOOKUP($J112,OFFSET([3]enemies!$A$1,0,0,COUNTA([3]enemies!$A:$A),MATCH(Y$1,[3]enemies!$1:$1,0)-MATCH($J$1,[3]enemies!$1:$1,0)+1),MATCH(Y$1,[3]enemies!$1:$1,0)-MATCH($J$1,[3]enemies!$1:$1,0)+1,FALSE)</f>
        <v>3</v>
      </c>
      <c r="Z112" s="31">
        <v>45</v>
      </c>
      <c r="AA112" s="5" t="str">
        <f ca="1">IFERROR(VLOOKUP($Z112,OFFSET([4]characters!$A$1,0,0,COUNTA([4]characters!$A:$A),MATCH(AA$1,[4]characters!$1:$1,0)-MATCH("character_id",[4]characters!$1:$1,0)+1),MATCH(AA$1,[4]characters!$1:$1,0)-MATCH("character_id",[4]characters!$1:$1,0)+1,FALSE),"")</f>
        <v>ショウイン</v>
      </c>
      <c r="AB112" s="5">
        <f ca="1">IFERROR(VLOOKUP($Z112,OFFSET([4]characters!$A$1,0,0,COUNTA([4]characters!$A:$A),MATCH(AB$1,[4]characters!$1:$1,0)-MATCH("character_id",[4]characters!$1:$1,0)+1),MATCH(AB$1,[4]characters!$1:$1,0)-MATCH("character_id",[4]characters!$1:$1,0)+1,FALSE),"")</f>
        <v>2</v>
      </c>
      <c r="AC112" s="5" t="str">
        <f ca="1">IFERROR(VLOOKUP($Z112,OFFSET([4]characters!$A$1,0,0,COUNTA([4]characters!$A:$A),MATCH(AC$1,[4]characters!$1:$1,0)-MATCH("character_id",[4]characters!$1:$1,0)+1),MATCH(AC$1,[4]characters!$1:$1,0)-MATCH("character_id",[4]characters!$1:$1,0)+1,FALSE),"")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12" s="36">
        <v>3</v>
      </c>
      <c r="AE112" s="37">
        <f t="shared" ca="1" si="86"/>
        <v>2</v>
      </c>
      <c r="AF112" s="7">
        <v>25</v>
      </c>
      <c r="AG112" s="36">
        <v>0</v>
      </c>
      <c r="AH112" s="36">
        <v>0</v>
      </c>
      <c r="AI112" s="36">
        <v>0</v>
      </c>
      <c r="AJ112" s="36">
        <v>0</v>
      </c>
      <c r="AK112" s="36">
        <v>1</v>
      </c>
      <c r="AL112" s="36">
        <v>1</v>
      </c>
    </row>
    <row r="113" spans="1:38" ht="21" customHeight="1" x14ac:dyDescent="0.15">
      <c r="A113" s="17" t="str">
        <f t="shared" ca="1" si="83"/>
        <v>13101_12-3/61&lt;lv30&gt;s2</v>
      </c>
      <c r="B113" s="26">
        <v>13101</v>
      </c>
      <c r="C113" s="30">
        <v>12</v>
      </c>
      <c r="D113" s="16" t="str">
        <f t="shared" si="84"/>
        <v>13101_12</v>
      </c>
      <c r="E113" s="5" t="str">
        <f ca="1">VLOOKUP($B113,OFFSET([2]quests!$A$1,0,0,COUNTA([2]quests!$A:$A),MATCH(E$1,[2]quests!$1:$1,0)-MATCH($B$1,[2]quests!$1:$1,0)+1),MATCH(E$1,[2]quests!$1:$1,0)-MATCH($B$1,[2]quests!$1:$1,0)+1,FALSE)</f>
        <v>チャレンジタワー</v>
      </c>
      <c r="F113" s="5" t="e">
        <f ca="1">VLOOKUP($D113,OFFSET([2]stages!$A$1,0,0,COUNTA([2]stages!$A:$A),MATCH(F$1,[2]stages!$1:$1,0)-MATCH($D$1,[2]stages!$1:$1,0)+1),MATCH(F$1,[2]stages!$1:$1,0)-MATCH($D$1,[2]stages!$1:$1,0)+1,FALSE)</f>
        <v>#N/A</v>
      </c>
      <c r="G113" s="33">
        <v>3</v>
      </c>
      <c r="H113" s="16" t="str">
        <f t="shared" si="85"/>
        <v>13101_12-3</v>
      </c>
      <c r="I113" s="39" t="s">
        <v>245</v>
      </c>
      <c r="J113" s="31">
        <v>61</v>
      </c>
      <c r="K113" s="20" t="str">
        <f ca="1">VLOOKUP($J113,OFFSET([3]enemies!$A$1,0,0,COUNTA([3]enemies!$A:$A),MATCH(K$1,[3]enemies!$1:$1,0)-MATCH($J$1,[3]enemies!$1:$1,0)+1),MATCH(K$1,[3]enemies!$1:$1,0)-MATCH($J$1,[3]enemies!$1:$1,0)+1,FALSE)</f>
        <v>クロウ</v>
      </c>
      <c r="L113" s="23" t="str">
        <f ca="1">VLOOKUP($J113,OFFSET([3]enemies!$A$1,0,0,COUNTA([3]enemies!$A:$A),MATCH(L$1,[3]enemies!$1:$1,0)-MATCH($J$1,[3]enemies!$1:$1,0)+1),MATCH(L$1,[3]enemies!$1:$1,0)-MATCH($J$1,[3]enemies!$1:$1,0)+1,FALSE)</f>
        <v>blue</v>
      </c>
      <c r="M113" s="23" t="str">
        <f ca="1">VLOOKUP($J113,OFFSET([4]characters!$A$1,0,0,COUNTA([4]characters!$A:$A),MATCH(M$1,[4]characters!$1:$1,0)-MATCH($J$1,[4]characters!$1:$1,0)+1),MATCH(M$1,[4]characters!$1:$1,0)-MATCH($J$1,[4]characters!$1:$1,0)+1,FALSE)</f>
        <v>Drop1N</v>
      </c>
      <c r="N113" s="22" t="str">
        <f ca="1">VLOOKUP($J113,OFFSET([4]characters!$A$1,0,0,COUNTA([4]characters!$A:$A),MATCH(N$1,[4]characters!$1:$1,0)-MATCH($J$1,[4]characters!$1:$1,0)+2),MATCH(N$1,[4]characters!$1:$1,0)-MATCH($J$1,[4]characters!$1:$1,0)+2,FALSE)</f>
        <v>アニマル</v>
      </c>
      <c r="O113" s="5">
        <f ca="1">VLOOKUP($J113,OFFSET([3]enemies!$A$1,0,0,COUNTA([3]enemies!$A:$A),MATCH(O$1,[3]enemies!$1:$1,0)-MATCH($J$1,[3]enemies!$1:$1,0)+1),MATCH(O$1,[3]enemies!$1:$1,0)-MATCH($J$1,[3]enemies!$1:$1,0)+1,FALSE)</f>
        <v>15</v>
      </c>
      <c r="P113" s="46">
        <v>30</v>
      </c>
      <c r="Q113" s="43">
        <v>1</v>
      </c>
      <c r="R113" s="43">
        <v>1</v>
      </c>
      <c r="S113" s="6">
        <v>0</v>
      </c>
      <c r="T113" s="5" t="str">
        <f ca="1">VLOOKUP($U113,OFFSET([5]enemy_skill_sets!$B$1,0,0,COUNTA([5]enemy_skill_sets!$B:$B),MATCH(K$1,[5]enemy_skill_sets!$1:$1,0)-MATCH($U$1,[5]enemy_skill_sets!$1:$1,0)+2),MATCH(K$1,[5]enemy_skill_sets!$1:$1,0)-MATCH($U$1,[5]enemy_skill_sets!$1:$1,0)+2,FALSE)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13" s="5">
        <f ca="1">VLOOKUP($J113,OFFSET([3]enemies!$A$1,0,0,COUNTA([3]enemies!$A:$A),MATCH(U$1,[3]enemies!$1:$1,0)-MATCH($J$1,[3]enemies!$1:$1,0)+1),MATCH(U$1,[3]enemies!$1:$1,0)-MATCH($J$1,[3]enemies!$1:$1,0)+1,FALSE)</f>
        <v>61</v>
      </c>
      <c r="V113" s="7">
        <v>1</v>
      </c>
      <c r="W113" s="7">
        <v>0</v>
      </c>
      <c r="X113" s="7">
        <v>1</v>
      </c>
      <c r="Y113" s="20">
        <f ca="1">VLOOKUP($J113,OFFSET([3]enemies!$A$1,0,0,COUNTA([3]enemies!$A:$A),MATCH(Y$1,[3]enemies!$1:$1,0)-MATCH($J$1,[3]enemies!$1:$1,0)+1),MATCH(Y$1,[3]enemies!$1:$1,0)-MATCH($J$1,[3]enemies!$1:$1,0)+1,FALSE)</f>
        <v>2</v>
      </c>
      <c r="Z113" s="31">
        <v>61</v>
      </c>
      <c r="AA113" s="5" t="str">
        <f ca="1">IFERROR(VLOOKUP($Z113,OFFSET([4]characters!$A$1,0,0,COUNTA([4]characters!$A:$A),MATCH(AA$1,[4]characters!$1:$1,0)-MATCH("character_id",[4]characters!$1:$1,0)+1),MATCH(AA$1,[4]characters!$1:$1,0)-MATCH("character_id",[4]characters!$1:$1,0)+1,FALSE),"")</f>
        <v>クロウ</v>
      </c>
      <c r="AB113" s="5">
        <f ca="1">IFERROR(VLOOKUP($Z113,OFFSET([4]characters!$A$1,0,0,COUNTA([4]characters!$A:$A),MATCH(AB$1,[4]characters!$1:$1,0)-MATCH("character_id",[4]characters!$1:$1,0)+1),MATCH(AB$1,[4]characters!$1:$1,0)-MATCH("character_id",[4]characters!$1:$1,0)+1,FALSE),"")</f>
        <v>2</v>
      </c>
      <c r="AC113" s="5" t="str">
        <f ca="1">IFERROR(VLOOKUP($Z113,OFFSET([4]characters!$A$1,0,0,COUNTA([4]characters!$A:$A),MATCH(AC$1,[4]characters!$1:$1,0)-MATCH("character_id",[4]characters!$1:$1,0)+1),MATCH(AC$1,[4]characters!$1:$1,0)-MATCH("character_id",[4]characters!$1:$1,0)+1,FALSE),"")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13" s="36">
        <v>3</v>
      </c>
      <c r="AE113" s="37">
        <f t="shared" ca="1" si="86"/>
        <v>2</v>
      </c>
      <c r="AF113" s="7">
        <v>25</v>
      </c>
      <c r="AG113" s="36">
        <v>0</v>
      </c>
      <c r="AH113" s="36">
        <v>0</v>
      </c>
      <c r="AI113" s="36">
        <v>0</v>
      </c>
      <c r="AJ113" s="36">
        <v>0</v>
      </c>
      <c r="AK113" s="36">
        <v>1</v>
      </c>
      <c r="AL113" s="36">
        <v>1</v>
      </c>
    </row>
    <row r="114" spans="1:38" ht="21" customHeight="1" x14ac:dyDescent="0.15">
      <c r="A114" s="17" t="str">
        <f t="shared" ca="1" si="83"/>
        <v>13101_12-4/25&lt;lv30&gt;s3</v>
      </c>
      <c r="B114" s="26">
        <v>13101</v>
      </c>
      <c r="C114" s="30">
        <v>12</v>
      </c>
      <c r="D114" s="16" t="str">
        <f t="shared" si="84"/>
        <v>13101_12</v>
      </c>
      <c r="E114" s="5" t="str">
        <f ca="1">VLOOKUP($B114,OFFSET([2]quests!$A$1,0,0,COUNTA([2]quests!$A:$A),MATCH(E$1,[2]quests!$1:$1,0)-MATCH($B$1,[2]quests!$1:$1,0)+1),MATCH(E$1,[2]quests!$1:$1,0)-MATCH($B$1,[2]quests!$1:$1,0)+1,FALSE)</f>
        <v>チャレンジタワー</v>
      </c>
      <c r="F114" s="5" t="e">
        <f ca="1">VLOOKUP($D114,OFFSET([2]stages!$A$1,0,0,COUNTA([2]stages!$A:$A),MATCH(F$1,[2]stages!$1:$1,0)-MATCH($D$1,[2]stages!$1:$1,0)+1),MATCH(F$1,[2]stages!$1:$1,0)-MATCH($D$1,[2]stages!$1:$1,0)+1,FALSE)</f>
        <v>#N/A</v>
      </c>
      <c r="G114" s="33">
        <v>4</v>
      </c>
      <c r="H114" s="16" t="str">
        <f t="shared" si="85"/>
        <v>13101_12-4</v>
      </c>
      <c r="I114" s="39" t="s">
        <v>245</v>
      </c>
      <c r="J114" s="31">
        <v>25</v>
      </c>
      <c r="K114" s="20" t="str">
        <f ca="1">VLOOKUP($J114,OFFSET([3]enemies!$A$1,0,0,COUNTA([3]enemies!$A:$A),MATCH(K$1,[3]enemies!$1:$1,0)-MATCH($J$1,[3]enemies!$1:$1,0)+1),MATCH(K$1,[3]enemies!$1:$1,0)-MATCH($J$1,[3]enemies!$1:$1,0)+1,FALSE)</f>
        <v>ハチ</v>
      </c>
      <c r="L114" s="23" t="str">
        <f ca="1">VLOOKUP($J114,OFFSET([3]enemies!$A$1,0,0,COUNTA([3]enemies!$A:$A),MATCH(L$1,[3]enemies!$1:$1,0)-MATCH($J$1,[3]enemies!$1:$1,0)+1),MATCH(L$1,[3]enemies!$1:$1,0)-MATCH($J$1,[3]enemies!$1:$1,0)+1,FALSE)</f>
        <v>blue</v>
      </c>
      <c r="M114" s="23" t="str">
        <f ca="1">VLOOKUP($J114,OFFSET([4]characters!$A$1,0,0,COUNTA([4]characters!$A:$A),MATCH(M$1,[4]characters!$1:$1,0)-MATCH($J$1,[4]characters!$1:$1,0)+1),MATCH(M$1,[4]characters!$1:$1,0)-MATCH($J$1,[4]characters!$1:$1,0)+1,FALSE)</f>
        <v>Drop1N</v>
      </c>
      <c r="N114" s="22" t="str">
        <f ca="1">VLOOKUP($J114,OFFSET([4]characters!$A$1,0,0,COUNTA([4]characters!$A:$A),MATCH(N$1,[4]characters!$1:$1,0)-MATCH($J$1,[4]characters!$1:$1,0)+2),MATCH(N$1,[4]characters!$1:$1,0)-MATCH($J$1,[4]characters!$1:$1,0)+2,FALSE)</f>
        <v>アニマル</v>
      </c>
      <c r="O114" s="5">
        <f ca="1">VLOOKUP($J114,OFFSET([3]enemies!$A$1,0,0,COUNTA([3]enemies!$A:$A),MATCH(O$1,[3]enemies!$1:$1,0)-MATCH($J$1,[3]enemies!$1:$1,0)+1),MATCH(O$1,[3]enemies!$1:$1,0)-MATCH($J$1,[3]enemies!$1:$1,0)+1,FALSE)</f>
        <v>15</v>
      </c>
      <c r="P114" s="46">
        <v>30</v>
      </c>
      <c r="Q114" s="43">
        <v>1</v>
      </c>
      <c r="R114" s="43">
        <v>1</v>
      </c>
      <c r="S114" s="6">
        <v>0</v>
      </c>
      <c r="T114" s="5" t="str">
        <f ca="1">VLOOKUP($U114,OFFSET([5]enemy_skill_sets!$B$1,0,0,COUNTA([5]enemy_skill_sets!$B:$B),MATCH(K$1,[5]enemy_skill_sets!$1:$1,0)-MATCH($U$1,[5]enemy_skill_sets!$1:$1,0)+2),MATCH(K$1,[5]enemy_skill_sets!$1:$1,0)-MATCH($U$1,[5]enemy_skill_sets!$1:$1,0)+2,FALSE)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14" s="5">
        <f ca="1">VLOOKUP($J114,OFFSET([3]enemies!$A$1,0,0,COUNTA([3]enemies!$A:$A),MATCH(U$1,[3]enemies!$1:$1,0)-MATCH($J$1,[3]enemies!$1:$1,0)+1),MATCH(U$1,[3]enemies!$1:$1,0)-MATCH($J$1,[3]enemies!$1:$1,0)+1,FALSE)</f>
        <v>0</v>
      </c>
      <c r="V114" s="7">
        <v>0</v>
      </c>
      <c r="W114" s="7">
        <v>100</v>
      </c>
      <c r="X114" s="7">
        <v>0</v>
      </c>
      <c r="Y114" s="20">
        <f ca="1">VLOOKUP($J114,OFFSET([3]enemies!$A$1,0,0,COUNTA([3]enemies!$A:$A),MATCH(Y$1,[3]enemies!$1:$1,0)-MATCH($J$1,[3]enemies!$1:$1,0)+1),MATCH(Y$1,[3]enemies!$1:$1,0)-MATCH($J$1,[3]enemies!$1:$1,0)+1,FALSE)</f>
        <v>3</v>
      </c>
      <c r="Z114" s="31">
        <v>25</v>
      </c>
      <c r="AA114" s="5" t="str">
        <f ca="1">IFERROR(VLOOKUP($Z114,OFFSET([4]characters!$A$1,0,0,COUNTA([4]characters!$A:$A),MATCH(AA$1,[4]characters!$1:$1,0)-MATCH("character_id",[4]characters!$1:$1,0)+1),MATCH(AA$1,[4]characters!$1:$1,0)-MATCH("character_id",[4]characters!$1:$1,0)+1,FALSE),"")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114" s="5">
        <f ca="1">IFERROR(VLOOKUP($Z114,OFFSET([4]characters!$A$1,0,0,COUNTA([4]characters!$A:$A),MATCH(AB$1,[4]characters!$1:$1,0)-MATCH("character_id",[4]characters!$1:$1,0)+1),MATCH(AB$1,[4]characters!$1:$1,0)-MATCH("character_id",[4]characters!$1:$1,0)+1,FALSE),"")</f>
        <v>1</v>
      </c>
      <c r="AC114" s="5" t="str">
        <f ca="1">IFERROR(VLOOKUP($Z114,OFFSET([4]characters!$A$1,0,0,COUNTA([4]characters!$A:$A),MATCH(AC$1,[4]characters!$1:$1,0)-MATCH("character_id",[4]characters!$1:$1,0)+1),MATCH(AC$1,[4]characters!$1:$1,0)-MATCH("character_id",[4]characters!$1:$1,0)+1,FALSE),"")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14" s="36">
        <v>3</v>
      </c>
      <c r="AE114" s="37">
        <f t="shared" ca="1" si="86"/>
        <v>1</v>
      </c>
      <c r="AF114" s="7">
        <v>25</v>
      </c>
      <c r="AG114" s="36">
        <v>0</v>
      </c>
      <c r="AH114" s="36">
        <v>0</v>
      </c>
      <c r="AI114" s="36">
        <v>0</v>
      </c>
      <c r="AJ114" s="36">
        <v>0</v>
      </c>
      <c r="AK114" s="36">
        <v>1</v>
      </c>
      <c r="AL114" s="36">
        <v>1</v>
      </c>
    </row>
    <row r="115" spans="1:38" ht="21" customHeight="1" x14ac:dyDescent="0.15">
      <c r="A115" s="17" t="str">
        <f t="shared" ca="1" si="83"/>
        <v>13101_12-4/45&lt;lv30&gt;s3</v>
      </c>
      <c r="B115" s="26">
        <v>13101</v>
      </c>
      <c r="C115" s="30">
        <v>12</v>
      </c>
      <c r="D115" s="16" t="str">
        <f t="shared" si="84"/>
        <v>13101_12</v>
      </c>
      <c r="E115" s="5" t="str">
        <f ca="1">VLOOKUP($B115,OFFSET([2]quests!$A$1,0,0,COUNTA([2]quests!$A:$A),MATCH(E$1,[2]quests!$1:$1,0)-MATCH($B$1,[2]quests!$1:$1,0)+1),MATCH(E$1,[2]quests!$1:$1,0)-MATCH($B$1,[2]quests!$1:$1,0)+1,FALSE)</f>
        <v>チャレンジタワー</v>
      </c>
      <c r="F115" s="5" t="e">
        <f ca="1">VLOOKUP($D115,OFFSET([2]stages!$A$1,0,0,COUNTA([2]stages!$A:$A),MATCH(F$1,[2]stages!$1:$1,0)-MATCH($D$1,[2]stages!$1:$1,0)+1),MATCH(F$1,[2]stages!$1:$1,0)-MATCH($D$1,[2]stages!$1:$1,0)+1,FALSE)</f>
        <v>#N/A</v>
      </c>
      <c r="G115" s="33">
        <v>4</v>
      </c>
      <c r="H115" s="16" t="str">
        <f t="shared" si="85"/>
        <v>13101_12-4</v>
      </c>
      <c r="I115" s="39" t="s">
        <v>245</v>
      </c>
      <c r="J115" s="31">
        <v>45</v>
      </c>
      <c r="K115" s="20" t="str">
        <f ca="1">VLOOKUP($J115,OFFSET([3]enemies!$A$1,0,0,COUNTA([3]enemies!$A:$A),MATCH(K$1,[3]enemies!$1:$1,0)-MATCH($J$1,[3]enemies!$1:$1,0)+1),MATCH(K$1,[3]enemies!$1:$1,0)-MATCH($J$1,[3]enemies!$1:$1,0)+1,FALSE)</f>
        <v>ショウイン</v>
      </c>
      <c r="L115" s="23" t="str">
        <f ca="1">VLOOKUP($J115,OFFSET([3]enemies!$A$1,0,0,COUNTA([3]enemies!$A:$A),MATCH(L$1,[3]enemies!$1:$1,0)-MATCH($J$1,[3]enemies!$1:$1,0)+1),MATCH(L$1,[3]enemies!$1:$1,0)-MATCH($J$1,[3]enemies!$1:$1,0)+1,FALSE)</f>
        <v>blue</v>
      </c>
      <c r="M115" s="23" t="str">
        <f ca="1">VLOOKUP($J115,OFFSET([4]characters!$A$1,0,0,COUNTA([4]characters!$A:$A),MATCH(M$1,[4]characters!$1:$1,0)-MATCH($J$1,[4]characters!$1:$1,0)+1),MATCH(M$1,[4]characters!$1:$1,0)-MATCH($J$1,[4]characters!$1:$1,0)+1,FALSE)</f>
        <v>Drop1N</v>
      </c>
      <c r="N115" s="22" t="str">
        <f ca="1">VLOOKUP($J115,OFFSET([4]characters!$A$1,0,0,COUNTA([4]characters!$A:$A),MATCH(N$1,[4]characters!$1:$1,0)-MATCH($J$1,[4]characters!$1:$1,0)+2),MATCH(N$1,[4]characters!$1:$1,0)-MATCH($J$1,[4]characters!$1:$1,0)+2,FALSE)</f>
        <v>アニマル</v>
      </c>
      <c r="O115" s="5">
        <f ca="1">VLOOKUP($J115,OFFSET([3]enemies!$A$1,0,0,COUNTA([3]enemies!$A:$A),MATCH(O$1,[3]enemies!$1:$1,0)-MATCH($J$1,[3]enemies!$1:$1,0)+1),MATCH(O$1,[3]enemies!$1:$1,0)-MATCH($J$1,[3]enemies!$1:$1,0)+1,FALSE)</f>
        <v>15</v>
      </c>
      <c r="P115" s="46">
        <v>30</v>
      </c>
      <c r="Q115" s="43">
        <v>1</v>
      </c>
      <c r="R115" s="43">
        <v>1</v>
      </c>
      <c r="S115" s="6">
        <v>0</v>
      </c>
      <c r="T115" s="5" t="str">
        <f ca="1">VLOOKUP($U115,OFFSET([5]enemy_skill_sets!$B$1,0,0,COUNTA([5]enemy_skill_sets!$B:$B),MATCH(K$1,[5]enemy_skill_sets!$1:$1,0)-MATCH($U$1,[5]enemy_skill_sets!$1:$1,0)+2),MATCH(K$1,[5]enemy_skill_sets!$1:$1,0)-MATCH($U$1,[5]enemy_skill_sets!$1:$1,0)+2,FALSE)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15" s="5">
        <f ca="1">VLOOKUP($J115,OFFSET([3]enemies!$A$1,0,0,COUNTA([3]enemies!$A:$A),MATCH(U$1,[3]enemies!$1:$1,0)-MATCH($J$1,[3]enemies!$1:$1,0)+1),MATCH(U$1,[3]enemies!$1:$1,0)-MATCH($J$1,[3]enemies!$1:$1,0)+1,FALSE)</f>
        <v>0</v>
      </c>
      <c r="V115" s="7">
        <v>0</v>
      </c>
      <c r="W115" s="7">
        <v>100</v>
      </c>
      <c r="X115" s="7">
        <v>0</v>
      </c>
      <c r="Y115" s="20">
        <f ca="1">VLOOKUP($J115,OFFSET([3]enemies!$A$1,0,0,COUNTA([3]enemies!$A:$A),MATCH(Y$1,[3]enemies!$1:$1,0)-MATCH($J$1,[3]enemies!$1:$1,0)+1),MATCH(Y$1,[3]enemies!$1:$1,0)-MATCH($J$1,[3]enemies!$1:$1,0)+1,FALSE)</f>
        <v>3</v>
      </c>
      <c r="Z115" s="31">
        <v>45</v>
      </c>
      <c r="AA115" s="5" t="str">
        <f ca="1">IFERROR(VLOOKUP($Z115,OFFSET([4]characters!$A$1,0,0,COUNTA([4]characters!$A:$A),MATCH(AA$1,[4]characters!$1:$1,0)-MATCH("character_id",[4]characters!$1:$1,0)+1),MATCH(AA$1,[4]characters!$1:$1,0)-MATCH("character_id",[4]characters!$1:$1,0)+1,FALSE),"")</f>
        <v>ショウイン</v>
      </c>
      <c r="AB115" s="5">
        <f ca="1">IFERROR(VLOOKUP($Z115,OFFSET([4]characters!$A$1,0,0,COUNTA([4]characters!$A:$A),MATCH(AB$1,[4]characters!$1:$1,0)-MATCH("character_id",[4]characters!$1:$1,0)+1),MATCH(AB$1,[4]characters!$1:$1,0)-MATCH("character_id",[4]characters!$1:$1,0)+1,FALSE),"")</f>
        <v>2</v>
      </c>
      <c r="AC115" s="5" t="str">
        <f ca="1">IFERROR(VLOOKUP($Z115,OFFSET([4]characters!$A$1,0,0,COUNTA([4]characters!$A:$A),MATCH(AC$1,[4]characters!$1:$1,0)-MATCH("character_id",[4]characters!$1:$1,0)+1),MATCH(AC$1,[4]characters!$1:$1,0)-MATCH("character_id",[4]characters!$1:$1,0)+1,FALSE),"")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15" s="36">
        <v>3</v>
      </c>
      <c r="AE115" s="37">
        <f t="shared" ca="1" si="86"/>
        <v>2</v>
      </c>
      <c r="AF115" s="7">
        <v>25</v>
      </c>
      <c r="AG115" s="36">
        <v>0</v>
      </c>
      <c r="AH115" s="36">
        <v>0</v>
      </c>
      <c r="AI115" s="36">
        <v>0</v>
      </c>
      <c r="AJ115" s="36">
        <v>0</v>
      </c>
      <c r="AK115" s="36">
        <v>1</v>
      </c>
      <c r="AL115" s="36">
        <v>1</v>
      </c>
    </row>
    <row r="116" spans="1:38" ht="21" customHeight="1" x14ac:dyDescent="0.15">
      <c r="A116" s="17" t="str">
        <f t="shared" ref="A116" ca="1" si="99">B116&amp;"_"&amp;C116&amp;"-"&amp;G116&amp;"/"&amp;J116&amp;"&lt;lv"&amp;P116&amp;"&gt;s"&amp;Y116</f>
        <v>13101_12-4/17&lt;lv30&gt;s2</v>
      </c>
      <c r="B116" s="26">
        <v>13101</v>
      </c>
      <c r="C116" s="30">
        <v>12</v>
      </c>
      <c r="D116" s="16" t="str">
        <f t="shared" ref="D116" si="100">B116&amp;"_"&amp;C116</f>
        <v>13101_12</v>
      </c>
      <c r="E116" s="5" t="str">
        <f ca="1">VLOOKUP($B116,OFFSET([2]quests!$A$1,0,0,COUNTA([2]quests!$A:$A),MATCH(E$1,[2]quests!$1:$1,0)-MATCH($B$1,[2]quests!$1:$1,0)+1),MATCH(E$1,[2]quests!$1:$1,0)-MATCH($B$1,[2]quests!$1:$1,0)+1,FALSE)</f>
        <v>チャレンジタワー</v>
      </c>
      <c r="F116" s="5" t="e">
        <f ca="1">VLOOKUP($D116,OFFSET([2]stages!$A$1,0,0,COUNTA([2]stages!$A:$A),MATCH(F$1,[2]stages!$1:$1,0)-MATCH($D$1,[2]stages!$1:$1,0)+1),MATCH(F$1,[2]stages!$1:$1,0)-MATCH($D$1,[2]stages!$1:$1,0)+1,FALSE)</f>
        <v>#N/A</v>
      </c>
      <c r="G116" s="33">
        <v>4</v>
      </c>
      <c r="H116" s="16" t="str">
        <f t="shared" ref="H116" si="101">B116&amp;"_"&amp;C116&amp;"-"&amp;G116</f>
        <v>13101_12-4</v>
      </c>
      <c r="I116" s="39" t="s">
        <v>245</v>
      </c>
      <c r="J116" s="31">
        <v>17</v>
      </c>
      <c r="K116" s="20" t="str">
        <f ca="1">VLOOKUP($J116,OFFSET([3]enemies!$A$1,0,0,COUNTA([3]enemies!$A:$A),MATCH(K$1,[3]enemies!$1:$1,0)-MATCH($J$1,[3]enemies!$1:$1,0)+1),MATCH(K$1,[3]enemies!$1:$1,0)-MATCH($J$1,[3]enemies!$1:$1,0)+1,FALSE)</f>
        <v>リム</v>
      </c>
      <c r="L116" s="23" t="str">
        <f ca="1">VLOOKUP($J116,OFFSET([3]enemies!$A$1,0,0,COUNTA([3]enemies!$A:$A),MATCH(L$1,[3]enemies!$1:$1,0)-MATCH($J$1,[3]enemies!$1:$1,0)+1),MATCH(L$1,[3]enemies!$1:$1,0)-MATCH($J$1,[3]enemies!$1:$1,0)+1,FALSE)</f>
        <v>blue</v>
      </c>
      <c r="M116" s="23" t="str">
        <f ca="1">VLOOKUP($J116,OFFSET([4]characters!$A$1,0,0,COUNTA([4]characters!$A:$A),MATCH(M$1,[4]characters!$1:$1,0)-MATCH($J$1,[4]characters!$1:$1,0)+1),MATCH(M$1,[4]characters!$1:$1,0)-MATCH($J$1,[4]characters!$1:$1,0)+1,FALSE)</f>
        <v>Drop1W</v>
      </c>
      <c r="N116" s="22" t="str">
        <f ca="1">VLOOKUP($J116,OFFSET([4]characters!$A$1,0,0,COUNTA([4]characters!$A:$A),MATCH(N$1,[4]characters!$1:$1,0)-MATCH($J$1,[4]characters!$1:$1,0)+2),MATCH(N$1,[4]characters!$1:$1,0)-MATCH($J$1,[4]characters!$1:$1,0)+2,FALSE)</f>
        <v>ヒューマン</v>
      </c>
      <c r="O116" s="5">
        <f ca="1">VLOOKUP($J116,OFFSET([3]enemies!$A$1,0,0,COUNTA([3]enemies!$A:$A),MATCH(O$1,[3]enemies!$1:$1,0)-MATCH($J$1,[3]enemies!$1:$1,0)+1),MATCH(O$1,[3]enemies!$1:$1,0)-MATCH($J$1,[3]enemies!$1:$1,0)+1,FALSE)</f>
        <v>15</v>
      </c>
      <c r="P116" s="46">
        <v>30</v>
      </c>
      <c r="Q116" s="43">
        <v>1</v>
      </c>
      <c r="R116" s="43">
        <v>1</v>
      </c>
      <c r="S116" s="6">
        <v>0</v>
      </c>
      <c r="T116" s="5" t="str">
        <f ca="1">VLOOKUP($U116,OFFSET([5]enemy_skill_sets!$B$1,0,0,COUNTA([5]enemy_skill_sets!$B:$B),MATCH(K$1,[5]enemy_skill_sets!$1:$1,0)-MATCH($U$1,[5]enemy_skill_sets!$1:$1,0)+2),MATCH(K$1,[5]enemy_skill_sets!$1:$1,0)-MATCH($U$1,[5]enemy_skill_sets!$1:$1,0)+2,FALSE)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16" s="5">
        <f ca="1">VLOOKUP($J116,OFFSET([3]enemies!$A$1,0,0,COUNTA([3]enemies!$A:$A),MATCH(U$1,[3]enemies!$1:$1,0)-MATCH($J$1,[3]enemies!$1:$1,0)+1),MATCH(U$1,[3]enemies!$1:$1,0)-MATCH($J$1,[3]enemies!$1:$1,0)+1,FALSE)</f>
        <v>0</v>
      </c>
      <c r="V116" s="7">
        <v>0</v>
      </c>
      <c r="W116" s="7">
        <v>100</v>
      </c>
      <c r="X116" s="7">
        <v>0</v>
      </c>
      <c r="Y116" s="20">
        <f ca="1">VLOOKUP($J116,OFFSET([3]enemies!$A$1,0,0,COUNTA([3]enemies!$A:$A),MATCH(Y$1,[3]enemies!$1:$1,0)-MATCH($J$1,[3]enemies!$1:$1,0)+1),MATCH(Y$1,[3]enemies!$1:$1,0)-MATCH($J$1,[3]enemies!$1:$1,0)+1,FALSE)</f>
        <v>2</v>
      </c>
      <c r="Z116" s="31">
        <v>17</v>
      </c>
      <c r="AA116" s="5" t="str">
        <f ca="1">IFERROR(VLOOKUP($Z116,OFFSET([4]characters!$A$1,0,0,COUNTA([4]characters!$A:$A),MATCH(AA$1,[4]characters!$1:$1,0)-MATCH("character_id",[4]characters!$1:$1,0)+1),MATCH(AA$1,[4]characters!$1:$1,0)-MATCH("character_id",[4]characters!$1:$1,0)+1,FALSE),"")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116" s="5">
        <f ca="1">IFERROR(VLOOKUP($Z116,OFFSET([4]characters!$A$1,0,0,COUNTA([4]characters!$A:$A),MATCH(AB$1,[4]characters!$1:$1,0)-MATCH("character_id",[4]characters!$1:$1,0)+1),MATCH(AB$1,[4]characters!$1:$1,0)-MATCH("character_id",[4]characters!$1:$1,0)+1,FALSE),"")</f>
        <v>1</v>
      </c>
      <c r="AC116" s="5" t="str">
        <f ca="1">IFERROR(VLOOKUP($Z116,OFFSET([4]characters!$A$1,0,0,COUNTA([4]characters!$A:$A),MATCH(AC$1,[4]characters!$1:$1,0)-MATCH("character_id",[4]characters!$1:$1,0)+1),MATCH(AC$1,[4]characters!$1:$1,0)-MATCH("character_id",[4]characters!$1:$1,0)+1,FALSE),"")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16" s="36">
        <v>5</v>
      </c>
      <c r="AE116" s="37">
        <f t="shared" ref="AE116" ca="1" si="102">AB116</f>
        <v>1</v>
      </c>
      <c r="AF116" s="7">
        <v>25</v>
      </c>
      <c r="AG116" s="36">
        <v>0</v>
      </c>
      <c r="AH116" s="36">
        <v>0</v>
      </c>
      <c r="AI116" s="36">
        <v>0</v>
      </c>
      <c r="AJ116" s="36">
        <v>0</v>
      </c>
      <c r="AK116" s="36">
        <v>1</v>
      </c>
      <c r="AL116" s="36">
        <v>1</v>
      </c>
    </row>
    <row r="117" spans="1:38" ht="21" customHeight="1" x14ac:dyDescent="0.15">
      <c r="A117" s="17" t="str">
        <f t="shared" ca="1" si="83"/>
        <v>13101_12-5/25&lt;lv30&gt;s3</v>
      </c>
      <c r="B117" s="26">
        <v>13101</v>
      </c>
      <c r="C117" s="30">
        <v>12</v>
      </c>
      <c r="D117" s="16" t="str">
        <f t="shared" si="84"/>
        <v>13101_12</v>
      </c>
      <c r="E117" s="5" t="str">
        <f ca="1">VLOOKUP($B117,OFFSET([2]quests!$A$1,0,0,COUNTA([2]quests!$A:$A),MATCH(E$1,[2]quests!$1:$1,0)-MATCH($B$1,[2]quests!$1:$1,0)+1),MATCH(E$1,[2]quests!$1:$1,0)-MATCH($B$1,[2]quests!$1:$1,0)+1,FALSE)</f>
        <v>チャレンジタワー</v>
      </c>
      <c r="F117" s="5" t="e">
        <f ca="1">VLOOKUP($D117,OFFSET([2]stages!$A$1,0,0,COUNTA([2]stages!$A:$A),MATCH(F$1,[2]stages!$1:$1,0)-MATCH($D$1,[2]stages!$1:$1,0)+1),MATCH(F$1,[2]stages!$1:$1,0)-MATCH($D$1,[2]stages!$1:$1,0)+1,FALSE)</f>
        <v>#N/A</v>
      </c>
      <c r="G117" s="33">
        <v>5</v>
      </c>
      <c r="H117" s="16" t="str">
        <f t="shared" si="85"/>
        <v>13101_12-5</v>
      </c>
      <c r="I117" s="39" t="s">
        <v>245</v>
      </c>
      <c r="J117" s="31">
        <v>25</v>
      </c>
      <c r="K117" s="20" t="str">
        <f ca="1">VLOOKUP($J117,OFFSET([3]enemies!$A$1,0,0,COUNTA([3]enemies!$A:$A),MATCH(K$1,[3]enemies!$1:$1,0)-MATCH($J$1,[3]enemies!$1:$1,0)+1),MATCH(K$1,[3]enemies!$1:$1,0)-MATCH($J$1,[3]enemies!$1:$1,0)+1,FALSE)</f>
        <v>ハチ</v>
      </c>
      <c r="L117" s="23" t="str">
        <f ca="1">VLOOKUP($J117,OFFSET([3]enemies!$A$1,0,0,COUNTA([3]enemies!$A:$A),MATCH(L$1,[3]enemies!$1:$1,0)-MATCH($J$1,[3]enemies!$1:$1,0)+1),MATCH(L$1,[3]enemies!$1:$1,0)-MATCH($J$1,[3]enemies!$1:$1,0)+1,FALSE)</f>
        <v>blue</v>
      </c>
      <c r="M117" s="23" t="str">
        <f ca="1">VLOOKUP($J117,OFFSET([4]characters!$A$1,0,0,COUNTA([4]characters!$A:$A),MATCH(M$1,[4]characters!$1:$1,0)-MATCH($J$1,[4]characters!$1:$1,0)+1),MATCH(M$1,[4]characters!$1:$1,0)-MATCH($J$1,[4]characters!$1:$1,0)+1,FALSE)</f>
        <v>Drop1N</v>
      </c>
      <c r="N117" s="22" t="str">
        <f ca="1">VLOOKUP($J117,OFFSET([4]characters!$A$1,0,0,COUNTA([4]characters!$A:$A),MATCH(N$1,[4]characters!$1:$1,0)-MATCH($J$1,[4]characters!$1:$1,0)+2),MATCH(N$1,[4]characters!$1:$1,0)-MATCH($J$1,[4]characters!$1:$1,0)+2,FALSE)</f>
        <v>アニマル</v>
      </c>
      <c r="O117" s="5">
        <f ca="1">VLOOKUP($J117,OFFSET([3]enemies!$A$1,0,0,COUNTA([3]enemies!$A:$A),MATCH(O$1,[3]enemies!$1:$1,0)-MATCH($J$1,[3]enemies!$1:$1,0)+1),MATCH(O$1,[3]enemies!$1:$1,0)-MATCH($J$1,[3]enemies!$1:$1,0)+1,FALSE)</f>
        <v>15</v>
      </c>
      <c r="P117" s="46">
        <v>30</v>
      </c>
      <c r="Q117" s="43">
        <v>1</v>
      </c>
      <c r="R117" s="43">
        <v>1</v>
      </c>
      <c r="S117" s="6">
        <v>0</v>
      </c>
      <c r="T117" s="5" t="str">
        <f ca="1">VLOOKUP($U117,OFFSET([5]enemy_skill_sets!$B$1,0,0,COUNTA([5]enemy_skill_sets!$B:$B),MATCH(K$1,[5]enemy_skill_sets!$1:$1,0)-MATCH($U$1,[5]enemy_skill_sets!$1:$1,0)+2),MATCH(K$1,[5]enemy_skill_sets!$1:$1,0)-MATCH($U$1,[5]enemy_skill_sets!$1:$1,0)+2,FALSE)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17" s="5">
        <f ca="1">VLOOKUP($J117,OFFSET([3]enemies!$A$1,0,0,COUNTA([3]enemies!$A:$A),MATCH(U$1,[3]enemies!$1:$1,0)-MATCH($J$1,[3]enemies!$1:$1,0)+1),MATCH(U$1,[3]enemies!$1:$1,0)-MATCH($J$1,[3]enemies!$1:$1,0)+1,FALSE)</f>
        <v>0</v>
      </c>
      <c r="V117" s="7">
        <v>0</v>
      </c>
      <c r="W117" s="7">
        <v>100</v>
      </c>
      <c r="X117" s="7">
        <v>0</v>
      </c>
      <c r="Y117" s="20">
        <f ca="1">VLOOKUP($J117,OFFSET([3]enemies!$A$1,0,0,COUNTA([3]enemies!$A:$A),MATCH(Y$1,[3]enemies!$1:$1,0)-MATCH($J$1,[3]enemies!$1:$1,0)+1),MATCH(Y$1,[3]enemies!$1:$1,0)-MATCH($J$1,[3]enemies!$1:$1,0)+1,FALSE)</f>
        <v>3</v>
      </c>
      <c r="Z117" s="31">
        <v>25</v>
      </c>
      <c r="AA117" s="5" t="str">
        <f ca="1">IFERROR(VLOOKUP($Z117,OFFSET([4]characters!$A$1,0,0,COUNTA([4]characters!$A:$A),MATCH(AA$1,[4]characters!$1:$1,0)-MATCH("character_id",[4]characters!$1:$1,0)+1),MATCH(AA$1,[4]characters!$1:$1,0)-MATCH("character_id",[4]characters!$1:$1,0)+1,FALSE),"")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117" s="5">
        <f ca="1">IFERROR(VLOOKUP($Z117,OFFSET([4]characters!$A$1,0,0,COUNTA([4]characters!$A:$A),MATCH(AB$1,[4]characters!$1:$1,0)-MATCH("character_id",[4]characters!$1:$1,0)+1),MATCH(AB$1,[4]characters!$1:$1,0)-MATCH("character_id",[4]characters!$1:$1,0)+1,FALSE),"")</f>
        <v>1</v>
      </c>
      <c r="AC117" s="5" t="str">
        <f ca="1">IFERROR(VLOOKUP($Z117,OFFSET([4]characters!$A$1,0,0,COUNTA([4]characters!$A:$A),MATCH(AC$1,[4]characters!$1:$1,0)-MATCH("character_id",[4]characters!$1:$1,0)+1),MATCH(AC$1,[4]characters!$1:$1,0)-MATCH("character_id",[4]characters!$1:$1,0)+1,FALSE),"")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17" s="36">
        <v>3</v>
      </c>
      <c r="AE117" s="37">
        <f t="shared" ca="1" si="86"/>
        <v>1</v>
      </c>
      <c r="AF117" s="7">
        <v>25</v>
      </c>
      <c r="AG117" s="36">
        <v>0</v>
      </c>
      <c r="AH117" s="36">
        <v>0</v>
      </c>
      <c r="AI117" s="36">
        <v>0</v>
      </c>
      <c r="AJ117" s="36">
        <v>0</v>
      </c>
      <c r="AK117" s="36">
        <v>1</v>
      </c>
      <c r="AL117" s="36">
        <v>1</v>
      </c>
    </row>
    <row r="118" spans="1:38" ht="21" customHeight="1" x14ac:dyDescent="0.15">
      <c r="A118" s="17" t="str">
        <f t="shared" ca="1" si="83"/>
        <v>13101_12-5/45&lt;lv30&gt;s3</v>
      </c>
      <c r="B118" s="26">
        <v>13101</v>
      </c>
      <c r="C118" s="30">
        <v>12</v>
      </c>
      <c r="D118" s="16" t="str">
        <f t="shared" si="84"/>
        <v>13101_12</v>
      </c>
      <c r="E118" s="5" t="str">
        <f ca="1">VLOOKUP($B118,OFFSET([2]quests!$A$1,0,0,COUNTA([2]quests!$A:$A),MATCH(E$1,[2]quests!$1:$1,0)-MATCH($B$1,[2]quests!$1:$1,0)+1),MATCH(E$1,[2]quests!$1:$1,0)-MATCH($B$1,[2]quests!$1:$1,0)+1,FALSE)</f>
        <v>チャレンジタワー</v>
      </c>
      <c r="F118" s="5" t="e">
        <f ca="1">VLOOKUP($D118,OFFSET([2]stages!$A$1,0,0,COUNTA([2]stages!$A:$A),MATCH(F$1,[2]stages!$1:$1,0)-MATCH($D$1,[2]stages!$1:$1,0)+1),MATCH(F$1,[2]stages!$1:$1,0)-MATCH($D$1,[2]stages!$1:$1,0)+1,FALSE)</f>
        <v>#N/A</v>
      </c>
      <c r="G118" s="33">
        <v>5</v>
      </c>
      <c r="H118" s="16" t="str">
        <f t="shared" si="85"/>
        <v>13101_12-5</v>
      </c>
      <c r="I118" s="39" t="s">
        <v>245</v>
      </c>
      <c r="J118" s="31">
        <v>45</v>
      </c>
      <c r="K118" s="20" t="str">
        <f ca="1">VLOOKUP($J118,OFFSET([3]enemies!$A$1,0,0,COUNTA([3]enemies!$A:$A),MATCH(K$1,[3]enemies!$1:$1,0)-MATCH($J$1,[3]enemies!$1:$1,0)+1),MATCH(K$1,[3]enemies!$1:$1,0)-MATCH($J$1,[3]enemies!$1:$1,0)+1,FALSE)</f>
        <v>ショウイン</v>
      </c>
      <c r="L118" s="23" t="str">
        <f ca="1">VLOOKUP($J118,OFFSET([3]enemies!$A$1,0,0,COUNTA([3]enemies!$A:$A),MATCH(L$1,[3]enemies!$1:$1,0)-MATCH($J$1,[3]enemies!$1:$1,0)+1),MATCH(L$1,[3]enemies!$1:$1,0)-MATCH($J$1,[3]enemies!$1:$1,0)+1,FALSE)</f>
        <v>blue</v>
      </c>
      <c r="M118" s="23" t="str">
        <f ca="1">VLOOKUP($J118,OFFSET([4]characters!$A$1,0,0,COUNTA([4]characters!$A:$A),MATCH(M$1,[4]characters!$1:$1,0)-MATCH($J$1,[4]characters!$1:$1,0)+1),MATCH(M$1,[4]characters!$1:$1,0)-MATCH($J$1,[4]characters!$1:$1,0)+1,FALSE)</f>
        <v>Drop1N</v>
      </c>
      <c r="N118" s="22" t="str">
        <f ca="1">VLOOKUP($J118,OFFSET([4]characters!$A$1,0,0,COUNTA([4]characters!$A:$A),MATCH(N$1,[4]characters!$1:$1,0)-MATCH($J$1,[4]characters!$1:$1,0)+2),MATCH(N$1,[4]characters!$1:$1,0)-MATCH($J$1,[4]characters!$1:$1,0)+2,FALSE)</f>
        <v>アニマル</v>
      </c>
      <c r="O118" s="5">
        <f ca="1">VLOOKUP($J118,OFFSET([3]enemies!$A$1,0,0,COUNTA([3]enemies!$A:$A),MATCH(O$1,[3]enemies!$1:$1,0)-MATCH($J$1,[3]enemies!$1:$1,0)+1),MATCH(O$1,[3]enemies!$1:$1,0)-MATCH($J$1,[3]enemies!$1:$1,0)+1,FALSE)</f>
        <v>15</v>
      </c>
      <c r="P118" s="46">
        <v>30</v>
      </c>
      <c r="Q118" s="43">
        <v>1</v>
      </c>
      <c r="R118" s="43">
        <v>1</v>
      </c>
      <c r="S118" s="6">
        <v>0</v>
      </c>
      <c r="T118" s="5" t="str">
        <f ca="1">VLOOKUP($U118,OFFSET([5]enemy_skill_sets!$B$1,0,0,COUNTA([5]enemy_skill_sets!$B:$B),MATCH(K$1,[5]enemy_skill_sets!$1:$1,0)-MATCH($U$1,[5]enemy_skill_sets!$1:$1,0)+2),MATCH(K$1,[5]enemy_skill_sets!$1:$1,0)-MATCH($U$1,[5]enemy_skill_sets!$1:$1,0)+2,FALSE)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18" s="5">
        <f ca="1">VLOOKUP($J118,OFFSET([3]enemies!$A$1,0,0,COUNTA([3]enemies!$A:$A),MATCH(U$1,[3]enemies!$1:$1,0)-MATCH($J$1,[3]enemies!$1:$1,0)+1),MATCH(U$1,[3]enemies!$1:$1,0)-MATCH($J$1,[3]enemies!$1:$1,0)+1,FALSE)</f>
        <v>0</v>
      </c>
      <c r="V118" s="7">
        <v>0</v>
      </c>
      <c r="W118" s="7">
        <v>100</v>
      </c>
      <c r="X118" s="7">
        <v>0</v>
      </c>
      <c r="Y118" s="20">
        <f ca="1">VLOOKUP($J118,OFFSET([3]enemies!$A$1,0,0,COUNTA([3]enemies!$A:$A),MATCH(Y$1,[3]enemies!$1:$1,0)-MATCH($J$1,[3]enemies!$1:$1,0)+1),MATCH(Y$1,[3]enemies!$1:$1,0)-MATCH($J$1,[3]enemies!$1:$1,0)+1,FALSE)</f>
        <v>3</v>
      </c>
      <c r="Z118" s="31">
        <v>45</v>
      </c>
      <c r="AA118" s="5" t="str">
        <f ca="1">IFERROR(VLOOKUP($Z118,OFFSET([4]characters!$A$1,0,0,COUNTA([4]characters!$A:$A),MATCH(AA$1,[4]characters!$1:$1,0)-MATCH("character_id",[4]characters!$1:$1,0)+1),MATCH(AA$1,[4]characters!$1:$1,0)-MATCH("character_id",[4]characters!$1:$1,0)+1,FALSE),"")</f>
        <v>ショウイン</v>
      </c>
      <c r="AB118" s="5">
        <f ca="1">IFERROR(VLOOKUP($Z118,OFFSET([4]characters!$A$1,0,0,COUNTA([4]characters!$A:$A),MATCH(AB$1,[4]characters!$1:$1,0)-MATCH("character_id",[4]characters!$1:$1,0)+1),MATCH(AB$1,[4]characters!$1:$1,0)-MATCH("character_id",[4]characters!$1:$1,0)+1,FALSE),"")</f>
        <v>2</v>
      </c>
      <c r="AC118" s="5" t="str">
        <f ca="1">IFERROR(VLOOKUP($Z118,OFFSET([4]characters!$A$1,0,0,COUNTA([4]characters!$A:$A),MATCH(AC$1,[4]characters!$1:$1,0)-MATCH("character_id",[4]characters!$1:$1,0)+1),MATCH(AC$1,[4]characters!$1:$1,0)-MATCH("character_id",[4]characters!$1:$1,0)+1,FALSE),"")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18" s="36">
        <v>3</v>
      </c>
      <c r="AE118" s="37">
        <f t="shared" ca="1" si="86"/>
        <v>2</v>
      </c>
      <c r="AF118" s="7">
        <v>25</v>
      </c>
      <c r="AG118" s="36">
        <v>0</v>
      </c>
      <c r="AH118" s="36">
        <v>0</v>
      </c>
      <c r="AI118" s="36">
        <v>0</v>
      </c>
      <c r="AJ118" s="36">
        <v>0</v>
      </c>
      <c r="AK118" s="36">
        <v>1</v>
      </c>
      <c r="AL118" s="36">
        <v>1</v>
      </c>
    </row>
    <row r="119" spans="1:38" ht="21" customHeight="1" x14ac:dyDescent="0.15">
      <c r="A119" s="17" t="str">
        <f t="shared" ca="1" si="83"/>
        <v>13101_12-5/61&lt;lv30&gt;s2</v>
      </c>
      <c r="B119" s="26">
        <v>13101</v>
      </c>
      <c r="C119" s="30">
        <v>12</v>
      </c>
      <c r="D119" s="16" t="str">
        <f t="shared" si="84"/>
        <v>13101_12</v>
      </c>
      <c r="E119" s="5" t="str">
        <f ca="1">VLOOKUP($B119,OFFSET([2]quests!$A$1,0,0,COUNTA([2]quests!$A:$A),MATCH(E$1,[2]quests!$1:$1,0)-MATCH($B$1,[2]quests!$1:$1,0)+1),MATCH(E$1,[2]quests!$1:$1,0)-MATCH($B$1,[2]quests!$1:$1,0)+1,FALSE)</f>
        <v>チャレンジタワー</v>
      </c>
      <c r="F119" s="5" t="e">
        <f ca="1">VLOOKUP($D119,OFFSET([2]stages!$A$1,0,0,COUNTA([2]stages!$A:$A),MATCH(F$1,[2]stages!$1:$1,0)-MATCH($D$1,[2]stages!$1:$1,0)+1),MATCH(F$1,[2]stages!$1:$1,0)-MATCH($D$1,[2]stages!$1:$1,0)+1,FALSE)</f>
        <v>#N/A</v>
      </c>
      <c r="G119" s="33">
        <v>5</v>
      </c>
      <c r="H119" s="16" t="str">
        <f t="shared" si="85"/>
        <v>13101_12-5</v>
      </c>
      <c r="I119" s="39" t="s">
        <v>245</v>
      </c>
      <c r="J119" s="31">
        <v>61</v>
      </c>
      <c r="K119" s="20" t="str">
        <f ca="1">VLOOKUP($J119,OFFSET([3]enemies!$A$1,0,0,COUNTA([3]enemies!$A:$A),MATCH(K$1,[3]enemies!$1:$1,0)-MATCH($J$1,[3]enemies!$1:$1,0)+1),MATCH(K$1,[3]enemies!$1:$1,0)-MATCH($J$1,[3]enemies!$1:$1,0)+1,FALSE)</f>
        <v>クロウ</v>
      </c>
      <c r="L119" s="23" t="str">
        <f ca="1">VLOOKUP($J119,OFFSET([3]enemies!$A$1,0,0,COUNTA([3]enemies!$A:$A),MATCH(L$1,[3]enemies!$1:$1,0)-MATCH($J$1,[3]enemies!$1:$1,0)+1),MATCH(L$1,[3]enemies!$1:$1,0)-MATCH($J$1,[3]enemies!$1:$1,0)+1,FALSE)</f>
        <v>blue</v>
      </c>
      <c r="M119" s="23" t="str">
        <f ca="1">VLOOKUP($J119,OFFSET([4]characters!$A$1,0,0,COUNTA([4]characters!$A:$A),MATCH(M$1,[4]characters!$1:$1,0)-MATCH($J$1,[4]characters!$1:$1,0)+1),MATCH(M$1,[4]characters!$1:$1,0)-MATCH($J$1,[4]characters!$1:$1,0)+1,FALSE)</f>
        <v>Drop1N</v>
      </c>
      <c r="N119" s="22" t="str">
        <f ca="1">VLOOKUP($J119,OFFSET([4]characters!$A$1,0,0,COUNTA([4]characters!$A:$A),MATCH(N$1,[4]characters!$1:$1,0)-MATCH($J$1,[4]characters!$1:$1,0)+2),MATCH(N$1,[4]characters!$1:$1,0)-MATCH($J$1,[4]characters!$1:$1,0)+2,FALSE)</f>
        <v>アニマル</v>
      </c>
      <c r="O119" s="5">
        <f ca="1">VLOOKUP($J119,OFFSET([3]enemies!$A$1,0,0,COUNTA([3]enemies!$A:$A),MATCH(O$1,[3]enemies!$1:$1,0)-MATCH($J$1,[3]enemies!$1:$1,0)+1),MATCH(O$1,[3]enemies!$1:$1,0)-MATCH($J$1,[3]enemies!$1:$1,0)+1,FALSE)</f>
        <v>15</v>
      </c>
      <c r="P119" s="46">
        <v>30</v>
      </c>
      <c r="Q119" s="43">
        <v>1</v>
      </c>
      <c r="R119" s="43">
        <v>1</v>
      </c>
      <c r="S119" s="6">
        <v>0</v>
      </c>
      <c r="T119" s="5" t="str">
        <f ca="1">VLOOKUP($U119,OFFSET([5]enemy_skill_sets!$B$1,0,0,COUNTA([5]enemy_skill_sets!$B:$B),MATCH(K$1,[5]enemy_skill_sets!$1:$1,0)-MATCH($U$1,[5]enemy_skill_sets!$1:$1,0)+2),MATCH(K$1,[5]enemy_skill_sets!$1:$1,0)-MATCH($U$1,[5]enemy_skill_sets!$1:$1,0)+2,FALSE)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19" s="5">
        <f ca="1">VLOOKUP($J119,OFFSET([3]enemies!$A$1,0,0,COUNTA([3]enemies!$A:$A),MATCH(U$1,[3]enemies!$1:$1,0)-MATCH($J$1,[3]enemies!$1:$1,0)+1),MATCH(U$1,[3]enemies!$1:$1,0)-MATCH($J$1,[3]enemies!$1:$1,0)+1,FALSE)</f>
        <v>61</v>
      </c>
      <c r="V119" s="7">
        <v>1</v>
      </c>
      <c r="W119" s="7">
        <v>0</v>
      </c>
      <c r="X119" s="53">
        <v>1</v>
      </c>
      <c r="Y119" s="20">
        <f ca="1">VLOOKUP($J119,OFFSET([3]enemies!$A$1,0,0,COUNTA([3]enemies!$A:$A),MATCH(Y$1,[3]enemies!$1:$1,0)-MATCH($J$1,[3]enemies!$1:$1,0)+1),MATCH(Y$1,[3]enemies!$1:$1,0)-MATCH($J$1,[3]enemies!$1:$1,0)+1,FALSE)</f>
        <v>2</v>
      </c>
      <c r="Z119" s="31">
        <v>61</v>
      </c>
      <c r="AA119" s="5" t="str">
        <f ca="1">IFERROR(VLOOKUP($Z119,OFFSET([4]characters!$A$1,0,0,COUNTA([4]characters!$A:$A),MATCH(AA$1,[4]characters!$1:$1,0)-MATCH("character_id",[4]characters!$1:$1,0)+1),MATCH(AA$1,[4]characters!$1:$1,0)-MATCH("character_id",[4]characters!$1:$1,0)+1,FALSE),"")</f>
        <v>クロウ</v>
      </c>
      <c r="AB119" s="5">
        <f ca="1">IFERROR(VLOOKUP($Z119,OFFSET([4]characters!$A$1,0,0,COUNTA([4]characters!$A:$A),MATCH(AB$1,[4]characters!$1:$1,0)-MATCH("character_id",[4]characters!$1:$1,0)+1),MATCH(AB$1,[4]characters!$1:$1,0)-MATCH("character_id",[4]characters!$1:$1,0)+1,FALSE),"")</f>
        <v>2</v>
      </c>
      <c r="AC119" s="5" t="str">
        <f ca="1">IFERROR(VLOOKUP($Z119,OFFSET([4]characters!$A$1,0,0,COUNTA([4]characters!$A:$A),MATCH(AC$1,[4]characters!$1:$1,0)-MATCH("character_id",[4]characters!$1:$1,0)+1),MATCH(AC$1,[4]characters!$1:$1,0)-MATCH("character_id",[4]characters!$1:$1,0)+1,FALSE),"")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19" s="36">
        <v>3</v>
      </c>
      <c r="AE119" s="37">
        <f t="shared" ca="1" si="86"/>
        <v>2</v>
      </c>
      <c r="AF119" s="7">
        <v>25</v>
      </c>
      <c r="AG119" s="36">
        <v>0</v>
      </c>
      <c r="AH119" s="36">
        <v>0</v>
      </c>
      <c r="AI119" s="36">
        <v>0</v>
      </c>
      <c r="AJ119" s="36">
        <v>0</v>
      </c>
      <c r="AK119" s="36">
        <v>1</v>
      </c>
      <c r="AL119" s="36">
        <v>1</v>
      </c>
    </row>
    <row r="120" spans="1:38" ht="21" customHeight="1" x14ac:dyDescent="0.15">
      <c r="A120" s="17" t="str">
        <f t="shared" ca="1" si="83"/>
        <v>13101_12-6/172&lt;lv32&gt;s2</v>
      </c>
      <c r="B120" s="26">
        <v>13101</v>
      </c>
      <c r="C120" s="30">
        <v>12</v>
      </c>
      <c r="D120" s="16" t="str">
        <f t="shared" si="84"/>
        <v>13101_12</v>
      </c>
      <c r="E120" s="5" t="str">
        <f ca="1">VLOOKUP($B120,OFFSET([2]quests!$A$1,0,0,COUNTA([2]quests!$A:$A),MATCH(E$1,[2]quests!$1:$1,0)-MATCH($B$1,[2]quests!$1:$1,0)+1),MATCH(E$1,[2]quests!$1:$1,0)-MATCH($B$1,[2]quests!$1:$1,0)+1,FALSE)</f>
        <v>チャレンジタワー</v>
      </c>
      <c r="F120" s="5" t="e">
        <f ca="1">VLOOKUP($D120,OFFSET([2]stages!$A$1,0,0,COUNTA([2]stages!$A:$A),MATCH(F$1,[2]stages!$1:$1,0)-MATCH($D$1,[2]stages!$1:$1,0)+1),MATCH(F$1,[2]stages!$1:$1,0)-MATCH($D$1,[2]stages!$1:$1,0)+1,FALSE)</f>
        <v>#N/A</v>
      </c>
      <c r="G120" s="33">
        <v>6</v>
      </c>
      <c r="H120" s="16" t="str">
        <f t="shared" si="85"/>
        <v>13101_12-6</v>
      </c>
      <c r="I120" s="39" t="s">
        <v>245</v>
      </c>
      <c r="J120" s="31">
        <v>172</v>
      </c>
      <c r="K120" s="20" t="str">
        <f ca="1">VLOOKUP($J120,OFFSET([3]enemies!$A$1,0,0,COUNTA([3]enemies!$A:$A),MATCH(K$1,[3]enemies!$1:$1,0)-MATCH($J$1,[3]enemies!$1:$1,0)+1),MATCH(K$1,[3]enemies!$1:$1,0)-MATCH($J$1,[3]enemies!$1:$1,0)+1,FALSE)</f>
        <v>フォルネウス</v>
      </c>
      <c r="L120" s="23" t="str">
        <f ca="1">VLOOKUP($J120,OFFSET([3]enemies!$A$1,0,0,COUNTA([3]enemies!$A:$A),MATCH(L$1,[3]enemies!$1:$1,0)-MATCH($J$1,[3]enemies!$1:$1,0)+1),MATCH(L$1,[3]enemies!$1:$1,0)-MATCH($J$1,[3]enemies!$1:$1,0)+1,FALSE)</f>
        <v>blue</v>
      </c>
      <c r="M120" s="23" t="str">
        <f ca="1">VLOOKUP($J120,OFFSET([4]characters!$A$1,0,0,COUNTA([4]characters!$A:$A),MATCH(M$1,[4]characters!$1:$1,0)-MATCH($J$1,[4]characters!$1:$1,0)+1),MATCH(M$1,[4]characters!$1:$1,0)-MATCH($J$1,[4]characters!$1:$1,0)+1,FALSE)</f>
        <v>PremiumN</v>
      </c>
      <c r="N120" s="22" t="str">
        <f ca="1">VLOOKUP($J120,OFFSET([4]characters!$A$1,0,0,COUNTA([4]characters!$A:$A),MATCH(N$1,[4]characters!$1:$1,0)-MATCH($J$1,[4]characters!$1:$1,0)+2),MATCH(N$1,[4]characters!$1:$1,0)-MATCH($J$1,[4]characters!$1:$1,0)+2,FALSE)</f>
        <v>ゴッド</v>
      </c>
      <c r="O120" s="5">
        <f ca="1">VLOOKUP($J120,OFFSET([3]enemies!$A$1,0,0,COUNTA([3]enemies!$A:$A),MATCH(O$1,[3]enemies!$1:$1,0)-MATCH($J$1,[3]enemies!$1:$1,0)+1),MATCH(O$1,[3]enemies!$1:$1,0)-MATCH($J$1,[3]enemies!$1:$1,0)+1,FALSE)</f>
        <v>20</v>
      </c>
      <c r="P120" s="46">
        <v>32</v>
      </c>
      <c r="Q120" s="43">
        <v>2</v>
      </c>
      <c r="R120" s="43">
        <v>1</v>
      </c>
      <c r="S120" s="6">
        <v>0</v>
      </c>
      <c r="T120" s="5" t="str">
        <f ca="1">VLOOKUP($U120,OFFSET([5]enemy_skill_sets!$B$1,0,0,COUNTA([5]enemy_skill_sets!$B:$B),MATCH(K$1,[5]enemy_skill_sets!$1:$1,0)-MATCH($U$1,[5]enemy_skill_sets!$1:$1,0)+2),MATCH(K$1,[5]enemy_skill_sets!$1:$1,0)-MATCH($U$1,[5]enemy_skill_sets!$1:$1,0)+2,FALSE)</f>
        <v>少しだけお邪魔パネル出現</v>
      </c>
      <c r="U120" s="5">
        <f ca="1">VLOOKUP($J120,OFFSET([3]enemies!$A$1,0,0,COUNTA([3]enemies!$A:$A),MATCH(U$1,[3]enemies!$1:$1,0)-MATCH($J$1,[3]enemies!$1:$1,0)+1),MATCH(U$1,[3]enemies!$1:$1,0)-MATCH($J$1,[3]enemies!$1:$1,0)+1,FALSE)</f>
        <v>172</v>
      </c>
      <c r="V120" s="7">
        <v>1</v>
      </c>
      <c r="W120" s="7">
        <v>100</v>
      </c>
      <c r="X120" s="7">
        <v>1</v>
      </c>
      <c r="Y120" s="20">
        <f ca="1">VLOOKUP($J120,OFFSET([3]enemies!$A$1,0,0,COUNTA([3]enemies!$A:$A),MATCH(Y$1,[3]enemies!$1:$1,0)-MATCH($J$1,[3]enemies!$1:$1,0)+1),MATCH(Y$1,[3]enemies!$1:$1,0)-MATCH($J$1,[3]enemies!$1:$1,0)+1,FALSE)</f>
        <v>2</v>
      </c>
      <c r="Z120" s="31">
        <v>172</v>
      </c>
      <c r="AA120" s="5" t="str">
        <f ca="1">IFERROR(VLOOKUP($Z120,OFFSET([4]characters!$A$1,0,0,COUNTA([4]characters!$A:$A),MATCH(AA$1,[4]characters!$1:$1,0)-MATCH("character_id",[4]characters!$1:$1,0)+1),MATCH(AA$1,[4]characters!$1:$1,0)-MATCH("character_id",[4]characters!$1:$1,0)+1,FALSE),"")</f>
        <v>フォルネウス</v>
      </c>
      <c r="AB120" s="5">
        <f ca="1">IFERROR(VLOOKUP($Z120,OFFSET([4]characters!$A$1,0,0,COUNTA([4]characters!$A:$A),MATCH(AB$1,[4]characters!$1:$1,0)-MATCH("character_id",[4]characters!$1:$1,0)+1),MATCH(AB$1,[4]characters!$1:$1,0)-MATCH("character_id",[4]characters!$1:$1,0)+1,FALSE),"")</f>
        <v>3</v>
      </c>
      <c r="AC120" s="5" t="str">
        <f ca="1">IFERROR(VLOOKUP($Z120,OFFSET([4]characters!$A$1,0,0,COUNTA([4]characters!$A:$A),MATCH(AC$1,[4]characters!$1:$1,0)-MATCH("character_id",[4]characters!$1:$1,0)+1),MATCH(AC$1,[4]characters!$1:$1,0)-MATCH("character_id",[4]characters!$1:$1,0)+1,FALSE),"")</f>
        <v>PremiumN</v>
      </c>
      <c r="AD120" s="36">
        <v>1</v>
      </c>
      <c r="AE120" s="37">
        <f t="shared" ca="1" si="86"/>
        <v>3</v>
      </c>
      <c r="AF120" s="7">
        <v>0</v>
      </c>
      <c r="AG120" s="36">
        <v>0</v>
      </c>
      <c r="AH120" s="36">
        <v>0</v>
      </c>
      <c r="AI120" s="36">
        <v>0</v>
      </c>
      <c r="AJ120" s="36">
        <v>0</v>
      </c>
      <c r="AK120" s="36">
        <v>1</v>
      </c>
      <c r="AL120" s="36">
        <v>1</v>
      </c>
    </row>
    <row r="121" spans="1:38" ht="21" customHeight="1" x14ac:dyDescent="0.15">
      <c r="A121" s="17" t="str">
        <f t="shared" ref="A121" ca="1" si="103">B121&amp;"_"&amp;C121&amp;"-"&amp;G121&amp;"/"&amp;J121&amp;"&lt;lv"&amp;P121&amp;"&gt;s"&amp;Y121</f>
        <v>13101_12-6/61&lt;lv32&gt;s2</v>
      </c>
      <c r="B121" s="26">
        <v>13101</v>
      </c>
      <c r="C121" s="30">
        <v>12</v>
      </c>
      <c r="D121" s="16" t="str">
        <f t="shared" ref="D121" si="104">B121&amp;"_"&amp;C121</f>
        <v>13101_12</v>
      </c>
      <c r="E121" s="5" t="str">
        <f ca="1">VLOOKUP($B121,OFFSET([2]quests!$A$1,0,0,COUNTA([2]quests!$A:$A),MATCH(E$1,[2]quests!$1:$1,0)-MATCH($B$1,[2]quests!$1:$1,0)+1),MATCH(E$1,[2]quests!$1:$1,0)-MATCH($B$1,[2]quests!$1:$1,0)+1,FALSE)</f>
        <v>チャレンジタワー</v>
      </c>
      <c r="F121" s="5" t="e">
        <f ca="1">VLOOKUP($D121,OFFSET([2]stages!$A$1,0,0,COUNTA([2]stages!$A:$A),MATCH(F$1,[2]stages!$1:$1,0)-MATCH($D$1,[2]stages!$1:$1,0)+1),MATCH(F$1,[2]stages!$1:$1,0)-MATCH($D$1,[2]stages!$1:$1,0)+1,FALSE)</f>
        <v>#N/A</v>
      </c>
      <c r="G121" s="33">
        <v>6</v>
      </c>
      <c r="H121" s="16" t="str">
        <f t="shared" ref="H121" si="105">B121&amp;"_"&amp;C121&amp;"-"&amp;G121</f>
        <v>13101_12-6</v>
      </c>
      <c r="I121" s="39" t="s">
        <v>245</v>
      </c>
      <c r="J121" s="31">
        <v>61</v>
      </c>
      <c r="K121" s="20" t="str">
        <f ca="1">VLOOKUP($J121,OFFSET([3]enemies!$A$1,0,0,COUNTA([3]enemies!$A:$A),MATCH(K$1,[3]enemies!$1:$1,0)-MATCH($J$1,[3]enemies!$1:$1,0)+1),MATCH(K$1,[3]enemies!$1:$1,0)-MATCH($J$1,[3]enemies!$1:$1,0)+1,FALSE)</f>
        <v>クロウ</v>
      </c>
      <c r="L121" s="23" t="str">
        <f ca="1">VLOOKUP($J121,OFFSET([3]enemies!$A$1,0,0,COUNTA([3]enemies!$A:$A),MATCH(L$1,[3]enemies!$1:$1,0)-MATCH($J$1,[3]enemies!$1:$1,0)+1),MATCH(L$1,[3]enemies!$1:$1,0)-MATCH($J$1,[3]enemies!$1:$1,0)+1,FALSE)</f>
        <v>blue</v>
      </c>
      <c r="M121" s="23" t="str">
        <f ca="1">VLOOKUP($J121,OFFSET([4]characters!$A$1,0,0,COUNTA([4]characters!$A:$A),MATCH(M$1,[4]characters!$1:$1,0)-MATCH($J$1,[4]characters!$1:$1,0)+1),MATCH(M$1,[4]characters!$1:$1,0)-MATCH($J$1,[4]characters!$1:$1,0)+1,FALSE)</f>
        <v>Drop1N</v>
      </c>
      <c r="N121" s="22" t="str">
        <f ca="1">VLOOKUP($J121,OFFSET([4]characters!$A$1,0,0,COUNTA([4]characters!$A:$A),MATCH(N$1,[4]characters!$1:$1,0)-MATCH($J$1,[4]characters!$1:$1,0)+2),MATCH(N$1,[4]characters!$1:$1,0)-MATCH($J$1,[4]characters!$1:$1,0)+2,FALSE)</f>
        <v>アニマル</v>
      </c>
      <c r="O121" s="5">
        <f ca="1">VLOOKUP($J121,OFFSET([3]enemies!$A$1,0,0,COUNTA([3]enemies!$A:$A),MATCH(O$1,[3]enemies!$1:$1,0)-MATCH($J$1,[3]enemies!$1:$1,0)+1),MATCH(O$1,[3]enemies!$1:$1,0)-MATCH($J$1,[3]enemies!$1:$1,0)+1,FALSE)</f>
        <v>15</v>
      </c>
      <c r="P121" s="46">
        <v>32</v>
      </c>
      <c r="Q121" s="43">
        <v>1.5</v>
      </c>
      <c r="R121" s="43">
        <v>1</v>
      </c>
      <c r="S121" s="6">
        <v>0</v>
      </c>
      <c r="T121" s="5" t="str">
        <f ca="1">VLOOKUP($U121,OFFSET([5]enemy_skill_sets!$B$1,0,0,COUNTA([5]enemy_skill_sets!$B:$B),MATCH(K$1,[5]enemy_skill_sets!$1:$1,0)-MATCH($U$1,[5]enemy_skill_sets!$1:$1,0)+2),MATCH(K$1,[5]enemy_skill_sets!$1:$1,0)-MATCH($U$1,[5]enemy_skill_sets!$1:$1,0)+2,FALSE)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21" s="5">
        <f ca="1">VLOOKUP($J121,OFFSET([3]enemies!$A$1,0,0,COUNTA([3]enemies!$A:$A),MATCH(U$1,[3]enemies!$1:$1,0)-MATCH($J$1,[3]enemies!$1:$1,0)+1),MATCH(U$1,[3]enemies!$1:$1,0)-MATCH($J$1,[3]enemies!$1:$1,0)+1,FALSE)</f>
        <v>61</v>
      </c>
      <c r="V121" s="7">
        <v>2</v>
      </c>
      <c r="W121" s="7">
        <v>100</v>
      </c>
      <c r="X121" s="7">
        <v>0</v>
      </c>
      <c r="Y121" s="20">
        <f ca="1">VLOOKUP($J121,OFFSET([3]enemies!$A$1,0,0,COUNTA([3]enemies!$A:$A),MATCH(Y$1,[3]enemies!$1:$1,0)-MATCH($J$1,[3]enemies!$1:$1,0)+1),MATCH(Y$1,[3]enemies!$1:$1,0)-MATCH($J$1,[3]enemies!$1:$1,0)+1,FALSE)</f>
        <v>2</v>
      </c>
      <c r="Z121" s="31">
        <v>61</v>
      </c>
      <c r="AA121" s="5" t="str">
        <f ca="1">IFERROR(VLOOKUP($Z121,OFFSET([4]characters!$A$1,0,0,COUNTA([4]characters!$A:$A),MATCH(AA$1,[4]characters!$1:$1,0)-MATCH("character_id",[4]characters!$1:$1,0)+1),MATCH(AA$1,[4]characters!$1:$1,0)-MATCH("character_id",[4]characters!$1:$1,0)+1,FALSE),"")</f>
        <v>クロウ</v>
      </c>
      <c r="AB121" s="5">
        <f ca="1">IFERROR(VLOOKUP($Z121,OFFSET([4]characters!$A$1,0,0,COUNTA([4]characters!$A:$A),MATCH(AB$1,[4]characters!$1:$1,0)-MATCH("character_id",[4]characters!$1:$1,0)+1),MATCH(AB$1,[4]characters!$1:$1,0)-MATCH("character_id",[4]characters!$1:$1,0)+1,FALSE),"")</f>
        <v>2</v>
      </c>
      <c r="AC121" s="5" t="str">
        <f ca="1">IFERROR(VLOOKUP($Z121,OFFSET([4]characters!$A$1,0,0,COUNTA([4]characters!$A:$A),MATCH(AC$1,[4]characters!$1:$1,0)-MATCH("character_id",[4]characters!$1:$1,0)+1),MATCH(AC$1,[4]characters!$1:$1,0)-MATCH("character_id",[4]characters!$1:$1,0)+1,FALSE),"")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21" s="36">
        <v>3</v>
      </c>
      <c r="AE121" s="37">
        <f t="shared" ref="AE121" ca="1" si="106">AB121</f>
        <v>2</v>
      </c>
      <c r="AF121" s="41">
        <v>0</v>
      </c>
      <c r="AG121" s="36">
        <v>0</v>
      </c>
      <c r="AH121" s="36">
        <v>0</v>
      </c>
      <c r="AI121" s="36">
        <v>0</v>
      </c>
      <c r="AJ121" s="36">
        <v>0</v>
      </c>
      <c r="AK121" s="36">
        <v>1</v>
      </c>
      <c r="AL121" s="36">
        <v>1</v>
      </c>
    </row>
    <row r="122" spans="1:38" ht="21" customHeight="1" x14ac:dyDescent="0.15">
      <c r="A122" s="17" t="str">
        <f t="shared" ca="1" si="83"/>
        <v>13101_13-1/161&lt;lv35&gt;s1</v>
      </c>
      <c r="B122" s="26">
        <v>13101</v>
      </c>
      <c r="C122" s="30">
        <v>13</v>
      </c>
      <c r="D122" s="16" t="str">
        <f t="shared" si="84"/>
        <v>13101_13</v>
      </c>
      <c r="E122" s="5" t="str">
        <f ca="1">VLOOKUP($B122,OFFSET([2]quests!$A$1,0,0,COUNTA([2]quests!$A:$A),MATCH(E$1,[2]quests!$1:$1,0)-MATCH($B$1,[2]quests!$1:$1,0)+1),MATCH(E$1,[2]quests!$1:$1,0)-MATCH($B$1,[2]quests!$1:$1,0)+1,FALSE)</f>
        <v>チャレンジタワー</v>
      </c>
      <c r="F122" s="5" t="e">
        <f ca="1">VLOOKUP($D122,OFFSET([2]stages!$A$1,0,0,COUNTA([2]stages!$A:$A),MATCH(F$1,[2]stages!$1:$1,0)-MATCH($D$1,[2]stages!$1:$1,0)+1),MATCH(F$1,[2]stages!$1:$1,0)-MATCH($D$1,[2]stages!$1:$1,0)+1,FALSE)</f>
        <v>#N/A</v>
      </c>
      <c r="G122" s="33">
        <v>1</v>
      </c>
      <c r="H122" s="16" t="str">
        <f t="shared" si="85"/>
        <v>13101_13-1</v>
      </c>
      <c r="I122" s="39" t="s">
        <v>245</v>
      </c>
      <c r="J122" s="31">
        <v>161</v>
      </c>
      <c r="K122" s="20" t="str">
        <f ca="1">VLOOKUP($J122,OFFSET([3]enemies!$A$1,0,0,COUNTA([3]enemies!$A:$A),MATCH(K$1,[3]enemies!$1:$1,0)-MATCH($J$1,[3]enemies!$1:$1,0)+1),MATCH(K$1,[3]enemies!$1:$1,0)-MATCH($J$1,[3]enemies!$1:$1,0)+1,FALSE)</f>
        <v>咆哮の先導者 クリエ</v>
      </c>
      <c r="L122" s="23" t="str">
        <f ca="1">VLOOKUP($J122,OFFSET([3]enemies!$A$1,0,0,COUNTA([3]enemies!$A:$A),MATCH(L$1,[3]enemies!$1:$1,0)-MATCH($J$1,[3]enemies!$1:$1,0)+1),MATCH(L$1,[3]enemies!$1:$1,0)-MATCH($J$1,[3]enemies!$1:$1,0)+1,FALSE)</f>
        <v>green</v>
      </c>
      <c r="M122" s="23" t="str">
        <f ca="1">VLOOKUP($J122,OFFSET([4]characters!$A$1,0,0,COUNTA([4]characters!$A:$A),MATCH(M$1,[4]characters!$1:$1,0)-MATCH($J$1,[4]characters!$1:$1,0)+1),MATCH(M$1,[4]characters!$1:$1,0)-MATCH($J$1,[4]characters!$1:$1,0)+1,FALSE)</f>
        <v>PremiumW</v>
      </c>
      <c r="N122" s="22" t="str">
        <f ca="1">VLOOKUP($J122,OFFSET([4]characters!$A$1,0,0,COUNTA([4]characters!$A:$A),MATCH(N$1,[4]characters!$1:$1,0)-MATCH($J$1,[4]characters!$1:$1,0)+2),MATCH(N$1,[4]characters!$1:$1,0)-MATCH($J$1,[4]characters!$1:$1,0)+2,FALSE)</f>
        <v>ヒューマン</v>
      </c>
      <c r="O122" s="5">
        <f ca="1">VLOOKUP($J122,OFFSET([3]enemies!$A$1,0,0,COUNTA([3]enemies!$A:$A),MATCH(O$1,[3]enemies!$1:$1,0)-MATCH($J$1,[3]enemies!$1:$1,0)+1),MATCH(O$1,[3]enemies!$1:$1,0)-MATCH($J$1,[3]enemies!$1:$1,0)+1,FALSE)</f>
        <v>30</v>
      </c>
      <c r="P122" s="46">
        <v>35</v>
      </c>
      <c r="Q122" s="43">
        <v>1</v>
      </c>
      <c r="R122" s="43">
        <v>1</v>
      </c>
      <c r="S122" s="6">
        <v>0</v>
      </c>
      <c r="T122" s="5" t="str">
        <f ca="1">VLOOKUP($U122,OFFSET([5]enemy_skill_sets!$B$1,0,0,COUNTA([5]enemy_skill_sets!$B:$B),MATCH(K$1,[5]enemy_skill_sets!$1:$1,0)-MATCH($U$1,[5]enemy_skill_sets!$1:$1,0)+2),MATCH(K$1,[5]enemy_skill_sets!$1:$1,0)-MATCH($U$1,[5]enemy_skill_sets!$1:$1,0)+2,FALSE)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22" s="5">
        <f ca="1">VLOOKUP($J122,OFFSET([3]enemies!$A$1,0,0,COUNTA([3]enemies!$A:$A),MATCH(U$1,[3]enemies!$1:$1,0)-MATCH($J$1,[3]enemies!$1:$1,0)+1),MATCH(U$1,[3]enemies!$1:$1,0)-MATCH($J$1,[3]enemies!$1:$1,0)+1,FALSE)</f>
        <v>0</v>
      </c>
      <c r="V122" s="7">
        <v>1</v>
      </c>
      <c r="W122" s="7">
        <v>100</v>
      </c>
      <c r="X122" s="7">
        <v>0</v>
      </c>
      <c r="Y122" s="20">
        <f ca="1">VLOOKUP($J122,OFFSET([3]enemies!$A$1,0,0,COUNTA([3]enemies!$A:$A),MATCH(Y$1,[3]enemies!$1:$1,0)-MATCH($J$1,[3]enemies!$1:$1,0)+1),MATCH(Y$1,[3]enemies!$1:$1,0)-MATCH($J$1,[3]enemies!$1:$1,0)+1,FALSE)</f>
        <v>1</v>
      </c>
      <c r="Z122" s="31">
        <v>160</v>
      </c>
      <c r="AA122" s="5" t="str">
        <f ca="1">IFERROR(VLOOKUP($Z122,OFFSET([4]characters!$A$1,0,0,COUNTA([4]characters!$A:$A),MATCH(AA$1,[4]characters!$1:$1,0)-MATCH("character_id",[4]characters!$1:$1,0)+1),MATCH(AA$1,[4]characters!$1:$1,0)-MATCH("character_id",[4]characters!$1:$1,0)+1,FALSE),"")</f>
        <v>反逆者 クリエ</v>
      </c>
      <c r="AB122" s="5">
        <f ca="1">IFERROR(VLOOKUP($Z122,OFFSET([4]characters!$A$1,0,0,COUNTA([4]characters!$A:$A),MATCH(AB$1,[4]characters!$1:$1,0)-MATCH("character_id",[4]characters!$1:$1,0)+1),MATCH(AB$1,[4]characters!$1:$1,0)-MATCH("character_id",[4]characters!$1:$1,0)+1,FALSE),"")</f>
        <v>3</v>
      </c>
      <c r="AC122" s="5" t="str">
        <f ca="1">IFERROR(VLOOKUP($Z122,OFFSET([4]characters!$A$1,0,0,COUNTA([4]characters!$A:$A),MATCH(AC$1,[4]characters!$1:$1,0)-MATCH("character_id",[4]characters!$1:$1,0)+1),MATCH(AC$1,[4]characters!$1:$1,0)-MATCH("character_id",[4]characters!$1:$1,0)+1,FALSE),"")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122" s="36">
        <v>1</v>
      </c>
      <c r="AE122" s="37">
        <f t="shared" ca="1" si="86"/>
        <v>3</v>
      </c>
      <c r="AF122" s="7">
        <v>0</v>
      </c>
      <c r="AG122" s="36">
        <v>0</v>
      </c>
      <c r="AH122" s="36">
        <v>0</v>
      </c>
      <c r="AI122" s="36">
        <v>0</v>
      </c>
      <c r="AJ122" s="36">
        <v>0</v>
      </c>
      <c r="AK122" s="36">
        <v>1</v>
      </c>
      <c r="AL122" s="36">
        <v>1</v>
      </c>
    </row>
    <row r="123" spans="1:38" ht="21" customHeight="1" x14ac:dyDescent="0.15">
      <c r="A123" s="17" t="str">
        <f t="shared" ref="A123" ca="1" si="107">B123&amp;"_"&amp;C123&amp;"-"&amp;G123&amp;"/"&amp;J123&amp;"&lt;lv"&amp;P123&amp;"&gt;s"&amp;Y123</f>
        <v>13101_13-1/253&lt;lv35&gt;s4</v>
      </c>
      <c r="B123" s="26">
        <v>13101</v>
      </c>
      <c r="C123" s="30">
        <v>13</v>
      </c>
      <c r="D123" s="16" t="str">
        <f t="shared" ref="D123" si="108">B123&amp;"_"&amp;C123</f>
        <v>13101_13</v>
      </c>
      <c r="E123" s="5" t="str">
        <f ca="1">VLOOKUP($B123,OFFSET([2]quests!$A$1,0,0,COUNTA([2]quests!$A:$A),MATCH(E$1,[2]quests!$1:$1,0)-MATCH($B$1,[2]quests!$1:$1,0)+1),MATCH(E$1,[2]quests!$1:$1,0)-MATCH($B$1,[2]quests!$1:$1,0)+1,FALSE)</f>
        <v>チャレンジタワー</v>
      </c>
      <c r="F123" s="5" t="e">
        <f ca="1">VLOOKUP($D123,OFFSET([2]stages!$A$1,0,0,COUNTA([2]stages!$A:$A),MATCH(F$1,[2]stages!$1:$1,0)-MATCH($D$1,[2]stages!$1:$1,0)+1),MATCH(F$1,[2]stages!$1:$1,0)-MATCH($D$1,[2]stages!$1:$1,0)+1,FALSE)</f>
        <v>#N/A</v>
      </c>
      <c r="G123" s="33">
        <v>1</v>
      </c>
      <c r="H123" s="16" t="str">
        <f t="shared" ref="H123" si="109">B123&amp;"_"&amp;C123&amp;"-"&amp;G123</f>
        <v>13101_13-1</v>
      </c>
      <c r="I123" s="39" t="s">
        <v>245</v>
      </c>
      <c r="J123" s="31">
        <v>253</v>
      </c>
      <c r="K123" s="20" t="str">
        <f ca="1">VLOOKUP($J123,OFFSET([3]enemies!$A$1,0,0,COUNTA([3]enemies!$A:$A),MATCH(K$1,[3]enemies!$1:$1,0)-MATCH($J$1,[3]enemies!$1:$1,0)+1),MATCH(K$1,[3]enemies!$1:$1,0)-MATCH($J$1,[3]enemies!$1:$1,0)+1,FALSE)</f>
        <v>ベルフェゴール</v>
      </c>
      <c r="L123" s="23" t="str">
        <f ca="1">VLOOKUP($J123,OFFSET([3]enemies!$A$1,0,0,COUNTA([3]enemies!$A:$A),MATCH(L$1,[3]enemies!$1:$1,0)-MATCH($J$1,[3]enemies!$1:$1,0)+1),MATCH(L$1,[3]enemies!$1:$1,0)-MATCH($J$1,[3]enemies!$1:$1,0)+1,FALSE)</f>
        <v>green</v>
      </c>
      <c r="M123" s="23" t="str">
        <f ca="1">VLOOKUP($J123,OFFSET([4]characters!$A$1,0,0,COUNTA([4]characters!$A:$A),MATCH(M$1,[4]characters!$1:$1,0)-MATCH($J$1,[4]characters!$1:$1,0)+1),MATCH(M$1,[4]characters!$1:$1,0)-MATCH($J$1,[4]characters!$1:$1,0)+1,FALSE)</f>
        <v>PremiumS</v>
      </c>
      <c r="N123" s="22" t="str">
        <f ca="1">VLOOKUP($J123,OFFSET([4]characters!$A$1,0,0,COUNTA([4]characters!$A:$A),MATCH(N$1,[4]characters!$1:$1,0)-MATCH($J$1,[4]characters!$1:$1,0)+2),MATCH(N$1,[4]characters!$1:$1,0)-MATCH($J$1,[4]characters!$1:$1,0)+2,FALSE)</f>
        <v>ゴッド</v>
      </c>
      <c r="O123" s="5">
        <f ca="1">VLOOKUP($J123,OFFSET([3]enemies!$A$1,0,0,COUNTA([3]enemies!$A:$A),MATCH(O$1,[3]enemies!$1:$1,0)-MATCH($J$1,[3]enemies!$1:$1,0)+1),MATCH(O$1,[3]enemies!$1:$1,0)-MATCH($J$1,[3]enemies!$1:$1,0)+1,FALSE)</f>
        <v>20</v>
      </c>
      <c r="P123" s="46">
        <v>35</v>
      </c>
      <c r="Q123" s="43">
        <v>1</v>
      </c>
      <c r="R123" s="43">
        <v>1</v>
      </c>
      <c r="S123" s="6">
        <v>0</v>
      </c>
      <c r="T123" s="5" t="str">
        <f ca="1">VLOOKUP($U123,OFFSET([5]enemy_skill_sets!$B$1,0,0,COUNTA([5]enemy_skill_sets!$B:$B),MATCH(K$1,[5]enemy_skill_sets!$1:$1,0)-MATCH($U$1,[5]enemy_skill_sets!$1:$1,0)+2),MATCH(K$1,[5]enemy_skill_sets!$1:$1,0)-MATCH($U$1,[5]enemy_skill_sets!$1:$1,0)+2,FALSE)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23" s="5">
        <f ca="1">VLOOKUP($J123,OFFSET([3]enemies!$A$1,0,0,COUNTA([3]enemies!$A:$A),MATCH(U$1,[3]enemies!$1:$1,0)-MATCH($J$1,[3]enemies!$1:$1,0)+1),MATCH(U$1,[3]enemies!$1:$1,0)-MATCH($J$1,[3]enemies!$1:$1,0)+1,FALSE)</f>
        <v>0</v>
      </c>
      <c r="V123" s="7">
        <v>1</v>
      </c>
      <c r="W123" s="7">
        <v>100</v>
      </c>
      <c r="X123" s="7">
        <v>0</v>
      </c>
      <c r="Y123" s="20">
        <f ca="1">VLOOKUP($J123,OFFSET([3]enemies!$A$1,0,0,COUNTA([3]enemies!$A:$A),MATCH(Y$1,[3]enemies!$1:$1,0)-MATCH($J$1,[3]enemies!$1:$1,0)+1),MATCH(Y$1,[3]enemies!$1:$1,0)-MATCH($J$1,[3]enemies!$1:$1,0)+1,FALSE)</f>
        <v>4</v>
      </c>
      <c r="Z123" s="31">
        <v>253</v>
      </c>
      <c r="AA123" s="5" t="str">
        <f ca="1">IFERROR(VLOOKUP($Z123,OFFSET([4]characters!$A$1,0,0,COUNTA([4]characters!$A:$A),MATCH(AA$1,[4]characters!$1:$1,0)-MATCH("character_id",[4]characters!$1:$1,0)+1),MATCH(AA$1,[4]characters!$1:$1,0)-MATCH("character_id",[4]characters!$1:$1,0)+1,FALSE),"")</f>
        <v>ベルフェゴール</v>
      </c>
      <c r="AB123" s="5">
        <f ca="1">IFERROR(VLOOKUP($Z123,OFFSET([4]characters!$A$1,0,0,COUNTA([4]characters!$A:$A),MATCH(AB$1,[4]characters!$1:$1,0)-MATCH("character_id",[4]characters!$1:$1,0)+1),MATCH(AB$1,[4]characters!$1:$1,0)-MATCH("character_id",[4]characters!$1:$1,0)+1,FALSE),"")</f>
        <v>3</v>
      </c>
      <c r="AC123" s="5" t="str">
        <f ca="1">IFERROR(VLOOKUP($Z123,OFFSET([4]characters!$A$1,0,0,COUNTA([4]characters!$A:$A),MATCH(AC$1,[4]characters!$1:$1,0)-MATCH("character_id",[4]characters!$1:$1,0)+1),MATCH(AC$1,[4]characters!$1:$1,0)-MATCH("character_id",[4]characters!$1:$1,0)+1,FALSE),"")</f>
        <v>PremiumS</v>
      </c>
      <c r="AD123" s="36">
        <v>1</v>
      </c>
      <c r="AE123" s="37">
        <f t="shared" ref="AE123" ca="1" si="110">AB123</f>
        <v>3</v>
      </c>
      <c r="AF123" s="7">
        <v>0</v>
      </c>
      <c r="AG123" s="36">
        <v>0</v>
      </c>
      <c r="AH123" s="36">
        <v>0</v>
      </c>
      <c r="AI123" s="36">
        <v>0</v>
      </c>
      <c r="AJ123" s="36">
        <v>0</v>
      </c>
      <c r="AK123" s="36">
        <v>1</v>
      </c>
      <c r="AL123" s="36">
        <v>1</v>
      </c>
    </row>
    <row r="124" spans="1:38" ht="21" customHeight="1" x14ac:dyDescent="0.15">
      <c r="A124" s="17" t="str">
        <f t="shared" ca="1" si="83"/>
        <v>13101_14-1/15&lt;lv38&gt;s3</v>
      </c>
      <c r="B124" s="26">
        <v>13101</v>
      </c>
      <c r="C124" s="30">
        <v>14</v>
      </c>
      <c r="D124" s="16" t="str">
        <f t="shared" si="84"/>
        <v>13101_14</v>
      </c>
      <c r="E124" s="5" t="str">
        <f ca="1">VLOOKUP($B124,OFFSET([2]quests!$A$1,0,0,COUNTA([2]quests!$A:$A),MATCH(E$1,[2]quests!$1:$1,0)-MATCH($B$1,[2]quests!$1:$1,0)+1),MATCH(E$1,[2]quests!$1:$1,0)-MATCH($B$1,[2]quests!$1:$1,0)+1,FALSE)</f>
        <v>チャレンジタワー</v>
      </c>
      <c r="F124" s="5" t="e">
        <f ca="1">VLOOKUP($D124,OFFSET([2]stages!$A$1,0,0,COUNTA([2]stages!$A:$A),MATCH(F$1,[2]stages!$1:$1,0)-MATCH($D$1,[2]stages!$1:$1,0)+1),MATCH(F$1,[2]stages!$1:$1,0)-MATCH($D$1,[2]stages!$1:$1,0)+1,FALSE)</f>
        <v>#N/A</v>
      </c>
      <c r="G124" s="33">
        <v>1</v>
      </c>
      <c r="H124" s="16" t="str">
        <f t="shared" si="85"/>
        <v>13101_14-1</v>
      </c>
      <c r="I124" s="39" t="s">
        <v>245</v>
      </c>
      <c r="J124" s="31">
        <v>15</v>
      </c>
      <c r="K124" s="20" t="str">
        <f ca="1">VLOOKUP($J124,OFFSET([3]enemies!$A$1,0,0,COUNTA([3]enemies!$A:$A),MATCH(K$1,[3]enemies!$1:$1,0)-MATCH($J$1,[3]enemies!$1:$1,0)+1),MATCH(K$1,[3]enemies!$1:$1,0)-MATCH($J$1,[3]enemies!$1:$1,0)+1,FALSE)</f>
        <v>アカネ</v>
      </c>
      <c r="L124" s="23" t="str">
        <f ca="1">VLOOKUP($J124,OFFSET([3]enemies!$A$1,0,0,COUNTA([3]enemies!$A:$A),MATCH(L$1,[3]enemies!$1:$1,0)-MATCH($J$1,[3]enemies!$1:$1,0)+1),MATCH(L$1,[3]enemies!$1:$1,0)-MATCH($J$1,[3]enemies!$1:$1,0)+1,FALSE)</f>
        <v>red</v>
      </c>
      <c r="M124" s="23" t="str">
        <f ca="1">VLOOKUP($J124,OFFSET([4]characters!$A$1,0,0,COUNTA([4]characters!$A:$A),MATCH(M$1,[4]characters!$1:$1,0)-MATCH($J$1,[4]characters!$1:$1,0)+1),MATCH(M$1,[4]characters!$1:$1,0)-MATCH($J$1,[4]characters!$1:$1,0)+1,FALSE)</f>
        <v>Drop1W</v>
      </c>
      <c r="N124" s="22" t="str">
        <f ca="1">VLOOKUP($J124,OFFSET([4]characters!$A$1,0,0,COUNTA([4]characters!$A:$A),MATCH(N$1,[4]characters!$1:$1,0)-MATCH($J$1,[4]characters!$1:$1,0)+2),MATCH(N$1,[4]characters!$1:$1,0)-MATCH($J$1,[4]characters!$1:$1,0)+2,FALSE)</f>
        <v>ヒューマン</v>
      </c>
      <c r="O124" s="5">
        <f ca="1">VLOOKUP($J124,OFFSET([3]enemies!$A$1,0,0,COUNTA([3]enemies!$A:$A),MATCH(O$1,[3]enemies!$1:$1,0)-MATCH($J$1,[3]enemies!$1:$1,0)+1),MATCH(O$1,[3]enemies!$1:$1,0)-MATCH($J$1,[3]enemies!$1:$1,0)+1,FALSE)</f>
        <v>15</v>
      </c>
      <c r="P124" s="46">
        <v>38</v>
      </c>
      <c r="Q124" s="43">
        <v>1</v>
      </c>
      <c r="R124" s="43">
        <v>1</v>
      </c>
      <c r="S124" s="6">
        <v>0</v>
      </c>
      <c r="T124" s="5" t="str">
        <f ca="1">VLOOKUP($U124,OFFSET([5]enemy_skill_sets!$B$1,0,0,COUNTA([5]enemy_skill_sets!$B:$B),MATCH(K$1,[5]enemy_skill_sets!$1:$1,0)-MATCH($U$1,[5]enemy_skill_sets!$1:$1,0)+2),MATCH(K$1,[5]enemy_skill_sets!$1:$1,0)-MATCH($U$1,[5]enemy_skill_sets!$1:$1,0)+2,FALSE)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24" s="5">
        <f ca="1">VLOOKUP($J124,OFFSET([3]enemies!$A$1,0,0,COUNTA([3]enemies!$A:$A),MATCH(U$1,[3]enemies!$1:$1,0)-MATCH($J$1,[3]enemies!$1:$1,0)+1),MATCH(U$1,[3]enemies!$1:$1,0)-MATCH($J$1,[3]enemies!$1:$1,0)+1,FALSE)</f>
        <v>0</v>
      </c>
      <c r="V124" s="7">
        <v>0</v>
      </c>
      <c r="W124" s="7">
        <v>100</v>
      </c>
      <c r="X124" s="7">
        <v>0</v>
      </c>
      <c r="Y124" s="20">
        <f ca="1">VLOOKUP($J124,OFFSET([3]enemies!$A$1,0,0,COUNTA([3]enemies!$A:$A),MATCH(Y$1,[3]enemies!$1:$1,0)-MATCH($J$1,[3]enemies!$1:$1,0)+1),MATCH(Y$1,[3]enemies!$1:$1,0)-MATCH($J$1,[3]enemies!$1:$1,0)+1,FALSE)</f>
        <v>3</v>
      </c>
      <c r="Z124" s="31">
        <v>15</v>
      </c>
      <c r="AA124" s="5" t="str">
        <f ca="1">IFERROR(VLOOKUP($Z124,OFFSET([4]characters!$A$1,0,0,COUNTA([4]characters!$A:$A),MATCH(AA$1,[4]characters!$1:$1,0)-MATCH("character_id",[4]characters!$1:$1,0)+1),MATCH(AA$1,[4]characters!$1:$1,0)-MATCH("character_id",[4]characters!$1:$1,0)+1,FALSE),"")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124" s="5">
        <f ca="1">IFERROR(VLOOKUP($Z124,OFFSET([4]characters!$A$1,0,0,COUNTA([4]characters!$A:$A),MATCH(AB$1,[4]characters!$1:$1,0)-MATCH("character_id",[4]characters!$1:$1,0)+1),MATCH(AB$1,[4]characters!$1:$1,0)-MATCH("character_id",[4]characters!$1:$1,0)+1,FALSE),"")</f>
        <v>1</v>
      </c>
      <c r="AC124" s="5" t="str">
        <f ca="1">IFERROR(VLOOKUP($Z124,OFFSET([4]characters!$A$1,0,0,COUNTA([4]characters!$A:$A),MATCH(AC$1,[4]characters!$1:$1,0)-MATCH("character_id",[4]characters!$1:$1,0)+1),MATCH(AC$1,[4]characters!$1:$1,0)-MATCH("character_id",[4]characters!$1:$1,0)+1,FALSE),"")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24" s="36">
        <v>7</v>
      </c>
      <c r="AE124" s="37">
        <f t="shared" ca="1" si="86"/>
        <v>1</v>
      </c>
      <c r="AF124" s="7">
        <v>25</v>
      </c>
      <c r="AG124" s="36">
        <v>0</v>
      </c>
      <c r="AH124" s="36">
        <v>0</v>
      </c>
      <c r="AI124" s="36">
        <v>0</v>
      </c>
      <c r="AJ124" s="36">
        <v>0</v>
      </c>
      <c r="AK124" s="36">
        <v>1</v>
      </c>
      <c r="AL124" s="36">
        <v>1</v>
      </c>
    </row>
    <row r="125" spans="1:38" ht="21" customHeight="1" x14ac:dyDescent="0.15">
      <c r="A125" s="17" t="str">
        <f t="shared" ca="1" si="83"/>
        <v>13101_14-1/57&lt;lv38&gt;s2</v>
      </c>
      <c r="B125" s="26">
        <v>13101</v>
      </c>
      <c r="C125" s="30">
        <v>14</v>
      </c>
      <c r="D125" s="16" t="str">
        <f t="shared" si="84"/>
        <v>13101_14</v>
      </c>
      <c r="E125" s="5" t="str">
        <f ca="1">VLOOKUP($B125,OFFSET([2]quests!$A$1,0,0,COUNTA([2]quests!$A:$A),MATCH(E$1,[2]quests!$1:$1,0)-MATCH($B$1,[2]quests!$1:$1,0)+1),MATCH(E$1,[2]quests!$1:$1,0)-MATCH($B$1,[2]quests!$1:$1,0)+1,FALSE)</f>
        <v>チャレンジタワー</v>
      </c>
      <c r="F125" s="5" t="e">
        <f ca="1">VLOOKUP($D125,OFFSET([2]stages!$A$1,0,0,COUNTA([2]stages!$A:$A),MATCH(F$1,[2]stages!$1:$1,0)-MATCH($D$1,[2]stages!$1:$1,0)+1),MATCH(F$1,[2]stages!$1:$1,0)-MATCH($D$1,[2]stages!$1:$1,0)+1,FALSE)</f>
        <v>#N/A</v>
      </c>
      <c r="G125" s="33">
        <v>1</v>
      </c>
      <c r="H125" s="16" t="str">
        <f t="shared" si="85"/>
        <v>13101_14-1</v>
      </c>
      <c r="I125" s="39" t="s">
        <v>245</v>
      </c>
      <c r="J125" s="31">
        <v>57</v>
      </c>
      <c r="K125" s="20" t="str">
        <f ca="1">VLOOKUP($J125,OFFSET([3]enemies!$A$1,0,0,COUNTA([3]enemies!$A:$A),MATCH(K$1,[3]enemies!$1:$1,0)-MATCH($J$1,[3]enemies!$1:$1,0)+1),MATCH(K$1,[3]enemies!$1:$1,0)-MATCH($J$1,[3]enemies!$1:$1,0)+1,FALSE)</f>
        <v>チェン・リー</v>
      </c>
      <c r="L125" s="23" t="str">
        <f ca="1">VLOOKUP($J125,OFFSET([3]enemies!$A$1,0,0,COUNTA([3]enemies!$A:$A),MATCH(L$1,[3]enemies!$1:$1,0)-MATCH($J$1,[3]enemies!$1:$1,0)+1),MATCH(L$1,[3]enemies!$1:$1,0)-MATCH($J$1,[3]enemies!$1:$1,0)+1,FALSE)</f>
        <v>red</v>
      </c>
      <c r="M125" s="23" t="str">
        <f ca="1">VLOOKUP($J125,OFFSET([4]characters!$A$1,0,0,COUNTA([4]characters!$A:$A),MATCH(M$1,[4]characters!$1:$1,0)-MATCH($J$1,[4]characters!$1:$1,0)+1),MATCH(M$1,[4]characters!$1:$1,0)-MATCH($J$1,[4]characters!$1:$1,0)+1,FALSE)</f>
        <v>Drop1N</v>
      </c>
      <c r="N125" s="22" t="str">
        <f ca="1">VLOOKUP($J125,OFFSET([4]characters!$A$1,0,0,COUNTA([4]characters!$A:$A),MATCH(N$1,[4]characters!$1:$1,0)-MATCH($J$1,[4]characters!$1:$1,0)+2),MATCH(N$1,[4]characters!$1:$1,0)-MATCH($J$1,[4]characters!$1:$1,0)+2,FALSE)</f>
        <v>アニマル</v>
      </c>
      <c r="O125" s="5">
        <f ca="1">VLOOKUP($J125,OFFSET([3]enemies!$A$1,0,0,COUNTA([3]enemies!$A:$A),MATCH(O$1,[3]enemies!$1:$1,0)-MATCH($J$1,[3]enemies!$1:$1,0)+1),MATCH(O$1,[3]enemies!$1:$1,0)-MATCH($J$1,[3]enemies!$1:$1,0)+1,FALSE)</f>
        <v>15</v>
      </c>
      <c r="P125" s="46">
        <v>38</v>
      </c>
      <c r="Q125" s="43">
        <v>1</v>
      </c>
      <c r="R125" s="43">
        <v>1</v>
      </c>
      <c r="S125" s="6">
        <v>0</v>
      </c>
      <c r="T125" s="5" t="str">
        <f ca="1">VLOOKUP($U125,OFFSET([5]enemy_skill_sets!$B$1,0,0,COUNTA([5]enemy_skill_sets!$B:$B),MATCH(K$1,[5]enemy_skill_sets!$1:$1,0)-MATCH($U$1,[5]enemy_skill_sets!$1:$1,0)+2),MATCH(K$1,[5]enemy_skill_sets!$1:$1,0)-MATCH($U$1,[5]enemy_skill_sets!$1:$1,0)+2,FALSE)</f>
        <v>3ターン攻撃力小UP</v>
      </c>
      <c r="U125" s="5">
        <f ca="1">VLOOKUP($J125,OFFSET([3]enemies!$A$1,0,0,COUNTA([3]enemies!$A:$A),MATCH(U$1,[3]enemies!$1:$1,0)-MATCH($J$1,[3]enemies!$1:$1,0)+1),MATCH(U$1,[3]enemies!$1:$1,0)-MATCH($J$1,[3]enemies!$1:$1,0)+1,FALSE)</f>
        <v>57</v>
      </c>
      <c r="V125" s="7">
        <v>1</v>
      </c>
      <c r="W125" s="7">
        <v>100</v>
      </c>
      <c r="X125" s="7">
        <v>0</v>
      </c>
      <c r="Y125" s="20">
        <f ca="1">VLOOKUP($J125,OFFSET([3]enemies!$A$1,0,0,COUNTA([3]enemies!$A:$A),MATCH(Y$1,[3]enemies!$1:$1,0)-MATCH($J$1,[3]enemies!$1:$1,0)+1),MATCH(Y$1,[3]enemies!$1:$1,0)-MATCH($J$1,[3]enemies!$1:$1,0)+1,FALSE)</f>
        <v>2</v>
      </c>
      <c r="Z125" s="31">
        <v>57</v>
      </c>
      <c r="AA125" s="5" t="str">
        <f ca="1">IFERROR(VLOOKUP($Z125,OFFSET([4]characters!$A$1,0,0,COUNTA([4]characters!$A:$A),MATCH(AA$1,[4]characters!$1:$1,0)-MATCH("character_id",[4]characters!$1:$1,0)+1),MATCH(AA$1,[4]characters!$1:$1,0)-MATCH("character_id",[4]characters!$1:$1,0)+1,FALSE),"")</f>
        <v>チェン・リー</v>
      </c>
      <c r="AB125" s="5">
        <f ca="1">IFERROR(VLOOKUP($Z125,OFFSET([4]characters!$A$1,0,0,COUNTA([4]characters!$A:$A),MATCH(AB$1,[4]characters!$1:$1,0)-MATCH("character_id",[4]characters!$1:$1,0)+1),MATCH(AB$1,[4]characters!$1:$1,0)-MATCH("character_id",[4]characters!$1:$1,0)+1,FALSE),"")</f>
        <v>2</v>
      </c>
      <c r="AC125" s="5" t="str">
        <f ca="1">IFERROR(VLOOKUP($Z125,OFFSET([4]characters!$A$1,0,0,COUNTA([4]characters!$A:$A),MATCH(AC$1,[4]characters!$1:$1,0)-MATCH("character_id",[4]characters!$1:$1,0)+1),MATCH(AC$1,[4]characters!$1:$1,0)-MATCH("character_id",[4]characters!$1:$1,0)+1,FALSE),"")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25" s="36">
        <v>5</v>
      </c>
      <c r="AE125" s="37">
        <f t="shared" ca="1" si="86"/>
        <v>2</v>
      </c>
      <c r="AF125" s="7">
        <v>25</v>
      </c>
      <c r="AG125" s="36">
        <v>0</v>
      </c>
      <c r="AH125" s="36">
        <v>0</v>
      </c>
      <c r="AI125" s="36">
        <v>0</v>
      </c>
      <c r="AJ125" s="36">
        <v>0</v>
      </c>
      <c r="AK125" s="36">
        <v>1</v>
      </c>
      <c r="AL125" s="36">
        <v>1</v>
      </c>
    </row>
    <row r="126" spans="1:38" ht="21" customHeight="1" x14ac:dyDescent="0.15">
      <c r="A126" s="17" t="str">
        <f t="shared" ca="1" si="83"/>
        <v>13101_14-1/21&lt;lv38&gt;s2</v>
      </c>
      <c r="B126" s="26">
        <v>13101</v>
      </c>
      <c r="C126" s="30">
        <v>14</v>
      </c>
      <c r="D126" s="16" t="str">
        <f t="shared" si="84"/>
        <v>13101_14</v>
      </c>
      <c r="E126" s="5" t="str">
        <f ca="1">VLOOKUP($B126,OFFSET([2]quests!$A$1,0,0,COUNTA([2]quests!$A:$A),MATCH(E$1,[2]quests!$1:$1,0)-MATCH($B$1,[2]quests!$1:$1,0)+1),MATCH(E$1,[2]quests!$1:$1,0)-MATCH($B$1,[2]quests!$1:$1,0)+1,FALSE)</f>
        <v>チャレンジタワー</v>
      </c>
      <c r="F126" s="5" t="e">
        <f ca="1">VLOOKUP($D126,OFFSET([2]stages!$A$1,0,0,COUNTA([2]stages!$A:$A),MATCH(F$1,[2]stages!$1:$1,0)-MATCH($D$1,[2]stages!$1:$1,0)+1),MATCH(F$1,[2]stages!$1:$1,0)-MATCH($D$1,[2]stages!$1:$1,0)+1,FALSE)</f>
        <v>#N/A</v>
      </c>
      <c r="G126" s="33">
        <v>1</v>
      </c>
      <c r="H126" s="16" t="str">
        <f t="shared" si="85"/>
        <v>13101_14-1</v>
      </c>
      <c r="I126" s="39" t="s">
        <v>245</v>
      </c>
      <c r="J126" s="31">
        <v>21</v>
      </c>
      <c r="K126" s="20" t="str">
        <f ca="1">VLOOKUP($J126,OFFSET([3]enemies!$A$1,0,0,COUNTA([3]enemies!$A:$A),MATCH(K$1,[3]enemies!$1:$1,0)-MATCH($J$1,[3]enemies!$1:$1,0)+1),MATCH(K$1,[3]enemies!$1:$1,0)-MATCH($J$1,[3]enemies!$1:$1,0)+1,FALSE)</f>
        <v>ヴェロキー</v>
      </c>
      <c r="L126" s="23" t="str">
        <f ca="1">VLOOKUP($J126,OFFSET([3]enemies!$A$1,0,0,COUNTA([3]enemies!$A:$A),MATCH(L$1,[3]enemies!$1:$1,0)-MATCH($J$1,[3]enemies!$1:$1,0)+1),MATCH(L$1,[3]enemies!$1:$1,0)-MATCH($J$1,[3]enemies!$1:$1,0)+1,FALSE)</f>
        <v>red</v>
      </c>
      <c r="M126" s="23" t="str">
        <f ca="1">VLOOKUP($J126,OFFSET([4]characters!$A$1,0,0,COUNTA([4]characters!$A:$A),MATCH(M$1,[4]characters!$1:$1,0)-MATCH($J$1,[4]characters!$1:$1,0)+1),MATCH(M$1,[4]characters!$1:$1,0)-MATCH($J$1,[4]characters!$1:$1,0)+1,FALSE)</f>
        <v>Drop1N</v>
      </c>
      <c r="N126" s="22" t="str">
        <f ca="1">VLOOKUP($J126,OFFSET([4]characters!$A$1,0,0,COUNTA([4]characters!$A:$A),MATCH(N$1,[4]characters!$1:$1,0)-MATCH($J$1,[4]characters!$1:$1,0)+2),MATCH(N$1,[4]characters!$1:$1,0)-MATCH($J$1,[4]characters!$1:$1,0)+2,FALSE)</f>
        <v>ドラゴン</v>
      </c>
      <c r="O126" s="5">
        <f ca="1">VLOOKUP($J126,OFFSET([3]enemies!$A$1,0,0,COUNTA([3]enemies!$A:$A),MATCH(O$1,[3]enemies!$1:$1,0)-MATCH($J$1,[3]enemies!$1:$1,0)+1),MATCH(O$1,[3]enemies!$1:$1,0)-MATCH($J$1,[3]enemies!$1:$1,0)+1,FALSE)</f>
        <v>15</v>
      </c>
      <c r="P126" s="46">
        <v>38</v>
      </c>
      <c r="Q126" s="43">
        <v>1</v>
      </c>
      <c r="R126" s="43">
        <v>1</v>
      </c>
      <c r="S126" s="6">
        <v>0</v>
      </c>
      <c r="T126" s="5" t="str">
        <f ca="1">VLOOKUP($U126,OFFSET([5]enemy_skill_sets!$B$1,0,0,COUNTA([5]enemy_skill_sets!$B:$B),MATCH(K$1,[5]enemy_skill_sets!$1:$1,0)-MATCH($U$1,[5]enemy_skill_sets!$1:$1,0)+2),MATCH(K$1,[5]enemy_skill_sets!$1:$1,0)-MATCH($U$1,[5]enemy_skill_sets!$1:$1,0)+2,FALSE)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26" s="5">
        <f ca="1">VLOOKUP($J126,OFFSET([3]enemies!$A$1,0,0,COUNTA([3]enemies!$A:$A),MATCH(U$1,[3]enemies!$1:$1,0)-MATCH($J$1,[3]enemies!$1:$1,0)+1),MATCH(U$1,[3]enemies!$1:$1,0)-MATCH($J$1,[3]enemies!$1:$1,0)+1,FALSE)</f>
        <v>0</v>
      </c>
      <c r="V126" s="7">
        <v>0</v>
      </c>
      <c r="W126" s="7">
        <v>100</v>
      </c>
      <c r="X126" s="7">
        <v>0</v>
      </c>
      <c r="Y126" s="20">
        <f ca="1">VLOOKUP($J126,OFFSET([3]enemies!$A$1,0,0,COUNTA([3]enemies!$A:$A),MATCH(Y$1,[3]enemies!$1:$1,0)-MATCH($J$1,[3]enemies!$1:$1,0)+1),MATCH(Y$1,[3]enemies!$1:$1,0)-MATCH($J$1,[3]enemies!$1:$1,0)+1,FALSE)</f>
        <v>2</v>
      </c>
      <c r="Z126" s="31">
        <v>21</v>
      </c>
      <c r="AA126" s="5" t="str">
        <f ca="1">IFERROR(VLOOKUP($Z126,OFFSET([4]characters!$A$1,0,0,COUNTA([4]characters!$A:$A),MATCH(AA$1,[4]characters!$1:$1,0)-MATCH("character_id",[4]characters!$1:$1,0)+1),MATCH(AA$1,[4]characters!$1:$1,0)-MATCH("character_id",[4]characters!$1:$1,0)+1,FALSE),"")</f>
        <v>ヴェロキー</v>
      </c>
      <c r="AB126" s="5">
        <f ca="1">IFERROR(VLOOKUP($Z126,OFFSET([4]characters!$A$1,0,0,COUNTA([4]characters!$A:$A),MATCH(AB$1,[4]characters!$1:$1,0)-MATCH("character_id",[4]characters!$1:$1,0)+1),MATCH(AB$1,[4]characters!$1:$1,0)-MATCH("character_id",[4]characters!$1:$1,0)+1,FALSE),"")</f>
        <v>1</v>
      </c>
      <c r="AC126" s="5" t="str">
        <f ca="1">IFERROR(VLOOKUP($Z126,OFFSET([4]characters!$A$1,0,0,COUNTA([4]characters!$A:$A),MATCH(AC$1,[4]characters!$1:$1,0)-MATCH("character_id",[4]characters!$1:$1,0)+1),MATCH(AC$1,[4]characters!$1:$1,0)-MATCH("character_id",[4]characters!$1:$1,0)+1,FALSE),"")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26" s="36">
        <v>5</v>
      </c>
      <c r="AE126" s="37">
        <f t="shared" ca="1" si="86"/>
        <v>1</v>
      </c>
      <c r="AF126" s="7">
        <v>25</v>
      </c>
      <c r="AG126" s="36">
        <v>0</v>
      </c>
      <c r="AH126" s="36">
        <v>0</v>
      </c>
      <c r="AI126" s="36">
        <v>0</v>
      </c>
      <c r="AJ126" s="36">
        <v>0</v>
      </c>
      <c r="AK126" s="36">
        <v>1</v>
      </c>
      <c r="AL126" s="36">
        <v>1</v>
      </c>
    </row>
    <row r="127" spans="1:38" ht="21" customHeight="1" x14ac:dyDescent="0.15">
      <c r="A127" s="17" t="str">
        <f t="shared" ca="1" si="83"/>
        <v>13101_14-1/41&lt;lv38&gt;s1</v>
      </c>
      <c r="B127" s="26">
        <v>13101</v>
      </c>
      <c r="C127" s="30">
        <v>14</v>
      </c>
      <c r="D127" s="16" t="str">
        <f t="shared" si="84"/>
        <v>13101_14</v>
      </c>
      <c r="E127" s="5" t="str">
        <f ca="1">VLOOKUP($B127,OFFSET([2]quests!$A$1,0,0,COUNTA([2]quests!$A:$A),MATCH(E$1,[2]quests!$1:$1,0)-MATCH($B$1,[2]quests!$1:$1,0)+1),MATCH(E$1,[2]quests!$1:$1,0)-MATCH($B$1,[2]quests!$1:$1,0)+1,FALSE)</f>
        <v>チャレンジタワー</v>
      </c>
      <c r="F127" s="5" t="e">
        <f ca="1">VLOOKUP($D127,OFFSET([2]stages!$A$1,0,0,COUNTA([2]stages!$A:$A),MATCH(F$1,[2]stages!$1:$1,0)-MATCH($D$1,[2]stages!$1:$1,0)+1),MATCH(F$1,[2]stages!$1:$1,0)-MATCH($D$1,[2]stages!$1:$1,0)+1,FALSE)</f>
        <v>#N/A</v>
      </c>
      <c r="G127" s="33">
        <v>1</v>
      </c>
      <c r="H127" s="16" t="str">
        <f t="shared" si="85"/>
        <v>13101_14-1</v>
      </c>
      <c r="I127" s="39" t="s">
        <v>245</v>
      </c>
      <c r="J127" s="31">
        <v>41</v>
      </c>
      <c r="K127" s="20" t="str">
        <f ca="1">VLOOKUP($J127,OFFSET([3]enemies!$A$1,0,0,COUNTA([3]enemies!$A:$A),MATCH(K$1,[3]enemies!$1:$1,0)-MATCH($J$1,[3]enemies!$1:$1,0)+1),MATCH(K$1,[3]enemies!$1:$1,0)-MATCH($J$1,[3]enemies!$1:$1,0)+1,FALSE)</f>
        <v>ヒュウガ</v>
      </c>
      <c r="L127" s="23" t="str">
        <f ca="1">VLOOKUP($J127,OFFSET([3]enemies!$A$1,0,0,COUNTA([3]enemies!$A:$A),MATCH(L$1,[3]enemies!$1:$1,0)-MATCH($J$1,[3]enemies!$1:$1,0)+1),MATCH(L$1,[3]enemies!$1:$1,0)-MATCH($J$1,[3]enemies!$1:$1,0)+1,FALSE)</f>
        <v>red</v>
      </c>
      <c r="M127" s="23" t="str">
        <f ca="1">VLOOKUP($J127,OFFSET([4]characters!$A$1,0,0,COUNTA([4]characters!$A:$A),MATCH(M$1,[4]characters!$1:$1,0)-MATCH($J$1,[4]characters!$1:$1,0)+1),MATCH(M$1,[4]characters!$1:$1,0)-MATCH($J$1,[4]characters!$1:$1,0)+1,FALSE)</f>
        <v>Drop1N</v>
      </c>
      <c r="N127" s="22" t="str">
        <f ca="1">VLOOKUP($J127,OFFSET([4]characters!$A$1,0,0,COUNTA([4]characters!$A:$A),MATCH(N$1,[4]characters!$1:$1,0)-MATCH($J$1,[4]characters!$1:$1,0)+2),MATCH(N$1,[4]characters!$1:$1,0)-MATCH($J$1,[4]characters!$1:$1,0)+2,FALSE)</f>
        <v>ドラゴン</v>
      </c>
      <c r="O127" s="5">
        <f ca="1">VLOOKUP($J127,OFFSET([3]enemies!$A$1,0,0,COUNTA([3]enemies!$A:$A),MATCH(O$1,[3]enemies!$1:$1,0)-MATCH($J$1,[3]enemies!$1:$1,0)+1),MATCH(O$1,[3]enemies!$1:$1,0)-MATCH($J$1,[3]enemies!$1:$1,0)+1,FALSE)</f>
        <v>15</v>
      </c>
      <c r="P127" s="46">
        <v>38</v>
      </c>
      <c r="Q127" s="43">
        <v>1</v>
      </c>
      <c r="R127" s="43">
        <v>1</v>
      </c>
      <c r="S127" s="6">
        <v>0</v>
      </c>
      <c r="T127" s="5" t="str">
        <f ca="1">VLOOKUP($U127,OFFSET([5]enemy_skill_sets!$B$1,0,0,COUNTA([5]enemy_skill_sets!$B:$B),MATCH(K$1,[5]enemy_skill_sets!$1:$1,0)-MATCH($U$1,[5]enemy_skill_sets!$1:$1,0)+2),MATCH(K$1,[5]enemy_skill_sets!$1:$1,0)-MATCH($U$1,[5]enemy_skill_sets!$1:$1,0)+2,FALSE)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27" s="5">
        <f ca="1">VLOOKUP($J127,OFFSET([3]enemies!$A$1,0,0,COUNTA([3]enemies!$A:$A),MATCH(U$1,[3]enemies!$1:$1,0)-MATCH($J$1,[3]enemies!$1:$1,0)+1),MATCH(U$1,[3]enemies!$1:$1,0)-MATCH($J$1,[3]enemies!$1:$1,0)+1,FALSE)</f>
        <v>0</v>
      </c>
      <c r="V127" s="7">
        <v>0</v>
      </c>
      <c r="W127" s="7">
        <v>100</v>
      </c>
      <c r="X127" s="7">
        <v>0</v>
      </c>
      <c r="Y127" s="20">
        <f ca="1">VLOOKUP($J127,OFFSET([3]enemies!$A$1,0,0,COUNTA([3]enemies!$A:$A),MATCH(Y$1,[3]enemies!$1:$1,0)-MATCH($J$1,[3]enemies!$1:$1,0)+1),MATCH(Y$1,[3]enemies!$1:$1,0)-MATCH($J$1,[3]enemies!$1:$1,0)+1,FALSE)</f>
        <v>1</v>
      </c>
      <c r="Z127" s="31">
        <v>41</v>
      </c>
      <c r="AA127" s="5" t="str">
        <f ca="1">IFERROR(VLOOKUP($Z127,OFFSET([4]characters!$A$1,0,0,COUNTA([4]characters!$A:$A),MATCH(AA$1,[4]characters!$1:$1,0)-MATCH("character_id",[4]characters!$1:$1,0)+1),MATCH(AA$1,[4]characters!$1:$1,0)-MATCH("character_id",[4]characters!$1:$1,0)+1,FALSE),"")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127" s="5">
        <f ca="1">IFERROR(VLOOKUP($Z127,OFFSET([4]characters!$A$1,0,0,COUNTA([4]characters!$A:$A),MATCH(AB$1,[4]characters!$1:$1,0)-MATCH("character_id",[4]characters!$1:$1,0)+1),MATCH(AB$1,[4]characters!$1:$1,0)-MATCH("character_id",[4]characters!$1:$1,0)+1,FALSE),"")</f>
        <v>2</v>
      </c>
      <c r="AC127" s="5" t="str">
        <f ca="1">IFERROR(VLOOKUP($Z127,OFFSET([4]characters!$A$1,0,0,COUNTA([4]characters!$A:$A),MATCH(AC$1,[4]characters!$1:$1,0)-MATCH("character_id",[4]characters!$1:$1,0)+1),MATCH(AC$1,[4]characters!$1:$1,0)-MATCH("character_id",[4]characters!$1:$1,0)+1,FALSE),"")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27" s="36">
        <v>5</v>
      </c>
      <c r="AE127" s="37">
        <f t="shared" ca="1" si="86"/>
        <v>2</v>
      </c>
      <c r="AF127" s="7">
        <v>25</v>
      </c>
      <c r="AG127" s="36">
        <v>0</v>
      </c>
      <c r="AH127" s="36">
        <v>0</v>
      </c>
      <c r="AI127" s="36">
        <v>0</v>
      </c>
      <c r="AJ127" s="36">
        <v>0</v>
      </c>
      <c r="AK127" s="36">
        <v>1</v>
      </c>
      <c r="AL127" s="36">
        <v>1</v>
      </c>
    </row>
    <row r="128" spans="1:38" ht="21" customHeight="1" x14ac:dyDescent="0.15">
      <c r="A128" s="17" t="str">
        <f t="shared" ca="1" si="83"/>
        <v>13101_14-2/21&lt;lv38&gt;s2</v>
      </c>
      <c r="B128" s="26">
        <v>13101</v>
      </c>
      <c r="C128" s="30">
        <v>14</v>
      </c>
      <c r="D128" s="16" t="str">
        <f t="shared" si="84"/>
        <v>13101_14</v>
      </c>
      <c r="E128" s="5" t="str">
        <f ca="1">VLOOKUP($B128,OFFSET([2]quests!$A$1,0,0,COUNTA([2]quests!$A:$A),MATCH(E$1,[2]quests!$1:$1,0)-MATCH($B$1,[2]quests!$1:$1,0)+1),MATCH(E$1,[2]quests!$1:$1,0)-MATCH($B$1,[2]quests!$1:$1,0)+1,FALSE)</f>
        <v>チャレンジタワー</v>
      </c>
      <c r="F128" s="5" t="e">
        <f ca="1">VLOOKUP($D128,OFFSET([2]stages!$A$1,0,0,COUNTA([2]stages!$A:$A),MATCH(F$1,[2]stages!$1:$1,0)-MATCH($D$1,[2]stages!$1:$1,0)+1),MATCH(F$1,[2]stages!$1:$1,0)-MATCH($D$1,[2]stages!$1:$1,0)+1,FALSE)</f>
        <v>#N/A</v>
      </c>
      <c r="G128" s="33">
        <v>2</v>
      </c>
      <c r="H128" s="16" t="str">
        <f t="shared" si="85"/>
        <v>13101_14-2</v>
      </c>
      <c r="I128" s="39" t="s">
        <v>245</v>
      </c>
      <c r="J128" s="31">
        <v>21</v>
      </c>
      <c r="K128" s="20" t="str">
        <f ca="1">VLOOKUP($J128,OFFSET([3]enemies!$A$1,0,0,COUNTA([3]enemies!$A:$A),MATCH(K$1,[3]enemies!$1:$1,0)-MATCH($J$1,[3]enemies!$1:$1,0)+1),MATCH(K$1,[3]enemies!$1:$1,0)-MATCH($J$1,[3]enemies!$1:$1,0)+1,FALSE)</f>
        <v>ヴェロキー</v>
      </c>
      <c r="L128" s="23" t="str">
        <f ca="1">VLOOKUP($J128,OFFSET([3]enemies!$A$1,0,0,COUNTA([3]enemies!$A:$A),MATCH(L$1,[3]enemies!$1:$1,0)-MATCH($J$1,[3]enemies!$1:$1,0)+1),MATCH(L$1,[3]enemies!$1:$1,0)-MATCH($J$1,[3]enemies!$1:$1,0)+1,FALSE)</f>
        <v>red</v>
      </c>
      <c r="M128" s="23" t="str">
        <f ca="1">VLOOKUP($J128,OFFSET([4]characters!$A$1,0,0,COUNTA([4]characters!$A:$A),MATCH(M$1,[4]characters!$1:$1,0)-MATCH($J$1,[4]characters!$1:$1,0)+1),MATCH(M$1,[4]characters!$1:$1,0)-MATCH($J$1,[4]characters!$1:$1,0)+1,FALSE)</f>
        <v>Drop1N</v>
      </c>
      <c r="N128" s="22" t="str">
        <f ca="1">VLOOKUP($J128,OFFSET([4]characters!$A$1,0,0,COUNTA([4]characters!$A:$A),MATCH(N$1,[4]characters!$1:$1,0)-MATCH($J$1,[4]characters!$1:$1,0)+2),MATCH(N$1,[4]characters!$1:$1,0)-MATCH($J$1,[4]characters!$1:$1,0)+2,FALSE)</f>
        <v>ドラゴン</v>
      </c>
      <c r="O128" s="5">
        <f ca="1">VLOOKUP($J128,OFFSET([3]enemies!$A$1,0,0,COUNTA([3]enemies!$A:$A),MATCH(O$1,[3]enemies!$1:$1,0)-MATCH($J$1,[3]enemies!$1:$1,0)+1),MATCH(O$1,[3]enemies!$1:$1,0)-MATCH($J$1,[3]enemies!$1:$1,0)+1,FALSE)</f>
        <v>15</v>
      </c>
      <c r="P128" s="46">
        <v>38</v>
      </c>
      <c r="Q128" s="43">
        <v>1</v>
      </c>
      <c r="R128" s="43">
        <v>1</v>
      </c>
      <c r="S128" s="6">
        <v>0</v>
      </c>
      <c r="T128" s="5" t="str">
        <f ca="1">VLOOKUP($U128,OFFSET([5]enemy_skill_sets!$B$1,0,0,COUNTA([5]enemy_skill_sets!$B:$B),MATCH(K$1,[5]enemy_skill_sets!$1:$1,0)-MATCH($U$1,[5]enemy_skill_sets!$1:$1,0)+2),MATCH(K$1,[5]enemy_skill_sets!$1:$1,0)-MATCH($U$1,[5]enemy_skill_sets!$1:$1,0)+2,FALSE)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28" s="5">
        <f ca="1">VLOOKUP($J128,OFFSET([3]enemies!$A$1,0,0,COUNTA([3]enemies!$A:$A),MATCH(U$1,[3]enemies!$1:$1,0)-MATCH($J$1,[3]enemies!$1:$1,0)+1),MATCH(U$1,[3]enemies!$1:$1,0)-MATCH($J$1,[3]enemies!$1:$1,0)+1,FALSE)</f>
        <v>0</v>
      </c>
      <c r="V128" s="7">
        <v>0</v>
      </c>
      <c r="W128" s="7">
        <v>100</v>
      </c>
      <c r="X128" s="7">
        <v>0</v>
      </c>
      <c r="Y128" s="20">
        <f ca="1">VLOOKUP($J128,OFFSET([3]enemies!$A$1,0,0,COUNTA([3]enemies!$A:$A),MATCH(Y$1,[3]enemies!$1:$1,0)-MATCH($J$1,[3]enemies!$1:$1,0)+1),MATCH(Y$1,[3]enemies!$1:$1,0)-MATCH($J$1,[3]enemies!$1:$1,0)+1,FALSE)</f>
        <v>2</v>
      </c>
      <c r="Z128" s="31">
        <v>21</v>
      </c>
      <c r="AA128" s="5" t="str">
        <f ca="1">IFERROR(VLOOKUP($Z128,OFFSET([4]characters!$A$1,0,0,COUNTA([4]characters!$A:$A),MATCH(AA$1,[4]characters!$1:$1,0)-MATCH("character_id",[4]characters!$1:$1,0)+1),MATCH(AA$1,[4]characters!$1:$1,0)-MATCH("character_id",[4]characters!$1:$1,0)+1,FALSE),"")</f>
        <v>ヴェロキー</v>
      </c>
      <c r="AB128" s="5">
        <f ca="1">IFERROR(VLOOKUP($Z128,OFFSET([4]characters!$A$1,0,0,COUNTA([4]characters!$A:$A),MATCH(AB$1,[4]characters!$1:$1,0)-MATCH("character_id",[4]characters!$1:$1,0)+1),MATCH(AB$1,[4]characters!$1:$1,0)-MATCH("character_id",[4]characters!$1:$1,0)+1,FALSE),"")</f>
        <v>1</v>
      </c>
      <c r="AC128" s="5" t="str">
        <f ca="1">IFERROR(VLOOKUP($Z128,OFFSET([4]characters!$A$1,0,0,COUNTA([4]characters!$A:$A),MATCH(AC$1,[4]characters!$1:$1,0)-MATCH("character_id",[4]characters!$1:$1,0)+1),MATCH(AC$1,[4]characters!$1:$1,0)-MATCH("character_id",[4]characters!$1:$1,0)+1,FALSE),"")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28" s="36">
        <v>5</v>
      </c>
      <c r="AE128" s="37">
        <f t="shared" ca="1" si="86"/>
        <v>1</v>
      </c>
      <c r="AF128" s="7">
        <v>25</v>
      </c>
      <c r="AG128" s="36">
        <v>0</v>
      </c>
      <c r="AH128" s="36">
        <v>0</v>
      </c>
      <c r="AI128" s="36">
        <v>0</v>
      </c>
      <c r="AJ128" s="36">
        <v>0</v>
      </c>
      <c r="AK128" s="36">
        <v>1</v>
      </c>
      <c r="AL128" s="36">
        <v>1</v>
      </c>
    </row>
    <row r="129" spans="1:38" ht="21" customHeight="1" x14ac:dyDescent="0.15">
      <c r="A129" s="17" t="str">
        <f t="shared" ca="1" si="83"/>
        <v>13101_14-2/41&lt;lv38&gt;s1</v>
      </c>
      <c r="B129" s="26">
        <v>13101</v>
      </c>
      <c r="C129" s="30">
        <v>14</v>
      </c>
      <c r="D129" s="16" t="str">
        <f t="shared" si="84"/>
        <v>13101_14</v>
      </c>
      <c r="E129" s="5" t="str">
        <f ca="1">VLOOKUP($B129,OFFSET([2]quests!$A$1,0,0,COUNTA([2]quests!$A:$A),MATCH(E$1,[2]quests!$1:$1,0)-MATCH($B$1,[2]quests!$1:$1,0)+1),MATCH(E$1,[2]quests!$1:$1,0)-MATCH($B$1,[2]quests!$1:$1,0)+1,FALSE)</f>
        <v>チャレンジタワー</v>
      </c>
      <c r="F129" s="5" t="e">
        <f ca="1">VLOOKUP($D129,OFFSET([2]stages!$A$1,0,0,COUNTA([2]stages!$A:$A),MATCH(F$1,[2]stages!$1:$1,0)-MATCH($D$1,[2]stages!$1:$1,0)+1),MATCH(F$1,[2]stages!$1:$1,0)-MATCH($D$1,[2]stages!$1:$1,0)+1,FALSE)</f>
        <v>#N/A</v>
      </c>
      <c r="G129" s="33">
        <v>2</v>
      </c>
      <c r="H129" s="16" t="str">
        <f t="shared" si="85"/>
        <v>13101_14-2</v>
      </c>
      <c r="I129" s="39" t="s">
        <v>245</v>
      </c>
      <c r="J129" s="31">
        <v>41</v>
      </c>
      <c r="K129" s="20" t="str">
        <f ca="1">VLOOKUP($J129,OFFSET([3]enemies!$A$1,0,0,COUNTA([3]enemies!$A:$A),MATCH(K$1,[3]enemies!$1:$1,0)-MATCH($J$1,[3]enemies!$1:$1,0)+1),MATCH(K$1,[3]enemies!$1:$1,0)-MATCH($J$1,[3]enemies!$1:$1,0)+1,FALSE)</f>
        <v>ヒュウガ</v>
      </c>
      <c r="L129" s="23" t="str">
        <f ca="1">VLOOKUP($J129,OFFSET([3]enemies!$A$1,0,0,COUNTA([3]enemies!$A:$A),MATCH(L$1,[3]enemies!$1:$1,0)-MATCH($J$1,[3]enemies!$1:$1,0)+1),MATCH(L$1,[3]enemies!$1:$1,0)-MATCH($J$1,[3]enemies!$1:$1,0)+1,FALSE)</f>
        <v>red</v>
      </c>
      <c r="M129" s="23" t="str">
        <f ca="1">VLOOKUP($J129,OFFSET([4]characters!$A$1,0,0,COUNTA([4]characters!$A:$A),MATCH(M$1,[4]characters!$1:$1,0)-MATCH($J$1,[4]characters!$1:$1,0)+1),MATCH(M$1,[4]characters!$1:$1,0)-MATCH($J$1,[4]characters!$1:$1,0)+1,FALSE)</f>
        <v>Drop1N</v>
      </c>
      <c r="N129" s="22" t="str">
        <f ca="1">VLOOKUP($J129,OFFSET([4]characters!$A$1,0,0,COUNTA([4]characters!$A:$A),MATCH(N$1,[4]characters!$1:$1,0)-MATCH($J$1,[4]characters!$1:$1,0)+2),MATCH(N$1,[4]characters!$1:$1,0)-MATCH($J$1,[4]characters!$1:$1,0)+2,FALSE)</f>
        <v>ドラゴン</v>
      </c>
      <c r="O129" s="5">
        <f ca="1">VLOOKUP($J129,OFFSET([3]enemies!$A$1,0,0,COUNTA([3]enemies!$A:$A),MATCH(O$1,[3]enemies!$1:$1,0)-MATCH($J$1,[3]enemies!$1:$1,0)+1),MATCH(O$1,[3]enemies!$1:$1,0)-MATCH($J$1,[3]enemies!$1:$1,0)+1,FALSE)</f>
        <v>15</v>
      </c>
      <c r="P129" s="46">
        <v>38</v>
      </c>
      <c r="Q129" s="43">
        <v>1</v>
      </c>
      <c r="R129" s="43">
        <v>1</v>
      </c>
      <c r="S129" s="6">
        <v>0</v>
      </c>
      <c r="T129" s="5" t="str">
        <f ca="1">VLOOKUP($U129,OFFSET([5]enemy_skill_sets!$B$1,0,0,COUNTA([5]enemy_skill_sets!$B:$B),MATCH(K$1,[5]enemy_skill_sets!$1:$1,0)-MATCH($U$1,[5]enemy_skill_sets!$1:$1,0)+2),MATCH(K$1,[5]enemy_skill_sets!$1:$1,0)-MATCH($U$1,[5]enemy_skill_sets!$1:$1,0)+2,FALSE)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29" s="5">
        <f ca="1">VLOOKUP($J129,OFFSET([3]enemies!$A$1,0,0,COUNTA([3]enemies!$A:$A),MATCH(U$1,[3]enemies!$1:$1,0)-MATCH($J$1,[3]enemies!$1:$1,0)+1),MATCH(U$1,[3]enemies!$1:$1,0)-MATCH($J$1,[3]enemies!$1:$1,0)+1,FALSE)</f>
        <v>0</v>
      </c>
      <c r="V129" s="7">
        <v>0</v>
      </c>
      <c r="W129" s="7">
        <v>100</v>
      </c>
      <c r="X129" s="7">
        <v>0</v>
      </c>
      <c r="Y129" s="20">
        <f ca="1">VLOOKUP($J129,OFFSET([3]enemies!$A$1,0,0,COUNTA([3]enemies!$A:$A),MATCH(Y$1,[3]enemies!$1:$1,0)-MATCH($J$1,[3]enemies!$1:$1,0)+1),MATCH(Y$1,[3]enemies!$1:$1,0)-MATCH($J$1,[3]enemies!$1:$1,0)+1,FALSE)</f>
        <v>1</v>
      </c>
      <c r="Z129" s="31">
        <v>41</v>
      </c>
      <c r="AA129" s="5" t="str">
        <f ca="1">IFERROR(VLOOKUP($Z129,OFFSET([4]characters!$A$1,0,0,COUNTA([4]characters!$A:$A),MATCH(AA$1,[4]characters!$1:$1,0)-MATCH("character_id",[4]characters!$1:$1,0)+1),MATCH(AA$1,[4]characters!$1:$1,0)-MATCH("character_id",[4]characters!$1:$1,0)+1,FALSE),"")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129" s="5">
        <f ca="1">IFERROR(VLOOKUP($Z129,OFFSET([4]characters!$A$1,0,0,COUNTA([4]characters!$A:$A),MATCH(AB$1,[4]characters!$1:$1,0)-MATCH("character_id",[4]characters!$1:$1,0)+1),MATCH(AB$1,[4]characters!$1:$1,0)-MATCH("character_id",[4]characters!$1:$1,0)+1,FALSE),"")</f>
        <v>2</v>
      </c>
      <c r="AC129" s="5" t="str">
        <f ca="1">IFERROR(VLOOKUP($Z129,OFFSET([4]characters!$A$1,0,0,COUNTA([4]characters!$A:$A),MATCH(AC$1,[4]characters!$1:$1,0)-MATCH("character_id",[4]characters!$1:$1,0)+1),MATCH(AC$1,[4]characters!$1:$1,0)-MATCH("character_id",[4]characters!$1:$1,0)+1,FALSE),"")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29" s="36">
        <v>5</v>
      </c>
      <c r="AE129" s="37">
        <f t="shared" ca="1" si="86"/>
        <v>2</v>
      </c>
      <c r="AF129" s="7">
        <v>25</v>
      </c>
      <c r="AG129" s="36">
        <v>0</v>
      </c>
      <c r="AH129" s="36">
        <v>0</v>
      </c>
      <c r="AI129" s="36">
        <v>0</v>
      </c>
      <c r="AJ129" s="36">
        <v>0</v>
      </c>
      <c r="AK129" s="36">
        <v>1</v>
      </c>
      <c r="AL129" s="36">
        <v>1</v>
      </c>
    </row>
    <row r="130" spans="1:38" ht="21" customHeight="1" x14ac:dyDescent="0.15">
      <c r="A130" s="17" t="str">
        <f t="shared" ref="A130:A131" ca="1" si="111">B130&amp;"_"&amp;C130&amp;"-"&amp;G130&amp;"/"&amp;J130&amp;"&lt;lv"&amp;P130&amp;"&gt;s"&amp;Y130</f>
        <v>13101_14-2/57&lt;lv38&gt;s2</v>
      </c>
      <c r="B130" s="26">
        <v>13101</v>
      </c>
      <c r="C130" s="30">
        <v>14</v>
      </c>
      <c r="D130" s="16" t="str">
        <f t="shared" ref="D130:D131" si="112">B130&amp;"_"&amp;C130</f>
        <v>13101_14</v>
      </c>
      <c r="E130" s="5" t="str">
        <f ca="1">VLOOKUP($B130,OFFSET([2]quests!$A$1,0,0,COUNTA([2]quests!$A:$A),MATCH(E$1,[2]quests!$1:$1,0)-MATCH($B$1,[2]quests!$1:$1,0)+1),MATCH(E$1,[2]quests!$1:$1,0)-MATCH($B$1,[2]quests!$1:$1,0)+1,FALSE)</f>
        <v>チャレンジタワー</v>
      </c>
      <c r="F130" s="5" t="e">
        <f ca="1">VLOOKUP($D130,OFFSET([2]stages!$A$1,0,0,COUNTA([2]stages!$A:$A),MATCH(F$1,[2]stages!$1:$1,0)-MATCH($D$1,[2]stages!$1:$1,0)+1),MATCH(F$1,[2]stages!$1:$1,0)-MATCH($D$1,[2]stages!$1:$1,0)+1,FALSE)</f>
        <v>#N/A</v>
      </c>
      <c r="G130" s="33">
        <v>2</v>
      </c>
      <c r="H130" s="16" t="str">
        <f t="shared" ref="H130:H131" si="113">B130&amp;"_"&amp;C130&amp;"-"&amp;G130</f>
        <v>13101_14-2</v>
      </c>
      <c r="I130" s="39" t="s">
        <v>245</v>
      </c>
      <c r="J130" s="31">
        <v>57</v>
      </c>
      <c r="K130" s="20" t="str">
        <f ca="1">VLOOKUP($J130,OFFSET([3]enemies!$A$1,0,0,COUNTA([3]enemies!$A:$A),MATCH(K$1,[3]enemies!$1:$1,0)-MATCH($J$1,[3]enemies!$1:$1,0)+1),MATCH(K$1,[3]enemies!$1:$1,0)-MATCH($J$1,[3]enemies!$1:$1,0)+1,FALSE)</f>
        <v>チェン・リー</v>
      </c>
      <c r="L130" s="23" t="str">
        <f ca="1">VLOOKUP($J130,OFFSET([3]enemies!$A$1,0,0,COUNTA([3]enemies!$A:$A),MATCH(L$1,[3]enemies!$1:$1,0)-MATCH($J$1,[3]enemies!$1:$1,0)+1),MATCH(L$1,[3]enemies!$1:$1,0)-MATCH($J$1,[3]enemies!$1:$1,0)+1,FALSE)</f>
        <v>red</v>
      </c>
      <c r="M130" s="23" t="str">
        <f ca="1">VLOOKUP($J130,OFFSET([4]characters!$A$1,0,0,COUNTA([4]characters!$A:$A),MATCH(M$1,[4]characters!$1:$1,0)-MATCH($J$1,[4]characters!$1:$1,0)+1),MATCH(M$1,[4]characters!$1:$1,0)-MATCH($J$1,[4]characters!$1:$1,0)+1,FALSE)</f>
        <v>Drop1N</v>
      </c>
      <c r="N130" s="22" t="str">
        <f ca="1">VLOOKUP($J130,OFFSET([4]characters!$A$1,0,0,COUNTA([4]characters!$A:$A),MATCH(N$1,[4]characters!$1:$1,0)-MATCH($J$1,[4]characters!$1:$1,0)+2),MATCH(N$1,[4]characters!$1:$1,0)-MATCH($J$1,[4]characters!$1:$1,0)+2,FALSE)</f>
        <v>アニマル</v>
      </c>
      <c r="O130" s="5">
        <f ca="1">VLOOKUP($J130,OFFSET([3]enemies!$A$1,0,0,COUNTA([3]enemies!$A:$A),MATCH(O$1,[3]enemies!$1:$1,0)-MATCH($J$1,[3]enemies!$1:$1,0)+1),MATCH(O$1,[3]enemies!$1:$1,0)-MATCH($J$1,[3]enemies!$1:$1,0)+1,FALSE)</f>
        <v>15</v>
      </c>
      <c r="P130" s="46">
        <v>38</v>
      </c>
      <c r="Q130" s="43">
        <v>1</v>
      </c>
      <c r="R130" s="43">
        <v>1</v>
      </c>
      <c r="S130" s="6">
        <v>0</v>
      </c>
      <c r="T130" s="5" t="str">
        <f ca="1">VLOOKUP($U130,OFFSET([5]enemy_skill_sets!$B$1,0,0,COUNTA([5]enemy_skill_sets!$B:$B),MATCH(K$1,[5]enemy_skill_sets!$1:$1,0)-MATCH($U$1,[5]enemy_skill_sets!$1:$1,0)+2),MATCH(K$1,[5]enemy_skill_sets!$1:$1,0)-MATCH($U$1,[5]enemy_skill_sets!$1:$1,0)+2,FALSE)</f>
        <v>3ターン攻撃力小UP</v>
      </c>
      <c r="U130" s="5">
        <f ca="1">VLOOKUP($J130,OFFSET([3]enemies!$A$1,0,0,COUNTA([3]enemies!$A:$A),MATCH(U$1,[3]enemies!$1:$1,0)-MATCH($J$1,[3]enemies!$1:$1,0)+1),MATCH(U$1,[3]enemies!$1:$1,0)-MATCH($J$1,[3]enemies!$1:$1,0)+1,FALSE)</f>
        <v>57</v>
      </c>
      <c r="V130" s="7">
        <v>1</v>
      </c>
      <c r="W130" s="7">
        <v>100</v>
      </c>
      <c r="X130" s="7">
        <v>0</v>
      </c>
      <c r="Y130" s="20">
        <f ca="1">VLOOKUP($J130,OFFSET([3]enemies!$A$1,0,0,COUNTA([3]enemies!$A:$A),MATCH(Y$1,[3]enemies!$1:$1,0)-MATCH($J$1,[3]enemies!$1:$1,0)+1),MATCH(Y$1,[3]enemies!$1:$1,0)-MATCH($J$1,[3]enemies!$1:$1,0)+1,FALSE)</f>
        <v>2</v>
      </c>
      <c r="Z130" s="31">
        <v>57</v>
      </c>
      <c r="AA130" s="5" t="str">
        <f ca="1">IFERROR(VLOOKUP($Z130,OFFSET([4]characters!$A$1,0,0,COUNTA([4]characters!$A:$A),MATCH(AA$1,[4]characters!$1:$1,0)-MATCH("character_id",[4]characters!$1:$1,0)+1),MATCH(AA$1,[4]characters!$1:$1,0)-MATCH("character_id",[4]characters!$1:$1,0)+1,FALSE),"")</f>
        <v>チェン・リー</v>
      </c>
      <c r="AB130" s="5">
        <f ca="1">IFERROR(VLOOKUP($Z130,OFFSET([4]characters!$A$1,0,0,COUNTA([4]characters!$A:$A),MATCH(AB$1,[4]characters!$1:$1,0)-MATCH("character_id",[4]characters!$1:$1,0)+1),MATCH(AB$1,[4]characters!$1:$1,0)-MATCH("character_id",[4]characters!$1:$1,0)+1,FALSE),"")</f>
        <v>2</v>
      </c>
      <c r="AC130" s="5" t="str">
        <f ca="1">IFERROR(VLOOKUP($Z130,OFFSET([4]characters!$A$1,0,0,COUNTA([4]characters!$A:$A),MATCH(AC$1,[4]characters!$1:$1,0)-MATCH("character_id",[4]characters!$1:$1,0)+1),MATCH(AC$1,[4]characters!$1:$1,0)-MATCH("character_id",[4]characters!$1:$1,0)+1,FALSE),"")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30" s="36">
        <v>5</v>
      </c>
      <c r="AE130" s="37">
        <f t="shared" ref="AE130:AE131" ca="1" si="114">AB130</f>
        <v>2</v>
      </c>
      <c r="AF130" s="7">
        <v>25</v>
      </c>
      <c r="AG130" s="36">
        <v>0</v>
      </c>
      <c r="AH130" s="36">
        <v>0</v>
      </c>
      <c r="AI130" s="36">
        <v>0</v>
      </c>
      <c r="AJ130" s="36">
        <v>0</v>
      </c>
      <c r="AK130" s="36">
        <v>1</v>
      </c>
      <c r="AL130" s="36">
        <v>1</v>
      </c>
    </row>
    <row r="131" spans="1:38" ht="21" customHeight="1" x14ac:dyDescent="0.15">
      <c r="A131" s="17" t="str">
        <f t="shared" ca="1" si="111"/>
        <v>13101_14-3/41&lt;lv38&gt;s1</v>
      </c>
      <c r="B131" s="26">
        <v>13101</v>
      </c>
      <c r="C131" s="30">
        <v>14</v>
      </c>
      <c r="D131" s="16" t="str">
        <f t="shared" si="112"/>
        <v>13101_14</v>
      </c>
      <c r="E131" s="5" t="str">
        <f ca="1">VLOOKUP($B131,OFFSET([2]quests!$A$1,0,0,COUNTA([2]quests!$A:$A),MATCH(E$1,[2]quests!$1:$1,0)-MATCH($B$1,[2]quests!$1:$1,0)+1),MATCH(E$1,[2]quests!$1:$1,0)-MATCH($B$1,[2]quests!$1:$1,0)+1,FALSE)</f>
        <v>チャレンジタワー</v>
      </c>
      <c r="F131" s="5" t="e">
        <f ca="1">VLOOKUP($D131,OFFSET([2]stages!$A$1,0,0,COUNTA([2]stages!$A:$A),MATCH(F$1,[2]stages!$1:$1,0)-MATCH($D$1,[2]stages!$1:$1,0)+1),MATCH(F$1,[2]stages!$1:$1,0)-MATCH($D$1,[2]stages!$1:$1,0)+1,FALSE)</f>
        <v>#N/A</v>
      </c>
      <c r="G131" s="33">
        <v>3</v>
      </c>
      <c r="H131" s="16" t="str">
        <f t="shared" si="113"/>
        <v>13101_14-3</v>
      </c>
      <c r="I131" s="39" t="s">
        <v>245</v>
      </c>
      <c r="J131" s="31">
        <v>41</v>
      </c>
      <c r="K131" s="20" t="str">
        <f ca="1">VLOOKUP($J131,OFFSET([3]enemies!$A$1,0,0,COUNTA([3]enemies!$A:$A),MATCH(K$1,[3]enemies!$1:$1,0)-MATCH($J$1,[3]enemies!$1:$1,0)+1),MATCH(K$1,[3]enemies!$1:$1,0)-MATCH($J$1,[3]enemies!$1:$1,0)+1,FALSE)</f>
        <v>ヒュウガ</v>
      </c>
      <c r="L131" s="23" t="str">
        <f ca="1">VLOOKUP($J131,OFFSET([3]enemies!$A$1,0,0,COUNTA([3]enemies!$A:$A),MATCH(L$1,[3]enemies!$1:$1,0)-MATCH($J$1,[3]enemies!$1:$1,0)+1),MATCH(L$1,[3]enemies!$1:$1,0)-MATCH($J$1,[3]enemies!$1:$1,0)+1,FALSE)</f>
        <v>red</v>
      </c>
      <c r="M131" s="23" t="str">
        <f ca="1">VLOOKUP($J131,OFFSET([4]characters!$A$1,0,0,COUNTA([4]characters!$A:$A),MATCH(M$1,[4]characters!$1:$1,0)-MATCH($J$1,[4]characters!$1:$1,0)+1),MATCH(M$1,[4]characters!$1:$1,0)-MATCH($J$1,[4]characters!$1:$1,0)+1,FALSE)</f>
        <v>Drop1N</v>
      </c>
      <c r="N131" s="22" t="str">
        <f ca="1">VLOOKUP($J131,OFFSET([4]characters!$A$1,0,0,COUNTA([4]characters!$A:$A),MATCH(N$1,[4]characters!$1:$1,0)-MATCH($J$1,[4]characters!$1:$1,0)+2),MATCH(N$1,[4]characters!$1:$1,0)-MATCH($J$1,[4]characters!$1:$1,0)+2,FALSE)</f>
        <v>ドラゴン</v>
      </c>
      <c r="O131" s="5">
        <f ca="1">VLOOKUP($J131,OFFSET([3]enemies!$A$1,0,0,COUNTA([3]enemies!$A:$A),MATCH(O$1,[3]enemies!$1:$1,0)-MATCH($J$1,[3]enemies!$1:$1,0)+1),MATCH(O$1,[3]enemies!$1:$1,0)-MATCH($J$1,[3]enemies!$1:$1,0)+1,FALSE)</f>
        <v>15</v>
      </c>
      <c r="P131" s="46">
        <v>38</v>
      </c>
      <c r="Q131" s="43">
        <v>1</v>
      </c>
      <c r="R131" s="43">
        <v>1</v>
      </c>
      <c r="S131" s="6">
        <v>0</v>
      </c>
      <c r="T131" s="5" t="str">
        <f ca="1">VLOOKUP($U131,OFFSET([5]enemy_skill_sets!$B$1,0,0,COUNTA([5]enemy_skill_sets!$B:$B),MATCH(K$1,[5]enemy_skill_sets!$1:$1,0)-MATCH($U$1,[5]enemy_skill_sets!$1:$1,0)+2),MATCH(K$1,[5]enemy_skill_sets!$1:$1,0)-MATCH($U$1,[5]enemy_skill_sets!$1:$1,0)+2,FALSE)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31" s="5">
        <f ca="1">VLOOKUP($J131,OFFSET([3]enemies!$A$1,0,0,COUNTA([3]enemies!$A:$A),MATCH(U$1,[3]enemies!$1:$1,0)-MATCH($J$1,[3]enemies!$1:$1,0)+1),MATCH(U$1,[3]enemies!$1:$1,0)-MATCH($J$1,[3]enemies!$1:$1,0)+1,FALSE)</f>
        <v>0</v>
      </c>
      <c r="V131" s="7">
        <v>0</v>
      </c>
      <c r="W131" s="7">
        <v>100</v>
      </c>
      <c r="X131" s="7">
        <v>0</v>
      </c>
      <c r="Y131" s="20">
        <f ca="1">VLOOKUP($J131,OFFSET([3]enemies!$A$1,0,0,COUNTA([3]enemies!$A:$A),MATCH(Y$1,[3]enemies!$1:$1,0)-MATCH($J$1,[3]enemies!$1:$1,0)+1),MATCH(Y$1,[3]enemies!$1:$1,0)-MATCH($J$1,[3]enemies!$1:$1,0)+1,FALSE)</f>
        <v>1</v>
      </c>
      <c r="Z131" s="31">
        <v>41</v>
      </c>
      <c r="AA131" s="5" t="str">
        <f ca="1">IFERROR(VLOOKUP($Z131,OFFSET([4]characters!$A$1,0,0,COUNTA([4]characters!$A:$A),MATCH(AA$1,[4]characters!$1:$1,0)-MATCH("character_id",[4]characters!$1:$1,0)+1),MATCH(AA$1,[4]characters!$1:$1,0)-MATCH("character_id",[4]characters!$1:$1,0)+1,FALSE),"")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131" s="5">
        <f ca="1">IFERROR(VLOOKUP($Z131,OFFSET([4]characters!$A$1,0,0,COUNTA([4]characters!$A:$A),MATCH(AB$1,[4]characters!$1:$1,0)-MATCH("character_id",[4]characters!$1:$1,0)+1),MATCH(AB$1,[4]characters!$1:$1,0)-MATCH("character_id",[4]characters!$1:$1,0)+1,FALSE),"")</f>
        <v>2</v>
      </c>
      <c r="AC131" s="5" t="str">
        <f ca="1">IFERROR(VLOOKUP($Z131,OFFSET([4]characters!$A$1,0,0,COUNTA([4]characters!$A:$A),MATCH(AC$1,[4]characters!$1:$1,0)-MATCH("character_id",[4]characters!$1:$1,0)+1),MATCH(AC$1,[4]characters!$1:$1,0)-MATCH("character_id",[4]characters!$1:$1,0)+1,FALSE),"")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31" s="36">
        <v>5</v>
      </c>
      <c r="AE131" s="37">
        <f t="shared" ca="1" si="114"/>
        <v>2</v>
      </c>
      <c r="AF131" s="7">
        <v>25</v>
      </c>
      <c r="AG131" s="36">
        <v>0</v>
      </c>
      <c r="AH131" s="36">
        <v>0</v>
      </c>
      <c r="AI131" s="36">
        <v>0</v>
      </c>
      <c r="AJ131" s="36">
        <v>0</v>
      </c>
      <c r="AK131" s="36">
        <v>1</v>
      </c>
      <c r="AL131" s="36">
        <v>1</v>
      </c>
    </row>
    <row r="132" spans="1:38" ht="21" customHeight="1" x14ac:dyDescent="0.15">
      <c r="A132" s="17" t="str">
        <f t="shared" ref="A132" ca="1" si="115">B132&amp;"_"&amp;C132&amp;"-"&amp;G132&amp;"/"&amp;J132&amp;"&lt;lv"&amp;P132&amp;"&gt;s"&amp;Y132</f>
        <v>13101_14-3/57&lt;lv38&gt;s2</v>
      </c>
      <c r="B132" s="26">
        <v>13101</v>
      </c>
      <c r="C132" s="30">
        <v>14</v>
      </c>
      <c r="D132" s="16" t="str">
        <f t="shared" ref="D132" si="116">B132&amp;"_"&amp;C132</f>
        <v>13101_14</v>
      </c>
      <c r="E132" s="5" t="str">
        <f ca="1">VLOOKUP($B132,OFFSET([2]quests!$A$1,0,0,COUNTA([2]quests!$A:$A),MATCH(E$1,[2]quests!$1:$1,0)-MATCH($B$1,[2]quests!$1:$1,0)+1),MATCH(E$1,[2]quests!$1:$1,0)-MATCH($B$1,[2]quests!$1:$1,0)+1,FALSE)</f>
        <v>チャレンジタワー</v>
      </c>
      <c r="F132" s="5" t="e">
        <f ca="1">VLOOKUP($D132,OFFSET([2]stages!$A$1,0,0,COUNTA([2]stages!$A:$A),MATCH(F$1,[2]stages!$1:$1,0)-MATCH($D$1,[2]stages!$1:$1,0)+1),MATCH(F$1,[2]stages!$1:$1,0)-MATCH($D$1,[2]stages!$1:$1,0)+1,FALSE)</f>
        <v>#N/A</v>
      </c>
      <c r="G132" s="33">
        <v>3</v>
      </c>
      <c r="H132" s="16" t="str">
        <f t="shared" ref="H132" si="117">B132&amp;"_"&amp;C132&amp;"-"&amp;G132</f>
        <v>13101_14-3</v>
      </c>
      <c r="I132" s="39" t="s">
        <v>245</v>
      </c>
      <c r="J132" s="31">
        <v>57</v>
      </c>
      <c r="K132" s="20" t="str">
        <f ca="1">VLOOKUP($J132,OFFSET([3]enemies!$A$1,0,0,COUNTA([3]enemies!$A:$A),MATCH(K$1,[3]enemies!$1:$1,0)-MATCH($J$1,[3]enemies!$1:$1,0)+1),MATCH(K$1,[3]enemies!$1:$1,0)-MATCH($J$1,[3]enemies!$1:$1,0)+1,FALSE)</f>
        <v>チェン・リー</v>
      </c>
      <c r="L132" s="23" t="str">
        <f ca="1">VLOOKUP($J132,OFFSET([3]enemies!$A$1,0,0,COUNTA([3]enemies!$A:$A),MATCH(L$1,[3]enemies!$1:$1,0)-MATCH($J$1,[3]enemies!$1:$1,0)+1),MATCH(L$1,[3]enemies!$1:$1,0)-MATCH($J$1,[3]enemies!$1:$1,0)+1,FALSE)</f>
        <v>red</v>
      </c>
      <c r="M132" s="23" t="str">
        <f ca="1">VLOOKUP($J132,OFFSET([4]characters!$A$1,0,0,COUNTA([4]characters!$A:$A),MATCH(M$1,[4]characters!$1:$1,0)-MATCH($J$1,[4]characters!$1:$1,0)+1),MATCH(M$1,[4]characters!$1:$1,0)-MATCH($J$1,[4]characters!$1:$1,0)+1,FALSE)</f>
        <v>Drop1N</v>
      </c>
      <c r="N132" s="22" t="str">
        <f ca="1">VLOOKUP($J132,OFFSET([4]characters!$A$1,0,0,COUNTA([4]characters!$A:$A),MATCH(N$1,[4]characters!$1:$1,0)-MATCH($J$1,[4]characters!$1:$1,0)+2),MATCH(N$1,[4]characters!$1:$1,0)-MATCH($J$1,[4]characters!$1:$1,0)+2,FALSE)</f>
        <v>アニマル</v>
      </c>
      <c r="O132" s="5">
        <f ca="1">VLOOKUP($J132,OFFSET([3]enemies!$A$1,0,0,COUNTA([3]enemies!$A:$A),MATCH(O$1,[3]enemies!$1:$1,0)-MATCH($J$1,[3]enemies!$1:$1,0)+1),MATCH(O$1,[3]enemies!$1:$1,0)-MATCH($J$1,[3]enemies!$1:$1,0)+1,FALSE)</f>
        <v>15</v>
      </c>
      <c r="P132" s="46">
        <v>38</v>
      </c>
      <c r="Q132" s="43">
        <v>1</v>
      </c>
      <c r="R132" s="43">
        <v>1</v>
      </c>
      <c r="S132" s="6">
        <v>0</v>
      </c>
      <c r="T132" s="5" t="str">
        <f ca="1">VLOOKUP($U132,OFFSET([5]enemy_skill_sets!$B$1,0,0,COUNTA([5]enemy_skill_sets!$B:$B),MATCH(K$1,[5]enemy_skill_sets!$1:$1,0)-MATCH($U$1,[5]enemy_skill_sets!$1:$1,0)+2),MATCH(K$1,[5]enemy_skill_sets!$1:$1,0)-MATCH($U$1,[5]enemy_skill_sets!$1:$1,0)+2,FALSE)</f>
        <v>3ターン攻撃力小UP</v>
      </c>
      <c r="U132" s="5">
        <f ca="1">VLOOKUP($J132,OFFSET([3]enemies!$A$1,0,0,COUNTA([3]enemies!$A:$A),MATCH(U$1,[3]enemies!$1:$1,0)-MATCH($J$1,[3]enemies!$1:$1,0)+1),MATCH(U$1,[3]enemies!$1:$1,0)-MATCH($J$1,[3]enemies!$1:$1,0)+1,FALSE)</f>
        <v>57</v>
      </c>
      <c r="V132" s="7">
        <v>1</v>
      </c>
      <c r="W132" s="7">
        <v>100</v>
      </c>
      <c r="X132" s="7">
        <v>0</v>
      </c>
      <c r="Y132" s="20">
        <f ca="1">VLOOKUP($J132,OFFSET([3]enemies!$A$1,0,0,COUNTA([3]enemies!$A:$A),MATCH(Y$1,[3]enemies!$1:$1,0)-MATCH($J$1,[3]enemies!$1:$1,0)+1),MATCH(Y$1,[3]enemies!$1:$1,0)-MATCH($J$1,[3]enemies!$1:$1,0)+1,FALSE)</f>
        <v>2</v>
      </c>
      <c r="Z132" s="31">
        <v>57</v>
      </c>
      <c r="AA132" s="5" t="str">
        <f ca="1">IFERROR(VLOOKUP($Z132,OFFSET([4]characters!$A$1,0,0,COUNTA([4]characters!$A:$A),MATCH(AA$1,[4]characters!$1:$1,0)-MATCH("character_id",[4]characters!$1:$1,0)+1),MATCH(AA$1,[4]characters!$1:$1,0)-MATCH("character_id",[4]characters!$1:$1,0)+1,FALSE),"")</f>
        <v>チェン・リー</v>
      </c>
      <c r="AB132" s="5">
        <f ca="1">IFERROR(VLOOKUP($Z132,OFFSET([4]characters!$A$1,0,0,COUNTA([4]characters!$A:$A),MATCH(AB$1,[4]characters!$1:$1,0)-MATCH("character_id",[4]characters!$1:$1,0)+1),MATCH(AB$1,[4]characters!$1:$1,0)-MATCH("character_id",[4]characters!$1:$1,0)+1,FALSE),"")</f>
        <v>2</v>
      </c>
      <c r="AC132" s="5" t="str">
        <f ca="1">IFERROR(VLOOKUP($Z132,OFFSET([4]characters!$A$1,0,0,COUNTA([4]characters!$A:$A),MATCH(AC$1,[4]characters!$1:$1,0)-MATCH("character_id",[4]characters!$1:$1,0)+1),MATCH(AC$1,[4]characters!$1:$1,0)-MATCH("character_id",[4]characters!$1:$1,0)+1,FALSE),"")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32" s="36">
        <v>5</v>
      </c>
      <c r="AE132" s="37">
        <f t="shared" ref="AE132" ca="1" si="118">AB132</f>
        <v>2</v>
      </c>
      <c r="AF132" s="7">
        <v>25</v>
      </c>
      <c r="AG132" s="36">
        <v>0</v>
      </c>
      <c r="AH132" s="36">
        <v>0</v>
      </c>
      <c r="AI132" s="36">
        <v>0</v>
      </c>
      <c r="AJ132" s="36">
        <v>0</v>
      </c>
      <c r="AK132" s="36">
        <v>1</v>
      </c>
      <c r="AL132" s="36">
        <v>1</v>
      </c>
    </row>
    <row r="133" spans="1:38" ht="21" customHeight="1" x14ac:dyDescent="0.15">
      <c r="A133" s="17" t="str">
        <f t="shared" ca="1" si="83"/>
        <v>13101_14-4/21&lt;lv38&gt;s2</v>
      </c>
      <c r="B133" s="26">
        <v>13101</v>
      </c>
      <c r="C133" s="30">
        <v>14</v>
      </c>
      <c r="D133" s="16" t="str">
        <f t="shared" si="84"/>
        <v>13101_14</v>
      </c>
      <c r="E133" s="5" t="str">
        <f ca="1">VLOOKUP($B133,OFFSET([2]quests!$A$1,0,0,COUNTA([2]quests!$A:$A),MATCH(E$1,[2]quests!$1:$1,0)-MATCH($B$1,[2]quests!$1:$1,0)+1),MATCH(E$1,[2]quests!$1:$1,0)-MATCH($B$1,[2]quests!$1:$1,0)+1,FALSE)</f>
        <v>チャレンジタワー</v>
      </c>
      <c r="F133" s="5" t="e">
        <f ca="1">VLOOKUP($D133,OFFSET([2]stages!$A$1,0,0,COUNTA([2]stages!$A:$A),MATCH(F$1,[2]stages!$1:$1,0)-MATCH($D$1,[2]stages!$1:$1,0)+1),MATCH(F$1,[2]stages!$1:$1,0)-MATCH($D$1,[2]stages!$1:$1,0)+1,FALSE)</f>
        <v>#N/A</v>
      </c>
      <c r="G133" s="33">
        <v>4</v>
      </c>
      <c r="H133" s="16" t="str">
        <f t="shared" si="85"/>
        <v>13101_14-4</v>
      </c>
      <c r="I133" s="39" t="s">
        <v>245</v>
      </c>
      <c r="J133" s="31">
        <v>21</v>
      </c>
      <c r="K133" s="20" t="str">
        <f ca="1">VLOOKUP($J133,OFFSET([3]enemies!$A$1,0,0,COUNTA([3]enemies!$A:$A),MATCH(K$1,[3]enemies!$1:$1,0)-MATCH($J$1,[3]enemies!$1:$1,0)+1),MATCH(K$1,[3]enemies!$1:$1,0)-MATCH($J$1,[3]enemies!$1:$1,0)+1,FALSE)</f>
        <v>ヴェロキー</v>
      </c>
      <c r="L133" s="23" t="str">
        <f ca="1">VLOOKUP($J133,OFFSET([3]enemies!$A$1,0,0,COUNTA([3]enemies!$A:$A),MATCH(L$1,[3]enemies!$1:$1,0)-MATCH($J$1,[3]enemies!$1:$1,0)+1),MATCH(L$1,[3]enemies!$1:$1,0)-MATCH($J$1,[3]enemies!$1:$1,0)+1,FALSE)</f>
        <v>red</v>
      </c>
      <c r="M133" s="23" t="str">
        <f ca="1">VLOOKUP($J133,OFFSET([4]characters!$A$1,0,0,COUNTA([4]characters!$A:$A),MATCH(M$1,[4]characters!$1:$1,0)-MATCH($J$1,[4]characters!$1:$1,0)+1),MATCH(M$1,[4]characters!$1:$1,0)-MATCH($J$1,[4]characters!$1:$1,0)+1,FALSE)</f>
        <v>Drop1N</v>
      </c>
      <c r="N133" s="22" t="str">
        <f ca="1">VLOOKUP($J133,OFFSET([4]characters!$A$1,0,0,COUNTA([4]characters!$A:$A),MATCH(N$1,[4]characters!$1:$1,0)-MATCH($J$1,[4]characters!$1:$1,0)+2),MATCH(N$1,[4]characters!$1:$1,0)-MATCH($J$1,[4]characters!$1:$1,0)+2,FALSE)</f>
        <v>ドラゴン</v>
      </c>
      <c r="O133" s="5">
        <f ca="1">VLOOKUP($J133,OFFSET([3]enemies!$A$1,0,0,COUNTA([3]enemies!$A:$A),MATCH(O$1,[3]enemies!$1:$1,0)-MATCH($J$1,[3]enemies!$1:$1,0)+1),MATCH(O$1,[3]enemies!$1:$1,0)-MATCH($J$1,[3]enemies!$1:$1,0)+1,FALSE)</f>
        <v>15</v>
      </c>
      <c r="P133" s="46">
        <v>38</v>
      </c>
      <c r="Q133" s="43">
        <v>1</v>
      </c>
      <c r="R133" s="43">
        <v>1</v>
      </c>
      <c r="S133" s="6">
        <v>0</v>
      </c>
      <c r="T133" s="5" t="str">
        <f ca="1">VLOOKUP($U133,OFFSET([5]enemy_skill_sets!$B$1,0,0,COUNTA([5]enemy_skill_sets!$B:$B),MATCH(K$1,[5]enemy_skill_sets!$1:$1,0)-MATCH($U$1,[5]enemy_skill_sets!$1:$1,0)+2),MATCH(K$1,[5]enemy_skill_sets!$1:$1,0)-MATCH($U$1,[5]enemy_skill_sets!$1:$1,0)+2,FALSE)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33" s="5">
        <f ca="1">VLOOKUP($J133,OFFSET([3]enemies!$A$1,0,0,COUNTA([3]enemies!$A:$A),MATCH(U$1,[3]enemies!$1:$1,0)-MATCH($J$1,[3]enemies!$1:$1,0)+1),MATCH(U$1,[3]enemies!$1:$1,0)-MATCH($J$1,[3]enemies!$1:$1,0)+1,FALSE)</f>
        <v>0</v>
      </c>
      <c r="V133" s="7">
        <v>0</v>
      </c>
      <c r="W133" s="7">
        <v>100</v>
      </c>
      <c r="X133" s="7">
        <v>0</v>
      </c>
      <c r="Y133" s="20">
        <f ca="1">VLOOKUP($J133,OFFSET([3]enemies!$A$1,0,0,COUNTA([3]enemies!$A:$A),MATCH(Y$1,[3]enemies!$1:$1,0)-MATCH($J$1,[3]enemies!$1:$1,0)+1),MATCH(Y$1,[3]enemies!$1:$1,0)-MATCH($J$1,[3]enemies!$1:$1,0)+1,FALSE)</f>
        <v>2</v>
      </c>
      <c r="Z133" s="31">
        <v>21</v>
      </c>
      <c r="AA133" s="5" t="str">
        <f ca="1">IFERROR(VLOOKUP($Z133,OFFSET([4]characters!$A$1,0,0,COUNTA([4]characters!$A:$A),MATCH(AA$1,[4]characters!$1:$1,0)-MATCH("character_id",[4]characters!$1:$1,0)+1),MATCH(AA$1,[4]characters!$1:$1,0)-MATCH("character_id",[4]characters!$1:$1,0)+1,FALSE),"")</f>
        <v>ヴェロキー</v>
      </c>
      <c r="AB133" s="5">
        <f ca="1">IFERROR(VLOOKUP($Z133,OFFSET([4]characters!$A$1,0,0,COUNTA([4]characters!$A:$A),MATCH(AB$1,[4]characters!$1:$1,0)-MATCH("character_id",[4]characters!$1:$1,0)+1),MATCH(AB$1,[4]characters!$1:$1,0)-MATCH("character_id",[4]characters!$1:$1,0)+1,FALSE),"")</f>
        <v>1</v>
      </c>
      <c r="AC133" s="5" t="str">
        <f ca="1">IFERROR(VLOOKUP($Z133,OFFSET([4]characters!$A$1,0,0,COUNTA([4]characters!$A:$A),MATCH(AC$1,[4]characters!$1:$1,0)-MATCH("character_id",[4]characters!$1:$1,0)+1),MATCH(AC$1,[4]characters!$1:$1,0)-MATCH("character_id",[4]characters!$1:$1,0)+1,FALSE),"")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33" s="36">
        <v>5</v>
      </c>
      <c r="AE133" s="37">
        <f t="shared" ca="1" si="86"/>
        <v>1</v>
      </c>
      <c r="AF133" s="7">
        <v>25</v>
      </c>
      <c r="AG133" s="36">
        <v>0</v>
      </c>
      <c r="AH133" s="36">
        <v>0</v>
      </c>
      <c r="AI133" s="36">
        <v>0</v>
      </c>
      <c r="AJ133" s="36">
        <v>0</v>
      </c>
      <c r="AK133" s="36">
        <v>1</v>
      </c>
      <c r="AL133" s="36">
        <v>1</v>
      </c>
    </row>
    <row r="134" spans="1:38" ht="21" customHeight="1" x14ac:dyDescent="0.15">
      <c r="A134" s="17" t="str">
        <f t="shared" ca="1" si="83"/>
        <v>13101_14-4/41&lt;lv38&gt;s1</v>
      </c>
      <c r="B134" s="26">
        <v>13101</v>
      </c>
      <c r="C134" s="30">
        <v>14</v>
      </c>
      <c r="D134" s="16" t="str">
        <f t="shared" si="84"/>
        <v>13101_14</v>
      </c>
      <c r="E134" s="5" t="str">
        <f ca="1">VLOOKUP($B134,OFFSET([2]quests!$A$1,0,0,COUNTA([2]quests!$A:$A),MATCH(E$1,[2]quests!$1:$1,0)-MATCH($B$1,[2]quests!$1:$1,0)+1),MATCH(E$1,[2]quests!$1:$1,0)-MATCH($B$1,[2]quests!$1:$1,0)+1,FALSE)</f>
        <v>チャレンジタワー</v>
      </c>
      <c r="F134" s="5" t="e">
        <f ca="1">VLOOKUP($D134,OFFSET([2]stages!$A$1,0,0,COUNTA([2]stages!$A:$A),MATCH(F$1,[2]stages!$1:$1,0)-MATCH($D$1,[2]stages!$1:$1,0)+1),MATCH(F$1,[2]stages!$1:$1,0)-MATCH($D$1,[2]stages!$1:$1,0)+1,FALSE)</f>
        <v>#N/A</v>
      </c>
      <c r="G134" s="33">
        <v>4</v>
      </c>
      <c r="H134" s="16" t="str">
        <f t="shared" si="85"/>
        <v>13101_14-4</v>
      </c>
      <c r="I134" s="39" t="s">
        <v>245</v>
      </c>
      <c r="J134" s="31">
        <v>41</v>
      </c>
      <c r="K134" s="20" t="str">
        <f ca="1">VLOOKUP($J134,OFFSET([3]enemies!$A$1,0,0,COUNTA([3]enemies!$A:$A),MATCH(K$1,[3]enemies!$1:$1,0)-MATCH($J$1,[3]enemies!$1:$1,0)+1),MATCH(K$1,[3]enemies!$1:$1,0)-MATCH($J$1,[3]enemies!$1:$1,0)+1,FALSE)</f>
        <v>ヒュウガ</v>
      </c>
      <c r="L134" s="23" t="str">
        <f ca="1">VLOOKUP($J134,OFFSET([3]enemies!$A$1,0,0,COUNTA([3]enemies!$A:$A),MATCH(L$1,[3]enemies!$1:$1,0)-MATCH($J$1,[3]enemies!$1:$1,0)+1),MATCH(L$1,[3]enemies!$1:$1,0)-MATCH($J$1,[3]enemies!$1:$1,0)+1,FALSE)</f>
        <v>red</v>
      </c>
      <c r="M134" s="23" t="str">
        <f ca="1">VLOOKUP($J134,OFFSET([4]characters!$A$1,0,0,COUNTA([4]characters!$A:$A),MATCH(M$1,[4]characters!$1:$1,0)-MATCH($J$1,[4]characters!$1:$1,0)+1),MATCH(M$1,[4]characters!$1:$1,0)-MATCH($J$1,[4]characters!$1:$1,0)+1,FALSE)</f>
        <v>Drop1N</v>
      </c>
      <c r="N134" s="22" t="str">
        <f ca="1">VLOOKUP($J134,OFFSET([4]characters!$A$1,0,0,COUNTA([4]characters!$A:$A),MATCH(N$1,[4]characters!$1:$1,0)-MATCH($J$1,[4]characters!$1:$1,0)+2),MATCH(N$1,[4]characters!$1:$1,0)-MATCH($J$1,[4]characters!$1:$1,0)+2,FALSE)</f>
        <v>ドラゴン</v>
      </c>
      <c r="O134" s="5">
        <f ca="1">VLOOKUP($J134,OFFSET([3]enemies!$A$1,0,0,COUNTA([3]enemies!$A:$A),MATCH(O$1,[3]enemies!$1:$1,0)-MATCH($J$1,[3]enemies!$1:$1,0)+1),MATCH(O$1,[3]enemies!$1:$1,0)-MATCH($J$1,[3]enemies!$1:$1,0)+1,FALSE)</f>
        <v>15</v>
      </c>
      <c r="P134" s="46">
        <v>38</v>
      </c>
      <c r="Q134" s="43">
        <v>1</v>
      </c>
      <c r="R134" s="43">
        <v>1</v>
      </c>
      <c r="S134" s="6">
        <v>0</v>
      </c>
      <c r="T134" s="5" t="str">
        <f ca="1">VLOOKUP($U134,OFFSET([5]enemy_skill_sets!$B$1,0,0,COUNTA([5]enemy_skill_sets!$B:$B),MATCH(K$1,[5]enemy_skill_sets!$1:$1,0)-MATCH($U$1,[5]enemy_skill_sets!$1:$1,0)+2),MATCH(K$1,[5]enemy_skill_sets!$1:$1,0)-MATCH($U$1,[5]enemy_skill_sets!$1:$1,0)+2,FALSE)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34" s="5">
        <f ca="1">VLOOKUP($J134,OFFSET([3]enemies!$A$1,0,0,COUNTA([3]enemies!$A:$A),MATCH(U$1,[3]enemies!$1:$1,0)-MATCH($J$1,[3]enemies!$1:$1,0)+1),MATCH(U$1,[3]enemies!$1:$1,0)-MATCH($J$1,[3]enemies!$1:$1,0)+1,FALSE)</f>
        <v>0</v>
      </c>
      <c r="V134" s="7">
        <v>0</v>
      </c>
      <c r="W134" s="7">
        <v>100</v>
      </c>
      <c r="X134" s="7">
        <v>0</v>
      </c>
      <c r="Y134" s="20">
        <f ca="1">VLOOKUP($J134,OFFSET([3]enemies!$A$1,0,0,COUNTA([3]enemies!$A:$A),MATCH(Y$1,[3]enemies!$1:$1,0)-MATCH($J$1,[3]enemies!$1:$1,0)+1),MATCH(Y$1,[3]enemies!$1:$1,0)-MATCH($J$1,[3]enemies!$1:$1,0)+1,FALSE)</f>
        <v>1</v>
      </c>
      <c r="Z134" s="31">
        <v>41</v>
      </c>
      <c r="AA134" s="5" t="str">
        <f ca="1">IFERROR(VLOOKUP($Z134,OFFSET([4]characters!$A$1,0,0,COUNTA([4]characters!$A:$A),MATCH(AA$1,[4]characters!$1:$1,0)-MATCH("character_id",[4]characters!$1:$1,0)+1),MATCH(AA$1,[4]characters!$1:$1,0)-MATCH("character_id",[4]characters!$1:$1,0)+1,FALSE),"")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134" s="5">
        <f ca="1">IFERROR(VLOOKUP($Z134,OFFSET([4]characters!$A$1,0,0,COUNTA([4]characters!$A:$A),MATCH(AB$1,[4]characters!$1:$1,0)-MATCH("character_id",[4]characters!$1:$1,0)+1),MATCH(AB$1,[4]characters!$1:$1,0)-MATCH("character_id",[4]characters!$1:$1,0)+1,FALSE),"")</f>
        <v>2</v>
      </c>
      <c r="AC134" s="5" t="str">
        <f ca="1">IFERROR(VLOOKUP($Z134,OFFSET([4]characters!$A$1,0,0,COUNTA([4]characters!$A:$A),MATCH(AC$1,[4]characters!$1:$1,0)-MATCH("character_id",[4]characters!$1:$1,0)+1),MATCH(AC$1,[4]characters!$1:$1,0)-MATCH("character_id",[4]characters!$1:$1,0)+1,FALSE),"")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34" s="36">
        <v>5</v>
      </c>
      <c r="AE134" s="37">
        <f t="shared" ca="1" si="86"/>
        <v>2</v>
      </c>
      <c r="AF134" s="7">
        <v>25</v>
      </c>
      <c r="AG134" s="36">
        <v>0</v>
      </c>
      <c r="AH134" s="36">
        <v>0</v>
      </c>
      <c r="AI134" s="36">
        <v>0</v>
      </c>
      <c r="AJ134" s="36">
        <v>0</v>
      </c>
      <c r="AK134" s="36">
        <v>1</v>
      </c>
      <c r="AL134" s="36">
        <v>1</v>
      </c>
    </row>
    <row r="135" spans="1:38" ht="21" customHeight="1" x14ac:dyDescent="0.15">
      <c r="A135" s="17" t="str">
        <f t="shared" ca="1" si="83"/>
        <v>13101_14-5/151&lt;lv40&gt;s2</v>
      </c>
      <c r="B135" s="26">
        <v>13101</v>
      </c>
      <c r="C135" s="30">
        <v>14</v>
      </c>
      <c r="D135" s="16" t="str">
        <f t="shared" si="84"/>
        <v>13101_14</v>
      </c>
      <c r="E135" s="5" t="str">
        <f ca="1">VLOOKUP($B135,OFFSET([2]quests!$A$1,0,0,COUNTA([2]quests!$A:$A),MATCH(E$1,[2]quests!$1:$1,0)-MATCH($B$1,[2]quests!$1:$1,0)+1),MATCH(E$1,[2]quests!$1:$1,0)-MATCH($B$1,[2]quests!$1:$1,0)+1,FALSE)</f>
        <v>チャレンジタワー</v>
      </c>
      <c r="F135" s="5" t="e">
        <f ca="1">VLOOKUP($D135,OFFSET([2]stages!$A$1,0,0,COUNTA([2]stages!$A:$A),MATCH(F$1,[2]stages!$1:$1,0)-MATCH($D$1,[2]stages!$1:$1,0)+1),MATCH(F$1,[2]stages!$1:$1,0)-MATCH($D$1,[2]stages!$1:$1,0)+1,FALSE)</f>
        <v>#N/A</v>
      </c>
      <c r="G135" s="33">
        <v>5</v>
      </c>
      <c r="H135" s="16" t="str">
        <f t="shared" si="85"/>
        <v>13101_14-5</v>
      </c>
      <c r="I135" s="39" t="s">
        <v>245</v>
      </c>
      <c r="J135" s="31">
        <v>151</v>
      </c>
      <c r="K135" s="20" t="str">
        <f ca="1">VLOOKUP($J135,OFFSET([3]enemies!$A$1,0,0,COUNTA([3]enemies!$A:$A),MATCH(K$1,[3]enemies!$1:$1,0)-MATCH($J$1,[3]enemies!$1:$1,0)+1),MATCH(K$1,[3]enemies!$1:$1,0)-MATCH($J$1,[3]enemies!$1:$1,0)+1,FALSE)</f>
        <v>毒煙の処刑人サキ</v>
      </c>
      <c r="L135" s="23" t="str">
        <f ca="1">VLOOKUP($J135,OFFSET([3]enemies!$A$1,0,0,COUNTA([3]enemies!$A:$A),MATCH(L$1,[3]enemies!$1:$1,0)-MATCH($J$1,[3]enemies!$1:$1,0)+1),MATCH(L$1,[3]enemies!$1:$1,0)-MATCH($J$1,[3]enemies!$1:$1,0)+1,FALSE)</f>
        <v>red</v>
      </c>
      <c r="M135" s="23" t="str">
        <f ca="1">VLOOKUP($J135,OFFSET([4]characters!$A$1,0,0,COUNTA([4]characters!$A:$A),MATCH(M$1,[4]characters!$1:$1,0)-MATCH($J$1,[4]characters!$1:$1,0)+1),MATCH(M$1,[4]characters!$1:$1,0)-MATCH($J$1,[4]characters!$1:$1,0)+1,FALSE)</f>
        <v>PremiumW</v>
      </c>
      <c r="N135" s="22" t="str">
        <f ca="1">VLOOKUP($J135,OFFSET([4]characters!$A$1,0,0,COUNTA([4]characters!$A:$A),MATCH(N$1,[4]characters!$1:$1,0)-MATCH($J$1,[4]characters!$1:$1,0)+2),MATCH(N$1,[4]characters!$1:$1,0)-MATCH($J$1,[4]characters!$1:$1,0)+2,FALSE)</f>
        <v>ヒューマン</v>
      </c>
      <c r="O135" s="5">
        <f ca="1">VLOOKUP($J135,OFFSET([3]enemies!$A$1,0,0,COUNTA([3]enemies!$A:$A),MATCH(O$1,[3]enemies!$1:$1,0)-MATCH($J$1,[3]enemies!$1:$1,0)+1),MATCH(O$1,[3]enemies!$1:$1,0)-MATCH($J$1,[3]enemies!$1:$1,0)+1,FALSE)</f>
        <v>30</v>
      </c>
      <c r="P135" s="46">
        <v>40</v>
      </c>
      <c r="Q135" s="43">
        <v>1</v>
      </c>
      <c r="R135" s="43">
        <v>1</v>
      </c>
      <c r="S135" s="6">
        <v>0</v>
      </c>
      <c r="T135" s="5" t="str">
        <f ca="1">VLOOKUP($U135,OFFSET([5]enemy_skill_sets!$B$1,0,0,COUNTA([5]enemy_skill_sets!$B:$B),MATCH(K$1,[5]enemy_skill_sets!$1:$1,0)-MATCH($U$1,[5]enemy_skill_sets!$1:$1,0)+2),MATCH(K$1,[5]enemy_skill_sets!$1:$1,0)-MATCH($U$1,[5]enemy_skill_sets!$1:$1,0)+2,FALSE)</f>
        <v>ハートパネルを時限式ダメージパネルに変換</v>
      </c>
      <c r="U135" s="5">
        <f ca="1">VLOOKUP($J135,OFFSET([3]enemies!$A$1,0,0,COUNTA([3]enemies!$A:$A),MATCH(U$1,[3]enemies!$1:$1,0)-MATCH($J$1,[3]enemies!$1:$1,0)+1),MATCH(U$1,[3]enemies!$1:$1,0)-MATCH($J$1,[3]enemies!$1:$1,0)+1,FALSE)</f>
        <v>151</v>
      </c>
      <c r="V135" s="7">
        <v>1</v>
      </c>
      <c r="W135" s="7">
        <v>100</v>
      </c>
      <c r="X135" s="7">
        <v>1</v>
      </c>
      <c r="Y135" s="20">
        <f ca="1">VLOOKUP($J135,OFFSET([3]enemies!$A$1,0,0,COUNTA([3]enemies!$A:$A),MATCH(Y$1,[3]enemies!$1:$1,0)-MATCH($J$1,[3]enemies!$1:$1,0)+1),MATCH(Y$1,[3]enemies!$1:$1,0)-MATCH($J$1,[3]enemies!$1:$1,0)+1,FALSE)</f>
        <v>2</v>
      </c>
      <c r="Z135" s="31">
        <v>150</v>
      </c>
      <c r="AA135" s="5" t="str">
        <f ca="1">IFERROR(VLOOKUP($Z135,OFFSET([4]characters!$A$1,0,0,COUNTA([4]characters!$A:$A),MATCH(AA$1,[4]characters!$1:$1,0)-MATCH("character_id",[4]characters!$1:$1,0)+1),MATCH(AA$1,[4]characters!$1:$1,0)-MATCH("character_id",[4]characters!$1:$1,0)+1,FALSE),"")</f>
        <v>ポイズンマスターサキ</v>
      </c>
      <c r="AB135" s="5">
        <f ca="1">IFERROR(VLOOKUP($Z135,OFFSET([4]characters!$A$1,0,0,COUNTA([4]characters!$A:$A),MATCH(AB$1,[4]characters!$1:$1,0)-MATCH("character_id",[4]characters!$1:$1,0)+1),MATCH(AB$1,[4]characters!$1:$1,0)-MATCH("character_id",[4]characters!$1:$1,0)+1,FALSE),"")</f>
        <v>3</v>
      </c>
      <c r="AC135" s="5" t="str">
        <f ca="1">IFERROR(VLOOKUP($Z135,OFFSET([4]characters!$A$1,0,0,COUNTA([4]characters!$A:$A),MATCH(AC$1,[4]characters!$1:$1,0)-MATCH("character_id",[4]characters!$1:$1,0)+1),MATCH(AC$1,[4]characters!$1:$1,0)-MATCH("character_id",[4]characters!$1:$1,0)+1,FALSE),"")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135" s="36">
        <v>1</v>
      </c>
      <c r="AE135" s="37">
        <f t="shared" ca="1" si="86"/>
        <v>3</v>
      </c>
      <c r="AF135" s="7">
        <v>0</v>
      </c>
      <c r="AG135" s="36">
        <v>0</v>
      </c>
      <c r="AH135" s="36">
        <v>0</v>
      </c>
      <c r="AI135" s="36">
        <v>0</v>
      </c>
      <c r="AJ135" s="36">
        <v>0</v>
      </c>
      <c r="AK135" s="36">
        <v>1</v>
      </c>
      <c r="AL135" s="36">
        <v>1</v>
      </c>
    </row>
    <row r="136" spans="1:38" ht="21" customHeight="1" x14ac:dyDescent="0.15">
      <c r="A136" s="17" t="str">
        <f t="shared" ca="1" si="83"/>
        <v>13101_14-5/57&lt;lv40&gt;s2</v>
      </c>
      <c r="B136" s="26">
        <v>13101</v>
      </c>
      <c r="C136" s="30">
        <v>14</v>
      </c>
      <c r="D136" s="16" t="str">
        <f t="shared" si="84"/>
        <v>13101_14</v>
      </c>
      <c r="E136" s="5" t="str">
        <f ca="1">VLOOKUP($B136,OFFSET([2]quests!$A$1,0,0,COUNTA([2]quests!$A:$A),MATCH(E$1,[2]quests!$1:$1,0)-MATCH($B$1,[2]quests!$1:$1,0)+1),MATCH(E$1,[2]quests!$1:$1,0)-MATCH($B$1,[2]quests!$1:$1,0)+1,FALSE)</f>
        <v>チャレンジタワー</v>
      </c>
      <c r="F136" s="5" t="e">
        <f ca="1">VLOOKUP($D136,OFFSET([2]stages!$A$1,0,0,COUNTA([2]stages!$A:$A),MATCH(F$1,[2]stages!$1:$1,0)-MATCH($D$1,[2]stages!$1:$1,0)+1),MATCH(F$1,[2]stages!$1:$1,0)-MATCH($D$1,[2]stages!$1:$1,0)+1,FALSE)</f>
        <v>#N/A</v>
      </c>
      <c r="G136" s="33">
        <v>5</v>
      </c>
      <c r="H136" s="16" t="str">
        <f t="shared" si="85"/>
        <v>13101_14-5</v>
      </c>
      <c r="I136" s="39" t="s">
        <v>245</v>
      </c>
      <c r="J136" s="31">
        <v>57</v>
      </c>
      <c r="K136" s="20" t="str">
        <f ca="1">VLOOKUP($J136,OFFSET([3]enemies!$A$1,0,0,COUNTA([3]enemies!$A:$A),MATCH(K$1,[3]enemies!$1:$1,0)-MATCH($J$1,[3]enemies!$1:$1,0)+1),MATCH(K$1,[3]enemies!$1:$1,0)-MATCH($J$1,[3]enemies!$1:$1,0)+1,FALSE)</f>
        <v>チェン・リー</v>
      </c>
      <c r="L136" s="23" t="str">
        <f ca="1">VLOOKUP($J136,OFFSET([3]enemies!$A$1,0,0,COUNTA([3]enemies!$A:$A),MATCH(L$1,[3]enemies!$1:$1,0)-MATCH($J$1,[3]enemies!$1:$1,0)+1),MATCH(L$1,[3]enemies!$1:$1,0)-MATCH($J$1,[3]enemies!$1:$1,0)+1,FALSE)</f>
        <v>red</v>
      </c>
      <c r="M136" s="23" t="str">
        <f ca="1">VLOOKUP($J136,OFFSET([4]characters!$A$1,0,0,COUNTA([4]characters!$A:$A),MATCH(M$1,[4]characters!$1:$1,0)-MATCH($J$1,[4]characters!$1:$1,0)+1),MATCH(M$1,[4]characters!$1:$1,0)-MATCH($J$1,[4]characters!$1:$1,0)+1,FALSE)</f>
        <v>Drop1N</v>
      </c>
      <c r="N136" s="22" t="str">
        <f ca="1">VLOOKUP($J136,OFFSET([4]characters!$A$1,0,0,COUNTA([4]characters!$A:$A),MATCH(N$1,[4]characters!$1:$1,0)-MATCH($J$1,[4]characters!$1:$1,0)+2),MATCH(N$1,[4]characters!$1:$1,0)-MATCH($J$1,[4]characters!$1:$1,0)+2,FALSE)</f>
        <v>アニマル</v>
      </c>
      <c r="O136" s="5">
        <f ca="1">VLOOKUP($J136,OFFSET([3]enemies!$A$1,0,0,COUNTA([3]enemies!$A:$A),MATCH(O$1,[3]enemies!$1:$1,0)-MATCH($J$1,[3]enemies!$1:$1,0)+1),MATCH(O$1,[3]enemies!$1:$1,0)-MATCH($J$1,[3]enemies!$1:$1,0)+1,FALSE)</f>
        <v>15</v>
      </c>
      <c r="P136" s="46">
        <v>40</v>
      </c>
      <c r="Q136" s="43">
        <v>1</v>
      </c>
      <c r="R136" s="43">
        <v>1</v>
      </c>
      <c r="S136" s="6">
        <v>0</v>
      </c>
      <c r="T136" s="5" t="str">
        <f ca="1">VLOOKUP($U136,OFFSET([5]enemy_skill_sets!$B$1,0,0,COUNTA([5]enemy_skill_sets!$B:$B),MATCH(K$1,[5]enemy_skill_sets!$1:$1,0)-MATCH($U$1,[5]enemy_skill_sets!$1:$1,0)+2),MATCH(K$1,[5]enemy_skill_sets!$1:$1,0)-MATCH($U$1,[5]enemy_skill_sets!$1:$1,0)+2,FALSE)</f>
        <v>3ターン攻撃力小UP</v>
      </c>
      <c r="U136" s="5">
        <f ca="1">VLOOKUP($J136,OFFSET([3]enemies!$A$1,0,0,COUNTA([3]enemies!$A:$A),MATCH(U$1,[3]enemies!$1:$1,0)-MATCH($J$1,[3]enemies!$1:$1,0)+1),MATCH(U$1,[3]enemies!$1:$1,0)-MATCH($J$1,[3]enemies!$1:$1,0)+1,FALSE)</f>
        <v>57</v>
      </c>
      <c r="V136" s="7">
        <v>2</v>
      </c>
      <c r="W136" s="7">
        <v>100</v>
      </c>
      <c r="X136" s="7">
        <v>0</v>
      </c>
      <c r="Y136" s="20">
        <f ca="1">VLOOKUP($J136,OFFSET([3]enemies!$A$1,0,0,COUNTA([3]enemies!$A:$A),MATCH(Y$1,[3]enemies!$1:$1,0)-MATCH($J$1,[3]enemies!$1:$1,0)+1),MATCH(Y$1,[3]enemies!$1:$1,0)-MATCH($J$1,[3]enemies!$1:$1,0)+1,FALSE)</f>
        <v>2</v>
      </c>
      <c r="Z136" s="31">
        <v>57</v>
      </c>
      <c r="AA136" s="5" t="str">
        <f ca="1">IFERROR(VLOOKUP($Z136,OFFSET([4]characters!$A$1,0,0,COUNTA([4]characters!$A:$A),MATCH(AA$1,[4]characters!$1:$1,0)-MATCH("character_id",[4]characters!$1:$1,0)+1),MATCH(AA$1,[4]characters!$1:$1,0)-MATCH("character_id",[4]characters!$1:$1,0)+1,FALSE),"")</f>
        <v>チェン・リー</v>
      </c>
      <c r="AB136" s="5">
        <f ca="1">IFERROR(VLOOKUP($Z136,OFFSET([4]characters!$A$1,0,0,COUNTA([4]characters!$A:$A),MATCH(AB$1,[4]characters!$1:$1,0)-MATCH("character_id",[4]characters!$1:$1,0)+1),MATCH(AB$1,[4]characters!$1:$1,0)-MATCH("character_id",[4]characters!$1:$1,0)+1,FALSE),"")</f>
        <v>2</v>
      </c>
      <c r="AC136" s="5" t="str">
        <f ca="1">IFERROR(VLOOKUP($Z136,OFFSET([4]characters!$A$1,0,0,COUNTA([4]characters!$A:$A),MATCH(AC$1,[4]characters!$1:$1,0)-MATCH("character_id",[4]characters!$1:$1,0)+1),MATCH(AC$1,[4]characters!$1:$1,0)-MATCH("character_id",[4]characters!$1:$1,0)+1,FALSE),"")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36" s="36">
        <v>5</v>
      </c>
      <c r="AE136" s="37">
        <f t="shared" ca="1" si="86"/>
        <v>2</v>
      </c>
      <c r="AF136" s="7">
        <v>25</v>
      </c>
      <c r="AG136" s="36">
        <v>0</v>
      </c>
      <c r="AH136" s="36">
        <v>0</v>
      </c>
      <c r="AI136" s="36">
        <v>0</v>
      </c>
      <c r="AJ136" s="36">
        <v>0</v>
      </c>
      <c r="AK136" s="36">
        <v>1</v>
      </c>
      <c r="AL136" s="36">
        <v>1</v>
      </c>
    </row>
    <row r="137" spans="1:38" ht="21" customHeight="1" x14ac:dyDescent="0.15">
      <c r="A137" s="17" t="str">
        <f t="shared" ca="1" si="83"/>
        <v>13101_15-1/19&lt;lv41&gt;s3</v>
      </c>
      <c r="B137" s="26">
        <v>13101</v>
      </c>
      <c r="C137" s="30">
        <v>15</v>
      </c>
      <c r="D137" s="16" t="str">
        <f t="shared" si="84"/>
        <v>13101_15</v>
      </c>
      <c r="E137" s="5" t="str">
        <f ca="1">VLOOKUP($B137,OFFSET([2]quests!$A$1,0,0,COUNTA([2]quests!$A:$A),MATCH(E$1,[2]quests!$1:$1,0)-MATCH($B$1,[2]quests!$1:$1,0)+1),MATCH(E$1,[2]quests!$1:$1,0)-MATCH($B$1,[2]quests!$1:$1,0)+1,FALSE)</f>
        <v>チャレンジタワー</v>
      </c>
      <c r="F137" s="5" t="e">
        <f ca="1">VLOOKUP($D137,OFFSET([2]stages!$A$1,0,0,COUNTA([2]stages!$A:$A),MATCH(F$1,[2]stages!$1:$1,0)-MATCH($D$1,[2]stages!$1:$1,0)+1),MATCH(F$1,[2]stages!$1:$1,0)-MATCH($D$1,[2]stages!$1:$1,0)+1,FALSE)</f>
        <v>#N/A</v>
      </c>
      <c r="G137" s="33">
        <v>1</v>
      </c>
      <c r="H137" s="16" t="str">
        <f t="shared" si="85"/>
        <v>13101_15-1</v>
      </c>
      <c r="I137" s="39" t="s">
        <v>245</v>
      </c>
      <c r="J137" s="31">
        <v>19</v>
      </c>
      <c r="K137" s="20" t="str">
        <f ca="1">VLOOKUP($J137,OFFSET([3]enemies!$A$1,0,0,COUNTA([3]enemies!$A:$A),MATCH(K$1,[3]enemies!$1:$1,0)-MATCH($J$1,[3]enemies!$1:$1,0)+1),MATCH(K$1,[3]enemies!$1:$1,0)-MATCH($J$1,[3]enemies!$1:$1,0)+1,FALSE)</f>
        <v>ティンク</v>
      </c>
      <c r="L137" s="23" t="str">
        <f ca="1">VLOOKUP($J137,OFFSET([3]enemies!$A$1,0,0,COUNTA([3]enemies!$A:$A),MATCH(L$1,[3]enemies!$1:$1,0)-MATCH($J$1,[3]enemies!$1:$1,0)+1),MATCH(L$1,[3]enemies!$1:$1,0)-MATCH($J$1,[3]enemies!$1:$1,0)+1,FALSE)</f>
        <v>yellow</v>
      </c>
      <c r="M137" s="23" t="str">
        <f ca="1">VLOOKUP($J137,OFFSET([4]characters!$A$1,0,0,COUNTA([4]characters!$A:$A),MATCH(M$1,[4]characters!$1:$1,0)-MATCH($J$1,[4]characters!$1:$1,0)+1),MATCH(M$1,[4]characters!$1:$1,0)-MATCH($J$1,[4]characters!$1:$1,0)+1,FALSE)</f>
        <v>Drop1W</v>
      </c>
      <c r="N137" s="22" t="str">
        <f ca="1">VLOOKUP($J137,OFFSET([4]characters!$A$1,0,0,COUNTA([4]characters!$A:$A),MATCH(N$1,[4]characters!$1:$1,0)-MATCH($J$1,[4]characters!$1:$1,0)+2),MATCH(N$1,[4]characters!$1:$1,0)-MATCH($J$1,[4]characters!$1:$1,0)+2,FALSE)</f>
        <v>ヒューマン</v>
      </c>
      <c r="O137" s="5">
        <f ca="1">VLOOKUP($J137,OFFSET([3]enemies!$A$1,0,0,COUNTA([3]enemies!$A:$A),MATCH(O$1,[3]enemies!$1:$1,0)-MATCH($J$1,[3]enemies!$1:$1,0)+1),MATCH(O$1,[3]enemies!$1:$1,0)-MATCH($J$1,[3]enemies!$1:$1,0)+1,FALSE)</f>
        <v>15</v>
      </c>
      <c r="P137" s="46">
        <v>41</v>
      </c>
      <c r="Q137" s="43">
        <v>1</v>
      </c>
      <c r="R137" s="43">
        <v>1</v>
      </c>
      <c r="S137" s="6">
        <v>0</v>
      </c>
      <c r="T137" s="5" t="str">
        <f ca="1">VLOOKUP($U137,OFFSET([5]enemy_skill_sets!$B$1,0,0,COUNTA([5]enemy_skill_sets!$B:$B),MATCH(K$1,[5]enemy_skill_sets!$1:$1,0)-MATCH($U$1,[5]enemy_skill_sets!$1:$1,0)+2),MATCH(K$1,[5]enemy_skill_sets!$1:$1,0)-MATCH($U$1,[5]enemy_skill_sets!$1:$1,0)+2,FALSE)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37" s="5">
        <f ca="1">VLOOKUP($J137,OFFSET([3]enemies!$A$1,0,0,COUNTA([3]enemies!$A:$A),MATCH(U$1,[3]enemies!$1:$1,0)-MATCH($J$1,[3]enemies!$1:$1,0)+1),MATCH(U$1,[3]enemies!$1:$1,0)-MATCH($J$1,[3]enemies!$1:$1,0)+1,FALSE)</f>
        <v>0</v>
      </c>
      <c r="V137" s="7">
        <v>0</v>
      </c>
      <c r="W137" s="7">
        <v>100</v>
      </c>
      <c r="X137" s="7">
        <v>0</v>
      </c>
      <c r="Y137" s="20">
        <f ca="1">VLOOKUP($J137,OFFSET([3]enemies!$A$1,0,0,COUNTA([3]enemies!$A:$A),MATCH(Y$1,[3]enemies!$1:$1,0)-MATCH($J$1,[3]enemies!$1:$1,0)+1),MATCH(Y$1,[3]enemies!$1:$1,0)-MATCH($J$1,[3]enemies!$1:$1,0)+1,FALSE)</f>
        <v>3</v>
      </c>
      <c r="Z137" s="31">
        <v>19</v>
      </c>
      <c r="AA137" s="5" t="str">
        <f ca="1">IFERROR(VLOOKUP($Z137,OFFSET([4]characters!$A$1,0,0,COUNTA([4]characters!$A:$A),MATCH(AA$1,[4]characters!$1:$1,0)-MATCH("character_id",[4]characters!$1:$1,0)+1),MATCH(AA$1,[4]characters!$1:$1,0)-MATCH("character_id",[4]characters!$1:$1,0)+1,FALSE),"")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137" s="5">
        <f ca="1">IFERROR(VLOOKUP($Z137,OFFSET([4]characters!$A$1,0,0,COUNTA([4]characters!$A:$A),MATCH(AB$1,[4]characters!$1:$1,0)-MATCH("character_id",[4]characters!$1:$1,0)+1),MATCH(AB$1,[4]characters!$1:$1,0)-MATCH("character_id",[4]characters!$1:$1,0)+1,FALSE),"")</f>
        <v>1</v>
      </c>
      <c r="AC137" s="5" t="str">
        <f ca="1">IFERROR(VLOOKUP($Z137,OFFSET([4]characters!$A$1,0,0,COUNTA([4]characters!$A:$A),MATCH(AC$1,[4]characters!$1:$1,0)-MATCH("character_id",[4]characters!$1:$1,0)+1),MATCH(AC$1,[4]characters!$1:$1,0)-MATCH("character_id",[4]characters!$1:$1,0)+1,FALSE),"")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37" s="36">
        <v>7</v>
      </c>
      <c r="AE137" s="37">
        <f t="shared" ca="1" si="86"/>
        <v>1</v>
      </c>
      <c r="AF137" s="7">
        <v>25</v>
      </c>
      <c r="AG137" s="36">
        <v>0</v>
      </c>
      <c r="AH137" s="36">
        <v>0</v>
      </c>
      <c r="AI137" s="36">
        <v>0</v>
      </c>
      <c r="AJ137" s="36">
        <v>0</v>
      </c>
      <c r="AK137" s="36">
        <v>1</v>
      </c>
      <c r="AL137" s="36">
        <v>1</v>
      </c>
    </row>
    <row r="138" spans="1:38" ht="21" customHeight="1" x14ac:dyDescent="0.15">
      <c r="A138" s="17" t="str">
        <f t="shared" ca="1" si="83"/>
        <v>13101_15-1/21&lt;lv41&gt;s2</v>
      </c>
      <c r="B138" s="26">
        <v>13101</v>
      </c>
      <c r="C138" s="30">
        <v>15</v>
      </c>
      <c r="D138" s="16" t="str">
        <f t="shared" si="84"/>
        <v>13101_15</v>
      </c>
      <c r="E138" s="5" t="str">
        <f ca="1">VLOOKUP($B138,OFFSET([2]quests!$A$1,0,0,COUNTA([2]quests!$A:$A),MATCH(E$1,[2]quests!$1:$1,0)-MATCH($B$1,[2]quests!$1:$1,0)+1),MATCH(E$1,[2]quests!$1:$1,0)-MATCH($B$1,[2]quests!$1:$1,0)+1,FALSE)</f>
        <v>チャレンジタワー</v>
      </c>
      <c r="F138" s="5" t="e">
        <f ca="1">VLOOKUP($D138,OFFSET([2]stages!$A$1,0,0,COUNTA([2]stages!$A:$A),MATCH(F$1,[2]stages!$1:$1,0)-MATCH($D$1,[2]stages!$1:$1,0)+1),MATCH(F$1,[2]stages!$1:$1,0)-MATCH($D$1,[2]stages!$1:$1,0)+1,FALSE)</f>
        <v>#N/A</v>
      </c>
      <c r="G138" s="33">
        <v>1</v>
      </c>
      <c r="H138" s="16" t="str">
        <f t="shared" si="85"/>
        <v>13101_15-1</v>
      </c>
      <c r="I138" s="39" t="s">
        <v>245</v>
      </c>
      <c r="J138" s="31">
        <v>21</v>
      </c>
      <c r="K138" s="20" t="str">
        <f ca="1">VLOOKUP($J138,OFFSET([3]enemies!$A$1,0,0,COUNTA([3]enemies!$A:$A),MATCH(K$1,[3]enemies!$1:$1,0)-MATCH($J$1,[3]enemies!$1:$1,0)+1),MATCH(K$1,[3]enemies!$1:$1,0)-MATCH($J$1,[3]enemies!$1:$1,0)+1,FALSE)</f>
        <v>ヴェロキー</v>
      </c>
      <c r="L138" s="23" t="str">
        <f ca="1">VLOOKUP($J138,OFFSET([3]enemies!$A$1,0,0,COUNTA([3]enemies!$A:$A),MATCH(L$1,[3]enemies!$1:$1,0)-MATCH($J$1,[3]enemies!$1:$1,0)+1),MATCH(L$1,[3]enemies!$1:$1,0)-MATCH($J$1,[3]enemies!$1:$1,0)+1,FALSE)</f>
        <v>red</v>
      </c>
      <c r="M138" s="23" t="str">
        <f ca="1">VLOOKUP($J138,OFFSET([4]characters!$A$1,0,0,COUNTA([4]characters!$A:$A),MATCH(M$1,[4]characters!$1:$1,0)-MATCH($J$1,[4]characters!$1:$1,0)+1),MATCH(M$1,[4]characters!$1:$1,0)-MATCH($J$1,[4]characters!$1:$1,0)+1,FALSE)</f>
        <v>Drop1N</v>
      </c>
      <c r="N138" s="22" t="str">
        <f ca="1">VLOOKUP($J138,OFFSET([4]characters!$A$1,0,0,COUNTA([4]characters!$A:$A),MATCH(N$1,[4]characters!$1:$1,0)-MATCH($J$1,[4]characters!$1:$1,0)+2),MATCH(N$1,[4]characters!$1:$1,0)-MATCH($J$1,[4]characters!$1:$1,0)+2,FALSE)</f>
        <v>ドラゴン</v>
      </c>
      <c r="O138" s="5">
        <f ca="1">VLOOKUP($J138,OFFSET([3]enemies!$A$1,0,0,COUNTA([3]enemies!$A:$A),MATCH(O$1,[3]enemies!$1:$1,0)-MATCH($J$1,[3]enemies!$1:$1,0)+1),MATCH(O$1,[3]enemies!$1:$1,0)-MATCH($J$1,[3]enemies!$1:$1,0)+1,FALSE)</f>
        <v>15</v>
      </c>
      <c r="P138" s="46">
        <v>41</v>
      </c>
      <c r="Q138" s="43">
        <v>1</v>
      </c>
      <c r="R138" s="43">
        <v>1</v>
      </c>
      <c r="S138" s="6">
        <v>0</v>
      </c>
      <c r="T138" s="5" t="str">
        <f ca="1">VLOOKUP($U138,OFFSET([5]enemy_skill_sets!$B$1,0,0,COUNTA([5]enemy_skill_sets!$B:$B),MATCH(K$1,[5]enemy_skill_sets!$1:$1,0)-MATCH($U$1,[5]enemy_skill_sets!$1:$1,0)+2),MATCH(K$1,[5]enemy_skill_sets!$1:$1,0)-MATCH($U$1,[5]enemy_skill_sets!$1:$1,0)+2,FALSE)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38" s="5">
        <f ca="1">VLOOKUP($J138,OFFSET([3]enemies!$A$1,0,0,COUNTA([3]enemies!$A:$A),MATCH(U$1,[3]enemies!$1:$1,0)-MATCH($J$1,[3]enemies!$1:$1,0)+1),MATCH(U$1,[3]enemies!$1:$1,0)-MATCH($J$1,[3]enemies!$1:$1,0)+1,FALSE)</f>
        <v>0</v>
      </c>
      <c r="V138" s="7">
        <v>0</v>
      </c>
      <c r="W138" s="7">
        <v>100</v>
      </c>
      <c r="X138" s="7">
        <v>0</v>
      </c>
      <c r="Y138" s="20">
        <f ca="1">VLOOKUP($J138,OFFSET([3]enemies!$A$1,0,0,COUNTA([3]enemies!$A:$A),MATCH(Y$1,[3]enemies!$1:$1,0)-MATCH($J$1,[3]enemies!$1:$1,0)+1),MATCH(Y$1,[3]enemies!$1:$1,0)-MATCH($J$1,[3]enemies!$1:$1,0)+1,FALSE)</f>
        <v>2</v>
      </c>
      <c r="Z138" s="31">
        <v>21</v>
      </c>
      <c r="AA138" s="5" t="str">
        <f ca="1">IFERROR(VLOOKUP($Z138,OFFSET([4]characters!$A$1,0,0,COUNTA([4]characters!$A:$A),MATCH(AA$1,[4]characters!$1:$1,0)-MATCH("character_id",[4]characters!$1:$1,0)+1),MATCH(AA$1,[4]characters!$1:$1,0)-MATCH("character_id",[4]characters!$1:$1,0)+1,FALSE),"")</f>
        <v>ヴェロキー</v>
      </c>
      <c r="AB138" s="5">
        <f ca="1">IFERROR(VLOOKUP($Z138,OFFSET([4]characters!$A$1,0,0,COUNTA([4]characters!$A:$A),MATCH(AB$1,[4]characters!$1:$1,0)-MATCH("character_id",[4]characters!$1:$1,0)+1),MATCH(AB$1,[4]characters!$1:$1,0)-MATCH("character_id",[4]characters!$1:$1,0)+1,FALSE),"")</f>
        <v>1</v>
      </c>
      <c r="AC138" s="5" t="str">
        <f ca="1">IFERROR(VLOOKUP($Z138,OFFSET([4]characters!$A$1,0,0,COUNTA([4]characters!$A:$A),MATCH(AC$1,[4]characters!$1:$1,0)-MATCH("character_id",[4]characters!$1:$1,0)+1),MATCH(AC$1,[4]characters!$1:$1,0)-MATCH("character_id",[4]characters!$1:$1,0)+1,FALSE),"")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38" s="36">
        <v>5</v>
      </c>
      <c r="AE138" s="37">
        <f t="shared" ca="1" si="86"/>
        <v>1</v>
      </c>
      <c r="AF138" s="7">
        <v>25</v>
      </c>
      <c r="AG138" s="36">
        <v>0</v>
      </c>
      <c r="AH138" s="36">
        <v>0</v>
      </c>
      <c r="AI138" s="36">
        <v>0</v>
      </c>
      <c r="AJ138" s="36">
        <v>0</v>
      </c>
      <c r="AK138" s="36">
        <v>1</v>
      </c>
      <c r="AL138" s="36">
        <v>1</v>
      </c>
    </row>
    <row r="139" spans="1:38" ht="21" customHeight="1" x14ac:dyDescent="0.15">
      <c r="A139" s="17" t="str">
        <f t="shared" ca="1" si="83"/>
        <v>13101_15-1/23&lt;lv41&gt;s4</v>
      </c>
      <c r="B139" s="26">
        <v>13101</v>
      </c>
      <c r="C139" s="30">
        <v>15</v>
      </c>
      <c r="D139" s="16" t="str">
        <f t="shared" si="84"/>
        <v>13101_15</v>
      </c>
      <c r="E139" s="5" t="str">
        <f ca="1">VLOOKUP($B139,OFFSET([2]quests!$A$1,0,0,COUNTA([2]quests!$A:$A),MATCH(E$1,[2]quests!$1:$1,0)-MATCH($B$1,[2]quests!$1:$1,0)+1),MATCH(E$1,[2]quests!$1:$1,0)-MATCH($B$1,[2]quests!$1:$1,0)+1,FALSE)</f>
        <v>チャレンジタワー</v>
      </c>
      <c r="F139" s="5" t="e">
        <f ca="1">VLOOKUP($D139,OFFSET([2]stages!$A$1,0,0,COUNTA([2]stages!$A:$A),MATCH(F$1,[2]stages!$1:$1,0)-MATCH($D$1,[2]stages!$1:$1,0)+1),MATCH(F$1,[2]stages!$1:$1,0)-MATCH($D$1,[2]stages!$1:$1,0)+1,FALSE)</f>
        <v>#N/A</v>
      </c>
      <c r="G139" s="33">
        <v>1</v>
      </c>
      <c r="H139" s="16" t="str">
        <f t="shared" si="85"/>
        <v>13101_15-1</v>
      </c>
      <c r="I139" s="39" t="s">
        <v>245</v>
      </c>
      <c r="J139" s="31">
        <v>23</v>
      </c>
      <c r="K139" s="20" t="str">
        <f ca="1">VLOOKUP($J139,OFFSET([3]enemies!$A$1,0,0,COUNTA([3]enemies!$A:$A),MATCH(K$1,[3]enemies!$1:$1,0)-MATCH($J$1,[3]enemies!$1:$1,0)+1),MATCH(K$1,[3]enemies!$1:$1,0)-MATCH($J$1,[3]enemies!$1:$1,0)+1,FALSE)</f>
        <v>ミール</v>
      </c>
      <c r="L139" s="23" t="str">
        <f ca="1">VLOOKUP($J139,OFFSET([3]enemies!$A$1,0,0,COUNTA([3]enemies!$A:$A),MATCH(L$1,[3]enemies!$1:$1,0)-MATCH($J$1,[3]enemies!$1:$1,0)+1),MATCH(L$1,[3]enemies!$1:$1,0)-MATCH($J$1,[3]enemies!$1:$1,0)+1,FALSE)</f>
        <v>green</v>
      </c>
      <c r="M139" s="23" t="str">
        <f ca="1">VLOOKUP($J139,OFFSET([4]characters!$A$1,0,0,COUNTA([4]characters!$A:$A),MATCH(M$1,[4]characters!$1:$1,0)-MATCH($J$1,[4]characters!$1:$1,0)+1),MATCH(M$1,[4]characters!$1:$1,0)-MATCH($J$1,[4]characters!$1:$1,0)+1,FALSE)</f>
        <v>Drop1N</v>
      </c>
      <c r="N139" s="22" t="str">
        <f ca="1">VLOOKUP($J139,OFFSET([4]characters!$A$1,0,0,COUNTA([4]characters!$A:$A),MATCH(N$1,[4]characters!$1:$1,0)-MATCH($J$1,[4]characters!$1:$1,0)+2),MATCH(N$1,[4]characters!$1:$1,0)-MATCH($J$1,[4]characters!$1:$1,0)+2,FALSE)</f>
        <v>アニマル</v>
      </c>
      <c r="O139" s="5">
        <f ca="1">VLOOKUP($J139,OFFSET([3]enemies!$A$1,0,0,COUNTA([3]enemies!$A:$A),MATCH(O$1,[3]enemies!$1:$1,0)-MATCH($J$1,[3]enemies!$1:$1,0)+1),MATCH(O$1,[3]enemies!$1:$1,0)-MATCH($J$1,[3]enemies!$1:$1,0)+1,FALSE)</f>
        <v>15</v>
      </c>
      <c r="P139" s="46">
        <v>41</v>
      </c>
      <c r="Q139" s="43">
        <v>1</v>
      </c>
      <c r="R139" s="43">
        <v>1</v>
      </c>
      <c r="S139" s="6">
        <v>0</v>
      </c>
      <c r="T139" s="5" t="str">
        <f ca="1">VLOOKUP($U139,OFFSET([5]enemy_skill_sets!$B$1,0,0,COUNTA([5]enemy_skill_sets!$B:$B),MATCH(K$1,[5]enemy_skill_sets!$1:$1,0)-MATCH($U$1,[5]enemy_skill_sets!$1:$1,0)+2),MATCH(K$1,[5]enemy_skill_sets!$1:$1,0)-MATCH($U$1,[5]enemy_skill_sets!$1:$1,0)+2,FALSE)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39" s="5">
        <f ca="1">VLOOKUP($J139,OFFSET([3]enemies!$A$1,0,0,COUNTA([3]enemies!$A:$A),MATCH(U$1,[3]enemies!$1:$1,0)-MATCH($J$1,[3]enemies!$1:$1,0)+1),MATCH(U$1,[3]enemies!$1:$1,0)-MATCH($J$1,[3]enemies!$1:$1,0)+1,FALSE)</f>
        <v>0</v>
      </c>
      <c r="V139" s="7">
        <v>0</v>
      </c>
      <c r="W139" s="7">
        <v>100</v>
      </c>
      <c r="X139" s="7">
        <v>0</v>
      </c>
      <c r="Y139" s="20">
        <f ca="1">VLOOKUP($J139,OFFSET([3]enemies!$A$1,0,0,COUNTA([3]enemies!$A:$A),MATCH(Y$1,[3]enemies!$1:$1,0)-MATCH($J$1,[3]enemies!$1:$1,0)+1),MATCH(Y$1,[3]enemies!$1:$1,0)-MATCH($J$1,[3]enemies!$1:$1,0)+1,FALSE)</f>
        <v>4</v>
      </c>
      <c r="Z139" s="31">
        <v>23</v>
      </c>
      <c r="AA139" s="5" t="str">
        <f ca="1">IFERROR(VLOOKUP($Z139,OFFSET([4]characters!$A$1,0,0,COUNTA([4]characters!$A:$A),MATCH(AA$1,[4]characters!$1:$1,0)-MATCH("character_id",[4]characters!$1:$1,0)+1),MATCH(AA$1,[4]characters!$1:$1,0)-MATCH("character_id",[4]characters!$1:$1,0)+1,FALSE),"")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139" s="5">
        <f ca="1">IFERROR(VLOOKUP($Z139,OFFSET([4]characters!$A$1,0,0,COUNTA([4]characters!$A:$A),MATCH(AB$1,[4]characters!$1:$1,0)-MATCH("character_id",[4]characters!$1:$1,0)+1),MATCH(AB$1,[4]characters!$1:$1,0)-MATCH("character_id",[4]characters!$1:$1,0)+1,FALSE),"")</f>
        <v>1</v>
      </c>
      <c r="AC139" s="5" t="str">
        <f ca="1">IFERROR(VLOOKUP($Z139,OFFSET([4]characters!$A$1,0,0,COUNTA([4]characters!$A:$A),MATCH(AC$1,[4]characters!$1:$1,0)-MATCH("character_id",[4]characters!$1:$1,0)+1),MATCH(AC$1,[4]characters!$1:$1,0)-MATCH("character_id",[4]characters!$1:$1,0)+1,FALSE),"")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39" s="36">
        <v>5</v>
      </c>
      <c r="AE139" s="37">
        <f t="shared" ca="1" si="86"/>
        <v>1</v>
      </c>
      <c r="AF139" s="7">
        <v>25</v>
      </c>
      <c r="AG139" s="36">
        <v>0</v>
      </c>
      <c r="AH139" s="36">
        <v>0</v>
      </c>
      <c r="AI139" s="36">
        <v>0</v>
      </c>
      <c r="AJ139" s="36">
        <v>0</v>
      </c>
      <c r="AK139" s="36">
        <v>1</v>
      </c>
      <c r="AL139" s="36">
        <v>1</v>
      </c>
    </row>
    <row r="140" spans="1:38" ht="21" customHeight="1" x14ac:dyDescent="0.15">
      <c r="A140" s="17" t="str">
        <f t="shared" ca="1" si="83"/>
        <v>13101_15-1/45&lt;lv41&gt;s3</v>
      </c>
      <c r="B140" s="26">
        <v>13101</v>
      </c>
      <c r="C140" s="30">
        <v>15</v>
      </c>
      <c r="D140" s="16" t="str">
        <f t="shared" si="84"/>
        <v>13101_15</v>
      </c>
      <c r="E140" s="5" t="str">
        <f ca="1">VLOOKUP($B140,OFFSET([2]quests!$A$1,0,0,COUNTA([2]quests!$A:$A),MATCH(E$1,[2]quests!$1:$1,0)-MATCH($B$1,[2]quests!$1:$1,0)+1),MATCH(E$1,[2]quests!$1:$1,0)-MATCH($B$1,[2]quests!$1:$1,0)+1,FALSE)</f>
        <v>チャレンジタワー</v>
      </c>
      <c r="F140" s="5" t="e">
        <f ca="1">VLOOKUP($D140,OFFSET([2]stages!$A$1,0,0,COUNTA([2]stages!$A:$A),MATCH(F$1,[2]stages!$1:$1,0)-MATCH($D$1,[2]stages!$1:$1,0)+1),MATCH(F$1,[2]stages!$1:$1,0)-MATCH($D$1,[2]stages!$1:$1,0)+1,FALSE)</f>
        <v>#N/A</v>
      </c>
      <c r="G140" s="33">
        <v>1</v>
      </c>
      <c r="H140" s="16" t="str">
        <f t="shared" si="85"/>
        <v>13101_15-1</v>
      </c>
      <c r="I140" s="39" t="s">
        <v>245</v>
      </c>
      <c r="J140" s="31">
        <v>45</v>
      </c>
      <c r="K140" s="20" t="str">
        <f ca="1">VLOOKUP($J140,OFFSET([3]enemies!$A$1,0,0,COUNTA([3]enemies!$A:$A),MATCH(K$1,[3]enemies!$1:$1,0)-MATCH($J$1,[3]enemies!$1:$1,0)+1),MATCH(K$1,[3]enemies!$1:$1,0)-MATCH($J$1,[3]enemies!$1:$1,0)+1,FALSE)</f>
        <v>ショウイン</v>
      </c>
      <c r="L140" s="23" t="str">
        <f ca="1">VLOOKUP($J140,OFFSET([3]enemies!$A$1,0,0,COUNTA([3]enemies!$A:$A),MATCH(L$1,[3]enemies!$1:$1,0)-MATCH($J$1,[3]enemies!$1:$1,0)+1),MATCH(L$1,[3]enemies!$1:$1,0)-MATCH($J$1,[3]enemies!$1:$1,0)+1,FALSE)</f>
        <v>blue</v>
      </c>
      <c r="M140" s="23" t="str">
        <f ca="1">VLOOKUP($J140,OFFSET([4]characters!$A$1,0,0,COUNTA([4]characters!$A:$A),MATCH(M$1,[4]characters!$1:$1,0)-MATCH($J$1,[4]characters!$1:$1,0)+1),MATCH(M$1,[4]characters!$1:$1,0)-MATCH($J$1,[4]characters!$1:$1,0)+1,FALSE)</f>
        <v>Drop1N</v>
      </c>
      <c r="N140" s="22" t="str">
        <f ca="1">VLOOKUP($J140,OFFSET([4]characters!$A$1,0,0,COUNTA([4]characters!$A:$A),MATCH(N$1,[4]characters!$1:$1,0)-MATCH($J$1,[4]characters!$1:$1,0)+2),MATCH(N$1,[4]characters!$1:$1,0)-MATCH($J$1,[4]characters!$1:$1,0)+2,FALSE)</f>
        <v>アニマル</v>
      </c>
      <c r="O140" s="5">
        <f ca="1">VLOOKUP($J140,OFFSET([3]enemies!$A$1,0,0,COUNTA([3]enemies!$A:$A),MATCH(O$1,[3]enemies!$1:$1,0)-MATCH($J$1,[3]enemies!$1:$1,0)+1),MATCH(O$1,[3]enemies!$1:$1,0)-MATCH($J$1,[3]enemies!$1:$1,0)+1,FALSE)</f>
        <v>15</v>
      </c>
      <c r="P140" s="46">
        <v>41</v>
      </c>
      <c r="Q140" s="43">
        <v>1</v>
      </c>
      <c r="R140" s="43">
        <v>1</v>
      </c>
      <c r="S140" s="6">
        <v>0</v>
      </c>
      <c r="T140" s="5" t="str">
        <f ca="1">VLOOKUP($U140,OFFSET([5]enemy_skill_sets!$B$1,0,0,COUNTA([5]enemy_skill_sets!$B:$B),MATCH(K$1,[5]enemy_skill_sets!$1:$1,0)-MATCH($U$1,[5]enemy_skill_sets!$1:$1,0)+2),MATCH(K$1,[5]enemy_skill_sets!$1:$1,0)-MATCH($U$1,[5]enemy_skill_sets!$1:$1,0)+2,FALSE)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40" s="5">
        <f ca="1">VLOOKUP($J140,OFFSET([3]enemies!$A$1,0,0,COUNTA([3]enemies!$A:$A),MATCH(U$1,[3]enemies!$1:$1,0)-MATCH($J$1,[3]enemies!$1:$1,0)+1),MATCH(U$1,[3]enemies!$1:$1,0)-MATCH($J$1,[3]enemies!$1:$1,0)+1,FALSE)</f>
        <v>0</v>
      </c>
      <c r="V140" s="7">
        <v>0</v>
      </c>
      <c r="W140" s="7">
        <v>100</v>
      </c>
      <c r="X140" s="7">
        <v>0</v>
      </c>
      <c r="Y140" s="20">
        <f ca="1">VLOOKUP($J140,OFFSET([3]enemies!$A$1,0,0,COUNTA([3]enemies!$A:$A),MATCH(Y$1,[3]enemies!$1:$1,0)-MATCH($J$1,[3]enemies!$1:$1,0)+1),MATCH(Y$1,[3]enemies!$1:$1,0)-MATCH($J$1,[3]enemies!$1:$1,0)+1,FALSE)</f>
        <v>3</v>
      </c>
      <c r="Z140" s="31">
        <v>45</v>
      </c>
      <c r="AA140" s="5" t="str">
        <f ca="1">IFERROR(VLOOKUP($Z140,OFFSET([4]characters!$A$1,0,0,COUNTA([4]characters!$A:$A),MATCH(AA$1,[4]characters!$1:$1,0)-MATCH("character_id",[4]characters!$1:$1,0)+1),MATCH(AA$1,[4]characters!$1:$1,0)-MATCH("character_id",[4]characters!$1:$1,0)+1,FALSE),"")</f>
        <v>ショウイン</v>
      </c>
      <c r="AB140" s="5">
        <f ca="1">IFERROR(VLOOKUP($Z140,OFFSET([4]characters!$A$1,0,0,COUNTA([4]characters!$A:$A),MATCH(AB$1,[4]characters!$1:$1,0)-MATCH("character_id",[4]characters!$1:$1,0)+1),MATCH(AB$1,[4]characters!$1:$1,0)-MATCH("character_id",[4]characters!$1:$1,0)+1,FALSE),"")</f>
        <v>2</v>
      </c>
      <c r="AC140" s="5" t="str">
        <f ca="1">IFERROR(VLOOKUP($Z140,OFFSET([4]characters!$A$1,0,0,COUNTA([4]characters!$A:$A),MATCH(AC$1,[4]characters!$1:$1,0)-MATCH("character_id",[4]characters!$1:$1,0)+1),MATCH(AC$1,[4]characters!$1:$1,0)-MATCH("character_id",[4]characters!$1:$1,0)+1,FALSE),"")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40" s="36">
        <v>5</v>
      </c>
      <c r="AE140" s="37">
        <f t="shared" ca="1" si="86"/>
        <v>2</v>
      </c>
      <c r="AF140" s="7">
        <v>25</v>
      </c>
      <c r="AG140" s="36">
        <v>0</v>
      </c>
      <c r="AH140" s="36">
        <v>0</v>
      </c>
      <c r="AI140" s="36">
        <v>0</v>
      </c>
      <c r="AJ140" s="36">
        <v>0</v>
      </c>
      <c r="AK140" s="36">
        <v>1</v>
      </c>
      <c r="AL140" s="36">
        <v>1</v>
      </c>
    </row>
    <row r="141" spans="1:38" ht="21" customHeight="1" x14ac:dyDescent="0.15">
      <c r="A141" s="17" t="str">
        <f t="shared" ca="1" si="83"/>
        <v>13101_15-1/63&lt;lv41&gt;s2</v>
      </c>
      <c r="B141" s="26">
        <v>13101</v>
      </c>
      <c r="C141" s="30">
        <v>15</v>
      </c>
      <c r="D141" s="16" t="str">
        <f t="shared" si="84"/>
        <v>13101_15</v>
      </c>
      <c r="E141" s="5" t="str">
        <f ca="1">VLOOKUP($B141,OFFSET([2]quests!$A$1,0,0,COUNTA([2]quests!$A:$A),MATCH(E$1,[2]quests!$1:$1,0)-MATCH($B$1,[2]quests!$1:$1,0)+1),MATCH(E$1,[2]quests!$1:$1,0)-MATCH($B$1,[2]quests!$1:$1,0)+1,FALSE)</f>
        <v>チャレンジタワー</v>
      </c>
      <c r="F141" s="5" t="e">
        <f ca="1">VLOOKUP($D141,OFFSET([2]stages!$A$1,0,0,COUNTA([2]stages!$A:$A),MATCH(F$1,[2]stages!$1:$1,0)-MATCH($D$1,[2]stages!$1:$1,0)+1),MATCH(F$1,[2]stages!$1:$1,0)-MATCH($D$1,[2]stages!$1:$1,0)+1,FALSE)</f>
        <v>#N/A</v>
      </c>
      <c r="G141" s="33">
        <v>1</v>
      </c>
      <c r="H141" s="16" t="str">
        <f t="shared" si="85"/>
        <v>13101_15-1</v>
      </c>
      <c r="I141" s="39" t="s">
        <v>245</v>
      </c>
      <c r="J141" s="31">
        <v>63</v>
      </c>
      <c r="K141" s="20" t="str">
        <f ca="1">VLOOKUP($J141,OFFSET([3]enemies!$A$1,0,0,COUNTA([3]enemies!$A:$A),MATCH(K$1,[3]enemies!$1:$1,0)-MATCH($J$1,[3]enemies!$1:$1,0)+1),MATCH(K$1,[3]enemies!$1:$1,0)-MATCH($J$1,[3]enemies!$1:$1,0)+1,FALSE)</f>
        <v>トニー</v>
      </c>
      <c r="L141" s="23" t="str">
        <f ca="1">VLOOKUP($J141,OFFSET([3]enemies!$A$1,0,0,COUNTA([3]enemies!$A:$A),MATCH(L$1,[3]enemies!$1:$1,0)-MATCH($J$1,[3]enemies!$1:$1,0)+1),MATCH(L$1,[3]enemies!$1:$1,0)-MATCH($J$1,[3]enemies!$1:$1,0)+1,FALSE)</f>
        <v>yellow</v>
      </c>
      <c r="M141" s="23" t="str">
        <f ca="1">VLOOKUP($J141,OFFSET([4]characters!$A$1,0,0,COUNTA([4]characters!$A:$A),MATCH(M$1,[4]characters!$1:$1,0)-MATCH($J$1,[4]characters!$1:$1,0)+1),MATCH(M$1,[4]characters!$1:$1,0)-MATCH($J$1,[4]characters!$1:$1,0)+1,FALSE)</f>
        <v>Drop1N</v>
      </c>
      <c r="N141" s="22" t="str">
        <f ca="1">VLOOKUP($J141,OFFSET([4]characters!$A$1,0,0,COUNTA([4]characters!$A:$A),MATCH(N$1,[4]characters!$1:$1,0)-MATCH($J$1,[4]characters!$1:$1,0)+2),MATCH(N$1,[4]characters!$1:$1,0)-MATCH($J$1,[4]characters!$1:$1,0)+2,FALSE)</f>
        <v>アニマル</v>
      </c>
      <c r="O141" s="5">
        <f ca="1">VLOOKUP($J141,OFFSET([3]enemies!$A$1,0,0,COUNTA([3]enemies!$A:$A),MATCH(O$1,[3]enemies!$1:$1,0)-MATCH($J$1,[3]enemies!$1:$1,0)+1),MATCH(O$1,[3]enemies!$1:$1,0)-MATCH($J$1,[3]enemies!$1:$1,0)+1,FALSE)</f>
        <v>15</v>
      </c>
      <c r="P141" s="46">
        <v>41</v>
      </c>
      <c r="Q141" s="43">
        <v>1</v>
      </c>
      <c r="R141" s="43">
        <v>1</v>
      </c>
      <c r="S141" s="6">
        <v>0</v>
      </c>
      <c r="T141" s="5" t="str">
        <f ca="1">VLOOKUP($U141,OFFSET([5]enemy_skill_sets!$B$1,0,0,COUNTA([5]enemy_skill_sets!$B:$B),MATCH(K$1,[5]enemy_skill_sets!$1:$1,0)-MATCH($U$1,[5]enemy_skill_sets!$1:$1,0)+2),MATCH(K$1,[5]enemy_skill_sets!$1:$1,0)-MATCH($U$1,[5]enemy_skill_sets!$1:$1,0)+2,FALSE)</f>
        <v>2回連続攻撃</v>
      </c>
      <c r="U141" s="5">
        <f ca="1">VLOOKUP($J141,OFFSET([3]enemies!$A$1,0,0,COUNTA([3]enemies!$A:$A),MATCH(U$1,[3]enemies!$1:$1,0)-MATCH($J$1,[3]enemies!$1:$1,0)+1),MATCH(U$1,[3]enemies!$1:$1,0)-MATCH($J$1,[3]enemies!$1:$1,0)+1,FALSE)</f>
        <v>63</v>
      </c>
      <c r="V141" s="7">
        <v>1</v>
      </c>
      <c r="W141" s="7">
        <v>100</v>
      </c>
      <c r="X141" s="7">
        <v>0</v>
      </c>
      <c r="Y141" s="20">
        <f ca="1">VLOOKUP($J141,OFFSET([3]enemies!$A$1,0,0,COUNTA([3]enemies!$A:$A),MATCH(Y$1,[3]enemies!$1:$1,0)-MATCH($J$1,[3]enemies!$1:$1,0)+1),MATCH(Y$1,[3]enemies!$1:$1,0)-MATCH($J$1,[3]enemies!$1:$1,0)+1,FALSE)</f>
        <v>2</v>
      </c>
      <c r="Z141" s="31">
        <v>63</v>
      </c>
      <c r="AA141" s="5" t="str">
        <f ca="1">IFERROR(VLOOKUP($Z141,OFFSET([4]characters!$A$1,0,0,COUNTA([4]characters!$A:$A),MATCH(AA$1,[4]characters!$1:$1,0)-MATCH("character_id",[4]characters!$1:$1,0)+1),MATCH(AA$1,[4]characters!$1:$1,0)-MATCH("character_id",[4]characters!$1:$1,0)+1,FALSE),"")</f>
        <v>トニー</v>
      </c>
      <c r="AB141" s="5">
        <f ca="1">IFERROR(VLOOKUP($Z141,OFFSET([4]characters!$A$1,0,0,COUNTA([4]characters!$A:$A),MATCH(AB$1,[4]characters!$1:$1,0)-MATCH("character_id",[4]characters!$1:$1,0)+1),MATCH(AB$1,[4]characters!$1:$1,0)-MATCH("character_id",[4]characters!$1:$1,0)+1,FALSE),"")</f>
        <v>2</v>
      </c>
      <c r="AC141" s="5" t="str">
        <f ca="1">IFERROR(VLOOKUP($Z141,OFFSET([4]characters!$A$1,0,0,COUNTA([4]characters!$A:$A),MATCH(AC$1,[4]characters!$1:$1,0)-MATCH("character_id",[4]characters!$1:$1,0)+1),MATCH(AC$1,[4]characters!$1:$1,0)-MATCH("character_id",[4]characters!$1:$1,0)+1,FALSE),"")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41" s="36">
        <v>5</v>
      </c>
      <c r="AE141" s="37">
        <f t="shared" ca="1" si="86"/>
        <v>2</v>
      </c>
      <c r="AF141" s="7">
        <v>25</v>
      </c>
      <c r="AG141" s="36">
        <v>0</v>
      </c>
      <c r="AH141" s="36">
        <v>0</v>
      </c>
      <c r="AI141" s="36">
        <v>0</v>
      </c>
      <c r="AJ141" s="36">
        <v>0</v>
      </c>
      <c r="AK141" s="36">
        <v>1</v>
      </c>
      <c r="AL141" s="36">
        <v>1</v>
      </c>
    </row>
    <row r="142" spans="1:38" ht="21" customHeight="1" x14ac:dyDescent="0.15">
      <c r="A142" s="17" t="str">
        <f t="shared" ref="A142" ca="1" si="119">B142&amp;"_"&amp;C142&amp;"-"&amp;G142&amp;"/"&amp;J142&amp;"&lt;lv"&amp;P142&amp;"&gt;s"&amp;Y142</f>
        <v>13101_15-2/197&lt;lv43&gt;s2</v>
      </c>
      <c r="B142" s="26">
        <v>13101</v>
      </c>
      <c r="C142" s="30">
        <v>15</v>
      </c>
      <c r="D142" s="16" t="str">
        <f t="shared" ref="D142" si="120">B142&amp;"_"&amp;C142</f>
        <v>13101_15</v>
      </c>
      <c r="E142" s="5" t="str">
        <f ca="1">VLOOKUP($B142,OFFSET([2]quests!$A$1,0,0,COUNTA([2]quests!$A:$A),MATCH(E$1,[2]quests!$1:$1,0)-MATCH($B$1,[2]quests!$1:$1,0)+1),MATCH(E$1,[2]quests!$1:$1,0)-MATCH($B$1,[2]quests!$1:$1,0)+1,FALSE)</f>
        <v>チャレンジタワー</v>
      </c>
      <c r="F142" s="5" t="e">
        <f ca="1">VLOOKUP($D142,OFFSET([2]stages!$A$1,0,0,COUNTA([2]stages!$A:$A),MATCH(F$1,[2]stages!$1:$1,0)-MATCH($D$1,[2]stages!$1:$1,0)+1),MATCH(F$1,[2]stages!$1:$1,0)-MATCH($D$1,[2]stages!$1:$1,0)+1,FALSE)</f>
        <v>#N/A</v>
      </c>
      <c r="G142" s="33">
        <v>2</v>
      </c>
      <c r="H142" s="16" t="str">
        <f t="shared" ref="H142" si="121">B142&amp;"_"&amp;C142&amp;"-"&amp;G142</f>
        <v>13101_15-2</v>
      </c>
      <c r="I142" s="39" t="s">
        <v>245</v>
      </c>
      <c r="J142" s="31">
        <v>197</v>
      </c>
      <c r="K142" s="20" t="str">
        <f ca="1">VLOOKUP($J142,OFFSET([3]enemies!$A$1,0,0,COUNTA([3]enemies!$A:$A),MATCH(K$1,[3]enemies!$1:$1,0)-MATCH($J$1,[3]enemies!$1:$1,0)+1),MATCH(K$1,[3]enemies!$1:$1,0)-MATCH($J$1,[3]enemies!$1:$1,0)+1,FALSE)</f>
        <v>鉄腕 アキレス</v>
      </c>
      <c r="L142" s="23" t="str">
        <f ca="1">VLOOKUP($J142,OFFSET([3]enemies!$A$1,0,0,COUNTA([3]enemies!$A:$A),MATCH(L$1,[3]enemies!$1:$1,0)-MATCH($J$1,[3]enemies!$1:$1,0)+1),MATCH(L$1,[3]enemies!$1:$1,0)-MATCH($J$1,[3]enemies!$1:$1,0)+1,FALSE)</f>
        <v>yellow</v>
      </c>
      <c r="M142" s="23" t="str">
        <f ca="1">VLOOKUP($J142,OFFSET([4]characters!$A$1,0,0,COUNTA([4]characters!$A:$A),MATCH(M$1,[4]characters!$1:$1,0)-MATCH($J$1,[4]characters!$1:$1,0)+1),MATCH(M$1,[4]characters!$1:$1,0)-MATCH($J$1,[4]characters!$1:$1,0)+1,FALSE)</f>
        <v>PremiumN</v>
      </c>
      <c r="N142" s="22" t="str">
        <f ca="1">VLOOKUP($J142,OFFSET([4]characters!$A$1,0,0,COUNTA([4]characters!$A:$A),MATCH(N$1,[4]characters!$1:$1,0)-MATCH($J$1,[4]characters!$1:$1,0)+2),MATCH(N$1,[4]characters!$1:$1,0)-MATCH($J$1,[4]characters!$1:$1,0)+2,FALSE)</f>
        <v>ヒューマン</v>
      </c>
      <c r="O142" s="5">
        <f ca="1">VLOOKUP($J142,OFFSET([3]enemies!$A$1,0,0,COUNTA([3]enemies!$A:$A),MATCH(O$1,[3]enemies!$1:$1,0)-MATCH($J$1,[3]enemies!$1:$1,0)+1),MATCH(O$1,[3]enemies!$1:$1,0)-MATCH($J$1,[3]enemies!$1:$1,0)+1,FALSE)</f>
        <v>30</v>
      </c>
      <c r="P142" s="46">
        <v>43</v>
      </c>
      <c r="Q142" s="43">
        <v>1</v>
      </c>
      <c r="R142" s="43">
        <v>1</v>
      </c>
      <c r="S142" s="6">
        <v>0</v>
      </c>
      <c r="T142" s="5" t="str">
        <f ca="1">VLOOKUP($U142,OFFSET([5]enemy_skill_sets!$B$1,0,0,COUNTA([5]enemy_skill_sets!$B:$B),MATCH(K$1,[5]enemy_skill_sets!$1:$1,0)-MATCH($U$1,[5]enemy_skill_sets!$1:$1,0)+2),MATCH(K$1,[5]enemy_skill_sets!$1:$1,0)-MATCH($U$1,[5]enemy_skill_sets!$1:$1,0)+2,FALSE)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42" s="5">
        <f ca="1">VLOOKUP($J142,OFFSET([3]enemies!$A$1,0,0,COUNTA([3]enemies!$A:$A),MATCH(U$1,[3]enemies!$1:$1,0)-MATCH($J$1,[3]enemies!$1:$1,0)+1),MATCH(U$1,[3]enemies!$1:$1,0)-MATCH($J$1,[3]enemies!$1:$1,0)+1,FALSE)</f>
        <v>198</v>
      </c>
      <c r="V142" s="7">
        <v>1</v>
      </c>
      <c r="W142" s="7">
        <v>100</v>
      </c>
      <c r="X142" s="7">
        <v>0</v>
      </c>
      <c r="Y142" s="20">
        <f ca="1">VLOOKUP($J142,OFFSET([3]enemies!$A$1,0,0,COUNTA([3]enemies!$A:$A),MATCH(Y$1,[3]enemies!$1:$1,0)-MATCH($J$1,[3]enemies!$1:$1,0)+1),MATCH(Y$1,[3]enemies!$1:$1,0)-MATCH($J$1,[3]enemies!$1:$1,0)+1,FALSE)</f>
        <v>2</v>
      </c>
      <c r="Z142" s="31">
        <v>196</v>
      </c>
      <c r="AA142" s="5" t="str">
        <f ca="1">IFERROR(VLOOKUP($Z142,OFFSET([4]characters!$A$1,0,0,COUNTA([4]characters!$A:$A),MATCH(AA$1,[4]characters!$1:$1,0)-MATCH("character_id",[4]characters!$1:$1,0)+1),MATCH(AA$1,[4]characters!$1:$1,0)-MATCH("character_id",[4]characters!$1:$1,0)+1,FALSE),"")</f>
        <v>アキレス</v>
      </c>
      <c r="AB142" s="5">
        <f ca="1">IFERROR(VLOOKUP($Z142,OFFSET([4]characters!$A$1,0,0,COUNTA([4]characters!$A:$A),MATCH(AB$1,[4]characters!$1:$1,0)-MATCH("character_id",[4]characters!$1:$1,0)+1),MATCH(AB$1,[4]characters!$1:$1,0)-MATCH("character_id",[4]characters!$1:$1,0)+1,FALSE),"")</f>
        <v>3</v>
      </c>
      <c r="AC142" s="5" t="str">
        <f ca="1">IFERROR(VLOOKUP($Z142,OFFSET([4]characters!$A$1,0,0,COUNTA([4]characters!$A:$A),MATCH(AC$1,[4]characters!$1:$1,0)-MATCH("character_id",[4]characters!$1:$1,0)+1),MATCH(AC$1,[4]characters!$1:$1,0)-MATCH("character_id",[4]characters!$1:$1,0)+1,FALSE),"")</f>
        <v>PremiumN</v>
      </c>
      <c r="AD142" s="36">
        <v>1</v>
      </c>
      <c r="AE142" s="37">
        <f t="shared" ref="AE142" ca="1" si="122">AB142</f>
        <v>3</v>
      </c>
      <c r="AF142" s="7">
        <v>0</v>
      </c>
      <c r="AG142" s="36">
        <v>0</v>
      </c>
      <c r="AH142" s="36">
        <v>0</v>
      </c>
      <c r="AI142" s="36">
        <v>0</v>
      </c>
      <c r="AJ142" s="36">
        <v>0</v>
      </c>
      <c r="AK142" s="36">
        <v>1</v>
      </c>
      <c r="AL142" s="36">
        <v>1</v>
      </c>
    </row>
    <row r="143" spans="1:38" ht="21" customHeight="1" x14ac:dyDescent="0.15">
      <c r="A143" s="17" t="str">
        <f t="shared" ca="1" si="83"/>
        <v>13101_15-3/317&lt;lv48&gt;s2</v>
      </c>
      <c r="B143" s="26">
        <v>13101</v>
      </c>
      <c r="C143" s="30">
        <v>15</v>
      </c>
      <c r="D143" s="16" t="str">
        <f t="shared" si="84"/>
        <v>13101_15</v>
      </c>
      <c r="E143" s="5" t="str">
        <f ca="1">VLOOKUP($B143,OFFSET([2]quests!$A$1,0,0,COUNTA([2]quests!$A:$A),MATCH(E$1,[2]quests!$1:$1,0)-MATCH($B$1,[2]quests!$1:$1,0)+1),MATCH(E$1,[2]quests!$1:$1,0)-MATCH($B$1,[2]quests!$1:$1,0)+1,FALSE)</f>
        <v>チャレンジタワー</v>
      </c>
      <c r="F143" s="5" t="e">
        <f ca="1">VLOOKUP($D143,OFFSET([2]stages!$A$1,0,0,COUNTA([2]stages!$A:$A),MATCH(F$1,[2]stages!$1:$1,0)-MATCH($D$1,[2]stages!$1:$1,0)+1),MATCH(F$1,[2]stages!$1:$1,0)-MATCH($D$1,[2]stages!$1:$1,0)+1,FALSE)</f>
        <v>#N/A</v>
      </c>
      <c r="G143" s="33">
        <v>3</v>
      </c>
      <c r="H143" s="16" t="str">
        <f t="shared" si="85"/>
        <v>13101_15-3</v>
      </c>
      <c r="I143" s="39" t="s">
        <v>245</v>
      </c>
      <c r="J143" s="31">
        <v>317</v>
      </c>
      <c r="K143" s="20" t="str">
        <f ca="1">VLOOKUP($J143,OFFSET([3]enemies!$A$1,0,0,COUNTA([3]enemies!$A:$A),MATCH(K$1,[3]enemies!$1:$1,0)-MATCH($J$1,[3]enemies!$1:$1,0)+1),MATCH(K$1,[3]enemies!$1:$1,0)-MATCH($J$1,[3]enemies!$1:$1,0)+1,FALSE)</f>
        <v>異能の電気師 テスラ</v>
      </c>
      <c r="L143" s="23" t="str">
        <f ca="1">VLOOKUP($J143,OFFSET([3]enemies!$A$1,0,0,COUNTA([3]enemies!$A:$A),MATCH(L$1,[3]enemies!$1:$1,0)-MATCH($J$1,[3]enemies!$1:$1,0)+1),MATCH(L$1,[3]enemies!$1:$1,0)-MATCH($J$1,[3]enemies!$1:$1,0)+1,FALSE)</f>
        <v>yellow</v>
      </c>
      <c r="M143" s="23" t="str">
        <f ca="1">VLOOKUP($J143,OFFSET([4]characters!$A$1,0,0,COUNTA([4]characters!$A:$A),MATCH(M$1,[4]characters!$1:$1,0)-MATCH($J$1,[4]characters!$1:$1,0)+1),MATCH(M$1,[4]characters!$1:$1,0)-MATCH($J$1,[4]characters!$1:$1,0)+1,FALSE)</f>
        <v>DropWizN</v>
      </c>
      <c r="N143" s="22" t="str">
        <f ca="1">VLOOKUP($J143,OFFSET([4]characters!$A$1,0,0,COUNTA([4]characters!$A:$A),MATCH(N$1,[4]characters!$1:$1,0)-MATCH($J$1,[4]characters!$1:$1,0)+2),MATCH(N$1,[4]characters!$1:$1,0)-MATCH($J$1,[4]characters!$1:$1,0)+2,FALSE)</f>
        <v>ヒューマン</v>
      </c>
      <c r="O143" s="5">
        <f ca="1">VLOOKUP($J143,OFFSET([3]enemies!$A$1,0,0,COUNTA([3]enemies!$A:$A),MATCH(O$1,[3]enemies!$1:$1,0)-MATCH($J$1,[3]enemies!$1:$1,0)+1),MATCH(O$1,[3]enemies!$1:$1,0)-MATCH($J$1,[3]enemies!$1:$1,0)+1,FALSE)</f>
        <v>60</v>
      </c>
      <c r="P143" s="46">
        <v>48</v>
      </c>
      <c r="Q143" s="43">
        <v>1</v>
      </c>
      <c r="R143" s="43">
        <v>1</v>
      </c>
      <c r="S143" s="6">
        <v>0</v>
      </c>
      <c r="T143" s="5" t="str">
        <f ca="1">VLOOKUP($U143,OFFSET([5]enemy_skill_sets!$B$1,0,0,COUNTA([5]enemy_skill_sets!$B:$B),MATCH(K$1,[5]enemy_skill_sets!$1:$1,0)-MATCH($U$1,[5]enemy_skill_sets!$1:$1,0)+2),MATCH(K$1,[5]enemy_skill_sets!$1:$1,0)-MATCH($U$1,[5]enemy_skill_sets!$1:$1,0)+2,FALSE)</f>
        <v>2回連続攻撃</v>
      </c>
      <c r="U143" s="5">
        <f ca="1">VLOOKUP($J143,OFFSET([3]enemies!$A$1,0,0,COUNTA([3]enemies!$A:$A),MATCH(U$1,[3]enemies!$1:$1,0)-MATCH($J$1,[3]enemies!$1:$1,0)+1),MATCH(U$1,[3]enemies!$1:$1,0)-MATCH($J$1,[3]enemies!$1:$1,0)+1,FALSE)</f>
        <v>317</v>
      </c>
      <c r="V143" s="7">
        <v>1</v>
      </c>
      <c r="W143" s="7">
        <v>100</v>
      </c>
      <c r="X143" s="7">
        <v>0</v>
      </c>
      <c r="Y143" s="20">
        <f ca="1">VLOOKUP($J143,OFFSET([3]enemies!$A$1,0,0,COUNTA([3]enemies!$A:$A),MATCH(Y$1,[3]enemies!$1:$1,0)-MATCH($J$1,[3]enemies!$1:$1,0)+1),MATCH(Y$1,[3]enemies!$1:$1,0)-MATCH($J$1,[3]enemies!$1:$1,0)+1,FALSE)</f>
        <v>2</v>
      </c>
      <c r="Z143" s="31">
        <v>316</v>
      </c>
      <c r="AA143" s="5" t="str">
        <f ca="1">IFERROR(VLOOKUP($Z143,OFFSET([4]characters!$A$1,0,0,COUNTA([4]characters!$A:$A),MATCH(AA$1,[4]characters!$1:$1,0)-MATCH("character_id",[4]characters!$1:$1,0)+1),MATCH(AA$1,[4]characters!$1:$1,0)-MATCH("character_id",[4]characters!$1:$1,0)+1,FALSE),"")</f>
        <v>テスラ</v>
      </c>
      <c r="AB143" s="5">
        <f ca="1">IFERROR(VLOOKUP($Z143,OFFSET([4]characters!$A$1,0,0,COUNTA([4]characters!$A:$A),MATCH(AB$1,[4]characters!$1:$1,0)-MATCH("character_id",[4]characters!$1:$1,0)+1),MATCH(AB$1,[4]characters!$1:$1,0)-MATCH("character_id",[4]characters!$1:$1,0)+1,FALSE),"")</f>
        <v>4</v>
      </c>
      <c r="AC143" s="5" t="str">
        <f ca="1">IFERROR(VLOOKUP($Z143,OFFSET([4]characters!$A$1,0,0,COUNTA([4]characters!$A:$A),MATCH(AC$1,[4]characters!$1:$1,0)-MATCH("character_id",[4]characters!$1:$1,0)+1),MATCH(AC$1,[4]characters!$1:$1,0)-MATCH("character_id",[4]characters!$1:$1,0)+1,FALSE),"")</f>
        <v>DropWizN</v>
      </c>
      <c r="AD143" s="36">
        <v>1</v>
      </c>
      <c r="AE143" s="37">
        <f t="shared" ca="1" si="86"/>
        <v>4</v>
      </c>
      <c r="AF143" s="41">
        <v>35</v>
      </c>
      <c r="AG143" s="36">
        <v>0</v>
      </c>
      <c r="AH143" s="36">
        <v>0</v>
      </c>
      <c r="AI143" s="36">
        <v>0</v>
      </c>
      <c r="AJ143" s="36">
        <v>0</v>
      </c>
      <c r="AK143" s="36">
        <v>1</v>
      </c>
      <c r="AL143" s="36">
        <v>1</v>
      </c>
    </row>
    <row r="144" spans="1:38" ht="21" customHeight="1" x14ac:dyDescent="0.15">
      <c r="A144" s="17" t="str">
        <f t="shared" ca="1" si="83"/>
        <v>13101_16-1/23&lt;lv43&gt;s4</v>
      </c>
      <c r="B144" s="26">
        <v>13101</v>
      </c>
      <c r="C144" s="30">
        <v>16</v>
      </c>
      <c r="D144" s="16" t="str">
        <f t="shared" si="84"/>
        <v>13101_16</v>
      </c>
      <c r="E144" s="5" t="str">
        <f ca="1">VLOOKUP($B144,OFFSET([2]quests!$A$1,0,0,COUNTA([2]quests!$A:$A),MATCH(E$1,[2]quests!$1:$1,0)-MATCH($B$1,[2]quests!$1:$1,0)+1),MATCH(E$1,[2]quests!$1:$1,0)-MATCH($B$1,[2]quests!$1:$1,0)+1,FALSE)</f>
        <v>チャレンジタワー</v>
      </c>
      <c r="F144" s="5" t="e">
        <f ca="1">VLOOKUP($D144,OFFSET([2]stages!$A$1,0,0,COUNTA([2]stages!$A:$A),MATCH(F$1,[2]stages!$1:$1,0)-MATCH($D$1,[2]stages!$1:$1,0)+1),MATCH(F$1,[2]stages!$1:$1,0)-MATCH($D$1,[2]stages!$1:$1,0)+1,FALSE)</f>
        <v>#N/A</v>
      </c>
      <c r="G144" s="33">
        <v>1</v>
      </c>
      <c r="H144" s="16" t="str">
        <f t="shared" si="85"/>
        <v>13101_16-1</v>
      </c>
      <c r="I144" s="39" t="s">
        <v>245</v>
      </c>
      <c r="J144" s="31">
        <v>23</v>
      </c>
      <c r="K144" s="20" t="str">
        <f ca="1">VLOOKUP($J144,OFFSET([3]enemies!$A$1,0,0,COUNTA([3]enemies!$A:$A),MATCH(K$1,[3]enemies!$1:$1,0)-MATCH($J$1,[3]enemies!$1:$1,0)+1),MATCH(K$1,[3]enemies!$1:$1,0)-MATCH($J$1,[3]enemies!$1:$1,0)+1,FALSE)</f>
        <v>ミール</v>
      </c>
      <c r="L144" s="23" t="str">
        <f ca="1">VLOOKUP($J144,OFFSET([3]enemies!$A$1,0,0,COUNTA([3]enemies!$A:$A),MATCH(L$1,[3]enemies!$1:$1,0)-MATCH($J$1,[3]enemies!$1:$1,0)+1),MATCH(L$1,[3]enemies!$1:$1,0)-MATCH($J$1,[3]enemies!$1:$1,0)+1,FALSE)</f>
        <v>green</v>
      </c>
      <c r="M144" s="23" t="str">
        <f ca="1">VLOOKUP($J144,OFFSET([4]characters!$A$1,0,0,COUNTA([4]characters!$A:$A),MATCH(M$1,[4]characters!$1:$1,0)-MATCH($J$1,[4]characters!$1:$1,0)+1),MATCH(M$1,[4]characters!$1:$1,0)-MATCH($J$1,[4]characters!$1:$1,0)+1,FALSE)</f>
        <v>Drop1N</v>
      </c>
      <c r="N144" s="22" t="str">
        <f ca="1">VLOOKUP($J144,OFFSET([4]characters!$A$1,0,0,COUNTA([4]characters!$A:$A),MATCH(N$1,[4]characters!$1:$1,0)-MATCH($J$1,[4]characters!$1:$1,0)+2),MATCH(N$1,[4]characters!$1:$1,0)-MATCH($J$1,[4]characters!$1:$1,0)+2,FALSE)</f>
        <v>アニマル</v>
      </c>
      <c r="O144" s="5">
        <f ca="1">VLOOKUP($J144,OFFSET([3]enemies!$A$1,0,0,COUNTA([3]enemies!$A:$A),MATCH(O$1,[3]enemies!$1:$1,0)-MATCH($J$1,[3]enemies!$1:$1,0)+1),MATCH(O$1,[3]enemies!$1:$1,0)-MATCH($J$1,[3]enemies!$1:$1,0)+1,FALSE)</f>
        <v>15</v>
      </c>
      <c r="P144" s="46">
        <v>43</v>
      </c>
      <c r="Q144" s="43">
        <v>1</v>
      </c>
      <c r="R144" s="43">
        <v>1</v>
      </c>
      <c r="S144" s="6">
        <v>0</v>
      </c>
      <c r="T144" s="5" t="str">
        <f ca="1">VLOOKUP($U144,OFFSET([5]enemy_skill_sets!$B$1,0,0,COUNTA([5]enemy_skill_sets!$B:$B),MATCH(K$1,[5]enemy_skill_sets!$1:$1,0)-MATCH($U$1,[5]enemy_skill_sets!$1:$1,0)+2),MATCH(K$1,[5]enemy_skill_sets!$1:$1,0)-MATCH($U$1,[5]enemy_skill_sets!$1:$1,0)+2,FALSE)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44" s="5">
        <f ca="1">VLOOKUP($J144,OFFSET([3]enemies!$A$1,0,0,COUNTA([3]enemies!$A:$A),MATCH(U$1,[3]enemies!$1:$1,0)-MATCH($J$1,[3]enemies!$1:$1,0)+1),MATCH(U$1,[3]enemies!$1:$1,0)-MATCH($J$1,[3]enemies!$1:$1,0)+1,FALSE)</f>
        <v>0</v>
      </c>
      <c r="V144" s="7">
        <v>0</v>
      </c>
      <c r="W144" s="7">
        <v>100</v>
      </c>
      <c r="X144" s="7">
        <v>0</v>
      </c>
      <c r="Y144" s="20">
        <f ca="1">VLOOKUP($J144,OFFSET([3]enemies!$A$1,0,0,COUNTA([3]enemies!$A:$A),MATCH(Y$1,[3]enemies!$1:$1,0)-MATCH($J$1,[3]enemies!$1:$1,0)+1),MATCH(Y$1,[3]enemies!$1:$1,0)-MATCH($J$1,[3]enemies!$1:$1,0)+1,FALSE)</f>
        <v>4</v>
      </c>
      <c r="Z144" s="31">
        <v>23</v>
      </c>
      <c r="AA144" s="5" t="str">
        <f ca="1">IFERROR(VLOOKUP($Z144,OFFSET([4]characters!$A$1,0,0,COUNTA([4]characters!$A:$A),MATCH(AA$1,[4]characters!$1:$1,0)-MATCH("character_id",[4]characters!$1:$1,0)+1),MATCH(AA$1,[4]characters!$1:$1,0)-MATCH("character_id",[4]characters!$1:$1,0)+1,FALSE),"")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144" s="5">
        <f ca="1">IFERROR(VLOOKUP($Z144,OFFSET([4]characters!$A$1,0,0,COUNTA([4]characters!$A:$A),MATCH(AB$1,[4]characters!$1:$1,0)-MATCH("character_id",[4]characters!$1:$1,0)+1),MATCH(AB$1,[4]characters!$1:$1,0)-MATCH("character_id",[4]characters!$1:$1,0)+1,FALSE),"")</f>
        <v>1</v>
      </c>
      <c r="AC144" s="5" t="str">
        <f ca="1">IFERROR(VLOOKUP($Z144,OFFSET([4]characters!$A$1,0,0,COUNTA([4]characters!$A:$A),MATCH(AC$1,[4]characters!$1:$1,0)-MATCH("character_id",[4]characters!$1:$1,0)+1),MATCH(AC$1,[4]characters!$1:$1,0)-MATCH("character_id",[4]characters!$1:$1,0)+1,FALSE),"")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44" s="36">
        <v>1</v>
      </c>
      <c r="AE144" s="37">
        <f t="shared" ca="1" si="86"/>
        <v>1</v>
      </c>
      <c r="AF144" s="7">
        <v>25</v>
      </c>
      <c r="AG144" s="36">
        <v>0</v>
      </c>
      <c r="AH144" s="36">
        <v>0</v>
      </c>
      <c r="AI144" s="36">
        <v>0</v>
      </c>
      <c r="AJ144" s="36">
        <v>0</v>
      </c>
      <c r="AK144" s="36">
        <v>1</v>
      </c>
      <c r="AL144" s="36">
        <v>1</v>
      </c>
    </row>
    <row r="145" spans="1:38" ht="21" customHeight="1" x14ac:dyDescent="0.15">
      <c r="A145" s="17" t="str">
        <f t="shared" ca="1" si="83"/>
        <v>13101_16-1/59&lt;lv46&gt;s2</v>
      </c>
      <c r="B145" s="26">
        <v>13101</v>
      </c>
      <c r="C145" s="30">
        <v>16</v>
      </c>
      <c r="D145" s="16" t="str">
        <f t="shared" si="84"/>
        <v>13101_16</v>
      </c>
      <c r="E145" s="5" t="str">
        <f ca="1">VLOOKUP($B145,OFFSET([2]quests!$A$1,0,0,COUNTA([2]quests!$A:$A),MATCH(E$1,[2]quests!$1:$1,0)-MATCH($B$1,[2]quests!$1:$1,0)+1),MATCH(E$1,[2]quests!$1:$1,0)-MATCH($B$1,[2]quests!$1:$1,0)+1,FALSE)</f>
        <v>チャレンジタワー</v>
      </c>
      <c r="F145" s="5" t="e">
        <f ca="1">VLOOKUP($D145,OFFSET([2]stages!$A$1,0,0,COUNTA([2]stages!$A:$A),MATCH(F$1,[2]stages!$1:$1,0)-MATCH($D$1,[2]stages!$1:$1,0)+1),MATCH(F$1,[2]stages!$1:$1,0)-MATCH($D$1,[2]stages!$1:$1,0)+1,FALSE)</f>
        <v>#N/A</v>
      </c>
      <c r="G145" s="33">
        <v>1</v>
      </c>
      <c r="H145" s="16" t="str">
        <f t="shared" si="85"/>
        <v>13101_16-1</v>
      </c>
      <c r="I145" s="39" t="s">
        <v>245</v>
      </c>
      <c r="J145" s="31">
        <v>59</v>
      </c>
      <c r="K145" s="20" t="str">
        <f ca="1">VLOOKUP($J145,OFFSET([3]enemies!$A$1,0,0,COUNTA([3]enemies!$A:$A),MATCH(K$1,[3]enemies!$1:$1,0)-MATCH($J$1,[3]enemies!$1:$1,0)+1),MATCH(K$1,[3]enemies!$1:$1,0)-MATCH($J$1,[3]enemies!$1:$1,0)+1,FALSE)</f>
        <v>マーチ</v>
      </c>
      <c r="L145" s="23" t="str">
        <f ca="1">VLOOKUP($J145,OFFSET([3]enemies!$A$1,0,0,COUNTA([3]enemies!$A:$A),MATCH(L$1,[3]enemies!$1:$1,0)-MATCH($J$1,[3]enemies!$1:$1,0)+1),MATCH(L$1,[3]enemies!$1:$1,0)-MATCH($J$1,[3]enemies!$1:$1,0)+1,FALSE)</f>
        <v>green</v>
      </c>
      <c r="M145" s="23" t="str">
        <f ca="1">VLOOKUP($J145,OFFSET([4]characters!$A$1,0,0,COUNTA([4]characters!$A:$A),MATCH(M$1,[4]characters!$1:$1,0)-MATCH($J$1,[4]characters!$1:$1,0)+1),MATCH(M$1,[4]characters!$1:$1,0)-MATCH($J$1,[4]characters!$1:$1,0)+1,FALSE)</f>
        <v>Drop1N</v>
      </c>
      <c r="N145" s="22" t="str">
        <f ca="1">VLOOKUP($J145,OFFSET([4]characters!$A$1,0,0,COUNTA([4]characters!$A:$A),MATCH(N$1,[4]characters!$1:$1,0)-MATCH($J$1,[4]characters!$1:$1,0)+2),MATCH(N$1,[4]characters!$1:$1,0)-MATCH($J$1,[4]characters!$1:$1,0)+2,FALSE)</f>
        <v>アニマル</v>
      </c>
      <c r="O145" s="5">
        <f ca="1">VLOOKUP($J145,OFFSET([3]enemies!$A$1,0,0,COUNTA([3]enemies!$A:$A),MATCH(O$1,[3]enemies!$1:$1,0)-MATCH($J$1,[3]enemies!$1:$1,0)+1),MATCH(O$1,[3]enemies!$1:$1,0)-MATCH($J$1,[3]enemies!$1:$1,0)+1,FALSE)</f>
        <v>15</v>
      </c>
      <c r="P145" s="46">
        <v>46</v>
      </c>
      <c r="Q145" s="43">
        <v>1</v>
      </c>
      <c r="R145" s="43">
        <v>1</v>
      </c>
      <c r="S145" s="6">
        <v>0</v>
      </c>
      <c r="T145" s="5" t="str">
        <f ca="1">VLOOKUP($U145,OFFSET([5]enemy_skill_sets!$B$1,0,0,COUNTA([5]enemy_skill_sets!$B:$B),MATCH(K$1,[5]enemy_skill_sets!$1:$1,0)-MATCH($U$1,[5]enemy_skill_sets!$1:$1,0)+2),MATCH(K$1,[5]enemy_skill_sets!$1:$1,0)-MATCH($U$1,[5]enemy_skill_sets!$1:$1,0)+2,FALSE)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45" s="5">
        <f ca="1">VLOOKUP($J145,OFFSET([3]enemies!$A$1,0,0,COUNTA([3]enemies!$A:$A),MATCH(U$1,[3]enemies!$1:$1,0)-MATCH($J$1,[3]enemies!$1:$1,0)+1),MATCH(U$1,[3]enemies!$1:$1,0)-MATCH($J$1,[3]enemies!$1:$1,0)+1,FALSE)</f>
        <v>59</v>
      </c>
      <c r="V145" s="7">
        <v>0</v>
      </c>
      <c r="W145" s="7">
        <v>100</v>
      </c>
      <c r="X145" s="7">
        <v>0</v>
      </c>
      <c r="Y145" s="20">
        <f ca="1">VLOOKUP($J145,OFFSET([3]enemies!$A$1,0,0,COUNTA([3]enemies!$A:$A),MATCH(Y$1,[3]enemies!$1:$1,0)-MATCH($J$1,[3]enemies!$1:$1,0)+1),MATCH(Y$1,[3]enemies!$1:$1,0)-MATCH($J$1,[3]enemies!$1:$1,0)+1,FALSE)</f>
        <v>2</v>
      </c>
      <c r="Z145" s="31">
        <v>59</v>
      </c>
      <c r="AA145" s="5" t="str">
        <f ca="1">IFERROR(VLOOKUP($Z145,OFFSET([4]characters!$A$1,0,0,COUNTA([4]characters!$A:$A),MATCH(AA$1,[4]characters!$1:$1,0)-MATCH("character_id",[4]characters!$1:$1,0)+1),MATCH(AA$1,[4]characters!$1:$1,0)-MATCH("character_id",[4]characters!$1:$1,0)+1,FALSE),"")</f>
        <v>マーチ</v>
      </c>
      <c r="AB145" s="5">
        <f ca="1">IFERROR(VLOOKUP($Z145,OFFSET([4]characters!$A$1,0,0,COUNTA([4]characters!$A:$A),MATCH(AB$1,[4]characters!$1:$1,0)-MATCH("character_id",[4]characters!$1:$1,0)+1),MATCH(AB$1,[4]characters!$1:$1,0)-MATCH("character_id",[4]characters!$1:$1,0)+1,FALSE),"")</f>
        <v>2</v>
      </c>
      <c r="AC145" s="5" t="str">
        <f ca="1">IFERROR(VLOOKUP($Z145,OFFSET([4]characters!$A$1,0,0,COUNTA([4]characters!$A:$A),MATCH(AC$1,[4]characters!$1:$1,0)-MATCH("character_id",[4]characters!$1:$1,0)+1),MATCH(AC$1,[4]characters!$1:$1,0)-MATCH("character_id",[4]characters!$1:$1,0)+1,FALSE),"")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45" s="36">
        <v>1</v>
      </c>
      <c r="AE145" s="37">
        <f t="shared" ca="1" si="86"/>
        <v>2</v>
      </c>
      <c r="AF145" s="7">
        <v>25</v>
      </c>
      <c r="AG145" s="36">
        <v>0</v>
      </c>
      <c r="AH145" s="36">
        <v>0</v>
      </c>
      <c r="AI145" s="36">
        <v>0</v>
      </c>
      <c r="AJ145" s="36">
        <v>0</v>
      </c>
      <c r="AK145" s="36">
        <v>1</v>
      </c>
      <c r="AL145" s="36">
        <v>1</v>
      </c>
    </row>
    <row r="146" spans="1:38" ht="21" customHeight="1" x14ac:dyDescent="0.15">
      <c r="A146" s="17" t="str">
        <f t="shared" ca="1" si="83"/>
        <v>13101_16-2/11&lt;lv46&gt;s3</v>
      </c>
      <c r="B146" s="26">
        <v>13101</v>
      </c>
      <c r="C146" s="30">
        <v>16</v>
      </c>
      <c r="D146" s="16" t="str">
        <f t="shared" si="84"/>
        <v>13101_16</v>
      </c>
      <c r="E146" s="5" t="str">
        <f ca="1">VLOOKUP($B146,OFFSET([2]quests!$A$1,0,0,COUNTA([2]quests!$A:$A),MATCH(E$1,[2]quests!$1:$1,0)-MATCH($B$1,[2]quests!$1:$1,0)+1),MATCH(E$1,[2]quests!$1:$1,0)-MATCH($B$1,[2]quests!$1:$1,0)+1,FALSE)</f>
        <v>チャレンジタワー</v>
      </c>
      <c r="F146" s="5" t="e">
        <f ca="1">VLOOKUP($D146,OFFSET([2]stages!$A$1,0,0,COUNTA([2]stages!$A:$A),MATCH(F$1,[2]stages!$1:$1,0)-MATCH($D$1,[2]stages!$1:$1,0)+1),MATCH(F$1,[2]stages!$1:$1,0)-MATCH($D$1,[2]stages!$1:$1,0)+1,FALSE)</f>
        <v>#N/A</v>
      </c>
      <c r="G146" s="33">
        <v>2</v>
      </c>
      <c r="H146" s="16" t="str">
        <f t="shared" si="85"/>
        <v>13101_16-2</v>
      </c>
      <c r="I146" s="39" t="s">
        <v>245</v>
      </c>
      <c r="J146" s="31">
        <v>11</v>
      </c>
      <c r="K146" s="20" t="str">
        <f ca="1">VLOOKUP($J146,OFFSET([3]enemies!$A$1,0,0,COUNTA([3]enemies!$A:$A),MATCH(K$1,[3]enemies!$1:$1,0)-MATCH($J$1,[3]enemies!$1:$1,0)+1),MATCH(K$1,[3]enemies!$1:$1,0)-MATCH($J$1,[3]enemies!$1:$1,0)+1,FALSE)</f>
        <v>マグリット</v>
      </c>
      <c r="L146" s="23" t="str">
        <f ca="1">VLOOKUP($J146,OFFSET([3]enemies!$A$1,0,0,COUNTA([3]enemies!$A:$A),MATCH(L$1,[3]enemies!$1:$1,0)-MATCH($J$1,[3]enemies!$1:$1,0)+1),MATCH(L$1,[3]enemies!$1:$1,0)-MATCH($J$1,[3]enemies!$1:$1,0)+1,FALSE)</f>
        <v>green</v>
      </c>
      <c r="M146" s="23" t="str">
        <f ca="1">VLOOKUP($J146,OFFSET([4]characters!$A$1,0,0,COUNTA([4]characters!$A:$A),MATCH(M$1,[4]characters!$1:$1,0)-MATCH($J$1,[4]characters!$1:$1,0)+1),MATCH(M$1,[4]characters!$1:$1,0)-MATCH($J$1,[4]characters!$1:$1,0)+1,FALSE)</f>
        <v>Drop1W</v>
      </c>
      <c r="N146" s="22" t="str">
        <f ca="1">VLOOKUP($J146,OFFSET([4]characters!$A$1,0,0,COUNTA([4]characters!$A:$A),MATCH(N$1,[4]characters!$1:$1,0)-MATCH($J$1,[4]characters!$1:$1,0)+2),MATCH(N$1,[4]characters!$1:$1,0)-MATCH($J$1,[4]characters!$1:$1,0)+2,FALSE)</f>
        <v>アニマル</v>
      </c>
      <c r="O146" s="5">
        <f ca="1">VLOOKUP($J146,OFFSET([3]enemies!$A$1,0,0,COUNTA([3]enemies!$A:$A),MATCH(O$1,[3]enemies!$1:$1,0)-MATCH($J$1,[3]enemies!$1:$1,0)+1),MATCH(O$1,[3]enemies!$1:$1,0)-MATCH($J$1,[3]enemies!$1:$1,0)+1,FALSE)</f>
        <v>15</v>
      </c>
      <c r="P146" s="46">
        <v>46</v>
      </c>
      <c r="Q146" s="43">
        <v>1</v>
      </c>
      <c r="R146" s="43">
        <v>1</v>
      </c>
      <c r="S146" s="6">
        <v>0</v>
      </c>
      <c r="T146" s="5" t="str">
        <f ca="1">VLOOKUP($U146,OFFSET([5]enemy_skill_sets!$B$1,0,0,COUNTA([5]enemy_skill_sets!$B:$B),MATCH(K$1,[5]enemy_skill_sets!$1:$1,0)-MATCH($U$1,[5]enemy_skill_sets!$1:$1,0)+2),MATCH(K$1,[5]enemy_skill_sets!$1:$1,0)-MATCH($U$1,[5]enemy_skill_sets!$1:$1,0)+2,FALSE)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46" s="5">
        <f ca="1">VLOOKUP($J146,OFFSET([3]enemies!$A$1,0,0,COUNTA([3]enemies!$A:$A),MATCH(U$1,[3]enemies!$1:$1,0)-MATCH($J$1,[3]enemies!$1:$1,0)+1),MATCH(U$1,[3]enemies!$1:$1,0)-MATCH($J$1,[3]enemies!$1:$1,0)+1,FALSE)</f>
        <v>0</v>
      </c>
      <c r="V146" s="7">
        <v>0</v>
      </c>
      <c r="W146" s="7">
        <v>100</v>
      </c>
      <c r="X146" s="7">
        <v>0</v>
      </c>
      <c r="Y146" s="20">
        <f ca="1">VLOOKUP($J146,OFFSET([3]enemies!$A$1,0,0,COUNTA([3]enemies!$A:$A),MATCH(Y$1,[3]enemies!$1:$1,0)-MATCH($J$1,[3]enemies!$1:$1,0)+1),MATCH(Y$1,[3]enemies!$1:$1,0)-MATCH($J$1,[3]enemies!$1:$1,0)+1,FALSE)</f>
        <v>3</v>
      </c>
      <c r="Z146" s="31">
        <v>11</v>
      </c>
      <c r="AA146" s="5" t="str">
        <f ca="1">IFERROR(VLOOKUP($Z146,OFFSET([4]characters!$A$1,0,0,COUNTA([4]characters!$A:$A),MATCH(AA$1,[4]characters!$1:$1,0)-MATCH("character_id",[4]characters!$1:$1,0)+1),MATCH(AA$1,[4]characters!$1:$1,0)-MATCH("character_id",[4]characters!$1:$1,0)+1,FALSE),"")</f>
        <v>マグリット</v>
      </c>
      <c r="AB146" s="5">
        <f ca="1">IFERROR(VLOOKUP($Z146,OFFSET([4]characters!$A$1,0,0,COUNTA([4]characters!$A:$A),MATCH(AB$1,[4]characters!$1:$1,0)-MATCH("character_id",[4]characters!$1:$1,0)+1),MATCH(AB$1,[4]characters!$1:$1,0)-MATCH("character_id",[4]characters!$1:$1,0)+1,FALSE),"")</f>
        <v>1</v>
      </c>
      <c r="AC146" s="5" t="str">
        <f ca="1">IFERROR(VLOOKUP($Z146,OFFSET([4]characters!$A$1,0,0,COUNTA([4]characters!$A:$A),MATCH(AC$1,[4]characters!$1:$1,0)-MATCH("character_id",[4]characters!$1:$1,0)+1),MATCH(AC$1,[4]characters!$1:$1,0)-MATCH("character_id",[4]characters!$1:$1,0)+1,FALSE),"")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46" s="36">
        <v>1</v>
      </c>
      <c r="AE146" s="37">
        <f t="shared" ca="1" si="86"/>
        <v>1</v>
      </c>
      <c r="AF146" s="7">
        <v>25</v>
      </c>
      <c r="AG146" s="36">
        <v>0</v>
      </c>
      <c r="AH146" s="36">
        <v>0</v>
      </c>
      <c r="AI146" s="36">
        <v>0</v>
      </c>
      <c r="AJ146" s="36">
        <v>0</v>
      </c>
      <c r="AK146" s="36">
        <v>1</v>
      </c>
      <c r="AL146" s="36">
        <v>1</v>
      </c>
    </row>
    <row r="147" spans="1:38" ht="21" customHeight="1" x14ac:dyDescent="0.15">
      <c r="A147" s="17" t="str">
        <f t="shared" ca="1" si="83"/>
        <v>13101_16-2/43&lt;lv46&gt;s2</v>
      </c>
      <c r="B147" s="26">
        <v>13101</v>
      </c>
      <c r="C147" s="30">
        <v>16</v>
      </c>
      <c r="D147" s="16" t="str">
        <f t="shared" ref="D147:D156" si="123">B147&amp;"_"&amp;C147</f>
        <v>13101_16</v>
      </c>
      <c r="E147" s="5" t="str">
        <f ca="1">VLOOKUP($B147,OFFSET([2]quests!$A$1,0,0,COUNTA([2]quests!$A:$A),MATCH(E$1,[2]quests!$1:$1,0)-MATCH($B$1,[2]quests!$1:$1,0)+1),MATCH(E$1,[2]quests!$1:$1,0)-MATCH($B$1,[2]quests!$1:$1,0)+1,FALSE)</f>
        <v>チャレンジタワー</v>
      </c>
      <c r="F147" s="5" t="e">
        <f ca="1">VLOOKUP($D147,OFFSET([2]stages!$A$1,0,0,COUNTA([2]stages!$A:$A),MATCH(F$1,[2]stages!$1:$1,0)-MATCH($D$1,[2]stages!$1:$1,0)+1),MATCH(F$1,[2]stages!$1:$1,0)-MATCH($D$1,[2]stages!$1:$1,0)+1,FALSE)</f>
        <v>#N/A</v>
      </c>
      <c r="G147" s="33">
        <v>2</v>
      </c>
      <c r="H147" s="16" t="str">
        <f t="shared" si="85"/>
        <v>13101_16-2</v>
      </c>
      <c r="I147" s="39" t="s">
        <v>245</v>
      </c>
      <c r="J147" s="31">
        <v>43</v>
      </c>
      <c r="K147" s="20" t="str">
        <f ca="1">VLOOKUP($J147,OFFSET([3]enemies!$A$1,0,0,COUNTA([3]enemies!$A:$A),MATCH(K$1,[3]enemies!$1:$1,0)-MATCH($J$1,[3]enemies!$1:$1,0)+1),MATCH(K$1,[3]enemies!$1:$1,0)-MATCH($J$1,[3]enemies!$1:$1,0)+1,FALSE)</f>
        <v>ムゥ</v>
      </c>
      <c r="L147" s="23" t="str">
        <f ca="1">VLOOKUP($J147,OFFSET([3]enemies!$A$1,0,0,COUNTA([3]enemies!$A:$A),MATCH(L$1,[3]enemies!$1:$1,0)-MATCH($J$1,[3]enemies!$1:$1,0)+1),MATCH(L$1,[3]enemies!$1:$1,0)-MATCH($J$1,[3]enemies!$1:$1,0)+1,FALSE)</f>
        <v>green</v>
      </c>
      <c r="M147" s="23" t="str">
        <f ca="1">VLOOKUP($J147,OFFSET([4]characters!$A$1,0,0,COUNTA([4]characters!$A:$A),MATCH(M$1,[4]characters!$1:$1,0)-MATCH($J$1,[4]characters!$1:$1,0)+1),MATCH(M$1,[4]characters!$1:$1,0)-MATCH($J$1,[4]characters!$1:$1,0)+1,FALSE)</f>
        <v>Drop1N</v>
      </c>
      <c r="N147" s="22" t="str">
        <f ca="1">VLOOKUP($J147,OFFSET([4]characters!$A$1,0,0,COUNTA([4]characters!$A:$A),MATCH(N$1,[4]characters!$1:$1,0)-MATCH($J$1,[4]characters!$1:$1,0)+2),MATCH(N$1,[4]characters!$1:$1,0)-MATCH($J$1,[4]characters!$1:$1,0)+2,FALSE)</f>
        <v>ドラゴン</v>
      </c>
      <c r="O147" s="5">
        <f ca="1">VLOOKUP($J147,OFFSET([3]enemies!$A$1,0,0,COUNTA([3]enemies!$A:$A),MATCH(O$1,[3]enemies!$1:$1,0)-MATCH($J$1,[3]enemies!$1:$1,0)+1),MATCH(O$1,[3]enemies!$1:$1,0)-MATCH($J$1,[3]enemies!$1:$1,0)+1,FALSE)</f>
        <v>15</v>
      </c>
      <c r="P147" s="46">
        <v>46</v>
      </c>
      <c r="Q147" s="43">
        <v>1</v>
      </c>
      <c r="R147" s="43">
        <v>1</v>
      </c>
      <c r="S147" s="6">
        <v>0</v>
      </c>
      <c r="T147" s="5" t="str">
        <f ca="1">VLOOKUP($U147,OFFSET([5]enemy_skill_sets!$B$1,0,0,COUNTA([5]enemy_skill_sets!$B:$B),MATCH(K$1,[5]enemy_skill_sets!$1:$1,0)-MATCH($U$1,[5]enemy_skill_sets!$1:$1,0)+2),MATCH(K$1,[5]enemy_skill_sets!$1:$1,0)-MATCH($U$1,[5]enemy_skill_sets!$1:$1,0)+2,FALSE)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47" s="5">
        <f ca="1">VLOOKUP($J147,OFFSET([3]enemies!$A$1,0,0,COUNTA([3]enemies!$A:$A),MATCH(U$1,[3]enemies!$1:$1,0)-MATCH($J$1,[3]enemies!$1:$1,0)+1),MATCH(U$1,[3]enemies!$1:$1,0)-MATCH($J$1,[3]enemies!$1:$1,0)+1,FALSE)</f>
        <v>0</v>
      </c>
      <c r="V147" s="7">
        <v>2</v>
      </c>
      <c r="W147" s="7">
        <v>100</v>
      </c>
      <c r="X147" s="7">
        <v>0</v>
      </c>
      <c r="Y147" s="20">
        <f ca="1">VLOOKUP($J147,OFFSET([3]enemies!$A$1,0,0,COUNTA([3]enemies!$A:$A),MATCH(Y$1,[3]enemies!$1:$1,0)-MATCH($J$1,[3]enemies!$1:$1,0)+1),MATCH(Y$1,[3]enemies!$1:$1,0)-MATCH($J$1,[3]enemies!$1:$1,0)+1,FALSE)</f>
        <v>2</v>
      </c>
      <c r="Z147" s="31">
        <v>43</v>
      </c>
      <c r="AA147" s="5" t="str">
        <f ca="1">IFERROR(VLOOKUP($Z147,OFFSET([4]characters!$A$1,0,0,COUNTA([4]characters!$A:$A),MATCH(AA$1,[4]characters!$1:$1,0)-MATCH("character_id",[4]characters!$1:$1,0)+1),MATCH(AA$1,[4]characters!$1:$1,0)-MATCH("character_id",[4]characters!$1:$1,0)+1,FALSE),"")</f>
        <v>ムゥ</v>
      </c>
      <c r="AB147" s="5">
        <f ca="1">IFERROR(VLOOKUP($Z147,OFFSET([4]characters!$A$1,0,0,COUNTA([4]characters!$A:$A),MATCH(AB$1,[4]characters!$1:$1,0)-MATCH("character_id",[4]characters!$1:$1,0)+1),MATCH(AB$1,[4]characters!$1:$1,0)-MATCH("character_id",[4]characters!$1:$1,0)+1,FALSE),"")</f>
        <v>2</v>
      </c>
      <c r="AC147" s="5" t="str">
        <f ca="1">IFERROR(VLOOKUP($Z147,OFFSET([4]characters!$A$1,0,0,COUNTA([4]characters!$A:$A),MATCH(AC$1,[4]characters!$1:$1,0)-MATCH("character_id",[4]characters!$1:$1,0)+1),MATCH(AC$1,[4]characters!$1:$1,0)-MATCH("character_id",[4]characters!$1:$1,0)+1,FALSE),"")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47" s="36">
        <v>1</v>
      </c>
      <c r="AE147" s="37">
        <f t="shared" ca="1" si="86"/>
        <v>2</v>
      </c>
      <c r="AF147" s="7">
        <v>25</v>
      </c>
      <c r="AG147" s="36">
        <v>0</v>
      </c>
      <c r="AH147" s="36">
        <v>0</v>
      </c>
      <c r="AI147" s="36">
        <v>0</v>
      </c>
      <c r="AJ147" s="36">
        <v>0</v>
      </c>
      <c r="AK147" s="36">
        <v>1</v>
      </c>
      <c r="AL147" s="36">
        <v>1</v>
      </c>
    </row>
    <row r="148" spans="1:38" ht="21" customHeight="1" x14ac:dyDescent="0.15">
      <c r="A148" s="17" t="str">
        <f t="shared" ca="1" si="83"/>
        <v>13101_16-2/59&lt;lv46&gt;s2</v>
      </c>
      <c r="B148" s="26">
        <v>13101</v>
      </c>
      <c r="C148" s="30">
        <v>16</v>
      </c>
      <c r="D148" s="16" t="str">
        <f t="shared" si="123"/>
        <v>13101_16</v>
      </c>
      <c r="E148" s="5" t="str">
        <f ca="1">VLOOKUP($B148,OFFSET([2]quests!$A$1,0,0,COUNTA([2]quests!$A:$A),MATCH(E$1,[2]quests!$1:$1,0)-MATCH($B$1,[2]quests!$1:$1,0)+1),MATCH(E$1,[2]quests!$1:$1,0)-MATCH($B$1,[2]quests!$1:$1,0)+1,FALSE)</f>
        <v>チャレンジタワー</v>
      </c>
      <c r="F148" s="5" t="e">
        <f ca="1">VLOOKUP($D148,OFFSET([2]stages!$A$1,0,0,COUNTA([2]stages!$A:$A),MATCH(F$1,[2]stages!$1:$1,0)-MATCH($D$1,[2]stages!$1:$1,0)+1),MATCH(F$1,[2]stages!$1:$1,0)-MATCH($D$1,[2]stages!$1:$1,0)+1,FALSE)</f>
        <v>#N/A</v>
      </c>
      <c r="G148" s="33">
        <v>2</v>
      </c>
      <c r="H148" s="16" t="str">
        <f t="shared" si="85"/>
        <v>13101_16-2</v>
      </c>
      <c r="I148" s="39" t="s">
        <v>245</v>
      </c>
      <c r="J148" s="31">
        <v>59</v>
      </c>
      <c r="K148" s="20" t="str">
        <f ca="1">VLOOKUP($J148,OFFSET([3]enemies!$A$1,0,0,COUNTA([3]enemies!$A:$A),MATCH(K$1,[3]enemies!$1:$1,0)-MATCH($J$1,[3]enemies!$1:$1,0)+1),MATCH(K$1,[3]enemies!$1:$1,0)-MATCH($J$1,[3]enemies!$1:$1,0)+1,FALSE)</f>
        <v>マーチ</v>
      </c>
      <c r="L148" s="23" t="str">
        <f ca="1">VLOOKUP($J148,OFFSET([3]enemies!$A$1,0,0,COUNTA([3]enemies!$A:$A),MATCH(L$1,[3]enemies!$1:$1,0)-MATCH($J$1,[3]enemies!$1:$1,0)+1),MATCH(L$1,[3]enemies!$1:$1,0)-MATCH($J$1,[3]enemies!$1:$1,0)+1,FALSE)</f>
        <v>green</v>
      </c>
      <c r="M148" s="23" t="str">
        <f ca="1">VLOOKUP($J148,OFFSET([4]characters!$A$1,0,0,COUNTA([4]characters!$A:$A),MATCH(M$1,[4]characters!$1:$1,0)-MATCH($J$1,[4]characters!$1:$1,0)+1),MATCH(M$1,[4]characters!$1:$1,0)-MATCH($J$1,[4]characters!$1:$1,0)+1,FALSE)</f>
        <v>Drop1N</v>
      </c>
      <c r="N148" s="22" t="str">
        <f ca="1">VLOOKUP($J148,OFFSET([4]characters!$A$1,0,0,COUNTA([4]characters!$A:$A),MATCH(N$1,[4]characters!$1:$1,0)-MATCH($J$1,[4]characters!$1:$1,0)+2),MATCH(N$1,[4]characters!$1:$1,0)-MATCH($J$1,[4]characters!$1:$1,0)+2,FALSE)</f>
        <v>アニマル</v>
      </c>
      <c r="O148" s="5">
        <f ca="1">VLOOKUP($J148,OFFSET([3]enemies!$A$1,0,0,COUNTA([3]enemies!$A:$A),MATCH(O$1,[3]enemies!$1:$1,0)-MATCH($J$1,[3]enemies!$1:$1,0)+1),MATCH(O$1,[3]enemies!$1:$1,0)-MATCH($J$1,[3]enemies!$1:$1,0)+1,FALSE)</f>
        <v>15</v>
      </c>
      <c r="P148" s="46">
        <v>46</v>
      </c>
      <c r="Q148" s="43">
        <v>1</v>
      </c>
      <c r="R148" s="43">
        <v>1</v>
      </c>
      <c r="S148" s="6">
        <v>0</v>
      </c>
      <c r="T148" s="5" t="str">
        <f ca="1">VLOOKUP($U148,OFFSET([5]enemy_skill_sets!$B$1,0,0,COUNTA([5]enemy_skill_sets!$B:$B),MATCH(K$1,[5]enemy_skill_sets!$1:$1,0)-MATCH($U$1,[5]enemy_skill_sets!$1:$1,0)+2),MATCH(K$1,[5]enemy_skill_sets!$1:$1,0)-MATCH($U$1,[5]enemy_skill_sets!$1:$1,0)+2,FALSE)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48" s="5">
        <f ca="1">VLOOKUP($J148,OFFSET([3]enemies!$A$1,0,0,COUNTA([3]enemies!$A:$A),MATCH(U$1,[3]enemies!$1:$1,0)-MATCH($J$1,[3]enemies!$1:$1,0)+1),MATCH(U$1,[3]enemies!$1:$1,0)-MATCH($J$1,[3]enemies!$1:$1,0)+1,FALSE)</f>
        <v>59</v>
      </c>
      <c r="V148" s="7">
        <v>0</v>
      </c>
      <c r="W148" s="7">
        <v>100</v>
      </c>
      <c r="X148" s="7">
        <v>0</v>
      </c>
      <c r="Y148" s="20">
        <f ca="1">VLOOKUP($J148,OFFSET([3]enemies!$A$1,0,0,COUNTA([3]enemies!$A:$A),MATCH(Y$1,[3]enemies!$1:$1,0)-MATCH($J$1,[3]enemies!$1:$1,0)+1),MATCH(Y$1,[3]enemies!$1:$1,0)-MATCH($J$1,[3]enemies!$1:$1,0)+1,FALSE)</f>
        <v>2</v>
      </c>
      <c r="Z148" s="31">
        <v>59</v>
      </c>
      <c r="AA148" s="5" t="str">
        <f ca="1">IFERROR(VLOOKUP($Z148,OFFSET([4]characters!$A$1,0,0,COUNTA([4]characters!$A:$A),MATCH(AA$1,[4]characters!$1:$1,0)-MATCH("character_id",[4]characters!$1:$1,0)+1),MATCH(AA$1,[4]characters!$1:$1,0)-MATCH("character_id",[4]characters!$1:$1,0)+1,FALSE),"")</f>
        <v>マーチ</v>
      </c>
      <c r="AB148" s="5">
        <f ca="1">IFERROR(VLOOKUP($Z148,OFFSET([4]characters!$A$1,0,0,COUNTA([4]characters!$A:$A),MATCH(AB$1,[4]characters!$1:$1,0)-MATCH("character_id",[4]characters!$1:$1,0)+1),MATCH(AB$1,[4]characters!$1:$1,0)-MATCH("character_id",[4]characters!$1:$1,0)+1,FALSE),"")</f>
        <v>2</v>
      </c>
      <c r="AC148" s="5" t="str">
        <f ca="1">IFERROR(VLOOKUP($Z148,OFFSET([4]characters!$A$1,0,0,COUNTA([4]characters!$A:$A),MATCH(AC$1,[4]characters!$1:$1,0)-MATCH("character_id",[4]characters!$1:$1,0)+1),MATCH(AC$1,[4]characters!$1:$1,0)-MATCH("character_id",[4]characters!$1:$1,0)+1,FALSE),"")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48" s="36">
        <v>1</v>
      </c>
      <c r="AE148" s="37">
        <f t="shared" ca="1" si="86"/>
        <v>2</v>
      </c>
      <c r="AF148" s="7">
        <v>25</v>
      </c>
      <c r="AG148" s="36">
        <v>0</v>
      </c>
      <c r="AH148" s="36">
        <v>0</v>
      </c>
      <c r="AI148" s="36">
        <v>0</v>
      </c>
      <c r="AJ148" s="36">
        <v>0</v>
      </c>
      <c r="AK148" s="36">
        <v>1</v>
      </c>
      <c r="AL148" s="36">
        <v>1</v>
      </c>
    </row>
    <row r="149" spans="1:38" ht="21" customHeight="1" x14ac:dyDescent="0.15">
      <c r="A149" s="17" t="str">
        <f t="shared" ca="1" si="83"/>
        <v>13101_16-3/11&lt;lv46&gt;s3</v>
      </c>
      <c r="B149" s="26">
        <v>13101</v>
      </c>
      <c r="C149" s="30">
        <v>16</v>
      </c>
      <c r="D149" s="16" t="str">
        <f t="shared" si="123"/>
        <v>13101_16</v>
      </c>
      <c r="E149" s="5" t="str">
        <f ca="1">VLOOKUP($B149,OFFSET([2]quests!$A$1,0,0,COUNTA([2]quests!$A:$A),MATCH(E$1,[2]quests!$1:$1,0)-MATCH($B$1,[2]quests!$1:$1,0)+1),MATCH(E$1,[2]quests!$1:$1,0)-MATCH($B$1,[2]quests!$1:$1,0)+1,FALSE)</f>
        <v>チャレンジタワー</v>
      </c>
      <c r="F149" s="5" t="e">
        <f ca="1">VLOOKUP($D149,OFFSET([2]stages!$A$1,0,0,COUNTA([2]stages!$A:$A),MATCH(F$1,[2]stages!$1:$1,0)-MATCH($D$1,[2]stages!$1:$1,0)+1),MATCH(F$1,[2]stages!$1:$1,0)-MATCH($D$1,[2]stages!$1:$1,0)+1,FALSE)</f>
        <v>#N/A</v>
      </c>
      <c r="G149" s="33">
        <v>3</v>
      </c>
      <c r="H149" s="16" t="str">
        <f t="shared" si="85"/>
        <v>13101_16-3</v>
      </c>
      <c r="I149" s="39" t="s">
        <v>245</v>
      </c>
      <c r="J149" s="31">
        <v>11</v>
      </c>
      <c r="K149" s="20" t="str">
        <f ca="1">VLOOKUP($J149,OFFSET([3]enemies!$A$1,0,0,COUNTA([3]enemies!$A:$A),MATCH(K$1,[3]enemies!$1:$1,0)-MATCH($J$1,[3]enemies!$1:$1,0)+1),MATCH(K$1,[3]enemies!$1:$1,0)-MATCH($J$1,[3]enemies!$1:$1,0)+1,FALSE)</f>
        <v>マグリット</v>
      </c>
      <c r="L149" s="23" t="str">
        <f ca="1">VLOOKUP($J149,OFFSET([3]enemies!$A$1,0,0,COUNTA([3]enemies!$A:$A),MATCH(L$1,[3]enemies!$1:$1,0)-MATCH($J$1,[3]enemies!$1:$1,0)+1),MATCH(L$1,[3]enemies!$1:$1,0)-MATCH($J$1,[3]enemies!$1:$1,0)+1,FALSE)</f>
        <v>green</v>
      </c>
      <c r="M149" s="23" t="str">
        <f ca="1">VLOOKUP($J149,OFFSET([4]characters!$A$1,0,0,COUNTA([4]characters!$A:$A),MATCH(M$1,[4]characters!$1:$1,0)-MATCH($J$1,[4]characters!$1:$1,0)+1),MATCH(M$1,[4]characters!$1:$1,0)-MATCH($J$1,[4]characters!$1:$1,0)+1,FALSE)</f>
        <v>Drop1W</v>
      </c>
      <c r="N149" s="22" t="str">
        <f ca="1">VLOOKUP($J149,OFFSET([4]characters!$A$1,0,0,COUNTA([4]characters!$A:$A),MATCH(N$1,[4]characters!$1:$1,0)-MATCH($J$1,[4]characters!$1:$1,0)+2),MATCH(N$1,[4]characters!$1:$1,0)-MATCH($J$1,[4]characters!$1:$1,0)+2,FALSE)</f>
        <v>アニマル</v>
      </c>
      <c r="O149" s="5">
        <f ca="1">VLOOKUP($J149,OFFSET([3]enemies!$A$1,0,0,COUNTA([3]enemies!$A:$A),MATCH(O$1,[3]enemies!$1:$1,0)-MATCH($J$1,[3]enemies!$1:$1,0)+1),MATCH(O$1,[3]enemies!$1:$1,0)-MATCH($J$1,[3]enemies!$1:$1,0)+1,FALSE)</f>
        <v>15</v>
      </c>
      <c r="P149" s="46">
        <v>46</v>
      </c>
      <c r="Q149" s="43">
        <v>1</v>
      </c>
      <c r="R149" s="43">
        <v>1</v>
      </c>
      <c r="S149" s="6">
        <v>0</v>
      </c>
      <c r="T149" s="5" t="str">
        <f ca="1">VLOOKUP($U149,OFFSET([5]enemy_skill_sets!$B$1,0,0,COUNTA([5]enemy_skill_sets!$B:$B),MATCH(K$1,[5]enemy_skill_sets!$1:$1,0)-MATCH($U$1,[5]enemy_skill_sets!$1:$1,0)+2),MATCH(K$1,[5]enemy_skill_sets!$1:$1,0)-MATCH($U$1,[5]enemy_skill_sets!$1:$1,0)+2,FALSE)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49" s="5">
        <f ca="1">VLOOKUP($J149,OFFSET([3]enemies!$A$1,0,0,COUNTA([3]enemies!$A:$A),MATCH(U$1,[3]enemies!$1:$1,0)-MATCH($J$1,[3]enemies!$1:$1,0)+1),MATCH(U$1,[3]enemies!$1:$1,0)-MATCH($J$1,[3]enemies!$1:$1,0)+1,FALSE)</f>
        <v>0</v>
      </c>
      <c r="V149" s="7">
        <v>0</v>
      </c>
      <c r="W149" s="7">
        <v>100</v>
      </c>
      <c r="X149" s="7">
        <v>0</v>
      </c>
      <c r="Y149" s="20">
        <f ca="1">VLOOKUP($J149,OFFSET([3]enemies!$A$1,0,0,COUNTA([3]enemies!$A:$A),MATCH(Y$1,[3]enemies!$1:$1,0)-MATCH($J$1,[3]enemies!$1:$1,0)+1),MATCH(Y$1,[3]enemies!$1:$1,0)-MATCH($J$1,[3]enemies!$1:$1,0)+1,FALSE)</f>
        <v>3</v>
      </c>
      <c r="Z149" s="31">
        <v>11</v>
      </c>
      <c r="AA149" s="5" t="str">
        <f ca="1">IFERROR(VLOOKUP($Z149,OFFSET([4]characters!$A$1,0,0,COUNTA([4]characters!$A:$A),MATCH(AA$1,[4]characters!$1:$1,0)-MATCH("character_id",[4]characters!$1:$1,0)+1),MATCH(AA$1,[4]characters!$1:$1,0)-MATCH("character_id",[4]characters!$1:$1,0)+1,FALSE),"")</f>
        <v>マグリット</v>
      </c>
      <c r="AB149" s="5">
        <f ca="1">IFERROR(VLOOKUP($Z149,OFFSET([4]characters!$A$1,0,0,COUNTA([4]characters!$A:$A),MATCH(AB$1,[4]characters!$1:$1,0)-MATCH("character_id",[4]characters!$1:$1,0)+1),MATCH(AB$1,[4]characters!$1:$1,0)-MATCH("character_id",[4]characters!$1:$1,0)+1,FALSE),"")</f>
        <v>1</v>
      </c>
      <c r="AC149" s="5" t="str">
        <f ca="1">IFERROR(VLOOKUP($Z149,OFFSET([4]characters!$A$1,0,0,COUNTA([4]characters!$A:$A),MATCH(AC$1,[4]characters!$1:$1,0)-MATCH("character_id",[4]characters!$1:$1,0)+1),MATCH(AC$1,[4]characters!$1:$1,0)-MATCH("character_id",[4]characters!$1:$1,0)+1,FALSE),"")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49" s="36">
        <v>1</v>
      </c>
      <c r="AE149" s="37">
        <f t="shared" ca="1" si="86"/>
        <v>1</v>
      </c>
      <c r="AF149" s="7">
        <v>25</v>
      </c>
      <c r="AG149" s="36">
        <v>0</v>
      </c>
      <c r="AH149" s="36">
        <v>0</v>
      </c>
      <c r="AI149" s="36">
        <v>0</v>
      </c>
      <c r="AJ149" s="36">
        <v>0</v>
      </c>
      <c r="AK149" s="36">
        <v>1</v>
      </c>
      <c r="AL149" s="36">
        <v>1</v>
      </c>
    </row>
    <row r="150" spans="1:38" ht="21" customHeight="1" x14ac:dyDescent="0.15">
      <c r="A150" s="17" t="str">
        <f t="shared" ca="1" si="83"/>
        <v>13101_16-3/23&lt;lv43&gt;s4</v>
      </c>
      <c r="B150" s="26">
        <v>13101</v>
      </c>
      <c r="C150" s="30">
        <v>16</v>
      </c>
      <c r="D150" s="16" t="str">
        <f t="shared" si="123"/>
        <v>13101_16</v>
      </c>
      <c r="E150" s="5" t="str">
        <f ca="1">VLOOKUP($B150,OFFSET([2]quests!$A$1,0,0,COUNTA([2]quests!$A:$A),MATCH(E$1,[2]quests!$1:$1,0)-MATCH($B$1,[2]quests!$1:$1,0)+1),MATCH(E$1,[2]quests!$1:$1,0)-MATCH($B$1,[2]quests!$1:$1,0)+1,FALSE)</f>
        <v>チャレンジタワー</v>
      </c>
      <c r="F150" s="5" t="e">
        <f ca="1">VLOOKUP($D150,OFFSET([2]stages!$A$1,0,0,COUNTA([2]stages!$A:$A),MATCH(F$1,[2]stages!$1:$1,0)-MATCH($D$1,[2]stages!$1:$1,0)+1),MATCH(F$1,[2]stages!$1:$1,0)-MATCH($D$1,[2]stages!$1:$1,0)+1,FALSE)</f>
        <v>#N/A</v>
      </c>
      <c r="G150" s="33">
        <v>3</v>
      </c>
      <c r="H150" s="16" t="str">
        <f t="shared" si="85"/>
        <v>13101_16-3</v>
      </c>
      <c r="I150" s="39" t="s">
        <v>245</v>
      </c>
      <c r="J150" s="31">
        <v>23</v>
      </c>
      <c r="K150" s="20" t="str">
        <f ca="1">VLOOKUP($J150,OFFSET([3]enemies!$A$1,0,0,COUNTA([3]enemies!$A:$A),MATCH(K$1,[3]enemies!$1:$1,0)-MATCH($J$1,[3]enemies!$1:$1,0)+1),MATCH(K$1,[3]enemies!$1:$1,0)-MATCH($J$1,[3]enemies!$1:$1,0)+1,FALSE)</f>
        <v>ミール</v>
      </c>
      <c r="L150" s="23" t="str">
        <f ca="1">VLOOKUP($J150,OFFSET([3]enemies!$A$1,0,0,COUNTA([3]enemies!$A:$A),MATCH(L$1,[3]enemies!$1:$1,0)-MATCH($J$1,[3]enemies!$1:$1,0)+1),MATCH(L$1,[3]enemies!$1:$1,0)-MATCH($J$1,[3]enemies!$1:$1,0)+1,FALSE)</f>
        <v>green</v>
      </c>
      <c r="M150" s="23" t="str">
        <f ca="1">VLOOKUP($J150,OFFSET([4]characters!$A$1,0,0,COUNTA([4]characters!$A:$A),MATCH(M$1,[4]characters!$1:$1,0)-MATCH($J$1,[4]characters!$1:$1,0)+1),MATCH(M$1,[4]characters!$1:$1,0)-MATCH($J$1,[4]characters!$1:$1,0)+1,FALSE)</f>
        <v>Drop1N</v>
      </c>
      <c r="N150" s="22" t="str">
        <f ca="1">VLOOKUP($J150,OFFSET([4]characters!$A$1,0,0,COUNTA([4]characters!$A:$A),MATCH(N$1,[4]characters!$1:$1,0)-MATCH($J$1,[4]characters!$1:$1,0)+2),MATCH(N$1,[4]characters!$1:$1,0)-MATCH($J$1,[4]characters!$1:$1,0)+2,FALSE)</f>
        <v>アニマル</v>
      </c>
      <c r="O150" s="5">
        <f ca="1">VLOOKUP($J150,OFFSET([3]enemies!$A$1,0,0,COUNTA([3]enemies!$A:$A),MATCH(O$1,[3]enemies!$1:$1,0)-MATCH($J$1,[3]enemies!$1:$1,0)+1),MATCH(O$1,[3]enemies!$1:$1,0)-MATCH($J$1,[3]enemies!$1:$1,0)+1,FALSE)</f>
        <v>15</v>
      </c>
      <c r="P150" s="46">
        <v>43</v>
      </c>
      <c r="Q150" s="43">
        <v>1</v>
      </c>
      <c r="R150" s="43">
        <v>1</v>
      </c>
      <c r="S150" s="6">
        <v>0</v>
      </c>
      <c r="T150" s="5" t="str">
        <f ca="1">VLOOKUP($U150,OFFSET([5]enemy_skill_sets!$B$1,0,0,COUNTA([5]enemy_skill_sets!$B:$B),MATCH(K$1,[5]enemy_skill_sets!$1:$1,0)-MATCH($U$1,[5]enemy_skill_sets!$1:$1,0)+2),MATCH(K$1,[5]enemy_skill_sets!$1:$1,0)-MATCH($U$1,[5]enemy_skill_sets!$1:$1,0)+2,FALSE)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50" s="5">
        <f ca="1">VLOOKUP($J150,OFFSET([3]enemies!$A$1,0,0,COUNTA([3]enemies!$A:$A),MATCH(U$1,[3]enemies!$1:$1,0)-MATCH($J$1,[3]enemies!$1:$1,0)+1),MATCH(U$1,[3]enemies!$1:$1,0)-MATCH($J$1,[3]enemies!$1:$1,0)+1,FALSE)</f>
        <v>0</v>
      </c>
      <c r="V150" s="7">
        <v>0</v>
      </c>
      <c r="W150" s="7">
        <v>100</v>
      </c>
      <c r="X150" s="7">
        <v>0</v>
      </c>
      <c r="Y150" s="20">
        <f ca="1">VLOOKUP($J150,OFFSET([3]enemies!$A$1,0,0,COUNTA([3]enemies!$A:$A),MATCH(Y$1,[3]enemies!$1:$1,0)-MATCH($J$1,[3]enemies!$1:$1,0)+1),MATCH(Y$1,[3]enemies!$1:$1,0)-MATCH($J$1,[3]enemies!$1:$1,0)+1,FALSE)</f>
        <v>4</v>
      </c>
      <c r="Z150" s="31">
        <v>23</v>
      </c>
      <c r="AA150" s="5" t="str">
        <f ca="1">IFERROR(VLOOKUP($Z150,OFFSET([4]characters!$A$1,0,0,COUNTA([4]characters!$A:$A),MATCH(AA$1,[4]characters!$1:$1,0)-MATCH("character_id",[4]characters!$1:$1,0)+1),MATCH(AA$1,[4]characters!$1:$1,0)-MATCH("character_id",[4]characters!$1:$1,0)+1,FALSE),"")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150" s="5">
        <f ca="1">IFERROR(VLOOKUP($Z150,OFFSET([4]characters!$A$1,0,0,COUNTA([4]characters!$A:$A),MATCH(AB$1,[4]characters!$1:$1,0)-MATCH("character_id",[4]characters!$1:$1,0)+1),MATCH(AB$1,[4]characters!$1:$1,0)-MATCH("character_id",[4]characters!$1:$1,0)+1,FALSE),"")</f>
        <v>1</v>
      </c>
      <c r="AC150" s="5" t="str">
        <f ca="1">IFERROR(VLOOKUP($Z150,OFFSET([4]characters!$A$1,0,0,COUNTA([4]characters!$A:$A),MATCH(AC$1,[4]characters!$1:$1,0)-MATCH("character_id",[4]characters!$1:$1,0)+1),MATCH(AC$1,[4]characters!$1:$1,0)-MATCH("character_id",[4]characters!$1:$1,0)+1,FALSE),"")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50" s="36">
        <v>1</v>
      </c>
      <c r="AE150" s="37">
        <f t="shared" ca="1" si="86"/>
        <v>1</v>
      </c>
      <c r="AF150" s="7">
        <v>25</v>
      </c>
      <c r="AG150" s="36">
        <v>0</v>
      </c>
      <c r="AH150" s="36">
        <v>0</v>
      </c>
      <c r="AI150" s="36">
        <v>0</v>
      </c>
      <c r="AJ150" s="36">
        <v>0</v>
      </c>
      <c r="AK150" s="36">
        <v>1</v>
      </c>
      <c r="AL150" s="36">
        <v>1</v>
      </c>
    </row>
    <row r="151" spans="1:38" ht="21" customHeight="1" x14ac:dyDescent="0.15">
      <c r="A151" s="17" t="str">
        <f t="shared" ca="1" si="83"/>
        <v>13101_16-3/59&lt;lv46&gt;s2</v>
      </c>
      <c r="B151" s="26">
        <v>13101</v>
      </c>
      <c r="C151" s="30">
        <v>16</v>
      </c>
      <c r="D151" s="16" t="str">
        <f t="shared" si="123"/>
        <v>13101_16</v>
      </c>
      <c r="E151" s="5" t="str">
        <f ca="1">VLOOKUP($B151,OFFSET([2]quests!$A$1,0,0,COUNTA([2]quests!$A:$A),MATCH(E$1,[2]quests!$1:$1,0)-MATCH($B$1,[2]quests!$1:$1,0)+1),MATCH(E$1,[2]quests!$1:$1,0)-MATCH($B$1,[2]quests!$1:$1,0)+1,FALSE)</f>
        <v>チャレンジタワー</v>
      </c>
      <c r="F151" s="5" t="e">
        <f ca="1">VLOOKUP($D151,OFFSET([2]stages!$A$1,0,0,COUNTA([2]stages!$A:$A),MATCH(F$1,[2]stages!$1:$1,0)-MATCH($D$1,[2]stages!$1:$1,0)+1),MATCH(F$1,[2]stages!$1:$1,0)-MATCH($D$1,[2]stages!$1:$1,0)+1,FALSE)</f>
        <v>#N/A</v>
      </c>
      <c r="G151" s="33">
        <v>3</v>
      </c>
      <c r="H151" s="16" t="str">
        <f t="shared" si="85"/>
        <v>13101_16-3</v>
      </c>
      <c r="I151" s="39" t="s">
        <v>245</v>
      </c>
      <c r="J151" s="31">
        <v>59</v>
      </c>
      <c r="K151" s="20" t="str">
        <f ca="1">VLOOKUP($J151,OFFSET([3]enemies!$A$1,0,0,COUNTA([3]enemies!$A:$A),MATCH(K$1,[3]enemies!$1:$1,0)-MATCH($J$1,[3]enemies!$1:$1,0)+1),MATCH(K$1,[3]enemies!$1:$1,0)-MATCH($J$1,[3]enemies!$1:$1,0)+1,FALSE)</f>
        <v>マーチ</v>
      </c>
      <c r="L151" s="23" t="str">
        <f ca="1">VLOOKUP($J151,OFFSET([3]enemies!$A$1,0,0,COUNTA([3]enemies!$A:$A),MATCH(L$1,[3]enemies!$1:$1,0)-MATCH($J$1,[3]enemies!$1:$1,0)+1),MATCH(L$1,[3]enemies!$1:$1,0)-MATCH($J$1,[3]enemies!$1:$1,0)+1,FALSE)</f>
        <v>green</v>
      </c>
      <c r="M151" s="23" t="str">
        <f ca="1">VLOOKUP($J151,OFFSET([4]characters!$A$1,0,0,COUNTA([4]characters!$A:$A),MATCH(M$1,[4]characters!$1:$1,0)-MATCH($J$1,[4]characters!$1:$1,0)+1),MATCH(M$1,[4]characters!$1:$1,0)-MATCH($J$1,[4]characters!$1:$1,0)+1,FALSE)</f>
        <v>Drop1N</v>
      </c>
      <c r="N151" s="22" t="str">
        <f ca="1">VLOOKUP($J151,OFFSET([4]characters!$A$1,0,0,COUNTA([4]characters!$A:$A),MATCH(N$1,[4]characters!$1:$1,0)-MATCH($J$1,[4]characters!$1:$1,0)+2),MATCH(N$1,[4]characters!$1:$1,0)-MATCH($J$1,[4]characters!$1:$1,0)+2,FALSE)</f>
        <v>アニマル</v>
      </c>
      <c r="O151" s="5">
        <f ca="1">VLOOKUP($J151,OFFSET([3]enemies!$A$1,0,0,COUNTA([3]enemies!$A:$A),MATCH(O$1,[3]enemies!$1:$1,0)-MATCH($J$1,[3]enemies!$1:$1,0)+1),MATCH(O$1,[3]enemies!$1:$1,0)-MATCH($J$1,[3]enemies!$1:$1,0)+1,FALSE)</f>
        <v>15</v>
      </c>
      <c r="P151" s="46">
        <v>46</v>
      </c>
      <c r="Q151" s="43">
        <v>1</v>
      </c>
      <c r="R151" s="43">
        <v>1</v>
      </c>
      <c r="S151" s="6">
        <v>0</v>
      </c>
      <c r="T151" s="5" t="str">
        <f ca="1">VLOOKUP($U151,OFFSET([5]enemy_skill_sets!$B$1,0,0,COUNTA([5]enemy_skill_sets!$B:$B),MATCH(K$1,[5]enemy_skill_sets!$1:$1,0)-MATCH($U$1,[5]enemy_skill_sets!$1:$1,0)+2),MATCH(K$1,[5]enemy_skill_sets!$1:$1,0)-MATCH($U$1,[5]enemy_skill_sets!$1:$1,0)+2,FALSE)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51" s="5">
        <f ca="1">VLOOKUP($J151,OFFSET([3]enemies!$A$1,0,0,COUNTA([3]enemies!$A:$A),MATCH(U$1,[3]enemies!$1:$1,0)-MATCH($J$1,[3]enemies!$1:$1,0)+1),MATCH(U$1,[3]enemies!$1:$1,0)-MATCH($J$1,[3]enemies!$1:$1,0)+1,FALSE)</f>
        <v>59</v>
      </c>
      <c r="V151" s="7">
        <v>0</v>
      </c>
      <c r="W151" s="7">
        <v>100</v>
      </c>
      <c r="X151" s="7">
        <v>0</v>
      </c>
      <c r="Y151" s="20">
        <f ca="1">VLOOKUP($J151,OFFSET([3]enemies!$A$1,0,0,COUNTA([3]enemies!$A:$A),MATCH(Y$1,[3]enemies!$1:$1,0)-MATCH($J$1,[3]enemies!$1:$1,0)+1),MATCH(Y$1,[3]enemies!$1:$1,0)-MATCH($J$1,[3]enemies!$1:$1,0)+1,FALSE)</f>
        <v>2</v>
      </c>
      <c r="Z151" s="31">
        <v>59</v>
      </c>
      <c r="AA151" s="5" t="str">
        <f ca="1">IFERROR(VLOOKUP($Z151,OFFSET([4]characters!$A$1,0,0,COUNTA([4]characters!$A:$A),MATCH(AA$1,[4]characters!$1:$1,0)-MATCH("character_id",[4]characters!$1:$1,0)+1),MATCH(AA$1,[4]characters!$1:$1,0)-MATCH("character_id",[4]characters!$1:$1,0)+1,FALSE),"")</f>
        <v>マーチ</v>
      </c>
      <c r="AB151" s="5">
        <f ca="1">IFERROR(VLOOKUP($Z151,OFFSET([4]characters!$A$1,0,0,COUNTA([4]characters!$A:$A),MATCH(AB$1,[4]characters!$1:$1,0)-MATCH("character_id",[4]characters!$1:$1,0)+1),MATCH(AB$1,[4]characters!$1:$1,0)-MATCH("character_id",[4]characters!$1:$1,0)+1,FALSE),"")</f>
        <v>2</v>
      </c>
      <c r="AC151" s="5" t="str">
        <f ca="1">IFERROR(VLOOKUP($Z151,OFFSET([4]characters!$A$1,0,0,COUNTA([4]characters!$A:$A),MATCH(AC$1,[4]characters!$1:$1,0)-MATCH("character_id",[4]characters!$1:$1,0)+1),MATCH(AC$1,[4]characters!$1:$1,0)-MATCH("character_id",[4]characters!$1:$1,0)+1,FALSE),"")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51" s="36">
        <v>1</v>
      </c>
      <c r="AE151" s="37">
        <f t="shared" ca="1" si="86"/>
        <v>2</v>
      </c>
      <c r="AF151" s="7">
        <v>25</v>
      </c>
      <c r="AG151" s="36">
        <v>0</v>
      </c>
      <c r="AH151" s="36">
        <v>0</v>
      </c>
      <c r="AI151" s="36">
        <v>0</v>
      </c>
      <c r="AJ151" s="36">
        <v>0</v>
      </c>
      <c r="AK151" s="36">
        <v>1</v>
      </c>
      <c r="AL151" s="36">
        <v>1</v>
      </c>
    </row>
    <row r="152" spans="1:38" ht="21" customHeight="1" x14ac:dyDescent="0.15">
      <c r="A152" s="17" t="str">
        <f t="shared" ca="1" si="83"/>
        <v>13101_16-3/68&lt;lv46&gt;s4</v>
      </c>
      <c r="B152" s="26">
        <v>13101</v>
      </c>
      <c r="C152" s="30">
        <v>16</v>
      </c>
      <c r="D152" s="16" t="str">
        <f t="shared" si="123"/>
        <v>13101_16</v>
      </c>
      <c r="E152" s="5" t="str">
        <f ca="1">VLOOKUP($B152,OFFSET([2]quests!$A$1,0,0,COUNTA([2]quests!$A:$A),MATCH(E$1,[2]quests!$1:$1,0)-MATCH($B$1,[2]quests!$1:$1,0)+1),MATCH(E$1,[2]quests!$1:$1,0)-MATCH($B$1,[2]quests!$1:$1,0)+1,FALSE)</f>
        <v>チャレンジタワー</v>
      </c>
      <c r="F152" s="5" t="e">
        <f ca="1">VLOOKUP($D152,OFFSET([2]stages!$A$1,0,0,COUNTA([2]stages!$A:$A),MATCH(F$1,[2]stages!$1:$1,0)-MATCH($D$1,[2]stages!$1:$1,0)+1),MATCH(F$1,[2]stages!$1:$1,0)-MATCH($D$1,[2]stages!$1:$1,0)+1,FALSE)</f>
        <v>#N/A</v>
      </c>
      <c r="G152" s="33">
        <v>3</v>
      </c>
      <c r="H152" s="16" t="str">
        <f t="shared" si="85"/>
        <v>13101_16-3</v>
      </c>
      <c r="I152" s="39" t="s">
        <v>245</v>
      </c>
      <c r="J152" s="31">
        <v>68</v>
      </c>
      <c r="K152" s="20" t="str">
        <f ca="1">VLOOKUP($J152,OFFSET([3]enemies!$A$1,0,0,COUNTA([3]enemies!$A:$A),MATCH(K$1,[3]enemies!$1:$1,0)-MATCH($J$1,[3]enemies!$1:$1,0)+1),MATCH(K$1,[3]enemies!$1:$1,0)-MATCH($J$1,[3]enemies!$1:$1,0)+1,FALSE)</f>
        <v>ストール</v>
      </c>
      <c r="L152" s="23" t="str">
        <f ca="1">VLOOKUP($J152,OFFSET([3]enemies!$A$1,0,0,COUNTA([3]enemies!$A:$A),MATCH(L$1,[3]enemies!$1:$1,0)-MATCH($J$1,[3]enemies!$1:$1,0)+1),MATCH(L$1,[3]enemies!$1:$1,0)-MATCH($J$1,[3]enemies!$1:$1,0)+1,FALSE)</f>
        <v>green</v>
      </c>
      <c r="M152" s="23" t="str">
        <f ca="1">VLOOKUP($J152,OFFSET([4]characters!$A$1,0,0,COUNTA([4]characters!$A:$A),MATCH(M$1,[4]characters!$1:$1,0)-MATCH($J$1,[4]characters!$1:$1,0)+1),MATCH(M$1,[4]characters!$1:$1,0)-MATCH($J$1,[4]characters!$1:$1,0)+1,FALSE)</f>
        <v>Drop1S</v>
      </c>
      <c r="N152" s="22" t="str">
        <f ca="1">VLOOKUP($J152,OFFSET([4]characters!$A$1,0,0,COUNTA([4]characters!$A:$A),MATCH(N$1,[4]characters!$1:$1,0)-MATCH($J$1,[4]characters!$1:$1,0)+2),MATCH(N$1,[4]characters!$1:$1,0)-MATCH($J$1,[4]characters!$1:$1,0)+2,FALSE)</f>
        <v>アニマル</v>
      </c>
      <c r="O152" s="5">
        <f ca="1">VLOOKUP($J152,OFFSET([3]enemies!$A$1,0,0,COUNTA([3]enemies!$A:$A),MATCH(O$1,[3]enemies!$1:$1,0)-MATCH($J$1,[3]enemies!$1:$1,0)+1),MATCH(O$1,[3]enemies!$1:$1,0)-MATCH($J$1,[3]enemies!$1:$1,0)+1,FALSE)</f>
        <v>15</v>
      </c>
      <c r="P152" s="46">
        <v>46</v>
      </c>
      <c r="Q152" s="43">
        <v>1</v>
      </c>
      <c r="R152" s="43">
        <v>1</v>
      </c>
      <c r="S152" s="6">
        <v>0</v>
      </c>
      <c r="T152" s="5" t="str">
        <f ca="1">VLOOKUP($U152,OFFSET([5]enemy_skill_sets!$B$1,0,0,COUNTA([5]enemy_skill_sets!$B:$B),MATCH(K$1,[5]enemy_skill_sets!$1:$1,0)-MATCH($U$1,[5]enemy_skill_sets!$1:$1,0)+2),MATCH(K$1,[5]enemy_skill_sets!$1:$1,0)-MATCH($U$1,[5]enemy_skill_sets!$1:$1,0)+2,FALSE)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52" s="5">
        <f ca="1">VLOOKUP($J152,OFFSET([3]enemies!$A$1,0,0,COUNTA([3]enemies!$A:$A),MATCH(U$1,[3]enemies!$1:$1,0)-MATCH($J$1,[3]enemies!$1:$1,0)+1),MATCH(U$1,[3]enemies!$1:$1,0)-MATCH($J$1,[3]enemies!$1:$1,0)+1,FALSE)</f>
        <v>0</v>
      </c>
      <c r="V152" s="7">
        <v>0</v>
      </c>
      <c r="W152" s="7">
        <v>100</v>
      </c>
      <c r="X152" s="7">
        <v>0</v>
      </c>
      <c r="Y152" s="20">
        <f ca="1">VLOOKUP($J152,OFFSET([3]enemies!$A$1,0,0,COUNTA([3]enemies!$A:$A),MATCH(Y$1,[3]enemies!$1:$1,0)-MATCH($J$1,[3]enemies!$1:$1,0)+1),MATCH(Y$1,[3]enemies!$1:$1,0)-MATCH($J$1,[3]enemies!$1:$1,0)+1,FALSE)</f>
        <v>4</v>
      </c>
      <c r="Z152" s="31">
        <v>68</v>
      </c>
      <c r="AA152" s="5" t="str">
        <f ca="1">IFERROR(VLOOKUP($Z152,OFFSET([4]characters!$A$1,0,0,COUNTA([4]characters!$A:$A),MATCH(AA$1,[4]characters!$1:$1,0)-MATCH("character_id",[4]characters!$1:$1,0)+1),MATCH(AA$1,[4]characters!$1:$1,0)-MATCH("character_id",[4]characters!$1:$1,0)+1,FALSE),"")</f>
        <v>ストール</v>
      </c>
      <c r="AB152" s="5">
        <f ca="1">IFERROR(VLOOKUP($Z152,OFFSET([4]characters!$A$1,0,0,COUNTA([4]characters!$A:$A),MATCH(AB$1,[4]characters!$1:$1,0)-MATCH("character_id",[4]characters!$1:$1,0)+1),MATCH(AB$1,[4]characters!$1:$1,0)-MATCH("character_id",[4]characters!$1:$1,0)+1,FALSE),"")</f>
        <v>2</v>
      </c>
      <c r="AC152" s="5" t="str">
        <f ca="1">IFERROR(VLOOKUP($Z152,OFFSET([4]characters!$A$1,0,0,COUNTA([4]characters!$A:$A),MATCH(AC$1,[4]characters!$1:$1,0)-MATCH("character_id",[4]characters!$1:$1,0)+1),MATCH(AC$1,[4]characters!$1:$1,0)-MATCH("character_id",[4]characters!$1:$1,0)+1,FALSE),"")</f>
        <v>Drop1S</v>
      </c>
      <c r="AD152" s="36">
        <v>1</v>
      </c>
      <c r="AE152" s="37">
        <f t="shared" ca="1" si="86"/>
        <v>2</v>
      </c>
      <c r="AF152" s="7">
        <v>25</v>
      </c>
      <c r="AG152" s="36">
        <v>0</v>
      </c>
      <c r="AH152" s="36">
        <v>0</v>
      </c>
      <c r="AI152" s="36">
        <v>0</v>
      </c>
      <c r="AJ152" s="36">
        <v>0</v>
      </c>
      <c r="AK152" s="36">
        <v>1</v>
      </c>
      <c r="AL152" s="36">
        <v>1</v>
      </c>
    </row>
    <row r="153" spans="1:38" ht="21" customHeight="1" x14ac:dyDescent="0.15">
      <c r="A153" s="17" t="str">
        <f t="shared" ca="1" si="83"/>
        <v>13101_16-4/11&lt;lv46&gt;s3</v>
      </c>
      <c r="B153" s="26">
        <v>13101</v>
      </c>
      <c r="C153" s="30">
        <v>16</v>
      </c>
      <c r="D153" s="16" t="str">
        <f t="shared" si="123"/>
        <v>13101_16</v>
      </c>
      <c r="E153" s="5" t="str">
        <f ca="1">VLOOKUP($B153,OFFSET([2]quests!$A$1,0,0,COUNTA([2]quests!$A:$A),MATCH(E$1,[2]quests!$1:$1,0)-MATCH($B$1,[2]quests!$1:$1,0)+1),MATCH(E$1,[2]quests!$1:$1,0)-MATCH($B$1,[2]quests!$1:$1,0)+1,FALSE)</f>
        <v>チャレンジタワー</v>
      </c>
      <c r="F153" s="5" t="e">
        <f ca="1">VLOOKUP($D153,OFFSET([2]stages!$A$1,0,0,COUNTA([2]stages!$A:$A),MATCH(F$1,[2]stages!$1:$1,0)-MATCH($D$1,[2]stages!$1:$1,0)+1),MATCH(F$1,[2]stages!$1:$1,0)-MATCH($D$1,[2]stages!$1:$1,0)+1,FALSE)</f>
        <v>#N/A</v>
      </c>
      <c r="G153" s="33">
        <v>4</v>
      </c>
      <c r="H153" s="16" t="str">
        <f t="shared" si="85"/>
        <v>13101_16-4</v>
      </c>
      <c r="I153" s="39" t="s">
        <v>245</v>
      </c>
      <c r="J153" s="31">
        <v>11</v>
      </c>
      <c r="K153" s="20" t="str">
        <f ca="1">VLOOKUP($J153,OFFSET([3]enemies!$A$1,0,0,COUNTA([3]enemies!$A:$A),MATCH(K$1,[3]enemies!$1:$1,0)-MATCH($J$1,[3]enemies!$1:$1,0)+1),MATCH(K$1,[3]enemies!$1:$1,0)-MATCH($J$1,[3]enemies!$1:$1,0)+1,FALSE)</f>
        <v>マグリット</v>
      </c>
      <c r="L153" s="23" t="str">
        <f ca="1">VLOOKUP($J153,OFFSET([3]enemies!$A$1,0,0,COUNTA([3]enemies!$A:$A),MATCH(L$1,[3]enemies!$1:$1,0)-MATCH($J$1,[3]enemies!$1:$1,0)+1),MATCH(L$1,[3]enemies!$1:$1,0)-MATCH($J$1,[3]enemies!$1:$1,0)+1,FALSE)</f>
        <v>green</v>
      </c>
      <c r="M153" s="23" t="str">
        <f ca="1">VLOOKUP($J153,OFFSET([4]characters!$A$1,0,0,COUNTA([4]characters!$A:$A),MATCH(M$1,[4]characters!$1:$1,0)-MATCH($J$1,[4]characters!$1:$1,0)+1),MATCH(M$1,[4]characters!$1:$1,0)-MATCH($J$1,[4]characters!$1:$1,0)+1,FALSE)</f>
        <v>Drop1W</v>
      </c>
      <c r="N153" s="22" t="str">
        <f ca="1">VLOOKUP($J153,OFFSET([4]characters!$A$1,0,0,COUNTA([4]characters!$A:$A),MATCH(N$1,[4]characters!$1:$1,0)-MATCH($J$1,[4]characters!$1:$1,0)+2),MATCH(N$1,[4]characters!$1:$1,0)-MATCH($J$1,[4]characters!$1:$1,0)+2,FALSE)</f>
        <v>アニマル</v>
      </c>
      <c r="O153" s="5">
        <f ca="1">VLOOKUP($J153,OFFSET([3]enemies!$A$1,0,0,COUNTA([3]enemies!$A:$A),MATCH(O$1,[3]enemies!$1:$1,0)-MATCH($J$1,[3]enemies!$1:$1,0)+1),MATCH(O$1,[3]enemies!$1:$1,0)-MATCH($J$1,[3]enemies!$1:$1,0)+1,FALSE)</f>
        <v>15</v>
      </c>
      <c r="P153" s="46">
        <v>46</v>
      </c>
      <c r="Q153" s="43">
        <v>1.5</v>
      </c>
      <c r="R153" s="43">
        <v>1</v>
      </c>
      <c r="S153" s="6">
        <v>0</v>
      </c>
      <c r="T153" s="5" t="str">
        <f ca="1">VLOOKUP($U153,OFFSET([5]enemy_skill_sets!$B$1,0,0,COUNTA([5]enemy_skill_sets!$B:$B),MATCH(K$1,[5]enemy_skill_sets!$1:$1,0)-MATCH($U$1,[5]enemy_skill_sets!$1:$1,0)+2),MATCH(K$1,[5]enemy_skill_sets!$1:$1,0)-MATCH($U$1,[5]enemy_skill_sets!$1:$1,0)+2,FALSE)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53" s="5">
        <f ca="1">VLOOKUP($J153,OFFSET([3]enemies!$A$1,0,0,COUNTA([3]enemies!$A:$A),MATCH(U$1,[3]enemies!$1:$1,0)-MATCH($J$1,[3]enemies!$1:$1,0)+1),MATCH(U$1,[3]enemies!$1:$1,0)-MATCH($J$1,[3]enemies!$1:$1,0)+1,FALSE)</f>
        <v>0</v>
      </c>
      <c r="V153" s="7">
        <v>1</v>
      </c>
      <c r="W153" s="7">
        <v>100</v>
      </c>
      <c r="X153" s="7">
        <v>0</v>
      </c>
      <c r="Y153" s="20">
        <f ca="1">VLOOKUP($J153,OFFSET([3]enemies!$A$1,0,0,COUNTA([3]enemies!$A:$A),MATCH(Y$1,[3]enemies!$1:$1,0)-MATCH($J$1,[3]enemies!$1:$1,0)+1),MATCH(Y$1,[3]enemies!$1:$1,0)-MATCH($J$1,[3]enemies!$1:$1,0)+1,FALSE)</f>
        <v>3</v>
      </c>
      <c r="Z153" s="31">
        <v>11</v>
      </c>
      <c r="AA153" s="5" t="str">
        <f ca="1">IFERROR(VLOOKUP($Z153,OFFSET([4]characters!$A$1,0,0,COUNTA([4]characters!$A:$A),MATCH(AA$1,[4]characters!$1:$1,0)-MATCH("character_id",[4]characters!$1:$1,0)+1),MATCH(AA$1,[4]characters!$1:$1,0)-MATCH("character_id",[4]characters!$1:$1,0)+1,FALSE),"")</f>
        <v>マグリット</v>
      </c>
      <c r="AB153" s="5">
        <f ca="1">IFERROR(VLOOKUP($Z153,OFFSET([4]characters!$A$1,0,0,COUNTA([4]characters!$A:$A),MATCH(AB$1,[4]characters!$1:$1,0)-MATCH("character_id",[4]characters!$1:$1,0)+1),MATCH(AB$1,[4]characters!$1:$1,0)-MATCH("character_id",[4]characters!$1:$1,0)+1,FALSE),"")</f>
        <v>1</v>
      </c>
      <c r="AC153" s="5" t="str">
        <f ca="1">IFERROR(VLOOKUP($Z153,OFFSET([4]characters!$A$1,0,0,COUNTA([4]characters!$A:$A),MATCH(AC$1,[4]characters!$1:$1,0)-MATCH("character_id",[4]characters!$1:$1,0)+1),MATCH(AC$1,[4]characters!$1:$1,0)-MATCH("character_id",[4]characters!$1:$1,0)+1,FALSE),"")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53" s="36">
        <v>1</v>
      </c>
      <c r="AE153" s="37">
        <f t="shared" ca="1" si="86"/>
        <v>1</v>
      </c>
      <c r="AF153" s="7">
        <v>25</v>
      </c>
      <c r="AG153" s="36">
        <v>0</v>
      </c>
      <c r="AH153" s="36">
        <v>0</v>
      </c>
      <c r="AI153" s="36">
        <v>0</v>
      </c>
      <c r="AJ153" s="36">
        <v>0</v>
      </c>
      <c r="AK153" s="36">
        <v>1</v>
      </c>
      <c r="AL153" s="36">
        <v>1</v>
      </c>
    </row>
    <row r="154" spans="1:38" ht="21" customHeight="1" x14ac:dyDescent="0.15">
      <c r="A154" s="17" t="str">
        <f t="shared" ca="1" si="83"/>
        <v>13101_16-4/59&lt;lv46&gt;s2</v>
      </c>
      <c r="B154" s="26">
        <v>13101</v>
      </c>
      <c r="C154" s="30">
        <v>16</v>
      </c>
      <c r="D154" s="16" t="str">
        <f t="shared" si="123"/>
        <v>13101_16</v>
      </c>
      <c r="E154" s="5" t="str">
        <f ca="1">VLOOKUP($B154,OFFSET([2]quests!$A$1,0,0,COUNTA([2]quests!$A:$A),MATCH(E$1,[2]quests!$1:$1,0)-MATCH($B$1,[2]quests!$1:$1,0)+1),MATCH(E$1,[2]quests!$1:$1,0)-MATCH($B$1,[2]quests!$1:$1,0)+1,FALSE)</f>
        <v>チャレンジタワー</v>
      </c>
      <c r="F154" s="5" t="e">
        <f ca="1">VLOOKUP($D154,OFFSET([2]stages!$A$1,0,0,COUNTA([2]stages!$A:$A),MATCH(F$1,[2]stages!$1:$1,0)-MATCH($D$1,[2]stages!$1:$1,0)+1),MATCH(F$1,[2]stages!$1:$1,0)-MATCH($D$1,[2]stages!$1:$1,0)+1,FALSE)</f>
        <v>#N/A</v>
      </c>
      <c r="G154" s="33">
        <v>4</v>
      </c>
      <c r="H154" s="16" t="str">
        <f t="shared" si="85"/>
        <v>13101_16-4</v>
      </c>
      <c r="I154" s="39" t="s">
        <v>245</v>
      </c>
      <c r="J154" s="31">
        <v>59</v>
      </c>
      <c r="K154" s="20" t="str">
        <f ca="1">VLOOKUP($J154,OFFSET([3]enemies!$A$1,0,0,COUNTA([3]enemies!$A:$A),MATCH(K$1,[3]enemies!$1:$1,0)-MATCH($J$1,[3]enemies!$1:$1,0)+1),MATCH(K$1,[3]enemies!$1:$1,0)-MATCH($J$1,[3]enemies!$1:$1,0)+1,FALSE)</f>
        <v>マーチ</v>
      </c>
      <c r="L154" s="23" t="str">
        <f ca="1">VLOOKUP($J154,OFFSET([3]enemies!$A$1,0,0,COUNTA([3]enemies!$A:$A),MATCH(L$1,[3]enemies!$1:$1,0)-MATCH($J$1,[3]enemies!$1:$1,0)+1),MATCH(L$1,[3]enemies!$1:$1,0)-MATCH($J$1,[3]enemies!$1:$1,0)+1,FALSE)</f>
        <v>green</v>
      </c>
      <c r="M154" s="23" t="str">
        <f ca="1">VLOOKUP($J154,OFFSET([4]characters!$A$1,0,0,COUNTA([4]characters!$A:$A),MATCH(M$1,[4]characters!$1:$1,0)-MATCH($J$1,[4]characters!$1:$1,0)+1),MATCH(M$1,[4]characters!$1:$1,0)-MATCH($J$1,[4]characters!$1:$1,0)+1,FALSE)</f>
        <v>Drop1N</v>
      </c>
      <c r="N154" s="22" t="str">
        <f ca="1">VLOOKUP($J154,OFFSET([4]characters!$A$1,0,0,COUNTA([4]characters!$A:$A),MATCH(N$1,[4]characters!$1:$1,0)-MATCH($J$1,[4]characters!$1:$1,0)+2),MATCH(N$1,[4]characters!$1:$1,0)-MATCH($J$1,[4]characters!$1:$1,0)+2,FALSE)</f>
        <v>アニマル</v>
      </c>
      <c r="O154" s="5">
        <f ca="1">VLOOKUP($J154,OFFSET([3]enemies!$A$1,0,0,COUNTA([3]enemies!$A:$A),MATCH(O$1,[3]enemies!$1:$1,0)-MATCH($J$1,[3]enemies!$1:$1,0)+1),MATCH(O$1,[3]enemies!$1:$1,0)-MATCH($J$1,[3]enemies!$1:$1,0)+1,FALSE)</f>
        <v>15</v>
      </c>
      <c r="P154" s="46">
        <v>46</v>
      </c>
      <c r="Q154" s="43">
        <v>1</v>
      </c>
      <c r="R154" s="43">
        <v>1</v>
      </c>
      <c r="S154" s="6">
        <v>0</v>
      </c>
      <c r="T154" s="5" t="str">
        <f ca="1">VLOOKUP($U154,OFFSET([5]enemy_skill_sets!$B$1,0,0,COUNTA([5]enemy_skill_sets!$B:$B),MATCH(K$1,[5]enemy_skill_sets!$1:$1,0)-MATCH($U$1,[5]enemy_skill_sets!$1:$1,0)+2),MATCH(K$1,[5]enemy_skill_sets!$1:$1,0)-MATCH($U$1,[5]enemy_skill_sets!$1:$1,0)+2,FALSE)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54" s="5">
        <f ca="1">VLOOKUP($J154,OFFSET([3]enemies!$A$1,0,0,COUNTA([3]enemies!$A:$A),MATCH(U$1,[3]enemies!$1:$1,0)-MATCH($J$1,[3]enemies!$1:$1,0)+1),MATCH(U$1,[3]enemies!$1:$1,0)-MATCH($J$1,[3]enemies!$1:$1,0)+1,FALSE)</f>
        <v>59</v>
      </c>
      <c r="V154" s="7">
        <v>0</v>
      </c>
      <c r="W154" s="7">
        <v>100</v>
      </c>
      <c r="X154" s="7">
        <v>0</v>
      </c>
      <c r="Y154" s="20">
        <f ca="1">VLOOKUP($J154,OFFSET([3]enemies!$A$1,0,0,COUNTA([3]enemies!$A:$A),MATCH(Y$1,[3]enemies!$1:$1,0)-MATCH($J$1,[3]enemies!$1:$1,0)+1),MATCH(Y$1,[3]enemies!$1:$1,0)-MATCH($J$1,[3]enemies!$1:$1,0)+1,FALSE)</f>
        <v>2</v>
      </c>
      <c r="Z154" s="31">
        <v>59</v>
      </c>
      <c r="AA154" s="5" t="str">
        <f ca="1">IFERROR(VLOOKUP($Z154,OFFSET([4]characters!$A$1,0,0,COUNTA([4]characters!$A:$A),MATCH(AA$1,[4]characters!$1:$1,0)-MATCH("character_id",[4]characters!$1:$1,0)+1),MATCH(AA$1,[4]characters!$1:$1,0)-MATCH("character_id",[4]characters!$1:$1,0)+1,FALSE),"")</f>
        <v>マーチ</v>
      </c>
      <c r="AB154" s="5">
        <f ca="1">IFERROR(VLOOKUP($Z154,OFFSET([4]characters!$A$1,0,0,COUNTA([4]characters!$A:$A),MATCH(AB$1,[4]characters!$1:$1,0)-MATCH("character_id",[4]characters!$1:$1,0)+1),MATCH(AB$1,[4]characters!$1:$1,0)-MATCH("character_id",[4]characters!$1:$1,0)+1,FALSE),"")</f>
        <v>2</v>
      </c>
      <c r="AC154" s="5" t="str">
        <f ca="1">IFERROR(VLOOKUP($Z154,OFFSET([4]characters!$A$1,0,0,COUNTA([4]characters!$A:$A),MATCH(AC$1,[4]characters!$1:$1,0)-MATCH("character_id",[4]characters!$1:$1,0)+1),MATCH(AC$1,[4]characters!$1:$1,0)-MATCH("character_id",[4]characters!$1:$1,0)+1,FALSE),"")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54" s="36">
        <v>1</v>
      </c>
      <c r="AE154" s="37">
        <f t="shared" ca="1" si="86"/>
        <v>2</v>
      </c>
      <c r="AF154" s="7">
        <v>25</v>
      </c>
      <c r="AG154" s="36">
        <v>0</v>
      </c>
      <c r="AH154" s="36">
        <v>0</v>
      </c>
      <c r="AI154" s="36">
        <v>0</v>
      </c>
      <c r="AJ154" s="36">
        <v>0</v>
      </c>
      <c r="AK154" s="36">
        <v>1</v>
      </c>
      <c r="AL154" s="36">
        <v>1</v>
      </c>
    </row>
    <row r="155" spans="1:38" ht="21" customHeight="1" x14ac:dyDescent="0.15">
      <c r="A155" s="17" t="str">
        <f t="shared" ca="1" si="83"/>
        <v>13101_16-5/59&lt;lv47&gt;s2</v>
      </c>
      <c r="B155" s="26">
        <v>13101</v>
      </c>
      <c r="C155" s="30">
        <v>16</v>
      </c>
      <c r="D155" s="16" t="str">
        <f t="shared" si="123"/>
        <v>13101_16</v>
      </c>
      <c r="E155" s="5" t="str">
        <f ca="1">VLOOKUP($B155,OFFSET([2]quests!$A$1,0,0,COUNTA([2]quests!$A:$A),MATCH(E$1,[2]quests!$1:$1,0)-MATCH($B$1,[2]quests!$1:$1,0)+1),MATCH(E$1,[2]quests!$1:$1,0)-MATCH($B$1,[2]quests!$1:$1,0)+1,FALSE)</f>
        <v>チャレンジタワー</v>
      </c>
      <c r="F155" s="5" t="e">
        <f ca="1">VLOOKUP($D155,OFFSET([2]stages!$A$1,0,0,COUNTA([2]stages!$A:$A),MATCH(F$1,[2]stages!$1:$1,0)-MATCH($D$1,[2]stages!$1:$1,0)+1),MATCH(F$1,[2]stages!$1:$1,0)-MATCH($D$1,[2]stages!$1:$1,0)+1,FALSE)</f>
        <v>#N/A</v>
      </c>
      <c r="G155" s="33">
        <v>5</v>
      </c>
      <c r="H155" s="16" t="str">
        <f t="shared" si="85"/>
        <v>13101_16-5</v>
      </c>
      <c r="I155" s="39" t="s">
        <v>245</v>
      </c>
      <c r="J155" s="31">
        <v>59</v>
      </c>
      <c r="K155" s="20" t="str">
        <f ca="1">VLOOKUP($J155,OFFSET([3]enemies!$A$1,0,0,COUNTA([3]enemies!$A:$A),MATCH(K$1,[3]enemies!$1:$1,0)-MATCH($J$1,[3]enemies!$1:$1,0)+1),MATCH(K$1,[3]enemies!$1:$1,0)-MATCH($J$1,[3]enemies!$1:$1,0)+1,FALSE)</f>
        <v>マーチ</v>
      </c>
      <c r="L155" s="23" t="str">
        <f ca="1">VLOOKUP($J155,OFFSET([3]enemies!$A$1,0,0,COUNTA([3]enemies!$A:$A),MATCH(L$1,[3]enemies!$1:$1,0)-MATCH($J$1,[3]enemies!$1:$1,0)+1),MATCH(L$1,[3]enemies!$1:$1,0)-MATCH($J$1,[3]enemies!$1:$1,0)+1,FALSE)</f>
        <v>green</v>
      </c>
      <c r="M155" s="23" t="str">
        <f ca="1">VLOOKUP($J155,OFFSET([4]characters!$A$1,0,0,COUNTA([4]characters!$A:$A),MATCH(M$1,[4]characters!$1:$1,0)-MATCH($J$1,[4]characters!$1:$1,0)+1),MATCH(M$1,[4]characters!$1:$1,0)-MATCH($J$1,[4]characters!$1:$1,0)+1,FALSE)</f>
        <v>Drop1N</v>
      </c>
      <c r="N155" s="22" t="str">
        <f ca="1">VLOOKUP($J155,OFFSET([4]characters!$A$1,0,0,COUNTA([4]characters!$A:$A),MATCH(N$1,[4]characters!$1:$1,0)-MATCH($J$1,[4]characters!$1:$1,0)+2),MATCH(N$1,[4]characters!$1:$1,0)-MATCH($J$1,[4]characters!$1:$1,0)+2,FALSE)</f>
        <v>アニマル</v>
      </c>
      <c r="O155" s="5">
        <f ca="1">VLOOKUP($J155,OFFSET([3]enemies!$A$1,0,0,COUNTA([3]enemies!$A:$A),MATCH(O$1,[3]enemies!$1:$1,0)-MATCH($J$1,[3]enemies!$1:$1,0)+1),MATCH(O$1,[3]enemies!$1:$1,0)-MATCH($J$1,[3]enemies!$1:$1,0)+1,FALSE)</f>
        <v>15</v>
      </c>
      <c r="P155" s="46">
        <v>47</v>
      </c>
      <c r="Q155" s="43">
        <v>1.5</v>
      </c>
      <c r="R155" s="43">
        <v>1</v>
      </c>
      <c r="S155" s="6">
        <v>0</v>
      </c>
      <c r="T155" s="5" t="str">
        <f ca="1">VLOOKUP($U155,OFFSET([5]enemy_skill_sets!$B$1,0,0,COUNTA([5]enemy_skill_sets!$B:$B),MATCH(K$1,[5]enemy_skill_sets!$1:$1,0)-MATCH($U$1,[5]enemy_skill_sets!$1:$1,0)+2),MATCH(K$1,[5]enemy_skill_sets!$1:$1,0)-MATCH($U$1,[5]enemy_skill_sets!$1:$1,0)+2,FALSE)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55" s="5">
        <f ca="1">VLOOKUP($J155,OFFSET([3]enemies!$A$1,0,0,COUNTA([3]enemies!$A:$A),MATCH(U$1,[3]enemies!$1:$1,0)-MATCH($J$1,[3]enemies!$1:$1,0)+1),MATCH(U$1,[3]enemies!$1:$1,0)-MATCH($J$1,[3]enemies!$1:$1,0)+1,FALSE)</f>
        <v>59</v>
      </c>
      <c r="V155" s="7">
        <v>2</v>
      </c>
      <c r="W155" s="7">
        <v>100</v>
      </c>
      <c r="X155" s="7">
        <v>0</v>
      </c>
      <c r="Y155" s="20">
        <f ca="1">VLOOKUP($J155,OFFSET([3]enemies!$A$1,0,0,COUNTA([3]enemies!$A:$A),MATCH(Y$1,[3]enemies!$1:$1,0)-MATCH($J$1,[3]enemies!$1:$1,0)+1),MATCH(Y$1,[3]enemies!$1:$1,0)-MATCH($J$1,[3]enemies!$1:$1,0)+1,FALSE)</f>
        <v>2</v>
      </c>
      <c r="Z155" s="31">
        <v>59</v>
      </c>
      <c r="AA155" s="5" t="str">
        <f ca="1">IFERROR(VLOOKUP($Z155,OFFSET([4]characters!$A$1,0,0,COUNTA([4]characters!$A:$A),MATCH(AA$1,[4]characters!$1:$1,0)-MATCH("character_id",[4]characters!$1:$1,0)+1),MATCH(AA$1,[4]characters!$1:$1,0)-MATCH("character_id",[4]characters!$1:$1,0)+1,FALSE),"")</f>
        <v>マーチ</v>
      </c>
      <c r="AB155" s="5">
        <f ca="1">IFERROR(VLOOKUP($Z155,OFFSET([4]characters!$A$1,0,0,COUNTA([4]characters!$A:$A),MATCH(AB$1,[4]characters!$1:$1,0)-MATCH("character_id",[4]characters!$1:$1,0)+1),MATCH(AB$1,[4]characters!$1:$1,0)-MATCH("character_id",[4]characters!$1:$1,0)+1,FALSE),"")</f>
        <v>2</v>
      </c>
      <c r="AC155" s="5" t="str">
        <f ca="1">IFERROR(VLOOKUP($Z155,OFFSET([4]characters!$A$1,0,0,COUNTA([4]characters!$A:$A),MATCH(AC$1,[4]characters!$1:$1,0)-MATCH("character_id",[4]characters!$1:$1,0)+1),MATCH(AC$1,[4]characters!$1:$1,0)-MATCH("character_id",[4]characters!$1:$1,0)+1,FALSE),"")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55" s="36">
        <v>1</v>
      </c>
      <c r="AE155" s="37">
        <f t="shared" ca="1" si="86"/>
        <v>2</v>
      </c>
      <c r="AF155" s="7">
        <v>0</v>
      </c>
      <c r="AG155" s="36">
        <v>0</v>
      </c>
      <c r="AH155" s="36">
        <v>0</v>
      </c>
      <c r="AI155" s="36">
        <v>0</v>
      </c>
      <c r="AJ155" s="36">
        <v>0</v>
      </c>
      <c r="AK155" s="36">
        <v>1</v>
      </c>
      <c r="AL155" s="36">
        <v>1</v>
      </c>
    </row>
    <row r="156" spans="1:38" ht="21" customHeight="1" x14ac:dyDescent="0.15">
      <c r="A156" s="17" t="str">
        <f t="shared" ca="1" si="83"/>
        <v>13101_16-5/129&lt;lv48&gt;s3</v>
      </c>
      <c r="B156" s="26">
        <v>13101</v>
      </c>
      <c r="C156" s="30">
        <v>16</v>
      </c>
      <c r="D156" s="16" t="str">
        <f t="shared" si="123"/>
        <v>13101_16</v>
      </c>
      <c r="E156" s="5" t="str">
        <f ca="1">VLOOKUP($B156,OFFSET([2]quests!$A$1,0,0,COUNTA([2]quests!$A:$A),MATCH(E$1,[2]quests!$1:$1,0)-MATCH($B$1,[2]quests!$1:$1,0)+1),MATCH(E$1,[2]quests!$1:$1,0)-MATCH($B$1,[2]quests!$1:$1,0)+1,FALSE)</f>
        <v>チャレンジタワー</v>
      </c>
      <c r="F156" s="5" t="e">
        <f ca="1">VLOOKUP($D156,OFFSET([2]stages!$A$1,0,0,COUNTA([2]stages!$A:$A),MATCH(F$1,[2]stages!$1:$1,0)-MATCH($D$1,[2]stages!$1:$1,0)+1),MATCH(F$1,[2]stages!$1:$1,0)-MATCH($D$1,[2]stages!$1:$1,0)+1,FALSE)</f>
        <v>#N/A</v>
      </c>
      <c r="G156" s="33">
        <v>5</v>
      </c>
      <c r="H156" s="16" t="str">
        <f t="shared" si="85"/>
        <v>13101_16-5</v>
      </c>
      <c r="I156" s="39" t="s">
        <v>245</v>
      </c>
      <c r="J156" s="31">
        <v>129</v>
      </c>
      <c r="K156" s="20" t="str">
        <f ca="1">VLOOKUP($J156,OFFSET([3]enemies!$A$1,0,0,COUNTA([3]enemies!$A:$A),MATCH(K$1,[3]enemies!$1:$1,0)-MATCH($J$1,[3]enemies!$1:$1,0)+1),MATCH(K$1,[3]enemies!$1:$1,0)-MATCH($J$1,[3]enemies!$1:$1,0)+1,FALSE)</f>
        <v>孤高の狼憑き アマラ</v>
      </c>
      <c r="L156" s="23" t="str">
        <f ca="1">VLOOKUP($J156,OFFSET([3]enemies!$A$1,0,0,COUNTA([3]enemies!$A:$A),MATCH(L$1,[3]enemies!$1:$1,0)-MATCH($J$1,[3]enemies!$1:$1,0)+1),MATCH(L$1,[3]enemies!$1:$1,0)-MATCH($J$1,[3]enemies!$1:$1,0)+1,FALSE)</f>
        <v>green</v>
      </c>
      <c r="M156" s="23" t="str">
        <f ca="1">VLOOKUP($J156,OFFSET([4]characters!$A$1,0,0,COUNTA([4]characters!$A:$A),MATCH(M$1,[4]characters!$1:$1,0)-MATCH($J$1,[4]characters!$1:$1,0)+1),MATCH(M$1,[4]characters!$1:$1,0)-MATCH($J$1,[4]characters!$1:$1,0)+1,FALSE)</f>
        <v>PremiumW</v>
      </c>
      <c r="N156" s="22" t="str">
        <f ca="1">VLOOKUP($J156,OFFSET([4]characters!$A$1,0,0,COUNTA([4]characters!$A:$A),MATCH(N$1,[4]characters!$1:$1,0)-MATCH($J$1,[4]characters!$1:$1,0)+2),MATCH(N$1,[4]characters!$1:$1,0)-MATCH($J$1,[4]characters!$1:$1,0)+2,FALSE)</f>
        <v>ヒューマン</v>
      </c>
      <c r="O156" s="5">
        <f ca="1">VLOOKUP($J156,OFFSET([3]enemies!$A$1,0,0,COUNTA([3]enemies!$A:$A),MATCH(O$1,[3]enemies!$1:$1,0)-MATCH($J$1,[3]enemies!$1:$1,0)+1),MATCH(O$1,[3]enemies!$1:$1,0)-MATCH($J$1,[3]enemies!$1:$1,0)+1,FALSE)</f>
        <v>30</v>
      </c>
      <c r="P156" s="46">
        <v>48</v>
      </c>
      <c r="Q156" s="43">
        <v>2</v>
      </c>
      <c r="R156" s="43">
        <v>1</v>
      </c>
      <c r="S156" s="6">
        <v>0</v>
      </c>
      <c r="T156" s="5" t="str">
        <f ca="1">VLOOKUP($U156,OFFSET([5]enemy_skill_sets!$B$1,0,0,COUNTA([5]enemy_skill_sets!$B:$B),MATCH(K$1,[5]enemy_skill_sets!$1:$1,0)-MATCH($U$1,[5]enemy_skill_sets!$1:$1,0)+2),MATCH(K$1,[5]enemy_skill_sets!$1:$1,0)-MATCH($U$1,[5]enemy_skill_sets!$1:$1,0)+2,FALSE)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56" s="5">
        <f ca="1">VLOOKUP($J156,OFFSET([3]enemies!$A$1,0,0,COUNTA([3]enemies!$A:$A),MATCH(U$1,[3]enemies!$1:$1,0)-MATCH($J$1,[3]enemies!$1:$1,0)+1),MATCH(U$1,[3]enemies!$1:$1,0)-MATCH($J$1,[3]enemies!$1:$1,0)+1,FALSE)</f>
        <v>0</v>
      </c>
      <c r="V156" s="7">
        <v>1</v>
      </c>
      <c r="W156" s="7">
        <v>100</v>
      </c>
      <c r="X156" s="7">
        <v>1</v>
      </c>
      <c r="Y156" s="20">
        <f ca="1">VLOOKUP($J156,OFFSET([3]enemies!$A$1,0,0,COUNTA([3]enemies!$A:$A),MATCH(Y$1,[3]enemies!$1:$1,0)-MATCH($J$1,[3]enemies!$1:$1,0)+1),MATCH(Y$1,[3]enemies!$1:$1,0)-MATCH($J$1,[3]enemies!$1:$1,0)+1,FALSE)</f>
        <v>3</v>
      </c>
      <c r="Z156" s="31">
        <v>128</v>
      </c>
      <c r="AA156" s="5" t="str">
        <f ca="1">IFERROR(VLOOKUP($Z156,OFFSET([4]characters!$A$1,0,0,COUNTA([4]characters!$A:$A),MATCH(AA$1,[4]characters!$1:$1,0)-MATCH("character_id",[4]characters!$1:$1,0)+1),MATCH(AA$1,[4]characters!$1:$1,0)-MATCH("character_id",[4]characters!$1:$1,0)+1,FALSE),"")</f>
        <v>野生児 アマラ</v>
      </c>
      <c r="AB156" s="5">
        <f ca="1">IFERROR(VLOOKUP($Z156,OFFSET([4]characters!$A$1,0,0,COUNTA([4]characters!$A:$A),MATCH(AB$1,[4]characters!$1:$1,0)-MATCH("character_id",[4]characters!$1:$1,0)+1),MATCH(AB$1,[4]characters!$1:$1,0)-MATCH("character_id",[4]characters!$1:$1,0)+1,FALSE),"")</f>
        <v>3</v>
      </c>
      <c r="AC156" s="5" t="str">
        <f ca="1">IFERROR(VLOOKUP($Z156,OFFSET([4]characters!$A$1,0,0,COUNTA([4]characters!$A:$A),MATCH(AC$1,[4]characters!$1:$1,0)-MATCH("character_id",[4]characters!$1:$1,0)+1),MATCH(AC$1,[4]characters!$1:$1,0)-MATCH("character_id",[4]characters!$1:$1,0)+1,FALSE),"")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156" s="36">
        <v>1</v>
      </c>
      <c r="AE156" s="37">
        <f t="shared" ca="1" si="86"/>
        <v>3</v>
      </c>
      <c r="AF156" s="7">
        <v>0</v>
      </c>
      <c r="AG156" s="36">
        <v>0</v>
      </c>
      <c r="AH156" s="36">
        <v>0</v>
      </c>
      <c r="AI156" s="36">
        <v>0</v>
      </c>
      <c r="AJ156" s="36">
        <v>0</v>
      </c>
      <c r="AK156" s="36">
        <v>1</v>
      </c>
      <c r="AL156" s="36">
        <v>1</v>
      </c>
    </row>
    <row r="157" spans="1:38" ht="21" customHeight="1" x14ac:dyDescent="0.15">
      <c r="A157" s="17" t="str">
        <f t="shared" ca="1" si="83"/>
        <v>13101_17-1/13&lt;lv44&gt;s2</v>
      </c>
      <c r="B157" s="26">
        <v>13101</v>
      </c>
      <c r="C157" s="25">
        <v>17</v>
      </c>
      <c r="D157" s="2" t="str">
        <f t="shared" ref="D157:D197" si="124">B157&amp;"_"&amp;C157</f>
        <v>13101_17</v>
      </c>
      <c r="E157" s="5" t="str">
        <f ca="1">VLOOKUP($B157,OFFSET([2]quests!$A$1,0,0,COUNTA([2]quests!$A:$A),MATCH(E$1,[2]quests!$1:$1,0)-MATCH($B$1,[2]quests!$1:$1,0)+1),MATCH(E$1,[2]quests!$1:$1,0)-MATCH($B$1,[2]quests!$1:$1,0)+1,FALSE)</f>
        <v>チャレンジタワー</v>
      </c>
      <c r="F157" s="5" t="e">
        <f ca="1">VLOOKUP($D157,OFFSET([2]stages!$A$1,0,0,COUNTA([2]stages!$A:$A),MATCH(F$1,[2]stages!$1:$1,0)-MATCH($D$1,[2]stages!$1:$1,0)+1),MATCH(F$1,[2]stages!$1:$1,0)-MATCH($D$1,[2]stages!$1:$1,0)+1,FALSE)</f>
        <v>#N/A</v>
      </c>
      <c r="G157" s="33">
        <v>1</v>
      </c>
      <c r="H157" s="16" t="str">
        <f t="shared" si="85"/>
        <v>13101_17-1</v>
      </c>
      <c r="I157" s="39" t="s">
        <v>245</v>
      </c>
      <c r="J157" s="32">
        <v>13</v>
      </c>
      <c r="K157" s="20" t="str">
        <f ca="1">VLOOKUP($J157,OFFSET([3]enemies!$A$1,0,0,COUNTA([3]enemies!$A:$A),MATCH(K$1,[3]enemies!$1:$1,0)-MATCH($J$1,[3]enemies!$1:$1,0)+1),MATCH(K$1,[3]enemies!$1:$1,0)-MATCH($J$1,[3]enemies!$1:$1,0)+1,FALSE)</f>
        <v>ミミ</v>
      </c>
      <c r="L157" s="23" t="str">
        <f ca="1">VLOOKUP($J157,OFFSET([3]enemies!$A$1,0,0,COUNTA([3]enemies!$A:$A),MATCH(L$1,[3]enemies!$1:$1,0)-MATCH($J$1,[3]enemies!$1:$1,0)+1),MATCH(L$1,[3]enemies!$1:$1,0)-MATCH($J$1,[3]enemies!$1:$1,0)+1,FALSE)</f>
        <v>yellow</v>
      </c>
      <c r="M157" s="23" t="str">
        <f ca="1">VLOOKUP($J157,OFFSET([4]characters!$A$1,0,0,COUNTA([4]characters!$A:$A),MATCH(M$1,[4]characters!$1:$1,0)-MATCH($J$1,[4]characters!$1:$1,0)+1),MATCH(M$1,[4]characters!$1:$1,0)-MATCH($J$1,[4]characters!$1:$1,0)+1,FALSE)</f>
        <v>Drop1W</v>
      </c>
      <c r="N157" s="22" t="str">
        <f ca="1">VLOOKUP($J157,OFFSET([4]characters!$A$1,0,0,COUNTA([4]characters!$A:$A),MATCH(N$1,[4]characters!$1:$1,0)-MATCH($J$1,[4]characters!$1:$1,0)+2),MATCH(N$1,[4]characters!$1:$1,0)-MATCH($J$1,[4]characters!$1:$1,0)+2,FALSE)</f>
        <v>アニマル</v>
      </c>
      <c r="O157" s="5">
        <f ca="1">VLOOKUP($J157,OFFSET([3]enemies!$A$1,0,0,COUNTA([3]enemies!$A:$A),MATCH(O$1,[3]enemies!$1:$1,0)-MATCH($J$1,[3]enemies!$1:$1,0)+1),MATCH(O$1,[3]enemies!$1:$1,0)-MATCH($J$1,[3]enemies!$1:$1,0)+1,FALSE)</f>
        <v>15</v>
      </c>
      <c r="P157" s="54">
        <v>44</v>
      </c>
      <c r="Q157" s="43">
        <v>1</v>
      </c>
      <c r="R157" s="43">
        <v>1</v>
      </c>
      <c r="S157" s="6">
        <v>0</v>
      </c>
      <c r="T157" s="5" t="str">
        <f ca="1">VLOOKUP($U157,OFFSET([5]enemy_skill_sets!$B$1,0,0,COUNTA([5]enemy_skill_sets!$B:$B),MATCH(K$1,[5]enemy_skill_sets!$1:$1,0)-MATCH($U$1,[5]enemy_skill_sets!$1:$1,0)+2),MATCH(K$1,[5]enemy_skill_sets!$1:$1,0)-MATCH($U$1,[5]enemy_skill_sets!$1:$1,0)+2,FALSE)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57" s="5">
        <f ca="1">VLOOKUP($J157,OFFSET([3]enemies!$A$1,0,0,COUNTA([3]enemies!$A:$A),MATCH(U$1,[3]enemies!$1:$1,0)-MATCH($J$1,[3]enemies!$1:$1,0)+1),MATCH(U$1,[3]enemies!$1:$1,0)-MATCH($J$1,[3]enemies!$1:$1,0)+1,FALSE)</f>
        <v>0</v>
      </c>
      <c r="V157" s="7">
        <v>0</v>
      </c>
      <c r="W157" s="7">
        <v>100</v>
      </c>
      <c r="X157" s="7">
        <v>0</v>
      </c>
      <c r="Y157" s="20">
        <f ca="1">VLOOKUP($J157,OFFSET([3]enemies!$A$1,0,0,COUNTA([3]enemies!$A:$A),MATCH(Y$1,[3]enemies!$1:$1,0)-MATCH($J$1,[3]enemies!$1:$1,0)+1),MATCH(Y$1,[3]enemies!$1:$1,0)-MATCH($J$1,[3]enemies!$1:$1,0)+1,FALSE)</f>
        <v>2</v>
      </c>
      <c r="Z157" s="32">
        <v>13</v>
      </c>
      <c r="AA157" s="5" t="str">
        <f ca="1">IFERROR(VLOOKUP($Z157,OFFSET([4]characters!$A$1,0,0,COUNTA([4]characters!$A:$A),MATCH(AA$1,[4]characters!$1:$1,0)-MATCH("character_id",[4]characters!$1:$1,0)+1),MATCH(AA$1,[4]characters!$1:$1,0)-MATCH("character_id",[4]characters!$1:$1,0)+1,FALSE),"")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157" s="5">
        <f ca="1">IFERROR(VLOOKUP($Z157,OFFSET([4]characters!$A$1,0,0,COUNTA([4]characters!$A:$A),MATCH(AB$1,[4]characters!$1:$1,0)-MATCH("character_id",[4]characters!$1:$1,0)+1),MATCH(AB$1,[4]characters!$1:$1,0)-MATCH("character_id",[4]characters!$1:$1,0)+1,FALSE),"")</f>
        <v>1</v>
      </c>
      <c r="AC157" s="5" t="str">
        <f ca="1">IFERROR(VLOOKUP($Z157,OFFSET([4]characters!$A$1,0,0,COUNTA([4]characters!$A:$A),MATCH(AC$1,[4]characters!$1:$1,0)-MATCH("character_id",[4]characters!$1:$1,0)+1),MATCH(AC$1,[4]characters!$1:$1,0)-MATCH("character_id",[4]characters!$1:$1,0)+1,FALSE),"")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57" s="8">
        <v>1</v>
      </c>
      <c r="AE157" s="28">
        <f t="shared" ca="1" si="86"/>
        <v>1</v>
      </c>
      <c r="AF157" s="7">
        <v>25</v>
      </c>
      <c r="AG157" s="8">
        <v>0</v>
      </c>
      <c r="AH157" s="8">
        <v>0</v>
      </c>
      <c r="AI157" s="8">
        <v>0</v>
      </c>
      <c r="AJ157" s="8">
        <v>0</v>
      </c>
      <c r="AK157" s="8">
        <v>1</v>
      </c>
      <c r="AL157" s="8">
        <v>1</v>
      </c>
    </row>
    <row r="158" spans="1:38" ht="21" customHeight="1" x14ac:dyDescent="0.15">
      <c r="A158" s="17" t="str">
        <f t="shared" ref="A158:A159" ca="1" si="125">B158&amp;"_"&amp;C158&amp;"-"&amp;G158&amp;"/"&amp;J158&amp;"&lt;lv"&amp;P158&amp;"&gt;s"&amp;Y158</f>
        <v>13101_17-1/19&lt;lv47&gt;s3</v>
      </c>
      <c r="B158" s="26">
        <v>13101</v>
      </c>
      <c r="C158" s="25">
        <v>17</v>
      </c>
      <c r="D158" s="2" t="str">
        <f t="shared" ref="D158:D159" si="126">B158&amp;"_"&amp;C158</f>
        <v>13101_17</v>
      </c>
      <c r="E158" s="5" t="str">
        <f ca="1">VLOOKUP($B158,OFFSET([2]quests!$A$1,0,0,COUNTA([2]quests!$A:$A),MATCH(E$1,[2]quests!$1:$1,0)-MATCH($B$1,[2]quests!$1:$1,0)+1),MATCH(E$1,[2]quests!$1:$1,0)-MATCH($B$1,[2]quests!$1:$1,0)+1,FALSE)</f>
        <v>チャレンジタワー</v>
      </c>
      <c r="F158" s="5" t="e">
        <f ca="1">VLOOKUP($D158,OFFSET([2]stages!$A$1,0,0,COUNTA([2]stages!$A:$A),MATCH(F$1,[2]stages!$1:$1,0)-MATCH($D$1,[2]stages!$1:$1,0)+1),MATCH(F$1,[2]stages!$1:$1,0)-MATCH($D$1,[2]stages!$1:$1,0)+1,FALSE)</f>
        <v>#N/A</v>
      </c>
      <c r="G158" s="33">
        <v>1</v>
      </c>
      <c r="H158" s="16" t="str">
        <f t="shared" ref="H158:H159" si="127">B158&amp;"_"&amp;C158&amp;"-"&amp;G158</f>
        <v>13101_17-1</v>
      </c>
      <c r="I158" s="39" t="s">
        <v>245</v>
      </c>
      <c r="J158" s="32">
        <v>19</v>
      </c>
      <c r="K158" s="20" t="str">
        <f ca="1">VLOOKUP($J158,OFFSET([3]enemies!$A$1,0,0,COUNTA([3]enemies!$A:$A),MATCH(K$1,[3]enemies!$1:$1,0)-MATCH($J$1,[3]enemies!$1:$1,0)+1),MATCH(K$1,[3]enemies!$1:$1,0)-MATCH($J$1,[3]enemies!$1:$1,0)+1,FALSE)</f>
        <v>ティンク</v>
      </c>
      <c r="L158" s="23" t="str">
        <f ca="1">VLOOKUP($J158,OFFSET([3]enemies!$A$1,0,0,COUNTA([3]enemies!$A:$A),MATCH(L$1,[3]enemies!$1:$1,0)-MATCH($J$1,[3]enemies!$1:$1,0)+1),MATCH(L$1,[3]enemies!$1:$1,0)-MATCH($J$1,[3]enemies!$1:$1,0)+1,FALSE)</f>
        <v>yellow</v>
      </c>
      <c r="M158" s="23" t="str">
        <f ca="1">VLOOKUP($J158,OFFSET([4]characters!$A$1,0,0,COUNTA([4]characters!$A:$A),MATCH(M$1,[4]characters!$1:$1,0)-MATCH($J$1,[4]characters!$1:$1,0)+1),MATCH(M$1,[4]characters!$1:$1,0)-MATCH($J$1,[4]characters!$1:$1,0)+1,FALSE)</f>
        <v>Drop1W</v>
      </c>
      <c r="N158" s="22" t="str">
        <f ca="1">VLOOKUP($J158,OFFSET([4]characters!$A$1,0,0,COUNTA([4]characters!$A:$A),MATCH(N$1,[4]characters!$1:$1,0)-MATCH($J$1,[4]characters!$1:$1,0)+2),MATCH(N$1,[4]characters!$1:$1,0)-MATCH($J$1,[4]characters!$1:$1,0)+2,FALSE)</f>
        <v>ヒューマン</v>
      </c>
      <c r="O158" s="5">
        <f ca="1">VLOOKUP($J158,OFFSET([3]enemies!$A$1,0,0,COUNTA([3]enemies!$A:$A),MATCH(O$1,[3]enemies!$1:$1,0)-MATCH($J$1,[3]enemies!$1:$1,0)+1),MATCH(O$1,[3]enemies!$1:$1,0)-MATCH($J$1,[3]enemies!$1:$1,0)+1,FALSE)</f>
        <v>15</v>
      </c>
      <c r="P158" s="46">
        <v>47</v>
      </c>
      <c r="Q158" s="43">
        <v>1</v>
      </c>
      <c r="R158" s="43">
        <v>1</v>
      </c>
      <c r="S158" s="6">
        <v>0</v>
      </c>
      <c r="T158" s="5" t="str">
        <f ca="1">VLOOKUP($U158,OFFSET([5]enemy_skill_sets!$B$1,0,0,COUNTA([5]enemy_skill_sets!$B:$B),MATCH(K$1,[5]enemy_skill_sets!$1:$1,0)-MATCH($U$1,[5]enemy_skill_sets!$1:$1,0)+2),MATCH(K$1,[5]enemy_skill_sets!$1:$1,0)-MATCH($U$1,[5]enemy_skill_sets!$1:$1,0)+2,FALSE)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58" s="5">
        <f ca="1">VLOOKUP($J158,OFFSET([3]enemies!$A$1,0,0,COUNTA([3]enemies!$A:$A),MATCH(U$1,[3]enemies!$1:$1,0)-MATCH($J$1,[3]enemies!$1:$1,0)+1),MATCH(U$1,[3]enemies!$1:$1,0)-MATCH($J$1,[3]enemies!$1:$1,0)+1,FALSE)</f>
        <v>0</v>
      </c>
      <c r="V158" s="7">
        <v>0</v>
      </c>
      <c r="W158" s="7">
        <v>100</v>
      </c>
      <c r="X158" s="7">
        <v>0</v>
      </c>
      <c r="Y158" s="20">
        <f ca="1">VLOOKUP($J158,OFFSET([3]enemies!$A$1,0,0,COUNTA([3]enemies!$A:$A),MATCH(Y$1,[3]enemies!$1:$1,0)-MATCH($J$1,[3]enemies!$1:$1,0)+1),MATCH(Y$1,[3]enemies!$1:$1,0)-MATCH($J$1,[3]enemies!$1:$1,0)+1,FALSE)</f>
        <v>3</v>
      </c>
      <c r="Z158" s="32">
        <v>19</v>
      </c>
      <c r="AA158" s="5" t="str">
        <f ca="1">IFERROR(VLOOKUP($Z158,OFFSET([4]characters!$A$1,0,0,COUNTA([4]characters!$A:$A),MATCH(AA$1,[4]characters!$1:$1,0)-MATCH("character_id",[4]characters!$1:$1,0)+1),MATCH(AA$1,[4]characters!$1:$1,0)-MATCH("character_id",[4]characters!$1:$1,0)+1,FALSE),"")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158" s="5">
        <f ca="1">IFERROR(VLOOKUP($Z158,OFFSET([4]characters!$A$1,0,0,COUNTA([4]characters!$A:$A),MATCH(AB$1,[4]characters!$1:$1,0)-MATCH("character_id",[4]characters!$1:$1,0)+1),MATCH(AB$1,[4]characters!$1:$1,0)-MATCH("character_id",[4]characters!$1:$1,0)+1,FALSE),"")</f>
        <v>1</v>
      </c>
      <c r="AC158" s="5" t="str">
        <f ca="1">IFERROR(VLOOKUP($Z158,OFFSET([4]characters!$A$1,0,0,COUNTA([4]characters!$A:$A),MATCH(AC$1,[4]characters!$1:$1,0)-MATCH("character_id",[4]characters!$1:$1,0)+1),MATCH(AC$1,[4]characters!$1:$1,0)-MATCH("character_id",[4]characters!$1:$1,0)+1,FALSE),"")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58" s="8">
        <v>1</v>
      </c>
      <c r="AE158" s="28">
        <f t="shared" ref="AE158:AE159" ca="1" si="128">AB158</f>
        <v>1</v>
      </c>
      <c r="AF158" s="7">
        <v>25</v>
      </c>
      <c r="AG158" s="8">
        <v>0</v>
      </c>
      <c r="AH158" s="8">
        <v>0</v>
      </c>
      <c r="AI158" s="8">
        <v>0</v>
      </c>
      <c r="AJ158" s="8">
        <v>0</v>
      </c>
      <c r="AK158" s="8">
        <v>1</v>
      </c>
      <c r="AL158" s="8">
        <v>1</v>
      </c>
    </row>
    <row r="159" spans="1:38" ht="21" customHeight="1" x14ac:dyDescent="0.15">
      <c r="A159" s="17" t="str">
        <f t="shared" ca="1" si="125"/>
        <v>13101_17-1/47&lt;lv47&gt;s1</v>
      </c>
      <c r="B159" s="26">
        <v>13101</v>
      </c>
      <c r="C159" s="25">
        <v>17</v>
      </c>
      <c r="D159" s="2" t="str">
        <f t="shared" si="126"/>
        <v>13101_17</v>
      </c>
      <c r="E159" s="5" t="str">
        <f ca="1">VLOOKUP($B159,OFFSET([2]quests!$A$1,0,0,COUNTA([2]quests!$A:$A),MATCH(E$1,[2]quests!$1:$1,0)-MATCH($B$1,[2]quests!$1:$1,0)+1),MATCH(E$1,[2]quests!$1:$1,0)-MATCH($B$1,[2]quests!$1:$1,0)+1,FALSE)</f>
        <v>チャレンジタワー</v>
      </c>
      <c r="F159" s="5" t="e">
        <f ca="1">VLOOKUP($D159,OFFSET([2]stages!$A$1,0,0,COUNTA([2]stages!$A:$A),MATCH(F$1,[2]stages!$1:$1,0)-MATCH($D$1,[2]stages!$1:$1,0)+1),MATCH(F$1,[2]stages!$1:$1,0)-MATCH($D$1,[2]stages!$1:$1,0)+1,FALSE)</f>
        <v>#N/A</v>
      </c>
      <c r="G159" s="33">
        <v>1</v>
      </c>
      <c r="H159" s="16" t="str">
        <f t="shared" si="127"/>
        <v>13101_17-1</v>
      </c>
      <c r="I159" s="39" t="s">
        <v>245</v>
      </c>
      <c r="J159" s="32">
        <v>47</v>
      </c>
      <c r="K159" s="20" t="str">
        <f ca="1">VLOOKUP($J159,OFFSET([3]enemies!$A$1,0,0,COUNTA([3]enemies!$A:$A),MATCH(K$1,[3]enemies!$1:$1,0)-MATCH($J$1,[3]enemies!$1:$1,0)+1),MATCH(K$1,[3]enemies!$1:$1,0)-MATCH($J$1,[3]enemies!$1:$1,0)+1,FALSE)</f>
        <v>ヒロ</v>
      </c>
      <c r="L159" s="23" t="str">
        <f ca="1">VLOOKUP($J159,OFFSET([3]enemies!$A$1,0,0,COUNTA([3]enemies!$A:$A),MATCH(L$1,[3]enemies!$1:$1,0)-MATCH($J$1,[3]enemies!$1:$1,0)+1),MATCH(L$1,[3]enemies!$1:$1,0)-MATCH($J$1,[3]enemies!$1:$1,0)+1,FALSE)</f>
        <v>yellow</v>
      </c>
      <c r="M159" s="23" t="str">
        <f ca="1">VLOOKUP($J159,OFFSET([4]characters!$A$1,0,0,COUNTA([4]characters!$A:$A),MATCH(M$1,[4]characters!$1:$1,0)-MATCH($J$1,[4]characters!$1:$1,0)+1),MATCH(M$1,[4]characters!$1:$1,0)-MATCH($J$1,[4]characters!$1:$1,0)+1,FALSE)</f>
        <v>Drop1N</v>
      </c>
      <c r="N159" s="22" t="str">
        <f ca="1">VLOOKUP($J159,OFFSET([4]characters!$A$1,0,0,COUNTA([4]characters!$A:$A),MATCH(N$1,[4]characters!$1:$1,0)-MATCH($J$1,[4]characters!$1:$1,0)+2),MATCH(N$1,[4]characters!$1:$1,0)-MATCH($J$1,[4]characters!$1:$1,0)+2,FALSE)</f>
        <v>アニマル</v>
      </c>
      <c r="O159" s="5">
        <f ca="1">VLOOKUP($J159,OFFSET([3]enemies!$A$1,0,0,COUNTA([3]enemies!$A:$A),MATCH(O$1,[3]enemies!$1:$1,0)-MATCH($J$1,[3]enemies!$1:$1,0)+1),MATCH(O$1,[3]enemies!$1:$1,0)-MATCH($J$1,[3]enemies!$1:$1,0)+1,FALSE)</f>
        <v>15</v>
      </c>
      <c r="P159" s="46">
        <v>47</v>
      </c>
      <c r="Q159" s="43">
        <v>1</v>
      </c>
      <c r="R159" s="43">
        <v>1</v>
      </c>
      <c r="S159" s="6">
        <v>0</v>
      </c>
      <c r="T159" s="5" t="str">
        <f ca="1">VLOOKUP($U159,OFFSET([5]enemy_skill_sets!$B$1,0,0,COUNTA([5]enemy_skill_sets!$B:$B),MATCH(K$1,[5]enemy_skill_sets!$1:$1,0)-MATCH($U$1,[5]enemy_skill_sets!$1:$1,0)+2),MATCH(K$1,[5]enemy_skill_sets!$1:$1,0)-MATCH($U$1,[5]enemy_skill_sets!$1:$1,0)+2,FALSE)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59" s="5">
        <f ca="1">VLOOKUP($J159,OFFSET([3]enemies!$A$1,0,0,COUNTA([3]enemies!$A:$A),MATCH(U$1,[3]enemies!$1:$1,0)-MATCH($J$1,[3]enemies!$1:$1,0)+1),MATCH(U$1,[3]enemies!$1:$1,0)-MATCH($J$1,[3]enemies!$1:$1,0)+1,FALSE)</f>
        <v>0</v>
      </c>
      <c r="V159" s="7">
        <v>0</v>
      </c>
      <c r="W159" s="7">
        <v>100</v>
      </c>
      <c r="X159" s="7">
        <v>0</v>
      </c>
      <c r="Y159" s="20">
        <f ca="1">VLOOKUP($J159,OFFSET([3]enemies!$A$1,0,0,COUNTA([3]enemies!$A:$A),MATCH(Y$1,[3]enemies!$1:$1,0)-MATCH($J$1,[3]enemies!$1:$1,0)+1),MATCH(Y$1,[3]enemies!$1:$1,0)-MATCH($J$1,[3]enemies!$1:$1,0)+1,FALSE)</f>
        <v>1</v>
      </c>
      <c r="Z159" s="32">
        <v>47</v>
      </c>
      <c r="AA159" s="5" t="str">
        <f ca="1">IFERROR(VLOOKUP($Z159,OFFSET([4]characters!$A$1,0,0,COUNTA([4]characters!$A:$A),MATCH(AA$1,[4]characters!$1:$1,0)-MATCH("character_id",[4]characters!$1:$1,0)+1),MATCH(AA$1,[4]characters!$1:$1,0)-MATCH("character_id",[4]characters!$1:$1,0)+1,FALSE),"")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159" s="5">
        <f ca="1">IFERROR(VLOOKUP($Z159,OFFSET([4]characters!$A$1,0,0,COUNTA([4]characters!$A:$A),MATCH(AB$1,[4]characters!$1:$1,0)-MATCH("character_id",[4]characters!$1:$1,0)+1),MATCH(AB$1,[4]characters!$1:$1,0)-MATCH("character_id",[4]characters!$1:$1,0)+1,FALSE),"")</f>
        <v>2</v>
      </c>
      <c r="AC159" s="5" t="str">
        <f ca="1">IFERROR(VLOOKUP($Z159,OFFSET([4]characters!$A$1,0,0,COUNTA([4]characters!$A:$A),MATCH(AC$1,[4]characters!$1:$1,0)-MATCH("character_id",[4]characters!$1:$1,0)+1),MATCH(AC$1,[4]characters!$1:$1,0)-MATCH("character_id",[4]characters!$1:$1,0)+1,FALSE),"")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59" s="8">
        <v>1</v>
      </c>
      <c r="AE159" s="28">
        <f t="shared" ca="1" si="128"/>
        <v>2</v>
      </c>
      <c r="AF159" s="7">
        <v>25</v>
      </c>
      <c r="AG159" s="8">
        <v>0</v>
      </c>
      <c r="AH159" s="8">
        <v>0</v>
      </c>
      <c r="AI159" s="8">
        <v>0</v>
      </c>
      <c r="AJ159" s="8">
        <v>0</v>
      </c>
      <c r="AK159" s="8">
        <v>1</v>
      </c>
      <c r="AL159" s="8">
        <v>1</v>
      </c>
    </row>
    <row r="160" spans="1:38" ht="21" customHeight="1" x14ac:dyDescent="0.15">
      <c r="A160" s="17" t="str">
        <f t="shared" ca="1" si="83"/>
        <v>13101_17-2/13&lt;lv44&gt;s2</v>
      </c>
      <c r="B160" s="26">
        <v>13101</v>
      </c>
      <c r="C160" s="25">
        <v>17</v>
      </c>
      <c r="D160" s="2" t="str">
        <f t="shared" si="124"/>
        <v>13101_17</v>
      </c>
      <c r="E160" s="5" t="str">
        <f ca="1">VLOOKUP($B160,OFFSET([2]quests!$A$1,0,0,COUNTA([2]quests!$A:$A),MATCH(E$1,[2]quests!$1:$1,0)-MATCH($B$1,[2]quests!$1:$1,0)+1),MATCH(E$1,[2]quests!$1:$1,0)-MATCH($B$1,[2]quests!$1:$1,0)+1,FALSE)</f>
        <v>チャレンジタワー</v>
      </c>
      <c r="F160" s="5" t="e">
        <f ca="1">VLOOKUP($D160,OFFSET([2]stages!$A$1,0,0,COUNTA([2]stages!$A:$A),MATCH(F$1,[2]stages!$1:$1,0)-MATCH($D$1,[2]stages!$1:$1,0)+1),MATCH(F$1,[2]stages!$1:$1,0)-MATCH($D$1,[2]stages!$1:$1,0)+1,FALSE)</f>
        <v>#N/A</v>
      </c>
      <c r="G160" s="33">
        <v>2</v>
      </c>
      <c r="H160" s="16" t="str">
        <f t="shared" si="85"/>
        <v>13101_17-2</v>
      </c>
      <c r="I160" s="39" t="s">
        <v>245</v>
      </c>
      <c r="J160" s="31">
        <v>13</v>
      </c>
      <c r="K160" s="20" t="str">
        <f ca="1">VLOOKUP($J160,OFFSET([3]enemies!$A$1,0,0,COUNTA([3]enemies!$A:$A),MATCH(K$1,[3]enemies!$1:$1,0)-MATCH($J$1,[3]enemies!$1:$1,0)+1),MATCH(K$1,[3]enemies!$1:$1,0)-MATCH($J$1,[3]enemies!$1:$1,0)+1,FALSE)</f>
        <v>ミミ</v>
      </c>
      <c r="L160" s="23" t="str">
        <f ca="1">VLOOKUP($J160,OFFSET([3]enemies!$A$1,0,0,COUNTA([3]enemies!$A:$A),MATCH(L$1,[3]enemies!$1:$1,0)-MATCH($J$1,[3]enemies!$1:$1,0)+1),MATCH(L$1,[3]enemies!$1:$1,0)-MATCH($J$1,[3]enemies!$1:$1,0)+1,FALSE)</f>
        <v>yellow</v>
      </c>
      <c r="M160" s="23" t="str">
        <f ca="1">VLOOKUP($J160,OFFSET([4]characters!$A$1,0,0,COUNTA([4]characters!$A:$A),MATCH(M$1,[4]characters!$1:$1,0)-MATCH($J$1,[4]characters!$1:$1,0)+1),MATCH(M$1,[4]characters!$1:$1,0)-MATCH($J$1,[4]characters!$1:$1,0)+1,FALSE)</f>
        <v>Drop1W</v>
      </c>
      <c r="N160" s="22" t="str">
        <f ca="1">VLOOKUP($J160,OFFSET([4]characters!$A$1,0,0,COUNTA([4]characters!$A:$A),MATCH(N$1,[4]characters!$1:$1,0)-MATCH($J$1,[4]characters!$1:$1,0)+2),MATCH(N$1,[4]characters!$1:$1,0)-MATCH($J$1,[4]characters!$1:$1,0)+2,FALSE)</f>
        <v>アニマル</v>
      </c>
      <c r="O160" s="5">
        <f ca="1">VLOOKUP($J160,OFFSET([3]enemies!$A$1,0,0,COUNTA([3]enemies!$A:$A),MATCH(O$1,[3]enemies!$1:$1,0)-MATCH($J$1,[3]enemies!$1:$1,0)+1),MATCH(O$1,[3]enemies!$1:$1,0)-MATCH($J$1,[3]enemies!$1:$1,0)+1,FALSE)</f>
        <v>15</v>
      </c>
      <c r="P160" s="54">
        <v>44</v>
      </c>
      <c r="Q160" s="43">
        <v>1</v>
      </c>
      <c r="R160" s="43">
        <v>1</v>
      </c>
      <c r="S160" s="6">
        <v>0</v>
      </c>
      <c r="T160" s="5" t="str">
        <f ca="1">VLOOKUP($U160,OFFSET([5]enemy_skill_sets!$B$1,0,0,COUNTA([5]enemy_skill_sets!$B:$B),MATCH(K$1,[5]enemy_skill_sets!$1:$1,0)-MATCH($U$1,[5]enemy_skill_sets!$1:$1,0)+2),MATCH(K$1,[5]enemy_skill_sets!$1:$1,0)-MATCH($U$1,[5]enemy_skill_sets!$1:$1,0)+2,FALSE)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60" s="5">
        <f ca="1">VLOOKUP($J160,OFFSET([3]enemies!$A$1,0,0,COUNTA([3]enemies!$A:$A),MATCH(U$1,[3]enemies!$1:$1,0)-MATCH($J$1,[3]enemies!$1:$1,0)+1),MATCH(U$1,[3]enemies!$1:$1,0)-MATCH($J$1,[3]enemies!$1:$1,0)+1,FALSE)</f>
        <v>0</v>
      </c>
      <c r="V160" s="7">
        <v>2</v>
      </c>
      <c r="W160" s="7">
        <v>100</v>
      </c>
      <c r="X160" s="7">
        <v>0</v>
      </c>
      <c r="Y160" s="20">
        <f ca="1">VLOOKUP($J160,OFFSET([3]enemies!$A$1,0,0,COUNTA([3]enemies!$A:$A),MATCH(Y$1,[3]enemies!$1:$1,0)-MATCH($J$1,[3]enemies!$1:$1,0)+1),MATCH(Y$1,[3]enemies!$1:$1,0)-MATCH($J$1,[3]enemies!$1:$1,0)+1,FALSE)</f>
        <v>2</v>
      </c>
      <c r="Z160" s="31">
        <v>13</v>
      </c>
      <c r="AA160" s="5" t="str">
        <f ca="1">IFERROR(VLOOKUP($Z160,OFFSET([4]characters!$A$1,0,0,COUNTA([4]characters!$A:$A),MATCH(AA$1,[4]characters!$1:$1,0)-MATCH("character_id",[4]characters!$1:$1,0)+1),MATCH(AA$1,[4]characters!$1:$1,0)-MATCH("character_id",[4]characters!$1:$1,0)+1,FALSE),"")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160" s="5">
        <f ca="1">IFERROR(VLOOKUP($Z160,OFFSET([4]characters!$A$1,0,0,COUNTA([4]characters!$A:$A),MATCH(AB$1,[4]characters!$1:$1,0)-MATCH("character_id",[4]characters!$1:$1,0)+1),MATCH(AB$1,[4]characters!$1:$1,0)-MATCH("character_id",[4]characters!$1:$1,0)+1,FALSE),"")</f>
        <v>1</v>
      </c>
      <c r="AC160" s="5" t="str">
        <f ca="1">IFERROR(VLOOKUP($Z160,OFFSET([4]characters!$A$1,0,0,COUNTA([4]characters!$A:$A),MATCH(AC$1,[4]characters!$1:$1,0)-MATCH("character_id",[4]characters!$1:$1,0)+1),MATCH(AC$1,[4]characters!$1:$1,0)-MATCH("character_id",[4]characters!$1:$1,0)+1,FALSE),"")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60" s="8">
        <v>1</v>
      </c>
      <c r="AE160" s="28">
        <f t="shared" ca="1" si="86"/>
        <v>1</v>
      </c>
      <c r="AF160" s="7">
        <v>25</v>
      </c>
      <c r="AG160" s="8">
        <v>0</v>
      </c>
      <c r="AH160" s="8">
        <v>0</v>
      </c>
      <c r="AI160" s="8">
        <v>0</v>
      </c>
      <c r="AJ160" s="8">
        <v>0</v>
      </c>
      <c r="AK160" s="8">
        <v>1</v>
      </c>
      <c r="AL160" s="8">
        <v>1</v>
      </c>
    </row>
    <row r="161" spans="1:38" ht="21" customHeight="1" x14ac:dyDescent="0.15">
      <c r="A161" s="17" t="str">
        <f t="shared" ref="A161" ca="1" si="129">B161&amp;"_"&amp;C161&amp;"-"&amp;G161&amp;"/"&amp;J161&amp;"&lt;lv"&amp;P161&amp;"&gt;s"&amp;Y161</f>
        <v>13101_17-2/47&lt;lv47&gt;s1</v>
      </c>
      <c r="B161" s="26">
        <v>13101</v>
      </c>
      <c r="C161" s="25">
        <v>17</v>
      </c>
      <c r="D161" s="2" t="str">
        <f t="shared" ref="D161" si="130">B161&amp;"_"&amp;C161</f>
        <v>13101_17</v>
      </c>
      <c r="E161" s="5" t="str">
        <f ca="1">VLOOKUP($B161,OFFSET([2]quests!$A$1,0,0,COUNTA([2]quests!$A:$A),MATCH(E$1,[2]quests!$1:$1,0)-MATCH($B$1,[2]quests!$1:$1,0)+1),MATCH(E$1,[2]quests!$1:$1,0)-MATCH($B$1,[2]quests!$1:$1,0)+1,FALSE)</f>
        <v>チャレンジタワー</v>
      </c>
      <c r="F161" s="5" t="e">
        <f ca="1">VLOOKUP($D161,OFFSET([2]stages!$A$1,0,0,COUNTA([2]stages!$A:$A),MATCH(F$1,[2]stages!$1:$1,0)-MATCH($D$1,[2]stages!$1:$1,0)+1),MATCH(F$1,[2]stages!$1:$1,0)-MATCH($D$1,[2]stages!$1:$1,0)+1,FALSE)</f>
        <v>#N/A</v>
      </c>
      <c r="G161" s="33">
        <v>2</v>
      </c>
      <c r="H161" s="16" t="str">
        <f t="shared" ref="H161" si="131">B161&amp;"_"&amp;C161&amp;"-"&amp;G161</f>
        <v>13101_17-2</v>
      </c>
      <c r="I161" s="39" t="s">
        <v>245</v>
      </c>
      <c r="J161" s="31">
        <v>47</v>
      </c>
      <c r="K161" s="20" t="str">
        <f ca="1">VLOOKUP($J161,OFFSET([3]enemies!$A$1,0,0,COUNTA([3]enemies!$A:$A),MATCH(K$1,[3]enemies!$1:$1,0)-MATCH($J$1,[3]enemies!$1:$1,0)+1),MATCH(K$1,[3]enemies!$1:$1,0)-MATCH($J$1,[3]enemies!$1:$1,0)+1,FALSE)</f>
        <v>ヒロ</v>
      </c>
      <c r="L161" s="23" t="str">
        <f ca="1">VLOOKUP($J161,OFFSET([3]enemies!$A$1,0,0,COUNTA([3]enemies!$A:$A),MATCH(L$1,[3]enemies!$1:$1,0)-MATCH($J$1,[3]enemies!$1:$1,0)+1),MATCH(L$1,[3]enemies!$1:$1,0)-MATCH($J$1,[3]enemies!$1:$1,0)+1,FALSE)</f>
        <v>yellow</v>
      </c>
      <c r="M161" s="23" t="str">
        <f ca="1">VLOOKUP($J161,OFFSET([4]characters!$A$1,0,0,COUNTA([4]characters!$A:$A),MATCH(M$1,[4]characters!$1:$1,0)-MATCH($J$1,[4]characters!$1:$1,0)+1),MATCH(M$1,[4]characters!$1:$1,0)-MATCH($J$1,[4]characters!$1:$1,0)+1,FALSE)</f>
        <v>Drop1N</v>
      </c>
      <c r="N161" s="22" t="str">
        <f ca="1">VLOOKUP($J161,OFFSET([4]characters!$A$1,0,0,COUNTA([4]characters!$A:$A),MATCH(N$1,[4]characters!$1:$1,0)-MATCH($J$1,[4]characters!$1:$1,0)+2),MATCH(N$1,[4]characters!$1:$1,0)-MATCH($J$1,[4]characters!$1:$1,0)+2,FALSE)</f>
        <v>アニマル</v>
      </c>
      <c r="O161" s="5">
        <f ca="1">VLOOKUP($J161,OFFSET([3]enemies!$A$1,0,0,COUNTA([3]enemies!$A:$A),MATCH(O$1,[3]enemies!$1:$1,0)-MATCH($J$1,[3]enemies!$1:$1,0)+1),MATCH(O$1,[3]enemies!$1:$1,0)-MATCH($J$1,[3]enemies!$1:$1,0)+1,FALSE)</f>
        <v>15</v>
      </c>
      <c r="P161" s="46">
        <v>47</v>
      </c>
      <c r="Q161" s="43">
        <v>1</v>
      </c>
      <c r="R161" s="43">
        <v>1</v>
      </c>
      <c r="S161" s="6">
        <v>0</v>
      </c>
      <c r="T161" s="5" t="str">
        <f ca="1">VLOOKUP($U161,OFFSET([5]enemy_skill_sets!$B$1,0,0,COUNTA([5]enemy_skill_sets!$B:$B),MATCH(K$1,[5]enemy_skill_sets!$1:$1,0)-MATCH($U$1,[5]enemy_skill_sets!$1:$1,0)+2),MATCH(K$1,[5]enemy_skill_sets!$1:$1,0)-MATCH($U$1,[5]enemy_skill_sets!$1:$1,0)+2,FALSE)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61" s="5">
        <f ca="1">VLOOKUP($J161,OFFSET([3]enemies!$A$1,0,0,COUNTA([3]enemies!$A:$A),MATCH(U$1,[3]enemies!$1:$1,0)-MATCH($J$1,[3]enemies!$1:$1,0)+1),MATCH(U$1,[3]enemies!$1:$1,0)-MATCH($J$1,[3]enemies!$1:$1,0)+1,FALSE)</f>
        <v>0</v>
      </c>
      <c r="V161" s="7">
        <v>1</v>
      </c>
      <c r="W161" s="7">
        <v>100</v>
      </c>
      <c r="X161" s="7">
        <v>1</v>
      </c>
      <c r="Y161" s="20">
        <f ca="1">VLOOKUP($J161,OFFSET([3]enemies!$A$1,0,0,COUNTA([3]enemies!$A:$A),MATCH(Y$1,[3]enemies!$1:$1,0)-MATCH($J$1,[3]enemies!$1:$1,0)+1),MATCH(Y$1,[3]enemies!$1:$1,0)-MATCH($J$1,[3]enemies!$1:$1,0)+1,FALSE)</f>
        <v>1</v>
      </c>
      <c r="Z161" s="31">
        <v>47</v>
      </c>
      <c r="AA161" s="5" t="str">
        <f ca="1">IFERROR(VLOOKUP($Z161,OFFSET([4]characters!$A$1,0,0,COUNTA([4]characters!$A:$A),MATCH(AA$1,[4]characters!$1:$1,0)-MATCH("character_id",[4]characters!$1:$1,0)+1),MATCH(AA$1,[4]characters!$1:$1,0)-MATCH("character_id",[4]characters!$1:$1,0)+1,FALSE),"")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161" s="5">
        <f ca="1">IFERROR(VLOOKUP($Z161,OFFSET([4]characters!$A$1,0,0,COUNTA([4]characters!$A:$A),MATCH(AB$1,[4]characters!$1:$1,0)-MATCH("character_id",[4]characters!$1:$1,0)+1),MATCH(AB$1,[4]characters!$1:$1,0)-MATCH("character_id",[4]characters!$1:$1,0)+1,FALSE),"")</f>
        <v>2</v>
      </c>
      <c r="AC161" s="5" t="str">
        <f ca="1">IFERROR(VLOOKUP($Z161,OFFSET([4]characters!$A$1,0,0,COUNTA([4]characters!$A:$A),MATCH(AC$1,[4]characters!$1:$1,0)-MATCH("character_id",[4]characters!$1:$1,0)+1),MATCH(AC$1,[4]characters!$1:$1,0)-MATCH("character_id",[4]characters!$1:$1,0)+1,FALSE),"")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61" s="8">
        <v>1</v>
      </c>
      <c r="AE161" s="28">
        <f t="shared" ref="AE161" ca="1" si="132">AB161</f>
        <v>2</v>
      </c>
      <c r="AF161" s="7">
        <v>25</v>
      </c>
      <c r="AG161" s="8">
        <v>0</v>
      </c>
      <c r="AH161" s="8">
        <v>0</v>
      </c>
      <c r="AI161" s="8">
        <v>0</v>
      </c>
      <c r="AJ161" s="8">
        <v>0</v>
      </c>
      <c r="AK161" s="8">
        <v>1</v>
      </c>
      <c r="AL161" s="8">
        <v>1</v>
      </c>
    </row>
    <row r="162" spans="1:38" ht="21" customHeight="1" x14ac:dyDescent="0.15">
      <c r="A162" s="17" t="str">
        <f t="shared" ref="A162" ca="1" si="133">B162&amp;"_"&amp;C162&amp;"-"&amp;G162&amp;"/"&amp;J162&amp;"&lt;lv"&amp;P162&amp;"&gt;s"&amp;Y162</f>
        <v>13101_17-3/13&lt;lv44&gt;s2</v>
      </c>
      <c r="B162" s="26">
        <v>13101</v>
      </c>
      <c r="C162" s="25">
        <v>17</v>
      </c>
      <c r="D162" s="2" t="str">
        <f t="shared" ref="D162" si="134">B162&amp;"_"&amp;C162</f>
        <v>13101_17</v>
      </c>
      <c r="E162" s="5" t="str">
        <f ca="1">VLOOKUP($B162,OFFSET([2]quests!$A$1,0,0,COUNTA([2]quests!$A:$A),MATCH(E$1,[2]quests!$1:$1,0)-MATCH($B$1,[2]quests!$1:$1,0)+1),MATCH(E$1,[2]quests!$1:$1,0)-MATCH($B$1,[2]quests!$1:$1,0)+1,FALSE)</f>
        <v>チャレンジタワー</v>
      </c>
      <c r="F162" s="5" t="e">
        <f ca="1">VLOOKUP($D162,OFFSET([2]stages!$A$1,0,0,COUNTA([2]stages!$A:$A),MATCH(F$1,[2]stages!$1:$1,0)-MATCH($D$1,[2]stages!$1:$1,0)+1),MATCH(F$1,[2]stages!$1:$1,0)-MATCH($D$1,[2]stages!$1:$1,0)+1,FALSE)</f>
        <v>#N/A</v>
      </c>
      <c r="G162" s="33">
        <v>3</v>
      </c>
      <c r="H162" s="16" t="str">
        <f t="shared" ref="H162" si="135">B162&amp;"_"&amp;C162&amp;"-"&amp;G162</f>
        <v>13101_17-3</v>
      </c>
      <c r="I162" s="39" t="s">
        <v>245</v>
      </c>
      <c r="J162" s="31">
        <v>13</v>
      </c>
      <c r="K162" s="20" t="str">
        <f ca="1">VLOOKUP($J162,OFFSET([3]enemies!$A$1,0,0,COUNTA([3]enemies!$A:$A),MATCH(K$1,[3]enemies!$1:$1,0)-MATCH($J$1,[3]enemies!$1:$1,0)+1),MATCH(K$1,[3]enemies!$1:$1,0)-MATCH($J$1,[3]enemies!$1:$1,0)+1,FALSE)</f>
        <v>ミミ</v>
      </c>
      <c r="L162" s="23" t="str">
        <f ca="1">VLOOKUP($J162,OFFSET([3]enemies!$A$1,0,0,COUNTA([3]enemies!$A:$A),MATCH(L$1,[3]enemies!$1:$1,0)-MATCH($J$1,[3]enemies!$1:$1,0)+1),MATCH(L$1,[3]enemies!$1:$1,0)-MATCH($J$1,[3]enemies!$1:$1,0)+1,FALSE)</f>
        <v>yellow</v>
      </c>
      <c r="M162" s="23" t="str">
        <f ca="1">VLOOKUP($J162,OFFSET([4]characters!$A$1,0,0,COUNTA([4]characters!$A:$A),MATCH(M$1,[4]characters!$1:$1,0)-MATCH($J$1,[4]characters!$1:$1,0)+1),MATCH(M$1,[4]characters!$1:$1,0)-MATCH($J$1,[4]characters!$1:$1,0)+1,FALSE)</f>
        <v>Drop1W</v>
      </c>
      <c r="N162" s="22" t="str">
        <f ca="1">VLOOKUP($J162,OFFSET([4]characters!$A$1,0,0,COUNTA([4]characters!$A:$A),MATCH(N$1,[4]characters!$1:$1,0)-MATCH($J$1,[4]characters!$1:$1,0)+2),MATCH(N$1,[4]characters!$1:$1,0)-MATCH($J$1,[4]characters!$1:$1,0)+2,FALSE)</f>
        <v>アニマル</v>
      </c>
      <c r="O162" s="5">
        <f ca="1">VLOOKUP($J162,OFFSET([3]enemies!$A$1,0,0,COUNTA([3]enemies!$A:$A),MATCH(O$1,[3]enemies!$1:$1,0)-MATCH($J$1,[3]enemies!$1:$1,0)+1),MATCH(O$1,[3]enemies!$1:$1,0)-MATCH($J$1,[3]enemies!$1:$1,0)+1,FALSE)</f>
        <v>15</v>
      </c>
      <c r="P162" s="54">
        <v>44</v>
      </c>
      <c r="Q162" s="43">
        <v>1</v>
      </c>
      <c r="R162" s="43">
        <v>1</v>
      </c>
      <c r="S162" s="6">
        <v>0</v>
      </c>
      <c r="T162" s="5" t="str">
        <f ca="1">VLOOKUP($U162,OFFSET([5]enemy_skill_sets!$B$1,0,0,COUNTA([5]enemy_skill_sets!$B:$B),MATCH(K$1,[5]enemy_skill_sets!$1:$1,0)-MATCH($U$1,[5]enemy_skill_sets!$1:$1,0)+2),MATCH(K$1,[5]enemy_skill_sets!$1:$1,0)-MATCH($U$1,[5]enemy_skill_sets!$1:$1,0)+2,FALSE)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62" s="5">
        <f ca="1">VLOOKUP($J162,OFFSET([3]enemies!$A$1,0,0,COUNTA([3]enemies!$A:$A),MATCH(U$1,[3]enemies!$1:$1,0)-MATCH($J$1,[3]enemies!$1:$1,0)+1),MATCH(U$1,[3]enemies!$1:$1,0)-MATCH($J$1,[3]enemies!$1:$1,0)+1,FALSE)</f>
        <v>0</v>
      </c>
      <c r="V162" s="7">
        <v>0</v>
      </c>
      <c r="W162" s="7">
        <v>100</v>
      </c>
      <c r="X162" s="7">
        <v>0</v>
      </c>
      <c r="Y162" s="20">
        <f ca="1">VLOOKUP($J162,OFFSET([3]enemies!$A$1,0,0,COUNTA([3]enemies!$A:$A),MATCH(Y$1,[3]enemies!$1:$1,0)-MATCH($J$1,[3]enemies!$1:$1,0)+1),MATCH(Y$1,[3]enemies!$1:$1,0)-MATCH($J$1,[3]enemies!$1:$1,0)+1,FALSE)</f>
        <v>2</v>
      </c>
      <c r="Z162" s="31">
        <v>13</v>
      </c>
      <c r="AA162" s="5" t="str">
        <f ca="1">IFERROR(VLOOKUP($Z162,OFFSET([4]characters!$A$1,0,0,COUNTA([4]characters!$A:$A),MATCH(AA$1,[4]characters!$1:$1,0)-MATCH("character_id",[4]characters!$1:$1,0)+1),MATCH(AA$1,[4]characters!$1:$1,0)-MATCH("character_id",[4]characters!$1:$1,0)+1,FALSE),"")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162" s="5">
        <f ca="1">IFERROR(VLOOKUP($Z162,OFFSET([4]characters!$A$1,0,0,COUNTA([4]characters!$A:$A),MATCH(AB$1,[4]characters!$1:$1,0)-MATCH("character_id",[4]characters!$1:$1,0)+1),MATCH(AB$1,[4]characters!$1:$1,0)-MATCH("character_id",[4]characters!$1:$1,0)+1,FALSE),"")</f>
        <v>1</v>
      </c>
      <c r="AC162" s="5" t="str">
        <f ca="1">IFERROR(VLOOKUP($Z162,OFFSET([4]characters!$A$1,0,0,COUNTA([4]characters!$A:$A),MATCH(AC$1,[4]characters!$1:$1,0)-MATCH("character_id",[4]characters!$1:$1,0)+1),MATCH(AC$1,[4]characters!$1:$1,0)-MATCH("character_id",[4]characters!$1:$1,0)+1,FALSE),"")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62" s="8">
        <v>1</v>
      </c>
      <c r="AE162" s="28">
        <f t="shared" ref="AE162" ca="1" si="136">AB162</f>
        <v>1</v>
      </c>
      <c r="AF162" s="7">
        <v>25</v>
      </c>
      <c r="AG162" s="8">
        <v>0</v>
      </c>
      <c r="AH162" s="8">
        <v>0</v>
      </c>
      <c r="AI162" s="8">
        <v>0</v>
      </c>
      <c r="AJ162" s="8">
        <v>0</v>
      </c>
      <c r="AK162" s="8">
        <v>1</v>
      </c>
      <c r="AL162" s="8">
        <v>1</v>
      </c>
    </row>
    <row r="163" spans="1:38" ht="21.75" customHeight="1" x14ac:dyDescent="0.15">
      <c r="A163" s="17" t="str">
        <f t="shared" ref="A163:A164" ca="1" si="137">B163&amp;"_"&amp;C163&amp;"-"&amp;G163&amp;"/"&amp;J163&amp;"&lt;lv"&amp;P163&amp;"&gt;s"&amp;Y163</f>
        <v>13101_17-4/47&lt;lv47&gt;s1</v>
      </c>
      <c r="B163" s="26">
        <v>13101</v>
      </c>
      <c r="C163" s="25">
        <v>17</v>
      </c>
      <c r="D163" s="2" t="str">
        <f t="shared" ref="D163:D164" si="138">B163&amp;"_"&amp;C163</f>
        <v>13101_17</v>
      </c>
      <c r="E163" s="5" t="str">
        <f ca="1">VLOOKUP($B163,OFFSET([2]quests!$A$1,0,0,COUNTA([2]quests!$A:$A),MATCH(E$1,[2]quests!$1:$1,0)-MATCH($B$1,[2]quests!$1:$1,0)+1),MATCH(E$1,[2]quests!$1:$1,0)-MATCH($B$1,[2]quests!$1:$1,0)+1,FALSE)</f>
        <v>チャレンジタワー</v>
      </c>
      <c r="F163" s="5" t="e">
        <f ca="1">VLOOKUP($D163,OFFSET([2]stages!$A$1,0,0,COUNTA([2]stages!$A:$A),MATCH(F$1,[2]stages!$1:$1,0)-MATCH($D$1,[2]stages!$1:$1,0)+1),MATCH(F$1,[2]stages!$1:$1,0)-MATCH($D$1,[2]stages!$1:$1,0)+1,FALSE)</f>
        <v>#N/A</v>
      </c>
      <c r="G163" s="33">
        <v>4</v>
      </c>
      <c r="H163" s="16" t="str">
        <f t="shared" ref="H163:H164" si="139">B163&amp;"_"&amp;C163&amp;"-"&amp;G163</f>
        <v>13101_17-4</v>
      </c>
      <c r="I163" s="39" t="s">
        <v>245</v>
      </c>
      <c r="J163" s="31">
        <v>47</v>
      </c>
      <c r="K163" s="20" t="str">
        <f ca="1">VLOOKUP($J163,OFFSET([3]enemies!$A$1,0,0,COUNTA([3]enemies!$A:$A),MATCH(K$1,[3]enemies!$1:$1,0)-MATCH($J$1,[3]enemies!$1:$1,0)+1),MATCH(K$1,[3]enemies!$1:$1,0)-MATCH($J$1,[3]enemies!$1:$1,0)+1,FALSE)</f>
        <v>ヒロ</v>
      </c>
      <c r="L163" s="23" t="str">
        <f ca="1">VLOOKUP($J163,OFFSET([3]enemies!$A$1,0,0,COUNTA([3]enemies!$A:$A),MATCH(L$1,[3]enemies!$1:$1,0)-MATCH($J$1,[3]enemies!$1:$1,0)+1),MATCH(L$1,[3]enemies!$1:$1,0)-MATCH($J$1,[3]enemies!$1:$1,0)+1,FALSE)</f>
        <v>yellow</v>
      </c>
      <c r="M163" s="23" t="str">
        <f ca="1">VLOOKUP($J163,OFFSET([4]characters!$A$1,0,0,COUNTA([4]characters!$A:$A),MATCH(M$1,[4]characters!$1:$1,0)-MATCH($J$1,[4]characters!$1:$1,0)+1),MATCH(M$1,[4]characters!$1:$1,0)-MATCH($J$1,[4]characters!$1:$1,0)+1,FALSE)</f>
        <v>Drop1N</v>
      </c>
      <c r="N163" s="22" t="str">
        <f ca="1">VLOOKUP($J163,OFFSET([4]characters!$A$1,0,0,COUNTA([4]characters!$A:$A),MATCH(N$1,[4]characters!$1:$1,0)-MATCH($J$1,[4]characters!$1:$1,0)+2),MATCH(N$1,[4]characters!$1:$1,0)-MATCH($J$1,[4]characters!$1:$1,0)+2,FALSE)</f>
        <v>アニマル</v>
      </c>
      <c r="O163" s="5">
        <f ca="1">VLOOKUP($J163,OFFSET([3]enemies!$A$1,0,0,COUNTA([3]enemies!$A:$A),MATCH(O$1,[3]enemies!$1:$1,0)-MATCH($J$1,[3]enemies!$1:$1,0)+1),MATCH(O$1,[3]enemies!$1:$1,0)-MATCH($J$1,[3]enemies!$1:$1,0)+1,FALSE)</f>
        <v>15</v>
      </c>
      <c r="P163" s="46">
        <v>47</v>
      </c>
      <c r="Q163" s="43">
        <v>1</v>
      </c>
      <c r="R163" s="43">
        <v>1</v>
      </c>
      <c r="S163" s="6">
        <v>0</v>
      </c>
      <c r="T163" s="5" t="str">
        <f ca="1">VLOOKUP($U163,OFFSET([5]enemy_skill_sets!$B$1,0,0,COUNTA([5]enemy_skill_sets!$B:$B),MATCH(K$1,[5]enemy_skill_sets!$1:$1,0)-MATCH($U$1,[5]enemy_skill_sets!$1:$1,0)+2),MATCH(K$1,[5]enemy_skill_sets!$1:$1,0)-MATCH($U$1,[5]enemy_skill_sets!$1:$1,0)+2,FALSE)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63" s="5">
        <f ca="1">VLOOKUP($J163,OFFSET([3]enemies!$A$1,0,0,COUNTA([3]enemies!$A:$A),MATCH(U$1,[3]enemies!$1:$1,0)-MATCH($J$1,[3]enemies!$1:$1,0)+1),MATCH(U$1,[3]enemies!$1:$1,0)-MATCH($J$1,[3]enemies!$1:$1,0)+1,FALSE)</f>
        <v>0</v>
      </c>
      <c r="V163" s="7">
        <v>2</v>
      </c>
      <c r="W163" s="7">
        <v>100</v>
      </c>
      <c r="X163" s="7">
        <v>0</v>
      </c>
      <c r="Y163" s="20">
        <f ca="1">VLOOKUP($J163,OFFSET([3]enemies!$A$1,0,0,COUNTA([3]enemies!$A:$A),MATCH(Y$1,[3]enemies!$1:$1,0)-MATCH($J$1,[3]enemies!$1:$1,0)+1),MATCH(Y$1,[3]enemies!$1:$1,0)-MATCH($J$1,[3]enemies!$1:$1,0)+1,FALSE)</f>
        <v>1</v>
      </c>
      <c r="Z163" s="31">
        <v>47</v>
      </c>
      <c r="AA163" s="5" t="str">
        <f ca="1">IFERROR(VLOOKUP($Z163,OFFSET([4]characters!$A$1,0,0,COUNTA([4]characters!$A:$A),MATCH(AA$1,[4]characters!$1:$1,0)-MATCH("character_id",[4]characters!$1:$1,0)+1),MATCH(AA$1,[4]characters!$1:$1,0)-MATCH("character_id",[4]characters!$1:$1,0)+1,FALSE),"")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163" s="5">
        <f ca="1">IFERROR(VLOOKUP($Z163,OFFSET([4]characters!$A$1,0,0,COUNTA([4]characters!$A:$A),MATCH(AB$1,[4]characters!$1:$1,0)-MATCH("character_id",[4]characters!$1:$1,0)+1),MATCH(AB$1,[4]characters!$1:$1,0)-MATCH("character_id",[4]characters!$1:$1,0)+1,FALSE),"")</f>
        <v>2</v>
      </c>
      <c r="AC163" s="5" t="str">
        <f ca="1">IFERROR(VLOOKUP($Z163,OFFSET([4]characters!$A$1,0,0,COUNTA([4]characters!$A:$A),MATCH(AC$1,[4]characters!$1:$1,0)-MATCH("character_id",[4]characters!$1:$1,0)+1),MATCH(AC$1,[4]characters!$1:$1,0)-MATCH("character_id",[4]characters!$1:$1,0)+1,FALSE),"")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63" s="8">
        <v>1</v>
      </c>
      <c r="AE163" s="28">
        <f t="shared" ref="AE163:AE164" ca="1" si="140">AB163</f>
        <v>2</v>
      </c>
      <c r="AF163" s="7">
        <v>25</v>
      </c>
      <c r="AG163" s="8">
        <v>0</v>
      </c>
      <c r="AH163" s="8">
        <v>0</v>
      </c>
      <c r="AI163" s="8">
        <v>0</v>
      </c>
      <c r="AJ163" s="8">
        <v>0</v>
      </c>
      <c r="AK163" s="8">
        <v>1</v>
      </c>
      <c r="AL163" s="8">
        <v>1</v>
      </c>
    </row>
    <row r="164" spans="1:38" ht="21.75" customHeight="1" x14ac:dyDescent="0.15">
      <c r="A164" s="17" t="str">
        <f t="shared" ca="1" si="137"/>
        <v>13101_17-4/63&lt;lv47&gt;s2</v>
      </c>
      <c r="B164" s="26">
        <v>13101</v>
      </c>
      <c r="C164" s="25">
        <v>17</v>
      </c>
      <c r="D164" s="2" t="str">
        <f t="shared" si="138"/>
        <v>13101_17</v>
      </c>
      <c r="E164" s="5" t="str">
        <f ca="1">VLOOKUP($B164,OFFSET([2]quests!$A$1,0,0,COUNTA([2]quests!$A:$A),MATCH(E$1,[2]quests!$1:$1,0)-MATCH($B$1,[2]quests!$1:$1,0)+1),MATCH(E$1,[2]quests!$1:$1,0)-MATCH($B$1,[2]quests!$1:$1,0)+1,FALSE)</f>
        <v>チャレンジタワー</v>
      </c>
      <c r="F164" s="5" t="e">
        <f ca="1">VLOOKUP($D164,OFFSET([2]stages!$A$1,0,0,COUNTA([2]stages!$A:$A),MATCH(F$1,[2]stages!$1:$1,0)-MATCH($D$1,[2]stages!$1:$1,0)+1),MATCH(F$1,[2]stages!$1:$1,0)-MATCH($D$1,[2]stages!$1:$1,0)+1,FALSE)</f>
        <v>#N/A</v>
      </c>
      <c r="G164" s="33">
        <v>4</v>
      </c>
      <c r="H164" s="16" t="str">
        <f t="shared" si="139"/>
        <v>13101_17-4</v>
      </c>
      <c r="I164" s="39" t="s">
        <v>245</v>
      </c>
      <c r="J164" s="31">
        <v>63</v>
      </c>
      <c r="K164" s="20" t="str">
        <f ca="1">VLOOKUP($J164,OFFSET([3]enemies!$A$1,0,0,COUNTA([3]enemies!$A:$A),MATCH(K$1,[3]enemies!$1:$1,0)-MATCH($J$1,[3]enemies!$1:$1,0)+1),MATCH(K$1,[3]enemies!$1:$1,0)-MATCH($J$1,[3]enemies!$1:$1,0)+1,FALSE)</f>
        <v>トニー</v>
      </c>
      <c r="L164" s="23" t="str">
        <f ca="1">VLOOKUP($J164,OFFSET([3]enemies!$A$1,0,0,COUNTA([3]enemies!$A:$A),MATCH(L$1,[3]enemies!$1:$1,0)-MATCH($J$1,[3]enemies!$1:$1,0)+1),MATCH(L$1,[3]enemies!$1:$1,0)-MATCH($J$1,[3]enemies!$1:$1,0)+1,FALSE)</f>
        <v>yellow</v>
      </c>
      <c r="M164" s="23" t="str">
        <f ca="1">VLOOKUP($J164,OFFSET([4]characters!$A$1,0,0,COUNTA([4]characters!$A:$A),MATCH(M$1,[4]characters!$1:$1,0)-MATCH($J$1,[4]characters!$1:$1,0)+1),MATCH(M$1,[4]characters!$1:$1,0)-MATCH($J$1,[4]characters!$1:$1,0)+1,FALSE)</f>
        <v>Drop1N</v>
      </c>
      <c r="N164" s="22" t="str">
        <f ca="1">VLOOKUP($J164,OFFSET([4]characters!$A$1,0,0,COUNTA([4]characters!$A:$A),MATCH(N$1,[4]characters!$1:$1,0)-MATCH($J$1,[4]characters!$1:$1,0)+2),MATCH(N$1,[4]characters!$1:$1,0)-MATCH($J$1,[4]characters!$1:$1,0)+2,FALSE)</f>
        <v>アニマル</v>
      </c>
      <c r="O164" s="5">
        <f ca="1">VLOOKUP($J164,OFFSET([3]enemies!$A$1,0,0,COUNTA([3]enemies!$A:$A),MATCH(O$1,[3]enemies!$1:$1,0)-MATCH($J$1,[3]enemies!$1:$1,0)+1),MATCH(O$1,[3]enemies!$1:$1,0)-MATCH($J$1,[3]enemies!$1:$1,0)+1,FALSE)</f>
        <v>15</v>
      </c>
      <c r="P164" s="46">
        <v>47</v>
      </c>
      <c r="Q164" s="43">
        <v>1</v>
      </c>
      <c r="R164" s="43">
        <v>1</v>
      </c>
      <c r="S164" s="6">
        <v>0</v>
      </c>
      <c r="T164" s="5" t="str">
        <f ca="1">VLOOKUP($U164,OFFSET([5]enemy_skill_sets!$B$1,0,0,COUNTA([5]enemy_skill_sets!$B:$B),MATCH(K$1,[5]enemy_skill_sets!$1:$1,0)-MATCH($U$1,[5]enemy_skill_sets!$1:$1,0)+2),MATCH(K$1,[5]enemy_skill_sets!$1:$1,0)-MATCH($U$1,[5]enemy_skill_sets!$1:$1,0)+2,FALSE)</f>
        <v>2回連続攻撃</v>
      </c>
      <c r="U164" s="5">
        <f ca="1">VLOOKUP($J164,OFFSET([3]enemies!$A$1,0,0,COUNTA([3]enemies!$A:$A),MATCH(U$1,[3]enemies!$1:$1,0)-MATCH($J$1,[3]enemies!$1:$1,0)+1),MATCH(U$1,[3]enemies!$1:$1,0)-MATCH($J$1,[3]enemies!$1:$1,0)+1,FALSE)</f>
        <v>63</v>
      </c>
      <c r="V164" s="7">
        <v>1</v>
      </c>
      <c r="W164" s="7">
        <v>100</v>
      </c>
      <c r="X164" s="7">
        <v>1</v>
      </c>
      <c r="Y164" s="20">
        <f ca="1">VLOOKUP($J164,OFFSET([3]enemies!$A$1,0,0,COUNTA([3]enemies!$A:$A),MATCH(Y$1,[3]enemies!$1:$1,0)-MATCH($J$1,[3]enemies!$1:$1,0)+1),MATCH(Y$1,[3]enemies!$1:$1,0)-MATCH($J$1,[3]enemies!$1:$1,0)+1,FALSE)</f>
        <v>2</v>
      </c>
      <c r="Z164" s="31">
        <v>63</v>
      </c>
      <c r="AA164" s="5" t="str">
        <f ca="1">IFERROR(VLOOKUP($Z164,OFFSET([4]characters!$A$1,0,0,COUNTA([4]characters!$A:$A),MATCH(AA$1,[4]characters!$1:$1,0)-MATCH("character_id",[4]characters!$1:$1,0)+1),MATCH(AA$1,[4]characters!$1:$1,0)-MATCH("character_id",[4]characters!$1:$1,0)+1,FALSE),"")</f>
        <v>トニー</v>
      </c>
      <c r="AB164" s="5">
        <f ca="1">IFERROR(VLOOKUP($Z164,OFFSET([4]characters!$A$1,0,0,COUNTA([4]characters!$A:$A),MATCH(AB$1,[4]characters!$1:$1,0)-MATCH("character_id",[4]characters!$1:$1,0)+1),MATCH(AB$1,[4]characters!$1:$1,0)-MATCH("character_id",[4]characters!$1:$1,0)+1,FALSE),"")</f>
        <v>2</v>
      </c>
      <c r="AC164" s="5" t="str">
        <f ca="1">IFERROR(VLOOKUP($Z164,OFFSET([4]characters!$A$1,0,0,COUNTA([4]characters!$A:$A),MATCH(AC$1,[4]characters!$1:$1,0)-MATCH("character_id",[4]characters!$1:$1,0)+1),MATCH(AC$1,[4]characters!$1:$1,0)-MATCH("character_id",[4]characters!$1:$1,0)+1,FALSE),"")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64" s="8">
        <v>1</v>
      </c>
      <c r="AE164" s="28">
        <f t="shared" ca="1" si="140"/>
        <v>2</v>
      </c>
      <c r="AF164" s="7">
        <v>25</v>
      </c>
      <c r="AG164" s="8">
        <v>0</v>
      </c>
      <c r="AH164" s="8">
        <v>0</v>
      </c>
      <c r="AI164" s="8">
        <v>0</v>
      </c>
      <c r="AJ164" s="8">
        <v>0</v>
      </c>
      <c r="AK164" s="8">
        <v>1</v>
      </c>
      <c r="AL164" s="8">
        <v>1</v>
      </c>
    </row>
    <row r="165" spans="1:38" ht="21" customHeight="1" x14ac:dyDescent="0.15">
      <c r="A165" s="17" t="str">
        <f t="shared" ca="1" si="83"/>
        <v>13101_17-5/64&lt;lv48&gt;s1</v>
      </c>
      <c r="B165" s="26">
        <v>13101</v>
      </c>
      <c r="C165" s="25">
        <v>17</v>
      </c>
      <c r="D165" s="2" t="str">
        <f t="shared" si="124"/>
        <v>13101_17</v>
      </c>
      <c r="E165" s="5" t="str">
        <f ca="1">VLOOKUP($B165,OFFSET([2]quests!$A$1,0,0,COUNTA([2]quests!$A:$A),MATCH(E$1,[2]quests!$1:$1,0)-MATCH($B$1,[2]quests!$1:$1,0)+1),MATCH(E$1,[2]quests!$1:$1,0)-MATCH($B$1,[2]quests!$1:$1,0)+1,FALSE)</f>
        <v>チャレンジタワー</v>
      </c>
      <c r="F165" s="5" t="e">
        <f ca="1">VLOOKUP($D165,OFFSET([2]stages!$A$1,0,0,COUNTA([2]stages!$A:$A),MATCH(F$1,[2]stages!$1:$1,0)-MATCH($D$1,[2]stages!$1:$1,0)+1),MATCH(F$1,[2]stages!$1:$1,0)-MATCH($D$1,[2]stages!$1:$1,0)+1,FALSE)</f>
        <v>#N/A</v>
      </c>
      <c r="G165" s="33">
        <v>5</v>
      </c>
      <c r="H165" s="16" t="str">
        <f t="shared" si="85"/>
        <v>13101_17-5</v>
      </c>
      <c r="I165" s="39" t="s">
        <v>245</v>
      </c>
      <c r="J165" s="31">
        <v>64</v>
      </c>
      <c r="K165" s="20" t="str">
        <f ca="1">VLOOKUP($J165,OFFSET([3]enemies!$A$1,0,0,COUNTA([3]enemies!$A:$A),MATCH(K$1,[3]enemies!$1:$1,0)-MATCH($J$1,[3]enemies!$1:$1,0)+1),MATCH(K$1,[3]enemies!$1:$1,0)-MATCH($J$1,[3]enemies!$1:$1,0)+1,FALSE)</f>
        <v>フレイムエッジ トニー</v>
      </c>
      <c r="L165" s="23" t="str">
        <f ca="1">VLOOKUP($J165,OFFSET([3]enemies!$A$1,0,0,COUNTA([3]enemies!$A:$A),MATCH(L$1,[3]enemies!$1:$1,0)-MATCH($J$1,[3]enemies!$1:$1,0)+1),MATCH(L$1,[3]enemies!$1:$1,0)-MATCH($J$1,[3]enemies!$1:$1,0)+1,FALSE)</f>
        <v>yellow</v>
      </c>
      <c r="M165" s="23" t="str">
        <f ca="1">VLOOKUP($J165,OFFSET([4]characters!$A$1,0,0,COUNTA([4]characters!$A:$A),MATCH(M$1,[4]characters!$1:$1,0)-MATCH($J$1,[4]characters!$1:$1,0)+1),MATCH(M$1,[4]characters!$1:$1,0)-MATCH($J$1,[4]characters!$1:$1,0)+1,FALSE)</f>
        <v>Drop1N</v>
      </c>
      <c r="N165" s="22" t="str">
        <f ca="1">VLOOKUP($J165,OFFSET([4]characters!$A$1,0,0,COUNTA([4]characters!$A:$A),MATCH(N$1,[4]characters!$1:$1,0)-MATCH($J$1,[4]characters!$1:$1,0)+2),MATCH(N$1,[4]characters!$1:$1,0)-MATCH($J$1,[4]characters!$1:$1,0)+2,FALSE)</f>
        <v>アニマル</v>
      </c>
      <c r="O165" s="5">
        <f ca="1">VLOOKUP($J165,OFFSET([3]enemies!$A$1,0,0,COUNTA([3]enemies!$A:$A),MATCH(O$1,[3]enemies!$1:$1,0)-MATCH($J$1,[3]enemies!$1:$1,0)+1),MATCH(O$1,[3]enemies!$1:$1,0)-MATCH($J$1,[3]enemies!$1:$1,0)+1,FALSE)</f>
        <v>20</v>
      </c>
      <c r="P165" s="47">
        <v>48</v>
      </c>
      <c r="Q165" s="43">
        <v>2</v>
      </c>
      <c r="R165" s="43">
        <v>1</v>
      </c>
      <c r="S165" s="6">
        <v>0</v>
      </c>
      <c r="T165" s="5" t="str">
        <f ca="1">VLOOKUP($U165,OFFSET([5]enemy_skill_sets!$B$1,0,0,COUNTA([5]enemy_skill_sets!$B:$B),MATCH(K$1,[5]enemy_skill_sets!$1:$1,0)-MATCH($U$1,[5]enemy_skill_sets!$1:$1,0)+2),MATCH(K$1,[5]enemy_skill_sets!$1:$1,0)-MATCH($U$1,[5]enemy_skill_sets!$1:$1,0)+2,FALSE)</f>
        <v>2回連続攻撃</v>
      </c>
      <c r="U165" s="5">
        <f ca="1">VLOOKUP($J165,OFFSET([3]enemies!$A$1,0,0,COUNTA([3]enemies!$A:$A),MATCH(U$1,[3]enemies!$1:$1,0)-MATCH($J$1,[3]enemies!$1:$1,0)+1),MATCH(U$1,[3]enemies!$1:$1,0)-MATCH($J$1,[3]enemies!$1:$1,0)+1,FALSE)</f>
        <v>64</v>
      </c>
      <c r="V165" s="7">
        <v>1</v>
      </c>
      <c r="W165" s="7">
        <v>100</v>
      </c>
      <c r="X165" s="7">
        <v>1</v>
      </c>
      <c r="Y165" s="20">
        <f ca="1">VLOOKUP($J165,OFFSET([3]enemies!$A$1,0,0,COUNTA([3]enemies!$A:$A),MATCH(Y$1,[3]enemies!$1:$1,0)-MATCH($J$1,[3]enemies!$1:$1,0)+1),MATCH(Y$1,[3]enemies!$1:$1,0)-MATCH($J$1,[3]enemies!$1:$1,0)+1,FALSE)</f>
        <v>1</v>
      </c>
      <c r="Z165" s="31">
        <v>63</v>
      </c>
      <c r="AA165" s="5" t="str">
        <f ca="1">IFERROR(VLOOKUP($Z165,OFFSET([4]characters!$A$1,0,0,COUNTA([4]characters!$A:$A),MATCH(AA$1,[4]characters!$1:$1,0)-MATCH("character_id",[4]characters!$1:$1,0)+1),MATCH(AA$1,[4]characters!$1:$1,0)-MATCH("character_id",[4]characters!$1:$1,0)+1,FALSE),"")</f>
        <v>トニー</v>
      </c>
      <c r="AB165" s="5">
        <f ca="1">IFERROR(VLOOKUP($Z165,OFFSET([4]characters!$A$1,0,0,COUNTA([4]characters!$A:$A),MATCH(AB$1,[4]characters!$1:$1,0)-MATCH("character_id",[4]characters!$1:$1,0)+1),MATCH(AB$1,[4]characters!$1:$1,0)-MATCH("character_id",[4]characters!$1:$1,0)+1,FALSE),"")</f>
        <v>2</v>
      </c>
      <c r="AC165" s="5" t="str">
        <f ca="1">IFERROR(VLOOKUP($Z165,OFFSET([4]characters!$A$1,0,0,COUNTA([4]characters!$A:$A),MATCH(AC$1,[4]characters!$1:$1,0)-MATCH("character_id",[4]characters!$1:$1,0)+1),MATCH(AC$1,[4]characters!$1:$1,0)-MATCH("character_id",[4]characters!$1:$1,0)+1,FALSE),"")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65" s="8">
        <v>1</v>
      </c>
      <c r="AE165" s="28">
        <f t="shared" ca="1" si="86"/>
        <v>2</v>
      </c>
      <c r="AF165" s="7">
        <v>0</v>
      </c>
      <c r="AG165" s="8">
        <v>0</v>
      </c>
      <c r="AH165" s="8">
        <v>0</v>
      </c>
      <c r="AI165" s="8">
        <v>0</v>
      </c>
      <c r="AJ165" s="8">
        <v>0</v>
      </c>
      <c r="AK165" s="8">
        <v>1</v>
      </c>
      <c r="AL165" s="8">
        <v>1</v>
      </c>
    </row>
    <row r="166" spans="1:38" ht="21" customHeight="1" x14ac:dyDescent="0.15">
      <c r="A166" s="17" t="str">
        <f t="shared" ref="A166" ca="1" si="141">B166&amp;"_"&amp;C166&amp;"-"&amp;G166&amp;"/"&amp;J166&amp;"&lt;lv"&amp;P166&amp;"&gt;s"&amp;Y166</f>
        <v>13101_17-5/48&lt;lv48&gt;s1</v>
      </c>
      <c r="B166" s="26">
        <v>13101</v>
      </c>
      <c r="C166" s="25">
        <v>17</v>
      </c>
      <c r="D166" s="2" t="str">
        <f t="shared" ref="D166" si="142">B166&amp;"_"&amp;C166</f>
        <v>13101_17</v>
      </c>
      <c r="E166" s="5" t="str">
        <f ca="1">VLOOKUP($B166,OFFSET([2]quests!$A$1,0,0,COUNTA([2]quests!$A:$A),MATCH(E$1,[2]quests!$1:$1,0)-MATCH($B$1,[2]quests!$1:$1,0)+1),MATCH(E$1,[2]quests!$1:$1,0)-MATCH($B$1,[2]quests!$1:$1,0)+1,FALSE)</f>
        <v>チャレンジタワー</v>
      </c>
      <c r="F166" s="5" t="e">
        <f ca="1">VLOOKUP($D166,OFFSET([2]stages!$A$1,0,0,COUNTA([2]stages!$A:$A),MATCH(F$1,[2]stages!$1:$1,0)-MATCH($D$1,[2]stages!$1:$1,0)+1),MATCH(F$1,[2]stages!$1:$1,0)-MATCH($D$1,[2]stages!$1:$1,0)+1,FALSE)</f>
        <v>#N/A</v>
      </c>
      <c r="G166" s="33">
        <v>5</v>
      </c>
      <c r="H166" s="16" t="str">
        <f t="shared" ref="H166" si="143">B166&amp;"_"&amp;C166&amp;"-"&amp;G166</f>
        <v>13101_17-5</v>
      </c>
      <c r="I166" s="39" t="s">
        <v>245</v>
      </c>
      <c r="J166" s="31">
        <v>48</v>
      </c>
      <c r="K166" s="20" t="str">
        <f ca="1">VLOOKUP($J166,OFFSET([3]enemies!$A$1,0,0,COUNTA([3]enemies!$A:$A),MATCH(K$1,[3]enemies!$1:$1,0)-MATCH($J$1,[3]enemies!$1:$1,0)+1),MATCH(K$1,[3]enemies!$1:$1,0)-MATCH($J$1,[3]enemies!$1:$1,0)+1,FALSE)</f>
        <v>サンダーステップのヒロ</v>
      </c>
      <c r="L166" s="23" t="str">
        <f ca="1">VLOOKUP($J166,OFFSET([3]enemies!$A$1,0,0,COUNTA([3]enemies!$A:$A),MATCH(L$1,[3]enemies!$1:$1,0)-MATCH($J$1,[3]enemies!$1:$1,0)+1),MATCH(L$1,[3]enemies!$1:$1,0)-MATCH($J$1,[3]enemies!$1:$1,0)+1,FALSE)</f>
        <v>yellow</v>
      </c>
      <c r="M166" s="23" t="str">
        <f ca="1">VLOOKUP($J166,OFFSET([4]characters!$A$1,0,0,COUNTA([4]characters!$A:$A),MATCH(M$1,[4]characters!$1:$1,0)-MATCH($J$1,[4]characters!$1:$1,0)+1),MATCH(M$1,[4]characters!$1:$1,0)-MATCH($J$1,[4]characters!$1:$1,0)+1,FALSE)</f>
        <v>Drop1N</v>
      </c>
      <c r="N166" s="22" t="str">
        <f ca="1">VLOOKUP($J166,OFFSET([4]characters!$A$1,0,0,COUNTA([4]characters!$A:$A),MATCH(N$1,[4]characters!$1:$1,0)-MATCH($J$1,[4]characters!$1:$1,0)+2),MATCH(N$1,[4]characters!$1:$1,0)-MATCH($J$1,[4]characters!$1:$1,0)+2,FALSE)</f>
        <v>アニマル</v>
      </c>
      <c r="O166" s="5">
        <f ca="1">VLOOKUP($J166,OFFSET([3]enemies!$A$1,0,0,COUNTA([3]enemies!$A:$A),MATCH(O$1,[3]enemies!$1:$1,0)-MATCH($J$1,[3]enemies!$1:$1,0)+1),MATCH(O$1,[3]enemies!$1:$1,0)-MATCH($J$1,[3]enemies!$1:$1,0)+1,FALSE)</f>
        <v>20</v>
      </c>
      <c r="P166" s="47">
        <v>48</v>
      </c>
      <c r="Q166" s="43">
        <v>2</v>
      </c>
      <c r="R166" s="43">
        <v>1</v>
      </c>
      <c r="S166" s="6">
        <v>0</v>
      </c>
      <c r="T166" s="5" t="str">
        <f ca="1">VLOOKUP($U166,OFFSET([5]enemy_skill_sets!$B$1,0,0,COUNTA([5]enemy_skill_sets!$B:$B),MATCH(K$1,[5]enemy_skill_sets!$1:$1,0)-MATCH($U$1,[5]enemy_skill_sets!$1:$1,0)+2),MATCH(K$1,[5]enemy_skill_sets!$1:$1,0)-MATCH($U$1,[5]enemy_skill_sets!$1:$1,0)+2,FALSE)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66" s="5">
        <f ca="1">VLOOKUP($J166,OFFSET([3]enemies!$A$1,0,0,COUNTA([3]enemies!$A:$A),MATCH(U$1,[3]enemies!$1:$1,0)-MATCH($J$1,[3]enemies!$1:$1,0)+1),MATCH(U$1,[3]enemies!$1:$1,0)-MATCH($J$1,[3]enemies!$1:$1,0)+1,FALSE)</f>
        <v>0</v>
      </c>
      <c r="V166" s="7">
        <v>2</v>
      </c>
      <c r="W166" s="7">
        <v>100</v>
      </c>
      <c r="X166" s="7">
        <v>0</v>
      </c>
      <c r="Y166" s="20">
        <f ca="1">VLOOKUP($J166,OFFSET([3]enemies!$A$1,0,0,COUNTA([3]enemies!$A:$A),MATCH(Y$1,[3]enemies!$1:$1,0)-MATCH($J$1,[3]enemies!$1:$1,0)+1),MATCH(Y$1,[3]enemies!$1:$1,0)-MATCH($J$1,[3]enemies!$1:$1,0)+1,FALSE)</f>
        <v>1</v>
      </c>
      <c r="Z166" s="31">
        <v>47</v>
      </c>
      <c r="AA166" s="5" t="str">
        <f ca="1">IFERROR(VLOOKUP($Z166,OFFSET([4]characters!$A$1,0,0,COUNTA([4]characters!$A:$A),MATCH(AA$1,[4]characters!$1:$1,0)-MATCH("character_id",[4]characters!$1:$1,0)+1),MATCH(AA$1,[4]characters!$1:$1,0)-MATCH("character_id",[4]characters!$1:$1,0)+1,FALSE),"")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166" s="5">
        <f ca="1">IFERROR(VLOOKUP($Z166,OFFSET([4]characters!$A$1,0,0,COUNTA([4]characters!$A:$A),MATCH(AB$1,[4]characters!$1:$1,0)-MATCH("character_id",[4]characters!$1:$1,0)+1),MATCH(AB$1,[4]characters!$1:$1,0)-MATCH("character_id",[4]characters!$1:$1,0)+1,FALSE),"")</f>
        <v>2</v>
      </c>
      <c r="AC166" s="5" t="str">
        <f ca="1">IFERROR(VLOOKUP($Z166,OFFSET([4]characters!$A$1,0,0,COUNTA([4]characters!$A:$A),MATCH(AC$1,[4]characters!$1:$1,0)-MATCH("character_id",[4]characters!$1:$1,0)+1),MATCH(AC$1,[4]characters!$1:$1,0)-MATCH("character_id",[4]characters!$1:$1,0)+1,FALSE),"")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66" s="8">
        <v>1</v>
      </c>
      <c r="AE166" s="28">
        <f t="shared" ref="AE166" ca="1" si="144">AB166</f>
        <v>2</v>
      </c>
      <c r="AF166" s="7">
        <v>0</v>
      </c>
      <c r="AG166" s="8">
        <v>0</v>
      </c>
      <c r="AH166" s="8">
        <v>0</v>
      </c>
      <c r="AI166" s="8">
        <v>0</v>
      </c>
      <c r="AJ166" s="8">
        <v>0</v>
      </c>
      <c r="AK166" s="8">
        <v>1</v>
      </c>
      <c r="AL166" s="8">
        <v>1</v>
      </c>
    </row>
    <row r="167" spans="1:38" ht="21" customHeight="1" x14ac:dyDescent="0.15">
      <c r="A167" s="17" t="str">
        <f t="shared" ca="1" si="83"/>
        <v>13101_18-1/9&lt;lv51&gt;s2</v>
      </c>
      <c r="B167" s="26">
        <v>13101</v>
      </c>
      <c r="C167" s="25">
        <v>18</v>
      </c>
      <c r="D167" s="2" t="str">
        <f t="shared" si="124"/>
        <v>13101_18</v>
      </c>
      <c r="E167" s="5" t="str">
        <f ca="1">VLOOKUP($B167,OFFSET([2]quests!$A$1,0,0,COUNTA([2]quests!$A:$A),MATCH(E$1,[2]quests!$1:$1,0)-MATCH($B$1,[2]quests!$1:$1,0)+1),MATCH(E$1,[2]quests!$1:$1,0)-MATCH($B$1,[2]quests!$1:$1,0)+1,FALSE)</f>
        <v>チャレンジタワー</v>
      </c>
      <c r="F167" s="5" t="e">
        <f ca="1">VLOOKUP($D167,OFFSET([2]stages!$A$1,0,0,COUNTA([2]stages!$A:$A),MATCH(F$1,[2]stages!$1:$1,0)-MATCH($D$1,[2]stages!$1:$1,0)+1),MATCH(F$1,[2]stages!$1:$1,0)-MATCH($D$1,[2]stages!$1:$1,0)+1,FALSE)</f>
        <v>#N/A</v>
      </c>
      <c r="G167" s="33">
        <v>1</v>
      </c>
      <c r="H167" s="16" t="str">
        <f t="shared" si="85"/>
        <v>13101_18-1</v>
      </c>
      <c r="I167" s="39" t="s">
        <v>245</v>
      </c>
      <c r="J167" s="32">
        <v>9</v>
      </c>
      <c r="K167" s="20" t="str">
        <f ca="1">VLOOKUP($J167,OFFSET([3]enemies!$A$1,0,0,COUNTA([3]enemies!$A:$A),MATCH(K$1,[3]enemies!$1:$1,0)-MATCH($J$1,[3]enemies!$1:$1,0)+1),MATCH(K$1,[3]enemies!$1:$1,0)-MATCH($J$1,[3]enemies!$1:$1,0)+1,FALSE)</f>
        <v>ブレット</v>
      </c>
      <c r="L167" s="23" t="str">
        <f ca="1">VLOOKUP($J167,OFFSET([3]enemies!$A$1,0,0,COUNTA([3]enemies!$A:$A),MATCH(L$1,[3]enemies!$1:$1,0)-MATCH($J$1,[3]enemies!$1:$1,0)+1),MATCH(L$1,[3]enemies!$1:$1,0)-MATCH($J$1,[3]enemies!$1:$1,0)+1,FALSE)</f>
        <v>red</v>
      </c>
      <c r="M167" s="23" t="str">
        <f ca="1">VLOOKUP($J167,OFFSET([4]characters!$A$1,0,0,COUNTA([4]characters!$A:$A),MATCH(M$1,[4]characters!$1:$1,0)-MATCH($J$1,[4]characters!$1:$1,0)+1),MATCH(M$1,[4]characters!$1:$1,0)-MATCH($J$1,[4]characters!$1:$1,0)+1,FALSE)</f>
        <v>Drop1W</v>
      </c>
      <c r="N167" s="22" t="str">
        <f ca="1">VLOOKUP($J167,OFFSET([4]characters!$A$1,0,0,COUNTA([4]characters!$A:$A),MATCH(N$1,[4]characters!$1:$1,0)-MATCH($J$1,[4]characters!$1:$1,0)+2),MATCH(N$1,[4]characters!$1:$1,0)-MATCH($J$1,[4]characters!$1:$1,0)+2,FALSE)</f>
        <v>アニマル</v>
      </c>
      <c r="O167" s="5">
        <f ca="1">VLOOKUP($J167,OFFSET([3]enemies!$A$1,0,0,COUNTA([3]enemies!$A:$A),MATCH(O$1,[3]enemies!$1:$1,0)-MATCH($J$1,[3]enemies!$1:$1,0)+1),MATCH(O$1,[3]enemies!$1:$1,0)-MATCH($J$1,[3]enemies!$1:$1,0)+1,FALSE)</f>
        <v>15</v>
      </c>
      <c r="P167" s="47">
        <v>51</v>
      </c>
      <c r="Q167" s="43">
        <v>1</v>
      </c>
      <c r="R167" s="43">
        <v>1</v>
      </c>
      <c r="S167" s="6">
        <v>0</v>
      </c>
      <c r="T167" s="5" t="e">
        <f ca="1">VLOOKUP($U167,OFFSET([5]enemy_skill_sets!$B$1,0,0,COUNTA([5]enemy_skill_sets!$B:$B),MATCH(K$1,[5]enemy_skill_sets!$1:$1,0)-MATCH($U$1,[5]enemy_skill_sets!$1:$1,0)+2),MATCH(K$1,[5]enemy_skill_sets!$1:$1,0)-MATCH($U$1,[5]enemy_skill_sets!$1:$1,0)+2,FALSE)</f>
        <v>#N/A</v>
      </c>
      <c r="U167" s="136">
        <v>13101000</v>
      </c>
      <c r="V167" s="7">
        <v>1</v>
      </c>
      <c r="W167" s="7">
        <v>100</v>
      </c>
      <c r="X167" s="7">
        <v>0</v>
      </c>
      <c r="Y167" s="20">
        <f ca="1">VLOOKUP($J167,OFFSET([3]enemies!$A$1,0,0,COUNTA([3]enemies!$A:$A),MATCH(Y$1,[3]enemies!$1:$1,0)-MATCH($J$1,[3]enemies!$1:$1,0)+1),MATCH(Y$1,[3]enemies!$1:$1,0)-MATCH($J$1,[3]enemies!$1:$1,0)+1,FALSE)</f>
        <v>2</v>
      </c>
      <c r="Z167" s="32">
        <v>9</v>
      </c>
      <c r="AA167" s="5" t="str">
        <f ca="1">IFERROR(VLOOKUP($Z167,OFFSET([4]characters!$A$1,0,0,COUNTA([4]characters!$A:$A),MATCH(AA$1,[4]characters!$1:$1,0)-MATCH("character_id",[4]characters!$1:$1,0)+1),MATCH(AA$1,[4]characters!$1:$1,0)-MATCH("character_id",[4]characters!$1:$1,0)+1,FALSE),"")</f>
        <v>ブレット</v>
      </c>
      <c r="AB167" s="5">
        <f ca="1">IFERROR(VLOOKUP($Z167,OFFSET([4]characters!$A$1,0,0,COUNTA([4]characters!$A:$A),MATCH(AB$1,[4]characters!$1:$1,0)-MATCH("character_id",[4]characters!$1:$1,0)+1),MATCH(AB$1,[4]characters!$1:$1,0)-MATCH("character_id",[4]characters!$1:$1,0)+1,FALSE),"")</f>
        <v>1</v>
      </c>
      <c r="AC167" s="5" t="str">
        <f ca="1">IFERROR(VLOOKUP($Z167,OFFSET([4]characters!$A$1,0,0,COUNTA([4]characters!$A:$A),MATCH(AC$1,[4]characters!$1:$1,0)-MATCH("character_id",[4]characters!$1:$1,0)+1),MATCH(AC$1,[4]characters!$1:$1,0)-MATCH("character_id",[4]characters!$1:$1,0)+1,FALSE),"")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67" s="8">
        <v>1</v>
      </c>
      <c r="AE167" s="28">
        <f t="shared" ca="1" si="86"/>
        <v>1</v>
      </c>
      <c r="AF167" s="7">
        <v>25</v>
      </c>
      <c r="AG167" s="8">
        <v>0</v>
      </c>
      <c r="AH167" s="8">
        <v>0</v>
      </c>
      <c r="AI167" s="8">
        <v>0</v>
      </c>
      <c r="AJ167" s="8">
        <v>0</v>
      </c>
      <c r="AK167" s="8">
        <v>1</v>
      </c>
      <c r="AL167" s="8">
        <v>1</v>
      </c>
    </row>
    <row r="168" spans="1:38" ht="21" customHeight="1" x14ac:dyDescent="0.15">
      <c r="A168" s="17" t="str">
        <f t="shared" ref="A168:A169" ca="1" si="145">B168&amp;"_"&amp;C168&amp;"-"&amp;G168&amp;"/"&amp;J168&amp;"&lt;lv"&amp;P168&amp;"&gt;s"&amp;Y168</f>
        <v>13101_18-1/15&lt;lv54&gt;s3</v>
      </c>
      <c r="B168" s="26">
        <v>13101</v>
      </c>
      <c r="C168" s="25">
        <v>18</v>
      </c>
      <c r="D168" s="2" t="str">
        <f t="shared" ref="D168:D169" si="146">B168&amp;"_"&amp;C168</f>
        <v>13101_18</v>
      </c>
      <c r="E168" s="5" t="str">
        <f ca="1">VLOOKUP($B168,OFFSET([2]quests!$A$1,0,0,COUNTA([2]quests!$A:$A),MATCH(E$1,[2]quests!$1:$1,0)-MATCH($B$1,[2]quests!$1:$1,0)+1),MATCH(E$1,[2]quests!$1:$1,0)-MATCH($B$1,[2]quests!$1:$1,0)+1,FALSE)</f>
        <v>チャレンジタワー</v>
      </c>
      <c r="F168" s="5" t="e">
        <f ca="1">VLOOKUP($D168,OFFSET([2]stages!$A$1,0,0,COUNTA([2]stages!$A:$A),MATCH(F$1,[2]stages!$1:$1,0)-MATCH($D$1,[2]stages!$1:$1,0)+1),MATCH(F$1,[2]stages!$1:$1,0)-MATCH($D$1,[2]stages!$1:$1,0)+1,FALSE)</f>
        <v>#N/A</v>
      </c>
      <c r="G168" s="33">
        <v>1</v>
      </c>
      <c r="H168" s="16" t="str">
        <f t="shared" ref="H168:H169" si="147">B168&amp;"_"&amp;C168&amp;"-"&amp;G168</f>
        <v>13101_18-1</v>
      </c>
      <c r="I168" s="39" t="s">
        <v>245</v>
      </c>
      <c r="J168" s="32">
        <v>15</v>
      </c>
      <c r="K168" s="20" t="str">
        <f ca="1">VLOOKUP($J168,OFFSET([3]enemies!$A$1,0,0,COUNTA([3]enemies!$A:$A),MATCH(K$1,[3]enemies!$1:$1,0)-MATCH($J$1,[3]enemies!$1:$1,0)+1),MATCH(K$1,[3]enemies!$1:$1,0)-MATCH($J$1,[3]enemies!$1:$1,0)+1,FALSE)</f>
        <v>アカネ</v>
      </c>
      <c r="L168" s="23" t="str">
        <f ca="1">VLOOKUP($J168,OFFSET([3]enemies!$A$1,0,0,COUNTA([3]enemies!$A:$A),MATCH(L$1,[3]enemies!$1:$1,0)-MATCH($J$1,[3]enemies!$1:$1,0)+1),MATCH(L$1,[3]enemies!$1:$1,0)-MATCH($J$1,[3]enemies!$1:$1,0)+1,FALSE)</f>
        <v>red</v>
      </c>
      <c r="M168" s="23" t="str">
        <f ca="1">VLOOKUP($J168,OFFSET([4]characters!$A$1,0,0,COUNTA([4]characters!$A:$A),MATCH(M$1,[4]characters!$1:$1,0)-MATCH($J$1,[4]characters!$1:$1,0)+1),MATCH(M$1,[4]characters!$1:$1,0)-MATCH($J$1,[4]characters!$1:$1,0)+1,FALSE)</f>
        <v>Drop1W</v>
      </c>
      <c r="N168" s="22" t="str">
        <f ca="1">VLOOKUP($J168,OFFSET([4]characters!$A$1,0,0,COUNTA([4]characters!$A:$A),MATCH(N$1,[4]characters!$1:$1,0)-MATCH($J$1,[4]characters!$1:$1,0)+2),MATCH(N$1,[4]characters!$1:$1,0)-MATCH($J$1,[4]characters!$1:$1,0)+2,FALSE)</f>
        <v>ヒューマン</v>
      </c>
      <c r="O168" s="5">
        <f ca="1">VLOOKUP($J168,OFFSET([3]enemies!$A$1,0,0,COUNTA([3]enemies!$A:$A),MATCH(O$1,[3]enemies!$1:$1,0)-MATCH($J$1,[3]enemies!$1:$1,0)+1),MATCH(O$1,[3]enemies!$1:$1,0)-MATCH($J$1,[3]enemies!$1:$1,0)+1,FALSE)</f>
        <v>15</v>
      </c>
      <c r="P168" s="47">
        <v>54</v>
      </c>
      <c r="Q168" s="43">
        <v>1</v>
      </c>
      <c r="R168" s="43">
        <v>1</v>
      </c>
      <c r="S168" s="6">
        <v>0</v>
      </c>
      <c r="T168" s="5" t="str">
        <f ca="1">VLOOKUP($U168,OFFSET([5]enemy_skill_sets!$B$1,0,0,COUNTA([5]enemy_skill_sets!$B:$B),MATCH(K$1,[5]enemy_skill_sets!$1:$1,0)-MATCH($U$1,[5]enemy_skill_sets!$1:$1,0)+2),MATCH(K$1,[5]enemy_skill_sets!$1:$1,0)-MATCH($U$1,[5]enemy_skill_sets!$1:$1,0)+2,FALSE)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68" s="5">
        <f ca="1">VLOOKUP($J168,OFFSET([3]enemies!$A$1,0,0,COUNTA([3]enemies!$A:$A),MATCH(U$1,[3]enemies!$1:$1,0)-MATCH($J$1,[3]enemies!$1:$1,0)+1),MATCH(U$1,[3]enemies!$1:$1,0)-MATCH($J$1,[3]enemies!$1:$1,0)+1,FALSE)</f>
        <v>0</v>
      </c>
      <c r="V168" s="7">
        <v>0</v>
      </c>
      <c r="W168" s="7">
        <v>100</v>
      </c>
      <c r="X168" s="7">
        <v>0</v>
      </c>
      <c r="Y168" s="20">
        <f ca="1">VLOOKUP($J168,OFFSET([3]enemies!$A$1,0,0,COUNTA([3]enemies!$A:$A),MATCH(Y$1,[3]enemies!$1:$1,0)-MATCH($J$1,[3]enemies!$1:$1,0)+1),MATCH(Y$1,[3]enemies!$1:$1,0)-MATCH($J$1,[3]enemies!$1:$1,0)+1,FALSE)</f>
        <v>3</v>
      </c>
      <c r="Z168" s="32">
        <v>15</v>
      </c>
      <c r="AA168" s="5" t="str">
        <f ca="1">IFERROR(VLOOKUP($Z168,OFFSET([4]characters!$A$1,0,0,COUNTA([4]characters!$A:$A),MATCH(AA$1,[4]characters!$1:$1,0)-MATCH("character_id",[4]characters!$1:$1,0)+1),MATCH(AA$1,[4]characters!$1:$1,0)-MATCH("character_id",[4]characters!$1:$1,0)+1,FALSE),"")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168" s="5">
        <f ca="1">IFERROR(VLOOKUP($Z168,OFFSET([4]characters!$A$1,0,0,COUNTA([4]characters!$A:$A),MATCH(AB$1,[4]characters!$1:$1,0)-MATCH("character_id",[4]characters!$1:$1,0)+1),MATCH(AB$1,[4]characters!$1:$1,0)-MATCH("character_id",[4]characters!$1:$1,0)+1,FALSE),"")</f>
        <v>1</v>
      </c>
      <c r="AC168" s="5" t="str">
        <f ca="1">IFERROR(VLOOKUP($Z168,OFFSET([4]characters!$A$1,0,0,COUNTA([4]characters!$A:$A),MATCH(AC$1,[4]characters!$1:$1,0)-MATCH("character_id",[4]characters!$1:$1,0)+1),MATCH(AC$1,[4]characters!$1:$1,0)-MATCH("character_id",[4]characters!$1:$1,0)+1,FALSE),"")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68" s="8">
        <v>1</v>
      </c>
      <c r="AE168" s="28">
        <f t="shared" ref="AE168:AE169" ca="1" si="148">AB168</f>
        <v>1</v>
      </c>
      <c r="AF168" s="7">
        <v>25</v>
      </c>
      <c r="AG168" s="8">
        <v>0</v>
      </c>
      <c r="AH168" s="8">
        <v>0</v>
      </c>
      <c r="AI168" s="8">
        <v>0</v>
      </c>
      <c r="AJ168" s="8">
        <v>0</v>
      </c>
      <c r="AK168" s="8">
        <v>1</v>
      </c>
      <c r="AL168" s="8">
        <v>1</v>
      </c>
    </row>
    <row r="169" spans="1:38" ht="21" customHeight="1" x14ac:dyDescent="0.15">
      <c r="A169" s="17" t="str">
        <f t="shared" ca="1" si="145"/>
        <v>13101_18-1/41&lt;lv54&gt;s1</v>
      </c>
      <c r="B169" s="26">
        <v>13101</v>
      </c>
      <c r="C169" s="25">
        <v>18</v>
      </c>
      <c r="D169" s="2" t="str">
        <f t="shared" si="146"/>
        <v>13101_18</v>
      </c>
      <c r="E169" s="5" t="str">
        <f ca="1">VLOOKUP($B169,OFFSET([2]quests!$A$1,0,0,COUNTA([2]quests!$A:$A),MATCH(E$1,[2]quests!$1:$1,0)-MATCH($B$1,[2]quests!$1:$1,0)+1),MATCH(E$1,[2]quests!$1:$1,0)-MATCH($B$1,[2]quests!$1:$1,0)+1,FALSE)</f>
        <v>チャレンジタワー</v>
      </c>
      <c r="F169" s="5" t="e">
        <f ca="1">VLOOKUP($D169,OFFSET([2]stages!$A$1,0,0,COUNTA([2]stages!$A:$A),MATCH(F$1,[2]stages!$1:$1,0)-MATCH($D$1,[2]stages!$1:$1,0)+1),MATCH(F$1,[2]stages!$1:$1,0)-MATCH($D$1,[2]stages!$1:$1,0)+1,FALSE)</f>
        <v>#N/A</v>
      </c>
      <c r="G169" s="33">
        <v>1</v>
      </c>
      <c r="H169" s="16" t="str">
        <f t="shared" si="147"/>
        <v>13101_18-1</v>
      </c>
      <c r="I169" s="39" t="s">
        <v>245</v>
      </c>
      <c r="J169" s="32">
        <v>41</v>
      </c>
      <c r="K169" s="20" t="str">
        <f ca="1">VLOOKUP($J169,OFFSET([3]enemies!$A$1,0,0,COUNTA([3]enemies!$A:$A),MATCH(K$1,[3]enemies!$1:$1,0)-MATCH($J$1,[3]enemies!$1:$1,0)+1),MATCH(K$1,[3]enemies!$1:$1,0)-MATCH($J$1,[3]enemies!$1:$1,0)+1,FALSE)</f>
        <v>ヒュウガ</v>
      </c>
      <c r="L169" s="23" t="str">
        <f ca="1">VLOOKUP($J169,OFFSET([3]enemies!$A$1,0,0,COUNTA([3]enemies!$A:$A),MATCH(L$1,[3]enemies!$1:$1,0)-MATCH($J$1,[3]enemies!$1:$1,0)+1),MATCH(L$1,[3]enemies!$1:$1,0)-MATCH($J$1,[3]enemies!$1:$1,0)+1,FALSE)</f>
        <v>red</v>
      </c>
      <c r="M169" s="23" t="str">
        <f ca="1">VLOOKUP($J169,OFFSET([4]characters!$A$1,0,0,COUNTA([4]characters!$A:$A),MATCH(M$1,[4]characters!$1:$1,0)-MATCH($J$1,[4]characters!$1:$1,0)+1),MATCH(M$1,[4]characters!$1:$1,0)-MATCH($J$1,[4]characters!$1:$1,0)+1,FALSE)</f>
        <v>Drop1N</v>
      </c>
      <c r="N169" s="22" t="str">
        <f ca="1">VLOOKUP($J169,OFFSET([4]characters!$A$1,0,0,COUNTA([4]characters!$A:$A),MATCH(N$1,[4]characters!$1:$1,0)-MATCH($J$1,[4]characters!$1:$1,0)+2),MATCH(N$1,[4]characters!$1:$1,0)-MATCH($J$1,[4]characters!$1:$1,0)+2,FALSE)</f>
        <v>ドラゴン</v>
      </c>
      <c r="O169" s="5">
        <f ca="1">VLOOKUP($J169,OFFSET([3]enemies!$A$1,0,0,COUNTA([3]enemies!$A:$A),MATCH(O$1,[3]enemies!$1:$1,0)-MATCH($J$1,[3]enemies!$1:$1,0)+1),MATCH(O$1,[3]enemies!$1:$1,0)-MATCH($J$1,[3]enemies!$1:$1,0)+1,FALSE)</f>
        <v>15</v>
      </c>
      <c r="P169" s="47">
        <v>54</v>
      </c>
      <c r="Q169" s="43">
        <v>1</v>
      </c>
      <c r="R169" s="43">
        <v>1</v>
      </c>
      <c r="S169" s="6">
        <v>0</v>
      </c>
      <c r="T169" s="5" t="str">
        <f ca="1">VLOOKUP($U169,OFFSET([5]enemy_skill_sets!$B$1,0,0,COUNTA([5]enemy_skill_sets!$B:$B),MATCH(K$1,[5]enemy_skill_sets!$1:$1,0)-MATCH($U$1,[5]enemy_skill_sets!$1:$1,0)+2),MATCH(K$1,[5]enemy_skill_sets!$1:$1,0)-MATCH($U$1,[5]enemy_skill_sets!$1:$1,0)+2,FALSE)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69" s="5">
        <f ca="1">VLOOKUP($J169,OFFSET([3]enemies!$A$1,0,0,COUNTA([3]enemies!$A:$A),MATCH(U$1,[3]enemies!$1:$1,0)-MATCH($J$1,[3]enemies!$1:$1,0)+1),MATCH(U$1,[3]enemies!$1:$1,0)-MATCH($J$1,[3]enemies!$1:$1,0)+1,FALSE)</f>
        <v>0</v>
      </c>
      <c r="V169" s="7">
        <v>0</v>
      </c>
      <c r="W169" s="7">
        <v>100</v>
      </c>
      <c r="X169" s="7">
        <v>0</v>
      </c>
      <c r="Y169" s="20">
        <f ca="1">VLOOKUP($J169,OFFSET([3]enemies!$A$1,0,0,COUNTA([3]enemies!$A:$A),MATCH(Y$1,[3]enemies!$1:$1,0)-MATCH($J$1,[3]enemies!$1:$1,0)+1),MATCH(Y$1,[3]enemies!$1:$1,0)-MATCH($J$1,[3]enemies!$1:$1,0)+1,FALSE)</f>
        <v>1</v>
      </c>
      <c r="Z169" s="32">
        <v>41</v>
      </c>
      <c r="AA169" s="5" t="str">
        <f ca="1">IFERROR(VLOOKUP($Z169,OFFSET([4]characters!$A$1,0,0,COUNTA([4]characters!$A:$A),MATCH(AA$1,[4]characters!$1:$1,0)-MATCH("character_id",[4]characters!$1:$1,0)+1),MATCH(AA$1,[4]characters!$1:$1,0)-MATCH("character_id",[4]characters!$1:$1,0)+1,FALSE),"")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169" s="5">
        <f ca="1">IFERROR(VLOOKUP($Z169,OFFSET([4]characters!$A$1,0,0,COUNTA([4]characters!$A:$A),MATCH(AB$1,[4]characters!$1:$1,0)-MATCH("character_id",[4]characters!$1:$1,0)+1),MATCH(AB$1,[4]characters!$1:$1,0)-MATCH("character_id",[4]characters!$1:$1,0)+1,FALSE),"")</f>
        <v>2</v>
      </c>
      <c r="AC169" s="5" t="str">
        <f ca="1">IFERROR(VLOOKUP($Z169,OFFSET([4]characters!$A$1,0,0,COUNTA([4]characters!$A:$A),MATCH(AC$1,[4]characters!$1:$1,0)-MATCH("character_id",[4]characters!$1:$1,0)+1),MATCH(AC$1,[4]characters!$1:$1,0)-MATCH("character_id",[4]characters!$1:$1,0)+1,FALSE),"")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69" s="8">
        <v>1</v>
      </c>
      <c r="AE169" s="28">
        <f t="shared" ca="1" si="148"/>
        <v>2</v>
      </c>
      <c r="AF169" s="7">
        <v>25</v>
      </c>
      <c r="AG169" s="8">
        <v>0</v>
      </c>
      <c r="AH169" s="8">
        <v>0</v>
      </c>
      <c r="AI169" s="8">
        <v>0</v>
      </c>
      <c r="AJ169" s="8">
        <v>0</v>
      </c>
      <c r="AK169" s="8">
        <v>1</v>
      </c>
      <c r="AL169" s="8">
        <v>1</v>
      </c>
    </row>
    <row r="170" spans="1:38" ht="21" customHeight="1" x14ac:dyDescent="0.15">
      <c r="A170" s="17" t="str">
        <f t="shared" ref="A170" ca="1" si="149">B170&amp;"_"&amp;C170&amp;"-"&amp;G170&amp;"/"&amp;J170&amp;"&lt;lv"&amp;P170&amp;"&gt;s"&amp;Y170</f>
        <v>13101_18-1/57&lt;lv54&gt;s2</v>
      </c>
      <c r="B170" s="26">
        <v>13101</v>
      </c>
      <c r="C170" s="25">
        <v>18</v>
      </c>
      <c r="D170" s="2" t="str">
        <f t="shared" ref="D170" si="150">B170&amp;"_"&amp;C170</f>
        <v>13101_18</v>
      </c>
      <c r="E170" s="5" t="str">
        <f ca="1">VLOOKUP($B170,OFFSET([2]quests!$A$1,0,0,COUNTA([2]quests!$A:$A),MATCH(E$1,[2]quests!$1:$1,0)-MATCH($B$1,[2]quests!$1:$1,0)+1),MATCH(E$1,[2]quests!$1:$1,0)-MATCH($B$1,[2]quests!$1:$1,0)+1,FALSE)</f>
        <v>チャレンジタワー</v>
      </c>
      <c r="F170" s="5" t="e">
        <f ca="1">VLOOKUP($D170,OFFSET([2]stages!$A$1,0,0,COUNTA([2]stages!$A:$A),MATCH(F$1,[2]stages!$1:$1,0)-MATCH($D$1,[2]stages!$1:$1,0)+1),MATCH(F$1,[2]stages!$1:$1,0)-MATCH($D$1,[2]stages!$1:$1,0)+1,FALSE)</f>
        <v>#N/A</v>
      </c>
      <c r="G170" s="33">
        <v>1</v>
      </c>
      <c r="H170" s="16" t="str">
        <f t="shared" ref="H170" si="151">B170&amp;"_"&amp;C170&amp;"-"&amp;G170</f>
        <v>13101_18-1</v>
      </c>
      <c r="I170" s="39" t="s">
        <v>245</v>
      </c>
      <c r="J170" s="31">
        <v>57</v>
      </c>
      <c r="K170" s="20" t="str">
        <f ca="1">VLOOKUP($J170,OFFSET([3]enemies!$A$1,0,0,COUNTA([3]enemies!$A:$A),MATCH(K$1,[3]enemies!$1:$1,0)-MATCH($J$1,[3]enemies!$1:$1,0)+1),MATCH(K$1,[3]enemies!$1:$1,0)-MATCH($J$1,[3]enemies!$1:$1,0)+1,FALSE)</f>
        <v>チェン・リー</v>
      </c>
      <c r="L170" s="23" t="str">
        <f ca="1">VLOOKUP($J170,OFFSET([3]enemies!$A$1,0,0,COUNTA([3]enemies!$A:$A),MATCH(L$1,[3]enemies!$1:$1,0)-MATCH($J$1,[3]enemies!$1:$1,0)+1),MATCH(L$1,[3]enemies!$1:$1,0)-MATCH($J$1,[3]enemies!$1:$1,0)+1,FALSE)</f>
        <v>red</v>
      </c>
      <c r="M170" s="23" t="str">
        <f ca="1">VLOOKUP($J170,OFFSET([4]characters!$A$1,0,0,COUNTA([4]characters!$A:$A),MATCH(M$1,[4]characters!$1:$1,0)-MATCH($J$1,[4]characters!$1:$1,0)+1),MATCH(M$1,[4]characters!$1:$1,0)-MATCH($J$1,[4]characters!$1:$1,0)+1,FALSE)</f>
        <v>Drop1N</v>
      </c>
      <c r="N170" s="22" t="str">
        <f ca="1">VLOOKUP($J170,OFFSET([4]characters!$A$1,0,0,COUNTA([4]characters!$A:$A),MATCH(N$1,[4]characters!$1:$1,0)-MATCH($J$1,[4]characters!$1:$1,0)+2),MATCH(N$1,[4]characters!$1:$1,0)-MATCH($J$1,[4]characters!$1:$1,0)+2,FALSE)</f>
        <v>アニマル</v>
      </c>
      <c r="O170" s="5">
        <f ca="1">VLOOKUP($J170,OFFSET([3]enemies!$A$1,0,0,COUNTA([3]enemies!$A:$A),MATCH(O$1,[3]enemies!$1:$1,0)-MATCH($J$1,[3]enemies!$1:$1,0)+1),MATCH(O$1,[3]enemies!$1:$1,0)-MATCH($J$1,[3]enemies!$1:$1,0)+1,FALSE)</f>
        <v>15</v>
      </c>
      <c r="P170" s="47">
        <v>54</v>
      </c>
      <c r="Q170" s="43">
        <v>1</v>
      </c>
      <c r="R170" s="43">
        <v>1</v>
      </c>
      <c r="S170" s="6">
        <v>0</v>
      </c>
      <c r="T170" s="5" t="str">
        <f ca="1">VLOOKUP($U170,OFFSET([5]enemy_skill_sets!$B$1,0,0,COUNTA([5]enemy_skill_sets!$B:$B),MATCH(K$1,[5]enemy_skill_sets!$1:$1,0)-MATCH($U$1,[5]enemy_skill_sets!$1:$1,0)+2),MATCH(K$1,[5]enemy_skill_sets!$1:$1,0)-MATCH($U$1,[5]enemy_skill_sets!$1:$1,0)+2,FALSE)</f>
        <v>3ターン攻撃力小UP</v>
      </c>
      <c r="U170" s="5">
        <f ca="1">VLOOKUP($J170,OFFSET([3]enemies!$A$1,0,0,COUNTA([3]enemies!$A:$A),MATCH(U$1,[3]enemies!$1:$1,0)-MATCH($J$1,[3]enemies!$1:$1,0)+1),MATCH(U$1,[3]enemies!$1:$1,0)-MATCH($J$1,[3]enemies!$1:$1,0)+1,FALSE)</f>
        <v>57</v>
      </c>
      <c r="V170" s="7">
        <v>1</v>
      </c>
      <c r="W170" s="7">
        <v>100</v>
      </c>
      <c r="X170" s="7">
        <v>0</v>
      </c>
      <c r="Y170" s="20">
        <f ca="1">VLOOKUP($J170,OFFSET([3]enemies!$A$1,0,0,COUNTA([3]enemies!$A:$A),MATCH(Y$1,[3]enemies!$1:$1,0)-MATCH($J$1,[3]enemies!$1:$1,0)+1),MATCH(Y$1,[3]enemies!$1:$1,0)-MATCH($J$1,[3]enemies!$1:$1,0)+1,FALSE)</f>
        <v>2</v>
      </c>
      <c r="Z170" s="32">
        <v>57</v>
      </c>
      <c r="AA170" s="5" t="str">
        <f ca="1">IFERROR(VLOOKUP($Z170,OFFSET([4]characters!$A$1,0,0,COUNTA([4]characters!$A:$A),MATCH(AA$1,[4]characters!$1:$1,0)-MATCH("character_id",[4]characters!$1:$1,0)+1),MATCH(AA$1,[4]characters!$1:$1,0)-MATCH("character_id",[4]characters!$1:$1,0)+1,FALSE),"")</f>
        <v>チェン・リー</v>
      </c>
      <c r="AB170" s="5">
        <f ca="1">IFERROR(VLOOKUP($Z170,OFFSET([4]characters!$A$1,0,0,COUNTA([4]characters!$A:$A),MATCH(AB$1,[4]characters!$1:$1,0)-MATCH("character_id",[4]characters!$1:$1,0)+1),MATCH(AB$1,[4]characters!$1:$1,0)-MATCH("character_id",[4]characters!$1:$1,0)+1,FALSE),"")</f>
        <v>2</v>
      </c>
      <c r="AC170" s="5" t="str">
        <f ca="1">IFERROR(VLOOKUP($Z170,OFFSET([4]characters!$A$1,0,0,COUNTA([4]characters!$A:$A),MATCH(AC$1,[4]characters!$1:$1,0)-MATCH("character_id",[4]characters!$1:$1,0)+1),MATCH(AC$1,[4]characters!$1:$1,0)-MATCH("character_id",[4]characters!$1:$1,0)+1,FALSE),"")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70" s="8">
        <v>1</v>
      </c>
      <c r="AE170" s="28">
        <f t="shared" ref="AE170" ca="1" si="152">AB170</f>
        <v>2</v>
      </c>
      <c r="AF170" s="7">
        <v>25</v>
      </c>
      <c r="AG170" s="8">
        <v>0</v>
      </c>
      <c r="AH170" s="8">
        <v>0</v>
      </c>
      <c r="AI170" s="8">
        <v>0</v>
      </c>
      <c r="AJ170" s="8">
        <v>0</v>
      </c>
      <c r="AK170" s="8">
        <v>1</v>
      </c>
      <c r="AL170" s="8">
        <v>1</v>
      </c>
    </row>
    <row r="171" spans="1:38" ht="21" customHeight="1" x14ac:dyDescent="0.15">
      <c r="A171" s="17" t="str">
        <f t="shared" ref="A171:A173" ca="1" si="153">B171&amp;"_"&amp;C171&amp;"-"&amp;G171&amp;"/"&amp;J171&amp;"&lt;lv"&amp;P171&amp;"&gt;s"&amp;Y171</f>
        <v>13101_18-2/41&lt;lv54&gt;s1</v>
      </c>
      <c r="B171" s="26">
        <v>13101</v>
      </c>
      <c r="C171" s="25">
        <v>18</v>
      </c>
      <c r="D171" s="2" t="str">
        <f t="shared" ref="D171:D173" si="154">B171&amp;"_"&amp;C171</f>
        <v>13101_18</v>
      </c>
      <c r="E171" s="5" t="str">
        <f ca="1">VLOOKUP($B171,OFFSET([2]quests!$A$1,0,0,COUNTA([2]quests!$A:$A),MATCH(E$1,[2]quests!$1:$1,0)-MATCH($B$1,[2]quests!$1:$1,0)+1),MATCH(E$1,[2]quests!$1:$1,0)-MATCH($B$1,[2]quests!$1:$1,0)+1,FALSE)</f>
        <v>チャレンジタワー</v>
      </c>
      <c r="F171" s="5" t="e">
        <f ca="1">VLOOKUP($D171,OFFSET([2]stages!$A$1,0,0,COUNTA([2]stages!$A:$A),MATCH(F$1,[2]stages!$1:$1,0)-MATCH($D$1,[2]stages!$1:$1,0)+1),MATCH(F$1,[2]stages!$1:$1,0)-MATCH($D$1,[2]stages!$1:$1,0)+1,FALSE)</f>
        <v>#N/A</v>
      </c>
      <c r="G171" s="33">
        <v>2</v>
      </c>
      <c r="H171" s="16" t="str">
        <f t="shared" ref="H171:H173" si="155">B171&amp;"_"&amp;C171&amp;"-"&amp;G171</f>
        <v>13101_18-2</v>
      </c>
      <c r="I171" s="39" t="s">
        <v>245</v>
      </c>
      <c r="J171" s="31">
        <v>41</v>
      </c>
      <c r="K171" s="20" t="str">
        <f ca="1">VLOOKUP($J171,OFFSET([3]enemies!$A$1,0,0,COUNTA([3]enemies!$A:$A),MATCH(K$1,[3]enemies!$1:$1,0)-MATCH($J$1,[3]enemies!$1:$1,0)+1),MATCH(K$1,[3]enemies!$1:$1,0)-MATCH($J$1,[3]enemies!$1:$1,0)+1,FALSE)</f>
        <v>ヒュウガ</v>
      </c>
      <c r="L171" s="23" t="str">
        <f ca="1">VLOOKUP($J171,OFFSET([3]enemies!$A$1,0,0,COUNTA([3]enemies!$A:$A),MATCH(L$1,[3]enemies!$1:$1,0)-MATCH($J$1,[3]enemies!$1:$1,0)+1),MATCH(L$1,[3]enemies!$1:$1,0)-MATCH($J$1,[3]enemies!$1:$1,0)+1,FALSE)</f>
        <v>red</v>
      </c>
      <c r="M171" s="23" t="str">
        <f ca="1">VLOOKUP($J171,OFFSET([4]characters!$A$1,0,0,COUNTA([4]characters!$A:$A),MATCH(M$1,[4]characters!$1:$1,0)-MATCH($J$1,[4]characters!$1:$1,0)+1),MATCH(M$1,[4]characters!$1:$1,0)-MATCH($J$1,[4]characters!$1:$1,0)+1,FALSE)</f>
        <v>Drop1N</v>
      </c>
      <c r="N171" s="22" t="str">
        <f ca="1">VLOOKUP($J171,OFFSET([4]characters!$A$1,0,0,COUNTA([4]characters!$A:$A),MATCH(N$1,[4]characters!$1:$1,0)-MATCH($J$1,[4]characters!$1:$1,0)+2),MATCH(N$1,[4]characters!$1:$1,0)-MATCH($J$1,[4]characters!$1:$1,0)+2,FALSE)</f>
        <v>ドラゴン</v>
      </c>
      <c r="O171" s="5">
        <f ca="1">VLOOKUP($J171,OFFSET([3]enemies!$A$1,0,0,COUNTA([3]enemies!$A:$A),MATCH(O$1,[3]enemies!$1:$1,0)-MATCH($J$1,[3]enemies!$1:$1,0)+1),MATCH(O$1,[3]enemies!$1:$1,0)-MATCH($J$1,[3]enemies!$1:$1,0)+1,FALSE)</f>
        <v>15</v>
      </c>
      <c r="P171" s="47">
        <v>54</v>
      </c>
      <c r="Q171" s="43">
        <v>1</v>
      </c>
      <c r="R171" s="43">
        <v>1</v>
      </c>
      <c r="S171" s="6">
        <v>0</v>
      </c>
      <c r="T171" s="5" t="str">
        <f ca="1">VLOOKUP($U171,OFFSET([5]enemy_skill_sets!$B$1,0,0,COUNTA([5]enemy_skill_sets!$B:$B),MATCH(K$1,[5]enemy_skill_sets!$1:$1,0)-MATCH($U$1,[5]enemy_skill_sets!$1:$1,0)+2),MATCH(K$1,[5]enemy_skill_sets!$1:$1,0)-MATCH($U$1,[5]enemy_skill_sets!$1:$1,0)+2,FALSE)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71" s="5">
        <f ca="1">VLOOKUP($J171,OFFSET([3]enemies!$A$1,0,0,COUNTA([3]enemies!$A:$A),MATCH(U$1,[3]enemies!$1:$1,0)-MATCH($J$1,[3]enemies!$1:$1,0)+1),MATCH(U$1,[3]enemies!$1:$1,0)-MATCH($J$1,[3]enemies!$1:$1,0)+1,FALSE)</f>
        <v>0</v>
      </c>
      <c r="V171" s="7">
        <v>0</v>
      </c>
      <c r="W171" s="7">
        <v>100</v>
      </c>
      <c r="X171" s="7">
        <v>0</v>
      </c>
      <c r="Y171" s="20">
        <f ca="1">VLOOKUP($J171,OFFSET([3]enemies!$A$1,0,0,COUNTA([3]enemies!$A:$A),MATCH(Y$1,[3]enemies!$1:$1,0)-MATCH($J$1,[3]enemies!$1:$1,0)+1),MATCH(Y$1,[3]enemies!$1:$1,0)-MATCH($J$1,[3]enemies!$1:$1,0)+1,FALSE)</f>
        <v>1</v>
      </c>
      <c r="Z171" s="31">
        <v>41</v>
      </c>
      <c r="AA171" s="5" t="str">
        <f ca="1">IFERROR(VLOOKUP($Z171,OFFSET([4]characters!$A$1,0,0,COUNTA([4]characters!$A:$A),MATCH(AA$1,[4]characters!$1:$1,0)-MATCH("character_id",[4]characters!$1:$1,0)+1),MATCH(AA$1,[4]characters!$1:$1,0)-MATCH("character_id",[4]characters!$1:$1,0)+1,FALSE),"")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171" s="5">
        <f ca="1">IFERROR(VLOOKUP($Z171,OFFSET([4]characters!$A$1,0,0,COUNTA([4]characters!$A:$A),MATCH(AB$1,[4]characters!$1:$1,0)-MATCH("character_id",[4]characters!$1:$1,0)+1),MATCH(AB$1,[4]characters!$1:$1,0)-MATCH("character_id",[4]characters!$1:$1,0)+1,FALSE),"")</f>
        <v>2</v>
      </c>
      <c r="AC171" s="5" t="str">
        <f ca="1">IFERROR(VLOOKUP($Z171,OFFSET([4]characters!$A$1,0,0,COUNTA([4]characters!$A:$A),MATCH(AC$1,[4]characters!$1:$1,0)-MATCH("character_id",[4]characters!$1:$1,0)+1),MATCH(AC$1,[4]characters!$1:$1,0)-MATCH("character_id",[4]characters!$1:$1,0)+1,FALSE),"")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71" s="8">
        <v>1</v>
      </c>
      <c r="AE171" s="28">
        <f t="shared" ref="AE171:AE173" ca="1" si="156">AB171</f>
        <v>2</v>
      </c>
      <c r="AF171" s="7">
        <v>25</v>
      </c>
      <c r="AG171" s="8">
        <v>0</v>
      </c>
      <c r="AH171" s="8">
        <v>0</v>
      </c>
      <c r="AI171" s="8">
        <v>0</v>
      </c>
      <c r="AJ171" s="8">
        <v>0</v>
      </c>
      <c r="AK171" s="8">
        <v>1</v>
      </c>
      <c r="AL171" s="8">
        <v>1</v>
      </c>
    </row>
    <row r="172" spans="1:38" ht="21" customHeight="1" x14ac:dyDescent="0.15">
      <c r="A172" s="17" t="str">
        <f t="shared" ca="1" si="153"/>
        <v>13101_18-2/21&lt;lv54&gt;s2</v>
      </c>
      <c r="B172" s="26">
        <v>13101</v>
      </c>
      <c r="C172" s="25">
        <v>18</v>
      </c>
      <c r="D172" s="2" t="str">
        <f t="shared" si="154"/>
        <v>13101_18</v>
      </c>
      <c r="E172" s="5" t="str">
        <f ca="1">VLOOKUP($B172,OFFSET([2]quests!$A$1,0,0,COUNTA([2]quests!$A:$A),MATCH(E$1,[2]quests!$1:$1,0)-MATCH($B$1,[2]quests!$1:$1,0)+1),MATCH(E$1,[2]quests!$1:$1,0)-MATCH($B$1,[2]quests!$1:$1,0)+1,FALSE)</f>
        <v>チャレンジタワー</v>
      </c>
      <c r="F172" s="5" t="e">
        <f ca="1">VLOOKUP($D172,OFFSET([2]stages!$A$1,0,0,COUNTA([2]stages!$A:$A),MATCH(F$1,[2]stages!$1:$1,0)-MATCH($D$1,[2]stages!$1:$1,0)+1),MATCH(F$1,[2]stages!$1:$1,0)-MATCH($D$1,[2]stages!$1:$1,0)+1,FALSE)</f>
        <v>#N/A</v>
      </c>
      <c r="G172" s="33">
        <v>2</v>
      </c>
      <c r="H172" s="16" t="str">
        <f t="shared" si="155"/>
        <v>13101_18-2</v>
      </c>
      <c r="I172" s="39" t="s">
        <v>245</v>
      </c>
      <c r="J172" s="31">
        <v>21</v>
      </c>
      <c r="K172" s="20" t="str">
        <f ca="1">VLOOKUP($J172,OFFSET([3]enemies!$A$1,0,0,COUNTA([3]enemies!$A:$A),MATCH(K$1,[3]enemies!$1:$1,0)-MATCH($J$1,[3]enemies!$1:$1,0)+1),MATCH(K$1,[3]enemies!$1:$1,0)-MATCH($J$1,[3]enemies!$1:$1,0)+1,FALSE)</f>
        <v>ヴェロキー</v>
      </c>
      <c r="L172" s="23" t="str">
        <f ca="1">VLOOKUP($J172,OFFSET([3]enemies!$A$1,0,0,COUNTA([3]enemies!$A:$A),MATCH(L$1,[3]enemies!$1:$1,0)-MATCH($J$1,[3]enemies!$1:$1,0)+1),MATCH(L$1,[3]enemies!$1:$1,0)-MATCH($J$1,[3]enemies!$1:$1,0)+1,FALSE)</f>
        <v>red</v>
      </c>
      <c r="M172" s="23" t="str">
        <f ca="1">VLOOKUP($J172,OFFSET([4]characters!$A$1,0,0,COUNTA([4]characters!$A:$A),MATCH(M$1,[4]characters!$1:$1,0)-MATCH($J$1,[4]characters!$1:$1,0)+1),MATCH(M$1,[4]characters!$1:$1,0)-MATCH($J$1,[4]characters!$1:$1,0)+1,FALSE)</f>
        <v>Drop1N</v>
      </c>
      <c r="N172" s="22" t="str">
        <f ca="1">VLOOKUP($J172,OFFSET([4]characters!$A$1,0,0,COUNTA([4]characters!$A:$A),MATCH(N$1,[4]characters!$1:$1,0)-MATCH($J$1,[4]characters!$1:$1,0)+2),MATCH(N$1,[4]characters!$1:$1,0)-MATCH($J$1,[4]characters!$1:$1,0)+2,FALSE)</f>
        <v>ドラゴン</v>
      </c>
      <c r="O172" s="5">
        <f ca="1">VLOOKUP($J172,OFFSET([3]enemies!$A$1,0,0,COUNTA([3]enemies!$A:$A),MATCH(O$1,[3]enemies!$1:$1,0)-MATCH($J$1,[3]enemies!$1:$1,0)+1),MATCH(O$1,[3]enemies!$1:$1,0)-MATCH($J$1,[3]enemies!$1:$1,0)+1,FALSE)</f>
        <v>15</v>
      </c>
      <c r="P172" s="47">
        <v>54</v>
      </c>
      <c r="Q172" s="43">
        <v>1</v>
      </c>
      <c r="R172" s="43">
        <v>1</v>
      </c>
      <c r="S172" s="6">
        <v>0</v>
      </c>
      <c r="T172" s="5" t="str">
        <f ca="1">VLOOKUP($U172,OFFSET([5]enemy_skill_sets!$B$1,0,0,COUNTA([5]enemy_skill_sets!$B:$B),MATCH(K$1,[5]enemy_skill_sets!$1:$1,0)-MATCH($U$1,[5]enemy_skill_sets!$1:$1,0)+2),MATCH(K$1,[5]enemy_skill_sets!$1:$1,0)-MATCH($U$1,[5]enemy_skill_sets!$1:$1,0)+2,FALSE)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72" s="5">
        <f ca="1">VLOOKUP($J172,OFFSET([3]enemies!$A$1,0,0,COUNTA([3]enemies!$A:$A),MATCH(U$1,[3]enemies!$1:$1,0)-MATCH($J$1,[3]enemies!$1:$1,0)+1),MATCH(U$1,[3]enemies!$1:$1,0)-MATCH($J$1,[3]enemies!$1:$1,0)+1,FALSE)</f>
        <v>0</v>
      </c>
      <c r="V172" s="7">
        <v>0</v>
      </c>
      <c r="W172" s="7">
        <v>100</v>
      </c>
      <c r="X172" s="7">
        <v>0</v>
      </c>
      <c r="Y172" s="20">
        <f ca="1">VLOOKUP($J172,OFFSET([3]enemies!$A$1,0,0,COUNTA([3]enemies!$A:$A),MATCH(Y$1,[3]enemies!$1:$1,0)-MATCH($J$1,[3]enemies!$1:$1,0)+1),MATCH(Y$1,[3]enemies!$1:$1,0)-MATCH($J$1,[3]enemies!$1:$1,0)+1,FALSE)</f>
        <v>2</v>
      </c>
      <c r="Z172" s="31">
        <v>21</v>
      </c>
      <c r="AA172" s="5" t="str">
        <f ca="1">IFERROR(VLOOKUP($Z172,OFFSET([4]characters!$A$1,0,0,COUNTA([4]characters!$A:$A),MATCH(AA$1,[4]characters!$1:$1,0)-MATCH("character_id",[4]characters!$1:$1,0)+1),MATCH(AA$1,[4]characters!$1:$1,0)-MATCH("character_id",[4]characters!$1:$1,0)+1,FALSE),"")</f>
        <v>ヴェロキー</v>
      </c>
      <c r="AB172" s="5">
        <f ca="1">IFERROR(VLOOKUP($Z172,OFFSET([4]characters!$A$1,0,0,COUNTA([4]characters!$A:$A),MATCH(AB$1,[4]characters!$1:$1,0)-MATCH("character_id",[4]characters!$1:$1,0)+1),MATCH(AB$1,[4]characters!$1:$1,0)-MATCH("character_id",[4]characters!$1:$1,0)+1,FALSE),"")</f>
        <v>1</v>
      </c>
      <c r="AC172" s="5" t="str">
        <f ca="1">IFERROR(VLOOKUP($Z172,OFFSET([4]characters!$A$1,0,0,COUNTA([4]characters!$A:$A),MATCH(AC$1,[4]characters!$1:$1,0)-MATCH("character_id",[4]characters!$1:$1,0)+1),MATCH(AC$1,[4]characters!$1:$1,0)-MATCH("character_id",[4]characters!$1:$1,0)+1,FALSE),"")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72" s="8">
        <v>1</v>
      </c>
      <c r="AE172" s="28">
        <f t="shared" ca="1" si="156"/>
        <v>1</v>
      </c>
      <c r="AF172" s="7">
        <v>25</v>
      </c>
      <c r="AG172" s="8">
        <v>0</v>
      </c>
      <c r="AH172" s="8">
        <v>0</v>
      </c>
      <c r="AI172" s="8">
        <v>0</v>
      </c>
      <c r="AJ172" s="8">
        <v>0</v>
      </c>
      <c r="AK172" s="8">
        <v>1</v>
      </c>
      <c r="AL172" s="8">
        <v>1</v>
      </c>
    </row>
    <row r="173" spans="1:38" ht="21" customHeight="1" x14ac:dyDescent="0.15">
      <c r="A173" s="17" t="str">
        <f t="shared" ca="1" si="153"/>
        <v>13101_18-2/57&lt;lv54&gt;s2</v>
      </c>
      <c r="B173" s="26">
        <v>13101</v>
      </c>
      <c r="C173" s="25">
        <v>18</v>
      </c>
      <c r="D173" s="2" t="str">
        <f t="shared" si="154"/>
        <v>13101_18</v>
      </c>
      <c r="E173" s="5" t="str">
        <f ca="1">VLOOKUP($B173,OFFSET([2]quests!$A$1,0,0,COUNTA([2]quests!$A:$A),MATCH(E$1,[2]quests!$1:$1,0)-MATCH($B$1,[2]quests!$1:$1,0)+1),MATCH(E$1,[2]quests!$1:$1,0)-MATCH($B$1,[2]quests!$1:$1,0)+1,FALSE)</f>
        <v>チャレンジタワー</v>
      </c>
      <c r="F173" s="5" t="e">
        <f ca="1">VLOOKUP($D173,OFFSET([2]stages!$A$1,0,0,COUNTA([2]stages!$A:$A),MATCH(F$1,[2]stages!$1:$1,0)-MATCH($D$1,[2]stages!$1:$1,0)+1),MATCH(F$1,[2]stages!$1:$1,0)-MATCH($D$1,[2]stages!$1:$1,0)+1,FALSE)</f>
        <v>#N/A</v>
      </c>
      <c r="G173" s="33">
        <v>2</v>
      </c>
      <c r="H173" s="16" t="str">
        <f t="shared" si="155"/>
        <v>13101_18-2</v>
      </c>
      <c r="I173" s="39" t="s">
        <v>245</v>
      </c>
      <c r="J173" s="31">
        <v>57</v>
      </c>
      <c r="K173" s="20" t="str">
        <f ca="1">VLOOKUP($J173,OFFSET([3]enemies!$A$1,0,0,COUNTA([3]enemies!$A:$A),MATCH(K$1,[3]enemies!$1:$1,0)-MATCH($J$1,[3]enemies!$1:$1,0)+1),MATCH(K$1,[3]enemies!$1:$1,0)-MATCH($J$1,[3]enemies!$1:$1,0)+1,FALSE)</f>
        <v>チェン・リー</v>
      </c>
      <c r="L173" s="23" t="str">
        <f ca="1">VLOOKUP($J173,OFFSET([3]enemies!$A$1,0,0,COUNTA([3]enemies!$A:$A),MATCH(L$1,[3]enemies!$1:$1,0)-MATCH($J$1,[3]enemies!$1:$1,0)+1),MATCH(L$1,[3]enemies!$1:$1,0)-MATCH($J$1,[3]enemies!$1:$1,0)+1,FALSE)</f>
        <v>red</v>
      </c>
      <c r="M173" s="23" t="str">
        <f ca="1">VLOOKUP($J173,OFFSET([4]characters!$A$1,0,0,COUNTA([4]characters!$A:$A),MATCH(M$1,[4]characters!$1:$1,0)-MATCH($J$1,[4]characters!$1:$1,0)+1),MATCH(M$1,[4]characters!$1:$1,0)-MATCH($J$1,[4]characters!$1:$1,0)+1,FALSE)</f>
        <v>Drop1N</v>
      </c>
      <c r="N173" s="22" t="str">
        <f ca="1">VLOOKUP($J173,OFFSET([4]characters!$A$1,0,0,COUNTA([4]characters!$A:$A),MATCH(N$1,[4]characters!$1:$1,0)-MATCH($J$1,[4]characters!$1:$1,0)+2),MATCH(N$1,[4]characters!$1:$1,0)-MATCH($J$1,[4]characters!$1:$1,0)+2,FALSE)</f>
        <v>アニマル</v>
      </c>
      <c r="O173" s="5">
        <f ca="1">VLOOKUP($J173,OFFSET([3]enemies!$A$1,0,0,COUNTA([3]enemies!$A:$A),MATCH(O$1,[3]enemies!$1:$1,0)-MATCH($J$1,[3]enemies!$1:$1,0)+1),MATCH(O$1,[3]enemies!$1:$1,0)-MATCH($J$1,[3]enemies!$1:$1,0)+1,FALSE)</f>
        <v>15</v>
      </c>
      <c r="P173" s="47">
        <v>54</v>
      </c>
      <c r="Q173" s="43">
        <v>1</v>
      </c>
      <c r="R173" s="43">
        <v>1</v>
      </c>
      <c r="S173" s="6">
        <v>0</v>
      </c>
      <c r="T173" s="5" t="str">
        <f ca="1">VLOOKUP($U173,OFFSET([5]enemy_skill_sets!$B$1,0,0,COUNTA([5]enemy_skill_sets!$B:$B),MATCH(K$1,[5]enemy_skill_sets!$1:$1,0)-MATCH($U$1,[5]enemy_skill_sets!$1:$1,0)+2),MATCH(K$1,[5]enemy_skill_sets!$1:$1,0)-MATCH($U$1,[5]enemy_skill_sets!$1:$1,0)+2,FALSE)</f>
        <v>3ターン攻撃力小UP</v>
      </c>
      <c r="U173" s="5">
        <f ca="1">VLOOKUP($J173,OFFSET([3]enemies!$A$1,0,0,COUNTA([3]enemies!$A:$A),MATCH(U$1,[3]enemies!$1:$1,0)-MATCH($J$1,[3]enemies!$1:$1,0)+1),MATCH(U$1,[3]enemies!$1:$1,0)-MATCH($J$1,[3]enemies!$1:$1,0)+1,FALSE)</f>
        <v>57</v>
      </c>
      <c r="V173" s="7">
        <v>1</v>
      </c>
      <c r="W173" s="7">
        <v>100</v>
      </c>
      <c r="X173" s="7">
        <v>0</v>
      </c>
      <c r="Y173" s="20">
        <f ca="1">VLOOKUP($J173,OFFSET([3]enemies!$A$1,0,0,COUNTA([3]enemies!$A:$A),MATCH(Y$1,[3]enemies!$1:$1,0)-MATCH($J$1,[3]enemies!$1:$1,0)+1),MATCH(Y$1,[3]enemies!$1:$1,0)-MATCH($J$1,[3]enemies!$1:$1,0)+1,FALSE)</f>
        <v>2</v>
      </c>
      <c r="Z173" s="32">
        <v>57</v>
      </c>
      <c r="AA173" s="5" t="str">
        <f ca="1">IFERROR(VLOOKUP($Z173,OFFSET([4]characters!$A$1,0,0,COUNTA([4]characters!$A:$A),MATCH(AA$1,[4]characters!$1:$1,0)-MATCH("character_id",[4]characters!$1:$1,0)+1),MATCH(AA$1,[4]characters!$1:$1,0)-MATCH("character_id",[4]characters!$1:$1,0)+1,FALSE),"")</f>
        <v>チェン・リー</v>
      </c>
      <c r="AB173" s="5">
        <f ca="1">IFERROR(VLOOKUP($Z173,OFFSET([4]characters!$A$1,0,0,COUNTA([4]characters!$A:$A),MATCH(AB$1,[4]characters!$1:$1,0)-MATCH("character_id",[4]characters!$1:$1,0)+1),MATCH(AB$1,[4]characters!$1:$1,0)-MATCH("character_id",[4]characters!$1:$1,0)+1,FALSE),"")</f>
        <v>2</v>
      </c>
      <c r="AC173" s="5" t="str">
        <f ca="1">IFERROR(VLOOKUP($Z173,OFFSET([4]characters!$A$1,0,0,COUNTA([4]characters!$A:$A),MATCH(AC$1,[4]characters!$1:$1,0)-MATCH("character_id",[4]characters!$1:$1,0)+1),MATCH(AC$1,[4]characters!$1:$1,0)-MATCH("character_id",[4]characters!$1:$1,0)+1,FALSE),"")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73" s="8">
        <v>1</v>
      </c>
      <c r="AE173" s="28">
        <f t="shared" ca="1" si="156"/>
        <v>2</v>
      </c>
      <c r="AF173" s="7">
        <v>25</v>
      </c>
      <c r="AG173" s="8">
        <v>0</v>
      </c>
      <c r="AH173" s="8">
        <v>0</v>
      </c>
      <c r="AI173" s="8">
        <v>0</v>
      </c>
      <c r="AJ173" s="8">
        <v>0</v>
      </c>
      <c r="AK173" s="8">
        <v>1</v>
      </c>
      <c r="AL173" s="8">
        <v>1</v>
      </c>
    </row>
    <row r="174" spans="1:38" ht="21" customHeight="1" x14ac:dyDescent="0.15">
      <c r="A174" s="17" t="str">
        <f t="shared" ref="A174" ca="1" si="157">B174&amp;"_"&amp;C174&amp;"-"&amp;G174&amp;"/"&amp;J174&amp;"&lt;lv"&amp;P174&amp;"&gt;s"&amp;Y174</f>
        <v>13101_18-3/1&lt;lv54&gt;s1</v>
      </c>
      <c r="B174" s="26">
        <v>13101</v>
      </c>
      <c r="C174" s="25">
        <v>18</v>
      </c>
      <c r="D174" s="2" t="str">
        <f t="shared" ref="D174" si="158">B174&amp;"_"&amp;C174</f>
        <v>13101_18</v>
      </c>
      <c r="E174" s="5" t="str">
        <f ca="1">VLOOKUP($B174,OFFSET([2]quests!$A$1,0,0,COUNTA([2]quests!$A:$A),MATCH(E$1,[2]quests!$1:$1,0)-MATCH($B$1,[2]quests!$1:$1,0)+1),MATCH(E$1,[2]quests!$1:$1,0)-MATCH($B$1,[2]quests!$1:$1,0)+1,FALSE)</f>
        <v>チャレンジタワー</v>
      </c>
      <c r="F174" s="5" t="e">
        <f ca="1">VLOOKUP($D174,OFFSET([2]stages!$A$1,0,0,COUNTA([2]stages!$A:$A),MATCH(F$1,[2]stages!$1:$1,0)-MATCH($D$1,[2]stages!$1:$1,0)+1),MATCH(F$1,[2]stages!$1:$1,0)-MATCH($D$1,[2]stages!$1:$1,0)+1,FALSE)</f>
        <v>#N/A</v>
      </c>
      <c r="G174" s="33">
        <v>3</v>
      </c>
      <c r="H174" s="16" t="str">
        <f t="shared" ref="H174" si="159">B174&amp;"_"&amp;C174&amp;"-"&amp;G174</f>
        <v>13101_18-3</v>
      </c>
      <c r="I174" s="39" t="s">
        <v>245</v>
      </c>
      <c r="J174" s="31">
        <v>1</v>
      </c>
      <c r="K174" s="20" t="str">
        <f ca="1">VLOOKUP($J174,OFFSET([3]enemies!$A$1,0,0,COUNTA([3]enemies!$A:$A),MATCH(K$1,[3]enemies!$1:$1,0)-MATCH($J$1,[3]enemies!$1:$1,0)+1),MATCH(K$1,[3]enemies!$1:$1,0)-MATCH($J$1,[3]enemies!$1:$1,0)+1,FALSE)</f>
        <v>ジェリー</v>
      </c>
      <c r="L174" s="23" t="str">
        <f ca="1">VLOOKUP($J174,OFFSET([3]enemies!$A$1,0,0,COUNTA([3]enemies!$A:$A),MATCH(L$1,[3]enemies!$1:$1,0)-MATCH($J$1,[3]enemies!$1:$1,0)+1),MATCH(L$1,[3]enemies!$1:$1,0)-MATCH($J$1,[3]enemies!$1:$1,0)+1,FALSE)</f>
        <v>red</v>
      </c>
      <c r="M174" s="23" t="str">
        <f ca="1">VLOOKUP($J174,OFFSET([4]characters!$A$1,0,0,COUNTA([4]characters!$A:$A),MATCH(M$1,[4]characters!$1:$1,0)-MATCH($J$1,[4]characters!$1:$1,0)+1),MATCH(M$1,[4]characters!$1:$1,0)-MATCH($J$1,[4]characters!$1:$1,0)+1,FALSE)</f>
        <v>Drop1T</v>
      </c>
      <c r="N174" s="22" t="str">
        <f ca="1">VLOOKUP($J174,OFFSET([4]characters!$A$1,0,0,COUNTA([4]characters!$A:$A),MATCH(N$1,[4]characters!$1:$1,0)-MATCH($J$1,[4]characters!$1:$1,0)+2),MATCH(N$1,[4]characters!$1:$1,0)-MATCH($J$1,[4]characters!$1:$1,0)+2,FALSE)</f>
        <v>Unknown</v>
      </c>
      <c r="O174" s="5">
        <f ca="1">VLOOKUP($J174,OFFSET([3]enemies!$A$1,0,0,COUNTA([3]enemies!$A:$A),MATCH(O$1,[3]enemies!$1:$1,0)-MATCH($J$1,[3]enemies!$1:$1,0)+1),MATCH(O$1,[3]enemies!$1:$1,0)-MATCH($J$1,[3]enemies!$1:$1,0)+1,FALSE)</f>
        <v>15</v>
      </c>
      <c r="P174" s="47">
        <v>54</v>
      </c>
      <c r="Q174" s="43">
        <v>1</v>
      </c>
      <c r="R174" s="43">
        <v>1</v>
      </c>
      <c r="S174" s="6">
        <v>0</v>
      </c>
      <c r="T174" s="5" t="str">
        <f ca="1">VLOOKUP($U174,OFFSET([5]enemy_skill_sets!$B$1,0,0,COUNTA([5]enemy_skill_sets!$B:$B),MATCH(K$1,[5]enemy_skill_sets!$1:$1,0)-MATCH($U$1,[5]enemy_skill_sets!$1:$1,0)+2),MATCH(K$1,[5]enemy_skill_sets!$1:$1,0)-MATCH($U$1,[5]enemy_skill_sets!$1:$1,0)+2,FALSE)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74" s="5">
        <f ca="1">VLOOKUP($J174,OFFSET([3]enemies!$A$1,0,0,COUNTA([3]enemies!$A:$A),MATCH(U$1,[3]enemies!$1:$1,0)-MATCH($J$1,[3]enemies!$1:$1,0)+1),MATCH(U$1,[3]enemies!$1:$1,0)-MATCH($J$1,[3]enemies!$1:$1,0)+1,FALSE)</f>
        <v>0</v>
      </c>
      <c r="V174" s="7">
        <v>0</v>
      </c>
      <c r="W174" s="7">
        <v>100</v>
      </c>
      <c r="X174" s="7">
        <v>0</v>
      </c>
      <c r="Y174" s="20">
        <f ca="1">VLOOKUP($J174,OFFSET([3]enemies!$A$1,0,0,COUNTA([3]enemies!$A:$A),MATCH(Y$1,[3]enemies!$1:$1,0)-MATCH($J$1,[3]enemies!$1:$1,0)+1),MATCH(Y$1,[3]enemies!$1:$1,0)-MATCH($J$1,[3]enemies!$1:$1,0)+1,FALSE)</f>
        <v>1</v>
      </c>
      <c r="Z174" s="31">
        <v>1</v>
      </c>
      <c r="AA174" s="5" t="str">
        <f ca="1">IFERROR(VLOOKUP($Z174,OFFSET([4]characters!$A$1,0,0,COUNTA([4]characters!$A:$A),MATCH(AA$1,[4]characters!$1:$1,0)-MATCH("character_id",[4]characters!$1:$1,0)+1),MATCH(AA$1,[4]characters!$1:$1,0)-MATCH("character_id",[4]characters!$1:$1,0)+1,FALSE),"")</f>
        <v>ジェリー</v>
      </c>
      <c r="AB174" s="5">
        <f ca="1">IFERROR(VLOOKUP($Z174,OFFSET([4]characters!$A$1,0,0,COUNTA([4]characters!$A:$A),MATCH(AB$1,[4]characters!$1:$1,0)-MATCH("character_id",[4]characters!$1:$1,0)+1),MATCH(AB$1,[4]characters!$1:$1,0)-MATCH("character_id",[4]characters!$1:$1,0)+1,FALSE),"")</f>
        <v>1</v>
      </c>
      <c r="AC174" s="5" t="str">
        <f ca="1">IFERROR(VLOOKUP($Z174,OFFSET([4]characters!$A$1,0,0,COUNTA([4]characters!$A:$A),MATCH(AC$1,[4]characters!$1:$1,0)-MATCH("character_id",[4]characters!$1:$1,0)+1),MATCH(AC$1,[4]characters!$1:$1,0)-MATCH("character_id",[4]characters!$1:$1,0)+1,FALSE),"")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174" s="8">
        <v>1</v>
      </c>
      <c r="AE174" s="28">
        <f t="shared" ref="AE174" ca="1" si="160">AB174</f>
        <v>1</v>
      </c>
      <c r="AF174" s="7">
        <v>25</v>
      </c>
      <c r="AG174" s="8">
        <v>0</v>
      </c>
      <c r="AH174" s="8">
        <v>0</v>
      </c>
      <c r="AI174" s="8">
        <v>0</v>
      </c>
      <c r="AJ174" s="8">
        <v>0</v>
      </c>
      <c r="AK174" s="8">
        <v>1</v>
      </c>
      <c r="AL174" s="8">
        <v>1</v>
      </c>
    </row>
    <row r="175" spans="1:38" ht="21" customHeight="1" x14ac:dyDescent="0.15">
      <c r="A175" s="17" t="str">
        <f t="shared" ref="A175" ca="1" si="161">B175&amp;"_"&amp;C175&amp;"-"&amp;G175&amp;"/"&amp;J175&amp;"&lt;lv"&amp;P175&amp;"&gt;s"&amp;Y175</f>
        <v>13101_18-4/9&lt;lv51&gt;s2</v>
      </c>
      <c r="B175" s="26">
        <v>13101</v>
      </c>
      <c r="C175" s="25">
        <v>18</v>
      </c>
      <c r="D175" s="2" t="str">
        <f t="shared" ref="D175" si="162">B175&amp;"_"&amp;C175</f>
        <v>13101_18</v>
      </c>
      <c r="E175" s="5" t="str">
        <f ca="1">VLOOKUP($B175,OFFSET([2]quests!$A$1,0,0,COUNTA([2]quests!$A:$A),MATCH(E$1,[2]quests!$1:$1,0)-MATCH($B$1,[2]quests!$1:$1,0)+1),MATCH(E$1,[2]quests!$1:$1,0)-MATCH($B$1,[2]quests!$1:$1,0)+1,FALSE)</f>
        <v>チャレンジタワー</v>
      </c>
      <c r="F175" s="5" t="e">
        <f ca="1">VLOOKUP($D175,OFFSET([2]stages!$A$1,0,0,COUNTA([2]stages!$A:$A),MATCH(F$1,[2]stages!$1:$1,0)-MATCH($D$1,[2]stages!$1:$1,0)+1),MATCH(F$1,[2]stages!$1:$1,0)-MATCH($D$1,[2]stages!$1:$1,0)+1,FALSE)</f>
        <v>#N/A</v>
      </c>
      <c r="G175" s="33">
        <v>4</v>
      </c>
      <c r="H175" s="16" t="str">
        <f t="shared" ref="H175" si="163">B175&amp;"_"&amp;C175&amp;"-"&amp;G175</f>
        <v>13101_18-4</v>
      </c>
      <c r="I175" s="39" t="s">
        <v>245</v>
      </c>
      <c r="J175" s="31">
        <v>9</v>
      </c>
      <c r="K175" s="20" t="str">
        <f ca="1">VLOOKUP($J175,OFFSET([3]enemies!$A$1,0,0,COUNTA([3]enemies!$A:$A),MATCH(K$1,[3]enemies!$1:$1,0)-MATCH($J$1,[3]enemies!$1:$1,0)+1),MATCH(K$1,[3]enemies!$1:$1,0)-MATCH($J$1,[3]enemies!$1:$1,0)+1,FALSE)</f>
        <v>ブレット</v>
      </c>
      <c r="L175" s="23" t="str">
        <f ca="1">VLOOKUP($J175,OFFSET([3]enemies!$A$1,0,0,COUNTA([3]enemies!$A:$A),MATCH(L$1,[3]enemies!$1:$1,0)-MATCH($J$1,[3]enemies!$1:$1,0)+1),MATCH(L$1,[3]enemies!$1:$1,0)-MATCH($J$1,[3]enemies!$1:$1,0)+1,FALSE)</f>
        <v>red</v>
      </c>
      <c r="M175" s="23" t="str">
        <f ca="1">VLOOKUP($J175,OFFSET([4]characters!$A$1,0,0,COUNTA([4]characters!$A:$A),MATCH(M$1,[4]characters!$1:$1,0)-MATCH($J$1,[4]characters!$1:$1,0)+1),MATCH(M$1,[4]characters!$1:$1,0)-MATCH($J$1,[4]characters!$1:$1,0)+1,FALSE)</f>
        <v>Drop1W</v>
      </c>
      <c r="N175" s="22" t="str">
        <f ca="1">VLOOKUP($J175,OFFSET([4]characters!$A$1,0,0,COUNTA([4]characters!$A:$A),MATCH(N$1,[4]characters!$1:$1,0)-MATCH($J$1,[4]characters!$1:$1,0)+2),MATCH(N$1,[4]characters!$1:$1,0)-MATCH($J$1,[4]characters!$1:$1,0)+2,FALSE)</f>
        <v>アニマル</v>
      </c>
      <c r="O175" s="5">
        <f ca="1">VLOOKUP($J175,OFFSET([3]enemies!$A$1,0,0,COUNTA([3]enemies!$A:$A),MATCH(O$1,[3]enemies!$1:$1,0)-MATCH($J$1,[3]enemies!$1:$1,0)+1),MATCH(O$1,[3]enemies!$1:$1,0)-MATCH($J$1,[3]enemies!$1:$1,0)+1,FALSE)</f>
        <v>15</v>
      </c>
      <c r="P175" s="47">
        <v>51</v>
      </c>
      <c r="Q175" s="43">
        <v>1</v>
      </c>
      <c r="R175" s="43">
        <v>1</v>
      </c>
      <c r="S175" s="6">
        <v>0</v>
      </c>
      <c r="T175" s="5" t="str">
        <f ca="1">VLOOKUP($U175,OFFSET([5]enemy_skill_sets!$B$1,0,0,COUNTA([5]enemy_skill_sets!$B:$B),MATCH(K$1,[5]enemy_skill_sets!$1:$1,0)-MATCH($U$1,[5]enemy_skill_sets!$1:$1,0)+2),MATCH(K$1,[5]enemy_skill_sets!$1:$1,0)-MATCH($U$1,[5]enemy_skill_sets!$1:$1,0)+2,FALSE)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75" s="5">
        <f ca="1">VLOOKUP($J175,OFFSET([3]enemies!$A$1,0,0,COUNTA([3]enemies!$A:$A),MATCH(U$1,[3]enemies!$1:$1,0)-MATCH($J$1,[3]enemies!$1:$1,0)+1),MATCH(U$1,[3]enemies!$1:$1,0)-MATCH($J$1,[3]enemies!$1:$1,0)+1,FALSE)</f>
        <v>0</v>
      </c>
      <c r="V175" s="7">
        <v>0</v>
      </c>
      <c r="W175" s="7">
        <v>100</v>
      </c>
      <c r="X175" s="7">
        <v>0</v>
      </c>
      <c r="Y175" s="20">
        <f ca="1">VLOOKUP($J175,OFFSET([3]enemies!$A$1,0,0,COUNTA([3]enemies!$A:$A),MATCH(Y$1,[3]enemies!$1:$1,0)-MATCH($J$1,[3]enemies!$1:$1,0)+1),MATCH(Y$1,[3]enemies!$1:$1,0)-MATCH($J$1,[3]enemies!$1:$1,0)+1,FALSE)</f>
        <v>2</v>
      </c>
      <c r="Z175" s="31">
        <v>9</v>
      </c>
      <c r="AA175" s="5" t="str">
        <f ca="1">IFERROR(VLOOKUP($Z175,OFFSET([4]characters!$A$1,0,0,COUNTA([4]characters!$A:$A),MATCH(AA$1,[4]characters!$1:$1,0)-MATCH("character_id",[4]characters!$1:$1,0)+1),MATCH(AA$1,[4]characters!$1:$1,0)-MATCH("character_id",[4]characters!$1:$1,0)+1,FALSE),"")</f>
        <v>ブレット</v>
      </c>
      <c r="AB175" s="5">
        <f ca="1">IFERROR(VLOOKUP($Z175,OFFSET([4]characters!$A$1,0,0,COUNTA([4]characters!$A:$A),MATCH(AB$1,[4]characters!$1:$1,0)-MATCH("character_id",[4]characters!$1:$1,0)+1),MATCH(AB$1,[4]characters!$1:$1,0)-MATCH("character_id",[4]characters!$1:$1,0)+1,FALSE),"")</f>
        <v>1</v>
      </c>
      <c r="AC175" s="5" t="str">
        <f ca="1">IFERROR(VLOOKUP($Z175,OFFSET([4]characters!$A$1,0,0,COUNTA([4]characters!$A:$A),MATCH(AC$1,[4]characters!$1:$1,0)-MATCH("character_id",[4]characters!$1:$1,0)+1),MATCH(AC$1,[4]characters!$1:$1,0)-MATCH("character_id",[4]characters!$1:$1,0)+1,FALSE),"")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75" s="8">
        <v>1</v>
      </c>
      <c r="AE175" s="28">
        <f t="shared" ref="AE175" ca="1" si="164">AB175</f>
        <v>1</v>
      </c>
      <c r="AF175" s="7">
        <v>25</v>
      </c>
      <c r="AG175" s="8">
        <v>0</v>
      </c>
      <c r="AH175" s="8">
        <v>0</v>
      </c>
      <c r="AI175" s="8">
        <v>0</v>
      </c>
      <c r="AJ175" s="8">
        <v>0</v>
      </c>
      <c r="AK175" s="8">
        <v>1</v>
      </c>
      <c r="AL175" s="8">
        <v>1</v>
      </c>
    </row>
    <row r="176" spans="1:38" ht="21" customHeight="1" x14ac:dyDescent="0.15">
      <c r="A176" s="17" t="str">
        <f t="shared" ca="1" si="83"/>
        <v>13101_18-5/203&lt;lv58&gt;s3</v>
      </c>
      <c r="B176" s="26">
        <v>13101</v>
      </c>
      <c r="C176" s="25">
        <v>18</v>
      </c>
      <c r="D176" s="2" t="str">
        <f t="shared" si="124"/>
        <v>13101_18</v>
      </c>
      <c r="E176" s="5" t="str">
        <f ca="1">VLOOKUP($B176,OFFSET([2]quests!$A$1,0,0,COUNTA([2]quests!$A:$A),MATCH(E$1,[2]quests!$1:$1,0)-MATCH($B$1,[2]quests!$1:$1,0)+1),MATCH(E$1,[2]quests!$1:$1,0)-MATCH($B$1,[2]quests!$1:$1,0)+1,FALSE)</f>
        <v>チャレンジタワー</v>
      </c>
      <c r="F176" s="5" t="e">
        <f ca="1">VLOOKUP($D176,OFFSET([2]stages!$A$1,0,0,COUNTA([2]stages!$A:$A),MATCH(F$1,[2]stages!$1:$1,0)-MATCH($D$1,[2]stages!$1:$1,0)+1),MATCH(F$1,[2]stages!$1:$1,0)-MATCH($D$1,[2]stages!$1:$1,0)+1,FALSE)</f>
        <v>#N/A</v>
      </c>
      <c r="G176" s="33">
        <v>5</v>
      </c>
      <c r="H176" s="16" t="str">
        <f t="shared" si="85"/>
        <v>13101_18-5</v>
      </c>
      <c r="I176" s="39" t="s">
        <v>245</v>
      </c>
      <c r="J176" s="31">
        <v>203</v>
      </c>
      <c r="K176" s="20" t="str">
        <f ca="1">VLOOKUP($J176,OFFSET([3]enemies!$A$1,0,0,COUNTA([3]enemies!$A:$A),MATCH(K$1,[3]enemies!$1:$1,0)-MATCH($J$1,[3]enemies!$1:$1,0)+1),MATCH(K$1,[3]enemies!$1:$1,0)-MATCH($J$1,[3]enemies!$1:$1,0)+1,FALSE)</f>
        <v>焔神 プロメテウス</v>
      </c>
      <c r="L176" s="23" t="str">
        <f ca="1">VLOOKUP($J176,OFFSET([3]enemies!$A$1,0,0,COUNTA([3]enemies!$A:$A),MATCH(L$1,[3]enemies!$1:$1,0)-MATCH($J$1,[3]enemies!$1:$1,0)+1),MATCH(L$1,[3]enemies!$1:$1,0)-MATCH($J$1,[3]enemies!$1:$1,0)+1,FALSE)</f>
        <v>red</v>
      </c>
      <c r="M176" s="23" t="str">
        <f ca="1">VLOOKUP($J176,OFFSET([4]characters!$A$1,0,0,COUNTA([4]characters!$A:$A),MATCH(M$1,[4]characters!$1:$1,0)-MATCH($J$1,[4]characters!$1:$1,0)+1),MATCH(M$1,[4]characters!$1:$1,0)-MATCH($J$1,[4]characters!$1:$1,0)+1,FALSE)</f>
        <v>PremiumN</v>
      </c>
      <c r="N176" s="22" t="str">
        <f ca="1">VLOOKUP($J176,OFFSET([4]characters!$A$1,0,0,COUNTA([4]characters!$A:$A),MATCH(N$1,[4]characters!$1:$1,0)-MATCH($J$1,[4]characters!$1:$1,0)+2),MATCH(N$1,[4]characters!$1:$1,0)-MATCH($J$1,[4]characters!$1:$1,0)+2,FALSE)</f>
        <v>ゴッド</v>
      </c>
      <c r="O176" s="5">
        <f ca="1">VLOOKUP($J176,OFFSET([3]enemies!$A$1,0,0,COUNTA([3]enemies!$A:$A),MATCH(O$1,[3]enemies!$1:$1,0)-MATCH($J$1,[3]enemies!$1:$1,0)+1),MATCH(O$1,[3]enemies!$1:$1,0)-MATCH($J$1,[3]enemies!$1:$1,0)+1,FALSE)</f>
        <v>30</v>
      </c>
      <c r="P176" s="48">
        <v>58</v>
      </c>
      <c r="Q176" s="43">
        <v>1</v>
      </c>
      <c r="R176" s="43">
        <v>1</v>
      </c>
      <c r="S176" s="6">
        <v>0</v>
      </c>
      <c r="T176" s="5" t="str">
        <f ca="1">VLOOKUP($U176,OFFSET([5]enemy_skill_sets!$B$1,0,0,COUNTA([5]enemy_skill_sets!$B:$B),MATCH(K$1,[5]enemy_skill_sets!$1:$1,0)-MATCH($U$1,[5]enemy_skill_sets!$1:$1,0)+2),MATCH(K$1,[5]enemy_skill_sets!$1:$1,0)-MATCH($U$1,[5]enemy_skill_sets!$1:$1,0)+2,FALSE)</f>
        <v>解除するまで回復力が100%DOWN</v>
      </c>
      <c r="U176" s="5">
        <f ca="1">VLOOKUP($J176,OFFSET([3]enemies!$A$1,0,0,COUNTA([3]enemies!$A:$A),MATCH(U$1,[3]enemies!$1:$1,0)-MATCH($J$1,[3]enemies!$1:$1,0)+1),MATCH(U$1,[3]enemies!$1:$1,0)-MATCH($J$1,[3]enemies!$1:$1,0)+1,FALSE)</f>
        <v>203</v>
      </c>
      <c r="V176" s="7">
        <v>1</v>
      </c>
      <c r="W176" s="7">
        <v>100</v>
      </c>
      <c r="X176" s="7">
        <v>0</v>
      </c>
      <c r="Y176" s="20">
        <f ca="1">VLOOKUP($J176,OFFSET([3]enemies!$A$1,0,0,COUNTA([3]enemies!$A:$A),MATCH(Y$1,[3]enemies!$1:$1,0)-MATCH($J$1,[3]enemies!$1:$1,0)+1),MATCH(Y$1,[3]enemies!$1:$1,0)-MATCH($J$1,[3]enemies!$1:$1,0)+1,FALSE)</f>
        <v>3</v>
      </c>
      <c r="Z176" s="31">
        <v>202</v>
      </c>
      <c r="AA176" s="5" t="str">
        <f ca="1">IFERROR(VLOOKUP($Z176,OFFSET([4]characters!$A$1,0,0,COUNTA([4]characters!$A:$A),MATCH(AA$1,[4]characters!$1:$1,0)-MATCH("character_id",[4]characters!$1:$1,0)+1),MATCH(AA$1,[4]characters!$1:$1,0)-MATCH("character_id",[4]characters!$1:$1,0)+1,FALSE),"")</f>
        <v>プロメテウス</v>
      </c>
      <c r="AB176" s="5">
        <f ca="1">IFERROR(VLOOKUP($Z176,OFFSET([4]characters!$A$1,0,0,COUNTA([4]characters!$A:$A),MATCH(AB$1,[4]characters!$1:$1,0)-MATCH("character_id",[4]characters!$1:$1,0)+1),MATCH(AB$1,[4]characters!$1:$1,0)-MATCH("character_id",[4]characters!$1:$1,0)+1,FALSE),"")</f>
        <v>3</v>
      </c>
      <c r="AC176" s="5" t="str">
        <f ca="1">IFERROR(VLOOKUP($Z176,OFFSET([4]characters!$A$1,0,0,COUNTA([4]characters!$A:$A),MATCH(AC$1,[4]characters!$1:$1,0)-MATCH("character_id",[4]characters!$1:$1,0)+1),MATCH(AC$1,[4]characters!$1:$1,0)-MATCH("character_id",[4]characters!$1:$1,0)+1,FALSE),"")</f>
        <v>PremiumN</v>
      </c>
      <c r="AD176" s="8">
        <v>1</v>
      </c>
      <c r="AE176" s="28">
        <f t="shared" ca="1" si="86"/>
        <v>3</v>
      </c>
      <c r="AF176" s="7">
        <v>0</v>
      </c>
      <c r="AG176" s="8">
        <v>0</v>
      </c>
      <c r="AH176" s="8">
        <v>0</v>
      </c>
      <c r="AI176" s="8">
        <v>0</v>
      </c>
      <c r="AJ176" s="8">
        <v>0</v>
      </c>
      <c r="AK176" s="8">
        <v>1</v>
      </c>
      <c r="AL176" s="8">
        <v>1</v>
      </c>
    </row>
    <row r="177" spans="1:38" ht="21" customHeight="1" x14ac:dyDescent="0.15">
      <c r="A177" s="17" t="str">
        <f t="shared" ref="A177" ca="1" si="165">B177&amp;"_"&amp;C177&amp;"-"&amp;G177&amp;"/"&amp;J177&amp;"&lt;lv"&amp;P177&amp;"&gt;s"&amp;Y177</f>
        <v>13101_18-5/226&lt;lv58&gt;s1</v>
      </c>
      <c r="B177" s="26">
        <v>13101</v>
      </c>
      <c r="C177" s="25">
        <v>18</v>
      </c>
      <c r="D177" s="2" t="str">
        <f t="shared" ref="D177" si="166">B177&amp;"_"&amp;C177</f>
        <v>13101_18</v>
      </c>
      <c r="E177" s="5" t="str">
        <f ca="1">VLOOKUP($B177,OFFSET([2]quests!$A$1,0,0,COUNTA([2]quests!$A:$A),MATCH(E$1,[2]quests!$1:$1,0)-MATCH($B$1,[2]quests!$1:$1,0)+1),MATCH(E$1,[2]quests!$1:$1,0)-MATCH($B$1,[2]quests!$1:$1,0)+1,FALSE)</f>
        <v>チャレンジタワー</v>
      </c>
      <c r="F177" s="5" t="e">
        <f ca="1">VLOOKUP($D177,OFFSET([2]stages!$A$1,0,0,COUNTA([2]stages!$A:$A),MATCH(F$1,[2]stages!$1:$1,0)-MATCH($D$1,[2]stages!$1:$1,0)+1),MATCH(F$1,[2]stages!$1:$1,0)-MATCH($D$1,[2]stages!$1:$1,0)+1,FALSE)</f>
        <v>#N/A</v>
      </c>
      <c r="G177" s="33">
        <v>5</v>
      </c>
      <c r="H177" s="16" t="str">
        <f t="shared" ref="H177" si="167">B177&amp;"_"&amp;C177&amp;"-"&amp;G177</f>
        <v>13101_18-5</v>
      </c>
      <c r="I177" s="39" t="s">
        <v>245</v>
      </c>
      <c r="J177" s="31">
        <v>226</v>
      </c>
      <c r="K177" s="20" t="str">
        <f ca="1">VLOOKUP($J177,OFFSET([3]enemies!$A$1,0,0,COUNTA([3]enemies!$A:$A),MATCH(K$1,[3]enemies!$1:$1,0)-MATCH($J$1,[3]enemies!$1:$1,0)+1),MATCH(K$1,[3]enemies!$1:$1,0)-MATCH($J$1,[3]enemies!$1:$1,0)+1,FALSE)</f>
        <v>アレス</v>
      </c>
      <c r="L177" s="23" t="str">
        <f ca="1">VLOOKUP($J177,OFFSET([3]enemies!$A$1,0,0,COUNTA([3]enemies!$A:$A),MATCH(L$1,[3]enemies!$1:$1,0)-MATCH($J$1,[3]enemies!$1:$1,0)+1),MATCH(L$1,[3]enemies!$1:$1,0)-MATCH($J$1,[3]enemies!$1:$1,0)+1,FALSE)</f>
        <v>red</v>
      </c>
      <c r="M177" s="23" t="str">
        <f ca="1">VLOOKUP($J177,OFFSET([4]characters!$A$1,0,0,COUNTA([4]characters!$A:$A),MATCH(M$1,[4]characters!$1:$1,0)-MATCH($J$1,[4]characters!$1:$1,0)+1),MATCH(M$1,[4]characters!$1:$1,0)-MATCH($J$1,[4]characters!$1:$1,0)+1,FALSE)</f>
        <v>PremiumS</v>
      </c>
      <c r="N177" s="22" t="str">
        <f ca="1">VLOOKUP($J177,OFFSET([4]characters!$A$1,0,0,COUNTA([4]characters!$A:$A),MATCH(N$1,[4]characters!$1:$1,0)-MATCH($J$1,[4]characters!$1:$1,0)+2),MATCH(N$1,[4]characters!$1:$1,0)-MATCH($J$1,[4]characters!$1:$1,0)+2,FALSE)</f>
        <v>ゴッド</v>
      </c>
      <c r="O177" s="5">
        <f ca="1">VLOOKUP($J177,OFFSET([3]enemies!$A$1,0,0,COUNTA([3]enemies!$A:$A),MATCH(O$1,[3]enemies!$1:$1,0)-MATCH($J$1,[3]enemies!$1:$1,0)+1),MATCH(O$1,[3]enemies!$1:$1,0)-MATCH($J$1,[3]enemies!$1:$1,0)+1,FALSE)</f>
        <v>20</v>
      </c>
      <c r="P177" s="48">
        <v>58</v>
      </c>
      <c r="Q177" s="43">
        <v>1</v>
      </c>
      <c r="R177" s="43">
        <v>1</v>
      </c>
      <c r="S177" s="6">
        <v>0</v>
      </c>
      <c r="T177" s="5" t="str">
        <f ca="1">VLOOKUP($U177,OFFSET([5]enemy_skill_sets!$B$1,0,0,COUNTA([5]enemy_skill_sets!$B:$B),MATCH(K$1,[5]enemy_skill_sets!$1:$1,0)-MATCH($U$1,[5]enemy_skill_sets!$1:$1,0)+2),MATCH(K$1,[5]enemy_skill_sets!$1:$1,0)-MATCH($U$1,[5]enemy_skill_sets!$1:$1,0)+2,FALSE)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77" s="5">
        <f ca="1">VLOOKUP($J177,OFFSET([3]enemies!$A$1,0,0,COUNTA([3]enemies!$A:$A),MATCH(U$1,[3]enemies!$1:$1,0)-MATCH($J$1,[3]enemies!$1:$1,0)+1),MATCH(U$1,[3]enemies!$1:$1,0)-MATCH($J$1,[3]enemies!$1:$1,0)+1,FALSE)</f>
        <v>0</v>
      </c>
      <c r="V177" s="7">
        <v>1</v>
      </c>
      <c r="W177" s="7">
        <v>100</v>
      </c>
      <c r="X177" s="7">
        <v>0</v>
      </c>
      <c r="Y177" s="20">
        <f ca="1">VLOOKUP($J177,OFFSET([3]enemies!$A$1,0,0,COUNTA([3]enemies!$A:$A),MATCH(Y$1,[3]enemies!$1:$1,0)-MATCH($J$1,[3]enemies!$1:$1,0)+1),MATCH(Y$1,[3]enemies!$1:$1,0)-MATCH($J$1,[3]enemies!$1:$1,0)+1,FALSE)</f>
        <v>1</v>
      </c>
      <c r="Z177" s="31">
        <v>226</v>
      </c>
      <c r="AA177" s="5" t="str">
        <f ca="1">IFERROR(VLOOKUP($Z177,OFFSET([4]characters!$A$1,0,0,COUNTA([4]characters!$A:$A),MATCH(AA$1,[4]characters!$1:$1,0)-MATCH("character_id",[4]characters!$1:$1,0)+1),MATCH(AA$1,[4]characters!$1:$1,0)-MATCH("character_id",[4]characters!$1:$1,0)+1,FALSE),"")</f>
        <v>アレス</v>
      </c>
      <c r="AB177" s="5">
        <f ca="1">IFERROR(VLOOKUP($Z177,OFFSET([4]characters!$A$1,0,0,COUNTA([4]characters!$A:$A),MATCH(AB$1,[4]characters!$1:$1,0)-MATCH("character_id",[4]characters!$1:$1,0)+1),MATCH(AB$1,[4]characters!$1:$1,0)-MATCH("character_id",[4]characters!$1:$1,0)+1,FALSE),"")</f>
        <v>3</v>
      </c>
      <c r="AC177" s="5" t="str">
        <f ca="1">IFERROR(VLOOKUP($Z177,OFFSET([4]characters!$A$1,0,0,COUNTA([4]characters!$A:$A),MATCH(AC$1,[4]characters!$1:$1,0)-MATCH("character_id",[4]characters!$1:$1,0)+1),MATCH(AC$1,[4]characters!$1:$1,0)-MATCH("character_id",[4]characters!$1:$1,0)+1,FALSE),"")</f>
        <v>PremiumS</v>
      </c>
      <c r="AD177" s="8">
        <v>1</v>
      </c>
      <c r="AE177" s="28">
        <f t="shared" ref="AE177" ca="1" si="168">AB177</f>
        <v>3</v>
      </c>
      <c r="AF177" s="7">
        <v>0</v>
      </c>
      <c r="AG177" s="8">
        <v>0</v>
      </c>
      <c r="AH177" s="8">
        <v>0</v>
      </c>
      <c r="AI177" s="8">
        <v>0</v>
      </c>
      <c r="AJ177" s="8">
        <v>0</v>
      </c>
      <c r="AK177" s="8">
        <v>1</v>
      </c>
      <c r="AL177" s="8">
        <v>1</v>
      </c>
    </row>
    <row r="178" spans="1:38" ht="21" customHeight="1" x14ac:dyDescent="0.15">
      <c r="A178" s="17" t="str">
        <f t="shared" ca="1" si="83"/>
        <v>13101_19-1/25&lt;lv60&gt;s3</v>
      </c>
      <c r="B178" s="26">
        <v>13101</v>
      </c>
      <c r="C178" s="25">
        <v>19</v>
      </c>
      <c r="D178" s="2" t="str">
        <f t="shared" si="124"/>
        <v>13101_19</v>
      </c>
      <c r="E178" s="5" t="str">
        <f ca="1">VLOOKUP($B178,OFFSET([2]quests!$A$1,0,0,COUNTA([2]quests!$A:$A),MATCH(E$1,[2]quests!$1:$1,0)-MATCH($B$1,[2]quests!$1:$1,0)+1),MATCH(E$1,[2]quests!$1:$1,0)-MATCH($B$1,[2]quests!$1:$1,0)+1,FALSE)</f>
        <v>チャレンジタワー</v>
      </c>
      <c r="F178" s="5" t="e">
        <f ca="1">VLOOKUP($D178,OFFSET([2]stages!$A$1,0,0,COUNTA([2]stages!$A:$A),MATCH(F$1,[2]stages!$1:$1,0)-MATCH($D$1,[2]stages!$1:$1,0)+1),MATCH(F$1,[2]stages!$1:$1,0)-MATCH($D$1,[2]stages!$1:$1,0)+1,FALSE)</f>
        <v>#N/A</v>
      </c>
      <c r="G178" s="33">
        <v>1</v>
      </c>
      <c r="H178" s="16" t="str">
        <f t="shared" si="85"/>
        <v>13101_19-1</v>
      </c>
      <c r="I178" s="39" t="s">
        <v>245</v>
      </c>
      <c r="J178" s="31">
        <v>25</v>
      </c>
      <c r="K178" s="20" t="str">
        <f ca="1">VLOOKUP($J178,OFFSET([3]enemies!$A$1,0,0,COUNTA([3]enemies!$A:$A),MATCH(K$1,[3]enemies!$1:$1,0)-MATCH($J$1,[3]enemies!$1:$1,0)+1),MATCH(K$1,[3]enemies!$1:$1,0)-MATCH($J$1,[3]enemies!$1:$1,0)+1,FALSE)</f>
        <v>ハチ</v>
      </c>
      <c r="L178" s="23" t="str">
        <f ca="1">VLOOKUP($J178,OFFSET([3]enemies!$A$1,0,0,COUNTA([3]enemies!$A:$A),MATCH(L$1,[3]enemies!$1:$1,0)-MATCH($J$1,[3]enemies!$1:$1,0)+1),MATCH(L$1,[3]enemies!$1:$1,0)-MATCH($J$1,[3]enemies!$1:$1,0)+1,FALSE)</f>
        <v>blue</v>
      </c>
      <c r="M178" s="23" t="str">
        <f ca="1">VLOOKUP($J178,OFFSET([4]characters!$A$1,0,0,COUNTA([4]characters!$A:$A),MATCH(M$1,[4]characters!$1:$1,0)-MATCH($J$1,[4]characters!$1:$1,0)+1),MATCH(M$1,[4]characters!$1:$1,0)-MATCH($J$1,[4]characters!$1:$1,0)+1,FALSE)</f>
        <v>Drop1N</v>
      </c>
      <c r="N178" s="22" t="str">
        <f ca="1">VLOOKUP($J178,OFFSET([4]characters!$A$1,0,0,COUNTA([4]characters!$A:$A),MATCH(N$1,[4]characters!$1:$1,0)-MATCH($J$1,[4]characters!$1:$1,0)+2),MATCH(N$1,[4]characters!$1:$1,0)-MATCH($J$1,[4]characters!$1:$1,0)+2,FALSE)</f>
        <v>アニマル</v>
      </c>
      <c r="O178" s="5">
        <f ca="1">VLOOKUP($J178,OFFSET([3]enemies!$A$1,0,0,COUNTA([3]enemies!$A:$A),MATCH(O$1,[3]enemies!$1:$1,0)-MATCH($J$1,[3]enemies!$1:$1,0)+1),MATCH(O$1,[3]enemies!$1:$1,0)-MATCH($J$1,[3]enemies!$1:$1,0)+1,FALSE)</f>
        <v>15</v>
      </c>
      <c r="P178" s="46">
        <v>60</v>
      </c>
      <c r="Q178" s="43">
        <v>1</v>
      </c>
      <c r="R178" s="43">
        <v>1</v>
      </c>
      <c r="S178" s="6">
        <v>0</v>
      </c>
      <c r="T178" s="5" t="str">
        <f ca="1">VLOOKUP($U178,OFFSET([5]enemy_skill_sets!$B$1,0,0,COUNTA([5]enemy_skill_sets!$B:$B),MATCH(K$1,[5]enemy_skill_sets!$1:$1,0)-MATCH($U$1,[5]enemy_skill_sets!$1:$1,0)+2),MATCH(K$1,[5]enemy_skill_sets!$1:$1,0)-MATCH($U$1,[5]enemy_skill_sets!$1:$1,0)+2,FALSE)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78" s="5">
        <f ca="1">VLOOKUP($J178,OFFSET([3]enemies!$A$1,0,0,COUNTA([3]enemies!$A:$A),MATCH(U$1,[3]enemies!$1:$1,0)-MATCH($J$1,[3]enemies!$1:$1,0)+1),MATCH(U$1,[3]enemies!$1:$1,0)-MATCH($J$1,[3]enemies!$1:$1,0)+1,FALSE)</f>
        <v>0</v>
      </c>
      <c r="V178" s="7">
        <v>1</v>
      </c>
      <c r="W178" s="7">
        <v>100</v>
      </c>
      <c r="X178" s="7">
        <v>0</v>
      </c>
      <c r="Y178" s="20">
        <f ca="1">VLOOKUP($J178,OFFSET([3]enemies!$A$1,0,0,COUNTA([3]enemies!$A:$A),MATCH(Y$1,[3]enemies!$1:$1,0)-MATCH($J$1,[3]enemies!$1:$1,0)+1),MATCH(Y$1,[3]enemies!$1:$1,0)-MATCH($J$1,[3]enemies!$1:$1,0)+1,FALSE)</f>
        <v>3</v>
      </c>
      <c r="Z178" s="31">
        <v>25</v>
      </c>
      <c r="AA178" s="5" t="str">
        <f ca="1">IFERROR(VLOOKUP($Z178,OFFSET([4]characters!$A$1,0,0,COUNTA([4]characters!$A:$A),MATCH(AA$1,[4]characters!$1:$1,0)-MATCH("character_id",[4]characters!$1:$1,0)+1),MATCH(AA$1,[4]characters!$1:$1,0)-MATCH("character_id",[4]characters!$1:$1,0)+1,FALSE),"")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178" s="5">
        <f ca="1">IFERROR(VLOOKUP($Z178,OFFSET([4]characters!$A$1,0,0,COUNTA([4]characters!$A:$A),MATCH(AB$1,[4]characters!$1:$1,0)-MATCH("character_id",[4]characters!$1:$1,0)+1),MATCH(AB$1,[4]characters!$1:$1,0)-MATCH("character_id",[4]characters!$1:$1,0)+1,FALSE),"")</f>
        <v>1</v>
      </c>
      <c r="AC178" s="5" t="str">
        <f ca="1">IFERROR(VLOOKUP($Z178,OFFSET([4]characters!$A$1,0,0,COUNTA([4]characters!$A:$A),MATCH(AC$1,[4]characters!$1:$1,0)-MATCH("character_id",[4]characters!$1:$1,0)+1),MATCH(AC$1,[4]characters!$1:$1,0)-MATCH("character_id",[4]characters!$1:$1,0)+1,FALSE),"")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78" s="8">
        <v>1</v>
      </c>
      <c r="AE178" s="28">
        <f t="shared" ca="1" si="86"/>
        <v>1</v>
      </c>
      <c r="AF178" s="7">
        <v>25</v>
      </c>
      <c r="AG178" s="8">
        <v>0</v>
      </c>
      <c r="AH178" s="8">
        <v>0</v>
      </c>
      <c r="AI178" s="8">
        <v>0</v>
      </c>
      <c r="AJ178" s="8">
        <v>0</v>
      </c>
      <c r="AK178" s="8">
        <v>1</v>
      </c>
      <c r="AL178" s="8">
        <v>1</v>
      </c>
    </row>
    <row r="179" spans="1:38" ht="21" customHeight="1" x14ac:dyDescent="0.15">
      <c r="A179" s="17" t="str">
        <f t="shared" ref="A179" ca="1" si="169">B179&amp;"_"&amp;C179&amp;"-"&amp;G179&amp;"/"&amp;J179&amp;"&lt;lv"&amp;P179&amp;"&gt;s"&amp;Y179</f>
        <v>13101_19-1/17&lt;lv63&gt;s2</v>
      </c>
      <c r="B179" s="26">
        <v>13101</v>
      </c>
      <c r="C179" s="25">
        <v>19</v>
      </c>
      <c r="D179" s="2" t="str">
        <f t="shared" ref="D179" si="170">B179&amp;"_"&amp;C179</f>
        <v>13101_19</v>
      </c>
      <c r="E179" s="5" t="str">
        <f ca="1">VLOOKUP($B179,OFFSET([2]quests!$A$1,0,0,COUNTA([2]quests!$A:$A),MATCH(E$1,[2]quests!$1:$1,0)-MATCH($B$1,[2]quests!$1:$1,0)+1),MATCH(E$1,[2]quests!$1:$1,0)-MATCH($B$1,[2]quests!$1:$1,0)+1,FALSE)</f>
        <v>チャレンジタワー</v>
      </c>
      <c r="F179" s="5" t="e">
        <f ca="1">VLOOKUP($D179,OFFSET([2]stages!$A$1,0,0,COUNTA([2]stages!$A:$A),MATCH(F$1,[2]stages!$1:$1,0)-MATCH($D$1,[2]stages!$1:$1,0)+1),MATCH(F$1,[2]stages!$1:$1,0)-MATCH($D$1,[2]stages!$1:$1,0)+1,FALSE)</f>
        <v>#N/A</v>
      </c>
      <c r="G179" s="33">
        <v>1</v>
      </c>
      <c r="H179" s="16" t="str">
        <f t="shared" ref="H179" si="171">B179&amp;"_"&amp;C179&amp;"-"&amp;G179</f>
        <v>13101_19-1</v>
      </c>
      <c r="I179" s="39" t="s">
        <v>245</v>
      </c>
      <c r="J179" s="31">
        <v>17</v>
      </c>
      <c r="K179" s="20" t="str">
        <f ca="1">VLOOKUP($J179,OFFSET([3]enemies!$A$1,0,0,COUNTA([3]enemies!$A:$A),MATCH(K$1,[3]enemies!$1:$1,0)-MATCH($J$1,[3]enemies!$1:$1,0)+1),MATCH(K$1,[3]enemies!$1:$1,0)-MATCH($J$1,[3]enemies!$1:$1,0)+1,FALSE)</f>
        <v>リム</v>
      </c>
      <c r="L179" s="23" t="str">
        <f ca="1">VLOOKUP($J179,OFFSET([3]enemies!$A$1,0,0,COUNTA([3]enemies!$A:$A),MATCH(L$1,[3]enemies!$1:$1,0)-MATCH($J$1,[3]enemies!$1:$1,0)+1),MATCH(L$1,[3]enemies!$1:$1,0)-MATCH($J$1,[3]enemies!$1:$1,0)+1,FALSE)</f>
        <v>blue</v>
      </c>
      <c r="M179" s="23" t="str">
        <f ca="1">VLOOKUP($J179,OFFSET([4]characters!$A$1,0,0,COUNTA([4]characters!$A:$A),MATCH(M$1,[4]characters!$1:$1,0)-MATCH($J$1,[4]characters!$1:$1,0)+1),MATCH(M$1,[4]characters!$1:$1,0)-MATCH($J$1,[4]characters!$1:$1,0)+1,FALSE)</f>
        <v>Drop1W</v>
      </c>
      <c r="N179" s="22" t="str">
        <f ca="1">VLOOKUP($J179,OFFSET([4]characters!$A$1,0,0,COUNTA([4]characters!$A:$A),MATCH(N$1,[4]characters!$1:$1,0)-MATCH($J$1,[4]characters!$1:$1,0)+2),MATCH(N$1,[4]characters!$1:$1,0)-MATCH($J$1,[4]characters!$1:$1,0)+2,FALSE)</f>
        <v>ヒューマン</v>
      </c>
      <c r="O179" s="5">
        <f ca="1">VLOOKUP($J179,OFFSET([3]enemies!$A$1,0,0,COUNTA([3]enemies!$A:$A),MATCH(O$1,[3]enemies!$1:$1,0)-MATCH($J$1,[3]enemies!$1:$1,0)+1),MATCH(O$1,[3]enemies!$1:$1,0)-MATCH($J$1,[3]enemies!$1:$1,0)+1,FALSE)</f>
        <v>15</v>
      </c>
      <c r="P179" s="46">
        <v>63</v>
      </c>
      <c r="Q179" s="43">
        <v>1</v>
      </c>
      <c r="R179" s="43">
        <v>1</v>
      </c>
      <c r="S179" s="6">
        <v>0</v>
      </c>
      <c r="T179" s="5" t="str">
        <f ca="1">VLOOKUP($U179,OFFSET([5]enemy_skill_sets!$B$1,0,0,COUNTA([5]enemy_skill_sets!$B:$B),MATCH(K$1,[5]enemy_skill_sets!$1:$1,0)-MATCH($U$1,[5]enemy_skill_sets!$1:$1,0)+2),MATCH(K$1,[5]enemy_skill_sets!$1:$1,0)-MATCH($U$1,[5]enemy_skill_sets!$1:$1,0)+2,FALSE)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79" s="5">
        <f ca="1">VLOOKUP($J179,OFFSET([3]enemies!$A$1,0,0,COUNTA([3]enemies!$A:$A),MATCH(U$1,[3]enemies!$1:$1,0)-MATCH($J$1,[3]enemies!$1:$1,0)+1),MATCH(U$1,[3]enemies!$1:$1,0)-MATCH($J$1,[3]enemies!$1:$1,0)+1,FALSE)</f>
        <v>0</v>
      </c>
      <c r="V179" s="44">
        <v>0</v>
      </c>
      <c r="W179" s="7">
        <v>100</v>
      </c>
      <c r="X179" s="7">
        <v>1</v>
      </c>
      <c r="Y179" s="20">
        <f ca="1">VLOOKUP($J179,OFFSET([3]enemies!$A$1,0,0,COUNTA([3]enemies!$A:$A),MATCH(Y$1,[3]enemies!$1:$1,0)-MATCH($J$1,[3]enemies!$1:$1,0)+1),MATCH(Y$1,[3]enemies!$1:$1,0)-MATCH($J$1,[3]enemies!$1:$1,0)+1,FALSE)</f>
        <v>2</v>
      </c>
      <c r="Z179" s="31">
        <v>17</v>
      </c>
      <c r="AA179" s="5" t="str">
        <f ca="1">IFERROR(VLOOKUP($Z179,OFFSET([4]characters!$A$1,0,0,COUNTA([4]characters!$A:$A),MATCH(AA$1,[4]characters!$1:$1,0)-MATCH("character_id",[4]characters!$1:$1,0)+1),MATCH(AA$1,[4]characters!$1:$1,0)-MATCH("character_id",[4]characters!$1:$1,0)+1,FALSE),"")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179" s="5">
        <f ca="1">IFERROR(VLOOKUP($Z179,OFFSET([4]characters!$A$1,0,0,COUNTA([4]characters!$A:$A),MATCH(AB$1,[4]characters!$1:$1,0)-MATCH("character_id",[4]characters!$1:$1,0)+1),MATCH(AB$1,[4]characters!$1:$1,0)-MATCH("character_id",[4]characters!$1:$1,0)+1,FALSE),"")</f>
        <v>1</v>
      </c>
      <c r="AC179" s="5" t="str">
        <f ca="1">IFERROR(VLOOKUP($Z179,OFFSET([4]characters!$A$1,0,0,COUNTA([4]characters!$A:$A),MATCH(AC$1,[4]characters!$1:$1,0)-MATCH("character_id",[4]characters!$1:$1,0)+1),MATCH(AC$1,[4]characters!$1:$1,0)-MATCH("character_id",[4]characters!$1:$1,0)+1,FALSE),"")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79" s="8">
        <v>1</v>
      </c>
      <c r="AE179" s="28">
        <f t="shared" ref="AE179" ca="1" si="172">AB179</f>
        <v>1</v>
      </c>
      <c r="AF179" s="7">
        <v>25</v>
      </c>
      <c r="AG179" s="8">
        <v>0</v>
      </c>
      <c r="AH179" s="8">
        <v>0</v>
      </c>
      <c r="AI179" s="8">
        <v>0</v>
      </c>
      <c r="AJ179" s="8">
        <v>0</v>
      </c>
      <c r="AK179" s="8">
        <v>1</v>
      </c>
      <c r="AL179" s="8">
        <v>1</v>
      </c>
    </row>
    <row r="180" spans="1:38" ht="21" customHeight="1" x14ac:dyDescent="0.15">
      <c r="A180" s="17" t="str">
        <f t="shared" ref="A180" ca="1" si="173">B180&amp;"_"&amp;C180&amp;"-"&amp;G180&amp;"/"&amp;J180&amp;"&lt;lv"&amp;P180&amp;"&gt;s"&amp;Y180</f>
        <v>13101_19-2/45&lt;lv60&gt;s3</v>
      </c>
      <c r="B180" s="26">
        <v>13101</v>
      </c>
      <c r="C180" s="25">
        <v>19</v>
      </c>
      <c r="D180" s="2" t="str">
        <f t="shared" ref="D180" si="174">B180&amp;"_"&amp;C180</f>
        <v>13101_19</v>
      </c>
      <c r="E180" s="5" t="str">
        <f ca="1">VLOOKUP($B180,OFFSET([2]quests!$A$1,0,0,COUNTA([2]quests!$A:$A),MATCH(E$1,[2]quests!$1:$1,0)-MATCH($B$1,[2]quests!$1:$1,0)+1),MATCH(E$1,[2]quests!$1:$1,0)-MATCH($B$1,[2]quests!$1:$1,0)+1,FALSE)</f>
        <v>チャレンジタワー</v>
      </c>
      <c r="F180" s="5" t="e">
        <f ca="1">VLOOKUP($D180,OFFSET([2]stages!$A$1,0,0,COUNTA([2]stages!$A:$A),MATCH(F$1,[2]stages!$1:$1,0)-MATCH($D$1,[2]stages!$1:$1,0)+1),MATCH(F$1,[2]stages!$1:$1,0)-MATCH($D$1,[2]stages!$1:$1,0)+1,FALSE)</f>
        <v>#N/A</v>
      </c>
      <c r="G180" s="33">
        <v>2</v>
      </c>
      <c r="H180" s="16" t="str">
        <f t="shared" ref="H180" si="175">B180&amp;"_"&amp;C180&amp;"-"&amp;G180</f>
        <v>13101_19-2</v>
      </c>
      <c r="I180" s="39" t="s">
        <v>245</v>
      </c>
      <c r="J180" s="31">
        <v>45</v>
      </c>
      <c r="K180" s="20" t="str">
        <f ca="1">VLOOKUP($J180,OFFSET([3]enemies!$A$1,0,0,COUNTA([3]enemies!$A:$A),MATCH(K$1,[3]enemies!$1:$1,0)-MATCH($J$1,[3]enemies!$1:$1,0)+1),MATCH(K$1,[3]enemies!$1:$1,0)-MATCH($J$1,[3]enemies!$1:$1,0)+1,FALSE)</f>
        <v>ショウイン</v>
      </c>
      <c r="L180" s="23" t="str">
        <f ca="1">VLOOKUP($J180,OFFSET([3]enemies!$A$1,0,0,COUNTA([3]enemies!$A:$A),MATCH(L$1,[3]enemies!$1:$1,0)-MATCH($J$1,[3]enemies!$1:$1,0)+1),MATCH(L$1,[3]enemies!$1:$1,0)-MATCH($J$1,[3]enemies!$1:$1,0)+1,FALSE)</f>
        <v>blue</v>
      </c>
      <c r="M180" s="23" t="str">
        <f ca="1">VLOOKUP($J180,OFFSET([4]characters!$A$1,0,0,COUNTA([4]characters!$A:$A),MATCH(M$1,[4]characters!$1:$1,0)-MATCH($J$1,[4]characters!$1:$1,0)+1),MATCH(M$1,[4]characters!$1:$1,0)-MATCH($J$1,[4]characters!$1:$1,0)+1,FALSE)</f>
        <v>Drop1N</v>
      </c>
      <c r="N180" s="22" t="str">
        <f ca="1">VLOOKUP($J180,OFFSET([4]characters!$A$1,0,0,COUNTA([4]characters!$A:$A),MATCH(N$1,[4]characters!$1:$1,0)-MATCH($J$1,[4]characters!$1:$1,0)+2),MATCH(N$1,[4]characters!$1:$1,0)-MATCH($J$1,[4]characters!$1:$1,0)+2,FALSE)</f>
        <v>アニマル</v>
      </c>
      <c r="O180" s="5">
        <f ca="1">VLOOKUP($J180,OFFSET([3]enemies!$A$1,0,0,COUNTA([3]enemies!$A:$A),MATCH(O$1,[3]enemies!$1:$1,0)-MATCH($J$1,[3]enemies!$1:$1,0)+1),MATCH(O$1,[3]enemies!$1:$1,0)-MATCH($J$1,[3]enemies!$1:$1,0)+1,FALSE)</f>
        <v>15</v>
      </c>
      <c r="P180" s="46">
        <v>60</v>
      </c>
      <c r="Q180" s="43">
        <v>1</v>
      </c>
      <c r="R180" s="43">
        <v>1</v>
      </c>
      <c r="S180" s="6">
        <v>0</v>
      </c>
      <c r="T180" s="5" t="str">
        <f ca="1">VLOOKUP($U180,OFFSET([5]enemy_skill_sets!$B$1,0,0,COUNTA([5]enemy_skill_sets!$B:$B),MATCH(K$1,[5]enemy_skill_sets!$1:$1,0)-MATCH($U$1,[5]enemy_skill_sets!$1:$1,0)+2),MATCH(K$1,[5]enemy_skill_sets!$1:$1,0)-MATCH($U$1,[5]enemy_skill_sets!$1:$1,0)+2,FALSE)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80" s="5">
        <f ca="1">VLOOKUP($J180,OFFSET([3]enemies!$A$1,0,0,COUNTA([3]enemies!$A:$A),MATCH(U$1,[3]enemies!$1:$1,0)-MATCH($J$1,[3]enemies!$1:$1,0)+1),MATCH(U$1,[3]enemies!$1:$1,0)-MATCH($J$1,[3]enemies!$1:$1,0)+1,FALSE)</f>
        <v>0</v>
      </c>
      <c r="V180" s="44">
        <v>0</v>
      </c>
      <c r="W180" s="7">
        <v>100</v>
      </c>
      <c r="X180" s="7">
        <v>0</v>
      </c>
      <c r="Y180" s="20">
        <f ca="1">VLOOKUP($J180,OFFSET([3]enemies!$A$1,0,0,COUNTA([3]enemies!$A:$A),MATCH(Y$1,[3]enemies!$1:$1,0)-MATCH($J$1,[3]enemies!$1:$1,0)+1),MATCH(Y$1,[3]enemies!$1:$1,0)-MATCH($J$1,[3]enemies!$1:$1,0)+1,FALSE)</f>
        <v>3</v>
      </c>
      <c r="Z180" s="31">
        <v>45</v>
      </c>
      <c r="AA180" s="5" t="str">
        <f ca="1">IFERROR(VLOOKUP($Z180,OFFSET([4]characters!$A$1,0,0,COUNTA([4]characters!$A:$A),MATCH(AA$1,[4]characters!$1:$1,0)-MATCH("character_id",[4]characters!$1:$1,0)+1),MATCH(AA$1,[4]characters!$1:$1,0)-MATCH("character_id",[4]characters!$1:$1,0)+1,FALSE),"")</f>
        <v>ショウイン</v>
      </c>
      <c r="AB180" s="5">
        <f ca="1">IFERROR(VLOOKUP($Z180,OFFSET([4]characters!$A$1,0,0,COUNTA([4]characters!$A:$A),MATCH(AB$1,[4]characters!$1:$1,0)-MATCH("character_id",[4]characters!$1:$1,0)+1),MATCH(AB$1,[4]characters!$1:$1,0)-MATCH("character_id",[4]characters!$1:$1,0)+1,FALSE),"")</f>
        <v>2</v>
      </c>
      <c r="AC180" s="5" t="str">
        <f ca="1">IFERROR(VLOOKUP($Z180,OFFSET([4]characters!$A$1,0,0,COUNTA([4]characters!$A:$A),MATCH(AC$1,[4]characters!$1:$1,0)-MATCH("character_id",[4]characters!$1:$1,0)+1),MATCH(AC$1,[4]characters!$1:$1,0)-MATCH("character_id",[4]characters!$1:$1,0)+1,FALSE),"")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80" s="8">
        <v>1</v>
      </c>
      <c r="AE180" s="28">
        <f t="shared" ref="AE180" ca="1" si="176">AB180</f>
        <v>2</v>
      </c>
      <c r="AF180" s="7">
        <v>25</v>
      </c>
      <c r="AG180" s="8">
        <v>0</v>
      </c>
      <c r="AH180" s="8">
        <v>0</v>
      </c>
      <c r="AI180" s="8">
        <v>0</v>
      </c>
      <c r="AJ180" s="8">
        <v>0</v>
      </c>
      <c r="AK180" s="8">
        <v>1</v>
      </c>
      <c r="AL180" s="8">
        <v>1</v>
      </c>
    </row>
    <row r="181" spans="1:38" ht="21" customHeight="1" x14ac:dyDescent="0.15">
      <c r="A181" s="17" t="str">
        <f t="shared" ref="A181:A182" ca="1" si="177">B181&amp;"_"&amp;C181&amp;"-"&amp;G181&amp;"/"&amp;J181&amp;"&lt;lv"&amp;P181&amp;"&gt;s"&amp;Y181</f>
        <v>13101_19-3/45&lt;lv60&gt;s3</v>
      </c>
      <c r="B181" s="26">
        <v>13101</v>
      </c>
      <c r="C181" s="25">
        <v>19</v>
      </c>
      <c r="D181" s="2" t="str">
        <f t="shared" ref="D181:D182" si="178">B181&amp;"_"&amp;C181</f>
        <v>13101_19</v>
      </c>
      <c r="E181" s="5" t="str">
        <f ca="1">VLOOKUP($B181,OFFSET([2]quests!$A$1,0,0,COUNTA([2]quests!$A:$A),MATCH(E$1,[2]quests!$1:$1,0)-MATCH($B$1,[2]quests!$1:$1,0)+1),MATCH(E$1,[2]quests!$1:$1,0)-MATCH($B$1,[2]quests!$1:$1,0)+1,FALSE)</f>
        <v>チャレンジタワー</v>
      </c>
      <c r="F181" s="5" t="e">
        <f ca="1">VLOOKUP($D181,OFFSET([2]stages!$A$1,0,0,COUNTA([2]stages!$A:$A),MATCH(F$1,[2]stages!$1:$1,0)-MATCH($D$1,[2]stages!$1:$1,0)+1),MATCH(F$1,[2]stages!$1:$1,0)-MATCH($D$1,[2]stages!$1:$1,0)+1,FALSE)</f>
        <v>#N/A</v>
      </c>
      <c r="G181" s="33">
        <v>3</v>
      </c>
      <c r="H181" s="16" t="str">
        <f t="shared" ref="H181:H182" si="179">B181&amp;"_"&amp;C181&amp;"-"&amp;G181</f>
        <v>13101_19-3</v>
      </c>
      <c r="I181" s="39" t="s">
        <v>245</v>
      </c>
      <c r="J181" s="31">
        <v>45</v>
      </c>
      <c r="K181" s="20" t="str">
        <f ca="1">VLOOKUP($J181,OFFSET([3]enemies!$A$1,0,0,COUNTA([3]enemies!$A:$A),MATCH(K$1,[3]enemies!$1:$1,0)-MATCH($J$1,[3]enemies!$1:$1,0)+1),MATCH(K$1,[3]enemies!$1:$1,0)-MATCH($J$1,[3]enemies!$1:$1,0)+1,FALSE)</f>
        <v>ショウイン</v>
      </c>
      <c r="L181" s="23" t="str">
        <f ca="1">VLOOKUP($J181,OFFSET([3]enemies!$A$1,0,0,COUNTA([3]enemies!$A:$A),MATCH(L$1,[3]enemies!$1:$1,0)-MATCH($J$1,[3]enemies!$1:$1,0)+1),MATCH(L$1,[3]enemies!$1:$1,0)-MATCH($J$1,[3]enemies!$1:$1,0)+1,FALSE)</f>
        <v>blue</v>
      </c>
      <c r="M181" s="23" t="str">
        <f ca="1">VLOOKUP($J181,OFFSET([4]characters!$A$1,0,0,COUNTA([4]characters!$A:$A),MATCH(M$1,[4]characters!$1:$1,0)-MATCH($J$1,[4]characters!$1:$1,0)+1),MATCH(M$1,[4]characters!$1:$1,0)-MATCH($J$1,[4]characters!$1:$1,0)+1,FALSE)</f>
        <v>Drop1N</v>
      </c>
      <c r="N181" s="22" t="str">
        <f ca="1">VLOOKUP($J181,OFFSET([4]characters!$A$1,0,0,COUNTA([4]characters!$A:$A),MATCH(N$1,[4]characters!$1:$1,0)-MATCH($J$1,[4]characters!$1:$1,0)+2),MATCH(N$1,[4]characters!$1:$1,0)-MATCH($J$1,[4]characters!$1:$1,0)+2,FALSE)</f>
        <v>アニマル</v>
      </c>
      <c r="O181" s="5">
        <f ca="1">VLOOKUP($J181,OFFSET([3]enemies!$A$1,0,0,COUNTA([3]enemies!$A:$A),MATCH(O$1,[3]enemies!$1:$1,0)-MATCH($J$1,[3]enemies!$1:$1,0)+1),MATCH(O$1,[3]enemies!$1:$1,0)-MATCH($J$1,[3]enemies!$1:$1,0)+1,FALSE)</f>
        <v>15</v>
      </c>
      <c r="P181" s="46">
        <v>60</v>
      </c>
      <c r="Q181" s="43">
        <v>1</v>
      </c>
      <c r="R181" s="43">
        <v>1</v>
      </c>
      <c r="S181" s="6">
        <v>0</v>
      </c>
      <c r="T181" s="5" t="str">
        <f ca="1">VLOOKUP($U181,OFFSET([5]enemy_skill_sets!$B$1,0,0,COUNTA([5]enemy_skill_sets!$B:$B),MATCH(K$1,[5]enemy_skill_sets!$1:$1,0)-MATCH($U$1,[5]enemy_skill_sets!$1:$1,0)+2),MATCH(K$1,[5]enemy_skill_sets!$1:$1,0)-MATCH($U$1,[5]enemy_skill_sets!$1:$1,0)+2,FALSE)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81" s="5">
        <f ca="1">VLOOKUP($J181,OFFSET([3]enemies!$A$1,0,0,COUNTA([3]enemies!$A:$A),MATCH(U$1,[3]enemies!$1:$1,0)-MATCH($J$1,[3]enemies!$1:$1,0)+1),MATCH(U$1,[3]enemies!$1:$1,0)-MATCH($J$1,[3]enemies!$1:$1,0)+1,FALSE)</f>
        <v>0</v>
      </c>
      <c r="V181" s="44">
        <v>0</v>
      </c>
      <c r="W181" s="7">
        <v>100</v>
      </c>
      <c r="X181" s="7">
        <v>0</v>
      </c>
      <c r="Y181" s="20">
        <f ca="1">VLOOKUP($J181,OFFSET([3]enemies!$A$1,0,0,COUNTA([3]enemies!$A:$A),MATCH(Y$1,[3]enemies!$1:$1,0)-MATCH($J$1,[3]enemies!$1:$1,0)+1),MATCH(Y$1,[3]enemies!$1:$1,0)-MATCH($J$1,[3]enemies!$1:$1,0)+1,FALSE)</f>
        <v>3</v>
      </c>
      <c r="Z181" s="31">
        <v>45</v>
      </c>
      <c r="AA181" s="5" t="str">
        <f ca="1">IFERROR(VLOOKUP($Z181,OFFSET([4]characters!$A$1,0,0,COUNTA([4]characters!$A:$A),MATCH(AA$1,[4]characters!$1:$1,0)-MATCH("character_id",[4]characters!$1:$1,0)+1),MATCH(AA$1,[4]characters!$1:$1,0)-MATCH("character_id",[4]characters!$1:$1,0)+1,FALSE),"")</f>
        <v>ショウイン</v>
      </c>
      <c r="AB181" s="5">
        <f ca="1">IFERROR(VLOOKUP($Z181,OFFSET([4]characters!$A$1,0,0,COUNTA([4]characters!$A:$A),MATCH(AB$1,[4]characters!$1:$1,0)-MATCH("character_id",[4]characters!$1:$1,0)+1),MATCH(AB$1,[4]characters!$1:$1,0)-MATCH("character_id",[4]characters!$1:$1,0)+1,FALSE),"")</f>
        <v>2</v>
      </c>
      <c r="AC181" s="5" t="str">
        <f ca="1">IFERROR(VLOOKUP($Z181,OFFSET([4]characters!$A$1,0,0,COUNTA([4]characters!$A:$A),MATCH(AC$1,[4]characters!$1:$1,0)-MATCH("character_id",[4]characters!$1:$1,0)+1),MATCH(AC$1,[4]characters!$1:$1,0)-MATCH("character_id",[4]characters!$1:$1,0)+1,FALSE),"")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81" s="8">
        <v>1</v>
      </c>
      <c r="AE181" s="28">
        <f t="shared" ref="AE181:AE182" ca="1" si="180">AB181</f>
        <v>2</v>
      </c>
      <c r="AF181" s="7">
        <v>25</v>
      </c>
      <c r="AG181" s="8">
        <v>0</v>
      </c>
      <c r="AH181" s="8">
        <v>0</v>
      </c>
      <c r="AI181" s="8">
        <v>0</v>
      </c>
      <c r="AJ181" s="8">
        <v>0</v>
      </c>
      <c r="AK181" s="8">
        <v>1</v>
      </c>
      <c r="AL181" s="8">
        <v>1</v>
      </c>
    </row>
    <row r="182" spans="1:38" ht="21" customHeight="1" x14ac:dyDescent="0.15">
      <c r="A182" s="17" t="str">
        <f t="shared" ca="1" si="177"/>
        <v>13101_19-3/61&lt;lv60&gt;s2</v>
      </c>
      <c r="B182" s="26">
        <v>13101</v>
      </c>
      <c r="C182" s="25">
        <v>19</v>
      </c>
      <c r="D182" s="2" t="str">
        <f t="shared" si="178"/>
        <v>13101_19</v>
      </c>
      <c r="E182" s="5" t="str">
        <f ca="1">VLOOKUP($B182,OFFSET([2]quests!$A$1,0,0,COUNTA([2]quests!$A:$A),MATCH(E$1,[2]quests!$1:$1,0)-MATCH($B$1,[2]quests!$1:$1,0)+1),MATCH(E$1,[2]quests!$1:$1,0)-MATCH($B$1,[2]quests!$1:$1,0)+1,FALSE)</f>
        <v>チャレンジタワー</v>
      </c>
      <c r="F182" s="5" t="e">
        <f ca="1">VLOOKUP($D182,OFFSET([2]stages!$A$1,0,0,COUNTA([2]stages!$A:$A),MATCH(F$1,[2]stages!$1:$1,0)-MATCH($D$1,[2]stages!$1:$1,0)+1),MATCH(F$1,[2]stages!$1:$1,0)-MATCH($D$1,[2]stages!$1:$1,0)+1,FALSE)</f>
        <v>#N/A</v>
      </c>
      <c r="G182" s="33">
        <v>3</v>
      </c>
      <c r="H182" s="16" t="str">
        <f t="shared" si="179"/>
        <v>13101_19-3</v>
      </c>
      <c r="I182" s="39" t="s">
        <v>245</v>
      </c>
      <c r="J182" s="31">
        <v>61</v>
      </c>
      <c r="K182" s="20" t="str">
        <f ca="1">VLOOKUP($J182,OFFSET([3]enemies!$A$1,0,0,COUNTA([3]enemies!$A:$A),MATCH(K$1,[3]enemies!$1:$1,0)-MATCH($J$1,[3]enemies!$1:$1,0)+1),MATCH(K$1,[3]enemies!$1:$1,0)-MATCH($J$1,[3]enemies!$1:$1,0)+1,FALSE)</f>
        <v>クロウ</v>
      </c>
      <c r="L182" s="23" t="str">
        <f ca="1">VLOOKUP($J182,OFFSET([3]enemies!$A$1,0,0,COUNTA([3]enemies!$A:$A),MATCH(L$1,[3]enemies!$1:$1,0)-MATCH($J$1,[3]enemies!$1:$1,0)+1),MATCH(L$1,[3]enemies!$1:$1,0)-MATCH($J$1,[3]enemies!$1:$1,0)+1,FALSE)</f>
        <v>blue</v>
      </c>
      <c r="M182" s="23" t="str">
        <f ca="1">VLOOKUP($J182,OFFSET([4]characters!$A$1,0,0,COUNTA([4]characters!$A:$A),MATCH(M$1,[4]characters!$1:$1,0)-MATCH($J$1,[4]characters!$1:$1,0)+1),MATCH(M$1,[4]characters!$1:$1,0)-MATCH($J$1,[4]characters!$1:$1,0)+1,FALSE)</f>
        <v>Drop1N</v>
      </c>
      <c r="N182" s="22" t="str">
        <f ca="1">VLOOKUP($J182,OFFSET([4]characters!$A$1,0,0,COUNTA([4]characters!$A:$A),MATCH(N$1,[4]characters!$1:$1,0)-MATCH($J$1,[4]characters!$1:$1,0)+2),MATCH(N$1,[4]characters!$1:$1,0)-MATCH($J$1,[4]characters!$1:$1,0)+2,FALSE)</f>
        <v>アニマル</v>
      </c>
      <c r="O182" s="5">
        <f ca="1">VLOOKUP($J182,OFFSET([3]enemies!$A$1,0,0,COUNTA([3]enemies!$A:$A),MATCH(O$1,[3]enemies!$1:$1,0)-MATCH($J$1,[3]enemies!$1:$1,0)+1),MATCH(O$1,[3]enemies!$1:$1,0)-MATCH($J$1,[3]enemies!$1:$1,0)+1,FALSE)</f>
        <v>15</v>
      </c>
      <c r="P182" s="46">
        <v>60</v>
      </c>
      <c r="Q182" s="43">
        <v>1</v>
      </c>
      <c r="R182" s="43">
        <v>1</v>
      </c>
      <c r="S182" s="6">
        <v>0</v>
      </c>
      <c r="T182" s="5" t="str">
        <f ca="1">VLOOKUP($U182,OFFSET([5]enemy_skill_sets!$B$1,0,0,COUNTA([5]enemy_skill_sets!$B:$B),MATCH(K$1,[5]enemy_skill_sets!$1:$1,0)-MATCH($U$1,[5]enemy_skill_sets!$1:$1,0)+2),MATCH(K$1,[5]enemy_skill_sets!$1:$1,0)-MATCH($U$1,[5]enemy_skill_sets!$1:$1,0)+2,FALSE)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82" s="5">
        <f ca="1">VLOOKUP($J182,OFFSET([3]enemies!$A$1,0,0,COUNTA([3]enemies!$A:$A),MATCH(U$1,[3]enemies!$1:$1,0)-MATCH($J$1,[3]enemies!$1:$1,0)+1),MATCH(U$1,[3]enemies!$1:$1,0)-MATCH($J$1,[3]enemies!$1:$1,0)+1,FALSE)</f>
        <v>61</v>
      </c>
      <c r="V182" s="44">
        <v>0</v>
      </c>
      <c r="W182" s="7">
        <v>100</v>
      </c>
      <c r="X182" s="7">
        <v>1</v>
      </c>
      <c r="Y182" s="20">
        <f ca="1">VLOOKUP($J182,OFFSET([3]enemies!$A$1,0,0,COUNTA([3]enemies!$A:$A),MATCH(Y$1,[3]enemies!$1:$1,0)-MATCH($J$1,[3]enemies!$1:$1,0)+1),MATCH(Y$1,[3]enemies!$1:$1,0)-MATCH($J$1,[3]enemies!$1:$1,0)+1,FALSE)</f>
        <v>2</v>
      </c>
      <c r="Z182" s="31">
        <v>61</v>
      </c>
      <c r="AA182" s="5" t="str">
        <f ca="1">IFERROR(VLOOKUP($Z182,OFFSET([4]characters!$A$1,0,0,COUNTA([4]characters!$A:$A),MATCH(AA$1,[4]characters!$1:$1,0)-MATCH("character_id",[4]characters!$1:$1,0)+1),MATCH(AA$1,[4]characters!$1:$1,0)-MATCH("character_id",[4]characters!$1:$1,0)+1,FALSE),"")</f>
        <v>クロウ</v>
      </c>
      <c r="AB182" s="5">
        <f ca="1">IFERROR(VLOOKUP($Z182,OFFSET([4]characters!$A$1,0,0,COUNTA([4]characters!$A:$A),MATCH(AB$1,[4]characters!$1:$1,0)-MATCH("character_id",[4]characters!$1:$1,0)+1),MATCH(AB$1,[4]characters!$1:$1,0)-MATCH("character_id",[4]characters!$1:$1,0)+1,FALSE),"")</f>
        <v>2</v>
      </c>
      <c r="AC182" s="5" t="str">
        <f ca="1">IFERROR(VLOOKUP($Z182,OFFSET([4]characters!$A$1,0,0,COUNTA([4]characters!$A:$A),MATCH(AC$1,[4]characters!$1:$1,0)-MATCH("character_id",[4]characters!$1:$1,0)+1),MATCH(AC$1,[4]characters!$1:$1,0)-MATCH("character_id",[4]characters!$1:$1,0)+1,FALSE),"")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82" s="8">
        <v>1</v>
      </c>
      <c r="AE182" s="28">
        <f t="shared" ca="1" si="180"/>
        <v>2</v>
      </c>
      <c r="AF182" s="7">
        <v>25</v>
      </c>
      <c r="AG182" s="8">
        <v>0</v>
      </c>
      <c r="AH182" s="8">
        <v>0</v>
      </c>
      <c r="AI182" s="8">
        <v>0</v>
      </c>
      <c r="AJ182" s="8">
        <v>0</v>
      </c>
      <c r="AK182" s="8">
        <v>1</v>
      </c>
      <c r="AL182" s="8">
        <v>1</v>
      </c>
    </row>
    <row r="183" spans="1:38" ht="21" customHeight="1" x14ac:dyDescent="0.15">
      <c r="A183" s="17" t="str">
        <f t="shared" ref="A183:A184" ca="1" si="181">B183&amp;"_"&amp;C183&amp;"-"&amp;G183&amp;"/"&amp;J183&amp;"&lt;lv"&amp;P183&amp;"&gt;s"&amp;Y183</f>
        <v>13101_19-4/25&lt;lv60&gt;s3</v>
      </c>
      <c r="B183" s="26">
        <v>13101</v>
      </c>
      <c r="C183" s="25">
        <v>19</v>
      </c>
      <c r="D183" s="2" t="str">
        <f t="shared" ref="D183:D184" si="182">B183&amp;"_"&amp;C183</f>
        <v>13101_19</v>
      </c>
      <c r="E183" s="5" t="str">
        <f ca="1">VLOOKUP($B183,OFFSET([2]quests!$A$1,0,0,COUNTA([2]quests!$A:$A),MATCH(E$1,[2]quests!$1:$1,0)-MATCH($B$1,[2]quests!$1:$1,0)+1),MATCH(E$1,[2]quests!$1:$1,0)-MATCH($B$1,[2]quests!$1:$1,0)+1,FALSE)</f>
        <v>チャレンジタワー</v>
      </c>
      <c r="F183" s="5" t="e">
        <f ca="1">VLOOKUP($D183,OFFSET([2]stages!$A$1,0,0,COUNTA([2]stages!$A:$A),MATCH(F$1,[2]stages!$1:$1,0)-MATCH($D$1,[2]stages!$1:$1,0)+1),MATCH(F$1,[2]stages!$1:$1,0)-MATCH($D$1,[2]stages!$1:$1,0)+1,FALSE)</f>
        <v>#N/A</v>
      </c>
      <c r="G183" s="33">
        <v>4</v>
      </c>
      <c r="H183" s="16" t="str">
        <f t="shared" ref="H183:H184" si="183">B183&amp;"_"&amp;C183&amp;"-"&amp;G183</f>
        <v>13101_19-4</v>
      </c>
      <c r="I183" s="39" t="s">
        <v>245</v>
      </c>
      <c r="J183" s="31">
        <v>25</v>
      </c>
      <c r="K183" s="20" t="str">
        <f ca="1">VLOOKUP($J183,OFFSET([3]enemies!$A$1,0,0,COUNTA([3]enemies!$A:$A),MATCH(K$1,[3]enemies!$1:$1,0)-MATCH($J$1,[3]enemies!$1:$1,0)+1),MATCH(K$1,[3]enemies!$1:$1,0)-MATCH($J$1,[3]enemies!$1:$1,0)+1,FALSE)</f>
        <v>ハチ</v>
      </c>
      <c r="L183" s="23" t="str">
        <f ca="1">VLOOKUP($J183,OFFSET([3]enemies!$A$1,0,0,COUNTA([3]enemies!$A:$A),MATCH(L$1,[3]enemies!$1:$1,0)-MATCH($J$1,[3]enemies!$1:$1,0)+1),MATCH(L$1,[3]enemies!$1:$1,0)-MATCH($J$1,[3]enemies!$1:$1,0)+1,FALSE)</f>
        <v>blue</v>
      </c>
      <c r="M183" s="23" t="str">
        <f ca="1">VLOOKUP($J183,OFFSET([4]characters!$A$1,0,0,COUNTA([4]characters!$A:$A),MATCH(M$1,[4]characters!$1:$1,0)-MATCH($J$1,[4]characters!$1:$1,0)+1),MATCH(M$1,[4]characters!$1:$1,0)-MATCH($J$1,[4]characters!$1:$1,0)+1,FALSE)</f>
        <v>Drop1N</v>
      </c>
      <c r="N183" s="22" t="str">
        <f ca="1">VLOOKUP($J183,OFFSET([4]characters!$A$1,0,0,COUNTA([4]characters!$A:$A),MATCH(N$1,[4]characters!$1:$1,0)-MATCH($J$1,[4]characters!$1:$1,0)+2),MATCH(N$1,[4]characters!$1:$1,0)-MATCH($J$1,[4]characters!$1:$1,0)+2,FALSE)</f>
        <v>アニマル</v>
      </c>
      <c r="O183" s="5">
        <f ca="1">VLOOKUP($J183,OFFSET([3]enemies!$A$1,0,0,COUNTA([3]enemies!$A:$A),MATCH(O$1,[3]enemies!$1:$1,0)-MATCH($J$1,[3]enemies!$1:$1,0)+1),MATCH(O$1,[3]enemies!$1:$1,0)-MATCH($J$1,[3]enemies!$1:$1,0)+1,FALSE)</f>
        <v>15</v>
      </c>
      <c r="P183" s="46">
        <v>60</v>
      </c>
      <c r="Q183" s="43">
        <v>1</v>
      </c>
      <c r="R183" s="43">
        <v>1</v>
      </c>
      <c r="S183" s="6">
        <v>0</v>
      </c>
      <c r="T183" s="5" t="str">
        <f ca="1">VLOOKUP($U183,OFFSET([5]enemy_skill_sets!$B$1,0,0,COUNTA([5]enemy_skill_sets!$B:$B),MATCH(K$1,[5]enemy_skill_sets!$1:$1,0)-MATCH($U$1,[5]enemy_skill_sets!$1:$1,0)+2),MATCH(K$1,[5]enemy_skill_sets!$1:$1,0)-MATCH($U$1,[5]enemy_skill_sets!$1:$1,0)+2,FALSE)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83" s="5">
        <f ca="1">VLOOKUP($J183,OFFSET([3]enemies!$A$1,0,0,COUNTA([3]enemies!$A:$A),MATCH(U$1,[3]enemies!$1:$1,0)-MATCH($J$1,[3]enemies!$1:$1,0)+1),MATCH(U$1,[3]enemies!$1:$1,0)-MATCH($J$1,[3]enemies!$1:$1,0)+1,FALSE)</f>
        <v>0</v>
      </c>
      <c r="V183" s="44">
        <v>0</v>
      </c>
      <c r="W183" s="7">
        <v>100</v>
      </c>
      <c r="X183" s="7">
        <v>0</v>
      </c>
      <c r="Y183" s="20">
        <f ca="1">VLOOKUP($J183,OFFSET([3]enemies!$A$1,0,0,COUNTA([3]enemies!$A:$A),MATCH(Y$1,[3]enemies!$1:$1,0)-MATCH($J$1,[3]enemies!$1:$1,0)+1),MATCH(Y$1,[3]enemies!$1:$1,0)-MATCH($J$1,[3]enemies!$1:$1,0)+1,FALSE)</f>
        <v>3</v>
      </c>
      <c r="Z183" s="31">
        <v>25</v>
      </c>
      <c r="AA183" s="5" t="str">
        <f ca="1">IFERROR(VLOOKUP($Z183,OFFSET([4]characters!$A$1,0,0,COUNTA([4]characters!$A:$A),MATCH(AA$1,[4]characters!$1:$1,0)-MATCH("character_id",[4]characters!$1:$1,0)+1),MATCH(AA$1,[4]characters!$1:$1,0)-MATCH("character_id",[4]characters!$1:$1,0)+1,FALSE),"")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183" s="5">
        <f ca="1">IFERROR(VLOOKUP($Z183,OFFSET([4]characters!$A$1,0,0,COUNTA([4]characters!$A:$A),MATCH(AB$1,[4]characters!$1:$1,0)-MATCH("character_id",[4]characters!$1:$1,0)+1),MATCH(AB$1,[4]characters!$1:$1,0)-MATCH("character_id",[4]characters!$1:$1,0)+1,FALSE),"")</f>
        <v>1</v>
      </c>
      <c r="AC183" s="5" t="str">
        <f ca="1">IFERROR(VLOOKUP($Z183,OFFSET([4]characters!$A$1,0,0,COUNTA([4]characters!$A:$A),MATCH(AC$1,[4]characters!$1:$1,0)-MATCH("character_id",[4]characters!$1:$1,0)+1),MATCH(AC$1,[4]characters!$1:$1,0)-MATCH("character_id",[4]characters!$1:$1,0)+1,FALSE),"")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83" s="8">
        <v>1</v>
      </c>
      <c r="AE183" s="28">
        <f t="shared" ref="AE183:AE184" ca="1" si="184">AB183</f>
        <v>1</v>
      </c>
      <c r="AF183" s="7">
        <v>25</v>
      </c>
      <c r="AG183" s="8">
        <v>0</v>
      </c>
      <c r="AH183" s="8">
        <v>0</v>
      </c>
      <c r="AI183" s="8">
        <v>0</v>
      </c>
      <c r="AJ183" s="8">
        <v>0</v>
      </c>
      <c r="AK183" s="8">
        <v>1</v>
      </c>
      <c r="AL183" s="8">
        <v>1</v>
      </c>
    </row>
    <row r="184" spans="1:38" ht="21" customHeight="1" x14ac:dyDescent="0.15">
      <c r="A184" s="17" t="str">
        <f t="shared" ca="1" si="181"/>
        <v>13101_19-4/61&lt;lv60&gt;s2</v>
      </c>
      <c r="B184" s="26">
        <v>13101</v>
      </c>
      <c r="C184" s="25">
        <v>19</v>
      </c>
      <c r="D184" s="2" t="str">
        <f t="shared" si="182"/>
        <v>13101_19</v>
      </c>
      <c r="E184" s="5" t="str">
        <f ca="1">VLOOKUP($B184,OFFSET([2]quests!$A$1,0,0,COUNTA([2]quests!$A:$A),MATCH(E$1,[2]quests!$1:$1,0)-MATCH($B$1,[2]quests!$1:$1,0)+1),MATCH(E$1,[2]quests!$1:$1,0)-MATCH($B$1,[2]quests!$1:$1,0)+1,FALSE)</f>
        <v>チャレンジタワー</v>
      </c>
      <c r="F184" s="5" t="e">
        <f ca="1">VLOOKUP($D184,OFFSET([2]stages!$A$1,0,0,COUNTA([2]stages!$A:$A),MATCH(F$1,[2]stages!$1:$1,0)-MATCH($D$1,[2]stages!$1:$1,0)+1),MATCH(F$1,[2]stages!$1:$1,0)-MATCH($D$1,[2]stages!$1:$1,0)+1,FALSE)</f>
        <v>#N/A</v>
      </c>
      <c r="G184" s="33">
        <v>4</v>
      </c>
      <c r="H184" s="16" t="str">
        <f t="shared" si="183"/>
        <v>13101_19-4</v>
      </c>
      <c r="I184" s="39" t="s">
        <v>245</v>
      </c>
      <c r="J184" s="31">
        <v>61</v>
      </c>
      <c r="K184" s="20" t="str">
        <f ca="1">VLOOKUP($J184,OFFSET([3]enemies!$A$1,0,0,COUNTA([3]enemies!$A:$A),MATCH(K$1,[3]enemies!$1:$1,0)-MATCH($J$1,[3]enemies!$1:$1,0)+1),MATCH(K$1,[3]enemies!$1:$1,0)-MATCH($J$1,[3]enemies!$1:$1,0)+1,FALSE)</f>
        <v>クロウ</v>
      </c>
      <c r="L184" s="23" t="str">
        <f ca="1">VLOOKUP($J184,OFFSET([3]enemies!$A$1,0,0,COUNTA([3]enemies!$A:$A),MATCH(L$1,[3]enemies!$1:$1,0)-MATCH($J$1,[3]enemies!$1:$1,0)+1),MATCH(L$1,[3]enemies!$1:$1,0)-MATCH($J$1,[3]enemies!$1:$1,0)+1,FALSE)</f>
        <v>blue</v>
      </c>
      <c r="M184" s="23" t="str">
        <f ca="1">VLOOKUP($J184,OFFSET([4]characters!$A$1,0,0,COUNTA([4]characters!$A:$A),MATCH(M$1,[4]characters!$1:$1,0)-MATCH($J$1,[4]characters!$1:$1,0)+1),MATCH(M$1,[4]characters!$1:$1,0)-MATCH($J$1,[4]characters!$1:$1,0)+1,FALSE)</f>
        <v>Drop1N</v>
      </c>
      <c r="N184" s="22" t="str">
        <f ca="1">VLOOKUP($J184,OFFSET([4]characters!$A$1,0,0,COUNTA([4]characters!$A:$A),MATCH(N$1,[4]characters!$1:$1,0)-MATCH($J$1,[4]characters!$1:$1,0)+2),MATCH(N$1,[4]characters!$1:$1,0)-MATCH($J$1,[4]characters!$1:$1,0)+2,FALSE)</f>
        <v>アニマル</v>
      </c>
      <c r="O184" s="5">
        <f ca="1">VLOOKUP($J184,OFFSET([3]enemies!$A$1,0,0,COUNTA([3]enemies!$A:$A),MATCH(O$1,[3]enemies!$1:$1,0)-MATCH($J$1,[3]enemies!$1:$1,0)+1),MATCH(O$1,[3]enemies!$1:$1,0)-MATCH($J$1,[3]enemies!$1:$1,0)+1,FALSE)</f>
        <v>15</v>
      </c>
      <c r="P184" s="46">
        <v>60</v>
      </c>
      <c r="Q184" s="43">
        <v>1</v>
      </c>
      <c r="R184" s="43">
        <v>1</v>
      </c>
      <c r="S184" s="6">
        <v>0</v>
      </c>
      <c r="T184" s="5" t="str">
        <f ca="1">VLOOKUP($U184,OFFSET([5]enemy_skill_sets!$B$1,0,0,COUNTA([5]enemy_skill_sets!$B:$B),MATCH(K$1,[5]enemy_skill_sets!$1:$1,0)-MATCH($U$1,[5]enemy_skill_sets!$1:$1,0)+2),MATCH(K$1,[5]enemy_skill_sets!$1:$1,0)-MATCH($U$1,[5]enemy_skill_sets!$1:$1,0)+2,FALSE)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184" s="5">
        <f ca="1">VLOOKUP($J184,OFFSET([3]enemies!$A$1,0,0,COUNTA([3]enemies!$A:$A),MATCH(U$1,[3]enemies!$1:$1,0)-MATCH($J$1,[3]enemies!$1:$1,0)+1),MATCH(U$1,[3]enemies!$1:$1,0)-MATCH($J$1,[3]enemies!$1:$1,0)+1,FALSE)</f>
        <v>61</v>
      </c>
      <c r="V184" s="44">
        <v>0</v>
      </c>
      <c r="W184" s="7">
        <v>100</v>
      </c>
      <c r="X184" s="7">
        <v>1</v>
      </c>
      <c r="Y184" s="20">
        <f ca="1">VLOOKUP($J184,OFFSET([3]enemies!$A$1,0,0,COUNTA([3]enemies!$A:$A),MATCH(Y$1,[3]enemies!$1:$1,0)-MATCH($J$1,[3]enemies!$1:$1,0)+1),MATCH(Y$1,[3]enemies!$1:$1,0)-MATCH($J$1,[3]enemies!$1:$1,0)+1,FALSE)</f>
        <v>2</v>
      </c>
      <c r="Z184" s="31">
        <v>61</v>
      </c>
      <c r="AA184" s="5" t="str">
        <f ca="1">IFERROR(VLOOKUP($Z184,OFFSET([4]characters!$A$1,0,0,COUNTA([4]characters!$A:$A),MATCH(AA$1,[4]characters!$1:$1,0)-MATCH("character_id",[4]characters!$1:$1,0)+1),MATCH(AA$1,[4]characters!$1:$1,0)-MATCH("character_id",[4]characters!$1:$1,0)+1,FALSE),"")</f>
        <v>クロウ</v>
      </c>
      <c r="AB184" s="5">
        <f ca="1">IFERROR(VLOOKUP($Z184,OFFSET([4]characters!$A$1,0,0,COUNTA([4]characters!$A:$A),MATCH(AB$1,[4]characters!$1:$1,0)-MATCH("character_id",[4]characters!$1:$1,0)+1),MATCH(AB$1,[4]characters!$1:$1,0)-MATCH("character_id",[4]characters!$1:$1,0)+1,FALSE),"")</f>
        <v>2</v>
      </c>
      <c r="AC184" s="5" t="str">
        <f ca="1">IFERROR(VLOOKUP($Z184,OFFSET([4]characters!$A$1,0,0,COUNTA([4]characters!$A:$A),MATCH(AC$1,[4]characters!$1:$1,0)-MATCH("character_id",[4]characters!$1:$1,0)+1),MATCH(AC$1,[4]characters!$1:$1,0)-MATCH("character_id",[4]characters!$1:$1,0)+1,FALSE),"")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84" s="8">
        <v>1</v>
      </c>
      <c r="AE184" s="28">
        <f t="shared" ca="1" si="184"/>
        <v>2</v>
      </c>
      <c r="AF184" s="7">
        <v>25</v>
      </c>
      <c r="AG184" s="8">
        <v>0</v>
      </c>
      <c r="AH184" s="8">
        <v>0</v>
      </c>
      <c r="AI184" s="8">
        <v>0</v>
      </c>
      <c r="AJ184" s="8">
        <v>0</v>
      </c>
      <c r="AK184" s="8">
        <v>1</v>
      </c>
      <c r="AL184" s="8">
        <v>1</v>
      </c>
    </row>
    <row r="185" spans="1:38" ht="21" customHeight="1" x14ac:dyDescent="0.15">
      <c r="A185" s="17" t="str">
        <f t="shared" ca="1" si="83"/>
        <v>13101_19-5/257&lt;lv60&gt;s3</v>
      </c>
      <c r="B185" s="26">
        <v>13101</v>
      </c>
      <c r="C185" s="25">
        <v>19</v>
      </c>
      <c r="D185" s="2" t="str">
        <f t="shared" si="124"/>
        <v>13101_19</v>
      </c>
      <c r="E185" s="5" t="str">
        <f ca="1">VLOOKUP($B185,OFFSET([2]quests!$A$1,0,0,COUNTA([2]quests!$A:$A),MATCH(E$1,[2]quests!$1:$1,0)-MATCH($B$1,[2]quests!$1:$1,0)+1),MATCH(E$1,[2]quests!$1:$1,0)-MATCH($B$1,[2]quests!$1:$1,0)+1,FALSE)</f>
        <v>チャレンジタワー</v>
      </c>
      <c r="F185" s="5" t="e">
        <f ca="1">VLOOKUP($D185,OFFSET([2]stages!$A$1,0,0,COUNTA([2]stages!$A:$A),MATCH(F$1,[2]stages!$1:$1,0)-MATCH($D$1,[2]stages!$1:$1,0)+1),MATCH(F$1,[2]stages!$1:$1,0)-MATCH($D$1,[2]stages!$1:$1,0)+1,FALSE)</f>
        <v>#N/A</v>
      </c>
      <c r="G185" s="33">
        <v>5</v>
      </c>
      <c r="H185" s="16" t="str">
        <f t="shared" si="85"/>
        <v>13101_19-5</v>
      </c>
      <c r="I185" s="39" t="s">
        <v>245</v>
      </c>
      <c r="J185" s="31">
        <v>257</v>
      </c>
      <c r="K185" s="20" t="str">
        <f ca="1">VLOOKUP($J185,OFFSET([3]enemies!$A$1,0,0,COUNTA([3]enemies!$A:$A),MATCH(K$1,[3]enemies!$1:$1,0)-MATCH($J$1,[3]enemies!$1:$1,0)+1),MATCH(K$1,[3]enemies!$1:$1,0)-MATCH($J$1,[3]enemies!$1:$1,0)+1,FALSE)</f>
        <v>色欲 アスモデウス</v>
      </c>
      <c r="L185" s="23" t="str">
        <f ca="1">VLOOKUP($J185,OFFSET([3]enemies!$A$1,0,0,COUNTA([3]enemies!$A:$A),MATCH(L$1,[3]enemies!$1:$1,0)-MATCH($J$1,[3]enemies!$1:$1,0)+1),MATCH(L$1,[3]enemies!$1:$1,0)-MATCH($J$1,[3]enemies!$1:$1,0)+1,FALSE)</f>
        <v>blue</v>
      </c>
      <c r="M185" s="23" t="str">
        <f ca="1">VLOOKUP($J185,OFFSET([4]characters!$A$1,0,0,COUNTA([4]characters!$A:$A),MATCH(M$1,[4]characters!$1:$1,0)-MATCH($J$1,[4]characters!$1:$1,0)+1),MATCH(M$1,[4]characters!$1:$1,0)-MATCH($J$1,[4]characters!$1:$1,0)+1,FALSE)</f>
        <v>PremiumS</v>
      </c>
      <c r="N185" s="22" t="str">
        <f ca="1">VLOOKUP($J185,OFFSET([4]characters!$A$1,0,0,COUNTA([4]characters!$A:$A),MATCH(N$1,[4]characters!$1:$1,0)-MATCH($J$1,[4]characters!$1:$1,0)+2),MATCH(N$1,[4]characters!$1:$1,0)-MATCH($J$1,[4]characters!$1:$1,0)+2,FALSE)</f>
        <v>ゴッド</v>
      </c>
      <c r="O185" s="5">
        <f ca="1">VLOOKUP($J185,OFFSET([3]enemies!$A$1,0,0,COUNTA([3]enemies!$A:$A),MATCH(O$1,[3]enemies!$1:$1,0)-MATCH($J$1,[3]enemies!$1:$1,0)+1),MATCH(O$1,[3]enemies!$1:$1,0)-MATCH($J$1,[3]enemies!$1:$1,0)+1,FALSE)</f>
        <v>30</v>
      </c>
      <c r="P185" s="46">
        <v>60</v>
      </c>
      <c r="Q185" s="43">
        <v>1</v>
      </c>
      <c r="R185" s="43">
        <v>1</v>
      </c>
      <c r="S185" s="6">
        <v>0</v>
      </c>
      <c r="T185" s="5" t="str">
        <f ca="1">VLOOKUP($U185,OFFSET([5]enemy_skill_sets!$B$1,0,0,COUNTA([5]enemy_skill_sets!$B:$B),MATCH(K$1,[5]enemy_skill_sets!$1:$1,0)-MATCH($U$1,[5]enemy_skill_sets!$1:$1,0)+2),MATCH(K$1,[5]enemy_skill_sets!$1:$1,0)-MATCH($U$1,[5]enemy_skill_sets!$1:$1,0)+2,FALSE)</f>
        <v>次のターン強力な攻撃</v>
      </c>
      <c r="U185" s="5">
        <f ca="1">VLOOKUP($J185,OFFSET([3]enemies!$A$1,0,0,COUNTA([3]enemies!$A:$A),MATCH(U$1,[3]enemies!$1:$1,0)-MATCH($J$1,[3]enemies!$1:$1,0)+1),MATCH(U$1,[3]enemies!$1:$1,0)-MATCH($J$1,[3]enemies!$1:$1,0)+1,FALSE)</f>
        <v>257</v>
      </c>
      <c r="V185" s="7">
        <v>1</v>
      </c>
      <c r="W185" s="7">
        <v>100</v>
      </c>
      <c r="X185" s="7">
        <v>1</v>
      </c>
      <c r="Y185" s="20">
        <f ca="1">VLOOKUP($J185,OFFSET([3]enemies!$A$1,0,0,COUNTA([3]enemies!$A:$A),MATCH(Y$1,[3]enemies!$1:$1,0)-MATCH($J$1,[3]enemies!$1:$1,0)+1),MATCH(Y$1,[3]enemies!$1:$1,0)-MATCH($J$1,[3]enemies!$1:$1,0)+1,FALSE)</f>
        <v>3</v>
      </c>
      <c r="Z185" s="31">
        <v>256</v>
      </c>
      <c r="AA185" s="5" t="str">
        <f ca="1">IFERROR(VLOOKUP($Z185,OFFSET([4]characters!$A$1,0,0,COUNTA([4]characters!$A:$A),MATCH(AA$1,[4]characters!$1:$1,0)-MATCH("character_id",[4]characters!$1:$1,0)+1),MATCH(AA$1,[4]characters!$1:$1,0)-MATCH("character_id",[4]characters!$1:$1,0)+1,FALSE),"")</f>
        <v>アスモデウス</v>
      </c>
      <c r="AB185" s="5">
        <f ca="1">IFERROR(VLOOKUP($Z185,OFFSET([4]characters!$A$1,0,0,COUNTA([4]characters!$A:$A),MATCH(AB$1,[4]characters!$1:$1,0)-MATCH("character_id",[4]characters!$1:$1,0)+1),MATCH(AB$1,[4]characters!$1:$1,0)-MATCH("character_id",[4]characters!$1:$1,0)+1,FALSE),"")</f>
        <v>3</v>
      </c>
      <c r="AC185" s="5" t="str">
        <f ca="1">IFERROR(VLOOKUP($Z185,OFFSET([4]characters!$A$1,0,0,COUNTA([4]characters!$A:$A),MATCH(AC$1,[4]characters!$1:$1,0)-MATCH("character_id",[4]characters!$1:$1,0)+1),MATCH(AC$1,[4]characters!$1:$1,0)-MATCH("character_id",[4]characters!$1:$1,0)+1,FALSE),"")</f>
        <v>PremiumS</v>
      </c>
      <c r="AD185" s="8">
        <v>1</v>
      </c>
      <c r="AE185" s="28">
        <f t="shared" ca="1" si="86"/>
        <v>3</v>
      </c>
      <c r="AF185" s="7">
        <v>0</v>
      </c>
      <c r="AG185" s="8">
        <v>0</v>
      </c>
      <c r="AH185" s="8">
        <v>0</v>
      </c>
      <c r="AI185" s="8">
        <v>0</v>
      </c>
      <c r="AJ185" s="8">
        <v>0</v>
      </c>
      <c r="AK185" s="8">
        <v>1</v>
      </c>
      <c r="AL185" s="8">
        <v>1</v>
      </c>
    </row>
    <row r="186" spans="1:38" ht="21" customHeight="1" x14ac:dyDescent="0.15">
      <c r="A186" s="17" t="str">
        <f t="shared" ref="A186" ca="1" si="185">B186&amp;"_"&amp;C186&amp;"-"&amp;G186&amp;"/"&amp;J186&amp;"&lt;lv"&amp;P186&amp;"&gt;s"&amp;Y186</f>
        <v>13101_19-5/53&lt;lv57&gt;s2</v>
      </c>
      <c r="B186" s="26">
        <v>13101</v>
      </c>
      <c r="C186" s="25">
        <v>19</v>
      </c>
      <c r="D186" s="2" t="str">
        <f t="shared" ref="D186" si="186">B186&amp;"_"&amp;C186</f>
        <v>13101_19</v>
      </c>
      <c r="E186" s="5" t="str">
        <f ca="1">VLOOKUP($B186,OFFSET([2]quests!$A$1,0,0,COUNTA([2]quests!$A:$A),MATCH(E$1,[2]quests!$1:$1,0)-MATCH($B$1,[2]quests!$1:$1,0)+1),MATCH(E$1,[2]quests!$1:$1,0)-MATCH($B$1,[2]quests!$1:$1,0)+1,FALSE)</f>
        <v>チャレンジタワー</v>
      </c>
      <c r="F186" s="5" t="e">
        <f ca="1">VLOOKUP($D186,OFFSET([2]stages!$A$1,0,0,COUNTA([2]stages!$A:$A),MATCH(F$1,[2]stages!$1:$1,0)-MATCH($D$1,[2]stages!$1:$1,0)+1),MATCH(F$1,[2]stages!$1:$1,0)-MATCH($D$1,[2]stages!$1:$1,0)+1,FALSE)</f>
        <v>#N/A</v>
      </c>
      <c r="G186" s="33">
        <v>5</v>
      </c>
      <c r="H186" s="16" t="str">
        <f t="shared" ref="H186" si="187">B186&amp;"_"&amp;C186&amp;"-"&amp;G186</f>
        <v>13101_19-5</v>
      </c>
      <c r="I186" s="39" t="s">
        <v>245</v>
      </c>
      <c r="J186" s="31">
        <v>53</v>
      </c>
      <c r="K186" s="20" t="str">
        <f ca="1">VLOOKUP($J186,OFFSET([3]enemies!$A$1,0,0,COUNTA([3]enemies!$A:$A),MATCH(K$1,[3]enemies!$1:$1,0)-MATCH($J$1,[3]enemies!$1:$1,0)+1),MATCH(K$1,[3]enemies!$1:$1,0)-MATCH($J$1,[3]enemies!$1:$1,0)+1,FALSE)</f>
        <v>ケンジ</v>
      </c>
      <c r="L186" s="23" t="str">
        <f ca="1">VLOOKUP($J186,OFFSET([3]enemies!$A$1,0,0,COUNTA([3]enemies!$A:$A),MATCH(L$1,[3]enemies!$1:$1,0)-MATCH($J$1,[3]enemies!$1:$1,0)+1),MATCH(L$1,[3]enemies!$1:$1,0)-MATCH($J$1,[3]enemies!$1:$1,0)+1,FALSE)</f>
        <v>blue</v>
      </c>
      <c r="M186" s="23" t="str">
        <f ca="1">VLOOKUP($J186,OFFSET([4]characters!$A$1,0,0,COUNTA([4]characters!$A:$A),MATCH(M$1,[4]characters!$1:$1,0)-MATCH($J$1,[4]characters!$1:$1,0)+1),MATCH(M$1,[4]characters!$1:$1,0)-MATCH($J$1,[4]characters!$1:$1,0)+1,FALSE)</f>
        <v>Drop1N</v>
      </c>
      <c r="N186" s="22" t="str">
        <f ca="1">VLOOKUP($J186,OFFSET([4]characters!$A$1,0,0,COUNTA([4]characters!$A:$A),MATCH(N$1,[4]characters!$1:$1,0)-MATCH($J$1,[4]characters!$1:$1,0)+2),MATCH(N$1,[4]characters!$1:$1,0)-MATCH($J$1,[4]characters!$1:$1,0)+2,FALSE)</f>
        <v>ヒューマン</v>
      </c>
      <c r="O186" s="5">
        <f ca="1">VLOOKUP($J186,OFFSET([3]enemies!$A$1,0,0,COUNTA([3]enemies!$A:$A),MATCH(O$1,[3]enemies!$1:$1,0)-MATCH($J$1,[3]enemies!$1:$1,0)+1),MATCH(O$1,[3]enemies!$1:$1,0)-MATCH($J$1,[3]enemies!$1:$1,0)+1,FALSE)</f>
        <v>15</v>
      </c>
      <c r="P186" s="46">
        <v>57</v>
      </c>
      <c r="Q186" s="43">
        <v>2</v>
      </c>
      <c r="R186" s="43">
        <v>1</v>
      </c>
      <c r="S186" s="6">
        <v>0</v>
      </c>
      <c r="T186" s="5" t="str">
        <f ca="1">VLOOKUP($U186,OFFSET([5]enemy_skill_sets!$B$1,0,0,COUNTA([5]enemy_skill_sets!$B:$B),MATCH(K$1,[5]enemy_skill_sets!$1:$1,0)-MATCH($U$1,[5]enemy_skill_sets!$1:$1,0)+2),MATCH(K$1,[5]enemy_skill_sets!$1:$1,0)-MATCH($U$1,[5]enemy_skill_sets!$1:$1,0)+2,FALSE)</f>
        <v>効いてしまうと２ターン行動できない</v>
      </c>
      <c r="U186" s="5">
        <f ca="1">VLOOKUP($J186,OFFSET([3]enemies!$A$1,0,0,COUNTA([3]enemies!$A:$A),MATCH(U$1,[3]enemies!$1:$1,0)-MATCH($J$1,[3]enemies!$1:$1,0)+1),MATCH(U$1,[3]enemies!$1:$1,0)-MATCH($J$1,[3]enemies!$1:$1,0)+1,FALSE)</f>
        <v>53</v>
      </c>
      <c r="V186" s="7">
        <v>2</v>
      </c>
      <c r="W186" s="7">
        <v>100</v>
      </c>
      <c r="X186" s="7">
        <v>0</v>
      </c>
      <c r="Y186" s="20">
        <f ca="1">VLOOKUP($J186,OFFSET([3]enemies!$A$1,0,0,COUNTA([3]enemies!$A:$A),MATCH(Y$1,[3]enemies!$1:$1,0)-MATCH($J$1,[3]enemies!$1:$1,0)+1),MATCH(Y$1,[3]enemies!$1:$1,0)-MATCH($J$1,[3]enemies!$1:$1,0)+1,FALSE)</f>
        <v>2</v>
      </c>
      <c r="Z186" s="31">
        <v>53</v>
      </c>
      <c r="AA186" s="5" t="str">
        <f ca="1">IFERROR(VLOOKUP($Z186,OFFSET([4]characters!$A$1,0,0,COUNTA([4]characters!$A:$A),MATCH(AA$1,[4]characters!$1:$1,0)-MATCH("character_id",[4]characters!$1:$1,0)+1),MATCH(AA$1,[4]characters!$1:$1,0)-MATCH("character_id",[4]characters!$1:$1,0)+1,FALSE),"")</f>
        <v>ケンジ</v>
      </c>
      <c r="AB186" s="5">
        <f ca="1">IFERROR(VLOOKUP($Z186,OFFSET([4]characters!$A$1,0,0,COUNTA([4]characters!$A:$A),MATCH(AB$1,[4]characters!$1:$1,0)-MATCH("character_id",[4]characters!$1:$1,0)+1),MATCH(AB$1,[4]characters!$1:$1,0)-MATCH("character_id",[4]characters!$1:$1,0)+1,FALSE),"")</f>
        <v>2</v>
      </c>
      <c r="AC186" s="5" t="str">
        <f ca="1">IFERROR(VLOOKUP($Z186,OFFSET([4]characters!$A$1,0,0,COUNTA([4]characters!$A:$A),MATCH(AC$1,[4]characters!$1:$1,0)-MATCH("character_id",[4]characters!$1:$1,0)+1),MATCH(AC$1,[4]characters!$1:$1,0)-MATCH("character_id",[4]characters!$1:$1,0)+1,FALSE),"")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86" s="8">
        <v>1</v>
      </c>
      <c r="AE186" s="28">
        <f t="shared" ref="AE186" ca="1" si="188">AB186</f>
        <v>2</v>
      </c>
      <c r="AF186" s="7">
        <v>0</v>
      </c>
      <c r="AG186" s="8">
        <v>0</v>
      </c>
      <c r="AH186" s="8">
        <v>0</v>
      </c>
      <c r="AI186" s="8">
        <v>0</v>
      </c>
      <c r="AJ186" s="8">
        <v>0</v>
      </c>
      <c r="AK186" s="8">
        <v>1</v>
      </c>
      <c r="AL186" s="8">
        <v>1</v>
      </c>
    </row>
    <row r="187" spans="1:38" ht="21" customHeight="1" x14ac:dyDescent="0.15">
      <c r="A187" s="17" t="str">
        <f t="shared" ca="1" si="83"/>
        <v>13101_20-1/15&lt;lv60&gt;s3</v>
      </c>
      <c r="B187" s="26">
        <v>13101</v>
      </c>
      <c r="C187" s="25">
        <v>20</v>
      </c>
      <c r="D187" s="2" t="str">
        <f t="shared" si="124"/>
        <v>13101_20</v>
      </c>
      <c r="E187" s="5" t="str">
        <f ca="1">VLOOKUP($B187,OFFSET([2]quests!$A$1,0,0,COUNTA([2]quests!$A:$A),MATCH(E$1,[2]quests!$1:$1,0)-MATCH($B$1,[2]quests!$1:$1,0)+1),MATCH(E$1,[2]quests!$1:$1,0)-MATCH($B$1,[2]quests!$1:$1,0)+1,FALSE)</f>
        <v>チャレンジタワー</v>
      </c>
      <c r="F187" s="5" t="e">
        <f ca="1">VLOOKUP($D187,OFFSET([2]stages!$A$1,0,0,COUNTA([2]stages!$A:$A),MATCH(F$1,[2]stages!$1:$1,0)-MATCH($D$1,[2]stages!$1:$1,0)+1),MATCH(F$1,[2]stages!$1:$1,0)-MATCH($D$1,[2]stages!$1:$1,0)+1,FALSE)</f>
        <v>#N/A</v>
      </c>
      <c r="G187" s="33">
        <v>1</v>
      </c>
      <c r="H187" s="16" t="str">
        <f t="shared" si="85"/>
        <v>13101_20-1</v>
      </c>
      <c r="I187" s="39" t="s">
        <v>245</v>
      </c>
      <c r="J187" s="31">
        <v>15</v>
      </c>
      <c r="K187" s="20" t="str">
        <f ca="1">VLOOKUP($J187,OFFSET([3]enemies!$A$1,0,0,COUNTA([3]enemies!$A:$A),MATCH(K$1,[3]enemies!$1:$1,0)-MATCH($J$1,[3]enemies!$1:$1,0)+1),MATCH(K$1,[3]enemies!$1:$1,0)-MATCH($J$1,[3]enemies!$1:$1,0)+1,FALSE)</f>
        <v>アカネ</v>
      </c>
      <c r="L187" s="23" t="str">
        <f ca="1">VLOOKUP($J187,OFFSET([3]enemies!$A$1,0,0,COUNTA([3]enemies!$A:$A),MATCH(L$1,[3]enemies!$1:$1,0)-MATCH($J$1,[3]enemies!$1:$1,0)+1),MATCH(L$1,[3]enemies!$1:$1,0)-MATCH($J$1,[3]enemies!$1:$1,0)+1,FALSE)</f>
        <v>red</v>
      </c>
      <c r="M187" s="23" t="str">
        <f ca="1">VLOOKUP($J187,OFFSET([4]characters!$A$1,0,0,COUNTA([4]characters!$A:$A),MATCH(M$1,[4]characters!$1:$1,0)-MATCH($J$1,[4]characters!$1:$1,0)+1),MATCH(M$1,[4]characters!$1:$1,0)-MATCH($J$1,[4]characters!$1:$1,0)+1,FALSE)</f>
        <v>Drop1W</v>
      </c>
      <c r="N187" s="22" t="str">
        <f ca="1">VLOOKUP($J187,OFFSET([4]characters!$A$1,0,0,COUNTA([4]characters!$A:$A),MATCH(N$1,[4]characters!$1:$1,0)-MATCH($J$1,[4]characters!$1:$1,0)+2),MATCH(N$1,[4]characters!$1:$1,0)-MATCH($J$1,[4]characters!$1:$1,0)+2,FALSE)</f>
        <v>ヒューマン</v>
      </c>
      <c r="O187" s="5">
        <f ca="1">VLOOKUP($J187,OFFSET([3]enemies!$A$1,0,0,COUNTA([3]enemies!$A:$A),MATCH(O$1,[3]enemies!$1:$1,0)-MATCH($J$1,[3]enemies!$1:$1,0)+1),MATCH(O$1,[3]enemies!$1:$1,0)-MATCH($J$1,[3]enemies!$1:$1,0)+1,FALSE)</f>
        <v>15</v>
      </c>
      <c r="P187" s="46">
        <v>60</v>
      </c>
      <c r="Q187" s="43">
        <v>1</v>
      </c>
      <c r="R187" s="43">
        <v>1</v>
      </c>
      <c r="S187" s="6">
        <v>0</v>
      </c>
      <c r="T187" s="5" t="str">
        <f ca="1">VLOOKUP($U187,OFFSET([5]enemy_skill_sets!$B$1,0,0,COUNTA([5]enemy_skill_sets!$B:$B),MATCH(K$1,[5]enemy_skill_sets!$1:$1,0)-MATCH($U$1,[5]enemy_skill_sets!$1:$1,0)+2),MATCH(K$1,[5]enemy_skill_sets!$1:$1,0)-MATCH($U$1,[5]enemy_skill_sets!$1:$1,0)+2,FALSE)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87" s="5">
        <f ca="1">VLOOKUP($J187,OFFSET([3]enemies!$A$1,0,0,COUNTA([3]enemies!$A:$A),MATCH(U$1,[3]enemies!$1:$1,0)-MATCH($J$1,[3]enemies!$1:$1,0)+1),MATCH(U$1,[3]enemies!$1:$1,0)-MATCH($J$1,[3]enemies!$1:$1,0)+1,FALSE)</f>
        <v>0</v>
      </c>
      <c r="V187" s="7">
        <v>0</v>
      </c>
      <c r="W187" s="7">
        <v>100</v>
      </c>
      <c r="X187" s="7">
        <v>0</v>
      </c>
      <c r="Y187" s="20">
        <f ca="1">VLOOKUP($J187,OFFSET([3]enemies!$A$1,0,0,COUNTA([3]enemies!$A:$A),MATCH(Y$1,[3]enemies!$1:$1,0)-MATCH($J$1,[3]enemies!$1:$1,0)+1),MATCH(Y$1,[3]enemies!$1:$1,0)-MATCH($J$1,[3]enemies!$1:$1,0)+1,FALSE)</f>
        <v>3</v>
      </c>
      <c r="Z187" s="31">
        <v>15</v>
      </c>
      <c r="AA187" s="5" t="str">
        <f ca="1">IFERROR(VLOOKUP($Z187,OFFSET([4]characters!$A$1,0,0,COUNTA([4]characters!$A:$A),MATCH(AA$1,[4]characters!$1:$1,0)-MATCH("character_id",[4]characters!$1:$1,0)+1),MATCH(AA$1,[4]characters!$1:$1,0)-MATCH("character_id",[4]characters!$1:$1,0)+1,FALSE),"")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187" s="5">
        <f ca="1">IFERROR(VLOOKUP($Z187,OFFSET([4]characters!$A$1,0,0,COUNTA([4]characters!$A:$A),MATCH(AB$1,[4]characters!$1:$1,0)-MATCH("character_id",[4]characters!$1:$1,0)+1),MATCH(AB$1,[4]characters!$1:$1,0)-MATCH("character_id",[4]characters!$1:$1,0)+1,FALSE),"")</f>
        <v>1</v>
      </c>
      <c r="AC187" s="5" t="str">
        <f ca="1">IFERROR(VLOOKUP($Z187,OFFSET([4]characters!$A$1,0,0,COUNTA([4]characters!$A:$A),MATCH(AC$1,[4]characters!$1:$1,0)-MATCH("character_id",[4]characters!$1:$1,0)+1),MATCH(AC$1,[4]characters!$1:$1,0)-MATCH("character_id",[4]characters!$1:$1,0)+1,FALSE),"")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87" s="8">
        <v>1</v>
      </c>
      <c r="AE187" s="28">
        <f t="shared" ca="1" si="86"/>
        <v>1</v>
      </c>
      <c r="AF187" s="7">
        <v>25</v>
      </c>
      <c r="AG187" s="8">
        <v>0</v>
      </c>
      <c r="AH187" s="8">
        <v>0</v>
      </c>
      <c r="AI187" s="8">
        <v>0</v>
      </c>
      <c r="AJ187" s="8">
        <v>0</v>
      </c>
      <c r="AK187" s="8">
        <v>1</v>
      </c>
      <c r="AL187" s="8">
        <v>1</v>
      </c>
    </row>
    <row r="188" spans="1:38" ht="21" customHeight="1" x14ac:dyDescent="0.15">
      <c r="A188" s="17" t="str">
        <f t="shared" ref="A188:A192" ca="1" si="189">B188&amp;"_"&amp;C188&amp;"-"&amp;G188&amp;"/"&amp;J188&amp;"&lt;lv"&amp;P188&amp;"&gt;s"&amp;Y188</f>
        <v>13101_20-1/17&lt;lv60&gt;s2</v>
      </c>
      <c r="B188" s="26">
        <v>13101</v>
      </c>
      <c r="C188" s="25">
        <v>20</v>
      </c>
      <c r="D188" s="2" t="str">
        <f t="shared" ref="D188:D192" si="190">B188&amp;"_"&amp;C188</f>
        <v>13101_20</v>
      </c>
      <c r="E188" s="5" t="str">
        <f ca="1">VLOOKUP($B188,OFFSET([2]quests!$A$1,0,0,COUNTA([2]quests!$A:$A),MATCH(E$1,[2]quests!$1:$1,0)-MATCH($B$1,[2]quests!$1:$1,0)+1),MATCH(E$1,[2]quests!$1:$1,0)-MATCH($B$1,[2]quests!$1:$1,0)+1,FALSE)</f>
        <v>チャレンジタワー</v>
      </c>
      <c r="F188" s="5" t="e">
        <f ca="1">VLOOKUP($D188,OFFSET([2]stages!$A$1,0,0,COUNTA([2]stages!$A:$A),MATCH(F$1,[2]stages!$1:$1,0)-MATCH($D$1,[2]stages!$1:$1,0)+1),MATCH(F$1,[2]stages!$1:$1,0)-MATCH($D$1,[2]stages!$1:$1,0)+1,FALSE)</f>
        <v>#N/A</v>
      </c>
      <c r="G188" s="33">
        <v>1</v>
      </c>
      <c r="H188" s="16" t="str">
        <f t="shared" ref="H188:H192" si="191">B188&amp;"_"&amp;C188&amp;"-"&amp;G188</f>
        <v>13101_20-1</v>
      </c>
      <c r="I188" s="39" t="s">
        <v>245</v>
      </c>
      <c r="J188" s="31">
        <v>17</v>
      </c>
      <c r="K188" s="20" t="str">
        <f ca="1">VLOOKUP($J188,OFFSET([3]enemies!$A$1,0,0,COUNTA([3]enemies!$A:$A),MATCH(K$1,[3]enemies!$1:$1,0)-MATCH($J$1,[3]enemies!$1:$1,0)+1),MATCH(K$1,[3]enemies!$1:$1,0)-MATCH($J$1,[3]enemies!$1:$1,0)+1,FALSE)</f>
        <v>リム</v>
      </c>
      <c r="L188" s="23" t="str">
        <f ca="1">VLOOKUP($J188,OFFSET([3]enemies!$A$1,0,0,COUNTA([3]enemies!$A:$A),MATCH(L$1,[3]enemies!$1:$1,0)-MATCH($J$1,[3]enemies!$1:$1,0)+1),MATCH(L$1,[3]enemies!$1:$1,0)-MATCH($J$1,[3]enemies!$1:$1,0)+1,FALSE)</f>
        <v>blue</v>
      </c>
      <c r="M188" s="23" t="str">
        <f ca="1">VLOOKUP($J188,OFFSET([4]characters!$A$1,0,0,COUNTA([4]characters!$A:$A),MATCH(M$1,[4]characters!$1:$1,0)-MATCH($J$1,[4]characters!$1:$1,0)+1),MATCH(M$1,[4]characters!$1:$1,0)-MATCH($J$1,[4]characters!$1:$1,0)+1,FALSE)</f>
        <v>Drop1W</v>
      </c>
      <c r="N188" s="22" t="str">
        <f ca="1">VLOOKUP($J188,OFFSET([4]characters!$A$1,0,0,COUNTA([4]characters!$A:$A),MATCH(N$1,[4]characters!$1:$1,0)-MATCH($J$1,[4]characters!$1:$1,0)+2),MATCH(N$1,[4]characters!$1:$1,0)-MATCH($J$1,[4]characters!$1:$1,0)+2,FALSE)</f>
        <v>ヒューマン</v>
      </c>
      <c r="O188" s="5">
        <f ca="1">VLOOKUP($J188,OFFSET([3]enemies!$A$1,0,0,COUNTA([3]enemies!$A:$A),MATCH(O$1,[3]enemies!$1:$1,0)-MATCH($J$1,[3]enemies!$1:$1,0)+1),MATCH(O$1,[3]enemies!$1:$1,0)-MATCH($J$1,[3]enemies!$1:$1,0)+1,FALSE)</f>
        <v>15</v>
      </c>
      <c r="P188" s="46">
        <v>60</v>
      </c>
      <c r="Q188" s="43">
        <v>1</v>
      </c>
      <c r="R188" s="43">
        <v>1</v>
      </c>
      <c r="S188" s="6">
        <v>0</v>
      </c>
      <c r="T188" s="5" t="str">
        <f ca="1">VLOOKUP($U188,OFFSET([5]enemy_skill_sets!$B$1,0,0,COUNTA([5]enemy_skill_sets!$B:$B),MATCH(K$1,[5]enemy_skill_sets!$1:$1,0)-MATCH($U$1,[5]enemy_skill_sets!$1:$1,0)+2),MATCH(K$1,[5]enemy_skill_sets!$1:$1,0)-MATCH($U$1,[5]enemy_skill_sets!$1:$1,0)+2,FALSE)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88" s="5">
        <f ca="1">VLOOKUP($J188,OFFSET([3]enemies!$A$1,0,0,COUNTA([3]enemies!$A:$A),MATCH(U$1,[3]enemies!$1:$1,0)-MATCH($J$1,[3]enemies!$1:$1,0)+1),MATCH(U$1,[3]enemies!$1:$1,0)-MATCH($J$1,[3]enemies!$1:$1,0)+1,FALSE)</f>
        <v>0</v>
      </c>
      <c r="V188" s="7">
        <v>0</v>
      </c>
      <c r="W188" s="7">
        <v>100</v>
      </c>
      <c r="X188" s="7">
        <v>0</v>
      </c>
      <c r="Y188" s="20">
        <f ca="1">VLOOKUP($J188,OFFSET([3]enemies!$A$1,0,0,COUNTA([3]enemies!$A:$A),MATCH(Y$1,[3]enemies!$1:$1,0)-MATCH($J$1,[3]enemies!$1:$1,0)+1),MATCH(Y$1,[3]enemies!$1:$1,0)-MATCH($J$1,[3]enemies!$1:$1,0)+1,FALSE)</f>
        <v>2</v>
      </c>
      <c r="Z188" s="31">
        <v>17</v>
      </c>
      <c r="AA188" s="5" t="str">
        <f ca="1">IFERROR(VLOOKUP($Z188,OFFSET([4]characters!$A$1,0,0,COUNTA([4]characters!$A:$A),MATCH(AA$1,[4]characters!$1:$1,0)-MATCH("character_id",[4]characters!$1:$1,0)+1),MATCH(AA$1,[4]characters!$1:$1,0)-MATCH("character_id",[4]characters!$1:$1,0)+1,FALSE),"")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188" s="5">
        <f ca="1">IFERROR(VLOOKUP($Z188,OFFSET([4]characters!$A$1,0,0,COUNTA([4]characters!$A:$A),MATCH(AB$1,[4]characters!$1:$1,0)-MATCH("character_id",[4]characters!$1:$1,0)+1),MATCH(AB$1,[4]characters!$1:$1,0)-MATCH("character_id",[4]characters!$1:$1,0)+1,FALSE),"")</f>
        <v>1</v>
      </c>
      <c r="AC188" s="5" t="str">
        <f ca="1">IFERROR(VLOOKUP($Z188,OFFSET([4]characters!$A$1,0,0,COUNTA([4]characters!$A:$A),MATCH(AC$1,[4]characters!$1:$1,0)-MATCH("character_id",[4]characters!$1:$1,0)+1),MATCH(AC$1,[4]characters!$1:$1,0)-MATCH("character_id",[4]characters!$1:$1,0)+1,FALSE),"")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88" s="8">
        <v>1</v>
      </c>
      <c r="AE188" s="28">
        <f t="shared" ref="AE188:AE192" ca="1" si="192">AB188</f>
        <v>1</v>
      </c>
      <c r="AF188" s="7">
        <v>25</v>
      </c>
      <c r="AG188" s="8">
        <v>0</v>
      </c>
      <c r="AH188" s="8">
        <v>0</v>
      </c>
      <c r="AI188" s="8">
        <v>0</v>
      </c>
      <c r="AJ188" s="8">
        <v>0</v>
      </c>
      <c r="AK188" s="8">
        <v>1</v>
      </c>
      <c r="AL188" s="8">
        <v>1</v>
      </c>
    </row>
    <row r="189" spans="1:38" ht="21" customHeight="1" x14ac:dyDescent="0.15">
      <c r="A189" s="17" t="str">
        <f t="shared" ca="1" si="189"/>
        <v>13101_20-1/19&lt;lv60&gt;s3</v>
      </c>
      <c r="B189" s="26">
        <v>13101</v>
      </c>
      <c r="C189" s="25">
        <v>20</v>
      </c>
      <c r="D189" s="2" t="str">
        <f t="shared" si="190"/>
        <v>13101_20</v>
      </c>
      <c r="E189" s="5" t="str">
        <f ca="1">VLOOKUP($B189,OFFSET([2]quests!$A$1,0,0,COUNTA([2]quests!$A:$A),MATCH(E$1,[2]quests!$1:$1,0)-MATCH($B$1,[2]quests!$1:$1,0)+1),MATCH(E$1,[2]quests!$1:$1,0)-MATCH($B$1,[2]quests!$1:$1,0)+1,FALSE)</f>
        <v>チャレンジタワー</v>
      </c>
      <c r="F189" s="5" t="e">
        <f ca="1">VLOOKUP($D189,OFFSET([2]stages!$A$1,0,0,COUNTA([2]stages!$A:$A),MATCH(F$1,[2]stages!$1:$1,0)-MATCH($D$1,[2]stages!$1:$1,0)+1),MATCH(F$1,[2]stages!$1:$1,0)-MATCH($D$1,[2]stages!$1:$1,0)+1,FALSE)</f>
        <v>#N/A</v>
      </c>
      <c r="G189" s="33">
        <v>1</v>
      </c>
      <c r="H189" s="16" t="str">
        <f t="shared" si="191"/>
        <v>13101_20-1</v>
      </c>
      <c r="I189" s="39" t="s">
        <v>245</v>
      </c>
      <c r="J189" s="31">
        <v>19</v>
      </c>
      <c r="K189" s="20" t="str">
        <f ca="1">VLOOKUP($J189,OFFSET([3]enemies!$A$1,0,0,COUNTA([3]enemies!$A:$A),MATCH(K$1,[3]enemies!$1:$1,0)-MATCH($J$1,[3]enemies!$1:$1,0)+1),MATCH(K$1,[3]enemies!$1:$1,0)-MATCH($J$1,[3]enemies!$1:$1,0)+1,FALSE)</f>
        <v>ティンク</v>
      </c>
      <c r="L189" s="23" t="str">
        <f ca="1">VLOOKUP($J189,OFFSET([3]enemies!$A$1,0,0,COUNTA([3]enemies!$A:$A),MATCH(L$1,[3]enemies!$1:$1,0)-MATCH($J$1,[3]enemies!$1:$1,0)+1),MATCH(L$1,[3]enemies!$1:$1,0)-MATCH($J$1,[3]enemies!$1:$1,0)+1,FALSE)</f>
        <v>yellow</v>
      </c>
      <c r="M189" s="23" t="str">
        <f ca="1">VLOOKUP($J189,OFFSET([4]characters!$A$1,0,0,COUNTA([4]characters!$A:$A),MATCH(M$1,[4]characters!$1:$1,0)-MATCH($J$1,[4]characters!$1:$1,0)+1),MATCH(M$1,[4]characters!$1:$1,0)-MATCH($J$1,[4]characters!$1:$1,0)+1,FALSE)</f>
        <v>Drop1W</v>
      </c>
      <c r="N189" s="22" t="str">
        <f ca="1">VLOOKUP($J189,OFFSET([4]characters!$A$1,0,0,COUNTA([4]characters!$A:$A),MATCH(N$1,[4]characters!$1:$1,0)-MATCH($J$1,[4]characters!$1:$1,0)+2),MATCH(N$1,[4]characters!$1:$1,0)-MATCH($J$1,[4]characters!$1:$1,0)+2,FALSE)</f>
        <v>ヒューマン</v>
      </c>
      <c r="O189" s="5">
        <f ca="1">VLOOKUP($J189,OFFSET([3]enemies!$A$1,0,0,COUNTA([3]enemies!$A:$A),MATCH(O$1,[3]enemies!$1:$1,0)-MATCH($J$1,[3]enemies!$1:$1,0)+1),MATCH(O$1,[3]enemies!$1:$1,0)-MATCH($J$1,[3]enemies!$1:$1,0)+1,FALSE)</f>
        <v>15</v>
      </c>
      <c r="P189" s="46">
        <v>60</v>
      </c>
      <c r="Q189" s="43">
        <v>1</v>
      </c>
      <c r="R189" s="43">
        <v>1</v>
      </c>
      <c r="S189" s="6">
        <v>0</v>
      </c>
      <c r="T189" s="5" t="str">
        <f ca="1">VLOOKUP($U189,OFFSET([5]enemy_skill_sets!$B$1,0,0,COUNTA([5]enemy_skill_sets!$B:$B),MATCH(K$1,[5]enemy_skill_sets!$1:$1,0)-MATCH($U$1,[5]enemy_skill_sets!$1:$1,0)+2),MATCH(K$1,[5]enemy_skill_sets!$1:$1,0)-MATCH($U$1,[5]enemy_skill_sets!$1:$1,0)+2,FALSE)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89" s="5">
        <f ca="1">VLOOKUP($J189,OFFSET([3]enemies!$A$1,0,0,COUNTA([3]enemies!$A:$A),MATCH(U$1,[3]enemies!$1:$1,0)-MATCH($J$1,[3]enemies!$1:$1,0)+1),MATCH(U$1,[3]enemies!$1:$1,0)-MATCH($J$1,[3]enemies!$1:$1,0)+1,FALSE)</f>
        <v>0</v>
      </c>
      <c r="V189" s="7">
        <v>0</v>
      </c>
      <c r="W189" s="7">
        <v>100</v>
      </c>
      <c r="X189" s="7">
        <v>0</v>
      </c>
      <c r="Y189" s="20">
        <f ca="1">VLOOKUP($J189,OFFSET([3]enemies!$A$1,0,0,COUNTA([3]enemies!$A:$A),MATCH(Y$1,[3]enemies!$1:$1,0)-MATCH($J$1,[3]enemies!$1:$1,0)+1),MATCH(Y$1,[3]enemies!$1:$1,0)-MATCH($J$1,[3]enemies!$1:$1,0)+1,FALSE)</f>
        <v>3</v>
      </c>
      <c r="Z189" s="31">
        <v>19</v>
      </c>
      <c r="AA189" s="5" t="str">
        <f ca="1">IFERROR(VLOOKUP($Z189,OFFSET([4]characters!$A$1,0,0,COUNTA([4]characters!$A:$A),MATCH(AA$1,[4]characters!$1:$1,0)-MATCH("character_id",[4]characters!$1:$1,0)+1),MATCH(AA$1,[4]characters!$1:$1,0)-MATCH("character_id",[4]characters!$1:$1,0)+1,FALSE),"")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189" s="5">
        <f ca="1">IFERROR(VLOOKUP($Z189,OFFSET([4]characters!$A$1,0,0,COUNTA([4]characters!$A:$A),MATCH(AB$1,[4]characters!$1:$1,0)-MATCH("character_id",[4]characters!$1:$1,0)+1),MATCH(AB$1,[4]characters!$1:$1,0)-MATCH("character_id",[4]characters!$1:$1,0)+1,FALSE),"")</f>
        <v>1</v>
      </c>
      <c r="AC189" s="5" t="str">
        <f ca="1">IFERROR(VLOOKUP($Z189,OFFSET([4]characters!$A$1,0,0,COUNTA([4]characters!$A:$A),MATCH(AC$1,[4]characters!$1:$1,0)-MATCH("character_id",[4]characters!$1:$1,0)+1),MATCH(AC$1,[4]characters!$1:$1,0)-MATCH("character_id",[4]characters!$1:$1,0)+1,FALSE),"")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89" s="8">
        <v>1</v>
      </c>
      <c r="AE189" s="28">
        <f t="shared" ca="1" si="192"/>
        <v>1</v>
      </c>
      <c r="AF189" s="7">
        <v>25</v>
      </c>
      <c r="AG189" s="8">
        <v>0</v>
      </c>
      <c r="AH189" s="8">
        <v>0</v>
      </c>
      <c r="AI189" s="8">
        <v>0</v>
      </c>
      <c r="AJ189" s="8">
        <v>0</v>
      </c>
      <c r="AK189" s="8">
        <v>1</v>
      </c>
      <c r="AL189" s="8">
        <v>1</v>
      </c>
    </row>
    <row r="190" spans="1:38" ht="21" customHeight="1" x14ac:dyDescent="0.15">
      <c r="A190" s="17" t="str">
        <f t="shared" ref="A190" ca="1" si="193">B190&amp;"_"&amp;C190&amp;"-"&amp;G190&amp;"/"&amp;J190&amp;"&lt;lv"&amp;P190&amp;"&gt;s"&amp;Y190</f>
        <v>13101_20-1/63&lt;lv60&gt;s2</v>
      </c>
      <c r="B190" s="26">
        <v>13101</v>
      </c>
      <c r="C190" s="25">
        <v>20</v>
      </c>
      <c r="D190" s="2" t="str">
        <f t="shared" ref="D190" si="194">B190&amp;"_"&amp;C190</f>
        <v>13101_20</v>
      </c>
      <c r="E190" s="5" t="str">
        <f ca="1">VLOOKUP($B190,OFFSET([2]quests!$A$1,0,0,COUNTA([2]quests!$A:$A),MATCH(E$1,[2]quests!$1:$1,0)-MATCH($B$1,[2]quests!$1:$1,0)+1),MATCH(E$1,[2]quests!$1:$1,0)-MATCH($B$1,[2]quests!$1:$1,0)+1,FALSE)</f>
        <v>チャレンジタワー</v>
      </c>
      <c r="F190" s="5" t="e">
        <f ca="1">VLOOKUP($D190,OFFSET([2]stages!$A$1,0,0,COUNTA([2]stages!$A:$A),MATCH(F$1,[2]stages!$1:$1,0)-MATCH($D$1,[2]stages!$1:$1,0)+1),MATCH(F$1,[2]stages!$1:$1,0)-MATCH($D$1,[2]stages!$1:$1,0)+1,FALSE)</f>
        <v>#N/A</v>
      </c>
      <c r="G190" s="33">
        <v>1</v>
      </c>
      <c r="H190" s="16" t="str">
        <f t="shared" ref="H190" si="195">B190&amp;"_"&amp;C190&amp;"-"&amp;G190</f>
        <v>13101_20-1</v>
      </c>
      <c r="I190" s="39" t="s">
        <v>245</v>
      </c>
      <c r="J190" s="31">
        <v>63</v>
      </c>
      <c r="K190" s="20" t="str">
        <f ca="1">VLOOKUP($J190,OFFSET([3]enemies!$A$1,0,0,COUNTA([3]enemies!$A:$A),MATCH(K$1,[3]enemies!$1:$1,0)-MATCH($J$1,[3]enemies!$1:$1,0)+1),MATCH(K$1,[3]enemies!$1:$1,0)-MATCH($J$1,[3]enemies!$1:$1,0)+1,FALSE)</f>
        <v>トニー</v>
      </c>
      <c r="L190" s="23" t="str">
        <f ca="1">VLOOKUP($J190,OFFSET([3]enemies!$A$1,0,0,COUNTA([3]enemies!$A:$A),MATCH(L$1,[3]enemies!$1:$1,0)-MATCH($J$1,[3]enemies!$1:$1,0)+1),MATCH(L$1,[3]enemies!$1:$1,0)-MATCH($J$1,[3]enemies!$1:$1,0)+1,FALSE)</f>
        <v>yellow</v>
      </c>
      <c r="M190" s="23" t="str">
        <f ca="1">VLOOKUP($J190,OFFSET([4]characters!$A$1,0,0,COUNTA([4]characters!$A:$A),MATCH(M$1,[4]characters!$1:$1,0)-MATCH($J$1,[4]characters!$1:$1,0)+1),MATCH(M$1,[4]characters!$1:$1,0)-MATCH($J$1,[4]characters!$1:$1,0)+1,FALSE)</f>
        <v>Drop1N</v>
      </c>
      <c r="N190" s="22" t="str">
        <f ca="1">VLOOKUP($J190,OFFSET([4]characters!$A$1,0,0,COUNTA([4]characters!$A:$A),MATCH(N$1,[4]characters!$1:$1,0)-MATCH($J$1,[4]characters!$1:$1,0)+2),MATCH(N$1,[4]characters!$1:$1,0)-MATCH($J$1,[4]characters!$1:$1,0)+2,FALSE)</f>
        <v>アニマル</v>
      </c>
      <c r="O190" s="5">
        <f ca="1">VLOOKUP($J190,OFFSET([3]enemies!$A$1,0,0,COUNTA([3]enemies!$A:$A),MATCH(O$1,[3]enemies!$1:$1,0)-MATCH($J$1,[3]enemies!$1:$1,0)+1),MATCH(O$1,[3]enemies!$1:$1,0)-MATCH($J$1,[3]enemies!$1:$1,0)+1,FALSE)</f>
        <v>15</v>
      </c>
      <c r="P190" s="46">
        <v>60</v>
      </c>
      <c r="Q190" s="43">
        <v>1</v>
      </c>
      <c r="R190" s="43">
        <v>1</v>
      </c>
      <c r="S190" s="6">
        <v>0</v>
      </c>
      <c r="T190" s="5" t="str">
        <f ca="1">VLOOKUP($U190,OFFSET([5]enemy_skill_sets!$B$1,0,0,COUNTA([5]enemy_skill_sets!$B:$B),MATCH(K$1,[5]enemy_skill_sets!$1:$1,0)-MATCH($U$1,[5]enemy_skill_sets!$1:$1,0)+2),MATCH(K$1,[5]enemy_skill_sets!$1:$1,0)-MATCH($U$1,[5]enemy_skill_sets!$1:$1,0)+2,FALSE)</f>
        <v>2回連続攻撃</v>
      </c>
      <c r="U190" s="5">
        <f ca="1">VLOOKUP($J190,OFFSET([3]enemies!$A$1,0,0,COUNTA([3]enemies!$A:$A),MATCH(U$1,[3]enemies!$1:$1,0)-MATCH($J$1,[3]enemies!$1:$1,0)+1),MATCH(U$1,[3]enemies!$1:$1,0)-MATCH($J$1,[3]enemies!$1:$1,0)+1,FALSE)</f>
        <v>63</v>
      </c>
      <c r="V190" s="7">
        <v>0</v>
      </c>
      <c r="W190" s="7">
        <v>100</v>
      </c>
      <c r="X190" s="7">
        <v>0</v>
      </c>
      <c r="Y190" s="20">
        <f ca="1">VLOOKUP($J190,OFFSET([3]enemies!$A$1,0,0,COUNTA([3]enemies!$A:$A),MATCH(Y$1,[3]enemies!$1:$1,0)-MATCH($J$1,[3]enemies!$1:$1,0)+1),MATCH(Y$1,[3]enemies!$1:$1,0)-MATCH($J$1,[3]enemies!$1:$1,0)+1,FALSE)</f>
        <v>2</v>
      </c>
      <c r="Z190" s="31">
        <v>63</v>
      </c>
      <c r="AA190" s="5" t="str">
        <f ca="1">IFERROR(VLOOKUP($Z190,OFFSET([4]characters!$A$1,0,0,COUNTA([4]characters!$A:$A),MATCH(AA$1,[4]characters!$1:$1,0)-MATCH("character_id",[4]characters!$1:$1,0)+1),MATCH(AA$1,[4]characters!$1:$1,0)-MATCH("character_id",[4]characters!$1:$1,0)+1,FALSE),"")</f>
        <v>トニー</v>
      </c>
      <c r="AB190" s="5">
        <f ca="1">IFERROR(VLOOKUP($Z190,OFFSET([4]characters!$A$1,0,0,COUNTA([4]characters!$A:$A),MATCH(AB$1,[4]characters!$1:$1,0)-MATCH("character_id",[4]characters!$1:$1,0)+1),MATCH(AB$1,[4]characters!$1:$1,0)-MATCH("character_id",[4]characters!$1:$1,0)+1,FALSE),"")</f>
        <v>2</v>
      </c>
      <c r="AC190" s="5" t="str">
        <f ca="1">IFERROR(VLOOKUP($Z190,OFFSET([4]characters!$A$1,0,0,COUNTA([4]characters!$A:$A),MATCH(AC$1,[4]characters!$1:$1,0)-MATCH("character_id",[4]characters!$1:$1,0)+1),MATCH(AC$1,[4]characters!$1:$1,0)-MATCH("character_id",[4]characters!$1:$1,0)+1,FALSE),"")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90" s="8">
        <v>1</v>
      </c>
      <c r="AE190" s="28">
        <f t="shared" ref="AE190" ca="1" si="196">AB190</f>
        <v>2</v>
      </c>
      <c r="AF190" s="7">
        <v>25</v>
      </c>
      <c r="AG190" s="8">
        <v>0</v>
      </c>
      <c r="AH190" s="8">
        <v>0</v>
      </c>
      <c r="AI190" s="8">
        <v>0</v>
      </c>
      <c r="AJ190" s="8">
        <v>0</v>
      </c>
      <c r="AK190" s="8">
        <v>1</v>
      </c>
      <c r="AL190" s="8">
        <v>1</v>
      </c>
    </row>
    <row r="191" spans="1:38" ht="21" customHeight="1" x14ac:dyDescent="0.15">
      <c r="A191" s="17" t="str">
        <f t="shared" ca="1" si="189"/>
        <v>13101_20-1/23&lt;lv60&gt;s4</v>
      </c>
      <c r="B191" s="26">
        <v>13101</v>
      </c>
      <c r="C191" s="25">
        <v>20</v>
      </c>
      <c r="D191" s="16" t="str">
        <f t="shared" si="190"/>
        <v>13101_20</v>
      </c>
      <c r="E191" s="5" t="str">
        <f ca="1">VLOOKUP($B191,OFFSET([2]quests!$A$1,0,0,COUNTA([2]quests!$A:$A),MATCH(E$1,[2]quests!$1:$1,0)-MATCH($B$1,[2]quests!$1:$1,0)+1),MATCH(E$1,[2]quests!$1:$1,0)-MATCH($B$1,[2]quests!$1:$1,0)+1,FALSE)</f>
        <v>チャレンジタワー</v>
      </c>
      <c r="F191" s="5" t="e">
        <f ca="1">VLOOKUP($D191,OFFSET([2]stages!$A$1,0,0,COUNTA([2]stages!$A:$A),MATCH(F$1,[2]stages!$1:$1,0)-MATCH($D$1,[2]stages!$1:$1,0)+1),MATCH(F$1,[2]stages!$1:$1,0)-MATCH($D$1,[2]stages!$1:$1,0)+1,FALSE)</f>
        <v>#N/A</v>
      </c>
      <c r="G191" s="33">
        <v>1</v>
      </c>
      <c r="H191" s="16" t="str">
        <f t="shared" si="191"/>
        <v>13101_20-1</v>
      </c>
      <c r="I191" s="39" t="s">
        <v>245</v>
      </c>
      <c r="J191" s="31">
        <v>23</v>
      </c>
      <c r="K191" s="20" t="str">
        <f ca="1">VLOOKUP($J191,OFFSET([3]enemies!$A$1,0,0,COUNTA([3]enemies!$A:$A),MATCH(K$1,[3]enemies!$1:$1,0)-MATCH($J$1,[3]enemies!$1:$1,0)+1),MATCH(K$1,[3]enemies!$1:$1,0)-MATCH($J$1,[3]enemies!$1:$1,0)+1,FALSE)</f>
        <v>ミール</v>
      </c>
      <c r="L191" s="23" t="str">
        <f ca="1">VLOOKUP($J191,OFFSET([3]enemies!$A$1,0,0,COUNTA([3]enemies!$A:$A),MATCH(L$1,[3]enemies!$1:$1,0)-MATCH($J$1,[3]enemies!$1:$1,0)+1),MATCH(L$1,[3]enemies!$1:$1,0)-MATCH($J$1,[3]enemies!$1:$1,0)+1,FALSE)</f>
        <v>green</v>
      </c>
      <c r="M191" s="23" t="str">
        <f ca="1">VLOOKUP($J191,OFFSET([4]characters!$A$1,0,0,COUNTA([4]characters!$A:$A),MATCH(M$1,[4]characters!$1:$1,0)-MATCH($J$1,[4]characters!$1:$1,0)+1),MATCH(M$1,[4]characters!$1:$1,0)-MATCH($J$1,[4]characters!$1:$1,0)+1,FALSE)</f>
        <v>Drop1N</v>
      </c>
      <c r="N191" s="22" t="str">
        <f ca="1">VLOOKUP($J191,OFFSET([4]characters!$A$1,0,0,COUNTA([4]characters!$A:$A),MATCH(N$1,[4]characters!$1:$1,0)-MATCH($J$1,[4]characters!$1:$1,0)+2),MATCH(N$1,[4]characters!$1:$1,0)-MATCH($J$1,[4]characters!$1:$1,0)+2,FALSE)</f>
        <v>アニマル</v>
      </c>
      <c r="O191" s="5">
        <f ca="1">VLOOKUP($J191,OFFSET([3]enemies!$A$1,0,0,COUNTA([3]enemies!$A:$A),MATCH(O$1,[3]enemies!$1:$1,0)-MATCH($J$1,[3]enemies!$1:$1,0)+1),MATCH(O$1,[3]enemies!$1:$1,0)-MATCH($J$1,[3]enemies!$1:$1,0)+1,FALSE)</f>
        <v>15</v>
      </c>
      <c r="P191" s="46">
        <v>60</v>
      </c>
      <c r="Q191" s="43">
        <v>1</v>
      </c>
      <c r="R191" s="43">
        <v>1</v>
      </c>
      <c r="S191" s="6">
        <v>0</v>
      </c>
      <c r="T191" s="5" t="str">
        <f ca="1">VLOOKUP($U191,OFFSET([5]enemy_skill_sets!$B$1,0,0,COUNTA([5]enemy_skill_sets!$B:$B),MATCH(K$1,[5]enemy_skill_sets!$1:$1,0)-MATCH($U$1,[5]enemy_skill_sets!$1:$1,0)+2),MATCH(K$1,[5]enemy_skill_sets!$1:$1,0)-MATCH($U$1,[5]enemy_skill_sets!$1:$1,0)+2,FALSE)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91" s="5">
        <f ca="1">VLOOKUP($J191,OFFSET([3]enemies!$A$1,0,0,COUNTA([3]enemies!$A:$A),MATCH(U$1,[3]enemies!$1:$1,0)-MATCH($J$1,[3]enemies!$1:$1,0)+1),MATCH(U$1,[3]enemies!$1:$1,0)-MATCH($J$1,[3]enemies!$1:$1,0)+1,FALSE)</f>
        <v>0</v>
      </c>
      <c r="V191" s="7">
        <v>0</v>
      </c>
      <c r="W191" s="7">
        <v>100</v>
      </c>
      <c r="X191" s="7">
        <v>0</v>
      </c>
      <c r="Y191" s="20">
        <f ca="1">VLOOKUP($J191,OFFSET([3]enemies!$A$1,0,0,COUNTA([3]enemies!$A:$A),MATCH(Y$1,[3]enemies!$1:$1,0)-MATCH($J$1,[3]enemies!$1:$1,0)+1),MATCH(Y$1,[3]enemies!$1:$1,0)-MATCH($J$1,[3]enemies!$1:$1,0)+1,FALSE)</f>
        <v>4</v>
      </c>
      <c r="Z191" s="31">
        <v>23</v>
      </c>
      <c r="AA191" s="5" t="str">
        <f ca="1">IFERROR(VLOOKUP($Z191,OFFSET([4]characters!$A$1,0,0,COUNTA([4]characters!$A:$A),MATCH(AA$1,[4]characters!$1:$1,0)-MATCH("character_id",[4]characters!$1:$1,0)+1),MATCH(AA$1,[4]characters!$1:$1,0)-MATCH("character_id",[4]characters!$1:$1,0)+1,FALSE),"")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191" s="5">
        <f ca="1">IFERROR(VLOOKUP($Z191,OFFSET([4]characters!$A$1,0,0,COUNTA([4]characters!$A:$A),MATCH(AB$1,[4]characters!$1:$1,0)-MATCH("character_id",[4]characters!$1:$1,0)+1),MATCH(AB$1,[4]characters!$1:$1,0)-MATCH("character_id",[4]characters!$1:$1,0)+1,FALSE),"")</f>
        <v>1</v>
      </c>
      <c r="AC191" s="5" t="str">
        <f ca="1">IFERROR(VLOOKUP($Z191,OFFSET([4]characters!$A$1,0,0,COUNTA([4]characters!$A:$A),MATCH(AC$1,[4]characters!$1:$1,0)-MATCH("character_id",[4]characters!$1:$1,0)+1),MATCH(AC$1,[4]characters!$1:$1,0)-MATCH("character_id",[4]characters!$1:$1,0)+1,FALSE),"")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91" s="36">
        <v>1</v>
      </c>
      <c r="AE191" s="37">
        <f t="shared" ca="1" si="192"/>
        <v>1</v>
      </c>
      <c r="AF191" s="7">
        <v>25</v>
      </c>
      <c r="AG191" s="36">
        <v>0</v>
      </c>
      <c r="AH191" s="36">
        <v>0</v>
      </c>
      <c r="AI191" s="36">
        <v>0</v>
      </c>
      <c r="AJ191" s="36">
        <v>0</v>
      </c>
      <c r="AK191" s="36">
        <v>1</v>
      </c>
      <c r="AL191" s="36">
        <v>1</v>
      </c>
    </row>
    <row r="192" spans="1:38" ht="21" customHeight="1" x14ac:dyDescent="0.15">
      <c r="A192" s="17" t="str">
        <f t="shared" ca="1" si="189"/>
        <v>13101_20-1/57&lt;lv60&gt;s2</v>
      </c>
      <c r="B192" s="26">
        <v>13101</v>
      </c>
      <c r="C192" s="25">
        <v>20</v>
      </c>
      <c r="D192" s="2" t="str">
        <f t="shared" si="190"/>
        <v>13101_20</v>
      </c>
      <c r="E192" s="5" t="str">
        <f ca="1">VLOOKUP($B192,OFFSET([2]quests!$A$1,0,0,COUNTA([2]quests!$A:$A),MATCH(E$1,[2]quests!$1:$1,0)-MATCH($B$1,[2]quests!$1:$1,0)+1),MATCH(E$1,[2]quests!$1:$1,0)-MATCH($B$1,[2]quests!$1:$1,0)+1,FALSE)</f>
        <v>チャレンジタワー</v>
      </c>
      <c r="F192" s="5" t="e">
        <f ca="1">VLOOKUP($D192,OFFSET([2]stages!$A$1,0,0,COUNTA([2]stages!$A:$A),MATCH(F$1,[2]stages!$1:$1,0)-MATCH($D$1,[2]stages!$1:$1,0)+1),MATCH(F$1,[2]stages!$1:$1,0)-MATCH($D$1,[2]stages!$1:$1,0)+1,FALSE)</f>
        <v>#N/A</v>
      </c>
      <c r="G192" s="33">
        <v>1</v>
      </c>
      <c r="H192" s="16" t="str">
        <f t="shared" si="191"/>
        <v>13101_20-1</v>
      </c>
      <c r="I192" s="39" t="s">
        <v>245</v>
      </c>
      <c r="J192" s="31">
        <v>57</v>
      </c>
      <c r="K192" s="20" t="str">
        <f ca="1">VLOOKUP($J192,OFFSET([3]enemies!$A$1,0,0,COUNTA([3]enemies!$A:$A),MATCH(K$1,[3]enemies!$1:$1,0)-MATCH($J$1,[3]enemies!$1:$1,0)+1),MATCH(K$1,[3]enemies!$1:$1,0)-MATCH($J$1,[3]enemies!$1:$1,0)+1,FALSE)</f>
        <v>チェン・リー</v>
      </c>
      <c r="L192" s="23" t="str">
        <f ca="1">VLOOKUP($J192,OFFSET([3]enemies!$A$1,0,0,COUNTA([3]enemies!$A:$A),MATCH(L$1,[3]enemies!$1:$1,0)-MATCH($J$1,[3]enemies!$1:$1,0)+1),MATCH(L$1,[3]enemies!$1:$1,0)-MATCH($J$1,[3]enemies!$1:$1,0)+1,FALSE)</f>
        <v>red</v>
      </c>
      <c r="M192" s="23" t="str">
        <f ca="1">VLOOKUP($J192,OFFSET([4]characters!$A$1,0,0,COUNTA([4]characters!$A:$A),MATCH(M$1,[4]characters!$1:$1,0)-MATCH($J$1,[4]characters!$1:$1,0)+1),MATCH(M$1,[4]characters!$1:$1,0)-MATCH($J$1,[4]characters!$1:$1,0)+1,FALSE)</f>
        <v>Drop1N</v>
      </c>
      <c r="N192" s="22" t="str">
        <f ca="1">VLOOKUP($J192,OFFSET([4]characters!$A$1,0,0,COUNTA([4]characters!$A:$A),MATCH(N$1,[4]characters!$1:$1,0)-MATCH($J$1,[4]characters!$1:$1,0)+2),MATCH(N$1,[4]characters!$1:$1,0)-MATCH($J$1,[4]characters!$1:$1,0)+2,FALSE)</f>
        <v>アニマル</v>
      </c>
      <c r="O192" s="5">
        <f ca="1">VLOOKUP($J192,OFFSET([3]enemies!$A$1,0,0,COUNTA([3]enemies!$A:$A),MATCH(O$1,[3]enemies!$1:$1,0)-MATCH($J$1,[3]enemies!$1:$1,0)+1),MATCH(O$1,[3]enemies!$1:$1,0)-MATCH($J$1,[3]enemies!$1:$1,0)+1,FALSE)</f>
        <v>15</v>
      </c>
      <c r="P192" s="46">
        <v>60</v>
      </c>
      <c r="Q192" s="43">
        <v>1</v>
      </c>
      <c r="R192" s="43">
        <v>1</v>
      </c>
      <c r="S192" s="6">
        <v>0</v>
      </c>
      <c r="T192" s="5" t="str">
        <f ca="1">VLOOKUP($U192,OFFSET([5]enemy_skill_sets!$B$1,0,0,COUNTA([5]enemy_skill_sets!$B:$B),MATCH(K$1,[5]enemy_skill_sets!$1:$1,0)-MATCH($U$1,[5]enemy_skill_sets!$1:$1,0)+2),MATCH(K$1,[5]enemy_skill_sets!$1:$1,0)-MATCH($U$1,[5]enemy_skill_sets!$1:$1,0)+2,FALSE)</f>
        <v>3ターン攻撃力小UP</v>
      </c>
      <c r="U192" s="5">
        <f ca="1">VLOOKUP($J192,OFFSET([3]enemies!$A$1,0,0,COUNTA([3]enemies!$A:$A),MATCH(U$1,[3]enemies!$1:$1,0)-MATCH($J$1,[3]enemies!$1:$1,0)+1),MATCH(U$1,[3]enemies!$1:$1,0)-MATCH($J$1,[3]enemies!$1:$1,0)+1,FALSE)</f>
        <v>57</v>
      </c>
      <c r="V192" s="7">
        <v>0</v>
      </c>
      <c r="W192" s="7">
        <v>100</v>
      </c>
      <c r="X192" s="7">
        <v>0</v>
      </c>
      <c r="Y192" s="20">
        <f ca="1">VLOOKUP($J192,OFFSET([3]enemies!$A$1,0,0,COUNTA([3]enemies!$A:$A),MATCH(Y$1,[3]enemies!$1:$1,0)-MATCH($J$1,[3]enemies!$1:$1,0)+1),MATCH(Y$1,[3]enemies!$1:$1,0)-MATCH($J$1,[3]enemies!$1:$1,0)+1,FALSE)</f>
        <v>2</v>
      </c>
      <c r="Z192" s="31">
        <v>57</v>
      </c>
      <c r="AA192" s="5" t="str">
        <f ca="1">IFERROR(VLOOKUP($Z192,OFFSET([4]characters!$A$1,0,0,COUNTA([4]characters!$A:$A),MATCH(AA$1,[4]characters!$1:$1,0)-MATCH("character_id",[4]characters!$1:$1,0)+1),MATCH(AA$1,[4]characters!$1:$1,0)-MATCH("character_id",[4]characters!$1:$1,0)+1,FALSE),"")</f>
        <v>チェン・リー</v>
      </c>
      <c r="AB192" s="5">
        <f ca="1">IFERROR(VLOOKUP($Z192,OFFSET([4]characters!$A$1,0,0,COUNTA([4]characters!$A:$A),MATCH(AB$1,[4]characters!$1:$1,0)-MATCH("character_id",[4]characters!$1:$1,0)+1),MATCH(AB$1,[4]characters!$1:$1,0)-MATCH("character_id",[4]characters!$1:$1,0)+1,FALSE),"")</f>
        <v>2</v>
      </c>
      <c r="AC192" s="5" t="str">
        <f ca="1">IFERROR(VLOOKUP($Z192,OFFSET([4]characters!$A$1,0,0,COUNTA([4]characters!$A:$A),MATCH(AC$1,[4]characters!$1:$1,0)-MATCH("character_id",[4]characters!$1:$1,0)+1),MATCH(AC$1,[4]characters!$1:$1,0)-MATCH("character_id",[4]characters!$1:$1,0)+1,FALSE),"")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92" s="8">
        <v>1</v>
      </c>
      <c r="AE192" s="28">
        <f t="shared" ca="1" si="192"/>
        <v>2</v>
      </c>
      <c r="AF192" s="7">
        <v>25</v>
      </c>
      <c r="AG192" s="8">
        <v>0</v>
      </c>
      <c r="AH192" s="8">
        <v>0</v>
      </c>
      <c r="AI192" s="8">
        <v>0</v>
      </c>
      <c r="AJ192" s="8">
        <v>0</v>
      </c>
      <c r="AK192" s="8">
        <v>1</v>
      </c>
      <c r="AL192" s="8">
        <v>1</v>
      </c>
    </row>
    <row r="193" spans="1:38" ht="21" customHeight="1" x14ac:dyDescent="0.15">
      <c r="A193" s="17" t="str">
        <f t="shared" ref="A193" ca="1" si="197">B193&amp;"_"&amp;C193&amp;"-"&amp;G193&amp;"/"&amp;J193&amp;"&lt;lv"&amp;P193&amp;"&gt;s"&amp;Y193</f>
        <v>13101_20-2/52&lt;lv58&gt;s2</v>
      </c>
      <c r="B193" s="26">
        <v>13101</v>
      </c>
      <c r="C193" s="25">
        <v>20</v>
      </c>
      <c r="D193" s="2" t="str">
        <f t="shared" ref="D193" si="198">B193&amp;"_"&amp;C193</f>
        <v>13101_20</v>
      </c>
      <c r="E193" s="5" t="str">
        <f ca="1">VLOOKUP($B193,OFFSET([2]quests!$A$1,0,0,COUNTA([2]quests!$A:$A),MATCH(E$1,[2]quests!$1:$1,0)-MATCH($B$1,[2]quests!$1:$1,0)+1),MATCH(E$1,[2]quests!$1:$1,0)-MATCH($B$1,[2]quests!$1:$1,0)+1,FALSE)</f>
        <v>チャレンジタワー</v>
      </c>
      <c r="F193" s="5" t="e">
        <f ca="1">VLOOKUP($D193,OFFSET([2]stages!$A$1,0,0,COUNTA([2]stages!$A:$A),MATCH(F$1,[2]stages!$1:$1,0)-MATCH($D$1,[2]stages!$1:$1,0)+1),MATCH(F$1,[2]stages!$1:$1,0)-MATCH($D$1,[2]stages!$1:$1,0)+1,FALSE)</f>
        <v>#N/A</v>
      </c>
      <c r="G193" s="33">
        <v>2</v>
      </c>
      <c r="H193" s="16" t="str">
        <f>B193&amp;"_"&amp;C193&amp;"-"&amp;G193</f>
        <v>13101_20-2</v>
      </c>
      <c r="I193" s="39" t="s">
        <v>245</v>
      </c>
      <c r="J193" s="31">
        <v>52</v>
      </c>
      <c r="K193" s="20" t="str">
        <f ca="1">VLOOKUP($J193,OFFSET([3]enemies!$A$1,0,0,COUNTA([3]enemies!$A:$A),MATCH(K$1,[3]enemies!$1:$1,0)-MATCH($J$1,[3]enemies!$1:$1,0)+1),MATCH(K$1,[3]enemies!$1:$1,0)-MATCH($J$1,[3]enemies!$1:$1,0)+1,FALSE)</f>
        <v>翠槍のレジスタンス マイ</v>
      </c>
      <c r="L193" s="23" t="str">
        <f ca="1">VLOOKUP($J193,OFFSET([3]enemies!$A$1,0,0,COUNTA([3]enemies!$A:$A),MATCH(L$1,[3]enemies!$1:$1,0)-MATCH($J$1,[3]enemies!$1:$1,0)+1),MATCH(L$1,[3]enemies!$1:$1,0)-MATCH($J$1,[3]enemies!$1:$1,0)+1,FALSE)</f>
        <v>green</v>
      </c>
      <c r="M193" s="23" t="str">
        <f ca="1">VLOOKUP($J193,OFFSET([4]characters!$A$1,0,0,COUNTA([4]characters!$A:$A),MATCH(M$1,[4]characters!$1:$1,0)-MATCH($J$1,[4]characters!$1:$1,0)+1),MATCH(M$1,[4]characters!$1:$1,0)-MATCH($J$1,[4]characters!$1:$1,0)+1,FALSE)</f>
        <v>Drop1N</v>
      </c>
      <c r="N193" s="22" t="str">
        <f ca="1">VLOOKUP($J193,OFFSET([4]characters!$A$1,0,0,COUNTA([4]characters!$A:$A),MATCH(N$1,[4]characters!$1:$1,0)-MATCH($J$1,[4]characters!$1:$1,0)+2),MATCH(N$1,[4]characters!$1:$1,0)-MATCH($J$1,[4]characters!$1:$1,0)+2,FALSE)</f>
        <v>ヒューマン</v>
      </c>
      <c r="O193" s="5">
        <f ca="1">VLOOKUP($J193,OFFSET([3]enemies!$A$1,0,0,COUNTA([3]enemies!$A:$A),MATCH(O$1,[3]enemies!$1:$1,0)-MATCH($J$1,[3]enemies!$1:$1,0)+1),MATCH(O$1,[3]enemies!$1:$1,0)-MATCH($J$1,[3]enemies!$1:$1,0)+1,FALSE)</f>
        <v>20</v>
      </c>
      <c r="P193" s="46">
        <v>58</v>
      </c>
      <c r="Q193" s="43">
        <v>1</v>
      </c>
      <c r="R193" s="43">
        <v>1</v>
      </c>
      <c r="S193" s="6">
        <v>0</v>
      </c>
      <c r="T193" s="5" t="str">
        <f ca="1">VLOOKUP($U193,OFFSET([5]enemy_skill_sets!$B$1,0,0,COUNTA([5]enemy_skill_sets!$B:$B),MATCH(K$1,[5]enemy_skill_sets!$1:$1,0)-MATCH($U$1,[5]enemy_skill_sets!$1:$1,0)+2),MATCH(K$1,[5]enemy_skill_sets!$1:$1,0)-MATCH($U$1,[5]enemy_skill_sets!$1:$1,0)+2,FALSE)</f>
        <v>次のターン強力な攻撃</v>
      </c>
      <c r="U193" s="5">
        <f ca="1">VLOOKUP($J193,OFFSET([3]enemies!$A$1,0,0,COUNTA([3]enemies!$A:$A),MATCH(U$1,[3]enemies!$1:$1,0)-MATCH($J$1,[3]enemies!$1:$1,0)+1),MATCH(U$1,[3]enemies!$1:$1,0)-MATCH($J$1,[3]enemies!$1:$1,0)+1,FALSE)</f>
        <v>51</v>
      </c>
      <c r="V193" s="7">
        <v>0</v>
      </c>
      <c r="W193" s="7">
        <v>100</v>
      </c>
      <c r="X193" s="7">
        <v>0</v>
      </c>
      <c r="Y193" s="20">
        <f ca="1">VLOOKUP($J193,OFFSET([3]enemies!$A$1,0,0,COUNTA([3]enemies!$A:$A),MATCH(Y$1,[3]enemies!$1:$1,0)-MATCH($J$1,[3]enemies!$1:$1,0)+1),MATCH(Y$1,[3]enemies!$1:$1,0)-MATCH($J$1,[3]enemies!$1:$1,0)+1,FALSE)</f>
        <v>2</v>
      </c>
      <c r="Z193" s="31">
        <v>51</v>
      </c>
      <c r="AA193" s="5" t="str">
        <f ca="1">IFERROR(VLOOKUP($Z193,OFFSET([4]characters!$A$1,0,0,COUNTA([4]characters!$A:$A),MATCH(AA$1,[4]characters!$1:$1,0)-MATCH("character_id",[4]characters!$1:$1,0)+1),MATCH(AA$1,[4]characters!$1:$1,0)-MATCH("character_id",[4]characters!$1:$1,0)+1,FALSE),"")</f>
        <v>マイ</v>
      </c>
      <c r="AB193" s="5">
        <f ca="1">IFERROR(VLOOKUP($Z193,OFFSET([4]characters!$A$1,0,0,COUNTA([4]characters!$A:$A),MATCH(AB$1,[4]characters!$1:$1,0)-MATCH("character_id",[4]characters!$1:$1,0)+1),MATCH(AB$1,[4]characters!$1:$1,0)-MATCH("character_id",[4]characters!$1:$1,0)+1,FALSE),"")</f>
        <v>2</v>
      </c>
      <c r="AC193" s="5" t="str">
        <f ca="1">IFERROR(VLOOKUP($Z193,OFFSET([4]characters!$A$1,0,0,COUNTA([4]characters!$A:$A),MATCH(AC$1,[4]characters!$1:$1,0)-MATCH("character_id",[4]characters!$1:$1,0)+1),MATCH(AC$1,[4]characters!$1:$1,0)-MATCH("character_id",[4]characters!$1:$1,0)+1,FALSE),"")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93" s="8">
        <v>1</v>
      </c>
      <c r="AE193" s="28">
        <f t="shared" ref="AE193" ca="1" si="199">AB193</f>
        <v>2</v>
      </c>
      <c r="AF193" s="7">
        <v>0</v>
      </c>
      <c r="AG193" s="8">
        <v>0</v>
      </c>
      <c r="AH193" s="8">
        <v>0</v>
      </c>
      <c r="AI193" s="8">
        <v>0</v>
      </c>
      <c r="AJ193" s="8">
        <v>0</v>
      </c>
      <c r="AK193" s="8">
        <v>1</v>
      </c>
      <c r="AL193" s="8">
        <v>1</v>
      </c>
    </row>
    <row r="194" spans="1:38" ht="21" customHeight="1" x14ac:dyDescent="0.15">
      <c r="A194" s="17" t="str">
        <f t="shared" ref="A194" ca="1" si="200">B194&amp;"_"&amp;C194&amp;"-"&amp;G194&amp;"/"&amp;J194&amp;"&lt;lv"&amp;P194&amp;"&gt;s"&amp;Y194</f>
        <v>13101_20-2/54&lt;lv58&gt;s2</v>
      </c>
      <c r="B194" s="26">
        <v>13101</v>
      </c>
      <c r="C194" s="25">
        <v>20</v>
      </c>
      <c r="D194" s="2" t="str">
        <f t="shared" ref="D194" si="201">B194&amp;"_"&amp;C194</f>
        <v>13101_20</v>
      </c>
      <c r="E194" s="5" t="str">
        <f ca="1">VLOOKUP($B194,OFFSET([2]quests!$A$1,0,0,COUNTA([2]quests!$A:$A),MATCH(E$1,[2]quests!$1:$1,0)-MATCH($B$1,[2]quests!$1:$1,0)+1),MATCH(E$1,[2]quests!$1:$1,0)-MATCH($B$1,[2]quests!$1:$1,0)+1,FALSE)</f>
        <v>チャレンジタワー</v>
      </c>
      <c r="F194" s="5" t="e">
        <f ca="1">VLOOKUP($D194,OFFSET([2]stages!$A$1,0,0,COUNTA([2]stages!$A:$A),MATCH(F$1,[2]stages!$1:$1,0)-MATCH($D$1,[2]stages!$1:$1,0)+1),MATCH(F$1,[2]stages!$1:$1,0)-MATCH($D$1,[2]stages!$1:$1,0)+1,FALSE)</f>
        <v>#N/A</v>
      </c>
      <c r="G194" s="33">
        <v>2</v>
      </c>
      <c r="H194" s="16" t="str">
        <f t="shared" ref="H194" si="202">B194&amp;"_"&amp;C194&amp;"-"&amp;G194</f>
        <v>13101_20-2</v>
      </c>
      <c r="I194" s="39" t="s">
        <v>245</v>
      </c>
      <c r="J194" s="31">
        <v>54</v>
      </c>
      <c r="K194" s="20" t="str">
        <f ca="1">VLOOKUP($J194,OFFSET([3]enemies!$A$1,0,0,COUNTA([3]enemies!$A:$A),MATCH(K$1,[3]enemies!$1:$1,0)-MATCH($J$1,[3]enemies!$1:$1,0)+1),MATCH(K$1,[3]enemies!$1:$1,0)-MATCH($J$1,[3]enemies!$1:$1,0)+1,FALSE)</f>
        <v>蒼斬のレジスタンス ケンジ</v>
      </c>
      <c r="L194" s="23" t="str">
        <f ca="1">VLOOKUP($J194,OFFSET([3]enemies!$A$1,0,0,COUNTA([3]enemies!$A:$A),MATCH(L$1,[3]enemies!$1:$1,0)-MATCH($J$1,[3]enemies!$1:$1,0)+1),MATCH(L$1,[3]enemies!$1:$1,0)-MATCH($J$1,[3]enemies!$1:$1,0)+1,FALSE)</f>
        <v>blue</v>
      </c>
      <c r="M194" s="23" t="str">
        <f ca="1">VLOOKUP($J194,OFFSET([4]characters!$A$1,0,0,COUNTA([4]characters!$A:$A),MATCH(M$1,[4]characters!$1:$1,0)-MATCH($J$1,[4]characters!$1:$1,0)+1),MATCH(M$1,[4]characters!$1:$1,0)-MATCH($J$1,[4]characters!$1:$1,0)+1,FALSE)</f>
        <v>Drop1N</v>
      </c>
      <c r="N194" s="22" t="str">
        <f ca="1">VLOOKUP($J194,OFFSET([4]characters!$A$1,0,0,COUNTA([4]characters!$A:$A),MATCH(N$1,[4]characters!$1:$1,0)-MATCH($J$1,[4]characters!$1:$1,0)+2),MATCH(N$1,[4]characters!$1:$1,0)-MATCH($J$1,[4]characters!$1:$1,0)+2,FALSE)</f>
        <v>ヒューマン</v>
      </c>
      <c r="O194" s="5">
        <f ca="1">VLOOKUP($J194,OFFSET([3]enemies!$A$1,0,0,COUNTA([3]enemies!$A:$A),MATCH(O$1,[3]enemies!$1:$1,0)-MATCH($J$1,[3]enemies!$1:$1,0)+1),MATCH(O$1,[3]enemies!$1:$1,0)-MATCH($J$1,[3]enemies!$1:$1,0)+1,FALSE)</f>
        <v>20</v>
      </c>
      <c r="P194" s="46">
        <v>58</v>
      </c>
      <c r="Q194" s="43">
        <v>1.5</v>
      </c>
      <c r="R194" s="43">
        <v>1</v>
      </c>
      <c r="S194" s="6">
        <v>0</v>
      </c>
      <c r="T194" s="5" t="str">
        <f ca="1">VLOOKUP($U194,OFFSET([5]enemy_skill_sets!$B$1,0,0,COUNTA([5]enemy_skill_sets!$B:$B),MATCH(K$1,[5]enemy_skill_sets!$1:$1,0)-MATCH($U$1,[5]enemy_skill_sets!$1:$1,0)+2),MATCH(K$1,[5]enemy_skill_sets!$1:$1,0)-MATCH($U$1,[5]enemy_skill_sets!$1:$1,0)+2,FALSE)</f>
        <v>効いてしまうと２ターン行動できない</v>
      </c>
      <c r="U194" s="5">
        <f ca="1">VLOOKUP($J194,OFFSET([3]enemies!$A$1,0,0,COUNTA([3]enemies!$A:$A),MATCH(U$1,[3]enemies!$1:$1,0)-MATCH($J$1,[3]enemies!$1:$1,0)+1),MATCH(U$1,[3]enemies!$1:$1,0)-MATCH($J$1,[3]enemies!$1:$1,0)+1,FALSE)</f>
        <v>53</v>
      </c>
      <c r="V194" s="7">
        <v>0</v>
      </c>
      <c r="W194" s="7">
        <v>100</v>
      </c>
      <c r="X194" s="7">
        <v>0</v>
      </c>
      <c r="Y194" s="20">
        <f ca="1">VLOOKUP($J194,OFFSET([3]enemies!$A$1,0,0,COUNTA([3]enemies!$A:$A),MATCH(Y$1,[3]enemies!$1:$1,0)-MATCH($J$1,[3]enemies!$1:$1,0)+1),MATCH(Y$1,[3]enemies!$1:$1,0)-MATCH($J$1,[3]enemies!$1:$1,0)+1,FALSE)</f>
        <v>2</v>
      </c>
      <c r="Z194" s="31">
        <v>53</v>
      </c>
      <c r="AA194" s="5" t="str">
        <f ca="1">IFERROR(VLOOKUP($Z194,OFFSET([4]characters!$A$1,0,0,COUNTA([4]characters!$A:$A),MATCH(AA$1,[4]characters!$1:$1,0)-MATCH("character_id",[4]characters!$1:$1,0)+1),MATCH(AA$1,[4]characters!$1:$1,0)-MATCH("character_id",[4]characters!$1:$1,0)+1,FALSE),"")</f>
        <v>ケンジ</v>
      </c>
      <c r="AB194" s="5">
        <f ca="1">IFERROR(VLOOKUP($Z194,OFFSET([4]characters!$A$1,0,0,COUNTA([4]characters!$A:$A),MATCH(AB$1,[4]characters!$1:$1,0)-MATCH("character_id",[4]characters!$1:$1,0)+1),MATCH(AB$1,[4]characters!$1:$1,0)-MATCH("character_id",[4]characters!$1:$1,0)+1,FALSE),"")</f>
        <v>2</v>
      </c>
      <c r="AC194" s="5" t="str">
        <f ca="1">IFERROR(VLOOKUP($Z194,OFFSET([4]characters!$A$1,0,0,COUNTA([4]characters!$A:$A),MATCH(AC$1,[4]characters!$1:$1,0)-MATCH("character_id",[4]characters!$1:$1,0)+1),MATCH(AC$1,[4]characters!$1:$1,0)-MATCH("character_id",[4]characters!$1:$1,0)+1,FALSE),"")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94" s="8">
        <v>1</v>
      </c>
      <c r="AE194" s="28">
        <f t="shared" ref="AE194" ca="1" si="203">AB194</f>
        <v>2</v>
      </c>
      <c r="AF194" s="7">
        <v>0</v>
      </c>
      <c r="AG194" s="8">
        <v>0</v>
      </c>
      <c r="AH194" s="8">
        <v>0</v>
      </c>
      <c r="AI194" s="8">
        <v>0</v>
      </c>
      <c r="AJ194" s="8">
        <v>0</v>
      </c>
      <c r="AK194" s="8">
        <v>1</v>
      </c>
      <c r="AL194" s="8">
        <v>1</v>
      </c>
    </row>
    <row r="195" spans="1:38" ht="21" customHeight="1" x14ac:dyDescent="0.15">
      <c r="A195" s="17" t="str">
        <f t="shared" ref="A195:A196" ca="1" si="204">B195&amp;"_"&amp;C195&amp;"-"&amp;G195&amp;"/"&amp;J195&amp;"&lt;lv"&amp;P195&amp;"&gt;s"&amp;Y195</f>
        <v>13101_20-2/50&lt;lv58&gt;s2</v>
      </c>
      <c r="B195" s="26">
        <v>13101</v>
      </c>
      <c r="C195" s="25">
        <v>20</v>
      </c>
      <c r="D195" s="2" t="str">
        <f t="shared" ref="D195:D196" si="205">B195&amp;"_"&amp;C195</f>
        <v>13101_20</v>
      </c>
      <c r="E195" s="5" t="str">
        <f ca="1">VLOOKUP($B195,OFFSET([2]quests!$A$1,0,0,COUNTA([2]quests!$A:$A),MATCH(E$1,[2]quests!$1:$1,0)-MATCH($B$1,[2]quests!$1:$1,0)+1),MATCH(E$1,[2]quests!$1:$1,0)-MATCH($B$1,[2]quests!$1:$1,0)+1,FALSE)</f>
        <v>チャレンジタワー</v>
      </c>
      <c r="F195" s="5" t="e">
        <f ca="1">VLOOKUP($D195,OFFSET([2]stages!$A$1,0,0,COUNTA([2]stages!$A:$A),MATCH(F$1,[2]stages!$1:$1,0)-MATCH($D$1,[2]stages!$1:$1,0)+1),MATCH(F$1,[2]stages!$1:$1,0)-MATCH($D$1,[2]stages!$1:$1,0)+1,FALSE)</f>
        <v>#N/A</v>
      </c>
      <c r="G195" s="33">
        <v>2</v>
      </c>
      <c r="H195" s="16" t="str">
        <f t="shared" ref="H195:H196" si="206">B195&amp;"_"&amp;C195&amp;"-"&amp;G195</f>
        <v>13101_20-2</v>
      </c>
      <c r="I195" s="39" t="s">
        <v>245</v>
      </c>
      <c r="J195" s="31">
        <v>50</v>
      </c>
      <c r="K195" s="20" t="str">
        <f ca="1">VLOOKUP($J195,OFFSET([3]enemies!$A$1,0,0,COUNTA([3]enemies!$A:$A),MATCH(K$1,[3]enemies!$1:$1,0)-MATCH($J$1,[3]enemies!$1:$1,0)+1),MATCH(K$1,[3]enemies!$1:$1,0)-MATCH($J$1,[3]enemies!$1:$1,0)+1,FALSE)</f>
        <v>炎銃のレジスタンス ヨシタカ</v>
      </c>
      <c r="L195" s="23" t="str">
        <f ca="1">VLOOKUP($J195,OFFSET([3]enemies!$A$1,0,0,COUNTA([3]enemies!$A:$A),MATCH(L$1,[3]enemies!$1:$1,0)-MATCH($J$1,[3]enemies!$1:$1,0)+1),MATCH(L$1,[3]enemies!$1:$1,0)-MATCH($J$1,[3]enemies!$1:$1,0)+1,FALSE)</f>
        <v>red</v>
      </c>
      <c r="M195" s="23" t="str">
        <f ca="1">VLOOKUP($J195,OFFSET([4]characters!$A$1,0,0,COUNTA([4]characters!$A:$A),MATCH(M$1,[4]characters!$1:$1,0)-MATCH($J$1,[4]characters!$1:$1,0)+1),MATCH(M$1,[4]characters!$1:$1,0)-MATCH($J$1,[4]characters!$1:$1,0)+1,FALSE)</f>
        <v>Drop1N</v>
      </c>
      <c r="N195" s="22" t="str">
        <f ca="1">VLOOKUP($J195,OFFSET([4]characters!$A$1,0,0,COUNTA([4]characters!$A:$A),MATCH(N$1,[4]characters!$1:$1,0)-MATCH($J$1,[4]characters!$1:$1,0)+2),MATCH(N$1,[4]characters!$1:$1,0)-MATCH($J$1,[4]characters!$1:$1,0)+2,FALSE)</f>
        <v>ヒューマン</v>
      </c>
      <c r="O195" s="5">
        <f ca="1">VLOOKUP($J195,OFFSET([3]enemies!$A$1,0,0,COUNTA([3]enemies!$A:$A),MATCH(O$1,[3]enemies!$1:$1,0)-MATCH($J$1,[3]enemies!$1:$1,0)+1),MATCH(O$1,[3]enemies!$1:$1,0)-MATCH($J$1,[3]enemies!$1:$1,0)+1,FALSE)</f>
        <v>20</v>
      </c>
      <c r="P195" s="46">
        <v>58</v>
      </c>
      <c r="Q195" s="43">
        <v>1.5</v>
      </c>
      <c r="R195" s="43">
        <v>1</v>
      </c>
      <c r="S195" s="6">
        <v>0</v>
      </c>
      <c r="T195" s="5" t="str">
        <f ca="1">VLOOKUP($U195,OFFSET([5]enemy_skill_sets!$B$1,0,0,COUNTA([5]enemy_skill_sets!$B:$B),MATCH(K$1,[5]enemy_skill_sets!$1:$1,0)-MATCH($U$1,[5]enemy_skill_sets!$1:$1,0)+2),MATCH(K$1,[5]enemy_skill_sets!$1:$1,0)-MATCH($U$1,[5]enemy_skill_sets!$1:$1,0)+2,FALSE)</f>
        <v>5ターンの間ダメージを受ける</v>
      </c>
      <c r="U195" s="5">
        <f ca="1">VLOOKUP($J195,OFFSET([3]enemies!$A$1,0,0,COUNTA([3]enemies!$A:$A),MATCH(U$1,[3]enemies!$1:$1,0)-MATCH($J$1,[3]enemies!$1:$1,0)+1),MATCH(U$1,[3]enemies!$1:$1,0)-MATCH($J$1,[3]enemies!$1:$1,0)+1,FALSE)</f>
        <v>50</v>
      </c>
      <c r="V195" s="7">
        <v>0</v>
      </c>
      <c r="W195" s="7">
        <v>100</v>
      </c>
      <c r="X195" s="7">
        <v>0</v>
      </c>
      <c r="Y195" s="20">
        <f ca="1">VLOOKUP($J195,OFFSET([3]enemies!$A$1,0,0,COUNTA([3]enemies!$A:$A),MATCH(Y$1,[3]enemies!$1:$1,0)-MATCH($J$1,[3]enemies!$1:$1,0)+1),MATCH(Y$1,[3]enemies!$1:$1,0)-MATCH($J$1,[3]enemies!$1:$1,0)+1,FALSE)</f>
        <v>2</v>
      </c>
      <c r="Z195" s="31">
        <v>49</v>
      </c>
      <c r="AA195" s="5" t="str">
        <f ca="1">IFERROR(VLOOKUP($Z195,OFFSET([4]characters!$A$1,0,0,COUNTA([4]characters!$A:$A),MATCH(AA$1,[4]characters!$1:$1,0)-MATCH("character_id",[4]characters!$1:$1,0)+1),MATCH(AA$1,[4]characters!$1:$1,0)-MATCH("character_id",[4]characters!$1:$1,0)+1,FALSE),"")</f>
        <v>ヨシタカ</v>
      </c>
      <c r="AB195" s="5">
        <f ca="1">IFERROR(VLOOKUP($Z195,OFFSET([4]characters!$A$1,0,0,COUNTA([4]characters!$A:$A),MATCH(AB$1,[4]characters!$1:$1,0)-MATCH("character_id",[4]characters!$1:$1,0)+1),MATCH(AB$1,[4]characters!$1:$1,0)-MATCH("character_id",[4]characters!$1:$1,0)+1,FALSE),"")</f>
        <v>2</v>
      </c>
      <c r="AC195" s="5" t="str">
        <f ca="1">IFERROR(VLOOKUP($Z195,OFFSET([4]characters!$A$1,0,0,COUNTA([4]characters!$A:$A),MATCH(AC$1,[4]characters!$1:$1,0)-MATCH("character_id",[4]characters!$1:$1,0)+1),MATCH(AC$1,[4]characters!$1:$1,0)-MATCH("character_id",[4]characters!$1:$1,0)+1,FALSE),"")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95" s="8">
        <v>1</v>
      </c>
      <c r="AE195" s="28">
        <f t="shared" ref="AE195:AE196" ca="1" si="207">AB195</f>
        <v>2</v>
      </c>
      <c r="AF195" s="7">
        <v>0</v>
      </c>
      <c r="AG195" s="8">
        <v>0</v>
      </c>
      <c r="AH195" s="8">
        <v>0</v>
      </c>
      <c r="AI195" s="8">
        <v>0</v>
      </c>
      <c r="AJ195" s="8">
        <v>0</v>
      </c>
      <c r="AK195" s="8">
        <v>1</v>
      </c>
      <c r="AL195" s="8">
        <v>1</v>
      </c>
    </row>
    <row r="196" spans="1:38" ht="21" customHeight="1" x14ac:dyDescent="0.15">
      <c r="A196" s="17" t="str">
        <f t="shared" ca="1" si="204"/>
        <v>13101_20-2/56&lt;lv58&gt;s4</v>
      </c>
      <c r="B196" s="26">
        <v>13101</v>
      </c>
      <c r="C196" s="25">
        <v>20</v>
      </c>
      <c r="D196" s="2" t="str">
        <f t="shared" si="205"/>
        <v>13101_20</v>
      </c>
      <c r="E196" s="5" t="str">
        <f ca="1">VLOOKUP($B196,OFFSET([2]quests!$A$1,0,0,COUNTA([2]quests!$A:$A),MATCH(E$1,[2]quests!$1:$1,0)-MATCH($B$1,[2]quests!$1:$1,0)+1),MATCH(E$1,[2]quests!$1:$1,0)-MATCH($B$1,[2]quests!$1:$1,0)+1,FALSE)</f>
        <v>チャレンジタワー</v>
      </c>
      <c r="F196" s="5" t="e">
        <f ca="1">VLOOKUP($D196,OFFSET([2]stages!$A$1,0,0,COUNTA([2]stages!$A:$A),MATCH(F$1,[2]stages!$1:$1,0)-MATCH($D$1,[2]stages!$1:$1,0)+1),MATCH(F$1,[2]stages!$1:$1,0)-MATCH($D$1,[2]stages!$1:$1,0)+1,FALSE)</f>
        <v>#N/A</v>
      </c>
      <c r="G196" s="33">
        <v>2</v>
      </c>
      <c r="H196" s="16" t="str">
        <f t="shared" si="206"/>
        <v>13101_20-2</v>
      </c>
      <c r="I196" s="39" t="s">
        <v>245</v>
      </c>
      <c r="J196" s="31">
        <v>56</v>
      </c>
      <c r="K196" s="20" t="str">
        <f ca="1">VLOOKUP($J196,OFFSET([3]enemies!$A$1,0,0,COUNTA([3]enemies!$A:$A),MATCH(K$1,[3]enemies!$1:$1,0)-MATCH($J$1,[3]enemies!$1:$1,0)+1),MATCH(K$1,[3]enemies!$1:$1,0)-MATCH($J$1,[3]enemies!$1:$1,0)+1,FALSE)</f>
        <v>黄槌のレジスタンス マミコ</v>
      </c>
      <c r="L196" s="23" t="str">
        <f ca="1">VLOOKUP($J196,OFFSET([3]enemies!$A$1,0,0,COUNTA([3]enemies!$A:$A),MATCH(L$1,[3]enemies!$1:$1,0)-MATCH($J$1,[3]enemies!$1:$1,0)+1),MATCH(L$1,[3]enemies!$1:$1,0)-MATCH($J$1,[3]enemies!$1:$1,0)+1,FALSE)</f>
        <v>yellow</v>
      </c>
      <c r="M196" s="23" t="str">
        <f ca="1">VLOOKUP($J196,OFFSET([4]characters!$A$1,0,0,COUNTA([4]characters!$A:$A),MATCH(M$1,[4]characters!$1:$1,0)-MATCH($J$1,[4]characters!$1:$1,0)+1),MATCH(M$1,[4]characters!$1:$1,0)-MATCH($J$1,[4]characters!$1:$1,0)+1,FALSE)</f>
        <v>Drop1N</v>
      </c>
      <c r="N196" s="22" t="str">
        <f ca="1">VLOOKUP($J196,OFFSET([4]characters!$A$1,0,0,COUNTA([4]characters!$A:$A),MATCH(N$1,[4]characters!$1:$1,0)-MATCH($J$1,[4]characters!$1:$1,0)+2),MATCH(N$1,[4]characters!$1:$1,0)-MATCH($J$1,[4]characters!$1:$1,0)+2,FALSE)</f>
        <v>ヒューマン</v>
      </c>
      <c r="O196" s="5">
        <f ca="1">VLOOKUP($J196,OFFSET([3]enemies!$A$1,0,0,COUNTA([3]enemies!$A:$A),MATCH(O$1,[3]enemies!$1:$1,0)-MATCH($J$1,[3]enemies!$1:$1,0)+1),MATCH(O$1,[3]enemies!$1:$1,0)-MATCH($J$1,[3]enemies!$1:$1,0)+1,FALSE)</f>
        <v>20</v>
      </c>
      <c r="P196" s="46">
        <v>58</v>
      </c>
      <c r="Q196" s="43">
        <v>1.5</v>
      </c>
      <c r="R196" s="43">
        <v>1</v>
      </c>
      <c r="S196" s="6">
        <v>0</v>
      </c>
      <c r="T196" s="5" t="str">
        <f ca="1">VLOOKUP($U196,OFFSET([5]enemy_skill_sets!$B$1,0,0,COUNTA([5]enemy_skill_sets!$B:$B),MATCH(K$1,[5]enemy_skill_sets!$1:$1,0)-MATCH($U$1,[5]enemy_skill_sets!$1:$1,0)+2),MATCH(K$1,[5]enemy_skill_sets!$1:$1,0)-MATCH($U$1,[5]enemy_skill_sets!$1:$1,0)+2,FALSE)</f>
        <v>4ターンスキルが使えない！</v>
      </c>
      <c r="U196" s="5">
        <f ca="1">VLOOKUP($J196,OFFSET([3]enemies!$A$1,0,0,COUNTA([3]enemies!$A:$A),MATCH(U$1,[3]enemies!$1:$1,0)-MATCH($J$1,[3]enemies!$1:$1,0)+1),MATCH(U$1,[3]enemies!$1:$1,0)-MATCH($J$1,[3]enemies!$1:$1,0)+1,FALSE)</f>
        <v>56</v>
      </c>
      <c r="V196" s="7">
        <v>0</v>
      </c>
      <c r="W196" s="7">
        <v>100</v>
      </c>
      <c r="X196" s="7">
        <v>0</v>
      </c>
      <c r="Y196" s="20">
        <f ca="1">VLOOKUP($J196,OFFSET([3]enemies!$A$1,0,0,COUNTA([3]enemies!$A:$A),MATCH(Y$1,[3]enemies!$1:$1,0)-MATCH($J$1,[3]enemies!$1:$1,0)+1),MATCH(Y$1,[3]enemies!$1:$1,0)-MATCH($J$1,[3]enemies!$1:$1,0)+1,FALSE)</f>
        <v>4</v>
      </c>
      <c r="Z196" s="31">
        <v>55</v>
      </c>
      <c r="AA196" s="5" t="str">
        <f ca="1">IFERROR(VLOOKUP($Z196,OFFSET([4]characters!$A$1,0,0,COUNTA([4]characters!$A:$A),MATCH(AA$1,[4]characters!$1:$1,0)-MATCH("character_id",[4]characters!$1:$1,0)+1),MATCH(AA$1,[4]characters!$1:$1,0)-MATCH("character_id",[4]characters!$1:$1,0)+1,FALSE),"")</f>
        <v>マミコ</v>
      </c>
      <c r="AB196" s="5">
        <f ca="1">IFERROR(VLOOKUP($Z196,OFFSET([4]characters!$A$1,0,0,COUNTA([4]characters!$A:$A),MATCH(AB$1,[4]characters!$1:$1,0)-MATCH("character_id",[4]characters!$1:$1,0)+1),MATCH(AB$1,[4]characters!$1:$1,0)-MATCH("character_id",[4]characters!$1:$1,0)+1,FALSE),"")</f>
        <v>2</v>
      </c>
      <c r="AC196" s="5" t="str">
        <f ca="1">IFERROR(VLOOKUP($Z196,OFFSET([4]characters!$A$1,0,0,COUNTA([4]characters!$A:$A),MATCH(AC$1,[4]characters!$1:$1,0)-MATCH("character_id",[4]characters!$1:$1,0)+1),MATCH(AC$1,[4]characters!$1:$1,0)-MATCH("character_id",[4]characters!$1:$1,0)+1,FALSE),"")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96" s="8">
        <v>1</v>
      </c>
      <c r="AE196" s="28">
        <f t="shared" ca="1" si="207"/>
        <v>2</v>
      </c>
      <c r="AF196" s="7">
        <v>0</v>
      </c>
      <c r="AG196" s="8">
        <v>0</v>
      </c>
      <c r="AH196" s="8">
        <v>0</v>
      </c>
      <c r="AI196" s="8">
        <v>0</v>
      </c>
      <c r="AJ196" s="8">
        <v>0</v>
      </c>
      <c r="AK196" s="8">
        <v>1</v>
      </c>
      <c r="AL196" s="8">
        <v>1</v>
      </c>
    </row>
    <row r="197" spans="1:38" ht="21" customHeight="1" x14ac:dyDescent="0.15">
      <c r="A197" s="17" t="str">
        <f t="shared" ca="1" si="83"/>
        <v>13101_20-3/319&lt;lv74&gt;s3</v>
      </c>
      <c r="B197" s="26">
        <v>13101</v>
      </c>
      <c r="C197" s="25">
        <v>20</v>
      </c>
      <c r="D197" s="2" t="str">
        <f t="shared" si="124"/>
        <v>13101_20</v>
      </c>
      <c r="E197" s="5" t="str">
        <f ca="1">VLOOKUP($B197,OFFSET([2]quests!$A$1,0,0,COUNTA([2]quests!$A:$A),MATCH(E$1,[2]quests!$1:$1,0)-MATCH($B$1,[2]quests!$1:$1,0)+1),MATCH(E$1,[2]quests!$1:$1,0)-MATCH($B$1,[2]quests!$1:$1,0)+1,FALSE)</f>
        <v>チャレンジタワー</v>
      </c>
      <c r="F197" s="5" t="e">
        <f ca="1">VLOOKUP($D197,OFFSET([2]stages!$A$1,0,0,COUNTA([2]stages!$A:$A),MATCH(F$1,[2]stages!$1:$1,0)-MATCH($D$1,[2]stages!$1:$1,0)+1),MATCH(F$1,[2]stages!$1:$1,0)-MATCH($D$1,[2]stages!$1:$1,0)+1,FALSE)</f>
        <v>#N/A</v>
      </c>
      <c r="G197" s="33">
        <v>3</v>
      </c>
      <c r="H197" s="16" t="str">
        <f t="shared" si="85"/>
        <v>13101_20-3</v>
      </c>
      <c r="I197" s="39" t="s">
        <v>245</v>
      </c>
      <c r="J197" s="31">
        <v>319</v>
      </c>
      <c r="K197" s="20" t="str">
        <f ca="1">VLOOKUP($J197,OFFSET([3]enemies!$A$1,0,0,COUNTA([3]enemies!$A:$A),MATCH(K$1,[3]enemies!$1:$1,0)-MATCH($J$1,[3]enemies!$1:$1,0)+1),MATCH(K$1,[3]enemies!$1:$1,0)-MATCH($J$1,[3]enemies!$1:$1,0)+1,FALSE)</f>
        <v>夢想の学士 シャルル</v>
      </c>
      <c r="L197" s="23" t="str">
        <f ca="1">VLOOKUP($J197,OFFSET([3]enemies!$A$1,0,0,COUNTA([3]enemies!$A:$A),MATCH(L$1,[3]enemies!$1:$1,0)-MATCH($J$1,[3]enemies!$1:$1,0)+1),MATCH(L$1,[3]enemies!$1:$1,0)-MATCH($J$1,[3]enemies!$1:$1,0)+1,FALSE)</f>
        <v>blue</v>
      </c>
      <c r="M197" s="23" t="str">
        <f ca="1">VLOOKUP($J197,OFFSET([4]characters!$A$1,0,0,COUNTA([4]characters!$A:$A),MATCH(M$1,[4]characters!$1:$1,0)-MATCH($J$1,[4]characters!$1:$1,0)+1),MATCH(M$1,[4]characters!$1:$1,0)-MATCH($J$1,[4]characters!$1:$1,0)+1,FALSE)</f>
        <v>DropWizN</v>
      </c>
      <c r="N197" s="22" t="str">
        <f ca="1">VLOOKUP($J197,OFFSET([4]characters!$A$1,0,0,COUNTA([4]characters!$A:$A),MATCH(N$1,[4]characters!$1:$1,0)-MATCH($J$1,[4]characters!$1:$1,0)+2),MATCH(N$1,[4]characters!$1:$1,0)-MATCH($J$1,[4]characters!$1:$1,0)+2,FALSE)</f>
        <v>ヒューマン</v>
      </c>
      <c r="O197" s="5">
        <f ca="1">VLOOKUP($J197,OFFSET([3]enemies!$A$1,0,0,COUNTA([3]enemies!$A:$A),MATCH(O$1,[3]enemies!$1:$1,0)-MATCH($J$1,[3]enemies!$1:$1,0)+1),MATCH(O$1,[3]enemies!$1:$1,0)-MATCH($J$1,[3]enemies!$1:$1,0)+1,FALSE)</f>
        <v>60</v>
      </c>
      <c r="P197" s="46">
        <v>74</v>
      </c>
      <c r="Q197" s="43">
        <v>1</v>
      </c>
      <c r="R197" s="43">
        <v>1</v>
      </c>
      <c r="S197" s="6">
        <v>0</v>
      </c>
      <c r="T197" s="5" t="str">
        <f ca="1">VLOOKUP($U197,OFFSET([5]enemy_skill_sets!$B$1,0,0,COUNTA([5]enemy_skill_sets!$B:$B),MATCH(K$1,[5]enemy_skill_sets!$1:$1,0)-MATCH($U$1,[5]enemy_skill_sets!$1:$1,0)+2),MATCH(K$1,[5]enemy_skill_sets!$1:$1,0)-MATCH($U$1,[5]enemy_skill_sets!$1:$1,0)+2,FALSE)</f>
        <v>ハートパネルを時限式ダメージパネルに変換</v>
      </c>
      <c r="U197" s="5">
        <f ca="1">VLOOKUP($J197,OFFSET([3]enemies!$A$1,0,0,COUNTA([3]enemies!$A:$A),MATCH(U$1,[3]enemies!$1:$1,0)-MATCH($J$1,[3]enemies!$1:$1,0)+1),MATCH(U$1,[3]enemies!$1:$1,0)-MATCH($J$1,[3]enemies!$1:$1,0)+1,FALSE)</f>
        <v>319</v>
      </c>
      <c r="V197" s="7">
        <v>1</v>
      </c>
      <c r="W197" s="7">
        <v>100</v>
      </c>
      <c r="X197" s="7">
        <v>1</v>
      </c>
      <c r="Y197" s="20">
        <f ca="1">VLOOKUP($J197,OFFSET([3]enemies!$A$1,0,0,COUNTA([3]enemies!$A:$A),MATCH(Y$1,[3]enemies!$1:$1,0)-MATCH($J$1,[3]enemies!$1:$1,0)+1),MATCH(Y$1,[3]enemies!$1:$1,0)-MATCH($J$1,[3]enemies!$1:$1,0)+1,FALSE)</f>
        <v>3</v>
      </c>
      <c r="Z197" s="31">
        <v>318</v>
      </c>
      <c r="AA197" s="5" t="str">
        <f ca="1">IFERROR(VLOOKUP($Z197,OFFSET([4]characters!$A$1,0,0,COUNTA([4]characters!$A:$A),MATCH(AA$1,[4]characters!$1:$1,0)-MATCH("character_id",[4]characters!$1:$1,0)+1),MATCH(AA$1,[4]characters!$1:$1,0)-MATCH("character_id",[4]characters!$1:$1,0)+1,FALSE),"")</f>
        <v>シャルル</v>
      </c>
      <c r="AB197" s="5">
        <f ca="1">IFERROR(VLOOKUP($Z197,OFFSET([4]characters!$A$1,0,0,COUNTA([4]characters!$A:$A),MATCH(AB$1,[4]characters!$1:$1,0)-MATCH("character_id",[4]characters!$1:$1,0)+1),MATCH(AB$1,[4]characters!$1:$1,0)-MATCH("character_id",[4]characters!$1:$1,0)+1,FALSE),"")</f>
        <v>4</v>
      </c>
      <c r="AC197" s="5" t="str">
        <f ca="1">IFERROR(VLOOKUP($Z197,OFFSET([4]characters!$A$1,0,0,COUNTA([4]characters!$A:$A),MATCH(AC$1,[4]characters!$1:$1,0)-MATCH("character_id",[4]characters!$1:$1,0)+1),MATCH(AC$1,[4]characters!$1:$1,0)-MATCH("character_id",[4]characters!$1:$1,0)+1,FALSE),"")</f>
        <v>DropWizN</v>
      </c>
      <c r="AD197" s="8">
        <v>1</v>
      </c>
      <c r="AE197" s="28">
        <f t="shared" ca="1" si="86"/>
        <v>4</v>
      </c>
      <c r="AF197" s="41">
        <v>35</v>
      </c>
      <c r="AG197" s="8">
        <v>0</v>
      </c>
      <c r="AH197" s="8">
        <v>0</v>
      </c>
      <c r="AI197" s="8">
        <v>0</v>
      </c>
      <c r="AJ197" s="8">
        <v>0</v>
      </c>
      <c r="AK197" s="8">
        <v>1</v>
      </c>
      <c r="AL197" s="8">
        <v>1</v>
      </c>
    </row>
    <row r="198" spans="1:38" ht="21" customHeight="1" x14ac:dyDescent="0.15">
      <c r="A198" s="17" t="str">
        <f t="shared" ref="A198:A207" ca="1" si="208">B198&amp;"_"&amp;C198&amp;"-"&amp;G198&amp;"/"&amp;J198&amp;"&lt;lv"&amp;P198&amp;"&gt;s"&amp;Y198</f>
        <v>13101_21-1/9&lt;lv60&gt;s2</v>
      </c>
      <c r="B198" s="26">
        <v>13101</v>
      </c>
      <c r="C198" s="25">
        <v>21</v>
      </c>
      <c r="D198" s="2" t="str">
        <f t="shared" ref="D198:D207" si="209">B198&amp;"_"&amp;C198</f>
        <v>13101_21</v>
      </c>
      <c r="E198" s="5" t="str">
        <f ca="1">VLOOKUP($B198,OFFSET([2]quests!$A$1,0,0,COUNTA([2]quests!$A:$A),MATCH(E$1,[2]quests!$1:$1,0)-MATCH($B$1,[2]quests!$1:$1,0)+1),MATCH(E$1,[2]quests!$1:$1,0)-MATCH($B$1,[2]quests!$1:$1,0)+1,FALSE)</f>
        <v>チャレンジタワー</v>
      </c>
      <c r="F198" s="5" t="e">
        <f ca="1">VLOOKUP($D198,OFFSET([2]stages!$A$1,0,0,COUNTA([2]stages!$A:$A),MATCH(F$1,[2]stages!$1:$1,0)-MATCH($D$1,[2]stages!$1:$1,0)+1),MATCH(F$1,[2]stages!$1:$1,0)-MATCH($D$1,[2]stages!$1:$1,0)+1,FALSE)</f>
        <v>#N/A</v>
      </c>
      <c r="G198" s="33">
        <v>1</v>
      </c>
      <c r="H198" s="16" t="str">
        <f t="shared" ref="H198:H207" si="210">B198&amp;"_"&amp;C198&amp;"-"&amp;G198</f>
        <v>13101_21-1</v>
      </c>
      <c r="I198" s="39" t="s">
        <v>245</v>
      </c>
      <c r="J198" s="31">
        <v>9</v>
      </c>
      <c r="K198" s="20" t="str">
        <f ca="1">VLOOKUP($J198,OFFSET([3]enemies!$A$1,0,0,COUNTA([3]enemies!$A:$A),MATCH(K$1,[3]enemies!$1:$1,0)-MATCH($J$1,[3]enemies!$1:$1,0)+1),MATCH(K$1,[3]enemies!$1:$1,0)-MATCH($J$1,[3]enemies!$1:$1,0)+1,FALSE)</f>
        <v>ブレット</v>
      </c>
      <c r="L198" s="23" t="str">
        <f ca="1">VLOOKUP($J198,OFFSET([3]enemies!$A$1,0,0,COUNTA([3]enemies!$A:$A),MATCH(L$1,[3]enemies!$1:$1,0)-MATCH($J$1,[3]enemies!$1:$1,0)+1),MATCH(L$1,[3]enemies!$1:$1,0)-MATCH($J$1,[3]enemies!$1:$1,0)+1,FALSE)</f>
        <v>red</v>
      </c>
      <c r="M198" s="23" t="str">
        <f ca="1">VLOOKUP($J198,OFFSET([4]characters!$A$1,0,0,COUNTA([4]characters!$A:$A),MATCH(M$1,[4]characters!$1:$1,0)-MATCH($J$1,[4]characters!$1:$1,0)+1),MATCH(M$1,[4]characters!$1:$1,0)-MATCH($J$1,[4]characters!$1:$1,0)+1,FALSE)</f>
        <v>Drop1W</v>
      </c>
      <c r="N198" s="22" t="str">
        <f ca="1">VLOOKUP($J198,OFFSET([4]characters!$A$1,0,0,COUNTA([4]characters!$A:$A),MATCH(N$1,[4]characters!$1:$1,0)-MATCH($J$1,[4]characters!$1:$1,0)+2),MATCH(N$1,[4]characters!$1:$1,0)-MATCH($J$1,[4]characters!$1:$1,0)+2,FALSE)</f>
        <v>アニマル</v>
      </c>
      <c r="O198" s="5">
        <f ca="1">VLOOKUP($J198,OFFSET([3]enemies!$A$1,0,0,COUNTA([3]enemies!$A:$A),MATCH(O$1,[3]enemies!$1:$1,0)-MATCH($J$1,[3]enemies!$1:$1,0)+1),MATCH(O$1,[3]enemies!$1:$1,0)-MATCH($J$1,[3]enemies!$1:$1,0)+1,FALSE)</f>
        <v>15</v>
      </c>
      <c r="P198" s="46">
        <v>60</v>
      </c>
      <c r="Q198" s="43">
        <v>1</v>
      </c>
      <c r="R198" s="43">
        <v>1</v>
      </c>
      <c r="S198" s="6">
        <v>0</v>
      </c>
      <c r="T198" s="5" t="str">
        <f ca="1">VLOOKUP($U198,OFFSET([5]enemy_skill_sets!$B$1,0,0,COUNTA([5]enemy_skill_sets!$B:$B),MATCH(K$1,[5]enemy_skill_sets!$1:$1,0)-MATCH($U$1,[5]enemy_skill_sets!$1:$1,0)+2),MATCH(K$1,[5]enemy_skill_sets!$1:$1,0)-MATCH($U$1,[5]enemy_skill_sets!$1:$1,0)+2,FALSE)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98" s="5">
        <f ca="1">VLOOKUP($J198,OFFSET([3]enemies!$A$1,0,0,COUNTA([3]enemies!$A:$A),MATCH(U$1,[3]enemies!$1:$1,0)-MATCH($J$1,[3]enemies!$1:$1,0)+1),MATCH(U$1,[3]enemies!$1:$1,0)-MATCH($J$1,[3]enemies!$1:$1,0)+1,FALSE)</f>
        <v>0</v>
      </c>
      <c r="V198" s="7">
        <v>0</v>
      </c>
      <c r="W198" s="7">
        <v>100</v>
      </c>
      <c r="X198" s="7">
        <v>0</v>
      </c>
      <c r="Y198" s="20">
        <f ca="1">VLOOKUP($J198,OFFSET([3]enemies!$A$1,0,0,COUNTA([3]enemies!$A:$A),MATCH(Y$1,[3]enemies!$1:$1,0)-MATCH($J$1,[3]enemies!$1:$1,0)+1),MATCH(Y$1,[3]enemies!$1:$1,0)-MATCH($J$1,[3]enemies!$1:$1,0)+1,FALSE)</f>
        <v>2</v>
      </c>
      <c r="Z198" s="31">
        <v>9</v>
      </c>
      <c r="AA198" s="5" t="str">
        <f ca="1">IFERROR(VLOOKUP($Z198,OFFSET([4]characters!$A$1,0,0,COUNTA([4]characters!$A:$A),MATCH(AA$1,[4]characters!$1:$1,0)-MATCH("character_id",[4]characters!$1:$1,0)+1),MATCH(AA$1,[4]characters!$1:$1,0)-MATCH("character_id",[4]characters!$1:$1,0)+1,FALSE),"")</f>
        <v>ブレット</v>
      </c>
      <c r="AB198" s="5">
        <f ca="1">IFERROR(VLOOKUP($Z198,OFFSET([4]characters!$A$1,0,0,COUNTA([4]characters!$A:$A),MATCH(AB$1,[4]characters!$1:$1,0)-MATCH("character_id",[4]characters!$1:$1,0)+1),MATCH(AB$1,[4]characters!$1:$1,0)-MATCH("character_id",[4]characters!$1:$1,0)+1,FALSE),"")</f>
        <v>1</v>
      </c>
      <c r="AC198" s="5" t="str">
        <f ca="1">IFERROR(VLOOKUP($Z198,OFFSET([4]characters!$A$1,0,0,COUNTA([4]characters!$A:$A),MATCH(AC$1,[4]characters!$1:$1,0)-MATCH("character_id",[4]characters!$1:$1,0)+1),MATCH(AC$1,[4]characters!$1:$1,0)-MATCH("character_id",[4]characters!$1:$1,0)+1,FALSE),"")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198" s="8">
        <v>1</v>
      </c>
      <c r="AE198" s="28">
        <f t="shared" ref="AE198:AE207" ca="1" si="211">AB198</f>
        <v>1</v>
      </c>
      <c r="AF198" s="7">
        <v>25</v>
      </c>
      <c r="AG198" s="8">
        <v>0</v>
      </c>
      <c r="AH198" s="8">
        <v>0</v>
      </c>
      <c r="AI198" s="8">
        <v>0</v>
      </c>
      <c r="AJ198" s="8">
        <v>0</v>
      </c>
      <c r="AK198" s="8">
        <v>1</v>
      </c>
      <c r="AL198" s="8">
        <v>1</v>
      </c>
    </row>
    <row r="199" spans="1:38" ht="21" customHeight="1" x14ac:dyDescent="0.15">
      <c r="A199" s="17" t="str">
        <f t="shared" ca="1" si="208"/>
        <v>13101_21-1/21&lt;lv60&gt;s2</v>
      </c>
      <c r="B199" s="26">
        <v>13101</v>
      </c>
      <c r="C199" s="25">
        <v>21</v>
      </c>
      <c r="D199" s="2" t="str">
        <f t="shared" si="209"/>
        <v>13101_21</v>
      </c>
      <c r="E199" s="5" t="str">
        <f ca="1">VLOOKUP($B199,OFFSET([2]quests!$A$1,0,0,COUNTA([2]quests!$A:$A),MATCH(E$1,[2]quests!$1:$1,0)-MATCH($B$1,[2]quests!$1:$1,0)+1),MATCH(E$1,[2]quests!$1:$1,0)-MATCH($B$1,[2]quests!$1:$1,0)+1,FALSE)</f>
        <v>チャレンジタワー</v>
      </c>
      <c r="F199" s="5" t="e">
        <f ca="1">VLOOKUP($D199,OFFSET([2]stages!$A$1,0,0,COUNTA([2]stages!$A:$A),MATCH(F$1,[2]stages!$1:$1,0)-MATCH($D$1,[2]stages!$1:$1,0)+1),MATCH(F$1,[2]stages!$1:$1,0)-MATCH($D$1,[2]stages!$1:$1,0)+1,FALSE)</f>
        <v>#N/A</v>
      </c>
      <c r="G199" s="33">
        <v>1</v>
      </c>
      <c r="H199" s="16" t="str">
        <f t="shared" si="210"/>
        <v>13101_21-1</v>
      </c>
      <c r="I199" s="39" t="s">
        <v>245</v>
      </c>
      <c r="J199" s="31">
        <v>21</v>
      </c>
      <c r="K199" s="20" t="str">
        <f ca="1">VLOOKUP($J199,OFFSET([3]enemies!$A$1,0,0,COUNTA([3]enemies!$A:$A),MATCH(K$1,[3]enemies!$1:$1,0)-MATCH($J$1,[3]enemies!$1:$1,0)+1),MATCH(K$1,[3]enemies!$1:$1,0)-MATCH($J$1,[3]enemies!$1:$1,0)+1,FALSE)</f>
        <v>ヴェロキー</v>
      </c>
      <c r="L199" s="23" t="str">
        <f ca="1">VLOOKUP($J199,OFFSET([3]enemies!$A$1,0,0,COUNTA([3]enemies!$A:$A),MATCH(L$1,[3]enemies!$1:$1,0)-MATCH($J$1,[3]enemies!$1:$1,0)+1),MATCH(L$1,[3]enemies!$1:$1,0)-MATCH($J$1,[3]enemies!$1:$1,0)+1,FALSE)</f>
        <v>red</v>
      </c>
      <c r="M199" s="23" t="str">
        <f ca="1">VLOOKUP($J199,OFFSET([4]characters!$A$1,0,0,COUNTA([4]characters!$A:$A),MATCH(M$1,[4]characters!$1:$1,0)-MATCH($J$1,[4]characters!$1:$1,0)+1),MATCH(M$1,[4]characters!$1:$1,0)-MATCH($J$1,[4]characters!$1:$1,0)+1,FALSE)</f>
        <v>Drop1N</v>
      </c>
      <c r="N199" s="22" t="str">
        <f ca="1">VLOOKUP($J199,OFFSET([4]characters!$A$1,0,0,COUNTA([4]characters!$A:$A),MATCH(N$1,[4]characters!$1:$1,0)-MATCH($J$1,[4]characters!$1:$1,0)+2),MATCH(N$1,[4]characters!$1:$1,0)-MATCH($J$1,[4]characters!$1:$1,0)+2,FALSE)</f>
        <v>ドラゴン</v>
      </c>
      <c r="O199" s="5">
        <f ca="1">VLOOKUP($J199,OFFSET([3]enemies!$A$1,0,0,COUNTA([3]enemies!$A:$A),MATCH(O$1,[3]enemies!$1:$1,0)-MATCH($J$1,[3]enemies!$1:$1,0)+1),MATCH(O$1,[3]enemies!$1:$1,0)-MATCH($J$1,[3]enemies!$1:$1,0)+1,FALSE)</f>
        <v>15</v>
      </c>
      <c r="P199" s="46">
        <v>60</v>
      </c>
      <c r="Q199" s="43">
        <v>1</v>
      </c>
      <c r="R199" s="43">
        <v>1</v>
      </c>
      <c r="S199" s="6">
        <v>0</v>
      </c>
      <c r="T199" s="5" t="str">
        <f ca="1">VLOOKUP($U199,OFFSET([5]enemy_skill_sets!$B$1,0,0,COUNTA([5]enemy_skill_sets!$B:$B),MATCH(K$1,[5]enemy_skill_sets!$1:$1,0)-MATCH($U$1,[5]enemy_skill_sets!$1:$1,0)+2),MATCH(K$1,[5]enemy_skill_sets!$1:$1,0)-MATCH($U$1,[5]enemy_skill_sets!$1:$1,0)+2,FALSE)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199" s="5">
        <f ca="1">VLOOKUP($J199,OFFSET([3]enemies!$A$1,0,0,COUNTA([3]enemies!$A:$A),MATCH(U$1,[3]enemies!$1:$1,0)-MATCH($J$1,[3]enemies!$1:$1,0)+1),MATCH(U$1,[3]enemies!$1:$1,0)-MATCH($J$1,[3]enemies!$1:$1,0)+1,FALSE)</f>
        <v>0</v>
      </c>
      <c r="V199" s="44">
        <v>0</v>
      </c>
      <c r="W199" s="7">
        <v>100</v>
      </c>
      <c r="X199" s="7">
        <v>0</v>
      </c>
      <c r="Y199" s="20">
        <f ca="1">VLOOKUP($J199,OFFSET([3]enemies!$A$1,0,0,COUNTA([3]enemies!$A:$A),MATCH(Y$1,[3]enemies!$1:$1,0)-MATCH($J$1,[3]enemies!$1:$1,0)+1),MATCH(Y$1,[3]enemies!$1:$1,0)-MATCH($J$1,[3]enemies!$1:$1,0)+1,FALSE)</f>
        <v>2</v>
      </c>
      <c r="Z199" s="31">
        <v>21</v>
      </c>
      <c r="AA199" s="5" t="str">
        <f ca="1">IFERROR(VLOOKUP($Z199,OFFSET([4]characters!$A$1,0,0,COUNTA([4]characters!$A:$A),MATCH(AA$1,[4]characters!$1:$1,0)-MATCH("character_id",[4]characters!$1:$1,0)+1),MATCH(AA$1,[4]characters!$1:$1,0)-MATCH("character_id",[4]characters!$1:$1,0)+1,FALSE),"")</f>
        <v>ヴェロキー</v>
      </c>
      <c r="AB199" s="5">
        <f ca="1">IFERROR(VLOOKUP($Z199,OFFSET([4]characters!$A$1,0,0,COUNTA([4]characters!$A:$A),MATCH(AB$1,[4]characters!$1:$1,0)-MATCH("character_id",[4]characters!$1:$1,0)+1),MATCH(AB$1,[4]characters!$1:$1,0)-MATCH("character_id",[4]characters!$1:$1,0)+1,FALSE),"")</f>
        <v>1</v>
      </c>
      <c r="AC199" s="5" t="str">
        <f ca="1">IFERROR(VLOOKUP($Z199,OFFSET([4]characters!$A$1,0,0,COUNTA([4]characters!$A:$A),MATCH(AC$1,[4]characters!$1:$1,0)-MATCH("character_id",[4]characters!$1:$1,0)+1),MATCH(AC$1,[4]characters!$1:$1,0)-MATCH("character_id",[4]characters!$1:$1,0)+1,FALSE),"")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199" s="8">
        <v>1</v>
      </c>
      <c r="AE199" s="28">
        <f t="shared" ca="1" si="211"/>
        <v>1</v>
      </c>
      <c r="AF199" s="7">
        <v>25</v>
      </c>
      <c r="AG199" s="8">
        <v>0</v>
      </c>
      <c r="AH199" s="8">
        <v>0</v>
      </c>
      <c r="AI199" s="8">
        <v>0</v>
      </c>
      <c r="AJ199" s="8">
        <v>0</v>
      </c>
      <c r="AK199" s="8">
        <v>1</v>
      </c>
      <c r="AL199" s="8">
        <v>1</v>
      </c>
    </row>
    <row r="200" spans="1:38" ht="21" customHeight="1" x14ac:dyDescent="0.15">
      <c r="A200" s="17" t="str">
        <f t="shared" ca="1" si="208"/>
        <v>13101_21-2/15&lt;lv60&gt;s3</v>
      </c>
      <c r="B200" s="26">
        <v>13101</v>
      </c>
      <c r="C200" s="25">
        <v>21</v>
      </c>
      <c r="D200" s="2" t="str">
        <f t="shared" si="209"/>
        <v>13101_21</v>
      </c>
      <c r="E200" s="5" t="str">
        <f ca="1">VLOOKUP($B200,OFFSET([2]quests!$A$1,0,0,COUNTA([2]quests!$A:$A),MATCH(E$1,[2]quests!$1:$1,0)-MATCH($B$1,[2]quests!$1:$1,0)+1),MATCH(E$1,[2]quests!$1:$1,0)-MATCH($B$1,[2]quests!$1:$1,0)+1,FALSE)</f>
        <v>チャレンジタワー</v>
      </c>
      <c r="F200" s="5" t="e">
        <f ca="1">VLOOKUP($D200,OFFSET([2]stages!$A$1,0,0,COUNTA([2]stages!$A:$A),MATCH(F$1,[2]stages!$1:$1,0)-MATCH($D$1,[2]stages!$1:$1,0)+1),MATCH(F$1,[2]stages!$1:$1,0)-MATCH($D$1,[2]stages!$1:$1,0)+1,FALSE)</f>
        <v>#N/A</v>
      </c>
      <c r="G200" s="33">
        <v>2</v>
      </c>
      <c r="H200" s="16" t="str">
        <f t="shared" si="210"/>
        <v>13101_21-2</v>
      </c>
      <c r="I200" s="39" t="s">
        <v>245</v>
      </c>
      <c r="J200" s="31">
        <v>15</v>
      </c>
      <c r="K200" s="20" t="str">
        <f ca="1">VLOOKUP($J200,OFFSET([3]enemies!$A$1,0,0,COUNTA([3]enemies!$A:$A),MATCH(K$1,[3]enemies!$1:$1,0)-MATCH($J$1,[3]enemies!$1:$1,0)+1),MATCH(K$1,[3]enemies!$1:$1,0)-MATCH($J$1,[3]enemies!$1:$1,0)+1,FALSE)</f>
        <v>アカネ</v>
      </c>
      <c r="L200" s="23" t="str">
        <f ca="1">VLOOKUP($J200,OFFSET([3]enemies!$A$1,0,0,COUNTA([3]enemies!$A:$A),MATCH(L$1,[3]enemies!$1:$1,0)-MATCH($J$1,[3]enemies!$1:$1,0)+1),MATCH(L$1,[3]enemies!$1:$1,0)-MATCH($J$1,[3]enemies!$1:$1,0)+1,FALSE)</f>
        <v>red</v>
      </c>
      <c r="M200" s="23" t="str">
        <f ca="1">VLOOKUP($J200,OFFSET([4]characters!$A$1,0,0,COUNTA([4]characters!$A:$A),MATCH(M$1,[4]characters!$1:$1,0)-MATCH($J$1,[4]characters!$1:$1,0)+1),MATCH(M$1,[4]characters!$1:$1,0)-MATCH($J$1,[4]characters!$1:$1,0)+1,FALSE)</f>
        <v>Drop1W</v>
      </c>
      <c r="N200" s="22" t="str">
        <f ca="1">VLOOKUP($J200,OFFSET([4]characters!$A$1,0,0,COUNTA([4]characters!$A:$A),MATCH(N$1,[4]characters!$1:$1,0)-MATCH($J$1,[4]characters!$1:$1,0)+2),MATCH(N$1,[4]characters!$1:$1,0)-MATCH($J$1,[4]characters!$1:$1,0)+2,FALSE)</f>
        <v>ヒューマン</v>
      </c>
      <c r="O200" s="5">
        <f ca="1">VLOOKUP($J200,OFFSET([3]enemies!$A$1,0,0,COUNTA([3]enemies!$A:$A),MATCH(O$1,[3]enemies!$1:$1,0)-MATCH($J$1,[3]enemies!$1:$1,0)+1),MATCH(O$1,[3]enemies!$1:$1,0)-MATCH($J$1,[3]enemies!$1:$1,0)+1,FALSE)</f>
        <v>15</v>
      </c>
      <c r="P200" s="46">
        <v>60</v>
      </c>
      <c r="Q200" s="43">
        <v>1</v>
      </c>
      <c r="R200" s="43">
        <v>1</v>
      </c>
      <c r="S200" s="6">
        <v>0</v>
      </c>
      <c r="T200" s="5" t="str">
        <f ca="1">VLOOKUP($U200,OFFSET([5]enemy_skill_sets!$B$1,0,0,COUNTA([5]enemy_skill_sets!$B:$B),MATCH(K$1,[5]enemy_skill_sets!$1:$1,0)-MATCH($U$1,[5]enemy_skill_sets!$1:$1,0)+2),MATCH(K$1,[5]enemy_skill_sets!$1:$1,0)-MATCH($U$1,[5]enemy_skill_sets!$1:$1,0)+2,FALSE)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00" s="5">
        <f ca="1">VLOOKUP($J200,OFFSET([3]enemies!$A$1,0,0,COUNTA([3]enemies!$A:$A),MATCH(U$1,[3]enemies!$1:$1,0)-MATCH($J$1,[3]enemies!$1:$1,0)+1),MATCH(U$1,[3]enemies!$1:$1,0)-MATCH($J$1,[3]enemies!$1:$1,0)+1,FALSE)</f>
        <v>0</v>
      </c>
      <c r="V200" s="44">
        <v>0</v>
      </c>
      <c r="W200" s="7">
        <v>100</v>
      </c>
      <c r="X200" s="7">
        <v>0</v>
      </c>
      <c r="Y200" s="20">
        <f ca="1">VLOOKUP($J200,OFFSET([3]enemies!$A$1,0,0,COUNTA([3]enemies!$A:$A),MATCH(Y$1,[3]enemies!$1:$1,0)-MATCH($J$1,[3]enemies!$1:$1,0)+1),MATCH(Y$1,[3]enemies!$1:$1,0)-MATCH($J$1,[3]enemies!$1:$1,0)+1,FALSE)</f>
        <v>3</v>
      </c>
      <c r="Z200" s="31">
        <v>15</v>
      </c>
      <c r="AA200" s="5" t="str">
        <f ca="1">IFERROR(VLOOKUP($Z200,OFFSET([4]characters!$A$1,0,0,COUNTA([4]characters!$A:$A),MATCH(AA$1,[4]characters!$1:$1,0)-MATCH("character_id",[4]characters!$1:$1,0)+1),MATCH(AA$1,[4]characters!$1:$1,0)-MATCH("character_id",[4]characters!$1:$1,0)+1,FALSE),"")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200" s="5">
        <f ca="1">IFERROR(VLOOKUP($Z200,OFFSET([4]characters!$A$1,0,0,COUNTA([4]characters!$A:$A),MATCH(AB$1,[4]characters!$1:$1,0)-MATCH("character_id",[4]characters!$1:$1,0)+1),MATCH(AB$1,[4]characters!$1:$1,0)-MATCH("character_id",[4]characters!$1:$1,0)+1,FALSE),"")</f>
        <v>1</v>
      </c>
      <c r="AC200" s="5" t="str">
        <f ca="1">IFERROR(VLOOKUP($Z200,OFFSET([4]characters!$A$1,0,0,COUNTA([4]characters!$A:$A),MATCH(AC$1,[4]characters!$1:$1,0)-MATCH("character_id",[4]characters!$1:$1,0)+1),MATCH(AC$1,[4]characters!$1:$1,0)-MATCH("character_id",[4]characters!$1:$1,0)+1,FALSE),"")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00" s="8">
        <v>1</v>
      </c>
      <c r="AE200" s="28">
        <f t="shared" ca="1" si="211"/>
        <v>1</v>
      </c>
      <c r="AF200" s="7">
        <v>25</v>
      </c>
      <c r="AG200" s="8">
        <v>0</v>
      </c>
      <c r="AH200" s="8">
        <v>0</v>
      </c>
      <c r="AI200" s="8">
        <v>0</v>
      </c>
      <c r="AJ200" s="8">
        <v>0</v>
      </c>
      <c r="AK200" s="8">
        <v>1</v>
      </c>
      <c r="AL200" s="8">
        <v>1</v>
      </c>
    </row>
    <row r="201" spans="1:38" ht="21" customHeight="1" x14ac:dyDescent="0.15">
      <c r="A201" s="17" t="str">
        <f t="shared" ref="A201" ca="1" si="212">B201&amp;"_"&amp;C201&amp;"-"&amp;G201&amp;"/"&amp;J201&amp;"&lt;lv"&amp;P201&amp;"&gt;s"&amp;Y201</f>
        <v>13101_21-2/33&lt;lv60&gt;s2</v>
      </c>
      <c r="B201" s="26">
        <v>13101</v>
      </c>
      <c r="C201" s="25">
        <v>21</v>
      </c>
      <c r="D201" s="2" t="str">
        <f t="shared" ref="D201" si="213">B201&amp;"_"&amp;C201</f>
        <v>13101_21</v>
      </c>
      <c r="E201" s="5" t="str">
        <f ca="1">VLOOKUP($B201,OFFSET([2]quests!$A$1,0,0,COUNTA([2]quests!$A:$A),MATCH(E$1,[2]quests!$1:$1,0)-MATCH($B$1,[2]quests!$1:$1,0)+1),MATCH(E$1,[2]quests!$1:$1,0)-MATCH($B$1,[2]quests!$1:$1,0)+1,FALSE)</f>
        <v>チャレンジタワー</v>
      </c>
      <c r="F201" s="5" t="e">
        <f ca="1">VLOOKUP($D201,OFFSET([2]stages!$A$1,0,0,COUNTA([2]stages!$A:$A),MATCH(F$1,[2]stages!$1:$1,0)-MATCH($D$1,[2]stages!$1:$1,0)+1),MATCH(F$1,[2]stages!$1:$1,0)-MATCH($D$1,[2]stages!$1:$1,0)+1,FALSE)</f>
        <v>#N/A</v>
      </c>
      <c r="G201" s="33">
        <v>2</v>
      </c>
      <c r="H201" s="16" t="str">
        <f t="shared" ref="H201" si="214">B201&amp;"_"&amp;C201&amp;"-"&amp;G201</f>
        <v>13101_21-2</v>
      </c>
      <c r="I201" s="39" t="s">
        <v>245</v>
      </c>
      <c r="J201" s="31">
        <v>33</v>
      </c>
      <c r="K201" s="20" t="str">
        <f ca="1">VLOOKUP($J201,OFFSET([3]enemies!$A$1,0,0,COUNTA([3]enemies!$A:$A),MATCH(K$1,[3]enemies!$1:$1,0)-MATCH($J$1,[3]enemies!$1:$1,0)+1),MATCH(K$1,[3]enemies!$1:$1,0)-MATCH($J$1,[3]enemies!$1:$1,0)+1,FALSE)</f>
        <v>ゴクウ</v>
      </c>
      <c r="L201" s="23" t="str">
        <f ca="1">VLOOKUP($J201,OFFSET([3]enemies!$A$1,0,0,COUNTA([3]enemies!$A:$A),MATCH(L$1,[3]enemies!$1:$1,0)-MATCH($J$1,[3]enemies!$1:$1,0)+1),MATCH(L$1,[3]enemies!$1:$1,0)-MATCH($J$1,[3]enemies!$1:$1,0)+1,FALSE)</f>
        <v>red</v>
      </c>
      <c r="M201" s="23" t="str">
        <f ca="1">VLOOKUP($J201,OFFSET([4]characters!$A$1,0,0,COUNTA([4]characters!$A:$A),MATCH(M$1,[4]characters!$1:$1,0)-MATCH($J$1,[4]characters!$1:$1,0)+1),MATCH(M$1,[4]characters!$1:$1,0)-MATCH($J$1,[4]characters!$1:$1,0)+1,FALSE)</f>
        <v>Drop1S</v>
      </c>
      <c r="N201" s="22" t="str">
        <f ca="1">VLOOKUP($J201,OFFSET([4]characters!$A$1,0,0,COUNTA([4]characters!$A:$A),MATCH(N$1,[4]characters!$1:$1,0)-MATCH($J$1,[4]characters!$1:$1,0)+2),MATCH(N$1,[4]characters!$1:$1,0)-MATCH($J$1,[4]characters!$1:$1,0)+2,FALSE)</f>
        <v>アニマル</v>
      </c>
      <c r="O201" s="5">
        <f ca="1">VLOOKUP($J201,OFFSET([3]enemies!$A$1,0,0,COUNTA([3]enemies!$A:$A),MATCH(O$1,[3]enemies!$1:$1,0)-MATCH($J$1,[3]enemies!$1:$1,0)+1),MATCH(O$1,[3]enemies!$1:$1,0)-MATCH($J$1,[3]enemies!$1:$1,0)+1,FALSE)</f>
        <v>15</v>
      </c>
      <c r="P201" s="46">
        <v>60</v>
      </c>
      <c r="Q201" s="43">
        <v>1</v>
      </c>
      <c r="R201" s="43">
        <v>1</v>
      </c>
      <c r="S201" s="6">
        <v>0</v>
      </c>
      <c r="T201" s="5" t="str">
        <f ca="1">VLOOKUP($U201,OFFSET([5]enemy_skill_sets!$B$1,0,0,COUNTA([5]enemy_skill_sets!$B:$B),MATCH(K$1,[5]enemy_skill_sets!$1:$1,0)-MATCH($U$1,[5]enemy_skill_sets!$1:$1,0)+2),MATCH(K$1,[5]enemy_skill_sets!$1:$1,0)-MATCH($U$1,[5]enemy_skill_sets!$1:$1,0)+2,FALSE)</f>
        <v>次のターン強力な攻撃</v>
      </c>
      <c r="U201" s="5">
        <f ca="1">VLOOKUP($J201,OFFSET([3]enemies!$A$1,0,0,COUNTA([3]enemies!$A:$A),MATCH(U$1,[3]enemies!$1:$1,0)-MATCH($J$1,[3]enemies!$1:$1,0)+1),MATCH(U$1,[3]enemies!$1:$1,0)-MATCH($J$1,[3]enemies!$1:$1,0)+1,FALSE)</f>
        <v>33</v>
      </c>
      <c r="V201" s="44">
        <v>0</v>
      </c>
      <c r="W201" s="7">
        <v>100</v>
      </c>
      <c r="X201" s="7">
        <v>0</v>
      </c>
      <c r="Y201" s="20">
        <f ca="1">VLOOKUP($J201,OFFSET([3]enemies!$A$1,0,0,COUNTA([3]enemies!$A:$A),MATCH(Y$1,[3]enemies!$1:$1,0)-MATCH($J$1,[3]enemies!$1:$1,0)+1),MATCH(Y$1,[3]enemies!$1:$1,0)-MATCH($J$1,[3]enemies!$1:$1,0)+1,FALSE)</f>
        <v>2</v>
      </c>
      <c r="Z201" s="31">
        <v>33</v>
      </c>
      <c r="AA201" s="5" t="str">
        <f ca="1">IFERROR(VLOOKUP($Z201,OFFSET([4]characters!$A$1,0,0,COUNTA([4]characters!$A:$A),MATCH(AA$1,[4]characters!$1:$1,0)-MATCH("character_id",[4]characters!$1:$1,0)+1),MATCH(AA$1,[4]characters!$1:$1,0)-MATCH("character_id",[4]characters!$1:$1,0)+1,FALSE),"")</f>
        <v>ゴクウ</v>
      </c>
      <c r="AB201" s="5">
        <f ca="1">IFERROR(VLOOKUP($Z201,OFFSET([4]characters!$A$1,0,0,COUNTA([4]characters!$A:$A),MATCH(AB$1,[4]characters!$1:$1,0)-MATCH("character_id",[4]characters!$1:$1,0)+1),MATCH(AB$1,[4]characters!$1:$1,0)-MATCH("character_id",[4]characters!$1:$1,0)+1,FALSE),"")</f>
        <v>2</v>
      </c>
      <c r="AC201" s="5" t="str">
        <f ca="1">IFERROR(VLOOKUP($Z201,OFFSET([4]characters!$A$1,0,0,COUNTA([4]characters!$A:$A),MATCH(AC$1,[4]characters!$1:$1,0)-MATCH("character_id",[4]characters!$1:$1,0)+1),MATCH(AC$1,[4]characters!$1:$1,0)-MATCH("character_id",[4]characters!$1:$1,0)+1,FALSE),"")</f>
        <v>Drop1S</v>
      </c>
      <c r="AD201" s="8">
        <v>1</v>
      </c>
      <c r="AE201" s="28">
        <f t="shared" ref="AE201" ca="1" si="215">AB201</f>
        <v>2</v>
      </c>
      <c r="AF201" s="7">
        <v>25</v>
      </c>
      <c r="AG201" s="8">
        <v>0</v>
      </c>
      <c r="AH201" s="8">
        <v>0</v>
      </c>
      <c r="AI201" s="8">
        <v>0</v>
      </c>
      <c r="AJ201" s="8">
        <v>0</v>
      </c>
      <c r="AK201" s="8">
        <v>1</v>
      </c>
      <c r="AL201" s="8">
        <v>1</v>
      </c>
    </row>
    <row r="202" spans="1:38" ht="21" customHeight="1" x14ac:dyDescent="0.15">
      <c r="A202" s="17" t="str">
        <f t="shared" ca="1" si="208"/>
        <v>13101_21-3/142&lt;lv63&gt;s2</v>
      </c>
      <c r="B202" s="26">
        <v>13101</v>
      </c>
      <c r="C202" s="25">
        <v>21</v>
      </c>
      <c r="D202" s="2" t="str">
        <f t="shared" si="209"/>
        <v>13101_21</v>
      </c>
      <c r="E202" s="5" t="str">
        <f ca="1">VLOOKUP($B202,OFFSET([2]quests!$A$1,0,0,COUNTA([2]quests!$A:$A),MATCH(E$1,[2]quests!$1:$1,0)-MATCH($B$1,[2]quests!$1:$1,0)+1),MATCH(E$1,[2]quests!$1:$1,0)-MATCH($B$1,[2]quests!$1:$1,0)+1,FALSE)</f>
        <v>チャレンジタワー</v>
      </c>
      <c r="F202" s="5" t="e">
        <f ca="1">VLOOKUP($D202,OFFSET([2]stages!$A$1,0,0,COUNTA([2]stages!$A:$A),MATCH(F$1,[2]stages!$1:$1,0)-MATCH($D$1,[2]stages!$1:$1,0)+1),MATCH(F$1,[2]stages!$1:$1,0)-MATCH($D$1,[2]stages!$1:$1,0)+1,FALSE)</f>
        <v>#N/A</v>
      </c>
      <c r="G202" s="55">
        <v>3</v>
      </c>
      <c r="H202" s="16" t="str">
        <f t="shared" si="210"/>
        <v>13101_21-3</v>
      </c>
      <c r="I202" s="39" t="s">
        <v>245</v>
      </c>
      <c r="J202" s="31">
        <v>142</v>
      </c>
      <c r="K202" s="20" t="str">
        <f ca="1">VLOOKUP($J202,OFFSET([3]enemies!$A$1,0,0,COUNTA([3]enemies!$A:$A),MATCH(K$1,[3]enemies!$1:$1,0)-MATCH($J$1,[3]enemies!$1:$1,0)+1),MATCH(K$1,[3]enemies!$1:$1,0)-MATCH($J$1,[3]enemies!$1:$1,0)+1,FALSE)</f>
        <v>赤ずきん</v>
      </c>
      <c r="L202" s="23" t="str">
        <f ca="1">VLOOKUP($J202,OFFSET([3]enemies!$A$1,0,0,COUNTA([3]enemies!$A:$A),MATCH(L$1,[3]enemies!$1:$1,0)-MATCH($J$1,[3]enemies!$1:$1,0)+1),MATCH(L$1,[3]enemies!$1:$1,0)-MATCH($J$1,[3]enemies!$1:$1,0)+1,FALSE)</f>
        <v>red</v>
      </c>
      <c r="M202" s="23" t="str">
        <f ca="1">VLOOKUP($J202,OFFSET([4]characters!$A$1,0,0,COUNTA([4]characters!$A:$A),MATCH(M$1,[4]characters!$1:$1,0)-MATCH($J$1,[4]characters!$1:$1,0)+1),MATCH(M$1,[4]characters!$1:$1,0)-MATCH($J$1,[4]characters!$1:$1,0)+1,FALSE)</f>
        <v>PremiumW</v>
      </c>
      <c r="N202" s="22" t="str">
        <f ca="1">VLOOKUP($J202,OFFSET([4]characters!$A$1,0,0,COUNTA([4]characters!$A:$A),MATCH(N$1,[4]characters!$1:$1,0)-MATCH($J$1,[4]characters!$1:$1,0)+2),MATCH(N$1,[4]characters!$1:$1,0)-MATCH($J$1,[4]characters!$1:$1,0)+2,FALSE)</f>
        <v>ヒューマン</v>
      </c>
      <c r="O202" s="5">
        <f ca="1">VLOOKUP($J202,OFFSET([3]enemies!$A$1,0,0,COUNTA([3]enemies!$A:$A),MATCH(O$1,[3]enemies!$1:$1,0)-MATCH($J$1,[3]enemies!$1:$1,0)+1),MATCH(O$1,[3]enemies!$1:$1,0)-MATCH($J$1,[3]enemies!$1:$1,0)+1,FALSE)</f>
        <v>20</v>
      </c>
      <c r="P202" s="46">
        <v>63</v>
      </c>
      <c r="Q202" s="43">
        <v>1.5</v>
      </c>
      <c r="R202" s="43">
        <v>1.2</v>
      </c>
      <c r="S202" s="6">
        <v>0</v>
      </c>
      <c r="T202" s="5" t="str">
        <f ca="1">VLOOKUP($U202,OFFSET([5]enemy_skill_sets!$B$1,0,0,COUNTA([5]enemy_skill_sets!$B:$B),MATCH(K$1,[5]enemy_skill_sets!$1:$1,0)-MATCH($U$1,[5]enemy_skill_sets!$1:$1,0)+2),MATCH(K$1,[5]enemy_skill_sets!$1:$1,0)-MATCH($U$1,[5]enemy_skill_sets!$1:$1,0)+2,FALSE)</f>
        <v>種族アニマルのユニットに大ダメージ</v>
      </c>
      <c r="U202" s="51">
        <v>14202</v>
      </c>
      <c r="V202" s="44">
        <v>1</v>
      </c>
      <c r="W202" s="7">
        <v>100</v>
      </c>
      <c r="X202" s="7">
        <v>0</v>
      </c>
      <c r="Y202" s="20">
        <f ca="1">VLOOKUP($J202,OFFSET([3]enemies!$A$1,0,0,COUNTA([3]enemies!$A:$A),MATCH(Y$1,[3]enemies!$1:$1,0)-MATCH($J$1,[3]enemies!$1:$1,0)+1),MATCH(Y$1,[3]enemies!$1:$1,0)-MATCH($J$1,[3]enemies!$1:$1,0)+1,FALSE)</f>
        <v>2</v>
      </c>
      <c r="Z202" s="31">
        <v>142</v>
      </c>
      <c r="AA202" s="5" t="str">
        <f ca="1">IFERROR(VLOOKUP($Z202,OFFSET([4]characters!$A$1,0,0,COUNTA([4]characters!$A:$A),MATCH(AA$1,[4]characters!$1:$1,0)-MATCH("character_id",[4]characters!$1:$1,0)+1),MATCH(AA$1,[4]characters!$1:$1,0)-MATCH("character_id",[4]characters!$1:$1,0)+1,FALSE),"")</f>
        <v>赤ずきん</v>
      </c>
      <c r="AB202" s="5">
        <f ca="1">IFERROR(VLOOKUP($Z202,OFFSET([4]characters!$A$1,0,0,COUNTA([4]characters!$A:$A),MATCH(AB$1,[4]characters!$1:$1,0)-MATCH("character_id",[4]characters!$1:$1,0)+1),MATCH(AB$1,[4]characters!$1:$1,0)-MATCH("character_id",[4]characters!$1:$1,0)+1,FALSE),"")</f>
        <v>3</v>
      </c>
      <c r="AC202" s="5" t="str">
        <f ca="1">IFERROR(VLOOKUP($Z202,OFFSET([4]characters!$A$1,0,0,COUNTA([4]characters!$A:$A),MATCH(AC$1,[4]characters!$1:$1,0)-MATCH("character_id",[4]characters!$1:$1,0)+1),MATCH(AC$1,[4]characters!$1:$1,0)-MATCH("character_id",[4]characters!$1:$1,0)+1,FALSE),"")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202" s="8">
        <v>1</v>
      </c>
      <c r="AE202" s="28">
        <f t="shared" ca="1" si="211"/>
        <v>3</v>
      </c>
      <c r="AF202" s="7">
        <v>0</v>
      </c>
      <c r="AG202" s="8">
        <v>0</v>
      </c>
      <c r="AH202" s="8">
        <v>0</v>
      </c>
      <c r="AI202" s="8">
        <v>0</v>
      </c>
      <c r="AJ202" s="8">
        <v>0</v>
      </c>
      <c r="AK202" s="8">
        <v>1</v>
      </c>
      <c r="AL202" s="8">
        <v>1</v>
      </c>
    </row>
    <row r="203" spans="1:38" ht="21" customHeight="1" x14ac:dyDescent="0.15">
      <c r="A203" s="17" t="str">
        <f t="shared" ca="1" si="208"/>
        <v>13101_21-4/10&lt;lv60&gt;s2</v>
      </c>
      <c r="B203" s="26">
        <v>13101</v>
      </c>
      <c r="C203" s="25">
        <v>21</v>
      </c>
      <c r="D203" s="2" t="str">
        <f t="shared" si="209"/>
        <v>13101_21</v>
      </c>
      <c r="E203" s="5" t="str">
        <f ca="1">VLOOKUP($B203,OFFSET([2]quests!$A$1,0,0,COUNTA([2]quests!$A:$A),MATCH(E$1,[2]quests!$1:$1,0)-MATCH($B$1,[2]quests!$1:$1,0)+1),MATCH(E$1,[2]quests!$1:$1,0)-MATCH($B$1,[2]quests!$1:$1,0)+1,FALSE)</f>
        <v>チャレンジタワー</v>
      </c>
      <c r="F203" s="5" t="e">
        <f ca="1">VLOOKUP($D203,OFFSET([2]stages!$A$1,0,0,COUNTA([2]stages!$A:$A),MATCH(F$1,[2]stages!$1:$1,0)-MATCH($D$1,[2]stages!$1:$1,0)+1),MATCH(F$1,[2]stages!$1:$1,0)-MATCH($D$1,[2]stages!$1:$1,0)+1,FALSE)</f>
        <v>#N/A</v>
      </c>
      <c r="G203" s="33">
        <v>4</v>
      </c>
      <c r="H203" s="16" t="str">
        <f t="shared" si="210"/>
        <v>13101_21-4</v>
      </c>
      <c r="I203" s="39" t="s">
        <v>245</v>
      </c>
      <c r="J203" s="31">
        <v>10</v>
      </c>
      <c r="K203" s="20" t="str">
        <f ca="1">VLOOKUP($J203,OFFSET([3]enemies!$A$1,0,0,COUNTA([3]enemies!$A:$A),MATCH(K$1,[3]enemies!$1:$1,0)-MATCH($J$1,[3]enemies!$1:$1,0)+1),MATCH(K$1,[3]enemies!$1:$1,0)-MATCH($J$1,[3]enemies!$1:$1,0)+1,FALSE)</f>
        <v>燃える悪戯魂 ブレット</v>
      </c>
      <c r="L203" s="23" t="str">
        <f ca="1">VLOOKUP($J203,OFFSET([3]enemies!$A$1,0,0,COUNTA([3]enemies!$A:$A),MATCH(L$1,[3]enemies!$1:$1,0)-MATCH($J$1,[3]enemies!$1:$1,0)+1),MATCH(L$1,[3]enemies!$1:$1,0)-MATCH($J$1,[3]enemies!$1:$1,0)+1,FALSE)</f>
        <v>red</v>
      </c>
      <c r="M203" s="23" t="str">
        <f ca="1">VLOOKUP($J203,OFFSET([4]characters!$A$1,0,0,COUNTA([4]characters!$A:$A),MATCH(M$1,[4]characters!$1:$1,0)-MATCH($J$1,[4]characters!$1:$1,0)+1),MATCH(M$1,[4]characters!$1:$1,0)-MATCH($J$1,[4]characters!$1:$1,0)+1,FALSE)</f>
        <v>Drop1W</v>
      </c>
      <c r="N203" s="22" t="str">
        <f ca="1">VLOOKUP($J203,OFFSET([4]characters!$A$1,0,0,COUNTA([4]characters!$A:$A),MATCH(N$1,[4]characters!$1:$1,0)-MATCH($J$1,[4]characters!$1:$1,0)+2),MATCH(N$1,[4]characters!$1:$1,0)-MATCH($J$1,[4]characters!$1:$1,0)+2,FALSE)</f>
        <v>アニマル</v>
      </c>
      <c r="O203" s="5">
        <f ca="1">VLOOKUP($J203,OFFSET([3]enemies!$A$1,0,0,COUNTA([3]enemies!$A:$A),MATCH(O$1,[3]enemies!$1:$1,0)-MATCH($J$1,[3]enemies!$1:$1,0)+1),MATCH(O$1,[3]enemies!$1:$1,0)-MATCH($J$1,[3]enemies!$1:$1,0)+1,FALSE)</f>
        <v>15</v>
      </c>
      <c r="P203" s="46">
        <v>60</v>
      </c>
      <c r="Q203" s="43">
        <v>1</v>
      </c>
      <c r="R203" s="43">
        <v>1</v>
      </c>
      <c r="S203" s="6">
        <v>0</v>
      </c>
      <c r="T203" s="5" t="str">
        <f ca="1">VLOOKUP($U203,OFFSET([5]enemy_skill_sets!$B$1,0,0,COUNTA([5]enemy_skill_sets!$B:$B),MATCH(K$1,[5]enemy_skill_sets!$1:$1,0)-MATCH($U$1,[5]enemy_skill_sets!$1:$1,0)+2),MATCH(K$1,[5]enemy_skill_sets!$1:$1,0)-MATCH($U$1,[5]enemy_skill_sets!$1:$1,0)+2,FALSE)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03" s="5">
        <f ca="1">VLOOKUP($J203,OFFSET([3]enemies!$A$1,0,0,COUNTA([3]enemies!$A:$A),MATCH(U$1,[3]enemies!$1:$1,0)-MATCH($J$1,[3]enemies!$1:$1,0)+1),MATCH(U$1,[3]enemies!$1:$1,0)-MATCH($J$1,[3]enemies!$1:$1,0)+1,FALSE)</f>
        <v>0</v>
      </c>
      <c r="V203" s="44">
        <v>0</v>
      </c>
      <c r="W203" s="7">
        <v>100</v>
      </c>
      <c r="X203" s="7">
        <v>0</v>
      </c>
      <c r="Y203" s="20">
        <f ca="1">VLOOKUP($J203,OFFSET([3]enemies!$A$1,0,0,COUNTA([3]enemies!$A:$A),MATCH(Y$1,[3]enemies!$1:$1,0)-MATCH($J$1,[3]enemies!$1:$1,0)+1),MATCH(Y$1,[3]enemies!$1:$1,0)-MATCH($J$1,[3]enemies!$1:$1,0)+1,FALSE)</f>
        <v>2</v>
      </c>
      <c r="Z203" s="31">
        <v>9</v>
      </c>
      <c r="AA203" s="5" t="str">
        <f ca="1">IFERROR(VLOOKUP($Z203,OFFSET([4]characters!$A$1,0,0,COUNTA([4]characters!$A:$A),MATCH(AA$1,[4]characters!$1:$1,0)-MATCH("character_id",[4]characters!$1:$1,0)+1),MATCH(AA$1,[4]characters!$1:$1,0)-MATCH("character_id",[4]characters!$1:$1,0)+1,FALSE),"")</f>
        <v>ブレット</v>
      </c>
      <c r="AB203" s="5">
        <f ca="1">IFERROR(VLOOKUP($Z203,OFFSET([4]characters!$A$1,0,0,COUNTA([4]characters!$A:$A),MATCH(AB$1,[4]characters!$1:$1,0)-MATCH("character_id",[4]characters!$1:$1,0)+1),MATCH(AB$1,[4]characters!$1:$1,0)-MATCH("character_id",[4]characters!$1:$1,0)+1,FALSE),"")</f>
        <v>1</v>
      </c>
      <c r="AC203" s="5" t="str">
        <f ca="1">IFERROR(VLOOKUP($Z203,OFFSET([4]characters!$A$1,0,0,COUNTA([4]characters!$A:$A),MATCH(AC$1,[4]characters!$1:$1,0)-MATCH("character_id",[4]characters!$1:$1,0)+1),MATCH(AC$1,[4]characters!$1:$1,0)-MATCH("character_id",[4]characters!$1:$1,0)+1,FALSE),"")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03" s="8">
        <v>1</v>
      </c>
      <c r="AE203" s="28">
        <f t="shared" ca="1" si="211"/>
        <v>1</v>
      </c>
      <c r="AF203" s="7">
        <v>25</v>
      </c>
      <c r="AG203" s="8">
        <v>0</v>
      </c>
      <c r="AH203" s="8">
        <v>0</v>
      </c>
      <c r="AI203" s="8">
        <v>0</v>
      </c>
      <c r="AJ203" s="8">
        <v>0</v>
      </c>
      <c r="AK203" s="8">
        <v>1</v>
      </c>
      <c r="AL203" s="8">
        <v>1</v>
      </c>
    </row>
    <row r="204" spans="1:38" ht="21" customHeight="1" x14ac:dyDescent="0.15">
      <c r="A204" s="17" t="str">
        <f t="shared" ca="1" si="208"/>
        <v>13101_21-4/22&lt;lv60&gt;s2</v>
      </c>
      <c r="B204" s="26">
        <v>13101</v>
      </c>
      <c r="C204" s="25">
        <v>21</v>
      </c>
      <c r="D204" s="2" t="str">
        <f t="shared" si="209"/>
        <v>13101_21</v>
      </c>
      <c r="E204" s="5" t="str">
        <f ca="1">VLOOKUP($B204,OFFSET([2]quests!$A$1,0,0,COUNTA([2]quests!$A:$A),MATCH(E$1,[2]quests!$1:$1,0)-MATCH($B$1,[2]quests!$1:$1,0)+1),MATCH(E$1,[2]quests!$1:$1,0)-MATCH($B$1,[2]quests!$1:$1,0)+1,FALSE)</f>
        <v>チャレンジタワー</v>
      </c>
      <c r="F204" s="5" t="e">
        <f ca="1">VLOOKUP($D204,OFFSET([2]stages!$A$1,0,0,COUNTA([2]stages!$A:$A),MATCH(F$1,[2]stages!$1:$1,0)-MATCH($D$1,[2]stages!$1:$1,0)+1),MATCH(F$1,[2]stages!$1:$1,0)-MATCH($D$1,[2]stages!$1:$1,0)+1,FALSE)</f>
        <v>#N/A</v>
      </c>
      <c r="G204" s="33">
        <v>4</v>
      </c>
      <c r="H204" s="16" t="str">
        <f t="shared" si="210"/>
        <v>13101_21-4</v>
      </c>
      <c r="I204" s="39" t="s">
        <v>245</v>
      </c>
      <c r="J204" s="31">
        <v>22</v>
      </c>
      <c r="K204" s="20" t="str">
        <f ca="1">VLOOKUP($J204,OFFSET([3]enemies!$A$1,0,0,COUNTA([3]enemies!$A:$A),MATCH(K$1,[3]enemies!$1:$1,0)-MATCH($J$1,[3]enemies!$1:$1,0)+1),MATCH(K$1,[3]enemies!$1:$1,0)-MATCH($J$1,[3]enemies!$1:$1,0)+1,FALSE)</f>
        <v>突然変異ヴェロキー</v>
      </c>
      <c r="L204" s="23" t="str">
        <f ca="1">VLOOKUP($J204,OFFSET([3]enemies!$A$1,0,0,COUNTA([3]enemies!$A:$A),MATCH(L$1,[3]enemies!$1:$1,0)-MATCH($J$1,[3]enemies!$1:$1,0)+1),MATCH(L$1,[3]enemies!$1:$1,0)-MATCH($J$1,[3]enemies!$1:$1,0)+1,FALSE)</f>
        <v>red</v>
      </c>
      <c r="M204" s="23" t="str">
        <f ca="1">VLOOKUP($J204,OFFSET([4]characters!$A$1,0,0,COUNTA([4]characters!$A:$A),MATCH(M$1,[4]characters!$1:$1,0)-MATCH($J$1,[4]characters!$1:$1,0)+1),MATCH(M$1,[4]characters!$1:$1,0)-MATCH($J$1,[4]characters!$1:$1,0)+1,FALSE)</f>
        <v>Drop1N</v>
      </c>
      <c r="N204" s="22" t="str">
        <f ca="1">VLOOKUP($J204,OFFSET([4]characters!$A$1,0,0,COUNTA([4]characters!$A:$A),MATCH(N$1,[4]characters!$1:$1,0)-MATCH($J$1,[4]characters!$1:$1,0)+2),MATCH(N$1,[4]characters!$1:$1,0)-MATCH($J$1,[4]characters!$1:$1,0)+2,FALSE)</f>
        <v>ドラゴン</v>
      </c>
      <c r="O204" s="5">
        <f ca="1">VLOOKUP($J204,OFFSET([3]enemies!$A$1,0,0,COUNTA([3]enemies!$A:$A),MATCH(O$1,[3]enemies!$1:$1,0)-MATCH($J$1,[3]enemies!$1:$1,0)+1),MATCH(O$1,[3]enemies!$1:$1,0)-MATCH($J$1,[3]enemies!$1:$1,0)+1,FALSE)</f>
        <v>15</v>
      </c>
      <c r="P204" s="46">
        <v>60</v>
      </c>
      <c r="Q204" s="43">
        <v>1</v>
      </c>
      <c r="R204" s="43">
        <v>1</v>
      </c>
      <c r="S204" s="6">
        <v>0</v>
      </c>
      <c r="T204" s="5" t="str">
        <f ca="1">VLOOKUP($U204,OFFSET([5]enemy_skill_sets!$B$1,0,0,COUNTA([5]enemy_skill_sets!$B:$B),MATCH(K$1,[5]enemy_skill_sets!$1:$1,0)-MATCH($U$1,[5]enemy_skill_sets!$1:$1,0)+2),MATCH(K$1,[5]enemy_skill_sets!$1:$1,0)-MATCH($U$1,[5]enemy_skill_sets!$1:$1,0)+2,FALSE)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04" s="5">
        <f ca="1">VLOOKUP($J204,OFFSET([3]enemies!$A$1,0,0,COUNTA([3]enemies!$A:$A),MATCH(U$1,[3]enemies!$1:$1,0)-MATCH($J$1,[3]enemies!$1:$1,0)+1),MATCH(U$1,[3]enemies!$1:$1,0)-MATCH($J$1,[3]enemies!$1:$1,0)+1,FALSE)</f>
        <v>0</v>
      </c>
      <c r="V204" s="44">
        <v>0</v>
      </c>
      <c r="W204" s="7">
        <v>100</v>
      </c>
      <c r="X204" s="7">
        <v>1</v>
      </c>
      <c r="Y204" s="20">
        <f ca="1">VLOOKUP($J204,OFFSET([3]enemies!$A$1,0,0,COUNTA([3]enemies!$A:$A),MATCH(Y$1,[3]enemies!$1:$1,0)-MATCH($J$1,[3]enemies!$1:$1,0)+1),MATCH(Y$1,[3]enemies!$1:$1,0)-MATCH($J$1,[3]enemies!$1:$1,0)+1,FALSE)</f>
        <v>2</v>
      </c>
      <c r="Z204" s="31">
        <v>21</v>
      </c>
      <c r="AA204" s="5" t="str">
        <f ca="1">IFERROR(VLOOKUP($Z204,OFFSET([4]characters!$A$1,0,0,COUNTA([4]characters!$A:$A),MATCH(AA$1,[4]characters!$1:$1,0)-MATCH("character_id",[4]characters!$1:$1,0)+1),MATCH(AA$1,[4]characters!$1:$1,0)-MATCH("character_id",[4]characters!$1:$1,0)+1,FALSE),"")</f>
        <v>ヴェロキー</v>
      </c>
      <c r="AB204" s="5">
        <f ca="1">IFERROR(VLOOKUP($Z204,OFFSET([4]characters!$A$1,0,0,COUNTA([4]characters!$A:$A),MATCH(AB$1,[4]characters!$1:$1,0)-MATCH("character_id",[4]characters!$1:$1,0)+1),MATCH(AB$1,[4]characters!$1:$1,0)-MATCH("character_id",[4]characters!$1:$1,0)+1,FALSE),"")</f>
        <v>1</v>
      </c>
      <c r="AC204" s="5" t="str">
        <f ca="1">IFERROR(VLOOKUP($Z204,OFFSET([4]characters!$A$1,0,0,COUNTA([4]characters!$A:$A),MATCH(AC$1,[4]characters!$1:$1,0)-MATCH("character_id",[4]characters!$1:$1,0)+1),MATCH(AC$1,[4]characters!$1:$1,0)-MATCH("character_id",[4]characters!$1:$1,0)+1,FALSE),"")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04" s="8">
        <v>1</v>
      </c>
      <c r="AE204" s="28">
        <f t="shared" ca="1" si="211"/>
        <v>1</v>
      </c>
      <c r="AF204" s="7">
        <v>25</v>
      </c>
      <c r="AG204" s="8">
        <v>0</v>
      </c>
      <c r="AH204" s="8">
        <v>0</v>
      </c>
      <c r="AI204" s="8">
        <v>0</v>
      </c>
      <c r="AJ204" s="8">
        <v>0</v>
      </c>
      <c r="AK204" s="8">
        <v>1</v>
      </c>
      <c r="AL204" s="8">
        <v>1</v>
      </c>
    </row>
    <row r="205" spans="1:38" ht="21" customHeight="1" x14ac:dyDescent="0.15">
      <c r="A205" s="17" t="str">
        <f t="shared" ref="A205" ca="1" si="216">B205&amp;"_"&amp;C205&amp;"-"&amp;G205&amp;"/"&amp;J205&amp;"&lt;lv"&amp;P205&amp;"&gt;s"&amp;Y205</f>
        <v>13101_21-4/41&lt;lv60&gt;s1</v>
      </c>
      <c r="B205" s="26">
        <v>13101</v>
      </c>
      <c r="C205" s="25">
        <v>21</v>
      </c>
      <c r="D205" s="2" t="str">
        <f t="shared" ref="D205" si="217">B205&amp;"_"&amp;C205</f>
        <v>13101_21</v>
      </c>
      <c r="E205" s="5" t="str">
        <f ca="1">VLOOKUP($B205,OFFSET([2]quests!$A$1,0,0,COUNTA([2]quests!$A:$A),MATCH(E$1,[2]quests!$1:$1,0)-MATCH($B$1,[2]quests!$1:$1,0)+1),MATCH(E$1,[2]quests!$1:$1,0)-MATCH($B$1,[2]quests!$1:$1,0)+1,FALSE)</f>
        <v>チャレンジタワー</v>
      </c>
      <c r="F205" s="5" t="e">
        <f ca="1">VLOOKUP($D205,OFFSET([2]stages!$A$1,0,0,COUNTA([2]stages!$A:$A),MATCH(F$1,[2]stages!$1:$1,0)-MATCH($D$1,[2]stages!$1:$1,0)+1),MATCH(F$1,[2]stages!$1:$1,0)-MATCH($D$1,[2]stages!$1:$1,0)+1,FALSE)</f>
        <v>#N/A</v>
      </c>
      <c r="G205" s="33">
        <v>4</v>
      </c>
      <c r="H205" s="16" t="str">
        <f t="shared" ref="H205" si="218">B205&amp;"_"&amp;C205&amp;"-"&amp;G205</f>
        <v>13101_21-4</v>
      </c>
      <c r="I205" s="39" t="s">
        <v>245</v>
      </c>
      <c r="J205" s="31">
        <v>41</v>
      </c>
      <c r="K205" s="20" t="str">
        <f ca="1">VLOOKUP($J205,OFFSET([3]enemies!$A$1,0,0,COUNTA([3]enemies!$A:$A),MATCH(K$1,[3]enemies!$1:$1,0)-MATCH($J$1,[3]enemies!$1:$1,0)+1),MATCH(K$1,[3]enemies!$1:$1,0)-MATCH($J$1,[3]enemies!$1:$1,0)+1,FALSE)</f>
        <v>ヒュウガ</v>
      </c>
      <c r="L205" s="23" t="str">
        <f ca="1">VLOOKUP($J205,OFFSET([3]enemies!$A$1,0,0,COUNTA([3]enemies!$A:$A),MATCH(L$1,[3]enemies!$1:$1,0)-MATCH($J$1,[3]enemies!$1:$1,0)+1),MATCH(L$1,[3]enemies!$1:$1,0)-MATCH($J$1,[3]enemies!$1:$1,0)+1,FALSE)</f>
        <v>red</v>
      </c>
      <c r="M205" s="23" t="str">
        <f ca="1">VLOOKUP($J205,OFFSET([4]characters!$A$1,0,0,COUNTA([4]characters!$A:$A),MATCH(M$1,[4]characters!$1:$1,0)-MATCH($J$1,[4]characters!$1:$1,0)+1),MATCH(M$1,[4]characters!$1:$1,0)-MATCH($J$1,[4]characters!$1:$1,0)+1,FALSE)</f>
        <v>Drop1N</v>
      </c>
      <c r="N205" s="22" t="str">
        <f ca="1">VLOOKUP($J205,OFFSET([4]characters!$A$1,0,0,COUNTA([4]characters!$A:$A),MATCH(N$1,[4]characters!$1:$1,0)-MATCH($J$1,[4]characters!$1:$1,0)+2),MATCH(N$1,[4]characters!$1:$1,0)-MATCH($J$1,[4]characters!$1:$1,0)+2,FALSE)</f>
        <v>ドラゴン</v>
      </c>
      <c r="O205" s="5">
        <f ca="1">VLOOKUP($J205,OFFSET([3]enemies!$A$1,0,0,COUNTA([3]enemies!$A:$A),MATCH(O$1,[3]enemies!$1:$1,0)-MATCH($J$1,[3]enemies!$1:$1,0)+1),MATCH(O$1,[3]enemies!$1:$1,0)-MATCH($J$1,[3]enemies!$1:$1,0)+1,FALSE)</f>
        <v>15</v>
      </c>
      <c r="P205" s="46">
        <v>60</v>
      </c>
      <c r="Q205" s="43">
        <v>1</v>
      </c>
      <c r="R205" s="43">
        <v>1</v>
      </c>
      <c r="S205" s="6">
        <v>0</v>
      </c>
      <c r="T205" s="5" t="str">
        <f ca="1">VLOOKUP($U205,OFFSET([5]enemy_skill_sets!$B$1,0,0,COUNTA([5]enemy_skill_sets!$B:$B),MATCH(K$1,[5]enemy_skill_sets!$1:$1,0)-MATCH($U$1,[5]enemy_skill_sets!$1:$1,0)+2),MATCH(K$1,[5]enemy_skill_sets!$1:$1,0)-MATCH($U$1,[5]enemy_skill_sets!$1:$1,0)+2,FALSE)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05" s="5">
        <f ca="1">VLOOKUP($J205,OFFSET([3]enemies!$A$1,0,0,COUNTA([3]enemies!$A:$A),MATCH(U$1,[3]enemies!$1:$1,0)-MATCH($J$1,[3]enemies!$1:$1,0)+1),MATCH(U$1,[3]enemies!$1:$1,0)-MATCH($J$1,[3]enemies!$1:$1,0)+1,FALSE)</f>
        <v>0</v>
      </c>
      <c r="V205" s="44">
        <v>0</v>
      </c>
      <c r="W205" s="7">
        <v>100</v>
      </c>
      <c r="X205" s="7">
        <v>1</v>
      </c>
      <c r="Y205" s="20">
        <f ca="1">VLOOKUP($J205,OFFSET([3]enemies!$A$1,0,0,COUNTA([3]enemies!$A:$A),MATCH(Y$1,[3]enemies!$1:$1,0)-MATCH($J$1,[3]enemies!$1:$1,0)+1),MATCH(Y$1,[3]enemies!$1:$1,0)-MATCH($J$1,[3]enemies!$1:$1,0)+1,FALSE)</f>
        <v>1</v>
      </c>
      <c r="Z205" s="31">
        <v>41</v>
      </c>
      <c r="AA205" s="5" t="str">
        <f ca="1">IFERROR(VLOOKUP($Z205,OFFSET([4]characters!$A$1,0,0,COUNTA([4]characters!$A:$A),MATCH(AA$1,[4]characters!$1:$1,0)-MATCH("character_id",[4]characters!$1:$1,0)+1),MATCH(AA$1,[4]characters!$1:$1,0)-MATCH("character_id",[4]characters!$1:$1,0)+1,FALSE),"")</f>
        <v>ヒュウガ</v>
      </c>
      <c r="AB205" s="5">
        <f ca="1">IFERROR(VLOOKUP($Z205,OFFSET([4]characters!$A$1,0,0,COUNTA([4]characters!$A:$A),MATCH(AB$1,[4]characters!$1:$1,0)-MATCH("character_id",[4]characters!$1:$1,0)+1),MATCH(AB$1,[4]characters!$1:$1,0)-MATCH("character_id",[4]characters!$1:$1,0)+1,FALSE),"")</f>
        <v>2</v>
      </c>
      <c r="AC205" s="5" t="str">
        <f ca="1">IFERROR(VLOOKUP($Z205,OFFSET([4]characters!$A$1,0,0,COUNTA([4]characters!$A:$A),MATCH(AC$1,[4]characters!$1:$1,0)-MATCH("character_id",[4]characters!$1:$1,0)+1),MATCH(AC$1,[4]characters!$1:$1,0)-MATCH("character_id",[4]characters!$1:$1,0)+1,FALSE),"")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05" s="8">
        <v>1</v>
      </c>
      <c r="AE205" s="28">
        <f t="shared" ref="AE205" ca="1" si="219">AB205</f>
        <v>2</v>
      </c>
      <c r="AF205" s="7">
        <v>25</v>
      </c>
      <c r="AG205" s="8">
        <v>0</v>
      </c>
      <c r="AH205" s="8">
        <v>0</v>
      </c>
      <c r="AI205" s="8">
        <v>0</v>
      </c>
      <c r="AJ205" s="8">
        <v>0</v>
      </c>
      <c r="AK205" s="8">
        <v>1</v>
      </c>
      <c r="AL205" s="8">
        <v>1</v>
      </c>
    </row>
    <row r="206" spans="1:38" ht="21" customHeight="1" x14ac:dyDescent="0.15">
      <c r="A206" s="17" t="str">
        <f t="shared" ca="1" si="208"/>
        <v>13101_21-5/127&lt;lv63&gt;s1</v>
      </c>
      <c r="B206" s="26">
        <v>13101</v>
      </c>
      <c r="C206" s="25">
        <v>21</v>
      </c>
      <c r="D206" s="2" t="str">
        <f t="shared" si="209"/>
        <v>13101_21</v>
      </c>
      <c r="E206" s="5" t="str">
        <f ca="1">VLOOKUP($B206,OFFSET([2]quests!$A$1,0,0,COUNTA([2]quests!$A:$A),MATCH(E$1,[2]quests!$1:$1,0)-MATCH($B$1,[2]quests!$1:$1,0)+1),MATCH(E$1,[2]quests!$1:$1,0)-MATCH($B$1,[2]quests!$1:$1,0)+1,FALSE)</f>
        <v>チャレンジタワー</v>
      </c>
      <c r="F206" s="5" t="e">
        <f ca="1">VLOOKUP($D206,OFFSET([2]stages!$A$1,0,0,COUNTA([2]stages!$A:$A),MATCH(F$1,[2]stages!$1:$1,0)-MATCH($D$1,[2]stages!$1:$1,0)+1),MATCH(F$1,[2]stages!$1:$1,0)-MATCH($D$1,[2]stages!$1:$1,0)+1,FALSE)</f>
        <v>#N/A</v>
      </c>
      <c r="G206" s="55">
        <v>5</v>
      </c>
      <c r="H206" s="16" t="str">
        <f t="shared" si="210"/>
        <v>13101_21-5</v>
      </c>
      <c r="I206" s="39" t="s">
        <v>245</v>
      </c>
      <c r="J206" s="31">
        <v>127</v>
      </c>
      <c r="K206" s="20" t="str">
        <f ca="1">VLOOKUP($J206,OFFSET([3]enemies!$A$1,0,0,COUNTA([3]enemies!$A:$A),MATCH(K$1,[3]enemies!$1:$1,0)-MATCH($J$1,[3]enemies!$1:$1,0)+1),MATCH(K$1,[3]enemies!$1:$1,0)-MATCH($J$1,[3]enemies!$1:$1,0)+1,FALSE)</f>
        <v>狂喜の賢者 ユノ</v>
      </c>
      <c r="L206" s="23" t="str">
        <f ca="1">VLOOKUP($J206,OFFSET([3]enemies!$A$1,0,0,COUNTA([3]enemies!$A:$A),MATCH(L$1,[3]enemies!$1:$1,0)-MATCH($J$1,[3]enemies!$1:$1,0)+1),MATCH(L$1,[3]enemies!$1:$1,0)-MATCH($J$1,[3]enemies!$1:$1,0)+1,FALSE)</f>
        <v>red</v>
      </c>
      <c r="M206" s="23" t="str">
        <f ca="1">VLOOKUP($J206,OFFSET([4]characters!$A$1,0,0,COUNTA([4]characters!$A:$A),MATCH(M$1,[4]characters!$1:$1,0)-MATCH($J$1,[4]characters!$1:$1,0)+1),MATCH(M$1,[4]characters!$1:$1,0)-MATCH($J$1,[4]characters!$1:$1,0)+1,FALSE)</f>
        <v>PremiumW</v>
      </c>
      <c r="N206" s="22" t="str">
        <f ca="1">VLOOKUP($J206,OFFSET([4]characters!$A$1,0,0,COUNTA([4]characters!$A:$A),MATCH(N$1,[4]characters!$1:$1,0)-MATCH($J$1,[4]characters!$1:$1,0)+2),MATCH(N$1,[4]characters!$1:$1,0)-MATCH($J$1,[4]characters!$1:$1,0)+2,FALSE)</f>
        <v>ヒューマン</v>
      </c>
      <c r="O206" s="5">
        <f ca="1">VLOOKUP($J206,OFFSET([3]enemies!$A$1,0,0,COUNTA([3]enemies!$A:$A),MATCH(O$1,[3]enemies!$1:$1,0)-MATCH($J$1,[3]enemies!$1:$1,0)+1),MATCH(O$1,[3]enemies!$1:$1,0)-MATCH($J$1,[3]enemies!$1:$1,0)+1,FALSE)</f>
        <v>30</v>
      </c>
      <c r="P206" s="46">
        <v>63</v>
      </c>
      <c r="Q206" s="43">
        <v>1.5</v>
      </c>
      <c r="R206" s="43">
        <v>1</v>
      </c>
      <c r="S206" s="6">
        <v>0</v>
      </c>
      <c r="T206" s="5" t="str">
        <f ca="1">VLOOKUP($U206,OFFSET([5]enemy_skill_sets!$B$1,0,0,COUNTA([5]enemy_skill_sets!$B:$B),MATCH(K$1,[5]enemy_skill_sets!$1:$1,0)-MATCH($U$1,[5]enemy_skill_sets!$1:$1,0)+2),MATCH(K$1,[5]enemy_skill_sets!$1:$1,0)-MATCH($U$1,[5]enemy_skill_sets!$1:$1,0)+2,FALSE)</f>
        <v>2回連続攻撃</v>
      </c>
      <c r="U206" s="51">
        <v>12702</v>
      </c>
      <c r="V206" s="7">
        <v>1</v>
      </c>
      <c r="W206" s="7">
        <v>100</v>
      </c>
      <c r="X206" s="7">
        <v>1</v>
      </c>
      <c r="Y206" s="20">
        <f ca="1">VLOOKUP($J206,OFFSET([3]enemies!$A$1,0,0,COUNTA([3]enemies!$A:$A),MATCH(Y$1,[3]enemies!$1:$1,0)-MATCH($J$1,[3]enemies!$1:$1,0)+1),MATCH(Y$1,[3]enemies!$1:$1,0)-MATCH($J$1,[3]enemies!$1:$1,0)+1,FALSE)</f>
        <v>1</v>
      </c>
      <c r="Z206" s="31">
        <v>126</v>
      </c>
      <c r="AA206" s="5" t="str">
        <f ca="1">IFERROR(VLOOKUP($Z206,OFFSET([4]characters!$A$1,0,0,COUNTA([4]characters!$A:$A),MATCH(AA$1,[4]characters!$1:$1,0)-MATCH("character_id",[4]characters!$1:$1,0)+1),MATCH(AA$1,[4]characters!$1:$1,0)-MATCH("character_id",[4]characters!$1:$1,0)+1,FALSE),"")</f>
        <v>骨器使い ユノ</v>
      </c>
      <c r="AB206" s="5">
        <f ca="1">IFERROR(VLOOKUP($Z206,OFFSET([4]characters!$A$1,0,0,COUNTA([4]characters!$A:$A),MATCH(AB$1,[4]characters!$1:$1,0)-MATCH("character_id",[4]characters!$1:$1,0)+1),MATCH(AB$1,[4]characters!$1:$1,0)-MATCH("character_id",[4]characters!$1:$1,0)+1,FALSE),"")</f>
        <v>3</v>
      </c>
      <c r="AC206" s="5" t="str">
        <f ca="1">IFERROR(VLOOKUP($Z206,OFFSET([4]characters!$A$1,0,0,COUNTA([4]characters!$A:$A),MATCH(AC$1,[4]characters!$1:$1,0)-MATCH("character_id",[4]characters!$1:$1,0)+1),MATCH(AC$1,[4]characters!$1:$1,0)-MATCH("character_id",[4]characters!$1:$1,0)+1,FALSE),"")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206" s="8">
        <v>1</v>
      </c>
      <c r="AE206" s="28">
        <f t="shared" ca="1" si="211"/>
        <v>3</v>
      </c>
      <c r="AF206" s="7">
        <v>0</v>
      </c>
      <c r="AG206" s="8">
        <v>0</v>
      </c>
      <c r="AH206" s="8">
        <v>0</v>
      </c>
      <c r="AI206" s="8">
        <v>0</v>
      </c>
      <c r="AJ206" s="8">
        <v>0</v>
      </c>
      <c r="AK206" s="8">
        <v>1</v>
      </c>
      <c r="AL206" s="8">
        <v>1</v>
      </c>
    </row>
    <row r="207" spans="1:38" ht="21" customHeight="1" x14ac:dyDescent="0.15">
      <c r="A207" s="17" t="str">
        <f t="shared" ca="1" si="208"/>
        <v>13101_21-5/49&lt;lv63&gt;s2</v>
      </c>
      <c r="B207" s="26">
        <v>13101</v>
      </c>
      <c r="C207" s="25">
        <v>21</v>
      </c>
      <c r="D207" s="2" t="str">
        <f t="shared" si="209"/>
        <v>13101_21</v>
      </c>
      <c r="E207" s="5" t="str">
        <f ca="1">VLOOKUP($B207,OFFSET([2]quests!$A$1,0,0,COUNTA([2]quests!$A:$A),MATCH(E$1,[2]quests!$1:$1,0)-MATCH($B$1,[2]quests!$1:$1,0)+1),MATCH(E$1,[2]quests!$1:$1,0)-MATCH($B$1,[2]quests!$1:$1,0)+1,FALSE)</f>
        <v>チャレンジタワー</v>
      </c>
      <c r="F207" s="5" t="e">
        <f ca="1">VLOOKUP($D207,OFFSET([2]stages!$A$1,0,0,COUNTA([2]stages!$A:$A),MATCH(F$1,[2]stages!$1:$1,0)-MATCH($D$1,[2]stages!$1:$1,0)+1),MATCH(F$1,[2]stages!$1:$1,0)-MATCH($D$1,[2]stages!$1:$1,0)+1,FALSE)</f>
        <v>#N/A</v>
      </c>
      <c r="G207" s="55">
        <v>5</v>
      </c>
      <c r="H207" s="16" t="str">
        <f t="shared" si="210"/>
        <v>13101_21-5</v>
      </c>
      <c r="I207" s="39" t="s">
        <v>245</v>
      </c>
      <c r="J207" s="31">
        <v>49</v>
      </c>
      <c r="K207" s="20" t="str">
        <f ca="1">VLOOKUP($J207,OFFSET([3]enemies!$A$1,0,0,COUNTA([3]enemies!$A:$A),MATCH(K$1,[3]enemies!$1:$1,0)-MATCH($J$1,[3]enemies!$1:$1,0)+1),MATCH(K$1,[3]enemies!$1:$1,0)-MATCH($J$1,[3]enemies!$1:$1,0)+1,FALSE)</f>
        <v>ヨシタカ</v>
      </c>
      <c r="L207" s="23" t="str">
        <f ca="1">VLOOKUP($J207,OFFSET([3]enemies!$A$1,0,0,COUNTA([3]enemies!$A:$A),MATCH(L$1,[3]enemies!$1:$1,0)-MATCH($J$1,[3]enemies!$1:$1,0)+1),MATCH(L$1,[3]enemies!$1:$1,0)-MATCH($J$1,[3]enemies!$1:$1,0)+1,FALSE)</f>
        <v>red</v>
      </c>
      <c r="M207" s="23" t="str">
        <f ca="1">VLOOKUP($J207,OFFSET([4]characters!$A$1,0,0,COUNTA([4]characters!$A:$A),MATCH(M$1,[4]characters!$1:$1,0)-MATCH($J$1,[4]characters!$1:$1,0)+1),MATCH(M$1,[4]characters!$1:$1,0)-MATCH($J$1,[4]characters!$1:$1,0)+1,FALSE)</f>
        <v>Drop1N</v>
      </c>
      <c r="N207" s="22" t="str">
        <f ca="1">VLOOKUP($J207,OFFSET([4]characters!$A$1,0,0,COUNTA([4]characters!$A:$A),MATCH(N$1,[4]characters!$1:$1,0)-MATCH($J$1,[4]characters!$1:$1,0)+2),MATCH(N$1,[4]characters!$1:$1,0)-MATCH($J$1,[4]characters!$1:$1,0)+2,FALSE)</f>
        <v>ヒューマン</v>
      </c>
      <c r="O207" s="5">
        <f ca="1">VLOOKUP($J207,OFFSET([3]enemies!$A$1,0,0,COUNTA([3]enemies!$A:$A),MATCH(O$1,[3]enemies!$1:$1,0)-MATCH($J$1,[3]enemies!$1:$1,0)+1),MATCH(O$1,[3]enemies!$1:$1,0)-MATCH($J$1,[3]enemies!$1:$1,0)+1,FALSE)</f>
        <v>15</v>
      </c>
      <c r="P207" s="46">
        <v>63</v>
      </c>
      <c r="Q207" s="43">
        <v>1.2</v>
      </c>
      <c r="R207" s="43">
        <v>1</v>
      </c>
      <c r="S207" s="6">
        <v>0</v>
      </c>
      <c r="T207" s="5" t="str">
        <f ca="1">VLOOKUP($U207,OFFSET([5]enemy_skill_sets!$B$1,0,0,COUNTA([5]enemy_skill_sets!$B:$B),MATCH(K$1,[5]enemy_skill_sets!$1:$1,0)-MATCH($U$1,[5]enemy_skill_sets!$1:$1,0)+2),MATCH(K$1,[5]enemy_skill_sets!$1:$1,0)-MATCH($U$1,[5]enemy_skill_sets!$1:$1,0)+2,FALSE)</f>
        <v>3ターンの間ダメージを受ける</v>
      </c>
      <c r="U207" s="5">
        <f ca="1">VLOOKUP($J207,OFFSET([3]enemies!$A$1,0,0,COUNTA([3]enemies!$A:$A),MATCH(U$1,[3]enemies!$1:$1,0)-MATCH($J$1,[3]enemies!$1:$1,0)+1),MATCH(U$1,[3]enemies!$1:$1,0)-MATCH($J$1,[3]enemies!$1:$1,0)+1,FALSE)</f>
        <v>49</v>
      </c>
      <c r="V207" s="7">
        <v>2</v>
      </c>
      <c r="W207" s="7">
        <v>100</v>
      </c>
      <c r="X207" s="7">
        <v>0</v>
      </c>
      <c r="Y207" s="20">
        <f ca="1">VLOOKUP($J207,OFFSET([3]enemies!$A$1,0,0,COUNTA([3]enemies!$A:$A),MATCH(Y$1,[3]enemies!$1:$1,0)-MATCH($J$1,[3]enemies!$1:$1,0)+1),MATCH(Y$1,[3]enemies!$1:$1,0)-MATCH($J$1,[3]enemies!$1:$1,0)+1,FALSE)</f>
        <v>2</v>
      </c>
      <c r="Z207" s="31">
        <v>49</v>
      </c>
      <c r="AA207" s="5" t="str">
        <f ca="1">IFERROR(VLOOKUP($Z207,OFFSET([4]characters!$A$1,0,0,COUNTA([4]characters!$A:$A),MATCH(AA$1,[4]characters!$1:$1,0)-MATCH("character_id",[4]characters!$1:$1,0)+1),MATCH(AA$1,[4]characters!$1:$1,0)-MATCH("character_id",[4]characters!$1:$1,0)+1,FALSE),"")</f>
        <v>ヨシタカ</v>
      </c>
      <c r="AB207" s="5">
        <f ca="1">IFERROR(VLOOKUP($Z207,OFFSET([4]characters!$A$1,0,0,COUNTA([4]characters!$A:$A),MATCH(AB$1,[4]characters!$1:$1,0)-MATCH("character_id",[4]characters!$1:$1,0)+1),MATCH(AB$1,[4]characters!$1:$1,0)-MATCH("character_id",[4]characters!$1:$1,0)+1,FALSE),"")</f>
        <v>2</v>
      </c>
      <c r="AC207" s="5" t="str">
        <f ca="1">IFERROR(VLOOKUP($Z207,OFFSET([4]characters!$A$1,0,0,COUNTA([4]characters!$A:$A),MATCH(AC$1,[4]characters!$1:$1,0)-MATCH("character_id",[4]characters!$1:$1,0)+1),MATCH(AC$1,[4]characters!$1:$1,0)-MATCH("character_id",[4]characters!$1:$1,0)+1,FALSE),"")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07" s="8">
        <v>1</v>
      </c>
      <c r="AE207" s="28">
        <f t="shared" ca="1" si="211"/>
        <v>2</v>
      </c>
      <c r="AF207" s="7">
        <v>0</v>
      </c>
      <c r="AG207" s="8">
        <v>0</v>
      </c>
      <c r="AH207" s="8">
        <v>0</v>
      </c>
      <c r="AI207" s="8">
        <v>0</v>
      </c>
      <c r="AJ207" s="8">
        <v>0</v>
      </c>
      <c r="AK207" s="8">
        <v>1</v>
      </c>
      <c r="AL207" s="8">
        <v>1</v>
      </c>
    </row>
    <row r="208" spans="1:38" ht="21" customHeight="1" x14ac:dyDescent="0.15">
      <c r="A208" s="17" t="str">
        <f t="shared" ref="A208:A217" ca="1" si="220">B208&amp;"_"&amp;C208&amp;"-"&amp;G208&amp;"/"&amp;J208&amp;"&lt;lv"&amp;P208&amp;"&gt;s"&amp;Y208</f>
        <v>13101_22-1/11&lt;lv60&gt;s3</v>
      </c>
      <c r="B208" s="26">
        <v>13101</v>
      </c>
      <c r="C208" s="25">
        <v>22</v>
      </c>
      <c r="D208" s="2" t="str">
        <f t="shared" ref="D208:D217" si="221">B208&amp;"_"&amp;C208</f>
        <v>13101_22</v>
      </c>
      <c r="E208" s="5" t="str">
        <f ca="1">VLOOKUP($B208,OFFSET([2]quests!$A$1,0,0,COUNTA([2]quests!$A:$A),MATCH(E$1,[2]quests!$1:$1,0)-MATCH($B$1,[2]quests!$1:$1,0)+1),MATCH(E$1,[2]quests!$1:$1,0)-MATCH($B$1,[2]quests!$1:$1,0)+1,FALSE)</f>
        <v>チャレンジタワー</v>
      </c>
      <c r="F208" s="5" t="e">
        <f ca="1">VLOOKUP($D208,OFFSET([2]stages!$A$1,0,0,COUNTA([2]stages!$A:$A),MATCH(F$1,[2]stages!$1:$1,0)-MATCH($D$1,[2]stages!$1:$1,0)+1),MATCH(F$1,[2]stages!$1:$1,0)-MATCH($D$1,[2]stages!$1:$1,0)+1,FALSE)</f>
        <v>#N/A</v>
      </c>
      <c r="G208" s="33">
        <v>1</v>
      </c>
      <c r="H208" s="16" t="str">
        <f t="shared" ref="H208:H217" si="222">B208&amp;"_"&amp;C208&amp;"-"&amp;G208</f>
        <v>13101_22-1</v>
      </c>
      <c r="I208" s="39" t="s">
        <v>245</v>
      </c>
      <c r="J208" s="31">
        <v>11</v>
      </c>
      <c r="K208" s="20" t="str">
        <f ca="1">VLOOKUP($J208,OFFSET([3]enemies!$A$1,0,0,COUNTA([3]enemies!$A:$A),MATCH(K$1,[3]enemies!$1:$1,0)-MATCH($J$1,[3]enemies!$1:$1,0)+1),MATCH(K$1,[3]enemies!$1:$1,0)-MATCH($J$1,[3]enemies!$1:$1,0)+1,FALSE)</f>
        <v>マグリット</v>
      </c>
      <c r="L208" s="23" t="str">
        <f ca="1">VLOOKUP($J208,OFFSET([3]enemies!$A$1,0,0,COUNTA([3]enemies!$A:$A),MATCH(L$1,[3]enemies!$1:$1,0)-MATCH($J$1,[3]enemies!$1:$1,0)+1),MATCH(L$1,[3]enemies!$1:$1,0)-MATCH($J$1,[3]enemies!$1:$1,0)+1,FALSE)</f>
        <v>green</v>
      </c>
      <c r="M208" s="23" t="str">
        <f ca="1">VLOOKUP($J208,OFFSET([4]characters!$A$1,0,0,COUNTA([4]characters!$A:$A),MATCH(M$1,[4]characters!$1:$1,0)-MATCH($J$1,[4]characters!$1:$1,0)+1),MATCH(M$1,[4]characters!$1:$1,0)-MATCH($J$1,[4]characters!$1:$1,0)+1,FALSE)</f>
        <v>Drop1W</v>
      </c>
      <c r="N208" s="22" t="str">
        <f ca="1">VLOOKUP($J208,OFFSET([4]characters!$A$1,0,0,COUNTA([4]characters!$A:$A),MATCH(N$1,[4]characters!$1:$1,0)-MATCH($J$1,[4]characters!$1:$1,0)+2),MATCH(N$1,[4]characters!$1:$1,0)-MATCH($J$1,[4]characters!$1:$1,0)+2,FALSE)</f>
        <v>アニマル</v>
      </c>
      <c r="O208" s="5">
        <f ca="1">VLOOKUP($J208,OFFSET([3]enemies!$A$1,0,0,COUNTA([3]enemies!$A:$A),MATCH(O$1,[3]enemies!$1:$1,0)-MATCH($J$1,[3]enemies!$1:$1,0)+1),MATCH(O$1,[3]enemies!$1:$1,0)-MATCH($J$1,[3]enemies!$1:$1,0)+1,FALSE)</f>
        <v>15</v>
      </c>
      <c r="P208" s="46">
        <v>60</v>
      </c>
      <c r="Q208" s="43">
        <v>1</v>
      </c>
      <c r="R208" s="43">
        <v>1</v>
      </c>
      <c r="S208" s="6">
        <v>0</v>
      </c>
      <c r="T208" s="5" t="str">
        <f ca="1">VLOOKUP($U208,OFFSET([5]enemy_skill_sets!$B$1,0,0,COUNTA([5]enemy_skill_sets!$B:$B),MATCH(K$1,[5]enemy_skill_sets!$1:$1,0)-MATCH($U$1,[5]enemy_skill_sets!$1:$1,0)+2),MATCH(K$1,[5]enemy_skill_sets!$1:$1,0)-MATCH($U$1,[5]enemy_skill_sets!$1:$1,0)+2,FALSE)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08" s="5">
        <f ca="1">VLOOKUP($J208,OFFSET([3]enemies!$A$1,0,0,COUNTA([3]enemies!$A:$A),MATCH(U$1,[3]enemies!$1:$1,0)-MATCH($J$1,[3]enemies!$1:$1,0)+1),MATCH(U$1,[3]enemies!$1:$1,0)-MATCH($J$1,[3]enemies!$1:$1,0)+1,FALSE)</f>
        <v>0</v>
      </c>
      <c r="V208" s="7">
        <v>1</v>
      </c>
      <c r="W208" s="7">
        <v>100</v>
      </c>
      <c r="X208" s="7">
        <v>0</v>
      </c>
      <c r="Y208" s="20">
        <f ca="1">VLOOKUP($J208,OFFSET([3]enemies!$A$1,0,0,COUNTA([3]enemies!$A:$A),MATCH(Y$1,[3]enemies!$1:$1,0)-MATCH($J$1,[3]enemies!$1:$1,0)+1),MATCH(Y$1,[3]enemies!$1:$1,0)-MATCH($J$1,[3]enemies!$1:$1,0)+1,FALSE)</f>
        <v>3</v>
      </c>
      <c r="Z208" s="31">
        <v>11</v>
      </c>
      <c r="AA208" s="5" t="str">
        <f ca="1">IFERROR(VLOOKUP($Z208,OFFSET([4]characters!$A$1,0,0,COUNTA([4]characters!$A:$A),MATCH(AA$1,[4]characters!$1:$1,0)-MATCH("character_id",[4]characters!$1:$1,0)+1),MATCH(AA$1,[4]characters!$1:$1,0)-MATCH("character_id",[4]characters!$1:$1,0)+1,FALSE),"")</f>
        <v>マグリット</v>
      </c>
      <c r="AB208" s="5">
        <f ca="1">IFERROR(VLOOKUP($Z208,OFFSET([4]characters!$A$1,0,0,COUNTA([4]characters!$A:$A),MATCH(AB$1,[4]characters!$1:$1,0)-MATCH("character_id",[4]characters!$1:$1,0)+1),MATCH(AB$1,[4]characters!$1:$1,0)-MATCH("character_id",[4]characters!$1:$1,0)+1,FALSE),"")</f>
        <v>1</v>
      </c>
      <c r="AC208" s="5" t="str">
        <f ca="1">IFERROR(VLOOKUP($Z208,OFFSET([4]characters!$A$1,0,0,COUNTA([4]characters!$A:$A),MATCH(AC$1,[4]characters!$1:$1,0)-MATCH("character_id",[4]characters!$1:$1,0)+1),MATCH(AC$1,[4]characters!$1:$1,0)-MATCH("character_id",[4]characters!$1:$1,0)+1,FALSE),"")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08" s="8">
        <v>1</v>
      </c>
      <c r="AE208" s="28">
        <f t="shared" ref="AE208:AE217" ca="1" si="223">AB208</f>
        <v>1</v>
      </c>
      <c r="AF208" s="7">
        <v>25</v>
      </c>
      <c r="AG208" s="8">
        <v>0</v>
      </c>
      <c r="AH208" s="8">
        <v>0</v>
      </c>
      <c r="AI208" s="8">
        <v>0</v>
      </c>
      <c r="AJ208" s="8">
        <v>0</v>
      </c>
      <c r="AK208" s="8">
        <v>1</v>
      </c>
      <c r="AL208" s="8">
        <v>1</v>
      </c>
    </row>
    <row r="209" spans="1:38" ht="21" customHeight="1" x14ac:dyDescent="0.15">
      <c r="A209" s="17" t="str">
        <f t="shared" ca="1" si="220"/>
        <v>13101_22-1/23&lt;lv60&gt;s4</v>
      </c>
      <c r="B209" s="26">
        <v>13101</v>
      </c>
      <c r="C209" s="25">
        <v>22</v>
      </c>
      <c r="D209" s="2" t="str">
        <f t="shared" si="221"/>
        <v>13101_22</v>
      </c>
      <c r="E209" s="5" t="str">
        <f ca="1">VLOOKUP($B209,OFFSET([2]quests!$A$1,0,0,COUNTA([2]quests!$A:$A),MATCH(E$1,[2]quests!$1:$1,0)-MATCH($B$1,[2]quests!$1:$1,0)+1),MATCH(E$1,[2]quests!$1:$1,0)-MATCH($B$1,[2]quests!$1:$1,0)+1,FALSE)</f>
        <v>チャレンジタワー</v>
      </c>
      <c r="F209" s="5" t="e">
        <f ca="1">VLOOKUP($D209,OFFSET([2]stages!$A$1,0,0,COUNTA([2]stages!$A:$A),MATCH(F$1,[2]stages!$1:$1,0)-MATCH($D$1,[2]stages!$1:$1,0)+1),MATCH(F$1,[2]stages!$1:$1,0)-MATCH($D$1,[2]stages!$1:$1,0)+1,FALSE)</f>
        <v>#N/A</v>
      </c>
      <c r="G209" s="33">
        <v>1</v>
      </c>
      <c r="H209" s="16" t="str">
        <f t="shared" si="222"/>
        <v>13101_22-1</v>
      </c>
      <c r="I209" s="39" t="s">
        <v>245</v>
      </c>
      <c r="J209" s="31">
        <v>23</v>
      </c>
      <c r="K209" s="20" t="str">
        <f ca="1">VLOOKUP($J209,OFFSET([3]enemies!$A$1,0,0,COUNTA([3]enemies!$A:$A),MATCH(K$1,[3]enemies!$1:$1,0)-MATCH($J$1,[3]enemies!$1:$1,0)+1),MATCH(K$1,[3]enemies!$1:$1,0)-MATCH($J$1,[3]enemies!$1:$1,0)+1,FALSE)</f>
        <v>ミール</v>
      </c>
      <c r="L209" s="23" t="str">
        <f ca="1">VLOOKUP($J209,OFFSET([3]enemies!$A$1,0,0,COUNTA([3]enemies!$A:$A),MATCH(L$1,[3]enemies!$1:$1,0)-MATCH($J$1,[3]enemies!$1:$1,0)+1),MATCH(L$1,[3]enemies!$1:$1,0)-MATCH($J$1,[3]enemies!$1:$1,0)+1,FALSE)</f>
        <v>green</v>
      </c>
      <c r="M209" s="23" t="str">
        <f ca="1">VLOOKUP($J209,OFFSET([4]characters!$A$1,0,0,COUNTA([4]characters!$A:$A),MATCH(M$1,[4]characters!$1:$1,0)-MATCH($J$1,[4]characters!$1:$1,0)+1),MATCH(M$1,[4]characters!$1:$1,0)-MATCH($J$1,[4]characters!$1:$1,0)+1,FALSE)</f>
        <v>Drop1N</v>
      </c>
      <c r="N209" s="22" t="str">
        <f ca="1">VLOOKUP($J209,OFFSET([4]characters!$A$1,0,0,COUNTA([4]characters!$A:$A),MATCH(N$1,[4]characters!$1:$1,0)-MATCH($J$1,[4]characters!$1:$1,0)+2),MATCH(N$1,[4]characters!$1:$1,0)-MATCH($J$1,[4]characters!$1:$1,0)+2,FALSE)</f>
        <v>アニマル</v>
      </c>
      <c r="O209" s="5">
        <f ca="1">VLOOKUP($J209,OFFSET([3]enemies!$A$1,0,0,COUNTA([3]enemies!$A:$A),MATCH(O$1,[3]enemies!$1:$1,0)-MATCH($J$1,[3]enemies!$1:$1,0)+1),MATCH(O$1,[3]enemies!$1:$1,0)-MATCH($J$1,[3]enemies!$1:$1,0)+1,FALSE)</f>
        <v>15</v>
      </c>
      <c r="P209" s="46">
        <v>60</v>
      </c>
      <c r="Q209" s="43">
        <v>1</v>
      </c>
      <c r="R209" s="43">
        <v>1</v>
      </c>
      <c r="S209" s="6">
        <v>0</v>
      </c>
      <c r="T209" s="5" t="str">
        <f ca="1">VLOOKUP($U209,OFFSET([5]enemy_skill_sets!$B$1,0,0,COUNTA([5]enemy_skill_sets!$B:$B),MATCH(K$1,[5]enemy_skill_sets!$1:$1,0)-MATCH($U$1,[5]enemy_skill_sets!$1:$1,0)+2),MATCH(K$1,[5]enemy_skill_sets!$1:$1,0)-MATCH($U$1,[5]enemy_skill_sets!$1:$1,0)+2,FALSE)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09" s="5">
        <f ca="1">VLOOKUP($J209,OFFSET([3]enemies!$A$1,0,0,COUNTA([3]enemies!$A:$A),MATCH(U$1,[3]enemies!$1:$1,0)-MATCH($J$1,[3]enemies!$1:$1,0)+1),MATCH(U$1,[3]enemies!$1:$1,0)-MATCH($J$1,[3]enemies!$1:$1,0)+1,FALSE)</f>
        <v>0</v>
      </c>
      <c r="V209" s="44">
        <v>0</v>
      </c>
      <c r="W209" s="7">
        <v>100</v>
      </c>
      <c r="X209" s="7">
        <v>0</v>
      </c>
      <c r="Y209" s="20">
        <f ca="1">VLOOKUP($J209,OFFSET([3]enemies!$A$1,0,0,COUNTA([3]enemies!$A:$A),MATCH(Y$1,[3]enemies!$1:$1,0)-MATCH($J$1,[3]enemies!$1:$1,0)+1),MATCH(Y$1,[3]enemies!$1:$1,0)-MATCH($J$1,[3]enemies!$1:$1,0)+1,FALSE)</f>
        <v>4</v>
      </c>
      <c r="Z209" s="31">
        <v>23</v>
      </c>
      <c r="AA209" s="5" t="str">
        <f ca="1">IFERROR(VLOOKUP($Z209,OFFSET([4]characters!$A$1,0,0,COUNTA([4]characters!$A:$A),MATCH(AA$1,[4]characters!$1:$1,0)-MATCH("character_id",[4]characters!$1:$1,0)+1),MATCH(AA$1,[4]characters!$1:$1,0)-MATCH("character_id",[4]characters!$1:$1,0)+1,FALSE),"")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209" s="5">
        <f ca="1">IFERROR(VLOOKUP($Z209,OFFSET([4]characters!$A$1,0,0,COUNTA([4]characters!$A:$A),MATCH(AB$1,[4]characters!$1:$1,0)-MATCH("character_id",[4]characters!$1:$1,0)+1),MATCH(AB$1,[4]characters!$1:$1,0)-MATCH("character_id",[4]characters!$1:$1,0)+1,FALSE),"")</f>
        <v>1</v>
      </c>
      <c r="AC209" s="5" t="str">
        <f ca="1">IFERROR(VLOOKUP($Z209,OFFSET([4]characters!$A$1,0,0,COUNTA([4]characters!$A:$A),MATCH(AC$1,[4]characters!$1:$1,0)-MATCH("character_id",[4]characters!$1:$1,0)+1),MATCH(AC$1,[4]characters!$1:$1,0)-MATCH("character_id",[4]characters!$1:$1,0)+1,FALSE),"")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09" s="8">
        <v>1</v>
      </c>
      <c r="AE209" s="28">
        <f t="shared" ca="1" si="223"/>
        <v>1</v>
      </c>
      <c r="AF209" s="7">
        <v>25</v>
      </c>
      <c r="AG209" s="8">
        <v>0</v>
      </c>
      <c r="AH209" s="8">
        <v>0</v>
      </c>
      <c r="AI209" s="8">
        <v>0</v>
      </c>
      <c r="AJ209" s="8">
        <v>0</v>
      </c>
      <c r="AK209" s="8">
        <v>1</v>
      </c>
      <c r="AL209" s="8">
        <v>1</v>
      </c>
    </row>
    <row r="210" spans="1:38" ht="21" customHeight="1" x14ac:dyDescent="0.15">
      <c r="A210" s="17" t="str">
        <f t="shared" ca="1" si="220"/>
        <v>13101_22-2/43&lt;lv60&gt;s2</v>
      </c>
      <c r="B210" s="26">
        <v>13101</v>
      </c>
      <c r="C210" s="25">
        <v>22</v>
      </c>
      <c r="D210" s="2" t="str">
        <f t="shared" si="221"/>
        <v>13101_22</v>
      </c>
      <c r="E210" s="5" t="str">
        <f ca="1">VLOOKUP($B210,OFFSET([2]quests!$A$1,0,0,COUNTA([2]quests!$A:$A),MATCH(E$1,[2]quests!$1:$1,0)-MATCH($B$1,[2]quests!$1:$1,0)+1),MATCH(E$1,[2]quests!$1:$1,0)-MATCH($B$1,[2]quests!$1:$1,0)+1,FALSE)</f>
        <v>チャレンジタワー</v>
      </c>
      <c r="F210" s="5" t="e">
        <f ca="1">VLOOKUP($D210,OFFSET([2]stages!$A$1,0,0,COUNTA([2]stages!$A:$A),MATCH(F$1,[2]stages!$1:$1,0)-MATCH($D$1,[2]stages!$1:$1,0)+1),MATCH(F$1,[2]stages!$1:$1,0)-MATCH($D$1,[2]stages!$1:$1,0)+1,FALSE)</f>
        <v>#N/A</v>
      </c>
      <c r="G210" s="33">
        <v>2</v>
      </c>
      <c r="H210" s="16" t="str">
        <f t="shared" si="222"/>
        <v>13101_22-2</v>
      </c>
      <c r="I210" s="39" t="s">
        <v>245</v>
      </c>
      <c r="J210" s="31">
        <v>43</v>
      </c>
      <c r="K210" s="20" t="str">
        <f ca="1">VLOOKUP($J210,OFFSET([3]enemies!$A$1,0,0,COUNTA([3]enemies!$A:$A),MATCH(K$1,[3]enemies!$1:$1,0)-MATCH($J$1,[3]enemies!$1:$1,0)+1),MATCH(K$1,[3]enemies!$1:$1,0)-MATCH($J$1,[3]enemies!$1:$1,0)+1,FALSE)</f>
        <v>ムゥ</v>
      </c>
      <c r="L210" s="23" t="str">
        <f ca="1">VLOOKUP($J210,OFFSET([3]enemies!$A$1,0,0,COUNTA([3]enemies!$A:$A),MATCH(L$1,[3]enemies!$1:$1,0)-MATCH($J$1,[3]enemies!$1:$1,0)+1),MATCH(L$1,[3]enemies!$1:$1,0)-MATCH($J$1,[3]enemies!$1:$1,0)+1,FALSE)</f>
        <v>green</v>
      </c>
      <c r="M210" s="23" t="str">
        <f ca="1">VLOOKUP($J210,OFFSET([4]characters!$A$1,0,0,COUNTA([4]characters!$A:$A),MATCH(M$1,[4]characters!$1:$1,0)-MATCH($J$1,[4]characters!$1:$1,0)+1),MATCH(M$1,[4]characters!$1:$1,0)-MATCH($J$1,[4]characters!$1:$1,0)+1,FALSE)</f>
        <v>Drop1N</v>
      </c>
      <c r="N210" s="22" t="str">
        <f ca="1">VLOOKUP($J210,OFFSET([4]characters!$A$1,0,0,COUNTA([4]characters!$A:$A),MATCH(N$1,[4]characters!$1:$1,0)-MATCH($J$1,[4]characters!$1:$1,0)+2),MATCH(N$1,[4]characters!$1:$1,0)-MATCH($J$1,[4]characters!$1:$1,0)+2,FALSE)</f>
        <v>ドラゴン</v>
      </c>
      <c r="O210" s="5">
        <f ca="1">VLOOKUP($J210,OFFSET([3]enemies!$A$1,0,0,COUNTA([3]enemies!$A:$A),MATCH(O$1,[3]enemies!$1:$1,0)-MATCH($J$1,[3]enemies!$1:$1,0)+1),MATCH(O$1,[3]enemies!$1:$1,0)-MATCH($J$1,[3]enemies!$1:$1,0)+1,FALSE)</f>
        <v>15</v>
      </c>
      <c r="P210" s="46">
        <v>60</v>
      </c>
      <c r="Q210" s="43">
        <v>1</v>
      </c>
      <c r="R210" s="43">
        <v>1</v>
      </c>
      <c r="S210" s="6">
        <v>0</v>
      </c>
      <c r="T210" s="5" t="str">
        <f ca="1">VLOOKUP($U210,OFFSET([5]enemy_skill_sets!$B$1,0,0,COUNTA([5]enemy_skill_sets!$B:$B),MATCH(K$1,[5]enemy_skill_sets!$1:$1,0)-MATCH($U$1,[5]enemy_skill_sets!$1:$1,0)+2),MATCH(K$1,[5]enemy_skill_sets!$1:$1,0)-MATCH($U$1,[5]enemy_skill_sets!$1:$1,0)+2,FALSE)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10" s="5">
        <f ca="1">VLOOKUP($J210,OFFSET([3]enemies!$A$1,0,0,COUNTA([3]enemies!$A:$A),MATCH(U$1,[3]enemies!$1:$1,0)-MATCH($J$1,[3]enemies!$1:$1,0)+1),MATCH(U$1,[3]enemies!$1:$1,0)-MATCH($J$1,[3]enemies!$1:$1,0)+1,FALSE)</f>
        <v>0</v>
      </c>
      <c r="V210" s="44">
        <v>0</v>
      </c>
      <c r="W210" s="7">
        <v>100</v>
      </c>
      <c r="X210" s="7">
        <v>0</v>
      </c>
      <c r="Y210" s="20">
        <f ca="1">VLOOKUP($J210,OFFSET([3]enemies!$A$1,0,0,COUNTA([3]enemies!$A:$A),MATCH(Y$1,[3]enemies!$1:$1,0)-MATCH($J$1,[3]enemies!$1:$1,0)+1),MATCH(Y$1,[3]enemies!$1:$1,0)-MATCH($J$1,[3]enemies!$1:$1,0)+1,FALSE)</f>
        <v>2</v>
      </c>
      <c r="Z210" s="31">
        <v>43</v>
      </c>
      <c r="AA210" s="5" t="str">
        <f ca="1">IFERROR(VLOOKUP($Z210,OFFSET([4]characters!$A$1,0,0,COUNTA([4]characters!$A:$A),MATCH(AA$1,[4]characters!$1:$1,0)-MATCH("character_id",[4]characters!$1:$1,0)+1),MATCH(AA$1,[4]characters!$1:$1,0)-MATCH("character_id",[4]characters!$1:$1,0)+1,FALSE),"")</f>
        <v>ムゥ</v>
      </c>
      <c r="AB210" s="5">
        <f ca="1">IFERROR(VLOOKUP($Z210,OFFSET([4]characters!$A$1,0,0,COUNTA([4]characters!$A:$A),MATCH(AB$1,[4]characters!$1:$1,0)-MATCH("character_id",[4]characters!$1:$1,0)+1),MATCH(AB$1,[4]characters!$1:$1,0)-MATCH("character_id",[4]characters!$1:$1,0)+1,FALSE),"")</f>
        <v>2</v>
      </c>
      <c r="AC210" s="5" t="str">
        <f ca="1">IFERROR(VLOOKUP($Z210,OFFSET([4]characters!$A$1,0,0,COUNTA([4]characters!$A:$A),MATCH(AC$1,[4]characters!$1:$1,0)-MATCH("character_id",[4]characters!$1:$1,0)+1),MATCH(AC$1,[4]characters!$1:$1,0)-MATCH("character_id",[4]characters!$1:$1,0)+1,FALSE),"")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10" s="8">
        <v>1</v>
      </c>
      <c r="AE210" s="28">
        <f t="shared" ca="1" si="223"/>
        <v>2</v>
      </c>
      <c r="AF210" s="7">
        <v>25</v>
      </c>
      <c r="AG210" s="8">
        <v>0</v>
      </c>
      <c r="AH210" s="8">
        <v>0</v>
      </c>
      <c r="AI210" s="8">
        <v>0</v>
      </c>
      <c r="AJ210" s="8">
        <v>0</v>
      </c>
      <c r="AK210" s="8">
        <v>1</v>
      </c>
      <c r="AL210" s="8">
        <v>1</v>
      </c>
    </row>
    <row r="211" spans="1:38" ht="21" customHeight="1" x14ac:dyDescent="0.15">
      <c r="A211" s="17" t="str">
        <f t="shared" ref="A211" ca="1" si="224">B211&amp;"_"&amp;C211&amp;"-"&amp;G211&amp;"/"&amp;J211&amp;"&lt;lv"&amp;P211&amp;"&gt;s"&amp;Y211</f>
        <v>13101_22-2/28&lt;lv60&gt;s1</v>
      </c>
      <c r="B211" s="26">
        <v>13101</v>
      </c>
      <c r="C211" s="25">
        <v>22</v>
      </c>
      <c r="D211" s="2" t="str">
        <f t="shared" ref="D211" si="225">B211&amp;"_"&amp;C211</f>
        <v>13101_22</v>
      </c>
      <c r="E211" s="5" t="str">
        <f ca="1">VLOOKUP($B211,OFFSET([2]quests!$A$1,0,0,COUNTA([2]quests!$A:$A),MATCH(E$1,[2]quests!$1:$1,0)-MATCH($B$1,[2]quests!$1:$1,0)+1),MATCH(E$1,[2]quests!$1:$1,0)-MATCH($B$1,[2]quests!$1:$1,0)+1,FALSE)</f>
        <v>チャレンジタワー</v>
      </c>
      <c r="F211" s="5" t="e">
        <f ca="1">VLOOKUP($D211,OFFSET([2]stages!$A$1,0,0,COUNTA([2]stages!$A:$A),MATCH(F$1,[2]stages!$1:$1,0)-MATCH($D$1,[2]stages!$1:$1,0)+1),MATCH(F$1,[2]stages!$1:$1,0)-MATCH($D$1,[2]stages!$1:$1,0)+1,FALSE)</f>
        <v>#N/A</v>
      </c>
      <c r="G211" s="33">
        <v>2</v>
      </c>
      <c r="H211" s="16" t="str">
        <f t="shared" ref="H211" si="226">B211&amp;"_"&amp;C211&amp;"-"&amp;G211</f>
        <v>13101_22-2</v>
      </c>
      <c r="I211" s="39" t="s">
        <v>245</v>
      </c>
      <c r="J211" s="31">
        <v>28</v>
      </c>
      <c r="K211" s="20" t="str">
        <f ca="1">VLOOKUP($J211,OFFSET([3]enemies!$A$1,0,0,COUNTA([3]enemies!$A:$A),MATCH(K$1,[3]enemies!$1:$1,0)-MATCH($J$1,[3]enemies!$1:$1,0)+1),MATCH(K$1,[3]enemies!$1:$1,0)-MATCH($J$1,[3]enemies!$1:$1,0)+1,FALSE)</f>
        <v>現場急行 パトラインカスタム</v>
      </c>
      <c r="L211" s="23" t="str">
        <f ca="1">VLOOKUP($J211,OFFSET([3]enemies!$A$1,0,0,COUNTA([3]enemies!$A:$A),MATCH(L$1,[3]enemies!$1:$1,0)-MATCH($J$1,[3]enemies!$1:$1,0)+1),MATCH(L$1,[3]enemies!$1:$1,0)-MATCH($J$1,[3]enemies!$1:$1,0)+1,FALSE)</f>
        <v>green</v>
      </c>
      <c r="M211" s="23" t="str">
        <f ca="1">VLOOKUP($J211,OFFSET([4]characters!$A$1,0,0,COUNTA([4]characters!$A:$A),MATCH(M$1,[4]characters!$1:$1,0)-MATCH($J$1,[4]characters!$1:$1,0)+1),MATCH(M$1,[4]characters!$1:$1,0)-MATCH($J$1,[4]characters!$1:$1,0)+1,FALSE)</f>
        <v>Drop1N</v>
      </c>
      <c r="N211" s="22" t="str">
        <f ca="1">VLOOKUP($J211,OFFSET([4]characters!$A$1,0,0,COUNTA([4]characters!$A:$A),MATCH(N$1,[4]characters!$1:$1,0)-MATCH($J$1,[4]characters!$1:$1,0)+2),MATCH(N$1,[4]characters!$1:$1,0)-MATCH($J$1,[4]characters!$1:$1,0)+2,FALSE)</f>
        <v>マシン</v>
      </c>
      <c r="O211" s="5">
        <f ca="1">VLOOKUP($J211,OFFSET([3]enemies!$A$1,0,0,COUNTA([3]enemies!$A:$A),MATCH(O$1,[3]enemies!$1:$1,0)-MATCH($J$1,[3]enemies!$1:$1,0)+1),MATCH(O$1,[3]enemies!$1:$1,0)-MATCH($J$1,[3]enemies!$1:$1,0)+1,FALSE)</f>
        <v>15</v>
      </c>
      <c r="P211" s="46">
        <v>60</v>
      </c>
      <c r="Q211" s="43">
        <v>1</v>
      </c>
      <c r="R211" s="43">
        <v>1</v>
      </c>
      <c r="S211" s="6">
        <v>0</v>
      </c>
      <c r="T211" s="5" t="str">
        <f ca="1">VLOOKUP($U211,OFFSET([5]enemy_skill_sets!$B$1,0,0,COUNTA([5]enemy_skill_sets!$B:$B),MATCH(K$1,[5]enemy_skill_sets!$1:$1,0)-MATCH($U$1,[5]enemy_skill_sets!$1:$1,0)+2),MATCH(K$1,[5]enemy_skill_sets!$1:$1,0)-MATCH($U$1,[5]enemy_skill_sets!$1:$1,0)+2,FALSE)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211" s="5">
        <f ca="1">VLOOKUP($J211,OFFSET([3]enemies!$A$1,0,0,COUNTA([3]enemies!$A:$A),MATCH(U$1,[3]enemies!$1:$1,0)-MATCH($J$1,[3]enemies!$1:$1,0)+1),MATCH(U$1,[3]enemies!$1:$1,0)-MATCH($J$1,[3]enemies!$1:$1,0)+1,FALSE)</f>
        <v>28</v>
      </c>
      <c r="V211" s="44">
        <v>0</v>
      </c>
      <c r="W211" s="7">
        <v>100</v>
      </c>
      <c r="X211" s="7">
        <v>0</v>
      </c>
      <c r="Y211" s="20">
        <f ca="1">VLOOKUP($J211,OFFSET([3]enemies!$A$1,0,0,COUNTA([3]enemies!$A:$A),MATCH(Y$1,[3]enemies!$1:$1,0)-MATCH($J$1,[3]enemies!$1:$1,0)+1),MATCH(Y$1,[3]enemies!$1:$1,0)-MATCH($J$1,[3]enemies!$1:$1,0)+1,FALSE)</f>
        <v>1</v>
      </c>
      <c r="Z211" s="31">
        <v>27</v>
      </c>
      <c r="AA211" s="5" t="str">
        <f ca="1">IFERROR(VLOOKUP($Z211,OFFSET([4]characters!$A$1,0,0,COUNTA([4]characters!$A:$A),MATCH(AA$1,[4]characters!$1:$1,0)-MATCH("character_id",[4]characters!$1:$1,0)+1),MATCH(AA$1,[4]characters!$1:$1,0)-MATCH("character_id",[4]characters!$1:$1,0)+1,FALSE),"")</f>
        <v>パトライン</v>
      </c>
      <c r="AB211" s="5">
        <f ca="1">IFERROR(VLOOKUP($Z211,OFFSET([4]characters!$A$1,0,0,COUNTA([4]characters!$A:$A),MATCH(AB$1,[4]characters!$1:$1,0)-MATCH("character_id",[4]characters!$1:$1,0)+1),MATCH(AB$1,[4]characters!$1:$1,0)-MATCH("character_id",[4]characters!$1:$1,0)+1,FALSE),"")</f>
        <v>1</v>
      </c>
      <c r="AC211" s="5" t="str">
        <f ca="1">IFERROR(VLOOKUP($Z211,OFFSET([4]characters!$A$1,0,0,COUNTA([4]characters!$A:$A),MATCH(AC$1,[4]characters!$1:$1,0)-MATCH("character_id",[4]characters!$1:$1,0)+1),MATCH(AC$1,[4]characters!$1:$1,0)-MATCH("character_id",[4]characters!$1:$1,0)+1,FALSE),"")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11" s="8">
        <v>1</v>
      </c>
      <c r="AE211" s="28">
        <f t="shared" ref="AE211" ca="1" si="227">AB211</f>
        <v>1</v>
      </c>
      <c r="AF211" s="7">
        <v>25</v>
      </c>
      <c r="AG211" s="8">
        <v>0</v>
      </c>
      <c r="AH211" s="8">
        <v>0</v>
      </c>
      <c r="AI211" s="8">
        <v>0</v>
      </c>
      <c r="AJ211" s="8">
        <v>0</v>
      </c>
      <c r="AK211" s="8">
        <v>1</v>
      </c>
      <c r="AL211" s="8">
        <v>1</v>
      </c>
    </row>
    <row r="212" spans="1:38" ht="21" customHeight="1" x14ac:dyDescent="0.15">
      <c r="A212" s="17" t="str">
        <f t="shared" ca="1" si="220"/>
        <v>13101_22-3/144&lt;lv63&gt;s2</v>
      </c>
      <c r="B212" s="26">
        <v>13101</v>
      </c>
      <c r="C212" s="25">
        <v>22</v>
      </c>
      <c r="D212" s="2" t="str">
        <f t="shared" si="221"/>
        <v>13101_22</v>
      </c>
      <c r="E212" s="5" t="str">
        <f ca="1">VLOOKUP($B212,OFFSET([2]quests!$A$1,0,0,COUNTA([2]quests!$A:$A),MATCH(E$1,[2]quests!$1:$1,0)-MATCH($B$1,[2]quests!$1:$1,0)+1),MATCH(E$1,[2]quests!$1:$1,0)-MATCH($B$1,[2]quests!$1:$1,0)+1,FALSE)</f>
        <v>チャレンジタワー</v>
      </c>
      <c r="F212" s="5" t="e">
        <f ca="1">VLOOKUP($D212,OFFSET([2]stages!$A$1,0,0,COUNTA([2]stages!$A:$A),MATCH(F$1,[2]stages!$1:$1,0)-MATCH($D$1,[2]stages!$1:$1,0)+1),MATCH(F$1,[2]stages!$1:$1,0)-MATCH($D$1,[2]stages!$1:$1,0)+1,FALSE)</f>
        <v>#N/A</v>
      </c>
      <c r="G212" s="58">
        <v>3</v>
      </c>
      <c r="H212" s="16" t="str">
        <f t="shared" si="222"/>
        <v>13101_22-3</v>
      </c>
      <c r="I212" s="39" t="s">
        <v>245</v>
      </c>
      <c r="J212" s="31">
        <v>144</v>
      </c>
      <c r="K212" s="20" t="str">
        <f ca="1">VLOOKUP($J212,OFFSET([3]enemies!$A$1,0,0,COUNTA([3]enemies!$A:$A),MATCH(K$1,[3]enemies!$1:$1,0)-MATCH($J$1,[3]enemies!$1:$1,0)+1),MATCH(K$1,[3]enemies!$1:$1,0)-MATCH($J$1,[3]enemies!$1:$1,0)+1,FALSE)</f>
        <v>かぐや</v>
      </c>
      <c r="L212" s="23" t="str">
        <f ca="1">VLOOKUP($J212,OFFSET([3]enemies!$A$1,0,0,COUNTA([3]enemies!$A:$A),MATCH(L$1,[3]enemies!$1:$1,0)-MATCH($J$1,[3]enemies!$1:$1,0)+1),MATCH(L$1,[3]enemies!$1:$1,0)-MATCH($J$1,[3]enemies!$1:$1,0)+1,FALSE)</f>
        <v>green</v>
      </c>
      <c r="M212" s="23" t="str">
        <f ca="1">VLOOKUP($J212,OFFSET([4]characters!$A$1,0,0,COUNTA([4]characters!$A:$A),MATCH(M$1,[4]characters!$1:$1,0)-MATCH($J$1,[4]characters!$1:$1,0)+1),MATCH(M$1,[4]characters!$1:$1,0)-MATCH($J$1,[4]characters!$1:$1,0)+1,FALSE)</f>
        <v>PremiumW</v>
      </c>
      <c r="N212" s="22" t="str">
        <f ca="1">VLOOKUP($J212,OFFSET([4]characters!$A$1,0,0,COUNTA([4]characters!$A:$A),MATCH(N$1,[4]characters!$1:$1,0)-MATCH($J$1,[4]characters!$1:$1,0)+2),MATCH(N$1,[4]characters!$1:$1,0)-MATCH($J$1,[4]characters!$1:$1,0)+2,FALSE)</f>
        <v>ヒューマン</v>
      </c>
      <c r="O212" s="5">
        <f ca="1">VLOOKUP($J212,OFFSET([3]enemies!$A$1,0,0,COUNTA([3]enemies!$A:$A),MATCH(O$1,[3]enemies!$1:$1,0)-MATCH($J$1,[3]enemies!$1:$1,0)+1),MATCH(O$1,[3]enemies!$1:$1,0)-MATCH($J$1,[3]enemies!$1:$1,0)+1,FALSE)</f>
        <v>20</v>
      </c>
      <c r="P212" s="46">
        <v>63</v>
      </c>
      <c r="Q212" s="43">
        <v>1</v>
      </c>
      <c r="R212" s="43">
        <v>1.5</v>
      </c>
      <c r="S212" s="6">
        <v>0</v>
      </c>
      <c r="T212" s="5" t="str">
        <f ca="1">VLOOKUP($U212,OFFSET([5]enemy_skill_sets!$B$1,0,0,COUNTA([5]enemy_skill_sets!$B:$B),MATCH(K$1,[5]enemy_skill_sets!$1:$1,0)-MATCH($U$1,[5]enemy_skill_sets!$1:$1,0)+2),MATCH(K$1,[5]enemy_skill_sets!$1:$1,0)-MATCH($U$1,[5]enemy_skill_sets!$1:$1,0)+2,FALSE)</f>
        <v>解除するまで防御力超絶UP</v>
      </c>
      <c r="U212" s="51">
        <v>14401</v>
      </c>
      <c r="V212" s="44">
        <v>1</v>
      </c>
      <c r="W212" s="7">
        <v>100</v>
      </c>
      <c r="X212" s="7">
        <v>1</v>
      </c>
      <c r="Y212" s="20">
        <f ca="1">VLOOKUP($J212,OFFSET([3]enemies!$A$1,0,0,COUNTA([3]enemies!$A:$A),MATCH(Y$1,[3]enemies!$1:$1,0)-MATCH($J$1,[3]enemies!$1:$1,0)+1),MATCH(Y$1,[3]enemies!$1:$1,0)-MATCH($J$1,[3]enemies!$1:$1,0)+1,FALSE)</f>
        <v>2</v>
      </c>
      <c r="Z212" s="31">
        <v>144</v>
      </c>
      <c r="AA212" s="5" t="str">
        <f ca="1">IFERROR(VLOOKUP($Z212,OFFSET([4]characters!$A$1,0,0,COUNTA([4]characters!$A:$A),MATCH(AA$1,[4]characters!$1:$1,0)-MATCH("character_id",[4]characters!$1:$1,0)+1),MATCH(AA$1,[4]characters!$1:$1,0)-MATCH("character_id",[4]characters!$1:$1,0)+1,FALSE),"")</f>
        <v>かぐや</v>
      </c>
      <c r="AB212" s="5">
        <f ca="1">IFERROR(VLOOKUP($Z212,OFFSET([4]characters!$A$1,0,0,COUNTA([4]characters!$A:$A),MATCH(AB$1,[4]characters!$1:$1,0)-MATCH("character_id",[4]characters!$1:$1,0)+1),MATCH(AB$1,[4]characters!$1:$1,0)-MATCH("character_id",[4]characters!$1:$1,0)+1,FALSE),"")</f>
        <v>3</v>
      </c>
      <c r="AC212" s="5" t="str">
        <f ca="1">IFERROR(VLOOKUP($Z212,OFFSET([4]characters!$A$1,0,0,COUNTA([4]characters!$A:$A),MATCH(AC$1,[4]characters!$1:$1,0)-MATCH("character_id",[4]characters!$1:$1,0)+1),MATCH(AC$1,[4]characters!$1:$1,0)-MATCH("character_id",[4]characters!$1:$1,0)+1,FALSE),"")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212" s="8">
        <v>1</v>
      </c>
      <c r="AE212" s="28">
        <f t="shared" ca="1" si="223"/>
        <v>3</v>
      </c>
      <c r="AF212" s="7">
        <v>0</v>
      </c>
      <c r="AG212" s="8">
        <v>0</v>
      </c>
      <c r="AH212" s="8">
        <v>0</v>
      </c>
      <c r="AI212" s="8">
        <v>0</v>
      </c>
      <c r="AJ212" s="8">
        <v>0</v>
      </c>
      <c r="AK212" s="8">
        <v>1</v>
      </c>
      <c r="AL212" s="8">
        <v>1</v>
      </c>
    </row>
    <row r="213" spans="1:38" ht="21" customHeight="1" x14ac:dyDescent="0.15">
      <c r="A213" s="17" t="str">
        <f t="shared" ref="A213" ca="1" si="228">B213&amp;"_"&amp;C213&amp;"-"&amp;G213&amp;"/"&amp;J213&amp;"&lt;lv"&amp;P213&amp;"&gt;s"&amp;Y213</f>
        <v>13101_22-3/24&lt;lv60&gt;s4</v>
      </c>
      <c r="B213" s="26">
        <v>13101</v>
      </c>
      <c r="C213" s="25">
        <v>22</v>
      </c>
      <c r="D213" s="2" t="str">
        <f t="shared" ref="D213" si="229">B213&amp;"_"&amp;C213</f>
        <v>13101_22</v>
      </c>
      <c r="E213" s="5" t="str">
        <f ca="1">VLOOKUP($B213,OFFSET([2]quests!$A$1,0,0,COUNTA([2]quests!$A:$A),MATCH(E$1,[2]quests!$1:$1,0)-MATCH($B$1,[2]quests!$1:$1,0)+1),MATCH(E$1,[2]quests!$1:$1,0)-MATCH($B$1,[2]quests!$1:$1,0)+1,FALSE)</f>
        <v>チャレンジタワー</v>
      </c>
      <c r="F213" s="5" t="e">
        <f ca="1">VLOOKUP($D213,OFFSET([2]stages!$A$1,0,0,COUNTA([2]stages!$A:$A),MATCH(F$1,[2]stages!$1:$1,0)-MATCH($D$1,[2]stages!$1:$1,0)+1),MATCH(F$1,[2]stages!$1:$1,0)-MATCH($D$1,[2]stages!$1:$1,0)+1,FALSE)</f>
        <v>#N/A</v>
      </c>
      <c r="G213" s="33">
        <v>3</v>
      </c>
      <c r="H213" s="16" t="str">
        <f t="shared" ref="H213" si="230">B213&amp;"_"&amp;C213&amp;"-"&amp;G213</f>
        <v>13101_22-3</v>
      </c>
      <c r="I213" s="39" t="s">
        <v>245</v>
      </c>
      <c r="J213" s="31">
        <v>24</v>
      </c>
      <c r="K213" s="20" t="str">
        <f ca="1">VLOOKUP($J213,OFFSET([3]enemies!$A$1,0,0,COUNTA([3]enemies!$A:$A),MATCH(K$1,[3]enemies!$1:$1,0)-MATCH($J$1,[3]enemies!$1:$1,0)+1),MATCH(K$1,[3]enemies!$1:$1,0)-MATCH($J$1,[3]enemies!$1:$1,0)+1,FALSE)</f>
        <v>天翔のミール</v>
      </c>
      <c r="L213" s="23" t="str">
        <f ca="1">VLOOKUP($J213,OFFSET([3]enemies!$A$1,0,0,COUNTA([3]enemies!$A:$A),MATCH(L$1,[3]enemies!$1:$1,0)-MATCH($J$1,[3]enemies!$1:$1,0)+1),MATCH(L$1,[3]enemies!$1:$1,0)-MATCH($J$1,[3]enemies!$1:$1,0)+1,FALSE)</f>
        <v>green</v>
      </c>
      <c r="M213" s="23" t="str">
        <f ca="1">VLOOKUP($J213,OFFSET([4]characters!$A$1,0,0,COUNTA([4]characters!$A:$A),MATCH(M$1,[4]characters!$1:$1,0)-MATCH($J$1,[4]characters!$1:$1,0)+1),MATCH(M$1,[4]characters!$1:$1,0)-MATCH($J$1,[4]characters!$1:$1,0)+1,FALSE)</f>
        <v>Drop1N</v>
      </c>
      <c r="N213" s="22" t="str">
        <f ca="1">VLOOKUP($J213,OFFSET([4]characters!$A$1,0,0,COUNTA([4]characters!$A:$A),MATCH(N$1,[4]characters!$1:$1,0)-MATCH($J$1,[4]characters!$1:$1,0)+2),MATCH(N$1,[4]characters!$1:$1,0)-MATCH($J$1,[4]characters!$1:$1,0)+2,FALSE)</f>
        <v>アニマル</v>
      </c>
      <c r="O213" s="5">
        <f ca="1">VLOOKUP($J213,OFFSET([3]enemies!$A$1,0,0,COUNTA([3]enemies!$A:$A),MATCH(O$1,[3]enemies!$1:$1,0)-MATCH($J$1,[3]enemies!$1:$1,0)+1),MATCH(O$1,[3]enemies!$1:$1,0)-MATCH($J$1,[3]enemies!$1:$1,0)+1,FALSE)</f>
        <v>15</v>
      </c>
      <c r="P213" s="46">
        <v>60</v>
      </c>
      <c r="Q213" s="43">
        <v>1</v>
      </c>
      <c r="R213" s="43">
        <v>1</v>
      </c>
      <c r="S213" s="6">
        <v>0</v>
      </c>
      <c r="T213" s="5" t="str">
        <f ca="1">VLOOKUP($U213,OFFSET([5]enemy_skill_sets!$B$1,0,0,COUNTA([5]enemy_skill_sets!$B:$B),MATCH(K$1,[5]enemy_skill_sets!$1:$1,0)-MATCH($U$1,[5]enemy_skill_sets!$1:$1,0)+2),MATCH(K$1,[5]enemy_skill_sets!$1:$1,0)-MATCH($U$1,[5]enemy_skill_sets!$1:$1,0)+2,FALSE)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13" s="5">
        <f ca="1">VLOOKUP($J213,OFFSET([3]enemies!$A$1,0,0,COUNTA([3]enemies!$A:$A),MATCH(U$1,[3]enemies!$1:$1,0)-MATCH($J$1,[3]enemies!$1:$1,0)+1),MATCH(U$1,[3]enemies!$1:$1,0)-MATCH($J$1,[3]enemies!$1:$1,0)+1,FALSE)</f>
        <v>0</v>
      </c>
      <c r="V213" s="44">
        <v>2</v>
      </c>
      <c r="W213" s="7">
        <v>100</v>
      </c>
      <c r="X213" s="7">
        <v>0</v>
      </c>
      <c r="Y213" s="20">
        <f ca="1">VLOOKUP($J213,OFFSET([3]enemies!$A$1,0,0,COUNTA([3]enemies!$A:$A),MATCH(Y$1,[3]enemies!$1:$1,0)-MATCH($J$1,[3]enemies!$1:$1,0)+1),MATCH(Y$1,[3]enemies!$1:$1,0)-MATCH($J$1,[3]enemies!$1:$1,0)+1,FALSE)</f>
        <v>4</v>
      </c>
      <c r="Z213" s="31">
        <v>23</v>
      </c>
      <c r="AA213" s="5" t="str">
        <f ca="1">IFERROR(VLOOKUP($Z213,OFFSET([4]characters!$A$1,0,0,COUNTA([4]characters!$A:$A),MATCH(AA$1,[4]characters!$1:$1,0)-MATCH("character_id",[4]characters!$1:$1,0)+1),MATCH(AA$1,[4]characters!$1:$1,0)-MATCH("character_id",[4]characters!$1:$1,0)+1,FALSE),"")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213" s="5">
        <f ca="1">IFERROR(VLOOKUP($Z213,OFFSET([4]characters!$A$1,0,0,COUNTA([4]characters!$A:$A),MATCH(AB$1,[4]characters!$1:$1,0)-MATCH("character_id",[4]characters!$1:$1,0)+1),MATCH(AB$1,[4]characters!$1:$1,0)-MATCH("character_id",[4]characters!$1:$1,0)+1,FALSE),"")</f>
        <v>1</v>
      </c>
      <c r="AC213" s="5" t="str">
        <f ca="1">IFERROR(VLOOKUP($Z213,OFFSET([4]characters!$A$1,0,0,COUNTA([4]characters!$A:$A),MATCH(AC$1,[4]characters!$1:$1,0)-MATCH("character_id",[4]characters!$1:$1,0)+1),MATCH(AC$1,[4]characters!$1:$1,0)-MATCH("character_id",[4]characters!$1:$1,0)+1,FALSE),"")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13" s="8">
        <v>1</v>
      </c>
      <c r="AE213" s="28">
        <f t="shared" ref="AE213" ca="1" si="231">AB213</f>
        <v>1</v>
      </c>
      <c r="AF213" s="7">
        <v>25</v>
      </c>
      <c r="AG213" s="8">
        <v>0</v>
      </c>
      <c r="AH213" s="8">
        <v>0</v>
      </c>
      <c r="AI213" s="8">
        <v>0</v>
      </c>
      <c r="AJ213" s="8">
        <v>0</v>
      </c>
      <c r="AK213" s="8">
        <v>1</v>
      </c>
      <c r="AL213" s="8">
        <v>1</v>
      </c>
    </row>
    <row r="214" spans="1:38" ht="21" customHeight="1" x14ac:dyDescent="0.15">
      <c r="A214" s="17" t="str">
        <f t="shared" ca="1" si="220"/>
        <v>13101_22-4/12&lt;lv60&gt;s3</v>
      </c>
      <c r="B214" s="26">
        <v>13101</v>
      </c>
      <c r="C214" s="25">
        <v>22</v>
      </c>
      <c r="D214" s="2" t="str">
        <f t="shared" si="221"/>
        <v>13101_22</v>
      </c>
      <c r="E214" s="5" t="str">
        <f ca="1">VLOOKUP($B214,OFFSET([2]quests!$A$1,0,0,COUNTA([2]quests!$A:$A),MATCH(E$1,[2]quests!$1:$1,0)-MATCH($B$1,[2]quests!$1:$1,0)+1),MATCH(E$1,[2]quests!$1:$1,0)-MATCH($B$1,[2]quests!$1:$1,0)+1,FALSE)</f>
        <v>チャレンジタワー</v>
      </c>
      <c r="F214" s="5" t="e">
        <f ca="1">VLOOKUP($D214,OFFSET([2]stages!$A$1,0,0,COUNTA([2]stages!$A:$A),MATCH(F$1,[2]stages!$1:$1,0)-MATCH($D$1,[2]stages!$1:$1,0)+1),MATCH(F$1,[2]stages!$1:$1,0)-MATCH($D$1,[2]stages!$1:$1,0)+1,FALSE)</f>
        <v>#N/A</v>
      </c>
      <c r="G214" s="33">
        <v>4</v>
      </c>
      <c r="H214" s="16" t="str">
        <f t="shared" si="222"/>
        <v>13101_22-4</v>
      </c>
      <c r="I214" s="39" t="s">
        <v>245</v>
      </c>
      <c r="J214" s="31">
        <v>12</v>
      </c>
      <c r="K214" s="20" t="str">
        <f ca="1">VLOOKUP($J214,OFFSET([3]enemies!$A$1,0,0,COUNTA([3]enemies!$A:$A),MATCH(K$1,[3]enemies!$1:$1,0)-MATCH($J$1,[3]enemies!$1:$1,0)+1),MATCH(K$1,[3]enemies!$1:$1,0)-MATCH($J$1,[3]enemies!$1:$1,0)+1,FALSE)</f>
        <v>癒しのグラフィティ マグリット</v>
      </c>
      <c r="L214" s="23" t="str">
        <f ca="1">VLOOKUP($J214,OFFSET([3]enemies!$A$1,0,0,COUNTA([3]enemies!$A:$A),MATCH(L$1,[3]enemies!$1:$1,0)-MATCH($J$1,[3]enemies!$1:$1,0)+1),MATCH(L$1,[3]enemies!$1:$1,0)-MATCH($J$1,[3]enemies!$1:$1,0)+1,FALSE)</f>
        <v>green</v>
      </c>
      <c r="M214" s="23" t="str">
        <f ca="1">VLOOKUP($J214,OFFSET([4]characters!$A$1,0,0,COUNTA([4]characters!$A:$A),MATCH(M$1,[4]characters!$1:$1,0)-MATCH($J$1,[4]characters!$1:$1,0)+1),MATCH(M$1,[4]characters!$1:$1,0)-MATCH($J$1,[4]characters!$1:$1,0)+1,FALSE)</f>
        <v>Drop1W</v>
      </c>
      <c r="N214" s="22" t="str">
        <f ca="1">VLOOKUP($J214,OFFSET([4]characters!$A$1,0,0,COUNTA([4]characters!$A:$A),MATCH(N$1,[4]characters!$1:$1,0)-MATCH($J$1,[4]characters!$1:$1,0)+2),MATCH(N$1,[4]characters!$1:$1,0)-MATCH($J$1,[4]characters!$1:$1,0)+2,FALSE)</f>
        <v>アニマル</v>
      </c>
      <c r="O214" s="5">
        <f ca="1">VLOOKUP($J214,OFFSET([3]enemies!$A$1,0,0,COUNTA([3]enemies!$A:$A),MATCH(O$1,[3]enemies!$1:$1,0)-MATCH($J$1,[3]enemies!$1:$1,0)+1),MATCH(O$1,[3]enemies!$1:$1,0)-MATCH($J$1,[3]enemies!$1:$1,0)+1,FALSE)</f>
        <v>15</v>
      </c>
      <c r="P214" s="46">
        <v>60</v>
      </c>
      <c r="Q214" s="43">
        <v>1</v>
      </c>
      <c r="R214" s="43">
        <v>1</v>
      </c>
      <c r="S214" s="6">
        <v>0</v>
      </c>
      <c r="T214" s="5" t="str">
        <f ca="1">VLOOKUP($U214,OFFSET([5]enemy_skill_sets!$B$1,0,0,COUNTA([5]enemy_skill_sets!$B:$B),MATCH(K$1,[5]enemy_skill_sets!$1:$1,0)-MATCH($U$1,[5]enemy_skill_sets!$1:$1,0)+2),MATCH(K$1,[5]enemy_skill_sets!$1:$1,0)-MATCH($U$1,[5]enemy_skill_sets!$1:$1,0)+2,FALSE)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14" s="5">
        <f ca="1">VLOOKUP($J214,OFFSET([3]enemies!$A$1,0,0,COUNTA([3]enemies!$A:$A),MATCH(U$1,[3]enemies!$1:$1,0)-MATCH($J$1,[3]enemies!$1:$1,0)+1),MATCH(U$1,[3]enemies!$1:$1,0)-MATCH($J$1,[3]enemies!$1:$1,0)+1,FALSE)</f>
        <v>0</v>
      </c>
      <c r="V214" s="44">
        <v>0</v>
      </c>
      <c r="W214" s="7">
        <v>100</v>
      </c>
      <c r="X214" s="7">
        <v>0</v>
      </c>
      <c r="Y214" s="20">
        <f ca="1">VLOOKUP($J214,OFFSET([3]enemies!$A$1,0,0,COUNTA([3]enemies!$A:$A),MATCH(Y$1,[3]enemies!$1:$1,0)-MATCH($J$1,[3]enemies!$1:$1,0)+1),MATCH(Y$1,[3]enemies!$1:$1,0)-MATCH($J$1,[3]enemies!$1:$1,0)+1,FALSE)</f>
        <v>3</v>
      </c>
      <c r="Z214" s="31">
        <v>11</v>
      </c>
      <c r="AA214" s="5" t="str">
        <f ca="1">IFERROR(VLOOKUP($Z214,OFFSET([4]characters!$A$1,0,0,COUNTA([4]characters!$A:$A),MATCH(AA$1,[4]characters!$1:$1,0)-MATCH("character_id",[4]characters!$1:$1,0)+1),MATCH(AA$1,[4]characters!$1:$1,0)-MATCH("character_id",[4]characters!$1:$1,0)+1,FALSE),"")</f>
        <v>マグリット</v>
      </c>
      <c r="AB214" s="5">
        <f ca="1">IFERROR(VLOOKUP($Z214,OFFSET([4]characters!$A$1,0,0,COUNTA([4]characters!$A:$A),MATCH(AB$1,[4]characters!$1:$1,0)-MATCH("character_id",[4]characters!$1:$1,0)+1),MATCH(AB$1,[4]characters!$1:$1,0)-MATCH("character_id",[4]characters!$1:$1,0)+1,FALSE),"")</f>
        <v>1</v>
      </c>
      <c r="AC214" s="5" t="str">
        <f ca="1">IFERROR(VLOOKUP($Z214,OFFSET([4]characters!$A$1,0,0,COUNTA([4]characters!$A:$A),MATCH(AC$1,[4]characters!$1:$1,0)-MATCH("character_id",[4]characters!$1:$1,0)+1),MATCH(AC$1,[4]characters!$1:$1,0)-MATCH("character_id",[4]characters!$1:$1,0)+1,FALSE),"")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14" s="8">
        <v>1</v>
      </c>
      <c r="AE214" s="28">
        <f t="shared" ca="1" si="223"/>
        <v>1</v>
      </c>
      <c r="AF214" s="7">
        <v>25</v>
      </c>
      <c r="AG214" s="8">
        <v>0</v>
      </c>
      <c r="AH214" s="8">
        <v>0</v>
      </c>
      <c r="AI214" s="8">
        <v>0</v>
      </c>
      <c r="AJ214" s="8">
        <v>0</v>
      </c>
      <c r="AK214" s="8">
        <v>1</v>
      </c>
      <c r="AL214" s="8">
        <v>1</v>
      </c>
    </row>
    <row r="215" spans="1:38" ht="21" customHeight="1" x14ac:dyDescent="0.15">
      <c r="A215" s="17" t="str">
        <f t="shared" ca="1" si="220"/>
        <v>13101_22-4/24&lt;lv60&gt;s4</v>
      </c>
      <c r="B215" s="26">
        <v>13101</v>
      </c>
      <c r="C215" s="25">
        <v>22</v>
      </c>
      <c r="D215" s="2" t="str">
        <f t="shared" si="221"/>
        <v>13101_22</v>
      </c>
      <c r="E215" s="5" t="str">
        <f ca="1">VLOOKUP($B215,OFFSET([2]quests!$A$1,0,0,COUNTA([2]quests!$A:$A),MATCH(E$1,[2]quests!$1:$1,0)-MATCH($B$1,[2]quests!$1:$1,0)+1),MATCH(E$1,[2]quests!$1:$1,0)-MATCH($B$1,[2]quests!$1:$1,0)+1,FALSE)</f>
        <v>チャレンジタワー</v>
      </c>
      <c r="F215" s="5" t="e">
        <f ca="1">VLOOKUP($D215,OFFSET([2]stages!$A$1,0,0,COUNTA([2]stages!$A:$A),MATCH(F$1,[2]stages!$1:$1,0)-MATCH($D$1,[2]stages!$1:$1,0)+1),MATCH(F$1,[2]stages!$1:$1,0)-MATCH($D$1,[2]stages!$1:$1,0)+1,FALSE)</f>
        <v>#N/A</v>
      </c>
      <c r="G215" s="33">
        <v>4</v>
      </c>
      <c r="H215" s="16" t="str">
        <f t="shared" si="222"/>
        <v>13101_22-4</v>
      </c>
      <c r="I215" s="39" t="s">
        <v>245</v>
      </c>
      <c r="J215" s="31">
        <v>24</v>
      </c>
      <c r="K215" s="20" t="str">
        <f ca="1">VLOOKUP($J215,OFFSET([3]enemies!$A$1,0,0,COUNTA([3]enemies!$A:$A),MATCH(K$1,[3]enemies!$1:$1,0)-MATCH($J$1,[3]enemies!$1:$1,0)+1),MATCH(K$1,[3]enemies!$1:$1,0)-MATCH($J$1,[3]enemies!$1:$1,0)+1,FALSE)</f>
        <v>天翔のミール</v>
      </c>
      <c r="L215" s="23" t="str">
        <f ca="1">VLOOKUP($J215,OFFSET([3]enemies!$A$1,0,0,COUNTA([3]enemies!$A:$A),MATCH(L$1,[3]enemies!$1:$1,0)-MATCH($J$1,[3]enemies!$1:$1,0)+1),MATCH(L$1,[3]enemies!$1:$1,0)-MATCH($J$1,[3]enemies!$1:$1,0)+1,FALSE)</f>
        <v>green</v>
      </c>
      <c r="M215" s="23" t="str">
        <f ca="1">VLOOKUP($J215,OFFSET([4]characters!$A$1,0,0,COUNTA([4]characters!$A:$A),MATCH(M$1,[4]characters!$1:$1,0)-MATCH($J$1,[4]characters!$1:$1,0)+1),MATCH(M$1,[4]characters!$1:$1,0)-MATCH($J$1,[4]characters!$1:$1,0)+1,FALSE)</f>
        <v>Drop1N</v>
      </c>
      <c r="N215" s="22" t="str">
        <f ca="1">VLOOKUP($J215,OFFSET([4]characters!$A$1,0,0,COUNTA([4]characters!$A:$A),MATCH(N$1,[4]characters!$1:$1,0)-MATCH($J$1,[4]characters!$1:$1,0)+2),MATCH(N$1,[4]characters!$1:$1,0)-MATCH($J$1,[4]characters!$1:$1,0)+2,FALSE)</f>
        <v>アニマル</v>
      </c>
      <c r="O215" s="5">
        <f ca="1">VLOOKUP($J215,OFFSET([3]enemies!$A$1,0,0,COUNTA([3]enemies!$A:$A),MATCH(O$1,[3]enemies!$1:$1,0)-MATCH($J$1,[3]enemies!$1:$1,0)+1),MATCH(O$1,[3]enemies!$1:$1,0)-MATCH($J$1,[3]enemies!$1:$1,0)+1,FALSE)</f>
        <v>15</v>
      </c>
      <c r="P215" s="46">
        <v>60</v>
      </c>
      <c r="Q215" s="43">
        <v>1</v>
      </c>
      <c r="R215" s="43">
        <v>1</v>
      </c>
      <c r="S215" s="6">
        <v>0</v>
      </c>
      <c r="T215" s="5" t="str">
        <f ca="1">VLOOKUP($U215,OFFSET([5]enemy_skill_sets!$B$1,0,0,COUNTA([5]enemy_skill_sets!$B:$B),MATCH(K$1,[5]enemy_skill_sets!$1:$1,0)-MATCH($U$1,[5]enemy_skill_sets!$1:$1,0)+2),MATCH(K$1,[5]enemy_skill_sets!$1:$1,0)-MATCH($U$1,[5]enemy_skill_sets!$1:$1,0)+2,FALSE)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15" s="5">
        <f ca="1">VLOOKUP($J215,OFFSET([3]enemies!$A$1,0,0,COUNTA([3]enemies!$A:$A),MATCH(U$1,[3]enemies!$1:$1,0)-MATCH($J$1,[3]enemies!$1:$1,0)+1),MATCH(U$1,[3]enemies!$1:$1,0)-MATCH($J$1,[3]enemies!$1:$1,0)+1,FALSE)</f>
        <v>0</v>
      </c>
      <c r="V215" s="44">
        <v>0</v>
      </c>
      <c r="W215" s="7">
        <v>100</v>
      </c>
      <c r="X215" s="7">
        <v>0</v>
      </c>
      <c r="Y215" s="20">
        <f ca="1">VLOOKUP($J215,OFFSET([3]enemies!$A$1,0,0,COUNTA([3]enemies!$A:$A),MATCH(Y$1,[3]enemies!$1:$1,0)-MATCH($J$1,[3]enemies!$1:$1,0)+1),MATCH(Y$1,[3]enemies!$1:$1,0)-MATCH($J$1,[3]enemies!$1:$1,0)+1,FALSE)</f>
        <v>4</v>
      </c>
      <c r="Z215" s="31">
        <v>23</v>
      </c>
      <c r="AA215" s="5" t="str">
        <f ca="1">IFERROR(VLOOKUP($Z215,OFFSET([4]characters!$A$1,0,0,COUNTA([4]characters!$A:$A),MATCH(AA$1,[4]characters!$1:$1,0)-MATCH("character_id",[4]characters!$1:$1,0)+1),MATCH(AA$1,[4]characters!$1:$1,0)-MATCH("character_id",[4]characters!$1:$1,0)+1,FALSE),"")</f>
        <v>ミール</v>
      </c>
      <c r="AB215" s="5">
        <f ca="1">IFERROR(VLOOKUP($Z215,OFFSET([4]characters!$A$1,0,0,COUNTA([4]characters!$A:$A),MATCH(AB$1,[4]characters!$1:$1,0)-MATCH("character_id",[4]characters!$1:$1,0)+1),MATCH(AB$1,[4]characters!$1:$1,0)-MATCH("character_id",[4]characters!$1:$1,0)+1,FALSE),"")</f>
        <v>1</v>
      </c>
      <c r="AC215" s="5" t="str">
        <f ca="1">IFERROR(VLOOKUP($Z215,OFFSET([4]characters!$A$1,0,0,COUNTA([4]characters!$A:$A),MATCH(AC$1,[4]characters!$1:$1,0)-MATCH("character_id",[4]characters!$1:$1,0)+1),MATCH(AC$1,[4]characters!$1:$1,0)-MATCH("character_id",[4]characters!$1:$1,0)+1,FALSE),"")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15" s="8">
        <v>1</v>
      </c>
      <c r="AE215" s="28">
        <f t="shared" ca="1" si="223"/>
        <v>1</v>
      </c>
      <c r="AF215" s="7">
        <v>25</v>
      </c>
      <c r="AG215" s="8">
        <v>0</v>
      </c>
      <c r="AH215" s="8">
        <v>0</v>
      </c>
      <c r="AI215" s="8">
        <v>0</v>
      </c>
      <c r="AJ215" s="8">
        <v>0</v>
      </c>
      <c r="AK215" s="8">
        <v>1</v>
      </c>
      <c r="AL215" s="8">
        <v>1</v>
      </c>
    </row>
    <row r="216" spans="1:38" ht="21" customHeight="1" x14ac:dyDescent="0.15">
      <c r="A216" s="17" t="str">
        <f t="shared" ref="A216" ca="1" si="232">B216&amp;"_"&amp;C216&amp;"-"&amp;G216&amp;"/"&amp;J216&amp;"&lt;lv"&amp;P216&amp;"&gt;s"&amp;Y216</f>
        <v>13101_22-4/59&lt;lv60&gt;s2</v>
      </c>
      <c r="B216" s="26">
        <v>13101</v>
      </c>
      <c r="C216" s="25">
        <v>22</v>
      </c>
      <c r="D216" s="2" t="str">
        <f t="shared" ref="D216" si="233">B216&amp;"_"&amp;C216</f>
        <v>13101_22</v>
      </c>
      <c r="E216" s="5" t="str">
        <f ca="1">VLOOKUP($B216,OFFSET([2]quests!$A$1,0,0,COUNTA([2]quests!$A:$A),MATCH(E$1,[2]quests!$1:$1,0)-MATCH($B$1,[2]quests!$1:$1,0)+1),MATCH(E$1,[2]quests!$1:$1,0)-MATCH($B$1,[2]quests!$1:$1,0)+1,FALSE)</f>
        <v>チャレンジタワー</v>
      </c>
      <c r="F216" s="5" t="e">
        <f ca="1">VLOOKUP($D216,OFFSET([2]stages!$A$1,0,0,COUNTA([2]stages!$A:$A),MATCH(F$1,[2]stages!$1:$1,0)-MATCH($D$1,[2]stages!$1:$1,0)+1),MATCH(F$1,[2]stages!$1:$1,0)-MATCH($D$1,[2]stages!$1:$1,0)+1,FALSE)</f>
        <v>#N/A</v>
      </c>
      <c r="G216" s="33">
        <v>4</v>
      </c>
      <c r="H216" s="16" t="str">
        <f t="shared" ref="H216" si="234">B216&amp;"_"&amp;C216&amp;"-"&amp;G216</f>
        <v>13101_22-4</v>
      </c>
      <c r="I216" s="39" t="s">
        <v>245</v>
      </c>
      <c r="J216" s="31">
        <v>59</v>
      </c>
      <c r="K216" s="20" t="str">
        <f ca="1">VLOOKUP($J216,OFFSET([3]enemies!$A$1,0,0,COUNTA([3]enemies!$A:$A),MATCH(K$1,[3]enemies!$1:$1,0)-MATCH($J$1,[3]enemies!$1:$1,0)+1),MATCH(K$1,[3]enemies!$1:$1,0)-MATCH($J$1,[3]enemies!$1:$1,0)+1,FALSE)</f>
        <v>マーチ</v>
      </c>
      <c r="L216" s="23" t="str">
        <f ca="1">VLOOKUP($J216,OFFSET([3]enemies!$A$1,0,0,COUNTA([3]enemies!$A:$A),MATCH(L$1,[3]enemies!$1:$1,0)-MATCH($J$1,[3]enemies!$1:$1,0)+1),MATCH(L$1,[3]enemies!$1:$1,0)-MATCH($J$1,[3]enemies!$1:$1,0)+1,FALSE)</f>
        <v>green</v>
      </c>
      <c r="M216" s="23" t="str">
        <f ca="1">VLOOKUP($J216,OFFSET([4]characters!$A$1,0,0,COUNTA([4]characters!$A:$A),MATCH(M$1,[4]characters!$1:$1,0)-MATCH($J$1,[4]characters!$1:$1,0)+1),MATCH(M$1,[4]characters!$1:$1,0)-MATCH($J$1,[4]characters!$1:$1,0)+1,FALSE)</f>
        <v>Drop1N</v>
      </c>
      <c r="N216" s="22" t="str">
        <f ca="1">VLOOKUP($J216,OFFSET([4]characters!$A$1,0,0,COUNTA([4]characters!$A:$A),MATCH(N$1,[4]characters!$1:$1,0)-MATCH($J$1,[4]characters!$1:$1,0)+2),MATCH(N$1,[4]characters!$1:$1,0)-MATCH($J$1,[4]characters!$1:$1,0)+2,FALSE)</f>
        <v>アニマル</v>
      </c>
      <c r="O216" s="5">
        <f ca="1">VLOOKUP($J216,OFFSET([3]enemies!$A$1,0,0,COUNTA([3]enemies!$A:$A),MATCH(O$1,[3]enemies!$1:$1,0)-MATCH($J$1,[3]enemies!$1:$1,0)+1),MATCH(O$1,[3]enemies!$1:$1,0)-MATCH($J$1,[3]enemies!$1:$1,0)+1,FALSE)</f>
        <v>15</v>
      </c>
      <c r="P216" s="46">
        <v>60</v>
      </c>
      <c r="Q216" s="43">
        <v>1</v>
      </c>
      <c r="R216" s="43">
        <v>1</v>
      </c>
      <c r="S216" s="6">
        <v>0</v>
      </c>
      <c r="T216" s="5" t="str">
        <f ca="1">VLOOKUP($U216,OFFSET([5]enemy_skill_sets!$B$1,0,0,COUNTA([5]enemy_skill_sets!$B:$B),MATCH(K$1,[5]enemy_skill_sets!$1:$1,0)-MATCH($U$1,[5]enemy_skill_sets!$1:$1,0)+2),MATCH(K$1,[5]enemy_skill_sets!$1:$1,0)-MATCH($U$1,[5]enemy_skill_sets!$1:$1,0)+2,FALSE)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216" s="5">
        <f ca="1">VLOOKUP($J216,OFFSET([3]enemies!$A$1,0,0,COUNTA([3]enemies!$A:$A),MATCH(U$1,[3]enemies!$1:$1,0)-MATCH($J$1,[3]enemies!$1:$1,0)+1),MATCH(U$1,[3]enemies!$1:$1,0)-MATCH($J$1,[3]enemies!$1:$1,0)+1,FALSE)</f>
        <v>59</v>
      </c>
      <c r="V216" s="44">
        <v>0</v>
      </c>
      <c r="W216" s="7">
        <v>100</v>
      </c>
      <c r="X216" s="7">
        <v>0</v>
      </c>
      <c r="Y216" s="20">
        <f ca="1">VLOOKUP($J216,OFFSET([3]enemies!$A$1,0,0,COUNTA([3]enemies!$A:$A),MATCH(Y$1,[3]enemies!$1:$1,0)-MATCH($J$1,[3]enemies!$1:$1,0)+1),MATCH(Y$1,[3]enemies!$1:$1,0)-MATCH($J$1,[3]enemies!$1:$1,0)+1,FALSE)</f>
        <v>2</v>
      </c>
      <c r="Z216" s="31">
        <v>59</v>
      </c>
      <c r="AA216" s="5" t="str">
        <f ca="1">IFERROR(VLOOKUP($Z216,OFFSET([4]characters!$A$1,0,0,COUNTA([4]characters!$A:$A),MATCH(AA$1,[4]characters!$1:$1,0)-MATCH("character_id",[4]characters!$1:$1,0)+1),MATCH(AA$1,[4]characters!$1:$1,0)-MATCH("character_id",[4]characters!$1:$1,0)+1,FALSE),"")</f>
        <v>マーチ</v>
      </c>
      <c r="AB216" s="5">
        <f ca="1">IFERROR(VLOOKUP($Z216,OFFSET([4]characters!$A$1,0,0,COUNTA([4]characters!$A:$A),MATCH(AB$1,[4]characters!$1:$1,0)-MATCH("character_id",[4]characters!$1:$1,0)+1),MATCH(AB$1,[4]characters!$1:$1,0)-MATCH("character_id",[4]characters!$1:$1,0)+1,FALSE),"")</f>
        <v>2</v>
      </c>
      <c r="AC216" s="5" t="str">
        <f ca="1">IFERROR(VLOOKUP($Z216,OFFSET([4]characters!$A$1,0,0,COUNTA([4]characters!$A:$A),MATCH(AC$1,[4]characters!$1:$1,0)-MATCH("character_id",[4]characters!$1:$1,0)+1),MATCH(AC$1,[4]characters!$1:$1,0)-MATCH("character_id",[4]characters!$1:$1,0)+1,FALSE),"")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16" s="8">
        <v>1</v>
      </c>
      <c r="AE216" s="28">
        <f t="shared" ref="AE216" ca="1" si="235">AB216</f>
        <v>2</v>
      </c>
      <c r="AF216" s="7">
        <v>25</v>
      </c>
      <c r="AG216" s="8">
        <v>0</v>
      </c>
      <c r="AH216" s="8">
        <v>0</v>
      </c>
      <c r="AI216" s="8">
        <v>0</v>
      </c>
      <c r="AJ216" s="8">
        <v>0</v>
      </c>
      <c r="AK216" s="8">
        <v>1</v>
      </c>
      <c r="AL216" s="8">
        <v>1</v>
      </c>
    </row>
    <row r="217" spans="1:38" ht="21" customHeight="1" x14ac:dyDescent="0.15">
      <c r="A217" s="17" t="str">
        <f t="shared" ca="1" si="220"/>
        <v>13101_22-5/60&lt;lv65&gt;s2</v>
      </c>
      <c r="B217" s="26">
        <v>13101</v>
      </c>
      <c r="C217" s="25">
        <v>22</v>
      </c>
      <c r="D217" s="2" t="str">
        <f t="shared" si="221"/>
        <v>13101_22</v>
      </c>
      <c r="E217" s="5" t="str">
        <f ca="1">VLOOKUP($B217,OFFSET([2]quests!$A$1,0,0,COUNTA([2]quests!$A:$A),MATCH(E$1,[2]quests!$1:$1,0)-MATCH($B$1,[2]quests!$1:$1,0)+1),MATCH(E$1,[2]quests!$1:$1,0)-MATCH($B$1,[2]quests!$1:$1,0)+1,FALSE)</f>
        <v>チャレンジタワー</v>
      </c>
      <c r="F217" s="5" t="e">
        <f ca="1">VLOOKUP($D217,OFFSET([2]stages!$A$1,0,0,COUNTA([2]stages!$A:$A),MATCH(F$1,[2]stages!$1:$1,0)-MATCH($D$1,[2]stages!$1:$1,0)+1),MATCH(F$1,[2]stages!$1:$1,0)-MATCH($D$1,[2]stages!$1:$1,0)+1,FALSE)</f>
        <v>#N/A</v>
      </c>
      <c r="G217" s="58">
        <v>5</v>
      </c>
      <c r="H217" s="16" t="str">
        <f t="shared" si="222"/>
        <v>13101_22-5</v>
      </c>
      <c r="I217" s="39" t="s">
        <v>245</v>
      </c>
      <c r="J217" s="31">
        <v>60</v>
      </c>
      <c r="K217" s="20" t="str">
        <f ca="1">VLOOKUP($J217,OFFSET([3]enemies!$A$1,0,0,COUNTA([3]enemies!$A:$A),MATCH(K$1,[3]enemies!$1:$1,0)-MATCH($J$1,[3]enemies!$1:$1,0)+1),MATCH(K$1,[3]enemies!$1:$1,0)-MATCH($J$1,[3]enemies!$1:$1,0)+1,FALSE)</f>
        <v>おでかけマーチ</v>
      </c>
      <c r="L217" s="23" t="str">
        <f ca="1">VLOOKUP($J217,OFFSET([3]enemies!$A$1,0,0,COUNTA([3]enemies!$A:$A),MATCH(L$1,[3]enemies!$1:$1,0)-MATCH($J$1,[3]enemies!$1:$1,0)+1),MATCH(L$1,[3]enemies!$1:$1,0)-MATCH($J$1,[3]enemies!$1:$1,0)+1,FALSE)</f>
        <v>green</v>
      </c>
      <c r="M217" s="23" t="str">
        <f ca="1">VLOOKUP($J217,OFFSET([4]characters!$A$1,0,0,COUNTA([4]characters!$A:$A),MATCH(M$1,[4]characters!$1:$1,0)-MATCH($J$1,[4]characters!$1:$1,0)+1),MATCH(M$1,[4]characters!$1:$1,0)-MATCH($J$1,[4]characters!$1:$1,0)+1,FALSE)</f>
        <v>Drop1N</v>
      </c>
      <c r="N217" s="22" t="str">
        <f ca="1">VLOOKUP($J217,OFFSET([4]characters!$A$1,0,0,COUNTA([4]characters!$A:$A),MATCH(N$1,[4]characters!$1:$1,0)-MATCH($J$1,[4]characters!$1:$1,0)+2),MATCH(N$1,[4]characters!$1:$1,0)-MATCH($J$1,[4]characters!$1:$1,0)+2,FALSE)</f>
        <v>アニマル</v>
      </c>
      <c r="O217" s="5">
        <f ca="1">VLOOKUP($J217,OFFSET([3]enemies!$A$1,0,0,COUNTA([3]enemies!$A:$A),MATCH(O$1,[3]enemies!$1:$1,0)-MATCH($J$1,[3]enemies!$1:$1,0)+1),MATCH(O$1,[3]enemies!$1:$1,0)-MATCH($J$1,[3]enemies!$1:$1,0)+1,FALSE)</f>
        <v>20</v>
      </c>
      <c r="P217" s="46">
        <v>65</v>
      </c>
      <c r="Q217" s="43">
        <v>1</v>
      </c>
      <c r="R217" s="43">
        <v>1</v>
      </c>
      <c r="S217" s="6">
        <v>0</v>
      </c>
      <c r="T217" s="5" t="str">
        <f ca="1">VLOOKUP($U217,OFFSET([5]enemy_skill_sets!$B$1,0,0,COUNTA([5]enemy_skill_sets!$B:$B),MATCH(K$1,[5]enemy_skill_sets!$1:$1,0)-MATCH($U$1,[5]enemy_skill_sets!$1:$1,0)+2),MATCH(K$1,[5]enemy_skill_sets!$1:$1,0)-MATCH($U$1,[5]enemy_skill_sets!$1:$1,0)+2,FALSE)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217" s="51">
        <v>6001</v>
      </c>
      <c r="V217" s="7">
        <v>2</v>
      </c>
      <c r="W217" s="7">
        <v>100</v>
      </c>
      <c r="X217" s="7">
        <v>0</v>
      </c>
      <c r="Y217" s="20">
        <f ca="1">VLOOKUP($J217,OFFSET([3]enemies!$A$1,0,0,COUNTA([3]enemies!$A:$A),MATCH(Y$1,[3]enemies!$1:$1,0)-MATCH($J$1,[3]enemies!$1:$1,0)+1),MATCH(Y$1,[3]enemies!$1:$1,0)-MATCH($J$1,[3]enemies!$1:$1,0)+1,FALSE)</f>
        <v>2</v>
      </c>
      <c r="Z217" s="31">
        <v>59</v>
      </c>
      <c r="AA217" s="5" t="str">
        <f ca="1">IFERROR(VLOOKUP($Z217,OFFSET([4]characters!$A$1,0,0,COUNTA([4]characters!$A:$A),MATCH(AA$1,[4]characters!$1:$1,0)-MATCH("character_id",[4]characters!$1:$1,0)+1),MATCH(AA$1,[4]characters!$1:$1,0)-MATCH("character_id",[4]characters!$1:$1,0)+1,FALSE),"")</f>
        <v>マーチ</v>
      </c>
      <c r="AB217" s="5">
        <f ca="1">IFERROR(VLOOKUP($Z217,OFFSET([4]characters!$A$1,0,0,COUNTA([4]characters!$A:$A),MATCH(AB$1,[4]characters!$1:$1,0)-MATCH("character_id",[4]characters!$1:$1,0)+1),MATCH(AB$1,[4]characters!$1:$1,0)-MATCH("character_id",[4]characters!$1:$1,0)+1,FALSE),"")</f>
        <v>2</v>
      </c>
      <c r="AC217" s="5" t="str">
        <f ca="1">IFERROR(VLOOKUP($Z217,OFFSET([4]characters!$A$1,0,0,COUNTA([4]characters!$A:$A),MATCH(AC$1,[4]characters!$1:$1,0)-MATCH("character_id",[4]characters!$1:$1,0)+1),MATCH(AC$1,[4]characters!$1:$1,0)-MATCH("character_id",[4]characters!$1:$1,0)+1,FALSE),"")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17" s="8">
        <v>1</v>
      </c>
      <c r="AE217" s="28">
        <f t="shared" ca="1" si="223"/>
        <v>2</v>
      </c>
      <c r="AF217" s="7">
        <v>0</v>
      </c>
      <c r="AG217" s="8">
        <v>0</v>
      </c>
      <c r="AH217" s="8">
        <v>0</v>
      </c>
      <c r="AI217" s="8">
        <v>0</v>
      </c>
      <c r="AJ217" s="8">
        <v>0</v>
      </c>
      <c r="AK217" s="8">
        <v>1</v>
      </c>
      <c r="AL217" s="8">
        <v>1</v>
      </c>
    </row>
    <row r="218" spans="1:38" ht="21" customHeight="1" x14ac:dyDescent="0.15">
      <c r="A218" s="17" t="str">
        <f t="shared" ref="A218" ca="1" si="236">B218&amp;"_"&amp;C218&amp;"-"&amp;G218&amp;"/"&amp;J218&amp;"&lt;lv"&amp;P218&amp;"&gt;s"&amp;Y218</f>
        <v>13101_22-5/152&lt;lv64&gt;s1</v>
      </c>
      <c r="B218" s="26">
        <v>13101</v>
      </c>
      <c r="C218" s="25">
        <v>22</v>
      </c>
      <c r="D218" s="2" t="str">
        <f t="shared" ref="D218" si="237">B218&amp;"_"&amp;C218</f>
        <v>13101_22</v>
      </c>
      <c r="E218" s="5" t="str">
        <f ca="1">VLOOKUP($B218,OFFSET([2]quests!$A$1,0,0,COUNTA([2]quests!$A:$A),MATCH(E$1,[2]quests!$1:$1,0)-MATCH($B$1,[2]quests!$1:$1,0)+1),MATCH(E$1,[2]quests!$1:$1,0)-MATCH($B$1,[2]quests!$1:$1,0)+1,FALSE)</f>
        <v>チャレンジタワー</v>
      </c>
      <c r="F218" s="5" t="e">
        <f ca="1">VLOOKUP($D218,OFFSET([2]stages!$A$1,0,0,COUNTA([2]stages!$A:$A),MATCH(F$1,[2]stages!$1:$1,0)-MATCH($D$1,[2]stages!$1:$1,0)+1),MATCH(F$1,[2]stages!$1:$1,0)-MATCH($D$1,[2]stages!$1:$1,0)+1,FALSE)</f>
        <v>#N/A</v>
      </c>
      <c r="G218" s="58">
        <v>5</v>
      </c>
      <c r="H218" s="16" t="str">
        <f t="shared" ref="H218" si="238">B218&amp;"_"&amp;C218&amp;"-"&amp;G218</f>
        <v>13101_22-5</v>
      </c>
      <c r="I218" s="39" t="s">
        <v>245</v>
      </c>
      <c r="J218" s="31">
        <v>152</v>
      </c>
      <c r="K218" s="20" t="str">
        <f ca="1">VLOOKUP($J218,OFFSET([3]enemies!$A$1,0,0,COUNTA([3]enemies!$A:$A),MATCH(K$1,[3]enemies!$1:$1,0)-MATCH($J$1,[3]enemies!$1:$1,0)+1),MATCH(K$1,[3]enemies!$1:$1,0)-MATCH($J$1,[3]enemies!$1:$1,0)+1,FALSE)</f>
        <v>功夫少女ランラン</v>
      </c>
      <c r="L218" s="23" t="str">
        <f ca="1">VLOOKUP($J218,OFFSET([3]enemies!$A$1,0,0,COUNTA([3]enemies!$A:$A),MATCH(L$1,[3]enemies!$1:$1,0)-MATCH($J$1,[3]enemies!$1:$1,0)+1),MATCH(L$1,[3]enemies!$1:$1,0)-MATCH($J$1,[3]enemies!$1:$1,0)+1,FALSE)</f>
        <v>green</v>
      </c>
      <c r="M218" s="23" t="str">
        <f ca="1">VLOOKUP($J218,OFFSET([4]characters!$A$1,0,0,COUNTA([4]characters!$A:$A),MATCH(M$1,[4]characters!$1:$1,0)-MATCH($J$1,[4]characters!$1:$1,0)+1),MATCH(M$1,[4]characters!$1:$1,0)-MATCH($J$1,[4]characters!$1:$1,0)+1,FALSE)</f>
        <v>PremiumW</v>
      </c>
      <c r="N218" s="22" t="str">
        <f ca="1">VLOOKUP($J218,OFFSET([4]characters!$A$1,0,0,COUNTA([4]characters!$A:$A),MATCH(N$1,[4]characters!$1:$1,0)-MATCH($J$1,[4]characters!$1:$1,0)+2),MATCH(N$1,[4]characters!$1:$1,0)-MATCH($J$1,[4]characters!$1:$1,0)+2,FALSE)</f>
        <v>ヒューマン</v>
      </c>
      <c r="O218" s="5">
        <f ca="1">VLOOKUP($J218,OFFSET([3]enemies!$A$1,0,0,COUNTA([3]enemies!$A:$A),MATCH(O$1,[3]enemies!$1:$1,0)-MATCH($J$1,[3]enemies!$1:$1,0)+1),MATCH(O$1,[3]enemies!$1:$1,0)-MATCH($J$1,[3]enemies!$1:$1,0)+1,FALSE)</f>
        <v>20</v>
      </c>
      <c r="P218" s="46">
        <v>64</v>
      </c>
      <c r="Q218" s="43">
        <v>1.5</v>
      </c>
      <c r="R218" s="43">
        <v>1</v>
      </c>
      <c r="S218" s="6">
        <v>0</v>
      </c>
      <c r="T218" s="5" t="str">
        <f ca="1">VLOOKUP($U218,OFFSET([5]enemy_skill_sets!$B$1,0,0,COUNTA([5]enemy_skill_sets!$B:$B),MATCH(K$1,[5]enemy_skill_sets!$1:$1,0)-MATCH($U$1,[5]enemy_skill_sets!$1:$1,0)+2),MATCH(K$1,[5]enemy_skill_sets!$1:$1,0)-MATCH($U$1,[5]enemy_skill_sets!$1:$1,0)+2,FALSE)</f>
        <v>ハートパネルで回復できない</v>
      </c>
      <c r="U218" s="51">
        <v>15201</v>
      </c>
      <c r="V218" s="7">
        <v>1</v>
      </c>
      <c r="W218" s="7">
        <v>100</v>
      </c>
      <c r="X218" s="7">
        <v>1</v>
      </c>
      <c r="Y218" s="20">
        <f ca="1">VLOOKUP($J218,OFFSET([3]enemies!$A$1,0,0,COUNTA([3]enemies!$A:$A),MATCH(Y$1,[3]enemies!$1:$1,0)-MATCH($J$1,[3]enemies!$1:$1,0)+1),MATCH(Y$1,[3]enemies!$1:$1,0)-MATCH($J$1,[3]enemies!$1:$1,0)+1,FALSE)</f>
        <v>1</v>
      </c>
      <c r="Z218" s="31">
        <v>152</v>
      </c>
      <c r="AA218" s="5" t="str">
        <f ca="1">IFERROR(VLOOKUP($Z218,OFFSET([4]characters!$A$1,0,0,COUNTA([4]characters!$A:$A),MATCH(AA$1,[4]characters!$1:$1,0)-MATCH("character_id",[4]characters!$1:$1,0)+1),MATCH(AA$1,[4]characters!$1:$1,0)-MATCH("character_id",[4]characters!$1:$1,0)+1,FALSE),"")</f>
        <v>功夫少女ランラン</v>
      </c>
      <c r="AB218" s="5">
        <f ca="1">IFERROR(VLOOKUP($Z218,OFFSET([4]characters!$A$1,0,0,COUNTA([4]characters!$A:$A),MATCH(AB$1,[4]characters!$1:$1,0)-MATCH("character_id",[4]characters!$1:$1,0)+1),MATCH(AB$1,[4]characters!$1:$1,0)-MATCH("character_id",[4]characters!$1:$1,0)+1,FALSE),"")</f>
        <v>3</v>
      </c>
      <c r="AC218" s="5" t="str">
        <f ca="1">IFERROR(VLOOKUP($Z218,OFFSET([4]characters!$A$1,0,0,COUNTA([4]characters!$A:$A),MATCH(AC$1,[4]characters!$1:$1,0)-MATCH("character_id",[4]characters!$1:$1,0)+1),MATCH(AC$1,[4]characters!$1:$1,0)-MATCH("character_id",[4]characters!$1:$1,0)+1,FALSE),"")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218" s="8">
        <v>1</v>
      </c>
      <c r="AE218" s="28">
        <f t="shared" ref="AE218" ca="1" si="239">AB218</f>
        <v>3</v>
      </c>
      <c r="AF218" s="7">
        <v>0</v>
      </c>
      <c r="AG218" s="8">
        <v>0</v>
      </c>
      <c r="AH218" s="8">
        <v>0</v>
      </c>
      <c r="AI218" s="8">
        <v>0</v>
      </c>
      <c r="AJ218" s="8">
        <v>0</v>
      </c>
      <c r="AK218" s="8">
        <v>1</v>
      </c>
      <c r="AL218" s="8">
        <v>1</v>
      </c>
    </row>
    <row r="219" spans="1:38" ht="21" customHeight="1" x14ac:dyDescent="0.15">
      <c r="A219" s="17" t="str">
        <f t="shared" ref="A219:A244" ca="1" si="240">B219&amp;"_"&amp;C219&amp;"-"&amp;G219&amp;"/"&amp;J219&amp;"&lt;lv"&amp;P219&amp;"&gt;s"&amp;Y219</f>
        <v>13101_23-1/13&lt;lv65&gt;s2</v>
      </c>
      <c r="B219" s="26">
        <v>13101</v>
      </c>
      <c r="C219" s="25">
        <v>23</v>
      </c>
      <c r="D219" s="2" t="str">
        <f t="shared" ref="D219:D244" si="241">B219&amp;"_"&amp;C219</f>
        <v>13101_23</v>
      </c>
      <c r="E219" s="5" t="str">
        <f ca="1">VLOOKUP($B219,OFFSET([2]quests!$A$1,0,0,COUNTA([2]quests!$A:$A),MATCH(E$1,[2]quests!$1:$1,0)-MATCH($B$1,[2]quests!$1:$1,0)+1),MATCH(E$1,[2]quests!$1:$1,0)-MATCH($B$1,[2]quests!$1:$1,0)+1,FALSE)</f>
        <v>チャレンジタワー</v>
      </c>
      <c r="F219" s="5" t="e">
        <f ca="1">VLOOKUP($D219,OFFSET([2]stages!$A$1,0,0,COUNTA([2]stages!$A:$A),MATCH(F$1,[2]stages!$1:$1,0)-MATCH($D$1,[2]stages!$1:$1,0)+1),MATCH(F$1,[2]stages!$1:$1,0)-MATCH($D$1,[2]stages!$1:$1,0)+1,FALSE)</f>
        <v>#N/A</v>
      </c>
      <c r="G219" s="33">
        <v>1</v>
      </c>
      <c r="H219" s="16" t="str">
        <f t="shared" ref="H219:H244" si="242">B219&amp;"_"&amp;C219&amp;"-"&amp;G219</f>
        <v>13101_23-1</v>
      </c>
      <c r="I219" s="39" t="s">
        <v>245</v>
      </c>
      <c r="J219" s="31">
        <v>13</v>
      </c>
      <c r="K219" s="20" t="str">
        <f ca="1">VLOOKUP($J219,OFFSET([3]enemies!$A$1,0,0,COUNTA([3]enemies!$A:$A),MATCH(K$1,[3]enemies!$1:$1,0)-MATCH($J$1,[3]enemies!$1:$1,0)+1),MATCH(K$1,[3]enemies!$1:$1,0)-MATCH($J$1,[3]enemies!$1:$1,0)+1,FALSE)</f>
        <v>ミミ</v>
      </c>
      <c r="L219" s="23" t="str">
        <f ca="1">VLOOKUP($J219,OFFSET([3]enemies!$A$1,0,0,COUNTA([3]enemies!$A:$A),MATCH(L$1,[3]enemies!$1:$1,0)-MATCH($J$1,[3]enemies!$1:$1,0)+1),MATCH(L$1,[3]enemies!$1:$1,0)-MATCH($J$1,[3]enemies!$1:$1,0)+1,FALSE)</f>
        <v>yellow</v>
      </c>
      <c r="M219" s="23" t="str">
        <f ca="1">VLOOKUP($J219,OFFSET([4]characters!$A$1,0,0,COUNTA([4]characters!$A:$A),MATCH(M$1,[4]characters!$1:$1,0)-MATCH($J$1,[4]characters!$1:$1,0)+1),MATCH(M$1,[4]characters!$1:$1,0)-MATCH($J$1,[4]characters!$1:$1,0)+1,FALSE)</f>
        <v>Drop1W</v>
      </c>
      <c r="N219" s="22" t="str">
        <f ca="1">VLOOKUP($J219,OFFSET([4]characters!$A$1,0,0,COUNTA([4]characters!$A:$A),MATCH(N$1,[4]characters!$1:$1,0)-MATCH($J$1,[4]characters!$1:$1,0)+2),MATCH(N$1,[4]characters!$1:$1,0)-MATCH($J$1,[4]characters!$1:$1,0)+2,FALSE)</f>
        <v>アニマル</v>
      </c>
      <c r="O219" s="5">
        <f ca="1">VLOOKUP($J219,OFFSET([3]enemies!$A$1,0,0,COUNTA([3]enemies!$A:$A),MATCH(O$1,[3]enemies!$1:$1,0)-MATCH($J$1,[3]enemies!$1:$1,0)+1),MATCH(O$1,[3]enemies!$1:$1,0)-MATCH($J$1,[3]enemies!$1:$1,0)+1,FALSE)</f>
        <v>15</v>
      </c>
      <c r="P219" s="60">
        <v>65</v>
      </c>
      <c r="Q219" s="43">
        <v>1</v>
      </c>
      <c r="R219" s="43">
        <v>1</v>
      </c>
      <c r="S219" s="6">
        <v>0</v>
      </c>
      <c r="T219" s="5" t="str">
        <f ca="1">VLOOKUP($U219,OFFSET([5]enemy_skill_sets!$B$1,0,0,COUNTA([5]enemy_skill_sets!$B:$B),MATCH(K$1,[5]enemy_skill_sets!$1:$1,0)-MATCH($U$1,[5]enemy_skill_sets!$1:$1,0)+2),MATCH(K$1,[5]enemy_skill_sets!$1:$1,0)-MATCH($U$1,[5]enemy_skill_sets!$1:$1,0)+2,FALSE)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19" s="5">
        <f ca="1">VLOOKUP($J219,OFFSET([3]enemies!$A$1,0,0,COUNTA([3]enemies!$A:$A),MATCH(U$1,[3]enemies!$1:$1,0)-MATCH($J$1,[3]enemies!$1:$1,0)+1),MATCH(U$1,[3]enemies!$1:$1,0)-MATCH($J$1,[3]enemies!$1:$1,0)+1,FALSE)</f>
        <v>0</v>
      </c>
      <c r="V219" s="7">
        <v>1</v>
      </c>
      <c r="W219" s="7">
        <v>100</v>
      </c>
      <c r="X219" s="7">
        <v>0</v>
      </c>
      <c r="Y219" s="20">
        <f ca="1">VLOOKUP($J219,OFFSET([3]enemies!$A$1,0,0,COUNTA([3]enemies!$A:$A),MATCH(Y$1,[3]enemies!$1:$1,0)-MATCH($J$1,[3]enemies!$1:$1,0)+1),MATCH(Y$1,[3]enemies!$1:$1,0)-MATCH($J$1,[3]enemies!$1:$1,0)+1,FALSE)</f>
        <v>2</v>
      </c>
      <c r="Z219" s="31">
        <v>13</v>
      </c>
      <c r="AA219" s="5" t="str">
        <f ca="1">IFERROR(VLOOKUP($Z219,OFFSET([4]characters!$A$1,0,0,COUNTA([4]characters!$A:$A),MATCH(AA$1,[4]characters!$1:$1,0)-MATCH("character_id",[4]characters!$1:$1,0)+1),MATCH(AA$1,[4]characters!$1:$1,0)-MATCH("character_id",[4]characters!$1:$1,0)+1,FALSE),"")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219" s="5">
        <f ca="1">IFERROR(VLOOKUP($Z219,OFFSET([4]characters!$A$1,0,0,COUNTA([4]characters!$A:$A),MATCH(AB$1,[4]characters!$1:$1,0)-MATCH("character_id",[4]characters!$1:$1,0)+1),MATCH(AB$1,[4]characters!$1:$1,0)-MATCH("character_id",[4]characters!$1:$1,0)+1,FALSE),"")</f>
        <v>1</v>
      </c>
      <c r="AC219" s="5" t="str">
        <f ca="1">IFERROR(VLOOKUP($Z219,OFFSET([4]characters!$A$1,0,0,COUNTA([4]characters!$A:$A),MATCH(AC$1,[4]characters!$1:$1,0)-MATCH("character_id",[4]characters!$1:$1,0)+1),MATCH(AC$1,[4]characters!$1:$1,0)-MATCH("character_id",[4]characters!$1:$1,0)+1,FALSE),"")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19" s="8">
        <v>1</v>
      </c>
      <c r="AE219" s="28">
        <f t="shared" ref="AE219:AE244" ca="1" si="243">AB219</f>
        <v>1</v>
      </c>
      <c r="AF219" s="7">
        <v>25</v>
      </c>
      <c r="AG219" s="8">
        <v>0</v>
      </c>
      <c r="AH219" s="8">
        <v>0</v>
      </c>
      <c r="AI219" s="8">
        <v>0</v>
      </c>
      <c r="AJ219" s="8">
        <v>0</v>
      </c>
      <c r="AK219" s="8">
        <v>1</v>
      </c>
      <c r="AL219" s="8">
        <v>1</v>
      </c>
    </row>
    <row r="220" spans="1:38" ht="21" customHeight="1" x14ac:dyDescent="0.15">
      <c r="A220" s="17" t="str">
        <f t="shared" ca="1" si="240"/>
        <v>13101_23-1/19&lt;lv65&gt;s3</v>
      </c>
      <c r="B220" s="26">
        <v>13101</v>
      </c>
      <c r="C220" s="25">
        <v>23</v>
      </c>
      <c r="D220" s="2" t="str">
        <f t="shared" si="241"/>
        <v>13101_23</v>
      </c>
      <c r="E220" s="5" t="str">
        <f ca="1">VLOOKUP($B220,OFFSET([2]quests!$A$1,0,0,COUNTA([2]quests!$A:$A),MATCH(E$1,[2]quests!$1:$1,0)-MATCH($B$1,[2]quests!$1:$1,0)+1),MATCH(E$1,[2]quests!$1:$1,0)-MATCH($B$1,[2]quests!$1:$1,0)+1,FALSE)</f>
        <v>チャレンジタワー</v>
      </c>
      <c r="F220" s="5" t="e">
        <f ca="1">VLOOKUP($D220,OFFSET([2]stages!$A$1,0,0,COUNTA([2]stages!$A:$A),MATCH(F$1,[2]stages!$1:$1,0)-MATCH($D$1,[2]stages!$1:$1,0)+1),MATCH(F$1,[2]stages!$1:$1,0)-MATCH($D$1,[2]stages!$1:$1,0)+1,FALSE)</f>
        <v>#N/A</v>
      </c>
      <c r="G220" s="33">
        <v>1</v>
      </c>
      <c r="H220" s="16" t="str">
        <f t="shared" si="242"/>
        <v>13101_23-1</v>
      </c>
      <c r="I220" s="39" t="s">
        <v>245</v>
      </c>
      <c r="J220" s="31">
        <v>19</v>
      </c>
      <c r="K220" s="20" t="str">
        <f ca="1">VLOOKUP($J220,OFFSET([3]enemies!$A$1,0,0,COUNTA([3]enemies!$A:$A),MATCH(K$1,[3]enemies!$1:$1,0)-MATCH($J$1,[3]enemies!$1:$1,0)+1),MATCH(K$1,[3]enemies!$1:$1,0)-MATCH($J$1,[3]enemies!$1:$1,0)+1,FALSE)</f>
        <v>ティンク</v>
      </c>
      <c r="L220" s="23" t="str">
        <f ca="1">VLOOKUP($J220,OFFSET([3]enemies!$A$1,0,0,COUNTA([3]enemies!$A:$A),MATCH(L$1,[3]enemies!$1:$1,0)-MATCH($J$1,[3]enemies!$1:$1,0)+1),MATCH(L$1,[3]enemies!$1:$1,0)-MATCH($J$1,[3]enemies!$1:$1,0)+1,FALSE)</f>
        <v>yellow</v>
      </c>
      <c r="M220" s="23" t="str">
        <f ca="1">VLOOKUP($J220,OFFSET([4]characters!$A$1,0,0,COUNTA([4]characters!$A:$A),MATCH(M$1,[4]characters!$1:$1,0)-MATCH($J$1,[4]characters!$1:$1,0)+1),MATCH(M$1,[4]characters!$1:$1,0)-MATCH($J$1,[4]characters!$1:$1,0)+1,FALSE)</f>
        <v>Drop1W</v>
      </c>
      <c r="N220" s="22" t="str">
        <f ca="1">VLOOKUP($J220,OFFSET([4]characters!$A$1,0,0,COUNTA([4]characters!$A:$A),MATCH(N$1,[4]characters!$1:$1,0)-MATCH($J$1,[4]characters!$1:$1,0)+2),MATCH(N$1,[4]characters!$1:$1,0)-MATCH($J$1,[4]characters!$1:$1,0)+2,FALSE)</f>
        <v>ヒューマン</v>
      </c>
      <c r="O220" s="5">
        <f ca="1">VLOOKUP($J220,OFFSET([3]enemies!$A$1,0,0,COUNTA([3]enemies!$A:$A),MATCH(O$1,[3]enemies!$1:$1,0)-MATCH($J$1,[3]enemies!$1:$1,0)+1),MATCH(O$1,[3]enemies!$1:$1,0)-MATCH($J$1,[3]enemies!$1:$1,0)+1,FALSE)</f>
        <v>15</v>
      </c>
      <c r="P220" s="60">
        <v>65</v>
      </c>
      <c r="Q220" s="43">
        <v>1</v>
      </c>
      <c r="R220" s="43">
        <v>1</v>
      </c>
      <c r="S220" s="6">
        <v>0</v>
      </c>
      <c r="T220" s="5" t="str">
        <f ca="1">VLOOKUP($U220,OFFSET([5]enemy_skill_sets!$B$1,0,0,COUNTA([5]enemy_skill_sets!$B:$B),MATCH(K$1,[5]enemy_skill_sets!$1:$1,0)-MATCH($U$1,[5]enemy_skill_sets!$1:$1,0)+2),MATCH(K$1,[5]enemy_skill_sets!$1:$1,0)-MATCH($U$1,[5]enemy_skill_sets!$1:$1,0)+2,FALSE)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20" s="5">
        <f ca="1">VLOOKUP($J220,OFFSET([3]enemies!$A$1,0,0,COUNTA([3]enemies!$A:$A),MATCH(U$1,[3]enemies!$1:$1,0)-MATCH($J$1,[3]enemies!$1:$1,0)+1),MATCH(U$1,[3]enemies!$1:$1,0)-MATCH($J$1,[3]enemies!$1:$1,0)+1,FALSE)</f>
        <v>0</v>
      </c>
      <c r="V220" s="44">
        <v>0</v>
      </c>
      <c r="W220" s="7">
        <v>100</v>
      </c>
      <c r="X220" s="7">
        <v>0</v>
      </c>
      <c r="Y220" s="20">
        <f ca="1">VLOOKUP($J220,OFFSET([3]enemies!$A$1,0,0,COUNTA([3]enemies!$A:$A),MATCH(Y$1,[3]enemies!$1:$1,0)-MATCH($J$1,[3]enemies!$1:$1,0)+1),MATCH(Y$1,[3]enemies!$1:$1,0)-MATCH($J$1,[3]enemies!$1:$1,0)+1,FALSE)</f>
        <v>3</v>
      </c>
      <c r="Z220" s="31">
        <v>19</v>
      </c>
      <c r="AA220" s="5" t="str">
        <f ca="1">IFERROR(VLOOKUP($Z220,OFFSET([4]characters!$A$1,0,0,COUNTA([4]characters!$A:$A),MATCH(AA$1,[4]characters!$1:$1,0)-MATCH("character_id",[4]characters!$1:$1,0)+1),MATCH(AA$1,[4]characters!$1:$1,0)-MATCH("character_id",[4]characters!$1:$1,0)+1,FALSE),"")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220" s="5">
        <f ca="1">IFERROR(VLOOKUP($Z220,OFFSET([4]characters!$A$1,0,0,COUNTA([4]characters!$A:$A),MATCH(AB$1,[4]characters!$1:$1,0)-MATCH("character_id",[4]characters!$1:$1,0)+1),MATCH(AB$1,[4]characters!$1:$1,0)-MATCH("character_id",[4]characters!$1:$1,0)+1,FALSE),"")</f>
        <v>1</v>
      </c>
      <c r="AC220" s="5" t="str">
        <f ca="1">IFERROR(VLOOKUP($Z220,OFFSET([4]characters!$A$1,0,0,COUNTA([4]characters!$A:$A),MATCH(AC$1,[4]characters!$1:$1,0)-MATCH("character_id",[4]characters!$1:$1,0)+1),MATCH(AC$1,[4]characters!$1:$1,0)-MATCH("character_id",[4]characters!$1:$1,0)+1,FALSE),"")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20" s="8">
        <v>1</v>
      </c>
      <c r="AE220" s="28">
        <f t="shared" ca="1" si="243"/>
        <v>1</v>
      </c>
      <c r="AF220" s="7">
        <v>25</v>
      </c>
      <c r="AG220" s="8">
        <v>0</v>
      </c>
      <c r="AH220" s="8">
        <v>0</v>
      </c>
      <c r="AI220" s="8">
        <v>0</v>
      </c>
      <c r="AJ220" s="8">
        <v>0</v>
      </c>
      <c r="AK220" s="8">
        <v>1</v>
      </c>
      <c r="AL220" s="8">
        <v>1</v>
      </c>
    </row>
    <row r="221" spans="1:38" ht="21" customHeight="1" x14ac:dyDescent="0.15">
      <c r="A221" s="17" t="str">
        <f t="shared" ca="1" si="240"/>
        <v>13101_23-2/47&lt;lv65&gt;s1</v>
      </c>
      <c r="B221" s="26">
        <v>13101</v>
      </c>
      <c r="C221" s="25">
        <v>23</v>
      </c>
      <c r="D221" s="2" t="str">
        <f t="shared" si="241"/>
        <v>13101_23</v>
      </c>
      <c r="E221" s="5" t="str">
        <f ca="1">VLOOKUP($B221,OFFSET([2]quests!$A$1,0,0,COUNTA([2]quests!$A:$A),MATCH(E$1,[2]quests!$1:$1,0)-MATCH($B$1,[2]quests!$1:$1,0)+1),MATCH(E$1,[2]quests!$1:$1,0)-MATCH($B$1,[2]quests!$1:$1,0)+1,FALSE)</f>
        <v>チャレンジタワー</v>
      </c>
      <c r="F221" s="5" t="e">
        <f ca="1">VLOOKUP($D221,OFFSET([2]stages!$A$1,0,0,COUNTA([2]stages!$A:$A),MATCH(F$1,[2]stages!$1:$1,0)-MATCH($D$1,[2]stages!$1:$1,0)+1),MATCH(F$1,[2]stages!$1:$1,0)-MATCH($D$1,[2]stages!$1:$1,0)+1,FALSE)</f>
        <v>#N/A</v>
      </c>
      <c r="G221" s="33">
        <v>2</v>
      </c>
      <c r="H221" s="16" t="str">
        <f t="shared" si="242"/>
        <v>13101_23-2</v>
      </c>
      <c r="I221" s="39" t="s">
        <v>245</v>
      </c>
      <c r="J221" s="31">
        <v>47</v>
      </c>
      <c r="K221" s="20" t="str">
        <f ca="1">VLOOKUP($J221,OFFSET([3]enemies!$A$1,0,0,COUNTA([3]enemies!$A:$A),MATCH(K$1,[3]enemies!$1:$1,0)-MATCH($J$1,[3]enemies!$1:$1,0)+1),MATCH(K$1,[3]enemies!$1:$1,0)-MATCH($J$1,[3]enemies!$1:$1,0)+1,FALSE)</f>
        <v>ヒロ</v>
      </c>
      <c r="L221" s="23" t="str">
        <f ca="1">VLOOKUP($J221,OFFSET([3]enemies!$A$1,0,0,COUNTA([3]enemies!$A:$A),MATCH(L$1,[3]enemies!$1:$1,0)-MATCH($J$1,[3]enemies!$1:$1,0)+1),MATCH(L$1,[3]enemies!$1:$1,0)-MATCH($J$1,[3]enemies!$1:$1,0)+1,FALSE)</f>
        <v>yellow</v>
      </c>
      <c r="M221" s="23" t="str">
        <f ca="1">VLOOKUP($J221,OFFSET([4]characters!$A$1,0,0,COUNTA([4]characters!$A:$A),MATCH(M$1,[4]characters!$1:$1,0)-MATCH($J$1,[4]characters!$1:$1,0)+1),MATCH(M$1,[4]characters!$1:$1,0)-MATCH($J$1,[4]characters!$1:$1,0)+1,FALSE)</f>
        <v>Drop1N</v>
      </c>
      <c r="N221" s="22" t="str">
        <f ca="1">VLOOKUP($J221,OFFSET([4]characters!$A$1,0,0,COUNTA([4]characters!$A:$A),MATCH(N$1,[4]characters!$1:$1,0)-MATCH($J$1,[4]characters!$1:$1,0)+2),MATCH(N$1,[4]characters!$1:$1,0)-MATCH($J$1,[4]characters!$1:$1,0)+2,FALSE)</f>
        <v>アニマル</v>
      </c>
      <c r="O221" s="5">
        <f ca="1">VLOOKUP($J221,OFFSET([3]enemies!$A$1,0,0,COUNTA([3]enemies!$A:$A),MATCH(O$1,[3]enemies!$1:$1,0)-MATCH($J$1,[3]enemies!$1:$1,0)+1),MATCH(O$1,[3]enemies!$1:$1,0)-MATCH($J$1,[3]enemies!$1:$1,0)+1,FALSE)</f>
        <v>15</v>
      </c>
      <c r="P221" s="60">
        <v>65</v>
      </c>
      <c r="Q221" s="43">
        <v>1</v>
      </c>
      <c r="R221" s="43">
        <v>1</v>
      </c>
      <c r="S221" s="6">
        <v>0</v>
      </c>
      <c r="T221" s="5" t="str">
        <f ca="1">VLOOKUP($U221,OFFSET([5]enemy_skill_sets!$B$1,0,0,COUNTA([5]enemy_skill_sets!$B:$B),MATCH(K$1,[5]enemy_skill_sets!$1:$1,0)-MATCH($U$1,[5]enemy_skill_sets!$1:$1,0)+2),MATCH(K$1,[5]enemy_skill_sets!$1:$1,0)-MATCH($U$1,[5]enemy_skill_sets!$1:$1,0)+2,FALSE)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21" s="5">
        <f ca="1">VLOOKUP($J221,OFFSET([3]enemies!$A$1,0,0,COUNTA([3]enemies!$A:$A),MATCH(U$1,[3]enemies!$1:$1,0)-MATCH($J$1,[3]enemies!$1:$1,0)+1),MATCH(U$1,[3]enemies!$1:$1,0)-MATCH($J$1,[3]enemies!$1:$1,0)+1,FALSE)</f>
        <v>0</v>
      </c>
      <c r="V221" s="44">
        <v>0</v>
      </c>
      <c r="W221" s="7">
        <v>100</v>
      </c>
      <c r="X221" s="7">
        <v>0</v>
      </c>
      <c r="Y221" s="20">
        <f ca="1">VLOOKUP($J221,OFFSET([3]enemies!$A$1,0,0,COUNTA([3]enemies!$A:$A),MATCH(Y$1,[3]enemies!$1:$1,0)-MATCH($J$1,[3]enemies!$1:$1,0)+1),MATCH(Y$1,[3]enemies!$1:$1,0)-MATCH($J$1,[3]enemies!$1:$1,0)+1,FALSE)</f>
        <v>1</v>
      </c>
      <c r="Z221" s="31">
        <v>47</v>
      </c>
      <c r="AA221" s="5" t="str">
        <f ca="1">IFERROR(VLOOKUP($Z221,OFFSET([4]characters!$A$1,0,0,COUNTA([4]characters!$A:$A),MATCH(AA$1,[4]characters!$1:$1,0)-MATCH("character_id",[4]characters!$1:$1,0)+1),MATCH(AA$1,[4]characters!$1:$1,0)-MATCH("character_id",[4]characters!$1:$1,0)+1,FALSE),"")</f>
        <v>ヒロ</v>
      </c>
      <c r="AB221" s="5">
        <f ca="1">IFERROR(VLOOKUP($Z221,OFFSET([4]characters!$A$1,0,0,COUNTA([4]characters!$A:$A),MATCH(AB$1,[4]characters!$1:$1,0)-MATCH("character_id",[4]characters!$1:$1,0)+1),MATCH(AB$1,[4]characters!$1:$1,0)-MATCH("character_id",[4]characters!$1:$1,0)+1,FALSE),"")</f>
        <v>2</v>
      </c>
      <c r="AC221" s="5" t="str">
        <f ca="1">IFERROR(VLOOKUP($Z221,OFFSET([4]characters!$A$1,0,0,COUNTA([4]characters!$A:$A),MATCH(AC$1,[4]characters!$1:$1,0)-MATCH("character_id",[4]characters!$1:$1,0)+1),MATCH(AC$1,[4]characters!$1:$1,0)-MATCH("character_id",[4]characters!$1:$1,0)+1,FALSE),"")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21" s="8">
        <v>1</v>
      </c>
      <c r="AE221" s="28">
        <f t="shared" ca="1" si="243"/>
        <v>2</v>
      </c>
      <c r="AF221" s="7">
        <v>25</v>
      </c>
      <c r="AG221" s="8">
        <v>0</v>
      </c>
      <c r="AH221" s="8">
        <v>0</v>
      </c>
      <c r="AI221" s="8">
        <v>0</v>
      </c>
      <c r="AJ221" s="8">
        <v>0</v>
      </c>
      <c r="AK221" s="8">
        <v>1</v>
      </c>
      <c r="AL221" s="8">
        <v>1</v>
      </c>
    </row>
    <row r="222" spans="1:38" ht="21" customHeight="1" x14ac:dyDescent="0.15">
      <c r="A222" s="17" t="str">
        <f t="shared" ref="A222" ca="1" si="244">B222&amp;"_"&amp;C222&amp;"-"&amp;G222&amp;"/"&amp;J222&amp;"&lt;lv"&amp;P222&amp;"&gt;s"&amp;Y222</f>
        <v>13101_23-2/32&lt;lv65&gt;s5</v>
      </c>
      <c r="B222" s="26">
        <v>13101</v>
      </c>
      <c r="C222" s="25">
        <v>23</v>
      </c>
      <c r="D222" s="2" t="str">
        <f t="shared" ref="D222" si="245">B222&amp;"_"&amp;C222</f>
        <v>13101_23</v>
      </c>
      <c r="E222" s="5" t="str">
        <f ca="1">VLOOKUP($B222,OFFSET([2]quests!$A$1,0,0,COUNTA([2]quests!$A:$A),MATCH(E$1,[2]quests!$1:$1,0)-MATCH($B$1,[2]quests!$1:$1,0)+1),MATCH(E$1,[2]quests!$1:$1,0)-MATCH($B$1,[2]quests!$1:$1,0)+1,FALSE)</f>
        <v>チャレンジタワー</v>
      </c>
      <c r="F222" s="5" t="e">
        <f ca="1">VLOOKUP($D222,OFFSET([2]stages!$A$1,0,0,COUNTA([2]stages!$A:$A),MATCH(F$1,[2]stages!$1:$1,0)-MATCH($D$1,[2]stages!$1:$1,0)+1),MATCH(F$1,[2]stages!$1:$1,0)-MATCH($D$1,[2]stages!$1:$1,0)+1,FALSE)</f>
        <v>#N/A</v>
      </c>
      <c r="G222" s="33">
        <v>2</v>
      </c>
      <c r="H222" s="16" t="str">
        <f t="shared" ref="H222" si="246">B222&amp;"_"&amp;C222&amp;"-"&amp;G222</f>
        <v>13101_23-2</v>
      </c>
      <c r="I222" s="39" t="s">
        <v>245</v>
      </c>
      <c r="J222" s="31">
        <v>32</v>
      </c>
      <c r="K222" s="20" t="str">
        <f ca="1">VLOOKUP($J222,OFFSET([3]enemies!$A$1,0,0,COUNTA([3]enemies!$A:$A),MATCH(K$1,[3]enemies!$1:$1,0)-MATCH($J$1,[3]enemies!$1:$1,0)+1),MATCH(K$1,[3]enemies!$1:$1,0)-MATCH($J$1,[3]enemies!$1:$1,0)+1,FALSE)</f>
        <v>沈黙のジャミング マービー</v>
      </c>
      <c r="L222" s="23" t="str">
        <f ca="1">VLOOKUP($J222,OFFSET([3]enemies!$A$1,0,0,COUNTA([3]enemies!$A:$A),MATCH(L$1,[3]enemies!$1:$1,0)-MATCH($J$1,[3]enemies!$1:$1,0)+1),MATCH(L$1,[3]enemies!$1:$1,0)-MATCH($J$1,[3]enemies!$1:$1,0)+1,FALSE)</f>
        <v>yellow</v>
      </c>
      <c r="M222" s="23" t="str">
        <f ca="1">VLOOKUP($J222,OFFSET([4]characters!$A$1,0,0,COUNTA([4]characters!$A:$A),MATCH(M$1,[4]characters!$1:$1,0)-MATCH($J$1,[4]characters!$1:$1,0)+1),MATCH(M$1,[4]characters!$1:$1,0)-MATCH($J$1,[4]characters!$1:$1,0)+1,FALSE)</f>
        <v>Drop1N</v>
      </c>
      <c r="N222" s="22" t="str">
        <f ca="1">VLOOKUP($J222,OFFSET([4]characters!$A$1,0,0,COUNTA([4]characters!$A:$A),MATCH(N$1,[4]characters!$1:$1,0)-MATCH($J$1,[4]characters!$1:$1,0)+2),MATCH(N$1,[4]characters!$1:$1,0)-MATCH($J$1,[4]characters!$1:$1,0)+2,FALSE)</f>
        <v>マシン</v>
      </c>
      <c r="O222" s="5">
        <f ca="1">VLOOKUP($J222,OFFSET([3]enemies!$A$1,0,0,COUNTA([3]enemies!$A:$A),MATCH(O$1,[3]enemies!$1:$1,0)-MATCH($J$1,[3]enemies!$1:$1,0)+1),MATCH(O$1,[3]enemies!$1:$1,0)-MATCH($J$1,[3]enemies!$1:$1,0)+1,FALSE)</f>
        <v>15</v>
      </c>
      <c r="P222" s="60">
        <v>65</v>
      </c>
      <c r="Q222" s="43">
        <v>1</v>
      </c>
      <c r="R222" s="43">
        <v>1</v>
      </c>
      <c r="S222" s="6">
        <v>0</v>
      </c>
      <c r="T222" s="5" t="str">
        <f ca="1">VLOOKUP($U222,OFFSET([5]enemy_skill_sets!$B$1,0,0,COUNTA([5]enemy_skill_sets!$B:$B),MATCH(K$1,[5]enemy_skill_sets!$1:$1,0)-MATCH($U$1,[5]enemy_skill_sets!$1:$1,0)+2),MATCH(K$1,[5]enemy_skill_sets!$1:$1,0)-MATCH($U$1,[5]enemy_skill_sets!$1:$1,0)+2,FALSE)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22" s="5">
        <f ca="1">VLOOKUP($J222,OFFSET([3]enemies!$A$1,0,0,COUNTA([3]enemies!$A:$A),MATCH(U$1,[3]enemies!$1:$1,0)-MATCH($J$1,[3]enemies!$1:$1,0)+1),MATCH(U$1,[3]enemies!$1:$1,0)-MATCH($J$1,[3]enemies!$1:$1,0)+1,FALSE)</f>
        <v>0</v>
      </c>
      <c r="V222" s="44">
        <v>0</v>
      </c>
      <c r="W222" s="7">
        <v>100</v>
      </c>
      <c r="X222" s="7">
        <v>0</v>
      </c>
      <c r="Y222" s="20">
        <f ca="1">VLOOKUP($J222,OFFSET([3]enemies!$A$1,0,0,COUNTA([3]enemies!$A:$A),MATCH(Y$1,[3]enemies!$1:$1,0)-MATCH($J$1,[3]enemies!$1:$1,0)+1),MATCH(Y$1,[3]enemies!$1:$1,0)-MATCH($J$1,[3]enemies!$1:$1,0)+1,FALSE)</f>
        <v>5</v>
      </c>
      <c r="Z222" s="31">
        <v>31</v>
      </c>
      <c r="AA222" s="5" t="str">
        <f ca="1">IFERROR(VLOOKUP($Z222,OFFSET([4]characters!$A$1,0,0,COUNTA([4]characters!$A:$A),MATCH(AA$1,[4]characters!$1:$1,0)-MATCH("character_id",[4]characters!$1:$1,0)+1),MATCH(AA$1,[4]characters!$1:$1,0)-MATCH("character_id",[4]characters!$1:$1,0)+1,FALSE),"")</f>
        <v>マービー</v>
      </c>
      <c r="AB222" s="5">
        <f ca="1">IFERROR(VLOOKUP($Z222,OFFSET([4]characters!$A$1,0,0,COUNTA([4]characters!$A:$A),MATCH(AB$1,[4]characters!$1:$1,0)-MATCH("character_id",[4]characters!$1:$1,0)+1),MATCH(AB$1,[4]characters!$1:$1,0)-MATCH("character_id",[4]characters!$1:$1,0)+1,FALSE),"")</f>
        <v>1</v>
      </c>
      <c r="AC222" s="5" t="str">
        <f ca="1">IFERROR(VLOOKUP($Z222,OFFSET([4]characters!$A$1,0,0,COUNTA([4]characters!$A:$A),MATCH(AC$1,[4]characters!$1:$1,0)-MATCH("character_id",[4]characters!$1:$1,0)+1),MATCH(AC$1,[4]characters!$1:$1,0)-MATCH("character_id",[4]characters!$1:$1,0)+1,FALSE),"")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22" s="8">
        <v>1</v>
      </c>
      <c r="AE222" s="28">
        <f t="shared" ref="AE222" ca="1" si="247">AB222</f>
        <v>1</v>
      </c>
      <c r="AF222" s="7">
        <v>25</v>
      </c>
      <c r="AG222" s="8">
        <v>0</v>
      </c>
      <c r="AH222" s="8">
        <v>0</v>
      </c>
      <c r="AI222" s="8">
        <v>0</v>
      </c>
      <c r="AJ222" s="8">
        <v>0</v>
      </c>
      <c r="AK222" s="8">
        <v>1</v>
      </c>
      <c r="AL222" s="8">
        <v>1</v>
      </c>
    </row>
    <row r="223" spans="1:38" ht="21" customHeight="1" x14ac:dyDescent="0.15">
      <c r="A223" s="17" t="str">
        <f t="shared" ca="1" si="240"/>
        <v>13101_23-3/165&lt;lv63&gt;s3</v>
      </c>
      <c r="B223" s="26">
        <v>13101</v>
      </c>
      <c r="C223" s="25">
        <v>23</v>
      </c>
      <c r="D223" s="2" t="str">
        <f t="shared" si="241"/>
        <v>13101_23</v>
      </c>
      <c r="E223" s="5" t="str">
        <f ca="1">VLOOKUP($B223,OFFSET([2]quests!$A$1,0,0,COUNTA([2]quests!$A:$A),MATCH(E$1,[2]quests!$1:$1,0)-MATCH($B$1,[2]quests!$1:$1,0)+1),MATCH(E$1,[2]quests!$1:$1,0)-MATCH($B$1,[2]quests!$1:$1,0)+1,FALSE)</f>
        <v>チャレンジタワー</v>
      </c>
      <c r="F223" s="5" t="e">
        <f ca="1">VLOOKUP($D223,OFFSET([2]stages!$A$1,0,0,COUNTA([2]stages!$A:$A),MATCH(F$1,[2]stages!$1:$1,0)-MATCH($D$1,[2]stages!$1:$1,0)+1),MATCH(F$1,[2]stages!$1:$1,0)-MATCH($D$1,[2]stages!$1:$1,0)+1,FALSE)</f>
        <v>#N/A</v>
      </c>
      <c r="G223" s="56">
        <v>3</v>
      </c>
      <c r="H223" s="16" t="str">
        <f t="shared" si="242"/>
        <v>13101_23-3</v>
      </c>
      <c r="I223" s="39" t="s">
        <v>245</v>
      </c>
      <c r="J223" s="31">
        <v>165</v>
      </c>
      <c r="K223" s="20" t="str">
        <f ca="1">VLOOKUP($J223,OFFSET([3]enemies!$A$1,0,0,COUNTA([3]enemies!$A:$A),MATCH(K$1,[3]enemies!$1:$1,0)-MATCH($J$1,[3]enemies!$1:$1,0)+1),MATCH(K$1,[3]enemies!$1:$1,0)-MATCH($J$1,[3]enemies!$1:$1,0)+1,FALSE)</f>
        <v>イブとたったひとりのトモダチ</v>
      </c>
      <c r="L223" s="23" t="str">
        <f ca="1">VLOOKUP($J223,OFFSET([3]enemies!$A$1,0,0,COUNTA([3]enemies!$A:$A),MATCH(L$1,[3]enemies!$1:$1,0)-MATCH($J$1,[3]enemies!$1:$1,0)+1),MATCH(L$1,[3]enemies!$1:$1,0)-MATCH($J$1,[3]enemies!$1:$1,0)+1,FALSE)</f>
        <v>yellow</v>
      </c>
      <c r="M223" s="23" t="str">
        <f ca="1">VLOOKUP($J223,OFFSET([4]characters!$A$1,0,0,COUNTA([4]characters!$A:$A),MATCH(M$1,[4]characters!$1:$1,0)-MATCH($J$1,[4]characters!$1:$1,0)+1),MATCH(M$1,[4]characters!$1:$1,0)-MATCH($J$1,[4]characters!$1:$1,0)+1,FALSE)</f>
        <v>PremiumW</v>
      </c>
      <c r="N223" s="22" t="str">
        <f ca="1">VLOOKUP($J223,OFFSET([4]characters!$A$1,0,0,COUNTA([4]characters!$A:$A),MATCH(N$1,[4]characters!$1:$1,0)-MATCH($J$1,[4]characters!$1:$1,0)+2),MATCH(N$1,[4]characters!$1:$1,0)-MATCH($J$1,[4]characters!$1:$1,0)+2,FALSE)</f>
        <v>ヒューマン</v>
      </c>
      <c r="O223" s="5">
        <f ca="1">VLOOKUP($J223,OFFSET([3]enemies!$A$1,0,0,COUNTA([3]enemies!$A:$A),MATCH(O$1,[3]enemies!$1:$1,0)-MATCH($J$1,[3]enemies!$1:$1,0)+1),MATCH(O$1,[3]enemies!$1:$1,0)-MATCH($J$1,[3]enemies!$1:$1,0)+1,FALSE)</f>
        <v>30</v>
      </c>
      <c r="P223" s="46">
        <v>63</v>
      </c>
      <c r="Q223" s="43">
        <v>1.5</v>
      </c>
      <c r="R223" s="43">
        <v>1</v>
      </c>
      <c r="S223" s="6">
        <v>0</v>
      </c>
      <c r="T223" s="5" t="str">
        <f ca="1">VLOOKUP($U223,OFFSET([5]enemy_skill_sets!$B$1,0,0,COUNTA([5]enemy_skill_sets!$B:$B),MATCH(K$1,[5]enemy_skill_sets!$1:$1,0)-MATCH($U$1,[5]enemy_skill_sets!$1:$1,0)+2),MATCH(K$1,[5]enemy_skill_sets!$1:$1,0)-MATCH($U$1,[5]enemy_skill_sets!$1:$1,0)+2,FALSE)</f>
        <v>少しだけお邪魔パネル出現</v>
      </c>
      <c r="U223" s="51">
        <v>16401</v>
      </c>
      <c r="V223" s="44">
        <v>1</v>
      </c>
      <c r="W223" s="7">
        <v>100</v>
      </c>
      <c r="X223" s="7">
        <v>1</v>
      </c>
      <c r="Y223" s="20">
        <f ca="1">VLOOKUP($J223,OFFSET([3]enemies!$A$1,0,0,COUNTA([3]enemies!$A:$A),MATCH(Y$1,[3]enemies!$1:$1,0)-MATCH($J$1,[3]enemies!$1:$1,0)+1),MATCH(Y$1,[3]enemies!$1:$1,0)-MATCH($J$1,[3]enemies!$1:$1,0)+1,FALSE)</f>
        <v>3</v>
      </c>
      <c r="Z223" s="31">
        <v>164</v>
      </c>
      <c r="AA223" s="5" t="str">
        <f ca="1">IFERROR(VLOOKUP($Z223,OFFSET([4]characters!$A$1,0,0,COUNTA([4]characters!$A:$A),MATCH(AA$1,[4]characters!$1:$1,0)-MATCH("character_id",[4]characters!$1:$1,0)+1),MATCH(AA$1,[4]characters!$1:$1,0)-MATCH("character_id",[4]characters!$1:$1,0)+1,FALSE),"")</f>
        <v>イブとトモダチ</v>
      </c>
      <c r="AB223" s="5">
        <f ca="1">IFERROR(VLOOKUP($Z223,OFFSET([4]characters!$A$1,0,0,COUNTA([4]characters!$A:$A),MATCH(AB$1,[4]characters!$1:$1,0)-MATCH("character_id",[4]characters!$1:$1,0)+1),MATCH(AB$1,[4]characters!$1:$1,0)-MATCH("character_id",[4]characters!$1:$1,0)+1,FALSE),"")</f>
        <v>3</v>
      </c>
      <c r="AC223" s="5" t="str">
        <f ca="1">IFERROR(VLOOKUP($Z223,OFFSET([4]characters!$A$1,0,0,COUNTA([4]characters!$A:$A),MATCH(AC$1,[4]characters!$1:$1,0)-MATCH("character_id",[4]characters!$1:$1,0)+1),MATCH(AC$1,[4]characters!$1:$1,0)-MATCH("character_id",[4]characters!$1:$1,0)+1,FALSE),"")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223" s="8">
        <v>1</v>
      </c>
      <c r="AE223" s="28">
        <f t="shared" ca="1" si="243"/>
        <v>3</v>
      </c>
      <c r="AF223" s="7">
        <v>0</v>
      </c>
      <c r="AG223" s="8">
        <v>0</v>
      </c>
      <c r="AH223" s="8">
        <v>0</v>
      </c>
      <c r="AI223" s="8">
        <v>0</v>
      </c>
      <c r="AJ223" s="8">
        <v>0</v>
      </c>
      <c r="AK223" s="8">
        <v>1</v>
      </c>
      <c r="AL223" s="8">
        <v>1</v>
      </c>
    </row>
    <row r="224" spans="1:38" ht="21" customHeight="1" x14ac:dyDescent="0.15">
      <c r="A224" s="17" t="str">
        <f t="shared" ca="1" si="240"/>
        <v>13101_23-3/14&lt;lv65&gt;s2</v>
      </c>
      <c r="B224" s="26">
        <v>13101</v>
      </c>
      <c r="C224" s="30">
        <v>23</v>
      </c>
      <c r="D224" s="16" t="str">
        <f t="shared" si="241"/>
        <v>13101_23</v>
      </c>
      <c r="E224" s="5" t="e">
        <v>#VALUE!</v>
      </c>
      <c r="F224" s="5" t="e">
        <v>#N/A</v>
      </c>
      <c r="G224" s="56">
        <v>3</v>
      </c>
      <c r="H224" s="16" t="str">
        <f t="shared" si="242"/>
        <v>13101_23-3</v>
      </c>
      <c r="I224" s="39" t="s">
        <v>245</v>
      </c>
      <c r="J224" s="31">
        <v>14</v>
      </c>
      <c r="K224" s="20" t="str">
        <f ca="1">VLOOKUP($J224,OFFSET([3]enemies!$A$1,0,0,COUNTA([3]enemies!$A:$A),MATCH(K$1,[3]enemies!$1:$1,0)-MATCH($J$1,[3]enemies!$1:$1,0)+1),MATCH(K$1,[3]enemies!$1:$1,0)-MATCH($J$1,[3]enemies!$1:$1,0)+1,FALSE)</f>
        <v>ミミ・ザ・ガンマンキャット</v>
      </c>
      <c r="L224" s="23" t="str">
        <f ca="1">VLOOKUP($J224,OFFSET([3]enemies!$A$1,0,0,COUNTA([3]enemies!$A:$A),MATCH(L$1,[3]enemies!$1:$1,0)-MATCH($J$1,[3]enemies!$1:$1,0)+1),MATCH(L$1,[3]enemies!$1:$1,0)-MATCH($J$1,[3]enemies!$1:$1,0)+1,FALSE)</f>
        <v>yellow</v>
      </c>
      <c r="M224" s="23" t="str">
        <f ca="1">VLOOKUP($J224,OFFSET([4]characters!$A$1,0,0,COUNTA([4]characters!$A:$A),MATCH(M$1,[4]characters!$1:$1,0)-MATCH($J$1,[4]characters!$1:$1,0)+1),MATCH(M$1,[4]characters!$1:$1,0)-MATCH($J$1,[4]characters!$1:$1,0)+1,FALSE)</f>
        <v>Drop1W</v>
      </c>
      <c r="N224" s="22" t="str">
        <f ca="1">VLOOKUP($J224,OFFSET([4]characters!$A$1,0,0,COUNTA([4]characters!$A:$A),MATCH(N$1,[4]characters!$1:$1,0)-MATCH($J$1,[4]characters!$1:$1,0)+2),MATCH(N$1,[4]characters!$1:$1,0)-MATCH($J$1,[4]characters!$1:$1,0)+2,FALSE)</f>
        <v>アニマル</v>
      </c>
      <c r="O224" s="5">
        <f ca="1">VLOOKUP($J224,OFFSET([3]enemies!$A$1,0,0,COUNTA([3]enemies!$A:$A),MATCH(O$1,[3]enemies!$1:$1,0)-MATCH($J$1,[3]enemies!$1:$1,0)+1),MATCH(O$1,[3]enemies!$1:$1,0)-MATCH($J$1,[3]enemies!$1:$1,0)+1,FALSE)</f>
        <v>15</v>
      </c>
      <c r="P224" s="60">
        <v>65</v>
      </c>
      <c r="Q224" s="43">
        <v>1</v>
      </c>
      <c r="R224" s="43">
        <v>1</v>
      </c>
      <c r="S224" s="6">
        <v>0</v>
      </c>
      <c r="T224" s="5" t="str">
        <f ca="1">VLOOKUP($U224,OFFSET([5]enemy_skill_sets!$B$1,0,0,COUNTA([5]enemy_skill_sets!$B:$B),MATCH(K$1,[5]enemy_skill_sets!$1:$1,0)-MATCH($U$1,[5]enemy_skill_sets!$1:$1,0)+2),MATCH(K$1,[5]enemy_skill_sets!$1:$1,0)-MATCH($U$1,[5]enemy_skill_sets!$1:$1,0)+2,FALSE)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24" s="51">
        <v>0</v>
      </c>
      <c r="V224" s="44">
        <v>2</v>
      </c>
      <c r="W224" s="7">
        <v>100</v>
      </c>
      <c r="X224" s="7">
        <v>0</v>
      </c>
      <c r="Y224" s="20">
        <f ca="1">VLOOKUP($J224,OFFSET([3]enemies!$A$1,0,0,COUNTA([3]enemies!$A:$A),MATCH(Y$1,[3]enemies!$1:$1,0)-MATCH($J$1,[3]enemies!$1:$1,0)+1),MATCH(Y$1,[3]enemies!$1:$1,0)-MATCH($J$1,[3]enemies!$1:$1,0)+1,FALSE)</f>
        <v>2</v>
      </c>
      <c r="Z224" s="31">
        <v>13</v>
      </c>
      <c r="AA224" s="5" t="str">
        <f ca="1">IFERROR(VLOOKUP($Z224,OFFSET([4]characters!$A$1,0,0,COUNTA([4]characters!$A:$A),MATCH(AA$1,[4]characters!$1:$1,0)-MATCH("character_id",[4]characters!$1:$1,0)+1),MATCH(AA$1,[4]characters!$1:$1,0)-MATCH("character_id",[4]characters!$1:$1,0)+1,FALSE),"")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224" s="5">
        <f ca="1">IFERROR(VLOOKUP($Z224,OFFSET([4]characters!$A$1,0,0,COUNTA([4]characters!$A:$A),MATCH(AB$1,[4]characters!$1:$1,0)-MATCH("character_id",[4]characters!$1:$1,0)+1),MATCH(AB$1,[4]characters!$1:$1,0)-MATCH("character_id",[4]characters!$1:$1,0)+1,FALSE),"")</f>
        <v>1</v>
      </c>
      <c r="AC224" s="5" t="str">
        <f ca="1">IFERROR(VLOOKUP($Z224,OFFSET([4]characters!$A$1,0,0,COUNTA([4]characters!$A:$A),MATCH(AC$1,[4]characters!$1:$1,0)-MATCH("character_id",[4]characters!$1:$1,0)+1),MATCH(AC$1,[4]characters!$1:$1,0)-MATCH("character_id",[4]characters!$1:$1,0)+1,FALSE),"")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24" s="36">
        <v>1</v>
      </c>
      <c r="AE224" s="37">
        <f t="shared" ca="1" si="243"/>
        <v>1</v>
      </c>
      <c r="AF224" s="7">
        <v>0</v>
      </c>
      <c r="AG224" s="36">
        <v>0</v>
      </c>
      <c r="AH224" s="36">
        <v>0</v>
      </c>
      <c r="AI224" s="36">
        <v>0</v>
      </c>
      <c r="AJ224" s="36">
        <v>0</v>
      </c>
      <c r="AK224" s="36">
        <v>1</v>
      </c>
      <c r="AL224" s="36">
        <v>1</v>
      </c>
    </row>
    <row r="225" spans="1:38" ht="21" customHeight="1" x14ac:dyDescent="0.15">
      <c r="A225" s="17" t="str">
        <f t="shared" ca="1" si="240"/>
        <v>13101_23-4/14&lt;lv65&gt;s2</v>
      </c>
      <c r="B225" s="26">
        <v>13101</v>
      </c>
      <c r="C225" s="30">
        <v>23</v>
      </c>
      <c r="D225" s="16" t="str">
        <f t="shared" si="241"/>
        <v>13101_23</v>
      </c>
      <c r="E225" s="5" t="e">
        <v>#VALUE!</v>
      </c>
      <c r="F225" s="5" t="e">
        <v>#N/A</v>
      </c>
      <c r="G225" s="33">
        <v>4</v>
      </c>
      <c r="H225" s="16" t="str">
        <f t="shared" si="242"/>
        <v>13101_23-4</v>
      </c>
      <c r="I225" s="39" t="s">
        <v>245</v>
      </c>
      <c r="J225" s="31">
        <v>14</v>
      </c>
      <c r="K225" s="20" t="str">
        <f ca="1">VLOOKUP($J225,OFFSET([3]enemies!$A$1,0,0,COUNTA([3]enemies!$A:$A),MATCH(K$1,[3]enemies!$1:$1,0)-MATCH($J$1,[3]enemies!$1:$1,0)+1),MATCH(K$1,[3]enemies!$1:$1,0)-MATCH($J$1,[3]enemies!$1:$1,0)+1,FALSE)</f>
        <v>ミミ・ザ・ガンマンキャット</v>
      </c>
      <c r="L225" s="23" t="str">
        <f ca="1">VLOOKUP($J225,OFFSET([3]enemies!$A$1,0,0,COUNTA([3]enemies!$A:$A),MATCH(L$1,[3]enemies!$1:$1,0)-MATCH($J$1,[3]enemies!$1:$1,0)+1),MATCH(L$1,[3]enemies!$1:$1,0)-MATCH($J$1,[3]enemies!$1:$1,0)+1,FALSE)</f>
        <v>yellow</v>
      </c>
      <c r="M225" s="23" t="str">
        <f ca="1">VLOOKUP($J225,OFFSET([4]characters!$A$1,0,0,COUNTA([4]characters!$A:$A),MATCH(M$1,[4]characters!$1:$1,0)-MATCH($J$1,[4]characters!$1:$1,0)+1),MATCH(M$1,[4]characters!$1:$1,0)-MATCH($J$1,[4]characters!$1:$1,0)+1,FALSE)</f>
        <v>Drop1W</v>
      </c>
      <c r="N225" s="22" t="str">
        <f ca="1">VLOOKUP($J225,OFFSET([4]characters!$A$1,0,0,COUNTA([4]characters!$A:$A),MATCH(N$1,[4]characters!$1:$1,0)-MATCH($J$1,[4]characters!$1:$1,0)+2),MATCH(N$1,[4]characters!$1:$1,0)-MATCH($J$1,[4]characters!$1:$1,0)+2,FALSE)</f>
        <v>アニマル</v>
      </c>
      <c r="O225" s="5">
        <f ca="1">VLOOKUP($J225,OFFSET([3]enemies!$A$1,0,0,COUNTA([3]enemies!$A:$A),MATCH(O$1,[3]enemies!$1:$1,0)-MATCH($J$1,[3]enemies!$1:$1,0)+1),MATCH(O$1,[3]enemies!$1:$1,0)-MATCH($J$1,[3]enemies!$1:$1,0)+1,FALSE)</f>
        <v>15</v>
      </c>
      <c r="P225" s="60">
        <v>65</v>
      </c>
      <c r="Q225" s="43">
        <v>1</v>
      </c>
      <c r="R225" s="43">
        <v>1</v>
      </c>
      <c r="S225" s="6">
        <v>0</v>
      </c>
      <c r="T225" s="5" t="str">
        <f ca="1">VLOOKUP($U225,OFFSET([5]enemy_skill_sets!$B$1,0,0,COUNTA([5]enemy_skill_sets!$B:$B),MATCH(K$1,[5]enemy_skill_sets!$1:$1,0)-MATCH($U$1,[5]enemy_skill_sets!$1:$1,0)+2),MATCH(K$1,[5]enemy_skill_sets!$1:$1,0)-MATCH($U$1,[5]enemy_skill_sets!$1:$1,0)+2,FALSE)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25" s="5">
        <f ca="1">VLOOKUP($J225,OFFSET([3]enemies!$A$1,0,0,COUNTA([3]enemies!$A:$A),MATCH(U$1,[3]enemies!$1:$1,0)-MATCH($J$1,[3]enemies!$1:$1,0)+1),MATCH(U$1,[3]enemies!$1:$1,0)-MATCH($J$1,[3]enemies!$1:$1,0)+1,FALSE)</f>
        <v>0</v>
      </c>
      <c r="V225" s="44">
        <v>0</v>
      </c>
      <c r="W225" s="7">
        <v>100</v>
      </c>
      <c r="X225" s="7">
        <v>0</v>
      </c>
      <c r="Y225" s="20">
        <f ca="1">VLOOKUP($J225,OFFSET([3]enemies!$A$1,0,0,COUNTA([3]enemies!$A:$A),MATCH(Y$1,[3]enemies!$1:$1,0)-MATCH($J$1,[3]enemies!$1:$1,0)+1),MATCH(Y$1,[3]enemies!$1:$1,0)-MATCH($J$1,[3]enemies!$1:$1,0)+1,FALSE)</f>
        <v>2</v>
      </c>
      <c r="Z225" s="31">
        <v>13</v>
      </c>
      <c r="AA225" s="5" t="str">
        <f ca="1">IFERROR(VLOOKUP($Z225,OFFSET([4]characters!$A$1,0,0,COUNTA([4]characters!$A:$A),MATCH(AA$1,[4]characters!$1:$1,0)-MATCH("character_id",[4]characters!$1:$1,0)+1),MATCH(AA$1,[4]characters!$1:$1,0)-MATCH("character_id",[4]characters!$1:$1,0)+1,FALSE),"")</f>
        <v>ミミ</v>
      </c>
      <c r="AB225" s="5">
        <f ca="1">IFERROR(VLOOKUP($Z225,OFFSET([4]characters!$A$1,0,0,COUNTA([4]characters!$A:$A),MATCH(AB$1,[4]characters!$1:$1,0)-MATCH("character_id",[4]characters!$1:$1,0)+1),MATCH(AB$1,[4]characters!$1:$1,0)-MATCH("character_id",[4]characters!$1:$1,0)+1,FALSE),"")</f>
        <v>1</v>
      </c>
      <c r="AC225" s="5" t="str">
        <f ca="1">IFERROR(VLOOKUP($Z225,OFFSET([4]characters!$A$1,0,0,COUNTA([4]characters!$A:$A),MATCH(AC$1,[4]characters!$1:$1,0)-MATCH("character_id",[4]characters!$1:$1,0)+1),MATCH(AC$1,[4]characters!$1:$1,0)-MATCH("character_id",[4]characters!$1:$1,0)+1,FALSE),"")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25" s="36">
        <v>1</v>
      </c>
      <c r="AE225" s="37">
        <f t="shared" ca="1" si="243"/>
        <v>1</v>
      </c>
      <c r="AF225" s="7">
        <v>25</v>
      </c>
      <c r="AG225" s="36">
        <v>0</v>
      </c>
      <c r="AH225" s="36">
        <v>0</v>
      </c>
      <c r="AI225" s="36">
        <v>0</v>
      </c>
      <c r="AJ225" s="36">
        <v>0</v>
      </c>
      <c r="AK225" s="36">
        <v>1</v>
      </c>
      <c r="AL225" s="36">
        <v>1</v>
      </c>
    </row>
    <row r="226" spans="1:38" ht="21" customHeight="1" x14ac:dyDescent="0.15">
      <c r="A226" s="17" t="str">
        <f t="shared" ca="1" si="240"/>
        <v>13101_23-4/20&lt;lv65&gt;s3</v>
      </c>
      <c r="B226" s="26">
        <v>13101</v>
      </c>
      <c r="C226" s="30">
        <v>23</v>
      </c>
      <c r="D226" s="16" t="str">
        <f t="shared" si="241"/>
        <v>13101_23</v>
      </c>
      <c r="E226" s="5" t="e">
        <v>#VALUE!</v>
      </c>
      <c r="F226" s="5" t="e">
        <v>#N/A</v>
      </c>
      <c r="G226" s="33">
        <v>4</v>
      </c>
      <c r="H226" s="16" t="str">
        <f t="shared" si="242"/>
        <v>13101_23-4</v>
      </c>
      <c r="I226" s="39" t="s">
        <v>245</v>
      </c>
      <c r="J226" s="31">
        <v>20</v>
      </c>
      <c r="K226" s="20" t="str">
        <f ca="1">VLOOKUP($J226,OFFSET([3]enemies!$A$1,0,0,COUNTA([3]enemies!$A:$A),MATCH(K$1,[3]enemies!$1:$1,0)-MATCH($J$1,[3]enemies!$1:$1,0)+1),MATCH(K$1,[3]enemies!$1:$1,0)-MATCH($J$1,[3]enemies!$1:$1,0)+1,FALSE)</f>
        <v>電子妖精 ティンク</v>
      </c>
      <c r="L226" s="23" t="str">
        <f ca="1">VLOOKUP($J226,OFFSET([3]enemies!$A$1,0,0,COUNTA([3]enemies!$A:$A),MATCH(L$1,[3]enemies!$1:$1,0)-MATCH($J$1,[3]enemies!$1:$1,0)+1),MATCH(L$1,[3]enemies!$1:$1,0)-MATCH($J$1,[3]enemies!$1:$1,0)+1,FALSE)</f>
        <v>yellow</v>
      </c>
      <c r="M226" s="23" t="str">
        <f ca="1">VLOOKUP($J226,OFFSET([4]characters!$A$1,0,0,COUNTA([4]characters!$A:$A),MATCH(M$1,[4]characters!$1:$1,0)-MATCH($J$1,[4]characters!$1:$1,0)+1),MATCH(M$1,[4]characters!$1:$1,0)-MATCH($J$1,[4]characters!$1:$1,0)+1,FALSE)</f>
        <v>Drop1W</v>
      </c>
      <c r="N226" s="22" t="str">
        <f ca="1">VLOOKUP($J226,OFFSET([4]characters!$A$1,0,0,COUNTA([4]characters!$A:$A),MATCH(N$1,[4]characters!$1:$1,0)-MATCH($J$1,[4]characters!$1:$1,0)+2),MATCH(N$1,[4]characters!$1:$1,0)-MATCH($J$1,[4]characters!$1:$1,0)+2,FALSE)</f>
        <v>ヒューマン</v>
      </c>
      <c r="O226" s="5">
        <f ca="1">VLOOKUP($J226,OFFSET([3]enemies!$A$1,0,0,COUNTA([3]enemies!$A:$A),MATCH(O$1,[3]enemies!$1:$1,0)-MATCH($J$1,[3]enemies!$1:$1,0)+1),MATCH(O$1,[3]enemies!$1:$1,0)-MATCH($J$1,[3]enemies!$1:$1,0)+1,FALSE)</f>
        <v>15</v>
      </c>
      <c r="P226" s="60">
        <v>65</v>
      </c>
      <c r="Q226" s="43">
        <v>1</v>
      </c>
      <c r="R226" s="43">
        <v>1</v>
      </c>
      <c r="S226" s="6">
        <v>0</v>
      </c>
      <c r="T226" s="5" t="str">
        <f ca="1">VLOOKUP($U226,OFFSET([5]enemy_skill_sets!$B$1,0,0,COUNTA([5]enemy_skill_sets!$B:$B),MATCH(K$1,[5]enemy_skill_sets!$1:$1,0)-MATCH($U$1,[5]enemy_skill_sets!$1:$1,0)+2),MATCH(K$1,[5]enemy_skill_sets!$1:$1,0)-MATCH($U$1,[5]enemy_skill_sets!$1:$1,0)+2,FALSE)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26" s="5">
        <f ca="1">VLOOKUP($J226,OFFSET([3]enemies!$A$1,0,0,COUNTA([3]enemies!$A:$A),MATCH(U$1,[3]enemies!$1:$1,0)-MATCH($J$1,[3]enemies!$1:$1,0)+1),MATCH(U$1,[3]enemies!$1:$1,0)-MATCH($J$1,[3]enemies!$1:$1,0)+1,FALSE)</f>
        <v>0</v>
      </c>
      <c r="V226" s="44">
        <v>0</v>
      </c>
      <c r="W226" s="7">
        <v>100</v>
      </c>
      <c r="X226" s="7">
        <v>0</v>
      </c>
      <c r="Y226" s="20">
        <f ca="1">VLOOKUP($J226,OFFSET([3]enemies!$A$1,0,0,COUNTA([3]enemies!$A:$A),MATCH(Y$1,[3]enemies!$1:$1,0)-MATCH($J$1,[3]enemies!$1:$1,0)+1),MATCH(Y$1,[3]enemies!$1:$1,0)-MATCH($J$1,[3]enemies!$1:$1,0)+1,FALSE)</f>
        <v>3</v>
      </c>
      <c r="Z226" s="31">
        <v>19</v>
      </c>
      <c r="AA226" s="5" t="str">
        <f ca="1">IFERROR(VLOOKUP($Z226,OFFSET([4]characters!$A$1,0,0,COUNTA([4]characters!$A:$A),MATCH(AA$1,[4]characters!$1:$1,0)-MATCH("character_id",[4]characters!$1:$1,0)+1),MATCH(AA$1,[4]characters!$1:$1,0)-MATCH("character_id",[4]characters!$1:$1,0)+1,FALSE),"")</f>
        <v>ティンク</v>
      </c>
      <c r="AB226" s="5">
        <f ca="1">IFERROR(VLOOKUP($Z226,OFFSET([4]characters!$A$1,0,0,COUNTA([4]characters!$A:$A),MATCH(AB$1,[4]characters!$1:$1,0)-MATCH("character_id",[4]characters!$1:$1,0)+1),MATCH(AB$1,[4]characters!$1:$1,0)-MATCH("character_id",[4]characters!$1:$1,0)+1,FALSE),"")</f>
        <v>1</v>
      </c>
      <c r="AC226" s="5" t="str">
        <f ca="1">IFERROR(VLOOKUP($Z226,OFFSET([4]characters!$A$1,0,0,COUNTA([4]characters!$A:$A),MATCH(AC$1,[4]characters!$1:$1,0)-MATCH("character_id",[4]characters!$1:$1,0)+1),MATCH(AC$1,[4]characters!$1:$1,0)-MATCH("character_id",[4]characters!$1:$1,0)+1,FALSE),"")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26" s="36">
        <v>1</v>
      </c>
      <c r="AE226" s="37">
        <f t="shared" ca="1" si="243"/>
        <v>1</v>
      </c>
      <c r="AF226" s="7">
        <v>25</v>
      </c>
      <c r="AG226" s="36">
        <v>0</v>
      </c>
      <c r="AH226" s="36">
        <v>0</v>
      </c>
      <c r="AI226" s="36">
        <v>0</v>
      </c>
      <c r="AJ226" s="36">
        <v>0</v>
      </c>
      <c r="AK226" s="36">
        <v>1</v>
      </c>
      <c r="AL226" s="36">
        <v>1</v>
      </c>
    </row>
    <row r="227" spans="1:38" ht="21" customHeight="1" x14ac:dyDescent="0.15">
      <c r="A227" s="17" t="str">
        <f t="shared" ca="1" si="240"/>
        <v>13101_23-4/39&lt;lv65&gt;s3</v>
      </c>
      <c r="B227" s="26">
        <v>13101</v>
      </c>
      <c r="C227" s="30">
        <v>23</v>
      </c>
      <c r="D227" s="16" t="str">
        <f t="shared" si="241"/>
        <v>13101_23</v>
      </c>
      <c r="E227" s="5" t="e">
        <v>#VALUE!</v>
      </c>
      <c r="F227" s="5" t="e">
        <v>#N/A</v>
      </c>
      <c r="G227" s="33">
        <v>4</v>
      </c>
      <c r="H227" s="16" t="str">
        <f t="shared" si="242"/>
        <v>13101_23-4</v>
      </c>
      <c r="I227" s="39" t="s">
        <v>245</v>
      </c>
      <c r="J227" s="31">
        <v>39</v>
      </c>
      <c r="K227" s="20" t="str">
        <f ca="1">VLOOKUP($J227,OFFSET([3]enemies!$A$1,0,0,COUNTA([3]enemies!$A:$A),MATCH(K$1,[3]enemies!$1:$1,0)-MATCH($J$1,[3]enemies!$1:$1,0)+1),MATCH(K$1,[3]enemies!$1:$1,0)-MATCH($J$1,[3]enemies!$1:$1,0)+1,FALSE)</f>
        <v>マーロン</v>
      </c>
      <c r="L227" s="23" t="str">
        <f ca="1">VLOOKUP($J227,OFFSET([3]enemies!$A$1,0,0,COUNTA([3]enemies!$A:$A),MATCH(L$1,[3]enemies!$1:$1,0)-MATCH($J$1,[3]enemies!$1:$1,0)+1),MATCH(L$1,[3]enemies!$1:$1,0)-MATCH($J$1,[3]enemies!$1:$1,0)+1,FALSE)</f>
        <v>yellow</v>
      </c>
      <c r="M227" s="23" t="str">
        <f ca="1">VLOOKUP($J227,OFFSET([4]characters!$A$1,0,0,COUNTA([4]characters!$A:$A),MATCH(M$1,[4]characters!$1:$1,0)-MATCH($J$1,[4]characters!$1:$1,0)+1),MATCH(M$1,[4]characters!$1:$1,0)-MATCH($J$1,[4]characters!$1:$1,0)+1,FALSE)</f>
        <v>Drop1S</v>
      </c>
      <c r="N227" s="22" t="str">
        <f ca="1">VLOOKUP($J227,OFFSET([4]characters!$A$1,0,0,COUNTA([4]characters!$A:$A),MATCH(N$1,[4]characters!$1:$1,0)-MATCH($J$1,[4]characters!$1:$1,0)+2),MATCH(N$1,[4]characters!$1:$1,0)-MATCH($J$1,[4]characters!$1:$1,0)+2,FALSE)</f>
        <v>ヒューマン</v>
      </c>
      <c r="O227" s="5">
        <f ca="1">VLOOKUP($J227,OFFSET([3]enemies!$A$1,0,0,COUNTA([3]enemies!$A:$A),MATCH(O$1,[3]enemies!$1:$1,0)-MATCH($J$1,[3]enemies!$1:$1,0)+1),MATCH(O$1,[3]enemies!$1:$1,0)-MATCH($J$1,[3]enemies!$1:$1,0)+1,FALSE)</f>
        <v>15</v>
      </c>
      <c r="P227" s="60">
        <v>65</v>
      </c>
      <c r="Q227" s="43">
        <v>1</v>
      </c>
      <c r="R227" s="43">
        <v>1</v>
      </c>
      <c r="S227" s="6">
        <v>0</v>
      </c>
      <c r="T227" s="5" t="str">
        <f ca="1">VLOOKUP($U227,OFFSET([5]enemy_skill_sets!$B$1,0,0,COUNTA([5]enemy_skill_sets!$B:$B),MATCH(K$1,[5]enemy_skill_sets!$1:$1,0)-MATCH($U$1,[5]enemy_skill_sets!$1:$1,0)+2),MATCH(K$1,[5]enemy_skill_sets!$1:$1,0)-MATCH($U$1,[5]enemy_skill_sets!$1:$1,0)+2,FALSE)</f>
        <v>3ターンスキルが使えない！</v>
      </c>
      <c r="U227" s="5">
        <f ca="1">VLOOKUP($J227,OFFSET([3]enemies!$A$1,0,0,COUNTA([3]enemies!$A:$A),MATCH(U$1,[3]enemies!$1:$1,0)-MATCH($J$1,[3]enemies!$1:$1,0)+1),MATCH(U$1,[3]enemies!$1:$1,0)-MATCH($J$1,[3]enemies!$1:$1,0)+1,FALSE)</f>
        <v>39</v>
      </c>
      <c r="V227" s="44">
        <v>0</v>
      </c>
      <c r="W227" s="7">
        <v>100</v>
      </c>
      <c r="X227" s="7">
        <v>0</v>
      </c>
      <c r="Y227" s="20">
        <f ca="1">VLOOKUP($J227,OFFSET([3]enemies!$A$1,0,0,COUNTA([3]enemies!$A:$A),MATCH(Y$1,[3]enemies!$1:$1,0)-MATCH($J$1,[3]enemies!$1:$1,0)+1),MATCH(Y$1,[3]enemies!$1:$1,0)-MATCH($J$1,[3]enemies!$1:$1,0)+1,FALSE)</f>
        <v>3</v>
      </c>
      <c r="Z227" s="31">
        <v>39</v>
      </c>
      <c r="AA227" s="5" t="str">
        <f ca="1">IFERROR(VLOOKUP($Z227,OFFSET([4]characters!$A$1,0,0,COUNTA([4]characters!$A:$A),MATCH(AA$1,[4]characters!$1:$1,0)-MATCH("character_id",[4]characters!$1:$1,0)+1),MATCH(AA$1,[4]characters!$1:$1,0)-MATCH("character_id",[4]characters!$1:$1,0)+1,FALSE),"")</f>
        <v>マーロン</v>
      </c>
      <c r="AB227" s="5">
        <f ca="1">IFERROR(VLOOKUP($Z227,OFFSET([4]characters!$A$1,0,0,COUNTA([4]characters!$A:$A),MATCH(AB$1,[4]characters!$1:$1,0)-MATCH("character_id",[4]characters!$1:$1,0)+1),MATCH(AB$1,[4]characters!$1:$1,0)-MATCH("character_id",[4]characters!$1:$1,0)+1,FALSE),"")</f>
        <v>2</v>
      </c>
      <c r="AC227" s="5" t="str">
        <f ca="1">IFERROR(VLOOKUP($Z227,OFFSET([4]characters!$A$1,0,0,COUNTA([4]characters!$A:$A),MATCH(AC$1,[4]characters!$1:$1,0)-MATCH("character_id",[4]characters!$1:$1,0)+1),MATCH(AC$1,[4]characters!$1:$1,0)-MATCH("character_id",[4]characters!$1:$1,0)+1,FALSE),"")</f>
        <v>Drop1S</v>
      </c>
      <c r="AD227" s="36">
        <v>1</v>
      </c>
      <c r="AE227" s="37">
        <f t="shared" ca="1" si="243"/>
        <v>2</v>
      </c>
      <c r="AF227" s="7">
        <v>25</v>
      </c>
      <c r="AG227" s="36">
        <v>0</v>
      </c>
      <c r="AH227" s="36">
        <v>0</v>
      </c>
      <c r="AI227" s="36">
        <v>0</v>
      </c>
      <c r="AJ227" s="36">
        <v>0</v>
      </c>
      <c r="AK227" s="36">
        <v>1</v>
      </c>
      <c r="AL227" s="36">
        <v>1</v>
      </c>
    </row>
    <row r="228" spans="1:38" ht="21" customHeight="1" x14ac:dyDescent="0.15">
      <c r="A228" s="17" t="str">
        <f t="shared" ca="1" si="240"/>
        <v>13101_23-5/212&lt;lv68&gt;s1</v>
      </c>
      <c r="B228" s="26">
        <v>13101</v>
      </c>
      <c r="C228" s="30">
        <v>23</v>
      </c>
      <c r="D228" s="16" t="str">
        <f t="shared" si="241"/>
        <v>13101_23</v>
      </c>
      <c r="E228" s="5" t="e">
        <v>#VALUE!</v>
      </c>
      <c r="F228" s="5" t="e">
        <v>#N/A</v>
      </c>
      <c r="G228" s="56">
        <v>5</v>
      </c>
      <c r="H228" s="16" t="str">
        <f t="shared" si="242"/>
        <v>13101_23-5</v>
      </c>
      <c r="I228" s="39" t="s">
        <v>245</v>
      </c>
      <c r="J228" s="31">
        <v>212</v>
      </c>
      <c r="K228" s="20" t="str">
        <f ca="1">VLOOKUP($J228,OFFSET([3]enemies!$A$1,0,0,COUNTA([3]enemies!$A:$A),MATCH(K$1,[3]enemies!$1:$1,0)-MATCH($J$1,[3]enemies!$1:$1,0)+1),MATCH(K$1,[3]enemies!$1:$1,0)-MATCH($J$1,[3]enemies!$1:$1,0)+1,FALSE)</f>
        <v>星神 アストライアー</v>
      </c>
      <c r="L228" s="23" t="str">
        <f ca="1">VLOOKUP($J228,OFFSET([3]enemies!$A$1,0,0,COUNTA([3]enemies!$A:$A),MATCH(L$1,[3]enemies!$1:$1,0)-MATCH($J$1,[3]enemies!$1:$1,0)+1),MATCH(L$1,[3]enemies!$1:$1,0)-MATCH($J$1,[3]enemies!$1:$1,0)+1,FALSE)</f>
        <v>yellow</v>
      </c>
      <c r="M228" s="23" t="str">
        <f ca="1">VLOOKUP($J228,OFFSET([4]characters!$A$1,0,0,COUNTA([4]characters!$A:$A),MATCH(M$1,[4]characters!$1:$1,0)-MATCH($J$1,[4]characters!$1:$1,0)+1),MATCH(M$1,[4]characters!$1:$1,0)-MATCH($J$1,[4]characters!$1:$1,0)+1,FALSE)</f>
        <v>PremiumN</v>
      </c>
      <c r="N228" s="22" t="str">
        <f ca="1">VLOOKUP($J228,OFFSET([4]characters!$A$1,0,0,COUNTA([4]characters!$A:$A),MATCH(N$1,[4]characters!$1:$1,0)-MATCH($J$1,[4]characters!$1:$1,0)+2),MATCH(N$1,[4]characters!$1:$1,0)-MATCH($J$1,[4]characters!$1:$1,0)+2,FALSE)</f>
        <v>ゴッド</v>
      </c>
      <c r="O228" s="5">
        <f ca="1">VLOOKUP($J228,OFFSET([3]enemies!$A$1,0,0,COUNTA([3]enemies!$A:$A),MATCH(O$1,[3]enemies!$1:$1,0)-MATCH($J$1,[3]enemies!$1:$1,0)+1),MATCH(O$1,[3]enemies!$1:$1,0)-MATCH($J$1,[3]enemies!$1:$1,0)+1,FALSE)</f>
        <v>30</v>
      </c>
      <c r="P228" s="60">
        <v>68</v>
      </c>
      <c r="Q228" s="43">
        <v>2</v>
      </c>
      <c r="R228" s="43">
        <v>1.2</v>
      </c>
      <c r="S228" s="6">
        <v>0</v>
      </c>
      <c r="T228" s="5" t="str">
        <f ca="1">VLOOKUP($U228,OFFSET([5]enemy_skill_sets!$B$1,0,0,COUNTA([5]enemy_skill_sets!$B:$B),MATCH(K$1,[5]enemy_skill_sets!$1:$1,0)-MATCH($U$1,[5]enemy_skill_sets!$1:$1,0)+2),MATCH(K$1,[5]enemy_skill_sets!$1:$1,0)-MATCH($U$1,[5]enemy_skill_sets!$1:$1,0)+2,FALSE)</f>
        <v>時限式ダメージパネル出現</v>
      </c>
      <c r="U228" s="51">
        <v>21201</v>
      </c>
      <c r="V228" s="7">
        <v>1</v>
      </c>
      <c r="W228" s="7">
        <v>100</v>
      </c>
      <c r="X228" s="7">
        <v>1</v>
      </c>
      <c r="Y228" s="20">
        <f ca="1">VLOOKUP($J228,OFFSET([3]enemies!$A$1,0,0,COUNTA([3]enemies!$A:$A),MATCH(Y$1,[3]enemies!$1:$1,0)-MATCH($J$1,[3]enemies!$1:$1,0)+1),MATCH(Y$1,[3]enemies!$1:$1,0)-MATCH($J$1,[3]enemies!$1:$1,0)+1,FALSE)</f>
        <v>1</v>
      </c>
      <c r="Z228" s="31">
        <v>211</v>
      </c>
      <c r="AA228" s="5" t="str">
        <f ca="1">IFERROR(VLOOKUP($Z228,OFFSET([4]characters!$A$1,0,0,COUNTA([4]characters!$A:$A),MATCH(AA$1,[4]characters!$1:$1,0)-MATCH("character_id",[4]characters!$1:$1,0)+1),MATCH(AA$1,[4]characters!$1:$1,0)-MATCH("character_id",[4]characters!$1:$1,0)+1,FALSE),"")</f>
        <v>アストライアー</v>
      </c>
      <c r="AB228" s="5">
        <f ca="1">IFERROR(VLOOKUP($Z228,OFFSET([4]characters!$A$1,0,0,COUNTA([4]characters!$A:$A),MATCH(AB$1,[4]characters!$1:$1,0)-MATCH("character_id",[4]characters!$1:$1,0)+1),MATCH(AB$1,[4]characters!$1:$1,0)-MATCH("character_id",[4]characters!$1:$1,0)+1,FALSE),"")</f>
        <v>3</v>
      </c>
      <c r="AC228" s="5" t="str">
        <f ca="1">IFERROR(VLOOKUP($Z228,OFFSET([4]characters!$A$1,0,0,COUNTA([4]characters!$A:$A),MATCH(AC$1,[4]characters!$1:$1,0)-MATCH("character_id",[4]characters!$1:$1,0)+1),MATCH(AC$1,[4]characters!$1:$1,0)-MATCH("character_id",[4]characters!$1:$1,0)+1,FALSE),"")</f>
        <v>PremiumN</v>
      </c>
      <c r="AD228" s="36">
        <v>1</v>
      </c>
      <c r="AE228" s="37">
        <f t="shared" ca="1" si="243"/>
        <v>3</v>
      </c>
      <c r="AF228" s="7">
        <v>0</v>
      </c>
      <c r="AG228" s="36">
        <v>0</v>
      </c>
      <c r="AH228" s="36">
        <v>0</v>
      </c>
      <c r="AI228" s="36">
        <v>0</v>
      </c>
      <c r="AJ228" s="36">
        <v>0</v>
      </c>
      <c r="AK228" s="36">
        <v>1</v>
      </c>
      <c r="AL228" s="36">
        <v>1</v>
      </c>
    </row>
    <row r="229" spans="1:38" ht="21" customHeight="1" x14ac:dyDescent="0.15">
      <c r="A229" s="17" t="str">
        <f t="shared" ca="1" si="240"/>
        <v>13101_24-1/25&lt;lv67&gt;s3</v>
      </c>
      <c r="B229" s="26">
        <v>13101</v>
      </c>
      <c r="C229" s="30">
        <v>24</v>
      </c>
      <c r="D229" s="16" t="str">
        <f t="shared" si="241"/>
        <v>13101_24</v>
      </c>
      <c r="E229" s="5" t="e">
        <v>#VALUE!</v>
      </c>
      <c r="F229" s="5" t="e">
        <v>#N/A</v>
      </c>
      <c r="G229" s="33">
        <v>1</v>
      </c>
      <c r="H229" s="16" t="str">
        <f t="shared" si="242"/>
        <v>13101_24-1</v>
      </c>
      <c r="I229" s="39" t="s">
        <v>245</v>
      </c>
      <c r="J229" s="31">
        <v>25</v>
      </c>
      <c r="K229" s="20" t="str">
        <f ca="1">VLOOKUP($J229,OFFSET([3]enemies!$A$1,0,0,COUNTA([3]enemies!$A:$A),MATCH(K$1,[3]enemies!$1:$1,0)-MATCH($J$1,[3]enemies!$1:$1,0)+1),MATCH(K$1,[3]enemies!$1:$1,0)-MATCH($J$1,[3]enemies!$1:$1,0)+1,FALSE)</f>
        <v>ハチ</v>
      </c>
      <c r="L229" s="23" t="str">
        <f ca="1">VLOOKUP($J229,OFFSET([3]enemies!$A$1,0,0,COUNTA([3]enemies!$A:$A),MATCH(L$1,[3]enemies!$1:$1,0)-MATCH($J$1,[3]enemies!$1:$1,0)+1),MATCH(L$1,[3]enemies!$1:$1,0)-MATCH($J$1,[3]enemies!$1:$1,0)+1,FALSE)</f>
        <v>blue</v>
      </c>
      <c r="M229" s="23" t="str">
        <f ca="1">VLOOKUP($J229,OFFSET([4]characters!$A$1,0,0,COUNTA([4]characters!$A:$A),MATCH(M$1,[4]characters!$1:$1,0)-MATCH($J$1,[4]characters!$1:$1,0)+1),MATCH(M$1,[4]characters!$1:$1,0)-MATCH($J$1,[4]characters!$1:$1,0)+1,FALSE)</f>
        <v>Drop1N</v>
      </c>
      <c r="N229" s="22" t="str">
        <f ca="1">VLOOKUP($J229,OFFSET([4]characters!$A$1,0,0,COUNTA([4]characters!$A:$A),MATCH(N$1,[4]characters!$1:$1,0)-MATCH($J$1,[4]characters!$1:$1,0)+2),MATCH(N$1,[4]characters!$1:$1,0)-MATCH($J$1,[4]characters!$1:$1,0)+2,FALSE)</f>
        <v>アニマル</v>
      </c>
      <c r="O229" s="5">
        <f ca="1">VLOOKUP($J229,OFFSET([3]enemies!$A$1,0,0,COUNTA([3]enemies!$A:$A),MATCH(O$1,[3]enemies!$1:$1,0)-MATCH($J$1,[3]enemies!$1:$1,0)+1),MATCH(O$1,[3]enemies!$1:$1,0)-MATCH($J$1,[3]enemies!$1:$1,0)+1,FALSE)</f>
        <v>15</v>
      </c>
      <c r="P229" s="60">
        <v>67</v>
      </c>
      <c r="Q229" s="43">
        <v>1</v>
      </c>
      <c r="R229" s="43">
        <v>1.2</v>
      </c>
      <c r="S229" s="6">
        <v>0</v>
      </c>
      <c r="T229" s="5" t="str">
        <f ca="1">VLOOKUP($U229,OFFSET([5]enemy_skill_sets!$B$1,0,0,COUNTA([5]enemy_skill_sets!$B:$B),MATCH(K$1,[5]enemy_skill_sets!$1:$1,0)-MATCH($U$1,[5]enemy_skill_sets!$1:$1,0)+2),MATCH(K$1,[5]enemy_skill_sets!$1:$1,0)-MATCH($U$1,[5]enemy_skill_sets!$1:$1,0)+2,FALSE)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29" s="5">
        <f ca="1">VLOOKUP($J229,OFFSET([3]enemies!$A$1,0,0,COUNTA([3]enemies!$A:$A),MATCH(U$1,[3]enemies!$1:$1,0)-MATCH($J$1,[3]enemies!$1:$1,0)+1),MATCH(U$1,[3]enemies!$1:$1,0)-MATCH($J$1,[3]enemies!$1:$1,0)+1,FALSE)</f>
        <v>0</v>
      </c>
      <c r="V229" s="7">
        <v>0</v>
      </c>
      <c r="W229" s="7">
        <v>100</v>
      </c>
      <c r="X229" s="7">
        <v>0</v>
      </c>
      <c r="Y229" s="20">
        <f ca="1">VLOOKUP($J229,OFFSET([3]enemies!$A$1,0,0,COUNTA([3]enemies!$A:$A),MATCH(Y$1,[3]enemies!$1:$1,0)-MATCH($J$1,[3]enemies!$1:$1,0)+1),MATCH(Y$1,[3]enemies!$1:$1,0)-MATCH($J$1,[3]enemies!$1:$1,0)+1,FALSE)</f>
        <v>3</v>
      </c>
      <c r="Z229" s="31">
        <v>25</v>
      </c>
      <c r="AA229" s="5" t="str">
        <f ca="1">IFERROR(VLOOKUP($Z229,OFFSET([4]characters!$A$1,0,0,COUNTA([4]characters!$A:$A),MATCH(AA$1,[4]characters!$1:$1,0)-MATCH("character_id",[4]characters!$1:$1,0)+1),MATCH(AA$1,[4]characters!$1:$1,0)-MATCH("character_id",[4]characters!$1:$1,0)+1,FALSE),"")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229" s="5">
        <f ca="1">IFERROR(VLOOKUP($Z229,OFFSET([4]characters!$A$1,0,0,COUNTA([4]characters!$A:$A),MATCH(AB$1,[4]characters!$1:$1,0)-MATCH("character_id",[4]characters!$1:$1,0)+1),MATCH(AB$1,[4]characters!$1:$1,0)-MATCH("character_id",[4]characters!$1:$1,0)+1,FALSE),"")</f>
        <v>1</v>
      </c>
      <c r="AC229" s="5" t="str">
        <f ca="1">IFERROR(VLOOKUP($Z229,OFFSET([4]characters!$A$1,0,0,COUNTA([4]characters!$A:$A),MATCH(AC$1,[4]characters!$1:$1,0)-MATCH("character_id",[4]characters!$1:$1,0)+1),MATCH(AC$1,[4]characters!$1:$1,0)-MATCH("character_id",[4]characters!$1:$1,0)+1,FALSE),"")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29" s="36">
        <v>1</v>
      </c>
      <c r="AE229" s="37">
        <f t="shared" ca="1" si="243"/>
        <v>1</v>
      </c>
      <c r="AF229" s="7">
        <v>25</v>
      </c>
      <c r="AG229" s="36">
        <v>0</v>
      </c>
      <c r="AH229" s="36">
        <v>0</v>
      </c>
      <c r="AI229" s="36">
        <v>0</v>
      </c>
      <c r="AJ229" s="36">
        <v>0</v>
      </c>
      <c r="AK229" s="36">
        <v>1</v>
      </c>
      <c r="AL229" s="36">
        <v>1</v>
      </c>
    </row>
    <row r="230" spans="1:38" ht="21" customHeight="1" x14ac:dyDescent="0.15">
      <c r="A230" s="17" t="str">
        <f t="shared" ca="1" si="240"/>
        <v>13101_24-1/17&lt;lv67&gt;s2</v>
      </c>
      <c r="B230" s="26">
        <v>13101</v>
      </c>
      <c r="C230" s="30">
        <v>24</v>
      </c>
      <c r="D230" s="16" t="str">
        <f t="shared" si="241"/>
        <v>13101_24</v>
      </c>
      <c r="E230" s="5" t="e">
        <v>#VALUE!</v>
      </c>
      <c r="F230" s="5" t="e">
        <v>#N/A</v>
      </c>
      <c r="G230" s="33">
        <v>1</v>
      </c>
      <c r="H230" s="16" t="str">
        <f t="shared" si="242"/>
        <v>13101_24-1</v>
      </c>
      <c r="I230" s="39" t="s">
        <v>245</v>
      </c>
      <c r="J230" s="31">
        <v>17</v>
      </c>
      <c r="K230" s="20" t="str">
        <f ca="1">VLOOKUP($J230,OFFSET([3]enemies!$A$1,0,0,COUNTA([3]enemies!$A:$A),MATCH(K$1,[3]enemies!$1:$1,0)-MATCH($J$1,[3]enemies!$1:$1,0)+1),MATCH(K$1,[3]enemies!$1:$1,0)-MATCH($J$1,[3]enemies!$1:$1,0)+1,FALSE)</f>
        <v>リム</v>
      </c>
      <c r="L230" s="23" t="str">
        <f ca="1">VLOOKUP($J230,OFFSET([3]enemies!$A$1,0,0,COUNTA([3]enemies!$A:$A),MATCH(L$1,[3]enemies!$1:$1,0)-MATCH($J$1,[3]enemies!$1:$1,0)+1),MATCH(L$1,[3]enemies!$1:$1,0)-MATCH($J$1,[3]enemies!$1:$1,0)+1,FALSE)</f>
        <v>blue</v>
      </c>
      <c r="M230" s="23" t="str">
        <f ca="1">VLOOKUP($J230,OFFSET([4]characters!$A$1,0,0,COUNTA([4]characters!$A:$A),MATCH(M$1,[4]characters!$1:$1,0)-MATCH($J$1,[4]characters!$1:$1,0)+1),MATCH(M$1,[4]characters!$1:$1,0)-MATCH($J$1,[4]characters!$1:$1,0)+1,FALSE)</f>
        <v>Drop1W</v>
      </c>
      <c r="N230" s="22" t="str">
        <f ca="1">VLOOKUP($J230,OFFSET([4]characters!$A$1,0,0,COUNTA([4]characters!$A:$A),MATCH(N$1,[4]characters!$1:$1,0)-MATCH($J$1,[4]characters!$1:$1,0)+2),MATCH(N$1,[4]characters!$1:$1,0)-MATCH($J$1,[4]characters!$1:$1,0)+2,FALSE)</f>
        <v>ヒューマン</v>
      </c>
      <c r="O230" s="5">
        <f ca="1">VLOOKUP($J230,OFFSET([3]enemies!$A$1,0,0,COUNTA([3]enemies!$A:$A),MATCH(O$1,[3]enemies!$1:$1,0)-MATCH($J$1,[3]enemies!$1:$1,0)+1),MATCH(O$1,[3]enemies!$1:$1,0)-MATCH($J$1,[3]enemies!$1:$1,0)+1,FALSE)</f>
        <v>15</v>
      </c>
      <c r="P230" s="60">
        <v>67</v>
      </c>
      <c r="Q230" s="43">
        <v>1</v>
      </c>
      <c r="R230" s="43">
        <v>1</v>
      </c>
      <c r="S230" s="6">
        <v>0</v>
      </c>
      <c r="T230" s="5" t="str">
        <f ca="1">VLOOKUP($U230,OFFSET([5]enemy_skill_sets!$B$1,0,0,COUNTA([5]enemy_skill_sets!$B:$B),MATCH(K$1,[5]enemy_skill_sets!$1:$1,0)-MATCH($U$1,[5]enemy_skill_sets!$1:$1,0)+2),MATCH(K$1,[5]enemy_skill_sets!$1:$1,0)-MATCH($U$1,[5]enemy_skill_sets!$1:$1,0)+2,FALSE)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30" s="5">
        <f ca="1">VLOOKUP($J230,OFFSET([3]enemies!$A$1,0,0,COUNTA([3]enemies!$A:$A),MATCH(U$1,[3]enemies!$1:$1,0)-MATCH($J$1,[3]enemies!$1:$1,0)+1),MATCH(U$1,[3]enemies!$1:$1,0)-MATCH($J$1,[3]enemies!$1:$1,0)+1,FALSE)</f>
        <v>0</v>
      </c>
      <c r="V230" s="44">
        <v>0</v>
      </c>
      <c r="W230" s="7">
        <v>100</v>
      </c>
      <c r="X230" s="7">
        <v>1</v>
      </c>
      <c r="Y230" s="20">
        <f ca="1">VLOOKUP($J230,OFFSET([3]enemies!$A$1,0,0,COUNTA([3]enemies!$A:$A),MATCH(Y$1,[3]enemies!$1:$1,0)-MATCH($J$1,[3]enemies!$1:$1,0)+1),MATCH(Y$1,[3]enemies!$1:$1,0)-MATCH($J$1,[3]enemies!$1:$1,0)+1,FALSE)</f>
        <v>2</v>
      </c>
      <c r="Z230" s="31">
        <v>17</v>
      </c>
      <c r="AA230" s="5" t="str">
        <f ca="1">IFERROR(VLOOKUP($Z230,OFFSET([4]characters!$A$1,0,0,COUNTA([4]characters!$A:$A),MATCH(AA$1,[4]characters!$1:$1,0)-MATCH("character_id",[4]characters!$1:$1,0)+1),MATCH(AA$1,[4]characters!$1:$1,0)-MATCH("character_id",[4]characters!$1:$1,0)+1,FALSE),"")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230" s="5">
        <f ca="1">IFERROR(VLOOKUP($Z230,OFFSET([4]characters!$A$1,0,0,COUNTA([4]characters!$A:$A),MATCH(AB$1,[4]characters!$1:$1,0)-MATCH("character_id",[4]characters!$1:$1,0)+1),MATCH(AB$1,[4]characters!$1:$1,0)-MATCH("character_id",[4]characters!$1:$1,0)+1,FALSE),"")</f>
        <v>1</v>
      </c>
      <c r="AC230" s="5" t="str">
        <f ca="1">IFERROR(VLOOKUP($Z230,OFFSET([4]characters!$A$1,0,0,COUNTA([4]characters!$A:$A),MATCH(AC$1,[4]characters!$1:$1,0)-MATCH("character_id",[4]characters!$1:$1,0)+1),MATCH(AC$1,[4]characters!$1:$1,0)-MATCH("character_id",[4]characters!$1:$1,0)+1,FALSE),"")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30" s="36">
        <v>1</v>
      </c>
      <c r="AE230" s="37">
        <f t="shared" ca="1" si="243"/>
        <v>1</v>
      </c>
      <c r="AF230" s="7">
        <v>25</v>
      </c>
      <c r="AG230" s="36">
        <v>0</v>
      </c>
      <c r="AH230" s="36">
        <v>0</v>
      </c>
      <c r="AI230" s="36">
        <v>0</v>
      </c>
      <c r="AJ230" s="36">
        <v>0</v>
      </c>
      <c r="AK230" s="36">
        <v>1</v>
      </c>
      <c r="AL230" s="36">
        <v>1</v>
      </c>
    </row>
    <row r="231" spans="1:38" ht="21" customHeight="1" x14ac:dyDescent="0.15">
      <c r="A231" s="17" t="str">
        <f t="shared" ca="1" si="240"/>
        <v>13101_24-2/45&lt;lv67&gt;s3</v>
      </c>
      <c r="B231" s="26">
        <v>13101</v>
      </c>
      <c r="C231" s="30">
        <v>24</v>
      </c>
      <c r="D231" s="16" t="str">
        <f t="shared" si="241"/>
        <v>13101_24</v>
      </c>
      <c r="E231" s="5" t="e">
        <v>#VALUE!</v>
      </c>
      <c r="F231" s="5" t="e">
        <v>#N/A</v>
      </c>
      <c r="G231" s="33">
        <v>2</v>
      </c>
      <c r="H231" s="16" t="str">
        <f t="shared" si="242"/>
        <v>13101_24-2</v>
      </c>
      <c r="I231" s="39" t="s">
        <v>245</v>
      </c>
      <c r="J231" s="31">
        <v>45</v>
      </c>
      <c r="K231" s="20" t="str">
        <f ca="1">VLOOKUP($J231,OFFSET([3]enemies!$A$1,0,0,COUNTA([3]enemies!$A:$A),MATCH(K$1,[3]enemies!$1:$1,0)-MATCH($J$1,[3]enemies!$1:$1,0)+1),MATCH(K$1,[3]enemies!$1:$1,0)-MATCH($J$1,[3]enemies!$1:$1,0)+1,FALSE)</f>
        <v>ショウイン</v>
      </c>
      <c r="L231" s="23" t="str">
        <f ca="1">VLOOKUP($J231,OFFSET([3]enemies!$A$1,0,0,COUNTA([3]enemies!$A:$A),MATCH(L$1,[3]enemies!$1:$1,0)-MATCH($J$1,[3]enemies!$1:$1,0)+1),MATCH(L$1,[3]enemies!$1:$1,0)-MATCH($J$1,[3]enemies!$1:$1,0)+1,FALSE)</f>
        <v>blue</v>
      </c>
      <c r="M231" s="23" t="str">
        <f ca="1">VLOOKUP($J231,OFFSET([4]characters!$A$1,0,0,COUNTA([4]characters!$A:$A),MATCH(M$1,[4]characters!$1:$1,0)-MATCH($J$1,[4]characters!$1:$1,0)+1),MATCH(M$1,[4]characters!$1:$1,0)-MATCH($J$1,[4]characters!$1:$1,0)+1,FALSE)</f>
        <v>Drop1N</v>
      </c>
      <c r="N231" s="22" t="str">
        <f ca="1">VLOOKUP($J231,OFFSET([4]characters!$A$1,0,0,COUNTA([4]characters!$A:$A),MATCH(N$1,[4]characters!$1:$1,0)-MATCH($J$1,[4]characters!$1:$1,0)+2),MATCH(N$1,[4]characters!$1:$1,0)-MATCH($J$1,[4]characters!$1:$1,0)+2,FALSE)</f>
        <v>アニマル</v>
      </c>
      <c r="O231" s="5">
        <f ca="1">VLOOKUP($J231,OFFSET([3]enemies!$A$1,0,0,COUNTA([3]enemies!$A:$A),MATCH(O$1,[3]enemies!$1:$1,0)-MATCH($J$1,[3]enemies!$1:$1,0)+1),MATCH(O$1,[3]enemies!$1:$1,0)-MATCH($J$1,[3]enemies!$1:$1,0)+1,FALSE)</f>
        <v>15</v>
      </c>
      <c r="P231" s="60">
        <v>67</v>
      </c>
      <c r="Q231" s="43">
        <v>1</v>
      </c>
      <c r="R231" s="43">
        <v>1</v>
      </c>
      <c r="S231" s="6">
        <v>0</v>
      </c>
      <c r="T231" s="5" t="str">
        <f ca="1">VLOOKUP($U231,OFFSET([5]enemy_skill_sets!$B$1,0,0,COUNTA([5]enemy_skill_sets!$B:$B),MATCH(K$1,[5]enemy_skill_sets!$1:$1,0)-MATCH($U$1,[5]enemy_skill_sets!$1:$1,0)+2),MATCH(K$1,[5]enemy_skill_sets!$1:$1,0)-MATCH($U$1,[5]enemy_skill_sets!$1:$1,0)+2,FALSE)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31" s="5">
        <f ca="1">VLOOKUP($J231,OFFSET([3]enemies!$A$1,0,0,COUNTA([3]enemies!$A:$A),MATCH(U$1,[3]enemies!$1:$1,0)-MATCH($J$1,[3]enemies!$1:$1,0)+1),MATCH(U$1,[3]enemies!$1:$1,0)-MATCH($J$1,[3]enemies!$1:$1,0)+1,FALSE)</f>
        <v>0</v>
      </c>
      <c r="V231" s="44">
        <v>0</v>
      </c>
      <c r="W231" s="7">
        <v>100</v>
      </c>
      <c r="X231" s="7">
        <v>0</v>
      </c>
      <c r="Y231" s="20">
        <f ca="1">VLOOKUP($J231,OFFSET([3]enemies!$A$1,0,0,COUNTA([3]enemies!$A:$A),MATCH(Y$1,[3]enemies!$1:$1,0)-MATCH($J$1,[3]enemies!$1:$1,0)+1),MATCH(Y$1,[3]enemies!$1:$1,0)-MATCH($J$1,[3]enemies!$1:$1,0)+1,FALSE)</f>
        <v>3</v>
      </c>
      <c r="Z231" s="31">
        <v>45</v>
      </c>
      <c r="AA231" s="5" t="str">
        <f ca="1">IFERROR(VLOOKUP($Z231,OFFSET([4]characters!$A$1,0,0,COUNTA([4]characters!$A:$A),MATCH(AA$1,[4]characters!$1:$1,0)-MATCH("character_id",[4]characters!$1:$1,0)+1),MATCH(AA$1,[4]characters!$1:$1,0)-MATCH("character_id",[4]characters!$1:$1,0)+1,FALSE),"")</f>
        <v>ショウイン</v>
      </c>
      <c r="AB231" s="5">
        <f ca="1">IFERROR(VLOOKUP($Z231,OFFSET([4]characters!$A$1,0,0,COUNTA([4]characters!$A:$A),MATCH(AB$1,[4]characters!$1:$1,0)-MATCH("character_id",[4]characters!$1:$1,0)+1),MATCH(AB$1,[4]characters!$1:$1,0)-MATCH("character_id",[4]characters!$1:$1,0)+1,FALSE),"")</f>
        <v>2</v>
      </c>
      <c r="AC231" s="5" t="str">
        <f ca="1">IFERROR(VLOOKUP($Z231,OFFSET([4]characters!$A$1,0,0,COUNTA([4]characters!$A:$A),MATCH(AC$1,[4]characters!$1:$1,0)-MATCH("character_id",[4]characters!$1:$1,0)+1),MATCH(AC$1,[4]characters!$1:$1,0)-MATCH("character_id",[4]characters!$1:$1,0)+1,FALSE),"")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31" s="36">
        <v>1</v>
      </c>
      <c r="AE231" s="37">
        <f t="shared" ca="1" si="243"/>
        <v>2</v>
      </c>
      <c r="AF231" s="7">
        <v>25</v>
      </c>
      <c r="AG231" s="36">
        <v>0</v>
      </c>
      <c r="AH231" s="36">
        <v>0</v>
      </c>
      <c r="AI231" s="36">
        <v>0</v>
      </c>
      <c r="AJ231" s="36">
        <v>0</v>
      </c>
      <c r="AK231" s="36">
        <v>1</v>
      </c>
      <c r="AL231" s="36">
        <v>1</v>
      </c>
    </row>
    <row r="232" spans="1:38" ht="21" customHeight="1" x14ac:dyDescent="0.15">
      <c r="A232" s="17" t="str">
        <f t="shared" ca="1" si="240"/>
        <v>13101_24-2/37&lt;lv67&gt;s3</v>
      </c>
      <c r="B232" s="26">
        <v>13101</v>
      </c>
      <c r="C232" s="30">
        <v>24</v>
      </c>
      <c r="D232" s="16" t="str">
        <f t="shared" si="241"/>
        <v>13101_24</v>
      </c>
      <c r="E232" s="5" t="e">
        <v>#VALUE!</v>
      </c>
      <c r="F232" s="5" t="e">
        <v>#N/A</v>
      </c>
      <c r="G232" s="33">
        <v>2</v>
      </c>
      <c r="H232" s="16" t="str">
        <f t="shared" si="242"/>
        <v>13101_24-2</v>
      </c>
      <c r="I232" s="39" t="s">
        <v>245</v>
      </c>
      <c r="J232" s="31">
        <v>37</v>
      </c>
      <c r="K232" s="20" t="str">
        <f ca="1">VLOOKUP($J232,OFFSET([3]enemies!$A$1,0,0,COUNTA([3]enemies!$A:$A),MATCH(K$1,[3]enemies!$1:$1,0)-MATCH($J$1,[3]enemies!$1:$1,0)+1),MATCH(K$1,[3]enemies!$1:$1,0)-MATCH($J$1,[3]enemies!$1:$1,0)+1,FALSE)</f>
        <v>ガイル</v>
      </c>
      <c r="L232" s="23" t="str">
        <f ca="1">VLOOKUP($J232,OFFSET([3]enemies!$A$1,0,0,COUNTA([3]enemies!$A:$A),MATCH(L$1,[3]enemies!$1:$1,0)-MATCH($J$1,[3]enemies!$1:$1,0)+1),MATCH(L$1,[3]enemies!$1:$1,0)-MATCH($J$1,[3]enemies!$1:$1,0)+1,FALSE)</f>
        <v>blue</v>
      </c>
      <c r="M232" s="23" t="str">
        <f ca="1">VLOOKUP($J232,OFFSET([4]characters!$A$1,0,0,COUNTA([4]characters!$A:$A),MATCH(M$1,[4]characters!$1:$1,0)-MATCH($J$1,[4]characters!$1:$1,0)+1),MATCH(M$1,[4]characters!$1:$1,0)-MATCH($J$1,[4]characters!$1:$1,0)+1,FALSE)</f>
        <v>Drop1S</v>
      </c>
      <c r="N232" s="22" t="str">
        <f ca="1">VLOOKUP($J232,OFFSET([4]characters!$A$1,0,0,COUNTA([4]characters!$A:$A),MATCH(N$1,[4]characters!$1:$1,0)-MATCH($J$1,[4]characters!$1:$1,0)+2),MATCH(N$1,[4]characters!$1:$1,0)-MATCH($J$1,[4]characters!$1:$1,0)+2,FALSE)</f>
        <v>アニマル</v>
      </c>
      <c r="O232" s="5">
        <f ca="1">VLOOKUP($J232,OFFSET([3]enemies!$A$1,0,0,COUNTA([3]enemies!$A:$A),MATCH(O$1,[3]enemies!$1:$1,0)-MATCH($J$1,[3]enemies!$1:$1,0)+1),MATCH(O$1,[3]enemies!$1:$1,0)-MATCH($J$1,[3]enemies!$1:$1,0)+1,FALSE)</f>
        <v>15</v>
      </c>
      <c r="P232" s="60">
        <v>67</v>
      </c>
      <c r="Q232" s="43">
        <v>1</v>
      </c>
      <c r="R232" s="43">
        <v>1</v>
      </c>
      <c r="S232" s="6">
        <v>0</v>
      </c>
      <c r="T232" s="5" t="str">
        <f ca="1">VLOOKUP($U232,OFFSET([5]enemy_skill_sets!$B$1,0,0,COUNTA([5]enemy_skill_sets!$B:$B),MATCH(K$1,[5]enemy_skill_sets!$1:$1,0)-MATCH($U$1,[5]enemy_skill_sets!$1:$1,0)+2),MATCH(K$1,[5]enemy_skill_sets!$1:$1,0)-MATCH($U$1,[5]enemy_skill_sets!$1:$1,0)+2,FALSE)</f>
        <v>じっとこちらを見ている</v>
      </c>
      <c r="U232" s="5">
        <f ca="1">VLOOKUP($J232,OFFSET([3]enemies!$A$1,0,0,COUNTA([3]enemies!$A:$A),MATCH(U$1,[3]enemies!$1:$1,0)-MATCH($J$1,[3]enemies!$1:$1,0)+1),MATCH(U$1,[3]enemies!$1:$1,0)-MATCH($J$1,[3]enemies!$1:$1,0)+1,FALSE)</f>
        <v>37</v>
      </c>
      <c r="V232" s="44">
        <v>0</v>
      </c>
      <c r="W232" s="7">
        <v>100</v>
      </c>
      <c r="X232" s="7">
        <v>0</v>
      </c>
      <c r="Y232" s="20">
        <f ca="1">VLOOKUP($J232,OFFSET([3]enemies!$A$1,0,0,COUNTA([3]enemies!$A:$A),MATCH(Y$1,[3]enemies!$1:$1,0)-MATCH($J$1,[3]enemies!$1:$1,0)+1),MATCH(Y$1,[3]enemies!$1:$1,0)-MATCH($J$1,[3]enemies!$1:$1,0)+1,FALSE)</f>
        <v>3</v>
      </c>
      <c r="Z232" s="31">
        <v>37</v>
      </c>
      <c r="AA232" s="5" t="str">
        <f ca="1">IFERROR(VLOOKUP($Z232,OFFSET([4]characters!$A$1,0,0,COUNTA([4]characters!$A:$A),MATCH(AA$1,[4]characters!$1:$1,0)-MATCH("character_id",[4]characters!$1:$1,0)+1),MATCH(AA$1,[4]characters!$1:$1,0)-MATCH("character_id",[4]characters!$1:$1,0)+1,FALSE),"")</f>
        <v>ガイル</v>
      </c>
      <c r="AB232" s="5">
        <f ca="1">IFERROR(VLOOKUP($Z232,OFFSET([4]characters!$A$1,0,0,COUNTA([4]characters!$A:$A),MATCH(AB$1,[4]characters!$1:$1,0)-MATCH("character_id",[4]characters!$1:$1,0)+1),MATCH(AB$1,[4]characters!$1:$1,0)-MATCH("character_id",[4]characters!$1:$1,0)+1,FALSE),"")</f>
        <v>2</v>
      </c>
      <c r="AC232" s="5" t="str">
        <f ca="1">IFERROR(VLOOKUP($Z232,OFFSET([4]characters!$A$1,0,0,COUNTA([4]characters!$A:$A),MATCH(AC$1,[4]characters!$1:$1,0)-MATCH("character_id",[4]characters!$1:$1,0)+1),MATCH(AC$1,[4]characters!$1:$1,0)-MATCH("character_id",[4]characters!$1:$1,0)+1,FALSE),"")</f>
        <v>Drop1S</v>
      </c>
      <c r="AD232" s="36">
        <v>1</v>
      </c>
      <c r="AE232" s="37">
        <f t="shared" ca="1" si="243"/>
        <v>2</v>
      </c>
      <c r="AF232" s="7">
        <v>25</v>
      </c>
      <c r="AG232" s="36">
        <v>0</v>
      </c>
      <c r="AH232" s="36">
        <v>0</v>
      </c>
      <c r="AI232" s="36">
        <v>0</v>
      </c>
      <c r="AJ232" s="36">
        <v>0</v>
      </c>
      <c r="AK232" s="36">
        <v>1</v>
      </c>
      <c r="AL232" s="36">
        <v>1</v>
      </c>
    </row>
    <row r="233" spans="1:38" ht="21" customHeight="1" x14ac:dyDescent="0.15">
      <c r="A233" s="17" t="str">
        <f t="shared" ca="1" si="240"/>
        <v>13101_24-3/130&lt;lv69&gt;s3</v>
      </c>
      <c r="B233" s="26">
        <v>13101</v>
      </c>
      <c r="C233" s="30">
        <v>24</v>
      </c>
      <c r="D233" s="16" t="str">
        <f t="shared" si="241"/>
        <v>13101_24</v>
      </c>
      <c r="E233" s="5" t="e">
        <v>#VALUE!</v>
      </c>
      <c r="F233" s="5" t="e">
        <v>#N/A</v>
      </c>
      <c r="G233" s="57">
        <v>3</v>
      </c>
      <c r="H233" s="16" t="str">
        <f t="shared" si="242"/>
        <v>13101_24-3</v>
      </c>
      <c r="I233" s="39" t="s">
        <v>245</v>
      </c>
      <c r="J233" s="31">
        <v>130</v>
      </c>
      <c r="K233" s="20" t="str">
        <f ca="1">VLOOKUP($J233,OFFSET([3]enemies!$A$1,0,0,COUNTA([3]enemies!$A:$A),MATCH(K$1,[3]enemies!$1:$1,0)-MATCH($J$1,[3]enemies!$1:$1,0)+1),MATCH(K$1,[3]enemies!$1:$1,0)-MATCH($J$1,[3]enemies!$1:$1,0)+1,FALSE)</f>
        <v>狼男 ローレンス</v>
      </c>
      <c r="L233" s="23" t="str">
        <f ca="1">VLOOKUP($J233,OFFSET([3]enemies!$A$1,0,0,COUNTA([3]enemies!$A:$A),MATCH(L$1,[3]enemies!$1:$1,0)-MATCH($J$1,[3]enemies!$1:$1,0)+1),MATCH(L$1,[3]enemies!$1:$1,0)-MATCH($J$1,[3]enemies!$1:$1,0)+1,FALSE)</f>
        <v>blue</v>
      </c>
      <c r="M233" s="23" t="str">
        <f ca="1">VLOOKUP($J233,OFFSET([4]characters!$A$1,0,0,COUNTA([4]characters!$A:$A),MATCH(M$1,[4]characters!$1:$1,0)-MATCH($J$1,[4]characters!$1:$1,0)+1),MATCH(M$1,[4]characters!$1:$1,0)-MATCH($J$1,[4]characters!$1:$1,0)+1,FALSE)</f>
        <v>PremiumW</v>
      </c>
      <c r="N233" s="22" t="str">
        <f ca="1">VLOOKUP($J233,OFFSET([4]characters!$A$1,0,0,COUNTA([4]characters!$A:$A),MATCH(N$1,[4]characters!$1:$1,0)-MATCH($J$1,[4]characters!$1:$1,0)+2),MATCH(N$1,[4]characters!$1:$1,0)-MATCH($J$1,[4]characters!$1:$1,0)+2,FALSE)</f>
        <v>アニマル</v>
      </c>
      <c r="O233" s="5">
        <f ca="1">VLOOKUP($J233,OFFSET([3]enemies!$A$1,0,0,COUNTA([3]enemies!$A:$A),MATCH(O$1,[3]enemies!$1:$1,0)-MATCH($J$1,[3]enemies!$1:$1,0)+1),MATCH(O$1,[3]enemies!$1:$1,0)-MATCH($J$1,[3]enemies!$1:$1,0)+1,FALSE)</f>
        <v>20</v>
      </c>
      <c r="P233" s="60">
        <v>69</v>
      </c>
      <c r="Q233" s="43">
        <v>1.5</v>
      </c>
      <c r="R233" s="43">
        <v>1</v>
      </c>
      <c r="S233" s="6">
        <v>0</v>
      </c>
      <c r="T233" s="5" t="str">
        <f ca="1">VLOOKUP($U233,OFFSET([5]enemy_skill_sets!$B$1,0,0,COUNTA([5]enemy_skill_sets!$B:$B),MATCH(K$1,[5]enemy_skill_sets!$1:$1,0)-MATCH($U$1,[5]enemy_skill_sets!$1:$1,0)+2),MATCH(K$1,[5]enemy_skill_sets!$1:$1,0)-MATCH($U$1,[5]enemy_skill_sets!$1:$1,0)+2,FALSE)</f>
        <v>攻撃力×1.5倍の攻撃</v>
      </c>
      <c r="U233" s="5">
        <f ca="1">VLOOKUP($J233,OFFSET([3]enemies!$A$1,0,0,COUNTA([3]enemies!$A:$A),MATCH(U$1,[3]enemies!$1:$1,0)-MATCH($J$1,[3]enemies!$1:$1,0)+1),MATCH(U$1,[3]enemies!$1:$1,0)-MATCH($J$1,[3]enemies!$1:$1,0)+1,FALSE)</f>
        <v>130</v>
      </c>
      <c r="V233" s="44">
        <v>1</v>
      </c>
      <c r="W233" s="7">
        <v>100</v>
      </c>
      <c r="X233" s="7">
        <v>1</v>
      </c>
      <c r="Y233" s="20">
        <f ca="1">VLOOKUP($J233,OFFSET([3]enemies!$A$1,0,0,COUNTA([3]enemies!$A:$A),MATCH(Y$1,[3]enemies!$1:$1,0)-MATCH($J$1,[3]enemies!$1:$1,0)+1),MATCH(Y$1,[3]enemies!$1:$1,0)-MATCH($J$1,[3]enemies!$1:$1,0)+1,FALSE)</f>
        <v>3</v>
      </c>
      <c r="Z233" s="31">
        <v>130</v>
      </c>
      <c r="AA233" s="5" t="str">
        <f ca="1">IFERROR(VLOOKUP($Z233,OFFSET([4]characters!$A$1,0,0,COUNTA([4]characters!$A:$A),MATCH(AA$1,[4]characters!$1:$1,0)-MATCH("character_id",[4]characters!$1:$1,0)+1),MATCH(AA$1,[4]characters!$1:$1,0)-MATCH("character_id",[4]characters!$1:$1,0)+1,FALSE),"")</f>
        <v>狼男 ローレンス</v>
      </c>
      <c r="AB233" s="5">
        <f ca="1">IFERROR(VLOOKUP($Z233,OFFSET([4]characters!$A$1,0,0,COUNTA([4]characters!$A:$A),MATCH(AB$1,[4]characters!$1:$1,0)-MATCH("character_id",[4]characters!$1:$1,0)+1),MATCH(AB$1,[4]characters!$1:$1,0)-MATCH("character_id",[4]characters!$1:$1,0)+1,FALSE),"")</f>
        <v>3</v>
      </c>
      <c r="AC233" s="5" t="str">
        <f ca="1">IFERROR(VLOOKUP($Z233,OFFSET([4]characters!$A$1,0,0,COUNTA([4]characters!$A:$A),MATCH(AC$1,[4]characters!$1:$1,0)-MATCH("character_id",[4]characters!$1:$1,0)+1),MATCH(AC$1,[4]characters!$1:$1,0)-MATCH("character_id",[4]characters!$1:$1,0)+1,FALSE),"")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233" s="36">
        <v>1</v>
      </c>
      <c r="AE233" s="37">
        <f t="shared" ca="1" si="243"/>
        <v>3</v>
      </c>
      <c r="AF233" s="7">
        <v>0</v>
      </c>
      <c r="AG233" s="36">
        <v>0</v>
      </c>
      <c r="AH233" s="36">
        <v>0</v>
      </c>
      <c r="AI233" s="36">
        <v>0</v>
      </c>
      <c r="AJ233" s="36">
        <v>0</v>
      </c>
      <c r="AK233" s="36">
        <v>1</v>
      </c>
      <c r="AL233" s="36">
        <v>1</v>
      </c>
    </row>
    <row r="234" spans="1:38" ht="21" customHeight="1" x14ac:dyDescent="0.15">
      <c r="A234" s="17" t="str">
        <f t="shared" ca="1" si="240"/>
        <v>13101_24-3/30&lt;lv69&gt;s2</v>
      </c>
      <c r="B234" s="26">
        <v>13101</v>
      </c>
      <c r="C234" s="30">
        <v>24</v>
      </c>
      <c r="D234" s="16" t="str">
        <f t="shared" si="241"/>
        <v>13101_24</v>
      </c>
      <c r="E234" s="5" t="e">
        <v>#VALUE!</v>
      </c>
      <c r="F234" s="5" t="e">
        <v>#N/A</v>
      </c>
      <c r="G234" s="57">
        <v>3</v>
      </c>
      <c r="H234" s="16" t="str">
        <f t="shared" si="242"/>
        <v>13101_24-3</v>
      </c>
      <c r="I234" s="39" t="s">
        <v>245</v>
      </c>
      <c r="J234" s="31">
        <v>30</v>
      </c>
      <c r="K234" s="20" t="str">
        <f ca="1">VLOOKUP($J234,OFFSET([3]enemies!$A$1,0,0,COUNTA([3]enemies!$A:$A),MATCH(K$1,[3]enemies!$1:$1,0)-MATCH($J$1,[3]enemies!$1:$1,0)+1),MATCH(K$1,[3]enemies!$1:$1,0)-MATCH($J$1,[3]enemies!$1:$1,0)+1,FALSE)</f>
        <v>護衛機人 スケアクロウ</v>
      </c>
      <c r="L234" s="23" t="str">
        <f ca="1">VLOOKUP($J234,OFFSET([3]enemies!$A$1,0,0,COUNTA([3]enemies!$A:$A),MATCH(L$1,[3]enemies!$1:$1,0)-MATCH($J$1,[3]enemies!$1:$1,0)+1),MATCH(L$1,[3]enemies!$1:$1,0)-MATCH($J$1,[3]enemies!$1:$1,0)+1,FALSE)</f>
        <v>blue</v>
      </c>
      <c r="M234" s="23" t="str">
        <f ca="1">VLOOKUP($J234,OFFSET([4]characters!$A$1,0,0,COUNTA([4]characters!$A:$A),MATCH(M$1,[4]characters!$1:$1,0)-MATCH($J$1,[4]characters!$1:$1,0)+1),MATCH(M$1,[4]characters!$1:$1,0)-MATCH($J$1,[4]characters!$1:$1,0)+1,FALSE)</f>
        <v>Drop1N</v>
      </c>
      <c r="N234" s="22" t="str">
        <f ca="1">VLOOKUP($J234,OFFSET([4]characters!$A$1,0,0,COUNTA([4]characters!$A:$A),MATCH(N$1,[4]characters!$1:$1,0)-MATCH($J$1,[4]characters!$1:$1,0)+2),MATCH(N$1,[4]characters!$1:$1,0)-MATCH($J$1,[4]characters!$1:$1,0)+2,FALSE)</f>
        <v>マシン</v>
      </c>
      <c r="O234" s="5">
        <f ca="1">VLOOKUP($J234,OFFSET([3]enemies!$A$1,0,0,COUNTA([3]enemies!$A:$A),MATCH(O$1,[3]enemies!$1:$1,0)-MATCH($J$1,[3]enemies!$1:$1,0)+1),MATCH(O$1,[3]enemies!$1:$1,0)-MATCH($J$1,[3]enemies!$1:$1,0)+1,FALSE)</f>
        <v>15</v>
      </c>
      <c r="P234" s="60">
        <v>69</v>
      </c>
      <c r="Q234" s="43">
        <v>1</v>
      </c>
      <c r="R234" s="43">
        <v>1</v>
      </c>
      <c r="S234" s="6">
        <v>0</v>
      </c>
      <c r="T234" s="5" t="str">
        <f ca="1">VLOOKUP($U234,OFFSET([5]enemy_skill_sets!$B$1,0,0,COUNTA([5]enemy_skill_sets!$B:$B),MATCH(K$1,[5]enemy_skill_sets!$1:$1,0)-MATCH($U$1,[5]enemy_skill_sets!$1:$1,0)+2),MATCH(K$1,[5]enemy_skill_sets!$1:$1,0)-MATCH($U$1,[5]enemy_skill_sets!$1:$1,0)+2,FALSE)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234" s="5">
        <f ca="1">VLOOKUP($J234,OFFSET([3]enemies!$A$1,0,0,COUNTA([3]enemies!$A:$A),MATCH(U$1,[3]enemies!$1:$1,0)-MATCH($J$1,[3]enemies!$1:$1,0)+1),MATCH(U$1,[3]enemies!$1:$1,0)-MATCH($J$1,[3]enemies!$1:$1,0)+1,FALSE)</f>
        <v>30</v>
      </c>
      <c r="V234" s="44">
        <v>2</v>
      </c>
      <c r="W234" s="7">
        <v>100</v>
      </c>
      <c r="X234" s="7">
        <v>0</v>
      </c>
      <c r="Y234" s="20">
        <f ca="1">VLOOKUP($J234,OFFSET([3]enemies!$A$1,0,0,COUNTA([3]enemies!$A:$A),MATCH(Y$1,[3]enemies!$1:$1,0)-MATCH($J$1,[3]enemies!$1:$1,0)+1),MATCH(Y$1,[3]enemies!$1:$1,0)-MATCH($J$1,[3]enemies!$1:$1,0)+1,FALSE)</f>
        <v>2</v>
      </c>
      <c r="Z234" s="31">
        <v>29</v>
      </c>
      <c r="AA234" s="5" t="str">
        <f ca="1">IFERROR(VLOOKUP($Z234,OFFSET([4]characters!$A$1,0,0,COUNTA([4]characters!$A:$A),MATCH(AA$1,[4]characters!$1:$1,0)-MATCH("character_id",[4]characters!$1:$1,0)+1),MATCH(AA$1,[4]characters!$1:$1,0)-MATCH("character_id",[4]characters!$1:$1,0)+1,FALSE),"")</f>
        <v>スケアクロウ</v>
      </c>
      <c r="AB234" s="5">
        <f ca="1">IFERROR(VLOOKUP($Z234,OFFSET([4]characters!$A$1,0,0,COUNTA([4]characters!$A:$A),MATCH(AB$1,[4]characters!$1:$1,0)-MATCH("character_id",[4]characters!$1:$1,0)+1),MATCH(AB$1,[4]characters!$1:$1,0)-MATCH("character_id",[4]characters!$1:$1,0)+1,FALSE),"")</f>
        <v>1</v>
      </c>
      <c r="AC234" s="5" t="str">
        <f ca="1">IFERROR(VLOOKUP($Z234,OFFSET([4]characters!$A$1,0,0,COUNTA([4]characters!$A:$A),MATCH(AC$1,[4]characters!$1:$1,0)-MATCH("character_id",[4]characters!$1:$1,0)+1),MATCH(AC$1,[4]characters!$1:$1,0)-MATCH("character_id",[4]characters!$1:$1,0)+1,FALSE),"")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34" s="36">
        <v>1</v>
      </c>
      <c r="AE234" s="37">
        <f t="shared" ca="1" si="243"/>
        <v>1</v>
      </c>
      <c r="AF234" s="7">
        <v>0</v>
      </c>
      <c r="AG234" s="36">
        <v>0</v>
      </c>
      <c r="AH234" s="36">
        <v>0</v>
      </c>
      <c r="AI234" s="36">
        <v>0</v>
      </c>
      <c r="AJ234" s="36">
        <v>0</v>
      </c>
      <c r="AK234" s="36">
        <v>1</v>
      </c>
      <c r="AL234" s="36">
        <v>1</v>
      </c>
    </row>
    <row r="235" spans="1:38" ht="21" customHeight="1" x14ac:dyDescent="0.15">
      <c r="A235" s="17" t="str">
        <f t="shared" ca="1" si="240"/>
        <v>13101_24-4/18&lt;lv67&gt;s2</v>
      </c>
      <c r="B235" s="26">
        <v>13101</v>
      </c>
      <c r="C235" s="30">
        <v>24</v>
      </c>
      <c r="D235" s="16" t="str">
        <f t="shared" si="241"/>
        <v>13101_24</v>
      </c>
      <c r="E235" s="5" t="e">
        <v>#VALUE!</v>
      </c>
      <c r="F235" s="5" t="e">
        <v>#N/A</v>
      </c>
      <c r="G235" s="33">
        <v>4</v>
      </c>
      <c r="H235" s="16" t="str">
        <f t="shared" si="242"/>
        <v>13101_24-4</v>
      </c>
      <c r="I235" s="39" t="s">
        <v>245</v>
      </c>
      <c r="J235" s="31">
        <v>18</v>
      </c>
      <c r="K235" s="20" t="str">
        <f ca="1">VLOOKUP($J235,OFFSET([3]enemies!$A$1,0,0,COUNTA([3]enemies!$A:$A),MATCH(K$1,[3]enemies!$1:$1,0)-MATCH($J$1,[3]enemies!$1:$1,0)+1),MATCH(K$1,[3]enemies!$1:$1,0)-MATCH($J$1,[3]enemies!$1:$1,0)+1,FALSE)</f>
        <v>戦闘案内人 リム</v>
      </c>
      <c r="L235" s="23" t="str">
        <f ca="1">VLOOKUP($J235,OFFSET([3]enemies!$A$1,0,0,COUNTA([3]enemies!$A:$A),MATCH(L$1,[3]enemies!$1:$1,0)-MATCH($J$1,[3]enemies!$1:$1,0)+1),MATCH(L$1,[3]enemies!$1:$1,0)-MATCH($J$1,[3]enemies!$1:$1,0)+1,FALSE)</f>
        <v>blue</v>
      </c>
      <c r="M235" s="23" t="str">
        <f ca="1">VLOOKUP($J235,OFFSET([4]characters!$A$1,0,0,COUNTA([4]characters!$A:$A),MATCH(M$1,[4]characters!$1:$1,0)-MATCH($J$1,[4]characters!$1:$1,0)+1),MATCH(M$1,[4]characters!$1:$1,0)-MATCH($J$1,[4]characters!$1:$1,0)+1,FALSE)</f>
        <v>Drop1W</v>
      </c>
      <c r="N235" s="22" t="str">
        <f ca="1">VLOOKUP($J235,OFFSET([4]characters!$A$1,0,0,COUNTA([4]characters!$A:$A),MATCH(N$1,[4]characters!$1:$1,0)-MATCH($J$1,[4]characters!$1:$1,0)+2),MATCH(N$1,[4]characters!$1:$1,0)-MATCH($J$1,[4]characters!$1:$1,0)+2,FALSE)</f>
        <v>ヒューマン</v>
      </c>
      <c r="O235" s="5">
        <f ca="1">VLOOKUP($J235,OFFSET([3]enemies!$A$1,0,0,COUNTA([3]enemies!$A:$A),MATCH(O$1,[3]enemies!$1:$1,0)-MATCH($J$1,[3]enemies!$1:$1,0)+1),MATCH(O$1,[3]enemies!$1:$1,0)-MATCH($J$1,[3]enemies!$1:$1,0)+1,FALSE)</f>
        <v>15</v>
      </c>
      <c r="P235" s="60">
        <v>67</v>
      </c>
      <c r="Q235" s="43">
        <v>1</v>
      </c>
      <c r="R235" s="43">
        <v>1</v>
      </c>
      <c r="S235" s="6">
        <v>0</v>
      </c>
      <c r="T235" s="5" t="str">
        <f ca="1">VLOOKUP($U235,OFFSET([5]enemy_skill_sets!$B$1,0,0,COUNTA([5]enemy_skill_sets!$B:$B),MATCH(K$1,[5]enemy_skill_sets!$1:$1,0)-MATCH($U$1,[5]enemy_skill_sets!$1:$1,0)+2),MATCH(K$1,[5]enemy_skill_sets!$1:$1,0)-MATCH($U$1,[5]enemy_skill_sets!$1:$1,0)+2,FALSE)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35" s="5">
        <f ca="1">VLOOKUP($J235,OFFSET([3]enemies!$A$1,0,0,COUNTA([3]enemies!$A:$A),MATCH(U$1,[3]enemies!$1:$1,0)-MATCH($J$1,[3]enemies!$1:$1,0)+1),MATCH(U$1,[3]enemies!$1:$1,0)-MATCH($J$1,[3]enemies!$1:$1,0)+1,FALSE)</f>
        <v>0</v>
      </c>
      <c r="V235" s="44">
        <v>0</v>
      </c>
      <c r="W235" s="7">
        <v>100</v>
      </c>
      <c r="X235" s="7">
        <v>0</v>
      </c>
      <c r="Y235" s="20">
        <f ca="1">VLOOKUP($J235,OFFSET([3]enemies!$A$1,0,0,COUNTA([3]enemies!$A:$A),MATCH(Y$1,[3]enemies!$1:$1,0)-MATCH($J$1,[3]enemies!$1:$1,0)+1),MATCH(Y$1,[3]enemies!$1:$1,0)-MATCH($J$1,[3]enemies!$1:$1,0)+1,FALSE)</f>
        <v>2</v>
      </c>
      <c r="Z235" s="31">
        <v>17</v>
      </c>
      <c r="AA235" s="5" t="str">
        <f ca="1">IFERROR(VLOOKUP($Z235,OFFSET([4]characters!$A$1,0,0,COUNTA([4]characters!$A:$A),MATCH(AA$1,[4]characters!$1:$1,0)-MATCH("character_id",[4]characters!$1:$1,0)+1),MATCH(AA$1,[4]characters!$1:$1,0)-MATCH("character_id",[4]characters!$1:$1,0)+1,FALSE),"")</f>
        <v>リム</v>
      </c>
      <c r="AB235" s="5">
        <f ca="1">IFERROR(VLOOKUP($Z235,OFFSET([4]characters!$A$1,0,0,COUNTA([4]characters!$A:$A),MATCH(AB$1,[4]characters!$1:$1,0)-MATCH("character_id",[4]characters!$1:$1,0)+1),MATCH(AB$1,[4]characters!$1:$1,0)-MATCH("character_id",[4]characters!$1:$1,0)+1,FALSE),"")</f>
        <v>1</v>
      </c>
      <c r="AC235" s="5" t="str">
        <f ca="1">IFERROR(VLOOKUP($Z235,OFFSET([4]characters!$A$1,0,0,COUNTA([4]characters!$A:$A),MATCH(AC$1,[4]characters!$1:$1,0)-MATCH("character_id",[4]characters!$1:$1,0)+1),MATCH(AC$1,[4]characters!$1:$1,0)-MATCH("character_id",[4]characters!$1:$1,0)+1,FALSE),"")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35" s="36">
        <v>1</v>
      </c>
      <c r="AE235" s="37">
        <f t="shared" ca="1" si="243"/>
        <v>1</v>
      </c>
      <c r="AF235" s="7">
        <v>25</v>
      </c>
      <c r="AG235" s="36">
        <v>0</v>
      </c>
      <c r="AH235" s="36">
        <v>0</v>
      </c>
      <c r="AI235" s="36">
        <v>0</v>
      </c>
      <c r="AJ235" s="36">
        <v>0</v>
      </c>
      <c r="AK235" s="36">
        <v>1</v>
      </c>
      <c r="AL235" s="36">
        <v>1</v>
      </c>
    </row>
    <row r="236" spans="1:38" ht="21" customHeight="1" x14ac:dyDescent="0.15">
      <c r="A236" s="17" t="str">
        <f t="shared" ca="1" si="240"/>
        <v>13101_24-4/26&lt;lv67&gt;s3</v>
      </c>
      <c r="B236" s="26">
        <v>13101</v>
      </c>
      <c r="C236" s="30">
        <v>24</v>
      </c>
      <c r="D236" s="16" t="str">
        <f t="shared" si="241"/>
        <v>13101_24</v>
      </c>
      <c r="E236" s="5" t="e">
        <v>#VALUE!</v>
      </c>
      <c r="F236" s="5" t="e">
        <v>#N/A</v>
      </c>
      <c r="G236" s="33">
        <v>4</v>
      </c>
      <c r="H236" s="16" t="str">
        <f t="shared" si="242"/>
        <v>13101_24-4</v>
      </c>
      <c r="I236" s="39" t="s">
        <v>245</v>
      </c>
      <c r="J236" s="31">
        <v>26</v>
      </c>
      <c r="K236" s="20" t="str">
        <f ca="1">VLOOKUP($J236,OFFSET([3]enemies!$A$1,0,0,COUNTA([3]enemies!$A:$A),MATCH(K$1,[3]enemies!$1:$1,0)-MATCH($J$1,[3]enemies!$1:$1,0)+1),MATCH(K$1,[3]enemies!$1:$1,0)-MATCH($J$1,[3]enemies!$1:$1,0)+1,FALSE)</f>
        <v>勇犬 ハチ</v>
      </c>
      <c r="L236" s="23" t="str">
        <f ca="1">VLOOKUP($J236,OFFSET([3]enemies!$A$1,0,0,COUNTA([3]enemies!$A:$A),MATCH(L$1,[3]enemies!$1:$1,0)-MATCH($J$1,[3]enemies!$1:$1,0)+1),MATCH(L$1,[3]enemies!$1:$1,0)-MATCH($J$1,[3]enemies!$1:$1,0)+1,FALSE)</f>
        <v>blue</v>
      </c>
      <c r="M236" s="23" t="str">
        <f ca="1">VLOOKUP($J236,OFFSET([4]characters!$A$1,0,0,COUNTA([4]characters!$A:$A),MATCH(M$1,[4]characters!$1:$1,0)-MATCH($J$1,[4]characters!$1:$1,0)+1),MATCH(M$1,[4]characters!$1:$1,0)-MATCH($J$1,[4]characters!$1:$1,0)+1,FALSE)</f>
        <v>Drop1N</v>
      </c>
      <c r="N236" s="22" t="str">
        <f ca="1">VLOOKUP($J236,OFFSET([4]characters!$A$1,0,0,COUNTA([4]characters!$A:$A),MATCH(N$1,[4]characters!$1:$1,0)-MATCH($J$1,[4]characters!$1:$1,0)+2),MATCH(N$1,[4]characters!$1:$1,0)-MATCH($J$1,[4]characters!$1:$1,0)+2,FALSE)</f>
        <v>アニマル</v>
      </c>
      <c r="O236" s="5">
        <f ca="1">VLOOKUP($J236,OFFSET([3]enemies!$A$1,0,0,COUNTA([3]enemies!$A:$A),MATCH(O$1,[3]enemies!$1:$1,0)-MATCH($J$1,[3]enemies!$1:$1,0)+1),MATCH(O$1,[3]enemies!$1:$1,0)-MATCH($J$1,[3]enemies!$1:$1,0)+1,FALSE)</f>
        <v>15</v>
      </c>
      <c r="P236" s="60">
        <v>67</v>
      </c>
      <c r="Q236" s="43">
        <v>1</v>
      </c>
      <c r="R236" s="43">
        <v>1</v>
      </c>
      <c r="S236" s="6">
        <v>0</v>
      </c>
      <c r="T236" s="5" t="str">
        <f ca="1">VLOOKUP($U236,OFFSET([5]enemy_skill_sets!$B$1,0,0,COUNTA([5]enemy_skill_sets!$B:$B),MATCH(K$1,[5]enemy_skill_sets!$1:$1,0)-MATCH($U$1,[5]enemy_skill_sets!$1:$1,0)+2),MATCH(K$1,[5]enemy_skill_sets!$1:$1,0)-MATCH($U$1,[5]enemy_skill_sets!$1:$1,0)+2,FALSE)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36" s="5">
        <f ca="1">VLOOKUP($J236,OFFSET([3]enemies!$A$1,0,0,COUNTA([3]enemies!$A:$A),MATCH(U$1,[3]enemies!$1:$1,0)-MATCH($J$1,[3]enemies!$1:$1,0)+1),MATCH(U$1,[3]enemies!$1:$1,0)-MATCH($J$1,[3]enemies!$1:$1,0)+1,FALSE)</f>
        <v>0</v>
      </c>
      <c r="V236" s="44">
        <v>0</v>
      </c>
      <c r="W236" s="7">
        <v>100</v>
      </c>
      <c r="X236" s="7">
        <v>0</v>
      </c>
      <c r="Y236" s="20">
        <f ca="1">VLOOKUP($J236,OFFSET([3]enemies!$A$1,0,0,COUNTA([3]enemies!$A:$A),MATCH(Y$1,[3]enemies!$1:$1,0)-MATCH($J$1,[3]enemies!$1:$1,0)+1),MATCH(Y$1,[3]enemies!$1:$1,0)-MATCH($J$1,[3]enemies!$1:$1,0)+1,FALSE)</f>
        <v>3</v>
      </c>
      <c r="Z236" s="31">
        <v>25</v>
      </c>
      <c r="AA236" s="5" t="str">
        <f ca="1">IFERROR(VLOOKUP($Z236,OFFSET([4]characters!$A$1,0,0,COUNTA([4]characters!$A:$A),MATCH(AA$1,[4]characters!$1:$1,0)-MATCH("character_id",[4]characters!$1:$1,0)+1),MATCH(AA$1,[4]characters!$1:$1,0)-MATCH("character_id",[4]characters!$1:$1,0)+1,FALSE),"")</f>
        <v>ハチ</v>
      </c>
      <c r="AB236" s="5">
        <f ca="1">IFERROR(VLOOKUP($Z236,OFFSET([4]characters!$A$1,0,0,COUNTA([4]characters!$A:$A),MATCH(AB$1,[4]characters!$1:$1,0)-MATCH("character_id",[4]characters!$1:$1,0)+1),MATCH(AB$1,[4]characters!$1:$1,0)-MATCH("character_id",[4]characters!$1:$1,0)+1,FALSE),"")</f>
        <v>1</v>
      </c>
      <c r="AC236" s="5" t="str">
        <f ca="1">IFERROR(VLOOKUP($Z236,OFFSET([4]characters!$A$1,0,0,COUNTA([4]characters!$A:$A),MATCH(AC$1,[4]characters!$1:$1,0)-MATCH("character_id",[4]characters!$1:$1,0)+1),MATCH(AC$1,[4]characters!$1:$1,0)-MATCH("character_id",[4]characters!$1:$1,0)+1,FALSE),"")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36" s="36">
        <v>1</v>
      </c>
      <c r="AE236" s="37">
        <f t="shared" ca="1" si="243"/>
        <v>1</v>
      </c>
      <c r="AF236" s="7">
        <v>25</v>
      </c>
      <c r="AG236" s="36">
        <v>0</v>
      </c>
      <c r="AH236" s="36">
        <v>0</v>
      </c>
      <c r="AI236" s="36">
        <v>0</v>
      </c>
      <c r="AJ236" s="36">
        <v>0</v>
      </c>
      <c r="AK236" s="36">
        <v>1</v>
      </c>
      <c r="AL236" s="36">
        <v>1</v>
      </c>
    </row>
    <row r="237" spans="1:38" ht="21" customHeight="1" x14ac:dyDescent="0.15">
      <c r="A237" s="17" t="str">
        <f t="shared" ca="1" si="240"/>
        <v>13101_24-4/30&lt;lv67&gt;s2</v>
      </c>
      <c r="B237" s="26">
        <v>13101</v>
      </c>
      <c r="C237" s="30">
        <v>24</v>
      </c>
      <c r="D237" s="16" t="str">
        <f t="shared" si="241"/>
        <v>13101_24</v>
      </c>
      <c r="E237" s="5" t="e">
        <v>#VALUE!</v>
      </c>
      <c r="F237" s="5" t="e">
        <v>#N/A</v>
      </c>
      <c r="G237" s="33">
        <v>4</v>
      </c>
      <c r="H237" s="16" t="str">
        <f t="shared" si="242"/>
        <v>13101_24-4</v>
      </c>
      <c r="I237" s="39" t="s">
        <v>245</v>
      </c>
      <c r="J237" s="31">
        <v>30</v>
      </c>
      <c r="K237" s="20" t="str">
        <f ca="1">VLOOKUP($J237,OFFSET([3]enemies!$A$1,0,0,COUNTA([3]enemies!$A:$A),MATCH(K$1,[3]enemies!$1:$1,0)-MATCH($J$1,[3]enemies!$1:$1,0)+1),MATCH(K$1,[3]enemies!$1:$1,0)-MATCH($J$1,[3]enemies!$1:$1,0)+1,FALSE)</f>
        <v>護衛機人 スケアクロウ</v>
      </c>
      <c r="L237" s="23" t="str">
        <f ca="1">VLOOKUP($J237,OFFSET([3]enemies!$A$1,0,0,COUNTA([3]enemies!$A:$A),MATCH(L$1,[3]enemies!$1:$1,0)-MATCH($J$1,[3]enemies!$1:$1,0)+1),MATCH(L$1,[3]enemies!$1:$1,0)-MATCH($J$1,[3]enemies!$1:$1,0)+1,FALSE)</f>
        <v>blue</v>
      </c>
      <c r="M237" s="23" t="str">
        <f ca="1">VLOOKUP($J237,OFFSET([4]characters!$A$1,0,0,COUNTA([4]characters!$A:$A),MATCH(M$1,[4]characters!$1:$1,0)-MATCH($J$1,[4]characters!$1:$1,0)+1),MATCH(M$1,[4]characters!$1:$1,0)-MATCH($J$1,[4]characters!$1:$1,0)+1,FALSE)</f>
        <v>Drop1N</v>
      </c>
      <c r="N237" s="22" t="str">
        <f ca="1">VLOOKUP($J237,OFFSET([4]characters!$A$1,0,0,COUNTA([4]characters!$A:$A),MATCH(N$1,[4]characters!$1:$1,0)-MATCH($J$1,[4]characters!$1:$1,0)+2),MATCH(N$1,[4]characters!$1:$1,0)-MATCH($J$1,[4]characters!$1:$1,0)+2,FALSE)</f>
        <v>マシン</v>
      </c>
      <c r="O237" s="5">
        <f ca="1">VLOOKUP($J237,OFFSET([3]enemies!$A$1,0,0,COUNTA([3]enemies!$A:$A),MATCH(O$1,[3]enemies!$1:$1,0)-MATCH($J$1,[3]enemies!$1:$1,0)+1),MATCH(O$1,[3]enemies!$1:$1,0)-MATCH($J$1,[3]enemies!$1:$1,0)+1,FALSE)</f>
        <v>15</v>
      </c>
      <c r="P237" s="60">
        <v>67</v>
      </c>
      <c r="Q237" s="43">
        <v>1</v>
      </c>
      <c r="R237" s="43">
        <v>1</v>
      </c>
      <c r="S237" s="6">
        <v>0</v>
      </c>
      <c r="T237" s="5" t="str">
        <f ca="1">VLOOKUP($U237,OFFSET([5]enemy_skill_sets!$B$1,0,0,COUNTA([5]enemy_skill_sets!$B:$B),MATCH(K$1,[5]enemy_skill_sets!$1:$1,0)-MATCH($U$1,[5]enemy_skill_sets!$1:$1,0)+2),MATCH(K$1,[5]enemy_skill_sets!$1:$1,0)-MATCH($U$1,[5]enemy_skill_sets!$1:$1,0)+2,FALSE)</f>
        <v>回復</v>
      </c>
      <c r="U237" s="5">
        <f ca="1">VLOOKUP($J237,OFFSET([3]enemies!$A$1,0,0,COUNTA([3]enemies!$A:$A),MATCH(U$1,[3]enemies!$1:$1,0)-MATCH($J$1,[3]enemies!$1:$1,0)+1),MATCH(U$1,[3]enemies!$1:$1,0)-MATCH($J$1,[3]enemies!$1:$1,0)+1,FALSE)</f>
        <v>30</v>
      </c>
      <c r="V237" s="44">
        <v>0</v>
      </c>
      <c r="W237" s="7">
        <v>100</v>
      </c>
      <c r="X237" s="7">
        <v>0</v>
      </c>
      <c r="Y237" s="20">
        <f ca="1">VLOOKUP($J237,OFFSET([3]enemies!$A$1,0,0,COUNTA([3]enemies!$A:$A),MATCH(Y$1,[3]enemies!$1:$1,0)-MATCH($J$1,[3]enemies!$1:$1,0)+1),MATCH(Y$1,[3]enemies!$1:$1,0)-MATCH($J$1,[3]enemies!$1:$1,0)+1,FALSE)</f>
        <v>2</v>
      </c>
      <c r="Z237" s="31">
        <v>29</v>
      </c>
      <c r="AA237" s="5" t="str">
        <f ca="1">IFERROR(VLOOKUP($Z237,OFFSET([4]characters!$A$1,0,0,COUNTA([4]characters!$A:$A),MATCH(AA$1,[4]characters!$1:$1,0)-MATCH("character_id",[4]characters!$1:$1,0)+1),MATCH(AA$1,[4]characters!$1:$1,0)-MATCH("character_id",[4]characters!$1:$1,0)+1,FALSE),"")</f>
        <v>スケアクロウ</v>
      </c>
      <c r="AB237" s="5">
        <f ca="1">IFERROR(VLOOKUP($Z237,OFFSET([4]characters!$A$1,0,0,COUNTA([4]characters!$A:$A),MATCH(AB$1,[4]characters!$1:$1,0)-MATCH("character_id",[4]characters!$1:$1,0)+1),MATCH(AB$1,[4]characters!$1:$1,0)-MATCH("character_id",[4]characters!$1:$1,0)+1,FALSE),"")</f>
        <v>1</v>
      </c>
      <c r="AC237" s="5" t="str">
        <f ca="1">IFERROR(VLOOKUP($Z237,OFFSET([4]characters!$A$1,0,0,COUNTA([4]characters!$A:$A),MATCH(AC$1,[4]characters!$1:$1,0)-MATCH("character_id",[4]characters!$1:$1,0)+1),MATCH(AC$1,[4]characters!$1:$1,0)-MATCH("character_id",[4]characters!$1:$1,0)+1,FALSE),"")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37" s="36">
        <v>1</v>
      </c>
      <c r="AE237" s="37">
        <f t="shared" ca="1" si="243"/>
        <v>1</v>
      </c>
      <c r="AF237" s="7">
        <v>25</v>
      </c>
      <c r="AG237" s="36">
        <v>0</v>
      </c>
      <c r="AH237" s="36">
        <v>0</v>
      </c>
      <c r="AI237" s="36">
        <v>0</v>
      </c>
      <c r="AJ237" s="36">
        <v>0</v>
      </c>
      <c r="AK237" s="36">
        <v>1</v>
      </c>
      <c r="AL237" s="36">
        <v>1</v>
      </c>
    </row>
    <row r="238" spans="1:38" ht="21" customHeight="1" x14ac:dyDescent="0.15">
      <c r="A238" s="17" t="str">
        <f t="shared" ca="1" si="240"/>
        <v>13101_24-5/186&lt;lv70&gt;s3</v>
      </c>
      <c r="B238" s="26">
        <v>13101</v>
      </c>
      <c r="C238" s="30">
        <v>24</v>
      </c>
      <c r="D238" s="16" t="str">
        <f t="shared" si="241"/>
        <v>13101_24</v>
      </c>
      <c r="E238" s="5" t="e">
        <v>#VALUE!</v>
      </c>
      <c r="F238" s="5" t="e">
        <v>#N/A</v>
      </c>
      <c r="G238" s="57">
        <v>5</v>
      </c>
      <c r="H238" s="16" t="str">
        <f t="shared" si="242"/>
        <v>13101_24-5</v>
      </c>
      <c r="I238" s="39" t="s">
        <v>245</v>
      </c>
      <c r="J238" s="31">
        <v>186</v>
      </c>
      <c r="K238" s="20" t="str">
        <f ca="1">VLOOKUP($J238,OFFSET([3]enemies!$A$1,0,0,COUNTA([3]enemies!$A:$A),MATCH(K$1,[3]enemies!$1:$1,0)-MATCH($J$1,[3]enemies!$1:$1,0)+1),MATCH(K$1,[3]enemies!$1:$1,0)-MATCH($J$1,[3]enemies!$1:$1,0)+1,FALSE)</f>
        <v>誇り高き多触姫・クラーケン</v>
      </c>
      <c r="L238" s="23" t="str">
        <f ca="1">VLOOKUP($J238,OFFSET([3]enemies!$A$1,0,0,COUNTA([3]enemies!$A:$A),MATCH(L$1,[3]enemies!$1:$1,0)-MATCH($J$1,[3]enemies!$1:$1,0)+1),MATCH(L$1,[3]enemies!$1:$1,0)-MATCH($J$1,[3]enemies!$1:$1,0)+1,FALSE)</f>
        <v>blue</v>
      </c>
      <c r="M238" s="23" t="str">
        <f ca="1">VLOOKUP($J238,OFFSET([4]characters!$A$1,0,0,COUNTA([4]characters!$A:$A),MATCH(M$1,[4]characters!$1:$1,0)-MATCH($J$1,[4]characters!$1:$1,0)+1),MATCH(M$1,[4]characters!$1:$1,0)-MATCH($J$1,[4]characters!$1:$1,0)+1,FALSE)</f>
        <v>PremiumN</v>
      </c>
      <c r="N238" s="22" t="str">
        <f ca="1">VLOOKUP($J238,OFFSET([4]characters!$A$1,0,0,COUNTA([4]characters!$A:$A),MATCH(N$1,[4]characters!$1:$1,0)-MATCH($J$1,[4]characters!$1:$1,0)+2),MATCH(N$1,[4]characters!$1:$1,0)-MATCH($J$1,[4]characters!$1:$1,0)+2,FALSE)</f>
        <v>アニマル</v>
      </c>
      <c r="O238" s="5">
        <f ca="1">VLOOKUP($J238,OFFSET([3]enemies!$A$1,0,0,COUNTA([3]enemies!$A:$A),MATCH(O$1,[3]enemies!$1:$1,0)-MATCH($J$1,[3]enemies!$1:$1,0)+1),MATCH(O$1,[3]enemies!$1:$1,0)-MATCH($J$1,[3]enemies!$1:$1,0)+1,FALSE)</f>
        <v>60</v>
      </c>
      <c r="P238" s="60">
        <v>70</v>
      </c>
      <c r="Q238" s="43">
        <v>2</v>
      </c>
      <c r="R238" s="43">
        <v>1</v>
      </c>
      <c r="S238" s="6">
        <v>0</v>
      </c>
      <c r="T238" s="5" t="str">
        <f ca="1">VLOOKUP($U238,OFFSET([5]enemy_skill_sets!$B$1,0,0,COUNTA([5]enemy_skill_sets!$B:$B),MATCH(K$1,[5]enemy_skill_sets!$1:$1,0)-MATCH($U$1,[5]enemy_skill_sets!$1:$1,0)+2),MATCH(K$1,[5]enemy_skill_sets!$1:$1,0)-MATCH($U$1,[5]enemy_skill_sets!$1:$1,0)+2,FALSE)</f>
        <v>ユニット1体に3ターンスリープ＆連続攻撃</v>
      </c>
      <c r="U238" s="59">
        <v>18601</v>
      </c>
      <c r="V238" s="7">
        <v>1</v>
      </c>
      <c r="W238" s="7">
        <v>100</v>
      </c>
      <c r="X238" s="7">
        <v>1</v>
      </c>
      <c r="Y238" s="20">
        <f ca="1">VLOOKUP($J238,OFFSET([3]enemies!$A$1,0,0,COUNTA([3]enemies!$A:$A),MATCH(Y$1,[3]enemies!$1:$1,0)-MATCH($J$1,[3]enemies!$1:$1,0)+1),MATCH(Y$1,[3]enemies!$1:$1,0)-MATCH($J$1,[3]enemies!$1:$1,0)+1,FALSE)</f>
        <v>3</v>
      </c>
      <c r="Z238" s="31">
        <v>184</v>
      </c>
      <c r="AA238" s="5" t="str">
        <f ca="1">IFERROR(VLOOKUP($Z238,OFFSET([4]characters!$A$1,0,0,COUNTA([4]characters!$A:$A),MATCH(AA$1,[4]characters!$1:$1,0)-MATCH("character_id",[4]characters!$1:$1,0)+1),MATCH(AA$1,[4]characters!$1:$1,0)-MATCH("character_id",[4]characters!$1:$1,0)+1,FALSE),"")</f>
        <v>クラーケン</v>
      </c>
      <c r="AB238" s="5">
        <f ca="1">IFERROR(VLOOKUP($Z238,OFFSET([4]characters!$A$1,0,0,COUNTA([4]characters!$A:$A),MATCH(AB$1,[4]characters!$1:$1,0)-MATCH("character_id",[4]characters!$1:$1,0)+1),MATCH(AB$1,[4]characters!$1:$1,0)-MATCH("character_id",[4]characters!$1:$1,0)+1,FALSE),"")</f>
        <v>3</v>
      </c>
      <c r="AC238" s="5" t="str">
        <f ca="1">IFERROR(VLOOKUP($Z238,OFFSET([4]characters!$A$1,0,0,COUNTA([4]characters!$A:$A),MATCH(AC$1,[4]characters!$1:$1,0)-MATCH("character_id",[4]characters!$1:$1,0)+1),MATCH(AC$1,[4]characters!$1:$1,0)-MATCH("character_id",[4]characters!$1:$1,0)+1,FALSE),"")</f>
        <v>PremiumN</v>
      </c>
      <c r="AD238" s="36">
        <v>1</v>
      </c>
      <c r="AE238" s="37">
        <f t="shared" ca="1" si="243"/>
        <v>3</v>
      </c>
      <c r="AF238" s="7">
        <v>0</v>
      </c>
      <c r="AG238" s="36">
        <v>0</v>
      </c>
      <c r="AH238" s="36">
        <v>0</v>
      </c>
      <c r="AI238" s="36">
        <v>0</v>
      </c>
      <c r="AJ238" s="36">
        <v>0</v>
      </c>
      <c r="AK238" s="36">
        <v>1</v>
      </c>
      <c r="AL238" s="36">
        <v>1</v>
      </c>
    </row>
    <row r="239" spans="1:38" ht="21" customHeight="1" x14ac:dyDescent="0.15">
      <c r="A239" s="17" t="str">
        <f t="shared" ca="1" si="240"/>
        <v>13101_25-1/16&lt;lv67&gt;s3</v>
      </c>
      <c r="B239" s="26">
        <v>13101</v>
      </c>
      <c r="C239" s="30">
        <v>25</v>
      </c>
      <c r="D239" s="16" t="str">
        <f t="shared" si="241"/>
        <v>13101_25</v>
      </c>
      <c r="E239" s="5" t="e">
        <v>#VALUE!</v>
      </c>
      <c r="F239" s="5" t="e">
        <v>#N/A</v>
      </c>
      <c r="G239" s="33">
        <v>1</v>
      </c>
      <c r="H239" s="16" t="str">
        <f t="shared" si="242"/>
        <v>13101_25-1</v>
      </c>
      <c r="I239" s="39" t="s">
        <v>245</v>
      </c>
      <c r="J239" s="31">
        <v>16</v>
      </c>
      <c r="K239" s="20" t="str">
        <f ca="1">VLOOKUP($J239,OFFSET([3]enemies!$A$1,0,0,COUNTA([3]enemies!$A:$A),MATCH(K$1,[3]enemies!$1:$1,0)-MATCH($J$1,[3]enemies!$1:$1,0)+1),MATCH(K$1,[3]enemies!$1:$1,0)-MATCH($J$1,[3]enemies!$1:$1,0)+1,FALSE)</f>
        <v>炎戦少女 アカネ</v>
      </c>
      <c r="L239" s="23" t="str">
        <f ca="1">VLOOKUP($J239,OFFSET([3]enemies!$A$1,0,0,COUNTA([3]enemies!$A:$A),MATCH(L$1,[3]enemies!$1:$1,0)-MATCH($J$1,[3]enemies!$1:$1,0)+1),MATCH(L$1,[3]enemies!$1:$1,0)-MATCH($J$1,[3]enemies!$1:$1,0)+1,FALSE)</f>
        <v>red</v>
      </c>
      <c r="M239" s="23" t="str">
        <f ca="1">VLOOKUP($J239,OFFSET([4]characters!$A$1,0,0,COUNTA([4]characters!$A:$A),MATCH(M$1,[4]characters!$1:$1,0)-MATCH($J$1,[4]characters!$1:$1,0)+1),MATCH(M$1,[4]characters!$1:$1,0)-MATCH($J$1,[4]characters!$1:$1,0)+1,FALSE)</f>
        <v>Drop1W</v>
      </c>
      <c r="N239" s="22" t="str">
        <f ca="1">VLOOKUP($J239,OFFSET([4]characters!$A$1,0,0,COUNTA([4]characters!$A:$A),MATCH(N$1,[4]characters!$1:$1,0)-MATCH($J$1,[4]characters!$1:$1,0)+2),MATCH(N$1,[4]characters!$1:$1,0)-MATCH($J$1,[4]characters!$1:$1,0)+2,FALSE)</f>
        <v>ヒューマン</v>
      </c>
      <c r="O239" s="5">
        <f ca="1">VLOOKUP($J239,OFFSET([3]enemies!$A$1,0,0,COUNTA([3]enemies!$A:$A),MATCH(O$1,[3]enemies!$1:$1,0)-MATCH($J$1,[3]enemies!$1:$1,0)+1),MATCH(O$1,[3]enemies!$1:$1,0)-MATCH($J$1,[3]enemies!$1:$1,0)+1,FALSE)</f>
        <v>15</v>
      </c>
      <c r="P239" s="60">
        <v>67</v>
      </c>
      <c r="Q239" s="43">
        <v>1</v>
      </c>
      <c r="R239" s="43">
        <v>1</v>
      </c>
      <c r="S239" s="6">
        <v>0</v>
      </c>
      <c r="T239" s="5" t="str">
        <f ca="1">VLOOKUP($U239,OFFSET([5]enemy_skill_sets!$B$1,0,0,COUNTA([5]enemy_skill_sets!$B:$B),MATCH(K$1,[5]enemy_skill_sets!$1:$1,0)-MATCH($U$1,[5]enemy_skill_sets!$1:$1,0)+2),MATCH(K$1,[5]enemy_skill_sets!$1:$1,0)-MATCH($U$1,[5]enemy_skill_sets!$1:$1,0)+2,FALSE)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39" s="5">
        <f ca="1">VLOOKUP($J239,OFFSET([3]enemies!$A$1,0,0,COUNTA([3]enemies!$A:$A),MATCH(U$1,[3]enemies!$1:$1,0)-MATCH($J$1,[3]enemies!$1:$1,0)+1),MATCH(U$1,[3]enemies!$1:$1,0)-MATCH($J$1,[3]enemies!$1:$1,0)+1,FALSE)</f>
        <v>0</v>
      </c>
      <c r="V239" s="44">
        <v>0</v>
      </c>
      <c r="W239" s="7">
        <v>100</v>
      </c>
      <c r="X239" s="7">
        <v>0</v>
      </c>
      <c r="Y239" s="20">
        <f ca="1">VLOOKUP($J239,OFFSET([3]enemies!$A$1,0,0,COUNTA([3]enemies!$A:$A),MATCH(Y$1,[3]enemies!$1:$1,0)-MATCH($J$1,[3]enemies!$1:$1,0)+1),MATCH(Y$1,[3]enemies!$1:$1,0)-MATCH($J$1,[3]enemies!$1:$1,0)+1,FALSE)</f>
        <v>3</v>
      </c>
      <c r="Z239" s="31">
        <v>15</v>
      </c>
      <c r="AA239" s="5" t="str">
        <f ca="1">IFERROR(VLOOKUP($Z239,OFFSET([4]characters!$A$1,0,0,COUNTA([4]characters!$A:$A),MATCH(AA$1,[4]characters!$1:$1,0)-MATCH("character_id",[4]characters!$1:$1,0)+1),MATCH(AA$1,[4]characters!$1:$1,0)-MATCH("character_id",[4]characters!$1:$1,0)+1,FALSE),"")</f>
        <v>アカネ</v>
      </c>
      <c r="AB239" s="5">
        <f ca="1">IFERROR(VLOOKUP($Z239,OFFSET([4]characters!$A$1,0,0,COUNTA([4]characters!$A:$A),MATCH(AB$1,[4]characters!$1:$1,0)-MATCH("character_id",[4]characters!$1:$1,0)+1),MATCH(AB$1,[4]characters!$1:$1,0)-MATCH("character_id",[4]characters!$1:$1,0)+1,FALSE),"")</f>
        <v>1</v>
      </c>
      <c r="AC239" s="5" t="str">
        <f ca="1">IFERROR(VLOOKUP($Z239,OFFSET([4]characters!$A$1,0,0,COUNTA([4]characters!$A:$A),MATCH(AC$1,[4]characters!$1:$1,0)-MATCH("character_id",[4]characters!$1:$1,0)+1),MATCH(AC$1,[4]characters!$1:$1,0)-MATCH("character_id",[4]characters!$1:$1,0)+1,FALSE),"")</f>
        <v>Drop1W</v>
      </c>
      <c r="AD239" s="36">
        <v>1</v>
      </c>
      <c r="AE239" s="37">
        <f t="shared" ca="1" si="243"/>
        <v>1</v>
      </c>
      <c r="AF239" s="7">
        <v>25</v>
      </c>
      <c r="AG239" s="36">
        <v>0</v>
      </c>
      <c r="AH239" s="36">
        <v>0</v>
      </c>
      <c r="AI239" s="36">
        <v>0</v>
      </c>
      <c r="AJ239" s="36">
        <v>0</v>
      </c>
      <c r="AK239" s="36">
        <v>1</v>
      </c>
      <c r="AL239" s="36">
        <v>1</v>
      </c>
    </row>
    <row r="240" spans="1:38" ht="21" customHeight="1" x14ac:dyDescent="0.15">
      <c r="A240" s="17" t="str">
        <f t="shared" ca="1" si="240"/>
        <v>13101_25-2/49&lt;lv67&gt;s2</v>
      </c>
      <c r="B240" s="26">
        <v>13101</v>
      </c>
      <c r="C240" s="30">
        <v>25</v>
      </c>
      <c r="D240" s="16" t="str">
        <f t="shared" si="241"/>
        <v>13101_25</v>
      </c>
      <c r="E240" s="5" t="e">
        <v>#VALUE!</v>
      </c>
      <c r="F240" s="5" t="e">
        <v>#N/A</v>
      </c>
      <c r="G240" s="33">
        <v>2</v>
      </c>
      <c r="H240" s="16" t="str">
        <f t="shared" si="242"/>
        <v>13101_25-2</v>
      </c>
      <c r="I240" s="39" t="s">
        <v>245</v>
      </c>
      <c r="J240" s="31">
        <v>49</v>
      </c>
      <c r="K240" s="20" t="str">
        <f ca="1">VLOOKUP($J240,OFFSET([3]enemies!$A$1,0,0,COUNTA([3]enemies!$A:$A),MATCH(K$1,[3]enemies!$1:$1,0)-MATCH($J$1,[3]enemies!$1:$1,0)+1),MATCH(K$1,[3]enemies!$1:$1,0)-MATCH($J$1,[3]enemies!$1:$1,0)+1,FALSE)</f>
        <v>ヨシタカ</v>
      </c>
      <c r="L240" s="23" t="str">
        <f ca="1">VLOOKUP($J240,OFFSET([3]enemies!$A$1,0,0,COUNTA([3]enemies!$A:$A),MATCH(L$1,[3]enemies!$1:$1,0)-MATCH($J$1,[3]enemies!$1:$1,0)+1),MATCH(L$1,[3]enemies!$1:$1,0)-MATCH($J$1,[3]enemies!$1:$1,0)+1,FALSE)</f>
        <v>red</v>
      </c>
      <c r="M240" s="23" t="str">
        <f ca="1">VLOOKUP($J240,OFFSET([4]characters!$A$1,0,0,COUNTA([4]characters!$A:$A),MATCH(M$1,[4]characters!$1:$1,0)-MATCH($J$1,[4]characters!$1:$1,0)+1),MATCH(M$1,[4]characters!$1:$1,0)-MATCH($J$1,[4]characters!$1:$1,0)+1,FALSE)</f>
        <v>Drop1N</v>
      </c>
      <c r="N240" s="22" t="str">
        <f ca="1">VLOOKUP($J240,OFFSET([4]characters!$A$1,0,0,COUNTA([4]characters!$A:$A),MATCH(N$1,[4]characters!$1:$1,0)-MATCH($J$1,[4]characters!$1:$1,0)+2),MATCH(N$1,[4]characters!$1:$1,0)-MATCH($J$1,[4]characters!$1:$1,0)+2,FALSE)</f>
        <v>ヒューマン</v>
      </c>
      <c r="O240" s="5">
        <f ca="1">VLOOKUP($J240,OFFSET([3]enemies!$A$1,0,0,COUNTA([3]enemies!$A:$A),MATCH(O$1,[3]enemies!$1:$1,0)-MATCH($J$1,[3]enemies!$1:$1,0)+1),MATCH(O$1,[3]enemies!$1:$1,0)-MATCH($J$1,[3]enemies!$1:$1,0)+1,FALSE)</f>
        <v>15</v>
      </c>
      <c r="P240" s="60">
        <v>67</v>
      </c>
      <c r="Q240" s="43">
        <v>1</v>
      </c>
      <c r="R240" s="43">
        <v>1</v>
      </c>
      <c r="S240" s="6">
        <v>0</v>
      </c>
      <c r="T240" s="5" t="str">
        <f ca="1">VLOOKUP($U240,OFFSET([5]enemy_skill_sets!$B$1,0,0,COUNTA([5]enemy_skill_sets!$B:$B),MATCH(K$1,[5]enemy_skill_sets!$1:$1,0)-MATCH($U$1,[5]enemy_skill_sets!$1:$1,0)+2),MATCH(K$1,[5]enemy_skill_sets!$1:$1,0)-MATCH($U$1,[5]enemy_skill_sets!$1:$1,0)+2,FALSE)</f>
        <v>3ターンの間ダメージを受ける</v>
      </c>
      <c r="U240" s="5">
        <f ca="1">VLOOKUP($J240,OFFSET([3]enemies!$A$1,0,0,COUNTA([3]enemies!$A:$A),MATCH(U$1,[3]enemies!$1:$1,0)-MATCH($J$1,[3]enemies!$1:$1,0)+1),MATCH(U$1,[3]enemies!$1:$1,0)-MATCH($J$1,[3]enemies!$1:$1,0)+1,FALSE)</f>
        <v>49</v>
      </c>
      <c r="V240" s="44">
        <v>0</v>
      </c>
      <c r="W240" s="7">
        <v>100</v>
      </c>
      <c r="X240" s="7">
        <v>0</v>
      </c>
      <c r="Y240" s="20">
        <f ca="1">VLOOKUP($J240,OFFSET([3]enemies!$A$1,0,0,COUNTA([3]enemies!$A:$A),MATCH(Y$1,[3]enemies!$1:$1,0)-MATCH($J$1,[3]enemies!$1:$1,0)+1),MATCH(Y$1,[3]enemies!$1:$1,0)-MATCH($J$1,[3]enemies!$1:$1,0)+1,FALSE)</f>
        <v>2</v>
      </c>
      <c r="Z240" s="31">
        <v>49</v>
      </c>
      <c r="AA240" s="5" t="str">
        <f ca="1">IFERROR(VLOOKUP($Z240,OFFSET([4]characters!$A$1,0,0,COUNTA([4]characters!$A:$A),MATCH(AA$1,[4]characters!$1:$1,0)-MATCH("character_id",[4]characters!$1:$1,0)+1),MATCH(AA$1,[4]characters!$1:$1,0)-MATCH("character_id",[4]characters!$1:$1,0)+1,FALSE),"")</f>
        <v>ヨシタカ</v>
      </c>
      <c r="AB240" s="5">
        <f ca="1">IFERROR(VLOOKUP($Z240,OFFSET([4]characters!$A$1,0,0,COUNTA([4]characters!$A:$A),MATCH(AB$1,[4]characters!$1:$1,0)-MATCH("character_id",[4]characters!$1:$1,0)+1),MATCH(AB$1,[4]characters!$1:$1,0)-MATCH("character_id",[4]characters!$1:$1,0)+1,FALSE),"")</f>
        <v>2</v>
      </c>
      <c r="AC240" s="5" t="str">
        <f ca="1">IFERROR(VLOOKUP($Z240,OFFSET([4]characters!$A$1,0,0,COUNTA([4]characters!$A:$A),MATCH(AC$1,[4]characters!$1:$1,0)-MATCH("character_id",[4]characters!$1:$1,0)+1),MATCH(AC$1,[4]characters!$1:$1,0)-MATCH("character_id",[4]characters!$1:$1,0)+1,FALSE),"")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40" s="36">
        <v>1</v>
      </c>
      <c r="AE240" s="37">
        <f t="shared" ca="1" si="243"/>
        <v>2</v>
      </c>
      <c r="AF240" s="7">
        <v>25</v>
      </c>
      <c r="AG240" s="36">
        <v>0</v>
      </c>
      <c r="AH240" s="36">
        <v>0</v>
      </c>
      <c r="AI240" s="36">
        <v>0</v>
      </c>
      <c r="AJ240" s="36">
        <v>0</v>
      </c>
      <c r="AK240" s="36">
        <v>1</v>
      </c>
      <c r="AL240" s="36">
        <v>1</v>
      </c>
    </row>
    <row r="241" spans="1:38" ht="21" customHeight="1" x14ac:dyDescent="0.15">
      <c r="A241" s="17" t="str">
        <f t="shared" ca="1" si="240"/>
        <v>13101_25-3/151&lt;lv70&gt;s2</v>
      </c>
      <c r="B241" s="26">
        <v>13101</v>
      </c>
      <c r="C241" s="30">
        <v>25</v>
      </c>
      <c r="D241" s="16" t="str">
        <f t="shared" si="241"/>
        <v>13101_25</v>
      </c>
      <c r="E241" s="5" t="e">
        <v>#VALUE!</v>
      </c>
      <c r="F241" s="5" t="e">
        <v>#N/A</v>
      </c>
      <c r="G241" s="55">
        <v>3</v>
      </c>
      <c r="H241" s="16" t="str">
        <f t="shared" si="242"/>
        <v>13101_25-3</v>
      </c>
      <c r="I241" s="39" t="s">
        <v>245</v>
      </c>
      <c r="J241" s="31">
        <v>151</v>
      </c>
      <c r="K241" s="20" t="str">
        <f ca="1">VLOOKUP($J241,OFFSET([3]enemies!$A$1,0,0,COUNTA([3]enemies!$A:$A),MATCH(K$1,[3]enemies!$1:$1,0)-MATCH($J$1,[3]enemies!$1:$1,0)+1),MATCH(K$1,[3]enemies!$1:$1,0)-MATCH($J$1,[3]enemies!$1:$1,0)+1,FALSE)</f>
        <v>毒煙の処刑人サキ</v>
      </c>
      <c r="L241" s="23" t="str">
        <f ca="1">VLOOKUP($J241,OFFSET([3]enemies!$A$1,0,0,COUNTA([3]enemies!$A:$A),MATCH(L$1,[3]enemies!$1:$1,0)-MATCH($J$1,[3]enemies!$1:$1,0)+1),MATCH(L$1,[3]enemies!$1:$1,0)-MATCH($J$1,[3]enemies!$1:$1,0)+1,FALSE)</f>
        <v>red</v>
      </c>
      <c r="M241" s="23" t="str">
        <f ca="1">VLOOKUP($J241,OFFSET([4]characters!$A$1,0,0,COUNTA([4]characters!$A:$A),MATCH(M$1,[4]characters!$1:$1,0)-MATCH($J$1,[4]characters!$1:$1,0)+1),MATCH(M$1,[4]characters!$1:$1,0)-MATCH($J$1,[4]characters!$1:$1,0)+1,FALSE)</f>
        <v>PremiumW</v>
      </c>
      <c r="N241" s="22" t="str">
        <f ca="1">VLOOKUP($J241,OFFSET([4]characters!$A$1,0,0,COUNTA([4]characters!$A:$A),MATCH(N$1,[4]characters!$1:$1,0)-MATCH($J$1,[4]characters!$1:$1,0)+2),MATCH(N$1,[4]characters!$1:$1,0)-MATCH($J$1,[4]characters!$1:$1,0)+2,FALSE)</f>
        <v>ヒューマン</v>
      </c>
      <c r="O241" s="5">
        <f ca="1">VLOOKUP($J241,OFFSET([3]enemies!$A$1,0,0,COUNTA([3]enemies!$A:$A),MATCH(O$1,[3]enemies!$1:$1,0)-MATCH($J$1,[3]enemies!$1:$1,0)+1),MATCH(O$1,[3]enemies!$1:$1,0)-MATCH($J$1,[3]enemies!$1:$1,0)+1,FALSE)</f>
        <v>30</v>
      </c>
      <c r="P241" s="60">
        <v>70</v>
      </c>
      <c r="Q241" s="43">
        <v>1.5</v>
      </c>
      <c r="R241" s="43">
        <v>1</v>
      </c>
      <c r="S241" s="6">
        <v>0</v>
      </c>
      <c r="T241" s="5" t="str">
        <f ca="1">VLOOKUP($U241,OFFSET([5]enemy_skill_sets!$B$1,0,0,COUNTA([5]enemy_skill_sets!$B:$B),MATCH(K$1,[5]enemy_skill_sets!$1:$1,0)-MATCH($U$1,[5]enemy_skill_sets!$1:$1,0)+2),MATCH(K$1,[5]enemy_skill_sets!$1:$1,0)-MATCH($U$1,[5]enemy_skill_sets!$1:$1,0)+2,FALSE)</f>
        <v>ハートパネルを時限式ダメージパネルに変換</v>
      </c>
      <c r="U241" s="51">
        <v>15101</v>
      </c>
      <c r="V241" s="44">
        <v>1</v>
      </c>
      <c r="W241" s="7">
        <v>100</v>
      </c>
      <c r="X241" s="7">
        <v>1</v>
      </c>
      <c r="Y241" s="20">
        <f ca="1">VLOOKUP($J241,OFFSET([3]enemies!$A$1,0,0,COUNTA([3]enemies!$A:$A),MATCH(Y$1,[3]enemies!$1:$1,0)-MATCH($J$1,[3]enemies!$1:$1,0)+1),MATCH(Y$1,[3]enemies!$1:$1,0)-MATCH($J$1,[3]enemies!$1:$1,0)+1,FALSE)</f>
        <v>2</v>
      </c>
      <c r="Z241" s="31">
        <v>150</v>
      </c>
      <c r="AA241" s="5" t="str">
        <f ca="1">IFERROR(VLOOKUP($Z241,OFFSET([4]characters!$A$1,0,0,COUNTA([4]characters!$A:$A),MATCH(AA$1,[4]characters!$1:$1,0)-MATCH("character_id",[4]characters!$1:$1,0)+1),MATCH(AA$1,[4]characters!$1:$1,0)-MATCH("character_id",[4]characters!$1:$1,0)+1,FALSE),"")</f>
        <v>ポイズンマスターサキ</v>
      </c>
      <c r="AB241" s="5">
        <f ca="1">IFERROR(VLOOKUP($Z241,OFFSET([4]characters!$A$1,0,0,COUNTA([4]characters!$A:$A),MATCH(AB$1,[4]characters!$1:$1,0)-MATCH("character_id",[4]characters!$1:$1,0)+1),MATCH(AB$1,[4]characters!$1:$1,0)-MATCH("character_id",[4]characters!$1:$1,0)+1,FALSE),"")</f>
        <v>3</v>
      </c>
      <c r="AC241" s="5" t="str">
        <f ca="1">IFERROR(VLOOKUP($Z241,OFFSET([4]characters!$A$1,0,0,COUNTA([4]characters!$A:$A),MATCH(AC$1,[4]characters!$1:$1,0)-MATCH("character_id",[4]characters!$1:$1,0)+1),MATCH(AC$1,[4]characters!$1:$1,0)-MATCH("character_id",[4]characters!$1:$1,0)+1,FALSE),"")</f>
        <v>PremiumW</v>
      </c>
      <c r="AD241" s="36">
        <v>1</v>
      </c>
      <c r="AE241" s="37">
        <f t="shared" ca="1" si="243"/>
        <v>3</v>
      </c>
      <c r="AF241" s="7">
        <v>0</v>
      </c>
      <c r="AG241" s="36">
        <v>0</v>
      </c>
      <c r="AH241" s="36">
        <v>0</v>
      </c>
      <c r="AI241" s="36">
        <v>0</v>
      </c>
      <c r="AJ241" s="36">
        <v>0</v>
      </c>
      <c r="AK241" s="36">
        <v>1</v>
      </c>
      <c r="AL241" s="36">
        <v>1</v>
      </c>
    </row>
    <row r="242" spans="1:38" ht="21" customHeight="1" x14ac:dyDescent="0.15">
      <c r="A242" s="17" t="str">
        <f t="shared" ca="1" si="240"/>
        <v>13101_25-4/7&lt;lv67&gt;s2</v>
      </c>
      <c r="B242" s="26">
        <v>13101</v>
      </c>
      <c r="C242" s="30">
        <v>25</v>
      </c>
      <c r="D242" s="16" t="str">
        <f t="shared" si="241"/>
        <v>13101_25</v>
      </c>
      <c r="E242" s="5" t="e">
        <v>#VALUE!</v>
      </c>
      <c r="F242" s="5" t="e">
        <v>#N/A</v>
      </c>
      <c r="G242" s="33">
        <v>4</v>
      </c>
      <c r="H242" s="16" t="str">
        <f t="shared" si="242"/>
        <v>13101_25-4</v>
      </c>
      <c r="I242" s="39" t="s">
        <v>245</v>
      </c>
      <c r="J242" s="31">
        <v>7</v>
      </c>
      <c r="K242" s="20" t="str">
        <f ca="1">VLOOKUP($J242,OFFSET([3]enemies!$A$1,0,0,COUNTA([3]enemies!$A:$A),MATCH(K$1,[3]enemies!$1:$1,0)-MATCH($J$1,[3]enemies!$1:$1,0)+1),MATCH(K$1,[3]enemies!$1:$1,0)-MATCH($J$1,[3]enemies!$1:$1,0)+1,FALSE)</f>
        <v>エレキポット</v>
      </c>
      <c r="L242" s="23" t="str">
        <f ca="1">VLOOKUP($J242,OFFSET([3]enemies!$A$1,0,0,COUNTA([3]enemies!$A:$A),MATCH(L$1,[3]enemies!$1:$1,0)-MATCH($J$1,[3]enemies!$1:$1,0)+1),MATCH(L$1,[3]enemies!$1:$1,0)-MATCH($J$1,[3]enemies!$1:$1,0)+1,FALSE)</f>
        <v>yellow</v>
      </c>
      <c r="M242" s="23" t="str">
        <f ca="1">VLOOKUP($J242,OFFSET([4]characters!$A$1,0,0,COUNTA([4]characters!$A:$A),MATCH(M$1,[4]characters!$1:$1,0)-MATCH($J$1,[4]characters!$1:$1,0)+1),MATCH(M$1,[4]characters!$1:$1,0)-MATCH($J$1,[4]characters!$1:$1,0)+1,FALSE)</f>
        <v>Drop1T</v>
      </c>
      <c r="N242" s="22" t="str">
        <f ca="1">VLOOKUP($J242,OFFSET([4]characters!$A$1,0,0,COUNTA([4]characters!$A:$A),MATCH(N$1,[4]characters!$1:$1,0)-MATCH($J$1,[4]characters!$1:$1,0)+2),MATCH(N$1,[4]characters!$1:$1,0)-MATCH($J$1,[4]characters!$1:$1,0)+2,FALSE)</f>
        <v>Unknown</v>
      </c>
      <c r="O242" s="5">
        <f ca="1">VLOOKUP($J242,OFFSET([3]enemies!$A$1,0,0,COUNTA([3]enemies!$A:$A),MATCH(O$1,[3]enemies!$1:$1,0)-MATCH($J$1,[3]enemies!$1:$1,0)+1),MATCH(O$1,[3]enemies!$1:$1,0)-MATCH($J$1,[3]enemies!$1:$1,0)+1,FALSE)</f>
        <v>15</v>
      </c>
      <c r="P242" s="60">
        <v>67</v>
      </c>
      <c r="Q242" s="43">
        <v>1.2</v>
      </c>
      <c r="R242" s="43">
        <v>1</v>
      </c>
      <c r="S242" s="6">
        <v>0</v>
      </c>
      <c r="T242" s="5" t="str">
        <f ca="1">VLOOKUP($U242,OFFSET([5]enemy_skill_sets!$B$1,0,0,COUNTA([5]enemy_skill_sets!$B:$B),MATCH(K$1,[5]enemy_skill_sets!$1:$1,0)-MATCH($U$1,[5]enemy_skill_sets!$1:$1,0)+2),MATCH(K$1,[5]enemy_skill_sets!$1:$1,0)-MATCH($U$1,[5]enemy_skill_sets!$1:$1,0)+2,FALSE)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42" s="5">
        <f ca="1">VLOOKUP($J242,OFFSET([3]enemies!$A$1,0,0,COUNTA([3]enemies!$A:$A),MATCH(U$1,[3]enemies!$1:$1,0)-MATCH($J$1,[3]enemies!$1:$1,0)+1),MATCH(U$1,[3]enemies!$1:$1,0)-MATCH($J$1,[3]enemies!$1:$1,0)+1,FALSE)</f>
        <v>0</v>
      </c>
      <c r="V242" s="7">
        <v>0</v>
      </c>
      <c r="W242" s="7">
        <v>100</v>
      </c>
      <c r="X242" s="7">
        <v>0</v>
      </c>
      <c r="Y242" s="20">
        <f ca="1">VLOOKUP($J242,OFFSET([3]enemies!$A$1,0,0,COUNTA([3]enemies!$A:$A),MATCH(Y$1,[3]enemies!$1:$1,0)-MATCH($J$1,[3]enemies!$1:$1,0)+1),MATCH(Y$1,[3]enemies!$1:$1,0)-MATCH($J$1,[3]enemies!$1:$1,0)+1,FALSE)</f>
        <v>2</v>
      </c>
      <c r="Z242" s="31">
        <v>7</v>
      </c>
      <c r="AA242" s="5" t="str">
        <f ca="1">IFERROR(VLOOKUP($Z242,OFFSET([4]characters!$A$1,0,0,COUNTA([4]characters!$A:$A),MATCH(AA$1,[4]characters!$1:$1,0)-MATCH("character_id",[4]characters!$1:$1,0)+1),MATCH(AA$1,[4]characters!$1:$1,0)-MATCH("character_id",[4]characters!$1:$1,0)+1,FALSE),"")</f>
        <v>エレキポット</v>
      </c>
      <c r="AB242" s="5">
        <f ca="1">IFERROR(VLOOKUP($Z242,OFFSET([4]characters!$A$1,0,0,COUNTA([4]characters!$A:$A),MATCH(AB$1,[4]characters!$1:$1,0)-MATCH("character_id",[4]characters!$1:$1,0)+1),MATCH(AB$1,[4]characters!$1:$1,0)-MATCH("character_id",[4]characters!$1:$1,0)+1,FALSE),"")</f>
        <v>1</v>
      </c>
      <c r="AC242" s="5" t="str">
        <f ca="1">IFERROR(VLOOKUP($Z242,OFFSET([4]characters!$A$1,0,0,COUNTA([4]characters!$A:$A),MATCH(AC$1,[4]characters!$1:$1,0)-MATCH("character_id",[4]characters!$1:$1,0)+1),MATCH(AC$1,[4]characters!$1:$1,0)-MATCH("character_id",[4]characters!$1:$1,0)+1,FALSE),"")</f>
        <v>Drop1T</v>
      </c>
      <c r="AD242" s="36">
        <v>1</v>
      </c>
      <c r="AE242" s="37">
        <f t="shared" ca="1" si="243"/>
        <v>1</v>
      </c>
      <c r="AF242" s="7">
        <v>25</v>
      </c>
      <c r="AG242" s="36">
        <v>0</v>
      </c>
      <c r="AH242" s="36">
        <v>0</v>
      </c>
      <c r="AI242" s="36">
        <v>0</v>
      </c>
      <c r="AJ242" s="36">
        <v>0</v>
      </c>
      <c r="AK242" s="36">
        <v>1</v>
      </c>
      <c r="AL242" s="36">
        <v>1</v>
      </c>
    </row>
    <row r="243" spans="1:38" ht="21" customHeight="1" x14ac:dyDescent="0.15">
      <c r="A243" s="17" t="str">
        <f t="shared" ca="1" si="240"/>
        <v>13101_25-4/31&lt;lv67&gt;s2</v>
      </c>
      <c r="B243" s="26">
        <v>13101</v>
      </c>
      <c r="C243" s="30">
        <v>25</v>
      </c>
      <c r="D243" s="16" t="str">
        <f t="shared" si="241"/>
        <v>13101_25</v>
      </c>
      <c r="E243" s="5" t="e">
        <v>#VALUE!</v>
      </c>
      <c r="F243" s="5" t="e">
        <v>#N/A</v>
      </c>
      <c r="G243" s="33">
        <v>4</v>
      </c>
      <c r="H243" s="16" t="str">
        <f t="shared" si="242"/>
        <v>13101_25-4</v>
      </c>
      <c r="I243" s="39" t="s">
        <v>245</v>
      </c>
      <c r="J243" s="31">
        <v>31</v>
      </c>
      <c r="K243" s="20" t="str">
        <f ca="1">VLOOKUP($J243,OFFSET([3]enemies!$A$1,0,0,COUNTA([3]enemies!$A:$A),MATCH(K$1,[3]enemies!$1:$1,0)-MATCH($J$1,[3]enemies!$1:$1,0)+1),MATCH(K$1,[3]enemies!$1:$1,0)-MATCH($J$1,[3]enemies!$1:$1,0)+1,FALSE)</f>
        <v>マービー</v>
      </c>
      <c r="L243" s="23" t="str">
        <f ca="1">VLOOKUP($J243,OFFSET([3]enemies!$A$1,0,0,COUNTA([3]enemies!$A:$A),MATCH(L$1,[3]enemies!$1:$1,0)-MATCH($J$1,[3]enemies!$1:$1,0)+1),MATCH(L$1,[3]enemies!$1:$1,0)-MATCH($J$1,[3]enemies!$1:$1,0)+1,FALSE)</f>
        <v>yellow</v>
      </c>
      <c r="M243" s="23" t="str">
        <f ca="1">VLOOKUP($J243,OFFSET([4]characters!$A$1,0,0,COUNTA([4]characters!$A:$A),MATCH(M$1,[4]characters!$1:$1,0)-MATCH($J$1,[4]characters!$1:$1,0)+1),MATCH(M$1,[4]characters!$1:$1,0)-MATCH($J$1,[4]characters!$1:$1,0)+1,FALSE)</f>
        <v>Drop1N</v>
      </c>
      <c r="N243" s="22" t="str">
        <f ca="1">VLOOKUP($J243,OFFSET([4]characters!$A$1,0,0,COUNTA([4]characters!$A:$A),MATCH(N$1,[4]characters!$1:$1,0)-MATCH($J$1,[4]characters!$1:$1,0)+2),MATCH(N$1,[4]characters!$1:$1,0)-MATCH($J$1,[4]characters!$1:$1,0)+2,FALSE)</f>
        <v>マシン</v>
      </c>
      <c r="O243" s="5">
        <f ca="1">VLOOKUP($J243,OFFSET([3]enemies!$A$1,0,0,COUNTA([3]enemies!$A:$A),MATCH(O$1,[3]enemies!$1:$1,0)-MATCH($J$1,[3]enemies!$1:$1,0)+1),MATCH(O$1,[3]enemies!$1:$1,0)-MATCH($J$1,[3]enemies!$1:$1,0)+1,FALSE)</f>
        <v>15</v>
      </c>
      <c r="P243" s="60">
        <v>67</v>
      </c>
      <c r="Q243" s="43">
        <v>1.2</v>
      </c>
      <c r="R243" s="43">
        <v>1</v>
      </c>
      <c r="S243" s="6">
        <v>0</v>
      </c>
      <c r="T243" s="5" t="str">
        <f ca="1">VLOOKUP($U243,OFFSET([5]enemy_skill_sets!$B$1,0,0,COUNTA([5]enemy_skill_sets!$B:$B),MATCH(K$1,[5]enemy_skill_sets!$1:$1,0)-MATCH($U$1,[5]enemy_skill_sets!$1:$1,0)+2),MATCH(K$1,[5]enemy_skill_sets!$1:$1,0)-MATCH($U$1,[5]enemy_skill_sets!$1:$1,0)+2,FALSE)</f>
        <v>なし</v>
      </c>
      <c r="U243" s="5">
        <f ca="1">VLOOKUP($J243,OFFSET([3]enemies!$A$1,0,0,COUNTA([3]enemies!$A:$A),MATCH(U$1,[3]enemies!$1:$1,0)-MATCH($J$1,[3]enemies!$1:$1,0)+1),MATCH(U$1,[3]enemies!$1:$1,0)-MATCH($J$1,[3]enemies!$1:$1,0)+1,FALSE)</f>
        <v>0</v>
      </c>
      <c r="V243" s="44">
        <v>0</v>
      </c>
      <c r="W243" s="7">
        <v>100</v>
      </c>
      <c r="X243" s="7">
        <v>0</v>
      </c>
      <c r="Y243" s="20">
        <f ca="1">VLOOKUP($J243,OFFSET([3]enemies!$A$1,0,0,COUNTA([3]enemies!$A:$A),MATCH(Y$1,[3]enemies!$1:$1,0)-MATCH($J$1,[3]enemies!$1:$1,0)+1),MATCH(Y$1,[3]enemies!$1:$1,0)-MATCH($J$1,[3]enemies!$1:$1,0)+1,FALSE)</f>
        <v>2</v>
      </c>
      <c r="Z243" s="31">
        <v>31</v>
      </c>
      <c r="AA243" s="5" t="str">
        <f ca="1">IFERROR(VLOOKUP($Z243,OFFSET([4]characters!$A$1,0,0,COUNTA([4]characters!$A:$A),MATCH(AA$1,[4]characters!$1:$1,0)-MATCH("character_id",[4]characters!$1:$1,0)+1),MATCH(AA$1,[4]characters!$1:$1,0)-MATCH("character_id",[4]characters!$1:$1,0)+1,FALSE),"")</f>
        <v>マービー</v>
      </c>
      <c r="AB243" s="5">
        <f ca="1">IFERROR(VLOOKUP($Z243,OFFSET([4]characters!$A$1,0,0,COUNTA([4]characters!$A:$A),MATCH(AB$1,[4]characters!$1:$1,0)-MATCH("character_id",[4]characters!$1:$1,0)+1),MATCH(AB$1,[4]characters!$1:$1,0)-MATCH("character_id",[4]characters!$1:$1,0)+1,FALSE),"")</f>
        <v>1</v>
      </c>
      <c r="AC243" s="5" t="str">
        <f ca="1">IFERROR(VLOOKUP($Z243,OFFSET([4]characters!$A$1,0,0,COUNTA([4]characters!$A:$A),MATCH(AC$1,[4]characters!$1:$1,0)-MATCH("character_id",[4]characters!$1:$1,0)+1),MATCH(AC$1,[4]characters!$1:$1,0)-MATCH("character_id",[4]characters!$1:$1,0)+1,FALSE),"")</f>
        <v>Drop1N</v>
      </c>
      <c r="AD243" s="36">
        <v>1</v>
      </c>
      <c r="AE243" s="37">
        <f t="shared" ca="1" si="243"/>
        <v>1</v>
      </c>
      <c r="AF243" s="7">
        <v>25</v>
      </c>
      <c r="AG243" s="36">
        <v>0</v>
      </c>
      <c r="AH243" s="36">
        <v>0</v>
      </c>
      <c r="AI243" s="36">
        <v>0</v>
      </c>
      <c r="AJ243" s="36">
        <v>0</v>
      </c>
      <c r="AK243" s="36">
        <v>1</v>
      </c>
      <c r="AL243" s="36">
        <v>1</v>
      </c>
    </row>
    <row r="244" spans="1:38" ht="21" customHeight="1" x14ac:dyDescent="0.15">
      <c r="A244" s="17" t="str">
        <f t="shared" ca="1" si="240"/>
        <v>13101_25-5/369&lt;lv74&gt;s3</v>
      </c>
      <c r="B244" s="26">
        <v>13101</v>
      </c>
      <c r="C244" s="30">
        <v>25</v>
      </c>
      <c r="D244" s="16" t="str">
        <f t="shared" si="241"/>
        <v>13101_25</v>
      </c>
      <c r="E244" s="5" t="e">
        <v>#VALUE!</v>
      </c>
      <c r="F244" s="5" t="e">
        <v>#N/A</v>
      </c>
      <c r="G244" s="55">
        <v>5</v>
      </c>
      <c r="H244" s="16" t="str">
        <f t="shared" si="242"/>
        <v>13101_25-5</v>
      </c>
      <c r="I244" s="39" t="s">
        <v>245</v>
      </c>
      <c r="J244" s="31">
        <v>369</v>
      </c>
      <c r="K244" s="20" t="str">
        <f ca="1">VLOOKUP($J244,OFFSET([3]enemies!$A$1,0,0,COUNTA([3]enemies!$A:$A),MATCH(K$1,[3]enemies!$1:$1,0)-MATCH($J$1,[3]enemies!$1:$1,0)+1),MATCH(K$1,[3]enemies!$1:$1,0)-MATCH($J$1,[3]enemies!$1:$1,0)+1,FALSE)</f>
        <v>赫熱の重腕 ボイル</v>
      </c>
      <c r="L244" s="23" t="str">
        <f ca="1">VLOOKUP($J244,OFFSET([3]enemies!$A$1,0,0,COUNTA([3]enemies!$A:$A),MATCH(L$1,[3]enemies!$1:$1,0)-MATCH($J$1,[3]enemies!$1:$1,0)+1),MATCH(L$1,[3]enemies!$1:$1,0)-MATCH($J$1,[3]enemies!$1:$1,0)+1,FALSE)</f>
        <v>red</v>
      </c>
      <c r="M244" s="23" t="str">
        <f ca="1">VLOOKUP($J244,OFFSET([4]characters!$A$1,0,0,COUNTA([4]characters!$A:$A),MATCH(M$1,[4]characters!$1:$1,0)-MATCH($J$1,[4]characters!$1:$1,0)+1),MATCH(M$1,[4]characters!$1:$1,0)-MATCH($J$1,[4]characters!$1:$1,0)+1,FALSE)</f>
        <v>DropWizN</v>
      </c>
      <c r="N244" s="22" t="str">
        <f ca="1">VLOOKUP($J244,OFFSET([4]characters!$A$1,0,0,COUNTA([4]characters!$A:$A),MATCH(N$1,[4]characters!$1:$1,0)-MATCH($J$1,[4]characters!$1:$1,0)+2),MATCH(N$1,[4]characters!$1:$1,0)-MATCH($J$1,[4]characters!$1:$1,0)+2,FALSE)</f>
        <v>ヒューマン</v>
      </c>
      <c r="O244" s="5">
        <f ca="1">VLOOKUP($J244,OFFSET([3]enemies!$A$1,0,0,COUNTA([3]enemies!$A:$A),MATCH(O$1,[3]enemies!$1:$1,0)-MATCH($J$1,[3]enemies!$1:$1,0)+1),MATCH(O$1,[3]enemies!$1:$1,0)-MATCH($J$1,[3]enemies!$1:$1,0)+1,FALSE)</f>
        <v>60</v>
      </c>
      <c r="P244" s="60">
        <v>74</v>
      </c>
      <c r="Q244" s="43">
        <v>1.4</v>
      </c>
      <c r="R244" s="43">
        <v>1</v>
      </c>
      <c r="S244" s="6">
        <v>0</v>
      </c>
      <c r="T244" s="5" t="str">
        <f ca="1">VLOOKUP($U244,OFFSET([5]enemy_skill_sets!$B$1,0,0,COUNTA([5]enemy_skill_sets!$B:$B),MATCH(K$1,[5]enemy_skill_sets!$1:$1,0)-MATCH($U$1,[5]enemy_skill_sets!$1:$1,0)+2),MATCH(K$1,[5]enemy_skill_sets!$1:$1,0)-MATCH($U$1,[5]enemy_skill_sets!$1:$1,0)+2,FALSE)</f>
        <v>5ターン青パネルが使えない！</v>
      </c>
      <c r="U244" s="51">
        <v>369</v>
      </c>
      <c r="V244" s="44">
        <v>1</v>
      </c>
      <c r="W244" s="7">
        <v>100</v>
      </c>
      <c r="X244" s="7">
        <v>1</v>
      </c>
      <c r="Y244" s="20">
        <f ca="1">VLOOKUP($J244,OFFSET([3]enemies!$A$1,0,0,COUNTA([3]enemies!$A:$A),MATCH(Y$1,[3]enemies!$1:$1,0)-MATCH($J$1,[3]enemies!$1:$1,0)+1),MATCH(Y$1,[3]enemies!$1:$1,0)-MATCH($J$1,[3]enemies!$1:$1,0)+1,FALSE)</f>
        <v>3</v>
      </c>
      <c r="Z244" s="31">
        <v>368</v>
      </c>
      <c r="AA244" s="5" t="str">
        <f ca="1">IFERROR(VLOOKUP($Z244,OFFSET([4]characters!$A$1,0,0,COUNTA([4]characters!$A:$A),MATCH(AA$1,[4]characters!$1:$1,0)-MATCH("character_id",[4]characters!$1:$1,0)+1),MATCH(AA$1,[4]characters!$1:$1,0)-MATCH("character_id",[4]characters!$1:$1,0)+1,FALSE),"")</f>
        <v>ボイル</v>
      </c>
      <c r="AB244" s="5">
        <f ca="1">IFERROR(VLOOKUP($Z244,OFFSET([4]characters!$A$1,0,0,COUNTA([4]characters!$A:$A),MATCH(AB$1,[4]characters!$1:$1,0)-MATCH("character_id",[4]characters!$1:$1,0)+1),MATCH(AB$1,[4]characters!$1:$1,0)-MATCH("character_id",[4]characters!$1:$1,0)+1,FALSE),"")</f>
        <v>4</v>
      </c>
      <c r="AC244" s="5" t="str">
        <f ca="1">IFERROR(VLOOKUP($Z244,OFFSET([4]characters!$A$1,0,0,COUNTA([4]characters!$A:$A),MATCH(AC$1,[4]characters!$1:$1,0)-MATCH("character_id",[4]characters!$1:$1,0)+1),MATCH(AC$1,[4]characters!$1:$1,0)-MATCH("character_id",[4]characters!$1:$1,0)+1,FALSE),"")</f>
        <v>DropWizN</v>
      </c>
      <c r="AD244" s="36">
        <v>1</v>
      </c>
      <c r="AE244" s="37">
        <f t="shared" ca="1" si="243"/>
        <v>4</v>
      </c>
      <c r="AF244" s="41">
        <v>35</v>
      </c>
      <c r="AG244" s="36">
        <v>0</v>
      </c>
      <c r="AH244" s="36">
        <v>0</v>
      </c>
      <c r="AI244" s="36">
        <v>0</v>
      </c>
      <c r="AJ244" s="36">
        <v>0</v>
      </c>
      <c r="AK244" s="36">
        <v>1</v>
      </c>
      <c r="AL244" s="36">
        <v>1</v>
      </c>
    </row>
  </sheetData>
  <sheetProtection selectLockedCells="1" selectUnlockedCells="1"/>
  <autoFilter ref="B1:AF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U22" sqref="U22"/>
      <selection pane="topRight" activeCell="U22" sqref="U22"/>
      <selection pane="bottomLeft" activeCell="U22" sqref="U22"/>
      <selection pane="bottomRight" activeCell="B2" sqref="B2"/>
    </sheetView>
  </sheetViews>
  <sheetFormatPr baseColWidth="12" defaultColWidth="13" defaultRowHeight="21" customHeight="1" outlineLevelCol="1" x14ac:dyDescent="0.15"/>
  <cols>
    <col min="1" max="1" width="17" style="24" bestFit="1" customWidth="1"/>
    <col min="2" max="2" width="10.83203125" style="4" bestFit="1" customWidth="1"/>
    <col min="3" max="3" width="10.6640625" style="4" bestFit="1" customWidth="1" collapsed="1"/>
    <col min="4" max="4" width="13" style="15" hidden="1" customWidth="1" outlineLevel="1"/>
    <col min="5" max="5" width="11.6640625" style="4" hidden="1" customWidth="1" outlineLevel="1"/>
    <col min="6" max="6" width="16.1640625" style="4" hidden="1" customWidth="1" outlineLevel="1"/>
    <col min="7" max="7" width="10" style="4" bestFit="1" customWidth="1" collapsed="1"/>
    <col min="8" max="10" width="12.33203125" style="4" hidden="1" customWidth="1" outlineLevel="1"/>
    <col min="11" max="11" width="12.33203125" style="4" customWidth="1"/>
    <col min="12" max="12" width="11" style="4" bestFit="1" customWidth="1"/>
    <col min="13" max="13" width="13.5" style="10" bestFit="1" customWidth="1"/>
    <col min="14" max="14" width="8.83203125" style="4" customWidth="1" outlineLevel="1"/>
    <col min="15" max="15" width="8.6640625" style="4" customWidth="1" outlineLevel="1"/>
    <col min="16" max="16" width="12" style="4" customWidth="1" outlineLevel="1"/>
    <col min="17" max="17" width="21" style="4" customWidth="1" outlineLevel="1"/>
    <col min="18" max="18" width="8" style="4" customWidth="1" outlineLevel="1"/>
    <col min="19" max="19" width="8.33203125" style="4" bestFit="1" customWidth="1"/>
    <col min="20" max="20" width="14.83203125" style="4" bestFit="1" customWidth="1"/>
    <col min="21" max="21" width="14.83203125" style="4" customWidth="1"/>
    <col min="22" max="22" width="17.5" style="4" bestFit="1" customWidth="1"/>
    <col min="23" max="23" width="17.5" style="4" customWidth="1"/>
    <col min="24" max="24" width="18.33203125" style="4" bestFit="1" customWidth="1"/>
    <col min="25" max="25" width="16.6640625" style="4" customWidth="1"/>
    <col min="26" max="26" width="10" style="4" bestFit="1" customWidth="1" outlineLevel="1"/>
    <col min="27" max="27" width="9.33203125" style="4" bestFit="1" customWidth="1"/>
    <col min="28" max="16384" width="13" style="4"/>
  </cols>
  <sheetData>
    <row r="1" spans="1:27" s="84" customFormat="1" ht="21" customHeight="1" x14ac:dyDescent="0.15">
      <c r="A1" s="78" t="s">
        <v>29</v>
      </c>
      <c r="B1" s="42" t="s">
        <v>0</v>
      </c>
      <c r="C1" s="42" t="s">
        <v>1</v>
      </c>
      <c r="D1" s="79" t="s">
        <v>28</v>
      </c>
      <c r="E1" s="79" t="s">
        <v>16</v>
      </c>
      <c r="F1" s="79" t="s">
        <v>16</v>
      </c>
      <c r="G1" s="42" t="s">
        <v>19</v>
      </c>
      <c r="H1" s="79" t="s">
        <v>31</v>
      </c>
      <c r="I1" s="79" t="s">
        <v>14</v>
      </c>
      <c r="J1" s="79" t="s">
        <v>15</v>
      </c>
      <c r="K1" s="80" t="s">
        <v>73</v>
      </c>
      <c r="L1" s="80" t="s">
        <v>149</v>
      </c>
      <c r="M1" s="80" t="s">
        <v>2</v>
      </c>
      <c r="N1" s="81" t="s">
        <v>16</v>
      </c>
      <c r="O1" s="79" t="s">
        <v>24</v>
      </c>
      <c r="P1" s="79" t="s">
        <v>23</v>
      </c>
      <c r="Q1" s="82" t="s">
        <v>26</v>
      </c>
      <c r="R1" s="79" t="s">
        <v>25</v>
      </c>
      <c r="S1" s="42" t="s">
        <v>3</v>
      </c>
      <c r="T1" s="42" t="s">
        <v>48</v>
      </c>
      <c r="U1" s="83" t="s">
        <v>150</v>
      </c>
      <c r="V1" s="42" t="s">
        <v>49</v>
      </c>
      <c r="W1" s="83" t="s">
        <v>151</v>
      </c>
      <c r="X1" s="42" t="s">
        <v>50</v>
      </c>
      <c r="Y1" s="42" t="s">
        <v>32</v>
      </c>
      <c r="Z1" s="79" t="s">
        <v>4</v>
      </c>
      <c r="AA1" s="42" t="s">
        <v>8</v>
      </c>
    </row>
    <row r="2" spans="1:27" ht="21" customHeight="1" x14ac:dyDescent="0.15">
      <c r="A2" s="17" t="str">
        <f>B2&amp;"_"&amp;C2&amp;"-"&amp;G2&amp;"/"&amp;M2&amp;"&lt;lv"&amp;S2&amp;"&gt;sq"&amp;K2&amp;"st"&amp;L2</f>
        <v>13101_1-1/2&lt;lv1&gt;sq1st2</v>
      </c>
      <c r="B2" s="26">
        <v>13101</v>
      </c>
      <c r="C2" s="30">
        <v>1</v>
      </c>
      <c r="D2" s="16" t="str">
        <f>B2&amp;"_"&amp;C2</f>
        <v>13101_1</v>
      </c>
      <c r="E2" s="5" t="str">
        <f ca="1">VLOOKUP($B2,OFFSET([2]quests!$A$1,0,0,COUNTA([2]quests!$A:$A),MATCH(E$1,[2]quests!$1:$1,0)-MATCH($B$1,[2]quests!$1:$1,0)+1),MATCH(E$1,[2]quests!$1:$1,0)-MATCH($B$1,[2]quests!$1:$1,0)+1,FALSE)</f>
        <v>チャレンジタワー</v>
      </c>
      <c r="F2" s="5" t="str">
        <f ca="1">VLOOKUP($D2,OFFSET([2]stages!$A$1,0,0,COUNTA([2]stages!$A:$A),MATCH(F$1,[2]stages!$2:$2,0)-MATCH($D$1,[2]stages!$2:$2,0)+1),MATCH(F$1,[2]stages!$2:$2,0)-MATCH($D$1,[2]stages!$2:$2,0)+1,FALSE)</f>
        <v>チャレンジタワー 1F</v>
      </c>
      <c r="G2" s="30">
        <v>1</v>
      </c>
      <c r="H2" s="16" t="str">
        <f>B2&amp;"_"&amp;C2&amp;"-"&amp;G2</f>
        <v>13101_1-1</v>
      </c>
      <c r="I2" s="5">
        <v>15</v>
      </c>
      <c r="J2" s="5">
        <v>15</v>
      </c>
      <c r="K2" s="38">
        <v>1</v>
      </c>
      <c r="L2" s="38">
        <v>2</v>
      </c>
      <c r="M2" s="29">
        <v>2</v>
      </c>
      <c r="N2" s="20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20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20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20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20">
        <f ca="1">VLOOKUP($M2,OFFSET([3]enemies!$A$1,0,0,COUNTA([3]enemies!$A:$A),MATCH(R$1,[3]enemies!$1:$1,0)-MATCH($M$1,[3]enemies!$1:$1,0)+1),MATCH(R$1,[3]enemies!$1:$1,0)-MATCH($M$1,[3]enemies!$1:$1,0)+1,FALSE)</f>
        <v>15</v>
      </c>
      <c r="S2" s="6">
        <v>1</v>
      </c>
      <c r="T2" s="43">
        <v>1</v>
      </c>
      <c r="U2" s="85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500</v>
      </c>
      <c r="V2" s="43">
        <v>1</v>
      </c>
      <c r="W2" s="85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203</v>
      </c>
      <c r="X2" s="6">
        <v>0</v>
      </c>
      <c r="Y2" s="5" t="str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なし</v>
      </c>
      <c r="Z2" s="5">
        <f ca="1">VLOOKUP($M2,OFFSET([3]enemies!$A$1,0,0,COUNTA([3]enemies!$A:$A),MATCH(Z$1,[3]enemies!$1:$1,0)-MATCH($M$1,[3]enemies!$1:$1,0)+1),MATCH(Z$1,[3]enemies!$1:$1,0)-MATCH($M$1,[3]enemies!$1:$1,0)+1,FALSE)</f>
        <v>0</v>
      </c>
      <c r="AA2" s="86">
        <f ca="1">VLOOKUP($M2,OFFSET([3]enemies!$A$1,0,0,COUNTA([3]enemies!$A:$A),MATCH(AA$1,[3]enemies!$1:$1,0)-MATCH($M$1,[3]enemies!$1:$1,0)+1),MATCH(AA$1,[3]enemies!$1:$1,0)-MATCH($M$1,[3]enemies!$1:$1,0)+1,FALSE)</f>
        <v>1</v>
      </c>
    </row>
  </sheetData>
  <sheetProtection selectLockedCells="1" selectUnlockedCells="1"/>
  <autoFilter ref="B1:AA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activeCell="U22" sqref="U22"/>
      <selection pane="topRight" activeCell="U22" sqref="U22"/>
      <selection pane="bottomLeft" activeCell="U22" sqref="U22"/>
      <selection pane="bottomRight" activeCell="B2" sqref="B2"/>
    </sheetView>
  </sheetViews>
  <sheetFormatPr baseColWidth="12" defaultColWidth="12.83203125" defaultRowHeight="21" customHeight="1" outlineLevelCol="1" x14ac:dyDescent="0.15"/>
  <cols>
    <col min="1" max="1" width="11.33203125" style="87" bestFit="1" customWidth="1"/>
    <col min="2" max="2" width="9.5" style="97" bestFit="1" customWidth="1"/>
    <col min="3" max="3" width="9.6640625" style="97" customWidth="1"/>
    <col min="4" max="4" width="18.5" style="97" customWidth="1" outlineLevel="1"/>
    <col min="5" max="5" width="44.1640625" style="97" bestFit="1" customWidth="1" outlineLevel="1"/>
    <col min="6" max="6" width="10.83203125" style="97" bestFit="1" customWidth="1"/>
    <col min="7" max="7" width="8.33203125" style="97" bestFit="1" customWidth="1" outlineLevel="1"/>
    <col min="8" max="9" width="12.83203125" style="97" outlineLevel="1"/>
    <col min="10" max="10" width="17.6640625" style="97" bestFit="1" customWidth="1" outlineLevel="1"/>
    <col min="11" max="15" width="12.83203125" style="97" outlineLevel="1"/>
    <col min="16" max="16" width="8.33203125" style="93" bestFit="1" customWidth="1"/>
    <col min="17" max="17" width="9.6640625" style="93" customWidth="1"/>
    <col min="18" max="18" width="56.5" style="93" bestFit="1" customWidth="1"/>
    <col min="19" max="16384" width="12.83203125" style="93"/>
  </cols>
  <sheetData>
    <row r="1" spans="1:18" ht="21" customHeight="1" x14ac:dyDescent="0.15">
      <c r="A1" s="87" t="s">
        <v>152</v>
      </c>
      <c r="B1" s="88" t="s">
        <v>153</v>
      </c>
      <c r="C1" s="88" t="s">
        <v>154</v>
      </c>
      <c r="D1" s="89" t="s">
        <v>155</v>
      </c>
      <c r="E1" s="89" t="s">
        <v>156</v>
      </c>
      <c r="F1" s="90" t="s">
        <v>157</v>
      </c>
      <c r="G1" s="91" t="s">
        <v>158</v>
      </c>
      <c r="H1" s="91" t="s">
        <v>159</v>
      </c>
      <c r="I1" s="91" t="s">
        <v>160</v>
      </c>
      <c r="J1" s="91" t="s">
        <v>161</v>
      </c>
      <c r="K1" s="92" t="s">
        <v>162</v>
      </c>
      <c r="L1" s="92" t="s">
        <v>163</v>
      </c>
      <c r="M1" s="91" t="s">
        <v>164</v>
      </c>
      <c r="N1" s="91" t="s">
        <v>104</v>
      </c>
      <c r="O1" s="91" t="s">
        <v>165</v>
      </c>
      <c r="P1" s="89" t="s">
        <v>166</v>
      </c>
      <c r="Q1" s="89" t="s">
        <v>167</v>
      </c>
      <c r="R1" s="89" t="s">
        <v>168</v>
      </c>
    </row>
    <row r="2" spans="1:18" ht="21" customHeight="1" x14ac:dyDescent="0.15">
      <c r="A2" s="87" t="str">
        <f t="shared" ref="A2" si="0">B2&amp;"_"&amp;C2</f>
        <v>13101000_13101000</v>
      </c>
      <c r="B2" s="94">
        <v>13101000</v>
      </c>
      <c r="C2" s="94">
        <v>13101000</v>
      </c>
      <c r="D2" s="95" t="str">
        <f ca="1">VLOOKUP($C2,OFFSET(enemy_skills!$A$1,0,0,COUNTA(enemy_skills!$A:$A),MATCH(D$1,enemy_skills!$1:$1,0)-MATCH("enemy_skill_id",enemy_skills!$1:$1,0)+1),MATCH(D$1,enemy_skills!$1:$1,0)-MATCH("enemy_skill_id",enemy_skills!$1:$1,0)+1,FALSE)</f>
        <v>汝、選ばれし者か</v>
      </c>
      <c r="E2" s="9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コスト２９以上キラー ＆ ヒューマン以外キラー</v>
      </c>
      <c r="F2" s="94">
        <v>13101000</v>
      </c>
      <c r="G2" s="9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9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9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9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9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9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9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9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9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94"/>
      <c r="Q2" s="94"/>
      <c r="R2" s="94"/>
    </row>
  </sheetData>
  <autoFilter ref="A1:R1"/>
  <phoneticPr fontId="4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zoomScale="130" zoomScaleNormal="130" zoomScalePageLayoutView="130" workbookViewId="0">
      <pane ySplit="1" topLeftCell="A2" activePane="bottomLeft" state="frozenSplit"/>
      <selection activeCell="U22" sqref="U22"/>
      <selection pane="bottomLeft"/>
    </sheetView>
  </sheetViews>
  <sheetFormatPr baseColWidth="12" defaultColWidth="12.83203125" defaultRowHeight="21" customHeight="1" outlineLevelCol="1" x14ac:dyDescent="0.15"/>
  <cols>
    <col min="1" max="1" width="12.83203125" style="97"/>
    <col min="2" max="2" width="67.1640625" style="97" customWidth="1"/>
    <col min="3" max="4" width="12.83203125" style="97"/>
    <col min="5" max="5" width="23.6640625" style="97" bestFit="1" customWidth="1"/>
    <col min="6" max="6" width="44.1640625" style="97" bestFit="1" customWidth="1"/>
    <col min="7" max="7" width="52" style="97" hidden="1" customWidth="1" outlineLevel="1"/>
    <col min="8" max="8" width="18.33203125" style="97" hidden="1" customWidth="1" outlineLevel="1"/>
    <col min="9" max="11" width="18.6640625" style="97" hidden="1" customWidth="1" outlineLevel="1"/>
    <col min="12" max="12" width="23.6640625" style="97" customWidth="1" collapsed="1"/>
    <col min="13" max="18" width="23.6640625" style="97" hidden="1" customWidth="1" outlineLevel="1"/>
    <col min="19" max="19" width="23.6640625" style="97" customWidth="1" collapsed="1"/>
    <col min="20" max="24" width="23.6640625" style="97" hidden="1" customWidth="1" outlineLevel="1"/>
    <col min="25" max="25" width="23.6640625" style="97" customWidth="1" collapsed="1"/>
    <col min="26" max="27" width="12.83203125" style="97"/>
    <col min="28" max="28" width="44.5" style="97" customWidth="1"/>
    <col min="29" max="16384" width="12.83203125" style="97"/>
  </cols>
  <sheetData>
    <row r="1" spans="1:28" ht="21" customHeight="1" x14ac:dyDescent="0.15">
      <c r="A1" s="88" t="s">
        <v>264</v>
      </c>
      <c r="B1" s="88" t="s">
        <v>265</v>
      </c>
      <c r="C1" s="88" t="s">
        <v>266</v>
      </c>
      <c r="D1" s="88" t="s">
        <v>135</v>
      </c>
      <c r="E1" s="88" t="s">
        <v>267</v>
      </c>
      <c r="F1" s="88" t="s">
        <v>268</v>
      </c>
      <c r="G1" s="89" t="s">
        <v>169</v>
      </c>
      <c r="H1" s="89" t="s">
        <v>170</v>
      </c>
      <c r="I1" s="89" t="s">
        <v>171</v>
      </c>
      <c r="J1" s="89" t="s">
        <v>172</v>
      </c>
      <c r="K1" s="89" t="s">
        <v>173</v>
      </c>
      <c r="L1" s="89" t="s">
        <v>174</v>
      </c>
      <c r="M1" s="89" t="s">
        <v>175</v>
      </c>
      <c r="N1" s="89" t="s">
        <v>176</v>
      </c>
      <c r="O1" s="89" t="s">
        <v>177</v>
      </c>
      <c r="P1" s="89" t="s">
        <v>178</v>
      </c>
      <c r="Q1" s="89" t="s">
        <v>179</v>
      </c>
      <c r="R1" s="89" t="s">
        <v>180</v>
      </c>
      <c r="S1" s="89" t="s">
        <v>181</v>
      </c>
      <c r="T1" s="89" t="s">
        <v>182</v>
      </c>
      <c r="U1" s="89" t="s">
        <v>183</v>
      </c>
      <c r="V1" s="89" t="s">
        <v>184</v>
      </c>
      <c r="W1" s="89" t="s">
        <v>185</v>
      </c>
      <c r="X1" s="89" t="s">
        <v>186</v>
      </c>
      <c r="Y1" s="89" t="s">
        <v>187</v>
      </c>
      <c r="Z1" s="89" t="s">
        <v>166</v>
      </c>
      <c r="AA1" s="89" t="s">
        <v>167</v>
      </c>
      <c r="AB1" s="89" t="s">
        <v>168</v>
      </c>
    </row>
    <row r="2" spans="1:28" ht="21" customHeight="1" x14ac:dyDescent="0.15">
      <c r="A2" s="94">
        <v>13101000</v>
      </c>
      <c r="B2" s="94" t="s">
        <v>272</v>
      </c>
      <c r="C2" s="98">
        <v>3</v>
      </c>
      <c r="D2" s="98" t="s">
        <v>188</v>
      </c>
      <c r="E2" s="99" t="s">
        <v>271</v>
      </c>
      <c r="F2" s="99" t="s">
        <v>273</v>
      </c>
      <c r="G2" s="100" t="str">
        <f>IFERROR(LEFT(B2,FIND("],",B2)),B2)</f>
        <v>[effect:damage_anti_tribe, target:unit_all, tribe:human, val1:0.1, val2:30][effect:damage_anti_cost, target:unit_all, lower:29, val1:30, val2:0.1, cost_type:unit][effect:enemy_message, val1:1, val2:3]</v>
      </c>
      <c r="H2" s="100">
        <f>FIND("effect:",G2)+7</f>
        <v>9</v>
      </c>
      <c r="I2" s="100">
        <f>IFERROR(FIND(",",G2),LEN(G2))</f>
        <v>26</v>
      </c>
      <c r="J2" s="100">
        <f>FIND("target:",G2)+7</f>
        <v>35</v>
      </c>
      <c r="K2" s="100">
        <f>FIND(",",G2,I2+1)</f>
        <v>43</v>
      </c>
      <c r="L2" s="100" t="str">
        <f>IFERROR(VLOOKUP(MID(G2,J2,K2-J2),[6]skilldef!$C:$D,2,FALSE),"-") &amp; " / " &amp; IFERROR(VLOOKUP(MID(G2,H2,I2-H2),[6]skilldef!$A:$B,2,FALSE),"-")</f>
        <v>味方全体に / 種族キラー</v>
      </c>
      <c r="M2" s="100" t="str">
        <f>IFERROR(RIGHT(B2,LEN(B2)-FIND("],",B2)-1),"none")</f>
        <v>none</v>
      </c>
      <c r="N2" s="96" t="str">
        <f>IFERROR(LEFT(M2,FIND("],",M2)+S12),M2)</f>
        <v>none</v>
      </c>
      <c r="O2" s="100" t="e">
        <f>FIND("effect:",N2)+7</f>
        <v>#VALUE!</v>
      </c>
      <c r="P2" s="100">
        <f>IFERROR(FIND(",",N2),LEN(N2))</f>
        <v>4</v>
      </c>
      <c r="Q2" s="100" t="e">
        <f>FIND("target:",N2)+7</f>
        <v>#VALUE!</v>
      </c>
      <c r="R2" s="100" t="e">
        <f>FIND(",",N2,P2+1)</f>
        <v>#VALUE!</v>
      </c>
      <c r="S2" s="100" t="str">
        <f>IFERROR(VLOOKUP(MID(N2,Q2,R2-Q2),[6]skilldef!$C:$D,2,FALSE),"-") &amp; " / " &amp; IFERROR(VLOOKUP(MID(N2,O2,P2-O2),[6]skilldef!$A:$B,2,FALSE),"-")</f>
        <v>- / -</v>
      </c>
      <c r="T2" s="96" t="str">
        <f>IFERROR(RIGHT(M2,LEN(M2)-FIND("],",M2)-1),"none")</f>
        <v>none</v>
      </c>
      <c r="U2" s="100" t="e">
        <f>FIND("effect:",T2)+7</f>
        <v>#VALUE!</v>
      </c>
      <c r="V2" s="100">
        <f>IFERROR(FIND(",",T2),LEN(T2))</f>
        <v>4</v>
      </c>
      <c r="W2" s="100" t="e">
        <f>FIND("target:",T2)+7</f>
        <v>#VALUE!</v>
      </c>
      <c r="X2" s="100" t="e">
        <f>FIND(",",T2,V2+1)</f>
        <v>#VALUE!</v>
      </c>
      <c r="Y2" s="100" t="str">
        <f>IFERROR(VLOOKUP(MID(T2,W2,X2-W2),[6]skilldef!$C:$D,2,FALSE),"-") &amp; " / " &amp; IFERROR(VLOOKUP(MID(T2,U2,V2-U2),[6]skilldef!$A:$B,2,FALSE),"-")</f>
        <v>- / -</v>
      </c>
      <c r="Z2" s="98"/>
      <c r="AA2" s="101"/>
      <c r="AB2" s="98"/>
    </row>
  </sheetData>
  <autoFilter ref="A1:AB1"/>
  <phoneticPr fontId="4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75" zoomScaleNormal="75" zoomScalePageLayoutView="75" workbookViewId="0">
      <pane ySplit="1" topLeftCell="A2" activePane="bottomLeft" state="frozenSplit"/>
      <selection activeCell="U22" sqref="U22"/>
      <selection pane="bottomLeft" activeCell="F7" sqref="F7"/>
    </sheetView>
  </sheetViews>
  <sheetFormatPr baseColWidth="12" defaultColWidth="12.83203125" defaultRowHeight="21" customHeight="1" x14ac:dyDescent="0.15"/>
  <cols>
    <col min="1" max="1" width="16.1640625" style="97" bestFit="1" customWidth="1"/>
    <col min="2" max="2" width="13.33203125" style="97" bestFit="1" customWidth="1"/>
    <col min="3" max="3" width="11.83203125" style="97" bestFit="1" customWidth="1"/>
    <col min="4" max="4" width="14.6640625" style="97" bestFit="1" customWidth="1"/>
    <col min="5" max="5" width="15.6640625" style="97" bestFit="1" customWidth="1"/>
    <col min="6" max="6" width="17" style="97" bestFit="1" customWidth="1"/>
    <col min="7" max="7" width="15.6640625" style="97" bestFit="1" customWidth="1"/>
    <col min="8" max="9" width="14.6640625" style="97" customWidth="1"/>
    <col min="10" max="10" width="14.6640625" style="97" bestFit="1" customWidth="1"/>
    <col min="11" max="11" width="22.83203125" style="87" bestFit="1" customWidth="1"/>
    <col min="12" max="16384" width="12.83203125" style="93"/>
  </cols>
  <sheetData>
    <row r="1" spans="1:11" ht="21" customHeight="1" x14ac:dyDescent="0.15">
      <c r="A1" s="90" t="s">
        <v>157</v>
      </c>
      <c r="B1" s="90" t="s">
        <v>189</v>
      </c>
      <c r="C1" s="90" t="s">
        <v>105</v>
      </c>
      <c r="D1" s="90" t="s">
        <v>259</v>
      </c>
      <c r="E1" s="90" t="s">
        <v>260</v>
      </c>
      <c r="F1" s="102" t="s">
        <v>261</v>
      </c>
      <c r="G1" s="102" t="s">
        <v>262</v>
      </c>
      <c r="H1" s="90" t="s">
        <v>164</v>
      </c>
      <c r="I1" s="90" t="s">
        <v>263</v>
      </c>
      <c r="J1" s="90" t="s">
        <v>165</v>
      </c>
      <c r="K1" s="103" t="s">
        <v>190</v>
      </c>
    </row>
    <row r="2" spans="1:11" ht="21" customHeight="1" x14ac:dyDescent="0.15">
      <c r="A2" s="94">
        <v>13101000</v>
      </c>
      <c r="B2" s="94">
        <v>1</v>
      </c>
      <c r="C2" s="94" t="s">
        <v>191</v>
      </c>
      <c r="D2" s="94">
        <v>100</v>
      </c>
      <c r="E2" s="94" t="s">
        <v>274</v>
      </c>
      <c r="F2" s="94" t="s">
        <v>191</v>
      </c>
      <c r="G2" s="94">
        <v>1</v>
      </c>
      <c r="H2" s="94" t="s">
        <v>191</v>
      </c>
      <c r="I2" s="94" t="s">
        <v>191</v>
      </c>
      <c r="J2" s="96">
        <f t="shared" ref="J2" si="0">D2</f>
        <v>100</v>
      </c>
    </row>
  </sheetData>
  <autoFilter ref="A1:G1"/>
  <phoneticPr fontId="4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7"/>
  <sheetViews>
    <sheetView workbookViewId="0">
      <selection activeCell="H22" sqref="H2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71" t="s">
        <v>127</v>
      </c>
      <c r="B1" s="71" t="s">
        <v>128</v>
      </c>
      <c r="C1" s="104" t="s">
        <v>192</v>
      </c>
      <c r="D1" s="71" t="s">
        <v>141</v>
      </c>
      <c r="E1" s="72" t="s">
        <v>143</v>
      </c>
      <c r="F1" s="71" t="s">
        <v>269</v>
      </c>
      <c r="G1" s="71" t="s">
        <v>145</v>
      </c>
      <c r="H1" s="71" t="s">
        <v>270</v>
      </c>
      <c r="I1" s="71" t="s">
        <v>147</v>
      </c>
      <c r="J1" s="71" t="s">
        <v>148</v>
      </c>
      <c r="K1" s="71" t="s">
        <v>39</v>
      </c>
      <c r="L1" s="71" t="s">
        <v>41</v>
      </c>
      <c r="M1" s="71" t="s">
        <v>43</v>
      </c>
      <c r="N1" s="71" t="s">
        <v>45</v>
      </c>
      <c r="O1" s="71" t="s">
        <v>47</v>
      </c>
      <c r="P1" s="71" t="s">
        <v>121</v>
      </c>
      <c r="Q1" s="71" t="s">
        <v>122</v>
      </c>
      <c r="R1" s="71" t="s">
        <v>123</v>
      </c>
    </row>
    <row r="2" spans="1:18" x14ac:dyDescent="0.15">
      <c r="A2" s="65">
        <v>13101</v>
      </c>
      <c r="B2" s="65">
        <v>1</v>
      </c>
      <c r="C2" s="105" t="str">
        <f>A2&amp; "_"&amp;B2</f>
        <v>13101_1</v>
      </c>
      <c r="D2" s="38" t="s">
        <v>249</v>
      </c>
      <c r="E2" s="65">
        <v>1</v>
      </c>
      <c r="F2" s="65" t="s">
        <v>193</v>
      </c>
      <c r="G2" s="65">
        <v>600</v>
      </c>
      <c r="H2" s="65" t="s">
        <v>207</v>
      </c>
      <c r="I2" s="65">
        <v>1</v>
      </c>
      <c r="J2" s="65">
        <v>1</v>
      </c>
      <c r="K2" s="65">
        <v>0</v>
      </c>
      <c r="L2" s="65">
        <v>0</v>
      </c>
      <c r="M2" s="65">
        <v>0</v>
      </c>
      <c r="N2" s="65">
        <v>0</v>
      </c>
      <c r="O2" s="65">
        <v>1</v>
      </c>
      <c r="P2" s="65">
        <v>300</v>
      </c>
      <c r="Q2" s="132" t="s">
        <v>194</v>
      </c>
      <c r="R2" s="132" t="s">
        <v>195</v>
      </c>
    </row>
    <row r="3" spans="1:18" x14ac:dyDescent="0.15">
      <c r="A3" s="65">
        <v>13101</v>
      </c>
      <c r="B3" s="65">
        <v>1</v>
      </c>
      <c r="C3" s="105" t="str">
        <f t="shared" ref="C3:C66" si="0">A3&amp; "_"&amp;B3</f>
        <v>13101_1</v>
      </c>
      <c r="D3" s="38" t="s">
        <v>249</v>
      </c>
      <c r="E3" s="65">
        <v>2</v>
      </c>
      <c r="F3" s="65" t="s">
        <v>247</v>
      </c>
      <c r="G3" s="65">
        <v>25</v>
      </c>
      <c r="H3" s="65" t="s">
        <v>246</v>
      </c>
      <c r="I3" s="65">
        <v>1</v>
      </c>
      <c r="J3" s="65">
        <v>1</v>
      </c>
      <c r="K3" s="65">
        <v>0</v>
      </c>
      <c r="L3" s="65">
        <v>0</v>
      </c>
      <c r="M3" s="65">
        <v>0</v>
      </c>
      <c r="N3" s="65">
        <v>0</v>
      </c>
      <c r="O3" s="65">
        <v>1</v>
      </c>
      <c r="P3" s="65">
        <v>300</v>
      </c>
      <c r="Q3" s="132" t="s">
        <v>194</v>
      </c>
      <c r="R3" s="132" t="s">
        <v>195</v>
      </c>
    </row>
    <row r="4" spans="1:18" x14ac:dyDescent="0.15">
      <c r="A4" s="65">
        <v>13101</v>
      </c>
      <c r="B4" s="65">
        <v>1</v>
      </c>
      <c r="C4" s="105" t="str">
        <f t="shared" si="0"/>
        <v>13101_1</v>
      </c>
      <c r="D4" s="38" t="s">
        <v>249</v>
      </c>
      <c r="E4" s="65">
        <v>3</v>
      </c>
      <c r="F4" s="65" t="s">
        <v>248</v>
      </c>
      <c r="G4" s="65">
        <v>7</v>
      </c>
      <c r="H4" s="65">
        <v>1</v>
      </c>
      <c r="I4" s="65">
        <v>1</v>
      </c>
      <c r="J4" s="65">
        <v>1</v>
      </c>
      <c r="K4" s="65">
        <v>0</v>
      </c>
      <c r="L4" s="65">
        <v>0</v>
      </c>
      <c r="M4" s="65">
        <v>0</v>
      </c>
      <c r="N4" s="65">
        <v>0</v>
      </c>
      <c r="O4" s="65">
        <v>1</v>
      </c>
      <c r="P4" s="65">
        <v>100</v>
      </c>
      <c r="Q4" s="132" t="s">
        <v>194</v>
      </c>
      <c r="R4" s="132" t="s">
        <v>195</v>
      </c>
    </row>
    <row r="5" spans="1:18" x14ac:dyDescent="0.15">
      <c r="A5" s="65">
        <v>13101</v>
      </c>
      <c r="B5" s="65">
        <v>1</v>
      </c>
      <c r="C5" s="105" t="str">
        <f t="shared" si="0"/>
        <v>13101_1</v>
      </c>
      <c r="D5" s="38" t="s">
        <v>249</v>
      </c>
      <c r="E5" s="65">
        <v>4</v>
      </c>
      <c r="F5" s="65" t="s">
        <v>248</v>
      </c>
      <c r="G5" s="65">
        <v>13</v>
      </c>
      <c r="H5" s="65">
        <v>1</v>
      </c>
      <c r="I5" s="65">
        <v>1</v>
      </c>
      <c r="J5" s="65">
        <v>1</v>
      </c>
      <c r="K5" s="65">
        <v>0</v>
      </c>
      <c r="L5" s="65">
        <v>0</v>
      </c>
      <c r="M5" s="65">
        <v>0</v>
      </c>
      <c r="N5" s="65">
        <v>0</v>
      </c>
      <c r="O5" s="65">
        <v>1</v>
      </c>
      <c r="P5" s="65">
        <v>100</v>
      </c>
      <c r="Q5" s="132" t="s">
        <v>194</v>
      </c>
      <c r="R5" s="132" t="s">
        <v>195</v>
      </c>
    </row>
    <row r="6" spans="1:18" x14ac:dyDescent="0.15">
      <c r="A6" s="65">
        <v>13101</v>
      </c>
      <c r="B6" s="65">
        <v>1</v>
      </c>
      <c r="C6" s="105" t="str">
        <f t="shared" si="0"/>
        <v>13101_1</v>
      </c>
      <c r="D6" s="38" t="s">
        <v>249</v>
      </c>
      <c r="E6" s="65">
        <v>5</v>
      </c>
      <c r="F6" s="65" t="s">
        <v>248</v>
      </c>
      <c r="G6" s="65">
        <v>19</v>
      </c>
      <c r="H6" s="65">
        <v>1</v>
      </c>
      <c r="I6" s="65">
        <v>1</v>
      </c>
      <c r="J6" s="65">
        <v>1</v>
      </c>
      <c r="K6" s="65">
        <v>0</v>
      </c>
      <c r="L6" s="65">
        <v>0</v>
      </c>
      <c r="M6" s="65">
        <v>0</v>
      </c>
      <c r="N6" s="65">
        <v>0</v>
      </c>
      <c r="O6" s="65">
        <v>1</v>
      </c>
      <c r="P6" s="65">
        <v>100</v>
      </c>
      <c r="Q6" s="132" t="s">
        <v>194</v>
      </c>
      <c r="R6" s="132" t="s">
        <v>195</v>
      </c>
    </row>
    <row r="7" spans="1:18" x14ac:dyDescent="0.15">
      <c r="A7" s="65">
        <v>13101</v>
      </c>
      <c r="B7" s="65">
        <v>1</v>
      </c>
      <c r="C7" s="105" t="str">
        <f t="shared" si="0"/>
        <v>13101_1</v>
      </c>
      <c r="D7" s="38" t="s">
        <v>249</v>
      </c>
      <c r="E7" s="65">
        <v>6</v>
      </c>
      <c r="F7" s="65" t="s">
        <v>248</v>
      </c>
      <c r="G7" s="65">
        <v>344</v>
      </c>
      <c r="H7" s="65">
        <v>1</v>
      </c>
      <c r="I7" s="65">
        <v>1</v>
      </c>
      <c r="J7" s="65">
        <v>1</v>
      </c>
      <c r="K7" s="65">
        <v>0</v>
      </c>
      <c r="L7" s="65">
        <v>0</v>
      </c>
      <c r="M7" s="65">
        <v>0</v>
      </c>
      <c r="N7" s="65">
        <v>0</v>
      </c>
      <c r="O7" s="65">
        <v>1</v>
      </c>
      <c r="P7" s="65">
        <v>100</v>
      </c>
      <c r="Q7" s="132" t="s">
        <v>194</v>
      </c>
      <c r="R7" s="132" t="s">
        <v>195</v>
      </c>
    </row>
    <row r="8" spans="1:18" x14ac:dyDescent="0.15">
      <c r="A8" s="65">
        <v>13101</v>
      </c>
      <c r="B8" s="65">
        <v>2</v>
      </c>
      <c r="C8" s="105" t="str">
        <f t="shared" si="0"/>
        <v>13101_2</v>
      </c>
      <c r="D8" s="38" t="s">
        <v>249</v>
      </c>
      <c r="E8" s="65">
        <v>7</v>
      </c>
      <c r="F8" s="65" t="s">
        <v>193</v>
      </c>
      <c r="G8" s="65">
        <v>600</v>
      </c>
      <c r="H8" s="65" t="s">
        <v>246</v>
      </c>
      <c r="I8" s="65">
        <v>1</v>
      </c>
      <c r="J8" s="65">
        <v>1</v>
      </c>
      <c r="K8" s="65">
        <v>0</v>
      </c>
      <c r="L8" s="65">
        <v>0</v>
      </c>
      <c r="M8" s="65">
        <v>0</v>
      </c>
      <c r="N8" s="65">
        <v>0</v>
      </c>
      <c r="O8" s="65">
        <v>1</v>
      </c>
      <c r="P8" s="65">
        <v>300</v>
      </c>
      <c r="Q8" s="132" t="s">
        <v>194</v>
      </c>
      <c r="R8" s="132" t="s">
        <v>195</v>
      </c>
    </row>
    <row r="9" spans="1:18" x14ac:dyDescent="0.15">
      <c r="A9" s="65">
        <v>13101</v>
      </c>
      <c r="B9" s="65">
        <v>2</v>
      </c>
      <c r="C9" s="105" t="str">
        <f t="shared" si="0"/>
        <v>13101_2</v>
      </c>
      <c r="D9" s="38" t="s">
        <v>249</v>
      </c>
      <c r="E9" s="65">
        <v>8</v>
      </c>
      <c r="F9" s="65" t="s">
        <v>247</v>
      </c>
      <c r="G9" s="65">
        <v>25</v>
      </c>
      <c r="H9" s="65" t="s">
        <v>246</v>
      </c>
      <c r="I9" s="65">
        <v>1</v>
      </c>
      <c r="J9" s="65">
        <v>1</v>
      </c>
      <c r="K9" s="65">
        <v>0</v>
      </c>
      <c r="L9" s="65">
        <v>0</v>
      </c>
      <c r="M9" s="65">
        <v>0</v>
      </c>
      <c r="N9" s="65">
        <v>0</v>
      </c>
      <c r="O9" s="65">
        <v>1</v>
      </c>
      <c r="P9" s="65">
        <v>300</v>
      </c>
      <c r="Q9" s="132" t="s">
        <v>194</v>
      </c>
      <c r="R9" s="132" t="s">
        <v>195</v>
      </c>
    </row>
    <row r="10" spans="1:18" x14ac:dyDescent="0.15">
      <c r="A10" s="65">
        <v>13101</v>
      </c>
      <c r="B10" s="65">
        <v>2</v>
      </c>
      <c r="C10" s="105" t="str">
        <f t="shared" si="0"/>
        <v>13101_2</v>
      </c>
      <c r="D10" s="38" t="s">
        <v>249</v>
      </c>
      <c r="E10" s="65">
        <v>9</v>
      </c>
      <c r="F10" s="65" t="s">
        <v>248</v>
      </c>
      <c r="G10" s="65">
        <v>1</v>
      </c>
      <c r="H10" s="65">
        <v>1</v>
      </c>
      <c r="I10" s="65">
        <v>2</v>
      </c>
      <c r="J10" s="65">
        <v>1</v>
      </c>
      <c r="K10" s="65">
        <v>0</v>
      </c>
      <c r="L10" s="65">
        <v>0</v>
      </c>
      <c r="M10" s="65">
        <v>0</v>
      </c>
      <c r="N10" s="65">
        <v>0</v>
      </c>
      <c r="O10" s="65">
        <v>1</v>
      </c>
      <c r="P10" s="65">
        <v>100</v>
      </c>
      <c r="Q10" s="132" t="s">
        <v>194</v>
      </c>
      <c r="R10" s="132" t="s">
        <v>195</v>
      </c>
    </row>
    <row r="11" spans="1:18" x14ac:dyDescent="0.15">
      <c r="A11" s="65">
        <v>13101</v>
      </c>
      <c r="B11" s="65">
        <v>2</v>
      </c>
      <c r="C11" s="105" t="str">
        <f t="shared" si="0"/>
        <v>13101_2</v>
      </c>
      <c r="D11" s="38" t="s">
        <v>249</v>
      </c>
      <c r="E11" s="65">
        <v>10</v>
      </c>
      <c r="F11" s="65" t="s">
        <v>248</v>
      </c>
      <c r="G11" s="65">
        <v>9</v>
      </c>
      <c r="H11" s="65">
        <v>1</v>
      </c>
      <c r="I11" s="65">
        <v>1</v>
      </c>
      <c r="J11" s="65">
        <v>1</v>
      </c>
      <c r="K11" s="65">
        <v>0</v>
      </c>
      <c r="L11" s="65">
        <v>0</v>
      </c>
      <c r="M11" s="65">
        <v>0</v>
      </c>
      <c r="N11" s="65">
        <v>0</v>
      </c>
      <c r="O11" s="65">
        <v>1</v>
      </c>
      <c r="P11" s="65">
        <v>100</v>
      </c>
      <c r="Q11" s="132" t="s">
        <v>194</v>
      </c>
      <c r="R11" s="132" t="s">
        <v>195</v>
      </c>
    </row>
    <row r="12" spans="1:18" x14ac:dyDescent="0.15">
      <c r="A12" s="65">
        <v>13101</v>
      </c>
      <c r="B12" s="65">
        <v>2</v>
      </c>
      <c r="C12" s="105" t="str">
        <f t="shared" si="0"/>
        <v>13101_2</v>
      </c>
      <c r="D12" s="38" t="s">
        <v>249</v>
      </c>
      <c r="E12" s="65">
        <v>11</v>
      </c>
      <c r="F12" s="65" t="s">
        <v>248</v>
      </c>
      <c r="G12" s="65">
        <v>15</v>
      </c>
      <c r="H12" s="65">
        <v>1</v>
      </c>
      <c r="I12" s="65">
        <v>1</v>
      </c>
      <c r="J12" s="65">
        <v>1</v>
      </c>
      <c r="K12" s="65">
        <v>0</v>
      </c>
      <c r="L12" s="65">
        <v>0</v>
      </c>
      <c r="M12" s="65">
        <v>0</v>
      </c>
      <c r="N12" s="65">
        <v>0</v>
      </c>
      <c r="O12" s="65">
        <v>1</v>
      </c>
      <c r="P12" s="65">
        <v>100</v>
      </c>
      <c r="Q12" s="132" t="s">
        <v>194</v>
      </c>
      <c r="R12" s="132" t="s">
        <v>195</v>
      </c>
    </row>
    <row r="13" spans="1:18" x14ac:dyDescent="0.15">
      <c r="A13" s="65">
        <v>13101</v>
      </c>
      <c r="B13" s="65">
        <v>2</v>
      </c>
      <c r="C13" s="105" t="str">
        <f t="shared" si="0"/>
        <v>13101_2</v>
      </c>
      <c r="D13" s="38" t="s">
        <v>249</v>
      </c>
      <c r="E13" s="65">
        <v>12</v>
      </c>
      <c r="F13" s="65" t="s">
        <v>248</v>
      </c>
      <c r="G13" s="65">
        <v>332</v>
      </c>
      <c r="H13" s="65">
        <v>1</v>
      </c>
      <c r="I13" s="65">
        <v>1</v>
      </c>
      <c r="J13" s="65">
        <v>1</v>
      </c>
      <c r="K13" s="65">
        <v>0</v>
      </c>
      <c r="L13" s="65">
        <v>0</v>
      </c>
      <c r="M13" s="65">
        <v>0</v>
      </c>
      <c r="N13" s="65">
        <v>0</v>
      </c>
      <c r="O13" s="65">
        <v>1</v>
      </c>
      <c r="P13" s="65">
        <v>100</v>
      </c>
      <c r="Q13" s="132" t="s">
        <v>194</v>
      </c>
      <c r="R13" s="132" t="s">
        <v>195</v>
      </c>
    </row>
    <row r="14" spans="1:18" x14ac:dyDescent="0.15">
      <c r="A14" s="65">
        <v>13101</v>
      </c>
      <c r="B14" s="65">
        <v>3</v>
      </c>
      <c r="C14" s="105" t="str">
        <f t="shared" si="0"/>
        <v>13101_3</v>
      </c>
      <c r="D14" s="38" t="s">
        <v>249</v>
      </c>
      <c r="E14" s="65">
        <v>13</v>
      </c>
      <c r="F14" s="65" t="s">
        <v>193</v>
      </c>
      <c r="G14" s="65">
        <v>600</v>
      </c>
      <c r="H14" s="65" t="s">
        <v>246</v>
      </c>
      <c r="I14" s="65">
        <v>1</v>
      </c>
      <c r="J14" s="65">
        <v>1</v>
      </c>
      <c r="K14" s="65">
        <v>0</v>
      </c>
      <c r="L14" s="65">
        <v>0</v>
      </c>
      <c r="M14" s="65">
        <v>0</v>
      </c>
      <c r="N14" s="65">
        <v>0</v>
      </c>
      <c r="O14" s="65">
        <v>1</v>
      </c>
      <c r="P14" s="65">
        <v>300</v>
      </c>
      <c r="Q14" s="132" t="s">
        <v>194</v>
      </c>
      <c r="R14" s="132" t="s">
        <v>195</v>
      </c>
    </row>
    <row r="15" spans="1:18" x14ac:dyDescent="0.15">
      <c r="A15" s="65">
        <v>13101</v>
      </c>
      <c r="B15" s="65">
        <v>3</v>
      </c>
      <c r="C15" s="105" t="str">
        <f t="shared" si="0"/>
        <v>13101_3</v>
      </c>
      <c r="D15" s="38" t="s">
        <v>249</v>
      </c>
      <c r="E15" s="65">
        <v>14</v>
      </c>
      <c r="F15" s="65" t="s">
        <v>247</v>
      </c>
      <c r="G15" s="65">
        <v>25</v>
      </c>
      <c r="H15" s="65" t="s">
        <v>246</v>
      </c>
      <c r="I15" s="65">
        <v>1</v>
      </c>
      <c r="J15" s="65">
        <v>1</v>
      </c>
      <c r="K15" s="65">
        <v>0</v>
      </c>
      <c r="L15" s="65">
        <v>0</v>
      </c>
      <c r="M15" s="65">
        <v>0</v>
      </c>
      <c r="N15" s="65">
        <v>0</v>
      </c>
      <c r="O15" s="65">
        <v>1</v>
      </c>
      <c r="P15" s="65">
        <v>300</v>
      </c>
      <c r="Q15" s="132" t="s">
        <v>194</v>
      </c>
      <c r="R15" s="132" t="s">
        <v>195</v>
      </c>
    </row>
    <row r="16" spans="1:18" x14ac:dyDescent="0.15">
      <c r="A16" s="65">
        <v>13101</v>
      </c>
      <c r="B16" s="65">
        <v>3</v>
      </c>
      <c r="C16" s="105" t="str">
        <f t="shared" si="0"/>
        <v>13101_3</v>
      </c>
      <c r="D16" s="38" t="s">
        <v>249</v>
      </c>
      <c r="E16" s="65">
        <v>15</v>
      </c>
      <c r="F16" s="65" t="s">
        <v>248</v>
      </c>
      <c r="G16" s="65">
        <v>3</v>
      </c>
      <c r="H16" s="65">
        <v>1</v>
      </c>
      <c r="I16" s="65">
        <v>4</v>
      </c>
      <c r="J16" s="65">
        <v>1</v>
      </c>
      <c r="K16" s="65">
        <v>0</v>
      </c>
      <c r="L16" s="65">
        <v>0</v>
      </c>
      <c r="M16" s="65">
        <v>0</v>
      </c>
      <c r="N16" s="65">
        <v>0</v>
      </c>
      <c r="O16" s="65">
        <v>1</v>
      </c>
      <c r="P16" s="65">
        <v>100</v>
      </c>
      <c r="Q16" s="132" t="s">
        <v>194</v>
      </c>
      <c r="R16" s="132" t="s">
        <v>195</v>
      </c>
    </row>
    <row r="17" spans="1:18" x14ac:dyDescent="0.15">
      <c r="A17" s="65">
        <v>13101</v>
      </c>
      <c r="B17" s="65">
        <v>3</v>
      </c>
      <c r="C17" s="105" t="str">
        <f t="shared" si="0"/>
        <v>13101_3</v>
      </c>
      <c r="D17" s="38" t="s">
        <v>249</v>
      </c>
      <c r="E17" s="65">
        <v>16</v>
      </c>
      <c r="F17" s="65" t="s">
        <v>248</v>
      </c>
      <c r="G17" s="65">
        <v>11</v>
      </c>
      <c r="H17" s="65">
        <v>1</v>
      </c>
      <c r="I17" s="65">
        <v>2</v>
      </c>
      <c r="J17" s="65">
        <v>1</v>
      </c>
      <c r="K17" s="65">
        <v>0</v>
      </c>
      <c r="L17" s="65">
        <v>0</v>
      </c>
      <c r="M17" s="65">
        <v>0</v>
      </c>
      <c r="N17" s="65">
        <v>0</v>
      </c>
      <c r="O17" s="65">
        <v>1</v>
      </c>
      <c r="P17" s="65">
        <v>100</v>
      </c>
      <c r="Q17" s="132" t="s">
        <v>194</v>
      </c>
      <c r="R17" s="132" t="s">
        <v>195</v>
      </c>
    </row>
    <row r="18" spans="1:18" x14ac:dyDescent="0.15">
      <c r="A18" s="65">
        <v>13101</v>
      </c>
      <c r="B18" s="65">
        <v>3</v>
      </c>
      <c r="C18" s="105" t="str">
        <f t="shared" si="0"/>
        <v>13101_3</v>
      </c>
      <c r="D18" s="38" t="s">
        <v>249</v>
      </c>
      <c r="E18" s="65">
        <v>17</v>
      </c>
      <c r="F18" s="65" t="s">
        <v>248</v>
      </c>
      <c r="G18" s="65">
        <v>23</v>
      </c>
      <c r="H18" s="65">
        <v>1</v>
      </c>
      <c r="I18" s="65">
        <v>1</v>
      </c>
      <c r="J18" s="65">
        <v>1</v>
      </c>
      <c r="K18" s="65">
        <v>0</v>
      </c>
      <c r="L18" s="65">
        <v>0</v>
      </c>
      <c r="M18" s="65">
        <v>0</v>
      </c>
      <c r="N18" s="65">
        <v>0</v>
      </c>
      <c r="O18" s="65">
        <v>1</v>
      </c>
      <c r="P18" s="65">
        <v>100</v>
      </c>
      <c r="Q18" s="132" t="s">
        <v>194</v>
      </c>
      <c r="R18" s="132" t="s">
        <v>195</v>
      </c>
    </row>
    <row r="19" spans="1:18" x14ac:dyDescent="0.15">
      <c r="A19" s="65">
        <v>13101</v>
      </c>
      <c r="B19" s="65">
        <v>3</v>
      </c>
      <c r="C19" s="105" t="str">
        <f t="shared" si="0"/>
        <v>13101_3</v>
      </c>
      <c r="D19" s="38" t="s">
        <v>249</v>
      </c>
      <c r="E19" s="65">
        <v>18</v>
      </c>
      <c r="F19" s="65" t="s">
        <v>248</v>
      </c>
      <c r="G19" s="65">
        <v>336</v>
      </c>
      <c r="H19" s="65">
        <v>1</v>
      </c>
      <c r="I19" s="65">
        <v>1</v>
      </c>
      <c r="J19" s="65">
        <v>1</v>
      </c>
      <c r="K19" s="65">
        <v>0</v>
      </c>
      <c r="L19" s="65">
        <v>0</v>
      </c>
      <c r="M19" s="65">
        <v>0</v>
      </c>
      <c r="N19" s="65">
        <v>0</v>
      </c>
      <c r="O19" s="65">
        <v>1</v>
      </c>
      <c r="P19" s="65">
        <v>100</v>
      </c>
      <c r="Q19" s="132" t="s">
        <v>194</v>
      </c>
      <c r="R19" s="132" t="s">
        <v>195</v>
      </c>
    </row>
    <row r="20" spans="1:18" x14ac:dyDescent="0.15">
      <c r="A20" s="65">
        <v>13101</v>
      </c>
      <c r="B20" s="65">
        <v>4</v>
      </c>
      <c r="C20" s="105" t="str">
        <f t="shared" si="0"/>
        <v>13101_4</v>
      </c>
      <c r="D20" s="38" t="s">
        <v>249</v>
      </c>
      <c r="E20" s="65">
        <v>19</v>
      </c>
      <c r="F20" s="65" t="s">
        <v>193</v>
      </c>
      <c r="G20" s="65">
        <v>600</v>
      </c>
      <c r="H20" s="65" t="s">
        <v>246</v>
      </c>
      <c r="I20" s="65">
        <v>1</v>
      </c>
      <c r="J20" s="65">
        <v>1</v>
      </c>
      <c r="K20" s="65">
        <v>0</v>
      </c>
      <c r="L20" s="65">
        <v>0</v>
      </c>
      <c r="M20" s="65">
        <v>0</v>
      </c>
      <c r="N20" s="65">
        <v>0</v>
      </c>
      <c r="O20" s="65">
        <v>1</v>
      </c>
      <c r="P20" s="65">
        <v>300</v>
      </c>
      <c r="Q20" s="132" t="s">
        <v>194</v>
      </c>
      <c r="R20" s="132" t="s">
        <v>195</v>
      </c>
    </row>
    <row r="21" spans="1:18" x14ac:dyDescent="0.15">
      <c r="A21" s="65">
        <v>13101</v>
      </c>
      <c r="B21" s="65">
        <v>4</v>
      </c>
      <c r="C21" s="105" t="str">
        <f t="shared" si="0"/>
        <v>13101_4</v>
      </c>
      <c r="D21" s="38" t="s">
        <v>249</v>
      </c>
      <c r="E21" s="65">
        <v>20</v>
      </c>
      <c r="F21" s="65" t="s">
        <v>247</v>
      </c>
      <c r="G21" s="65">
        <v>25</v>
      </c>
      <c r="H21" s="65" t="s">
        <v>246</v>
      </c>
      <c r="I21" s="65">
        <v>1</v>
      </c>
      <c r="J21" s="65">
        <v>1</v>
      </c>
      <c r="K21" s="65">
        <v>0</v>
      </c>
      <c r="L21" s="65">
        <v>0</v>
      </c>
      <c r="M21" s="65">
        <v>0</v>
      </c>
      <c r="N21" s="65">
        <v>0</v>
      </c>
      <c r="O21" s="65">
        <v>1</v>
      </c>
      <c r="P21" s="65">
        <v>300</v>
      </c>
      <c r="Q21" s="132" t="s">
        <v>194</v>
      </c>
      <c r="R21" s="132" t="s">
        <v>195</v>
      </c>
    </row>
    <row r="22" spans="1:18" x14ac:dyDescent="0.15">
      <c r="A22" s="65">
        <v>13101</v>
      </c>
      <c r="B22" s="65">
        <v>4</v>
      </c>
      <c r="C22" s="105" t="str">
        <f t="shared" si="0"/>
        <v>13101_4</v>
      </c>
      <c r="D22" s="38" t="s">
        <v>249</v>
      </c>
      <c r="E22" s="65">
        <v>21</v>
      </c>
      <c r="F22" s="65" t="s">
        <v>248</v>
      </c>
      <c r="G22" s="65">
        <v>5</v>
      </c>
      <c r="H22" s="65">
        <v>1</v>
      </c>
      <c r="I22" s="65">
        <v>5</v>
      </c>
      <c r="J22" s="65">
        <v>1</v>
      </c>
      <c r="K22" s="65">
        <v>0</v>
      </c>
      <c r="L22" s="65">
        <v>0</v>
      </c>
      <c r="M22" s="65">
        <v>0</v>
      </c>
      <c r="N22" s="65">
        <v>0</v>
      </c>
      <c r="O22" s="65">
        <v>1</v>
      </c>
      <c r="P22" s="65">
        <v>100</v>
      </c>
      <c r="Q22" s="132" t="s">
        <v>194</v>
      </c>
      <c r="R22" s="132" t="s">
        <v>195</v>
      </c>
    </row>
    <row r="23" spans="1:18" x14ac:dyDescent="0.15">
      <c r="A23" s="65">
        <v>13101</v>
      </c>
      <c r="B23" s="65">
        <v>4</v>
      </c>
      <c r="C23" s="105" t="str">
        <f t="shared" si="0"/>
        <v>13101_4</v>
      </c>
      <c r="D23" s="38" t="s">
        <v>249</v>
      </c>
      <c r="E23" s="65">
        <v>22</v>
      </c>
      <c r="F23" s="65" t="s">
        <v>248</v>
      </c>
      <c r="G23" s="65">
        <v>17</v>
      </c>
      <c r="H23" s="65">
        <v>1</v>
      </c>
      <c r="I23" s="65">
        <v>3</v>
      </c>
      <c r="J23" s="65">
        <v>1</v>
      </c>
      <c r="K23" s="65">
        <v>0</v>
      </c>
      <c r="L23" s="65">
        <v>0</v>
      </c>
      <c r="M23" s="65">
        <v>0</v>
      </c>
      <c r="N23" s="65">
        <v>0</v>
      </c>
      <c r="O23" s="65">
        <v>1</v>
      </c>
      <c r="P23" s="65">
        <v>100</v>
      </c>
      <c r="Q23" s="132" t="s">
        <v>194</v>
      </c>
      <c r="R23" s="132" t="s">
        <v>195</v>
      </c>
    </row>
    <row r="24" spans="1:18" x14ac:dyDescent="0.15">
      <c r="A24" s="65">
        <v>13101</v>
      </c>
      <c r="B24" s="65">
        <v>4</v>
      </c>
      <c r="C24" s="105" t="str">
        <f t="shared" si="0"/>
        <v>13101_4</v>
      </c>
      <c r="D24" s="38" t="s">
        <v>249</v>
      </c>
      <c r="E24" s="65">
        <v>23</v>
      </c>
      <c r="F24" s="65" t="s">
        <v>248</v>
      </c>
      <c r="G24" s="65">
        <v>25</v>
      </c>
      <c r="H24" s="65">
        <v>1</v>
      </c>
      <c r="I24" s="65">
        <v>1</v>
      </c>
      <c r="J24" s="65">
        <v>1</v>
      </c>
      <c r="K24" s="65">
        <v>0</v>
      </c>
      <c r="L24" s="65">
        <v>0</v>
      </c>
      <c r="M24" s="65">
        <v>0</v>
      </c>
      <c r="N24" s="65">
        <v>0</v>
      </c>
      <c r="O24" s="65">
        <v>1</v>
      </c>
      <c r="P24" s="65">
        <v>100</v>
      </c>
      <c r="Q24" s="132" t="s">
        <v>194</v>
      </c>
      <c r="R24" s="132" t="s">
        <v>195</v>
      </c>
    </row>
    <row r="25" spans="1:18" x14ac:dyDescent="0.15">
      <c r="A25" s="65">
        <v>13101</v>
      </c>
      <c r="B25" s="65">
        <v>4</v>
      </c>
      <c r="C25" s="105" t="str">
        <f t="shared" si="0"/>
        <v>13101_4</v>
      </c>
      <c r="D25" s="38" t="s">
        <v>249</v>
      </c>
      <c r="E25" s="65">
        <v>24</v>
      </c>
      <c r="F25" s="65" t="s">
        <v>248</v>
      </c>
      <c r="G25" s="65">
        <v>340</v>
      </c>
      <c r="H25" s="65">
        <v>1</v>
      </c>
      <c r="I25" s="65">
        <v>1</v>
      </c>
      <c r="J25" s="65">
        <v>1</v>
      </c>
      <c r="K25" s="65">
        <v>0</v>
      </c>
      <c r="L25" s="65">
        <v>0</v>
      </c>
      <c r="M25" s="65">
        <v>0</v>
      </c>
      <c r="N25" s="65">
        <v>0</v>
      </c>
      <c r="O25" s="65">
        <v>1</v>
      </c>
      <c r="P25" s="65">
        <v>100</v>
      </c>
      <c r="Q25" s="132" t="s">
        <v>194</v>
      </c>
      <c r="R25" s="132" t="s">
        <v>195</v>
      </c>
    </row>
    <row r="26" spans="1:18" x14ac:dyDescent="0.15">
      <c r="A26" s="65">
        <v>13101</v>
      </c>
      <c r="B26" s="65">
        <v>5</v>
      </c>
      <c r="C26" s="105" t="str">
        <f t="shared" si="0"/>
        <v>13101_5</v>
      </c>
      <c r="D26" s="38" t="s">
        <v>249</v>
      </c>
      <c r="E26" s="65">
        <v>25</v>
      </c>
      <c r="F26" s="65" t="s">
        <v>193</v>
      </c>
      <c r="G26" s="65">
        <v>600</v>
      </c>
      <c r="H26" s="65" t="s">
        <v>246</v>
      </c>
      <c r="I26" s="65">
        <v>1</v>
      </c>
      <c r="J26" s="65">
        <v>1</v>
      </c>
      <c r="K26" s="65">
        <v>0</v>
      </c>
      <c r="L26" s="65">
        <v>0</v>
      </c>
      <c r="M26" s="65">
        <v>0</v>
      </c>
      <c r="N26" s="65">
        <v>0</v>
      </c>
      <c r="O26" s="65">
        <v>1</v>
      </c>
      <c r="P26" s="65">
        <v>450</v>
      </c>
      <c r="Q26" s="132" t="s">
        <v>194</v>
      </c>
      <c r="R26" s="132" t="s">
        <v>195</v>
      </c>
    </row>
    <row r="27" spans="1:18" x14ac:dyDescent="0.15">
      <c r="A27" s="65">
        <v>13101</v>
      </c>
      <c r="B27" s="65">
        <v>5</v>
      </c>
      <c r="C27" s="105" t="str">
        <f t="shared" si="0"/>
        <v>13101_5</v>
      </c>
      <c r="D27" s="38" t="s">
        <v>249</v>
      </c>
      <c r="E27" s="65">
        <v>26</v>
      </c>
      <c r="F27" s="65" t="s">
        <v>247</v>
      </c>
      <c r="G27" s="65">
        <v>25</v>
      </c>
      <c r="H27" s="65" t="s">
        <v>246</v>
      </c>
      <c r="I27" s="65">
        <v>1</v>
      </c>
      <c r="J27" s="65">
        <v>1</v>
      </c>
      <c r="K27" s="65">
        <v>0</v>
      </c>
      <c r="L27" s="65">
        <v>0</v>
      </c>
      <c r="M27" s="65">
        <v>0</v>
      </c>
      <c r="N27" s="65">
        <v>0</v>
      </c>
      <c r="O27" s="65">
        <v>1</v>
      </c>
      <c r="P27" s="65">
        <v>450</v>
      </c>
      <c r="Q27" s="132" t="s">
        <v>194</v>
      </c>
      <c r="R27" s="132" t="s">
        <v>195</v>
      </c>
    </row>
    <row r="28" spans="1:18" x14ac:dyDescent="0.15">
      <c r="A28" s="65">
        <v>13101</v>
      </c>
      <c r="B28" s="65">
        <v>5</v>
      </c>
      <c r="C28" s="105" t="str">
        <f t="shared" si="0"/>
        <v>13101_5</v>
      </c>
      <c r="D28" s="38" t="s">
        <v>249</v>
      </c>
      <c r="E28" s="65">
        <v>27</v>
      </c>
      <c r="F28" s="65" t="s">
        <v>248</v>
      </c>
      <c r="G28" s="65">
        <v>332</v>
      </c>
      <c r="H28" s="65">
        <v>1</v>
      </c>
      <c r="I28" s="65">
        <v>1</v>
      </c>
      <c r="J28" s="65">
        <v>1</v>
      </c>
      <c r="K28" s="65">
        <v>0</v>
      </c>
      <c r="L28" s="65">
        <v>0</v>
      </c>
      <c r="M28" s="65">
        <v>0</v>
      </c>
      <c r="N28" s="65">
        <v>0</v>
      </c>
      <c r="O28" s="65">
        <v>1</v>
      </c>
      <c r="P28" s="65">
        <v>100</v>
      </c>
      <c r="Q28" s="132" t="s">
        <v>194</v>
      </c>
      <c r="R28" s="132" t="s">
        <v>195</v>
      </c>
    </row>
    <row r="29" spans="1:18" x14ac:dyDescent="0.15">
      <c r="A29" s="65">
        <v>13101</v>
      </c>
      <c r="B29" s="65">
        <v>6</v>
      </c>
      <c r="C29" s="105" t="str">
        <f t="shared" si="0"/>
        <v>13101_6</v>
      </c>
      <c r="D29" s="38" t="s">
        <v>249</v>
      </c>
      <c r="E29" s="65">
        <v>28</v>
      </c>
      <c r="F29" s="65" t="s">
        <v>193</v>
      </c>
      <c r="G29" s="65">
        <v>1000</v>
      </c>
      <c r="H29" s="65" t="s">
        <v>246</v>
      </c>
      <c r="I29" s="65">
        <v>1</v>
      </c>
      <c r="J29" s="65">
        <v>1</v>
      </c>
      <c r="K29" s="65">
        <v>0</v>
      </c>
      <c r="L29" s="65">
        <v>0</v>
      </c>
      <c r="M29" s="65">
        <v>0</v>
      </c>
      <c r="N29" s="65">
        <v>0</v>
      </c>
      <c r="O29" s="65">
        <v>1</v>
      </c>
      <c r="P29" s="65">
        <v>300</v>
      </c>
      <c r="Q29" s="132" t="s">
        <v>194</v>
      </c>
      <c r="R29" s="132" t="s">
        <v>195</v>
      </c>
    </row>
    <row r="30" spans="1:18" x14ac:dyDescent="0.15">
      <c r="A30" s="65">
        <v>13101</v>
      </c>
      <c r="B30" s="65">
        <v>6</v>
      </c>
      <c r="C30" s="105" t="str">
        <f t="shared" si="0"/>
        <v>13101_6</v>
      </c>
      <c r="D30" s="38" t="s">
        <v>249</v>
      </c>
      <c r="E30" s="65">
        <v>29</v>
      </c>
      <c r="F30" s="65" t="s">
        <v>247</v>
      </c>
      <c r="G30" s="65">
        <v>25</v>
      </c>
      <c r="H30" s="65" t="s">
        <v>246</v>
      </c>
      <c r="I30" s="65">
        <v>1</v>
      </c>
      <c r="J30" s="65">
        <v>1</v>
      </c>
      <c r="K30" s="65">
        <v>0</v>
      </c>
      <c r="L30" s="65">
        <v>0</v>
      </c>
      <c r="M30" s="65">
        <v>0</v>
      </c>
      <c r="N30" s="65">
        <v>0</v>
      </c>
      <c r="O30" s="65">
        <v>1</v>
      </c>
      <c r="P30" s="65">
        <v>300</v>
      </c>
      <c r="Q30" s="132" t="s">
        <v>194</v>
      </c>
      <c r="R30" s="132" t="s">
        <v>195</v>
      </c>
    </row>
    <row r="31" spans="1:18" x14ac:dyDescent="0.15">
      <c r="A31" s="65">
        <v>13101</v>
      </c>
      <c r="B31" s="65">
        <v>6</v>
      </c>
      <c r="C31" s="105" t="str">
        <f t="shared" si="0"/>
        <v>13101_6</v>
      </c>
      <c r="D31" s="38" t="s">
        <v>249</v>
      </c>
      <c r="E31" s="65">
        <v>30</v>
      </c>
      <c r="F31" s="65" t="s">
        <v>248</v>
      </c>
      <c r="G31" s="65">
        <v>13</v>
      </c>
      <c r="H31" s="65">
        <v>1</v>
      </c>
      <c r="I31" s="65">
        <v>3</v>
      </c>
      <c r="J31" s="65">
        <v>1</v>
      </c>
      <c r="K31" s="65">
        <v>0</v>
      </c>
      <c r="L31" s="65">
        <v>0</v>
      </c>
      <c r="M31" s="65">
        <v>0</v>
      </c>
      <c r="N31" s="65">
        <v>0</v>
      </c>
      <c r="O31" s="65">
        <v>1</v>
      </c>
      <c r="P31" s="65">
        <v>75</v>
      </c>
      <c r="Q31" s="132" t="s">
        <v>194</v>
      </c>
      <c r="R31" s="132" t="s">
        <v>195</v>
      </c>
    </row>
    <row r="32" spans="1:18" x14ac:dyDescent="0.15">
      <c r="A32" s="65">
        <v>13101</v>
      </c>
      <c r="B32" s="65">
        <v>6</v>
      </c>
      <c r="C32" s="105" t="str">
        <f t="shared" si="0"/>
        <v>13101_6</v>
      </c>
      <c r="D32" s="38" t="s">
        <v>249</v>
      </c>
      <c r="E32" s="65">
        <v>31</v>
      </c>
      <c r="F32" s="65" t="s">
        <v>248</v>
      </c>
      <c r="G32" s="65">
        <v>19</v>
      </c>
      <c r="H32" s="65">
        <v>1</v>
      </c>
      <c r="I32" s="65">
        <v>3</v>
      </c>
      <c r="J32" s="65">
        <v>1</v>
      </c>
      <c r="K32" s="65">
        <v>0</v>
      </c>
      <c r="L32" s="65">
        <v>0</v>
      </c>
      <c r="M32" s="65">
        <v>0</v>
      </c>
      <c r="N32" s="65">
        <v>0</v>
      </c>
      <c r="O32" s="65">
        <v>1</v>
      </c>
      <c r="P32" s="65">
        <v>75</v>
      </c>
      <c r="Q32" s="132" t="s">
        <v>194</v>
      </c>
      <c r="R32" s="132" t="s">
        <v>195</v>
      </c>
    </row>
    <row r="33" spans="1:18" x14ac:dyDescent="0.15">
      <c r="A33" s="65">
        <v>13101</v>
      </c>
      <c r="B33" s="65">
        <v>6</v>
      </c>
      <c r="C33" s="105" t="str">
        <f t="shared" si="0"/>
        <v>13101_6</v>
      </c>
      <c r="D33" s="38" t="s">
        <v>249</v>
      </c>
      <c r="E33" s="65">
        <v>32</v>
      </c>
      <c r="F33" s="65" t="s">
        <v>248</v>
      </c>
      <c r="G33" s="65">
        <v>31</v>
      </c>
      <c r="H33" s="65">
        <v>1</v>
      </c>
      <c r="I33" s="65">
        <v>1</v>
      </c>
      <c r="J33" s="65">
        <v>1</v>
      </c>
      <c r="K33" s="65">
        <v>0</v>
      </c>
      <c r="L33" s="65">
        <v>0</v>
      </c>
      <c r="M33" s="65">
        <v>0</v>
      </c>
      <c r="N33" s="65">
        <v>0</v>
      </c>
      <c r="O33" s="65">
        <v>1</v>
      </c>
      <c r="P33" s="65">
        <v>75</v>
      </c>
      <c r="Q33" s="132" t="s">
        <v>194</v>
      </c>
      <c r="R33" s="132" t="s">
        <v>195</v>
      </c>
    </row>
    <row r="34" spans="1:18" x14ac:dyDescent="0.15">
      <c r="A34" s="65">
        <v>13101</v>
      </c>
      <c r="B34" s="65">
        <v>6</v>
      </c>
      <c r="C34" s="105" t="str">
        <f t="shared" si="0"/>
        <v>13101_6</v>
      </c>
      <c r="D34" s="38" t="s">
        <v>249</v>
      </c>
      <c r="E34" s="65">
        <v>33</v>
      </c>
      <c r="F34" s="65" t="s">
        <v>248</v>
      </c>
      <c r="G34" s="65">
        <v>47</v>
      </c>
      <c r="H34" s="65">
        <v>1</v>
      </c>
      <c r="I34" s="65">
        <v>1</v>
      </c>
      <c r="J34" s="65">
        <v>1</v>
      </c>
      <c r="K34" s="65">
        <v>0</v>
      </c>
      <c r="L34" s="65">
        <v>0</v>
      </c>
      <c r="M34" s="65">
        <v>0</v>
      </c>
      <c r="N34" s="65">
        <v>0</v>
      </c>
      <c r="O34" s="65">
        <v>1</v>
      </c>
      <c r="P34" s="65">
        <v>75</v>
      </c>
      <c r="Q34" s="132" t="s">
        <v>194</v>
      </c>
      <c r="R34" s="132" t="s">
        <v>195</v>
      </c>
    </row>
    <row r="35" spans="1:18" x14ac:dyDescent="0.15">
      <c r="A35" s="65">
        <v>13101</v>
      </c>
      <c r="B35" s="65">
        <v>6</v>
      </c>
      <c r="C35" s="105" t="str">
        <f t="shared" si="0"/>
        <v>13101_6</v>
      </c>
      <c r="D35" s="38" t="s">
        <v>249</v>
      </c>
      <c r="E35" s="65">
        <v>34</v>
      </c>
      <c r="F35" s="65" t="s">
        <v>248</v>
      </c>
      <c r="G35" s="65">
        <v>346</v>
      </c>
      <c r="H35" s="65">
        <v>1</v>
      </c>
      <c r="I35" s="65">
        <v>1</v>
      </c>
      <c r="J35" s="65">
        <v>1</v>
      </c>
      <c r="K35" s="65">
        <v>0</v>
      </c>
      <c r="L35" s="65">
        <v>0</v>
      </c>
      <c r="M35" s="65">
        <v>0</v>
      </c>
      <c r="N35" s="65">
        <v>0</v>
      </c>
      <c r="O35" s="65">
        <v>1</v>
      </c>
      <c r="P35" s="65">
        <v>100</v>
      </c>
      <c r="Q35" s="132" t="s">
        <v>194</v>
      </c>
      <c r="R35" s="132" t="s">
        <v>195</v>
      </c>
    </row>
    <row r="36" spans="1:18" x14ac:dyDescent="0.15">
      <c r="A36" s="65">
        <v>13101</v>
      </c>
      <c r="B36" s="65">
        <v>7</v>
      </c>
      <c r="C36" s="105" t="str">
        <f t="shared" si="0"/>
        <v>13101_7</v>
      </c>
      <c r="D36" s="38" t="s">
        <v>249</v>
      </c>
      <c r="E36" s="65">
        <v>35</v>
      </c>
      <c r="F36" s="65" t="s">
        <v>193</v>
      </c>
      <c r="G36" s="65">
        <v>1000</v>
      </c>
      <c r="H36" s="65" t="s">
        <v>246</v>
      </c>
      <c r="I36" s="65">
        <v>1</v>
      </c>
      <c r="J36" s="65">
        <v>1</v>
      </c>
      <c r="K36" s="65">
        <v>0</v>
      </c>
      <c r="L36" s="65">
        <v>0</v>
      </c>
      <c r="M36" s="65">
        <v>0</v>
      </c>
      <c r="N36" s="65">
        <v>0</v>
      </c>
      <c r="O36" s="65">
        <v>1</v>
      </c>
      <c r="P36" s="65">
        <v>300</v>
      </c>
      <c r="Q36" s="132" t="s">
        <v>194</v>
      </c>
      <c r="R36" s="132" t="s">
        <v>195</v>
      </c>
    </row>
    <row r="37" spans="1:18" x14ac:dyDescent="0.15">
      <c r="A37" s="65">
        <v>13101</v>
      </c>
      <c r="B37" s="65">
        <v>7</v>
      </c>
      <c r="C37" s="105" t="str">
        <f t="shared" si="0"/>
        <v>13101_7</v>
      </c>
      <c r="D37" s="38" t="s">
        <v>249</v>
      </c>
      <c r="E37" s="65">
        <v>36</v>
      </c>
      <c r="F37" s="65" t="s">
        <v>247</v>
      </c>
      <c r="G37" s="65">
        <v>25</v>
      </c>
      <c r="H37" s="65" t="s">
        <v>246</v>
      </c>
      <c r="I37" s="65">
        <v>1</v>
      </c>
      <c r="J37" s="65">
        <v>1</v>
      </c>
      <c r="K37" s="65">
        <v>0</v>
      </c>
      <c r="L37" s="65">
        <v>0</v>
      </c>
      <c r="M37" s="65">
        <v>0</v>
      </c>
      <c r="N37" s="65">
        <v>0</v>
      </c>
      <c r="O37" s="65">
        <v>1</v>
      </c>
      <c r="P37" s="65">
        <v>300</v>
      </c>
      <c r="Q37" s="132" t="s">
        <v>194</v>
      </c>
      <c r="R37" s="132" t="s">
        <v>195</v>
      </c>
    </row>
    <row r="38" spans="1:18" x14ac:dyDescent="0.15">
      <c r="A38" s="65">
        <v>13101</v>
      </c>
      <c r="B38" s="65">
        <v>7</v>
      </c>
      <c r="C38" s="105" t="str">
        <f t="shared" si="0"/>
        <v>13101_7</v>
      </c>
      <c r="D38" s="38" t="s">
        <v>249</v>
      </c>
      <c r="E38" s="65">
        <v>37</v>
      </c>
      <c r="F38" s="65" t="s">
        <v>248</v>
      </c>
      <c r="G38" s="65">
        <v>17</v>
      </c>
      <c r="H38" s="65">
        <v>1</v>
      </c>
      <c r="I38" s="65">
        <v>3</v>
      </c>
      <c r="J38" s="65">
        <v>1</v>
      </c>
      <c r="K38" s="65">
        <v>0</v>
      </c>
      <c r="L38" s="65">
        <v>0</v>
      </c>
      <c r="M38" s="65">
        <v>0</v>
      </c>
      <c r="N38" s="65">
        <v>0</v>
      </c>
      <c r="O38" s="65">
        <v>1</v>
      </c>
      <c r="P38" s="65">
        <v>75</v>
      </c>
      <c r="Q38" s="132" t="s">
        <v>194</v>
      </c>
      <c r="R38" s="132" t="s">
        <v>195</v>
      </c>
    </row>
    <row r="39" spans="1:18" x14ac:dyDescent="0.15">
      <c r="A39" s="65">
        <v>13101</v>
      </c>
      <c r="B39" s="65">
        <v>7</v>
      </c>
      <c r="C39" s="105" t="str">
        <f t="shared" si="0"/>
        <v>13101_7</v>
      </c>
      <c r="D39" s="38" t="s">
        <v>249</v>
      </c>
      <c r="E39" s="65">
        <v>38</v>
      </c>
      <c r="F39" s="65" t="s">
        <v>248</v>
      </c>
      <c r="G39" s="65">
        <v>25</v>
      </c>
      <c r="H39" s="65">
        <v>1</v>
      </c>
      <c r="I39" s="65">
        <v>3</v>
      </c>
      <c r="J39" s="65">
        <v>1</v>
      </c>
      <c r="K39" s="65">
        <v>0</v>
      </c>
      <c r="L39" s="65">
        <v>0</v>
      </c>
      <c r="M39" s="65">
        <v>0</v>
      </c>
      <c r="N39" s="65">
        <v>0</v>
      </c>
      <c r="O39" s="65">
        <v>1</v>
      </c>
      <c r="P39" s="65">
        <v>75</v>
      </c>
      <c r="Q39" s="132" t="s">
        <v>194</v>
      </c>
      <c r="R39" s="132" t="s">
        <v>195</v>
      </c>
    </row>
    <row r="40" spans="1:18" x14ac:dyDescent="0.15">
      <c r="A40" s="65">
        <v>13101</v>
      </c>
      <c r="B40" s="65">
        <v>7</v>
      </c>
      <c r="C40" s="105" t="str">
        <f t="shared" si="0"/>
        <v>13101_7</v>
      </c>
      <c r="D40" s="38" t="s">
        <v>249</v>
      </c>
      <c r="E40" s="65">
        <v>39</v>
      </c>
      <c r="F40" s="65" t="s">
        <v>248</v>
      </c>
      <c r="G40" s="65">
        <v>29</v>
      </c>
      <c r="H40" s="65">
        <v>1</v>
      </c>
      <c r="I40" s="65">
        <v>1</v>
      </c>
      <c r="J40" s="65">
        <v>1</v>
      </c>
      <c r="K40" s="65">
        <v>0</v>
      </c>
      <c r="L40" s="65">
        <v>0</v>
      </c>
      <c r="M40" s="65">
        <v>0</v>
      </c>
      <c r="N40" s="65">
        <v>0</v>
      </c>
      <c r="O40" s="65">
        <v>1</v>
      </c>
      <c r="P40" s="65">
        <v>75</v>
      </c>
      <c r="Q40" s="132" t="s">
        <v>194</v>
      </c>
      <c r="R40" s="132" t="s">
        <v>195</v>
      </c>
    </row>
    <row r="41" spans="1:18" x14ac:dyDescent="0.15">
      <c r="A41" s="65">
        <v>13101</v>
      </c>
      <c r="B41" s="65">
        <v>7</v>
      </c>
      <c r="C41" s="105" t="str">
        <f t="shared" si="0"/>
        <v>13101_7</v>
      </c>
      <c r="D41" s="38" t="s">
        <v>249</v>
      </c>
      <c r="E41" s="65">
        <v>40</v>
      </c>
      <c r="F41" s="65" t="s">
        <v>248</v>
      </c>
      <c r="G41" s="65">
        <v>342</v>
      </c>
      <c r="H41" s="65">
        <v>1</v>
      </c>
      <c r="I41" s="65">
        <v>1</v>
      </c>
      <c r="J41" s="65">
        <v>1</v>
      </c>
      <c r="K41" s="65">
        <v>0</v>
      </c>
      <c r="L41" s="65">
        <v>0</v>
      </c>
      <c r="M41" s="65">
        <v>0</v>
      </c>
      <c r="N41" s="65">
        <v>0</v>
      </c>
      <c r="O41" s="65">
        <v>1</v>
      </c>
      <c r="P41" s="65">
        <v>100</v>
      </c>
      <c r="Q41" s="132" t="s">
        <v>194</v>
      </c>
      <c r="R41" s="132" t="s">
        <v>195</v>
      </c>
    </row>
    <row r="42" spans="1:18" x14ac:dyDescent="0.15">
      <c r="A42" s="65">
        <v>13101</v>
      </c>
      <c r="B42" s="65">
        <v>8</v>
      </c>
      <c r="C42" s="105" t="str">
        <f t="shared" si="0"/>
        <v>13101_8</v>
      </c>
      <c r="D42" s="38" t="s">
        <v>249</v>
      </c>
      <c r="E42" s="65">
        <v>41</v>
      </c>
      <c r="F42" s="65" t="s">
        <v>193</v>
      </c>
      <c r="G42" s="65">
        <v>1000</v>
      </c>
      <c r="H42" s="65" t="s">
        <v>246</v>
      </c>
      <c r="I42" s="65">
        <v>1</v>
      </c>
      <c r="J42" s="65">
        <v>1</v>
      </c>
      <c r="K42" s="65">
        <v>0</v>
      </c>
      <c r="L42" s="65">
        <v>0</v>
      </c>
      <c r="M42" s="65">
        <v>0</v>
      </c>
      <c r="N42" s="65">
        <v>0</v>
      </c>
      <c r="O42" s="65">
        <v>1</v>
      </c>
      <c r="P42" s="65">
        <v>300</v>
      </c>
      <c r="Q42" s="132" t="s">
        <v>194</v>
      </c>
      <c r="R42" s="132" t="s">
        <v>195</v>
      </c>
    </row>
    <row r="43" spans="1:18" x14ac:dyDescent="0.15">
      <c r="A43" s="65">
        <v>13101</v>
      </c>
      <c r="B43" s="65">
        <v>8</v>
      </c>
      <c r="C43" s="105" t="str">
        <f t="shared" si="0"/>
        <v>13101_8</v>
      </c>
      <c r="D43" s="38" t="s">
        <v>249</v>
      </c>
      <c r="E43" s="65">
        <v>42</v>
      </c>
      <c r="F43" s="65" t="s">
        <v>247</v>
      </c>
      <c r="G43" s="65">
        <v>25</v>
      </c>
      <c r="H43" s="65" t="s">
        <v>246</v>
      </c>
      <c r="I43" s="65">
        <v>1</v>
      </c>
      <c r="J43" s="65">
        <v>1</v>
      </c>
      <c r="K43" s="65">
        <v>0</v>
      </c>
      <c r="L43" s="65">
        <v>0</v>
      </c>
      <c r="M43" s="65">
        <v>0</v>
      </c>
      <c r="N43" s="65">
        <v>0</v>
      </c>
      <c r="O43" s="65">
        <v>1</v>
      </c>
      <c r="P43" s="65">
        <v>300</v>
      </c>
      <c r="Q43" s="132" t="s">
        <v>194</v>
      </c>
      <c r="R43" s="132" t="s">
        <v>195</v>
      </c>
    </row>
    <row r="44" spans="1:18" x14ac:dyDescent="0.15">
      <c r="A44" s="65">
        <v>13101</v>
      </c>
      <c r="B44" s="65">
        <v>8</v>
      </c>
      <c r="C44" s="105" t="str">
        <f t="shared" si="0"/>
        <v>13101_8</v>
      </c>
      <c r="D44" s="38" t="s">
        <v>249</v>
      </c>
      <c r="E44" s="65">
        <v>43</v>
      </c>
      <c r="F44" s="65" t="s">
        <v>248</v>
      </c>
      <c r="G44" s="65">
        <v>1</v>
      </c>
      <c r="H44" s="65">
        <v>1</v>
      </c>
      <c r="I44" s="65">
        <v>6</v>
      </c>
      <c r="J44" s="65">
        <v>1</v>
      </c>
      <c r="K44" s="65">
        <v>0</v>
      </c>
      <c r="L44" s="65">
        <v>0</v>
      </c>
      <c r="M44" s="65">
        <v>0</v>
      </c>
      <c r="N44" s="65">
        <v>0</v>
      </c>
      <c r="O44" s="65">
        <v>1</v>
      </c>
      <c r="P44" s="65">
        <v>50</v>
      </c>
      <c r="Q44" s="132" t="s">
        <v>194</v>
      </c>
      <c r="R44" s="132" t="s">
        <v>195</v>
      </c>
    </row>
    <row r="45" spans="1:18" x14ac:dyDescent="0.15">
      <c r="A45" s="65">
        <v>13101</v>
      </c>
      <c r="B45" s="65">
        <v>8</v>
      </c>
      <c r="C45" s="105" t="str">
        <f t="shared" si="0"/>
        <v>13101_8</v>
      </c>
      <c r="D45" s="38" t="s">
        <v>249</v>
      </c>
      <c r="E45" s="65">
        <v>44</v>
      </c>
      <c r="F45" s="65" t="s">
        <v>248</v>
      </c>
      <c r="G45" s="65">
        <v>9</v>
      </c>
      <c r="H45" s="65">
        <v>1</v>
      </c>
      <c r="I45" s="65">
        <v>4</v>
      </c>
      <c r="J45" s="65">
        <v>1</v>
      </c>
      <c r="K45" s="65">
        <v>0</v>
      </c>
      <c r="L45" s="65">
        <v>0</v>
      </c>
      <c r="M45" s="65">
        <v>0</v>
      </c>
      <c r="N45" s="65">
        <v>0</v>
      </c>
      <c r="O45" s="65">
        <v>1</v>
      </c>
      <c r="P45" s="65">
        <v>50</v>
      </c>
      <c r="Q45" s="132" t="s">
        <v>194</v>
      </c>
      <c r="R45" s="132" t="s">
        <v>195</v>
      </c>
    </row>
    <row r="46" spans="1:18" x14ac:dyDescent="0.15">
      <c r="A46" s="65">
        <v>13101</v>
      </c>
      <c r="B46" s="65">
        <v>8</v>
      </c>
      <c r="C46" s="105" t="str">
        <f t="shared" si="0"/>
        <v>13101_8</v>
      </c>
      <c r="D46" s="38" t="s">
        <v>249</v>
      </c>
      <c r="E46" s="65">
        <v>45</v>
      </c>
      <c r="F46" s="65" t="s">
        <v>248</v>
      </c>
      <c r="G46" s="65">
        <v>15</v>
      </c>
      <c r="H46" s="65">
        <v>1</v>
      </c>
      <c r="I46" s="65">
        <v>4</v>
      </c>
      <c r="J46" s="65">
        <v>1</v>
      </c>
      <c r="K46" s="65">
        <v>0</v>
      </c>
      <c r="L46" s="65">
        <v>0</v>
      </c>
      <c r="M46" s="65">
        <v>0</v>
      </c>
      <c r="N46" s="65">
        <v>0</v>
      </c>
      <c r="O46" s="65">
        <v>1</v>
      </c>
      <c r="P46" s="65">
        <v>50</v>
      </c>
      <c r="Q46" s="132" t="s">
        <v>194</v>
      </c>
      <c r="R46" s="132" t="s">
        <v>195</v>
      </c>
    </row>
    <row r="47" spans="1:18" x14ac:dyDescent="0.15">
      <c r="A47" s="65">
        <v>13101</v>
      </c>
      <c r="B47" s="65">
        <v>8</v>
      </c>
      <c r="C47" s="105" t="str">
        <f t="shared" si="0"/>
        <v>13101_8</v>
      </c>
      <c r="D47" s="38" t="s">
        <v>249</v>
      </c>
      <c r="E47" s="65">
        <v>46</v>
      </c>
      <c r="F47" s="65" t="s">
        <v>248</v>
      </c>
      <c r="G47" s="65">
        <v>21</v>
      </c>
      <c r="H47" s="65">
        <v>1</v>
      </c>
      <c r="I47" s="65">
        <v>2</v>
      </c>
      <c r="J47" s="65">
        <v>1</v>
      </c>
      <c r="K47" s="65">
        <v>0</v>
      </c>
      <c r="L47" s="65">
        <v>0</v>
      </c>
      <c r="M47" s="65">
        <v>0</v>
      </c>
      <c r="N47" s="65">
        <v>0</v>
      </c>
      <c r="O47" s="65">
        <v>1</v>
      </c>
      <c r="P47" s="65">
        <v>50</v>
      </c>
      <c r="Q47" s="132" t="s">
        <v>194</v>
      </c>
      <c r="R47" s="132" t="s">
        <v>195</v>
      </c>
    </row>
    <row r="48" spans="1:18" x14ac:dyDescent="0.15">
      <c r="A48" s="65">
        <v>13101</v>
      </c>
      <c r="B48" s="65">
        <v>8</v>
      </c>
      <c r="C48" s="105" t="str">
        <f t="shared" si="0"/>
        <v>13101_8</v>
      </c>
      <c r="D48" s="38" t="s">
        <v>249</v>
      </c>
      <c r="E48" s="65">
        <v>47</v>
      </c>
      <c r="F48" s="65" t="s">
        <v>248</v>
      </c>
      <c r="G48" s="65">
        <v>41</v>
      </c>
      <c r="H48" s="65">
        <v>1</v>
      </c>
      <c r="I48" s="65">
        <v>2</v>
      </c>
      <c r="J48" s="65">
        <v>1</v>
      </c>
      <c r="K48" s="65">
        <v>0</v>
      </c>
      <c r="L48" s="65">
        <v>0</v>
      </c>
      <c r="M48" s="65">
        <v>0</v>
      </c>
      <c r="N48" s="65">
        <v>0</v>
      </c>
      <c r="O48" s="65">
        <v>1</v>
      </c>
      <c r="P48" s="65">
        <v>50</v>
      </c>
      <c r="Q48" s="132" t="s">
        <v>194</v>
      </c>
      <c r="R48" s="132" t="s">
        <v>195</v>
      </c>
    </row>
    <row r="49" spans="1:18" x14ac:dyDescent="0.15">
      <c r="A49" s="65">
        <v>13101</v>
      </c>
      <c r="B49" s="65">
        <v>8</v>
      </c>
      <c r="C49" s="105" t="str">
        <f t="shared" si="0"/>
        <v>13101_8</v>
      </c>
      <c r="D49" s="38" t="s">
        <v>249</v>
      </c>
      <c r="E49" s="65">
        <v>48</v>
      </c>
      <c r="F49" s="65" t="s">
        <v>248</v>
      </c>
      <c r="G49" s="65">
        <v>49</v>
      </c>
      <c r="H49" s="65">
        <v>1</v>
      </c>
      <c r="I49" s="65">
        <v>2</v>
      </c>
      <c r="J49" s="65">
        <v>1</v>
      </c>
      <c r="K49" s="65">
        <v>0</v>
      </c>
      <c r="L49" s="65">
        <v>0</v>
      </c>
      <c r="M49" s="65">
        <v>0</v>
      </c>
      <c r="N49" s="65">
        <v>0</v>
      </c>
      <c r="O49" s="65">
        <v>1</v>
      </c>
      <c r="P49" s="65">
        <v>50</v>
      </c>
      <c r="Q49" s="132" t="s">
        <v>194</v>
      </c>
      <c r="R49" s="132" t="s">
        <v>195</v>
      </c>
    </row>
    <row r="50" spans="1:18" x14ac:dyDescent="0.15">
      <c r="A50" s="65">
        <v>13101</v>
      </c>
      <c r="B50" s="65">
        <v>8</v>
      </c>
      <c r="C50" s="105" t="str">
        <f t="shared" si="0"/>
        <v>13101_8</v>
      </c>
      <c r="D50" s="38" t="s">
        <v>249</v>
      </c>
      <c r="E50" s="65">
        <v>49</v>
      </c>
      <c r="F50" s="65" t="s">
        <v>248</v>
      </c>
      <c r="G50" s="65">
        <v>334</v>
      </c>
      <c r="H50" s="65">
        <v>1</v>
      </c>
      <c r="I50" s="65">
        <v>1</v>
      </c>
      <c r="J50" s="65">
        <v>1</v>
      </c>
      <c r="K50" s="65">
        <v>0</v>
      </c>
      <c r="L50" s="65">
        <v>0</v>
      </c>
      <c r="M50" s="65">
        <v>0</v>
      </c>
      <c r="N50" s="65">
        <v>0</v>
      </c>
      <c r="O50" s="65">
        <v>1</v>
      </c>
      <c r="P50" s="65">
        <v>100</v>
      </c>
      <c r="Q50" s="132" t="s">
        <v>194</v>
      </c>
      <c r="R50" s="132" t="s">
        <v>195</v>
      </c>
    </row>
    <row r="51" spans="1:18" x14ac:dyDescent="0.15">
      <c r="A51" s="65">
        <v>13101</v>
      </c>
      <c r="B51" s="65">
        <v>9</v>
      </c>
      <c r="C51" s="105" t="str">
        <f t="shared" si="0"/>
        <v>13101_9</v>
      </c>
      <c r="D51" s="38" t="s">
        <v>249</v>
      </c>
      <c r="E51" s="65">
        <v>50</v>
      </c>
      <c r="F51" s="65" t="s">
        <v>193</v>
      </c>
      <c r="G51" s="65">
        <v>1000</v>
      </c>
      <c r="H51" s="65" t="s">
        <v>246</v>
      </c>
      <c r="I51" s="65">
        <v>1</v>
      </c>
      <c r="J51" s="65">
        <v>1</v>
      </c>
      <c r="K51" s="65">
        <v>0</v>
      </c>
      <c r="L51" s="65">
        <v>0</v>
      </c>
      <c r="M51" s="65">
        <v>0</v>
      </c>
      <c r="N51" s="65">
        <v>0</v>
      </c>
      <c r="O51" s="65">
        <v>1</v>
      </c>
      <c r="P51" s="65">
        <v>300</v>
      </c>
      <c r="Q51" s="132" t="s">
        <v>194</v>
      </c>
      <c r="R51" s="132" t="s">
        <v>195</v>
      </c>
    </row>
    <row r="52" spans="1:18" x14ac:dyDescent="0.15">
      <c r="A52" s="65">
        <v>13101</v>
      </c>
      <c r="B52" s="65">
        <v>9</v>
      </c>
      <c r="C52" s="105" t="str">
        <f t="shared" si="0"/>
        <v>13101_9</v>
      </c>
      <c r="D52" s="38" t="s">
        <v>249</v>
      </c>
      <c r="E52" s="65">
        <v>51</v>
      </c>
      <c r="F52" s="65" t="s">
        <v>247</v>
      </c>
      <c r="G52" s="65">
        <v>25</v>
      </c>
      <c r="H52" s="65" t="s">
        <v>246</v>
      </c>
      <c r="I52" s="65">
        <v>1</v>
      </c>
      <c r="J52" s="65">
        <v>1</v>
      </c>
      <c r="K52" s="65">
        <v>0</v>
      </c>
      <c r="L52" s="65">
        <v>0</v>
      </c>
      <c r="M52" s="65">
        <v>0</v>
      </c>
      <c r="N52" s="65">
        <v>0</v>
      </c>
      <c r="O52" s="65">
        <v>1</v>
      </c>
      <c r="P52" s="65">
        <v>300</v>
      </c>
      <c r="Q52" s="132" t="s">
        <v>194</v>
      </c>
      <c r="R52" s="132" t="s">
        <v>195</v>
      </c>
    </row>
    <row r="53" spans="1:18" x14ac:dyDescent="0.15">
      <c r="A53" s="65">
        <v>13101</v>
      </c>
      <c r="B53" s="65">
        <v>9</v>
      </c>
      <c r="C53" s="105" t="str">
        <f t="shared" si="0"/>
        <v>13101_9</v>
      </c>
      <c r="D53" s="38" t="s">
        <v>249</v>
      </c>
      <c r="E53" s="65">
        <v>52</v>
      </c>
      <c r="F53" s="65" t="s">
        <v>248</v>
      </c>
      <c r="G53" s="65">
        <v>11</v>
      </c>
      <c r="H53" s="65">
        <v>1</v>
      </c>
      <c r="I53" s="65">
        <v>5</v>
      </c>
      <c r="J53" s="65">
        <v>1</v>
      </c>
      <c r="K53" s="65">
        <v>0</v>
      </c>
      <c r="L53" s="65">
        <v>0</v>
      </c>
      <c r="M53" s="65">
        <v>0</v>
      </c>
      <c r="N53" s="65">
        <v>0</v>
      </c>
      <c r="O53" s="65">
        <v>1</v>
      </c>
      <c r="P53" s="65">
        <v>60</v>
      </c>
      <c r="Q53" s="132" t="s">
        <v>194</v>
      </c>
      <c r="R53" s="132" t="s">
        <v>195</v>
      </c>
    </row>
    <row r="54" spans="1:18" x14ac:dyDescent="0.15">
      <c r="A54" s="65">
        <v>13101</v>
      </c>
      <c r="B54" s="65">
        <v>9</v>
      </c>
      <c r="C54" s="105" t="str">
        <f t="shared" si="0"/>
        <v>13101_9</v>
      </c>
      <c r="D54" s="38" t="s">
        <v>249</v>
      </c>
      <c r="E54" s="65">
        <v>53</v>
      </c>
      <c r="F54" s="65" t="s">
        <v>248</v>
      </c>
      <c r="G54" s="65">
        <v>23</v>
      </c>
      <c r="H54" s="65">
        <v>1</v>
      </c>
      <c r="I54" s="65">
        <v>3</v>
      </c>
      <c r="J54" s="65">
        <v>1</v>
      </c>
      <c r="K54" s="65">
        <v>0</v>
      </c>
      <c r="L54" s="65">
        <v>0</v>
      </c>
      <c r="M54" s="65">
        <v>0</v>
      </c>
      <c r="N54" s="65">
        <v>0</v>
      </c>
      <c r="O54" s="65">
        <v>1</v>
      </c>
      <c r="P54" s="65">
        <v>60</v>
      </c>
      <c r="Q54" s="132" t="s">
        <v>194</v>
      </c>
      <c r="R54" s="132" t="s">
        <v>195</v>
      </c>
    </row>
    <row r="55" spans="1:18" x14ac:dyDescent="0.15">
      <c r="A55" s="65">
        <v>13101</v>
      </c>
      <c r="B55" s="65">
        <v>9</v>
      </c>
      <c r="C55" s="105" t="str">
        <f t="shared" si="0"/>
        <v>13101_9</v>
      </c>
      <c r="D55" s="38" t="s">
        <v>249</v>
      </c>
      <c r="E55" s="65">
        <v>54</v>
      </c>
      <c r="F55" s="65" t="s">
        <v>248</v>
      </c>
      <c r="G55" s="65">
        <v>27</v>
      </c>
      <c r="H55" s="65">
        <v>1</v>
      </c>
      <c r="I55" s="65">
        <v>3</v>
      </c>
      <c r="J55" s="65">
        <v>1</v>
      </c>
      <c r="K55" s="65">
        <v>0</v>
      </c>
      <c r="L55" s="65">
        <v>0</v>
      </c>
      <c r="M55" s="65">
        <v>0</v>
      </c>
      <c r="N55" s="65">
        <v>0</v>
      </c>
      <c r="O55" s="65">
        <v>1</v>
      </c>
      <c r="P55" s="65">
        <v>60</v>
      </c>
      <c r="Q55" s="132" t="s">
        <v>194</v>
      </c>
      <c r="R55" s="132" t="s">
        <v>195</v>
      </c>
    </row>
    <row r="56" spans="1:18" x14ac:dyDescent="0.15">
      <c r="A56" s="65">
        <v>13101</v>
      </c>
      <c r="B56" s="65">
        <v>9</v>
      </c>
      <c r="C56" s="105" t="str">
        <f t="shared" si="0"/>
        <v>13101_9</v>
      </c>
      <c r="D56" s="38" t="s">
        <v>249</v>
      </c>
      <c r="E56" s="65">
        <v>55</v>
      </c>
      <c r="F56" s="65" t="s">
        <v>248</v>
      </c>
      <c r="G56" s="65">
        <v>43</v>
      </c>
      <c r="H56" s="65">
        <v>1</v>
      </c>
      <c r="I56" s="65">
        <v>3</v>
      </c>
      <c r="J56" s="65">
        <v>1</v>
      </c>
      <c r="K56" s="65">
        <v>0</v>
      </c>
      <c r="L56" s="65">
        <v>0</v>
      </c>
      <c r="M56" s="65">
        <v>0</v>
      </c>
      <c r="N56" s="65">
        <v>0</v>
      </c>
      <c r="O56" s="65">
        <v>1</v>
      </c>
      <c r="P56" s="65">
        <v>60</v>
      </c>
      <c r="Q56" s="132" t="s">
        <v>194</v>
      </c>
      <c r="R56" s="132" t="s">
        <v>195</v>
      </c>
    </row>
    <row r="57" spans="1:18" x14ac:dyDescent="0.15">
      <c r="A57" s="65">
        <v>13101</v>
      </c>
      <c r="B57" s="65">
        <v>9</v>
      </c>
      <c r="C57" s="105" t="str">
        <f t="shared" si="0"/>
        <v>13101_9</v>
      </c>
      <c r="D57" s="38" t="s">
        <v>249</v>
      </c>
      <c r="E57" s="65">
        <v>56</v>
      </c>
      <c r="F57" s="65" t="s">
        <v>248</v>
      </c>
      <c r="G57" s="65">
        <v>59</v>
      </c>
      <c r="H57" s="65">
        <v>1</v>
      </c>
      <c r="I57" s="65">
        <v>3</v>
      </c>
      <c r="J57" s="65">
        <v>1</v>
      </c>
      <c r="K57" s="65">
        <v>0</v>
      </c>
      <c r="L57" s="65">
        <v>0</v>
      </c>
      <c r="M57" s="65">
        <v>0</v>
      </c>
      <c r="N57" s="65">
        <v>0</v>
      </c>
      <c r="O57" s="65">
        <v>1</v>
      </c>
      <c r="P57" s="65">
        <v>60</v>
      </c>
      <c r="Q57" s="132" t="s">
        <v>194</v>
      </c>
      <c r="R57" s="132" t="s">
        <v>195</v>
      </c>
    </row>
    <row r="58" spans="1:18" x14ac:dyDescent="0.15">
      <c r="A58" s="65">
        <v>13101</v>
      </c>
      <c r="B58" s="65">
        <v>9</v>
      </c>
      <c r="C58" s="105" t="str">
        <f t="shared" si="0"/>
        <v>13101_9</v>
      </c>
      <c r="D58" s="38" t="s">
        <v>249</v>
      </c>
      <c r="E58" s="65">
        <v>57</v>
      </c>
      <c r="F58" s="65" t="s">
        <v>248</v>
      </c>
      <c r="G58" s="65">
        <v>338</v>
      </c>
      <c r="H58" s="65">
        <v>1</v>
      </c>
      <c r="I58" s="65">
        <v>1</v>
      </c>
      <c r="J58" s="65">
        <v>1</v>
      </c>
      <c r="K58" s="65">
        <v>0</v>
      </c>
      <c r="L58" s="65">
        <v>0</v>
      </c>
      <c r="M58" s="65">
        <v>0</v>
      </c>
      <c r="N58" s="65">
        <v>0</v>
      </c>
      <c r="O58" s="65">
        <v>1</v>
      </c>
      <c r="P58" s="65">
        <v>100</v>
      </c>
      <c r="Q58" s="132" t="s">
        <v>194</v>
      </c>
      <c r="R58" s="132" t="s">
        <v>195</v>
      </c>
    </row>
    <row r="59" spans="1:18" x14ac:dyDescent="0.15">
      <c r="A59" s="65">
        <v>13101</v>
      </c>
      <c r="B59" s="65">
        <v>10</v>
      </c>
      <c r="C59" s="105" t="str">
        <f t="shared" si="0"/>
        <v>13101_10</v>
      </c>
      <c r="D59" s="38" t="s">
        <v>249</v>
      </c>
      <c r="E59" s="65">
        <v>58</v>
      </c>
      <c r="F59" s="65" t="s">
        <v>193</v>
      </c>
      <c r="G59" s="65">
        <v>1000</v>
      </c>
      <c r="H59" s="65" t="s">
        <v>246</v>
      </c>
      <c r="I59" s="65">
        <v>1</v>
      </c>
      <c r="J59" s="65">
        <v>1</v>
      </c>
      <c r="K59" s="65">
        <v>0</v>
      </c>
      <c r="L59" s="65">
        <v>0</v>
      </c>
      <c r="M59" s="65">
        <v>0</v>
      </c>
      <c r="N59" s="65">
        <v>0</v>
      </c>
      <c r="O59" s="65">
        <v>1</v>
      </c>
      <c r="P59" s="65">
        <v>300</v>
      </c>
      <c r="Q59" s="132" t="s">
        <v>194</v>
      </c>
      <c r="R59" s="132" t="s">
        <v>195</v>
      </c>
    </row>
    <row r="60" spans="1:18" x14ac:dyDescent="0.15">
      <c r="A60" s="65">
        <v>13101</v>
      </c>
      <c r="B60" s="65">
        <v>10</v>
      </c>
      <c r="C60" s="105" t="str">
        <f t="shared" si="0"/>
        <v>13101_10</v>
      </c>
      <c r="D60" s="38" t="s">
        <v>249</v>
      </c>
      <c r="E60" s="65">
        <v>59</v>
      </c>
      <c r="F60" s="65" t="s">
        <v>247</v>
      </c>
      <c r="G60" s="65">
        <v>25</v>
      </c>
      <c r="H60" s="65" t="s">
        <v>246</v>
      </c>
      <c r="I60" s="65">
        <v>1</v>
      </c>
      <c r="J60" s="65">
        <v>1</v>
      </c>
      <c r="K60" s="65">
        <v>0</v>
      </c>
      <c r="L60" s="65">
        <v>0</v>
      </c>
      <c r="M60" s="65">
        <v>0</v>
      </c>
      <c r="N60" s="65">
        <v>0</v>
      </c>
      <c r="O60" s="65">
        <v>1</v>
      </c>
      <c r="P60" s="65">
        <v>300</v>
      </c>
      <c r="Q60" s="132" t="s">
        <v>194</v>
      </c>
      <c r="R60" s="132" t="s">
        <v>195</v>
      </c>
    </row>
    <row r="61" spans="1:18" x14ac:dyDescent="0.15">
      <c r="A61" s="65">
        <v>13101</v>
      </c>
      <c r="B61" s="65">
        <v>10</v>
      </c>
      <c r="C61" s="105" t="str">
        <f t="shared" si="0"/>
        <v>13101_10</v>
      </c>
      <c r="D61" s="38" t="s">
        <v>249</v>
      </c>
      <c r="E61" s="65">
        <v>60</v>
      </c>
      <c r="F61" s="65" t="s">
        <v>248</v>
      </c>
      <c r="G61" s="65">
        <v>15</v>
      </c>
      <c r="H61" s="65">
        <v>1</v>
      </c>
      <c r="I61" s="65">
        <v>6</v>
      </c>
      <c r="J61" s="65">
        <v>1</v>
      </c>
      <c r="K61" s="65">
        <v>0</v>
      </c>
      <c r="L61" s="65">
        <v>0</v>
      </c>
      <c r="M61" s="65">
        <v>0</v>
      </c>
      <c r="N61" s="65">
        <v>0</v>
      </c>
      <c r="O61" s="65">
        <v>1</v>
      </c>
      <c r="P61" s="65">
        <v>38</v>
      </c>
      <c r="Q61" s="132" t="s">
        <v>194</v>
      </c>
      <c r="R61" s="132" t="s">
        <v>195</v>
      </c>
    </row>
    <row r="62" spans="1:18" x14ac:dyDescent="0.15">
      <c r="A62" s="65">
        <v>13101</v>
      </c>
      <c r="B62" s="65">
        <v>10</v>
      </c>
      <c r="C62" s="105" t="str">
        <f t="shared" si="0"/>
        <v>13101_10</v>
      </c>
      <c r="D62" s="38" t="s">
        <v>249</v>
      </c>
      <c r="E62" s="65">
        <v>61</v>
      </c>
      <c r="F62" s="65" t="s">
        <v>248</v>
      </c>
      <c r="G62" s="65">
        <v>17</v>
      </c>
      <c r="H62" s="65">
        <v>1</v>
      </c>
      <c r="I62" s="65">
        <v>4</v>
      </c>
      <c r="J62" s="65">
        <v>1</v>
      </c>
      <c r="K62" s="65">
        <v>0</v>
      </c>
      <c r="L62" s="65">
        <v>0</v>
      </c>
      <c r="M62" s="65">
        <v>0</v>
      </c>
      <c r="N62" s="65">
        <v>0</v>
      </c>
      <c r="O62" s="65">
        <v>1</v>
      </c>
      <c r="P62" s="65">
        <v>38</v>
      </c>
      <c r="Q62" s="132" t="s">
        <v>194</v>
      </c>
      <c r="R62" s="132" t="s">
        <v>195</v>
      </c>
    </row>
    <row r="63" spans="1:18" x14ac:dyDescent="0.15">
      <c r="A63" s="65">
        <v>13101</v>
      </c>
      <c r="B63" s="65">
        <v>10</v>
      </c>
      <c r="C63" s="105" t="str">
        <f t="shared" si="0"/>
        <v>13101_10</v>
      </c>
      <c r="D63" s="38" t="s">
        <v>249</v>
      </c>
      <c r="E63" s="65">
        <v>62</v>
      </c>
      <c r="F63" s="65" t="s">
        <v>248</v>
      </c>
      <c r="G63" s="65">
        <v>19</v>
      </c>
      <c r="H63" s="65">
        <v>1</v>
      </c>
      <c r="I63" s="65">
        <v>4</v>
      </c>
      <c r="J63" s="65">
        <v>1</v>
      </c>
      <c r="K63" s="65">
        <v>0</v>
      </c>
      <c r="L63" s="65">
        <v>0</v>
      </c>
      <c r="M63" s="65">
        <v>0</v>
      </c>
      <c r="N63" s="65">
        <v>0</v>
      </c>
      <c r="O63" s="65">
        <v>1</v>
      </c>
      <c r="P63" s="65">
        <v>38</v>
      </c>
      <c r="Q63" s="132" t="s">
        <v>194</v>
      </c>
      <c r="R63" s="132" t="s">
        <v>195</v>
      </c>
    </row>
    <row r="64" spans="1:18" x14ac:dyDescent="0.15">
      <c r="A64" s="65">
        <v>13101</v>
      </c>
      <c r="B64" s="65">
        <v>10</v>
      </c>
      <c r="C64" s="105" t="str">
        <f t="shared" si="0"/>
        <v>13101_10</v>
      </c>
      <c r="D64" s="38" t="s">
        <v>249</v>
      </c>
      <c r="E64" s="65">
        <v>63</v>
      </c>
      <c r="F64" s="65" t="s">
        <v>248</v>
      </c>
      <c r="G64" s="65">
        <v>23</v>
      </c>
      <c r="H64" s="65">
        <v>1</v>
      </c>
      <c r="I64" s="65">
        <v>2</v>
      </c>
      <c r="J64" s="65">
        <v>1</v>
      </c>
      <c r="K64" s="65">
        <v>0</v>
      </c>
      <c r="L64" s="65">
        <v>0</v>
      </c>
      <c r="M64" s="65">
        <v>0</v>
      </c>
      <c r="N64" s="65">
        <v>0</v>
      </c>
      <c r="O64" s="65">
        <v>1</v>
      </c>
      <c r="P64" s="65">
        <v>38</v>
      </c>
      <c r="Q64" s="132" t="s">
        <v>194</v>
      </c>
      <c r="R64" s="132" t="s">
        <v>195</v>
      </c>
    </row>
    <row r="65" spans="1:18" x14ac:dyDescent="0.15">
      <c r="A65" s="65">
        <v>13101</v>
      </c>
      <c r="B65" s="65">
        <v>10</v>
      </c>
      <c r="C65" s="105" t="str">
        <f t="shared" si="0"/>
        <v>13101_10</v>
      </c>
      <c r="D65" s="38" t="s">
        <v>249</v>
      </c>
      <c r="E65" s="65">
        <v>64</v>
      </c>
      <c r="F65" s="65" t="s">
        <v>248</v>
      </c>
      <c r="G65" s="65">
        <v>41</v>
      </c>
      <c r="H65" s="65">
        <v>1</v>
      </c>
      <c r="I65" s="65">
        <v>2</v>
      </c>
      <c r="J65" s="65">
        <v>1</v>
      </c>
      <c r="K65" s="65">
        <v>0</v>
      </c>
      <c r="L65" s="65">
        <v>0</v>
      </c>
      <c r="M65" s="65">
        <v>0</v>
      </c>
      <c r="N65" s="65">
        <v>0</v>
      </c>
      <c r="O65" s="65">
        <v>1</v>
      </c>
      <c r="P65" s="65">
        <v>38</v>
      </c>
      <c r="Q65" s="132" t="s">
        <v>194</v>
      </c>
      <c r="R65" s="132" t="s">
        <v>195</v>
      </c>
    </row>
    <row r="66" spans="1:18" x14ac:dyDescent="0.15">
      <c r="A66" s="65">
        <v>13101</v>
      </c>
      <c r="B66" s="65">
        <v>10</v>
      </c>
      <c r="C66" s="105" t="str">
        <f t="shared" si="0"/>
        <v>13101_10</v>
      </c>
      <c r="D66" s="38" t="s">
        <v>249</v>
      </c>
      <c r="E66" s="65">
        <v>65</v>
      </c>
      <c r="F66" s="65" t="s">
        <v>248</v>
      </c>
      <c r="G66" s="65">
        <v>43</v>
      </c>
      <c r="H66" s="65">
        <v>1</v>
      </c>
      <c r="I66" s="65">
        <v>2</v>
      </c>
      <c r="J66" s="65">
        <v>1</v>
      </c>
      <c r="K66" s="65">
        <v>0</v>
      </c>
      <c r="L66" s="65">
        <v>0</v>
      </c>
      <c r="M66" s="65">
        <v>0</v>
      </c>
      <c r="N66" s="65">
        <v>0</v>
      </c>
      <c r="O66" s="65">
        <v>1</v>
      </c>
      <c r="P66" s="65">
        <v>38</v>
      </c>
      <c r="Q66" s="132" t="s">
        <v>194</v>
      </c>
      <c r="R66" s="132" t="s">
        <v>195</v>
      </c>
    </row>
    <row r="67" spans="1:18" x14ac:dyDescent="0.15">
      <c r="A67" s="65">
        <v>13101</v>
      </c>
      <c r="B67" s="65">
        <v>10</v>
      </c>
      <c r="C67" s="105" t="str">
        <f t="shared" ref="C67:C130" si="1">A67&amp; "_"&amp;B67</f>
        <v>13101_10</v>
      </c>
      <c r="D67" s="38" t="s">
        <v>249</v>
      </c>
      <c r="E67" s="65">
        <v>66</v>
      </c>
      <c r="F67" s="65" t="s">
        <v>248</v>
      </c>
      <c r="G67" s="65">
        <v>45</v>
      </c>
      <c r="H67" s="65">
        <v>1</v>
      </c>
      <c r="I67" s="65">
        <v>1</v>
      </c>
      <c r="J67" s="65">
        <v>1</v>
      </c>
      <c r="K67" s="65">
        <v>0</v>
      </c>
      <c r="L67" s="65">
        <v>0</v>
      </c>
      <c r="M67" s="65">
        <v>0</v>
      </c>
      <c r="N67" s="65">
        <v>0</v>
      </c>
      <c r="O67" s="65">
        <v>1</v>
      </c>
      <c r="P67" s="65">
        <v>38</v>
      </c>
      <c r="Q67" s="132" t="s">
        <v>194</v>
      </c>
      <c r="R67" s="132" t="s">
        <v>195</v>
      </c>
    </row>
    <row r="68" spans="1:18" x14ac:dyDescent="0.15">
      <c r="A68" s="65">
        <v>13101</v>
      </c>
      <c r="B68" s="65">
        <v>10</v>
      </c>
      <c r="C68" s="105" t="str">
        <f t="shared" si="1"/>
        <v>13101_10</v>
      </c>
      <c r="D68" s="38" t="s">
        <v>249</v>
      </c>
      <c r="E68" s="65">
        <v>67</v>
      </c>
      <c r="F68" s="65" t="s">
        <v>248</v>
      </c>
      <c r="G68" s="65">
        <v>47</v>
      </c>
      <c r="H68" s="65">
        <v>1</v>
      </c>
      <c r="I68" s="65">
        <v>1</v>
      </c>
      <c r="J68" s="65">
        <v>1</v>
      </c>
      <c r="K68" s="65">
        <v>0</v>
      </c>
      <c r="L68" s="65">
        <v>0</v>
      </c>
      <c r="M68" s="65">
        <v>0</v>
      </c>
      <c r="N68" s="65">
        <v>0</v>
      </c>
      <c r="O68" s="65">
        <v>1</v>
      </c>
      <c r="P68" s="65">
        <v>38</v>
      </c>
      <c r="Q68" s="132" t="s">
        <v>194</v>
      </c>
      <c r="R68" s="132" t="s">
        <v>195</v>
      </c>
    </row>
    <row r="69" spans="1:18" x14ac:dyDescent="0.15">
      <c r="A69" s="65">
        <v>13101</v>
      </c>
      <c r="B69" s="65">
        <v>10</v>
      </c>
      <c r="C69" s="105" t="str">
        <f t="shared" si="1"/>
        <v>13101_10</v>
      </c>
      <c r="D69" s="38" t="s">
        <v>249</v>
      </c>
      <c r="E69" s="65">
        <v>68</v>
      </c>
      <c r="F69" s="65" t="s">
        <v>248</v>
      </c>
      <c r="G69" s="65">
        <v>346</v>
      </c>
      <c r="H69" s="65">
        <v>1</v>
      </c>
      <c r="I69" s="65">
        <v>1</v>
      </c>
      <c r="J69" s="65">
        <v>1</v>
      </c>
      <c r="K69" s="65">
        <v>0</v>
      </c>
      <c r="L69" s="65">
        <v>0</v>
      </c>
      <c r="M69" s="65">
        <v>0</v>
      </c>
      <c r="N69" s="65">
        <v>0</v>
      </c>
      <c r="O69" s="65">
        <v>1</v>
      </c>
      <c r="P69" s="65">
        <v>100</v>
      </c>
      <c r="Q69" s="132" t="s">
        <v>194</v>
      </c>
      <c r="R69" s="132" t="s">
        <v>195</v>
      </c>
    </row>
    <row r="70" spans="1:18" x14ac:dyDescent="0.15">
      <c r="A70" s="65">
        <v>13101</v>
      </c>
      <c r="B70" s="65">
        <v>11</v>
      </c>
      <c r="C70" s="105" t="str">
        <f t="shared" si="1"/>
        <v>13101_11</v>
      </c>
      <c r="D70" s="38" t="s">
        <v>249</v>
      </c>
      <c r="E70" s="65">
        <v>69</v>
      </c>
      <c r="F70" s="65" t="s">
        <v>193</v>
      </c>
      <c r="G70" s="65">
        <v>1200</v>
      </c>
      <c r="H70" s="65" t="s">
        <v>246</v>
      </c>
      <c r="I70" s="65">
        <v>1</v>
      </c>
      <c r="J70" s="65">
        <v>1</v>
      </c>
      <c r="K70" s="65">
        <v>0</v>
      </c>
      <c r="L70" s="65">
        <v>0</v>
      </c>
      <c r="M70" s="65">
        <v>0</v>
      </c>
      <c r="N70" s="65">
        <v>0</v>
      </c>
      <c r="O70" s="65">
        <v>1</v>
      </c>
      <c r="P70" s="65">
        <v>300</v>
      </c>
      <c r="Q70" s="132" t="s">
        <v>194</v>
      </c>
      <c r="R70" s="132" t="s">
        <v>195</v>
      </c>
    </row>
    <row r="71" spans="1:18" x14ac:dyDescent="0.15">
      <c r="A71" s="65">
        <v>13101</v>
      </c>
      <c r="B71" s="65">
        <v>11</v>
      </c>
      <c r="C71" s="105" t="str">
        <f t="shared" si="1"/>
        <v>13101_11</v>
      </c>
      <c r="D71" s="38" t="s">
        <v>249</v>
      </c>
      <c r="E71" s="65">
        <v>70</v>
      </c>
      <c r="F71" s="65" t="s">
        <v>247</v>
      </c>
      <c r="G71" s="65">
        <v>25</v>
      </c>
      <c r="H71" s="65" t="s">
        <v>246</v>
      </c>
      <c r="I71" s="65">
        <v>1</v>
      </c>
      <c r="J71" s="65">
        <v>1</v>
      </c>
      <c r="K71" s="65">
        <v>0</v>
      </c>
      <c r="L71" s="65">
        <v>0</v>
      </c>
      <c r="M71" s="65">
        <v>0</v>
      </c>
      <c r="N71" s="65">
        <v>0</v>
      </c>
      <c r="O71" s="65">
        <v>1</v>
      </c>
      <c r="P71" s="65">
        <v>300</v>
      </c>
      <c r="Q71" s="132" t="s">
        <v>194</v>
      </c>
      <c r="R71" s="132" t="s">
        <v>195</v>
      </c>
    </row>
    <row r="72" spans="1:18" x14ac:dyDescent="0.15">
      <c r="A72" s="65">
        <v>13101</v>
      </c>
      <c r="B72" s="65">
        <v>11</v>
      </c>
      <c r="C72" s="105" t="str">
        <f t="shared" si="1"/>
        <v>13101_11</v>
      </c>
      <c r="D72" s="38" t="s">
        <v>249</v>
      </c>
      <c r="E72" s="65">
        <v>71</v>
      </c>
      <c r="F72" s="65" t="s">
        <v>248</v>
      </c>
      <c r="G72" s="65">
        <v>13</v>
      </c>
      <c r="H72" s="65">
        <v>1</v>
      </c>
      <c r="I72" s="65">
        <v>5</v>
      </c>
      <c r="J72" s="65">
        <v>1</v>
      </c>
      <c r="K72" s="65">
        <v>0</v>
      </c>
      <c r="L72" s="65">
        <v>0</v>
      </c>
      <c r="M72" s="65">
        <v>0</v>
      </c>
      <c r="N72" s="65">
        <v>0</v>
      </c>
      <c r="O72" s="65">
        <v>1</v>
      </c>
      <c r="P72" s="65">
        <v>75</v>
      </c>
      <c r="Q72" s="132" t="s">
        <v>194</v>
      </c>
      <c r="R72" s="132" t="s">
        <v>195</v>
      </c>
    </row>
    <row r="73" spans="1:18" x14ac:dyDescent="0.15">
      <c r="A73" s="65">
        <v>13101</v>
      </c>
      <c r="B73" s="65">
        <v>11</v>
      </c>
      <c r="C73" s="105" t="str">
        <f t="shared" si="1"/>
        <v>13101_11</v>
      </c>
      <c r="D73" s="38" t="s">
        <v>249</v>
      </c>
      <c r="E73" s="65">
        <v>72</v>
      </c>
      <c r="F73" s="65" t="s">
        <v>248</v>
      </c>
      <c r="G73" s="65">
        <v>19</v>
      </c>
      <c r="H73" s="65">
        <v>1</v>
      </c>
      <c r="I73" s="65">
        <v>5</v>
      </c>
      <c r="J73" s="65">
        <v>1</v>
      </c>
      <c r="K73" s="65">
        <v>0</v>
      </c>
      <c r="L73" s="65">
        <v>0</v>
      </c>
      <c r="M73" s="65">
        <v>0</v>
      </c>
      <c r="N73" s="65">
        <v>0</v>
      </c>
      <c r="O73" s="65">
        <v>1</v>
      </c>
      <c r="P73" s="65">
        <v>75</v>
      </c>
      <c r="Q73" s="132" t="s">
        <v>194</v>
      </c>
      <c r="R73" s="132" t="s">
        <v>195</v>
      </c>
    </row>
    <row r="74" spans="1:18" x14ac:dyDescent="0.15">
      <c r="A74" s="65">
        <v>13101</v>
      </c>
      <c r="B74" s="65">
        <v>11</v>
      </c>
      <c r="C74" s="105" t="str">
        <f t="shared" si="1"/>
        <v>13101_11</v>
      </c>
      <c r="D74" s="38" t="s">
        <v>249</v>
      </c>
      <c r="E74" s="65">
        <v>73</v>
      </c>
      <c r="F74" s="65" t="s">
        <v>248</v>
      </c>
      <c r="G74" s="65">
        <v>47</v>
      </c>
      <c r="H74" s="65">
        <v>1</v>
      </c>
      <c r="I74" s="65">
        <v>3</v>
      </c>
      <c r="J74" s="65">
        <v>1</v>
      </c>
      <c r="K74" s="65">
        <v>0</v>
      </c>
      <c r="L74" s="65">
        <v>0</v>
      </c>
      <c r="M74" s="65">
        <v>0</v>
      </c>
      <c r="N74" s="65">
        <v>0</v>
      </c>
      <c r="O74" s="65">
        <v>1</v>
      </c>
      <c r="P74" s="65">
        <v>75</v>
      </c>
      <c r="Q74" s="132" t="s">
        <v>194</v>
      </c>
      <c r="R74" s="132" t="s">
        <v>195</v>
      </c>
    </row>
    <row r="75" spans="1:18" x14ac:dyDescent="0.15">
      <c r="A75" s="65">
        <v>13101</v>
      </c>
      <c r="B75" s="65">
        <v>11</v>
      </c>
      <c r="C75" s="105" t="str">
        <f t="shared" si="1"/>
        <v>13101_11</v>
      </c>
      <c r="D75" s="38" t="s">
        <v>249</v>
      </c>
      <c r="E75" s="65">
        <v>74</v>
      </c>
      <c r="F75" s="65" t="s">
        <v>248</v>
      </c>
      <c r="G75" s="65">
        <v>63</v>
      </c>
      <c r="H75" s="65">
        <v>1</v>
      </c>
      <c r="I75" s="65">
        <v>3</v>
      </c>
      <c r="J75" s="65">
        <v>1</v>
      </c>
      <c r="K75" s="65">
        <v>0</v>
      </c>
      <c r="L75" s="65">
        <v>0</v>
      </c>
      <c r="M75" s="65">
        <v>0</v>
      </c>
      <c r="N75" s="65">
        <v>0</v>
      </c>
      <c r="O75" s="65">
        <v>1</v>
      </c>
      <c r="P75" s="65">
        <v>75</v>
      </c>
      <c r="Q75" s="132" t="s">
        <v>194</v>
      </c>
      <c r="R75" s="132" t="s">
        <v>195</v>
      </c>
    </row>
    <row r="76" spans="1:18" x14ac:dyDescent="0.15">
      <c r="A76" s="65">
        <v>13101</v>
      </c>
      <c r="B76" s="65">
        <v>11</v>
      </c>
      <c r="C76" s="105" t="str">
        <f t="shared" si="1"/>
        <v>13101_11</v>
      </c>
      <c r="D76" s="38" t="s">
        <v>249</v>
      </c>
      <c r="E76" s="65">
        <v>75</v>
      </c>
      <c r="F76" s="65" t="s">
        <v>248</v>
      </c>
      <c r="G76" s="65">
        <v>346</v>
      </c>
      <c r="H76" s="65">
        <v>1</v>
      </c>
      <c r="I76" s="65">
        <v>1</v>
      </c>
      <c r="J76" s="65">
        <v>1</v>
      </c>
      <c r="K76" s="65">
        <v>0</v>
      </c>
      <c r="L76" s="65">
        <v>0</v>
      </c>
      <c r="M76" s="65">
        <v>0</v>
      </c>
      <c r="N76" s="65">
        <v>0</v>
      </c>
      <c r="O76" s="65">
        <v>1</v>
      </c>
      <c r="P76" s="65">
        <v>100</v>
      </c>
      <c r="Q76" s="132" t="s">
        <v>194</v>
      </c>
      <c r="R76" s="132" t="s">
        <v>195</v>
      </c>
    </row>
    <row r="77" spans="1:18" x14ac:dyDescent="0.15">
      <c r="A77" s="65">
        <v>13101</v>
      </c>
      <c r="B77" s="65">
        <v>12</v>
      </c>
      <c r="C77" s="105" t="str">
        <f t="shared" si="1"/>
        <v>13101_12</v>
      </c>
      <c r="D77" s="38" t="s">
        <v>249</v>
      </c>
      <c r="E77" s="65">
        <v>76</v>
      </c>
      <c r="F77" s="65" t="s">
        <v>193</v>
      </c>
      <c r="G77" s="65">
        <v>1200</v>
      </c>
      <c r="H77" s="65" t="s">
        <v>246</v>
      </c>
      <c r="I77" s="65">
        <v>1</v>
      </c>
      <c r="J77" s="65">
        <v>1</v>
      </c>
      <c r="K77" s="65">
        <v>0</v>
      </c>
      <c r="L77" s="65">
        <v>0</v>
      </c>
      <c r="M77" s="65">
        <v>0</v>
      </c>
      <c r="N77" s="65">
        <v>0</v>
      </c>
      <c r="O77" s="65">
        <v>1</v>
      </c>
      <c r="P77" s="65">
        <v>300</v>
      </c>
      <c r="Q77" s="132" t="s">
        <v>194</v>
      </c>
      <c r="R77" s="132" t="s">
        <v>195</v>
      </c>
    </row>
    <row r="78" spans="1:18" x14ac:dyDescent="0.15">
      <c r="A78" s="65">
        <v>13101</v>
      </c>
      <c r="B78" s="65">
        <v>12</v>
      </c>
      <c r="C78" s="105" t="str">
        <f t="shared" si="1"/>
        <v>13101_12</v>
      </c>
      <c r="D78" s="38" t="s">
        <v>249</v>
      </c>
      <c r="E78" s="65">
        <v>77</v>
      </c>
      <c r="F78" s="65" t="s">
        <v>247</v>
      </c>
      <c r="G78" s="65">
        <v>25</v>
      </c>
      <c r="H78" s="65" t="s">
        <v>246</v>
      </c>
      <c r="I78" s="65">
        <v>1</v>
      </c>
      <c r="J78" s="65">
        <v>1</v>
      </c>
      <c r="K78" s="65">
        <v>0</v>
      </c>
      <c r="L78" s="65">
        <v>0</v>
      </c>
      <c r="M78" s="65">
        <v>0</v>
      </c>
      <c r="N78" s="65">
        <v>0</v>
      </c>
      <c r="O78" s="65">
        <v>1</v>
      </c>
      <c r="P78" s="65">
        <v>300</v>
      </c>
      <c r="Q78" s="132" t="s">
        <v>194</v>
      </c>
      <c r="R78" s="132" t="s">
        <v>195</v>
      </c>
    </row>
    <row r="79" spans="1:18" x14ac:dyDescent="0.15">
      <c r="A79" s="65">
        <v>13101</v>
      </c>
      <c r="B79" s="65">
        <v>12</v>
      </c>
      <c r="C79" s="105" t="str">
        <f t="shared" si="1"/>
        <v>13101_12</v>
      </c>
      <c r="D79" s="38" t="s">
        <v>249</v>
      </c>
      <c r="E79" s="65">
        <v>78</v>
      </c>
      <c r="F79" s="65" t="s">
        <v>248</v>
      </c>
      <c r="G79" s="65">
        <v>17</v>
      </c>
      <c r="H79" s="65">
        <v>1</v>
      </c>
      <c r="I79" s="65">
        <v>5</v>
      </c>
      <c r="J79" s="65">
        <v>1</v>
      </c>
      <c r="K79" s="65">
        <v>0</v>
      </c>
      <c r="L79" s="65">
        <v>0</v>
      </c>
      <c r="M79" s="65">
        <v>0</v>
      </c>
      <c r="N79" s="65">
        <v>0</v>
      </c>
      <c r="O79" s="65">
        <v>1</v>
      </c>
      <c r="P79" s="65">
        <v>75</v>
      </c>
      <c r="Q79" s="132" t="s">
        <v>194</v>
      </c>
      <c r="R79" s="132" t="s">
        <v>195</v>
      </c>
    </row>
    <row r="80" spans="1:18" x14ac:dyDescent="0.15">
      <c r="A80" s="65">
        <v>13101</v>
      </c>
      <c r="B80" s="65">
        <v>12</v>
      </c>
      <c r="C80" s="105" t="str">
        <f t="shared" si="1"/>
        <v>13101_12</v>
      </c>
      <c r="D80" s="38" t="s">
        <v>249</v>
      </c>
      <c r="E80" s="65">
        <v>79</v>
      </c>
      <c r="F80" s="65" t="s">
        <v>248</v>
      </c>
      <c r="G80" s="65">
        <v>25</v>
      </c>
      <c r="H80" s="65">
        <v>1</v>
      </c>
      <c r="I80" s="65">
        <v>5</v>
      </c>
      <c r="J80" s="65">
        <v>1</v>
      </c>
      <c r="K80" s="65">
        <v>0</v>
      </c>
      <c r="L80" s="65">
        <v>0</v>
      </c>
      <c r="M80" s="65">
        <v>0</v>
      </c>
      <c r="N80" s="65">
        <v>0</v>
      </c>
      <c r="O80" s="65">
        <v>1</v>
      </c>
      <c r="P80" s="65">
        <v>75</v>
      </c>
      <c r="Q80" s="132" t="s">
        <v>194</v>
      </c>
      <c r="R80" s="132" t="s">
        <v>195</v>
      </c>
    </row>
    <row r="81" spans="1:18" x14ac:dyDescent="0.15">
      <c r="A81" s="65">
        <v>13101</v>
      </c>
      <c r="B81" s="65">
        <v>12</v>
      </c>
      <c r="C81" s="105" t="str">
        <f t="shared" si="1"/>
        <v>13101_12</v>
      </c>
      <c r="D81" s="38" t="s">
        <v>249</v>
      </c>
      <c r="E81" s="65">
        <v>80</v>
      </c>
      <c r="F81" s="65" t="s">
        <v>248</v>
      </c>
      <c r="G81" s="65">
        <v>45</v>
      </c>
      <c r="H81" s="65">
        <v>1</v>
      </c>
      <c r="I81" s="65">
        <v>3</v>
      </c>
      <c r="J81" s="65">
        <v>1</v>
      </c>
      <c r="K81" s="65">
        <v>0</v>
      </c>
      <c r="L81" s="65">
        <v>0</v>
      </c>
      <c r="M81" s="65">
        <v>0</v>
      </c>
      <c r="N81" s="65">
        <v>0</v>
      </c>
      <c r="O81" s="65">
        <v>1</v>
      </c>
      <c r="P81" s="65">
        <v>75</v>
      </c>
      <c r="Q81" s="132" t="s">
        <v>194</v>
      </c>
      <c r="R81" s="132" t="s">
        <v>195</v>
      </c>
    </row>
    <row r="82" spans="1:18" x14ac:dyDescent="0.15">
      <c r="A82" s="65">
        <v>13101</v>
      </c>
      <c r="B82" s="65">
        <v>12</v>
      </c>
      <c r="C82" s="105" t="str">
        <f t="shared" si="1"/>
        <v>13101_12</v>
      </c>
      <c r="D82" s="38" t="s">
        <v>249</v>
      </c>
      <c r="E82" s="65">
        <v>81</v>
      </c>
      <c r="F82" s="65" t="s">
        <v>248</v>
      </c>
      <c r="G82" s="65">
        <v>61</v>
      </c>
      <c r="H82" s="65">
        <v>1</v>
      </c>
      <c r="I82" s="65">
        <v>3</v>
      </c>
      <c r="J82" s="65">
        <v>1</v>
      </c>
      <c r="K82" s="65">
        <v>0</v>
      </c>
      <c r="L82" s="65">
        <v>0</v>
      </c>
      <c r="M82" s="65">
        <v>0</v>
      </c>
      <c r="N82" s="65">
        <v>0</v>
      </c>
      <c r="O82" s="65">
        <v>1</v>
      </c>
      <c r="P82" s="65">
        <v>75</v>
      </c>
      <c r="Q82" s="132" t="s">
        <v>194</v>
      </c>
      <c r="R82" s="132" t="s">
        <v>195</v>
      </c>
    </row>
    <row r="83" spans="1:18" x14ac:dyDescent="0.15">
      <c r="A83" s="65">
        <v>13101</v>
      </c>
      <c r="B83" s="65">
        <v>12</v>
      </c>
      <c r="C83" s="105" t="str">
        <f t="shared" si="1"/>
        <v>13101_12</v>
      </c>
      <c r="D83" s="38" t="s">
        <v>249</v>
      </c>
      <c r="E83" s="65">
        <v>82</v>
      </c>
      <c r="F83" s="65" t="s">
        <v>248</v>
      </c>
      <c r="G83" s="65">
        <v>342</v>
      </c>
      <c r="H83" s="65">
        <v>1</v>
      </c>
      <c r="I83" s="65">
        <v>1</v>
      </c>
      <c r="J83" s="65">
        <v>1</v>
      </c>
      <c r="K83" s="65">
        <v>0</v>
      </c>
      <c r="L83" s="65">
        <v>0</v>
      </c>
      <c r="M83" s="65">
        <v>0</v>
      </c>
      <c r="N83" s="65">
        <v>0</v>
      </c>
      <c r="O83" s="65">
        <v>1</v>
      </c>
      <c r="P83" s="65">
        <v>100</v>
      </c>
      <c r="Q83" s="132" t="s">
        <v>194</v>
      </c>
      <c r="R83" s="132" t="s">
        <v>195</v>
      </c>
    </row>
    <row r="84" spans="1:18" x14ac:dyDescent="0.15">
      <c r="A84" s="65">
        <v>13101</v>
      </c>
      <c r="B84" s="65">
        <v>13</v>
      </c>
      <c r="C84" s="105" t="str">
        <f t="shared" si="1"/>
        <v>13101_13</v>
      </c>
      <c r="D84" s="38" t="s">
        <v>249</v>
      </c>
      <c r="E84" s="65">
        <v>83</v>
      </c>
      <c r="F84" s="65" t="s">
        <v>193</v>
      </c>
      <c r="G84" s="65">
        <v>1200</v>
      </c>
      <c r="H84" s="65" t="s">
        <v>246</v>
      </c>
      <c r="I84" s="65">
        <v>1</v>
      </c>
      <c r="J84" s="65">
        <v>1</v>
      </c>
      <c r="K84" s="65">
        <v>0</v>
      </c>
      <c r="L84" s="65">
        <v>0</v>
      </c>
      <c r="M84" s="65">
        <v>0</v>
      </c>
      <c r="N84" s="65">
        <v>0</v>
      </c>
      <c r="O84" s="65">
        <v>1</v>
      </c>
      <c r="P84" s="65">
        <v>450</v>
      </c>
      <c r="Q84" s="132" t="s">
        <v>194</v>
      </c>
      <c r="R84" s="132" t="s">
        <v>195</v>
      </c>
    </row>
    <row r="85" spans="1:18" x14ac:dyDescent="0.15">
      <c r="A85" s="65">
        <v>13101</v>
      </c>
      <c r="B85" s="65">
        <v>13</v>
      </c>
      <c r="C85" s="105" t="str">
        <f t="shared" si="1"/>
        <v>13101_13</v>
      </c>
      <c r="D85" s="38" t="s">
        <v>249</v>
      </c>
      <c r="E85" s="65">
        <v>84</v>
      </c>
      <c r="F85" s="65" t="s">
        <v>247</v>
      </c>
      <c r="G85" s="65">
        <v>25</v>
      </c>
      <c r="H85" s="65" t="s">
        <v>246</v>
      </c>
      <c r="I85" s="65">
        <v>1</v>
      </c>
      <c r="J85" s="65">
        <v>1</v>
      </c>
      <c r="K85" s="65">
        <v>0</v>
      </c>
      <c r="L85" s="65">
        <v>0</v>
      </c>
      <c r="M85" s="65">
        <v>0</v>
      </c>
      <c r="N85" s="65">
        <v>0</v>
      </c>
      <c r="O85" s="65">
        <v>1</v>
      </c>
      <c r="P85" s="65">
        <v>450</v>
      </c>
      <c r="Q85" s="132" t="s">
        <v>194</v>
      </c>
      <c r="R85" s="132" t="s">
        <v>195</v>
      </c>
    </row>
    <row r="86" spans="1:18" x14ac:dyDescent="0.15">
      <c r="A86" s="65">
        <v>13101</v>
      </c>
      <c r="B86" s="65">
        <v>13</v>
      </c>
      <c r="C86" s="105" t="str">
        <f t="shared" si="1"/>
        <v>13101_13</v>
      </c>
      <c r="D86" s="38" t="s">
        <v>249</v>
      </c>
      <c r="E86" s="65">
        <v>85</v>
      </c>
      <c r="F86" s="65" t="s">
        <v>248</v>
      </c>
      <c r="G86" s="65">
        <v>338</v>
      </c>
      <c r="H86" s="65">
        <v>1</v>
      </c>
      <c r="I86" s="65">
        <v>1</v>
      </c>
      <c r="J86" s="65">
        <v>1</v>
      </c>
      <c r="K86" s="65">
        <v>0</v>
      </c>
      <c r="L86" s="65">
        <v>0</v>
      </c>
      <c r="M86" s="65">
        <v>0</v>
      </c>
      <c r="N86" s="65">
        <v>0</v>
      </c>
      <c r="O86" s="65">
        <v>1</v>
      </c>
      <c r="P86" s="65">
        <v>100</v>
      </c>
      <c r="Q86" s="132" t="s">
        <v>194</v>
      </c>
      <c r="R86" s="132" t="s">
        <v>195</v>
      </c>
    </row>
    <row r="87" spans="1:18" x14ac:dyDescent="0.15">
      <c r="A87" s="65">
        <v>13101</v>
      </c>
      <c r="B87" s="65">
        <v>14</v>
      </c>
      <c r="C87" s="105" t="str">
        <f t="shared" si="1"/>
        <v>13101_14</v>
      </c>
      <c r="D87" s="38" t="s">
        <v>249</v>
      </c>
      <c r="E87" s="65">
        <v>86</v>
      </c>
      <c r="F87" s="65" t="s">
        <v>193</v>
      </c>
      <c r="G87" s="65">
        <v>1200</v>
      </c>
      <c r="H87" s="65" t="s">
        <v>246</v>
      </c>
      <c r="I87" s="65">
        <v>1</v>
      </c>
      <c r="J87" s="65">
        <v>1</v>
      </c>
      <c r="K87" s="65">
        <v>0</v>
      </c>
      <c r="L87" s="65">
        <v>0</v>
      </c>
      <c r="M87" s="65">
        <v>0</v>
      </c>
      <c r="N87" s="65">
        <v>0</v>
      </c>
      <c r="O87" s="65">
        <v>1</v>
      </c>
      <c r="P87" s="65">
        <v>300</v>
      </c>
      <c r="Q87" s="132" t="s">
        <v>194</v>
      </c>
      <c r="R87" s="132" t="s">
        <v>195</v>
      </c>
    </row>
    <row r="88" spans="1:18" x14ac:dyDescent="0.15">
      <c r="A88" s="65">
        <v>13101</v>
      </c>
      <c r="B88" s="65">
        <v>14</v>
      </c>
      <c r="C88" s="105" t="str">
        <f t="shared" si="1"/>
        <v>13101_14</v>
      </c>
      <c r="D88" s="38" t="s">
        <v>249</v>
      </c>
      <c r="E88" s="65">
        <v>87</v>
      </c>
      <c r="F88" s="65" t="s">
        <v>247</v>
      </c>
      <c r="G88" s="65">
        <v>25</v>
      </c>
      <c r="H88" s="65" t="s">
        <v>246</v>
      </c>
      <c r="I88" s="65">
        <v>1</v>
      </c>
      <c r="J88" s="65">
        <v>1</v>
      </c>
      <c r="K88" s="65">
        <v>0</v>
      </c>
      <c r="L88" s="65">
        <v>0</v>
      </c>
      <c r="M88" s="65">
        <v>0</v>
      </c>
      <c r="N88" s="65">
        <v>0</v>
      </c>
      <c r="O88" s="65">
        <v>1</v>
      </c>
      <c r="P88" s="65">
        <v>300</v>
      </c>
      <c r="Q88" s="132" t="s">
        <v>194</v>
      </c>
      <c r="R88" s="132" t="s">
        <v>195</v>
      </c>
    </row>
    <row r="89" spans="1:18" x14ac:dyDescent="0.15">
      <c r="A89" s="65">
        <v>13101</v>
      </c>
      <c r="B89" s="65">
        <v>14</v>
      </c>
      <c r="C89" s="105" t="str">
        <f t="shared" si="1"/>
        <v>13101_14</v>
      </c>
      <c r="D89" s="38" t="s">
        <v>249</v>
      </c>
      <c r="E89" s="65">
        <v>88</v>
      </c>
      <c r="F89" s="65" t="s">
        <v>248</v>
      </c>
      <c r="G89" s="65">
        <v>15</v>
      </c>
      <c r="H89" s="65">
        <v>1</v>
      </c>
      <c r="I89" s="65">
        <v>7</v>
      </c>
      <c r="J89" s="65">
        <v>1</v>
      </c>
      <c r="K89" s="65">
        <v>0</v>
      </c>
      <c r="L89" s="65">
        <v>0</v>
      </c>
      <c r="M89" s="65">
        <v>0</v>
      </c>
      <c r="N89" s="65">
        <v>0</v>
      </c>
      <c r="O89" s="65">
        <v>1</v>
      </c>
      <c r="P89" s="65">
        <v>75</v>
      </c>
      <c r="Q89" s="132" t="s">
        <v>194</v>
      </c>
      <c r="R89" s="132" t="s">
        <v>195</v>
      </c>
    </row>
    <row r="90" spans="1:18" x14ac:dyDescent="0.15">
      <c r="A90" s="65">
        <v>13101</v>
      </c>
      <c r="B90" s="65">
        <v>14</v>
      </c>
      <c r="C90" s="105" t="str">
        <f t="shared" si="1"/>
        <v>13101_14</v>
      </c>
      <c r="D90" s="38" t="s">
        <v>249</v>
      </c>
      <c r="E90" s="65">
        <v>89</v>
      </c>
      <c r="F90" s="65" t="s">
        <v>248</v>
      </c>
      <c r="G90" s="65">
        <v>21</v>
      </c>
      <c r="H90" s="65">
        <v>1</v>
      </c>
      <c r="I90" s="65">
        <v>5</v>
      </c>
      <c r="J90" s="65">
        <v>1</v>
      </c>
      <c r="K90" s="65">
        <v>0</v>
      </c>
      <c r="L90" s="65">
        <v>0</v>
      </c>
      <c r="M90" s="65">
        <v>0</v>
      </c>
      <c r="N90" s="65">
        <v>0</v>
      </c>
      <c r="O90" s="65">
        <v>1</v>
      </c>
      <c r="P90" s="65">
        <v>75</v>
      </c>
      <c r="Q90" s="132" t="s">
        <v>194</v>
      </c>
      <c r="R90" s="132" t="s">
        <v>195</v>
      </c>
    </row>
    <row r="91" spans="1:18" x14ac:dyDescent="0.15">
      <c r="A91" s="65">
        <v>13101</v>
      </c>
      <c r="B91" s="65">
        <v>14</v>
      </c>
      <c r="C91" s="105" t="str">
        <f t="shared" si="1"/>
        <v>13101_14</v>
      </c>
      <c r="D91" s="38" t="s">
        <v>249</v>
      </c>
      <c r="E91" s="65">
        <v>90</v>
      </c>
      <c r="F91" s="65" t="s">
        <v>248</v>
      </c>
      <c r="G91" s="65">
        <v>41</v>
      </c>
      <c r="H91" s="65">
        <v>1</v>
      </c>
      <c r="I91" s="65">
        <v>5</v>
      </c>
      <c r="J91" s="65">
        <v>1</v>
      </c>
      <c r="K91" s="65">
        <v>0</v>
      </c>
      <c r="L91" s="65">
        <v>0</v>
      </c>
      <c r="M91" s="65">
        <v>0</v>
      </c>
      <c r="N91" s="65">
        <v>0</v>
      </c>
      <c r="O91" s="65">
        <v>1</v>
      </c>
      <c r="P91" s="65">
        <v>75</v>
      </c>
      <c r="Q91" s="132" t="s">
        <v>194</v>
      </c>
      <c r="R91" s="132" t="s">
        <v>195</v>
      </c>
    </row>
    <row r="92" spans="1:18" x14ac:dyDescent="0.15">
      <c r="A92" s="65">
        <v>13101</v>
      </c>
      <c r="B92" s="65">
        <v>14</v>
      </c>
      <c r="C92" s="105" t="str">
        <f t="shared" si="1"/>
        <v>13101_14</v>
      </c>
      <c r="D92" s="38" t="s">
        <v>249</v>
      </c>
      <c r="E92" s="65">
        <v>91</v>
      </c>
      <c r="F92" s="65" t="s">
        <v>248</v>
      </c>
      <c r="G92" s="65">
        <v>57</v>
      </c>
      <c r="H92" s="65">
        <v>1</v>
      </c>
      <c r="I92" s="65">
        <v>5</v>
      </c>
      <c r="J92" s="65">
        <v>1</v>
      </c>
      <c r="K92" s="65">
        <v>0</v>
      </c>
      <c r="L92" s="65">
        <v>0</v>
      </c>
      <c r="M92" s="65">
        <v>0</v>
      </c>
      <c r="N92" s="65">
        <v>0</v>
      </c>
      <c r="O92" s="65">
        <v>1</v>
      </c>
      <c r="P92" s="65">
        <v>75</v>
      </c>
      <c r="Q92" s="132" t="s">
        <v>194</v>
      </c>
      <c r="R92" s="132" t="s">
        <v>195</v>
      </c>
    </row>
    <row r="93" spans="1:18" x14ac:dyDescent="0.15">
      <c r="A93" s="65">
        <v>13101</v>
      </c>
      <c r="B93" s="65">
        <v>14</v>
      </c>
      <c r="C93" s="105" t="str">
        <f t="shared" si="1"/>
        <v>13101_14</v>
      </c>
      <c r="D93" s="38" t="s">
        <v>249</v>
      </c>
      <c r="E93" s="65">
        <v>92</v>
      </c>
      <c r="F93" s="65" t="s">
        <v>248</v>
      </c>
      <c r="G93" s="65">
        <v>334</v>
      </c>
      <c r="H93" s="65">
        <v>1</v>
      </c>
      <c r="I93" s="65">
        <v>1</v>
      </c>
      <c r="J93" s="65">
        <v>1</v>
      </c>
      <c r="K93" s="65">
        <v>0</v>
      </c>
      <c r="L93" s="65">
        <v>0</v>
      </c>
      <c r="M93" s="65">
        <v>0</v>
      </c>
      <c r="N93" s="65">
        <v>0</v>
      </c>
      <c r="O93" s="65">
        <v>1</v>
      </c>
      <c r="P93" s="65">
        <v>100</v>
      </c>
      <c r="Q93" s="132" t="s">
        <v>194</v>
      </c>
      <c r="R93" s="132" t="s">
        <v>195</v>
      </c>
    </row>
    <row r="94" spans="1:18" x14ac:dyDescent="0.15">
      <c r="A94" s="65">
        <v>13101</v>
      </c>
      <c r="B94" s="65">
        <v>15</v>
      </c>
      <c r="C94" s="105" t="str">
        <f t="shared" si="1"/>
        <v>13101_15</v>
      </c>
      <c r="D94" s="38" t="s">
        <v>249</v>
      </c>
      <c r="E94" s="65">
        <v>93</v>
      </c>
      <c r="F94" s="65" t="s">
        <v>193</v>
      </c>
      <c r="G94" s="65">
        <v>1200</v>
      </c>
      <c r="H94" s="65" t="s">
        <v>246</v>
      </c>
      <c r="I94" s="65">
        <v>1</v>
      </c>
      <c r="J94" s="65">
        <v>1</v>
      </c>
      <c r="K94" s="65">
        <v>0</v>
      </c>
      <c r="L94" s="65">
        <v>0</v>
      </c>
      <c r="M94" s="65">
        <v>0</v>
      </c>
      <c r="N94" s="65">
        <v>0</v>
      </c>
      <c r="O94" s="65">
        <v>1</v>
      </c>
      <c r="P94" s="65">
        <v>150</v>
      </c>
      <c r="Q94" s="132" t="s">
        <v>194</v>
      </c>
      <c r="R94" s="132" t="s">
        <v>195</v>
      </c>
    </row>
    <row r="95" spans="1:18" x14ac:dyDescent="0.15">
      <c r="A95" s="65">
        <v>13101</v>
      </c>
      <c r="B95" s="65">
        <v>15</v>
      </c>
      <c r="C95" s="105" t="str">
        <f t="shared" si="1"/>
        <v>13101_15</v>
      </c>
      <c r="D95" s="38" t="s">
        <v>249</v>
      </c>
      <c r="E95" s="65">
        <v>94</v>
      </c>
      <c r="F95" s="65" t="s">
        <v>247</v>
      </c>
      <c r="G95" s="65">
        <v>25</v>
      </c>
      <c r="H95" s="65" t="s">
        <v>246</v>
      </c>
      <c r="I95" s="65">
        <v>1</v>
      </c>
      <c r="J95" s="65">
        <v>1</v>
      </c>
      <c r="K95" s="65">
        <v>0</v>
      </c>
      <c r="L95" s="65">
        <v>0</v>
      </c>
      <c r="M95" s="65">
        <v>0</v>
      </c>
      <c r="N95" s="65">
        <v>0</v>
      </c>
      <c r="O95" s="65">
        <v>1</v>
      </c>
      <c r="P95" s="65">
        <v>150</v>
      </c>
      <c r="Q95" s="132" t="s">
        <v>194</v>
      </c>
      <c r="R95" s="132" t="s">
        <v>195</v>
      </c>
    </row>
    <row r="96" spans="1:18" x14ac:dyDescent="0.15">
      <c r="A96" s="65">
        <v>13101</v>
      </c>
      <c r="B96" s="65">
        <v>15</v>
      </c>
      <c r="C96" s="105" t="str">
        <f t="shared" si="1"/>
        <v>13101_15</v>
      </c>
      <c r="D96" s="38" t="s">
        <v>249</v>
      </c>
      <c r="E96" s="65">
        <v>95</v>
      </c>
      <c r="F96" s="65" t="s">
        <v>248</v>
      </c>
      <c r="G96" s="65">
        <v>346</v>
      </c>
      <c r="H96" s="65">
        <v>1</v>
      </c>
      <c r="I96" s="65">
        <v>1</v>
      </c>
      <c r="J96" s="65">
        <v>1</v>
      </c>
      <c r="K96" s="65">
        <v>0</v>
      </c>
      <c r="L96" s="65">
        <v>0</v>
      </c>
      <c r="M96" s="65">
        <v>0</v>
      </c>
      <c r="N96" s="65">
        <v>0</v>
      </c>
      <c r="O96" s="65">
        <v>1</v>
      </c>
      <c r="P96" s="65">
        <v>140</v>
      </c>
      <c r="Q96" s="132" t="s">
        <v>194</v>
      </c>
      <c r="R96" s="132" t="s">
        <v>195</v>
      </c>
    </row>
    <row r="97" spans="1:18" x14ac:dyDescent="0.15">
      <c r="A97" s="65">
        <v>13101</v>
      </c>
      <c r="B97" s="65">
        <v>15</v>
      </c>
      <c r="C97" s="105" t="str">
        <f t="shared" si="1"/>
        <v>13101_15</v>
      </c>
      <c r="D97" s="38" t="s">
        <v>249</v>
      </c>
      <c r="E97" s="65">
        <v>96</v>
      </c>
      <c r="F97" s="65" t="s">
        <v>248</v>
      </c>
      <c r="G97" s="65">
        <v>354</v>
      </c>
      <c r="H97" s="65">
        <v>1</v>
      </c>
      <c r="I97" s="65">
        <v>1</v>
      </c>
      <c r="J97" s="65">
        <v>1</v>
      </c>
      <c r="K97" s="65">
        <v>0</v>
      </c>
      <c r="L97" s="65">
        <v>0</v>
      </c>
      <c r="M97" s="65">
        <v>0</v>
      </c>
      <c r="N97" s="65">
        <v>0</v>
      </c>
      <c r="O97" s="65">
        <v>1</v>
      </c>
      <c r="P97" s="65">
        <v>150</v>
      </c>
      <c r="Q97" s="132" t="s">
        <v>194</v>
      </c>
      <c r="R97" s="132" t="s">
        <v>195</v>
      </c>
    </row>
    <row r="98" spans="1:18" x14ac:dyDescent="0.15">
      <c r="A98" s="65">
        <v>13101</v>
      </c>
      <c r="B98" s="65">
        <v>15</v>
      </c>
      <c r="C98" s="105" t="str">
        <f t="shared" si="1"/>
        <v>13101_15</v>
      </c>
      <c r="D98" s="38" t="s">
        <v>249</v>
      </c>
      <c r="E98" s="65">
        <v>97</v>
      </c>
      <c r="F98" s="65" t="s">
        <v>248</v>
      </c>
      <c r="G98" s="65">
        <v>316</v>
      </c>
      <c r="H98" s="65">
        <v>1</v>
      </c>
      <c r="I98" s="65">
        <v>1</v>
      </c>
      <c r="J98" s="65">
        <v>1</v>
      </c>
      <c r="K98" s="65">
        <v>0</v>
      </c>
      <c r="L98" s="65">
        <v>0</v>
      </c>
      <c r="M98" s="65">
        <v>0</v>
      </c>
      <c r="N98" s="65">
        <v>0</v>
      </c>
      <c r="O98" s="65">
        <v>1</v>
      </c>
      <c r="P98" s="65">
        <v>250</v>
      </c>
      <c r="Q98" s="132" t="s">
        <v>194</v>
      </c>
      <c r="R98" s="132" t="s">
        <v>195</v>
      </c>
    </row>
    <row r="99" spans="1:18" x14ac:dyDescent="0.15">
      <c r="A99" s="65">
        <v>13101</v>
      </c>
      <c r="B99" s="65">
        <v>15</v>
      </c>
      <c r="C99" s="105" t="str">
        <f t="shared" si="1"/>
        <v>13101_15</v>
      </c>
      <c r="D99" s="38" t="s">
        <v>249</v>
      </c>
      <c r="E99" s="65">
        <v>98</v>
      </c>
      <c r="F99" s="65" t="s">
        <v>248</v>
      </c>
      <c r="G99" s="65">
        <v>121</v>
      </c>
      <c r="H99" s="65">
        <v>1</v>
      </c>
      <c r="I99" s="65">
        <v>1</v>
      </c>
      <c r="J99" s="65">
        <v>1</v>
      </c>
      <c r="K99" s="65">
        <v>0</v>
      </c>
      <c r="L99" s="65">
        <v>0</v>
      </c>
      <c r="M99" s="65">
        <v>0</v>
      </c>
      <c r="N99" s="65">
        <v>0</v>
      </c>
      <c r="O99" s="65">
        <v>1</v>
      </c>
      <c r="P99" s="65">
        <v>50</v>
      </c>
      <c r="Q99" s="132" t="s">
        <v>194</v>
      </c>
      <c r="R99" s="132" t="s">
        <v>195</v>
      </c>
    </row>
    <row r="100" spans="1:18" x14ac:dyDescent="0.15">
      <c r="A100" s="65">
        <v>13101</v>
      </c>
      <c r="B100" s="65">
        <v>15</v>
      </c>
      <c r="C100" s="105" t="str">
        <f t="shared" si="1"/>
        <v>13101_15</v>
      </c>
      <c r="D100" s="38" t="s">
        <v>249</v>
      </c>
      <c r="E100" s="65">
        <v>99</v>
      </c>
      <c r="F100" s="65" t="s">
        <v>248</v>
      </c>
      <c r="G100" s="65">
        <v>122</v>
      </c>
      <c r="H100" s="65">
        <v>1</v>
      </c>
      <c r="I100" s="65">
        <v>1</v>
      </c>
      <c r="J100" s="65">
        <v>1</v>
      </c>
      <c r="K100" s="65">
        <v>0</v>
      </c>
      <c r="L100" s="65">
        <v>0</v>
      </c>
      <c r="M100" s="65">
        <v>0</v>
      </c>
      <c r="N100" s="65">
        <v>0</v>
      </c>
      <c r="O100" s="65">
        <v>1</v>
      </c>
      <c r="P100" s="65">
        <v>50</v>
      </c>
      <c r="Q100" s="132" t="s">
        <v>194</v>
      </c>
      <c r="R100" s="132" t="s">
        <v>195</v>
      </c>
    </row>
    <row r="101" spans="1:18" x14ac:dyDescent="0.15">
      <c r="A101" s="65">
        <v>13101</v>
      </c>
      <c r="B101" s="65">
        <v>15</v>
      </c>
      <c r="C101" s="105" t="str">
        <f t="shared" si="1"/>
        <v>13101_15</v>
      </c>
      <c r="D101" s="38" t="s">
        <v>249</v>
      </c>
      <c r="E101" s="65">
        <v>100</v>
      </c>
      <c r="F101" s="65" t="s">
        <v>248</v>
      </c>
      <c r="G101" s="65">
        <v>123</v>
      </c>
      <c r="H101" s="65">
        <v>1</v>
      </c>
      <c r="I101" s="65">
        <v>1</v>
      </c>
      <c r="J101" s="65">
        <v>1</v>
      </c>
      <c r="K101" s="65">
        <v>0</v>
      </c>
      <c r="L101" s="65">
        <v>0</v>
      </c>
      <c r="M101" s="65">
        <v>0</v>
      </c>
      <c r="N101" s="65">
        <v>0</v>
      </c>
      <c r="O101" s="65">
        <v>1</v>
      </c>
      <c r="P101" s="65">
        <v>50</v>
      </c>
      <c r="Q101" s="132" t="s">
        <v>194</v>
      </c>
      <c r="R101" s="132" t="s">
        <v>195</v>
      </c>
    </row>
    <row r="102" spans="1:18" x14ac:dyDescent="0.15">
      <c r="A102" s="65">
        <v>13101</v>
      </c>
      <c r="B102" s="65">
        <v>15</v>
      </c>
      <c r="C102" s="105" t="str">
        <f t="shared" si="1"/>
        <v>13101_15</v>
      </c>
      <c r="D102" s="38" t="s">
        <v>249</v>
      </c>
      <c r="E102" s="65">
        <v>101</v>
      </c>
      <c r="F102" s="65" t="s">
        <v>248</v>
      </c>
      <c r="G102" s="65">
        <v>125</v>
      </c>
      <c r="H102" s="65">
        <v>1</v>
      </c>
      <c r="I102" s="65">
        <v>1</v>
      </c>
      <c r="J102" s="65">
        <v>1</v>
      </c>
      <c r="K102" s="65">
        <v>0</v>
      </c>
      <c r="L102" s="65">
        <v>0</v>
      </c>
      <c r="M102" s="65">
        <v>0</v>
      </c>
      <c r="N102" s="65">
        <v>0</v>
      </c>
      <c r="O102" s="65">
        <v>1</v>
      </c>
      <c r="P102" s="65">
        <v>10</v>
      </c>
      <c r="Q102" s="132" t="s">
        <v>194</v>
      </c>
      <c r="R102" s="132" t="s">
        <v>195</v>
      </c>
    </row>
    <row r="103" spans="1:18" x14ac:dyDescent="0.15">
      <c r="A103" s="65">
        <v>13101</v>
      </c>
      <c r="B103" s="65">
        <v>16</v>
      </c>
      <c r="C103" s="105" t="str">
        <f t="shared" si="1"/>
        <v>13101_16</v>
      </c>
      <c r="D103" s="38" t="s">
        <v>249</v>
      </c>
      <c r="E103" s="65">
        <v>98</v>
      </c>
      <c r="F103" s="65" t="s">
        <v>193</v>
      </c>
      <c r="G103" s="65">
        <v>1400</v>
      </c>
      <c r="H103" s="65" t="s">
        <v>246</v>
      </c>
      <c r="I103" s="65">
        <v>1</v>
      </c>
      <c r="J103" s="65">
        <v>1</v>
      </c>
      <c r="K103" s="65">
        <v>0</v>
      </c>
      <c r="L103" s="65">
        <v>0</v>
      </c>
      <c r="M103" s="65">
        <v>0</v>
      </c>
      <c r="N103" s="65">
        <v>0</v>
      </c>
      <c r="O103" s="65">
        <v>1</v>
      </c>
      <c r="P103" s="65">
        <v>300</v>
      </c>
      <c r="Q103" s="132" t="s">
        <v>194</v>
      </c>
      <c r="R103" s="132" t="s">
        <v>195</v>
      </c>
    </row>
    <row r="104" spans="1:18" x14ac:dyDescent="0.15">
      <c r="A104" s="65">
        <v>13101</v>
      </c>
      <c r="B104" s="65">
        <v>16</v>
      </c>
      <c r="C104" s="105" t="str">
        <f t="shared" si="1"/>
        <v>13101_16</v>
      </c>
      <c r="D104" s="38" t="s">
        <v>249</v>
      </c>
      <c r="E104" s="65">
        <v>99</v>
      </c>
      <c r="F104" s="65" t="s">
        <v>247</v>
      </c>
      <c r="G104" s="65">
        <v>25</v>
      </c>
      <c r="H104" s="65" t="s">
        <v>246</v>
      </c>
      <c r="I104" s="65">
        <v>1</v>
      </c>
      <c r="J104" s="65">
        <v>1</v>
      </c>
      <c r="K104" s="65">
        <v>0</v>
      </c>
      <c r="L104" s="65">
        <v>0</v>
      </c>
      <c r="M104" s="65">
        <v>0</v>
      </c>
      <c r="N104" s="65">
        <v>0</v>
      </c>
      <c r="O104" s="65">
        <v>1</v>
      </c>
      <c r="P104" s="65">
        <v>300</v>
      </c>
      <c r="Q104" s="132" t="s">
        <v>194</v>
      </c>
      <c r="R104" s="132" t="s">
        <v>195</v>
      </c>
    </row>
    <row r="105" spans="1:18" x14ac:dyDescent="0.15">
      <c r="A105" s="65">
        <v>13101</v>
      </c>
      <c r="B105" s="65">
        <v>16</v>
      </c>
      <c r="C105" s="105" t="str">
        <f t="shared" si="1"/>
        <v>13101_16</v>
      </c>
      <c r="D105" s="38" t="s">
        <v>249</v>
      </c>
      <c r="E105" s="65">
        <v>100</v>
      </c>
      <c r="F105" s="65" t="s">
        <v>248</v>
      </c>
      <c r="G105" s="65">
        <v>11</v>
      </c>
      <c r="H105" s="65">
        <v>1</v>
      </c>
      <c r="I105" s="65">
        <v>1</v>
      </c>
      <c r="J105" s="65">
        <v>1</v>
      </c>
      <c r="K105" s="65">
        <v>0</v>
      </c>
      <c r="L105" s="65">
        <v>0</v>
      </c>
      <c r="M105" s="65">
        <v>0</v>
      </c>
      <c r="N105" s="65">
        <v>0</v>
      </c>
      <c r="O105" s="65">
        <v>1</v>
      </c>
      <c r="P105" s="65">
        <v>60</v>
      </c>
      <c r="Q105" s="132" t="s">
        <v>194</v>
      </c>
      <c r="R105" s="132" t="s">
        <v>195</v>
      </c>
    </row>
    <row r="106" spans="1:18" x14ac:dyDescent="0.15">
      <c r="A106" s="65">
        <v>13101</v>
      </c>
      <c r="B106" s="65">
        <v>16</v>
      </c>
      <c r="C106" s="105" t="str">
        <f t="shared" si="1"/>
        <v>13101_16</v>
      </c>
      <c r="D106" s="38" t="s">
        <v>249</v>
      </c>
      <c r="E106" s="65">
        <v>101</v>
      </c>
      <c r="F106" s="65" t="s">
        <v>248</v>
      </c>
      <c r="G106" s="65">
        <v>23</v>
      </c>
      <c r="H106" s="65">
        <v>1</v>
      </c>
      <c r="I106" s="65">
        <v>1</v>
      </c>
      <c r="J106" s="65">
        <v>1</v>
      </c>
      <c r="K106" s="65">
        <v>0</v>
      </c>
      <c r="L106" s="65">
        <v>0</v>
      </c>
      <c r="M106" s="65">
        <v>0</v>
      </c>
      <c r="N106" s="65">
        <v>0</v>
      </c>
      <c r="O106" s="65">
        <v>1</v>
      </c>
      <c r="P106" s="65">
        <v>60</v>
      </c>
      <c r="Q106" s="132" t="s">
        <v>194</v>
      </c>
      <c r="R106" s="132" t="s">
        <v>195</v>
      </c>
    </row>
    <row r="107" spans="1:18" x14ac:dyDescent="0.15">
      <c r="A107" s="65">
        <v>13101</v>
      </c>
      <c r="B107" s="65">
        <v>16</v>
      </c>
      <c r="C107" s="105" t="str">
        <f t="shared" si="1"/>
        <v>13101_16</v>
      </c>
      <c r="D107" s="38" t="s">
        <v>249</v>
      </c>
      <c r="E107" s="65">
        <v>102</v>
      </c>
      <c r="F107" s="65" t="s">
        <v>248</v>
      </c>
      <c r="G107" s="65">
        <v>43</v>
      </c>
      <c r="H107" s="65">
        <v>1</v>
      </c>
      <c r="I107" s="65">
        <v>1</v>
      </c>
      <c r="J107" s="65">
        <v>1</v>
      </c>
      <c r="K107" s="65">
        <v>0</v>
      </c>
      <c r="L107" s="65">
        <v>0</v>
      </c>
      <c r="M107" s="65">
        <v>0</v>
      </c>
      <c r="N107" s="65">
        <v>0</v>
      </c>
      <c r="O107" s="65">
        <v>1</v>
      </c>
      <c r="P107" s="65">
        <v>60</v>
      </c>
      <c r="Q107" s="132" t="s">
        <v>194</v>
      </c>
      <c r="R107" s="132" t="s">
        <v>195</v>
      </c>
    </row>
    <row r="108" spans="1:18" x14ac:dyDescent="0.15">
      <c r="A108" s="65">
        <v>13101</v>
      </c>
      <c r="B108" s="65">
        <v>16</v>
      </c>
      <c r="C108" s="105" t="str">
        <f t="shared" si="1"/>
        <v>13101_16</v>
      </c>
      <c r="D108" s="38" t="s">
        <v>249</v>
      </c>
      <c r="E108" s="65">
        <v>103</v>
      </c>
      <c r="F108" s="65" t="s">
        <v>248</v>
      </c>
      <c r="G108" s="65">
        <v>59</v>
      </c>
      <c r="H108" s="65">
        <v>1</v>
      </c>
      <c r="I108" s="65">
        <v>1</v>
      </c>
      <c r="J108" s="65">
        <v>1</v>
      </c>
      <c r="K108" s="65">
        <v>0</v>
      </c>
      <c r="L108" s="65">
        <v>0</v>
      </c>
      <c r="M108" s="65">
        <v>0</v>
      </c>
      <c r="N108" s="65">
        <v>0</v>
      </c>
      <c r="O108" s="65">
        <v>1</v>
      </c>
      <c r="P108" s="65">
        <v>60</v>
      </c>
      <c r="Q108" s="132" t="s">
        <v>194</v>
      </c>
      <c r="R108" s="132" t="s">
        <v>195</v>
      </c>
    </row>
    <row r="109" spans="1:18" x14ac:dyDescent="0.15">
      <c r="A109" s="65">
        <v>13101</v>
      </c>
      <c r="B109" s="65">
        <v>16</v>
      </c>
      <c r="C109" s="105" t="str">
        <f t="shared" si="1"/>
        <v>13101_16</v>
      </c>
      <c r="D109" s="38" t="s">
        <v>249</v>
      </c>
      <c r="E109" s="65">
        <v>104</v>
      </c>
      <c r="F109" s="65" t="s">
        <v>248</v>
      </c>
      <c r="G109" s="65">
        <v>68</v>
      </c>
      <c r="H109" s="65">
        <v>1</v>
      </c>
      <c r="I109" s="65">
        <v>1</v>
      </c>
      <c r="J109" s="65">
        <v>1</v>
      </c>
      <c r="K109" s="65">
        <v>0</v>
      </c>
      <c r="L109" s="65">
        <v>0</v>
      </c>
      <c r="M109" s="65">
        <v>0</v>
      </c>
      <c r="N109" s="65">
        <v>0</v>
      </c>
      <c r="O109" s="65">
        <v>1</v>
      </c>
      <c r="P109" s="65">
        <v>60</v>
      </c>
      <c r="Q109" s="132" t="s">
        <v>194</v>
      </c>
      <c r="R109" s="132" t="s">
        <v>195</v>
      </c>
    </row>
    <row r="110" spans="1:18" x14ac:dyDescent="0.15">
      <c r="A110" s="65">
        <v>13101</v>
      </c>
      <c r="B110" s="65">
        <v>16</v>
      </c>
      <c r="C110" s="105" t="str">
        <f t="shared" si="1"/>
        <v>13101_16</v>
      </c>
      <c r="D110" s="38" t="s">
        <v>249</v>
      </c>
      <c r="E110" s="65">
        <v>105</v>
      </c>
      <c r="F110" s="65" t="s">
        <v>248</v>
      </c>
      <c r="G110" s="65">
        <v>338</v>
      </c>
      <c r="H110" s="65">
        <v>1</v>
      </c>
      <c r="I110" s="65">
        <v>1</v>
      </c>
      <c r="J110" s="65">
        <v>1</v>
      </c>
      <c r="K110" s="65">
        <v>0</v>
      </c>
      <c r="L110" s="65">
        <v>0</v>
      </c>
      <c r="M110" s="65">
        <v>0</v>
      </c>
      <c r="N110" s="65">
        <v>0</v>
      </c>
      <c r="O110" s="65">
        <v>1</v>
      </c>
      <c r="P110" s="65">
        <v>100</v>
      </c>
      <c r="Q110" s="132" t="s">
        <v>194</v>
      </c>
      <c r="R110" s="132" t="s">
        <v>195</v>
      </c>
    </row>
    <row r="111" spans="1:18" x14ac:dyDescent="0.15">
      <c r="A111" s="65">
        <v>13101</v>
      </c>
      <c r="B111" s="65">
        <v>17</v>
      </c>
      <c r="C111" s="105" t="str">
        <f t="shared" si="1"/>
        <v>13101_17</v>
      </c>
      <c r="D111" s="38" t="s">
        <v>249</v>
      </c>
      <c r="E111" s="65">
        <v>106</v>
      </c>
      <c r="F111" s="65" t="s">
        <v>193</v>
      </c>
      <c r="G111" s="65">
        <v>1400</v>
      </c>
      <c r="H111" s="65" t="s">
        <v>246</v>
      </c>
      <c r="I111" s="65">
        <v>1</v>
      </c>
      <c r="J111" s="65">
        <v>1</v>
      </c>
      <c r="K111" s="65">
        <v>0</v>
      </c>
      <c r="L111" s="65">
        <v>0</v>
      </c>
      <c r="M111" s="65">
        <v>0</v>
      </c>
      <c r="N111" s="65">
        <v>0</v>
      </c>
      <c r="O111" s="65">
        <v>1</v>
      </c>
      <c r="P111" s="65">
        <v>300</v>
      </c>
      <c r="Q111" s="132" t="s">
        <v>194</v>
      </c>
      <c r="R111" s="132" t="s">
        <v>195</v>
      </c>
    </row>
    <row r="112" spans="1:18" x14ac:dyDescent="0.15">
      <c r="A112" s="65">
        <v>13101</v>
      </c>
      <c r="B112" s="65">
        <v>17</v>
      </c>
      <c r="C112" s="105" t="str">
        <f t="shared" si="1"/>
        <v>13101_17</v>
      </c>
      <c r="D112" s="38" t="s">
        <v>249</v>
      </c>
      <c r="E112" s="65">
        <v>107</v>
      </c>
      <c r="F112" s="65" t="s">
        <v>247</v>
      </c>
      <c r="G112" s="65">
        <v>25</v>
      </c>
      <c r="H112" s="65" t="s">
        <v>246</v>
      </c>
      <c r="I112" s="65">
        <v>1</v>
      </c>
      <c r="J112" s="65">
        <v>1</v>
      </c>
      <c r="K112" s="65">
        <v>0</v>
      </c>
      <c r="L112" s="65">
        <v>0</v>
      </c>
      <c r="M112" s="65">
        <v>0</v>
      </c>
      <c r="N112" s="65">
        <v>0</v>
      </c>
      <c r="O112" s="65">
        <v>1</v>
      </c>
      <c r="P112" s="65">
        <v>300</v>
      </c>
      <c r="Q112" s="132" t="s">
        <v>194</v>
      </c>
      <c r="R112" s="132" t="s">
        <v>195</v>
      </c>
    </row>
    <row r="113" spans="1:18" x14ac:dyDescent="0.15">
      <c r="A113" s="65">
        <v>13101</v>
      </c>
      <c r="B113" s="65">
        <v>17</v>
      </c>
      <c r="C113" s="105" t="str">
        <f t="shared" si="1"/>
        <v>13101_17</v>
      </c>
      <c r="D113" s="38" t="s">
        <v>249</v>
      </c>
      <c r="E113" s="65">
        <v>108</v>
      </c>
      <c r="F113" s="65" t="s">
        <v>248</v>
      </c>
      <c r="G113" s="65">
        <v>13</v>
      </c>
      <c r="H113" s="65">
        <v>1</v>
      </c>
      <c r="I113" s="65">
        <v>1</v>
      </c>
      <c r="J113" s="65">
        <v>1</v>
      </c>
      <c r="K113" s="65">
        <v>0</v>
      </c>
      <c r="L113" s="65">
        <v>0</v>
      </c>
      <c r="M113" s="65">
        <v>0</v>
      </c>
      <c r="N113" s="65">
        <v>0</v>
      </c>
      <c r="O113" s="65">
        <v>1</v>
      </c>
      <c r="P113" s="65">
        <v>75</v>
      </c>
      <c r="Q113" s="132" t="s">
        <v>194</v>
      </c>
      <c r="R113" s="132" t="s">
        <v>195</v>
      </c>
    </row>
    <row r="114" spans="1:18" x14ac:dyDescent="0.15">
      <c r="A114" s="65">
        <v>13101</v>
      </c>
      <c r="B114" s="65">
        <v>17</v>
      </c>
      <c r="C114" s="105" t="str">
        <f t="shared" si="1"/>
        <v>13101_17</v>
      </c>
      <c r="D114" s="38" t="s">
        <v>249</v>
      </c>
      <c r="E114" s="65">
        <v>109</v>
      </c>
      <c r="F114" s="65" t="s">
        <v>248</v>
      </c>
      <c r="G114" s="65">
        <v>19</v>
      </c>
      <c r="H114" s="65">
        <v>1</v>
      </c>
      <c r="I114" s="65">
        <v>1</v>
      </c>
      <c r="J114" s="65">
        <v>1</v>
      </c>
      <c r="K114" s="65">
        <v>0</v>
      </c>
      <c r="L114" s="65">
        <v>0</v>
      </c>
      <c r="M114" s="65">
        <v>0</v>
      </c>
      <c r="N114" s="65">
        <v>0</v>
      </c>
      <c r="O114" s="65">
        <v>1</v>
      </c>
      <c r="P114" s="65">
        <v>75</v>
      </c>
      <c r="Q114" s="132" t="s">
        <v>194</v>
      </c>
      <c r="R114" s="132" t="s">
        <v>195</v>
      </c>
    </row>
    <row r="115" spans="1:18" x14ac:dyDescent="0.15">
      <c r="A115" s="65">
        <v>13101</v>
      </c>
      <c r="B115" s="65">
        <v>17</v>
      </c>
      <c r="C115" s="105" t="str">
        <f t="shared" si="1"/>
        <v>13101_17</v>
      </c>
      <c r="D115" s="38" t="s">
        <v>249</v>
      </c>
      <c r="E115" s="65">
        <v>110</v>
      </c>
      <c r="F115" s="65" t="s">
        <v>248</v>
      </c>
      <c r="G115" s="65">
        <v>47</v>
      </c>
      <c r="H115" s="65">
        <v>1</v>
      </c>
      <c r="I115" s="65">
        <v>1</v>
      </c>
      <c r="J115" s="65">
        <v>1</v>
      </c>
      <c r="K115" s="65">
        <v>0</v>
      </c>
      <c r="L115" s="65">
        <v>0</v>
      </c>
      <c r="M115" s="65">
        <v>0</v>
      </c>
      <c r="N115" s="65">
        <v>0</v>
      </c>
      <c r="O115" s="65">
        <v>1</v>
      </c>
      <c r="P115" s="65">
        <v>75</v>
      </c>
      <c r="Q115" s="132" t="s">
        <v>194</v>
      </c>
      <c r="R115" s="132" t="s">
        <v>195</v>
      </c>
    </row>
    <row r="116" spans="1:18" x14ac:dyDescent="0.15">
      <c r="A116" s="65">
        <v>13101</v>
      </c>
      <c r="B116" s="65">
        <v>17</v>
      </c>
      <c r="C116" s="105" t="str">
        <f t="shared" si="1"/>
        <v>13101_17</v>
      </c>
      <c r="D116" s="38" t="s">
        <v>249</v>
      </c>
      <c r="E116" s="65">
        <v>111</v>
      </c>
      <c r="F116" s="65" t="s">
        <v>248</v>
      </c>
      <c r="G116" s="65">
        <v>63</v>
      </c>
      <c r="H116" s="65">
        <v>1</v>
      </c>
      <c r="I116" s="65">
        <v>1</v>
      </c>
      <c r="J116" s="65">
        <v>1</v>
      </c>
      <c r="K116" s="65">
        <v>0</v>
      </c>
      <c r="L116" s="65">
        <v>0</v>
      </c>
      <c r="M116" s="65">
        <v>0</v>
      </c>
      <c r="N116" s="65">
        <v>0</v>
      </c>
      <c r="O116" s="65">
        <v>1</v>
      </c>
      <c r="P116" s="65">
        <v>75</v>
      </c>
      <c r="Q116" s="132" t="s">
        <v>194</v>
      </c>
      <c r="R116" s="132" t="s">
        <v>195</v>
      </c>
    </row>
    <row r="117" spans="1:18" x14ac:dyDescent="0.15">
      <c r="A117" s="65">
        <v>13101</v>
      </c>
      <c r="B117" s="65">
        <v>17</v>
      </c>
      <c r="C117" s="105" t="str">
        <f t="shared" si="1"/>
        <v>13101_17</v>
      </c>
      <c r="D117" s="38" t="s">
        <v>249</v>
      </c>
      <c r="E117" s="65">
        <v>112</v>
      </c>
      <c r="F117" s="65" t="s">
        <v>248</v>
      </c>
      <c r="G117" s="65">
        <v>346</v>
      </c>
      <c r="H117" s="65">
        <v>1</v>
      </c>
      <c r="I117" s="65">
        <v>1</v>
      </c>
      <c r="J117" s="65">
        <v>1</v>
      </c>
      <c r="K117" s="65">
        <v>0</v>
      </c>
      <c r="L117" s="65">
        <v>0</v>
      </c>
      <c r="M117" s="65">
        <v>0</v>
      </c>
      <c r="N117" s="65">
        <v>0</v>
      </c>
      <c r="O117" s="65">
        <v>1</v>
      </c>
      <c r="P117" s="65">
        <v>100</v>
      </c>
      <c r="Q117" s="132" t="s">
        <v>194</v>
      </c>
      <c r="R117" s="132" t="s">
        <v>195</v>
      </c>
    </row>
    <row r="118" spans="1:18" x14ac:dyDescent="0.15">
      <c r="A118" s="65">
        <v>13101</v>
      </c>
      <c r="B118" s="65">
        <v>18</v>
      </c>
      <c r="C118" s="105" t="str">
        <f t="shared" si="1"/>
        <v>13101_18</v>
      </c>
      <c r="D118" s="38" t="s">
        <v>249</v>
      </c>
      <c r="E118" s="65">
        <v>113</v>
      </c>
      <c r="F118" s="65" t="s">
        <v>193</v>
      </c>
      <c r="G118" s="65">
        <v>1400</v>
      </c>
      <c r="H118" s="65" t="s">
        <v>246</v>
      </c>
      <c r="I118" s="65">
        <v>1</v>
      </c>
      <c r="J118" s="65">
        <v>1</v>
      </c>
      <c r="K118" s="65">
        <v>0</v>
      </c>
      <c r="L118" s="65">
        <v>0</v>
      </c>
      <c r="M118" s="65">
        <v>0</v>
      </c>
      <c r="N118" s="65">
        <v>0</v>
      </c>
      <c r="O118" s="65">
        <v>1</v>
      </c>
      <c r="P118" s="65">
        <v>300</v>
      </c>
      <c r="Q118" s="132" t="s">
        <v>194</v>
      </c>
      <c r="R118" s="132" t="s">
        <v>195</v>
      </c>
    </row>
    <row r="119" spans="1:18" x14ac:dyDescent="0.15">
      <c r="A119" s="65">
        <v>13101</v>
      </c>
      <c r="B119" s="65">
        <v>18</v>
      </c>
      <c r="C119" s="105" t="str">
        <f t="shared" si="1"/>
        <v>13101_18</v>
      </c>
      <c r="D119" s="38" t="s">
        <v>249</v>
      </c>
      <c r="E119" s="65">
        <v>114</v>
      </c>
      <c r="F119" s="65" t="s">
        <v>247</v>
      </c>
      <c r="G119" s="65">
        <v>25</v>
      </c>
      <c r="H119" s="65" t="s">
        <v>246</v>
      </c>
      <c r="I119" s="65">
        <v>1</v>
      </c>
      <c r="J119" s="65">
        <v>1</v>
      </c>
      <c r="K119" s="65">
        <v>0</v>
      </c>
      <c r="L119" s="65">
        <v>0</v>
      </c>
      <c r="M119" s="65">
        <v>0</v>
      </c>
      <c r="N119" s="65">
        <v>0</v>
      </c>
      <c r="O119" s="65">
        <v>1</v>
      </c>
      <c r="P119" s="65">
        <v>300</v>
      </c>
      <c r="Q119" s="132" t="s">
        <v>194</v>
      </c>
      <c r="R119" s="132" t="s">
        <v>195</v>
      </c>
    </row>
    <row r="120" spans="1:18" x14ac:dyDescent="0.15">
      <c r="A120" s="65">
        <v>13101</v>
      </c>
      <c r="B120" s="65">
        <v>18</v>
      </c>
      <c r="C120" s="105" t="str">
        <f t="shared" si="1"/>
        <v>13101_18</v>
      </c>
      <c r="D120" s="38" t="s">
        <v>249</v>
      </c>
      <c r="E120" s="65">
        <v>115</v>
      </c>
      <c r="F120" s="65" t="s">
        <v>248</v>
      </c>
      <c r="G120" s="65">
        <v>1</v>
      </c>
      <c r="H120" s="65">
        <v>1</v>
      </c>
      <c r="I120" s="65">
        <v>1</v>
      </c>
      <c r="J120" s="65">
        <v>1</v>
      </c>
      <c r="K120" s="65">
        <v>0</v>
      </c>
      <c r="L120" s="65">
        <v>0</v>
      </c>
      <c r="M120" s="65">
        <v>0</v>
      </c>
      <c r="N120" s="65">
        <v>0</v>
      </c>
      <c r="O120" s="65">
        <v>1</v>
      </c>
      <c r="P120" s="65">
        <v>50</v>
      </c>
      <c r="Q120" s="132" t="s">
        <v>194</v>
      </c>
      <c r="R120" s="132" t="s">
        <v>195</v>
      </c>
    </row>
    <row r="121" spans="1:18" x14ac:dyDescent="0.15">
      <c r="A121" s="65">
        <v>13101</v>
      </c>
      <c r="B121" s="65">
        <v>18</v>
      </c>
      <c r="C121" s="105" t="str">
        <f t="shared" si="1"/>
        <v>13101_18</v>
      </c>
      <c r="D121" s="38" t="s">
        <v>249</v>
      </c>
      <c r="E121" s="65">
        <v>116</v>
      </c>
      <c r="F121" s="65" t="s">
        <v>248</v>
      </c>
      <c r="G121" s="65">
        <v>9</v>
      </c>
      <c r="H121" s="65">
        <v>1</v>
      </c>
      <c r="I121" s="65">
        <v>1</v>
      </c>
      <c r="J121" s="65">
        <v>1</v>
      </c>
      <c r="K121" s="65">
        <v>0</v>
      </c>
      <c r="L121" s="65">
        <v>0</v>
      </c>
      <c r="M121" s="65">
        <v>0</v>
      </c>
      <c r="N121" s="65">
        <v>0</v>
      </c>
      <c r="O121" s="65">
        <v>1</v>
      </c>
      <c r="P121" s="65">
        <v>50</v>
      </c>
      <c r="Q121" s="132" t="s">
        <v>194</v>
      </c>
      <c r="R121" s="132" t="s">
        <v>195</v>
      </c>
    </row>
    <row r="122" spans="1:18" x14ac:dyDescent="0.15">
      <c r="A122" s="65">
        <v>13101</v>
      </c>
      <c r="B122" s="65">
        <v>18</v>
      </c>
      <c r="C122" s="105" t="str">
        <f t="shared" si="1"/>
        <v>13101_18</v>
      </c>
      <c r="D122" s="38" t="s">
        <v>249</v>
      </c>
      <c r="E122" s="65">
        <v>117</v>
      </c>
      <c r="F122" s="65" t="s">
        <v>248</v>
      </c>
      <c r="G122" s="65">
        <v>15</v>
      </c>
      <c r="H122" s="65">
        <v>1</v>
      </c>
      <c r="I122" s="65">
        <v>1</v>
      </c>
      <c r="J122" s="65">
        <v>1</v>
      </c>
      <c r="K122" s="65">
        <v>0</v>
      </c>
      <c r="L122" s="65">
        <v>0</v>
      </c>
      <c r="M122" s="65">
        <v>0</v>
      </c>
      <c r="N122" s="65">
        <v>0</v>
      </c>
      <c r="O122" s="65">
        <v>1</v>
      </c>
      <c r="P122" s="65">
        <v>50</v>
      </c>
      <c r="Q122" s="132" t="s">
        <v>194</v>
      </c>
      <c r="R122" s="132" t="s">
        <v>195</v>
      </c>
    </row>
    <row r="123" spans="1:18" x14ac:dyDescent="0.15">
      <c r="A123" s="65">
        <v>13101</v>
      </c>
      <c r="B123" s="65">
        <v>18</v>
      </c>
      <c r="C123" s="105" t="str">
        <f t="shared" si="1"/>
        <v>13101_18</v>
      </c>
      <c r="D123" s="38" t="s">
        <v>249</v>
      </c>
      <c r="E123" s="65">
        <v>118</v>
      </c>
      <c r="F123" s="65" t="s">
        <v>248</v>
      </c>
      <c r="G123" s="65">
        <v>21</v>
      </c>
      <c r="H123" s="65">
        <v>1</v>
      </c>
      <c r="I123" s="65">
        <v>1</v>
      </c>
      <c r="J123" s="65">
        <v>1</v>
      </c>
      <c r="K123" s="65">
        <v>0</v>
      </c>
      <c r="L123" s="65">
        <v>0</v>
      </c>
      <c r="M123" s="65">
        <v>0</v>
      </c>
      <c r="N123" s="65">
        <v>0</v>
      </c>
      <c r="O123" s="65">
        <v>1</v>
      </c>
      <c r="P123" s="65">
        <v>50</v>
      </c>
      <c r="Q123" s="132" t="s">
        <v>194</v>
      </c>
      <c r="R123" s="132" t="s">
        <v>195</v>
      </c>
    </row>
    <row r="124" spans="1:18" x14ac:dyDescent="0.15">
      <c r="A124" s="65">
        <v>13101</v>
      </c>
      <c r="B124" s="65">
        <v>18</v>
      </c>
      <c r="C124" s="105" t="str">
        <f t="shared" si="1"/>
        <v>13101_18</v>
      </c>
      <c r="D124" s="38" t="s">
        <v>249</v>
      </c>
      <c r="E124" s="65">
        <v>119</v>
      </c>
      <c r="F124" s="65" t="s">
        <v>248</v>
      </c>
      <c r="G124" s="65">
        <v>41</v>
      </c>
      <c r="H124" s="65">
        <v>1</v>
      </c>
      <c r="I124" s="65">
        <v>1</v>
      </c>
      <c r="J124" s="65">
        <v>1</v>
      </c>
      <c r="K124" s="65">
        <v>0</v>
      </c>
      <c r="L124" s="65">
        <v>0</v>
      </c>
      <c r="M124" s="65">
        <v>0</v>
      </c>
      <c r="N124" s="65">
        <v>0</v>
      </c>
      <c r="O124" s="65">
        <v>1</v>
      </c>
      <c r="P124" s="65">
        <v>50</v>
      </c>
      <c r="Q124" s="132" t="s">
        <v>194</v>
      </c>
      <c r="R124" s="132" t="s">
        <v>195</v>
      </c>
    </row>
    <row r="125" spans="1:18" x14ac:dyDescent="0.15">
      <c r="A125" s="65">
        <v>13101</v>
      </c>
      <c r="B125" s="65">
        <v>18</v>
      </c>
      <c r="C125" s="105" t="str">
        <f t="shared" si="1"/>
        <v>13101_18</v>
      </c>
      <c r="D125" s="38" t="s">
        <v>249</v>
      </c>
      <c r="E125" s="65">
        <v>120</v>
      </c>
      <c r="F125" s="65" t="s">
        <v>248</v>
      </c>
      <c r="G125" s="65">
        <v>57</v>
      </c>
      <c r="H125" s="65">
        <v>1</v>
      </c>
      <c r="I125" s="65">
        <v>1</v>
      </c>
      <c r="J125" s="65">
        <v>1</v>
      </c>
      <c r="K125" s="65">
        <v>0</v>
      </c>
      <c r="L125" s="65">
        <v>0</v>
      </c>
      <c r="M125" s="65">
        <v>0</v>
      </c>
      <c r="N125" s="65">
        <v>0</v>
      </c>
      <c r="O125" s="65">
        <v>1</v>
      </c>
      <c r="P125" s="65">
        <v>50</v>
      </c>
      <c r="Q125" s="132" t="s">
        <v>194</v>
      </c>
      <c r="R125" s="132" t="s">
        <v>195</v>
      </c>
    </row>
    <row r="126" spans="1:18" x14ac:dyDescent="0.15">
      <c r="A126" s="65">
        <v>13101</v>
      </c>
      <c r="B126" s="65">
        <v>18</v>
      </c>
      <c r="C126" s="105" t="str">
        <f t="shared" si="1"/>
        <v>13101_18</v>
      </c>
      <c r="D126" s="38" t="s">
        <v>249</v>
      </c>
      <c r="E126" s="65">
        <v>121</v>
      </c>
      <c r="F126" s="65" t="s">
        <v>248</v>
      </c>
      <c r="G126" s="65">
        <v>334</v>
      </c>
      <c r="H126" s="65">
        <v>1</v>
      </c>
      <c r="I126" s="65">
        <v>1</v>
      </c>
      <c r="J126" s="65">
        <v>1</v>
      </c>
      <c r="K126" s="65">
        <v>0</v>
      </c>
      <c r="L126" s="65">
        <v>0</v>
      </c>
      <c r="M126" s="65">
        <v>0</v>
      </c>
      <c r="N126" s="65">
        <v>0</v>
      </c>
      <c r="O126" s="65">
        <v>1</v>
      </c>
      <c r="P126" s="65">
        <v>100</v>
      </c>
      <c r="Q126" s="132" t="s">
        <v>194</v>
      </c>
      <c r="R126" s="132" t="s">
        <v>195</v>
      </c>
    </row>
    <row r="127" spans="1:18" x14ac:dyDescent="0.15">
      <c r="A127" s="65">
        <v>13101</v>
      </c>
      <c r="B127" s="65">
        <v>19</v>
      </c>
      <c r="C127" s="105" t="str">
        <f t="shared" si="1"/>
        <v>13101_19</v>
      </c>
      <c r="D127" s="38" t="s">
        <v>249</v>
      </c>
      <c r="E127" s="65">
        <v>122</v>
      </c>
      <c r="F127" s="65" t="s">
        <v>193</v>
      </c>
      <c r="G127" s="65">
        <v>1400</v>
      </c>
      <c r="H127" s="65" t="s">
        <v>246</v>
      </c>
      <c r="I127" s="65">
        <v>1</v>
      </c>
      <c r="J127" s="65">
        <v>1</v>
      </c>
      <c r="K127" s="65">
        <v>0</v>
      </c>
      <c r="L127" s="65">
        <v>0</v>
      </c>
      <c r="M127" s="65">
        <v>0</v>
      </c>
      <c r="N127" s="65">
        <v>0</v>
      </c>
      <c r="O127" s="65">
        <v>1</v>
      </c>
      <c r="P127" s="65">
        <v>300</v>
      </c>
      <c r="Q127" s="132" t="s">
        <v>194</v>
      </c>
      <c r="R127" s="132" t="s">
        <v>195</v>
      </c>
    </row>
    <row r="128" spans="1:18" x14ac:dyDescent="0.15">
      <c r="A128" s="65">
        <v>13101</v>
      </c>
      <c r="B128" s="65">
        <v>19</v>
      </c>
      <c r="C128" s="105" t="str">
        <f t="shared" si="1"/>
        <v>13101_19</v>
      </c>
      <c r="D128" s="38" t="s">
        <v>249</v>
      </c>
      <c r="E128" s="65">
        <v>123</v>
      </c>
      <c r="F128" s="65" t="s">
        <v>247</v>
      </c>
      <c r="G128" s="65">
        <v>25</v>
      </c>
      <c r="H128" s="65" t="s">
        <v>246</v>
      </c>
      <c r="I128" s="65">
        <v>1</v>
      </c>
      <c r="J128" s="65">
        <v>1</v>
      </c>
      <c r="K128" s="65">
        <v>0</v>
      </c>
      <c r="L128" s="65">
        <v>0</v>
      </c>
      <c r="M128" s="65">
        <v>0</v>
      </c>
      <c r="N128" s="65">
        <v>0</v>
      </c>
      <c r="O128" s="65">
        <v>1</v>
      </c>
      <c r="P128" s="65">
        <v>300</v>
      </c>
      <c r="Q128" s="132" t="s">
        <v>194</v>
      </c>
      <c r="R128" s="132" t="s">
        <v>195</v>
      </c>
    </row>
    <row r="129" spans="1:18" x14ac:dyDescent="0.15">
      <c r="A129" s="65">
        <v>13101</v>
      </c>
      <c r="B129" s="65">
        <v>19</v>
      </c>
      <c r="C129" s="105" t="str">
        <f t="shared" si="1"/>
        <v>13101_19</v>
      </c>
      <c r="D129" s="38" t="s">
        <v>249</v>
      </c>
      <c r="E129" s="65">
        <v>124</v>
      </c>
      <c r="F129" s="65" t="s">
        <v>248</v>
      </c>
      <c r="G129" s="65">
        <v>17</v>
      </c>
      <c r="H129" s="65">
        <v>1</v>
      </c>
      <c r="I129" s="65">
        <v>1</v>
      </c>
      <c r="J129" s="65">
        <v>1</v>
      </c>
      <c r="K129" s="65">
        <v>0</v>
      </c>
      <c r="L129" s="65">
        <v>0</v>
      </c>
      <c r="M129" s="65">
        <v>0</v>
      </c>
      <c r="N129" s="65">
        <v>0</v>
      </c>
      <c r="O129" s="65">
        <v>1</v>
      </c>
      <c r="P129" s="65">
        <v>75</v>
      </c>
      <c r="Q129" s="132" t="s">
        <v>194</v>
      </c>
      <c r="R129" s="132" t="s">
        <v>195</v>
      </c>
    </row>
    <row r="130" spans="1:18" x14ac:dyDescent="0.15">
      <c r="A130" s="65">
        <v>13101</v>
      </c>
      <c r="B130" s="65">
        <v>19</v>
      </c>
      <c r="C130" s="105" t="str">
        <f t="shared" si="1"/>
        <v>13101_19</v>
      </c>
      <c r="D130" s="38" t="s">
        <v>249</v>
      </c>
      <c r="E130" s="65">
        <v>125</v>
      </c>
      <c r="F130" s="65" t="s">
        <v>248</v>
      </c>
      <c r="G130" s="65">
        <v>25</v>
      </c>
      <c r="H130" s="65">
        <v>1</v>
      </c>
      <c r="I130" s="65">
        <v>1</v>
      </c>
      <c r="J130" s="65">
        <v>1</v>
      </c>
      <c r="K130" s="65">
        <v>0</v>
      </c>
      <c r="L130" s="65">
        <v>0</v>
      </c>
      <c r="M130" s="65">
        <v>0</v>
      </c>
      <c r="N130" s="65">
        <v>0</v>
      </c>
      <c r="O130" s="65">
        <v>1</v>
      </c>
      <c r="P130" s="65">
        <v>75</v>
      </c>
      <c r="Q130" s="132" t="s">
        <v>194</v>
      </c>
      <c r="R130" s="132" t="s">
        <v>195</v>
      </c>
    </row>
    <row r="131" spans="1:18" x14ac:dyDescent="0.15">
      <c r="A131" s="65">
        <v>13101</v>
      </c>
      <c r="B131" s="65">
        <v>19</v>
      </c>
      <c r="C131" s="105" t="str">
        <f t="shared" ref="C131:C187" si="2">A131&amp; "_"&amp;B131</f>
        <v>13101_19</v>
      </c>
      <c r="D131" s="38" t="s">
        <v>249</v>
      </c>
      <c r="E131" s="65">
        <v>126</v>
      </c>
      <c r="F131" s="65" t="s">
        <v>248</v>
      </c>
      <c r="G131" s="65">
        <v>45</v>
      </c>
      <c r="H131" s="65">
        <v>1</v>
      </c>
      <c r="I131" s="65">
        <v>1</v>
      </c>
      <c r="J131" s="65">
        <v>1</v>
      </c>
      <c r="K131" s="65">
        <v>0</v>
      </c>
      <c r="L131" s="65">
        <v>0</v>
      </c>
      <c r="M131" s="65">
        <v>0</v>
      </c>
      <c r="N131" s="65">
        <v>0</v>
      </c>
      <c r="O131" s="65">
        <v>1</v>
      </c>
      <c r="P131" s="65">
        <v>75</v>
      </c>
      <c r="Q131" s="132" t="s">
        <v>194</v>
      </c>
      <c r="R131" s="132" t="s">
        <v>195</v>
      </c>
    </row>
    <row r="132" spans="1:18" x14ac:dyDescent="0.15">
      <c r="A132" s="65">
        <v>13101</v>
      </c>
      <c r="B132" s="65">
        <v>19</v>
      </c>
      <c r="C132" s="105" t="str">
        <f t="shared" si="2"/>
        <v>13101_19</v>
      </c>
      <c r="D132" s="38" t="s">
        <v>249</v>
      </c>
      <c r="E132" s="65">
        <v>127</v>
      </c>
      <c r="F132" s="65" t="s">
        <v>248</v>
      </c>
      <c r="G132" s="65">
        <v>61</v>
      </c>
      <c r="H132" s="65">
        <v>1</v>
      </c>
      <c r="I132" s="65">
        <v>1</v>
      </c>
      <c r="J132" s="65">
        <v>1</v>
      </c>
      <c r="K132" s="65">
        <v>0</v>
      </c>
      <c r="L132" s="65">
        <v>0</v>
      </c>
      <c r="M132" s="65">
        <v>0</v>
      </c>
      <c r="N132" s="65">
        <v>0</v>
      </c>
      <c r="O132" s="65">
        <v>1</v>
      </c>
      <c r="P132" s="65">
        <v>75</v>
      </c>
      <c r="Q132" s="132" t="s">
        <v>194</v>
      </c>
      <c r="R132" s="132" t="s">
        <v>195</v>
      </c>
    </row>
    <row r="133" spans="1:18" x14ac:dyDescent="0.15">
      <c r="A133" s="65">
        <v>13101</v>
      </c>
      <c r="B133" s="65">
        <v>19</v>
      </c>
      <c r="C133" s="105" t="str">
        <f t="shared" si="2"/>
        <v>13101_19</v>
      </c>
      <c r="D133" s="38" t="s">
        <v>249</v>
      </c>
      <c r="E133" s="65">
        <v>128</v>
      </c>
      <c r="F133" s="65" t="s">
        <v>248</v>
      </c>
      <c r="G133" s="65">
        <v>342</v>
      </c>
      <c r="H133" s="65">
        <v>1</v>
      </c>
      <c r="I133" s="65">
        <v>1</v>
      </c>
      <c r="J133" s="65">
        <v>1</v>
      </c>
      <c r="K133" s="65">
        <v>0</v>
      </c>
      <c r="L133" s="65">
        <v>0</v>
      </c>
      <c r="M133" s="65">
        <v>0</v>
      </c>
      <c r="N133" s="65">
        <v>0</v>
      </c>
      <c r="O133" s="65">
        <v>1</v>
      </c>
      <c r="P133" s="65">
        <v>100</v>
      </c>
      <c r="Q133" s="132" t="s">
        <v>194</v>
      </c>
      <c r="R133" s="132" t="s">
        <v>195</v>
      </c>
    </row>
    <row r="134" spans="1:18" x14ac:dyDescent="0.15">
      <c r="A134" s="65">
        <v>13101</v>
      </c>
      <c r="B134" s="65">
        <v>20</v>
      </c>
      <c r="C134" s="105" t="str">
        <f t="shared" si="2"/>
        <v>13101_20</v>
      </c>
      <c r="D134" s="38" t="s">
        <v>249</v>
      </c>
      <c r="E134" s="65">
        <v>129</v>
      </c>
      <c r="F134" s="65" t="s">
        <v>193</v>
      </c>
      <c r="G134" s="65">
        <v>1400</v>
      </c>
      <c r="H134" s="65" t="s">
        <v>246</v>
      </c>
      <c r="I134" s="65">
        <v>1</v>
      </c>
      <c r="J134" s="65">
        <v>1</v>
      </c>
      <c r="K134" s="65">
        <v>0</v>
      </c>
      <c r="L134" s="65">
        <v>0</v>
      </c>
      <c r="M134" s="65">
        <v>0</v>
      </c>
      <c r="N134" s="65">
        <v>0</v>
      </c>
      <c r="O134" s="65">
        <v>1</v>
      </c>
      <c r="P134" s="65">
        <v>150</v>
      </c>
      <c r="Q134" s="132" t="s">
        <v>194</v>
      </c>
      <c r="R134" s="132" t="s">
        <v>195</v>
      </c>
    </row>
    <row r="135" spans="1:18" x14ac:dyDescent="0.15">
      <c r="A135" s="65">
        <v>13101</v>
      </c>
      <c r="B135" s="65">
        <v>20</v>
      </c>
      <c r="C135" s="105" t="str">
        <f t="shared" si="2"/>
        <v>13101_20</v>
      </c>
      <c r="D135" s="38" t="s">
        <v>249</v>
      </c>
      <c r="E135" s="65">
        <v>130</v>
      </c>
      <c r="F135" s="65" t="s">
        <v>247</v>
      </c>
      <c r="G135" s="65">
        <v>25</v>
      </c>
      <c r="H135" s="65" t="s">
        <v>246</v>
      </c>
      <c r="I135" s="65">
        <v>1</v>
      </c>
      <c r="J135" s="65">
        <v>1</v>
      </c>
      <c r="K135" s="65">
        <v>0</v>
      </c>
      <c r="L135" s="65">
        <v>0</v>
      </c>
      <c r="M135" s="65">
        <v>0</v>
      </c>
      <c r="N135" s="65">
        <v>0</v>
      </c>
      <c r="O135" s="65">
        <v>1</v>
      </c>
      <c r="P135" s="65">
        <v>150</v>
      </c>
      <c r="Q135" s="132" t="s">
        <v>194</v>
      </c>
      <c r="R135" s="132" t="s">
        <v>195</v>
      </c>
    </row>
    <row r="136" spans="1:18" x14ac:dyDescent="0.15">
      <c r="A136" s="65">
        <v>13101</v>
      </c>
      <c r="B136" s="65">
        <v>20</v>
      </c>
      <c r="C136" s="105" t="str">
        <f t="shared" si="2"/>
        <v>13101_20</v>
      </c>
      <c r="D136" s="38" t="s">
        <v>249</v>
      </c>
      <c r="E136" s="65">
        <v>131</v>
      </c>
      <c r="F136" s="65" t="s">
        <v>248</v>
      </c>
      <c r="G136" s="65">
        <v>342</v>
      </c>
      <c r="H136" s="65">
        <v>1</v>
      </c>
      <c r="I136" s="65">
        <v>1</v>
      </c>
      <c r="J136" s="65">
        <v>1</v>
      </c>
      <c r="K136" s="65">
        <v>0</v>
      </c>
      <c r="L136" s="65">
        <v>0</v>
      </c>
      <c r="M136" s="65">
        <v>0</v>
      </c>
      <c r="N136" s="65">
        <v>0</v>
      </c>
      <c r="O136" s="65">
        <v>1</v>
      </c>
      <c r="P136" s="65">
        <v>140</v>
      </c>
      <c r="Q136" s="132" t="s">
        <v>194</v>
      </c>
      <c r="R136" s="132" t="s">
        <v>195</v>
      </c>
    </row>
    <row r="137" spans="1:18" x14ac:dyDescent="0.15">
      <c r="A137" s="65">
        <v>13101</v>
      </c>
      <c r="B137" s="65">
        <v>20</v>
      </c>
      <c r="C137" s="105" t="str">
        <f t="shared" si="2"/>
        <v>13101_20</v>
      </c>
      <c r="D137" s="38" t="s">
        <v>249</v>
      </c>
      <c r="E137" s="65">
        <v>132</v>
      </c>
      <c r="F137" s="65" t="s">
        <v>248</v>
      </c>
      <c r="G137" s="65">
        <v>352</v>
      </c>
      <c r="H137" s="65">
        <v>1</v>
      </c>
      <c r="I137" s="65">
        <v>1</v>
      </c>
      <c r="J137" s="65">
        <v>1</v>
      </c>
      <c r="K137" s="65">
        <v>0</v>
      </c>
      <c r="L137" s="65">
        <v>0</v>
      </c>
      <c r="M137" s="65">
        <v>0</v>
      </c>
      <c r="N137" s="65">
        <v>0</v>
      </c>
      <c r="O137" s="65">
        <v>1</v>
      </c>
      <c r="P137" s="65">
        <v>150</v>
      </c>
      <c r="Q137" s="132" t="s">
        <v>194</v>
      </c>
      <c r="R137" s="132" t="s">
        <v>195</v>
      </c>
    </row>
    <row r="138" spans="1:18" x14ac:dyDescent="0.15">
      <c r="A138" s="65">
        <v>13101</v>
      </c>
      <c r="B138" s="65">
        <v>20</v>
      </c>
      <c r="C138" s="105" t="str">
        <f t="shared" si="2"/>
        <v>13101_20</v>
      </c>
      <c r="D138" s="38" t="s">
        <v>249</v>
      </c>
      <c r="E138" s="65">
        <v>133</v>
      </c>
      <c r="F138" s="65" t="s">
        <v>248</v>
      </c>
      <c r="G138" s="65">
        <v>318</v>
      </c>
      <c r="H138" s="65">
        <v>1</v>
      </c>
      <c r="I138" s="65">
        <v>1</v>
      </c>
      <c r="J138" s="65">
        <v>1</v>
      </c>
      <c r="K138" s="65">
        <v>0</v>
      </c>
      <c r="L138" s="65">
        <v>0</v>
      </c>
      <c r="M138" s="65">
        <v>0</v>
      </c>
      <c r="N138" s="65">
        <v>0</v>
      </c>
      <c r="O138" s="65">
        <v>1</v>
      </c>
      <c r="P138" s="65">
        <v>250</v>
      </c>
      <c r="Q138" s="132" t="s">
        <v>194</v>
      </c>
      <c r="R138" s="132" t="s">
        <v>195</v>
      </c>
    </row>
    <row r="139" spans="1:18" x14ac:dyDescent="0.15">
      <c r="A139" s="65">
        <v>13101</v>
      </c>
      <c r="B139" s="65">
        <v>20</v>
      </c>
      <c r="C139" s="105" t="str">
        <f t="shared" si="2"/>
        <v>13101_20</v>
      </c>
      <c r="D139" s="38" t="s">
        <v>249</v>
      </c>
      <c r="E139" s="65">
        <v>134</v>
      </c>
      <c r="F139" s="65" t="s">
        <v>248</v>
      </c>
      <c r="G139" s="65">
        <v>121</v>
      </c>
      <c r="H139" s="65">
        <v>1</v>
      </c>
      <c r="I139" s="65">
        <v>1</v>
      </c>
      <c r="J139" s="65">
        <v>1</v>
      </c>
      <c r="K139" s="65">
        <v>0</v>
      </c>
      <c r="L139" s="65">
        <v>0</v>
      </c>
      <c r="M139" s="65">
        <v>0</v>
      </c>
      <c r="N139" s="65">
        <v>0</v>
      </c>
      <c r="O139" s="65">
        <v>1</v>
      </c>
      <c r="P139" s="65">
        <v>50</v>
      </c>
      <c r="Q139" s="132" t="s">
        <v>194</v>
      </c>
      <c r="R139" s="132" t="s">
        <v>195</v>
      </c>
    </row>
    <row r="140" spans="1:18" x14ac:dyDescent="0.15">
      <c r="A140" s="65">
        <v>13101</v>
      </c>
      <c r="B140" s="65">
        <v>20</v>
      </c>
      <c r="C140" s="105" t="str">
        <f t="shared" si="2"/>
        <v>13101_20</v>
      </c>
      <c r="D140" s="38" t="s">
        <v>249</v>
      </c>
      <c r="E140" s="65">
        <v>135</v>
      </c>
      <c r="F140" s="65" t="s">
        <v>248</v>
      </c>
      <c r="G140" s="65">
        <v>122</v>
      </c>
      <c r="H140" s="65">
        <v>1</v>
      </c>
      <c r="I140" s="65">
        <v>1</v>
      </c>
      <c r="J140" s="65">
        <v>1</v>
      </c>
      <c r="K140" s="65">
        <v>0</v>
      </c>
      <c r="L140" s="65">
        <v>0</v>
      </c>
      <c r="M140" s="65">
        <v>0</v>
      </c>
      <c r="N140" s="65">
        <v>0</v>
      </c>
      <c r="O140" s="65">
        <v>1</v>
      </c>
      <c r="P140" s="65">
        <v>50</v>
      </c>
      <c r="Q140" s="132" t="s">
        <v>194</v>
      </c>
      <c r="R140" s="132" t="s">
        <v>195</v>
      </c>
    </row>
    <row r="141" spans="1:18" x14ac:dyDescent="0.15">
      <c r="A141" s="65">
        <v>13101</v>
      </c>
      <c r="B141" s="65">
        <v>20</v>
      </c>
      <c r="C141" s="105" t="str">
        <f t="shared" si="2"/>
        <v>13101_20</v>
      </c>
      <c r="D141" s="38" t="s">
        <v>249</v>
      </c>
      <c r="E141" s="65">
        <v>136</v>
      </c>
      <c r="F141" s="65" t="s">
        <v>248</v>
      </c>
      <c r="G141" s="65">
        <v>123</v>
      </c>
      <c r="H141" s="65">
        <v>1</v>
      </c>
      <c r="I141" s="65">
        <v>1</v>
      </c>
      <c r="J141" s="65">
        <v>1</v>
      </c>
      <c r="K141" s="65">
        <v>0</v>
      </c>
      <c r="L141" s="65">
        <v>0</v>
      </c>
      <c r="M141" s="65">
        <v>0</v>
      </c>
      <c r="N141" s="65">
        <v>0</v>
      </c>
      <c r="O141" s="65">
        <v>1</v>
      </c>
      <c r="P141" s="65">
        <v>50</v>
      </c>
      <c r="Q141" s="132" t="s">
        <v>194</v>
      </c>
      <c r="R141" s="132" t="s">
        <v>195</v>
      </c>
    </row>
    <row r="142" spans="1:18" x14ac:dyDescent="0.15">
      <c r="A142" s="65">
        <v>13101</v>
      </c>
      <c r="B142" s="65">
        <v>20</v>
      </c>
      <c r="C142" s="105" t="str">
        <f t="shared" si="2"/>
        <v>13101_20</v>
      </c>
      <c r="D142" s="38" t="s">
        <v>249</v>
      </c>
      <c r="E142" s="65">
        <v>137</v>
      </c>
      <c r="F142" s="65" t="s">
        <v>248</v>
      </c>
      <c r="G142" s="65">
        <v>125</v>
      </c>
      <c r="H142" s="65">
        <v>1</v>
      </c>
      <c r="I142" s="65">
        <v>1</v>
      </c>
      <c r="J142" s="65">
        <v>1</v>
      </c>
      <c r="K142" s="65">
        <v>0</v>
      </c>
      <c r="L142" s="65">
        <v>0</v>
      </c>
      <c r="M142" s="65">
        <v>0</v>
      </c>
      <c r="N142" s="65">
        <v>0</v>
      </c>
      <c r="O142" s="65">
        <v>1</v>
      </c>
      <c r="P142" s="65">
        <v>10</v>
      </c>
      <c r="Q142" s="132" t="s">
        <v>194</v>
      </c>
      <c r="R142" s="132" t="s">
        <v>195</v>
      </c>
    </row>
    <row r="143" spans="1:18" x14ac:dyDescent="0.15">
      <c r="A143" s="65">
        <v>13101</v>
      </c>
      <c r="B143" s="65">
        <v>21</v>
      </c>
      <c r="C143" s="105" t="str">
        <f t="shared" si="2"/>
        <v>13101_21</v>
      </c>
      <c r="D143" s="38" t="s">
        <v>249</v>
      </c>
      <c r="E143" s="65">
        <v>134</v>
      </c>
      <c r="F143" s="65" t="s">
        <v>193</v>
      </c>
      <c r="G143" s="65">
        <v>1600</v>
      </c>
      <c r="H143" s="65" t="s">
        <v>246</v>
      </c>
      <c r="I143" s="65">
        <v>1</v>
      </c>
      <c r="J143" s="65">
        <v>1</v>
      </c>
      <c r="K143" s="65">
        <v>0</v>
      </c>
      <c r="L143" s="65">
        <v>0</v>
      </c>
      <c r="M143" s="65">
        <v>0</v>
      </c>
      <c r="N143" s="65">
        <v>0</v>
      </c>
      <c r="O143" s="65">
        <v>1</v>
      </c>
      <c r="P143" s="65">
        <v>200</v>
      </c>
      <c r="Q143" s="132" t="s">
        <v>194</v>
      </c>
      <c r="R143" s="132" t="s">
        <v>195</v>
      </c>
    </row>
    <row r="144" spans="1:18" x14ac:dyDescent="0.15">
      <c r="A144" s="65">
        <v>13101</v>
      </c>
      <c r="B144" s="65">
        <v>21</v>
      </c>
      <c r="C144" s="105" t="str">
        <f t="shared" si="2"/>
        <v>13101_21</v>
      </c>
      <c r="D144" s="38" t="s">
        <v>249</v>
      </c>
      <c r="E144" s="65">
        <v>135</v>
      </c>
      <c r="F144" s="65" t="s">
        <v>247</v>
      </c>
      <c r="G144" s="65">
        <v>25</v>
      </c>
      <c r="H144" s="65" t="s">
        <v>246</v>
      </c>
      <c r="I144" s="65">
        <v>1</v>
      </c>
      <c r="J144" s="65">
        <v>1</v>
      </c>
      <c r="K144" s="65">
        <v>0</v>
      </c>
      <c r="L144" s="65">
        <v>0</v>
      </c>
      <c r="M144" s="65">
        <v>0</v>
      </c>
      <c r="N144" s="65">
        <v>0</v>
      </c>
      <c r="O144" s="65">
        <v>1</v>
      </c>
      <c r="P144" s="65">
        <v>300</v>
      </c>
      <c r="Q144" s="132" t="s">
        <v>194</v>
      </c>
      <c r="R144" s="132" t="s">
        <v>195</v>
      </c>
    </row>
    <row r="145" spans="1:18" x14ac:dyDescent="0.15">
      <c r="A145" s="65">
        <v>13101</v>
      </c>
      <c r="B145" s="65">
        <v>21</v>
      </c>
      <c r="C145" s="105" t="str">
        <f t="shared" si="2"/>
        <v>13101_21</v>
      </c>
      <c r="D145" s="38" t="s">
        <v>249</v>
      </c>
      <c r="E145" s="65">
        <v>136</v>
      </c>
      <c r="F145" s="65" t="s">
        <v>248</v>
      </c>
      <c r="G145" s="65">
        <v>9</v>
      </c>
      <c r="H145" s="65">
        <v>1</v>
      </c>
      <c r="I145" s="65">
        <v>1</v>
      </c>
      <c r="J145" s="65">
        <v>1</v>
      </c>
      <c r="K145" s="65">
        <v>0</v>
      </c>
      <c r="L145" s="65">
        <v>0</v>
      </c>
      <c r="M145" s="65">
        <v>0</v>
      </c>
      <c r="N145" s="65">
        <v>0</v>
      </c>
      <c r="O145" s="65">
        <v>1</v>
      </c>
      <c r="P145" s="65">
        <v>20</v>
      </c>
      <c r="Q145" s="132" t="s">
        <v>194</v>
      </c>
      <c r="R145" s="132" t="s">
        <v>195</v>
      </c>
    </row>
    <row r="146" spans="1:18" x14ac:dyDescent="0.15">
      <c r="A146" s="65">
        <v>13101</v>
      </c>
      <c r="B146" s="65">
        <v>21</v>
      </c>
      <c r="C146" s="105" t="str">
        <f t="shared" si="2"/>
        <v>13101_21</v>
      </c>
      <c r="D146" s="38" t="s">
        <v>249</v>
      </c>
      <c r="E146" s="65">
        <v>138</v>
      </c>
      <c r="F146" s="65" t="s">
        <v>248</v>
      </c>
      <c r="G146" s="65">
        <v>15</v>
      </c>
      <c r="H146" s="65">
        <v>1</v>
      </c>
      <c r="I146" s="65">
        <v>1</v>
      </c>
      <c r="J146" s="65">
        <v>1</v>
      </c>
      <c r="K146" s="65">
        <v>0</v>
      </c>
      <c r="L146" s="65">
        <v>0</v>
      </c>
      <c r="M146" s="65">
        <v>0</v>
      </c>
      <c r="N146" s="65">
        <v>0</v>
      </c>
      <c r="O146" s="65">
        <v>1</v>
      </c>
      <c r="P146" s="65">
        <v>20</v>
      </c>
      <c r="Q146" s="132" t="s">
        <v>194</v>
      </c>
      <c r="R146" s="132" t="s">
        <v>195</v>
      </c>
    </row>
    <row r="147" spans="1:18" x14ac:dyDescent="0.15">
      <c r="A147" s="65">
        <v>13101</v>
      </c>
      <c r="B147" s="65">
        <v>21</v>
      </c>
      <c r="C147" s="105" t="str">
        <f t="shared" si="2"/>
        <v>13101_21</v>
      </c>
      <c r="D147" s="38" t="s">
        <v>249</v>
      </c>
      <c r="E147" s="65">
        <v>139</v>
      </c>
      <c r="F147" s="65" t="s">
        <v>248</v>
      </c>
      <c r="G147" s="65">
        <v>21</v>
      </c>
      <c r="H147" s="65">
        <v>1</v>
      </c>
      <c r="I147" s="65">
        <v>1</v>
      </c>
      <c r="J147" s="65">
        <v>1</v>
      </c>
      <c r="K147" s="65">
        <v>0</v>
      </c>
      <c r="L147" s="65">
        <v>0</v>
      </c>
      <c r="M147" s="65">
        <v>0</v>
      </c>
      <c r="N147" s="65">
        <v>0</v>
      </c>
      <c r="O147" s="65">
        <v>1</v>
      </c>
      <c r="P147" s="65">
        <v>20</v>
      </c>
      <c r="Q147" s="132" t="s">
        <v>194</v>
      </c>
      <c r="R147" s="132" t="s">
        <v>195</v>
      </c>
    </row>
    <row r="148" spans="1:18" x14ac:dyDescent="0.15">
      <c r="A148" s="65">
        <v>13101</v>
      </c>
      <c r="B148" s="65">
        <v>21</v>
      </c>
      <c r="C148" s="105" t="str">
        <f t="shared" si="2"/>
        <v>13101_21</v>
      </c>
      <c r="D148" s="38" t="s">
        <v>249</v>
      </c>
      <c r="E148" s="65">
        <v>141</v>
      </c>
      <c r="F148" s="65" t="s">
        <v>248</v>
      </c>
      <c r="G148" s="65">
        <v>33</v>
      </c>
      <c r="H148" s="65">
        <v>1</v>
      </c>
      <c r="I148" s="65">
        <v>1</v>
      </c>
      <c r="J148" s="65">
        <v>1</v>
      </c>
      <c r="K148" s="65">
        <v>0</v>
      </c>
      <c r="L148" s="65">
        <v>0</v>
      </c>
      <c r="M148" s="65">
        <v>0</v>
      </c>
      <c r="N148" s="65">
        <v>0</v>
      </c>
      <c r="O148" s="65">
        <v>1</v>
      </c>
      <c r="P148" s="65">
        <v>20</v>
      </c>
      <c r="Q148" s="132" t="s">
        <v>194</v>
      </c>
      <c r="R148" s="132" t="s">
        <v>195</v>
      </c>
    </row>
    <row r="149" spans="1:18" x14ac:dyDescent="0.15">
      <c r="A149" s="65">
        <v>13101</v>
      </c>
      <c r="B149" s="65">
        <v>21</v>
      </c>
      <c r="C149" s="105" t="str">
        <f t="shared" si="2"/>
        <v>13101_21</v>
      </c>
      <c r="D149" s="38" t="s">
        <v>249</v>
      </c>
      <c r="E149" s="65">
        <v>142</v>
      </c>
      <c r="F149" s="65" t="s">
        <v>248</v>
      </c>
      <c r="G149" s="65">
        <v>41</v>
      </c>
      <c r="H149" s="65">
        <v>1</v>
      </c>
      <c r="I149" s="65">
        <v>1</v>
      </c>
      <c r="J149" s="65">
        <v>1</v>
      </c>
      <c r="K149" s="65">
        <v>0</v>
      </c>
      <c r="L149" s="65">
        <v>0</v>
      </c>
      <c r="M149" s="65">
        <v>0</v>
      </c>
      <c r="N149" s="65">
        <v>0</v>
      </c>
      <c r="O149" s="65">
        <v>1</v>
      </c>
      <c r="P149" s="65">
        <v>20</v>
      </c>
      <c r="Q149" s="132" t="s">
        <v>194</v>
      </c>
      <c r="R149" s="132" t="s">
        <v>195</v>
      </c>
    </row>
    <row r="150" spans="1:18" x14ac:dyDescent="0.15">
      <c r="A150" s="65">
        <v>13101</v>
      </c>
      <c r="B150" s="65">
        <v>21</v>
      </c>
      <c r="C150" s="105" t="str">
        <f t="shared" si="2"/>
        <v>13101_21</v>
      </c>
      <c r="D150" s="38" t="s">
        <v>249</v>
      </c>
      <c r="E150" s="65">
        <v>143</v>
      </c>
      <c r="F150" s="65" t="s">
        <v>248</v>
      </c>
      <c r="G150" s="65">
        <v>334</v>
      </c>
      <c r="H150" s="65">
        <v>1</v>
      </c>
      <c r="I150" s="65">
        <v>1</v>
      </c>
      <c r="J150" s="65">
        <v>1</v>
      </c>
      <c r="K150" s="65">
        <v>0</v>
      </c>
      <c r="L150" s="65">
        <v>0</v>
      </c>
      <c r="M150" s="65">
        <v>0</v>
      </c>
      <c r="N150" s="65">
        <v>0</v>
      </c>
      <c r="O150" s="65">
        <v>1</v>
      </c>
      <c r="P150" s="65">
        <v>100</v>
      </c>
      <c r="Q150" s="132" t="s">
        <v>194</v>
      </c>
      <c r="R150" s="132" t="s">
        <v>195</v>
      </c>
    </row>
    <row r="151" spans="1:18" x14ac:dyDescent="0.15">
      <c r="A151" s="65">
        <v>13101</v>
      </c>
      <c r="B151" s="65">
        <v>21</v>
      </c>
      <c r="C151" s="105" t="str">
        <f t="shared" si="2"/>
        <v>13101_21</v>
      </c>
      <c r="D151" s="38" t="s">
        <v>249</v>
      </c>
      <c r="E151" s="65">
        <v>144</v>
      </c>
      <c r="F151" s="65" t="s">
        <v>248</v>
      </c>
      <c r="G151" s="65">
        <v>348</v>
      </c>
      <c r="H151" s="65">
        <v>1</v>
      </c>
      <c r="I151" s="65">
        <v>1</v>
      </c>
      <c r="J151" s="65">
        <v>1</v>
      </c>
      <c r="K151" s="65">
        <v>0</v>
      </c>
      <c r="L151" s="65">
        <v>0</v>
      </c>
      <c r="M151" s="65">
        <v>0</v>
      </c>
      <c r="N151" s="65">
        <v>0</v>
      </c>
      <c r="O151" s="65">
        <v>1</v>
      </c>
      <c r="P151" s="65">
        <v>300</v>
      </c>
      <c r="Q151" s="132" t="s">
        <v>194</v>
      </c>
      <c r="R151" s="132" t="s">
        <v>195</v>
      </c>
    </row>
    <row r="152" spans="1:18" x14ac:dyDescent="0.15">
      <c r="A152" s="65">
        <v>13101</v>
      </c>
      <c r="B152" s="65">
        <v>22</v>
      </c>
      <c r="C152" s="105" t="str">
        <f t="shared" si="2"/>
        <v>13101_22</v>
      </c>
      <c r="D152" s="38" t="s">
        <v>249</v>
      </c>
      <c r="E152" s="65">
        <v>145</v>
      </c>
      <c r="F152" s="65" t="s">
        <v>193</v>
      </c>
      <c r="G152" s="65">
        <v>1600</v>
      </c>
      <c r="H152" s="65" t="s">
        <v>246</v>
      </c>
      <c r="I152" s="65">
        <v>1</v>
      </c>
      <c r="J152" s="65">
        <v>1</v>
      </c>
      <c r="K152" s="65">
        <v>0</v>
      </c>
      <c r="L152" s="65">
        <v>0</v>
      </c>
      <c r="M152" s="65">
        <v>0</v>
      </c>
      <c r="N152" s="65">
        <v>0</v>
      </c>
      <c r="O152" s="65">
        <v>1</v>
      </c>
      <c r="P152" s="65">
        <v>200</v>
      </c>
      <c r="Q152" s="132" t="s">
        <v>194</v>
      </c>
      <c r="R152" s="132" t="s">
        <v>195</v>
      </c>
    </row>
    <row r="153" spans="1:18" x14ac:dyDescent="0.15">
      <c r="A153" s="65">
        <v>13101</v>
      </c>
      <c r="B153" s="65">
        <v>22</v>
      </c>
      <c r="C153" s="105" t="str">
        <f t="shared" si="2"/>
        <v>13101_22</v>
      </c>
      <c r="D153" s="38" t="s">
        <v>249</v>
      </c>
      <c r="E153" s="65">
        <v>146</v>
      </c>
      <c r="F153" s="65" t="s">
        <v>247</v>
      </c>
      <c r="G153" s="65">
        <v>25</v>
      </c>
      <c r="H153" s="65" t="s">
        <v>246</v>
      </c>
      <c r="I153" s="65">
        <v>1</v>
      </c>
      <c r="J153" s="65">
        <v>1</v>
      </c>
      <c r="K153" s="65">
        <v>0</v>
      </c>
      <c r="L153" s="65">
        <v>0</v>
      </c>
      <c r="M153" s="65">
        <v>0</v>
      </c>
      <c r="N153" s="65">
        <v>0</v>
      </c>
      <c r="O153" s="65">
        <v>1</v>
      </c>
      <c r="P153" s="65">
        <v>300</v>
      </c>
      <c r="Q153" s="132" t="s">
        <v>194</v>
      </c>
      <c r="R153" s="132" t="s">
        <v>195</v>
      </c>
    </row>
    <row r="154" spans="1:18" x14ac:dyDescent="0.15">
      <c r="A154" s="65">
        <v>13101</v>
      </c>
      <c r="B154" s="65">
        <v>22</v>
      </c>
      <c r="C154" s="105" t="str">
        <f t="shared" si="2"/>
        <v>13101_22</v>
      </c>
      <c r="D154" s="38" t="s">
        <v>249</v>
      </c>
      <c r="E154" s="65">
        <v>147</v>
      </c>
      <c r="F154" s="65" t="s">
        <v>248</v>
      </c>
      <c r="G154" s="65">
        <v>11</v>
      </c>
      <c r="H154" s="65">
        <v>1</v>
      </c>
      <c r="I154" s="65">
        <v>1</v>
      </c>
      <c r="J154" s="65">
        <v>1</v>
      </c>
      <c r="K154" s="65">
        <v>0</v>
      </c>
      <c r="L154" s="65">
        <v>0</v>
      </c>
      <c r="M154" s="65">
        <v>0</v>
      </c>
      <c r="N154" s="65">
        <v>0</v>
      </c>
      <c r="O154" s="65">
        <v>1</v>
      </c>
      <c r="P154" s="65">
        <v>20</v>
      </c>
      <c r="Q154" s="132" t="s">
        <v>194</v>
      </c>
      <c r="R154" s="132" t="s">
        <v>195</v>
      </c>
    </row>
    <row r="155" spans="1:18" x14ac:dyDescent="0.15">
      <c r="A155" s="65">
        <v>13101</v>
      </c>
      <c r="B155" s="65">
        <v>22</v>
      </c>
      <c r="C155" s="105" t="str">
        <f t="shared" si="2"/>
        <v>13101_22</v>
      </c>
      <c r="D155" s="38" t="s">
        <v>249</v>
      </c>
      <c r="E155" s="65">
        <v>149</v>
      </c>
      <c r="F155" s="65" t="s">
        <v>248</v>
      </c>
      <c r="G155" s="65">
        <v>23</v>
      </c>
      <c r="H155" s="65">
        <v>1</v>
      </c>
      <c r="I155" s="65">
        <v>1</v>
      </c>
      <c r="J155" s="65">
        <v>1</v>
      </c>
      <c r="K155" s="65">
        <v>0</v>
      </c>
      <c r="L155" s="65">
        <v>0</v>
      </c>
      <c r="M155" s="65">
        <v>0</v>
      </c>
      <c r="N155" s="65">
        <v>0</v>
      </c>
      <c r="O155" s="65">
        <v>1</v>
      </c>
      <c r="P155" s="65">
        <v>20</v>
      </c>
      <c r="Q155" s="132" t="s">
        <v>194</v>
      </c>
      <c r="R155" s="132" t="s">
        <v>195</v>
      </c>
    </row>
    <row r="156" spans="1:18" x14ac:dyDescent="0.15">
      <c r="A156" s="65">
        <v>13101</v>
      </c>
      <c r="B156" s="65">
        <v>22</v>
      </c>
      <c r="C156" s="105" t="str">
        <f t="shared" si="2"/>
        <v>13101_22</v>
      </c>
      <c r="D156" s="38" t="s">
        <v>249</v>
      </c>
      <c r="E156" s="65">
        <v>151</v>
      </c>
      <c r="F156" s="65" t="s">
        <v>248</v>
      </c>
      <c r="G156" s="65">
        <v>28</v>
      </c>
      <c r="H156" s="65">
        <v>1</v>
      </c>
      <c r="I156" s="65">
        <v>1</v>
      </c>
      <c r="J156" s="65">
        <v>1</v>
      </c>
      <c r="K156" s="65">
        <v>0</v>
      </c>
      <c r="L156" s="65">
        <v>0</v>
      </c>
      <c r="M156" s="65">
        <v>0</v>
      </c>
      <c r="N156" s="65">
        <v>0</v>
      </c>
      <c r="O156" s="65">
        <v>1</v>
      </c>
      <c r="P156" s="65">
        <v>20</v>
      </c>
      <c r="Q156" s="132" t="s">
        <v>194</v>
      </c>
      <c r="R156" s="132" t="s">
        <v>195</v>
      </c>
    </row>
    <row r="157" spans="1:18" x14ac:dyDescent="0.15">
      <c r="A157" s="65">
        <v>13101</v>
      </c>
      <c r="B157" s="65">
        <v>22</v>
      </c>
      <c r="C157" s="105" t="str">
        <f t="shared" si="2"/>
        <v>13101_22</v>
      </c>
      <c r="D157" s="38" t="s">
        <v>249</v>
      </c>
      <c r="E157" s="65">
        <v>152</v>
      </c>
      <c r="F157" s="65" t="s">
        <v>248</v>
      </c>
      <c r="G157" s="65">
        <v>43</v>
      </c>
      <c r="H157" s="65">
        <v>1</v>
      </c>
      <c r="I157" s="65">
        <v>1</v>
      </c>
      <c r="J157" s="65">
        <v>1</v>
      </c>
      <c r="K157" s="65">
        <v>0</v>
      </c>
      <c r="L157" s="65">
        <v>0</v>
      </c>
      <c r="M157" s="65">
        <v>0</v>
      </c>
      <c r="N157" s="65">
        <v>0</v>
      </c>
      <c r="O157" s="65">
        <v>1</v>
      </c>
      <c r="P157" s="65">
        <v>20</v>
      </c>
      <c r="Q157" s="132" t="s">
        <v>194</v>
      </c>
      <c r="R157" s="132" t="s">
        <v>195</v>
      </c>
    </row>
    <row r="158" spans="1:18" x14ac:dyDescent="0.15">
      <c r="A158" s="65">
        <v>13101</v>
      </c>
      <c r="B158" s="65">
        <v>22</v>
      </c>
      <c r="C158" s="105" t="str">
        <f t="shared" si="2"/>
        <v>13101_22</v>
      </c>
      <c r="D158" s="38" t="s">
        <v>249</v>
      </c>
      <c r="E158" s="65">
        <v>153</v>
      </c>
      <c r="F158" s="65" t="s">
        <v>248</v>
      </c>
      <c r="G158" s="65">
        <v>59</v>
      </c>
      <c r="H158" s="65">
        <v>1</v>
      </c>
      <c r="I158" s="65">
        <v>1</v>
      </c>
      <c r="J158" s="65">
        <v>1</v>
      </c>
      <c r="K158" s="65">
        <v>0</v>
      </c>
      <c r="L158" s="65">
        <v>0</v>
      </c>
      <c r="M158" s="65">
        <v>0</v>
      </c>
      <c r="N158" s="65">
        <v>0</v>
      </c>
      <c r="O158" s="65">
        <v>1</v>
      </c>
      <c r="P158" s="65">
        <v>20</v>
      </c>
      <c r="Q158" s="132" t="s">
        <v>194</v>
      </c>
      <c r="R158" s="132" t="s">
        <v>195</v>
      </c>
    </row>
    <row r="159" spans="1:18" x14ac:dyDescent="0.15">
      <c r="A159" s="65">
        <v>13101</v>
      </c>
      <c r="B159" s="65">
        <v>22</v>
      </c>
      <c r="C159" s="105" t="str">
        <f t="shared" si="2"/>
        <v>13101_22</v>
      </c>
      <c r="D159" s="38" t="s">
        <v>249</v>
      </c>
      <c r="E159" s="65">
        <v>154</v>
      </c>
      <c r="F159" s="65" t="s">
        <v>248</v>
      </c>
      <c r="G159" s="65">
        <v>338</v>
      </c>
      <c r="H159" s="65">
        <v>1</v>
      </c>
      <c r="I159" s="65">
        <v>1</v>
      </c>
      <c r="J159" s="65">
        <v>1</v>
      </c>
      <c r="K159" s="65">
        <v>0</v>
      </c>
      <c r="L159" s="65">
        <v>0</v>
      </c>
      <c r="M159" s="65">
        <v>0</v>
      </c>
      <c r="N159" s="65">
        <v>0</v>
      </c>
      <c r="O159" s="65">
        <v>1</v>
      </c>
      <c r="P159" s="65">
        <v>100</v>
      </c>
      <c r="Q159" s="132" t="s">
        <v>194</v>
      </c>
      <c r="R159" s="132" t="s">
        <v>195</v>
      </c>
    </row>
    <row r="160" spans="1:18" x14ac:dyDescent="0.15">
      <c r="A160" s="65">
        <v>13101</v>
      </c>
      <c r="B160" s="65">
        <v>22</v>
      </c>
      <c r="C160" s="105" t="str">
        <f t="shared" si="2"/>
        <v>13101_22</v>
      </c>
      <c r="D160" s="38" t="s">
        <v>249</v>
      </c>
      <c r="E160" s="65">
        <v>155</v>
      </c>
      <c r="F160" s="65" t="s">
        <v>248</v>
      </c>
      <c r="G160" s="65">
        <v>350</v>
      </c>
      <c r="H160" s="65">
        <v>1</v>
      </c>
      <c r="I160" s="65">
        <v>1</v>
      </c>
      <c r="J160" s="65">
        <v>1</v>
      </c>
      <c r="K160" s="65">
        <v>0</v>
      </c>
      <c r="L160" s="65">
        <v>0</v>
      </c>
      <c r="M160" s="65">
        <v>0</v>
      </c>
      <c r="N160" s="65">
        <v>0</v>
      </c>
      <c r="O160" s="65">
        <v>1</v>
      </c>
      <c r="P160" s="65">
        <v>300</v>
      </c>
      <c r="Q160" s="132" t="s">
        <v>194</v>
      </c>
      <c r="R160" s="132" t="s">
        <v>195</v>
      </c>
    </row>
    <row r="161" spans="1:18" x14ac:dyDescent="0.15">
      <c r="A161" s="65">
        <v>13101</v>
      </c>
      <c r="B161" s="65">
        <v>23</v>
      </c>
      <c r="C161" s="105" t="str">
        <f t="shared" si="2"/>
        <v>13101_23</v>
      </c>
      <c r="D161" s="38" t="s">
        <v>249</v>
      </c>
      <c r="E161" s="65">
        <v>156</v>
      </c>
      <c r="F161" s="65" t="s">
        <v>193</v>
      </c>
      <c r="G161" s="65">
        <v>1600</v>
      </c>
      <c r="H161" s="65" t="s">
        <v>246</v>
      </c>
      <c r="I161" s="65">
        <v>1</v>
      </c>
      <c r="J161" s="65">
        <v>1</v>
      </c>
      <c r="K161" s="65">
        <v>0</v>
      </c>
      <c r="L161" s="65">
        <v>0</v>
      </c>
      <c r="M161" s="65">
        <v>0</v>
      </c>
      <c r="N161" s="65">
        <v>0</v>
      </c>
      <c r="O161" s="65">
        <v>1</v>
      </c>
      <c r="P161" s="65">
        <v>200</v>
      </c>
      <c r="Q161" s="132" t="s">
        <v>194</v>
      </c>
      <c r="R161" s="132" t="s">
        <v>195</v>
      </c>
    </row>
    <row r="162" spans="1:18" x14ac:dyDescent="0.15">
      <c r="A162" s="65">
        <v>13101</v>
      </c>
      <c r="B162" s="65">
        <v>23</v>
      </c>
      <c r="C162" s="105" t="str">
        <f t="shared" si="2"/>
        <v>13101_23</v>
      </c>
      <c r="D162" s="38" t="s">
        <v>249</v>
      </c>
      <c r="E162" s="65">
        <v>157</v>
      </c>
      <c r="F162" s="65" t="s">
        <v>247</v>
      </c>
      <c r="G162" s="65">
        <v>25</v>
      </c>
      <c r="H162" s="65" t="s">
        <v>246</v>
      </c>
      <c r="I162" s="65">
        <v>1</v>
      </c>
      <c r="J162" s="65">
        <v>1</v>
      </c>
      <c r="K162" s="65">
        <v>0</v>
      </c>
      <c r="L162" s="65">
        <v>0</v>
      </c>
      <c r="M162" s="65">
        <v>0</v>
      </c>
      <c r="N162" s="65">
        <v>0</v>
      </c>
      <c r="O162" s="65">
        <v>1</v>
      </c>
      <c r="P162" s="65">
        <v>300</v>
      </c>
      <c r="Q162" s="132" t="s">
        <v>194</v>
      </c>
      <c r="R162" s="132" t="s">
        <v>195</v>
      </c>
    </row>
    <row r="163" spans="1:18" x14ac:dyDescent="0.15">
      <c r="A163" s="65">
        <v>13101</v>
      </c>
      <c r="B163" s="65">
        <v>23</v>
      </c>
      <c r="C163" s="105" t="str">
        <f t="shared" si="2"/>
        <v>13101_23</v>
      </c>
      <c r="D163" s="38" t="s">
        <v>249</v>
      </c>
      <c r="E163" s="65">
        <v>158</v>
      </c>
      <c r="F163" s="65" t="s">
        <v>248</v>
      </c>
      <c r="G163" s="65">
        <v>13</v>
      </c>
      <c r="H163" s="65">
        <v>1</v>
      </c>
      <c r="I163" s="65">
        <v>1</v>
      </c>
      <c r="J163" s="65">
        <v>1</v>
      </c>
      <c r="K163" s="65">
        <v>0</v>
      </c>
      <c r="L163" s="65">
        <v>0</v>
      </c>
      <c r="M163" s="65">
        <v>0</v>
      </c>
      <c r="N163" s="65">
        <v>0</v>
      </c>
      <c r="O163" s="65">
        <v>1</v>
      </c>
      <c r="P163" s="65">
        <v>20</v>
      </c>
      <c r="Q163" s="132" t="s">
        <v>194</v>
      </c>
      <c r="R163" s="132" t="s">
        <v>195</v>
      </c>
    </row>
    <row r="164" spans="1:18" x14ac:dyDescent="0.15">
      <c r="A164" s="65">
        <v>13101</v>
      </c>
      <c r="B164" s="65">
        <v>23</v>
      </c>
      <c r="C164" s="105" t="str">
        <f t="shared" si="2"/>
        <v>13101_23</v>
      </c>
      <c r="D164" s="38" t="s">
        <v>249</v>
      </c>
      <c r="E164" s="65">
        <v>160</v>
      </c>
      <c r="F164" s="65" t="s">
        <v>248</v>
      </c>
      <c r="G164" s="65">
        <v>19</v>
      </c>
      <c r="H164" s="65">
        <v>1</v>
      </c>
      <c r="I164" s="65">
        <v>1</v>
      </c>
      <c r="J164" s="65">
        <v>1</v>
      </c>
      <c r="K164" s="65">
        <v>0</v>
      </c>
      <c r="L164" s="65">
        <v>0</v>
      </c>
      <c r="M164" s="65">
        <v>0</v>
      </c>
      <c r="N164" s="65">
        <v>0</v>
      </c>
      <c r="O164" s="65">
        <v>1</v>
      </c>
      <c r="P164" s="65">
        <v>20</v>
      </c>
      <c r="Q164" s="132" t="s">
        <v>194</v>
      </c>
      <c r="R164" s="132" t="s">
        <v>195</v>
      </c>
    </row>
    <row r="165" spans="1:18" x14ac:dyDescent="0.15">
      <c r="A165" s="65">
        <v>13101</v>
      </c>
      <c r="B165" s="65">
        <v>23</v>
      </c>
      <c r="C165" s="105" t="str">
        <f t="shared" si="2"/>
        <v>13101_23</v>
      </c>
      <c r="D165" s="38" t="s">
        <v>249</v>
      </c>
      <c r="E165" s="65">
        <v>162</v>
      </c>
      <c r="F165" s="65" t="s">
        <v>248</v>
      </c>
      <c r="G165" s="65">
        <v>32</v>
      </c>
      <c r="H165" s="65">
        <v>1</v>
      </c>
      <c r="I165" s="65">
        <v>1</v>
      </c>
      <c r="J165" s="65">
        <v>1</v>
      </c>
      <c r="K165" s="65">
        <v>0</v>
      </c>
      <c r="L165" s="65">
        <v>0</v>
      </c>
      <c r="M165" s="65">
        <v>0</v>
      </c>
      <c r="N165" s="65">
        <v>0</v>
      </c>
      <c r="O165" s="65">
        <v>1</v>
      </c>
      <c r="P165" s="65">
        <v>20</v>
      </c>
      <c r="Q165" s="132" t="s">
        <v>194</v>
      </c>
      <c r="R165" s="132" t="s">
        <v>195</v>
      </c>
    </row>
    <row r="166" spans="1:18" x14ac:dyDescent="0.15">
      <c r="A166" s="65">
        <v>13101</v>
      </c>
      <c r="B166" s="65">
        <v>23</v>
      </c>
      <c r="C166" s="105" t="str">
        <f t="shared" si="2"/>
        <v>13101_23</v>
      </c>
      <c r="D166" s="38" t="s">
        <v>249</v>
      </c>
      <c r="E166" s="65">
        <v>163</v>
      </c>
      <c r="F166" s="65" t="s">
        <v>248</v>
      </c>
      <c r="G166" s="65">
        <v>39</v>
      </c>
      <c r="H166" s="65">
        <v>1</v>
      </c>
      <c r="I166" s="65">
        <v>1</v>
      </c>
      <c r="J166" s="65">
        <v>1</v>
      </c>
      <c r="K166" s="65">
        <v>0</v>
      </c>
      <c r="L166" s="65">
        <v>0</v>
      </c>
      <c r="M166" s="65">
        <v>0</v>
      </c>
      <c r="N166" s="65">
        <v>0</v>
      </c>
      <c r="O166" s="65">
        <v>1</v>
      </c>
      <c r="P166" s="65">
        <v>20</v>
      </c>
      <c r="Q166" s="132" t="s">
        <v>194</v>
      </c>
      <c r="R166" s="132" t="s">
        <v>195</v>
      </c>
    </row>
    <row r="167" spans="1:18" x14ac:dyDescent="0.15">
      <c r="A167" s="65">
        <v>13101</v>
      </c>
      <c r="B167" s="65">
        <v>23</v>
      </c>
      <c r="C167" s="105" t="str">
        <f t="shared" si="2"/>
        <v>13101_23</v>
      </c>
      <c r="D167" s="38" t="s">
        <v>249</v>
      </c>
      <c r="E167" s="65">
        <v>164</v>
      </c>
      <c r="F167" s="65" t="s">
        <v>248</v>
      </c>
      <c r="G167" s="65">
        <v>47</v>
      </c>
      <c r="H167" s="65">
        <v>1</v>
      </c>
      <c r="I167" s="65">
        <v>1</v>
      </c>
      <c r="J167" s="65">
        <v>1</v>
      </c>
      <c r="K167" s="65">
        <v>0</v>
      </c>
      <c r="L167" s="65">
        <v>0</v>
      </c>
      <c r="M167" s="65">
        <v>0</v>
      </c>
      <c r="N167" s="65">
        <v>0</v>
      </c>
      <c r="O167" s="65">
        <v>1</v>
      </c>
      <c r="P167" s="65">
        <v>20</v>
      </c>
      <c r="Q167" s="132" t="s">
        <v>194</v>
      </c>
      <c r="R167" s="132" t="s">
        <v>195</v>
      </c>
    </row>
    <row r="168" spans="1:18" x14ac:dyDescent="0.15">
      <c r="A168" s="65">
        <v>13101</v>
      </c>
      <c r="B168" s="65">
        <v>23</v>
      </c>
      <c r="C168" s="105" t="str">
        <f t="shared" si="2"/>
        <v>13101_23</v>
      </c>
      <c r="D168" s="38" t="s">
        <v>249</v>
      </c>
      <c r="E168" s="65">
        <v>165</v>
      </c>
      <c r="F168" s="65" t="s">
        <v>248</v>
      </c>
      <c r="G168" s="65">
        <v>346</v>
      </c>
      <c r="H168" s="65">
        <v>1</v>
      </c>
      <c r="I168" s="65">
        <v>1</v>
      </c>
      <c r="J168" s="65">
        <v>1</v>
      </c>
      <c r="K168" s="65">
        <v>0</v>
      </c>
      <c r="L168" s="65">
        <v>0</v>
      </c>
      <c r="M168" s="65">
        <v>0</v>
      </c>
      <c r="N168" s="65">
        <v>0</v>
      </c>
      <c r="O168" s="65">
        <v>1</v>
      </c>
      <c r="P168" s="65">
        <v>100</v>
      </c>
      <c r="Q168" s="132" t="s">
        <v>194</v>
      </c>
      <c r="R168" s="132" t="s">
        <v>195</v>
      </c>
    </row>
    <row r="169" spans="1:18" x14ac:dyDescent="0.15">
      <c r="A169" s="65">
        <v>13101</v>
      </c>
      <c r="B169" s="65">
        <v>23</v>
      </c>
      <c r="C169" s="105" t="str">
        <f t="shared" si="2"/>
        <v>13101_23</v>
      </c>
      <c r="D169" s="38" t="s">
        <v>249</v>
      </c>
      <c r="E169" s="65">
        <v>166</v>
      </c>
      <c r="F169" s="65" t="s">
        <v>248</v>
      </c>
      <c r="G169" s="65">
        <v>354</v>
      </c>
      <c r="H169" s="65">
        <v>1</v>
      </c>
      <c r="I169" s="65">
        <v>1</v>
      </c>
      <c r="J169" s="65">
        <v>1</v>
      </c>
      <c r="K169" s="65">
        <v>0</v>
      </c>
      <c r="L169" s="65">
        <v>0</v>
      </c>
      <c r="M169" s="65">
        <v>0</v>
      </c>
      <c r="N169" s="65">
        <v>0</v>
      </c>
      <c r="O169" s="65">
        <v>1</v>
      </c>
      <c r="P169" s="65">
        <v>300</v>
      </c>
      <c r="Q169" s="132" t="s">
        <v>194</v>
      </c>
      <c r="R169" s="132" t="s">
        <v>195</v>
      </c>
    </row>
    <row r="170" spans="1:18" x14ac:dyDescent="0.15">
      <c r="A170" s="65">
        <v>13101</v>
      </c>
      <c r="B170" s="65">
        <v>24</v>
      </c>
      <c r="C170" s="105" t="str">
        <f t="shared" si="2"/>
        <v>13101_24</v>
      </c>
      <c r="D170" s="38" t="s">
        <v>249</v>
      </c>
      <c r="E170" s="65">
        <v>167</v>
      </c>
      <c r="F170" s="65" t="s">
        <v>193</v>
      </c>
      <c r="G170" s="65">
        <v>1600</v>
      </c>
      <c r="H170" s="65" t="s">
        <v>246</v>
      </c>
      <c r="I170" s="65">
        <v>1</v>
      </c>
      <c r="J170" s="65">
        <v>1</v>
      </c>
      <c r="K170" s="65">
        <v>0</v>
      </c>
      <c r="L170" s="65">
        <v>0</v>
      </c>
      <c r="M170" s="65">
        <v>0</v>
      </c>
      <c r="N170" s="65">
        <v>0</v>
      </c>
      <c r="O170" s="65">
        <v>1</v>
      </c>
      <c r="P170" s="65">
        <v>200</v>
      </c>
      <c r="Q170" s="132" t="s">
        <v>194</v>
      </c>
      <c r="R170" s="132" t="s">
        <v>195</v>
      </c>
    </row>
    <row r="171" spans="1:18" x14ac:dyDescent="0.15">
      <c r="A171" s="65">
        <v>13101</v>
      </c>
      <c r="B171" s="65">
        <v>24</v>
      </c>
      <c r="C171" s="105" t="str">
        <f t="shared" si="2"/>
        <v>13101_24</v>
      </c>
      <c r="D171" s="38" t="s">
        <v>249</v>
      </c>
      <c r="E171" s="65">
        <v>168</v>
      </c>
      <c r="F171" s="65" t="s">
        <v>247</v>
      </c>
      <c r="G171" s="65">
        <v>25</v>
      </c>
      <c r="H171" s="65" t="s">
        <v>246</v>
      </c>
      <c r="I171" s="65">
        <v>1</v>
      </c>
      <c r="J171" s="65">
        <v>1</v>
      </c>
      <c r="K171" s="65">
        <v>0</v>
      </c>
      <c r="L171" s="65">
        <v>0</v>
      </c>
      <c r="M171" s="65">
        <v>0</v>
      </c>
      <c r="N171" s="65">
        <v>0</v>
      </c>
      <c r="O171" s="65">
        <v>1</v>
      </c>
      <c r="P171" s="65">
        <v>300</v>
      </c>
      <c r="Q171" s="132" t="s">
        <v>194</v>
      </c>
      <c r="R171" s="132" t="s">
        <v>195</v>
      </c>
    </row>
    <row r="172" spans="1:18" x14ac:dyDescent="0.15">
      <c r="A172" s="65">
        <v>13101</v>
      </c>
      <c r="B172" s="65">
        <v>24</v>
      </c>
      <c r="C172" s="105" t="str">
        <f t="shared" si="2"/>
        <v>13101_24</v>
      </c>
      <c r="D172" s="38" t="s">
        <v>249</v>
      </c>
      <c r="E172" s="65">
        <v>169</v>
      </c>
      <c r="F172" s="65" t="s">
        <v>248</v>
      </c>
      <c r="G172" s="65">
        <v>17</v>
      </c>
      <c r="H172" s="65">
        <v>1</v>
      </c>
      <c r="I172" s="65">
        <v>1</v>
      </c>
      <c r="J172" s="65">
        <v>1</v>
      </c>
      <c r="K172" s="65">
        <v>0</v>
      </c>
      <c r="L172" s="65">
        <v>0</v>
      </c>
      <c r="M172" s="65">
        <v>0</v>
      </c>
      <c r="N172" s="65">
        <v>0</v>
      </c>
      <c r="O172" s="65">
        <v>1</v>
      </c>
      <c r="P172" s="65">
        <v>20</v>
      </c>
      <c r="Q172" s="132" t="s">
        <v>194</v>
      </c>
      <c r="R172" s="132" t="s">
        <v>195</v>
      </c>
    </row>
    <row r="173" spans="1:18" x14ac:dyDescent="0.15">
      <c r="A173" s="65">
        <v>13101</v>
      </c>
      <c r="B173" s="65">
        <v>24</v>
      </c>
      <c r="C173" s="105" t="str">
        <f t="shared" si="2"/>
        <v>13101_24</v>
      </c>
      <c r="D173" s="38" t="s">
        <v>249</v>
      </c>
      <c r="E173" s="65">
        <v>171</v>
      </c>
      <c r="F173" s="65" t="s">
        <v>248</v>
      </c>
      <c r="G173" s="65">
        <v>25</v>
      </c>
      <c r="H173" s="65">
        <v>1</v>
      </c>
      <c r="I173" s="65">
        <v>1</v>
      </c>
      <c r="J173" s="65">
        <v>1</v>
      </c>
      <c r="K173" s="65">
        <v>0</v>
      </c>
      <c r="L173" s="65">
        <v>0</v>
      </c>
      <c r="M173" s="65">
        <v>0</v>
      </c>
      <c r="N173" s="65">
        <v>0</v>
      </c>
      <c r="O173" s="65">
        <v>1</v>
      </c>
      <c r="P173" s="65">
        <v>20</v>
      </c>
      <c r="Q173" s="132" t="s">
        <v>194</v>
      </c>
      <c r="R173" s="132" t="s">
        <v>195</v>
      </c>
    </row>
    <row r="174" spans="1:18" x14ac:dyDescent="0.15">
      <c r="A174" s="65">
        <v>13101</v>
      </c>
      <c r="B174" s="65">
        <v>24</v>
      </c>
      <c r="C174" s="105" t="str">
        <f t="shared" si="2"/>
        <v>13101_24</v>
      </c>
      <c r="D174" s="38" t="s">
        <v>249</v>
      </c>
      <c r="E174" s="65">
        <v>173</v>
      </c>
      <c r="F174" s="65" t="s">
        <v>248</v>
      </c>
      <c r="G174" s="65">
        <v>30</v>
      </c>
      <c r="H174" s="65">
        <v>1</v>
      </c>
      <c r="I174" s="65">
        <v>1</v>
      </c>
      <c r="J174" s="65">
        <v>1</v>
      </c>
      <c r="K174" s="65">
        <v>0</v>
      </c>
      <c r="L174" s="65">
        <v>0</v>
      </c>
      <c r="M174" s="65">
        <v>0</v>
      </c>
      <c r="N174" s="65">
        <v>0</v>
      </c>
      <c r="O174" s="65">
        <v>1</v>
      </c>
      <c r="P174" s="65">
        <v>20</v>
      </c>
      <c r="Q174" s="132" t="s">
        <v>194</v>
      </c>
      <c r="R174" s="132" t="s">
        <v>195</v>
      </c>
    </row>
    <row r="175" spans="1:18" x14ac:dyDescent="0.15">
      <c r="A175" s="65">
        <v>13101</v>
      </c>
      <c r="B175" s="65">
        <v>24</v>
      </c>
      <c r="C175" s="105" t="str">
        <f t="shared" si="2"/>
        <v>13101_24</v>
      </c>
      <c r="D175" s="38" t="s">
        <v>249</v>
      </c>
      <c r="E175" s="65">
        <v>174</v>
      </c>
      <c r="F175" s="65" t="s">
        <v>248</v>
      </c>
      <c r="G175" s="65">
        <v>37</v>
      </c>
      <c r="H175" s="65">
        <v>1</v>
      </c>
      <c r="I175" s="65">
        <v>1</v>
      </c>
      <c r="J175" s="65">
        <v>1</v>
      </c>
      <c r="K175" s="65">
        <v>0</v>
      </c>
      <c r="L175" s="65">
        <v>0</v>
      </c>
      <c r="M175" s="65">
        <v>0</v>
      </c>
      <c r="N175" s="65">
        <v>0</v>
      </c>
      <c r="O175" s="65">
        <v>1</v>
      </c>
      <c r="P175" s="65">
        <v>20</v>
      </c>
      <c r="Q175" s="132" t="s">
        <v>194</v>
      </c>
      <c r="R175" s="132" t="s">
        <v>195</v>
      </c>
    </row>
    <row r="176" spans="1:18" x14ac:dyDescent="0.15">
      <c r="A176" s="65">
        <v>13101</v>
      </c>
      <c r="B176" s="65">
        <v>24</v>
      </c>
      <c r="C176" s="105" t="str">
        <f t="shared" si="2"/>
        <v>13101_24</v>
      </c>
      <c r="D176" s="38" t="s">
        <v>249</v>
      </c>
      <c r="E176" s="65">
        <v>175</v>
      </c>
      <c r="F176" s="65" t="s">
        <v>248</v>
      </c>
      <c r="G176" s="65">
        <v>45</v>
      </c>
      <c r="H176" s="65">
        <v>1</v>
      </c>
      <c r="I176" s="65">
        <v>1</v>
      </c>
      <c r="J176" s="65">
        <v>1</v>
      </c>
      <c r="K176" s="65">
        <v>0</v>
      </c>
      <c r="L176" s="65">
        <v>0</v>
      </c>
      <c r="M176" s="65">
        <v>0</v>
      </c>
      <c r="N176" s="65">
        <v>0</v>
      </c>
      <c r="O176" s="65">
        <v>1</v>
      </c>
      <c r="P176" s="65">
        <v>20</v>
      </c>
      <c r="Q176" s="132" t="s">
        <v>194</v>
      </c>
      <c r="R176" s="132" t="s">
        <v>195</v>
      </c>
    </row>
    <row r="177" spans="1:18" x14ac:dyDescent="0.15">
      <c r="A177" s="65">
        <v>13101</v>
      </c>
      <c r="B177" s="65">
        <v>24</v>
      </c>
      <c r="C177" s="105" t="str">
        <f t="shared" si="2"/>
        <v>13101_24</v>
      </c>
      <c r="D177" s="38" t="s">
        <v>249</v>
      </c>
      <c r="E177" s="65">
        <v>176</v>
      </c>
      <c r="F177" s="65" t="s">
        <v>248</v>
      </c>
      <c r="G177" s="65">
        <v>342</v>
      </c>
      <c r="H177" s="65">
        <v>1</v>
      </c>
      <c r="I177" s="65">
        <v>1</v>
      </c>
      <c r="J177" s="65">
        <v>1</v>
      </c>
      <c r="K177" s="65">
        <v>0</v>
      </c>
      <c r="L177" s="65">
        <v>0</v>
      </c>
      <c r="M177" s="65">
        <v>0</v>
      </c>
      <c r="N177" s="65">
        <v>0</v>
      </c>
      <c r="O177" s="65">
        <v>1</v>
      </c>
      <c r="P177" s="65">
        <v>100</v>
      </c>
      <c r="Q177" s="132" t="s">
        <v>194</v>
      </c>
      <c r="R177" s="132" t="s">
        <v>195</v>
      </c>
    </row>
    <row r="178" spans="1:18" x14ac:dyDescent="0.15">
      <c r="A178" s="65">
        <v>13101</v>
      </c>
      <c r="B178" s="65">
        <v>24</v>
      </c>
      <c r="C178" s="105" t="str">
        <f t="shared" si="2"/>
        <v>13101_24</v>
      </c>
      <c r="D178" s="38" t="s">
        <v>249</v>
      </c>
      <c r="E178" s="65">
        <v>177</v>
      </c>
      <c r="F178" s="65" t="s">
        <v>248</v>
      </c>
      <c r="G178" s="65">
        <v>352</v>
      </c>
      <c r="H178" s="65">
        <v>1</v>
      </c>
      <c r="I178" s="65">
        <v>1</v>
      </c>
      <c r="J178" s="65">
        <v>1</v>
      </c>
      <c r="K178" s="65">
        <v>0</v>
      </c>
      <c r="L178" s="65">
        <v>0</v>
      </c>
      <c r="M178" s="65">
        <v>0</v>
      </c>
      <c r="N178" s="65">
        <v>0</v>
      </c>
      <c r="O178" s="65">
        <v>1</v>
      </c>
      <c r="P178" s="65">
        <v>300</v>
      </c>
      <c r="Q178" s="132" t="s">
        <v>194</v>
      </c>
      <c r="R178" s="132" t="s">
        <v>195</v>
      </c>
    </row>
    <row r="179" spans="1:18" x14ac:dyDescent="0.15">
      <c r="A179" s="65">
        <v>13101</v>
      </c>
      <c r="B179" s="65">
        <v>25</v>
      </c>
      <c r="C179" s="105" t="str">
        <f t="shared" si="2"/>
        <v>13101_25</v>
      </c>
      <c r="D179" s="38" t="s">
        <v>249</v>
      </c>
      <c r="E179" s="65">
        <v>178</v>
      </c>
      <c r="F179" s="65" t="s">
        <v>193</v>
      </c>
      <c r="G179" s="65">
        <v>1600</v>
      </c>
      <c r="H179" s="65" t="s">
        <v>246</v>
      </c>
      <c r="I179" s="65">
        <v>1</v>
      </c>
      <c r="J179" s="65">
        <v>1</v>
      </c>
      <c r="K179" s="65">
        <v>0</v>
      </c>
      <c r="L179" s="65">
        <v>0</v>
      </c>
      <c r="M179" s="65">
        <v>0</v>
      </c>
      <c r="N179" s="65">
        <v>0</v>
      </c>
      <c r="O179" s="65">
        <v>1</v>
      </c>
      <c r="P179" s="65">
        <v>150</v>
      </c>
      <c r="Q179" s="132" t="s">
        <v>194</v>
      </c>
      <c r="R179" s="132" t="s">
        <v>195</v>
      </c>
    </row>
    <row r="180" spans="1:18" x14ac:dyDescent="0.15">
      <c r="A180" s="65">
        <v>13101</v>
      </c>
      <c r="B180" s="65">
        <v>25</v>
      </c>
      <c r="C180" s="105" t="str">
        <f t="shared" si="2"/>
        <v>13101_25</v>
      </c>
      <c r="D180" s="38" t="s">
        <v>249</v>
      </c>
      <c r="E180" s="65">
        <v>179</v>
      </c>
      <c r="F180" s="65" t="s">
        <v>247</v>
      </c>
      <c r="G180" s="65">
        <v>25</v>
      </c>
      <c r="H180" s="65" t="s">
        <v>246</v>
      </c>
      <c r="I180" s="65">
        <v>1</v>
      </c>
      <c r="J180" s="65">
        <v>1</v>
      </c>
      <c r="K180" s="65">
        <v>0</v>
      </c>
      <c r="L180" s="65">
        <v>0</v>
      </c>
      <c r="M180" s="65">
        <v>0</v>
      </c>
      <c r="N180" s="65">
        <v>0</v>
      </c>
      <c r="O180" s="65">
        <v>1</v>
      </c>
      <c r="P180" s="65">
        <v>150</v>
      </c>
      <c r="Q180" s="132" t="s">
        <v>194</v>
      </c>
      <c r="R180" s="132" t="s">
        <v>195</v>
      </c>
    </row>
    <row r="181" spans="1:18" x14ac:dyDescent="0.15">
      <c r="A181" s="65">
        <v>13101</v>
      </c>
      <c r="B181" s="65">
        <v>25</v>
      </c>
      <c r="C181" s="105" t="str">
        <f t="shared" si="2"/>
        <v>13101_25</v>
      </c>
      <c r="D181" s="38" t="s">
        <v>249</v>
      </c>
      <c r="E181" s="65">
        <v>180</v>
      </c>
      <c r="F181" s="65" t="s">
        <v>248</v>
      </c>
      <c r="G181" s="65">
        <v>334</v>
      </c>
      <c r="H181" s="65">
        <v>1</v>
      </c>
      <c r="I181" s="65">
        <v>1</v>
      </c>
      <c r="J181" s="65">
        <v>1</v>
      </c>
      <c r="K181" s="65">
        <v>0</v>
      </c>
      <c r="L181" s="65">
        <v>0</v>
      </c>
      <c r="M181" s="65">
        <v>0</v>
      </c>
      <c r="N181" s="65">
        <v>0</v>
      </c>
      <c r="O181" s="65">
        <v>1</v>
      </c>
      <c r="P181" s="65">
        <v>140</v>
      </c>
      <c r="Q181" s="132" t="s">
        <v>194</v>
      </c>
      <c r="R181" s="132" t="s">
        <v>195</v>
      </c>
    </row>
    <row r="182" spans="1:18" x14ac:dyDescent="0.15">
      <c r="A182" s="65">
        <v>13101</v>
      </c>
      <c r="B182" s="65">
        <v>25</v>
      </c>
      <c r="C182" s="105" t="str">
        <f t="shared" si="2"/>
        <v>13101_25</v>
      </c>
      <c r="D182" s="38" t="s">
        <v>249</v>
      </c>
      <c r="E182" s="65">
        <v>181</v>
      </c>
      <c r="F182" s="65" t="s">
        <v>248</v>
      </c>
      <c r="G182" s="65">
        <v>348</v>
      </c>
      <c r="H182" s="65">
        <v>1</v>
      </c>
      <c r="I182" s="65">
        <v>1</v>
      </c>
      <c r="J182" s="65">
        <v>1</v>
      </c>
      <c r="K182" s="65">
        <v>0</v>
      </c>
      <c r="L182" s="65">
        <v>0</v>
      </c>
      <c r="M182" s="65">
        <v>0</v>
      </c>
      <c r="N182" s="65">
        <v>0</v>
      </c>
      <c r="O182" s="65">
        <v>1</v>
      </c>
      <c r="P182" s="65">
        <v>150</v>
      </c>
      <c r="Q182" s="132" t="s">
        <v>194</v>
      </c>
      <c r="R182" s="132" t="s">
        <v>195</v>
      </c>
    </row>
    <row r="183" spans="1:18" x14ac:dyDescent="0.15">
      <c r="A183" s="65">
        <v>13101</v>
      </c>
      <c r="B183" s="65">
        <v>25</v>
      </c>
      <c r="C183" s="105" t="str">
        <f t="shared" si="2"/>
        <v>13101_25</v>
      </c>
      <c r="D183" s="38" t="s">
        <v>249</v>
      </c>
      <c r="E183" s="65">
        <v>182</v>
      </c>
      <c r="F183" s="65" t="s">
        <v>248</v>
      </c>
      <c r="G183" s="65">
        <v>368</v>
      </c>
      <c r="H183" s="65">
        <v>1</v>
      </c>
      <c r="I183" s="65">
        <v>1</v>
      </c>
      <c r="J183" s="65">
        <v>1</v>
      </c>
      <c r="K183" s="65">
        <v>0</v>
      </c>
      <c r="L183" s="65">
        <v>0</v>
      </c>
      <c r="M183" s="65">
        <v>0</v>
      </c>
      <c r="N183" s="65">
        <v>0</v>
      </c>
      <c r="O183" s="65">
        <v>1</v>
      </c>
      <c r="P183" s="65">
        <v>250</v>
      </c>
      <c r="Q183" s="132" t="s">
        <v>194</v>
      </c>
      <c r="R183" s="132" t="s">
        <v>195</v>
      </c>
    </row>
    <row r="184" spans="1:18" x14ac:dyDescent="0.15">
      <c r="A184" s="65">
        <v>13101</v>
      </c>
      <c r="B184" s="65">
        <v>25</v>
      </c>
      <c r="C184" s="105" t="str">
        <f t="shared" si="2"/>
        <v>13101_25</v>
      </c>
      <c r="D184" s="38" t="s">
        <v>249</v>
      </c>
      <c r="E184" s="65">
        <v>183</v>
      </c>
      <c r="F184" s="65" t="s">
        <v>248</v>
      </c>
      <c r="G184" s="65">
        <v>121</v>
      </c>
      <c r="H184" s="65">
        <v>1</v>
      </c>
      <c r="I184" s="65">
        <v>1</v>
      </c>
      <c r="J184" s="65">
        <v>1</v>
      </c>
      <c r="K184" s="65">
        <v>0</v>
      </c>
      <c r="L184" s="65">
        <v>0</v>
      </c>
      <c r="M184" s="65">
        <v>0</v>
      </c>
      <c r="N184" s="65">
        <v>0</v>
      </c>
      <c r="O184" s="65">
        <v>1</v>
      </c>
      <c r="P184" s="65">
        <v>50</v>
      </c>
      <c r="Q184" s="132" t="s">
        <v>194</v>
      </c>
      <c r="R184" s="132" t="s">
        <v>195</v>
      </c>
    </row>
    <row r="185" spans="1:18" x14ac:dyDescent="0.15">
      <c r="A185" s="65">
        <v>13101</v>
      </c>
      <c r="B185" s="65">
        <v>25</v>
      </c>
      <c r="C185" s="105" t="str">
        <f t="shared" si="2"/>
        <v>13101_25</v>
      </c>
      <c r="D185" s="38" t="s">
        <v>249</v>
      </c>
      <c r="E185" s="65">
        <v>184</v>
      </c>
      <c r="F185" s="65" t="s">
        <v>248</v>
      </c>
      <c r="G185" s="65">
        <v>122</v>
      </c>
      <c r="H185" s="65">
        <v>1</v>
      </c>
      <c r="I185" s="65">
        <v>1</v>
      </c>
      <c r="J185" s="65">
        <v>1</v>
      </c>
      <c r="K185" s="65">
        <v>0</v>
      </c>
      <c r="L185" s="65">
        <v>0</v>
      </c>
      <c r="M185" s="65">
        <v>0</v>
      </c>
      <c r="N185" s="65">
        <v>0</v>
      </c>
      <c r="O185" s="65">
        <v>1</v>
      </c>
      <c r="P185" s="65">
        <v>50</v>
      </c>
      <c r="Q185" s="132" t="s">
        <v>194</v>
      </c>
      <c r="R185" s="132" t="s">
        <v>195</v>
      </c>
    </row>
    <row r="186" spans="1:18" x14ac:dyDescent="0.15">
      <c r="A186" s="65">
        <v>13101</v>
      </c>
      <c r="B186" s="65">
        <v>25</v>
      </c>
      <c r="C186" s="105" t="str">
        <f t="shared" si="2"/>
        <v>13101_25</v>
      </c>
      <c r="D186" s="38" t="s">
        <v>249</v>
      </c>
      <c r="E186" s="65">
        <v>185</v>
      </c>
      <c r="F186" s="65" t="s">
        <v>248</v>
      </c>
      <c r="G186" s="65">
        <v>123</v>
      </c>
      <c r="H186" s="65">
        <v>1</v>
      </c>
      <c r="I186" s="65">
        <v>1</v>
      </c>
      <c r="J186" s="65">
        <v>1</v>
      </c>
      <c r="K186" s="65">
        <v>0</v>
      </c>
      <c r="L186" s="65">
        <v>0</v>
      </c>
      <c r="M186" s="65">
        <v>0</v>
      </c>
      <c r="N186" s="65">
        <v>0</v>
      </c>
      <c r="O186" s="65">
        <v>1</v>
      </c>
      <c r="P186" s="65">
        <v>50</v>
      </c>
      <c r="Q186" s="132" t="s">
        <v>194</v>
      </c>
      <c r="R186" s="132" t="s">
        <v>195</v>
      </c>
    </row>
    <row r="187" spans="1:18" x14ac:dyDescent="0.15">
      <c r="A187" s="65">
        <v>13101</v>
      </c>
      <c r="B187" s="65">
        <v>25</v>
      </c>
      <c r="C187" s="105" t="str">
        <f t="shared" si="2"/>
        <v>13101_25</v>
      </c>
      <c r="D187" s="38" t="s">
        <v>249</v>
      </c>
      <c r="E187" s="65">
        <v>186</v>
      </c>
      <c r="F187" s="65" t="s">
        <v>248</v>
      </c>
      <c r="G187" s="65">
        <v>125</v>
      </c>
      <c r="H187" s="65">
        <v>1</v>
      </c>
      <c r="I187" s="65">
        <v>1</v>
      </c>
      <c r="J187" s="65">
        <v>1</v>
      </c>
      <c r="K187" s="65">
        <v>0</v>
      </c>
      <c r="L187" s="65">
        <v>0</v>
      </c>
      <c r="M187" s="65">
        <v>0</v>
      </c>
      <c r="N187" s="65">
        <v>0</v>
      </c>
      <c r="O187" s="65">
        <v>1</v>
      </c>
      <c r="P187" s="65">
        <v>10</v>
      </c>
      <c r="Q187" s="132" t="s">
        <v>194</v>
      </c>
      <c r="R187" s="132" t="s">
        <v>195</v>
      </c>
    </row>
  </sheetData>
  <phoneticPr fontId="4"/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310"/>
  <sheetViews>
    <sheetView showGridLines="0" workbookViewId="0">
      <pane ySplit="1" topLeftCell="A2" activePane="bottomLeft" state="frozen"/>
      <selection activeCell="U22" sqref="U22"/>
      <selection pane="bottomLeft"/>
    </sheetView>
  </sheetViews>
  <sheetFormatPr baseColWidth="12" defaultColWidth="13" defaultRowHeight="15" outlineLevelCol="1" x14ac:dyDescent="0.15"/>
  <cols>
    <col min="1" max="1" width="13" style="12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106" t="s">
        <v>196</v>
      </c>
      <c r="B1" s="73" t="s">
        <v>197</v>
      </c>
      <c r="C1" s="107" t="s">
        <v>198</v>
      </c>
      <c r="D1" s="107" t="s">
        <v>34</v>
      </c>
      <c r="E1" s="73" t="s">
        <v>199</v>
      </c>
      <c r="F1" s="107" t="s">
        <v>16</v>
      </c>
      <c r="G1" s="107" t="s">
        <v>34</v>
      </c>
      <c r="H1" s="73" t="s">
        <v>200</v>
      </c>
      <c r="I1" s="108" t="s">
        <v>201</v>
      </c>
      <c r="J1" s="109" t="s">
        <v>202</v>
      </c>
      <c r="K1" s="110" t="s">
        <v>203</v>
      </c>
      <c r="L1" s="111" t="s">
        <v>204</v>
      </c>
      <c r="M1" s="112" t="s">
        <v>205</v>
      </c>
    </row>
    <row r="2" spans="1:13" x14ac:dyDescent="0.15">
      <c r="A2" s="65" t="s">
        <v>206</v>
      </c>
      <c r="B2" s="65">
        <v>13101</v>
      </c>
      <c r="C2" s="65"/>
      <c r="D2" s="65"/>
      <c r="E2" s="65">
        <v>1</v>
      </c>
      <c r="F2" s="65"/>
      <c r="G2" s="65"/>
      <c r="H2" s="65">
        <v>0</v>
      </c>
      <c r="I2" s="65">
        <v>1</v>
      </c>
      <c r="J2" s="118" t="s">
        <v>188</v>
      </c>
      <c r="K2" s="119" t="str">
        <f>VLOOKUP(I2,[7]stage_hints!$A:$C,3,FALSE)</f>
        <v>長くつなげて大ダメージ</v>
      </c>
      <c r="L2" s="120" t="str">
        <f>VLOOKUP(I2,[7]stage_hints!$A:$D,4,FALSE)</f>
        <v>パネルを長くつなげるほど_x000D_大ダメージを与えることができます</v>
      </c>
      <c r="M2" s="65" t="s">
        <v>207</v>
      </c>
    </row>
    <row r="3" spans="1:13" x14ac:dyDescent="0.15">
      <c r="A3" s="65" t="s">
        <v>206</v>
      </c>
      <c r="B3" s="65">
        <v>13101</v>
      </c>
      <c r="C3" s="65"/>
      <c r="D3" s="65"/>
      <c r="E3" s="65">
        <v>1</v>
      </c>
      <c r="F3" s="65"/>
      <c r="G3" s="65"/>
      <c r="H3" s="65">
        <v>0</v>
      </c>
      <c r="I3" s="65">
        <v>2</v>
      </c>
      <c r="J3" s="118" t="s">
        <v>188</v>
      </c>
      <c r="K3" s="119" t="str">
        <f>VLOOKUP(I3,[7]stage_hints!$A:$C,3,FALSE)</f>
        <v>属性の相性</v>
      </c>
      <c r="L3" s="120" t="str">
        <f>VLOOKUP(I3,[7]stage_hints!$A:$D,4,FALSE)</f>
        <v>赤＞青　青＞黄　黄＞緑　緑＞赤_x000D_敵属性に最適なパーティがオススメです</v>
      </c>
      <c r="M3" s="65" t="s">
        <v>207</v>
      </c>
    </row>
    <row r="4" spans="1:13" x14ac:dyDescent="0.15">
      <c r="A4" s="65" t="s">
        <v>206</v>
      </c>
      <c r="B4" s="65">
        <v>13101</v>
      </c>
      <c r="C4" s="65"/>
      <c r="D4" s="65"/>
      <c r="E4" s="65">
        <v>1</v>
      </c>
      <c r="F4" s="65"/>
      <c r="G4" s="65"/>
      <c r="H4" s="65">
        <v>0</v>
      </c>
      <c r="I4" s="65">
        <v>3</v>
      </c>
      <c r="J4" s="118" t="s">
        <v>188</v>
      </c>
      <c r="K4" s="119" t="str">
        <f>VLOOKUP(I4,[7]stage_hints!$A:$C,3,FALSE)</f>
        <v>ターゲット</v>
      </c>
      <c r="L4" s="120" t="str">
        <f>VLOOKUP(I4,[7]stage_hints!$A:$D,4,FALSE)</f>
        <v>敵ユニットをタップすると_x000D_その敵を狙い撃ちできます</v>
      </c>
      <c r="M4" s="65" t="s">
        <v>207</v>
      </c>
    </row>
    <row r="5" spans="1:13" x14ac:dyDescent="0.15">
      <c r="A5" s="65" t="s">
        <v>206</v>
      </c>
      <c r="B5" s="65">
        <v>13101</v>
      </c>
      <c r="C5" s="65"/>
      <c r="D5" s="65"/>
      <c r="E5" s="65">
        <v>1</v>
      </c>
      <c r="F5" s="65"/>
      <c r="G5" s="65"/>
      <c r="H5" s="65">
        <v>0</v>
      </c>
      <c r="I5" s="65">
        <v>4</v>
      </c>
      <c r="J5" s="118" t="s">
        <v>188</v>
      </c>
      <c r="K5" s="119" t="str">
        <f>VLOOKUP(I5,[7]stage_hints!$A:$C,3,FALSE)</f>
        <v>ボーナスクエスト</v>
      </c>
      <c r="L5" s="120" t="str">
        <f>VLOOKUP(I5,[7]stage_hints!$A:$D,4,FALSE)</f>
        <v>ノーマルクエストを進めると_x000D_嬉しいボーナスクエストが登場します</v>
      </c>
      <c r="M5" s="65" t="s">
        <v>207</v>
      </c>
    </row>
    <row r="6" spans="1:13" x14ac:dyDescent="0.15">
      <c r="A6" s="65" t="s">
        <v>206</v>
      </c>
      <c r="B6" s="65">
        <v>13101</v>
      </c>
      <c r="C6" s="65"/>
      <c r="D6" s="65"/>
      <c r="E6" s="65">
        <v>1</v>
      </c>
      <c r="F6" s="65"/>
      <c r="G6" s="65"/>
      <c r="H6" s="65">
        <v>0</v>
      </c>
      <c r="I6" s="65">
        <v>39</v>
      </c>
      <c r="J6" s="118" t="s">
        <v>188</v>
      </c>
      <c r="K6" s="119" t="str">
        <f>VLOOKUP(I6,[7]stage_hints!$A:$C,3,FALSE)</f>
        <v>システム適合者を確認</v>
      </c>
      <c r="L6" s="120" t="str">
        <f>VLOOKUP(I6,[7]stage_hints!$A:$D,4,FALSE)</f>
        <v>ALICEが 「アナタ」を呼んでいます</v>
      </c>
      <c r="M6" s="65" t="s">
        <v>207</v>
      </c>
    </row>
    <row r="7" spans="1:13" x14ac:dyDescent="0.15">
      <c r="A7" s="65" t="s">
        <v>206</v>
      </c>
      <c r="B7" s="65">
        <v>13101</v>
      </c>
      <c r="C7" s="65"/>
      <c r="D7" s="65"/>
      <c r="E7" s="65">
        <v>2</v>
      </c>
      <c r="F7" s="65"/>
      <c r="G7" s="65"/>
      <c r="H7" s="65">
        <v>0</v>
      </c>
      <c r="I7" s="65">
        <v>3</v>
      </c>
      <c r="J7" s="118" t="s">
        <v>188</v>
      </c>
      <c r="K7" s="119" t="str">
        <f>VLOOKUP(I7,[7]stage_hints!$A:$C,3,FALSE)</f>
        <v>ターゲット</v>
      </c>
      <c r="L7" s="120" t="str">
        <f>VLOOKUP(I7,[7]stage_hints!$A:$D,4,FALSE)</f>
        <v>敵ユニットをタップすると_x000D_その敵を狙い撃ちできます</v>
      </c>
      <c r="M7" s="65" t="s">
        <v>207</v>
      </c>
    </row>
    <row r="8" spans="1:13" x14ac:dyDescent="0.15">
      <c r="A8" s="65" t="s">
        <v>206</v>
      </c>
      <c r="B8" s="65">
        <v>13101</v>
      </c>
      <c r="C8" s="65"/>
      <c r="D8" s="65"/>
      <c r="E8" s="65">
        <v>2</v>
      </c>
      <c r="F8" s="65"/>
      <c r="G8" s="65"/>
      <c r="H8" s="65">
        <v>0</v>
      </c>
      <c r="I8" s="65">
        <v>5</v>
      </c>
      <c r="J8" s="118" t="s">
        <v>188</v>
      </c>
      <c r="K8" s="119" t="str">
        <f>VLOOKUP(I8,[7]stage_hints!$A:$C,3,FALSE)</f>
        <v>ユニット強化でレベルアップ</v>
      </c>
      <c r="L8" s="120" t="str">
        <f>VLOOKUP(I8,[7]stage_hints!$A:$D,4,FALSE)</f>
        <v>「ユニット強化」でレベルアップすると_x000D_勝てない敵にも勝てるようになります</v>
      </c>
      <c r="M8" s="65" t="s">
        <v>207</v>
      </c>
    </row>
    <row r="9" spans="1:13" x14ac:dyDescent="0.15">
      <c r="A9" s="65" t="s">
        <v>206</v>
      </c>
      <c r="B9" s="65">
        <v>13101</v>
      </c>
      <c r="C9" s="65"/>
      <c r="D9" s="65"/>
      <c r="E9" s="65">
        <v>2</v>
      </c>
      <c r="F9" s="65"/>
      <c r="G9" s="65"/>
      <c r="H9" s="65">
        <v>0</v>
      </c>
      <c r="I9" s="65">
        <v>6</v>
      </c>
      <c r="J9" s="118" t="s">
        <v>188</v>
      </c>
      <c r="K9" s="119" t="str">
        <f>VLOOKUP(I9,[7]stage_hints!$A:$C,3,FALSE)</f>
        <v>ユニット強化の属性ボーナス</v>
      </c>
      <c r="L9" s="120" t="str">
        <f>VLOOKUP(I9,[7]stage_hints!$A:$D,4,FALSE)</f>
        <v>同属性ユニットを強化素材にすると_x000D_経験値が多くもらえます</v>
      </c>
      <c r="M9" s="65" t="s">
        <v>207</v>
      </c>
    </row>
    <row r="10" spans="1:13" x14ac:dyDescent="0.15">
      <c r="A10" s="65" t="s">
        <v>206</v>
      </c>
      <c r="B10" s="65">
        <v>13101</v>
      </c>
      <c r="C10" s="65"/>
      <c r="D10" s="65"/>
      <c r="E10" s="65">
        <v>2</v>
      </c>
      <c r="F10" s="65"/>
      <c r="G10" s="65"/>
      <c r="H10" s="65">
        <v>0</v>
      </c>
      <c r="I10" s="65">
        <v>7</v>
      </c>
      <c r="J10" s="118" t="s">
        <v>188</v>
      </c>
      <c r="K10" s="119" t="str">
        <f>VLOOKUP(I10,[7]stage_hints!$A:$C,3,FALSE)</f>
        <v>メタルダックで経験値を獲得</v>
      </c>
      <c r="L10" s="120" t="str">
        <f>VLOOKUP(I10,[7]stage_hints!$A:$D,4,FALSE)</f>
        <v>「メタルなアヒル」を強化素材にすると_x000D_大量の経験値がもらえます</v>
      </c>
      <c r="M10" s="65" t="s">
        <v>207</v>
      </c>
    </row>
    <row r="11" spans="1:13" x14ac:dyDescent="0.15">
      <c r="A11" s="65" t="s">
        <v>206</v>
      </c>
      <c r="B11" s="65">
        <v>13101</v>
      </c>
      <c r="C11" s="65"/>
      <c r="D11" s="65"/>
      <c r="E11" s="65">
        <v>2</v>
      </c>
      <c r="F11" s="65"/>
      <c r="G11" s="65"/>
      <c r="H11" s="65">
        <v>0</v>
      </c>
      <c r="I11" s="65">
        <v>8</v>
      </c>
      <c r="J11" s="118" t="s">
        <v>188</v>
      </c>
      <c r="K11" s="119" t="str">
        <f>VLOOKUP(I11,[7]stage_hints!$A:$C,3,FALSE)</f>
        <v>ゲリラクエストは要チェック</v>
      </c>
      <c r="L11" s="120" t="str">
        <f>VLOOKUP(I11,[7]stage_hints!$A:$D,4,FALSE)</f>
        <v>時間限定の「アヒル捕獲作戦」では_x000D_経験値素材ユニットが多く手に入ります</v>
      </c>
      <c r="M11" s="65" t="s">
        <v>207</v>
      </c>
    </row>
    <row r="12" spans="1:13" x14ac:dyDescent="0.15">
      <c r="A12" s="65" t="s">
        <v>206</v>
      </c>
      <c r="B12" s="65">
        <v>13101</v>
      </c>
      <c r="C12" s="65"/>
      <c r="D12" s="65"/>
      <c r="E12" s="65">
        <v>2</v>
      </c>
      <c r="F12" s="65"/>
      <c r="G12" s="65"/>
      <c r="H12" s="65">
        <v>0</v>
      </c>
      <c r="I12" s="65">
        <v>39</v>
      </c>
      <c r="J12" s="118" t="s">
        <v>188</v>
      </c>
      <c r="K12" s="119" t="str">
        <f>VLOOKUP(I12,[7]stage_hints!$A:$C,3,FALSE)</f>
        <v>システム適合者を確認</v>
      </c>
      <c r="L12" s="120" t="str">
        <f>VLOOKUP(I12,[7]stage_hints!$A:$D,4,FALSE)</f>
        <v>ALICEが 「アナタ」を呼んでいます</v>
      </c>
      <c r="M12" s="65" t="s">
        <v>207</v>
      </c>
    </row>
    <row r="13" spans="1:13" x14ac:dyDescent="0.15">
      <c r="A13" s="65" t="s">
        <v>206</v>
      </c>
      <c r="B13" s="65">
        <v>13101</v>
      </c>
      <c r="C13" s="65"/>
      <c r="D13" s="65"/>
      <c r="E13" s="65">
        <v>3</v>
      </c>
      <c r="F13" s="65"/>
      <c r="G13" s="65"/>
      <c r="H13" s="65">
        <v>0</v>
      </c>
      <c r="I13" s="65">
        <v>3</v>
      </c>
      <c r="J13" s="118" t="s">
        <v>188</v>
      </c>
      <c r="K13" s="119" t="str">
        <f>VLOOKUP(I13,[7]stage_hints!$A:$C,3,FALSE)</f>
        <v>ターゲット</v>
      </c>
      <c r="L13" s="120" t="str">
        <f>VLOOKUP(I13,[7]stage_hints!$A:$D,4,FALSE)</f>
        <v>敵ユニットをタップすると_x000D_その敵を狙い撃ちできます</v>
      </c>
      <c r="M13" s="65" t="s">
        <v>207</v>
      </c>
    </row>
    <row r="14" spans="1:13" x14ac:dyDescent="0.15">
      <c r="A14" s="65" t="s">
        <v>206</v>
      </c>
      <c r="B14" s="65">
        <v>13101</v>
      </c>
      <c r="C14" s="65"/>
      <c r="D14" s="65"/>
      <c r="E14" s="65">
        <v>3</v>
      </c>
      <c r="F14" s="65"/>
      <c r="G14" s="65"/>
      <c r="H14" s="65">
        <v>0</v>
      </c>
      <c r="I14" s="65">
        <v>5</v>
      </c>
      <c r="J14" s="118" t="s">
        <v>188</v>
      </c>
      <c r="K14" s="119" t="str">
        <f>VLOOKUP(I14,[7]stage_hints!$A:$C,3,FALSE)</f>
        <v>ユニット強化でレベルアップ</v>
      </c>
      <c r="L14" s="120" t="str">
        <f>VLOOKUP(I14,[7]stage_hints!$A:$D,4,FALSE)</f>
        <v>「ユニット強化」でレベルアップすると_x000D_勝てない敵にも勝てるようになります</v>
      </c>
      <c r="M14" s="65" t="s">
        <v>207</v>
      </c>
    </row>
    <row r="15" spans="1:13" x14ac:dyDescent="0.15">
      <c r="A15" s="65" t="s">
        <v>206</v>
      </c>
      <c r="B15" s="65">
        <v>13101</v>
      </c>
      <c r="C15" s="65"/>
      <c r="D15" s="65"/>
      <c r="E15" s="65">
        <v>3</v>
      </c>
      <c r="F15" s="65"/>
      <c r="G15" s="65"/>
      <c r="H15" s="65">
        <v>0</v>
      </c>
      <c r="I15" s="65">
        <v>6</v>
      </c>
      <c r="J15" s="118" t="s">
        <v>188</v>
      </c>
      <c r="K15" s="119" t="str">
        <f>VLOOKUP(I15,[7]stage_hints!$A:$C,3,FALSE)</f>
        <v>ユニット強化の属性ボーナス</v>
      </c>
      <c r="L15" s="120" t="str">
        <f>VLOOKUP(I15,[7]stage_hints!$A:$D,4,FALSE)</f>
        <v>同属性ユニットを強化素材にすると_x000D_経験値が多くもらえます</v>
      </c>
      <c r="M15" s="65" t="s">
        <v>207</v>
      </c>
    </row>
    <row r="16" spans="1:13" x14ac:dyDescent="0.15">
      <c r="A16" s="65" t="s">
        <v>206</v>
      </c>
      <c r="B16" s="65">
        <v>13101</v>
      </c>
      <c r="C16" s="65"/>
      <c r="D16" s="65"/>
      <c r="E16" s="65">
        <v>3</v>
      </c>
      <c r="F16" s="65"/>
      <c r="G16" s="65"/>
      <c r="H16" s="65">
        <v>0</v>
      </c>
      <c r="I16" s="65">
        <v>7</v>
      </c>
      <c r="J16" s="118" t="s">
        <v>188</v>
      </c>
      <c r="K16" s="119" t="str">
        <f>VLOOKUP(I16,[7]stage_hints!$A:$C,3,FALSE)</f>
        <v>メタルダックで経験値を獲得</v>
      </c>
      <c r="L16" s="120" t="str">
        <f>VLOOKUP(I16,[7]stage_hints!$A:$D,4,FALSE)</f>
        <v>「メタルなアヒル」を強化素材にすると_x000D_大量の経験値がもらえます</v>
      </c>
      <c r="M16" s="65" t="s">
        <v>207</v>
      </c>
    </row>
    <row r="17" spans="1:13" x14ac:dyDescent="0.15">
      <c r="A17" s="65" t="s">
        <v>206</v>
      </c>
      <c r="B17" s="65">
        <v>13101</v>
      </c>
      <c r="C17" s="65"/>
      <c r="D17" s="65"/>
      <c r="E17" s="65">
        <v>3</v>
      </c>
      <c r="F17" s="65"/>
      <c r="G17" s="65"/>
      <c r="H17" s="65">
        <v>0</v>
      </c>
      <c r="I17" s="65">
        <v>8</v>
      </c>
      <c r="J17" s="118" t="s">
        <v>188</v>
      </c>
      <c r="K17" s="119" t="str">
        <f>VLOOKUP(I17,[7]stage_hints!$A:$C,3,FALSE)</f>
        <v>ゲリラクエストは要チェック</v>
      </c>
      <c r="L17" s="120" t="str">
        <f>VLOOKUP(I17,[7]stage_hints!$A:$D,4,FALSE)</f>
        <v>時間限定の「アヒル捕獲作戦」では_x000D_経験値素材ユニットが多く手に入ります</v>
      </c>
      <c r="M17" s="65" t="s">
        <v>207</v>
      </c>
    </row>
    <row r="18" spans="1:13" x14ac:dyDescent="0.15">
      <c r="A18" s="65" t="s">
        <v>206</v>
      </c>
      <c r="B18" s="65">
        <v>13101</v>
      </c>
      <c r="C18" s="65"/>
      <c r="D18" s="65"/>
      <c r="E18" s="65">
        <v>3</v>
      </c>
      <c r="F18" s="65"/>
      <c r="G18" s="65"/>
      <c r="H18" s="65">
        <v>0</v>
      </c>
      <c r="I18" s="65">
        <v>9</v>
      </c>
      <c r="J18" s="118" t="s">
        <v>188</v>
      </c>
      <c r="K18" s="119" t="str">
        <f>VLOOKUP(I18,[7]stage_hints!$A:$C,3,FALSE)</f>
        <v>ゴールドダックでビットを獲得</v>
      </c>
      <c r="L18" s="120" t="str">
        <f>VLOOKUP(I18,[7]stage_hints!$A:$D,4,FALSE)</f>
        <v>「ゴールドなアヒル」を売却すると_x000D_大量のビットがもらえます</v>
      </c>
      <c r="M18" s="65" t="s">
        <v>207</v>
      </c>
    </row>
    <row r="19" spans="1:13" x14ac:dyDescent="0.15">
      <c r="A19" s="65" t="s">
        <v>206</v>
      </c>
      <c r="B19" s="65">
        <v>13101</v>
      </c>
      <c r="C19" s="65"/>
      <c r="D19" s="65"/>
      <c r="E19" s="65">
        <v>3</v>
      </c>
      <c r="F19" s="65"/>
      <c r="G19" s="65"/>
      <c r="H19" s="65">
        <v>0</v>
      </c>
      <c r="I19" s="65">
        <v>10</v>
      </c>
      <c r="J19" s="118" t="s">
        <v>188</v>
      </c>
      <c r="K19" s="119" t="str">
        <f>VLOOKUP(I19,[7]stage_hints!$A:$C,3,FALSE)</f>
        <v>土日に大量のビットを獲得</v>
      </c>
      <c r="L19" s="120" t="str">
        <f>VLOOKUP(I19,[7]stage_hints!$A:$D,4,FALSE)</f>
        <v>土日限定の「ゴールドカジノ」では_x000D_売却素材ユニットが多く手に入ります</v>
      </c>
      <c r="M19" s="65" t="s">
        <v>207</v>
      </c>
    </row>
    <row r="20" spans="1:13" x14ac:dyDescent="0.15">
      <c r="A20" s="65" t="s">
        <v>206</v>
      </c>
      <c r="B20" s="65">
        <v>13101</v>
      </c>
      <c r="C20" s="65"/>
      <c r="D20" s="65"/>
      <c r="E20" s="65">
        <v>3</v>
      </c>
      <c r="F20" s="65"/>
      <c r="G20" s="65"/>
      <c r="H20" s="65">
        <v>0</v>
      </c>
      <c r="I20" s="65">
        <v>11</v>
      </c>
      <c r="J20" s="118" t="s">
        <v>188</v>
      </c>
      <c r="K20" s="119" t="str">
        <f>VLOOKUP(I20,[7]stage_hints!$A:$C,3,FALSE)</f>
        <v>ランク解放クエスト</v>
      </c>
      <c r="L20" s="120" t="str">
        <f>VLOOKUP(I20,[7]stage_hints!$A:$D,4,FALSE)</f>
        <v>一定ランクに到達すると_x000D_報酬付きのランク開放クエストが現れます</v>
      </c>
      <c r="M20" s="65" t="s">
        <v>207</v>
      </c>
    </row>
    <row r="21" spans="1:13" x14ac:dyDescent="0.15">
      <c r="A21" s="65" t="s">
        <v>206</v>
      </c>
      <c r="B21" s="65">
        <v>13101</v>
      </c>
      <c r="C21" s="65"/>
      <c r="D21" s="65"/>
      <c r="E21" s="65">
        <v>3</v>
      </c>
      <c r="F21" s="65"/>
      <c r="G21" s="65"/>
      <c r="H21" s="65">
        <v>0</v>
      </c>
      <c r="I21" s="65">
        <v>12</v>
      </c>
      <c r="J21" s="118" t="s">
        <v>188</v>
      </c>
      <c r="K21" s="119" t="str">
        <f>VLOOKUP(I21,[7]stage_hints!$A:$C,3,FALSE)</f>
        <v>ユニットのお気に入り登録</v>
      </c>
      <c r="L21" s="120" t="str">
        <f>VLOOKUP(I21,[7]stage_hints!$A:$D,4,FALSE)</f>
        <v>大事なユニットを誤って消さないように_x000D_フォルダから「お気に入り登録」しましょう</v>
      </c>
      <c r="M21" s="65" t="s">
        <v>207</v>
      </c>
    </row>
    <row r="22" spans="1:13" x14ac:dyDescent="0.15">
      <c r="A22" s="65" t="s">
        <v>206</v>
      </c>
      <c r="B22" s="65">
        <v>13101</v>
      </c>
      <c r="C22" s="65"/>
      <c r="D22" s="65"/>
      <c r="E22" s="65">
        <v>3</v>
      </c>
      <c r="F22" s="65"/>
      <c r="G22" s="65"/>
      <c r="H22" s="65">
        <v>0</v>
      </c>
      <c r="I22" s="65">
        <v>39</v>
      </c>
      <c r="J22" s="118" t="s">
        <v>188</v>
      </c>
      <c r="K22" s="119" t="str">
        <f>VLOOKUP(I22,[7]stage_hints!$A:$C,3,FALSE)</f>
        <v>システム適合者を確認</v>
      </c>
      <c r="L22" s="120" t="str">
        <f>VLOOKUP(I22,[7]stage_hints!$A:$D,4,FALSE)</f>
        <v>ALICEが 「アナタ」を呼んでいます</v>
      </c>
      <c r="M22" s="65" t="s">
        <v>207</v>
      </c>
    </row>
    <row r="23" spans="1:13" x14ac:dyDescent="0.15">
      <c r="A23" s="65" t="s">
        <v>206</v>
      </c>
      <c r="B23" s="65">
        <v>13101</v>
      </c>
      <c r="C23" s="65"/>
      <c r="D23" s="65"/>
      <c r="E23" s="65">
        <v>4</v>
      </c>
      <c r="F23" s="65"/>
      <c r="G23" s="65"/>
      <c r="H23" s="65">
        <v>0</v>
      </c>
      <c r="I23" s="65">
        <v>3</v>
      </c>
      <c r="J23" s="118" t="s">
        <v>188</v>
      </c>
      <c r="K23" s="119" t="str">
        <f>VLOOKUP(I23,[7]stage_hints!$A:$C,3,FALSE)</f>
        <v>ターゲット</v>
      </c>
      <c r="L23" s="120" t="str">
        <f>VLOOKUP(I23,[7]stage_hints!$A:$D,4,FALSE)</f>
        <v>敵ユニットをタップすると_x000D_その敵を狙い撃ちできます</v>
      </c>
      <c r="M23" s="65" t="s">
        <v>207</v>
      </c>
    </row>
    <row r="24" spans="1:13" x14ac:dyDescent="0.15">
      <c r="A24" s="65" t="s">
        <v>206</v>
      </c>
      <c r="B24" s="65">
        <v>13101</v>
      </c>
      <c r="C24" s="65"/>
      <c r="D24" s="65"/>
      <c r="E24" s="65">
        <v>4</v>
      </c>
      <c r="F24" s="65"/>
      <c r="G24" s="65"/>
      <c r="H24" s="65">
        <v>0</v>
      </c>
      <c r="I24" s="65">
        <v>5</v>
      </c>
      <c r="J24" s="118" t="s">
        <v>188</v>
      </c>
      <c r="K24" s="119" t="str">
        <f>VLOOKUP(I24,[7]stage_hints!$A:$C,3,FALSE)</f>
        <v>ユニット強化でレベルアップ</v>
      </c>
      <c r="L24" s="120" t="str">
        <f>VLOOKUP(I24,[7]stage_hints!$A:$D,4,FALSE)</f>
        <v>「ユニット強化」でレベルアップすると_x000D_勝てない敵にも勝てるようになります</v>
      </c>
      <c r="M24" s="65" t="s">
        <v>207</v>
      </c>
    </row>
    <row r="25" spans="1:13" x14ac:dyDescent="0.15">
      <c r="A25" s="65" t="s">
        <v>206</v>
      </c>
      <c r="B25" s="65">
        <v>13101</v>
      </c>
      <c r="C25" s="65"/>
      <c r="D25" s="65"/>
      <c r="E25" s="65">
        <v>4</v>
      </c>
      <c r="F25" s="65"/>
      <c r="G25" s="65"/>
      <c r="H25" s="65">
        <v>0</v>
      </c>
      <c r="I25" s="65">
        <v>6</v>
      </c>
      <c r="J25" s="118" t="s">
        <v>188</v>
      </c>
      <c r="K25" s="119" t="str">
        <f>VLOOKUP(I25,[7]stage_hints!$A:$C,3,FALSE)</f>
        <v>ユニット強化の属性ボーナス</v>
      </c>
      <c r="L25" s="120" t="str">
        <f>VLOOKUP(I25,[7]stage_hints!$A:$D,4,FALSE)</f>
        <v>同属性ユニットを強化素材にすると_x000D_経験値が多くもらえます</v>
      </c>
      <c r="M25" s="65" t="s">
        <v>207</v>
      </c>
    </row>
    <row r="26" spans="1:13" x14ac:dyDescent="0.15">
      <c r="A26" s="65" t="s">
        <v>206</v>
      </c>
      <c r="B26" s="65">
        <v>13101</v>
      </c>
      <c r="C26" s="65"/>
      <c r="D26" s="65"/>
      <c r="E26" s="65">
        <v>4</v>
      </c>
      <c r="F26" s="65"/>
      <c r="G26" s="65"/>
      <c r="H26" s="65">
        <v>0</v>
      </c>
      <c r="I26" s="65">
        <v>7</v>
      </c>
      <c r="J26" s="118" t="s">
        <v>188</v>
      </c>
      <c r="K26" s="119" t="str">
        <f>VLOOKUP(I26,[7]stage_hints!$A:$C,3,FALSE)</f>
        <v>メタルダックで経験値を獲得</v>
      </c>
      <c r="L26" s="120" t="str">
        <f>VLOOKUP(I26,[7]stage_hints!$A:$D,4,FALSE)</f>
        <v>「メタルなアヒル」を強化素材にすると_x000D_大量の経験値がもらえます</v>
      </c>
      <c r="M26" s="65" t="s">
        <v>207</v>
      </c>
    </row>
    <row r="27" spans="1:13" x14ac:dyDescent="0.15">
      <c r="A27" s="65" t="s">
        <v>206</v>
      </c>
      <c r="B27" s="65">
        <v>13101</v>
      </c>
      <c r="C27" s="65"/>
      <c r="D27" s="65"/>
      <c r="E27" s="65">
        <v>4</v>
      </c>
      <c r="F27" s="65"/>
      <c r="G27" s="65"/>
      <c r="H27" s="65">
        <v>0</v>
      </c>
      <c r="I27" s="65">
        <v>8</v>
      </c>
      <c r="J27" s="118" t="s">
        <v>188</v>
      </c>
      <c r="K27" s="119" t="str">
        <f>VLOOKUP(I27,[7]stage_hints!$A:$C,3,FALSE)</f>
        <v>ゲリラクエストは要チェック</v>
      </c>
      <c r="L27" s="120" t="str">
        <f>VLOOKUP(I27,[7]stage_hints!$A:$D,4,FALSE)</f>
        <v>時間限定の「アヒル捕獲作戦」では_x000D_経験値素材ユニットが多く手に入ります</v>
      </c>
      <c r="M27" s="65" t="s">
        <v>207</v>
      </c>
    </row>
    <row r="28" spans="1:13" x14ac:dyDescent="0.15">
      <c r="A28" s="65" t="s">
        <v>206</v>
      </c>
      <c r="B28" s="65">
        <v>13101</v>
      </c>
      <c r="C28" s="65"/>
      <c r="D28" s="65"/>
      <c r="E28" s="65">
        <v>4</v>
      </c>
      <c r="F28" s="65"/>
      <c r="G28" s="65"/>
      <c r="H28" s="65">
        <v>0</v>
      </c>
      <c r="I28" s="65">
        <v>9</v>
      </c>
      <c r="J28" s="118" t="s">
        <v>188</v>
      </c>
      <c r="K28" s="119" t="str">
        <f>VLOOKUP(I28,[7]stage_hints!$A:$C,3,FALSE)</f>
        <v>ゴールドダックでビットを獲得</v>
      </c>
      <c r="L28" s="120" t="str">
        <f>VLOOKUP(I28,[7]stage_hints!$A:$D,4,FALSE)</f>
        <v>「ゴールドなアヒル」を売却すると_x000D_大量のビットがもらえます</v>
      </c>
      <c r="M28" s="65" t="s">
        <v>207</v>
      </c>
    </row>
    <row r="29" spans="1:13" x14ac:dyDescent="0.15">
      <c r="A29" s="65" t="s">
        <v>206</v>
      </c>
      <c r="B29" s="65">
        <v>13101</v>
      </c>
      <c r="C29" s="65"/>
      <c r="D29" s="65"/>
      <c r="E29" s="65">
        <v>4</v>
      </c>
      <c r="F29" s="65"/>
      <c r="G29" s="65"/>
      <c r="H29" s="65">
        <v>0</v>
      </c>
      <c r="I29" s="65">
        <v>10</v>
      </c>
      <c r="J29" s="118" t="s">
        <v>188</v>
      </c>
      <c r="K29" s="119" t="str">
        <f>VLOOKUP(I29,[7]stage_hints!$A:$C,3,FALSE)</f>
        <v>土日に大量のビットを獲得</v>
      </c>
      <c r="L29" s="120" t="str">
        <f>VLOOKUP(I29,[7]stage_hints!$A:$D,4,FALSE)</f>
        <v>土日限定の「ゴールドカジノ」では_x000D_売却素材ユニットが多く手に入ります</v>
      </c>
      <c r="M29" s="65" t="s">
        <v>207</v>
      </c>
    </row>
    <row r="30" spans="1:13" x14ac:dyDescent="0.15">
      <c r="A30" s="65" t="s">
        <v>206</v>
      </c>
      <c r="B30" s="65">
        <v>13101</v>
      </c>
      <c r="C30" s="65"/>
      <c r="D30" s="65"/>
      <c r="E30" s="65">
        <v>4</v>
      </c>
      <c r="F30" s="65"/>
      <c r="G30" s="65"/>
      <c r="H30" s="65">
        <v>0</v>
      </c>
      <c r="I30" s="65">
        <v>11</v>
      </c>
      <c r="J30" s="118" t="s">
        <v>188</v>
      </c>
      <c r="K30" s="119" t="str">
        <f>VLOOKUP(I30,[7]stage_hints!$A:$C,3,FALSE)</f>
        <v>ランク解放クエスト</v>
      </c>
      <c r="L30" s="120" t="str">
        <f>VLOOKUP(I30,[7]stage_hints!$A:$D,4,FALSE)</f>
        <v>一定ランクに到達すると_x000D_報酬付きのランク開放クエストが現れます</v>
      </c>
      <c r="M30" s="65" t="s">
        <v>207</v>
      </c>
    </row>
    <row r="31" spans="1:13" x14ac:dyDescent="0.15">
      <c r="A31" s="65" t="s">
        <v>206</v>
      </c>
      <c r="B31" s="65">
        <v>13101</v>
      </c>
      <c r="C31" s="65"/>
      <c r="D31" s="65"/>
      <c r="E31" s="65">
        <v>4</v>
      </c>
      <c r="F31" s="65"/>
      <c r="G31" s="65"/>
      <c r="H31" s="65">
        <v>0</v>
      </c>
      <c r="I31" s="65">
        <v>12</v>
      </c>
      <c r="J31" s="118" t="s">
        <v>188</v>
      </c>
      <c r="K31" s="119" t="str">
        <f>VLOOKUP(I31,[7]stage_hints!$A:$C,3,FALSE)</f>
        <v>ユニットのお気に入り登録</v>
      </c>
      <c r="L31" s="120" t="str">
        <f>VLOOKUP(I31,[7]stage_hints!$A:$D,4,FALSE)</f>
        <v>大事なユニットを誤って消さないように_x000D_フォルダから「お気に入り登録」しましょう</v>
      </c>
      <c r="M31" s="65" t="s">
        <v>207</v>
      </c>
    </row>
    <row r="32" spans="1:13" x14ac:dyDescent="0.15">
      <c r="A32" s="65" t="s">
        <v>206</v>
      </c>
      <c r="B32" s="65">
        <v>13101</v>
      </c>
      <c r="C32" s="65"/>
      <c r="D32" s="65"/>
      <c r="E32" s="65">
        <v>4</v>
      </c>
      <c r="F32" s="65"/>
      <c r="G32" s="65"/>
      <c r="H32" s="65">
        <v>0</v>
      </c>
      <c r="I32" s="65">
        <v>13</v>
      </c>
      <c r="J32" s="118" t="s">
        <v>188</v>
      </c>
      <c r="K32" s="119" t="str">
        <f>VLOOKUP(I32,[7]stage_hints!$A:$C,3,FALSE)</f>
        <v>ユニットの覚醒</v>
      </c>
      <c r="L32" s="120" t="str">
        <f>VLOOKUP(I32,[7]stage_hints!$A:$D,4,FALSE)</f>
        <v>ユニットを覚醒させると_x000D_比べものにならない強さが手に入ります</v>
      </c>
      <c r="M32" s="65" t="s">
        <v>207</v>
      </c>
    </row>
    <row r="33" spans="1:13" x14ac:dyDescent="0.15">
      <c r="A33" s="65" t="s">
        <v>206</v>
      </c>
      <c r="B33" s="65">
        <v>13101</v>
      </c>
      <c r="C33" s="65"/>
      <c r="D33" s="65"/>
      <c r="E33" s="65">
        <v>4</v>
      </c>
      <c r="F33" s="65"/>
      <c r="G33" s="65"/>
      <c r="H33" s="65">
        <v>0</v>
      </c>
      <c r="I33" s="65">
        <v>14</v>
      </c>
      <c r="J33" s="118" t="s">
        <v>188</v>
      </c>
      <c r="K33" s="119" t="str">
        <f>VLOOKUP(I33,[7]stage_hints!$A:$C,3,FALSE)</f>
        <v>覚醒するにはレベルを最大に</v>
      </c>
      <c r="L33" s="120" t="str">
        <f>VLOOKUP(I33,[7]stage_hints!$A:$D,4,FALSE)</f>
        <v>覚醒するにはユニットのレベルを_x000D_最大まで上げる必要があります</v>
      </c>
      <c r="M33" s="65" t="s">
        <v>207</v>
      </c>
    </row>
    <row r="34" spans="1:13" x14ac:dyDescent="0.15">
      <c r="A34" s="65" t="s">
        <v>206</v>
      </c>
      <c r="B34" s="65">
        <v>13101</v>
      </c>
      <c r="C34" s="65"/>
      <c r="D34" s="65"/>
      <c r="E34" s="65">
        <v>4</v>
      </c>
      <c r="F34" s="65"/>
      <c r="G34" s="65"/>
      <c r="H34" s="65">
        <v>0</v>
      </c>
      <c r="I34" s="65">
        <v>15</v>
      </c>
      <c r="J34" s="118" t="s">
        <v>188</v>
      </c>
      <c r="K34" s="119" t="str">
        <f>VLOOKUP(I34,[7]stage_hints!$A:$C,3,FALSE)</f>
        <v>覚醒素材を獲得</v>
      </c>
      <c r="L34" s="120" t="str">
        <f>VLOOKUP(I34,[7]stage_hints!$A:$D,4,FALSE)</f>
        <v>「曜日クエスト」では_x000D_ユニットの覚醒に必要な素材が手に入ります</v>
      </c>
      <c r="M34" s="65" t="s">
        <v>207</v>
      </c>
    </row>
    <row r="35" spans="1:13" x14ac:dyDescent="0.15">
      <c r="A35" s="65" t="s">
        <v>206</v>
      </c>
      <c r="B35" s="65">
        <v>13101</v>
      </c>
      <c r="C35" s="65"/>
      <c r="D35" s="65"/>
      <c r="E35" s="65">
        <v>4</v>
      </c>
      <c r="F35" s="65"/>
      <c r="G35" s="65"/>
      <c r="H35" s="65">
        <v>0</v>
      </c>
      <c r="I35" s="65">
        <v>16</v>
      </c>
      <c r="J35" s="118" t="s">
        <v>188</v>
      </c>
      <c r="K35" s="119" t="str">
        <f>VLOOKUP(I35,[7]stage_hints!$A:$C,3,FALSE)</f>
        <v>マルチプレイのメリット（その1）</v>
      </c>
      <c r="L35" s="120" t="str">
        <f>VLOOKUP(I35,[7]stage_hints!$A:$D,4,FALSE)</f>
        <v>他のプレイヤーとマルチプレイで遊ぶと_x000D_ポリゴンがもらえます（100人まで）</v>
      </c>
      <c r="M35" s="65" t="s">
        <v>207</v>
      </c>
    </row>
    <row r="36" spans="1:13" x14ac:dyDescent="0.15">
      <c r="A36" s="65" t="s">
        <v>206</v>
      </c>
      <c r="B36" s="65">
        <v>13101</v>
      </c>
      <c r="C36" s="65"/>
      <c r="D36" s="65"/>
      <c r="E36" s="65">
        <v>4</v>
      </c>
      <c r="F36" s="65"/>
      <c r="G36" s="65"/>
      <c r="H36" s="65">
        <v>0</v>
      </c>
      <c r="I36" s="65">
        <v>39</v>
      </c>
      <c r="J36" s="118" t="s">
        <v>188</v>
      </c>
      <c r="K36" s="119" t="str">
        <f>VLOOKUP(I36,[7]stage_hints!$A:$C,3,FALSE)</f>
        <v>システム適合者を確認</v>
      </c>
      <c r="L36" s="120" t="str">
        <f>VLOOKUP(I36,[7]stage_hints!$A:$D,4,FALSE)</f>
        <v>ALICEが 「アナタ」を呼んでいます</v>
      </c>
      <c r="M36" s="65" t="s">
        <v>207</v>
      </c>
    </row>
    <row r="37" spans="1:13" x14ac:dyDescent="0.15">
      <c r="A37" s="65" t="s">
        <v>206</v>
      </c>
      <c r="B37" s="65">
        <v>13101</v>
      </c>
      <c r="C37" s="65"/>
      <c r="D37" s="65"/>
      <c r="E37" s="65">
        <v>5</v>
      </c>
      <c r="F37" s="65"/>
      <c r="G37" s="65"/>
      <c r="H37" s="65">
        <v>0</v>
      </c>
      <c r="I37" s="65">
        <v>3</v>
      </c>
      <c r="J37" s="118" t="s">
        <v>188</v>
      </c>
      <c r="K37" s="119" t="str">
        <f>VLOOKUP(I37,[7]stage_hints!$A:$C,3,FALSE)</f>
        <v>ターゲット</v>
      </c>
      <c r="L37" s="120" t="str">
        <f>VLOOKUP(I37,[7]stage_hints!$A:$D,4,FALSE)</f>
        <v>敵ユニットをタップすると_x000D_その敵を狙い撃ちできます</v>
      </c>
      <c r="M37" s="65" t="s">
        <v>207</v>
      </c>
    </row>
    <row r="38" spans="1:13" x14ac:dyDescent="0.15">
      <c r="A38" s="65" t="s">
        <v>206</v>
      </c>
      <c r="B38" s="65">
        <v>13101</v>
      </c>
      <c r="C38" s="65"/>
      <c r="D38" s="65"/>
      <c r="E38" s="65">
        <v>5</v>
      </c>
      <c r="F38" s="65"/>
      <c r="G38" s="65"/>
      <c r="H38" s="65">
        <v>0</v>
      </c>
      <c r="I38" s="65">
        <v>5</v>
      </c>
      <c r="J38" s="118" t="s">
        <v>188</v>
      </c>
      <c r="K38" s="119" t="str">
        <f>VLOOKUP(I38,[7]stage_hints!$A:$C,3,FALSE)</f>
        <v>ユニット強化でレベルアップ</v>
      </c>
      <c r="L38" s="120" t="str">
        <f>VLOOKUP(I38,[7]stage_hints!$A:$D,4,FALSE)</f>
        <v>「ユニット強化」でレベルアップすると_x000D_勝てない敵にも勝てるようになります</v>
      </c>
      <c r="M38" s="65" t="s">
        <v>207</v>
      </c>
    </row>
    <row r="39" spans="1:13" x14ac:dyDescent="0.15">
      <c r="A39" s="65" t="s">
        <v>206</v>
      </c>
      <c r="B39" s="65">
        <v>13101</v>
      </c>
      <c r="C39" s="65"/>
      <c r="D39" s="65"/>
      <c r="E39" s="65">
        <v>5</v>
      </c>
      <c r="F39" s="65"/>
      <c r="G39" s="65"/>
      <c r="H39" s="65">
        <v>0</v>
      </c>
      <c r="I39" s="65">
        <v>6</v>
      </c>
      <c r="J39" s="118" t="s">
        <v>188</v>
      </c>
      <c r="K39" s="119" t="str">
        <f>VLOOKUP(I39,[7]stage_hints!$A:$C,3,FALSE)</f>
        <v>ユニット強化の属性ボーナス</v>
      </c>
      <c r="L39" s="120" t="str">
        <f>VLOOKUP(I39,[7]stage_hints!$A:$D,4,FALSE)</f>
        <v>同属性ユニットを強化素材にすると_x000D_経験値が多くもらえます</v>
      </c>
      <c r="M39" s="65" t="s">
        <v>207</v>
      </c>
    </row>
    <row r="40" spans="1:13" x14ac:dyDescent="0.15">
      <c r="A40" s="65" t="s">
        <v>206</v>
      </c>
      <c r="B40" s="65">
        <v>13101</v>
      </c>
      <c r="C40" s="65"/>
      <c r="D40" s="65"/>
      <c r="E40" s="65">
        <v>5</v>
      </c>
      <c r="F40" s="65"/>
      <c r="G40" s="65"/>
      <c r="H40" s="65">
        <v>0</v>
      </c>
      <c r="I40" s="65">
        <v>7</v>
      </c>
      <c r="J40" s="118" t="s">
        <v>188</v>
      </c>
      <c r="K40" s="119" t="str">
        <f>VLOOKUP(I40,[7]stage_hints!$A:$C,3,FALSE)</f>
        <v>メタルダックで経験値を獲得</v>
      </c>
      <c r="L40" s="120" t="str">
        <f>VLOOKUP(I40,[7]stage_hints!$A:$D,4,FALSE)</f>
        <v>「メタルなアヒル」を強化素材にすると_x000D_大量の経験値がもらえます</v>
      </c>
      <c r="M40" s="65" t="s">
        <v>207</v>
      </c>
    </row>
    <row r="41" spans="1:13" x14ac:dyDescent="0.15">
      <c r="A41" s="65" t="s">
        <v>206</v>
      </c>
      <c r="B41" s="65">
        <v>13101</v>
      </c>
      <c r="C41" s="65"/>
      <c r="D41" s="65"/>
      <c r="E41" s="65">
        <v>5</v>
      </c>
      <c r="F41" s="65"/>
      <c r="G41" s="65"/>
      <c r="H41" s="65">
        <v>0</v>
      </c>
      <c r="I41" s="65">
        <v>8</v>
      </c>
      <c r="J41" s="118" t="s">
        <v>188</v>
      </c>
      <c r="K41" s="119" t="str">
        <f>VLOOKUP(I41,[7]stage_hints!$A:$C,3,FALSE)</f>
        <v>ゲリラクエストは要チェック</v>
      </c>
      <c r="L41" s="120" t="str">
        <f>VLOOKUP(I41,[7]stage_hints!$A:$D,4,FALSE)</f>
        <v>時間限定の「アヒル捕獲作戦」では_x000D_経験値素材ユニットが多く手に入ります</v>
      </c>
      <c r="M41" s="65" t="s">
        <v>207</v>
      </c>
    </row>
    <row r="42" spans="1:13" x14ac:dyDescent="0.15">
      <c r="A42" s="65" t="s">
        <v>206</v>
      </c>
      <c r="B42" s="65">
        <v>13101</v>
      </c>
      <c r="C42" s="65"/>
      <c r="D42" s="65"/>
      <c r="E42" s="65">
        <v>5</v>
      </c>
      <c r="F42" s="65"/>
      <c r="G42" s="65"/>
      <c r="H42" s="65">
        <v>0</v>
      </c>
      <c r="I42" s="65">
        <v>9</v>
      </c>
      <c r="J42" s="118" t="s">
        <v>188</v>
      </c>
      <c r="K42" s="119" t="str">
        <f>VLOOKUP(I42,[7]stage_hints!$A:$C,3,FALSE)</f>
        <v>ゴールドダックでビットを獲得</v>
      </c>
      <c r="L42" s="120" t="str">
        <f>VLOOKUP(I42,[7]stage_hints!$A:$D,4,FALSE)</f>
        <v>「ゴールドなアヒル」を売却すると_x000D_大量のビットがもらえます</v>
      </c>
      <c r="M42" s="65" t="s">
        <v>207</v>
      </c>
    </row>
    <row r="43" spans="1:13" x14ac:dyDescent="0.15">
      <c r="A43" s="65" t="s">
        <v>206</v>
      </c>
      <c r="B43" s="65">
        <v>13101</v>
      </c>
      <c r="C43" s="65"/>
      <c r="D43" s="65"/>
      <c r="E43" s="65">
        <v>5</v>
      </c>
      <c r="F43" s="65"/>
      <c r="G43" s="65"/>
      <c r="H43" s="65">
        <v>0</v>
      </c>
      <c r="I43" s="65">
        <v>10</v>
      </c>
      <c r="J43" s="118" t="s">
        <v>188</v>
      </c>
      <c r="K43" s="119" t="str">
        <f>VLOOKUP(I43,[7]stage_hints!$A:$C,3,FALSE)</f>
        <v>土日に大量のビットを獲得</v>
      </c>
      <c r="L43" s="120" t="str">
        <f>VLOOKUP(I43,[7]stage_hints!$A:$D,4,FALSE)</f>
        <v>土日限定の「ゴールドカジノ」では_x000D_売却素材ユニットが多く手に入ります</v>
      </c>
      <c r="M43" s="65" t="s">
        <v>207</v>
      </c>
    </row>
    <row r="44" spans="1:13" x14ac:dyDescent="0.15">
      <c r="A44" s="65" t="s">
        <v>206</v>
      </c>
      <c r="B44" s="65">
        <v>13101</v>
      </c>
      <c r="C44" s="65"/>
      <c r="D44" s="65"/>
      <c r="E44" s="65">
        <v>5</v>
      </c>
      <c r="F44" s="65"/>
      <c r="G44" s="65"/>
      <c r="H44" s="65">
        <v>0</v>
      </c>
      <c r="I44" s="65">
        <v>11</v>
      </c>
      <c r="J44" s="118" t="s">
        <v>188</v>
      </c>
      <c r="K44" s="119" t="str">
        <f>VLOOKUP(I44,[7]stage_hints!$A:$C,3,FALSE)</f>
        <v>ランク解放クエスト</v>
      </c>
      <c r="L44" s="120" t="str">
        <f>VLOOKUP(I44,[7]stage_hints!$A:$D,4,FALSE)</f>
        <v>一定ランクに到達すると_x000D_報酬付きのランク開放クエストが現れます</v>
      </c>
      <c r="M44" s="65" t="s">
        <v>207</v>
      </c>
    </row>
    <row r="45" spans="1:13" x14ac:dyDescent="0.15">
      <c r="A45" s="65" t="s">
        <v>206</v>
      </c>
      <c r="B45" s="65">
        <v>13101</v>
      </c>
      <c r="C45" s="65"/>
      <c r="D45" s="65"/>
      <c r="E45" s="65">
        <v>5</v>
      </c>
      <c r="F45" s="65"/>
      <c r="G45" s="65"/>
      <c r="H45" s="65">
        <v>0</v>
      </c>
      <c r="I45" s="65">
        <v>12</v>
      </c>
      <c r="J45" s="118" t="s">
        <v>188</v>
      </c>
      <c r="K45" s="119" t="str">
        <f>VLOOKUP(I45,[7]stage_hints!$A:$C,3,FALSE)</f>
        <v>ユニットのお気に入り登録</v>
      </c>
      <c r="L45" s="120" t="str">
        <f>VLOOKUP(I45,[7]stage_hints!$A:$D,4,FALSE)</f>
        <v>大事なユニットを誤って消さないように_x000D_フォルダから「お気に入り登録」しましょう</v>
      </c>
      <c r="M45" s="65" t="s">
        <v>207</v>
      </c>
    </row>
    <row r="46" spans="1:13" x14ac:dyDescent="0.15">
      <c r="A46" s="65" t="s">
        <v>206</v>
      </c>
      <c r="B46" s="65">
        <v>13101</v>
      </c>
      <c r="C46" s="65"/>
      <c r="D46" s="65"/>
      <c r="E46" s="65">
        <v>5</v>
      </c>
      <c r="F46" s="65"/>
      <c r="G46" s="65"/>
      <c r="H46" s="65">
        <v>0</v>
      </c>
      <c r="I46" s="65">
        <v>13</v>
      </c>
      <c r="J46" s="118" t="s">
        <v>188</v>
      </c>
      <c r="K46" s="119" t="str">
        <f>VLOOKUP(I46,[7]stage_hints!$A:$C,3,FALSE)</f>
        <v>ユニットの覚醒</v>
      </c>
      <c r="L46" s="120" t="str">
        <f>VLOOKUP(I46,[7]stage_hints!$A:$D,4,FALSE)</f>
        <v>ユニットを覚醒させると_x000D_比べものにならない強さが手に入ります</v>
      </c>
      <c r="M46" s="65" t="s">
        <v>207</v>
      </c>
    </row>
    <row r="47" spans="1:13" x14ac:dyDescent="0.15">
      <c r="A47" s="65" t="s">
        <v>206</v>
      </c>
      <c r="B47" s="65">
        <v>13101</v>
      </c>
      <c r="C47" s="65"/>
      <c r="D47" s="65"/>
      <c r="E47" s="65">
        <v>5</v>
      </c>
      <c r="F47" s="65"/>
      <c r="G47" s="65"/>
      <c r="H47" s="65">
        <v>0</v>
      </c>
      <c r="I47" s="65">
        <v>14</v>
      </c>
      <c r="J47" s="118" t="s">
        <v>188</v>
      </c>
      <c r="K47" s="119" t="str">
        <f>VLOOKUP(I47,[7]stage_hints!$A:$C,3,FALSE)</f>
        <v>覚醒するにはレベルを最大に</v>
      </c>
      <c r="L47" s="120" t="str">
        <f>VLOOKUP(I47,[7]stage_hints!$A:$D,4,FALSE)</f>
        <v>覚醒するにはユニットのレベルを_x000D_最大まで上げる必要があります</v>
      </c>
      <c r="M47" s="65" t="s">
        <v>207</v>
      </c>
    </row>
    <row r="48" spans="1:13" x14ac:dyDescent="0.15">
      <c r="A48" s="65" t="s">
        <v>206</v>
      </c>
      <c r="B48" s="65">
        <v>13101</v>
      </c>
      <c r="C48" s="65"/>
      <c r="D48" s="65"/>
      <c r="E48" s="65">
        <v>5</v>
      </c>
      <c r="F48" s="65"/>
      <c r="G48" s="65"/>
      <c r="H48" s="65">
        <v>0</v>
      </c>
      <c r="I48" s="65">
        <v>15</v>
      </c>
      <c r="J48" s="118" t="s">
        <v>188</v>
      </c>
      <c r="K48" s="119" t="str">
        <f>VLOOKUP(I48,[7]stage_hints!$A:$C,3,FALSE)</f>
        <v>覚醒素材を獲得</v>
      </c>
      <c r="L48" s="120" t="str">
        <f>VLOOKUP(I48,[7]stage_hints!$A:$D,4,FALSE)</f>
        <v>「曜日クエスト」では_x000D_ユニットの覚醒に必要な素材が手に入ります</v>
      </c>
      <c r="M48" s="65" t="s">
        <v>207</v>
      </c>
    </row>
    <row r="49" spans="1:13" x14ac:dyDescent="0.15">
      <c r="A49" s="65" t="s">
        <v>206</v>
      </c>
      <c r="B49" s="65">
        <v>13101</v>
      </c>
      <c r="C49" s="65"/>
      <c r="D49" s="65"/>
      <c r="E49" s="65">
        <v>5</v>
      </c>
      <c r="F49" s="65"/>
      <c r="G49" s="65"/>
      <c r="H49" s="65">
        <v>0</v>
      </c>
      <c r="I49" s="65">
        <v>16</v>
      </c>
      <c r="J49" s="118" t="s">
        <v>188</v>
      </c>
      <c r="K49" s="119" t="str">
        <f>VLOOKUP(I49,[7]stage_hints!$A:$C,3,FALSE)</f>
        <v>マルチプレイのメリット（その1）</v>
      </c>
      <c r="L49" s="120" t="str">
        <f>VLOOKUP(I49,[7]stage_hints!$A:$D,4,FALSE)</f>
        <v>他のプレイヤーとマルチプレイで遊ぶと_x000D_ポリゴンがもらえます（100人まで）</v>
      </c>
      <c r="M49" s="65" t="s">
        <v>207</v>
      </c>
    </row>
    <row r="50" spans="1:13" x14ac:dyDescent="0.15">
      <c r="A50" s="65" t="s">
        <v>206</v>
      </c>
      <c r="B50" s="65">
        <v>13101</v>
      </c>
      <c r="C50" s="65"/>
      <c r="D50" s="65"/>
      <c r="E50" s="65">
        <v>5</v>
      </c>
      <c r="F50" s="65"/>
      <c r="G50" s="65"/>
      <c r="H50" s="65">
        <v>0</v>
      </c>
      <c r="I50" s="65">
        <v>17</v>
      </c>
      <c r="J50" s="118" t="s">
        <v>188</v>
      </c>
      <c r="K50" s="119" t="str">
        <f>VLOOKUP(I50,[7]stage_hints!$A:$C,3,FALSE)</f>
        <v>リンクガチャ</v>
      </c>
      <c r="L50" s="120" t="str">
        <f>VLOOKUP(I50,[7]stage_hints!$A:$D,4,FALSE)</f>
        <v>無料のリンクガチャを回して_x000D_経験値素材や売却素材を獲得しましょう</v>
      </c>
      <c r="M50" s="65" t="s">
        <v>207</v>
      </c>
    </row>
    <row r="51" spans="1:13" x14ac:dyDescent="0.15">
      <c r="A51" s="65" t="s">
        <v>206</v>
      </c>
      <c r="B51" s="65">
        <v>13101</v>
      </c>
      <c r="C51" s="65"/>
      <c r="D51" s="65"/>
      <c r="E51" s="65">
        <v>5</v>
      </c>
      <c r="F51" s="65"/>
      <c r="G51" s="65"/>
      <c r="H51" s="65">
        <v>0</v>
      </c>
      <c r="I51" s="65">
        <v>18</v>
      </c>
      <c r="J51" s="118" t="s">
        <v>188</v>
      </c>
      <c r="K51" s="119" t="str">
        <f>VLOOKUP(I51,[7]stage_hints!$A:$C,3,FALSE)</f>
        <v>マルチプレイのメリット（その2）</v>
      </c>
      <c r="L51" s="120" t="str">
        <f>VLOOKUP(I51,[7]stage_hints!$A:$D,4,FALSE)</f>
        <v>マルチプレイならリンクが2倍もらえます_x000D_リンクガチャをたくさん回しましょう</v>
      </c>
      <c r="M51" s="65" t="s">
        <v>207</v>
      </c>
    </row>
    <row r="52" spans="1:13" x14ac:dyDescent="0.15">
      <c r="A52" s="65" t="s">
        <v>206</v>
      </c>
      <c r="B52" s="65">
        <v>13101</v>
      </c>
      <c r="C52" s="65"/>
      <c r="D52" s="65"/>
      <c r="E52" s="65">
        <v>5</v>
      </c>
      <c r="F52" s="65"/>
      <c r="G52" s="65"/>
      <c r="H52" s="65">
        <v>0</v>
      </c>
      <c r="I52" s="65">
        <v>19</v>
      </c>
      <c r="J52" s="118" t="s">
        <v>188</v>
      </c>
      <c r="K52" s="119" t="str">
        <f>VLOOKUP(I52,[7]stage_hints!$A:$C,3,FALSE)</f>
        <v>ソロ専用チャレンジタワー</v>
      </c>
      <c r="L52" s="120" t="str">
        <f>VLOOKUP(I52,[7]stage_hints!$A:$D,4,FALSE)</f>
        <v>ソロ専用の「チャレンジタワー」では_x000D_各フロアごとにクリア報酬がもらえます</v>
      </c>
      <c r="M52" s="65" t="s">
        <v>207</v>
      </c>
    </row>
    <row r="53" spans="1:13" x14ac:dyDescent="0.15">
      <c r="A53" s="65" t="s">
        <v>206</v>
      </c>
      <c r="B53" s="65">
        <v>13101</v>
      </c>
      <c r="C53" s="65"/>
      <c r="D53" s="65"/>
      <c r="E53" s="65">
        <v>5</v>
      </c>
      <c r="F53" s="65"/>
      <c r="G53" s="65"/>
      <c r="H53" s="65">
        <v>0</v>
      </c>
      <c r="I53" s="65">
        <v>20</v>
      </c>
      <c r="J53" s="118" t="s">
        <v>188</v>
      </c>
      <c r="K53" s="119" t="str">
        <f>VLOOKUP(I53,[7]stage_hints!$A:$C,3,FALSE)</f>
        <v>マルチプレイのメリット（その3）</v>
      </c>
      <c r="L53" s="120" t="str">
        <f>VLOOKUP(I53,[7]stage_hints!$A:$D,4,FALSE)</f>
        <v>マルチプレイへの参加はエナジー消費ゼロ_x000D_いつでも好きなだけ遊ぶことができます</v>
      </c>
      <c r="M53" s="65" t="s">
        <v>207</v>
      </c>
    </row>
    <row r="54" spans="1:13" x14ac:dyDescent="0.15">
      <c r="A54" s="65" t="s">
        <v>206</v>
      </c>
      <c r="B54" s="65">
        <v>13101</v>
      </c>
      <c r="C54" s="65"/>
      <c r="D54" s="65"/>
      <c r="E54" s="65">
        <v>5</v>
      </c>
      <c r="F54" s="65"/>
      <c r="G54" s="65"/>
      <c r="H54" s="65">
        <v>0</v>
      </c>
      <c r="I54" s="65">
        <v>39</v>
      </c>
      <c r="J54" s="118" t="s">
        <v>188</v>
      </c>
      <c r="K54" s="119" t="str">
        <f>VLOOKUP(I54,[7]stage_hints!$A:$C,3,FALSE)</f>
        <v>システム適合者を確認</v>
      </c>
      <c r="L54" s="120" t="str">
        <f>VLOOKUP(I54,[7]stage_hints!$A:$D,4,FALSE)</f>
        <v>ALICEが 「アナタ」を呼んでいます</v>
      </c>
      <c r="M54" s="65" t="s">
        <v>207</v>
      </c>
    </row>
    <row r="55" spans="1:13" x14ac:dyDescent="0.15">
      <c r="A55" s="65" t="s">
        <v>206</v>
      </c>
      <c r="B55" s="65">
        <v>13101</v>
      </c>
      <c r="C55" s="65"/>
      <c r="D55" s="65"/>
      <c r="E55" s="65">
        <v>6</v>
      </c>
      <c r="F55" s="65"/>
      <c r="G55" s="65"/>
      <c r="H55" s="65">
        <v>0</v>
      </c>
      <c r="I55" s="65">
        <v>3</v>
      </c>
      <c r="J55" s="118" t="s">
        <v>188</v>
      </c>
      <c r="K55" s="119" t="str">
        <f>VLOOKUP(I55,[7]stage_hints!$A:$C,3,FALSE)</f>
        <v>ターゲット</v>
      </c>
      <c r="L55" s="120" t="str">
        <f>VLOOKUP(I55,[7]stage_hints!$A:$D,4,FALSE)</f>
        <v>敵ユニットをタップすると_x000D_その敵を狙い撃ちできます</v>
      </c>
      <c r="M55" s="65" t="s">
        <v>207</v>
      </c>
    </row>
    <row r="56" spans="1:13" x14ac:dyDescent="0.15">
      <c r="A56" s="65" t="s">
        <v>206</v>
      </c>
      <c r="B56" s="65">
        <v>13101</v>
      </c>
      <c r="C56" s="65"/>
      <c r="D56" s="65"/>
      <c r="E56" s="65">
        <v>6</v>
      </c>
      <c r="F56" s="65"/>
      <c r="G56" s="65"/>
      <c r="H56" s="65">
        <v>0</v>
      </c>
      <c r="I56" s="65">
        <v>5</v>
      </c>
      <c r="J56" s="118" t="s">
        <v>188</v>
      </c>
      <c r="K56" s="119" t="str">
        <f>VLOOKUP(I56,[7]stage_hints!$A:$C,3,FALSE)</f>
        <v>ユニット強化でレベルアップ</v>
      </c>
      <c r="L56" s="120" t="str">
        <f>VLOOKUP(I56,[7]stage_hints!$A:$D,4,FALSE)</f>
        <v>「ユニット強化」でレベルアップすると_x000D_勝てない敵にも勝てるようになります</v>
      </c>
      <c r="M56" s="65" t="s">
        <v>207</v>
      </c>
    </row>
    <row r="57" spans="1:13" x14ac:dyDescent="0.15">
      <c r="A57" s="65" t="s">
        <v>206</v>
      </c>
      <c r="B57" s="65">
        <v>13101</v>
      </c>
      <c r="C57" s="65"/>
      <c r="D57" s="65"/>
      <c r="E57" s="65">
        <v>6</v>
      </c>
      <c r="F57" s="65"/>
      <c r="G57" s="65"/>
      <c r="H57" s="65">
        <v>0</v>
      </c>
      <c r="I57" s="65">
        <v>6</v>
      </c>
      <c r="J57" s="118" t="s">
        <v>188</v>
      </c>
      <c r="K57" s="119" t="str">
        <f>VLOOKUP(I57,[7]stage_hints!$A:$C,3,FALSE)</f>
        <v>ユニット強化の属性ボーナス</v>
      </c>
      <c r="L57" s="120" t="str">
        <f>VLOOKUP(I57,[7]stage_hints!$A:$D,4,FALSE)</f>
        <v>同属性ユニットを強化素材にすると_x000D_経験値が多くもらえます</v>
      </c>
      <c r="M57" s="65" t="s">
        <v>207</v>
      </c>
    </row>
    <row r="58" spans="1:13" x14ac:dyDescent="0.15">
      <c r="A58" s="65" t="s">
        <v>206</v>
      </c>
      <c r="B58" s="65">
        <v>13101</v>
      </c>
      <c r="C58" s="65"/>
      <c r="D58" s="65"/>
      <c r="E58" s="65">
        <v>6</v>
      </c>
      <c r="F58" s="65"/>
      <c r="G58" s="65"/>
      <c r="H58" s="65">
        <v>0</v>
      </c>
      <c r="I58" s="65">
        <v>7</v>
      </c>
      <c r="J58" s="118" t="s">
        <v>188</v>
      </c>
      <c r="K58" s="119" t="str">
        <f>VLOOKUP(I58,[7]stage_hints!$A:$C,3,FALSE)</f>
        <v>メタルダックで経験値を獲得</v>
      </c>
      <c r="L58" s="120" t="str">
        <f>VLOOKUP(I58,[7]stage_hints!$A:$D,4,FALSE)</f>
        <v>「メタルなアヒル」を強化素材にすると_x000D_大量の経験値がもらえます</v>
      </c>
      <c r="M58" s="65" t="s">
        <v>207</v>
      </c>
    </row>
    <row r="59" spans="1:13" x14ac:dyDescent="0.15">
      <c r="A59" s="65" t="s">
        <v>206</v>
      </c>
      <c r="B59" s="65">
        <v>13101</v>
      </c>
      <c r="C59" s="65"/>
      <c r="D59" s="65"/>
      <c r="E59" s="65">
        <v>6</v>
      </c>
      <c r="F59" s="65"/>
      <c r="G59" s="65"/>
      <c r="H59" s="65">
        <v>0</v>
      </c>
      <c r="I59" s="65">
        <v>8</v>
      </c>
      <c r="J59" s="118" t="s">
        <v>188</v>
      </c>
      <c r="K59" s="119" t="str">
        <f>VLOOKUP(I59,[7]stage_hints!$A:$C,3,FALSE)</f>
        <v>ゲリラクエストは要チェック</v>
      </c>
      <c r="L59" s="120" t="str">
        <f>VLOOKUP(I59,[7]stage_hints!$A:$D,4,FALSE)</f>
        <v>時間限定の「アヒル捕獲作戦」では_x000D_経験値素材ユニットが多く手に入ります</v>
      </c>
      <c r="M59" s="65" t="s">
        <v>207</v>
      </c>
    </row>
    <row r="60" spans="1:13" x14ac:dyDescent="0.15">
      <c r="A60" s="65" t="s">
        <v>206</v>
      </c>
      <c r="B60" s="65">
        <v>13101</v>
      </c>
      <c r="C60" s="65"/>
      <c r="D60" s="65"/>
      <c r="E60" s="65">
        <v>6</v>
      </c>
      <c r="F60" s="65"/>
      <c r="G60" s="65"/>
      <c r="H60" s="65">
        <v>0</v>
      </c>
      <c r="I60" s="65">
        <v>9</v>
      </c>
      <c r="J60" s="118" t="s">
        <v>188</v>
      </c>
      <c r="K60" s="119" t="str">
        <f>VLOOKUP(I60,[7]stage_hints!$A:$C,3,FALSE)</f>
        <v>ゴールドダックでビットを獲得</v>
      </c>
      <c r="L60" s="120" t="str">
        <f>VLOOKUP(I60,[7]stage_hints!$A:$D,4,FALSE)</f>
        <v>「ゴールドなアヒル」を売却すると_x000D_大量のビットがもらえます</v>
      </c>
      <c r="M60" s="65" t="s">
        <v>207</v>
      </c>
    </row>
    <row r="61" spans="1:13" x14ac:dyDescent="0.15">
      <c r="A61" s="65" t="s">
        <v>206</v>
      </c>
      <c r="B61" s="65">
        <v>13101</v>
      </c>
      <c r="C61" s="65"/>
      <c r="D61" s="65"/>
      <c r="E61" s="65">
        <v>6</v>
      </c>
      <c r="F61" s="65"/>
      <c r="G61" s="65"/>
      <c r="H61" s="65">
        <v>0</v>
      </c>
      <c r="I61" s="65">
        <v>10</v>
      </c>
      <c r="J61" s="118" t="s">
        <v>188</v>
      </c>
      <c r="K61" s="119" t="str">
        <f>VLOOKUP(I61,[7]stage_hints!$A:$C,3,FALSE)</f>
        <v>土日に大量のビットを獲得</v>
      </c>
      <c r="L61" s="120" t="str">
        <f>VLOOKUP(I61,[7]stage_hints!$A:$D,4,FALSE)</f>
        <v>土日限定の「ゴールドカジノ」では_x000D_売却素材ユニットが多く手に入ります</v>
      </c>
      <c r="M61" s="65" t="s">
        <v>207</v>
      </c>
    </row>
    <row r="62" spans="1:13" x14ac:dyDescent="0.15">
      <c r="A62" s="65" t="s">
        <v>206</v>
      </c>
      <c r="B62" s="65">
        <v>13101</v>
      </c>
      <c r="C62" s="65"/>
      <c r="D62" s="65"/>
      <c r="E62" s="65">
        <v>6</v>
      </c>
      <c r="F62" s="65"/>
      <c r="G62" s="65"/>
      <c r="H62" s="65">
        <v>0</v>
      </c>
      <c r="I62" s="65">
        <v>11</v>
      </c>
      <c r="J62" s="118" t="s">
        <v>188</v>
      </c>
      <c r="K62" s="119" t="str">
        <f>VLOOKUP(I62,[7]stage_hints!$A:$C,3,FALSE)</f>
        <v>ランク解放クエスト</v>
      </c>
      <c r="L62" s="120" t="str">
        <f>VLOOKUP(I62,[7]stage_hints!$A:$D,4,FALSE)</f>
        <v>一定ランクに到達すると_x000D_報酬付きのランク開放クエストが現れます</v>
      </c>
      <c r="M62" s="65" t="s">
        <v>207</v>
      </c>
    </row>
    <row r="63" spans="1:13" x14ac:dyDescent="0.15">
      <c r="A63" s="65" t="s">
        <v>206</v>
      </c>
      <c r="B63" s="65">
        <v>13101</v>
      </c>
      <c r="C63" s="65"/>
      <c r="D63" s="65"/>
      <c r="E63" s="65">
        <v>6</v>
      </c>
      <c r="F63" s="65"/>
      <c r="G63" s="65"/>
      <c r="H63" s="65">
        <v>0</v>
      </c>
      <c r="I63" s="65">
        <v>12</v>
      </c>
      <c r="J63" s="118" t="s">
        <v>188</v>
      </c>
      <c r="K63" s="119" t="str">
        <f>VLOOKUP(I63,[7]stage_hints!$A:$C,3,FALSE)</f>
        <v>ユニットのお気に入り登録</v>
      </c>
      <c r="L63" s="120" t="str">
        <f>VLOOKUP(I63,[7]stage_hints!$A:$D,4,FALSE)</f>
        <v>大事なユニットを誤って消さないように_x000D_フォルダから「お気に入り登録」しましょう</v>
      </c>
      <c r="M63" s="65" t="s">
        <v>207</v>
      </c>
    </row>
    <row r="64" spans="1:13" x14ac:dyDescent="0.15">
      <c r="A64" s="65" t="s">
        <v>206</v>
      </c>
      <c r="B64" s="65">
        <v>13101</v>
      </c>
      <c r="C64" s="65"/>
      <c r="D64" s="65"/>
      <c r="E64" s="65">
        <v>6</v>
      </c>
      <c r="F64" s="65"/>
      <c r="G64" s="65"/>
      <c r="H64" s="65">
        <v>0</v>
      </c>
      <c r="I64" s="65">
        <v>13</v>
      </c>
      <c r="J64" s="118" t="s">
        <v>188</v>
      </c>
      <c r="K64" s="119" t="str">
        <f>VLOOKUP(I64,[7]stage_hints!$A:$C,3,FALSE)</f>
        <v>ユニットの覚醒</v>
      </c>
      <c r="L64" s="120" t="str">
        <f>VLOOKUP(I64,[7]stage_hints!$A:$D,4,FALSE)</f>
        <v>ユニットを覚醒させると_x000D_比べものにならない強さが手に入ります</v>
      </c>
      <c r="M64" s="65" t="s">
        <v>207</v>
      </c>
    </row>
    <row r="65" spans="1:13" x14ac:dyDescent="0.15">
      <c r="A65" s="65" t="s">
        <v>206</v>
      </c>
      <c r="B65" s="65">
        <v>13101</v>
      </c>
      <c r="C65" s="65"/>
      <c r="D65" s="65"/>
      <c r="E65" s="65">
        <v>6</v>
      </c>
      <c r="F65" s="65"/>
      <c r="G65" s="65"/>
      <c r="H65" s="65">
        <v>0</v>
      </c>
      <c r="I65" s="65">
        <v>14</v>
      </c>
      <c r="J65" s="118" t="s">
        <v>188</v>
      </c>
      <c r="K65" s="119" t="str">
        <f>VLOOKUP(I65,[7]stage_hints!$A:$C,3,FALSE)</f>
        <v>覚醒するにはレベルを最大に</v>
      </c>
      <c r="L65" s="120" t="str">
        <f>VLOOKUP(I65,[7]stage_hints!$A:$D,4,FALSE)</f>
        <v>覚醒するにはユニットのレベルを_x000D_最大まで上げる必要があります</v>
      </c>
      <c r="M65" s="65" t="s">
        <v>207</v>
      </c>
    </row>
    <row r="66" spans="1:13" x14ac:dyDescent="0.15">
      <c r="A66" s="65" t="s">
        <v>206</v>
      </c>
      <c r="B66" s="65">
        <v>13101</v>
      </c>
      <c r="C66" s="65"/>
      <c r="D66" s="65"/>
      <c r="E66" s="65">
        <v>6</v>
      </c>
      <c r="F66" s="65"/>
      <c r="G66" s="65"/>
      <c r="H66" s="65">
        <v>0</v>
      </c>
      <c r="I66" s="65">
        <v>15</v>
      </c>
      <c r="J66" s="118" t="s">
        <v>188</v>
      </c>
      <c r="K66" s="119" t="str">
        <f>VLOOKUP(I66,[7]stage_hints!$A:$C,3,FALSE)</f>
        <v>覚醒素材を獲得</v>
      </c>
      <c r="L66" s="120" t="str">
        <f>VLOOKUP(I66,[7]stage_hints!$A:$D,4,FALSE)</f>
        <v>「曜日クエスト」では_x000D_ユニットの覚醒に必要な素材が手に入ります</v>
      </c>
      <c r="M66" s="65" t="s">
        <v>207</v>
      </c>
    </row>
    <row r="67" spans="1:13" x14ac:dyDescent="0.15">
      <c r="A67" s="65" t="s">
        <v>206</v>
      </c>
      <c r="B67" s="65">
        <v>13101</v>
      </c>
      <c r="C67" s="65"/>
      <c r="D67" s="65"/>
      <c r="E67" s="65">
        <v>6</v>
      </c>
      <c r="F67" s="65"/>
      <c r="G67" s="65"/>
      <c r="H67" s="65">
        <v>0</v>
      </c>
      <c r="I67" s="65">
        <v>16</v>
      </c>
      <c r="J67" s="118" t="s">
        <v>188</v>
      </c>
      <c r="K67" s="119" t="str">
        <f>VLOOKUP(I67,[7]stage_hints!$A:$C,3,FALSE)</f>
        <v>マルチプレイのメリット（その1）</v>
      </c>
      <c r="L67" s="120" t="str">
        <f>VLOOKUP(I67,[7]stage_hints!$A:$D,4,FALSE)</f>
        <v>他のプレイヤーとマルチプレイで遊ぶと_x000D_ポリゴンがもらえます（100人まで）</v>
      </c>
      <c r="M67" s="65" t="s">
        <v>207</v>
      </c>
    </row>
    <row r="68" spans="1:13" x14ac:dyDescent="0.15">
      <c r="A68" s="65" t="s">
        <v>206</v>
      </c>
      <c r="B68" s="65">
        <v>13101</v>
      </c>
      <c r="C68" s="65"/>
      <c r="D68" s="65"/>
      <c r="E68" s="65">
        <v>6</v>
      </c>
      <c r="F68" s="65"/>
      <c r="G68" s="65"/>
      <c r="H68" s="65">
        <v>0</v>
      </c>
      <c r="I68" s="65">
        <v>17</v>
      </c>
      <c r="J68" s="118" t="s">
        <v>188</v>
      </c>
      <c r="K68" s="119" t="str">
        <f>VLOOKUP(I68,[7]stage_hints!$A:$C,3,FALSE)</f>
        <v>リンクガチャ</v>
      </c>
      <c r="L68" s="120" t="str">
        <f>VLOOKUP(I68,[7]stage_hints!$A:$D,4,FALSE)</f>
        <v>無料のリンクガチャを回して_x000D_経験値素材や売却素材を獲得しましょう</v>
      </c>
      <c r="M68" s="65" t="s">
        <v>207</v>
      </c>
    </row>
    <row r="69" spans="1:13" x14ac:dyDescent="0.15">
      <c r="A69" s="65" t="s">
        <v>206</v>
      </c>
      <c r="B69" s="65">
        <v>13101</v>
      </c>
      <c r="C69" s="65"/>
      <c r="D69" s="65"/>
      <c r="E69" s="65">
        <v>6</v>
      </c>
      <c r="F69" s="65"/>
      <c r="G69" s="65"/>
      <c r="H69" s="65">
        <v>0</v>
      </c>
      <c r="I69" s="65">
        <v>18</v>
      </c>
      <c r="J69" s="118" t="s">
        <v>188</v>
      </c>
      <c r="K69" s="119" t="str">
        <f>VLOOKUP(I69,[7]stage_hints!$A:$C,3,FALSE)</f>
        <v>マルチプレイのメリット（その2）</v>
      </c>
      <c r="L69" s="120" t="str">
        <f>VLOOKUP(I69,[7]stage_hints!$A:$D,4,FALSE)</f>
        <v>マルチプレイならリンクが2倍もらえます_x000D_リンクガチャをたくさん回しましょう</v>
      </c>
      <c r="M69" s="65" t="s">
        <v>207</v>
      </c>
    </row>
    <row r="70" spans="1:13" x14ac:dyDescent="0.15">
      <c r="A70" s="65" t="s">
        <v>206</v>
      </c>
      <c r="B70" s="65">
        <v>13101</v>
      </c>
      <c r="C70" s="65"/>
      <c r="D70" s="65"/>
      <c r="E70" s="65">
        <v>6</v>
      </c>
      <c r="F70" s="65"/>
      <c r="G70" s="65"/>
      <c r="H70" s="65">
        <v>0</v>
      </c>
      <c r="I70" s="65">
        <v>19</v>
      </c>
      <c r="J70" s="118" t="s">
        <v>188</v>
      </c>
      <c r="K70" s="119" t="str">
        <f>VLOOKUP(I70,[7]stage_hints!$A:$C,3,FALSE)</f>
        <v>ソロ専用チャレンジタワー</v>
      </c>
      <c r="L70" s="120" t="str">
        <f>VLOOKUP(I70,[7]stage_hints!$A:$D,4,FALSE)</f>
        <v>ソロ専用の「チャレンジタワー」では_x000D_各フロアごとにクリア報酬がもらえます</v>
      </c>
      <c r="M70" s="65" t="s">
        <v>207</v>
      </c>
    </row>
    <row r="71" spans="1:13" x14ac:dyDescent="0.15">
      <c r="A71" s="65" t="s">
        <v>206</v>
      </c>
      <c r="B71" s="65">
        <v>13101</v>
      </c>
      <c r="C71" s="65"/>
      <c r="D71" s="65"/>
      <c r="E71" s="65">
        <v>6</v>
      </c>
      <c r="F71" s="65"/>
      <c r="G71" s="65"/>
      <c r="H71" s="65">
        <v>0</v>
      </c>
      <c r="I71" s="65">
        <v>20</v>
      </c>
      <c r="J71" s="118" t="s">
        <v>188</v>
      </c>
      <c r="K71" s="119" t="str">
        <f>VLOOKUP(I71,[7]stage_hints!$A:$C,3,FALSE)</f>
        <v>マルチプレイのメリット（その3）</v>
      </c>
      <c r="L71" s="120" t="str">
        <f>VLOOKUP(I71,[7]stage_hints!$A:$D,4,FALSE)</f>
        <v>マルチプレイへの参加はエナジー消費ゼロ_x000D_いつでも好きなだけ遊ぶことができます</v>
      </c>
      <c r="M71" s="65" t="s">
        <v>207</v>
      </c>
    </row>
    <row r="72" spans="1:13" x14ac:dyDescent="0.15">
      <c r="A72" s="65" t="s">
        <v>206</v>
      </c>
      <c r="B72" s="65">
        <v>13101</v>
      </c>
      <c r="C72" s="65"/>
      <c r="D72" s="65"/>
      <c r="E72" s="65">
        <v>6</v>
      </c>
      <c r="F72" s="65"/>
      <c r="G72" s="65"/>
      <c r="H72" s="65">
        <v>0</v>
      </c>
      <c r="I72" s="65">
        <v>21</v>
      </c>
      <c r="J72" s="118" t="s">
        <v>188</v>
      </c>
      <c r="K72" s="119" t="str">
        <f>VLOOKUP(I72,[7]stage_hints!$A:$C,3,FALSE)</f>
        <v>スキルを有効に</v>
      </c>
      <c r="L72" s="120" t="str">
        <f>VLOOKUP(I72,[7]stage_hints!$A:$D,4,FALSE)</f>
        <v>ターン経過でユニットのスキルが使えます_x000D_強力スキルでバトルを有利に進めましょう</v>
      </c>
      <c r="M72" s="65" t="s">
        <v>207</v>
      </c>
    </row>
    <row r="73" spans="1:13" x14ac:dyDescent="0.15">
      <c r="A73" s="65" t="s">
        <v>206</v>
      </c>
      <c r="B73" s="65">
        <v>13101</v>
      </c>
      <c r="C73" s="65"/>
      <c r="D73" s="65"/>
      <c r="E73" s="65">
        <v>6</v>
      </c>
      <c r="F73" s="65"/>
      <c r="G73" s="65"/>
      <c r="H73" s="65">
        <v>0</v>
      </c>
      <c r="I73" s="65">
        <v>22</v>
      </c>
      <c r="J73" s="118" t="s">
        <v>188</v>
      </c>
      <c r="K73" s="119" t="str">
        <f>VLOOKUP(I73,[7]stage_hints!$A:$C,3,FALSE)</f>
        <v>フィーバーで一発逆転（その1）</v>
      </c>
      <c r="L73" s="120" t="str">
        <f>VLOOKUP(I73,[7]stage_hints!$A:$D,4,FALSE)</f>
        <v>フィーバーは攻撃と回復を兼ね備えます_x000D_ピンチからの一発逆転を狙いましょう</v>
      </c>
      <c r="M73" s="65" t="s">
        <v>207</v>
      </c>
    </row>
    <row r="74" spans="1:13" x14ac:dyDescent="0.15">
      <c r="A74" s="65" t="s">
        <v>206</v>
      </c>
      <c r="B74" s="65">
        <v>13101</v>
      </c>
      <c r="C74" s="65"/>
      <c r="D74" s="65"/>
      <c r="E74" s="65">
        <v>6</v>
      </c>
      <c r="F74" s="65"/>
      <c r="G74" s="65"/>
      <c r="H74" s="65">
        <v>0</v>
      </c>
      <c r="I74" s="65">
        <v>23</v>
      </c>
      <c r="J74" s="118" t="s">
        <v>188</v>
      </c>
      <c r="K74" s="119" t="str">
        <f>VLOOKUP(I74,[7]stage_hints!$A:$C,3,FALSE)</f>
        <v>フィーバーで一発逆転（その2）</v>
      </c>
      <c r="L74" s="120" t="str">
        <f>VLOOKUP(I74,[7]stage_hints!$A:$D,4,FALSE)</f>
        <v>フィーバー中は虹色のボムパネルを狙って_x000D_画面上のパネルを一気に破壊しましょう</v>
      </c>
      <c r="M74" s="65" t="s">
        <v>207</v>
      </c>
    </row>
    <row r="75" spans="1:13" x14ac:dyDescent="0.15">
      <c r="A75" s="65" t="s">
        <v>206</v>
      </c>
      <c r="B75" s="65">
        <v>13101</v>
      </c>
      <c r="C75" s="65"/>
      <c r="D75" s="65"/>
      <c r="E75" s="65">
        <v>6</v>
      </c>
      <c r="F75" s="65"/>
      <c r="G75" s="65"/>
      <c r="H75" s="65">
        <v>0</v>
      </c>
      <c r="I75" s="65">
        <v>24</v>
      </c>
      <c r="J75" s="118" t="s">
        <v>188</v>
      </c>
      <c r="K75" s="119" t="str">
        <f>VLOOKUP(I75,[7]stage_hints!$A:$C,3,FALSE)</f>
        <v>りんごを使って限界突破</v>
      </c>
      <c r="L75" s="120" t="str">
        <f>VLOOKUP(I75,[7]stage_hints!$A:$D,4,FALSE)</f>
        <v>赤りんご(攻撃力) 青りんご(回復力)_x000D_緑りんご(体力)をユニット強化に使うと_x000D_ステータスが限界突破します（計99個迄）</v>
      </c>
      <c r="M75" s="65" t="s">
        <v>207</v>
      </c>
    </row>
    <row r="76" spans="1:13" x14ac:dyDescent="0.15">
      <c r="A76" s="65" t="s">
        <v>206</v>
      </c>
      <c r="B76" s="65">
        <v>13101</v>
      </c>
      <c r="C76" s="65"/>
      <c r="D76" s="65"/>
      <c r="E76" s="65">
        <v>6</v>
      </c>
      <c r="F76" s="65"/>
      <c r="G76" s="65"/>
      <c r="H76" s="65">
        <v>0</v>
      </c>
      <c r="I76" s="65">
        <v>39</v>
      </c>
      <c r="J76" s="118" t="s">
        <v>188</v>
      </c>
      <c r="K76" s="119" t="str">
        <f>VLOOKUP(I76,[7]stage_hints!$A:$C,3,FALSE)</f>
        <v>システム適合者を確認</v>
      </c>
      <c r="L76" s="120" t="str">
        <f>VLOOKUP(I76,[7]stage_hints!$A:$D,4,FALSE)</f>
        <v>ALICEが 「アナタ」を呼んでいます</v>
      </c>
      <c r="M76" s="65" t="s">
        <v>207</v>
      </c>
    </row>
    <row r="77" spans="1:13" x14ac:dyDescent="0.15">
      <c r="A77" s="65" t="s">
        <v>206</v>
      </c>
      <c r="B77" s="65">
        <v>13101</v>
      </c>
      <c r="C77" s="65"/>
      <c r="D77" s="65"/>
      <c r="E77" s="65">
        <v>7</v>
      </c>
      <c r="F77" s="65"/>
      <c r="G77" s="65"/>
      <c r="H77" s="65">
        <v>0</v>
      </c>
      <c r="I77" s="65">
        <v>3</v>
      </c>
      <c r="J77" s="118" t="s">
        <v>188</v>
      </c>
      <c r="K77" s="119" t="str">
        <f>VLOOKUP(I77,[7]stage_hints!$A:$C,3,FALSE)</f>
        <v>ターゲット</v>
      </c>
      <c r="L77" s="120" t="str">
        <f>VLOOKUP(I77,[7]stage_hints!$A:$D,4,FALSE)</f>
        <v>敵ユニットをタップすると_x000D_その敵を狙い撃ちできます</v>
      </c>
      <c r="M77" s="65" t="s">
        <v>207</v>
      </c>
    </row>
    <row r="78" spans="1:13" x14ac:dyDescent="0.15">
      <c r="A78" s="65" t="s">
        <v>206</v>
      </c>
      <c r="B78" s="65">
        <v>13101</v>
      </c>
      <c r="C78" s="65"/>
      <c r="D78" s="65"/>
      <c r="E78" s="65">
        <v>7</v>
      </c>
      <c r="F78" s="65"/>
      <c r="G78" s="65"/>
      <c r="H78" s="65">
        <v>0</v>
      </c>
      <c r="I78" s="65">
        <v>5</v>
      </c>
      <c r="J78" s="118" t="s">
        <v>188</v>
      </c>
      <c r="K78" s="119" t="str">
        <f>VLOOKUP(I78,[7]stage_hints!$A:$C,3,FALSE)</f>
        <v>ユニット強化でレベルアップ</v>
      </c>
      <c r="L78" s="120" t="str">
        <f>VLOOKUP(I78,[7]stage_hints!$A:$D,4,FALSE)</f>
        <v>「ユニット強化」でレベルアップすると_x000D_勝てない敵にも勝てるようになります</v>
      </c>
      <c r="M78" s="65" t="s">
        <v>207</v>
      </c>
    </row>
    <row r="79" spans="1:13" x14ac:dyDescent="0.15">
      <c r="A79" s="65" t="s">
        <v>206</v>
      </c>
      <c r="B79" s="65">
        <v>13101</v>
      </c>
      <c r="C79" s="65"/>
      <c r="D79" s="65"/>
      <c r="E79" s="65">
        <v>7</v>
      </c>
      <c r="F79" s="65"/>
      <c r="G79" s="65"/>
      <c r="H79" s="65">
        <v>0</v>
      </c>
      <c r="I79" s="65">
        <v>6</v>
      </c>
      <c r="J79" s="118" t="s">
        <v>188</v>
      </c>
      <c r="K79" s="119" t="str">
        <f>VLOOKUP(I79,[7]stage_hints!$A:$C,3,FALSE)</f>
        <v>ユニット強化の属性ボーナス</v>
      </c>
      <c r="L79" s="120" t="str">
        <f>VLOOKUP(I79,[7]stage_hints!$A:$D,4,FALSE)</f>
        <v>同属性ユニットを強化素材にすると_x000D_経験値が多くもらえます</v>
      </c>
      <c r="M79" s="65" t="s">
        <v>207</v>
      </c>
    </row>
    <row r="80" spans="1:13" x14ac:dyDescent="0.15">
      <c r="A80" s="65" t="s">
        <v>206</v>
      </c>
      <c r="B80" s="65">
        <v>13101</v>
      </c>
      <c r="C80" s="65"/>
      <c r="D80" s="65"/>
      <c r="E80" s="65">
        <v>7</v>
      </c>
      <c r="F80" s="65"/>
      <c r="G80" s="65"/>
      <c r="H80" s="65">
        <v>0</v>
      </c>
      <c r="I80" s="65">
        <v>7</v>
      </c>
      <c r="J80" s="118" t="s">
        <v>188</v>
      </c>
      <c r="K80" s="119" t="str">
        <f>VLOOKUP(I80,[7]stage_hints!$A:$C,3,FALSE)</f>
        <v>メタルダックで経験値を獲得</v>
      </c>
      <c r="L80" s="120" t="str">
        <f>VLOOKUP(I80,[7]stage_hints!$A:$D,4,FALSE)</f>
        <v>「メタルなアヒル」を強化素材にすると_x000D_大量の経験値がもらえます</v>
      </c>
      <c r="M80" s="65" t="s">
        <v>207</v>
      </c>
    </row>
    <row r="81" spans="1:13" x14ac:dyDescent="0.15">
      <c r="A81" s="65" t="s">
        <v>206</v>
      </c>
      <c r="B81" s="65">
        <v>13101</v>
      </c>
      <c r="C81" s="65"/>
      <c r="D81" s="65"/>
      <c r="E81" s="65">
        <v>7</v>
      </c>
      <c r="F81" s="65"/>
      <c r="G81" s="65"/>
      <c r="H81" s="65">
        <v>0</v>
      </c>
      <c r="I81" s="65">
        <v>8</v>
      </c>
      <c r="J81" s="118" t="s">
        <v>188</v>
      </c>
      <c r="K81" s="119" t="str">
        <f>VLOOKUP(I81,[7]stage_hints!$A:$C,3,FALSE)</f>
        <v>ゲリラクエストは要チェック</v>
      </c>
      <c r="L81" s="120" t="str">
        <f>VLOOKUP(I81,[7]stage_hints!$A:$D,4,FALSE)</f>
        <v>時間限定の「アヒル捕獲作戦」では_x000D_経験値素材ユニットが多く手に入ります</v>
      </c>
      <c r="M81" s="65" t="s">
        <v>207</v>
      </c>
    </row>
    <row r="82" spans="1:13" x14ac:dyDescent="0.15">
      <c r="A82" s="65" t="s">
        <v>206</v>
      </c>
      <c r="B82" s="65">
        <v>13101</v>
      </c>
      <c r="C82" s="65"/>
      <c r="D82" s="65"/>
      <c r="E82" s="65">
        <v>7</v>
      </c>
      <c r="F82" s="65"/>
      <c r="G82" s="65"/>
      <c r="H82" s="65">
        <v>0</v>
      </c>
      <c r="I82" s="65">
        <v>9</v>
      </c>
      <c r="J82" s="118" t="s">
        <v>188</v>
      </c>
      <c r="K82" s="119" t="str">
        <f>VLOOKUP(I82,[7]stage_hints!$A:$C,3,FALSE)</f>
        <v>ゴールドダックでビットを獲得</v>
      </c>
      <c r="L82" s="120" t="str">
        <f>VLOOKUP(I82,[7]stage_hints!$A:$D,4,FALSE)</f>
        <v>「ゴールドなアヒル」を売却すると_x000D_大量のビットがもらえます</v>
      </c>
      <c r="M82" s="65" t="s">
        <v>207</v>
      </c>
    </row>
    <row r="83" spans="1:13" x14ac:dyDescent="0.15">
      <c r="A83" s="65" t="s">
        <v>206</v>
      </c>
      <c r="B83" s="65">
        <v>13101</v>
      </c>
      <c r="C83" s="65"/>
      <c r="D83" s="65"/>
      <c r="E83" s="65">
        <v>7</v>
      </c>
      <c r="F83" s="65"/>
      <c r="G83" s="65"/>
      <c r="H83" s="65">
        <v>0</v>
      </c>
      <c r="I83" s="65">
        <v>10</v>
      </c>
      <c r="J83" s="118" t="s">
        <v>188</v>
      </c>
      <c r="K83" s="119" t="str">
        <f>VLOOKUP(I83,[7]stage_hints!$A:$C,3,FALSE)</f>
        <v>土日に大量のビットを獲得</v>
      </c>
      <c r="L83" s="120" t="str">
        <f>VLOOKUP(I83,[7]stage_hints!$A:$D,4,FALSE)</f>
        <v>土日限定の「ゴールドカジノ」では_x000D_売却素材ユニットが多く手に入ります</v>
      </c>
      <c r="M83" s="65" t="s">
        <v>207</v>
      </c>
    </row>
    <row r="84" spans="1:13" x14ac:dyDescent="0.15">
      <c r="A84" s="65" t="s">
        <v>206</v>
      </c>
      <c r="B84" s="65">
        <v>13101</v>
      </c>
      <c r="C84" s="65"/>
      <c r="D84" s="65"/>
      <c r="E84" s="65">
        <v>7</v>
      </c>
      <c r="F84" s="65"/>
      <c r="G84" s="65"/>
      <c r="H84" s="65">
        <v>0</v>
      </c>
      <c r="I84" s="65">
        <v>11</v>
      </c>
      <c r="J84" s="118" t="s">
        <v>188</v>
      </c>
      <c r="K84" s="119" t="str">
        <f>VLOOKUP(I84,[7]stage_hints!$A:$C,3,FALSE)</f>
        <v>ランク解放クエスト</v>
      </c>
      <c r="L84" s="120" t="str">
        <f>VLOOKUP(I84,[7]stage_hints!$A:$D,4,FALSE)</f>
        <v>一定ランクに到達すると_x000D_報酬付きのランク開放クエストが現れます</v>
      </c>
      <c r="M84" s="65" t="s">
        <v>207</v>
      </c>
    </row>
    <row r="85" spans="1:13" x14ac:dyDescent="0.15">
      <c r="A85" s="65" t="s">
        <v>206</v>
      </c>
      <c r="B85" s="65">
        <v>13101</v>
      </c>
      <c r="C85" s="65"/>
      <c r="D85" s="65"/>
      <c r="E85" s="65">
        <v>7</v>
      </c>
      <c r="F85" s="65"/>
      <c r="G85" s="65"/>
      <c r="H85" s="65">
        <v>0</v>
      </c>
      <c r="I85" s="65">
        <v>12</v>
      </c>
      <c r="J85" s="118" t="s">
        <v>188</v>
      </c>
      <c r="K85" s="119" t="str">
        <f>VLOOKUP(I85,[7]stage_hints!$A:$C,3,FALSE)</f>
        <v>ユニットのお気に入り登録</v>
      </c>
      <c r="L85" s="120" t="str">
        <f>VLOOKUP(I85,[7]stage_hints!$A:$D,4,FALSE)</f>
        <v>大事なユニットを誤って消さないように_x000D_フォルダから「お気に入り登録」しましょう</v>
      </c>
      <c r="M85" s="65" t="s">
        <v>207</v>
      </c>
    </row>
    <row r="86" spans="1:13" x14ac:dyDescent="0.15">
      <c r="A86" s="65" t="s">
        <v>206</v>
      </c>
      <c r="B86" s="65">
        <v>13101</v>
      </c>
      <c r="C86" s="65"/>
      <c r="D86" s="65"/>
      <c r="E86" s="65">
        <v>7</v>
      </c>
      <c r="F86" s="65"/>
      <c r="G86" s="65"/>
      <c r="H86" s="65">
        <v>0</v>
      </c>
      <c r="I86" s="65">
        <v>13</v>
      </c>
      <c r="J86" s="118" t="s">
        <v>188</v>
      </c>
      <c r="K86" s="119" t="str">
        <f>VLOOKUP(I86,[7]stage_hints!$A:$C,3,FALSE)</f>
        <v>ユニットの覚醒</v>
      </c>
      <c r="L86" s="120" t="str">
        <f>VLOOKUP(I86,[7]stage_hints!$A:$D,4,FALSE)</f>
        <v>ユニットを覚醒させると_x000D_比べものにならない強さが手に入ります</v>
      </c>
      <c r="M86" s="65" t="s">
        <v>207</v>
      </c>
    </row>
    <row r="87" spans="1:13" x14ac:dyDescent="0.15">
      <c r="A87" s="65" t="s">
        <v>206</v>
      </c>
      <c r="B87" s="65">
        <v>13101</v>
      </c>
      <c r="C87" s="65"/>
      <c r="D87" s="65"/>
      <c r="E87" s="65">
        <v>7</v>
      </c>
      <c r="F87" s="65"/>
      <c r="G87" s="65"/>
      <c r="H87" s="65">
        <v>0</v>
      </c>
      <c r="I87" s="65">
        <v>14</v>
      </c>
      <c r="J87" s="118" t="s">
        <v>188</v>
      </c>
      <c r="K87" s="119" t="str">
        <f>VLOOKUP(I87,[7]stage_hints!$A:$C,3,FALSE)</f>
        <v>覚醒するにはレベルを最大に</v>
      </c>
      <c r="L87" s="120" t="str">
        <f>VLOOKUP(I87,[7]stage_hints!$A:$D,4,FALSE)</f>
        <v>覚醒するにはユニットのレベルを_x000D_最大まで上げる必要があります</v>
      </c>
      <c r="M87" s="65" t="s">
        <v>207</v>
      </c>
    </row>
    <row r="88" spans="1:13" x14ac:dyDescent="0.15">
      <c r="A88" s="65" t="s">
        <v>206</v>
      </c>
      <c r="B88" s="65">
        <v>13101</v>
      </c>
      <c r="C88" s="65"/>
      <c r="D88" s="65"/>
      <c r="E88" s="65">
        <v>7</v>
      </c>
      <c r="F88" s="65"/>
      <c r="G88" s="65"/>
      <c r="H88" s="65">
        <v>0</v>
      </c>
      <c r="I88" s="65">
        <v>15</v>
      </c>
      <c r="J88" s="118" t="s">
        <v>188</v>
      </c>
      <c r="K88" s="119" t="str">
        <f>VLOOKUP(I88,[7]stage_hints!$A:$C,3,FALSE)</f>
        <v>覚醒素材を獲得</v>
      </c>
      <c r="L88" s="120" t="str">
        <f>VLOOKUP(I88,[7]stage_hints!$A:$D,4,FALSE)</f>
        <v>「曜日クエスト」では_x000D_ユニットの覚醒に必要な素材が手に入ります</v>
      </c>
      <c r="M88" s="65" t="s">
        <v>207</v>
      </c>
    </row>
    <row r="89" spans="1:13" x14ac:dyDescent="0.15">
      <c r="A89" s="65" t="s">
        <v>206</v>
      </c>
      <c r="B89" s="65">
        <v>13101</v>
      </c>
      <c r="C89" s="65"/>
      <c r="D89" s="65"/>
      <c r="E89" s="65">
        <v>7</v>
      </c>
      <c r="F89" s="65"/>
      <c r="G89" s="65"/>
      <c r="H89" s="65">
        <v>0</v>
      </c>
      <c r="I89" s="65">
        <v>16</v>
      </c>
      <c r="J89" s="118" t="s">
        <v>188</v>
      </c>
      <c r="K89" s="119" t="str">
        <f>VLOOKUP(I89,[7]stage_hints!$A:$C,3,FALSE)</f>
        <v>マルチプレイのメリット（その1）</v>
      </c>
      <c r="L89" s="120" t="str">
        <f>VLOOKUP(I89,[7]stage_hints!$A:$D,4,FALSE)</f>
        <v>他のプレイヤーとマルチプレイで遊ぶと_x000D_ポリゴンがもらえます（100人まで）</v>
      </c>
      <c r="M89" s="65" t="s">
        <v>207</v>
      </c>
    </row>
    <row r="90" spans="1:13" x14ac:dyDescent="0.15">
      <c r="A90" s="65" t="s">
        <v>206</v>
      </c>
      <c r="B90" s="65">
        <v>13101</v>
      </c>
      <c r="C90" s="65"/>
      <c r="D90" s="65"/>
      <c r="E90" s="65">
        <v>7</v>
      </c>
      <c r="F90" s="65"/>
      <c r="G90" s="65"/>
      <c r="H90" s="65">
        <v>0</v>
      </c>
      <c r="I90" s="65">
        <v>17</v>
      </c>
      <c r="J90" s="118" t="s">
        <v>188</v>
      </c>
      <c r="K90" s="119" t="str">
        <f>VLOOKUP(I90,[7]stage_hints!$A:$C,3,FALSE)</f>
        <v>リンクガチャ</v>
      </c>
      <c r="L90" s="120" t="str">
        <f>VLOOKUP(I90,[7]stage_hints!$A:$D,4,FALSE)</f>
        <v>無料のリンクガチャを回して_x000D_経験値素材や売却素材を獲得しましょう</v>
      </c>
      <c r="M90" s="65" t="s">
        <v>207</v>
      </c>
    </row>
    <row r="91" spans="1:13" x14ac:dyDescent="0.15">
      <c r="A91" s="65" t="s">
        <v>206</v>
      </c>
      <c r="B91" s="65">
        <v>13101</v>
      </c>
      <c r="C91" s="65"/>
      <c r="D91" s="65"/>
      <c r="E91" s="65">
        <v>7</v>
      </c>
      <c r="F91" s="65"/>
      <c r="G91" s="65"/>
      <c r="H91" s="65">
        <v>0</v>
      </c>
      <c r="I91" s="65">
        <v>18</v>
      </c>
      <c r="J91" s="118" t="s">
        <v>188</v>
      </c>
      <c r="K91" s="119" t="str">
        <f>VLOOKUP(I91,[7]stage_hints!$A:$C,3,FALSE)</f>
        <v>マルチプレイのメリット（その2）</v>
      </c>
      <c r="L91" s="120" t="str">
        <f>VLOOKUP(I91,[7]stage_hints!$A:$D,4,FALSE)</f>
        <v>マルチプレイならリンクが2倍もらえます_x000D_リンクガチャをたくさん回しましょう</v>
      </c>
      <c r="M91" s="65" t="s">
        <v>207</v>
      </c>
    </row>
    <row r="92" spans="1:13" x14ac:dyDescent="0.15">
      <c r="A92" s="65" t="s">
        <v>206</v>
      </c>
      <c r="B92" s="65">
        <v>13101</v>
      </c>
      <c r="C92" s="65"/>
      <c r="D92" s="65"/>
      <c r="E92" s="65">
        <v>7</v>
      </c>
      <c r="F92" s="65"/>
      <c r="G92" s="65"/>
      <c r="H92" s="65">
        <v>0</v>
      </c>
      <c r="I92" s="65">
        <v>19</v>
      </c>
      <c r="J92" s="118" t="s">
        <v>188</v>
      </c>
      <c r="K92" s="119" t="str">
        <f>VLOOKUP(I92,[7]stage_hints!$A:$C,3,FALSE)</f>
        <v>ソロ専用チャレンジタワー</v>
      </c>
      <c r="L92" s="120" t="str">
        <f>VLOOKUP(I92,[7]stage_hints!$A:$D,4,FALSE)</f>
        <v>ソロ専用の「チャレンジタワー」では_x000D_各フロアごとにクリア報酬がもらえます</v>
      </c>
      <c r="M92" s="65" t="s">
        <v>207</v>
      </c>
    </row>
    <row r="93" spans="1:13" x14ac:dyDescent="0.15">
      <c r="A93" s="65" t="s">
        <v>206</v>
      </c>
      <c r="B93" s="65">
        <v>13101</v>
      </c>
      <c r="C93" s="65"/>
      <c r="D93" s="65"/>
      <c r="E93" s="65">
        <v>7</v>
      </c>
      <c r="F93" s="65"/>
      <c r="G93" s="65"/>
      <c r="H93" s="65">
        <v>0</v>
      </c>
      <c r="I93" s="65">
        <v>20</v>
      </c>
      <c r="J93" s="118" t="s">
        <v>188</v>
      </c>
      <c r="K93" s="119" t="str">
        <f>VLOOKUP(I93,[7]stage_hints!$A:$C,3,FALSE)</f>
        <v>マルチプレイのメリット（その3）</v>
      </c>
      <c r="L93" s="120" t="str">
        <f>VLOOKUP(I93,[7]stage_hints!$A:$D,4,FALSE)</f>
        <v>マルチプレイへの参加はエナジー消費ゼロ_x000D_いつでも好きなだけ遊ぶことができます</v>
      </c>
      <c r="M93" s="65" t="s">
        <v>207</v>
      </c>
    </row>
    <row r="94" spans="1:13" x14ac:dyDescent="0.15">
      <c r="A94" s="65" t="s">
        <v>206</v>
      </c>
      <c r="B94" s="65">
        <v>13101</v>
      </c>
      <c r="C94" s="65"/>
      <c r="D94" s="65"/>
      <c r="E94" s="65">
        <v>7</v>
      </c>
      <c r="F94" s="65"/>
      <c r="G94" s="65"/>
      <c r="H94" s="65">
        <v>0</v>
      </c>
      <c r="I94" s="65">
        <v>21</v>
      </c>
      <c r="J94" s="118" t="s">
        <v>188</v>
      </c>
      <c r="K94" s="119" t="str">
        <f>VLOOKUP(I94,[7]stage_hints!$A:$C,3,FALSE)</f>
        <v>スキルを有効に</v>
      </c>
      <c r="L94" s="120" t="str">
        <f>VLOOKUP(I94,[7]stage_hints!$A:$D,4,FALSE)</f>
        <v>ターン経過でユニットのスキルが使えます_x000D_強力スキルでバトルを有利に進めましょう</v>
      </c>
      <c r="M94" s="65" t="s">
        <v>207</v>
      </c>
    </row>
    <row r="95" spans="1:13" x14ac:dyDescent="0.15">
      <c r="A95" s="65" t="s">
        <v>206</v>
      </c>
      <c r="B95" s="65">
        <v>13101</v>
      </c>
      <c r="C95" s="65"/>
      <c r="D95" s="65"/>
      <c r="E95" s="65">
        <v>7</v>
      </c>
      <c r="F95" s="65"/>
      <c r="G95" s="65"/>
      <c r="H95" s="65">
        <v>0</v>
      </c>
      <c r="I95" s="65">
        <v>22</v>
      </c>
      <c r="J95" s="118" t="s">
        <v>188</v>
      </c>
      <c r="K95" s="119" t="str">
        <f>VLOOKUP(I95,[7]stage_hints!$A:$C,3,FALSE)</f>
        <v>フィーバーで一発逆転（その1）</v>
      </c>
      <c r="L95" s="120" t="str">
        <f>VLOOKUP(I95,[7]stage_hints!$A:$D,4,FALSE)</f>
        <v>フィーバーは攻撃と回復を兼ね備えます_x000D_ピンチからの一発逆転を狙いましょう</v>
      </c>
      <c r="M95" s="65" t="s">
        <v>207</v>
      </c>
    </row>
    <row r="96" spans="1:13" x14ac:dyDescent="0.15">
      <c r="A96" s="65" t="s">
        <v>206</v>
      </c>
      <c r="B96" s="65">
        <v>13101</v>
      </c>
      <c r="C96" s="65"/>
      <c r="D96" s="65"/>
      <c r="E96" s="65">
        <v>7</v>
      </c>
      <c r="F96" s="65"/>
      <c r="G96" s="65"/>
      <c r="H96" s="65">
        <v>0</v>
      </c>
      <c r="I96" s="65">
        <v>23</v>
      </c>
      <c r="J96" s="118" t="s">
        <v>188</v>
      </c>
      <c r="K96" s="119" t="str">
        <f>VLOOKUP(I96,[7]stage_hints!$A:$C,3,FALSE)</f>
        <v>フィーバーで一発逆転（その2）</v>
      </c>
      <c r="L96" s="120" t="str">
        <f>VLOOKUP(I96,[7]stage_hints!$A:$D,4,FALSE)</f>
        <v>フィーバー中は虹色のボムパネルを狙って_x000D_画面上のパネルを一気に破壊しましょう</v>
      </c>
      <c r="M96" s="65" t="s">
        <v>207</v>
      </c>
    </row>
    <row r="97" spans="1:13" x14ac:dyDescent="0.15">
      <c r="A97" s="65" t="s">
        <v>206</v>
      </c>
      <c r="B97" s="65">
        <v>13101</v>
      </c>
      <c r="C97" s="65"/>
      <c r="D97" s="65"/>
      <c r="E97" s="65">
        <v>7</v>
      </c>
      <c r="F97" s="65"/>
      <c r="G97" s="65"/>
      <c r="H97" s="65">
        <v>0</v>
      </c>
      <c r="I97" s="65">
        <v>24</v>
      </c>
      <c r="J97" s="118" t="s">
        <v>188</v>
      </c>
      <c r="K97" s="119" t="str">
        <f>VLOOKUP(I97,[7]stage_hints!$A:$C,3,FALSE)</f>
        <v>りんごを使って限界突破</v>
      </c>
      <c r="L97" s="120" t="str">
        <f>VLOOKUP(I97,[7]stage_hints!$A:$D,4,FALSE)</f>
        <v>赤りんご(攻撃力) 青りんご(回復力)_x000D_緑りんご(体力)をユニット強化に使うと_x000D_ステータスが限界突破します（計99個迄）</v>
      </c>
      <c r="M97" s="65" t="s">
        <v>207</v>
      </c>
    </row>
    <row r="98" spans="1:13" x14ac:dyDescent="0.15">
      <c r="A98" s="65" t="s">
        <v>206</v>
      </c>
      <c r="B98" s="65">
        <v>13101</v>
      </c>
      <c r="C98" s="65"/>
      <c r="D98" s="65"/>
      <c r="E98" s="65">
        <v>7</v>
      </c>
      <c r="F98" s="65"/>
      <c r="G98" s="65"/>
      <c r="H98" s="65">
        <v>0</v>
      </c>
      <c r="I98" s="65">
        <v>25</v>
      </c>
      <c r="J98" s="118" t="s">
        <v>188</v>
      </c>
      <c r="K98" s="119" t="str">
        <f>VLOOKUP(I98,[7]stage_hints!$A:$C,3,FALSE)</f>
        <v>スキルレベルアップ</v>
      </c>
      <c r="L98" s="120" t="str">
        <f>VLOOKUP(I98,[7]stage_hints!$A:$D,4,FALSE)</f>
        <v>「クリスタルのりんご」を強化に使うと_x000D_スキルレベルを上げることができます</v>
      </c>
      <c r="M98" s="65" t="s">
        <v>207</v>
      </c>
    </row>
    <row r="99" spans="1:13" x14ac:dyDescent="0.15">
      <c r="A99" s="65" t="s">
        <v>206</v>
      </c>
      <c r="B99" s="65">
        <v>13101</v>
      </c>
      <c r="C99" s="65"/>
      <c r="D99" s="65"/>
      <c r="E99" s="65">
        <v>7</v>
      </c>
      <c r="F99" s="65"/>
      <c r="G99" s="65"/>
      <c r="H99" s="65">
        <v>0</v>
      </c>
      <c r="I99" s="65">
        <v>26</v>
      </c>
      <c r="J99" s="118" t="s">
        <v>188</v>
      </c>
      <c r="K99" s="119" t="str">
        <f>VLOOKUP(I99,[7]stage_hints!$A:$C,3,FALSE)</f>
        <v>スキルレベルの効果</v>
      </c>
      <c r="L99" s="120" t="str">
        <f>VLOOKUP(I99,[7]stage_hints!$A:$D,4,FALSE)</f>
        <v>スキルレベルが上がると_x000D_短いターンでスキルを使うことができます</v>
      </c>
      <c r="M99" s="65" t="s">
        <v>207</v>
      </c>
    </row>
    <row r="100" spans="1:13" x14ac:dyDescent="0.15">
      <c r="A100" s="65" t="s">
        <v>206</v>
      </c>
      <c r="B100" s="65">
        <v>13101</v>
      </c>
      <c r="C100" s="65"/>
      <c r="D100" s="65"/>
      <c r="E100" s="65">
        <v>7</v>
      </c>
      <c r="F100" s="65"/>
      <c r="G100" s="65"/>
      <c r="H100" s="65">
        <v>0</v>
      </c>
      <c r="I100" s="65">
        <v>27</v>
      </c>
      <c r="J100" s="118" t="s">
        <v>188</v>
      </c>
      <c r="K100" s="119" t="str">
        <f>VLOOKUP(I100,[7]stage_hints!$A:$C,3,FALSE)</f>
        <v>ホーム画面からデッキを編成</v>
      </c>
      <c r="L100" s="120" t="str">
        <f>VLOOKUP(I100,[7]stage_hints!$A:$D,4,FALSE)</f>
        <v>ホーム画面でユニットを長押しすると_x000D_すぐにパーティ編成に移動できます</v>
      </c>
      <c r="M100" s="65" t="s">
        <v>207</v>
      </c>
    </row>
    <row r="101" spans="1:13" x14ac:dyDescent="0.15">
      <c r="A101" s="65" t="s">
        <v>206</v>
      </c>
      <c r="B101" s="65">
        <v>13101</v>
      </c>
      <c r="C101" s="65"/>
      <c r="D101" s="65"/>
      <c r="E101" s="65">
        <v>7</v>
      </c>
      <c r="F101" s="65"/>
      <c r="G101" s="65"/>
      <c r="H101" s="65">
        <v>0</v>
      </c>
      <c r="I101" s="65">
        <v>28</v>
      </c>
      <c r="J101" s="118" t="s">
        <v>188</v>
      </c>
      <c r="K101" s="119" t="str">
        <f>VLOOKUP(I101,[7]stage_hints!$A:$C,3,FALSE)</f>
        <v>ステータス情報は長押しで</v>
      </c>
      <c r="L101" s="120" t="str">
        <f>VLOOKUP(I101,[7]stage_hints!$A:$D,4,FALSE)</f>
        <v>ユニットのアイコンを長押しすると_x000D_ステータス情報を確認することができます</v>
      </c>
      <c r="M101" s="65" t="s">
        <v>207</v>
      </c>
    </row>
    <row r="102" spans="1:13" x14ac:dyDescent="0.15">
      <c r="A102" s="65" t="s">
        <v>206</v>
      </c>
      <c r="B102" s="65">
        <v>13101</v>
      </c>
      <c r="C102" s="65"/>
      <c r="D102" s="65"/>
      <c r="E102" s="65">
        <v>7</v>
      </c>
      <c r="F102" s="65"/>
      <c r="G102" s="65"/>
      <c r="H102" s="65">
        <v>0</v>
      </c>
      <c r="I102" s="65">
        <v>29</v>
      </c>
      <c r="J102" s="118" t="s">
        <v>188</v>
      </c>
      <c r="K102" s="119" t="str">
        <f>VLOOKUP(I102,[7]stage_hints!$A:$C,3,FALSE)</f>
        <v>「バグ」のメリット</v>
      </c>
      <c r="L102" s="120" t="str">
        <f>VLOOKUP(I102,[7]stage_hints!$A:$D,4,FALSE)</f>
        <v>ユニットの「バグ」を増やすと_x000D_報酬をもらえる確率がアップします</v>
      </c>
      <c r="M102" s="65" t="s">
        <v>207</v>
      </c>
    </row>
    <row r="103" spans="1:13" x14ac:dyDescent="0.15">
      <c r="A103" s="65" t="s">
        <v>206</v>
      </c>
      <c r="B103" s="65">
        <v>13101</v>
      </c>
      <c r="C103" s="65"/>
      <c r="D103" s="65"/>
      <c r="E103" s="65">
        <v>7</v>
      </c>
      <c r="F103" s="65"/>
      <c r="G103" s="65"/>
      <c r="H103" s="65">
        <v>0</v>
      </c>
      <c r="I103" s="65">
        <v>30</v>
      </c>
      <c r="J103" s="118" t="s">
        <v>188</v>
      </c>
      <c r="K103" s="119" t="str">
        <f>VLOOKUP(I103,[7]stage_hints!$A:$C,3,FALSE)</f>
        <v>「バグ」の増やし方</v>
      </c>
      <c r="L103" s="120" t="str">
        <f>VLOOKUP(I103,[7]stage_hints!$A:$D,4,FALSE)</f>
        <v>同じユニット同士を強化で合成すると_x000D_「バグ」を増やすことができます</v>
      </c>
      <c r="M103" s="65" t="s">
        <v>207</v>
      </c>
    </row>
    <row r="104" spans="1:13" x14ac:dyDescent="0.15">
      <c r="A104" s="65" t="s">
        <v>206</v>
      </c>
      <c r="B104" s="65">
        <v>13101</v>
      </c>
      <c r="C104" s="65"/>
      <c r="D104" s="65"/>
      <c r="E104" s="65">
        <v>7</v>
      </c>
      <c r="F104" s="65"/>
      <c r="G104" s="65"/>
      <c r="H104" s="65">
        <v>0</v>
      </c>
      <c r="I104" s="65">
        <v>31</v>
      </c>
      <c r="J104" s="118" t="s">
        <v>188</v>
      </c>
      <c r="K104" s="119" t="str">
        <f>VLOOKUP(I104,[7]stage_hints!$A:$C,3,FALSE)</f>
        <v>イベントはお知らせでチェック</v>
      </c>
      <c r="L104" s="120" t="str">
        <f>VLOOKUP(I104,[7]stage_hints!$A:$D,4,FALSE)</f>
        <v>イベント限定ユニットを取り忘れないように_x000D_お知らせをこまめにチェックしましょう</v>
      </c>
      <c r="M104" s="65" t="s">
        <v>207</v>
      </c>
    </row>
    <row r="105" spans="1:13" x14ac:dyDescent="0.15">
      <c r="A105" s="65" t="s">
        <v>206</v>
      </c>
      <c r="B105" s="65">
        <v>13101</v>
      </c>
      <c r="C105" s="65"/>
      <c r="D105" s="65"/>
      <c r="E105" s="65">
        <v>7</v>
      </c>
      <c r="F105" s="65"/>
      <c r="G105" s="65"/>
      <c r="H105" s="65">
        <v>0</v>
      </c>
      <c r="I105" s="65">
        <v>38</v>
      </c>
      <c r="J105" s="118" t="s">
        <v>188</v>
      </c>
      <c r="K105" s="119" t="str">
        <f>VLOOKUP(I105,[7]stage_hints!$A:$C,3,FALSE)</f>
        <v>お邪魔パネルはフィーバーで</v>
      </c>
      <c r="L105" s="120" t="str">
        <f>VLOOKUP(I105,[7]stage_hints!$A:$D,4,FALSE)</f>
        <v>つなげて消せない「お邪魔パネル」は_x000D_フィーバーで下へ落としてしまいましょう</v>
      </c>
      <c r="M105" s="65" t="s">
        <v>207</v>
      </c>
    </row>
    <row r="106" spans="1:13" x14ac:dyDescent="0.15">
      <c r="A106" s="65" t="s">
        <v>206</v>
      </c>
      <c r="B106" s="65">
        <v>13101</v>
      </c>
      <c r="C106" s="65"/>
      <c r="D106" s="65"/>
      <c r="E106" s="65">
        <v>7</v>
      </c>
      <c r="F106" s="65"/>
      <c r="G106" s="65"/>
      <c r="H106" s="65">
        <v>0</v>
      </c>
      <c r="I106" s="65">
        <v>39</v>
      </c>
      <c r="J106" s="118" t="s">
        <v>188</v>
      </c>
      <c r="K106" s="119" t="str">
        <f>VLOOKUP(I106,[7]stage_hints!$A:$C,3,FALSE)</f>
        <v>システム適合者を確認</v>
      </c>
      <c r="L106" s="120" t="str">
        <f>VLOOKUP(I106,[7]stage_hints!$A:$D,4,FALSE)</f>
        <v>ALICEが 「アナタ」を呼んでいます</v>
      </c>
      <c r="M106" s="65" t="s">
        <v>207</v>
      </c>
    </row>
    <row r="107" spans="1:13" x14ac:dyDescent="0.15">
      <c r="A107" s="65" t="s">
        <v>206</v>
      </c>
      <c r="B107" s="65">
        <v>13101</v>
      </c>
      <c r="C107" s="65"/>
      <c r="D107" s="65"/>
      <c r="E107" s="65">
        <v>8</v>
      </c>
      <c r="F107" s="65"/>
      <c r="G107" s="65"/>
      <c r="H107" s="65">
        <v>0</v>
      </c>
      <c r="I107" s="65">
        <v>3</v>
      </c>
      <c r="J107" s="118" t="s">
        <v>188</v>
      </c>
      <c r="K107" s="119" t="str">
        <f>VLOOKUP(I107,[7]stage_hints!$A:$C,3,FALSE)</f>
        <v>ターゲット</v>
      </c>
      <c r="L107" s="120" t="str">
        <f>VLOOKUP(I107,[7]stage_hints!$A:$D,4,FALSE)</f>
        <v>敵ユニットをタップすると_x000D_その敵を狙い撃ちできます</v>
      </c>
      <c r="M107" s="65" t="s">
        <v>207</v>
      </c>
    </row>
    <row r="108" spans="1:13" x14ac:dyDescent="0.15">
      <c r="A108" s="65" t="s">
        <v>206</v>
      </c>
      <c r="B108" s="65">
        <v>13101</v>
      </c>
      <c r="C108" s="65"/>
      <c r="D108" s="65"/>
      <c r="E108" s="65">
        <v>8</v>
      </c>
      <c r="F108" s="65"/>
      <c r="G108" s="65"/>
      <c r="H108" s="65">
        <v>0</v>
      </c>
      <c r="I108" s="65">
        <v>5</v>
      </c>
      <c r="J108" s="118" t="s">
        <v>188</v>
      </c>
      <c r="K108" s="119" t="str">
        <f>VLOOKUP(I108,[7]stage_hints!$A:$C,3,FALSE)</f>
        <v>ユニット強化でレベルアップ</v>
      </c>
      <c r="L108" s="120" t="str">
        <f>VLOOKUP(I108,[7]stage_hints!$A:$D,4,FALSE)</f>
        <v>「ユニット強化」でレベルアップすると_x000D_勝てない敵にも勝てるようになります</v>
      </c>
      <c r="M108" s="65" t="s">
        <v>207</v>
      </c>
    </row>
    <row r="109" spans="1:13" x14ac:dyDescent="0.15">
      <c r="A109" s="65" t="s">
        <v>206</v>
      </c>
      <c r="B109" s="65">
        <v>13101</v>
      </c>
      <c r="C109" s="65"/>
      <c r="D109" s="65"/>
      <c r="E109" s="65">
        <v>8</v>
      </c>
      <c r="F109" s="65"/>
      <c r="G109" s="65"/>
      <c r="H109" s="65">
        <v>0</v>
      </c>
      <c r="I109" s="65">
        <v>6</v>
      </c>
      <c r="J109" s="118" t="s">
        <v>188</v>
      </c>
      <c r="K109" s="119" t="str">
        <f>VLOOKUP(I109,[7]stage_hints!$A:$C,3,FALSE)</f>
        <v>ユニット強化の属性ボーナス</v>
      </c>
      <c r="L109" s="120" t="str">
        <f>VLOOKUP(I109,[7]stage_hints!$A:$D,4,FALSE)</f>
        <v>同属性ユニットを強化素材にすると_x000D_経験値が多くもらえます</v>
      </c>
      <c r="M109" s="65" t="s">
        <v>207</v>
      </c>
    </row>
    <row r="110" spans="1:13" x14ac:dyDescent="0.15">
      <c r="A110" s="65" t="s">
        <v>206</v>
      </c>
      <c r="B110" s="65">
        <v>13101</v>
      </c>
      <c r="C110" s="65"/>
      <c r="D110" s="65"/>
      <c r="E110" s="65">
        <v>8</v>
      </c>
      <c r="F110" s="65"/>
      <c r="G110" s="65"/>
      <c r="H110" s="65">
        <v>0</v>
      </c>
      <c r="I110" s="65">
        <v>7</v>
      </c>
      <c r="J110" s="118" t="s">
        <v>188</v>
      </c>
      <c r="K110" s="119" t="str">
        <f>VLOOKUP(I110,[7]stage_hints!$A:$C,3,FALSE)</f>
        <v>メタルダックで経験値を獲得</v>
      </c>
      <c r="L110" s="120" t="str">
        <f>VLOOKUP(I110,[7]stage_hints!$A:$D,4,FALSE)</f>
        <v>「メタルなアヒル」を強化素材にすると_x000D_大量の経験値がもらえます</v>
      </c>
      <c r="M110" s="65" t="s">
        <v>207</v>
      </c>
    </row>
    <row r="111" spans="1:13" x14ac:dyDescent="0.15">
      <c r="A111" s="65" t="s">
        <v>206</v>
      </c>
      <c r="B111" s="65">
        <v>13101</v>
      </c>
      <c r="C111" s="65"/>
      <c r="D111" s="65"/>
      <c r="E111" s="65">
        <v>8</v>
      </c>
      <c r="F111" s="65"/>
      <c r="G111" s="65"/>
      <c r="H111" s="65">
        <v>0</v>
      </c>
      <c r="I111" s="65">
        <v>8</v>
      </c>
      <c r="J111" s="118" t="s">
        <v>188</v>
      </c>
      <c r="K111" s="119" t="str">
        <f>VLOOKUP(I111,[7]stage_hints!$A:$C,3,FALSE)</f>
        <v>ゲリラクエストは要チェック</v>
      </c>
      <c r="L111" s="120" t="str">
        <f>VLOOKUP(I111,[7]stage_hints!$A:$D,4,FALSE)</f>
        <v>時間限定の「アヒル捕獲作戦」では_x000D_経験値素材ユニットが多く手に入ります</v>
      </c>
      <c r="M111" s="65" t="s">
        <v>207</v>
      </c>
    </row>
    <row r="112" spans="1:13" x14ac:dyDescent="0.15">
      <c r="A112" s="65" t="s">
        <v>206</v>
      </c>
      <c r="B112" s="65">
        <v>13101</v>
      </c>
      <c r="C112" s="65"/>
      <c r="D112" s="65"/>
      <c r="E112" s="65">
        <v>8</v>
      </c>
      <c r="F112" s="65"/>
      <c r="G112" s="65"/>
      <c r="H112" s="65">
        <v>0</v>
      </c>
      <c r="I112" s="65">
        <v>9</v>
      </c>
      <c r="J112" s="118" t="s">
        <v>188</v>
      </c>
      <c r="K112" s="119" t="str">
        <f>VLOOKUP(I112,[7]stage_hints!$A:$C,3,FALSE)</f>
        <v>ゴールドダックでビットを獲得</v>
      </c>
      <c r="L112" s="120" t="str">
        <f>VLOOKUP(I112,[7]stage_hints!$A:$D,4,FALSE)</f>
        <v>「ゴールドなアヒル」を売却すると_x000D_大量のビットがもらえます</v>
      </c>
      <c r="M112" s="65" t="s">
        <v>207</v>
      </c>
    </row>
    <row r="113" spans="1:13" x14ac:dyDescent="0.15">
      <c r="A113" s="65" t="s">
        <v>206</v>
      </c>
      <c r="B113" s="65">
        <v>13101</v>
      </c>
      <c r="C113" s="65"/>
      <c r="D113" s="65"/>
      <c r="E113" s="65">
        <v>8</v>
      </c>
      <c r="F113" s="65"/>
      <c r="G113" s="65"/>
      <c r="H113" s="65">
        <v>0</v>
      </c>
      <c r="I113" s="65">
        <v>10</v>
      </c>
      <c r="J113" s="118" t="s">
        <v>188</v>
      </c>
      <c r="K113" s="119" t="str">
        <f>VLOOKUP(I113,[7]stage_hints!$A:$C,3,FALSE)</f>
        <v>土日に大量のビットを獲得</v>
      </c>
      <c r="L113" s="120" t="str">
        <f>VLOOKUP(I113,[7]stage_hints!$A:$D,4,FALSE)</f>
        <v>土日限定の「ゴールドカジノ」では_x000D_売却素材ユニットが多く手に入ります</v>
      </c>
      <c r="M113" s="65" t="s">
        <v>207</v>
      </c>
    </row>
    <row r="114" spans="1:13" x14ac:dyDescent="0.15">
      <c r="A114" s="65" t="s">
        <v>206</v>
      </c>
      <c r="B114" s="65">
        <v>13101</v>
      </c>
      <c r="C114" s="65"/>
      <c r="D114" s="65"/>
      <c r="E114" s="65">
        <v>8</v>
      </c>
      <c r="F114" s="65"/>
      <c r="G114" s="65"/>
      <c r="H114" s="65">
        <v>0</v>
      </c>
      <c r="I114" s="65">
        <v>11</v>
      </c>
      <c r="J114" s="118" t="s">
        <v>188</v>
      </c>
      <c r="K114" s="119" t="str">
        <f>VLOOKUP(I114,[7]stage_hints!$A:$C,3,FALSE)</f>
        <v>ランク解放クエスト</v>
      </c>
      <c r="L114" s="120" t="str">
        <f>VLOOKUP(I114,[7]stage_hints!$A:$D,4,FALSE)</f>
        <v>一定ランクに到達すると_x000D_報酬付きのランク開放クエストが現れます</v>
      </c>
      <c r="M114" s="65" t="s">
        <v>207</v>
      </c>
    </row>
    <row r="115" spans="1:13" x14ac:dyDescent="0.15">
      <c r="A115" s="65" t="s">
        <v>206</v>
      </c>
      <c r="B115" s="65">
        <v>13101</v>
      </c>
      <c r="C115" s="65"/>
      <c r="D115" s="65"/>
      <c r="E115" s="65">
        <v>8</v>
      </c>
      <c r="F115" s="65"/>
      <c r="G115" s="65"/>
      <c r="H115" s="65">
        <v>0</v>
      </c>
      <c r="I115" s="65">
        <v>12</v>
      </c>
      <c r="J115" s="118" t="s">
        <v>188</v>
      </c>
      <c r="K115" s="119" t="str">
        <f>VLOOKUP(I115,[7]stage_hints!$A:$C,3,FALSE)</f>
        <v>ユニットのお気に入り登録</v>
      </c>
      <c r="L115" s="120" t="str">
        <f>VLOOKUP(I115,[7]stage_hints!$A:$D,4,FALSE)</f>
        <v>大事なユニットを誤って消さないように_x000D_フォルダから「お気に入り登録」しましょう</v>
      </c>
      <c r="M115" s="65" t="s">
        <v>207</v>
      </c>
    </row>
    <row r="116" spans="1:13" x14ac:dyDescent="0.15">
      <c r="A116" s="65" t="s">
        <v>206</v>
      </c>
      <c r="B116" s="65">
        <v>13101</v>
      </c>
      <c r="C116" s="65"/>
      <c r="D116" s="65"/>
      <c r="E116" s="65">
        <v>8</v>
      </c>
      <c r="F116" s="65"/>
      <c r="G116" s="65"/>
      <c r="H116" s="65">
        <v>0</v>
      </c>
      <c r="I116" s="65">
        <v>13</v>
      </c>
      <c r="J116" s="118" t="s">
        <v>188</v>
      </c>
      <c r="K116" s="119" t="str">
        <f>VLOOKUP(I116,[7]stage_hints!$A:$C,3,FALSE)</f>
        <v>ユニットの覚醒</v>
      </c>
      <c r="L116" s="120" t="str">
        <f>VLOOKUP(I116,[7]stage_hints!$A:$D,4,FALSE)</f>
        <v>ユニットを覚醒させると_x000D_比べものにならない強さが手に入ります</v>
      </c>
      <c r="M116" s="65" t="s">
        <v>207</v>
      </c>
    </row>
    <row r="117" spans="1:13" x14ac:dyDescent="0.15">
      <c r="A117" s="65" t="s">
        <v>206</v>
      </c>
      <c r="B117" s="65">
        <v>13101</v>
      </c>
      <c r="C117" s="65"/>
      <c r="D117" s="65"/>
      <c r="E117" s="65">
        <v>8</v>
      </c>
      <c r="F117" s="65"/>
      <c r="G117" s="65"/>
      <c r="H117" s="65">
        <v>0</v>
      </c>
      <c r="I117" s="65">
        <v>14</v>
      </c>
      <c r="J117" s="118" t="s">
        <v>188</v>
      </c>
      <c r="K117" s="119" t="str">
        <f>VLOOKUP(I117,[7]stage_hints!$A:$C,3,FALSE)</f>
        <v>覚醒するにはレベルを最大に</v>
      </c>
      <c r="L117" s="120" t="str">
        <f>VLOOKUP(I117,[7]stage_hints!$A:$D,4,FALSE)</f>
        <v>覚醒するにはユニットのレベルを_x000D_最大まで上げる必要があります</v>
      </c>
      <c r="M117" s="65" t="s">
        <v>207</v>
      </c>
    </row>
    <row r="118" spans="1:13" x14ac:dyDescent="0.15">
      <c r="A118" s="65" t="s">
        <v>206</v>
      </c>
      <c r="B118" s="65">
        <v>13101</v>
      </c>
      <c r="C118" s="65"/>
      <c r="D118" s="65"/>
      <c r="E118" s="65">
        <v>8</v>
      </c>
      <c r="F118" s="65"/>
      <c r="G118" s="65"/>
      <c r="H118" s="65">
        <v>0</v>
      </c>
      <c r="I118" s="65">
        <v>15</v>
      </c>
      <c r="J118" s="118" t="s">
        <v>188</v>
      </c>
      <c r="K118" s="119" t="str">
        <f>VLOOKUP(I118,[7]stage_hints!$A:$C,3,FALSE)</f>
        <v>覚醒素材を獲得</v>
      </c>
      <c r="L118" s="120" t="str">
        <f>VLOOKUP(I118,[7]stage_hints!$A:$D,4,FALSE)</f>
        <v>「曜日クエスト」では_x000D_ユニットの覚醒に必要な素材が手に入ります</v>
      </c>
      <c r="M118" s="65" t="s">
        <v>207</v>
      </c>
    </row>
    <row r="119" spans="1:13" x14ac:dyDescent="0.15">
      <c r="A119" s="65" t="s">
        <v>206</v>
      </c>
      <c r="B119" s="65">
        <v>13101</v>
      </c>
      <c r="C119" s="65"/>
      <c r="D119" s="65"/>
      <c r="E119" s="65">
        <v>8</v>
      </c>
      <c r="F119" s="65"/>
      <c r="G119" s="65"/>
      <c r="H119" s="65">
        <v>0</v>
      </c>
      <c r="I119" s="65">
        <v>16</v>
      </c>
      <c r="J119" s="118" t="s">
        <v>188</v>
      </c>
      <c r="K119" s="119" t="str">
        <f>VLOOKUP(I119,[7]stage_hints!$A:$C,3,FALSE)</f>
        <v>マルチプレイのメリット（その1）</v>
      </c>
      <c r="L119" s="120" t="str">
        <f>VLOOKUP(I119,[7]stage_hints!$A:$D,4,FALSE)</f>
        <v>他のプレイヤーとマルチプレイで遊ぶと_x000D_ポリゴンがもらえます（100人まで）</v>
      </c>
      <c r="M119" s="65" t="s">
        <v>207</v>
      </c>
    </row>
    <row r="120" spans="1:13" x14ac:dyDescent="0.15">
      <c r="A120" s="65" t="s">
        <v>206</v>
      </c>
      <c r="B120" s="65">
        <v>13101</v>
      </c>
      <c r="C120" s="65"/>
      <c r="D120" s="65"/>
      <c r="E120" s="65">
        <v>8</v>
      </c>
      <c r="F120" s="65"/>
      <c r="G120" s="65"/>
      <c r="H120" s="65">
        <v>0</v>
      </c>
      <c r="I120" s="65">
        <v>17</v>
      </c>
      <c r="J120" s="118" t="s">
        <v>188</v>
      </c>
      <c r="K120" s="119" t="str">
        <f>VLOOKUP(I120,[7]stage_hints!$A:$C,3,FALSE)</f>
        <v>リンクガチャ</v>
      </c>
      <c r="L120" s="120" t="str">
        <f>VLOOKUP(I120,[7]stage_hints!$A:$D,4,FALSE)</f>
        <v>無料のリンクガチャを回して_x000D_経験値素材や売却素材を獲得しましょう</v>
      </c>
      <c r="M120" s="65" t="s">
        <v>207</v>
      </c>
    </row>
    <row r="121" spans="1:13" x14ac:dyDescent="0.15">
      <c r="A121" s="65" t="s">
        <v>206</v>
      </c>
      <c r="B121" s="65">
        <v>13101</v>
      </c>
      <c r="C121" s="65"/>
      <c r="D121" s="65"/>
      <c r="E121" s="65">
        <v>8</v>
      </c>
      <c r="F121" s="65"/>
      <c r="G121" s="65"/>
      <c r="H121" s="65">
        <v>0</v>
      </c>
      <c r="I121" s="65">
        <v>18</v>
      </c>
      <c r="J121" s="118" t="s">
        <v>188</v>
      </c>
      <c r="K121" s="119" t="str">
        <f>VLOOKUP(I121,[7]stage_hints!$A:$C,3,FALSE)</f>
        <v>マルチプレイのメリット（その2）</v>
      </c>
      <c r="L121" s="120" t="str">
        <f>VLOOKUP(I121,[7]stage_hints!$A:$D,4,FALSE)</f>
        <v>マルチプレイならリンクが2倍もらえます_x000D_リンクガチャをたくさん回しましょう</v>
      </c>
      <c r="M121" s="65" t="s">
        <v>207</v>
      </c>
    </row>
    <row r="122" spans="1:13" x14ac:dyDescent="0.15">
      <c r="A122" s="65" t="s">
        <v>206</v>
      </c>
      <c r="B122" s="65">
        <v>13101</v>
      </c>
      <c r="C122" s="65"/>
      <c r="D122" s="65"/>
      <c r="E122" s="65">
        <v>8</v>
      </c>
      <c r="F122" s="65"/>
      <c r="G122" s="65"/>
      <c r="H122" s="65">
        <v>0</v>
      </c>
      <c r="I122" s="65">
        <v>19</v>
      </c>
      <c r="J122" s="118" t="s">
        <v>188</v>
      </c>
      <c r="K122" s="119" t="str">
        <f>VLOOKUP(I122,[7]stage_hints!$A:$C,3,FALSE)</f>
        <v>ソロ専用チャレンジタワー</v>
      </c>
      <c r="L122" s="120" t="str">
        <f>VLOOKUP(I122,[7]stage_hints!$A:$D,4,FALSE)</f>
        <v>ソロ専用の「チャレンジタワー」では_x000D_各フロアごとにクリア報酬がもらえます</v>
      </c>
      <c r="M122" s="65" t="s">
        <v>207</v>
      </c>
    </row>
    <row r="123" spans="1:13" x14ac:dyDescent="0.15">
      <c r="A123" s="65" t="s">
        <v>206</v>
      </c>
      <c r="B123" s="65">
        <v>13101</v>
      </c>
      <c r="C123" s="65"/>
      <c r="D123" s="65"/>
      <c r="E123" s="65">
        <v>8</v>
      </c>
      <c r="F123" s="65"/>
      <c r="G123" s="65"/>
      <c r="H123" s="65">
        <v>0</v>
      </c>
      <c r="I123" s="65">
        <v>20</v>
      </c>
      <c r="J123" s="118" t="s">
        <v>188</v>
      </c>
      <c r="K123" s="119" t="str">
        <f>VLOOKUP(I123,[7]stage_hints!$A:$C,3,FALSE)</f>
        <v>マルチプレイのメリット（その3）</v>
      </c>
      <c r="L123" s="120" t="str">
        <f>VLOOKUP(I123,[7]stage_hints!$A:$D,4,FALSE)</f>
        <v>マルチプレイへの参加はエナジー消費ゼロ_x000D_いつでも好きなだけ遊ぶことができます</v>
      </c>
      <c r="M123" s="65" t="s">
        <v>207</v>
      </c>
    </row>
    <row r="124" spans="1:13" x14ac:dyDescent="0.15">
      <c r="A124" s="65" t="s">
        <v>206</v>
      </c>
      <c r="B124" s="65">
        <v>13101</v>
      </c>
      <c r="C124" s="65"/>
      <c r="D124" s="65"/>
      <c r="E124" s="65">
        <v>8</v>
      </c>
      <c r="F124" s="65"/>
      <c r="G124" s="65"/>
      <c r="H124" s="65">
        <v>0</v>
      </c>
      <c r="I124" s="65">
        <v>21</v>
      </c>
      <c r="J124" s="118" t="s">
        <v>188</v>
      </c>
      <c r="K124" s="119" t="str">
        <f>VLOOKUP(I124,[7]stage_hints!$A:$C,3,FALSE)</f>
        <v>スキルを有効に</v>
      </c>
      <c r="L124" s="120" t="str">
        <f>VLOOKUP(I124,[7]stage_hints!$A:$D,4,FALSE)</f>
        <v>ターン経過でユニットのスキルが使えます_x000D_強力スキルでバトルを有利に進めましょう</v>
      </c>
      <c r="M124" s="65" t="s">
        <v>207</v>
      </c>
    </row>
    <row r="125" spans="1:13" x14ac:dyDescent="0.15">
      <c r="A125" s="65" t="s">
        <v>206</v>
      </c>
      <c r="B125" s="65">
        <v>13101</v>
      </c>
      <c r="C125" s="65"/>
      <c r="D125" s="65"/>
      <c r="E125" s="65">
        <v>8</v>
      </c>
      <c r="F125" s="65"/>
      <c r="G125" s="65"/>
      <c r="H125" s="65">
        <v>0</v>
      </c>
      <c r="I125" s="65">
        <v>22</v>
      </c>
      <c r="J125" s="118" t="s">
        <v>188</v>
      </c>
      <c r="K125" s="119" t="str">
        <f>VLOOKUP(I125,[7]stage_hints!$A:$C,3,FALSE)</f>
        <v>フィーバーで一発逆転（その1）</v>
      </c>
      <c r="L125" s="120" t="str">
        <f>VLOOKUP(I125,[7]stage_hints!$A:$D,4,FALSE)</f>
        <v>フィーバーは攻撃と回復を兼ね備えます_x000D_ピンチからの一発逆転を狙いましょう</v>
      </c>
      <c r="M125" s="65" t="s">
        <v>207</v>
      </c>
    </row>
    <row r="126" spans="1:13" x14ac:dyDescent="0.15">
      <c r="A126" s="65" t="s">
        <v>206</v>
      </c>
      <c r="B126" s="65">
        <v>13101</v>
      </c>
      <c r="C126" s="65"/>
      <c r="D126" s="65"/>
      <c r="E126" s="65">
        <v>8</v>
      </c>
      <c r="F126" s="65"/>
      <c r="G126" s="65"/>
      <c r="H126" s="65">
        <v>0</v>
      </c>
      <c r="I126" s="65">
        <v>23</v>
      </c>
      <c r="J126" s="118" t="s">
        <v>188</v>
      </c>
      <c r="K126" s="119" t="str">
        <f>VLOOKUP(I126,[7]stage_hints!$A:$C,3,FALSE)</f>
        <v>フィーバーで一発逆転（その2）</v>
      </c>
      <c r="L126" s="120" t="str">
        <f>VLOOKUP(I126,[7]stage_hints!$A:$D,4,FALSE)</f>
        <v>フィーバー中は虹色のボムパネルを狙って_x000D_画面上のパネルを一気に破壊しましょう</v>
      </c>
      <c r="M126" s="65" t="s">
        <v>207</v>
      </c>
    </row>
    <row r="127" spans="1:13" x14ac:dyDescent="0.15">
      <c r="A127" s="65" t="s">
        <v>206</v>
      </c>
      <c r="B127" s="65">
        <v>13101</v>
      </c>
      <c r="C127" s="65"/>
      <c r="D127" s="65"/>
      <c r="E127" s="65">
        <v>8</v>
      </c>
      <c r="F127" s="65"/>
      <c r="G127" s="65"/>
      <c r="H127" s="65">
        <v>0</v>
      </c>
      <c r="I127" s="65">
        <v>24</v>
      </c>
      <c r="J127" s="118" t="s">
        <v>188</v>
      </c>
      <c r="K127" s="119" t="str">
        <f>VLOOKUP(I127,[7]stage_hints!$A:$C,3,FALSE)</f>
        <v>りんごを使って限界突破</v>
      </c>
      <c r="L127" s="120" t="str">
        <f>VLOOKUP(I127,[7]stage_hints!$A:$D,4,FALSE)</f>
        <v>赤りんご(攻撃力) 青りんご(回復力)_x000D_緑りんご(体力)をユニット強化に使うと_x000D_ステータスが限界突破します（計99個迄）</v>
      </c>
      <c r="M127" s="65" t="s">
        <v>207</v>
      </c>
    </row>
    <row r="128" spans="1:13" x14ac:dyDescent="0.15">
      <c r="A128" s="65" t="s">
        <v>206</v>
      </c>
      <c r="B128" s="65">
        <v>13101</v>
      </c>
      <c r="C128" s="65"/>
      <c r="D128" s="65"/>
      <c r="E128" s="65">
        <v>8</v>
      </c>
      <c r="F128" s="65"/>
      <c r="G128" s="65"/>
      <c r="H128" s="65">
        <v>0</v>
      </c>
      <c r="I128" s="65">
        <v>25</v>
      </c>
      <c r="J128" s="118" t="s">
        <v>188</v>
      </c>
      <c r="K128" s="119" t="str">
        <f>VLOOKUP(I128,[7]stage_hints!$A:$C,3,FALSE)</f>
        <v>スキルレベルアップ</v>
      </c>
      <c r="L128" s="120" t="str">
        <f>VLOOKUP(I128,[7]stage_hints!$A:$D,4,FALSE)</f>
        <v>「クリスタルのりんご」を強化に使うと_x000D_スキルレベルを上げることができます</v>
      </c>
      <c r="M128" s="65" t="s">
        <v>207</v>
      </c>
    </row>
    <row r="129" spans="1:13" x14ac:dyDescent="0.15">
      <c r="A129" s="65" t="s">
        <v>206</v>
      </c>
      <c r="B129" s="65">
        <v>13101</v>
      </c>
      <c r="C129" s="65"/>
      <c r="D129" s="65"/>
      <c r="E129" s="65">
        <v>8</v>
      </c>
      <c r="F129" s="65"/>
      <c r="G129" s="65"/>
      <c r="H129" s="65">
        <v>0</v>
      </c>
      <c r="I129" s="65">
        <v>26</v>
      </c>
      <c r="J129" s="118" t="s">
        <v>188</v>
      </c>
      <c r="K129" s="119" t="str">
        <f>VLOOKUP(I129,[7]stage_hints!$A:$C,3,FALSE)</f>
        <v>スキルレベルの効果</v>
      </c>
      <c r="L129" s="120" t="str">
        <f>VLOOKUP(I129,[7]stage_hints!$A:$D,4,FALSE)</f>
        <v>スキルレベルが上がると_x000D_短いターンでスキルを使うことができます</v>
      </c>
      <c r="M129" s="65" t="s">
        <v>207</v>
      </c>
    </row>
    <row r="130" spans="1:13" x14ac:dyDescent="0.15">
      <c r="A130" s="65" t="s">
        <v>206</v>
      </c>
      <c r="B130" s="65">
        <v>13101</v>
      </c>
      <c r="C130" s="65"/>
      <c r="D130" s="65"/>
      <c r="E130" s="65">
        <v>8</v>
      </c>
      <c r="F130" s="65"/>
      <c r="G130" s="65"/>
      <c r="H130" s="65">
        <v>0</v>
      </c>
      <c r="I130" s="65">
        <v>27</v>
      </c>
      <c r="J130" s="118" t="s">
        <v>188</v>
      </c>
      <c r="K130" s="119" t="str">
        <f>VLOOKUP(I130,[7]stage_hints!$A:$C,3,FALSE)</f>
        <v>ホーム画面からデッキを編成</v>
      </c>
      <c r="L130" s="120" t="str">
        <f>VLOOKUP(I130,[7]stage_hints!$A:$D,4,FALSE)</f>
        <v>ホーム画面でユニットを長押しすると_x000D_すぐにパーティ編成に移動できます</v>
      </c>
      <c r="M130" s="65" t="s">
        <v>207</v>
      </c>
    </row>
    <row r="131" spans="1:13" x14ac:dyDescent="0.15">
      <c r="A131" s="65" t="s">
        <v>206</v>
      </c>
      <c r="B131" s="65">
        <v>13101</v>
      </c>
      <c r="C131" s="65"/>
      <c r="D131" s="65"/>
      <c r="E131" s="65">
        <v>8</v>
      </c>
      <c r="F131" s="65"/>
      <c r="G131" s="65"/>
      <c r="H131" s="65">
        <v>0</v>
      </c>
      <c r="I131" s="65">
        <v>28</v>
      </c>
      <c r="J131" s="118" t="s">
        <v>188</v>
      </c>
      <c r="K131" s="119" t="str">
        <f>VLOOKUP(I131,[7]stage_hints!$A:$C,3,FALSE)</f>
        <v>ステータス情報は長押しで</v>
      </c>
      <c r="L131" s="120" t="str">
        <f>VLOOKUP(I131,[7]stage_hints!$A:$D,4,FALSE)</f>
        <v>ユニットのアイコンを長押しすると_x000D_ステータス情報を確認することができます</v>
      </c>
      <c r="M131" s="65" t="s">
        <v>207</v>
      </c>
    </row>
    <row r="132" spans="1:13" x14ac:dyDescent="0.15">
      <c r="A132" s="65" t="s">
        <v>206</v>
      </c>
      <c r="B132" s="65">
        <v>13101</v>
      </c>
      <c r="C132" s="65"/>
      <c r="D132" s="65"/>
      <c r="E132" s="65">
        <v>8</v>
      </c>
      <c r="F132" s="65"/>
      <c r="G132" s="65"/>
      <c r="H132" s="65">
        <v>0</v>
      </c>
      <c r="I132" s="65">
        <v>29</v>
      </c>
      <c r="J132" s="118" t="s">
        <v>188</v>
      </c>
      <c r="K132" s="119" t="str">
        <f>VLOOKUP(I132,[7]stage_hints!$A:$C,3,FALSE)</f>
        <v>「バグ」のメリット</v>
      </c>
      <c r="L132" s="120" t="str">
        <f>VLOOKUP(I132,[7]stage_hints!$A:$D,4,FALSE)</f>
        <v>ユニットの「バグ」を増やすと_x000D_報酬をもらえる確率がアップします</v>
      </c>
      <c r="M132" s="65" t="s">
        <v>207</v>
      </c>
    </row>
    <row r="133" spans="1:13" x14ac:dyDescent="0.15">
      <c r="A133" s="65" t="s">
        <v>206</v>
      </c>
      <c r="B133" s="65">
        <v>13101</v>
      </c>
      <c r="C133" s="65"/>
      <c r="D133" s="65"/>
      <c r="E133" s="65">
        <v>8</v>
      </c>
      <c r="F133" s="65"/>
      <c r="G133" s="65"/>
      <c r="H133" s="65">
        <v>0</v>
      </c>
      <c r="I133" s="65">
        <v>30</v>
      </c>
      <c r="J133" s="118" t="s">
        <v>188</v>
      </c>
      <c r="K133" s="119" t="str">
        <f>VLOOKUP(I133,[7]stage_hints!$A:$C,3,FALSE)</f>
        <v>「バグ」の増やし方</v>
      </c>
      <c r="L133" s="120" t="str">
        <f>VLOOKUP(I133,[7]stage_hints!$A:$D,4,FALSE)</f>
        <v>同じユニット同士を強化で合成すると_x000D_「バグ」を増やすことができます</v>
      </c>
      <c r="M133" s="65" t="s">
        <v>207</v>
      </c>
    </row>
    <row r="134" spans="1:13" x14ac:dyDescent="0.15">
      <c r="A134" s="65" t="s">
        <v>206</v>
      </c>
      <c r="B134" s="65">
        <v>13101</v>
      </c>
      <c r="C134" s="65"/>
      <c r="D134" s="65"/>
      <c r="E134" s="65">
        <v>8</v>
      </c>
      <c r="F134" s="65"/>
      <c r="G134" s="65"/>
      <c r="H134" s="65">
        <v>0</v>
      </c>
      <c r="I134" s="65">
        <v>31</v>
      </c>
      <c r="J134" s="118" t="s">
        <v>188</v>
      </c>
      <c r="K134" s="119" t="str">
        <f>VLOOKUP(I134,[7]stage_hints!$A:$C,3,FALSE)</f>
        <v>イベントはお知らせでチェック</v>
      </c>
      <c r="L134" s="120" t="str">
        <f>VLOOKUP(I134,[7]stage_hints!$A:$D,4,FALSE)</f>
        <v>イベント限定ユニットを取り忘れないように_x000D_お知らせをこまめにチェックしましょう</v>
      </c>
      <c r="M134" s="65" t="s">
        <v>207</v>
      </c>
    </row>
    <row r="135" spans="1:13" x14ac:dyDescent="0.15">
      <c r="A135" s="65" t="s">
        <v>206</v>
      </c>
      <c r="B135" s="65">
        <v>13101</v>
      </c>
      <c r="C135" s="65"/>
      <c r="D135" s="65"/>
      <c r="E135" s="65">
        <v>8</v>
      </c>
      <c r="F135" s="65"/>
      <c r="G135" s="65"/>
      <c r="H135" s="65">
        <v>0</v>
      </c>
      <c r="I135" s="65">
        <v>38</v>
      </c>
      <c r="J135" s="118" t="s">
        <v>188</v>
      </c>
      <c r="K135" s="119" t="str">
        <f>VLOOKUP(I135,[7]stage_hints!$A:$C,3,FALSE)</f>
        <v>お邪魔パネルはフィーバーで</v>
      </c>
      <c r="L135" s="120" t="str">
        <f>VLOOKUP(I135,[7]stage_hints!$A:$D,4,FALSE)</f>
        <v>つなげて消せない「お邪魔パネル」は_x000D_フィーバーで下へ落としてしまいましょう</v>
      </c>
      <c r="M135" s="65" t="s">
        <v>207</v>
      </c>
    </row>
    <row r="136" spans="1:13" x14ac:dyDescent="0.15">
      <c r="A136" s="65" t="s">
        <v>206</v>
      </c>
      <c r="B136" s="65">
        <v>13101</v>
      </c>
      <c r="C136" s="65"/>
      <c r="D136" s="65"/>
      <c r="E136" s="65">
        <v>8</v>
      </c>
      <c r="F136" s="65"/>
      <c r="G136" s="65"/>
      <c r="H136" s="65">
        <v>0</v>
      </c>
      <c r="I136" s="65">
        <v>39</v>
      </c>
      <c r="J136" s="118" t="s">
        <v>188</v>
      </c>
      <c r="K136" s="119" t="str">
        <f>VLOOKUP(I136,[7]stage_hints!$A:$C,3,FALSE)</f>
        <v>システム適合者を確認</v>
      </c>
      <c r="L136" s="120" t="str">
        <f>VLOOKUP(I136,[7]stage_hints!$A:$D,4,FALSE)</f>
        <v>ALICEが 「アナタ」を呼んでいます</v>
      </c>
      <c r="M136" s="65" t="s">
        <v>207</v>
      </c>
    </row>
    <row r="137" spans="1:13" x14ac:dyDescent="0.15">
      <c r="A137" s="65" t="s">
        <v>206</v>
      </c>
      <c r="B137" s="65">
        <v>13101</v>
      </c>
      <c r="C137" s="65"/>
      <c r="D137" s="65"/>
      <c r="E137" s="65">
        <v>9</v>
      </c>
      <c r="F137" s="65"/>
      <c r="G137" s="65"/>
      <c r="H137" s="65">
        <v>0</v>
      </c>
      <c r="I137" s="65">
        <v>3</v>
      </c>
      <c r="J137" s="118" t="s">
        <v>188</v>
      </c>
      <c r="K137" s="119" t="str">
        <f>VLOOKUP(I137,[7]stage_hints!$A:$C,3,FALSE)</f>
        <v>ターゲット</v>
      </c>
      <c r="L137" s="120" t="str">
        <f>VLOOKUP(I137,[7]stage_hints!$A:$D,4,FALSE)</f>
        <v>敵ユニットをタップすると_x000D_その敵を狙い撃ちできます</v>
      </c>
      <c r="M137" s="65" t="s">
        <v>207</v>
      </c>
    </row>
    <row r="138" spans="1:13" x14ac:dyDescent="0.15">
      <c r="A138" s="65" t="s">
        <v>206</v>
      </c>
      <c r="B138" s="65">
        <v>13101</v>
      </c>
      <c r="C138" s="65"/>
      <c r="D138" s="65"/>
      <c r="E138" s="65">
        <v>9</v>
      </c>
      <c r="F138" s="65"/>
      <c r="G138" s="65"/>
      <c r="H138" s="65">
        <v>0</v>
      </c>
      <c r="I138" s="65">
        <v>5</v>
      </c>
      <c r="J138" s="118" t="s">
        <v>188</v>
      </c>
      <c r="K138" s="119" t="str">
        <f>VLOOKUP(I138,[7]stage_hints!$A:$C,3,FALSE)</f>
        <v>ユニット強化でレベルアップ</v>
      </c>
      <c r="L138" s="120" t="str">
        <f>VLOOKUP(I138,[7]stage_hints!$A:$D,4,FALSE)</f>
        <v>「ユニット強化」でレベルアップすると_x000D_勝てない敵にも勝てるようになります</v>
      </c>
      <c r="M138" s="65" t="s">
        <v>207</v>
      </c>
    </row>
    <row r="139" spans="1:13" x14ac:dyDescent="0.15">
      <c r="A139" s="65" t="s">
        <v>206</v>
      </c>
      <c r="B139" s="65">
        <v>13101</v>
      </c>
      <c r="C139" s="65"/>
      <c r="D139" s="65"/>
      <c r="E139" s="65">
        <v>9</v>
      </c>
      <c r="F139" s="65"/>
      <c r="G139" s="65"/>
      <c r="H139" s="65">
        <v>0</v>
      </c>
      <c r="I139" s="65">
        <v>6</v>
      </c>
      <c r="J139" s="118" t="s">
        <v>188</v>
      </c>
      <c r="K139" s="119" t="str">
        <f>VLOOKUP(I139,[7]stage_hints!$A:$C,3,FALSE)</f>
        <v>ユニット強化の属性ボーナス</v>
      </c>
      <c r="L139" s="120" t="str">
        <f>VLOOKUP(I139,[7]stage_hints!$A:$D,4,FALSE)</f>
        <v>同属性ユニットを強化素材にすると_x000D_経験値が多くもらえます</v>
      </c>
      <c r="M139" s="65" t="s">
        <v>207</v>
      </c>
    </row>
    <row r="140" spans="1:13" x14ac:dyDescent="0.15">
      <c r="A140" s="65" t="s">
        <v>206</v>
      </c>
      <c r="B140" s="65">
        <v>13101</v>
      </c>
      <c r="C140" s="65"/>
      <c r="D140" s="65"/>
      <c r="E140" s="65">
        <v>9</v>
      </c>
      <c r="F140" s="65"/>
      <c r="G140" s="65"/>
      <c r="H140" s="65">
        <v>0</v>
      </c>
      <c r="I140" s="65">
        <v>7</v>
      </c>
      <c r="J140" s="118" t="s">
        <v>188</v>
      </c>
      <c r="K140" s="119" t="str">
        <f>VLOOKUP(I140,[7]stage_hints!$A:$C,3,FALSE)</f>
        <v>メタルダックで経験値を獲得</v>
      </c>
      <c r="L140" s="120" t="str">
        <f>VLOOKUP(I140,[7]stage_hints!$A:$D,4,FALSE)</f>
        <v>「メタルなアヒル」を強化素材にすると_x000D_大量の経験値がもらえます</v>
      </c>
      <c r="M140" s="65" t="s">
        <v>207</v>
      </c>
    </row>
    <row r="141" spans="1:13" x14ac:dyDescent="0.15">
      <c r="A141" s="65" t="s">
        <v>206</v>
      </c>
      <c r="B141" s="65">
        <v>13101</v>
      </c>
      <c r="C141" s="65"/>
      <c r="D141" s="65"/>
      <c r="E141" s="65">
        <v>9</v>
      </c>
      <c r="F141" s="65"/>
      <c r="G141" s="65"/>
      <c r="H141" s="65">
        <v>0</v>
      </c>
      <c r="I141" s="65">
        <v>8</v>
      </c>
      <c r="J141" s="118" t="s">
        <v>188</v>
      </c>
      <c r="K141" s="119" t="str">
        <f>VLOOKUP(I141,[7]stage_hints!$A:$C,3,FALSE)</f>
        <v>ゲリラクエストは要チェック</v>
      </c>
      <c r="L141" s="120" t="str">
        <f>VLOOKUP(I141,[7]stage_hints!$A:$D,4,FALSE)</f>
        <v>時間限定の「アヒル捕獲作戦」では_x000D_経験値素材ユニットが多く手に入ります</v>
      </c>
      <c r="M141" s="65" t="s">
        <v>207</v>
      </c>
    </row>
    <row r="142" spans="1:13" x14ac:dyDescent="0.15">
      <c r="A142" s="65" t="s">
        <v>206</v>
      </c>
      <c r="B142" s="65">
        <v>13101</v>
      </c>
      <c r="C142" s="65"/>
      <c r="D142" s="65"/>
      <c r="E142" s="65">
        <v>9</v>
      </c>
      <c r="F142" s="65"/>
      <c r="G142" s="65"/>
      <c r="H142" s="65">
        <v>0</v>
      </c>
      <c r="I142" s="65">
        <v>9</v>
      </c>
      <c r="J142" s="118" t="s">
        <v>188</v>
      </c>
      <c r="K142" s="119" t="str">
        <f>VLOOKUP(I142,[7]stage_hints!$A:$C,3,FALSE)</f>
        <v>ゴールドダックでビットを獲得</v>
      </c>
      <c r="L142" s="120" t="str">
        <f>VLOOKUP(I142,[7]stage_hints!$A:$D,4,FALSE)</f>
        <v>「ゴールドなアヒル」を売却すると_x000D_大量のビットがもらえます</v>
      </c>
      <c r="M142" s="65" t="s">
        <v>207</v>
      </c>
    </row>
    <row r="143" spans="1:13" x14ac:dyDescent="0.15">
      <c r="A143" s="65" t="s">
        <v>206</v>
      </c>
      <c r="B143" s="65">
        <v>13101</v>
      </c>
      <c r="C143" s="65"/>
      <c r="D143" s="65"/>
      <c r="E143" s="65">
        <v>9</v>
      </c>
      <c r="F143" s="65"/>
      <c r="G143" s="65"/>
      <c r="H143" s="65">
        <v>0</v>
      </c>
      <c r="I143" s="65">
        <v>10</v>
      </c>
      <c r="J143" s="118" t="s">
        <v>188</v>
      </c>
      <c r="K143" s="119" t="str">
        <f>VLOOKUP(I143,[7]stage_hints!$A:$C,3,FALSE)</f>
        <v>土日に大量のビットを獲得</v>
      </c>
      <c r="L143" s="120" t="str">
        <f>VLOOKUP(I143,[7]stage_hints!$A:$D,4,FALSE)</f>
        <v>土日限定の「ゴールドカジノ」では_x000D_売却素材ユニットが多く手に入ります</v>
      </c>
      <c r="M143" s="65" t="s">
        <v>207</v>
      </c>
    </row>
    <row r="144" spans="1:13" x14ac:dyDescent="0.15">
      <c r="A144" s="65" t="s">
        <v>206</v>
      </c>
      <c r="B144" s="65">
        <v>13101</v>
      </c>
      <c r="C144" s="65"/>
      <c r="D144" s="65"/>
      <c r="E144" s="65">
        <v>9</v>
      </c>
      <c r="F144" s="65"/>
      <c r="G144" s="65"/>
      <c r="H144" s="65">
        <v>0</v>
      </c>
      <c r="I144" s="65">
        <v>11</v>
      </c>
      <c r="J144" s="118" t="s">
        <v>188</v>
      </c>
      <c r="K144" s="119" t="str">
        <f>VLOOKUP(I144,[7]stage_hints!$A:$C,3,FALSE)</f>
        <v>ランク解放クエスト</v>
      </c>
      <c r="L144" s="120" t="str">
        <f>VLOOKUP(I144,[7]stage_hints!$A:$D,4,FALSE)</f>
        <v>一定ランクに到達すると_x000D_報酬付きのランク開放クエストが現れます</v>
      </c>
      <c r="M144" s="65" t="s">
        <v>207</v>
      </c>
    </row>
    <row r="145" spans="1:13" x14ac:dyDescent="0.15">
      <c r="A145" s="65" t="s">
        <v>206</v>
      </c>
      <c r="B145" s="65">
        <v>13101</v>
      </c>
      <c r="C145" s="65"/>
      <c r="D145" s="65"/>
      <c r="E145" s="65">
        <v>9</v>
      </c>
      <c r="F145" s="65"/>
      <c r="G145" s="65"/>
      <c r="H145" s="65">
        <v>0</v>
      </c>
      <c r="I145" s="65">
        <v>12</v>
      </c>
      <c r="J145" s="118" t="s">
        <v>188</v>
      </c>
      <c r="K145" s="119" t="str">
        <f>VLOOKUP(I145,[7]stage_hints!$A:$C,3,FALSE)</f>
        <v>ユニットのお気に入り登録</v>
      </c>
      <c r="L145" s="120" t="str">
        <f>VLOOKUP(I145,[7]stage_hints!$A:$D,4,FALSE)</f>
        <v>大事なユニットを誤って消さないように_x000D_フォルダから「お気に入り登録」しましょう</v>
      </c>
      <c r="M145" s="65" t="s">
        <v>207</v>
      </c>
    </row>
    <row r="146" spans="1:13" x14ac:dyDescent="0.15">
      <c r="A146" s="65" t="s">
        <v>206</v>
      </c>
      <c r="B146" s="65">
        <v>13101</v>
      </c>
      <c r="C146" s="65"/>
      <c r="D146" s="65"/>
      <c r="E146" s="65">
        <v>9</v>
      </c>
      <c r="F146" s="65"/>
      <c r="G146" s="65"/>
      <c r="H146" s="65">
        <v>0</v>
      </c>
      <c r="I146" s="65">
        <v>13</v>
      </c>
      <c r="J146" s="118" t="s">
        <v>188</v>
      </c>
      <c r="K146" s="119" t="str">
        <f>VLOOKUP(I146,[7]stage_hints!$A:$C,3,FALSE)</f>
        <v>ユニットの覚醒</v>
      </c>
      <c r="L146" s="120" t="str">
        <f>VLOOKUP(I146,[7]stage_hints!$A:$D,4,FALSE)</f>
        <v>ユニットを覚醒させると_x000D_比べものにならない強さが手に入ります</v>
      </c>
      <c r="M146" s="65" t="s">
        <v>207</v>
      </c>
    </row>
    <row r="147" spans="1:13" x14ac:dyDescent="0.15">
      <c r="A147" s="65" t="s">
        <v>206</v>
      </c>
      <c r="B147" s="65">
        <v>13101</v>
      </c>
      <c r="C147" s="65"/>
      <c r="D147" s="65"/>
      <c r="E147" s="65">
        <v>9</v>
      </c>
      <c r="F147" s="65"/>
      <c r="G147" s="65"/>
      <c r="H147" s="65">
        <v>0</v>
      </c>
      <c r="I147" s="65">
        <v>14</v>
      </c>
      <c r="J147" s="118" t="s">
        <v>188</v>
      </c>
      <c r="K147" s="119" t="str">
        <f>VLOOKUP(I147,[7]stage_hints!$A:$C,3,FALSE)</f>
        <v>覚醒するにはレベルを最大に</v>
      </c>
      <c r="L147" s="120" t="str">
        <f>VLOOKUP(I147,[7]stage_hints!$A:$D,4,FALSE)</f>
        <v>覚醒するにはユニットのレベルを_x000D_最大まで上げる必要があります</v>
      </c>
      <c r="M147" s="65" t="s">
        <v>207</v>
      </c>
    </row>
    <row r="148" spans="1:13" x14ac:dyDescent="0.15">
      <c r="A148" s="65" t="s">
        <v>206</v>
      </c>
      <c r="B148" s="65">
        <v>13101</v>
      </c>
      <c r="C148" s="65"/>
      <c r="D148" s="65"/>
      <c r="E148" s="65">
        <v>9</v>
      </c>
      <c r="F148" s="65"/>
      <c r="G148" s="65"/>
      <c r="H148" s="65">
        <v>0</v>
      </c>
      <c r="I148" s="65">
        <v>15</v>
      </c>
      <c r="J148" s="118" t="s">
        <v>188</v>
      </c>
      <c r="K148" s="119" t="str">
        <f>VLOOKUP(I148,[7]stage_hints!$A:$C,3,FALSE)</f>
        <v>覚醒素材を獲得</v>
      </c>
      <c r="L148" s="120" t="str">
        <f>VLOOKUP(I148,[7]stage_hints!$A:$D,4,FALSE)</f>
        <v>「曜日クエスト」では_x000D_ユニットの覚醒に必要な素材が手に入ります</v>
      </c>
      <c r="M148" s="65" t="s">
        <v>207</v>
      </c>
    </row>
    <row r="149" spans="1:13" x14ac:dyDescent="0.15">
      <c r="A149" s="65" t="s">
        <v>206</v>
      </c>
      <c r="B149" s="65">
        <v>13101</v>
      </c>
      <c r="C149" s="65"/>
      <c r="D149" s="65"/>
      <c r="E149" s="65">
        <v>9</v>
      </c>
      <c r="F149" s="65"/>
      <c r="G149" s="65"/>
      <c r="H149" s="65">
        <v>0</v>
      </c>
      <c r="I149" s="65">
        <v>16</v>
      </c>
      <c r="J149" s="118" t="s">
        <v>188</v>
      </c>
      <c r="K149" s="119" t="str">
        <f>VLOOKUP(I149,[7]stage_hints!$A:$C,3,FALSE)</f>
        <v>マルチプレイのメリット（その1）</v>
      </c>
      <c r="L149" s="120" t="str">
        <f>VLOOKUP(I149,[7]stage_hints!$A:$D,4,FALSE)</f>
        <v>他のプレイヤーとマルチプレイで遊ぶと_x000D_ポリゴンがもらえます（100人まで）</v>
      </c>
      <c r="M149" s="65" t="s">
        <v>207</v>
      </c>
    </row>
    <row r="150" spans="1:13" x14ac:dyDescent="0.15">
      <c r="A150" s="65" t="s">
        <v>206</v>
      </c>
      <c r="B150" s="65">
        <v>13101</v>
      </c>
      <c r="C150" s="65"/>
      <c r="D150" s="65"/>
      <c r="E150" s="65">
        <v>9</v>
      </c>
      <c r="F150" s="65"/>
      <c r="G150" s="65"/>
      <c r="H150" s="65">
        <v>0</v>
      </c>
      <c r="I150" s="65">
        <v>17</v>
      </c>
      <c r="J150" s="118" t="s">
        <v>188</v>
      </c>
      <c r="K150" s="119" t="str">
        <f>VLOOKUP(I150,[7]stage_hints!$A:$C,3,FALSE)</f>
        <v>リンクガチャ</v>
      </c>
      <c r="L150" s="120" t="str">
        <f>VLOOKUP(I150,[7]stage_hints!$A:$D,4,FALSE)</f>
        <v>無料のリンクガチャを回して_x000D_経験値素材や売却素材を獲得しましょう</v>
      </c>
      <c r="M150" s="65" t="s">
        <v>207</v>
      </c>
    </row>
    <row r="151" spans="1:13" x14ac:dyDescent="0.15">
      <c r="A151" s="65" t="s">
        <v>206</v>
      </c>
      <c r="B151" s="65">
        <v>13101</v>
      </c>
      <c r="C151" s="65"/>
      <c r="D151" s="65"/>
      <c r="E151" s="65">
        <v>9</v>
      </c>
      <c r="F151" s="65"/>
      <c r="G151" s="65"/>
      <c r="H151" s="65">
        <v>0</v>
      </c>
      <c r="I151" s="65">
        <v>18</v>
      </c>
      <c r="J151" s="118" t="s">
        <v>188</v>
      </c>
      <c r="K151" s="119" t="str">
        <f>VLOOKUP(I151,[7]stage_hints!$A:$C,3,FALSE)</f>
        <v>マルチプレイのメリット（その2）</v>
      </c>
      <c r="L151" s="120" t="str">
        <f>VLOOKUP(I151,[7]stage_hints!$A:$D,4,FALSE)</f>
        <v>マルチプレイならリンクが2倍もらえます_x000D_リンクガチャをたくさん回しましょう</v>
      </c>
      <c r="M151" s="65" t="s">
        <v>207</v>
      </c>
    </row>
    <row r="152" spans="1:13" x14ac:dyDescent="0.15">
      <c r="A152" s="65" t="s">
        <v>206</v>
      </c>
      <c r="B152" s="65">
        <v>13101</v>
      </c>
      <c r="C152" s="65"/>
      <c r="D152" s="65"/>
      <c r="E152" s="65">
        <v>9</v>
      </c>
      <c r="F152" s="65"/>
      <c r="G152" s="65"/>
      <c r="H152" s="65">
        <v>0</v>
      </c>
      <c r="I152" s="65">
        <v>19</v>
      </c>
      <c r="J152" s="118" t="s">
        <v>188</v>
      </c>
      <c r="K152" s="119" t="str">
        <f>VLOOKUP(I152,[7]stage_hints!$A:$C,3,FALSE)</f>
        <v>ソロ専用チャレンジタワー</v>
      </c>
      <c r="L152" s="120" t="str">
        <f>VLOOKUP(I152,[7]stage_hints!$A:$D,4,FALSE)</f>
        <v>ソロ専用の「チャレンジタワー」では_x000D_各フロアごとにクリア報酬がもらえます</v>
      </c>
      <c r="M152" s="65" t="s">
        <v>207</v>
      </c>
    </row>
    <row r="153" spans="1:13" x14ac:dyDescent="0.15">
      <c r="A153" s="65" t="s">
        <v>206</v>
      </c>
      <c r="B153" s="65">
        <v>13101</v>
      </c>
      <c r="C153" s="65"/>
      <c r="D153" s="65"/>
      <c r="E153" s="65">
        <v>9</v>
      </c>
      <c r="F153" s="65"/>
      <c r="G153" s="65"/>
      <c r="H153" s="65">
        <v>0</v>
      </c>
      <c r="I153" s="65">
        <v>20</v>
      </c>
      <c r="J153" s="118" t="s">
        <v>188</v>
      </c>
      <c r="K153" s="119" t="str">
        <f>VLOOKUP(I153,[7]stage_hints!$A:$C,3,FALSE)</f>
        <v>マルチプレイのメリット（その3）</v>
      </c>
      <c r="L153" s="120" t="str">
        <f>VLOOKUP(I153,[7]stage_hints!$A:$D,4,FALSE)</f>
        <v>マルチプレイへの参加はエナジー消費ゼロ_x000D_いつでも好きなだけ遊ぶことができます</v>
      </c>
      <c r="M153" s="65" t="s">
        <v>207</v>
      </c>
    </row>
    <row r="154" spans="1:13" x14ac:dyDescent="0.15">
      <c r="A154" s="65" t="s">
        <v>206</v>
      </c>
      <c r="B154" s="65">
        <v>13101</v>
      </c>
      <c r="C154" s="65"/>
      <c r="D154" s="65"/>
      <c r="E154" s="65">
        <v>9</v>
      </c>
      <c r="F154" s="65"/>
      <c r="G154" s="65"/>
      <c r="H154" s="65">
        <v>0</v>
      </c>
      <c r="I154" s="65">
        <v>21</v>
      </c>
      <c r="J154" s="118" t="s">
        <v>188</v>
      </c>
      <c r="K154" s="119" t="str">
        <f>VLOOKUP(I154,[7]stage_hints!$A:$C,3,FALSE)</f>
        <v>スキルを有効に</v>
      </c>
      <c r="L154" s="120" t="str">
        <f>VLOOKUP(I154,[7]stage_hints!$A:$D,4,FALSE)</f>
        <v>ターン経過でユニットのスキルが使えます_x000D_強力スキルでバトルを有利に進めましょう</v>
      </c>
      <c r="M154" s="65" t="s">
        <v>207</v>
      </c>
    </row>
    <row r="155" spans="1:13" x14ac:dyDescent="0.15">
      <c r="A155" s="65" t="s">
        <v>206</v>
      </c>
      <c r="B155" s="65">
        <v>13101</v>
      </c>
      <c r="C155" s="65"/>
      <c r="D155" s="65"/>
      <c r="E155" s="65">
        <v>9</v>
      </c>
      <c r="F155" s="65"/>
      <c r="G155" s="65"/>
      <c r="H155" s="65">
        <v>0</v>
      </c>
      <c r="I155" s="65">
        <v>22</v>
      </c>
      <c r="J155" s="118" t="s">
        <v>188</v>
      </c>
      <c r="K155" s="119" t="str">
        <f>VLOOKUP(I155,[7]stage_hints!$A:$C,3,FALSE)</f>
        <v>フィーバーで一発逆転（その1）</v>
      </c>
      <c r="L155" s="120" t="str">
        <f>VLOOKUP(I155,[7]stage_hints!$A:$D,4,FALSE)</f>
        <v>フィーバーは攻撃と回復を兼ね備えます_x000D_ピンチからの一発逆転を狙いましょう</v>
      </c>
      <c r="M155" s="65" t="s">
        <v>207</v>
      </c>
    </row>
    <row r="156" spans="1:13" x14ac:dyDescent="0.15">
      <c r="A156" s="65" t="s">
        <v>206</v>
      </c>
      <c r="B156" s="65">
        <v>13101</v>
      </c>
      <c r="C156" s="65"/>
      <c r="D156" s="65"/>
      <c r="E156" s="65">
        <v>9</v>
      </c>
      <c r="F156" s="65"/>
      <c r="G156" s="65"/>
      <c r="H156" s="65">
        <v>0</v>
      </c>
      <c r="I156" s="65">
        <v>23</v>
      </c>
      <c r="J156" s="118" t="s">
        <v>188</v>
      </c>
      <c r="K156" s="119" t="str">
        <f>VLOOKUP(I156,[7]stage_hints!$A:$C,3,FALSE)</f>
        <v>フィーバーで一発逆転（その2）</v>
      </c>
      <c r="L156" s="120" t="str">
        <f>VLOOKUP(I156,[7]stage_hints!$A:$D,4,FALSE)</f>
        <v>フィーバー中は虹色のボムパネルを狙って_x000D_画面上のパネルを一気に破壊しましょう</v>
      </c>
      <c r="M156" s="65" t="s">
        <v>207</v>
      </c>
    </row>
    <row r="157" spans="1:13" x14ac:dyDescent="0.15">
      <c r="A157" s="65" t="s">
        <v>206</v>
      </c>
      <c r="B157" s="65">
        <v>13101</v>
      </c>
      <c r="C157" s="65"/>
      <c r="D157" s="65"/>
      <c r="E157" s="65">
        <v>9</v>
      </c>
      <c r="F157" s="65"/>
      <c r="G157" s="65"/>
      <c r="H157" s="65">
        <v>0</v>
      </c>
      <c r="I157" s="65">
        <v>24</v>
      </c>
      <c r="J157" s="118" t="s">
        <v>188</v>
      </c>
      <c r="K157" s="119" t="str">
        <f>VLOOKUP(I157,[7]stage_hints!$A:$C,3,FALSE)</f>
        <v>りんごを使って限界突破</v>
      </c>
      <c r="L157" s="120" t="str">
        <f>VLOOKUP(I157,[7]stage_hints!$A:$D,4,FALSE)</f>
        <v>赤りんご(攻撃力) 青りんご(回復力)_x000D_緑りんご(体力)をユニット強化に使うと_x000D_ステータスが限界突破します（計99個迄）</v>
      </c>
      <c r="M157" s="65" t="s">
        <v>207</v>
      </c>
    </row>
    <row r="158" spans="1:13" x14ac:dyDescent="0.15">
      <c r="A158" s="65" t="s">
        <v>206</v>
      </c>
      <c r="B158" s="65">
        <v>13101</v>
      </c>
      <c r="C158" s="65"/>
      <c r="D158" s="65"/>
      <c r="E158" s="65">
        <v>9</v>
      </c>
      <c r="F158" s="65"/>
      <c r="G158" s="65"/>
      <c r="H158" s="65">
        <v>0</v>
      </c>
      <c r="I158" s="65">
        <v>25</v>
      </c>
      <c r="J158" s="118" t="s">
        <v>188</v>
      </c>
      <c r="K158" s="119" t="str">
        <f>VLOOKUP(I158,[7]stage_hints!$A:$C,3,FALSE)</f>
        <v>スキルレベルアップ</v>
      </c>
      <c r="L158" s="120" t="str">
        <f>VLOOKUP(I158,[7]stage_hints!$A:$D,4,FALSE)</f>
        <v>「クリスタルのりんご」を強化に使うと_x000D_スキルレベルを上げることができます</v>
      </c>
      <c r="M158" s="65" t="s">
        <v>207</v>
      </c>
    </row>
    <row r="159" spans="1:13" x14ac:dyDescent="0.15">
      <c r="A159" s="65" t="s">
        <v>206</v>
      </c>
      <c r="B159" s="65">
        <v>13101</v>
      </c>
      <c r="C159" s="65"/>
      <c r="D159" s="65"/>
      <c r="E159" s="65">
        <v>9</v>
      </c>
      <c r="F159" s="65"/>
      <c r="G159" s="65"/>
      <c r="H159" s="65">
        <v>0</v>
      </c>
      <c r="I159" s="65">
        <v>26</v>
      </c>
      <c r="J159" s="118" t="s">
        <v>188</v>
      </c>
      <c r="K159" s="119" t="str">
        <f>VLOOKUP(I159,[7]stage_hints!$A:$C,3,FALSE)</f>
        <v>スキルレベルの効果</v>
      </c>
      <c r="L159" s="120" t="str">
        <f>VLOOKUP(I159,[7]stage_hints!$A:$D,4,FALSE)</f>
        <v>スキルレベルが上がると_x000D_短いターンでスキルを使うことができます</v>
      </c>
      <c r="M159" s="65" t="s">
        <v>207</v>
      </c>
    </row>
    <row r="160" spans="1:13" x14ac:dyDescent="0.15">
      <c r="A160" s="65" t="s">
        <v>206</v>
      </c>
      <c r="B160" s="65">
        <v>13101</v>
      </c>
      <c r="C160" s="65"/>
      <c r="D160" s="65"/>
      <c r="E160" s="65">
        <v>9</v>
      </c>
      <c r="F160" s="65"/>
      <c r="G160" s="65"/>
      <c r="H160" s="65">
        <v>0</v>
      </c>
      <c r="I160" s="65">
        <v>27</v>
      </c>
      <c r="J160" s="118" t="s">
        <v>188</v>
      </c>
      <c r="K160" s="119" t="str">
        <f>VLOOKUP(I160,[7]stage_hints!$A:$C,3,FALSE)</f>
        <v>ホーム画面からデッキを編成</v>
      </c>
      <c r="L160" s="120" t="str">
        <f>VLOOKUP(I160,[7]stage_hints!$A:$D,4,FALSE)</f>
        <v>ホーム画面でユニットを長押しすると_x000D_すぐにパーティ編成に移動できます</v>
      </c>
      <c r="M160" s="65" t="s">
        <v>207</v>
      </c>
    </row>
    <row r="161" spans="1:13" x14ac:dyDescent="0.15">
      <c r="A161" s="65" t="s">
        <v>206</v>
      </c>
      <c r="B161" s="65">
        <v>13101</v>
      </c>
      <c r="C161" s="65"/>
      <c r="D161" s="65"/>
      <c r="E161" s="65">
        <v>9</v>
      </c>
      <c r="F161" s="65"/>
      <c r="G161" s="65"/>
      <c r="H161" s="65">
        <v>0</v>
      </c>
      <c r="I161" s="65">
        <v>28</v>
      </c>
      <c r="J161" s="118" t="s">
        <v>188</v>
      </c>
      <c r="K161" s="119" t="str">
        <f>VLOOKUP(I161,[7]stage_hints!$A:$C,3,FALSE)</f>
        <v>ステータス情報は長押しで</v>
      </c>
      <c r="L161" s="120" t="str">
        <f>VLOOKUP(I161,[7]stage_hints!$A:$D,4,FALSE)</f>
        <v>ユニットのアイコンを長押しすると_x000D_ステータス情報を確認することができます</v>
      </c>
      <c r="M161" s="65" t="s">
        <v>207</v>
      </c>
    </row>
    <row r="162" spans="1:13" x14ac:dyDescent="0.15">
      <c r="A162" s="65" t="s">
        <v>206</v>
      </c>
      <c r="B162" s="65">
        <v>13101</v>
      </c>
      <c r="C162" s="65"/>
      <c r="D162" s="65"/>
      <c r="E162" s="65">
        <v>9</v>
      </c>
      <c r="F162" s="65"/>
      <c r="G162" s="65"/>
      <c r="H162" s="65">
        <v>0</v>
      </c>
      <c r="I162" s="65">
        <v>29</v>
      </c>
      <c r="J162" s="118" t="s">
        <v>188</v>
      </c>
      <c r="K162" s="119" t="str">
        <f>VLOOKUP(I162,[7]stage_hints!$A:$C,3,FALSE)</f>
        <v>「バグ」のメリット</v>
      </c>
      <c r="L162" s="120" t="str">
        <f>VLOOKUP(I162,[7]stage_hints!$A:$D,4,FALSE)</f>
        <v>ユニットの「バグ」を増やすと_x000D_報酬をもらえる確率がアップします</v>
      </c>
      <c r="M162" s="65" t="s">
        <v>207</v>
      </c>
    </row>
    <row r="163" spans="1:13" x14ac:dyDescent="0.15">
      <c r="A163" s="65" t="s">
        <v>206</v>
      </c>
      <c r="B163" s="65">
        <v>13101</v>
      </c>
      <c r="C163" s="65"/>
      <c r="D163" s="65"/>
      <c r="E163" s="65">
        <v>9</v>
      </c>
      <c r="F163" s="65"/>
      <c r="G163" s="65"/>
      <c r="H163" s="65">
        <v>0</v>
      </c>
      <c r="I163" s="65">
        <v>30</v>
      </c>
      <c r="J163" s="118" t="s">
        <v>188</v>
      </c>
      <c r="K163" s="119" t="str">
        <f>VLOOKUP(I163,[7]stage_hints!$A:$C,3,FALSE)</f>
        <v>「バグ」の増やし方</v>
      </c>
      <c r="L163" s="120" t="str">
        <f>VLOOKUP(I163,[7]stage_hints!$A:$D,4,FALSE)</f>
        <v>同じユニット同士を強化で合成すると_x000D_「バグ」を増やすことができます</v>
      </c>
      <c r="M163" s="65" t="s">
        <v>207</v>
      </c>
    </row>
    <row r="164" spans="1:13" x14ac:dyDescent="0.15">
      <c r="A164" s="65" t="s">
        <v>206</v>
      </c>
      <c r="B164" s="65">
        <v>13101</v>
      </c>
      <c r="C164" s="65"/>
      <c r="D164" s="65"/>
      <c r="E164" s="65">
        <v>9</v>
      </c>
      <c r="F164" s="65"/>
      <c r="G164" s="65"/>
      <c r="H164" s="65">
        <v>0</v>
      </c>
      <c r="I164" s="65">
        <v>31</v>
      </c>
      <c r="J164" s="118" t="s">
        <v>188</v>
      </c>
      <c r="K164" s="119" t="str">
        <f>VLOOKUP(I164,[7]stage_hints!$A:$C,3,FALSE)</f>
        <v>イベントはお知らせでチェック</v>
      </c>
      <c r="L164" s="120" t="str">
        <f>VLOOKUP(I164,[7]stage_hints!$A:$D,4,FALSE)</f>
        <v>イベント限定ユニットを取り忘れないように_x000D_お知らせをこまめにチェックしましょう</v>
      </c>
      <c r="M164" s="65" t="s">
        <v>207</v>
      </c>
    </row>
    <row r="165" spans="1:13" x14ac:dyDescent="0.15">
      <c r="A165" s="65" t="s">
        <v>206</v>
      </c>
      <c r="B165" s="65">
        <v>13101</v>
      </c>
      <c r="C165" s="65"/>
      <c r="D165" s="65"/>
      <c r="E165" s="65">
        <v>9</v>
      </c>
      <c r="F165" s="65"/>
      <c r="G165" s="65"/>
      <c r="H165" s="65">
        <v>0</v>
      </c>
      <c r="I165" s="65">
        <v>38</v>
      </c>
      <c r="J165" s="118" t="s">
        <v>188</v>
      </c>
      <c r="K165" s="119" t="str">
        <f>VLOOKUP(I165,[7]stage_hints!$A:$C,3,FALSE)</f>
        <v>お邪魔パネルはフィーバーで</v>
      </c>
      <c r="L165" s="120" t="str">
        <f>VLOOKUP(I165,[7]stage_hints!$A:$D,4,FALSE)</f>
        <v>つなげて消せない「お邪魔パネル」は_x000D_フィーバーで下へ落としてしまいましょう</v>
      </c>
      <c r="M165" s="65" t="s">
        <v>207</v>
      </c>
    </row>
    <row r="166" spans="1:13" x14ac:dyDescent="0.15">
      <c r="A166" s="65" t="s">
        <v>206</v>
      </c>
      <c r="B166" s="65">
        <v>13101</v>
      </c>
      <c r="C166" s="65"/>
      <c r="D166" s="65"/>
      <c r="E166" s="65">
        <v>9</v>
      </c>
      <c r="F166" s="65"/>
      <c r="G166" s="65"/>
      <c r="H166" s="65">
        <v>0</v>
      </c>
      <c r="I166" s="65">
        <v>39</v>
      </c>
      <c r="J166" s="118" t="s">
        <v>188</v>
      </c>
      <c r="K166" s="119" t="str">
        <f>VLOOKUP(I166,[7]stage_hints!$A:$C,3,FALSE)</f>
        <v>システム適合者を確認</v>
      </c>
      <c r="L166" s="120" t="str">
        <f>VLOOKUP(I166,[7]stage_hints!$A:$D,4,FALSE)</f>
        <v>ALICEが 「アナタ」を呼んでいます</v>
      </c>
      <c r="M166" s="65" t="s">
        <v>207</v>
      </c>
    </row>
    <row r="167" spans="1:13" x14ac:dyDescent="0.15">
      <c r="A167" s="65" t="s">
        <v>206</v>
      </c>
      <c r="B167" s="65">
        <v>13101</v>
      </c>
      <c r="C167" s="65"/>
      <c r="D167" s="65"/>
      <c r="E167" s="65">
        <v>10</v>
      </c>
      <c r="F167" s="65"/>
      <c r="G167" s="65"/>
      <c r="H167" s="65">
        <v>0</v>
      </c>
      <c r="I167" s="65">
        <v>3</v>
      </c>
      <c r="J167" s="118" t="s">
        <v>188</v>
      </c>
      <c r="K167" s="119" t="str">
        <f>VLOOKUP(I167,[7]stage_hints!$A:$C,3,FALSE)</f>
        <v>ターゲット</v>
      </c>
      <c r="L167" s="120" t="str">
        <f>VLOOKUP(I167,[7]stage_hints!$A:$D,4,FALSE)</f>
        <v>敵ユニットをタップすると_x000D_その敵を狙い撃ちできます</v>
      </c>
      <c r="M167" s="65" t="s">
        <v>207</v>
      </c>
    </row>
    <row r="168" spans="1:13" x14ac:dyDescent="0.15">
      <c r="A168" s="65" t="s">
        <v>206</v>
      </c>
      <c r="B168" s="65">
        <v>13101</v>
      </c>
      <c r="C168" s="65"/>
      <c r="D168" s="65"/>
      <c r="E168" s="65">
        <v>10</v>
      </c>
      <c r="F168" s="65"/>
      <c r="G168" s="65"/>
      <c r="H168" s="65">
        <v>0</v>
      </c>
      <c r="I168" s="65">
        <v>5</v>
      </c>
      <c r="J168" s="118" t="s">
        <v>188</v>
      </c>
      <c r="K168" s="119" t="str">
        <f>VLOOKUP(I168,[7]stage_hints!$A:$C,3,FALSE)</f>
        <v>ユニット強化でレベルアップ</v>
      </c>
      <c r="L168" s="120" t="str">
        <f>VLOOKUP(I168,[7]stage_hints!$A:$D,4,FALSE)</f>
        <v>「ユニット強化」でレベルアップすると_x000D_勝てない敵にも勝てるようになります</v>
      </c>
      <c r="M168" s="65" t="s">
        <v>207</v>
      </c>
    </row>
    <row r="169" spans="1:13" x14ac:dyDescent="0.15">
      <c r="A169" s="65" t="s">
        <v>206</v>
      </c>
      <c r="B169" s="65">
        <v>13101</v>
      </c>
      <c r="C169" s="65"/>
      <c r="D169" s="65"/>
      <c r="E169" s="65">
        <v>10</v>
      </c>
      <c r="F169" s="65"/>
      <c r="G169" s="65"/>
      <c r="H169" s="65">
        <v>0</v>
      </c>
      <c r="I169" s="65">
        <v>6</v>
      </c>
      <c r="J169" s="118" t="s">
        <v>188</v>
      </c>
      <c r="K169" s="119" t="str">
        <f>VLOOKUP(I169,[7]stage_hints!$A:$C,3,FALSE)</f>
        <v>ユニット強化の属性ボーナス</v>
      </c>
      <c r="L169" s="120" t="str">
        <f>VLOOKUP(I169,[7]stage_hints!$A:$D,4,FALSE)</f>
        <v>同属性ユニットを強化素材にすると_x000D_経験値が多くもらえます</v>
      </c>
      <c r="M169" s="65" t="s">
        <v>207</v>
      </c>
    </row>
    <row r="170" spans="1:13" x14ac:dyDescent="0.15">
      <c r="A170" s="65" t="s">
        <v>206</v>
      </c>
      <c r="B170" s="65">
        <v>13101</v>
      </c>
      <c r="C170" s="65"/>
      <c r="D170" s="65"/>
      <c r="E170" s="65">
        <v>10</v>
      </c>
      <c r="F170" s="65"/>
      <c r="G170" s="65"/>
      <c r="H170" s="65">
        <v>0</v>
      </c>
      <c r="I170" s="65">
        <v>7</v>
      </c>
      <c r="J170" s="118" t="s">
        <v>188</v>
      </c>
      <c r="K170" s="119" t="str">
        <f>VLOOKUP(I170,[7]stage_hints!$A:$C,3,FALSE)</f>
        <v>メタルダックで経験値を獲得</v>
      </c>
      <c r="L170" s="120" t="str">
        <f>VLOOKUP(I170,[7]stage_hints!$A:$D,4,FALSE)</f>
        <v>「メタルなアヒル」を強化素材にすると_x000D_大量の経験値がもらえます</v>
      </c>
      <c r="M170" s="65" t="s">
        <v>207</v>
      </c>
    </row>
    <row r="171" spans="1:13" x14ac:dyDescent="0.15">
      <c r="A171" s="65" t="s">
        <v>206</v>
      </c>
      <c r="B171" s="65">
        <v>13101</v>
      </c>
      <c r="C171" s="65"/>
      <c r="D171" s="65"/>
      <c r="E171" s="65">
        <v>10</v>
      </c>
      <c r="F171" s="65"/>
      <c r="G171" s="65"/>
      <c r="H171" s="65">
        <v>0</v>
      </c>
      <c r="I171" s="65">
        <v>8</v>
      </c>
      <c r="J171" s="118" t="s">
        <v>188</v>
      </c>
      <c r="K171" s="119" t="str">
        <f>VLOOKUP(I171,[7]stage_hints!$A:$C,3,FALSE)</f>
        <v>ゲリラクエストは要チェック</v>
      </c>
      <c r="L171" s="120" t="str">
        <f>VLOOKUP(I171,[7]stage_hints!$A:$D,4,FALSE)</f>
        <v>時間限定の「アヒル捕獲作戦」では_x000D_経験値素材ユニットが多く手に入ります</v>
      </c>
      <c r="M171" s="65" t="s">
        <v>207</v>
      </c>
    </row>
    <row r="172" spans="1:13" x14ac:dyDescent="0.15">
      <c r="A172" s="65" t="s">
        <v>206</v>
      </c>
      <c r="B172" s="65">
        <v>13101</v>
      </c>
      <c r="C172" s="65"/>
      <c r="D172" s="65"/>
      <c r="E172" s="65">
        <v>10</v>
      </c>
      <c r="F172" s="65"/>
      <c r="G172" s="65"/>
      <c r="H172" s="65">
        <v>0</v>
      </c>
      <c r="I172" s="65">
        <v>9</v>
      </c>
      <c r="J172" s="118" t="s">
        <v>188</v>
      </c>
      <c r="K172" s="119" t="str">
        <f>VLOOKUP(I172,[7]stage_hints!$A:$C,3,FALSE)</f>
        <v>ゴールドダックでビットを獲得</v>
      </c>
      <c r="L172" s="120" t="str">
        <f>VLOOKUP(I172,[7]stage_hints!$A:$D,4,FALSE)</f>
        <v>「ゴールドなアヒル」を売却すると_x000D_大量のビットがもらえます</v>
      </c>
      <c r="M172" s="65" t="s">
        <v>207</v>
      </c>
    </row>
    <row r="173" spans="1:13" x14ac:dyDescent="0.15">
      <c r="A173" s="65" t="s">
        <v>206</v>
      </c>
      <c r="B173" s="65">
        <v>13101</v>
      </c>
      <c r="C173" s="65"/>
      <c r="D173" s="65"/>
      <c r="E173" s="65">
        <v>10</v>
      </c>
      <c r="F173" s="65"/>
      <c r="G173" s="65"/>
      <c r="H173" s="65">
        <v>0</v>
      </c>
      <c r="I173" s="65">
        <v>10</v>
      </c>
      <c r="J173" s="118" t="s">
        <v>188</v>
      </c>
      <c r="K173" s="119" t="str">
        <f>VLOOKUP(I173,[7]stage_hints!$A:$C,3,FALSE)</f>
        <v>土日に大量のビットを獲得</v>
      </c>
      <c r="L173" s="120" t="str">
        <f>VLOOKUP(I173,[7]stage_hints!$A:$D,4,FALSE)</f>
        <v>土日限定の「ゴールドカジノ」では_x000D_売却素材ユニットが多く手に入ります</v>
      </c>
      <c r="M173" s="65" t="s">
        <v>207</v>
      </c>
    </row>
    <row r="174" spans="1:13" x14ac:dyDescent="0.15">
      <c r="A174" s="65" t="s">
        <v>206</v>
      </c>
      <c r="B174" s="65">
        <v>13101</v>
      </c>
      <c r="C174" s="65"/>
      <c r="D174" s="65"/>
      <c r="E174" s="65">
        <v>10</v>
      </c>
      <c r="F174" s="65"/>
      <c r="G174" s="65"/>
      <c r="H174" s="65">
        <v>0</v>
      </c>
      <c r="I174" s="65">
        <v>11</v>
      </c>
      <c r="J174" s="118" t="s">
        <v>188</v>
      </c>
      <c r="K174" s="119" t="str">
        <f>VLOOKUP(I174,[7]stage_hints!$A:$C,3,FALSE)</f>
        <v>ランク解放クエスト</v>
      </c>
      <c r="L174" s="120" t="str">
        <f>VLOOKUP(I174,[7]stage_hints!$A:$D,4,FALSE)</f>
        <v>一定ランクに到達すると_x000D_報酬付きのランク開放クエストが現れます</v>
      </c>
      <c r="M174" s="65" t="s">
        <v>207</v>
      </c>
    </row>
    <row r="175" spans="1:13" x14ac:dyDescent="0.15">
      <c r="A175" s="65" t="s">
        <v>206</v>
      </c>
      <c r="B175" s="65">
        <v>13101</v>
      </c>
      <c r="C175" s="65"/>
      <c r="D175" s="65"/>
      <c r="E175" s="65">
        <v>10</v>
      </c>
      <c r="F175" s="65"/>
      <c r="G175" s="65"/>
      <c r="H175" s="65">
        <v>0</v>
      </c>
      <c r="I175" s="65">
        <v>12</v>
      </c>
      <c r="J175" s="118" t="s">
        <v>188</v>
      </c>
      <c r="K175" s="119" t="str">
        <f>VLOOKUP(I175,[7]stage_hints!$A:$C,3,FALSE)</f>
        <v>ユニットのお気に入り登録</v>
      </c>
      <c r="L175" s="120" t="str">
        <f>VLOOKUP(I175,[7]stage_hints!$A:$D,4,FALSE)</f>
        <v>大事なユニットを誤って消さないように_x000D_フォルダから「お気に入り登録」しましょう</v>
      </c>
      <c r="M175" s="65" t="s">
        <v>207</v>
      </c>
    </row>
    <row r="176" spans="1:13" x14ac:dyDescent="0.15">
      <c r="A176" s="65" t="s">
        <v>206</v>
      </c>
      <c r="B176" s="65">
        <v>13101</v>
      </c>
      <c r="C176" s="65"/>
      <c r="D176" s="65"/>
      <c r="E176" s="65">
        <v>10</v>
      </c>
      <c r="F176" s="65"/>
      <c r="G176" s="65"/>
      <c r="H176" s="65">
        <v>0</v>
      </c>
      <c r="I176" s="65">
        <v>13</v>
      </c>
      <c r="J176" s="118" t="s">
        <v>188</v>
      </c>
      <c r="K176" s="119" t="str">
        <f>VLOOKUP(I176,[7]stage_hints!$A:$C,3,FALSE)</f>
        <v>ユニットの覚醒</v>
      </c>
      <c r="L176" s="120" t="str">
        <f>VLOOKUP(I176,[7]stage_hints!$A:$D,4,FALSE)</f>
        <v>ユニットを覚醒させると_x000D_比べものにならない強さが手に入ります</v>
      </c>
      <c r="M176" s="65" t="s">
        <v>207</v>
      </c>
    </row>
    <row r="177" spans="1:13" x14ac:dyDescent="0.15">
      <c r="A177" s="65" t="s">
        <v>206</v>
      </c>
      <c r="B177" s="65">
        <v>13101</v>
      </c>
      <c r="C177" s="65"/>
      <c r="D177" s="65"/>
      <c r="E177" s="65">
        <v>10</v>
      </c>
      <c r="F177" s="65"/>
      <c r="G177" s="65"/>
      <c r="H177" s="65">
        <v>0</v>
      </c>
      <c r="I177" s="65">
        <v>14</v>
      </c>
      <c r="J177" s="118" t="s">
        <v>188</v>
      </c>
      <c r="K177" s="119" t="str">
        <f>VLOOKUP(I177,[7]stage_hints!$A:$C,3,FALSE)</f>
        <v>覚醒するにはレベルを最大に</v>
      </c>
      <c r="L177" s="120" t="str">
        <f>VLOOKUP(I177,[7]stage_hints!$A:$D,4,FALSE)</f>
        <v>覚醒するにはユニットのレベルを_x000D_最大まで上げる必要があります</v>
      </c>
      <c r="M177" s="65" t="s">
        <v>207</v>
      </c>
    </row>
    <row r="178" spans="1:13" x14ac:dyDescent="0.15">
      <c r="A178" s="65" t="s">
        <v>206</v>
      </c>
      <c r="B178" s="65">
        <v>13101</v>
      </c>
      <c r="C178" s="65"/>
      <c r="D178" s="65"/>
      <c r="E178" s="65">
        <v>10</v>
      </c>
      <c r="F178" s="65"/>
      <c r="G178" s="65"/>
      <c r="H178" s="65">
        <v>0</v>
      </c>
      <c r="I178" s="65">
        <v>15</v>
      </c>
      <c r="J178" s="118" t="s">
        <v>188</v>
      </c>
      <c r="K178" s="119" t="str">
        <f>VLOOKUP(I178,[7]stage_hints!$A:$C,3,FALSE)</f>
        <v>覚醒素材を獲得</v>
      </c>
      <c r="L178" s="120" t="str">
        <f>VLOOKUP(I178,[7]stage_hints!$A:$D,4,FALSE)</f>
        <v>「曜日クエスト」では_x000D_ユニットの覚醒に必要な素材が手に入ります</v>
      </c>
      <c r="M178" s="65" t="s">
        <v>207</v>
      </c>
    </row>
    <row r="179" spans="1:13" x14ac:dyDescent="0.15">
      <c r="A179" s="65" t="s">
        <v>206</v>
      </c>
      <c r="B179" s="65">
        <v>13101</v>
      </c>
      <c r="C179" s="65"/>
      <c r="D179" s="65"/>
      <c r="E179" s="65">
        <v>10</v>
      </c>
      <c r="F179" s="65"/>
      <c r="G179" s="65"/>
      <c r="H179" s="65">
        <v>0</v>
      </c>
      <c r="I179" s="65">
        <v>16</v>
      </c>
      <c r="J179" s="118" t="s">
        <v>188</v>
      </c>
      <c r="K179" s="119" t="str">
        <f>VLOOKUP(I179,[7]stage_hints!$A:$C,3,FALSE)</f>
        <v>マルチプレイのメリット（その1）</v>
      </c>
      <c r="L179" s="120" t="str">
        <f>VLOOKUP(I179,[7]stage_hints!$A:$D,4,FALSE)</f>
        <v>他のプレイヤーとマルチプレイで遊ぶと_x000D_ポリゴンがもらえます（100人まで）</v>
      </c>
      <c r="M179" s="65" t="s">
        <v>207</v>
      </c>
    </row>
    <row r="180" spans="1:13" x14ac:dyDescent="0.15">
      <c r="A180" s="65" t="s">
        <v>206</v>
      </c>
      <c r="B180" s="65">
        <v>13101</v>
      </c>
      <c r="C180" s="65"/>
      <c r="D180" s="65"/>
      <c r="E180" s="65">
        <v>10</v>
      </c>
      <c r="F180" s="65"/>
      <c r="G180" s="65"/>
      <c r="H180" s="65">
        <v>0</v>
      </c>
      <c r="I180" s="65">
        <v>17</v>
      </c>
      <c r="J180" s="118" t="s">
        <v>188</v>
      </c>
      <c r="K180" s="119" t="str">
        <f>VLOOKUP(I180,[7]stage_hints!$A:$C,3,FALSE)</f>
        <v>リンクガチャ</v>
      </c>
      <c r="L180" s="120" t="str">
        <f>VLOOKUP(I180,[7]stage_hints!$A:$D,4,FALSE)</f>
        <v>無料のリンクガチャを回して_x000D_経験値素材や売却素材を獲得しましょう</v>
      </c>
      <c r="M180" s="65" t="s">
        <v>207</v>
      </c>
    </row>
    <row r="181" spans="1:13" x14ac:dyDescent="0.15">
      <c r="A181" s="65" t="s">
        <v>206</v>
      </c>
      <c r="B181" s="65">
        <v>13101</v>
      </c>
      <c r="C181" s="65"/>
      <c r="D181" s="65"/>
      <c r="E181" s="65">
        <v>10</v>
      </c>
      <c r="F181" s="65"/>
      <c r="G181" s="65"/>
      <c r="H181" s="65">
        <v>0</v>
      </c>
      <c r="I181" s="65">
        <v>18</v>
      </c>
      <c r="J181" s="118" t="s">
        <v>188</v>
      </c>
      <c r="K181" s="119" t="str">
        <f>VLOOKUP(I181,[7]stage_hints!$A:$C,3,FALSE)</f>
        <v>マルチプレイのメリット（その2）</v>
      </c>
      <c r="L181" s="120" t="str">
        <f>VLOOKUP(I181,[7]stage_hints!$A:$D,4,FALSE)</f>
        <v>マルチプレイならリンクが2倍もらえます_x000D_リンクガチャをたくさん回しましょう</v>
      </c>
      <c r="M181" s="65" t="s">
        <v>207</v>
      </c>
    </row>
    <row r="182" spans="1:13" x14ac:dyDescent="0.15">
      <c r="A182" s="65" t="s">
        <v>206</v>
      </c>
      <c r="B182" s="65">
        <v>13101</v>
      </c>
      <c r="C182" s="65"/>
      <c r="D182" s="65"/>
      <c r="E182" s="65">
        <v>10</v>
      </c>
      <c r="F182" s="65"/>
      <c r="G182" s="65"/>
      <c r="H182" s="65">
        <v>0</v>
      </c>
      <c r="I182" s="65">
        <v>19</v>
      </c>
      <c r="J182" s="118" t="s">
        <v>188</v>
      </c>
      <c r="K182" s="119" t="str">
        <f>VLOOKUP(I182,[7]stage_hints!$A:$C,3,FALSE)</f>
        <v>ソロ専用チャレンジタワー</v>
      </c>
      <c r="L182" s="120" t="str">
        <f>VLOOKUP(I182,[7]stage_hints!$A:$D,4,FALSE)</f>
        <v>ソロ専用の「チャレンジタワー」では_x000D_各フロアごとにクリア報酬がもらえます</v>
      </c>
      <c r="M182" s="65" t="s">
        <v>207</v>
      </c>
    </row>
    <row r="183" spans="1:13" x14ac:dyDescent="0.15">
      <c r="A183" s="65" t="s">
        <v>206</v>
      </c>
      <c r="B183" s="65">
        <v>13101</v>
      </c>
      <c r="C183" s="65"/>
      <c r="D183" s="65"/>
      <c r="E183" s="65">
        <v>10</v>
      </c>
      <c r="F183" s="65"/>
      <c r="G183" s="65"/>
      <c r="H183" s="65">
        <v>0</v>
      </c>
      <c r="I183" s="65">
        <v>20</v>
      </c>
      <c r="J183" s="118" t="s">
        <v>188</v>
      </c>
      <c r="K183" s="119" t="str">
        <f>VLOOKUP(I183,[7]stage_hints!$A:$C,3,FALSE)</f>
        <v>マルチプレイのメリット（その3）</v>
      </c>
      <c r="L183" s="120" t="str">
        <f>VLOOKUP(I183,[7]stage_hints!$A:$D,4,FALSE)</f>
        <v>マルチプレイへの参加はエナジー消費ゼロ_x000D_いつでも好きなだけ遊ぶことができます</v>
      </c>
      <c r="M183" s="65" t="s">
        <v>207</v>
      </c>
    </row>
    <row r="184" spans="1:13" x14ac:dyDescent="0.15">
      <c r="A184" s="65" t="s">
        <v>206</v>
      </c>
      <c r="B184" s="65">
        <v>13101</v>
      </c>
      <c r="C184" s="65"/>
      <c r="D184" s="65"/>
      <c r="E184" s="65">
        <v>10</v>
      </c>
      <c r="F184" s="65"/>
      <c r="G184" s="65"/>
      <c r="H184" s="65">
        <v>0</v>
      </c>
      <c r="I184" s="65">
        <v>21</v>
      </c>
      <c r="J184" s="118" t="s">
        <v>188</v>
      </c>
      <c r="K184" s="119" t="str">
        <f>VLOOKUP(I184,[7]stage_hints!$A:$C,3,FALSE)</f>
        <v>スキルを有効に</v>
      </c>
      <c r="L184" s="120" t="str">
        <f>VLOOKUP(I184,[7]stage_hints!$A:$D,4,FALSE)</f>
        <v>ターン経過でユニットのスキルが使えます_x000D_強力スキルでバトルを有利に進めましょう</v>
      </c>
      <c r="M184" s="65" t="s">
        <v>207</v>
      </c>
    </row>
    <row r="185" spans="1:13" x14ac:dyDescent="0.15">
      <c r="A185" s="65" t="s">
        <v>206</v>
      </c>
      <c r="B185" s="65">
        <v>13101</v>
      </c>
      <c r="C185" s="65"/>
      <c r="D185" s="65"/>
      <c r="E185" s="65">
        <v>10</v>
      </c>
      <c r="F185" s="65"/>
      <c r="G185" s="65"/>
      <c r="H185" s="65">
        <v>0</v>
      </c>
      <c r="I185" s="65">
        <v>22</v>
      </c>
      <c r="J185" s="118" t="s">
        <v>188</v>
      </c>
      <c r="K185" s="119" t="str">
        <f>VLOOKUP(I185,[7]stage_hints!$A:$C,3,FALSE)</f>
        <v>フィーバーで一発逆転（その1）</v>
      </c>
      <c r="L185" s="120" t="str">
        <f>VLOOKUP(I185,[7]stage_hints!$A:$D,4,FALSE)</f>
        <v>フィーバーは攻撃と回復を兼ね備えます_x000D_ピンチからの一発逆転を狙いましょう</v>
      </c>
      <c r="M185" s="65" t="s">
        <v>207</v>
      </c>
    </row>
    <row r="186" spans="1:13" x14ac:dyDescent="0.15">
      <c r="A186" s="65" t="s">
        <v>206</v>
      </c>
      <c r="B186" s="65">
        <v>13101</v>
      </c>
      <c r="C186" s="65"/>
      <c r="D186" s="65"/>
      <c r="E186" s="65">
        <v>10</v>
      </c>
      <c r="F186" s="65"/>
      <c r="G186" s="65"/>
      <c r="H186" s="65">
        <v>0</v>
      </c>
      <c r="I186" s="65">
        <v>23</v>
      </c>
      <c r="J186" s="118" t="s">
        <v>188</v>
      </c>
      <c r="K186" s="119" t="str">
        <f>VLOOKUP(I186,[7]stage_hints!$A:$C,3,FALSE)</f>
        <v>フィーバーで一発逆転（その2）</v>
      </c>
      <c r="L186" s="120" t="str">
        <f>VLOOKUP(I186,[7]stage_hints!$A:$D,4,FALSE)</f>
        <v>フィーバー中は虹色のボムパネルを狙って_x000D_画面上のパネルを一気に破壊しましょう</v>
      </c>
      <c r="M186" s="65" t="s">
        <v>207</v>
      </c>
    </row>
    <row r="187" spans="1:13" x14ac:dyDescent="0.15">
      <c r="A187" s="65" t="s">
        <v>206</v>
      </c>
      <c r="B187" s="65">
        <v>13101</v>
      </c>
      <c r="C187" s="65"/>
      <c r="D187" s="65"/>
      <c r="E187" s="65">
        <v>10</v>
      </c>
      <c r="F187" s="65"/>
      <c r="G187" s="65"/>
      <c r="H187" s="65">
        <v>0</v>
      </c>
      <c r="I187" s="65">
        <v>24</v>
      </c>
      <c r="J187" s="118" t="s">
        <v>188</v>
      </c>
      <c r="K187" s="119" t="str">
        <f>VLOOKUP(I187,[7]stage_hints!$A:$C,3,FALSE)</f>
        <v>りんごを使って限界突破</v>
      </c>
      <c r="L187" s="120" t="str">
        <f>VLOOKUP(I187,[7]stage_hints!$A:$D,4,FALSE)</f>
        <v>赤りんご(攻撃力) 青りんご(回復力)_x000D_緑りんご(体力)をユニット強化に使うと_x000D_ステータスが限界突破します（計99個迄）</v>
      </c>
      <c r="M187" s="65" t="s">
        <v>207</v>
      </c>
    </row>
    <row r="188" spans="1:13" x14ac:dyDescent="0.15">
      <c r="A188" s="65" t="s">
        <v>206</v>
      </c>
      <c r="B188" s="65">
        <v>13101</v>
      </c>
      <c r="C188" s="65"/>
      <c r="D188" s="65"/>
      <c r="E188" s="65">
        <v>10</v>
      </c>
      <c r="F188" s="65"/>
      <c r="G188" s="65"/>
      <c r="H188" s="65">
        <v>0</v>
      </c>
      <c r="I188" s="65">
        <v>25</v>
      </c>
      <c r="J188" s="118" t="s">
        <v>188</v>
      </c>
      <c r="K188" s="119" t="str">
        <f>VLOOKUP(I188,[7]stage_hints!$A:$C,3,FALSE)</f>
        <v>スキルレベルアップ</v>
      </c>
      <c r="L188" s="120" t="str">
        <f>VLOOKUP(I188,[7]stage_hints!$A:$D,4,FALSE)</f>
        <v>「クリスタルのりんご」を強化に使うと_x000D_スキルレベルを上げることができます</v>
      </c>
      <c r="M188" s="65" t="s">
        <v>207</v>
      </c>
    </row>
    <row r="189" spans="1:13" x14ac:dyDescent="0.15">
      <c r="A189" s="65" t="s">
        <v>206</v>
      </c>
      <c r="B189" s="65">
        <v>13101</v>
      </c>
      <c r="C189" s="65"/>
      <c r="D189" s="65"/>
      <c r="E189" s="65">
        <v>10</v>
      </c>
      <c r="F189" s="65"/>
      <c r="G189" s="65"/>
      <c r="H189" s="65">
        <v>0</v>
      </c>
      <c r="I189" s="65">
        <v>26</v>
      </c>
      <c r="J189" s="118" t="s">
        <v>188</v>
      </c>
      <c r="K189" s="119" t="str">
        <f>VLOOKUP(I189,[7]stage_hints!$A:$C,3,FALSE)</f>
        <v>スキルレベルの効果</v>
      </c>
      <c r="L189" s="120" t="str">
        <f>VLOOKUP(I189,[7]stage_hints!$A:$D,4,FALSE)</f>
        <v>スキルレベルが上がると_x000D_短いターンでスキルを使うことができます</v>
      </c>
      <c r="M189" s="65" t="s">
        <v>207</v>
      </c>
    </row>
    <row r="190" spans="1:13" x14ac:dyDescent="0.15">
      <c r="A190" s="65" t="s">
        <v>206</v>
      </c>
      <c r="B190" s="65">
        <v>13101</v>
      </c>
      <c r="C190" s="65"/>
      <c r="D190" s="65"/>
      <c r="E190" s="65">
        <v>10</v>
      </c>
      <c r="F190" s="65"/>
      <c r="G190" s="65"/>
      <c r="H190" s="65">
        <v>0</v>
      </c>
      <c r="I190" s="65">
        <v>27</v>
      </c>
      <c r="J190" s="118" t="s">
        <v>188</v>
      </c>
      <c r="K190" s="119" t="str">
        <f>VLOOKUP(I190,[7]stage_hints!$A:$C,3,FALSE)</f>
        <v>ホーム画面からデッキを編成</v>
      </c>
      <c r="L190" s="120" t="str">
        <f>VLOOKUP(I190,[7]stage_hints!$A:$D,4,FALSE)</f>
        <v>ホーム画面でユニットを長押しすると_x000D_すぐにパーティ編成に移動できます</v>
      </c>
      <c r="M190" s="65" t="s">
        <v>207</v>
      </c>
    </row>
    <row r="191" spans="1:13" x14ac:dyDescent="0.15">
      <c r="A191" s="65" t="s">
        <v>206</v>
      </c>
      <c r="B191" s="65">
        <v>13101</v>
      </c>
      <c r="C191" s="65"/>
      <c r="D191" s="65"/>
      <c r="E191" s="65">
        <v>10</v>
      </c>
      <c r="F191" s="65"/>
      <c r="G191" s="65"/>
      <c r="H191" s="65">
        <v>0</v>
      </c>
      <c r="I191" s="65">
        <v>28</v>
      </c>
      <c r="J191" s="118" t="s">
        <v>188</v>
      </c>
      <c r="K191" s="119" t="str">
        <f>VLOOKUP(I191,[7]stage_hints!$A:$C,3,FALSE)</f>
        <v>ステータス情報は長押しで</v>
      </c>
      <c r="L191" s="120" t="str">
        <f>VLOOKUP(I191,[7]stage_hints!$A:$D,4,FALSE)</f>
        <v>ユニットのアイコンを長押しすると_x000D_ステータス情報を確認することができます</v>
      </c>
      <c r="M191" s="65" t="s">
        <v>207</v>
      </c>
    </row>
    <row r="192" spans="1:13" x14ac:dyDescent="0.15">
      <c r="A192" s="65" t="s">
        <v>206</v>
      </c>
      <c r="B192" s="65">
        <v>13101</v>
      </c>
      <c r="C192" s="65"/>
      <c r="D192" s="65"/>
      <c r="E192" s="65">
        <v>10</v>
      </c>
      <c r="F192" s="65"/>
      <c r="G192" s="65"/>
      <c r="H192" s="65">
        <v>0</v>
      </c>
      <c r="I192" s="65">
        <v>29</v>
      </c>
      <c r="J192" s="118" t="s">
        <v>188</v>
      </c>
      <c r="K192" s="119" t="str">
        <f>VLOOKUP(I192,[7]stage_hints!$A:$C,3,FALSE)</f>
        <v>「バグ」のメリット</v>
      </c>
      <c r="L192" s="120" t="str">
        <f>VLOOKUP(I192,[7]stage_hints!$A:$D,4,FALSE)</f>
        <v>ユニットの「バグ」を増やすと_x000D_報酬をもらえる確率がアップします</v>
      </c>
      <c r="M192" s="65" t="s">
        <v>207</v>
      </c>
    </row>
    <row r="193" spans="1:13" x14ac:dyDescent="0.15">
      <c r="A193" s="65" t="s">
        <v>206</v>
      </c>
      <c r="B193" s="65">
        <v>13101</v>
      </c>
      <c r="C193" s="65"/>
      <c r="D193" s="65"/>
      <c r="E193" s="65">
        <v>10</v>
      </c>
      <c r="F193" s="65"/>
      <c r="G193" s="65"/>
      <c r="H193" s="65">
        <v>0</v>
      </c>
      <c r="I193" s="65">
        <v>30</v>
      </c>
      <c r="J193" s="118" t="s">
        <v>188</v>
      </c>
      <c r="K193" s="119" t="str">
        <f>VLOOKUP(I193,[7]stage_hints!$A:$C,3,FALSE)</f>
        <v>「バグ」の増やし方</v>
      </c>
      <c r="L193" s="120" t="str">
        <f>VLOOKUP(I193,[7]stage_hints!$A:$D,4,FALSE)</f>
        <v>同じユニット同士を強化で合成すると_x000D_「バグ」を増やすことができます</v>
      </c>
      <c r="M193" s="65" t="s">
        <v>207</v>
      </c>
    </row>
    <row r="194" spans="1:13" x14ac:dyDescent="0.15">
      <c r="A194" s="65" t="s">
        <v>206</v>
      </c>
      <c r="B194" s="65">
        <v>13101</v>
      </c>
      <c r="C194" s="65"/>
      <c r="D194" s="65"/>
      <c r="E194" s="65">
        <v>10</v>
      </c>
      <c r="F194" s="65"/>
      <c r="G194" s="65"/>
      <c r="H194" s="65">
        <v>0</v>
      </c>
      <c r="I194" s="65">
        <v>31</v>
      </c>
      <c r="J194" s="118" t="s">
        <v>188</v>
      </c>
      <c r="K194" s="119" t="str">
        <f>VLOOKUP(I194,[7]stage_hints!$A:$C,3,FALSE)</f>
        <v>イベントはお知らせでチェック</v>
      </c>
      <c r="L194" s="120" t="str">
        <f>VLOOKUP(I194,[7]stage_hints!$A:$D,4,FALSE)</f>
        <v>イベント限定ユニットを取り忘れないように_x000D_お知らせをこまめにチェックしましょう</v>
      </c>
      <c r="M194" s="65" t="s">
        <v>207</v>
      </c>
    </row>
    <row r="195" spans="1:13" x14ac:dyDescent="0.15">
      <c r="A195" s="65" t="s">
        <v>206</v>
      </c>
      <c r="B195" s="65">
        <v>13101</v>
      </c>
      <c r="C195" s="65"/>
      <c r="D195" s="65"/>
      <c r="E195" s="65">
        <v>10</v>
      </c>
      <c r="F195" s="65"/>
      <c r="G195" s="65"/>
      <c r="H195" s="65">
        <v>0</v>
      </c>
      <c r="I195" s="65">
        <v>38</v>
      </c>
      <c r="J195" s="118" t="s">
        <v>188</v>
      </c>
      <c r="K195" s="119" t="str">
        <f>VLOOKUP(I195,[7]stage_hints!$A:$C,3,FALSE)</f>
        <v>お邪魔パネルはフィーバーで</v>
      </c>
      <c r="L195" s="120" t="str">
        <f>VLOOKUP(I195,[7]stage_hints!$A:$D,4,FALSE)</f>
        <v>つなげて消せない「お邪魔パネル」は_x000D_フィーバーで下へ落としてしまいましょう</v>
      </c>
      <c r="M195" s="65" t="s">
        <v>207</v>
      </c>
    </row>
    <row r="196" spans="1:13" x14ac:dyDescent="0.15">
      <c r="A196" s="65" t="s">
        <v>206</v>
      </c>
      <c r="B196" s="65">
        <v>13101</v>
      </c>
      <c r="C196" s="65"/>
      <c r="D196" s="65"/>
      <c r="E196" s="65">
        <v>10</v>
      </c>
      <c r="F196" s="65"/>
      <c r="G196" s="65"/>
      <c r="H196" s="65">
        <v>0</v>
      </c>
      <c r="I196" s="65">
        <v>39</v>
      </c>
      <c r="J196" s="118" t="s">
        <v>188</v>
      </c>
      <c r="K196" s="119" t="str">
        <f>VLOOKUP(I196,[7]stage_hints!$A:$C,3,FALSE)</f>
        <v>システム適合者を確認</v>
      </c>
      <c r="L196" s="120" t="str">
        <f>VLOOKUP(I196,[7]stage_hints!$A:$D,4,FALSE)</f>
        <v>ALICEが 「アナタ」を呼んでいます</v>
      </c>
      <c r="M196" s="65" t="s">
        <v>207</v>
      </c>
    </row>
    <row r="197" spans="1:13" x14ac:dyDescent="0.15">
      <c r="A197" s="65" t="s">
        <v>206</v>
      </c>
      <c r="B197" s="65">
        <v>13101</v>
      </c>
      <c r="C197" s="65"/>
      <c r="D197" s="65"/>
      <c r="E197" s="65">
        <v>11</v>
      </c>
      <c r="F197" s="65"/>
      <c r="G197" s="65"/>
      <c r="H197" s="65">
        <v>0</v>
      </c>
      <c r="I197" s="65">
        <v>3</v>
      </c>
      <c r="J197" s="118" t="s">
        <v>188</v>
      </c>
      <c r="K197" s="119" t="str">
        <f>VLOOKUP(I197,[7]stage_hints!$A:$C,3,FALSE)</f>
        <v>ターゲット</v>
      </c>
      <c r="L197" s="120" t="str">
        <f>VLOOKUP(I197,[7]stage_hints!$A:$D,4,FALSE)</f>
        <v>敵ユニットをタップすると_x000D_その敵を狙い撃ちできます</v>
      </c>
      <c r="M197" s="65" t="s">
        <v>207</v>
      </c>
    </row>
    <row r="198" spans="1:13" x14ac:dyDescent="0.15">
      <c r="A198" s="65" t="s">
        <v>206</v>
      </c>
      <c r="B198" s="65">
        <v>13101</v>
      </c>
      <c r="C198" s="65"/>
      <c r="D198" s="65"/>
      <c r="E198" s="65">
        <v>11</v>
      </c>
      <c r="F198" s="65"/>
      <c r="G198" s="65"/>
      <c r="H198" s="65">
        <v>0</v>
      </c>
      <c r="I198" s="65">
        <v>5</v>
      </c>
      <c r="J198" s="118" t="s">
        <v>188</v>
      </c>
      <c r="K198" s="119" t="str">
        <f>VLOOKUP(I198,[7]stage_hints!$A:$C,3,FALSE)</f>
        <v>ユニット強化でレベルアップ</v>
      </c>
      <c r="L198" s="120" t="str">
        <f>VLOOKUP(I198,[7]stage_hints!$A:$D,4,FALSE)</f>
        <v>「ユニット強化」でレベルアップすると_x000D_勝てない敵にも勝てるようになります</v>
      </c>
      <c r="M198" s="65" t="s">
        <v>207</v>
      </c>
    </row>
    <row r="199" spans="1:13" x14ac:dyDescent="0.15">
      <c r="A199" s="65" t="s">
        <v>206</v>
      </c>
      <c r="B199" s="65">
        <v>13101</v>
      </c>
      <c r="C199" s="65"/>
      <c r="D199" s="65"/>
      <c r="E199" s="65">
        <v>11</v>
      </c>
      <c r="F199" s="65"/>
      <c r="G199" s="65"/>
      <c r="H199" s="65">
        <v>0</v>
      </c>
      <c r="I199" s="65">
        <v>6</v>
      </c>
      <c r="J199" s="118" t="s">
        <v>188</v>
      </c>
      <c r="K199" s="119" t="str">
        <f>VLOOKUP(I199,[7]stage_hints!$A:$C,3,FALSE)</f>
        <v>ユニット強化の属性ボーナス</v>
      </c>
      <c r="L199" s="120" t="str">
        <f>VLOOKUP(I199,[7]stage_hints!$A:$D,4,FALSE)</f>
        <v>同属性ユニットを強化素材にすると_x000D_経験値が多くもらえます</v>
      </c>
      <c r="M199" s="65" t="s">
        <v>207</v>
      </c>
    </row>
    <row r="200" spans="1:13" x14ac:dyDescent="0.15">
      <c r="A200" s="65" t="s">
        <v>206</v>
      </c>
      <c r="B200" s="65">
        <v>13101</v>
      </c>
      <c r="C200" s="65"/>
      <c r="D200" s="65"/>
      <c r="E200" s="65">
        <v>11</v>
      </c>
      <c r="F200" s="65"/>
      <c r="G200" s="65"/>
      <c r="H200" s="65">
        <v>0</v>
      </c>
      <c r="I200" s="65">
        <v>7</v>
      </c>
      <c r="J200" s="118" t="s">
        <v>188</v>
      </c>
      <c r="K200" s="119" t="str">
        <f>VLOOKUP(I200,[7]stage_hints!$A:$C,3,FALSE)</f>
        <v>メタルダックで経験値を獲得</v>
      </c>
      <c r="L200" s="120" t="str">
        <f>VLOOKUP(I200,[7]stage_hints!$A:$D,4,FALSE)</f>
        <v>「メタルなアヒル」を強化素材にすると_x000D_大量の経験値がもらえます</v>
      </c>
      <c r="M200" s="65" t="s">
        <v>207</v>
      </c>
    </row>
    <row r="201" spans="1:13" x14ac:dyDescent="0.15">
      <c r="A201" s="65" t="s">
        <v>206</v>
      </c>
      <c r="B201" s="65">
        <v>13101</v>
      </c>
      <c r="C201" s="65"/>
      <c r="D201" s="65"/>
      <c r="E201" s="65">
        <v>11</v>
      </c>
      <c r="F201" s="65"/>
      <c r="G201" s="65"/>
      <c r="H201" s="65">
        <v>0</v>
      </c>
      <c r="I201" s="65">
        <v>8</v>
      </c>
      <c r="J201" s="118" t="s">
        <v>188</v>
      </c>
      <c r="K201" s="119" t="str">
        <f>VLOOKUP(I201,[7]stage_hints!$A:$C,3,FALSE)</f>
        <v>ゲリラクエストは要チェック</v>
      </c>
      <c r="L201" s="120" t="str">
        <f>VLOOKUP(I201,[7]stage_hints!$A:$D,4,FALSE)</f>
        <v>時間限定の「アヒル捕獲作戦」では_x000D_経験値素材ユニットが多く手に入ります</v>
      </c>
      <c r="M201" s="65" t="s">
        <v>207</v>
      </c>
    </row>
    <row r="202" spans="1:13" x14ac:dyDescent="0.15">
      <c r="A202" s="65" t="s">
        <v>206</v>
      </c>
      <c r="B202" s="65">
        <v>13101</v>
      </c>
      <c r="C202" s="65"/>
      <c r="D202" s="65"/>
      <c r="E202" s="65">
        <v>11</v>
      </c>
      <c r="F202" s="65"/>
      <c r="G202" s="65"/>
      <c r="H202" s="65">
        <v>0</v>
      </c>
      <c r="I202" s="65">
        <v>9</v>
      </c>
      <c r="J202" s="118" t="s">
        <v>188</v>
      </c>
      <c r="K202" s="119" t="str">
        <f>VLOOKUP(I202,[7]stage_hints!$A:$C,3,FALSE)</f>
        <v>ゴールドダックでビットを獲得</v>
      </c>
      <c r="L202" s="120" t="str">
        <f>VLOOKUP(I202,[7]stage_hints!$A:$D,4,FALSE)</f>
        <v>「ゴールドなアヒル」を売却すると_x000D_大量のビットがもらえます</v>
      </c>
      <c r="M202" s="65" t="s">
        <v>207</v>
      </c>
    </row>
    <row r="203" spans="1:13" x14ac:dyDescent="0.15">
      <c r="A203" s="65" t="s">
        <v>206</v>
      </c>
      <c r="B203" s="65">
        <v>13101</v>
      </c>
      <c r="C203" s="65"/>
      <c r="D203" s="65"/>
      <c r="E203" s="65">
        <v>11</v>
      </c>
      <c r="F203" s="65"/>
      <c r="G203" s="65"/>
      <c r="H203" s="65">
        <v>0</v>
      </c>
      <c r="I203" s="65">
        <v>10</v>
      </c>
      <c r="J203" s="118" t="s">
        <v>188</v>
      </c>
      <c r="K203" s="119" t="str">
        <f>VLOOKUP(I203,[7]stage_hints!$A:$C,3,FALSE)</f>
        <v>土日に大量のビットを獲得</v>
      </c>
      <c r="L203" s="120" t="str">
        <f>VLOOKUP(I203,[7]stage_hints!$A:$D,4,FALSE)</f>
        <v>土日限定の「ゴールドカジノ」では_x000D_売却素材ユニットが多く手に入ります</v>
      </c>
      <c r="M203" s="65" t="s">
        <v>207</v>
      </c>
    </row>
    <row r="204" spans="1:13" x14ac:dyDescent="0.15">
      <c r="A204" s="65" t="s">
        <v>206</v>
      </c>
      <c r="B204" s="65">
        <v>13101</v>
      </c>
      <c r="C204" s="65"/>
      <c r="D204" s="65"/>
      <c r="E204" s="65">
        <v>11</v>
      </c>
      <c r="F204" s="65"/>
      <c r="G204" s="65"/>
      <c r="H204" s="65">
        <v>0</v>
      </c>
      <c r="I204" s="65">
        <v>11</v>
      </c>
      <c r="J204" s="118" t="s">
        <v>188</v>
      </c>
      <c r="K204" s="119" t="str">
        <f>VLOOKUP(I204,[7]stage_hints!$A:$C,3,FALSE)</f>
        <v>ランク解放クエスト</v>
      </c>
      <c r="L204" s="120" t="str">
        <f>VLOOKUP(I204,[7]stage_hints!$A:$D,4,FALSE)</f>
        <v>一定ランクに到達すると_x000D_報酬付きのランク開放クエストが現れます</v>
      </c>
      <c r="M204" s="65" t="s">
        <v>207</v>
      </c>
    </row>
    <row r="205" spans="1:13" x14ac:dyDescent="0.15">
      <c r="A205" s="65" t="s">
        <v>206</v>
      </c>
      <c r="B205" s="65">
        <v>13101</v>
      </c>
      <c r="C205" s="65"/>
      <c r="D205" s="65"/>
      <c r="E205" s="65">
        <v>11</v>
      </c>
      <c r="F205" s="65"/>
      <c r="G205" s="65"/>
      <c r="H205" s="65">
        <v>0</v>
      </c>
      <c r="I205" s="65">
        <v>12</v>
      </c>
      <c r="J205" s="118" t="s">
        <v>188</v>
      </c>
      <c r="K205" s="119" t="str">
        <f>VLOOKUP(I205,[7]stage_hints!$A:$C,3,FALSE)</f>
        <v>ユニットのお気に入り登録</v>
      </c>
      <c r="L205" s="120" t="str">
        <f>VLOOKUP(I205,[7]stage_hints!$A:$D,4,FALSE)</f>
        <v>大事なユニットを誤って消さないように_x000D_フォルダから「お気に入り登録」しましょう</v>
      </c>
      <c r="M205" s="65" t="s">
        <v>207</v>
      </c>
    </row>
    <row r="206" spans="1:13" x14ac:dyDescent="0.15">
      <c r="A206" s="65" t="s">
        <v>206</v>
      </c>
      <c r="B206" s="65">
        <v>13101</v>
      </c>
      <c r="C206" s="65"/>
      <c r="D206" s="65"/>
      <c r="E206" s="65">
        <v>11</v>
      </c>
      <c r="F206" s="65"/>
      <c r="G206" s="65"/>
      <c r="H206" s="65">
        <v>0</v>
      </c>
      <c r="I206" s="65">
        <v>13</v>
      </c>
      <c r="J206" s="118" t="s">
        <v>188</v>
      </c>
      <c r="K206" s="119" t="str">
        <f>VLOOKUP(I206,[7]stage_hints!$A:$C,3,FALSE)</f>
        <v>ユニットの覚醒</v>
      </c>
      <c r="L206" s="120" t="str">
        <f>VLOOKUP(I206,[7]stage_hints!$A:$D,4,FALSE)</f>
        <v>ユニットを覚醒させると_x000D_比べものにならない強さが手に入ります</v>
      </c>
      <c r="M206" s="65" t="s">
        <v>207</v>
      </c>
    </row>
    <row r="207" spans="1:13" x14ac:dyDescent="0.15">
      <c r="A207" s="65" t="s">
        <v>206</v>
      </c>
      <c r="B207" s="65">
        <v>13101</v>
      </c>
      <c r="C207" s="65"/>
      <c r="D207" s="65"/>
      <c r="E207" s="65">
        <v>11</v>
      </c>
      <c r="F207" s="65"/>
      <c r="G207" s="65"/>
      <c r="H207" s="65">
        <v>0</v>
      </c>
      <c r="I207" s="65">
        <v>14</v>
      </c>
      <c r="J207" s="118" t="s">
        <v>188</v>
      </c>
      <c r="K207" s="119" t="str">
        <f>VLOOKUP(I207,[7]stage_hints!$A:$C,3,FALSE)</f>
        <v>覚醒するにはレベルを最大に</v>
      </c>
      <c r="L207" s="120" t="str">
        <f>VLOOKUP(I207,[7]stage_hints!$A:$D,4,FALSE)</f>
        <v>覚醒するにはユニットのレベルを_x000D_最大まで上げる必要があります</v>
      </c>
      <c r="M207" s="65" t="s">
        <v>207</v>
      </c>
    </row>
    <row r="208" spans="1:13" x14ac:dyDescent="0.15">
      <c r="A208" s="65" t="s">
        <v>206</v>
      </c>
      <c r="B208" s="65">
        <v>13101</v>
      </c>
      <c r="C208" s="65"/>
      <c r="D208" s="65"/>
      <c r="E208" s="65">
        <v>11</v>
      </c>
      <c r="F208" s="65"/>
      <c r="G208" s="65"/>
      <c r="H208" s="65">
        <v>0</v>
      </c>
      <c r="I208" s="65">
        <v>15</v>
      </c>
      <c r="J208" s="118" t="s">
        <v>188</v>
      </c>
      <c r="K208" s="119" t="str">
        <f>VLOOKUP(I208,[7]stage_hints!$A:$C,3,FALSE)</f>
        <v>覚醒素材を獲得</v>
      </c>
      <c r="L208" s="120" t="str">
        <f>VLOOKUP(I208,[7]stage_hints!$A:$D,4,FALSE)</f>
        <v>「曜日クエスト」では_x000D_ユニットの覚醒に必要な素材が手に入ります</v>
      </c>
      <c r="M208" s="65" t="s">
        <v>207</v>
      </c>
    </row>
    <row r="209" spans="1:13" x14ac:dyDescent="0.15">
      <c r="A209" s="65" t="s">
        <v>206</v>
      </c>
      <c r="B209" s="65">
        <v>13101</v>
      </c>
      <c r="C209" s="65"/>
      <c r="D209" s="65"/>
      <c r="E209" s="65">
        <v>11</v>
      </c>
      <c r="F209" s="65"/>
      <c r="G209" s="65"/>
      <c r="H209" s="65">
        <v>0</v>
      </c>
      <c r="I209" s="65">
        <v>16</v>
      </c>
      <c r="J209" s="118" t="s">
        <v>188</v>
      </c>
      <c r="K209" s="119" t="str">
        <f>VLOOKUP(I209,[7]stage_hints!$A:$C,3,FALSE)</f>
        <v>マルチプレイのメリット（その1）</v>
      </c>
      <c r="L209" s="120" t="str">
        <f>VLOOKUP(I209,[7]stage_hints!$A:$D,4,FALSE)</f>
        <v>他のプレイヤーとマルチプレイで遊ぶと_x000D_ポリゴンがもらえます（100人まで）</v>
      </c>
      <c r="M209" s="65" t="s">
        <v>207</v>
      </c>
    </row>
    <row r="210" spans="1:13" x14ac:dyDescent="0.15">
      <c r="A210" s="65" t="s">
        <v>206</v>
      </c>
      <c r="B210" s="65">
        <v>13101</v>
      </c>
      <c r="C210" s="65"/>
      <c r="D210" s="65"/>
      <c r="E210" s="65">
        <v>11</v>
      </c>
      <c r="F210" s="65"/>
      <c r="G210" s="65"/>
      <c r="H210" s="65">
        <v>0</v>
      </c>
      <c r="I210" s="65">
        <v>17</v>
      </c>
      <c r="J210" s="118" t="s">
        <v>188</v>
      </c>
      <c r="K210" s="119" t="str">
        <f>VLOOKUP(I210,[7]stage_hints!$A:$C,3,FALSE)</f>
        <v>リンクガチャ</v>
      </c>
      <c r="L210" s="120" t="str">
        <f>VLOOKUP(I210,[7]stage_hints!$A:$D,4,FALSE)</f>
        <v>無料のリンクガチャを回して_x000D_経験値素材や売却素材を獲得しましょう</v>
      </c>
      <c r="M210" s="65" t="s">
        <v>207</v>
      </c>
    </row>
    <row r="211" spans="1:13" x14ac:dyDescent="0.15">
      <c r="A211" s="65" t="s">
        <v>206</v>
      </c>
      <c r="B211" s="65">
        <v>13101</v>
      </c>
      <c r="C211" s="65"/>
      <c r="D211" s="65"/>
      <c r="E211" s="65">
        <v>11</v>
      </c>
      <c r="F211" s="65"/>
      <c r="G211" s="65"/>
      <c r="H211" s="65">
        <v>0</v>
      </c>
      <c r="I211" s="65">
        <v>18</v>
      </c>
      <c r="J211" s="118" t="s">
        <v>188</v>
      </c>
      <c r="K211" s="119" t="str">
        <f>VLOOKUP(I211,[7]stage_hints!$A:$C,3,FALSE)</f>
        <v>マルチプレイのメリット（その2）</v>
      </c>
      <c r="L211" s="120" t="str">
        <f>VLOOKUP(I211,[7]stage_hints!$A:$D,4,FALSE)</f>
        <v>マルチプレイならリンクが2倍もらえます_x000D_リンクガチャをたくさん回しましょう</v>
      </c>
      <c r="M211" s="65" t="s">
        <v>207</v>
      </c>
    </row>
    <row r="212" spans="1:13" x14ac:dyDescent="0.15">
      <c r="A212" s="65" t="s">
        <v>206</v>
      </c>
      <c r="B212" s="65">
        <v>13101</v>
      </c>
      <c r="C212" s="65"/>
      <c r="D212" s="65"/>
      <c r="E212" s="65">
        <v>11</v>
      </c>
      <c r="F212" s="65"/>
      <c r="G212" s="65"/>
      <c r="H212" s="65">
        <v>0</v>
      </c>
      <c r="I212" s="65">
        <v>19</v>
      </c>
      <c r="J212" s="118" t="s">
        <v>188</v>
      </c>
      <c r="K212" s="119" t="str">
        <f>VLOOKUP(I212,[7]stage_hints!$A:$C,3,FALSE)</f>
        <v>ソロ専用チャレンジタワー</v>
      </c>
      <c r="L212" s="120" t="str">
        <f>VLOOKUP(I212,[7]stage_hints!$A:$D,4,FALSE)</f>
        <v>ソロ専用の「チャレンジタワー」では_x000D_各フロアごとにクリア報酬がもらえます</v>
      </c>
      <c r="M212" s="65" t="s">
        <v>207</v>
      </c>
    </row>
    <row r="213" spans="1:13" x14ac:dyDescent="0.15">
      <c r="A213" s="65" t="s">
        <v>206</v>
      </c>
      <c r="B213" s="65">
        <v>13101</v>
      </c>
      <c r="C213" s="65"/>
      <c r="D213" s="65"/>
      <c r="E213" s="65">
        <v>11</v>
      </c>
      <c r="F213" s="65"/>
      <c r="G213" s="65"/>
      <c r="H213" s="65">
        <v>0</v>
      </c>
      <c r="I213" s="65">
        <v>20</v>
      </c>
      <c r="J213" s="118" t="s">
        <v>188</v>
      </c>
      <c r="K213" s="119" t="str">
        <f>VLOOKUP(I213,[7]stage_hints!$A:$C,3,FALSE)</f>
        <v>マルチプレイのメリット（その3）</v>
      </c>
      <c r="L213" s="120" t="str">
        <f>VLOOKUP(I213,[7]stage_hints!$A:$D,4,FALSE)</f>
        <v>マルチプレイへの参加はエナジー消費ゼロ_x000D_いつでも好きなだけ遊ぶことができます</v>
      </c>
      <c r="M213" s="65" t="s">
        <v>207</v>
      </c>
    </row>
    <row r="214" spans="1:13" x14ac:dyDescent="0.15">
      <c r="A214" s="65" t="s">
        <v>206</v>
      </c>
      <c r="B214" s="65">
        <v>13101</v>
      </c>
      <c r="C214" s="65"/>
      <c r="D214" s="65"/>
      <c r="E214" s="65">
        <v>11</v>
      </c>
      <c r="F214" s="65"/>
      <c r="G214" s="65"/>
      <c r="H214" s="65">
        <v>0</v>
      </c>
      <c r="I214" s="65">
        <v>21</v>
      </c>
      <c r="J214" s="118" t="s">
        <v>188</v>
      </c>
      <c r="K214" s="119" t="str">
        <f>VLOOKUP(I214,[7]stage_hints!$A:$C,3,FALSE)</f>
        <v>スキルを有効に</v>
      </c>
      <c r="L214" s="120" t="str">
        <f>VLOOKUP(I214,[7]stage_hints!$A:$D,4,FALSE)</f>
        <v>ターン経過でユニットのスキルが使えます_x000D_強力スキルでバトルを有利に進めましょう</v>
      </c>
      <c r="M214" s="65" t="s">
        <v>207</v>
      </c>
    </row>
    <row r="215" spans="1:13" x14ac:dyDescent="0.15">
      <c r="A215" s="65" t="s">
        <v>206</v>
      </c>
      <c r="B215" s="65">
        <v>13101</v>
      </c>
      <c r="C215" s="65"/>
      <c r="D215" s="65"/>
      <c r="E215" s="65">
        <v>11</v>
      </c>
      <c r="F215" s="65"/>
      <c r="G215" s="65"/>
      <c r="H215" s="65">
        <v>0</v>
      </c>
      <c r="I215" s="65">
        <v>22</v>
      </c>
      <c r="J215" s="118" t="s">
        <v>188</v>
      </c>
      <c r="K215" s="119" t="str">
        <f>VLOOKUP(I215,[7]stage_hints!$A:$C,3,FALSE)</f>
        <v>フィーバーで一発逆転（その1）</v>
      </c>
      <c r="L215" s="120" t="str">
        <f>VLOOKUP(I215,[7]stage_hints!$A:$D,4,FALSE)</f>
        <v>フィーバーは攻撃と回復を兼ね備えます_x000D_ピンチからの一発逆転を狙いましょう</v>
      </c>
      <c r="M215" s="65" t="s">
        <v>207</v>
      </c>
    </row>
    <row r="216" spans="1:13" x14ac:dyDescent="0.15">
      <c r="A216" s="65" t="s">
        <v>206</v>
      </c>
      <c r="B216" s="65">
        <v>13101</v>
      </c>
      <c r="C216" s="65"/>
      <c r="D216" s="65"/>
      <c r="E216" s="65">
        <v>11</v>
      </c>
      <c r="F216" s="65"/>
      <c r="G216" s="65"/>
      <c r="H216" s="65">
        <v>0</v>
      </c>
      <c r="I216" s="65">
        <v>23</v>
      </c>
      <c r="J216" s="118" t="s">
        <v>188</v>
      </c>
      <c r="K216" s="119" t="str">
        <f>VLOOKUP(I216,[7]stage_hints!$A:$C,3,FALSE)</f>
        <v>フィーバーで一発逆転（その2）</v>
      </c>
      <c r="L216" s="120" t="str">
        <f>VLOOKUP(I216,[7]stage_hints!$A:$D,4,FALSE)</f>
        <v>フィーバー中は虹色のボムパネルを狙って_x000D_画面上のパネルを一気に破壊しましょう</v>
      </c>
      <c r="M216" s="65" t="s">
        <v>207</v>
      </c>
    </row>
    <row r="217" spans="1:13" x14ac:dyDescent="0.15">
      <c r="A217" s="65" t="s">
        <v>206</v>
      </c>
      <c r="B217" s="65">
        <v>13101</v>
      </c>
      <c r="C217" s="65"/>
      <c r="D217" s="65"/>
      <c r="E217" s="65">
        <v>11</v>
      </c>
      <c r="F217" s="65"/>
      <c r="G217" s="65"/>
      <c r="H217" s="65">
        <v>0</v>
      </c>
      <c r="I217" s="65">
        <v>24</v>
      </c>
      <c r="J217" s="118" t="s">
        <v>188</v>
      </c>
      <c r="K217" s="119" t="str">
        <f>VLOOKUP(I217,[7]stage_hints!$A:$C,3,FALSE)</f>
        <v>りんごを使って限界突破</v>
      </c>
      <c r="L217" s="120" t="str">
        <f>VLOOKUP(I217,[7]stage_hints!$A:$D,4,FALSE)</f>
        <v>赤りんご(攻撃力) 青りんご(回復力)_x000D_緑りんご(体力)をユニット強化に使うと_x000D_ステータスが限界突破します（計99個迄）</v>
      </c>
      <c r="M217" s="65" t="s">
        <v>207</v>
      </c>
    </row>
    <row r="218" spans="1:13" x14ac:dyDescent="0.15">
      <c r="A218" s="65" t="s">
        <v>206</v>
      </c>
      <c r="B218" s="65">
        <v>13101</v>
      </c>
      <c r="C218" s="65"/>
      <c r="D218" s="65"/>
      <c r="E218" s="65">
        <v>11</v>
      </c>
      <c r="F218" s="65"/>
      <c r="G218" s="65"/>
      <c r="H218" s="65">
        <v>0</v>
      </c>
      <c r="I218" s="65">
        <v>25</v>
      </c>
      <c r="J218" s="118" t="s">
        <v>188</v>
      </c>
      <c r="K218" s="119" t="str">
        <f>VLOOKUP(I218,[7]stage_hints!$A:$C,3,FALSE)</f>
        <v>スキルレベルアップ</v>
      </c>
      <c r="L218" s="120" t="str">
        <f>VLOOKUP(I218,[7]stage_hints!$A:$D,4,FALSE)</f>
        <v>「クリスタルのりんご」を強化に使うと_x000D_スキルレベルを上げることができます</v>
      </c>
      <c r="M218" s="65" t="s">
        <v>207</v>
      </c>
    </row>
    <row r="219" spans="1:13" x14ac:dyDescent="0.15">
      <c r="A219" s="65" t="s">
        <v>206</v>
      </c>
      <c r="B219" s="65">
        <v>13101</v>
      </c>
      <c r="C219" s="65"/>
      <c r="D219" s="65"/>
      <c r="E219" s="65">
        <v>11</v>
      </c>
      <c r="F219" s="65"/>
      <c r="G219" s="65"/>
      <c r="H219" s="65">
        <v>0</v>
      </c>
      <c r="I219" s="65">
        <v>26</v>
      </c>
      <c r="J219" s="118" t="s">
        <v>188</v>
      </c>
      <c r="K219" s="119" t="str">
        <f>VLOOKUP(I219,[7]stage_hints!$A:$C,3,FALSE)</f>
        <v>スキルレベルの効果</v>
      </c>
      <c r="L219" s="120" t="str">
        <f>VLOOKUP(I219,[7]stage_hints!$A:$D,4,FALSE)</f>
        <v>スキルレベルが上がると_x000D_短いターンでスキルを使うことができます</v>
      </c>
      <c r="M219" s="65" t="s">
        <v>207</v>
      </c>
    </row>
    <row r="220" spans="1:13" x14ac:dyDescent="0.15">
      <c r="A220" s="65" t="s">
        <v>206</v>
      </c>
      <c r="B220" s="65">
        <v>13101</v>
      </c>
      <c r="C220" s="65"/>
      <c r="D220" s="65"/>
      <c r="E220" s="65">
        <v>11</v>
      </c>
      <c r="F220" s="65"/>
      <c r="G220" s="65"/>
      <c r="H220" s="65">
        <v>0</v>
      </c>
      <c r="I220" s="65">
        <v>27</v>
      </c>
      <c r="J220" s="118" t="s">
        <v>188</v>
      </c>
      <c r="K220" s="119" t="str">
        <f>VLOOKUP(I220,[7]stage_hints!$A:$C,3,FALSE)</f>
        <v>ホーム画面からデッキを編成</v>
      </c>
      <c r="L220" s="120" t="str">
        <f>VLOOKUP(I220,[7]stage_hints!$A:$D,4,FALSE)</f>
        <v>ホーム画面でユニットを長押しすると_x000D_すぐにパーティ編成に移動できます</v>
      </c>
      <c r="M220" s="65" t="s">
        <v>207</v>
      </c>
    </row>
    <row r="221" spans="1:13" x14ac:dyDescent="0.15">
      <c r="A221" s="65" t="s">
        <v>206</v>
      </c>
      <c r="B221" s="65">
        <v>13101</v>
      </c>
      <c r="C221" s="65"/>
      <c r="D221" s="65"/>
      <c r="E221" s="65">
        <v>11</v>
      </c>
      <c r="F221" s="65"/>
      <c r="G221" s="65"/>
      <c r="H221" s="65">
        <v>0</v>
      </c>
      <c r="I221" s="65">
        <v>28</v>
      </c>
      <c r="J221" s="118" t="s">
        <v>188</v>
      </c>
      <c r="K221" s="119" t="str">
        <f>VLOOKUP(I221,[7]stage_hints!$A:$C,3,FALSE)</f>
        <v>ステータス情報は長押しで</v>
      </c>
      <c r="L221" s="120" t="str">
        <f>VLOOKUP(I221,[7]stage_hints!$A:$D,4,FALSE)</f>
        <v>ユニットのアイコンを長押しすると_x000D_ステータス情報を確認することができます</v>
      </c>
      <c r="M221" s="65" t="s">
        <v>207</v>
      </c>
    </row>
    <row r="222" spans="1:13" x14ac:dyDescent="0.15">
      <c r="A222" s="65" t="s">
        <v>206</v>
      </c>
      <c r="B222" s="65">
        <v>13101</v>
      </c>
      <c r="C222" s="65"/>
      <c r="D222" s="65"/>
      <c r="E222" s="65">
        <v>11</v>
      </c>
      <c r="F222" s="65"/>
      <c r="G222" s="65"/>
      <c r="H222" s="65">
        <v>0</v>
      </c>
      <c r="I222" s="65">
        <v>29</v>
      </c>
      <c r="J222" s="118" t="s">
        <v>188</v>
      </c>
      <c r="K222" s="119" t="str">
        <f>VLOOKUP(I222,[7]stage_hints!$A:$C,3,FALSE)</f>
        <v>「バグ」のメリット</v>
      </c>
      <c r="L222" s="120" t="str">
        <f>VLOOKUP(I222,[7]stage_hints!$A:$D,4,FALSE)</f>
        <v>ユニットの「バグ」を増やすと_x000D_報酬をもらえる確率がアップします</v>
      </c>
      <c r="M222" s="65" t="s">
        <v>207</v>
      </c>
    </row>
    <row r="223" spans="1:13" x14ac:dyDescent="0.15">
      <c r="A223" s="65" t="s">
        <v>206</v>
      </c>
      <c r="B223" s="65">
        <v>13101</v>
      </c>
      <c r="C223" s="65"/>
      <c r="D223" s="65"/>
      <c r="E223" s="65">
        <v>11</v>
      </c>
      <c r="F223" s="65"/>
      <c r="G223" s="65"/>
      <c r="H223" s="65">
        <v>0</v>
      </c>
      <c r="I223" s="65">
        <v>30</v>
      </c>
      <c r="J223" s="118" t="s">
        <v>188</v>
      </c>
      <c r="K223" s="119" t="str">
        <f>VLOOKUP(I223,[7]stage_hints!$A:$C,3,FALSE)</f>
        <v>「バグ」の増やし方</v>
      </c>
      <c r="L223" s="120" t="str">
        <f>VLOOKUP(I223,[7]stage_hints!$A:$D,4,FALSE)</f>
        <v>同じユニット同士を強化で合成すると_x000D_「バグ」を増やすことができます</v>
      </c>
      <c r="M223" s="65" t="s">
        <v>207</v>
      </c>
    </row>
    <row r="224" spans="1:13" x14ac:dyDescent="0.15">
      <c r="A224" s="65" t="s">
        <v>206</v>
      </c>
      <c r="B224" s="65">
        <v>13101</v>
      </c>
      <c r="C224" s="65"/>
      <c r="D224" s="65"/>
      <c r="E224" s="65">
        <v>11</v>
      </c>
      <c r="F224" s="65"/>
      <c r="G224" s="65"/>
      <c r="H224" s="65">
        <v>0</v>
      </c>
      <c r="I224" s="65">
        <v>31</v>
      </c>
      <c r="J224" s="118" t="s">
        <v>188</v>
      </c>
      <c r="K224" s="119" t="str">
        <f>VLOOKUP(I224,[7]stage_hints!$A:$C,3,FALSE)</f>
        <v>イベントはお知らせでチェック</v>
      </c>
      <c r="L224" s="120" t="str">
        <f>VLOOKUP(I224,[7]stage_hints!$A:$D,4,FALSE)</f>
        <v>イベント限定ユニットを取り忘れないように_x000D_お知らせをこまめにチェックしましょう</v>
      </c>
      <c r="M224" s="65" t="s">
        <v>207</v>
      </c>
    </row>
    <row r="225" spans="1:13" x14ac:dyDescent="0.15">
      <c r="A225" s="65" t="s">
        <v>206</v>
      </c>
      <c r="B225" s="65">
        <v>13101</v>
      </c>
      <c r="C225" s="65"/>
      <c r="D225" s="65"/>
      <c r="E225" s="65">
        <v>11</v>
      </c>
      <c r="F225" s="65"/>
      <c r="G225" s="65"/>
      <c r="H225" s="65">
        <v>0</v>
      </c>
      <c r="I225" s="65">
        <v>38</v>
      </c>
      <c r="J225" s="118" t="s">
        <v>188</v>
      </c>
      <c r="K225" s="119" t="str">
        <f>VLOOKUP(I225,[7]stage_hints!$A:$C,3,FALSE)</f>
        <v>お邪魔パネルはフィーバーで</v>
      </c>
      <c r="L225" s="120" t="str">
        <f>VLOOKUP(I225,[7]stage_hints!$A:$D,4,FALSE)</f>
        <v>つなげて消せない「お邪魔パネル」は_x000D_フィーバーで下へ落としてしまいましょう</v>
      </c>
      <c r="M225" s="65" t="s">
        <v>207</v>
      </c>
    </row>
    <row r="226" spans="1:13" x14ac:dyDescent="0.15">
      <c r="A226" s="65" t="s">
        <v>206</v>
      </c>
      <c r="B226" s="65">
        <v>13101</v>
      </c>
      <c r="C226" s="65"/>
      <c r="D226" s="65"/>
      <c r="E226" s="65">
        <v>11</v>
      </c>
      <c r="F226" s="65"/>
      <c r="G226" s="65"/>
      <c r="H226" s="65">
        <v>0</v>
      </c>
      <c r="I226" s="65">
        <v>39</v>
      </c>
      <c r="J226" s="118" t="s">
        <v>188</v>
      </c>
      <c r="K226" s="119" t="str">
        <f>VLOOKUP(I226,[7]stage_hints!$A:$C,3,FALSE)</f>
        <v>システム適合者を確認</v>
      </c>
      <c r="L226" s="120" t="str">
        <f>VLOOKUP(I226,[7]stage_hints!$A:$D,4,FALSE)</f>
        <v>ALICEが 「アナタ」を呼んでいます</v>
      </c>
      <c r="M226" s="65" t="s">
        <v>207</v>
      </c>
    </row>
    <row r="227" spans="1:13" x14ac:dyDescent="0.15">
      <c r="A227" s="65" t="s">
        <v>206</v>
      </c>
      <c r="B227" s="65">
        <v>13101</v>
      </c>
      <c r="C227" s="65"/>
      <c r="D227" s="65"/>
      <c r="E227" s="65">
        <v>12</v>
      </c>
      <c r="F227" s="65"/>
      <c r="G227" s="65"/>
      <c r="H227" s="65">
        <v>0</v>
      </c>
      <c r="I227" s="65">
        <v>32</v>
      </c>
      <c r="J227" s="118" t="s">
        <v>188</v>
      </c>
      <c r="K227" s="119" t="str">
        <f>VLOOKUP(I227,[7]stage_hints!$A:$C,3,FALSE)</f>
        <v>敵の連続攻撃には</v>
      </c>
      <c r="L227" s="120" t="str">
        <f>VLOOKUP(I227,[7]stage_hints!$A:$D,4,FALSE)</f>
        <v>カウンタースキルを持つユニットがいれば_x000D_ダメージ回数分の反撃ができます</v>
      </c>
      <c r="M227" s="65" t="s">
        <v>207</v>
      </c>
    </row>
    <row r="228" spans="1:13" x14ac:dyDescent="0.15">
      <c r="A228" s="65" t="s">
        <v>206</v>
      </c>
      <c r="B228" s="65">
        <v>13101</v>
      </c>
      <c r="C228" s="65"/>
      <c r="D228" s="65"/>
      <c r="E228" s="65">
        <v>12</v>
      </c>
      <c r="F228" s="65"/>
      <c r="G228" s="65"/>
      <c r="H228" s="65">
        <v>0</v>
      </c>
      <c r="I228" s="65">
        <v>34</v>
      </c>
      <c r="J228" s="118" t="s">
        <v>188</v>
      </c>
      <c r="K228" s="119" t="str">
        <f>VLOOKUP(I228,[7]stage_hints!$A:$C,3,FALSE)</f>
        <v>ステータスをスキルで下げられたら</v>
      </c>
      <c r="L228" s="120" t="str">
        <f>VLOOKUP(I228,[7]stage_hints!$A:$D,4,FALSE)</f>
        <v>ステータスダウンのスキルを受けたら_x000D_ステータスアップスキルで上書きしましょう</v>
      </c>
      <c r="M228" s="65" t="s">
        <v>207</v>
      </c>
    </row>
    <row r="229" spans="1:13" x14ac:dyDescent="0.15">
      <c r="A229" s="65" t="s">
        <v>206</v>
      </c>
      <c r="B229" s="65">
        <v>13101</v>
      </c>
      <c r="C229" s="65"/>
      <c r="D229" s="65"/>
      <c r="E229" s="65">
        <v>12</v>
      </c>
      <c r="F229" s="65"/>
      <c r="G229" s="65"/>
      <c r="H229" s="65">
        <v>0</v>
      </c>
      <c r="I229" s="65">
        <v>35</v>
      </c>
      <c r="J229" s="118" t="s">
        <v>188</v>
      </c>
      <c r="K229" s="119" t="str">
        <f>VLOOKUP(I229,[7]stage_hints!$A:$C,3,FALSE)</f>
        <v>敵のステータスがスキルで上がったら</v>
      </c>
      <c r="L229" s="120" t="str">
        <f>VLOOKUP(I229,[7]stage_hints!$A:$D,4,FALSE)</f>
        <v>敵のステータスがスキルでアップしたときは_x000D_ステータスダウンスキルで上書きしましょう</v>
      </c>
      <c r="M229" s="65" t="s">
        <v>207</v>
      </c>
    </row>
    <row r="230" spans="1:13" x14ac:dyDescent="0.15">
      <c r="A230" s="65" t="s">
        <v>206</v>
      </c>
      <c r="B230" s="65">
        <v>13101</v>
      </c>
      <c r="C230" s="65"/>
      <c r="D230" s="65"/>
      <c r="E230" s="65">
        <v>12</v>
      </c>
      <c r="F230" s="65"/>
      <c r="G230" s="65"/>
      <c r="H230" s="65">
        <v>0</v>
      </c>
      <c r="I230" s="65">
        <v>36</v>
      </c>
      <c r="J230" s="118" t="s">
        <v>188</v>
      </c>
      <c r="K230" s="119" t="str">
        <f>VLOOKUP(I230,[7]stage_hints!$A:$C,3,FALSE)</f>
        <v>チャレンジタワーのボス</v>
      </c>
      <c r="L230" s="120" t="str">
        <f>VLOOKUP(I230,[7]stage_hints!$A:$D,4,FALSE)</f>
        <v>チャレンジタワーでのみ登場するボスは_x000D_一定確率で獲得することができます</v>
      </c>
      <c r="M230" s="65" t="s">
        <v>207</v>
      </c>
    </row>
    <row r="231" spans="1:13" x14ac:dyDescent="0.15">
      <c r="A231" s="65" t="s">
        <v>206</v>
      </c>
      <c r="B231" s="65">
        <v>13101</v>
      </c>
      <c r="C231" s="65"/>
      <c r="D231" s="65"/>
      <c r="E231" s="65">
        <v>12</v>
      </c>
      <c r="F231" s="65"/>
      <c r="G231" s="65"/>
      <c r="H231" s="65">
        <v>0</v>
      </c>
      <c r="I231" s="65">
        <v>37</v>
      </c>
      <c r="J231" s="118" t="s">
        <v>188</v>
      </c>
      <c r="K231" s="119" t="str">
        <f>VLOOKUP(I231,[7]stage_hints!$A:$C,3,FALSE)</f>
        <v>限界突破値の引き継ぎ</v>
      </c>
      <c r="L231" s="120" t="str">
        <f>VLOOKUP(I231,[7]stage_hints!$A:$D,4,FALSE)</f>
        <v>同じユニットを強化で合成すると_x000D_限界突破値を引き継げます（覚醒前後も可）</v>
      </c>
      <c r="M231" s="65" t="s">
        <v>207</v>
      </c>
    </row>
    <row r="232" spans="1:13" x14ac:dyDescent="0.15">
      <c r="A232" s="65" t="s">
        <v>206</v>
      </c>
      <c r="B232" s="65">
        <v>13101</v>
      </c>
      <c r="C232" s="65"/>
      <c r="D232" s="65"/>
      <c r="E232" s="65">
        <v>12</v>
      </c>
      <c r="F232" s="65"/>
      <c r="G232" s="65"/>
      <c r="H232" s="65">
        <v>0</v>
      </c>
      <c r="I232" s="65">
        <v>39</v>
      </c>
      <c r="J232" s="118" t="s">
        <v>188</v>
      </c>
      <c r="K232" s="119" t="str">
        <f>VLOOKUP(I232,[7]stage_hints!$A:$C,3,FALSE)</f>
        <v>システム適合者を確認</v>
      </c>
      <c r="L232" s="120" t="str">
        <f>VLOOKUP(I232,[7]stage_hints!$A:$D,4,FALSE)</f>
        <v>ALICEが 「アナタ」を呼んでいます</v>
      </c>
      <c r="M232" s="65" t="s">
        <v>207</v>
      </c>
    </row>
    <row r="233" spans="1:13" x14ac:dyDescent="0.15">
      <c r="A233" s="65" t="s">
        <v>206</v>
      </c>
      <c r="B233" s="65">
        <v>13101</v>
      </c>
      <c r="C233" s="65"/>
      <c r="D233" s="65"/>
      <c r="E233" s="65">
        <v>13</v>
      </c>
      <c r="F233" s="65"/>
      <c r="G233" s="65"/>
      <c r="H233" s="65">
        <v>0</v>
      </c>
      <c r="I233" s="65">
        <v>32</v>
      </c>
      <c r="J233" s="118" t="s">
        <v>188</v>
      </c>
      <c r="K233" s="119" t="str">
        <f>VLOOKUP(I233,[7]stage_hints!$A:$C,3,FALSE)</f>
        <v>敵の連続攻撃には</v>
      </c>
      <c r="L233" s="120" t="str">
        <f>VLOOKUP(I233,[7]stage_hints!$A:$D,4,FALSE)</f>
        <v>カウンタースキルを持つユニットがいれば_x000D_ダメージ回数分の反撃ができます</v>
      </c>
      <c r="M233" s="65" t="s">
        <v>207</v>
      </c>
    </row>
    <row r="234" spans="1:13" x14ac:dyDescent="0.15">
      <c r="A234" s="65" t="s">
        <v>206</v>
      </c>
      <c r="B234" s="65">
        <v>13101</v>
      </c>
      <c r="C234" s="65"/>
      <c r="D234" s="65"/>
      <c r="E234" s="65">
        <v>13</v>
      </c>
      <c r="F234" s="65"/>
      <c r="G234" s="65"/>
      <c r="H234" s="65">
        <v>0</v>
      </c>
      <c r="I234" s="65">
        <v>34</v>
      </c>
      <c r="J234" s="118" t="s">
        <v>188</v>
      </c>
      <c r="K234" s="119" t="str">
        <f>VLOOKUP(I234,[7]stage_hints!$A:$C,3,FALSE)</f>
        <v>ステータスをスキルで下げられたら</v>
      </c>
      <c r="L234" s="120" t="str">
        <f>VLOOKUP(I234,[7]stage_hints!$A:$D,4,FALSE)</f>
        <v>ステータスダウンのスキルを受けたら_x000D_ステータスアップスキルで上書きしましょう</v>
      </c>
      <c r="M234" s="65" t="s">
        <v>207</v>
      </c>
    </row>
    <row r="235" spans="1:13" x14ac:dyDescent="0.15">
      <c r="A235" s="65" t="s">
        <v>206</v>
      </c>
      <c r="B235" s="65">
        <v>13101</v>
      </c>
      <c r="C235" s="65"/>
      <c r="D235" s="65"/>
      <c r="E235" s="65">
        <v>13</v>
      </c>
      <c r="F235" s="65"/>
      <c r="G235" s="65"/>
      <c r="H235" s="65">
        <v>0</v>
      </c>
      <c r="I235" s="65">
        <v>35</v>
      </c>
      <c r="J235" s="118" t="s">
        <v>188</v>
      </c>
      <c r="K235" s="119" t="str">
        <f>VLOOKUP(I235,[7]stage_hints!$A:$C,3,FALSE)</f>
        <v>敵のステータスがスキルで上がったら</v>
      </c>
      <c r="L235" s="120" t="str">
        <f>VLOOKUP(I235,[7]stage_hints!$A:$D,4,FALSE)</f>
        <v>敵のステータスがスキルでアップしたときは_x000D_ステータスダウンスキルで上書きしましょう</v>
      </c>
      <c r="M235" s="65" t="s">
        <v>207</v>
      </c>
    </row>
    <row r="236" spans="1:13" x14ac:dyDescent="0.15">
      <c r="A236" s="65" t="s">
        <v>206</v>
      </c>
      <c r="B236" s="65">
        <v>13101</v>
      </c>
      <c r="C236" s="65"/>
      <c r="D236" s="65"/>
      <c r="E236" s="65">
        <v>13</v>
      </c>
      <c r="F236" s="65"/>
      <c r="G236" s="65"/>
      <c r="H236" s="65">
        <v>0</v>
      </c>
      <c r="I236" s="65">
        <v>36</v>
      </c>
      <c r="J236" s="118" t="s">
        <v>188</v>
      </c>
      <c r="K236" s="119" t="str">
        <f>VLOOKUP(I236,[7]stage_hints!$A:$C,3,FALSE)</f>
        <v>チャレンジタワーのボス</v>
      </c>
      <c r="L236" s="120" t="str">
        <f>VLOOKUP(I236,[7]stage_hints!$A:$D,4,FALSE)</f>
        <v>チャレンジタワーでのみ登場するボスは_x000D_一定確率で獲得することができます</v>
      </c>
      <c r="M236" s="65" t="s">
        <v>207</v>
      </c>
    </row>
    <row r="237" spans="1:13" x14ac:dyDescent="0.15">
      <c r="A237" s="65" t="s">
        <v>206</v>
      </c>
      <c r="B237" s="65">
        <v>13101</v>
      </c>
      <c r="C237" s="65"/>
      <c r="D237" s="65"/>
      <c r="E237" s="65">
        <v>13</v>
      </c>
      <c r="F237" s="65"/>
      <c r="G237" s="65"/>
      <c r="H237" s="65">
        <v>0</v>
      </c>
      <c r="I237" s="65">
        <v>37</v>
      </c>
      <c r="J237" s="118" t="s">
        <v>188</v>
      </c>
      <c r="K237" s="119" t="str">
        <f>VLOOKUP(I237,[7]stage_hints!$A:$C,3,FALSE)</f>
        <v>限界突破値の引き継ぎ</v>
      </c>
      <c r="L237" s="120" t="str">
        <f>VLOOKUP(I237,[7]stage_hints!$A:$D,4,FALSE)</f>
        <v>同じユニットを強化で合成すると_x000D_限界突破値を引き継げます（覚醒前後も可）</v>
      </c>
      <c r="M237" s="65" t="s">
        <v>207</v>
      </c>
    </row>
    <row r="238" spans="1:13" x14ac:dyDescent="0.15">
      <c r="A238" s="65" t="s">
        <v>206</v>
      </c>
      <c r="B238" s="65">
        <v>13101</v>
      </c>
      <c r="C238" s="65"/>
      <c r="D238" s="65"/>
      <c r="E238" s="65">
        <v>13</v>
      </c>
      <c r="F238" s="65"/>
      <c r="G238" s="65"/>
      <c r="H238" s="65">
        <v>0</v>
      </c>
      <c r="I238" s="65">
        <v>39</v>
      </c>
      <c r="J238" s="118" t="s">
        <v>188</v>
      </c>
      <c r="K238" s="119" t="str">
        <f>VLOOKUP(I238,[7]stage_hints!$A:$C,3,FALSE)</f>
        <v>システム適合者を確認</v>
      </c>
      <c r="L238" s="120" t="str">
        <f>VLOOKUP(I238,[7]stage_hints!$A:$D,4,FALSE)</f>
        <v>ALICEが 「アナタ」を呼んでいます</v>
      </c>
      <c r="M238" s="65" t="s">
        <v>207</v>
      </c>
    </row>
    <row r="239" spans="1:13" x14ac:dyDescent="0.15">
      <c r="A239" s="65" t="s">
        <v>206</v>
      </c>
      <c r="B239" s="65">
        <v>13101</v>
      </c>
      <c r="C239" s="65"/>
      <c r="D239" s="65"/>
      <c r="E239" s="65">
        <v>14</v>
      </c>
      <c r="F239" s="65"/>
      <c r="G239" s="65"/>
      <c r="H239" s="65">
        <v>0</v>
      </c>
      <c r="I239" s="65">
        <v>32</v>
      </c>
      <c r="J239" s="118" t="s">
        <v>188</v>
      </c>
      <c r="K239" s="119" t="str">
        <f>VLOOKUP(I239,[7]stage_hints!$A:$C,3,FALSE)</f>
        <v>敵の連続攻撃には</v>
      </c>
      <c r="L239" s="120" t="str">
        <f>VLOOKUP(I239,[7]stage_hints!$A:$D,4,FALSE)</f>
        <v>カウンタースキルを持つユニットがいれば_x000D_ダメージ回数分の反撃ができます</v>
      </c>
      <c r="M239" s="65" t="s">
        <v>207</v>
      </c>
    </row>
    <row r="240" spans="1:13" x14ac:dyDescent="0.15">
      <c r="A240" s="65" t="s">
        <v>206</v>
      </c>
      <c r="B240" s="65">
        <v>13101</v>
      </c>
      <c r="C240" s="65"/>
      <c r="D240" s="65"/>
      <c r="E240" s="65">
        <v>14</v>
      </c>
      <c r="F240" s="65"/>
      <c r="G240" s="65"/>
      <c r="H240" s="65">
        <v>0</v>
      </c>
      <c r="I240" s="65">
        <v>34</v>
      </c>
      <c r="J240" s="118" t="s">
        <v>188</v>
      </c>
      <c r="K240" s="119" t="str">
        <f>VLOOKUP(I240,[7]stage_hints!$A:$C,3,FALSE)</f>
        <v>ステータスをスキルで下げられたら</v>
      </c>
      <c r="L240" s="120" t="str">
        <f>VLOOKUP(I240,[7]stage_hints!$A:$D,4,FALSE)</f>
        <v>ステータスダウンのスキルを受けたら_x000D_ステータスアップスキルで上書きしましょう</v>
      </c>
      <c r="M240" s="65" t="s">
        <v>207</v>
      </c>
    </row>
    <row r="241" spans="1:13" x14ac:dyDescent="0.15">
      <c r="A241" s="65" t="s">
        <v>206</v>
      </c>
      <c r="B241" s="65">
        <v>13101</v>
      </c>
      <c r="C241" s="65"/>
      <c r="D241" s="65"/>
      <c r="E241" s="65">
        <v>14</v>
      </c>
      <c r="F241" s="65"/>
      <c r="G241" s="65"/>
      <c r="H241" s="65">
        <v>0</v>
      </c>
      <c r="I241" s="65">
        <v>35</v>
      </c>
      <c r="J241" s="118" t="s">
        <v>188</v>
      </c>
      <c r="K241" s="119" t="str">
        <f>VLOOKUP(I241,[7]stage_hints!$A:$C,3,FALSE)</f>
        <v>敵のステータスがスキルで上がったら</v>
      </c>
      <c r="L241" s="120" t="str">
        <f>VLOOKUP(I241,[7]stage_hints!$A:$D,4,FALSE)</f>
        <v>敵のステータスがスキルでアップしたときは_x000D_ステータスダウンスキルで上書きしましょう</v>
      </c>
      <c r="M241" s="65" t="s">
        <v>207</v>
      </c>
    </row>
    <row r="242" spans="1:13" x14ac:dyDescent="0.15">
      <c r="A242" s="65" t="s">
        <v>206</v>
      </c>
      <c r="B242" s="65">
        <v>13101</v>
      </c>
      <c r="C242" s="65"/>
      <c r="D242" s="65"/>
      <c r="E242" s="65">
        <v>14</v>
      </c>
      <c r="F242" s="65"/>
      <c r="G242" s="65"/>
      <c r="H242" s="65">
        <v>0</v>
      </c>
      <c r="I242" s="65">
        <v>36</v>
      </c>
      <c r="J242" s="118" t="s">
        <v>188</v>
      </c>
      <c r="K242" s="119" t="str">
        <f>VLOOKUP(I242,[7]stage_hints!$A:$C,3,FALSE)</f>
        <v>チャレンジタワーのボス</v>
      </c>
      <c r="L242" s="120" t="str">
        <f>VLOOKUP(I242,[7]stage_hints!$A:$D,4,FALSE)</f>
        <v>チャレンジタワーでのみ登場するボスは_x000D_一定確率で獲得することができます</v>
      </c>
      <c r="M242" s="65" t="s">
        <v>207</v>
      </c>
    </row>
    <row r="243" spans="1:13" x14ac:dyDescent="0.15">
      <c r="A243" s="65" t="s">
        <v>206</v>
      </c>
      <c r="B243" s="65">
        <v>13101</v>
      </c>
      <c r="C243" s="65"/>
      <c r="D243" s="65"/>
      <c r="E243" s="65">
        <v>14</v>
      </c>
      <c r="F243" s="65"/>
      <c r="G243" s="65"/>
      <c r="H243" s="65">
        <v>0</v>
      </c>
      <c r="I243" s="65">
        <v>37</v>
      </c>
      <c r="J243" s="118" t="s">
        <v>188</v>
      </c>
      <c r="K243" s="119" t="str">
        <f>VLOOKUP(I243,[7]stage_hints!$A:$C,3,FALSE)</f>
        <v>限界突破値の引き継ぎ</v>
      </c>
      <c r="L243" s="120" t="str">
        <f>VLOOKUP(I243,[7]stage_hints!$A:$D,4,FALSE)</f>
        <v>同じユニットを強化で合成すると_x000D_限界突破値を引き継げます（覚醒前後も可）</v>
      </c>
      <c r="M243" s="65" t="s">
        <v>207</v>
      </c>
    </row>
    <row r="244" spans="1:13" x14ac:dyDescent="0.15">
      <c r="A244" s="65" t="s">
        <v>206</v>
      </c>
      <c r="B244" s="65">
        <v>13101</v>
      </c>
      <c r="C244" s="65"/>
      <c r="D244" s="65"/>
      <c r="E244" s="65">
        <v>14</v>
      </c>
      <c r="F244" s="65"/>
      <c r="G244" s="65"/>
      <c r="H244" s="65">
        <v>0</v>
      </c>
      <c r="I244" s="65">
        <v>39</v>
      </c>
      <c r="J244" s="118" t="s">
        <v>188</v>
      </c>
      <c r="K244" s="119" t="str">
        <f>VLOOKUP(I244,[7]stage_hints!$A:$C,3,FALSE)</f>
        <v>システム適合者を確認</v>
      </c>
      <c r="L244" s="120" t="str">
        <f>VLOOKUP(I244,[7]stage_hints!$A:$D,4,FALSE)</f>
        <v>ALICEが 「アナタ」を呼んでいます</v>
      </c>
      <c r="M244" s="65" t="s">
        <v>207</v>
      </c>
    </row>
    <row r="245" spans="1:13" x14ac:dyDescent="0.15">
      <c r="A245" s="65" t="s">
        <v>206</v>
      </c>
      <c r="B245" s="65">
        <v>13101</v>
      </c>
      <c r="C245" s="65"/>
      <c r="D245" s="65"/>
      <c r="E245" s="65">
        <v>15</v>
      </c>
      <c r="F245" s="65"/>
      <c r="G245" s="65"/>
      <c r="H245" s="65">
        <v>0</v>
      </c>
      <c r="I245" s="65">
        <v>32</v>
      </c>
      <c r="J245" s="118" t="s">
        <v>188</v>
      </c>
      <c r="K245" s="119" t="str">
        <f>VLOOKUP(I245,[7]stage_hints!$A:$C,3,FALSE)</f>
        <v>敵の連続攻撃には</v>
      </c>
      <c r="L245" s="120" t="str">
        <f>VLOOKUP(I245,[7]stage_hints!$A:$D,4,FALSE)</f>
        <v>カウンタースキルを持つユニットがいれば_x000D_ダメージ回数分の反撃ができます</v>
      </c>
      <c r="M245" s="65" t="s">
        <v>207</v>
      </c>
    </row>
    <row r="246" spans="1:13" x14ac:dyDescent="0.15">
      <c r="A246" s="65" t="s">
        <v>206</v>
      </c>
      <c r="B246" s="65">
        <v>13101</v>
      </c>
      <c r="C246" s="65"/>
      <c r="D246" s="65"/>
      <c r="E246" s="65">
        <v>15</v>
      </c>
      <c r="F246" s="65"/>
      <c r="G246" s="65"/>
      <c r="H246" s="65">
        <v>0</v>
      </c>
      <c r="I246" s="65">
        <v>34</v>
      </c>
      <c r="J246" s="118" t="s">
        <v>188</v>
      </c>
      <c r="K246" s="119" t="str">
        <f>VLOOKUP(I246,[7]stage_hints!$A:$C,3,FALSE)</f>
        <v>ステータスをスキルで下げられたら</v>
      </c>
      <c r="L246" s="120" t="str">
        <f>VLOOKUP(I246,[7]stage_hints!$A:$D,4,FALSE)</f>
        <v>ステータスダウンのスキルを受けたら_x000D_ステータスアップスキルで上書きしましょう</v>
      </c>
      <c r="M246" s="65" t="s">
        <v>207</v>
      </c>
    </row>
    <row r="247" spans="1:13" x14ac:dyDescent="0.15">
      <c r="A247" s="65" t="s">
        <v>206</v>
      </c>
      <c r="B247" s="65">
        <v>13101</v>
      </c>
      <c r="C247" s="65"/>
      <c r="D247" s="65"/>
      <c r="E247" s="65">
        <v>15</v>
      </c>
      <c r="F247" s="65"/>
      <c r="G247" s="65"/>
      <c r="H247" s="65">
        <v>0</v>
      </c>
      <c r="I247" s="65">
        <v>35</v>
      </c>
      <c r="J247" s="118" t="s">
        <v>188</v>
      </c>
      <c r="K247" s="119" t="str">
        <f>VLOOKUP(I247,[7]stage_hints!$A:$C,3,FALSE)</f>
        <v>敵のステータスがスキルで上がったら</v>
      </c>
      <c r="L247" s="120" t="str">
        <f>VLOOKUP(I247,[7]stage_hints!$A:$D,4,FALSE)</f>
        <v>敵のステータスがスキルでアップしたときは_x000D_ステータスダウンスキルで上書きしましょう</v>
      </c>
      <c r="M247" s="65" t="s">
        <v>207</v>
      </c>
    </row>
    <row r="248" spans="1:13" x14ac:dyDescent="0.15">
      <c r="A248" s="65" t="s">
        <v>206</v>
      </c>
      <c r="B248" s="65">
        <v>13101</v>
      </c>
      <c r="C248" s="65"/>
      <c r="D248" s="65"/>
      <c r="E248" s="65">
        <v>15</v>
      </c>
      <c r="F248" s="65"/>
      <c r="G248" s="65"/>
      <c r="H248" s="65">
        <v>0</v>
      </c>
      <c r="I248" s="65">
        <v>36</v>
      </c>
      <c r="J248" s="118" t="s">
        <v>188</v>
      </c>
      <c r="K248" s="119" t="str">
        <f>VLOOKUP(I248,[7]stage_hints!$A:$C,3,FALSE)</f>
        <v>チャレンジタワーのボス</v>
      </c>
      <c r="L248" s="120" t="str">
        <f>VLOOKUP(I248,[7]stage_hints!$A:$D,4,FALSE)</f>
        <v>チャレンジタワーでのみ登場するボスは_x000D_一定確率で獲得することができます</v>
      </c>
      <c r="M248" s="65" t="s">
        <v>207</v>
      </c>
    </row>
    <row r="249" spans="1:13" x14ac:dyDescent="0.15">
      <c r="A249" s="65" t="s">
        <v>206</v>
      </c>
      <c r="B249" s="65">
        <v>13101</v>
      </c>
      <c r="C249" s="65"/>
      <c r="D249" s="65"/>
      <c r="E249" s="65">
        <v>15</v>
      </c>
      <c r="F249" s="65"/>
      <c r="G249" s="65"/>
      <c r="H249" s="65">
        <v>0</v>
      </c>
      <c r="I249" s="65">
        <v>37</v>
      </c>
      <c r="J249" s="118" t="s">
        <v>188</v>
      </c>
      <c r="K249" s="119" t="str">
        <f>VLOOKUP(I249,[7]stage_hints!$A:$C,3,FALSE)</f>
        <v>限界突破値の引き継ぎ</v>
      </c>
      <c r="L249" s="120" t="str">
        <f>VLOOKUP(I249,[7]stage_hints!$A:$D,4,FALSE)</f>
        <v>同じユニットを強化で合成すると_x000D_限界突破値を引き継げます（覚醒前後も可）</v>
      </c>
      <c r="M249" s="65" t="s">
        <v>207</v>
      </c>
    </row>
    <row r="250" spans="1:13" x14ac:dyDescent="0.15">
      <c r="A250" s="65" t="s">
        <v>206</v>
      </c>
      <c r="B250" s="65">
        <v>13101</v>
      </c>
      <c r="C250" s="65"/>
      <c r="D250" s="65"/>
      <c r="E250" s="65">
        <v>15</v>
      </c>
      <c r="F250" s="65"/>
      <c r="G250" s="65"/>
      <c r="H250" s="65">
        <v>0</v>
      </c>
      <c r="I250" s="65">
        <v>39</v>
      </c>
      <c r="J250" s="118" t="s">
        <v>188</v>
      </c>
      <c r="K250" s="119" t="str">
        <f>VLOOKUP(I250,[7]stage_hints!$A:$C,3,FALSE)</f>
        <v>システム適合者を確認</v>
      </c>
      <c r="L250" s="120" t="str">
        <f>VLOOKUP(I250,[7]stage_hints!$A:$D,4,FALSE)</f>
        <v>ALICEが 「アナタ」を呼んでいます</v>
      </c>
      <c r="M250" s="65" t="s">
        <v>207</v>
      </c>
    </row>
    <row r="251" spans="1:13" x14ac:dyDescent="0.15">
      <c r="A251" s="65" t="s">
        <v>206</v>
      </c>
      <c r="B251" s="65">
        <v>13101</v>
      </c>
      <c r="C251" s="65"/>
      <c r="D251" s="65"/>
      <c r="E251" s="65">
        <v>16</v>
      </c>
      <c r="F251" s="65"/>
      <c r="G251" s="65"/>
      <c r="H251" s="65">
        <v>0</v>
      </c>
      <c r="I251" s="65">
        <v>32</v>
      </c>
      <c r="J251" s="118" t="s">
        <v>188</v>
      </c>
      <c r="K251" s="119" t="str">
        <f>VLOOKUP(I251,[7]stage_hints!$A:$C,3,FALSE)</f>
        <v>敵の連続攻撃には</v>
      </c>
      <c r="L251" s="120" t="str">
        <f>VLOOKUP(I251,[7]stage_hints!$A:$D,4,FALSE)</f>
        <v>カウンタースキルを持つユニットがいれば_x000D_ダメージ回数分の反撃ができます</v>
      </c>
      <c r="M251" s="65" t="s">
        <v>207</v>
      </c>
    </row>
    <row r="252" spans="1:13" x14ac:dyDescent="0.15">
      <c r="A252" s="65" t="s">
        <v>206</v>
      </c>
      <c r="B252" s="65">
        <v>13101</v>
      </c>
      <c r="C252" s="65"/>
      <c r="D252" s="65"/>
      <c r="E252" s="65">
        <v>16</v>
      </c>
      <c r="F252" s="65"/>
      <c r="G252" s="65"/>
      <c r="H252" s="65">
        <v>0</v>
      </c>
      <c r="I252" s="65">
        <v>34</v>
      </c>
      <c r="J252" s="118" t="s">
        <v>188</v>
      </c>
      <c r="K252" s="119" t="str">
        <f>VLOOKUP(I252,[7]stage_hints!$A:$C,3,FALSE)</f>
        <v>ステータスをスキルで下げられたら</v>
      </c>
      <c r="L252" s="120" t="str">
        <f>VLOOKUP(I252,[7]stage_hints!$A:$D,4,FALSE)</f>
        <v>ステータスダウンのスキルを受けたら_x000D_ステータスアップスキルで上書きしましょう</v>
      </c>
      <c r="M252" s="65" t="s">
        <v>207</v>
      </c>
    </row>
    <row r="253" spans="1:13" x14ac:dyDescent="0.15">
      <c r="A253" s="65" t="s">
        <v>206</v>
      </c>
      <c r="B253" s="65">
        <v>13101</v>
      </c>
      <c r="C253" s="65"/>
      <c r="D253" s="65"/>
      <c r="E253" s="65">
        <v>16</v>
      </c>
      <c r="F253" s="65"/>
      <c r="G253" s="65"/>
      <c r="H253" s="65">
        <v>0</v>
      </c>
      <c r="I253" s="65">
        <v>35</v>
      </c>
      <c r="J253" s="118" t="s">
        <v>188</v>
      </c>
      <c r="K253" s="119" t="str">
        <f>VLOOKUP(I253,[7]stage_hints!$A:$C,3,FALSE)</f>
        <v>敵のステータスがスキルで上がったら</v>
      </c>
      <c r="L253" s="120" t="str">
        <f>VLOOKUP(I253,[7]stage_hints!$A:$D,4,FALSE)</f>
        <v>敵のステータスがスキルでアップしたときは_x000D_ステータスダウンスキルで上書きしましょう</v>
      </c>
      <c r="M253" s="65" t="s">
        <v>207</v>
      </c>
    </row>
    <row r="254" spans="1:13" x14ac:dyDescent="0.15">
      <c r="A254" s="65" t="s">
        <v>206</v>
      </c>
      <c r="B254" s="65">
        <v>13101</v>
      </c>
      <c r="C254" s="65"/>
      <c r="D254" s="65"/>
      <c r="E254" s="65">
        <v>16</v>
      </c>
      <c r="F254" s="65"/>
      <c r="G254" s="65"/>
      <c r="H254" s="65">
        <v>0</v>
      </c>
      <c r="I254" s="65">
        <v>36</v>
      </c>
      <c r="J254" s="118" t="s">
        <v>188</v>
      </c>
      <c r="K254" s="119" t="str">
        <f>VLOOKUP(I254,[7]stage_hints!$A:$C,3,FALSE)</f>
        <v>チャレンジタワーのボス</v>
      </c>
      <c r="L254" s="120" t="str">
        <f>VLOOKUP(I254,[7]stage_hints!$A:$D,4,FALSE)</f>
        <v>チャレンジタワーでのみ登場するボスは_x000D_一定確率で獲得することができます</v>
      </c>
      <c r="M254" s="65" t="s">
        <v>207</v>
      </c>
    </row>
    <row r="255" spans="1:13" x14ac:dyDescent="0.15">
      <c r="A255" s="65" t="s">
        <v>206</v>
      </c>
      <c r="B255" s="65">
        <v>13101</v>
      </c>
      <c r="C255" s="65"/>
      <c r="D255" s="65"/>
      <c r="E255" s="65">
        <v>16</v>
      </c>
      <c r="F255" s="65"/>
      <c r="G255" s="65"/>
      <c r="H255" s="65">
        <v>0</v>
      </c>
      <c r="I255" s="65">
        <v>37</v>
      </c>
      <c r="J255" s="118" t="s">
        <v>188</v>
      </c>
      <c r="K255" s="119" t="str">
        <f>VLOOKUP(I255,[7]stage_hints!$A:$C,3,FALSE)</f>
        <v>限界突破値の引き継ぎ</v>
      </c>
      <c r="L255" s="120" t="str">
        <f>VLOOKUP(I255,[7]stage_hints!$A:$D,4,FALSE)</f>
        <v>同じユニットを強化で合成すると_x000D_限界突破値を引き継げます（覚醒前後も可）</v>
      </c>
      <c r="M255" s="65" t="s">
        <v>207</v>
      </c>
    </row>
    <row r="256" spans="1:13" x14ac:dyDescent="0.15">
      <c r="A256" s="65" t="s">
        <v>206</v>
      </c>
      <c r="B256" s="65">
        <v>13101</v>
      </c>
      <c r="C256" s="65"/>
      <c r="D256" s="65"/>
      <c r="E256" s="65">
        <v>16</v>
      </c>
      <c r="F256" s="65"/>
      <c r="G256" s="65"/>
      <c r="H256" s="65">
        <v>0</v>
      </c>
      <c r="I256" s="65">
        <v>39</v>
      </c>
      <c r="J256" s="118" t="s">
        <v>188</v>
      </c>
      <c r="K256" s="119" t="str">
        <f>VLOOKUP(I256,[7]stage_hints!$A:$C,3,FALSE)</f>
        <v>システム適合者を確認</v>
      </c>
      <c r="L256" s="120" t="str">
        <f>VLOOKUP(I256,[7]stage_hints!$A:$D,4,FALSE)</f>
        <v>ALICEが 「アナタ」を呼んでいます</v>
      </c>
      <c r="M256" s="65" t="s">
        <v>207</v>
      </c>
    </row>
    <row r="257" spans="1:13" x14ac:dyDescent="0.15">
      <c r="A257" s="65" t="s">
        <v>206</v>
      </c>
      <c r="B257" s="65">
        <v>13101</v>
      </c>
      <c r="C257" s="65"/>
      <c r="D257" s="65"/>
      <c r="E257" s="65">
        <v>17</v>
      </c>
      <c r="F257" s="65"/>
      <c r="G257" s="65"/>
      <c r="H257" s="65">
        <v>0</v>
      </c>
      <c r="I257" s="65">
        <v>32</v>
      </c>
      <c r="J257" s="118" t="s">
        <v>188</v>
      </c>
      <c r="K257" s="119" t="str">
        <f>VLOOKUP(I257,[7]stage_hints!$A:$C,3,FALSE)</f>
        <v>敵の連続攻撃には</v>
      </c>
      <c r="L257" s="120" t="str">
        <f>VLOOKUP(I257,[7]stage_hints!$A:$D,4,FALSE)</f>
        <v>カウンタースキルを持つユニットがいれば_x000D_ダメージ回数分の反撃ができます</v>
      </c>
      <c r="M257" s="65" t="s">
        <v>207</v>
      </c>
    </row>
    <row r="258" spans="1:13" x14ac:dyDescent="0.15">
      <c r="A258" s="65" t="s">
        <v>206</v>
      </c>
      <c r="B258" s="65">
        <v>13101</v>
      </c>
      <c r="C258" s="65"/>
      <c r="D258" s="65"/>
      <c r="E258" s="65">
        <v>17</v>
      </c>
      <c r="F258" s="65"/>
      <c r="G258" s="65"/>
      <c r="H258" s="65">
        <v>0</v>
      </c>
      <c r="I258" s="65">
        <v>34</v>
      </c>
      <c r="J258" s="118" t="s">
        <v>188</v>
      </c>
      <c r="K258" s="119" t="str">
        <f>VLOOKUP(I258,[7]stage_hints!$A:$C,3,FALSE)</f>
        <v>ステータスをスキルで下げられたら</v>
      </c>
      <c r="L258" s="120" t="str">
        <f>VLOOKUP(I258,[7]stage_hints!$A:$D,4,FALSE)</f>
        <v>ステータスダウンのスキルを受けたら_x000D_ステータスアップスキルで上書きしましょう</v>
      </c>
      <c r="M258" s="65" t="s">
        <v>207</v>
      </c>
    </row>
    <row r="259" spans="1:13" x14ac:dyDescent="0.15">
      <c r="A259" s="65" t="s">
        <v>206</v>
      </c>
      <c r="B259" s="65">
        <v>13101</v>
      </c>
      <c r="C259" s="65"/>
      <c r="D259" s="65"/>
      <c r="E259" s="65">
        <v>17</v>
      </c>
      <c r="F259" s="65"/>
      <c r="G259" s="65"/>
      <c r="H259" s="65">
        <v>0</v>
      </c>
      <c r="I259" s="65">
        <v>35</v>
      </c>
      <c r="J259" s="118" t="s">
        <v>188</v>
      </c>
      <c r="K259" s="119" t="str">
        <f>VLOOKUP(I259,[7]stage_hints!$A:$C,3,FALSE)</f>
        <v>敵のステータスがスキルで上がったら</v>
      </c>
      <c r="L259" s="120" t="str">
        <f>VLOOKUP(I259,[7]stage_hints!$A:$D,4,FALSE)</f>
        <v>敵のステータスがスキルでアップしたときは_x000D_ステータスダウンスキルで上書きしましょう</v>
      </c>
      <c r="M259" s="65" t="s">
        <v>207</v>
      </c>
    </row>
    <row r="260" spans="1:13" x14ac:dyDescent="0.15">
      <c r="A260" s="65" t="s">
        <v>206</v>
      </c>
      <c r="B260" s="65">
        <v>13101</v>
      </c>
      <c r="C260" s="65"/>
      <c r="D260" s="65"/>
      <c r="E260" s="65">
        <v>17</v>
      </c>
      <c r="F260" s="65"/>
      <c r="G260" s="65"/>
      <c r="H260" s="65">
        <v>0</v>
      </c>
      <c r="I260" s="65">
        <v>36</v>
      </c>
      <c r="J260" s="118" t="s">
        <v>188</v>
      </c>
      <c r="K260" s="119" t="str">
        <f>VLOOKUP(I260,[7]stage_hints!$A:$C,3,FALSE)</f>
        <v>チャレンジタワーのボス</v>
      </c>
      <c r="L260" s="120" t="str">
        <f>VLOOKUP(I260,[7]stage_hints!$A:$D,4,FALSE)</f>
        <v>チャレンジタワーでのみ登場するボスは_x000D_一定確率で獲得することができます</v>
      </c>
      <c r="M260" s="65" t="s">
        <v>207</v>
      </c>
    </row>
    <row r="261" spans="1:13" x14ac:dyDescent="0.15">
      <c r="A261" s="65" t="s">
        <v>206</v>
      </c>
      <c r="B261" s="65">
        <v>13101</v>
      </c>
      <c r="C261" s="65"/>
      <c r="D261" s="65"/>
      <c r="E261" s="65">
        <v>17</v>
      </c>
      <c r="F261" s="65"/>
      <c r="G261" s="65"/>
      <c r="H261" s="65">
        <v>0</v>
      </c>
      <c r="I261" s="65">
        <v>37</v>
      </c>
      <c r="J261" s="118" t="s">
        <v>188</v>
      </c>
      <c r="K261" s="119" t="str">
        <f>VLOOKUP(I261,[7]stage_hints!$A:$C,3,FALSE)</f>
        <v>限界突破値の引き継ぎ</v>
      </c>
      <c r="L261" s="120" t="str">
        <f>VLOOKUP(I261,[7]stage_hints!$A:$D,4,FALSE)</f>
        <v>同じユニットを強化で合成すると_x000D_限界突破値を引き継げます（覚醒前後も可）</v>
      </c>
      <c r="M261" s="65" t="s">
        <v>207</v>
      </c>
    </row>
    <row r="262" spans="1:13" x14ac:dyDescent="0.15">
      <c r="A262" s="65" t="s">
        <v>206</v>
      </c>
      <c r="B262" s="65">
        <v>13101</v>
      </c>
      <c r="C262" s="65"/>
      <c r="D262" s="65"/>
      <c r="E262" s="65">
        <v>17</v>
      </c>
      <c r="F262" s="65"/>
      <c r="G262" s="65"/>
      <c r="H262" s="65">
        <v>0</v>
      </c>
      <c r="I262" s="65">
        <v>39</v>
      </c>
      <c r="J262" s="118" t="s">
        <v>188</v>
      </c>
      <c r="K262" s="119" t="str">
        <f>VLOOKUP(I262,[7]stage_hints!$A:$C,3,FALSE)</f>
        <v>システム適合者を確認</v>
      </c>
      <c r="L262" s="120" t="str">
        <f>VLOOKUP(I262,[7]stage_hints!$A:$D,4,FALSE)</f>
        <v>ALICEが 「アナタ」を呼んでいます</v>
      </c>
      <c r="M262" s="65" t="s">
        <v>207</v>
      </c>
    </row>
    <row r="263" spans="1:13" x14ac:dyDescent="0.15">
      <c r="A263" s="65" t="s">
        <v>206</v>
      </c>
      <c r="B263" s="65">
        <v>13101</v>
      </c>
      <c r="C263" s="65"/>
      <c r="D263" s="65"/>
      <c r="E263" s="65">
        <v>18</v>
      </c>
      <c r="F263" s="65"/>
      <c r="G263" s="65"/>
      <c r="H263" s="65">
        <v>0</v>
      </c>
      <c r="I263" s="65">
        <v>32</v>
      </c>
      <c r="J263" s="118" t="s">
        <v>188</v>
      </c>
      <c r="K263" s="119" t="str">
        <f>VLOOKUP(I263,[7]stage_hints!$A:$C,3,FALSE)</f>
        <v>敵の連続攻撃には</v>
      </c>
      <c r="L263" s="120" t="str">
        <f>VLOOKUP(I263,[7]stage_hints!$A:$D,4,FALSE)</f>
        <v>カウンタースキルを持つユニットがいれば_x000D_ダメージ回数分の反撃ができます</v>
      </c>
      <c r="M263" s="65" t="s">
        <v>207</v>
      </c>
    </row>
    <row r="264" spans="1:13" x14ac:dyDescent="0.15">
      <c r="A264" s="65" t="s">
        <v>206</v>
      </c>
      <c r="B264" s="65">
        <v>13101</v>
      </c>
      <c r="C264" s="65"/>
      <c r="D264" s="65"/>
      <c r="E264" s="65">
        <v>18</v>
      </c>
      <c r="F264" s="65"/>
      <c r="G264" s="65"/>
      <c r="H264" s="65">
        <v>0</v>
      </c>
      <c r="I264" s="65">
        <v>34</v>
      </c>
      <c r="J264" s="118" t="s">
        <v>188</v>
      </c>
      <c r="K264" s="119" t="str">
        <f>VLOOKUP(I264,[7]stage_hints!$A:$C,3,FALSE)</f>
        <v>ステータスをスキルで下げられたら</v>
      </c>
      <c r="L264" s="120" t="str">
        <f>VLOOKUP(I264,[7]stage_hints!$A:$D,4,FALSE)</f>
        <v>ステータスダウンのスキルを受けたら_x000D_ステータスアップスキルで上書きしましょう</v>
      </c>
      <c r="M264" s="65" t="s">
        <v>207</v>
      </c>
    </row>
    <row r="265" spans="1:13" x14ac:dyDescent="0.15">
      <c r="A265" s="65" t="s">
        <v>206</v>
      </c>
      <c r="B265" s="65">
        <v>13101</v>
      </c>
      <c r="C265" s="65"/>
      <c r="D265" s="65"/>
      <c r="E265" s="65">
        <v>18</v>
      </c>
      <c r="F265" s="65"/>
      <c r="G265" s="65"/>
      <c r="H265" s="65">
        <v>0</v>
      </c>
      <c r="I265" s="65">
        <v>35</v>
      </c>
      <c r="J265" s="118" t="s">
        <v>188</v>
      </c>
      <c r="K265" s="119" t="str">
        <f>VLOOKUP(I265,[7]stage_hints!$A:$C,3,FALSE)</f>
        <v>敵のステータスがスキルで上がったら</v>
      </c>
      <c r="L265" s="120" t="str">
        <f>VLOOKUP(I265,[7]stage_hints!$A:$D,4,FALSE)</f>
        <v>敵のステータスがスキルでアップしたときは_x000D_ステータスダウンスキルで上書きしましょう</v>
      </c>
      <c r="M265" s="65" t="s">
        <v>207</v>
      </c>
    </row>
    <row r="266" spans="1:13" x14ac:dyDescent="0.15">
      <c r="A266" s="65" t="s">
        <v>206</v>
      </c>
      <c r="B266" s="65">
        <v>13101</v>
      </c>
      <c r="C266" s="65"/>
      <c r="D266" s="65"/>
      <c r="E266" s="65">
        <v>18</v>
      </c>
      <c r="F266" s="65"/>
      <c r="G266" s="65"/>
      <c r="H266" s="65">
        <v>0</v>
      </c>
      <c r="I266" s="65">
        <v>36</v>
      </c>
      <c r="J266" s="118" t="s">
        <v>188</v>
      </c>
      <c r="K266" s="119" t="str">
        <f>VLOOKUP(I266,[7]stage_hints!$A:$C,3,FALSE)</f>
        <v>チャレンジタワーのボス</v>
      </c>
      <c r="L266" s="120" t="str">
        <f>VLOOKUP(I266,[7]stage_hints!$A:$D,4,FALSE)</f>
        <v>チャレンジタワーでのみ登場するボスは_x000D_一定確率で獲得することができます</v>
      </c>
      <c r="M266" s="65" t="s">
        <v>207</v>
      </c>
    </row>
    <row r="267" spans="1:13" x14ac:dyDescent="0.15">
      <c r="A267" s="65" t="s">
        <v>206</v>
      </c>
      <c r="B267" s="65">
        <v>13101</v>
      </c>
      <c r="C267" s="65"/>
      <c r="D267" s="65"/>
      <c r="E267" s="65">
        <v>18</v>
      </c>
      <c r="F267" s="65"/>
      <c r="G267" s="65"/>
      <c r="H267" s="65">
        <v>0</v>
      </c>
      <c r="I267" s="65">
        <v>37</v>
      </c>
      <c r="J267" s="118" t="s">
        <v>188</v>
      </c>
      <c r="K267" s="119" t="str">
        <f>VLOOKUP(I267,[7]stage_hints!$A:$C,3,FALSE)</f>
        <v>限界突破値の引き継ぎ</v>
      </c>
      <c r="L267" s="120" t="str">
        <f>VLOOKUP(I267,[7]stage_hints!$A:$D,4,FALSE)</f>
        <v>同じユニットを強化で合成すると_x000D_限界突破値を引き継げます（覚醒前後も可）</v>
      </c>
      <c r="M267" s="65" t="s">
        <v>207</v>
      </c>
    </row>
    <row r="268" spans="1:13" x14ac:dyDescent="0.15">
      <c r="A268" s="65" t="s">
        <v>206</v>
      </c>
      <c r="B268" s="65">
        <v>13101</v>
      </c>
      <c r="C268" s="65"/>
      <c r="D268" s="65"/>
      <c r="E268" s="65">
        <v>18</v>
      </c>
      <c r="F268" s="65"/>
      <c r="G268" s="65"/>
      <c r="H268" s="65">
        <v>0</v>
      </c>
      <c r="I268" s="65">
        <v>39</v>
      </c>
      <c r="J268" s="118" t="s">
        <v>188</v>
      </c>
      <c r="K268" s="119" t="str">
        <f>VLOOKUP(I268,[7]stage_hints!$A:$C,3,FALSE)</f>
        <v>システム適合者を確認</v>
      </c>
      <c r="L268" s="120" t="str">
        <f>VLOOKUP(I268,[7]stage_hints!$A:$D,4,FALSE)</f>
        <v>ALICEが 「アナタ」を呼んでいます</v>
      </c>
      <c r="M268" s="65" t="s">
        <v>207</v>
      </c>
    </row>
    <row r="269" spans="1:13" x14ac:dyDescent="0.15">
      <c r="A269" s="65" t="s">
        <v>206</v>
      </c>
      <c r="B269" s="65">
        <v>13101</v>
      </c>
      <c r="C269" s="65"/>
      <c r="D269" s="65"/>
      <c r="E269" s="65">
        <v>19</v>
      </c>
      <c r="F269" s="65"/>
      <c r="G269" s="65"/>
      <c r="H269" s="65">
        <v>0</v>
      </c>
      <c r="I269" s="65">
        <v>32</v>
      </c>
      <c r="J269" s="118" t="s">
        <v>188</v>
      </c>
      <c r="K269" s="119" t="str">
        <f>VLOOKUP(I269,[7]stage_hints!$A:$C,3,FALSE)</f>
        <v>敵の連続攻撃には</v>
      </c>
      <c r="L269" s="120" t="str">
        <f>VLOOKUP(I269,[7]stage_hints!$A:$D,4,FALSE)</f>
        <v>カウンタースキルを持つユニットがいれば_x000D_ダメージ回数分の反撃ができます</v>
      </c>
      <c r="M269" s="65" t="s">
        <v>207</v>
      </c>
    </row>
    <row r="270" spans="1:13" x14ac:dyDescent="0.15">
      <c r="A270" s="65" t="s">
        <v>206</v>
      </c>
      <c r="B270" s="65">
        <v>13101</v>
      </c>
      <c r="C270" s="65"/>
      <c r="D270" s="65"/>
      <c r="E270" s="65">
        <v>19</v>
      </c>
      <c r="F270" s="65"/>
      <c r="G270" s="65"/>
      <c r="H270" s="65">
        <v>0</v>
      </c>
      <c r="I270" s="65">
        <v>34</v>
      </c>
      <c r="J270" s="118" t="s">
        <v>188</v>
      </c>
      <c r="K270" s="119" t="str">
        <f>VLOOKUP(I270,[7]stage_hints!$A:$C,3,FALSE)</f>
        <v>ステータスをスキルで下げられたら</v>
      </c>
      <c r="L270" s="120" t="str">
        <f>VLOOKUP(I270,[7]stage_hints!$A:$D,4,FALSE)</f>
        <v>ステータスダウンのスキルを受けたら_x000D_ステータスアップスキルで上書きしましょう</v>
      </c>
      <c r="M270" s="65" t="s">
        <v>207</v>
      </c>
    </row>
    <row r="271" spans="1:13" x14ac:dyDescent="0.15">
      <c r="A271" s="65" t="s">
        <v>206</v>
      </c>
      <c r="B271" s="65">
        <v>13101</v>
      </c>
      <c r="C271" s="65"/>
      <c r="D271" s="65"/>
      <c r="E271" s="65">
        <v>19</v>
      </c>
      <c r="F271" s="65"/>
      <c r="G271" s="65"/>
      <c r="H271" s="65">
        <v>0</v>
      </c>
      <c r="I271" s="65">
        <v>35</v>
      </c>
      <c r="J271" s="118" t="s">
        <v>188</v>
      </c>
      <c r="K271" s="119" t="str">
        <f>VLOOKUP(I271,[7]stage_hints!$A:$C,3,FALSE)</f>
        <v>敵のステータスがスキルで上がったら</v>
      </c>
      <c r="L271" s="120" t="str">
        <f>VLOOKUP(I271,[7]stage_hints!$A:$D,4,FALSE)</f>
        <v>敵のステータスがスキルでアップしたときは_x000D_ステータスダウンスキルで上書きしましょう</v>
      </c>
      <c r="M271" s="65" t="s">
        <v>207</v>
      </c>
    </row>
    <row r="272" spans="1:13" x14ac:dyDescent="0.15">
      <c r="A272" s="65" t="s">
        <v>206</v>
      </c>
      <c r="B272" s="65">
        <v>13101</v>
      </c>
      <c r="C272" s="65"/>
      <c r="D272" s="65"/>
      <c r="E272" s="65">
        <v>19</v>
      </c>
      <c r="F272" s="65"/>
      <c r="G272" s="65"/>
      <c r="H272" s="65">
        <v>0</v>
      </c>
      <c r="I272" s="65">
        <v>36</v>
      </c>
      <c r="J272" s="118" t="s">
        <v>188</v>
      </c>
      <c r="K272" s="119" t="str">
        <f>VLOOKUP(I272,[7]stage_hints!$A:$C,3,FALSE)</f>
        <v>チャレンジタワーのボス</v>
      </c>
      <c r="L272" s="120" t="str">
        <f>VLOOKUP(I272,[7]stage_hints!$A:$D,4,FALSE)</f>
        <v>チャレンジタワーでのみ登場するボスは_x000D_一定確率で獲得することができます</v>
      </c>
      <c r="M272" s="65" t="s">
        <v>207</v>
      </c>
    </row>
    <row r="273" spans="1:13" x14ac:dyDescent="0.15">
      <c r="A273" s="65" t="s">
        <v>206</v>
      </c>
      <c r="B273" s="65">
        <v>13101</v>
      </c>
      <c r="C273" s="65"/>
      <c r="D273" s="65"/>
      <c r="E273" s="65">
        <v>19</v>
      </c>
      <c r="F273" s="65"/>
      <c r="G273" s="65"/>
      <c r="H273" s="65">
        <v>0</v>
      </c>
      <c r="I273" s="65">
        <v>37</v>
      </c>
      <c r="J273" s="118" t="s">
        <v>188</v>
      </c>
      <c r="K273" s="119" t="str">
        <f>VLOOKUP(I273,[7]stage_hints!$A:$C,3,FALSE)</f>
        <v>限界突破値の引き継ぎ</v>
      </c>
      <c r="L273" s="120" t="str">
        <f>VLOOKUP(I273,[7]stage_hints!$A:$D,4,FALSE)</f>
        <v>同じユニットを強化で合成すると_x000D_限界突破値を引き継げます（覚醒前後も可）</v>
      </c>
      <c r="M273" s="65" t="s">
        <v>207</v>
      </c>
    </row>
    <row r="274" spans="1:13" x14ac:dyDescent="0.15">
      <c r="A274" s="65" t="s">
        <v>206</v>
      </c>
      <c r="B274" s="65">
        <v>13101</v>
      </c>
      <c r="C274" s="65"/>
      <c r="D274" s="65"/>
      <c r="E274" s="65">
        <v>19</v>
      </c>
      <c r="F274" s="65"/>
      <c r="G274" s="65"/>
      <c r="H274" s="65">
        <v>0</v>
      </c>
      <c r="I274" s="65">
        <v>39</v>
      </c>
      <c r="J274" s="118" t="s">
        <v>188</v>
      </c>
      <c r="K274" s="119" t="str">
        <f>VLOOKUP(I274,[7]stage_hints!$A:$C,3,FALSE)</f>
        <v>システム適合者を確認</v>
      </c>
      <c r="L274" s="120" t="str">
        <f>VLOOKUP(I274,[7]stage_hints!$A:$D,4,FALSE)</f>
        <v>ALICEが 「アナタ」を呼んでいます</v>
      </c>
      <c r="M274" s="65" t="s">
        <v>207</v>
      </c>
    </row>
    <row r="275" spans="1:13" x14ac:dyDescent="0.15">
      <c r="A275" s="65" t="s">
        <v>206</v>
      </c>
      <c r="B275" s="65">
        <v>13101</v>
      </c>
      <c r="C275" s="65"/>
      <c r="D275" s="65"/>
      <c r="E275" s="65">
        <v>20</v>
      </c>
      <c r="F275" s="65"/>
      <c r="G275" s="65"/>
      <c r="H275" s="65">
        <v>0</v>
      </c>
      <c r="I275" s="65">
        <v>32</v>
      </c>
      <c r="J275" s="118" t="s">
        <v>188</v>
      </c>
      <c r="K275" s="119" t="str">
        <f>VLOOKUP(I275,[7]stage_hints!$A:$C,3,FALSE)</f>
        <v>敵の連続攻撃には</v>
      </c>
      <c r="L275" s="120" t="str">
        <f>VLOOKUP(I275,[7]stage_hints!$A:$D,4,FALSE)</f>
        <v>カウンタースキルを持つユニットがいれば_x000D_ダメージ回数分の反撃ができます</v>
      </c>
      <c r="M275" s="65" t="s">
        <v>207</v>
      </c>
    </row>
    <row r="276" spans="1:13" x14ac:dyDescent="0.15">
      <c r="A276" s="65" t="s">
        <v>206</v>
      </c>
      <c r="B276" s="65">
        <v>13101</v>
      </c>
      <c r="C276" s="65"/>
      <c r="D276" s="65"/>
      <c r="E276" s="65">
        <v>20</v>
      </c>
      <c r="F276" s="65"/>
      <c r="G276" s="65"/>
      <c r="H276" s="65">
        <v>0</v>
      </c>
      <c r="I276" s="65">
        <v>34</v>
      </c>
      <c r="J276" s="118" t="s">
        <v>188</v>
      </c>
      <c r="K276" s="119" t="str">
        <f>VLOOKUP(I276,[7]stage_hints!$A:$C,3,FALSE)</f>
        <v>ステータスをスキルで下げられたら</v>
      </c>
      <c r="L276" s="120" t="str">
        <f>VLOOKUP(I276,[7]stage_hints!$A:$D,4,FALSE)</f>
        <v>ステータスダウンのスキルを受けたら_x000D_ステータスアップスキルで上書きしましょう</v>
      </c>
      <c r="M276" s="65" t="s">
        <v>207</v>
      </c>
    </row>
    <row r="277" spans="1:13" x14ac:dyDescent="0.15">
      <c r="A277" s="65" t="s">
        <v>206</v>
      </c>
      <c r="B277" s="65">
        <v>13101</v>
      </c>
      <c r="C277" s="65"/>
      <c r="D277" s="65"/>
      <c r="E277" s="65">
        <v>20</v>
      </c>
      <c r="F277" s="65"/>
      <c r="G277" s="65"/>
      <c r="H277" s="65">
        <v>0</v>
      </c>
      <c r="I277" s="65">
        <v>35</v>
      </c>
      <c r="J277" s="118" t="s">
        <v>188</v>
      </c>
      <c r="K277" s="119" t="str">
        <f>VLOOKUP(I277,[7]stage_hints!$A:$C,3,FALSE)</f>
        <v>敵のステータスがスキルで上がったら</v>
      </c>
      <c r="L277" s="120" t="str">
        <f>VLOOKUP(I277,[7]stage_hints!$A:$D,4,FALSE)</f>
        <v>敵のステータスがスキルでアップしたときは_x000D_ステータスダウンスキルで上書きしましょう</v>
      </c>
      <c r="M277" s="65" t="s">
        <v>207</v>
      </c>
    </row>
    <row r="278" spans="1:13" x14ac:dyDescent="0.15">
      <c r="A278" s="65" t="s">
        <v>206</v>
      </c>
      <c r="B278" s="65">
        <v>13101</v>
      </c>
      <c r="C278" s="65"/>
      <c r="D278" s="65"/>
      <c r="E278" s="65">
        <v>20</v>
      </c>
      <c r="F278" s="65"/>
      <c r="G278" s="65"/>
      <c r="H278" s="65">
        <v>0</v>
      </c>
      <c r="I278" s="65">
        <v>36</v>
      </c>
      <c r="J278" s="118" t="s">
        <v>188</v>
      </c>
      <c r="K278" s="119" t="str">
        <f>VLOOKUP(I278,[7]stage_hints!$A:$C,3,FALSE)</f>
        <v>チャレンジタワーのボス</v>
      </c>
      <c r="L278" s="120" t="str">
        <f>VLOOKUP(I278,[7]stage_hints!$A:$D,4,FALSE)</f>
        <v>チャレンジタワーでのみ登場するボスは_x000D_一定確率で獲得することができます</v>
      </c>
      <c r="M278" s="65" t="s">
        <v>207</v>
      </c>
    </row>
    <row r="279" spans="1:13" x14ac:dyDescent="0.15">
      <c r="A279" s="65" t="s">
        <v>206</v>
      </c>
      <c r="B279" s="65">
        <v>13101</v>
      </c>
      <c r="C279" s="65"/>
      <c r="D279" s="65"/>
      <c r="E279" s="65">
        <v>20</v>
      </c>
      <c r="F279" s="65"/>
      <c r="G279" s="65"/>
      <c r="H279" s="65">
        <v>0</v>
      </c>
      <c r="I279" s="65">
        <v>37</v>
      </c>
      <c r="J279" s="118" t="s">
        <v>188</v>
      </c>
      <c r="K279" s="119" t="str">
        <f>VLOOKUP(I279,[7]stage_hints!$A:$C,3,FALSE)</f>
        <v>限界突破値の引き継ぎ</v>
      </c>
      <c r="L279" s="120" t="str">
        <f>VLOOKUP(I279,[7]stage_hints!$A:$D,4,FALSE)</f>
        <v>同じユニットを強化で合成すると_x000D_限界突破値を引き継げます（覚醒前後も可）</v>
      </c>
      <c r="M279" s="65" t="s">
        <v>207</v>
      </c>
    </row>
    <row r="280" spans="1:13" x14ac:dyDescent="0.15">
      <c r="A280" s="65" t="s">
        <v>206</v>
      </c>
      <c r="B280" s="65">
        <v>13101</v>
      </c>
      <c r="C280" s="65"/>
      <c r="D280" s="65"/>
      <c r="E280" s="65">
        <v>20</v>
      </c>
      <c r="F280" s="65"/>
      <c r="G280" s="65"/>
      <c r="H280" s="65">
        <v>0</v>
      </c>
      <c r="I280" s="65">
        <v>39</v>
      </c>
      <c r="J280" s="118" t="s">
        <v>188</v>
      </c>
      <c r="K280" s="119" t="str">
        <f>VLOOKUP(I280,[7]stage_hints!$A:$C,3,FALSE)</f>
        <v>システム適合者を確認</v>
      </c>
      <c r="L280" s="120" t="str">
        <f>VLOOKUP(I280,[7]stage_hints!$A:$D,4,FALSE)</f>
        <v>ALICEが 「アナタ」を呼んでいます</v>
      </c>
      <c r="M280" s="65" t="s">
        <v>207</v>
      </c>
    </row>
    <row r="281" spans="1:13" x14ac:dyDescent="0.15">
      <c r="A281" s="65" t="s">
        <v>206</v>
      </c>
      <c r="B281" s="65">
        <v>13101</v>
      </c>
      <c r="C281" s="65"/>
      <c r="D281" s="65"/>
      <c r="E281" s="65">
        <v>21</v>
      </c>
      <c r="F281" s="65"/>
      <c r="G281" s="65"/>
      <c r="H281" s="65">
        <v>0</v>
      </c>
      <c r="I281" s="65">
        <v>32</v>
      </c>
      <c r="J281" s="118" t="s">
        <v>188</v>
      </c>
      <c r="K281" s="119" t="str">
        <f>VLOOKUP(I281,[7]stage_hints!$A:$C,3,FALSE)</f>
        <v>敵の連続攻撃には</v>
      </c>
      <c r="L281" s="120" t="str">
        <f>VLOOKUP(I281,[7]stage_hints!$A:$D,4,FALSE)</f>
        <v>カウンタースキルを持つユニットがいれば_x000D_ダメージ回数分の反撃ができます</v>
      </c>
      <c r="M281" s="65" t="s">
        <v>207</v>
      </c>
    </row>
    <row r="282" spans="1:13" x14ac:dyDescent="0.15">
      <c r="A282" s="65" t="s">
        <v>206</v>
      </c>
      <c r="B282" s="65">
        <v>13101</v>
      </c>
      <c r="C282" s="65"/>
      <c r="D282" s="65"/>
      <c r="E282" s="65">
        <v>21</v>
      </c>
      <c r="F282" s="65"/>
      <c r="G282" s="65"/>
      <c r="H282" s="65">
        <v>0</v>
      </c>
      <c r="I282" s="65">
        <v>34</v>
      </c>
      <c r="J282" s="118" t="s">
        <v>188</v>
      </c>
      <c r="K282" s="119" t="str">
        <f>VLOOKUP(I282,[7]stage_hints!$A:$C,3,FALSE)</f>
        <v>ステータスをスキルで下げられたら</v>
      </c>
      <c r="L282" s="120" t="str">
        <f>VLOOKUP(I282,[7]stage_hints!$A:$D,4,FALSE)</f>
        <v>ステータスダウンのスキルを受けたら_x000D_ステータスアップスキルで上書きしましょう</v>
      </c>
      <c r="M282" s="65" t="s">
        <v>207</v>
      </c>
    </row>
    <row r="283" spans="1:13" x14ac:dyDescent="0.15">
      <c r="A283" s="65" t="s">
        <v>206</v>
      </c>
      <c r="B283" s="65">
        <v>13101</v>
      </c>
      <c r="C283" s="65"/>
      <c r="D283" s="65"/>
      <c r="E283" s="65">
        <v>21</v>
      </c>
      <c r="F283" s="65"/>
      <c r="G283" s="65"/>
      <c r="H283" s="65">
        <v>0</v>
      </c>
      <c r="I283" s="65">
        <v>35</v>
      </c>
      <c r="J283" s="118" t="s">
        <v>188</v>
      </c>
      <c r="K283" s="119" t="str">
        <f>VLOOKUP(I283,[7]stage_hints!$A:$C,3,FALSE)</f>
        <v>敵のステータスがスキルで上がったら</v>
      </c>
      <c r="L283" s="120" t="str">
        <f>VLOOKUP(I283,[7]stage_hints!$A:$D,4,FALSE)</f>
        <v>敵のステータスがスキルでアップしたときは_x000D_ステータスダウンスキルで上書きしましょう</v>
      </c>
      <c r="M283" s="65" t="s">
        <v>207</v>
      </c>
    </row>
    <row r="284" spans="1:13" x14ac:dyDescent="0.15">
      <c r="A284" s="65" t="s">
        <v>206</v>
      </c>
      <c r="B284" s="65">
        <v>13101</v>
      </c>
      <c r="C284" s="65"/>
      <c r="D284" s="65"/>
      <c r="E284" s="65">
        <v>21</v>
      </c>
      <c r="F284" s="65"/>
      <c r="G284" s="65"/>
      <c r="H284" s="65">
        <v>0</v>
      </c>
      <c r="I284" s="65">
        <v>36</v>
      </c>
      <c r="J284" s="118" t="s">
        <v>188</v>
      </c>
      <c r="K284" s="119" t="str">
        <f>VLOOKUP(I284,[7]stage_hints!$A:$C,3,FALSE)</f>
        <v>チャレンジタワーのボス</v>
      </c>
      <c r="L284" s="120" t="str">
        <f>VLOOKUP(I284,[7]stage_hints!$A:$D,4,FALSE)</f>
        <v>チャレンジタワーでのみ登場するボスは_x000D_一定確率で獲得することができます</v>
      </c>
      <c r="M284" s="65" t="s">
        <v>207</v>
      </c>
    </row>
    <row r="285" spans="1:13" x14ac:dyDescent="0.15">
      <c r="A285" s="65" t="s">
        <v>206</v>
      </c>
      <c r="B285" s="65">
        <v>13101</v>
      </c>
      <c r="C285" s="65"/>
      <c r="D285" s="65"/>
      <c r="E285" s="65">
        <v>21</v>
      </c>
      <c r="F285" s="65"/>
      <c r="G285" s="65"/>
      <c r="H285" s="65">
        <v>0</v>
      </c>
      <c r="I285" s="65">
        <v>37</v>
      </c>
      <c r="J285" s="118" t="s">
        <v>188</v>
      </c>
      <c r="K285" s="119" t="str">
        <f>VLOOKUP(I285,[7]stage_hints!$A:$C,3,FALSE)</f>
        <v>限界突破値の引き継ぎ</v>
      </c>
      <c r="L285" s="120" t="str">
        <f>VLOOKUP(I285,[7]stage_hints!$A:$D,4,FALSE)</f>
        <v>同じユニットを強化で合成すると_x000D_限界突破値を引き継げます（覚醒前後も可）</v>
      </c>
      <c r="M285" s="65" t="s">
        <v>207</v>
      </c>
    </row>
    <row r="286" spans="1:13" x14ac:dyDescent="0.15">
      <c r="A286" s="65" t="s">
        <v>206</v>
      </c>
      <c r="B286" s="65">
        <v>13101</v>
      </c>
      <c r="C286" s="65"/>
      <c r="D286" s="65"/>
      <c r="E286" s="65">
        <v>21</v>
      </c>
      <c r="F286" s="65"/>
      <c r="G286" s="65"/>
      <c r="H286" s="65">
        <v>0</v>
      </c>
      <c r="I286" s="65">
        <v>39</v>
      </c>
      <c r="J286" s="118" t="s">
        <v>188</v>
      </c>
      <c r="K286" s="119" t="str">
        <f>VLOOKUP(I286,[7]stage_hints!$A:$C,3,FALSE)</f>
        <v>システム適合者を確認</v>
      </c>
      <c r="L286" s="120" t="str">
        <f>VLOOKUP(I286,[7]stage_hints!$A:$D,4,FALSE)</f>
        <v>ALICEが 「アナタ」を呼んでいます</v>
      </c>
      <c r="M286" s="65" t="s">
        <v>207</v>
      </c>
    </row>
    <row r="287" spans="1:13" x14ac:dyDescent="0.15">
      <c r="A287" s="65" t="s">
        <v>206</v>
      </c>
      <c r="B287" s="65">
        <v>13101</v>
      </c>
      <c r="C287" s="65"/>
      <c r="D287" s="65"/>
      <c r="E287" s="65">
        <v>22</v>
      </c>
      <c r="F287" s="65"/>
      <c r="G287" s="65"/>
      <c r="H287" s="65">
        <v>0</v>
      </c>
      <c r="I287" s="65">
        <v>32</v>
      </c>
      <c r="J287" s="118" t="s">
        <v>188</v>
      </c>
      <c r="K287" s="119" t="str">
        <f>VLOOKUP(I287,[7]stage_hints!$A:$C,3,FALSE)</f>
        <v>敵の連続攻撃には</v>
      </c>
      <c r="L287" s="120" t="str">
        <f>VLOOKUP(I287,[7]stage_hints!$A:$D,4,FALSE)</f>
        <v>カウンタースキルを持つユニットがいれば_x000D_ダメージ回数分の反撃ができます</v>
      </c>
      <c r="M287" s="65" t="s">
        <v>207</v>
      </c>
    </row>
    <row r="288" spans="1:13" x14ac:dyDescent="0.15">
      <c r="A288" s="65" t="s">
        <v>206</v>
      </c>
      <c r="B288" s="65">
        <v>13101</v>
      </c>
      <c r="C288" s="65"/>
      <c r="D288" s="65"/>
      <c r="E288" s="65">
        <v>22</v>
      </c>
      <c r="F288" s="65"/>
      <c r="G288" s="65"/>
      <c r="H288" s="65">
        <v>0</v>
      </c>
      <c r="I288" s="65">
        <v>34</v>
      </c>
      <c r="J288" s="118" t="s">
        <v>188</v>
      </c>
      <c r="K288" s="119" t="str">
        <f>VLOOKUP(I288,[7]stage_hints!$A:$C,3,FALSE)</f>
        <v>ステータスをスキルで下げられたら</v>
      </c>
      <c r="L288" s="120" t="str">
        <f>VLOOKUP(I288,[7]stage_hints!$A:$D,4,FALSE)</f>
        <v>ステータスダウンのスキルを受けたら_x000D_ステータスアップスキルで上書きしましょう</v>
      </c>
      <c r="M288" s="65" t="s">
        <v>207</v>
      </c>
    </row>
    <row r="289" spans="1:13" x14ac:dyDescent="0.15">
      <c r="A289" s="65" t="s">
        <v>206</v>
      </c>
      <c r="B289" s="65">
        <v>13101</v>
      </c>
      <c r="C289" s="65"/>
      <c r="D289" s="65"/>
      <c r="E289" s="65">
        <v>22</v>
      </c>
      <c r="F289" s="65"/>
      <c r="G289" s="65"/>
      <c r="H289" s="65">
        <v>0</v>
      </c>
      <c r="I289" s="65">
        <v>35</v>
      </c>
      <c r="J289" s="118" t="s">
        <v>188</v>
      </c>
      <c r="K289" s="119" t="str">
        <f>VLOOKUP(I289,[7]stage_hints!$A:$C,3,FALSE)</f>
        <v>敵のステータスがスキルで上がったら</v>
      </c>
      <c r="L289" s="120" t="str">
        <f>VLOOKUP(I289,[7]stage_hints!$A:$D,4,FALSE)</f>
        <v>敵のステータスがスキルでアップしたときは_x000D_ステータスダウンスキルで上書きしましょう</v>
      </c>
      <c r="M289" s="65" t="s">
        <v>207</v>
      </c>
    </row>
    <row r="290" spans="1:13" x14ac:dyDescent="0.15">
      <c r="A290" s="65" t="s">
        <v>206</v>
      </c>
      <c r="B290" s="65">
        <v>13101</v>
      </c>
      <c r="C290" s="65"/>
      <c r="D290" s="65"/>
      <c r="E290" s="65">
        <v>22</v>
      </c>
      <c r="F290" s="65"/>
      <c r="G290" s="65"/>
      <c r="H290" s="65">
        <v>0</v>
      </c>
      <c r="I290" s="65">
        <v>36</v>
      </c>
      <c r="J290" s="118" t="s">
        <v>188</v>
      </c>
      <c r="K290" s="119" t="str">
        <f>VLOOKUP(I290,[7]stage_hints!$A:$C,3,FALSE)</f>
        <v>チャレンジタワーのボス</v>
      </c>
      <c r="L290" s="120" t="str">
        <f>VLOOKUP(I290,[7]stage_hints!$A:$D,4,FALSE)</f>
        <v>チャレンジタワーでのみ登場するボスは_x000D_一定確率で獲得することができます</v>
      </c>
      <c r="M290" s="65" t="s">
        <v>207</v>
      </c>
    </row>
    <row r="291" spans="1:13" x14ac:dyDescent="0.15">
      <c r="A291" s="65" t="s">
        <v>206</v>
      </c>
      <c r="B291" s="65">
        <v>13101</v>
      </c>
      <c r="C291" s="65"/>
      <c r="D291" s="65"/>
      <c r="E291" s="65">
        <v>22</v>
      </c>
      <c r="F291" s="65"/>
      <c r="G291" s="65"/>
      <c r="H291" s="65">
        <v>0</v>
      </c>
      <c r="I291" s="65">
        <v>37</v>
      </c>
      <c r="J291" s="118" t="s">
        <v>188</v>
      </c>
      <c r="K291" s="119" t="str">
        <f>VLOOKUP(I291,[7]stage_hints!$A:$C,3,FALSE)</f>
        <v>限界突破値の引き継ぎ</v>
      </c>
      <c r="L291" s="120" t="str">
        <f>VLOOKUP(I291,[7]stage_hints!$A:$D,4,FALSE)</f>
        <v>同じユニットを強化で合成すると_x000D_限界突破値を引き継げます（覚醒前後も可）</v>
      </c>
      <c r="M291" s="65" t="s">
        <v>207</v>
      </c>
    </row>
    <row r="292" spans="1:13" x14ac:dyDescent="0.15">
      <c r="A292" s="65" t="s">
        <v>206</v>
      </c>
      <c r="B292" s="65">
        <v>13101</v>
      </c>
      <c r="C292" s="65"/>
      <c r="D292" s="65"/>
      <c r="E292" s="65">
        <v>22</v>
      </c>
      <c r="F292" s="65"/>
      <c r="G292" s="65"/>
      <c r="H292" s="65">
        <v>0</v>
      </c>
      <c r="I292" s="65">
        <v>39</v>
      </c>
      <c r="J292" s="118" t="s">
        <v>188</v>
      </c>
      <c r="K292" s="119" t="str">
        <f>VLOOKUP(I292,[7]stage_hints!$A:$C,3,FALSE)</f>
        <v>システム適合者を確認</v>
      </c>
      <c r="L292" s="120" t="str">
        <f>VLOOKUP(I292,[7]stage_hints!$A:$D,4,FALSE)</f>
        <v>ALICEが 「アナタ」を呼んでいます</v>
      </c>
      <c r="M292" s="65" t="s">
        <v>207</v>
      </c>
    </row>
    <row r="293" spans="1:13" x14ac:dyDescent="0.15">
      <c r="A293" s="65" t="s">
        <v>206</v>
      </c>
      <c r="B293" s="65">
        <v>13101</v>
      </c>
      <c r="C293" s="65"/>
      <c r="D293" s="65"/>
      <c r="E293" s="65">
        <v>23</v>
      </c>
      <c r="F293" s="65"/>
      <c r="G293" s="65"/>
      <c r="H293" s="65">
        <v>0</v>
      </c>
      <c r="I293" s="65">
        <v>32</v>
      </c>
      <c r="J293" s="118" t="s">
        <v>188</v>
      </c>
      <c r="K293" s="119" t="str">
        <f>VLOOKUP(I293,[7]stage_hints!$A:$C,3,FALSE)</f>
        <v>敵の連続攻撃には</v>
      </c>
      <c r="L293" s="120" t="str">
        <f>VLOOKUP(I293,[7]stage_hints!$A:$D,4,FALSE)</f>
        <v>カウンタースキルを持つユニットがいれば_x000D_ダメージ回数分の反撃ができます</v>
      </c>
      <c r="M293" s="65" t="s">
        <v>207</v>
      </c>
    </row>
    <row r="294" spans="1:13" x14ac:dyDescent="0.15">
      <c r="A294" s="65" t="s">
        <v>206</v>
      </c>
      <c r="B294" s="65">
        <v>13101</v>
      </c>
      <c r="C294" s="65"/>
      <c r="D294" s="65"/>
      <c r="E294" s="65">
        <v>23</v>
      </c>
      <c r="F294" s="65"/>
      <c r="G294" s="65"/>
      <c r="H294" s="65">
        <v>0</v>
      </c>
      <c r="I294" s="65">
        <v>34</v>
      </c>
      <c r="J294" s="118" t="s">
        <v>188</v>
      </c>
      <c r="K294" s="119" t="str">
        <f>VLOOKUP(I294,[7]stage_hints!$A:$C,3,FALSE)</f>
        <v>ステータスをスキルで下げられたら</v>
      </c>
      <c r="L294" s="120" t="str">
        <f>VLOOKUP(I294,[7]stage_hints!$A:$D,4,FALSE)</f>
        <v>ステータスダウンのスキルを受けたら_x000D_ステータスアップスキルで上書きしましょう</v>
      </c>
      <c r="M294" s="65" t="s">
        <v>207</v>
      </c>
    </row>
    <row r="295" spans="1:13" x14ac:dyDescent="0.15">
      <c r="A295" s="65" t="s">
        <v>206</v>
      </c>
      <c r="B295" s="65">
        <v>13101</v>
      </c>
      <c r="C295" s="65"/>
      <c r="D295" s="65"/>
      <c r="E295" s="65">
        <v>23</v>
      </c>
      <c r="F295" s="65"/>
      <c r="G295" s="65"/>
      <c r="H295" s="65">
        <v>0</v>
      </c>
      <c r="I295" s="65">
        <v>35</v>
      </c>
      <c r="J295" s="118" t="s">
        <v>188</v>
      </c>
      <c r="K295" s="119" t="str">
        <f>VLOOKUP(I295,[7]stage_hints!$A:$C,3,FALSE)</f>
        <v>敵のステータスがスキルで上がったら</v>
      </c>
      <c r="L295" s="120" t="str">
        <f>VLOOKUP(I295,[7]stage_hints!$A:$D,4,FALSE)</f>
        <v>敵のステータスがスキルでアップしたときは_x000D_ステータスダウンスキルで上書きしましょう</v>
      </c>
      <c r="M295" s="65" t="s">
        <v>207</v>
      </c>
    </row>
    <row r="296" spans="1:13" x14ac:dyDescent="0.15">
      <c r="A296" s="65" t="s">
        <v>206</v>
      </c>
      <c r="B296" s="65">
        <v>13101</v>
      </c>
      <c r="C296" s="65"/>
      <c r="D296" s="65"/>
      <c r="E296" s="65">
        <v>23</v>
      </c>
      <c r="F296" s="65"/>
      <c r="G296" s="65"/>
      <c r="H296" s="65">
        <v>0</v>
      </c>
      <c r="I296" s="65">
        <v>36</v>
      </c>
      <c r="J296" s="118" t="s">
        <v>188</v>
      </c>
      <c r="K296" s="119" t="str">
        <f>VLOOKUP(I296,[7]stage_hints!$A:$C,3,FALSE)</f>
        <v>チャレンジタワーのボス</v>
      </c>
      <c r="L296" s="120" t="str">
        <f>VLOOKUP(I296,[7]stage_hints!$A:$D,4,FALSE)</f>
        <v>チャレンジタワーでのみ登場するボスは_x000D_一定確率で獲得することができます</v>
      </c>
      <c r="M296" s="65" t="s">
        <v>207</v>
      </c>
    </row>
    <row r="297" spans="1:13" x14ac:dyDescent="0.15">
      <c r="A297" s="65" t="s">
        <v>206</v>
      </c>
      <c r="B297" s="65">
        <v>13101</v>
      </c>
      <c r="C297" s="65"/>
      <c r="D297" s="65"/>
      <c r="E297" s="65">
        <v>23</v>
      </c>
      <c r="F297" s="65"/>
      <c r="G297" s="65"/>
      <c r="H297" s="65">
        <v>0</v>
      </c>
      <c r="I297" s="65">
        <v>37</v>
      </c>
      <c r="J297" s="118" t="s">
        <v>188</v>
      </c>
      <c r="K297" s="119" t="str">
        <f>VLOOKUP(I297,[7]stage_hints!$A:$C,3,FALSE)</f>
        <v>限界突破値の引き継ぎ</v>
      </c>
      <c r="L297" s="120" t="str">
        <f>VLOOKUP(I297,[7]stage_hints!$A:$D,4,FALSE)</f>
        <v>同じユニットを強化で合成すると_x000D_限界突破値を引き継げます（覚醒前後も可）</v>
      </c>
      <c r="M297" s="65" t="s">
        <v>207</v>
      </c>
    </row>
    <row r="298" spans="1:13" x14ac:dyDescent="0.15">
      <c r="A298" s="65" t="s">
        <v>206</v>
      </c>
      <c r="B298" s="65">
        <v>13101</v>
      </c>
      <c r="C298" s="65"/>
      <c r="D298" s="65"/>
      <c r="E298" s="65">
        <v>23</v>
      </c>
      <c r="F298" s="65"/>
      <c r="G298" s="65"/>
      <c r="H298" s="65">
        <v>0</v>
      </c>
      <c r="I298" s="65">
        <v>39</v>
      </c>
      <c r="J298" s="118" t="s">
        <v>188</v>
      </c>
      <c r="K298" s="119" t="str">
        <f>VLOOKUP(I298,[7]stage_hints!$A:$C,3,FALSE)</f>
        <v>システム適合者を確認</v>
      </c>
      <c r="L298" s="120" t="str">
        <f>VLOOKUP(I298,[7]stage_hints!$A:$D,4,FALSE)</f>
        <v>ALICEが 「アナタ」を呼んでいます</v>
      </c>
      <c r="M298" s="65" t="s">
        <v>207</v>
      </c>
    </row>
    <row r="299" spans="1:13" x14ac:dyDescent="0.15">
      <c r="A299" s="65" t="s">
        <v>206</v>
      </c>
      <c r="B299" s="65">
        <v>13101</v>
      </c>
      <c r="C299" s="65"/>
      <c r="D299" s="65"/>
      <c r="E299" s="65">
        <v>24</v>
      </c>
      <c r="F299" s="65"/>
      <c r="G299" s="65"/>
      <c r="H299" s="65">
        <v>0</v>
      </c>
      <c r="I299" s="65">
        <v>32</v>
      </c>
      <c r="J299" s="118" t="s">
        <v>188</v>
      </c>
      <c r="K299" s="119" t="str">
        <f>VLOOKUP(I299,[7]stage_hints!$A:$C,3,FALSE)</f>
        <v>敵の連続攻撃には</v>
      </c>
      <c r="L299" s="120" t="str">
        <f>VLOOKUP(I299,[7]stage_hints!$A:$D,4,FALSE)</f>
        <v>カウンタースキルを持つユニットがいれば_x000D_ダメージ回数分の反撃ができます</v>
      </c>
      <c r="M299" s="65" t="s">
        <v>207</v>
      </c>
    </row>
    <row r="300" spans="1:13" x14ac:dyDescent="0.15">
      <c r="A300" s="65" t="s">
        <v>206</v>
      </c>
      <c r="B300" s="65">
        <v>13101</v>
      </c>
      <c r="C300" s="65"/>
      <c r="D300" s="65"/>
      <c r="E300" s="65">
        <v>24</v>
      </c>
      <c r="F300" s="65"/>
      <c r="G300" s="65"/>
      <c r="H300" s="65">
        <v>0</v>
      </c>
      <c r="I300" s="65">
        <v>34</v>
      </c>
      <c r="J300" s="118" t="s">
        <v>188</v>
      </c>
      <c r="K300" s="119" t="str">
        <f>VLOOKUP(I300,[7]stage_hints!$A:$C,3,FALSE)</f>
        <v>ステータスをスキルで下げられたら</v>
      </c>
      <c r="L300" s="120" t="str">
        <f>VLOOKUP(I300,[7]stage_hints!$A:$D,4,FALSE)</f>
        <v>ステータスダウンのスキルを受けたら_x000D_ステータスアップスキルで上書きしましょう</v>
      </c>
      <c r="M300" s="65" t="s">
        <v>207</v>
      </c>
    </row>
    <row r="301" spans="1:13" x14ac:dyDescent="0.15">
      <c r="A301" s="65" t="s">
        <v>206</v>
      </c>
      <c r="B301" s="65">
        <v>13101</v>
      </c>
      <c r="C301" s="65"/>
      <c r="D301" s="65"/>
      <c r="E301" s="65">
        <v>24</v>
      </c>
      <c r="F301" s="65"/>
      <c r="G301" s="65"/>
      <c r="H301" s="65">
        <v>0</v>
      </c>
      <c r="I301" s="65">
        <v>35</v>
      </c>
      <c r="J301" s="118" t="s">
        <v>188</v>
      </c>
      <c r="K301" s="119" t="str">
        <f>VLOOKUP(I301,[7]stage_hints!$A:$C,3,FALSE)</f>
        <v>敵のステータスがスキルで上がったら</v>
      </c>
      <c r="L301" s="120" t="str">
        <f>VLOOKUP(I301,[7]stage_hints!$A:$D,4,FALSE)</f>
        <v>敵のステータスがスキルでアップしたときは_x000D_ステータスダウンスキルで上書きしましょう</v>
      </c>
      <c r="M301" s="65" t="s">
        <v>207</v>
      </c>
    </row>
    <row r="302" spans="1:13" x14ac:dyDescent="0.15">
      <c r="A302" s="65" t="s">
        <v>206</v>
      </c>
      <c r="B302" s="65">
        <v>13101</v>
      </c>
      <c r="C302" s="65"/>
      <c r="D302" s="65"/>
      <c r="E302" s="65">
        <v>24</v>
      </c>
      <c r="F302" s="65"/>
      <c r="G302" s="65"/>
      <c r="H302" s="65">
        <v>0</v>
      </c>
      <c r="I302" s="65">
        <v>36</v>
      </c>
      <c r="J302" s="118" t="s">
        <v>188</v>
      </c>
      <c r="K302" s="119" t="str">
        <f>VLOOKUP(I302,[7]stage_hints!$A:$C,3,FALSE)</f>
        <v>チャレンジタワーのボス</v>
      </c>
      <c r="L302" s="120" t="str">
        <f>VLOOKUP(I302,[7]stage_hints!$A:$D,4,FALSE)</f>
        <v>チャレンジタワーでのみ登場するボスは_x000D_一定確率で獲得することができます</v>
      </c>
      <c r="M302" s="65" t="s">
        <v>207</v>
      </c>
    </row>
    <row r="303" spans="1:13" x14ac:dyDescent="0.15">
      <c r="A303" s="65" t="s">
        <v>206</v>
      </c>
      <c r="B303" s="65">
        <v>13101</v>
      </c>
      <c r="C303" s="65"/>
      <c r="D303" s="65"/>
      <c r="E303" s="65">
        <v>24</v>
      </c>
      <c r="F303" s="65"/>
      <c r="G303" s="65"/>
      <c r="H303" s="65">
        <v>0</v>
      </c>
      <c r="I303" s="65">
        <v>37</v>
      </c>
      <c r="J303" s="118" t="s">
        <v>188</v>
      </c>
      <c r="K303" s="119" t="str">
        <f>VLOOKUP(I303,[7]stage_hints!$A:$C,3,FALSE)</f>
        <v>限界突破値の引き継ぎ</v>
      </c>
      <c r="L303" s="120" t="str">
        <f>VLOOKUP(I303,[7]stage_hints!$A:$D,4,FALSE)</f>
        <v>同じユニットを強化で合成すると_x000D_限界突破値を引き継げます（覚醒前後も可）</v>
      </c>
      <c r="M303" s="65" t="s">
        <v>207</v>
      </c>
    </row>
    <row r="304" spans="1:13" x14ac:dyDescent="0.15">
      <c r="A304" s="65" t="s">
        <v>206</v>
      </c>
      <c r="B304" s="65">
        <v>13101</v>
      </c>
      <c r="C304" s="65"/>
      <c r="D304" s="65"/>
      <c r="E304" s="65">
        <v>24</v>
      </c>
      <c r="F304" s="65"/>
      <c r="G304" s="65"/>
      <c r="H304" s="65">
        <v>0</v>
      </c>
      <c r="I304" s="65">
        <v>39</v>
      </c>
      <c r="J304" s="118" t="s">
        <v>188</v>
      </c>
      <c r="K304" s="119" t="str">
        <f>VLOOKUP(I304,[7]stage_hints!$A:$C,3,FALSE)</f>
        <v>システム適合者を確認</v>
      </c>
      <c r="L304" s="120" t="str">
        <f>VLOOKUP(I304,[7]stage_hints!$A:$D,4,FALSE)</f>
        <v>ALICEが 「アナタ」を呼んでいます</v>
      </c>
      <c r="M304" s="65" t="s">
        <v>207</v>
      </c>
    </row>
    <row r="305" spans="1:13" x14ac:dyDescent="0.15">
      <c r="A305" s="65" t="s">
        <v>206</v>
      </c>
      <c r="B305" s="65">
        <v>13101</v>
      </c>
      <c r="C305" s="65"/>
      <c r="D305" s="65"/>
      <c r="E305" s="65">
        <v>25</v>
      </c>
      <c r="F305" s="65"/>
      <c r="G305" s="65"/>
      <c r="H305" s="65">
        <v>0</v>
      </c>
      <c r="I305" s="65">
        <v>32</v>
      </c>
      <c r="J305" s="118" t="s">
        <v>188</v>
      </c>
      <c r="K305" s="119" t="str">
        <f>VLOOKUP(I305,[7]stage_hints!$A:$C,3,FALSE)</f>
        <v>敵の連続攻撃には</v>
      </c>
      <c r="L305" s="120" t="str">
        <f>VLOOKUP(I305,[7]stage_hints!$A:$D,4,FALSE)</f>
        <v>カウンタースキルを持つユニットがいれば_x000D_ダメージ回数分の反撃ができます</v>
      </c>
      <c r="M305" s="65" t="s">
        <v>207</v>
      </c>
    </row>
    <row r="306" spans="1:13" x14ac:dyDescent="0.15">
      <c r="A306" s="65" t="s">
        <v>206</v>
      </c>
      <c r="B306" s="65">
        <v>13101</v>
      </c>
      <c r="C306" s="65"/>
      <c r="D306" s="65"/>
      <c r="E306" s="65">
        <v>25</v>
      </c>
      <c r="F306" s="65"/>
      <c r="G306" s="65"/>
      <c r="H306" s="65">
        <v>0</v>
      </c>
      <c r="I306" s="65">
        <v>34</v>
      </c>
      <c r="J306" s="118" t="s">
        <v>188</v>
      </c>
      <c r="K306" s="119" t="str">
        <f>VLOOKUP(I306,[7]stage_hints!$A:$C,3,FALSE)</f>
        <v>ステータスをスキルで下げられたら</v>
      </c>
      <c r="L306" s="120" t="str">
        <f>VLOOKUP(I306,[7]stage_hints!$A:$D,4,FALSE)</f>
        <v>ステータスダウンのスキルを受けたら_x000D_ステータスアップスキルで上書きしましょう</v>
      </c>
      <c r="M306" s="65" t="s">
        <v>207</v>
      </c>
    </row>
    <row r="307" spans="1:13" x14ac:dyDescent="0.15">
      <c r="A307" s="65" t="s">
        <v>206</v>
      </c>
      <c r="B307" s="65">
        <v>13101</v>
      </c>
      <c r="C307" s="65"/>
      <c r="D307" s="65"/>
      <c r="E307" s="65">
        <v>25</v>
      </c>
      <c r="F307" s="65"/>
      <c r="G307" s="65"/>
      <c r="H307" s="65">
        <v>0</v>
      </c>
      <c r="I307" s="65">
        <v>35</v>
      </c>
      <c r="J307" s="118" t="s">
        <v>188</v>
      </c>
      <c r="K307" s="119" t="str">
        <f>VLOOKUP(I307,[7]stage_hints!$A:$C,3,FALSE)</f>
        <v>敵のステータスがスキルで上がったら</v>
      </c>
      <c r="L307" s="120" t="str">
        <f>VLOOKUP(I307,[7]stage_hints!$A:$D,4,FALSE)</f>
        <v>敵のステータスがスキルでアップしたときは_x000D_ステータスダウンスキルで上書きしましょう</v>
      </c>
      <c r="M307" s="65" t="s">
        <v>207</v>
      </c>
    </row>
    <row r="308" spans="1:13" x14ac:dyDescent="0.15">
      <c r="A308" s="65" t="s">
        <v>206</v>
      </c>
      <c r="B308" s="65">
        <v>13101</v>
      </c>
      <c r="C308" s="65"/>
      <c r="D308" s="65"/>
      <c r="E308" s="65">
        <v>25</v>
      </c>
      <c r="F308" s="65"/>
      <c r="G308" s="65"/>
      <c r="H308" s="65">
        <v>0</v>
      </c>
      <c r="I308" s="65">
        <v>36</v>
      </c>
      <c r="J308" s="118" t="s">
        <v>188</v>
      </c>
      <c r="K308" s="119" t="str">
        <f>VLOOKUP(I308,[7]stage_hints!$A:$C,3,FALSE)</f>
        <v>チャレンジタワーのボス</v>
      </c>
      <c r="L308" s="120" t="str">
        <f>VLOOKUP(I308,[7]stage_hints!$A:$D,4,FALSE)</f>
        <v>チャレンジタワーでのみ登場するボスは_x000D_一定確率で獲得することができます</v>
      </c>
      <c r="M308" s="65" t="s">
        <v>207</v>
      </c>
    </row>
    <row r="309" spans="1:13" x14ac:dyDescent="0.15">
      <c r="A309" s="65" t="s">
        <v>206</v>
      </c>
      <c r="B309" s="65">
        <v>13101</v>
      </c>
      <c r="C309" s="65"/>
      <c r="D309" s="65"/>
      <c r="E309" s="65">
        <v>25</v>
      </c>
      <c r="F309" s="65"/>
      <c r="G309" s="65"/>
      <c r="H309" s="65">
        <v>0</v>
      </c>
      <c r="I309" s="65">
        <v>37</v>
      </c>
      <c r="J309" s="118" t="s">
        <v>188</v>
      </c>
      <c r="K309" s="119" t="str">
        <f>VLOOKUP(I309,[7]stage_hints!$A:$C,3,FALSE)</f>
        <v>限界突破値の引き継ぎ</v>
      </c>
      <c r="L309" s="120" t="str">
        <f>VLOOKUP(I309,[7]stage_hints!$A:$D,4,FALSE)</f>
        <v>同じユニットを強化で合成すると_x000D_限界突破値を引き継げます（覚醒前後も可）</v>
      </c>
      <c r="M309" s="65" t="s">
        <v>207</v>
      </c>
    </row>
    <row r="310" spans="1:13" x14ac:dyDescent="0.15">
      <c r="A310" s="65" t="s">
        <v>206</v>
      </c>
      <c r="B310" s="65">
        <v>13101</v>
      </c>
      <c r="C310" s="65"/>
      <c r="D310" s="65"/>
      <c r="E310" s="65">
        <v>25</v>
      </c>
      <c r="F310" s="65"/>
      <c r="G310" s="65"/>
      <c r="H310" s="65">
        <v>0</v>
      </c>
      <c r="I310" s="65">
        <v>39</v>
      </c>
      <c r="J310" s="118" t="s">
        <v>188</v>
      </c>
      <c r="K310" s="119" t="str">
        <f>VLOOKUP(I310,[7]stage_hints!$A:$C,3,FALSE)</f>
        <v>システム適合者を確認</v>
      </c>
      <c r="L310" s="120" t="str">
        <f>VLOOKUP(I310,[7]stage_hints!$A:$D,4,FALSE)</f>
        <v>ALICEが 「アナタ」を呼んでいます</v>
      </c>
      <c r="M310" s="65" t="s">
        <v>207</v>
      </c>
    </row>
  </sheetData>
  <phoneticPr fontId="4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activeCell="U22" sqref="U22"/>
      <selection pane="bottomLeft" activeCell="A3" sqref="A3"/>
    </sheetView>
  </sheetViews>
  <sheetFormatPr baseColWidth="12" defaultColWidth="13" defaultRowHeight="15" outlineLevelCol="1" x14ac:dyDescent="0.15"/>
  <cols>
    <col min="1" max="1" width="13" style="121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106" t="s">
        <v>130</v>
      </c>
      <c r="B1" s="73" t="s">
        <v>127</v>
      </c>
      <c r="C1" s="107" t="s">
        <v>16</v>
      </c>
      <c r="D1" s="107" t="s">
        <v>34</v>
      </c>
      <c r="E1" s="73" t="s">
        <v>128</v>
      </c>
      <c r="F1" s="107" t="s">
        <v>16</v>
      </c>
      <c r="G1" s="107" t="s">
        <v>34</v>
      </c>
      <c r="H1" s="73" t="s">
        <v>19</v>
      </c>
      <c r="I1" s="122" t="s">
        <v>208</v>
      </c>
      <c r="J1" s="108" t="s">
        <v>209</v>
      </c>
      <c r="K1" s="109" t="s">
        <v>210</v>
      </c>
      <c r="L1" s="110" t="s">
        <v>211</v>
      </c>
      <c r="M1" s="111" t="s">
        <v>212</v>
      </c>
      <c r="N1" s="112" t="s">
        <v>213</v>
      </c>
    </row>
    <row r="2" spans="1:14" x14ac:dyDescent="0.15">
      <c r="A2" s="113" t="s">
        <v>214</v>
      </c>
      <c r="B2" s="114">
        <v>13101</v>
      </c>
      <c r="C2" s="115" t="str">
        <f ca="1">VLOOKUP($B2,OFFSET([2]quests!$A$1,0,0,COUNTA([2]quests!$A:$A),MATCH(C$1,[2]quests!$1:$1,0)-MATCH($B$1,[2]quests!$1:$1,0)+1),MATCH(C$1,[2]quests!$1:$1,0)-MATCH($B$1,[2]quests!$1:$1,0)+1,FALSE)</f>
        <v>チャレンジタワー</v>
      </c>
      <c r="D2" s="115" t="str">
        <f ca="1">VLOOKUP($B2,OFFSET([2]quests!$A$1,0,0,COUNTA([2]quests!$A:$A),MATCH(D$1,[2]quests!$1:$1,0)-MATCH($B$1,[2]quests!$1:$1,0)+1),MATCH(D$1,[2]quests!$1:$1,0)-MATCH($B$1,[2]quests!$1:$1,0)+1,FALSE)</f>
        <v>リセット型チャレンジタワー</v>
      </c>
      <c r="E2" s="118">
        <v>1</v>
      </c>
      <c r="F2" s="115" t="str">
        <f ca="1">VLOOKUP($B2&amp;"_"&amp;$E2,OFFSET([2]stages!$A$1,0,0,COUNTA([2]stages!$A:$A),MATCH(F$1,[2]stages!$2:$2,0)-MATCH("temp_stage",[2]stages!$2:$2,0)+1),MATCH(F$1,[2]stages!$2:$2,0)-MATCH("temp_stage",[2]stages!$2:$2,0)+1,FALSE)</f>
        <v>チャレンジタワー 1F</v>
      </c>
      <c r="G2" s="115" t="str">
        <f ca="1">VLOOKUP($B2&amp;"_"&amp;$E2,OFFSET([2]stages!$A$1,0,0,COUNTA([2]stages!$A:$A),MATCH(G$1,[2]stages!$2:$2,0)-MATCH("temp_stage",[2]stages!$2:$2,0)+1),MATCH(G$1,[2]stages!$2:$2,0)-MATCH("temp_stage",[2]stages!$2:$2,0)+1,FALSE)</f>
        <v>リセット型チャレンジタワー</v>
      </c>
      <c r="H2" s="117">
        <v>0</v>
      </c>
      <c r="I2" s="123">
        <f>ROW()-1</f>
        <v>1</v>
      </c>
      <c r="J2" s="124" t="str">
        <f>B2&amp;TEXT(I2,"00")</f>
        <v>1310101</v>
      </c>
      <c r="K2" s="118" t="s">
        <v>215</v>
      </c>
      <c r="L2" s="116" t="s">
        <v>216</v>
      </c>
      <c r="M2" s="125" t="s">
        <v>217</v>
      </c>
      <c r="N2" s="65" t="s">
        <v>218</v>
      </c>
    </row>
  </sheetData>
  <phoneticPr fontId="4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topLeftCell="F1" workbookViewId="0">
      <pane ySplit="1" topLeftCell="A2" activePane="bottomLeft" state="frozen"/>
      <selection activeCell="U22" sqref="U22"/>
      <selection pane="bottomLeft" activeCell="Z3" sqref="Z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26" t="s">
        <v>219</v>
      </c>
      <c r="B1" s="127" t="s">
        <v>197</v>
      </c>
      <c r="C1" s="107" t="s">
        <v>220</v>
      </c>
      <c r="D1" s="107" t="s">
        <v>34</v>
      </c>
      <c r="E1" s="127" t="s">
        <v>199</v>
      </c>
      <c r="F1" s="107" t="s">
        <v>221</v>
      </c>
      <c r="G1" s="107" t="s">
        <v>34</v>
      </c>
      <c r="H1" s="127" t="s">
        <v>222</v>
      </c>
      <c r="I1" s="127" t="s">
        <v>142</v>
      </c>
      <c r="J1" s="127" t="s">
        <v>223</v>
      </c>
      <c r="K1" s="73" t="s">
        <v>121</v>
      </c>
      <c r="L1" s="73" t="s">
        <v>224</v>
      </c>
      <c r="M1" s="73" t="s">
        <v>225</v>
      </c>
      <c r="N1" s="107" t="s">
        <v>221</v>
      </c>
      <c r="O1" s="73" t="s">
        <v>226</v>
      </c>
      <c r="P1" s="73" t="s">
        <v>227</v>
      </c>
      <c r="Q1" s="73" t="s">
        <v>228</v>
      </c>
      <c r="R1" s="73" t="s">
        <v>229</v>
      </c>
      <c r="S1" s="73" t="s">
        <v>230</v>
      </c>
      <c r="T1" s="73" t="s">
        <v>231</v>
      </c>
      <c r="U1" s="73" t="s">
        <v>232</v>
      </c>
      <c r="V1" s="73" t="s">
        <v>233</v>
      </c>
      <c r="W1" s="73" t="s">
        <v>234</v>
      </c>
      <c r="X1" s="73" t="s">
        <v>235</v>
      </c>
    </row>
    <row r="2" spans="1:24" x14ac:dyDescent="0.15">
      <c r="A2" s="128" t="str">
        <f>B2&amp;"_"&amp;E2&amp;"_"&amp;H2&amp;"_"&amp;I2&amp;"_"&amp;J2</f>
        <v>13101_1_everyone_clear_1</v>
      </c>
      <c r="B2" s="114">
        <v>13101</v>
      </c>
      <c r="C2" s="115" t="str">
        <f ca="1">VLOOKUP($B2,OFFSET([2]quests!$A$1,0,0,COUNTA([2]quests!$A:$A),MATCH(C$1,[2]quests!$1:$1,0)-MATCH($B$1,[2]quests!$1:$1,0)+1),MATCH(C$1,[2]quests!$1:$1,0)-MATCH($B$1,[2]quests!$1:$1,0)+1,FALSE)</f>
        <v>チャレンジタワー</v>
      </c>
      <c r="D2" s="115" t="str">
        <f ca="1">VLOOKUP($B2,OFFSET([2]quests!$A$1,0,0,COUNTA([2]quests!$A:$A),MATCH(D$1,[2]quests!$1:$1,0)-MATCH($B$1,[2]quests!$1:$1,0)+1),MATCH(D$1,[2]quests!$1:$1,0)-MATCH($B$1,[2]quests!$1:$1,0)+1,FALSE)</f>
        <v>リセット型チャレンジタワー</v>
      </c>
      <c r="E2" s="118">
        <v>1</v>
      </c>
      <c r="F2" s="115" t="str">
        <f ca="1">VLOOKUP($B2&amp;"_"&amp;$E2,OFFSET([2]stages!$A$1,0,0,COUNTA([2]stages!$A:$A),MATCH(F$1,[2]stages!$2:$2,0)-MATCH("temp_stage",[2]stages!$2:$2,0)+1),MATCH(F$1,[2]stages!$2:$2,0)-MATCH("temp_stage",[2]stages!$2:$2,0)+1,FALSE)</f>
        <v>チャレンジタワー 1F</v>
      </c>
      <c r="G2" s="115" t="str">
        <f ca="1">VLOOKUP($B2&amp;"_"&amp;$E2,OFFSET([2]stages!$A$1,0,0,COUNTA([2]stages!$A:$A),MATCH(G$1,[2]stages!$2:$2,0)-MATCH("temp_stage",[2]stages!$2:$2,0)+1),MATCH(G$1,[2]stages!$2:$2,0)-MATCH("temp_stage",[2]stages!$2:$2,0)+1,FALSE)</f>
        <v>リセット型チャレンジタワー</v>
      </c>
      <c r="H2" s="117" t="s">
        <v>236</v>
      </c>
      <c r="I2" s="118" t="s">
        <v>237</v>
      </c>
      <c r="J2" s="118">
        <v>1</v>
      </c>
      <c r="K2" s="118">
        <v>610</v>
      </c>
      <c r="L2" s="118" t="s">
        <v>238</v>
      </c>
      <c r="M2" s="118">
        <v>334</v>
      </c>
      <c r="N2" s="129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118">
        <v>1</v>
      </c>
      <c r="P2" s="118">
        <v>1</v>
      </c>
      <c r="Q2" s="118">
        <v>1</v>
      </c>
      <c r="R2" s="118">
        <v>0</v>
      </c>
      <c r="S2" s="118">
        <v>0</v>
      </c>
      <c r="T2" s="118">
        <v>0</v>
      </c>
      <c r="U2" s="118">
        <v>0</v>
      </c>
      <c r="V2" s="118">
        <v>1</v>
      </c>
      <c r="W2" s="130" t="s">
        <v>239</v>
      </c>
      <c r="X2" s="131" t="s">
        <v>240</v>
      </c>
    </row>
    <row r="3" spans="1:24" x14ac:dyDescent="0.15">
      <c r="A3" s="128" t="str">
        <f>B3&amp;"_"&amp;E3&amp;"_"&amp;H3&amp;"_"&amp;I3&amp;"_"&amp;J3</f>
        <v>13101_1_everyone_no_continue_1</v>
      </c>
      <c r="B3" s="114">
        <v>13101</v>
      </c>
      <c r="C3" s="115" t="str">
        <f ca="1">VLOOKUP($B3,OFFSET([2]quests!$A$1,0,0,COUNTA([2]quests!$A:$A),MATCH(C$1,[2]quests!$1:$1,0)-MATCH($B$1,[2]quests!$1:$1,0)+1),MATCH(C$1,[2]quests!$1:$1,0)-MATCH($B$1,[2]quests!$1:$1,0)+1,FALSE)</f>
        <v>チャレンジタワー</v>
      </c>
      <c r="D3" s="115" t="str">
        <f ca="1">VLOOKUP($B3,OFFSET([2]quests!$A$1,0,0,COUNTA([2]quests!$A:$A),MATCH(D$1,[2]quests!$1:$1,0)-MATCH($B$1,[2]quests!$1:$1,0)+1),MATCH(D$1,[2]quests!$1:$1,0)-MATCH($B$1,[2]quests!$1:$1,0)+1,FALSE)</f>
        <v>リセット型チャレンジタワー</v>
      </c>
      <c r="E3" s="118">
        <v>1</v>
      </c>
      <c r="F3" s="115" t="str">
        <f ca="1">VLOOKUP($B3&amp;"_"&amp;$E3,OFFSET([2]stages!$A$1,0,0,COUNTA([2]stages!$A:$A),MATCH(F$1,[2]stages!$2:$2,0)-MATCH("temp_stage",[2]stages!$2:$2,0)+1),MATCH(F$1,[2]stages!$2:$2,0)-MATCH("temp_stage",[2]stages!$2:$2,0)+1,FALSE)</f>
        <v>チャレンジタワー 1F</v>
      </c>
      <c r="G3" s="115" t="str">
        <f ca="1">VLOOKUP($B3&amp;"_"&amp;$E3,OFFSET([2]stages!$A$1,0,0,COUNTA([2]stages!$A:$A),MATCH(G$1,[2]stages!$2:$2,0)-MATCH("temp_stage",[2]stages!$2:$2,0)+1),MATCH(G$1,[2]stages!$2:$2,0)-MATCH("temp_stage",[2]stages!$2:$2,0)+1,FALSE)</f>
        <v>リセット型チャレンジタワー</v>
      </c>
      <c r="H3" s="117" t="s">
        <v>241</v>
      </c>
      <c r="I3" s="118" t="s">
        <v>242</v>
      </c>
      <c r="J3" s="118">
        <v>1</v>
      </c>
      <c r="K3" s="118">
        <v>610</v>
      </c>
      <c r="L3" s="118" t="s">
        <v>243</v>
      </c>
      <c r="M3" s="118">
        <v>334</v>
      </c>
      <c r="N3" s="129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118">
        <v>1</v>
      </c>
      <c r="P3" s="118">
        <v>1</v>
      </c>
      <c r="Q3" s="118">
        <v>1</v>
      </c>
      <c r="R3" s="118">
        <v>0</v>
      </c>
      <c r="S3" s="118">
        <v>0</v>
      </c>
      <c r="T3" s="118">
        <v>0</v>
      </c>
      <c r="U3" s="118">
        <v>0</v>
      </c>
      <c r="V3" s="118">
        <v>1</v>
      </c>
      <c r="W3" s="130" t="s">
        <v>244</v>
      </c>
      <c r="X3" s="131" t="s">
        <v>240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2016-08-31T13:09:17Z</dcterms:modified>
</cp:coreProperties>
</file>