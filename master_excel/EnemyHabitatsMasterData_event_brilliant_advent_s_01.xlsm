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426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lb-test/GitHub/BULL_data/master_excel/"/>
    </mc:Choice>
  </mc:AlternateContent>
  <bookViews>
    <workbookView xWindow="2380" yWindow="1000" windowWidth="24640" windowHeight="19800" tabRatio="740" firstSheet="1" activeTab="5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complete" sheetId="19" r:id="rId9"/>
    <sheet name="stage_hints_failure" sheetId="21" r:id="rId10"/>
    <sheet name="stage_bonuses" sheetId="22" r:id="rId11"/>
  </sheets>
  <externalReferences>
    <externalReference r:id="rId12"/>
    <externalReference r:id="rId13"/>
    <externalReference r:id="rId14"/>
    <externalReference r:id="rId15"/>
    <externalReference r:id="rId16"/>
  </externalReferences>
  <definedNames>
    <definedName name="_xlnm._FilterDatabase" localSheetId="3" hidden="1">enemy_habitat_S!$B$1:$AC$2</definedName>
    <definedName name="_xlnm._FilterDatabase" localSheetId="2" hidden="1">enemy_habitats!$B$1:$AL$2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enemy_skills!$A$1:$AC$1</definedName>
    <definedName name="_xlnm._FilterDatabase" localSheetId="10" hidden="1">stage_bonuses!$B$1:$I$1</definedName>
    <definedName name="_xlnm._FilterDatabase" localSheetId="8" hidden="1">stage_hints_complete!$B$1:$L$1</definedName>
    <definedName name="_xlnm._FilterDatabase" localSheetId="9" hidden="1">stage_hints_failure!$B$1:$M$2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5" i="21" l="1"/>
  <c r="B5" i="21"/>
  <c r="I5" i="21"/>
  <c r="J5" i="21"/>
  <c r="G5" i="21"/>
  <c r="F5" i="21"/>
  <c r="D5" i="21"/>
  <c r="C5" i="21"/>
  <c r="J58" i="11"/>
  <c r="O15" i="9"/>
  <c r="N15" i="9"/>
  <c r="M15" i="9"/>
  <c r="L15" i="9"/>
  <c r="K15" i="9"/>
  <c r="J15" i="9"/>
  <c r="I15" i="9"/>
  <c r="H15" i="9"/>
  <c r="G15" i="9"/>
  <c r="E15" i="9"/>
  <c r="D15" i="9"/>
  <c r="A15" i="9"/>
  <c r="J65" i="11"/>
  <c r="O81" i="9"/>
  <c r="N81" i="9"/>
  <c r="M81" i="9"/>
  <c r="L81" i="9"/>
  <c r="K81" i="9"/>
  <c r="J81" i="9"/>
  <c r="I81" i="9"/>
  <c r="H81" i="9"/>
  <c r="G81" i="9"/>
  <c r="E81" i="9"/>
  <c r="D81" i="9"/>
  <c r="A81" i="9"/>
  <c r="J64" i="11"/>
  <c r="O80" i="9"/>
  <c r="N80" i="9"/>
  <c r="M80" i="9"/>
  <c r="L80" i="9"/>
  <c r="K80" i="9"/>
  <c r="J80" i="9"/>
  <c r="I80" i="9"/>
  <c r="H80" i="9"/>
  <c r="G80" i="9"/>
  <c r="E80" i="9"/>
  <c r="D80" i="9"/>
  <c r="A80" i="9"/>
  <c r="J63" i="11"/>
  <c r="O79" i="9"/>
  <c r="N79" i="9"/>
  <c r="M79" i="9"/>
  <c r="L79" i="9"/>
  <c r="K79" i="9"/>
  <c r="J79" i="9"/>
  <c r="I79" i="9"/>
  <c r="H79" i="9"/>
  <c r="G79" i="9"/>
  <c r="E79" i="9"/>
  <c r="D79" i="9"/>
  <c r="A79" i="9"/>
  <c r="J61" i="11"/>
  <c r="J60" i="11"/>
  <c r="J59" i="11"/>
  <c r="N64" i="10"/>
  <c r="U64" i="10"/>
  <c r="X64" i="10"/>
  <c r="W64" i="10"/>
  <c r="Y64" i="10"/>
  <c r="V64" i="10"/>
  <c r="Z64" i="10"/>
  <c r="O64" i="10"/>
  <c r="R64" i="10"/>
  <c r="Q64" i="10"/>
  <c r="S64" i="10"/>
  <c r="P64" i="10"/>
  <c r="T64" i="10"/>
  <c r="G64" i="10"/>
  <c r="J64" i="10"/>
  <c r="I64" i="10"/>
  <c r="K64" i="10"/>
  <c r="H64" i="10"/>
  <c r="M64" i="10"/>
  <c r="O3" i="21"/>
  <c r="O4" i="21"/>
  <c r="O6" i="21"/>
  <c r="O7" i="21"/>
  <c r="O8" i="21"/>
  <c r="O9" i="21"/>
  <c r="O10" i="21"/>
  <c r="O11" i="21"/>
  <c r="O12" i="21"/>
  <c r="O13" i="21"/>
  <c r="O14" i="21"/>
  <c r="O15" i="21"/>
  <c r="O2" i="21"/>
  <c r="B10" i="21"/>
  <c r="I10" i="21"/>
  <c r="J10" i="21"/>
  <c r="G10" i="21"/>
  <c r="F10" i="21"/>
  <c r="D10" i="21"/>
  <c r="C10" i="21"/>
  <c r="B15" i="21"/>
  <c r="I15" i="21"/>
  <c r="J15" i="21"/>
  <c r="G15" i="21"/>
  <c r="F15" i="21"/>
  <c r="D15" i="21"/>
  <c r="C15" i="21"/>
  <c r="B14" i="21"/>
  <c r="I14" i="21"/>
  <c r="J14" i="21"/>
  <c r="G14" i="21"/>
  <c r="F14" i="21"/>
  <c r="D14" i="21"/>
  <c r="C14" i="21"/>
  <c r="B9" i="21"/>
  <c r="I9" i="21"/>
  <c r="J9" i="21"/>
  <c r="G9" i="21"/>
  <c r="F9" i="21"/>
  <c r="D9" i="21"/>
  <c r="C9" i="21"/>
  <c r="B8" i="21"/>
  <c r="I8" i="21"/>
  <c r="J8" i="21"/>
  <c r="G8" i="21"/>
  <c r="F8" i="21"/>
  <c r="D8" i="21"/>
  <c r="C8" i="21"/>
  <c r="B7" i="21"/>
  <c r="I7" i="21"/>
  <c r="J7" i="21"/>
  <c r="G7" i="21"/>
  <c r="F7" i="21"/>
  <c r="D7" i="21"/>
  <c r="C7" i="21"/>
  <c r="B6" i="21"/>
  <c r="I6" i="21"/>
  <c r="J6" i="21"/>
  <c r="G6" i="21"/>
  <c r="F6" i="21"/>
  <c r="D6" i="21"/>
  <c r="C6" i="21"/>
  <c r="B4" i="21"/>
  <c r="I4" i="21"/>
  <c r="J4" i="21"/>
  <c r="G4" i="21"/>
  <c r="F4" i="21"/>
  <c r="D4" i="21"/>
  <c r="C4" i="21"/>
  <c r="B3" i="21"/>
  <c r="I3" i="21"/>
  <c r="J3" i="21"/>
  <c r="G3" i="21"/>
  <c r="F3" i="21"/>
  <c r="D3" i="21"/>
  <c r="C3" i="21"/>
  <c r="N45" i="10"/>
  <c r="U45" i="10"/>
  <c r="X45" i="10"/>
  <c r="W45" i="10"/>
  <c r="Y45" i="10"/>
  <c r="V45" i="10"/>
  <c r="Z45" i="10"/>
  <c r="O45" i="10"/>
  <c r="R45" i="10"/>
  <c r="Q45" i="10"/>
  <c r="S45" i="10"/>
  <c r="P45" i="10"/>
  <c r="T45" i="10"/>
  <c r="G45" i="10"/>
  <c r="J45" i="10"/>
  <c r="I45" i="10"/>
  <c r="K45" i="10"/>
  <c r="H45" i="10"/>
  <c r="M45" i="10"/>
  <c r="J57" i="11"/>
  <c r="J56" i="11"/>
  <c r="J55" i="11"/>
  <c r="J54" i="11"/>
  <c r="N9" i="10"/>
  <c r="U9" i="10"/>
  <c r="X9" i="10"/>
  <c r="W9" i="10"/>
  <c r="Y9" i="10"/>
  <c r="V9" i="10"/>
  <c r="Z9" i="10"/>
  <c r="N18" i="10"/>
  <c r="O18" i="10"/>
  <c r="R18" i="10"/>
  <c r="Q18" i="10"/>
  <c r="S18" i="10"/>
  <c r="P18" i="10"/>
  <c r="T18" i="10"/>
  <c r="O9" i="10"/>
  <c r="R9" i="10"/>
  <c r="Q9" i="10"/>
  <c r="S9" i="10"/>
  <c r="P9" i="10"/>
  <c r="T9" i="10"/>
  <c r="G9" i="10"/>
  <c r="J9" i="10"/>
  <c r="I9" i="10"/>
  <c r="K9" i="10"/>
  <c r="H9" i="10"/>
  <c r="M9" i="10"/>
  <c r="O58" i="9"/>
  <c r="N58" i="9"/>
  <c r="M58" i="9"/>
  <c r="L58" i="9"/>
  <c r="K58" i="9"/>
  <c r="J58" i="9"/>
  <c r="I58" i="9"/>
  <c r="H58" i="9"/>
  <c r="G58" i="9"/>
  <c r="E58" i="9"/>
  <c r="D58" i="9"/>
  <c r="A58" i="9"/>
  <c r="O57" i="9"/>
  <c r="N57" i="9"/>
  <c r="M57" i="9"/>
  <c r="L57" i="9"/>
  <c r="K57" i="9"/>
  <c r="J57" i="9"/>
  <c r="I57" i="9"/>
  <c r="H57" i="9"/>
  <c r="G57" i="9"/>
  <c r="E57" i="9"/>
  <c r="D57" i="9"/>
  <c r="A57" i="9"/>
  <c r="O56" i="9"/>
  <c r="N56" i="9"/>
  <c r="M56" i="9"/>
  <c r="L56" i="9"/>
  <c r="K56" i="9"/>
  <c r="J56" i="9"/>
  <c r="I56" i="9"/>
  <c r="H56" i="9"/>
  <c r="G56" i="9"/>
  <c r="E56" i="9"/>
  <c r="D56" i="9"/>
  <c r="A56" i="9"/>
  <c r="J53" i="11"/>
  <c r="O14" i="9"/>
  <c r="N14" i="9"/>
  <c r="M14" i="9"/>
  <c r="L14" i="9"/>
  <c r="K14" i="9"/>
  <c r="J14" i="9"/>
  <c r="I14" i="9"/>
  <c r="H14" i="9"/>
  <c r="G14" i="9"/>
  <c r="E14" i="9"/>
  <c r="D14" i="9"/>
  <c r="A14" i="9"/>
  <c r="J52" i="11"/>
  <c r="O13" i="9"/>
  <c r="N13" i="9"/>
  <c r="M13" i="9"/>
  <c r="L13" i="9"/>
  <c r="K13" i="9"/>
  <c r="J13" i="9"/>
  <c r="I13" i="9"/>
  <c r="H13" i="9"/>
  <c r="G13" i="9"/>
  <c r="E13" i="9"/>
  <c r="D13" i="9"/>
  <c r="A13" i="9"/>
  <c r="J51" i="11"/>
  <c r="O12" i="9"/>
  <c r="N12" i="9"/>
  <c r="M12" i="9"/>
  <c r="L12" i="9"/>
  <c r="K12" i="9"/>
  <c r="J12" i="9"/>
  <c r="I12" i="9"/>
  <c r="H12" i="9"/>
  <c r="G12" i="9"/>
  <c r="E12" i="9"/>
  <c r="D12" i="9"/>
  <c r="A12" i="9"/>
  <c r="N8" i="10"/>
  <c r="U8" i="10"/>
  <c r="X8" i="10"/>
  <c r="W8" i="10"/>
  <c r="Y8" i="10"/>
  <c r="V8" i="10"/>
  <c r="Z8" i="10"/>
  <c r="N17" i="10"/>
  <c r="O17" i="10"/>
  <c r="R17" i="10"/>
  <c r="Q17" i="10"/>
  <c r="S17" i="10"/>
  <c r="P17" i="10"/>
  <c r="T17" i="10"/>
  <c r="O8" i="10"/>
  <c r="R8" i="10"/>
  <c r="Q8" i="10"/>
  <c r="S8" i="10"/>
  <c r="P8" i="10"/>
  <c r="T8" i="10"/>
  <c r="G8" i="10"/>
  <c r="J8" i="10"/>
  <c r="I8" i="10"/>
  <c r="K8" i="10"/>
  <c r="H8" i="10"/>
  <c r="M8" i="10"/>
  <c r="X2" i="7"/>
  <c r="A19" i="9"/>
  <c r="D19" i="9"/>
  <c r="E19" i="9"/>
  <c r="G19" i="9"/>
  <c r="H19" i="9"/>
  <c r="I19" i="9"/>
  <c r="J19" i="9"/>
  <c r="K19" i="9"/>
  <c r="L19" i="9"/>
  <c r="M19" i="9"/>
  <c r="N19" i="9"/>
  <c r="J9" i="11"/>
  <c r="O19" i="9"/>
  <c r="N11" i="10"/>
  <c r="U11" i="10"/>
  <c r="X11" i="10"/>
  <c r="W11" i="10"/>
  <c r="Y11" i="10"/>
  <c r="V11" i="10"/>
  <c r="Z11" i="10"/>
  <c r="O11" i="10"/>
  <c r="R11" i="10"/>
  <c r="Q11" i="10"/>
  <c r="S11" i="10"/>
  <c r="P11" i="10"/>
  <c r="T11" i="10"/>
  <c r="G11" i="10"/>
  <c r="J11" i="10"/>
  <c r="I11" i="10"/>
  <c r="K11" i="10"/>
  <c r="H11" i="10"/>
  <c r="M11" i="10"/>
  <c r="X5" i="7"/>
  <c r="Y5" i="7"/>
  <c r="X4" i="7"/>
  <c r="Y4" i="7"/>
  <c r="X3" i="7"/>
  <c r="Y3" i="7"/>
  <c r="Y2" i="7"/>
  <c r="U5" i="7"/>
  <c r="V5" i="7"/>
  <c r="U4" i="7"/>
  <c r="V4" i="7"/>
  <c r="U3" i="7"/>
  <c r="V3" i="7"/>
  <c r="U2" i="7"/>
  <c r="V2" i="7"/>
  <c r="T6" i="1"/>
  <c r="U6" i="1"/>
  <c r="T5" i="1"/>
  <c r="U5" i="1"/>
  <c r="T4" i="1"/>
  <c r="U4" i="1"/>
  <c r="T3" i="1"/>
  <c r="U3" i="1"/>
  <c r="T2" i="1"/>
  <c r="U2" i="1"/>
  <c r="W6" i="1"/>
  <c r="X6" i="1"/>
  <c r="W5" i="1"/>
  <c r="X5" i="1"/>
  <c r="W4" i="1"/>
  <c r="X4" i="1"/>
  <c r="W3" i="1"/>
  <c r="X3" i="1"/>
  <c r="W2" i="1"/>
  <c r="X2" i="1"/>
  <c r="N60" i="10"/>
  <c r="U60" i="10"/>
  <c r="X60" i="10"/>
  <c r="W60" i="10"/>
  <c r="Y60" i="10"/>
  <c r="V60" i="10"/>
  <c r="Z60" i="10"/>
  <c r="O60" i="10"/>
  <c r="R60" i="10"/>
  <c r="Q60" i="10"/>
  <c r="S60" i="10"/>
  <c r="P60" i="10"/>
  <c r="T60" i="10"/>
  <c r="G60" i="10"/>
  <c r="J60" i="10"/>
  <c r="I60" i="10"/>
  <c r="K60" i="10"/>
  <c r="H60" i="10"/>
  <c r="M60" i="10"/>
  <c r="O55" i="9"/>
  <c r="N55" i="9"/>
  <c r="M55" i="9"/>
  <c r="L55" i="9"/>
  <c r="K55" i="9"/>
  <c r="J55" i="9"/>
  <c r="I55" i="9"/>
  <c r="H55" i="9"/>
  <c r="G55" i="9"/>
  <c r="E55" i="9"/>
  <c r="D55" i="9"/>
  <c r="A55" i="9"/>
  <c r="O54" i="9"/>
  <c r="N54" i="9"/>
  <c r="M54" i="9"/>
  <c r="L54" i="9"/>
  <c r="K54" i="9"/>
  <c r="J54" i="9"/>
  <c r="I54" i="9"/>
  <c r="H54" i="9"/>
  <c r="G54" i="9"/>
  <c r="E54" i="9"/>
  <c r="D54" i="9"/>
  <c r="A54" i="9"/>
  <c r="J62" i="11"/>
  <c r="O78" i="9"/>
  <c r="N78" i="9"/>
  <c r="M78" i="9"/>
  <c r="L78" i="9"/>
  <c r="K78" i="9"/>
  <c r="J78" i="9"/>
  <c r="I78" i="9"/>
  <c r="H78" i="9"/>
  <c r="G78" i="9"/>
  <c r="E78" i="9"/>
  <c r="D78" i="9"/>
  <c r="A78" i="9"/>
  <c r="O77" i="9"/>
  <c r="N77" i="9"/>
  <c r="M77" i="9"/>
  <c r="L77" i="9"/>
  <c r="K77" i="9"/>
  <c r="J77" i="9"/>
  <c r="I77" i="9"/>
  <c r="H77" i="9"/>
  <c r="G77" i="9"/>
  <c r="E77" i="9"/>
  <c r="D77" i="9"/>
  <c r="A77" i="9"/>
  <c r="G68" i="9"/>
  <c r="H68" i="9"/>
  <c r="I68" i="9"/>
  <c r="J68" i="9"/>
  <c r="K68" i="9"/>
  <c r="L68" i="9"/>
  <c r="M68" i="9"/>
  <c r="N68" i="9"/>
  <c r="G69" i="9"/>
  <c r="H69" i="9"/>
  <c r="I69" i="9"/>
  <c r="J69" i="9"/>
  <c r="K69" i="9"/>
  <c r="L69" i="9"/>
  <c r="M69" i="9"/>
  <c r="N69" i="9"/>
  <c r="G70" i="9"/>
  <c r="H70" i="9"/>
  <c r="I70" i="9"/>
  <c r="J70" i="9"/>
  <c r="K70" i="9"/>
  <c r="L70" i="9"/>
  <c r="M70" i="9"/>
  <c r="N70" i="9"/>
  <c r="G71" i="9"/>
  <c r="H71" i="9"/>
  <c r="I71" i="9"/>
  <c r="J71" i="9"/>
  <c r="K71" i="9"/>
  <c r="L71" i="9"/>
  <c r="M71" i="9"/>
  <c r="N71" i="9"/>
  <c r="G72" i="9"/>
  <c r="H72" i="9"/>
  <c r="I72" i="9"/>
  <c r="J72" i="9"/>
  <c r="K72" i="9"/>
  <c r="L72" i="9"/>
  <c r="M72" i="9"/>
  <c r="N72" i="9"/>
  <c r="G73" i="9"/>
  <c r="H73" i="9"/>
  <c r="I73" i="9"/>
  <c r="J73" i="9"/>
  <c r="K73" i="9"/>
  <c r="L73" i="9"/>
  <c r="M73" i="9"/>
  <c r="N73" i="9"/>
  <c r="J49" i="11"/>
  <c r="J48" i="11"/>
  <c r="J47" i="11"/>
  <c r="J46" i="11"/>
  <c r="J45" i="11"/>
  <c r="G60" i="9"/>
  <c r="H60" i="9"/>
  <c r="I60" i="9"/>
  <c r="J60" i="9"/>
  <c r="K60" i="9"/>
  <c r="L60" i="9"/>
  <c r="M60" i="9"/>
  <c r="N60" i="9"/>
  <c r="G61" i="9"/>
  <c r="H61" i="9"/>
  <c r="I61" i="9"/>
  <c r="J61" i="9"/>
  <c r="K61" i="9"/>
  <c r="L61" i="9"/>
  <c r="M61" i="9"/>
  <c r="N61" i="9"/>
  <c r="G62" i="9"/>
  <c r="H62" i="9"/>
  <c r="I62" i="9"/>
  <c r="J62" i="9"/>
  <c r="K62" i="9"/>
  <c r="L62" i="9"/>
  <c r="M62" i="9"/>
  <c r="N62" i="9"/>
  <c r="G63" i="9"/>
  <c r="H63" i="9"/>
  <c r="I63" i="9"/>
  <c r="J63" i="9"/>
  <c r="K63" i="9"/>
  <c r="L63" i="9"/>
  <c r="M63" i="9"/>
  <c r="N63" i="9"/>
  <c r="G64" i="9"/>
  <c r="H64" i="9"/>
  <c r="I64" i="9"/>
  <c r="J64" i="9"/>
  <c r="K64" i="9"/>
  <c r="L64" i="9"/>
  <c r="M64" i="9"/>
  <c r="N64" i="9"/>
  <c r="G65" i="9"/>
  <c r="H65" i="9"/>
  <c r="I65" i="9"/>
  <c r="J65" i="9"/>
  <c r="K65" i="9"/>
  <c r="L65" i="9"/>
  <c r="M65" i="9"/>
  <c r="N65" i="9"/>
  <c r="G66" i="9"/>
  <c r="H66" i="9"/>
  <c r="I66" i="9"/>
  <c r="J66" i="9"/>
  <c r="K66" i="9"/>
  <c r="L66" i="9"/>
  <c r="M66" i="9"/>
  <c r="N66" i="9"/>
  <c r="G44" i="9"/>
  <c r="H44" i="9"/>
  <c r="I44" i="9"/>
  <c r="J44" i="9"/>
  <c r="K44" i="9"/>
  <c r="L44" i="9"/>
  <c r="M44" i="9"/>
  <c r="N44" i="9"/>
  <c r="G45" i="9"/>
  <c r="H45" i="9"/>
  <c r="I45" i="9"/>
  <c r="J45" i="9"/>
  <c r="K45" i="9"/>
  <c r="L45" i="9"/>
  <c r="M45" i="9"/>
  <c r="N45" i="9"/>
  <c r="G46" i="9"/>
  <c r="H46" i="9"/>
  <c r="I46" i="9"/>
  <c r="J46" i="9"/>
  <c r="K46" i="9"/>
  <c r="L46" i="9"/>
  <c r="M46" i="9"/>
  <c r="N46" i="9"/>
  <c r="G47" i="9"/>
  <c r="H47" i="9"/>
  <c r="I47" i="9"/>
  <c r="J47" i="9"/>
  <c r="K47" i="9"/>
  <c r="L47" i="9"/>
  <c r="M47" i="9"/>
  <c r="N47" i="9"/>
  <c r="G48" i="9"/>
  <c r="H48" i="9"/>
  <c r="I48" i="9"/>
  <c r="J48" i="9"/>
  <c r="K48" i="9"/>
  <c r="L48" i="9"/>
  <c r="M48" i="9"/>
  <c r="N48" i="9"/>
  <c r="G49" i="9"/>
  <c r="H49" i="9"/>
  <c r="I49" i="9"/>
  <c r="J49" i="9"/>
  <c r="K49" i="9"/>
  <c r="L49" i="9"/>
  <c r="M49" i="9"/>
  <c r="N49" i="9"/>
  <c r="G50" i="9"/>
  <c r="H50" i="9"/>
  <c r="I50" i="9"/>
  <c r="J50" i="9"/>
  <c r="K50" i="9"/>
  <c r="L50" i="9"/>
  <c r="M50" i="9"/>
  <c r="N50" i="9"/>
  <c r="G51" i="9"/>
  <c r="H51" i="9"/>
  <c r="I51" i="9"/>
  <c r="J51" i="9"/>
  <c r="K51" i="9"/>
  <c r="L51" i="9"/>
  <c r="M51" i="9"/>
  <c r="N51" i="9"/>
  <c r="G37" i="9"/>
  <c r="H37" i="9"/>
  <c r="I37" i="9"/>
  <c r="J37" i="9"/>
  <c r="K37" i="9"/>
  <c r="L37" i="9"/>
  <c r="M37" i="9"/>
  <c r="N37" i="9"/>
  <c r="G38" i="9"/>
  <c r="H38" i="9"/>
  <c r="I38" i="9"/>
  <c r="J38" i="9"/>
  <c r="K38" i="9"/>
  <c r="L38" i="9"/>
  <c r="M38" i="9"/>
  <c r="N38" i="9"/>
  <c r="G39" i="9"/>
  <c r="H39" i="9"/>
  <c r="I39" i="9"/>
  <c r="J39" i="9"/>
  <c r="K39" i="9"/>
  <c r="L39" i="9"/>
  <c r="M39" i="9"/>
  <c r="N39" i="9"/>
  <c r="G40" i="9"/>
  <c r="H40" i="9"/>
  <c r="I40" i="9"/>
  <c r="J40" i="9"/>
  <c r="K40" i="9"/>
  <c r="L40" i="9"/>
  <c r="M40" i="9"/>
  <c r="N40" i="9"/>
  <c r="G41" i="9"/>
  <c r="H41" i="9"/>
  <c r="I41" i="9"/>
  <c r="J41" i="9"/>
  <c r="K41" i="9"/>
  <c r="L41" i="9"/>
  <c r="M41" i="9"/>
  <c r="N41" i="9"/>
  <c r="G42" i="9"/>
  <c r="H42" i="9"/>
  <c r="I42" i="9"/>
  <c r="J42" i="9"/>
  <c r="K42" i="9"/>
  <c r="L42" i="9"/>
  <c r="M42" i="9"/>
  <c r="N42" i="9"/>
  <c r="G32" i="9"/>
  <c r="H32" i="9"/>
  <c r="I32" i="9"/>
  <c r="J32" i="9"/>
  <c r="K32" i="9"/>
  <c r="L32" i="9"/>
  <c r="M32" i="9"/>
  <c r="N32" i="9"/>
  <c r="G33" i="9"/>
  <c r="H33" i="9"/>
  <c r="I33" i="9"/>
  <c r="J33" i="9"/>
  <c r="K33" i="9"/>
  <c r="L33" i="9"/>
  <c r="M33" i="9"/>
  <c r="N33" i="9"/>
  <c r="G34" i="9"/>
  <c r="H34" i="9"/>
  <c r="I34" i="9"/>
  <c r="J34" i="9"/>
  <c r="K34" i="9"/>
  <c r="L34" i="9"/>
  <c r="M34" i="9"/>
  <c r="N34" i="9"/>
  <c r="G35" i="9"/>
  <c r="H35" i="9"/>
  <c r="I35" i="9"/>
  <c r="J35" i="9"/>
  <c r="K35" i="9"/>
  <c r="L35" i="9"/>
  <c r="M35" i="9"/>
  <c r="N35" i="9"/>
  <c r="G27" i="9"/>
  <c r="H27" i="9"/>
  <c r="I27" i="9"/>
  <c r="J27" i="9"/>
  <c r="K27" i="9"/>
  <c r="L27" i="9"/>
  <c r="M27" i="9"/>
  <c r="N27" i="9"/>
  <c r="G28" i="9"/>
  <c r="H28" i="9"/>
  <c r="I28" i="9"/>
  <c r="J28" i="9"/>
  <c r="K28" i="9"/>
  <c r="L28" i="9"/>
  <c r="M28" i="9"/>
  <c r="N28" i="9"/>
  <c r="G29" i="9"/>
  <c r="H29" i="9"/>
  <c r="I29" i="9"/>
  <c r="J29" i="9"/>
  <c r="K29" i="9"/>
  <c r="L29" i="9"/>
  <c r="M29" i="9"/>
  <c r="N29" i="9"/>
  <c r="G30" i="9"/>
  <c r="H30" i="9"/>
  <c r="I30" i="9"/>
  <c r="J30" i="9"/>
  <c r="K30" i="9"/>
  <c r="L30" i="9"/>
  <c r="M30" i="9"/>
  <c r="N30" i="9"/>
  <c r="G21" i="9"/>
  <c r="H21" i="9"/>
  <c r="I21" i="9"/>
  <c r="J21" i="9"/>
  <c r="K21" i="9"/>
  <c r="L21" i="9"/>
  <c r="M21" i="9"/>
  <c r="N21" i="9"/>
  <c r="G22" i="9"/>
  <c r="H22" i="9"/>
  <c r="I22" i="9"/>
  <c r="J22" i="9"/>
  <c r="K22" i="9"/>
  <c r="L22" i="9"/>
  <c r="M22" i="9"/>
  <c r="N22" i="9"/>
  <c r="G23" i="9"/>
  <c r="H23" i="9"/>
  <c r="I23" i="9"/>
  <c r="J23" i="9"/>
  <c r="K23" i="9"/>
  <c r="L23" i="9"/>
  <c r="M23" i="9"/>
  <c r="N23" i="9"/>
  <c r="G24" i="9"/>
  <c r="H24" i="9"/>
  <c r="I24" i="9"/>
  <c r="J24" i="9"/>
  <c r="K24" i="9"/>
  <c r="L24" i="9"/>
  <c r="M24" i="9"/>
  <c r="N24" i="9"/>
  <c r="G25" i="9"/>
  <c r="H25" i="9"/>
  <c r="I25" i="9"/>
  <c r="J25" i="9"/>
  <c r="K25" i="9"/>
  <c r="L25" i="9"/>
  <c r="M25" i="9"/>
  <c r="N25" i="9"/>
  <c r="G3" i="9"/>
  <c r="H3" i="9"/>
  <c r="I3" i="9"/>
  <c r="J3" i="9"/>
  <c r="K3" i="9"/>
  <c r="L3" i="9"/>
  <c r="M3" i="9"/>
  <c r="N3" i="9"/>
  <c r="G4" i="9"/>
  <c r="H4" i="9"/>
  <c r="I4" i="9"/>
  <c r="J4" i="9"/>
  <c r="K4" i="9"/>
  <c r="L4" i="9"/>
  <c r="M4" i="9"/>
  <c r="N4" i="9"/>
  <c r="G5" i="9"/>
  <c r="H5" i="9"/>
  <c r="I5" i="9"/>
  <c r="J5" i="9"/>
  <c r="K5" i="9"/>
  <c r="L5" i="9"/>
  <c r="M5" i="9"/>
  <c r="N5" i="9"/>
  <c r="G6" i="9"/>
  <c r="H6" i="9"/>
  <c r="I6" i="9"/>
  <c r="J6" i="9"/>
  <c r="K6" i="9"/>
  <c r="L6" i="9"/>
  <c r="M6" i="9"/>
  <c r="N6" i="9"/>
  <c r="G7" i="9"/>
  <c r="H7" i="9"/>
  <c r="I7" i="9"/>
  <c r="J7" i="9"/>
  <c r="K7" i="9"/>
  <c r="L7" i="9"/>
  <c r="M7" i="9"/>
  <c r="N7" i="9"/>
  <c r="G8" i="9"/>
  <c r="H8" i="9"/>
  <c r="I8" i="9"/>
  <c r="J8" i="9"/>
  <c r="K8" i="9"/>
  <c r="L8" i="9"/>
  <c r="M8" i="9"/>
  <c r="N8" i="9"/>
  <c r="G9" i="9"/>
  <c r="H9" i="9"/>
  <c r="I9" i="9"/>
  <c r="J9" i="9"/>
  <c r="K9" i="9"/>
  <c r="L9" i="9"/>
  <c r="M9" i="9"/>
  <c r="N9" i="9"/>
  <c r="G10" i="9"/>
  <c r="H10" i="9"/>
  <c r="I10" i="9"/>
  <c r="J10" i="9"/>
  <c r="K10" i="9"/>
  <c r="L10" i="9"/>
  <c r="M10" i="9"/>
  <c r="N10" i="9"/>
  <c r="G11" i="9"/>
  <c r="H11" i="9"/>
  <c r="I11" i="9"/>
  <c r="J11" i="9"/>
  <c r="K11" i="9"/>
  <c r="L11" i="9"/>
  <c r="M11" i="9"/>
  <c r="N11" i="9"/>
  <c r="G16" i="9"/>
  <c r="H16" i="9"/>
  <c r="I16" i="9"/>
  <c r="J16" i="9"/>
  <c r="K16" i="9"/>
  <c r="L16" i="9"/>
  <c r="M16" i="9"/>
  <c r="N16" i="9"/>
  <c r="G17" i="9"/>
  <c r="H17" i="9"/>
  <c r="I17" i="9"/>
  <c r="J17" i="9"/>
  <c r="K17" i="9"/>
  <c r="L17" i="9"/>
  <c r="M17" i="9"/>
  <c r="N17" i="9"/>
  <c r="G18" i="9"/>
  <c r="H18" i="9"/>
  <c r="I18" i="9"/>
  <c r="J18" i="9"/>
  <c r="K18" i="9"/>
  <c r="L18" i="9"/>
  <c r="M18" i="9"/>
  <c r="N18" i="9"/>
  <c r="J5" i="11"/>
  <c r="J4" i="11"/>
  <c r="J44" i="11"/>
  <c r="J43" i="11"/>
  <c r="J42" i="11"/>
  <c r="J41" i="11"/>
  <c r="J40" i="11"/>
  <c r="J39" i="11"/>
  <c r="J38" i="11"/>
  <c r="J37" i="11"/>
  <c r="J36" i="11"/>
  <c r="J35" i="11"/>
  <c r="J34" i="11"/>
  <c r="J33" i="11"/>
  <c r="J32" i="11"/>
  <c r="J31" i="11"/>
  <c r="J30" i="11"/>
  <c r="J29" i="11"/>
  <c r="J28" i="11"/>
  <c r="J27" i="11"/>
  <c r="J26" i="11"/>
  <c r="J25" i="11"/>
  <c r="J24" i="11"/>
  <c r="J23" i="11"/>
  <c r="J22" i="11"/>
  <c r="J21" i="11"/>
  <c r="J20" i="11"/>
  <c r="J19" i="11"/>
  <c r="J18" i="11"/>
  <c r="J17" i="11"/>
  <c r="J16" i="11"/>
  <c r="J15" i="11"/>
  <c r="J14" i="11"/>
  <c r="J13" i="11"/>
  <c r="J12" i="11"/>
  <c r="J11" i="11"/>
  <c r="J10" i="11"/>
  <c r="J8" i="11"/>
  <c r="J7" i="11"/>
  <c r="J6" i="11"/>
  <c r="J3" i="11"/>
  <c r="G52" i="9"/>
  <c r="H52" i="9"/>
  <c r="I52" i="9"/>
  <c r="J52" i="9"/>
  <c r="K52" i="9"/>
  <c r="L52" i="9"/>
  <c r="M52" i="9"/>
  <c r="N52" i="9"/>
  <c r="G53" i="9"/>
  <c r="H53" i="9"/>
  <c r="I53" i="9"/>
  <c r="J53" i="9"/>
  <c r="K53" i="9"/>
  <c r="L53" i="9"/>
  <c r="M53" i="9"/>
  <c r="N53" i="9"/>
  <c r="G36" i="9"/>
  <c r="H36" i="9"/>
  <c r="I36" i="9"/>
  <c r="J36" i="9"/>
  <c r="K36" i="9"/>
  <c r="L36" i="9"/>
  <c r="M36" i="9"/>
  <c r="N36" i="9"/>
  <c r="O70" i="9"/>
  <c r="E70" i="9"/>
  <c r="D70" i="9"/>
  <c r="A70" i="9"/>
  <c r="O66" i="9"/>
  <c r="E66" i="9"/>
  <c r="D66" i="9"/>
  <c r="A66" i="9"/>
  <c r="O17" i="9"/>
  <c r="E17" i="9"/>
  <c r="D17" i="9"/>
  <c r="A17" i="9"/>
  <c r="O6" i="9"/>
  <c r="E6" i="9"/>
  <c r="D6" i="9"/>
  <c r="A6" i="9"/>
  <c r="O76" i="9"/>
  <c r="N76" i="9"/>
  <c r="M76" i="9"/>
  <c r="L76" i="9"/>
  <c r="K76" i="9"/>
  <c r="J76" i="9"/>
  <c r="I76" i="9"/>
  <c r="H76" i="9"/>
  <c r="G76" i="9"/>
  <c r="E76" i="9"/>
  <c r="D76" i="9"/>
  <c r="A76" i="9"/>
  <c r="O75" i="9"/>
  <c r="N75" i="9"/>
  <c r="M75" i="9"/>
  <c r="L75" i="9"/>
  <c r="K75" i="9"/>
  <c r="J75" i="9"/>
  <c r="I75" i="9"/>
  <c r="H75" i="9"/>
  <c r="G75" i="9"/>
  <c r="E75" i="9"/>
  <c r="D75" i="9"/>
  <c r="A75" i="9"/>
  <c r="O74" i="9"/>
  <c r="N74" i="9"/>
  <c r="M74" i="9"/>
  <c r="L74" i="9"/>
  <c r="K74" i="9"/>
  <c r="J74" i="9"/>
  <c r="I74" i="9"/>
  <c r="H74" i="9"/>
  <c r="G74" i="9"/>
  <c r="E74" i="9"/>
  <c r="D74" i="9"/>
  <c r="A74" i="9"/>
  <c r="O73" i="9"/>
  <c r="E73" i="9"/>
  <c r="D73" i="9"/>
  <c r="A73" i="9"/>
  <c r="O72" i="9"/>
  <c r="E72" i="9"/>
  <c r="D72" i="9"/>
  <c r="A72" i="9"/>
  <c r="O71" i="9"/>
  <c r="E71" i="9"/>
  <c r="D71" i="9"/>
  <c r="A71" i="9"/>
  <c r="O69" i="9"/>
  <c r="E69" i="9"/>
  <c r="D69" i="9"/>
  <c r="A69" i="9"/>
  <c r="O68" i="9"/>
  <c r="E68" i="9"/>
  <c r="D68" i="9"/>
  <c r="A68" i="9"/>
  <c r="O65" i="9"/>
  <c r="E65" i="9"/>
  <c r="D65" i="9"/>
  <c r="A65" i="9"/>
  <c r="O64" i="9"/>
  <c r="E64" i="9"/>
  <c r="D64" i="9"/>
  <c r="A64" i="9"/>
  <c r="O63" i="9"/>
  <c r="E63" i="9"/>
  <c r="D63" i="9"/>
  <c r="A63" i="9"/>
  <c r="O62" i="9"/>
  <c r="E62" i="9"/>
  <c r="D62" i="9"/>
  <c r="A62" i="9"/>
  <c r="O61" i="9"/>
  <c r="E61" i="9"/>
  <c r="D61" i="9"/>
  <c r="A61" i="9"/>
  <c r="O60" i="9"/>
  <c r="E60" i="9"/>
  <c r="D60" i="9"/>
  <c r="A60" i="9"/>
  <c r="O53" i="9"/>
  <c r="E53" i="9"/>
  <c r="D53" i="9"/>
  <c r="A53" i="9"/>
  <c r="O52" i="9"/>
  <c r="E52" i="9"/>
  <c r="D52" i="9"/>
  <c r="A52" i="9"/>
  <c r="O51" i="9"/>
  <c r="E51" i="9"/>
  <c r="D51" i="9"/>
  <c r="A51" i="9"/>
  <c r="O50" i="9"/>
  <c r="E50" i="9"/>
  <c r="D50" i="9"/>
  <c r="A50" i="9"/>
  <c r="O49" i="9"/>
  <c r="E49" i="9"/>
  <c r="D49" i="9"/>
  <c r="A49" i="9"/>
  <c r="O48" i="9"/>
  <c r="E48" i="9"/>
  <c r="D48" i="9"/>
  <c r="A48" i="9"/>
  <c r="O47" i="9"/>
  <c r="E47" i="9"/>
  <c r="D47" i="9"/>
  <c r="A47" i="9"/>
  <c r="O46" i="9"/>
  <c r="E46" i="9"/>
  <c r="D46" i="9"/>
  <c r="A46" i="9"/>
  <c r="O45" i="9"/>
  <c r="E45" i="9"/>
  <c r="D45" i="9"/>
  <c r="A45" i="9"/>
  <c r="O44" i="9"/>
  <c r="E44" i="9"/>
  <c r="D44" i="9"/>
  <c r="A44" i="9"/>
  <c r="O42" i="9"/>
  <c r="E42" i="9"/>
  <c r="D42" i="9"/>
  <c r="A42" i="9"/>
  <c r="O41" i="9"/>
  <c r="E41" i="9"/>
  <c r="D41" i="9"/>
  <c r="A41" i="9"/>
  <c r="O40" i="9"/>
  <c r="E40" i="9"/>
  <c r="D40" i="9"/>
  <c r="A40" i="9"/>
  <c r="O39" i="9"/>
  <c r="E39" i="9"/>
  <c r="D39" i="9"/>
  <c r="A39" i="9"/>
  <c r="O38" i="9"/>
  <c r="E38" i="9"/>
  <c r="D38" i="9"/>
  <c r="A38" i="9"/>
  <c r="O37" i="9"/>
  <c r="E37" i="9"/>
  <c r="D37" i="9"/>
  <c r="A37" i="9"/>
  <c r="O35" i="9"/>
  <c r="E35" i="9"/>
  <c r="D35" i="9"/>
  <c r="A35" i="9"/>
  <c r="O34" i="9"/>
  <c r="E34" i="9"/>
  <c r="D34" i="9"/>
  <c r="A34" i="9"/>
  <c r="O33" i="9"/>
  <c r="E33" i="9"/>
  <c r="D33" i="9"/>
  <c r="A33" i="9"/>
  <c r="O32" i="9"/>
  <c r="E32" i="9"/>
  <c r="D32" i="9"/>
  <c r="A32" i="9"/>
  <c r="O30" i="9"/>
  <c r="E30" i="9"/>
  <c r="D30" i="9"/>
  <c r="A30" i="9"/>
  <c r="O29" i="9"/>
  <c r="E29" i="9"/>
  <c r="D29" i="9"/>
  <c r="A29" i="9"/>
  <c r="O28" i="9"/>
  <c r="E28" i="9"/>
  <c r="D28" i="9"/>
  <c r="A28" i="9"/>
  <c r="O27" i="9"/>
  <c r="E27" i="9"/>
  <c r="D27" i="9"/>
  <c r="A27" i="9"/>
  <c r="O25" i="9"/>
  <c r="E25" i="9"/>
  <c r="D25" i="9"/>
  <c r="A25" i="9"/>
  <c r="O24" i="9"/>
  <c r="E24" i="9"/>
  <c r="D24" i="9"/>
  <c r="A24" i="9"/>
  <c r="O23" i="9"/>
  <c r="E23" i="9"/>
  <c r="D23" i="9"/>
  <c r="A23" i="9"/>
  <c r="O22" i="9"/>
  <c r="E22" i="9"/>
  <c r="D22" i="9"/>
  <c r="A22" i="9"/>
  <c r="O21" i="9"/>
  <c r="E21" i="9"/>
  <c r="D21" i="9"/>
  <c r="A21" i="9"/>
  <c r="O18" i="9"/>
  <c r="E18" i="9"/>
  <c r="D18" i="9"/>
  <c r="A18" i="9"/>
  <c r="O16" i="9"/>
  <c r="E16" i="9"/>
  <c r="D16" i="9"/>
  <c r="A16" i="9"/>
  <c r="O11" i="9"/>
  <c r="E11" i="9"/>
  <c r="D11" i="9"/>
  <c r="A11" i="9"/>
  <c r="O10" i="9"/>
  <c r="E10" i="9"/>
  <c r="D10" i="9"/>
  <c r="A10" i="9"/>
  <c r="O8" i="9"/>
  <c r="E8" i="9"/>
  <c r="D8" i="9"/>
  <c r="A8" i="9"/>
  <c r="O7" i="9"/>
  <c r="E7" i="9"/>
  <c r="D7" i="9"/>
  <c r="A7" i="9"/>
  <c r="O5" i="9"/>
  <c r="E5" i="9"/>
  <c r="D5" i="9"/>
  <c r="A5" i="9"/>
  <c r="O4" i="9"/>
  <c r="E4" i="9"/>
  <c r="D4" i="9"/>
  <c r="A4" i="9"/>
  <c r="J50" i="11"/>
  <c r="O67" i="9"/>
  <c r="N67" i="9"/>
  <c r="M67" i="9"/>
  <c r="L67" i="9"/>
  <c r="K67" i="9"/>
  <c r="J67" i="9"/>
  <c r="I67" i="9"/>
  <c r="H67" i="9"/>
  <c r="G67" i="9"/>
  <c r="E67" i="9"/>
  <c r="D67" i="9"/>
  <c r="A67" i="9"/>
  <c r="O59" i="9"/>
  <c r="N59" i="9"/>
  <c r="M59" i="9"/>
  <c r="L59" i="9"/>
  <c r="K59" i="9"/>
  <c r="J59" i="9"/>
  <c r="I59" i="9"/>
  <c r="H59" i="9"/>
  <c r="G59" i="9"/>
  <c r="E59" i="9"/>
  <c r="D59" i="9"/>
  <c r="A59" i="9"/>
  <c r="O43" i="9"/>
  <c r="N43" i="9"/>
  <c r="M43" i="9"/>
  <c r="L43" i="9"/>
  <c r="K43" i="9"/>
  <c r="J43" i="9"/>
  <c r="I43" i="9"/>
  <c r="H43" i="9"/>
  <c r="G43" i="9"/>
  <c r="E43" i="9"/>
  <c r="D43" i="9"/>
  <c r="A43" i="9"/>
  <c r="O36" i="9"/>
  <c r="E36" i="9"/>
  <c r="D36" i="9"/>
  <c r="A36" i="9"/>
  <c r="O31" i="9"/>
  <c r="N31" i="9"/>
  <c r="M31" i="9"/>
  <c r="L31" i="9"/>
  <c r="K31" i="9"/>
  <c r="J31" i="9"/>
  <c r="I31" i="9"/>
  <c r="H31" i="9"/>
  <c r="G31" i="9"/>
  <c r="E31" i="9"/>
  <c r="D31" i="9"/>
  <c r="A31" i="9"/>
  <c r="O26" i="9"/>
  <c r="N26" i="9"/>
  <c r="M26" i="9"/>
  <c r="L26" i="9"/>
  <c r="K26" i="9"/>
  <c r="J26" i="9"/>
  <c r="I26" i="9"/>
  <c r="H26" i="9"/>
  <c r="G26" i="9"/>
  <c r="E26" i="9"/>
  <c r="D26" i="9"/>
  <c r="A26" i="9"/>
  <c r="O20" i="9"/>
  <c r="N20" i="9"/>
  <c r="M20" i="9"/>
  <c r="L20" i="9"/>
  <c r="K20" i="9"/>
  <c r="J20" i="9"/>
  <c r="I20" i="9"/>
  <c r="H20" i="9"/>
  <c r="G20" i="9"/>
  <c r="E20" i="9"/>
  <c r="D20" i="9"/>
  <c r="A20" i="9"/>
  <c r="O9" i="9"/>
  <c r="E9" i="9"/>
  <c r="D9" i="9"/>
  <c r="A9" i="9"/>
  <c r="N66" i="10"/>
  <c r="U66" i="10"/>
  <c r="X66" i="10"/>
  <c r="W66" i="10"/>
  <c r="Y66" i="10"/>
  <c r="V66" i="10"/>
  <c r="Z66" i="10"/>
  <c r="O66" i="10"/>
  <c r="R66" i="10"/>
  <c r="Q66" i="10"/>
  <c r="S66" i="10"/>
  <c r="P66" i="10"/>
  <c r="T66" i="10"/>
  <c r="G66" i="10"/>
  <c r="J66" i="10"/>
  <c r="I66" i="10"/>
  <c r="K66" i="10"/>
  <c r="H66" i="10"/>
  <c r="M66" i="10"/>
  <c r="N65" i="10"/>
  <c r="U65" i="10"/>
  <c r="X65" i="10"/>
  <c r="W65" i="10"/>
  <c r="Y65" i="10"/>
  <c r="V65" i="10"/>
  <c r="Z65" i="10"/>
  <c r="O65" i="10"/>
  <c r="R65" i="10"/>
  <c r="Q65" i="10"/>
  <c r="S65" i="10"/>
  <c r="P65" i="10"/>
  <c r="T65" i="10"/>
  <c r="G65" i="10"/>
  <c r="J65" i="10"/>
  <c r="I65" i="10"/>
  <c r="K65" i="10"/>
  <c r="H65" i="10"/>
  <c r="M65" i="10"/>
  <c r="N63" i="10"/>
  <c r="U63" i="10"/>
  <c r="X63" i="10"/>
  <c r="W63" i="10"/>
  <c r="Y63" i="10"/>
  <c r="V63" i="10"/>
  <c r="Z63" i="10"/>
  <c r="O63" i="10"/>
  <c r="R63" i="10"/>
  <c r="Q63" i="10"/>
  <c r="S63" i="10"/>
  <c r="P63" i="10"/>
  <c r="T63" i="10"/>
  <c r="G63" i="10"/>
  <c r="J63" i="10"/>
  <c r="I63" i="10"/>
  <c r="K63" i="10"/>
  <c r="H63" i="10"/>
  <c r="M63" i="10"/>
  <c r="N47" i="10"/>
  <c r="U47" i="10"/>
  <c r="X47" i="10"/>
  <c r="W47" i="10"/>
  <c r="Y47" i="10"/>
  <c r="V47" i="10"/>
  <c r="Z47" i="10"/>
  <c r="O47" i="10"/>
  <c r="R47" i="10"/>
  <c r="Q47" i="10"/>
  <c r="S47" i="10"/>
  <c r="P47" i="10"/>
  <c r="T47" i="10"/>
  <c r="G47" i="10"/>
  <c r="J47" i="10"/>
  <c r="I47" i="10"/>
  <c r="K47" i="10"/>
  <c r="H47" i="10"/>
  <c r="M47" i="10"/>
  <c r="N46" i="10"/>
  <c r="U46" i="10"/>
  <c r="X46" i="10"/>
  <c r="W46" i="10"/>
  <c r="Y46" i="10"/>
  <c r="V46" i="10"/>
  <c r="Z46" i="10"/>
  <c r="O46" i="10"/>
  <c r="R46" i="10"/>
  <c r="Q46" i="10"/>
  <c r="S46" i="10"/>
  <c r="P46" i="10"/>
  <c r="T46" i="10"/>
  <c r="G46" i="10"/>
  <c r="J46" i="10"/>
  <c r="I46" i="10"/>
  <c r="K46" i="10"/>
  <c r="H46" i="10"/>
  <c r="M46" i="10"/>
  <c r="N62" i="10"/>
  <c r="U62" i="10"/>
  <c r="X62" i="10"/>
  <c r="W62" i="10"/>
  <c r="Y62" i="10"/>
  <c r="V62" i="10"/>
  <c r="Z62" i="10"/>
  <c r="O62" i="10"/>
  <c r="R62" i="10"/>
  <c r="Q62" i="10"/>
  <c r="S62" i="10"/>
  <c r="P62" i="10"/>
  <c r="T62" i="10"/>
  <c r="G62" i="10"/>
  <c r="J62" i="10"/>
  <c r="I62" i="10"/>
  <c r="K62" i="10"/>
  <c r="H62" i="10"/>
  <c r="M62" i="10"/>
  <c r="N61" i="10"/>
  <c r="U61" i="10"/>
  <c r="X61" i="10"/>
  <c r="W61" i="10"/>
  <c r="Y61" i="10"/>
  <c r="V61" i="10"/>
  <c r="Z61" i="10"/>
  <c r="O61" i="10"/>
  <c r="R61" i="10"/>
  <c r="Q61" i="10"/>
  <c r="S61" i="10"/>
  <c r="P61" i="10"/>
  <c r="T61" i="10"/>
  <c r="G61" i="10"/>
  <c r="J61" i="10"/>
  <c r="I61" i="10"/>
  <c r="K61" i="10"/>
  <c r="H61" i="10"/>
  <c r="M61" i="10"/>
  <c r="N59" i="10"/>
  <c r="U59" i="10"/>
  <c r="X59" i="10"/>
  <c r="W59" i="10"/>
  <c r="Y59" i="10"/>
  <c r="V59" i="10"/>
  <c r="Z59" i="10"/>
  <c r="O59" i="10"/>
  <c r="R59" i="10"/>
  <c r="Q59" i="10"/>
  <c r="S59" i="10"/>
  <c r="P59" i="10"/>
  <c r="T59" i="10"/>
  <c r="G59" i="10"/>
  <c r="J59" i="10"/>
  <c r="I59" i="10"/>
  <c r="K59" i="10"/>
  <c r="H59" i="10"/>
  <c r="M59" i="10"/>
  <c r="N58" i="10"/>
  <c r="U58" i="10"/>
  <c r="X58" i="10"/>
  <c r="W58" i="10"/>
  <c r="Y58" i="10"/>
  <c r="V58" i="10"/>
  <c r="Z58" i="10"/>
  <c r="O58" i="10"/>
  <c r="R58" i="10"/>
  <c r="Q58" i="10"/>
  <c r="S58" i="10"/>
  <c r="P58" i="10"/>
  <c r="T58" i="10"/>
  <c r="G58" i="10"/>
  <c r="J58" i="10"/>
  <c r="I58" i="10"/>
  <c r="K58" i="10"/>
  <c r="H58" i="10"/>
  <c r="M58" i="10"/>
  <c r="N57" i="10"/>
  <c r="U57" i="10"/>
  <c r="X57" i="10"/>
  <c r="W57" i="10"/>
  <c r="Y57" i="10"/>
  <c r="V57" i="10"/>
  <c r="Z57" i="10"/>
  <c r="O57" i="10"/>
  <c r="R57" i="10"/>
  <c r="Q57" i="10"/>
  <c r="S57" i="10"/>
  <c r="P57" i="10"/>
  <c r="T57" i="10"/>
  <c r="G57" i="10"/>
  <c r="J57" i="10"/>
  <c r="I57" i="10"/>
  <c r="K57" i="10"/>
  <c r="H57" i="10"/>
  <c r="M57" i="10"/>
  <c r="N56" i="10"/>
  <c r="U56" i="10"/>
  <c r="X56" i="10"/>
  <c r="W56" i="10"/>
  <c r="Y56" i="10"/>
  <c r="V56" i="10"/>
  <c r="Z56" i="10"/>
  <c r="O56" i="10"/>
  <c r="R56" i="10"/>
  <c r="Q56" i="10"/>
  <c r="S56" i="10"/>
  <c r="P56" i="10"/>
  <c r="T56" i="10"/>
  <c r="G56" i="10"/>
  <c r="J56" i="10"/>
  <c r="I56" i="10"/>
  <c r="K56" i="10"/>
  <c r="H56" i="10"/>
  <c r="M56" i="10"/>
  <c r="N55" i="10"/>
  <c r="U55" i="10"/>
  <c r="X55" i="10"/>
  <c r="W55" i="10"/>
  <c r="Y55" i="10"/>
  <c r="V55" i="10"/>
  <c r="Z55" i="10"/>
  <c r="O55" i="10"/>
  <c r="R55" i="10"/>
  <c r="Q55" i="10"/>
  <c r="S55" i="10"/>
  <c r="P55" i="10"/>
  <c r="T55" i="10"/>
  <c r="G55" i="10"/>
  <c r="J55" i="10"/>
  <c r="I55" i="10"/>
  <c r="K55" i="10"/>
  <c r="H55" i="10"/>
  <c r="M55" i="10"/>
  <c r="N54" i="10"/>
  <c r="U54" i="10"/>
  <c r="X54" i="10"/>
  <c r="W54" i="10"/>
  <c r="Y54" i="10"/>
  <c r="V54" i="10"/>
  <c r="Z54" i="10"/>
  <c r="O54" i="10"/>
  <c r="R54" i="10"/>
  <c r="Q54" i="10"/>
  <c r="S54" i="10"/>
  <c r="P54" i="10"/>
  <c r="T54" i="10"/>
  <c r="G54" i="10"/>
  <c r="J54" i="10"/>
  <c r="I54" i="10"/>
  <c r="K54" i="10"/>
  <c r="H54" i="10"/>
  <c r="M54" i="10"/>
  <c r="N53" i="10"/>
  <c r="U53" i="10"/>
  <c r="X53" i="10"/>
  <c r="W53" i="10"/>
  <c r="Y53" i="10"/>
  <c r="V53" i="10"/>
  <c r="Z53" i="10"/>
  <c r="O53" i="10"/>
  <c r="R53" i="10"/>
  <c r="Q53" i="10"/>
  <c r="S53" i="10"/>
  <c r="P53" i="10"/>
  <c r="T53" i="10"/>
  <c r="G53" i="10"/>
  <c r="J53" i="10"/>
  <c r="I53" i="10"/>
  <c r="K53" i="10"/>
  <c r="H53" i="10"/>
  <c r="M53" i="10"/>
  <c r="N52" i="10"/>
  <c r="U52" i="10"/>
  <c r="X52" i="10"/>
  <c r="W52" i="10"/>
  <c r="Y52" i="10"/>
  <c r="V52" i="10"/>
  <c r="Z52" i="10"/>
  <c r="O52" i="10"/>
  <c r="R52" i="10"/>
  <c r="Q52" i="10"/>
  <c r="S52" i="10"/>
  <c r="P52" i="10"/>
  <c r="T52" i="10"/>
  <c r="G52" i="10"/>
  <c r="J52" i="10"/>
  <c r="I52" i="10"/>
  <c r="K52" i="10"/>
  <c r="H52" i="10"/>
  <c r="M52" i="10"/>
  <c r="N51" i="10"/>
  <c r="U51" i="10"/>
  <c r="X51" i="10"/>
  <c r="W51" i="10"/>
  <c r="Y51" i="10"/>
  <c r="V51" i="10"/>
  <c r="Z51" i="10"/>
  <c r="O51" i="10"/>
  <c r="R51" i="10"/>
  <c r="Q51" i="10"/>
  <c r="S51" i="10"/>
  <c r="P51" i="10"/>
  <c r="T51" i="10"/>
  <c r="G51" i="10"/>
  <c r="J51" i="10"/>
  <c r="I51" i="10"/>
  <c r="K51" i="10"/>
  <c r="H51" i="10"/>
  <c r="M51" i="10"/>
  <c r="N50" i="10"/>
  <c r="U50" i="10"/>
  <c r="X50" i="10"/>
  <c r="W50" i="10"/>
  <c r="Y50" i="10"/>
  <c r="V50" i="10"/>
  <c r="Z50" i="10"/>
  <c r="O50" i="10"/>
  <c r="R50" i="10"/>
  <c r="Q50" i="10"/>
  <c r="S50" i="10"/>
  <c r="P50" i="10"/>
  <c r="T50" i="10"/>
  <c r="G50" i="10"/>
  <c r="J50" i="10"/>
  <c r="I50" i="10"/>
  <c r="K50" i="10"/>
  <c r="H50" i="10"/>
  <c r="M50" i="10"/>
  <c r="N49" i="10"/>
  <c r="U49" i="10"/>
  <c r="X49" i="10"/>
  <c r="W49" i="10"/>
  <c r="Y49" i="10"/>
  <c r="V49" i="10"/>
  <c r="Z49" i="10"/>
  <c r="O49" i="10"/>
  <c r="R49" i="10"/>
  <c r="Q49" i="10"/>
  <c r="S49" i="10"/>
  <c r="P49" i="10"/>
  <c r="T49" i="10"/>
  <c r="G49" i="10"/>
  <c r="J49" i="10"/>
  <c r="I49" i="10"/>
  <c r="K49" i="10"/>
  <c r="H49" i="10"/>
  <c r="M49" i="10"/>
  <c r="N48" i="10"/>
  <c r="U48" i="10"/>
  <c r="X48" i="10"/>
  <c r="W48" i="10"/>
  <c r="Y48" i="10"/>
  <c r="V48" i="10"/>
  <c r="Z48" i="10"/>
  <c r="O48" i="10"/>
  <c r="R48" i="10"/>
  <c r="Q48" i="10"/>
  <c r="S48" i="10"/>
  <c r="P48" i="10"/>
  <c r="T48" i="10"/>
  <c r="G48" i="10"/>
  <c r="J48" i="10"/>
  <c r="I48" i="10"/>
  <c r="K48" i="10"/>
  <c r="H48" i="10"/>
  <c r="M48" i="10"/>
  <c r="N44" i="10"/>
  <c r="U44" i="10"/>
  <c r="X44" i="10"/>
  <c r="W44" i="10"/>
  <c r="Y44" i="10"/>
  <c r="V44" i="10"/>
  <c r="Z44" i="10"/>
  <c r="O44" i="10"/>
  <c r="R44" i="10"/>
  <c r="Q44" i="10"/>
  <c r="S44" i="10"/>
  <c r="P44" i="10"/>
  <c r="T44" i="10"/>
  <c r="G44" i="10"/>
  <c r="J44" i="10"/>
  <c r="I44" i="10"/>
  <c r="K44" i="10"/>
  <c r="H44" i="10"/>
  <c r="M44" i="10"/>
  <c r="N43" i="10"/>
  <c r="U43" i="10"/>
  <c r="X43" i="10"/>
  <c r="W43" i="10"/>
  <c r="Y43" i="10"/>
  <c r="V43" i="10"/>
  <c r="Z43" i="10"/>
  <c r="O43" i="10"/>
  <c r="R43" i="10"/>
  <c r="Q43" i="10"/>
  <c r="S43" i="10"/>
  <c r="P43" i="10"/>
  <c r="T43" i="10"/>
  <c r="G43" i="10"/>
  <c r="J43" i="10"/>
  <c r="I43" i="10"/>
  <c r="K43" i="10"/>
  <c r="H43" i="10"/>
  <c r="M43" i="10"/>
  <c r="N42" i="10"/>
  <c r="U42" i="10"/>
  <c r="X42" i="10"/>
  <c r="W42" i="10"/>
  <c r="Y42" i="10"/>
  <c r="V42" i="10"/>
  <c r="Z42" i="10"/>
  <c r="O42" i="10"/>
  <c r="R42" i="10"/>
  <c r="Q42" i="10"/>
  <c r="S42" i="10"/>
  <c r="P42" i="10"/>
  <c r="T42" i="10"/>
  <c r="G42" i="10"/>
  <c r="J42" i="10"/>
  <c r="I42" i="10"/>
  <c r="K42" i="10"/>
  <c r="H42" i="10"/>
  <c r="M42" i="10"/>
  <c r="N41" i="10"/>
  <c r="U41" i="10"/>
  <c r="X41" i="10"/>
  <c r="W41" i="10"/>
  <c r="Y41" i="10"/>
  <c r="V41" i="10"/>
  <c r="Z41" i="10"/>
  <c r="O41" i="10"/>
  <c r="R41" i="10"/>
  <c r="Q41" i="10"/>
  <c r="S41" i="10"/>
  <c r="P41" i="10"/>
  <c r="T41" i="10"/>
  <c r="G41" i="10"/>
  <c r="J41" i="10"/>
  <c r="I41" i="10"/>
  <c r="K41" i="10"/>
  <c r="H41" i="10"/>
  <c r="M41" i="10"/>
  <c r="N40" i="10"/>
  <c r="U40" i="10"/>
  <c r="X40" i="10"/>
  <c r="W40" i="10"/>
  <c r="Y40" i="10"/>
  <c r="V40" i="10"/>
  <c r="Z40" i="10"/>
  <c r="O40" i="10"/>
  <c r="R40" i="10"/>
  <c r="Q40" i="10"/>
  <c r="S40" i="10"/>
  <c r="P40" i="10"/>
  <c r="T40" i="10"/>
  <c r="G40" i="10"/>
  <c r="J40" i="10"/>
  <c r="I40" i="10"/>
  <c r="K40" i="10"/>
  <c r="H40" i="10"/>
  <c r="M40" i="10"/>
  <c r="N39" i="10"/>
  <c r="U39" i="10"/>
  <c r="X39" i="10"/>
  <c r="W39" i="10"/>
  <c r="Y39" i="10"/>
  <c r="V39" i="10"/>
  <c r="Z39" i="10"/>
  <c r="O39" i="10"/>
  <c r="R39" i="10"/>
  <c r="Q39" i="10"/>
  <c r="S39" i="10"/>
  <c r="P39" i="10"/>
  <c r="T39" i="10"/>
  <c r="G39" i="10"/>
  <c r="J39" i="10"/>
  <c r="I39" i="10"/>
  <c r="K39" i="10"/>
  <c r="H39" i="10"/>
  <c r="M39" i="10"/>
  <c r="N38" i="10"/>
  <c r="U38" i="10"/>
  <c r="X38" i="10"/>
  <c r="W38" i="10"/>
  <c r="Y38" i="10"/>
  <c r="V38" i="10"/>
  <c r="Z38" i="10"/>
  <c r="O38" i="10"/>
  <c r="R38" i="10"/>
  <c r="Q38" i="10"/>
  <c r="S38" i="10"/>
  <c r="P38" i="10"/>
  <c r="T38" i="10"/>
  <c r="G38" i="10"/>
  <c r="J38" i="10"/>
  <c r="I38" i="10"/>
  <c r="K38" i="10"/>
  <c r="H38" i="10"/>
  <c r="M38" i="10"/>
  <c r="N37" i="10"/>
  <c r="U37" i="10"/>
  <c r="X37" i="10"/>
  <c r="W37" i="10"/>
  <c r="Y37" i="10"/>
  <c r="V37" i="10"/>
  <c r="Z37" i="10"/>
  <c r="O37" i="10"/>
  <c r="R37" i="10"/>
  <c r="Q37" i="10"/>
  <c r="S37" i="10"/>
  <c r="P37" i="10"/>
  <c r="T37" i="10"/>
  <c r="G37" i="10"/>
  <c r="J37" i="10"/>
  <c r="I37" i="10"/>
  <c r="K37" i="10"/>
  <c r="H37" i="10"/>
  <c r="M37" i="10"/>
  <c r="N36" i="10"/>
  <c r="U36" i="10"/>
  <c r="X36" i="10"/>
  <c r="W36" i="10"/>
  <c r="Y36" i="10"/>
  <c r="V36" i="10"/>
  <c r="Z36" i="10"/>
  <c r="O36" i="10"/>
  <c r="R36" i="10"/>
  <c r="Q36" i="10"/>
  <c r="S36" i="10"/>
  <c r="P36" i="10"/>
  <c r="T36" i="10"/>
  <c r="G36" i="10"/>
  <c r="J36" i="10"/>
  <c r="I36" i="10"/>
  <c r="K36" i="10"/>
  <c r="H36" i="10"/>
  <c r="M36" i="10"/>
  <c r="N35" i="10"/>
  <c r="U35" i="10"/>
  <c r="X35" i="10"/>
  <c r="W35" i="10"/>
  <c r="Y35" i="10"/>
  <c r="V35" i="10"/>
  <c r="Z35" i="10"/>
  <c r="O35" i="10"/>
  <c r="R35" i="10"/>
  <c r="Q35" i="10"/>
  <c r="S35" i="10"/>
  <c r="P35" i="10"/>
  <c r="T35" i="10"/>
  <c r="G35" i="10"/>
  <c r="J35" i="10"/>
  <c r="I35" i="10"/>
  <c r="K35" i="10"/>
  <c r="H35" i="10"/>
  <c r="M35" i="10"/>
  <c r="N34" i="10"/>
  <c r="U34" i="10"/>
  <c r="X34" i="10"/>
  <c r="W34" i="10"/>
  <c r="Y34" i="10"/>
  <c r="V34" i="10"/>
  <c r="Z34" i="10"/>
  <c r="O34" i="10"/>
  <c r="R34" i="10"/>
  <c r="Q34" i="10"/>
  <c r="S34" i="10"/>
  <c r="P34" i="10"/>
  <c r="T34" i="10"/>
  <c r="G34" i="10"/>
  <c r="J34" i="10"/>
  <c r="I34" i="10"/>
  <c r="K34" i="10"/>
  <c r="H34" i="10"/>
  <c r="M34" i="10"/>
  <c r="N33" i="10"/>
  <c r="U33" i="10"/>
  <c r="X33" i="10"/>
  <c r="W33" i="10"/>
  <c r="Y33" i="10"/>
  <c r="V33" i="10"/>
  <c r="Z33" i="10"/>
  <c r="O33" i="10"/>
  <c r="R33" i="10"/>
  <c r="Q33" i="10"/>
  <c r="S33" i="10"/>
  <c r="P33" i="10"/>
  <c r="T33" i="10"/>
  <c r="G33" i="10"/>
  <c r="J33" i="10"/>
  <c r="I33" i="10"/>
  <c r="K33" i="10"/>
  <c r="H33" i="10"/>
  <c r="M33" i="10"/>
  <c r="N32" i="10"/>
  <c r="U32" i="10"/>
  <c r="X32" i="10"/>
  <c r="W32" i="10"/>
  <c r="Y32" i="10"/>
  <c r="V32" i="10"/>
  <c r="Z32" i="10"/>
  <c r="O32" i="10"/>
  <c r="R32" i="10"/>
  <c r="Q32" i="10"/>
  <c r="S32" i="10"/>
  <c r="P32" i="10"/>
  <c r="T32" i="10"/>
  <c r="G32" i="10"/>
  <c r="J32" i="10"/>
  <c r="I32" i="10"/>
  <c r="K32" i="10"/>
  <c r="H32" i="10"/>
  <c r="M32" i="10"/>
  <c r="N31" i="10"/>
  <c r="U31" i="10"/>
  <c r="X31" i="10"/>
  <c r="W31" i="10"/>
  <c r="Y31" i="10"/>
  <c r="V31" i="10"/>
  <c r="Z31" i="10"/>
  <c r="O31" i="10"/>
  <c r="R31" i="10"/>
  <c r="Q31" i="10"/>
  <c r="S31" i="10"/>
  <c r="P31" i="10"/>
  <c r="T31" i="10"/>
  <c r="G31" i="10"/>
  <c r="J31" i="10"/>
  <c r="I31" i="10"/>
  <c r="K31" i="10"/>
  <c r="H31" i="10"/>
  <c r="M31" i="10"/>
  <c r="N30" i="10"/>
  <c r="U30" i="10"/>
  <c r="X30" i="10"/>
  <c r="W30" i="10"/>
  <c r="Y30" i="10"/>
  <c r="V30" i="10"/>
  <c r="Z30" i="10"/>
  <c r="O30" i="10"/>
  <c r="R30" i="10"/>
  <c r="Q30" i="10"/>
  <c r="S30" i="10"/>
  <c r="P30" i="10"/>
  <c r="T30" i="10"/>
  <c r="G30" i="10"/>
  <c r="J30" i="10"/>
  <c r="I30" i="10"/>
  <c r="K30" i="10"/>
  <c r="H30" i="10"/>
  <c r="M30" i="10"/>
  <c r="N29" i="10"/>
  <c r="U29" i="10"/>
  <c r="X29" i="10"/>
  <c r="W29" i="10"/>
  <c r="Y29" i="10"/>
  <c r="V29" i="10"/>
  <c r="Z29" i="10"/>
  <c r="O29" i="10"/>
  <c r="R29" i="10"/>
  <c r="Q29" i="10"/>
  <c r="S29" i="10"/>
  <c r="P29" i="10"/>
  <c r="T29" i="10"/>
  <c r="G29" i="10"/>
  <c r="J29" i="10"/>
  <c r="I29" i="10"/>
  <c r="K29" i="10"/>
  <c r="H29" i="10"/>
  <c r="M29" i="10"/>
  <c r="N28" i="10"/>
  <c r="U28" i="10"/>
  <c r="X28" i="10"/>
  <c r="W28" i="10"/>
  <c r="Y28" i="10"/>
  <c r="V28" i="10"/>
  <c r="Z28" i="10"/>
  <c r="O28" i="10"/>
  <c r="R28" i="10"/>
  <c r="Q28" i="10"/>
  <c r="S28" i="10"/>
  <c r="P28" i="10"/>
  <c r="T28" i="10"/>
  <c r="G28" i="10"/>
  <c r="J28" i="10"/>
  <c r="I28" i="10"/>
  <c r="K28" i="10"/>
  <c r="H28" i="10"/>
  <c r="M28" i="10"/>
  <c r="N27" i="10"/>
  <c r="U27" i="10"/>
  <c r="X27" i="10"/>
  <c r="W27" i="10"/>
  <c r="Y27" i="10"/>
  <c r="V27" i="10"/>
  <c r="Z27" i="10"/>
  <c r="O27" i="10"/>
  <c r="R27" i="10"/>
  <c r="Q27" i="10"/>
  <c r="S27" i="10"/>
  <c r="P27" i="10"/>
  <c r="T27" i="10"/>
  <c r="G27" i="10"/>
  <c r="J27" i="10"/>
  <c r="I27" i="10"/>
  <c r="K27" i="10"/>
  <c r="H27" i="10"/>
  <c r="M27" i="10"/>
  <c r="N26" i="10"/>
  <c r="U26" i="10"/>
  <c r="X26" i="10"/>
  <c r="W26" i="10"/>
  <c r="Y26" i="10"/>
  <c r="V26" i="10"/>
  <c r="Z26" i="10"/>
  <c r="O26" i="10"/>
  <c r="R26" i="10"/>
  <c r="Q26" i="10"/>
  <c r="S26" i="10"/>
  <c r="P26" i="10"/>
  <c r="T26" i="10"/>
  <c r="G26" i="10"/>
  <c r="J26" i="10"/>
  <c r="I26" i="10"/>
  <c r="K26" i="10"/>
  <c r="H26" i="10"/>
  <c r="M26" i="10"/>
  <c r="N25" i="10"/>
  <c r="U25" i="10"/>
  <c r="X25" i="10"/>
  <c r="W25" i="10"/>
  <c r="Y25" i="10"/>
  <c r="V25" i="10"/>
  <c r="Z25" i="10"/>
  <c r="O25" i="10"/>
  <c r="R25" i="10"/>
  <c r="Q25" i="10"/>
  <c r="S25" i="10"/>
  <c r="P25" i="10"/>
  <c r="T25" i="10"/>
  <c r="G25" i="10"/>
  <c r="J25" i="10"/>
  <c r="I25" i="10"/>
  <c r="K25" i="10"/>
  <c r="H25" i="10"/>
  <c r="M25" i="10"/>
  <c r="N24" i="10"/>
  <c r="U24" i="10"/>
  <c r="X24" i="10"/>
  <c r="W24" i="10"/>
  <c r="Y24" i="10"/>
  <c r="V24" i="10"/>
  <c r="Z24" i="10"/>
  <c r="O24" i="10"/>
  <c r="R24" i="10"/>
  <c r="Q24" i="10"/>
  <c r="S24" i="10"/>
  <c r="P24" i="10"/>
  <c r="T24" i="10"/>
  <c r="G24" i="10"/>
  <c r="J24" i="10"/>
  <c r="I24" i="10"/>
  <c r="K24" i="10"/>
  <c r="H24" i="10"/>
  <c r="M24" i="10"/>
  <c r="N23" i="10"/>
  <c r="U23" i="10"/>
  <c r="X23" i="10"/>
  <c r="W23" i="10"/>
  <c r="Y23" i="10"/>
  <c r="V23" i="10"/>
  <c r="Z23" i="10"/>
  <c r="O23" i="10"/>
  <c r="R23" i="10"/>
  <c r="Q23" i="10"/>
  <c r="S23" i="10"/>
  <c r="P23" i="10"/>
  <c r="T23" i="10"/>
  <c r="G23" i="10"/>
  <c r="J23" i="10"/>
  <c r="I23" i="10"/>
  <c r="K23" i="10"/>
  <c r="H23" i="10"/>
  <c r="M23" i="10"/>
  <c r="N22" i="10"/>
  <c r="U22" i="10"/>
  <c r="X22" i="10"/>
  <c r="W22" i="10"/>
  <c r="Y22" i="10"/>
  <c r="V22" i="10"/>
  <c r="Z22" i="10"/>
  <c r="O22" i="10"/>
  <c r="R22" i="10"/>
  <c r="Q22" i="10"/>
  <c r="S22" i="10"/>
  <c r="P22" i="10"/>
  <c r="T22" i="10"/>
  <c r="G22" i="10"/>
  <c r="J22" i="10"/>
  <c r="I22" i="10"/>
  <c r="K22" i="10"/>
  <c r="H22" i="10"/>
  <c r="M22" i="10"/>
  <c r="N21" i="10"/>
  <c r="U21" i="10"/>
  <c r="X21" i="10"/>
  <c r="W21" i="10"/>
  <c r="Y21" i="10"/>
  <c r="V21" i="10"/>
  <c r="Z21" i="10"/>
  <c r="O21" i="10"/>
  <c r="R21" i="10"/>
  <c r="Q21" i="10"/>
  <c r="S21" i="10"/>
  <c r="P21" i="10"/>
  <c r="T21" i="10"/>
  <c r="G21" i="10"/>
  <c r="J21" i="10"/>
  <c r="I21" i="10"/>
  <c r="K21" i="10"/>
  <c r="H21" i="10"/>
  <c r="M21" i="10"/>
  <c r="N20" i="10"/>
  <c r="U20" i="10"/>
  <c r="X20" i="10"/>
  <c r="W20" i="10"/>
  <c r="Y20" i="10"/>
  <c r="V20" i="10"/>
  <c r="Z20" i="10"/>
  <c r="O20" i="10"/>
  <c r="R20" i="10"/>
  <c r="Q20" i="10"/>
  <c r="S20" i="10"/>
  <c r="P20" i="10"/>
  <c r="T20" i="10"/>
  <c r="G20" i="10"/>
  <c r="J20" i="10"/>
  <c r="I20" i="10"/>
  <c r="K20" i="10"/>
  <c r="H20" i="10"/>
  <c r="M20" i="10"/>
  <c r="N19" i="10"/>
  <c r="U19" i="10"/>
  <c r="X19" i="10"/>
  <c r="W19" i="10"/>
  <c r="Y19" i="10"/>
  <c r="V19" i="10"/>
  <c r="Z19" i="10"/>
  <c r="O19" i="10"/>
  <c r="R19" i="10"/>
  <c r="Q19" i="10"/>
  <c r="S19" i="10"/>
  <c r="P19" i="10"/>
  <c r="T19" i="10"/>
  <c r="G19" i="10"/>
  <c r="J19" i="10"/>
  <c r="I19" i="10"/>
  <c r="K19" i="10"/>
  <c r="H19" i="10"/>
  <c r="M19" i="10"/>
  <c r="U18" i="10"/>
  <c r="X18" i="10"/>
  <c r="W18" i="10"/>
  <c r="Y18" i="10"/>
  <c r="V18" i="10"/>
  <c r="Z18" i="10"/>
  <c r="G18" i="10"/>
  <c r="J18" i="10"/>
  <c r="I18" i="10"/>
  <c r="K18" i="10"/>
  <c r="H18" i="10"/>
  <c r="M18" i="10"/>
  <c r="U17" i="10"/>
  <c r="X17" i="10"/>
  <c r="W17" i="10"/>
  <c r="Y17" i="10"/>
  <c r="V17" i="10"/>
  <c r="Z17" i="10"/>
  <c r="G17" i="10"/>
  <c r="J17" i="10"/>
  <c r="I17" i="10"/>
  <c r="K17" i="10"/>
  <c r="H17" i="10"/>
  <c r="M17" i="10"/>
  <c r="N16" i="10"/>
  <c r="U16" i="10"/>
  <c r="X16" i="10"/>
  <c r="W16" i="10"/>
  <c r="Y16" i="10"/>
  <c r="V16" i="10"/>
  <c r="Z16" i="10"/>
  <c r="O16" i="10"/>
  <c r="R16" i="10"/>
  <c r="Q16" i="10"/>
  <c r="S16" i="10"/>
  <c r="P16" i="10"/>
  <c r="T16" i="10"/>
  <c r="G16" i="10"/>
  <c r="J16" i="10"/>
  <c r="I16" i="10"/>
  <c r="K16" i="10"/>
  <c r="H16" i="10"/>
  <c r="M16" i="10"/>
  <c r="N15" i="10"/>
  <c r="U15" i="10"/>
  <c r="X15" i="10"/>
  <c r="W15" i="10"/>
  <c r="Y15" i="10"/>
  <c r="V15" i="10"/>
  <c r="Z15" i="10"/>
  <c r="O15" i="10"/>
  <c r="R15" i="10"/>
  <c r="Q15" i="10"/>
  <c r="S15" i="10"/>
  <c r="P15" i="10"/>
  <c r="T15" i="10"/>
  <c r="G15" i="10"/>
  <c r="J15" i="10"/>
  <c r="I15" i="10"/>
  <c r="K15" i="10"/>
  <c r="H15" i="10"/>
  <c r="M15" i="10"/>
  <c r="N14" i="10"/>
  <c r="U14" i="10"/>
  <c r="X14" i="10"/>
  <c r="W14" i="10"/>
  <c r="Y14" i="10"/>
  <c r="V14" i="10"/>
  <c r="Z14" i="10"/>
  <c r="O14" i="10"/>
  <c r="R14" i="10"/>
  <c r="Q14" i="10"/>
  <c r="S14" i="10"/>
  <c r="P14" i="10"/>
  <c r="T14" i="10"/>
  <c r="G14" i="10"/>
  <c r="J14" i="10"/>
  <c r="I14" i="10"/>
  <c r="K14" i="10"/>
  <c r="H14" i="10"/>
  <c r="M14" i="10"/>
  <c r="N13" i="10"/>
  <c r="U13" i="10"/>
  <c r="X13" i="10"/>
  <c r="W13" i="10"/>
  <c r="Y13" i="10"/>
  <c r="V13" i="10"/>
  <c r="Z13" i="10"/>
  <c r="O13" i="10"/>
  <c r="R13" i="10"/>
  <c r="Q13" i="10"/>
  <c r="S13" i="10"/>
  <c r="P13" i="10"/>
  <c r="T13" i="10"/>
  <c r="G13" i="10"/>
  <c r="J13" i="10"/>
  <c r="I13" i="10"/>
  <c r="K13" i="10"/>
  <c r="H13" i="10"/>
  <c r="M13" i="10"/>
  <c r="N12" i="10"/>
  <c r="U12" i="10"/>
  <c r="X12" i="10"/>
  <c r="W12" i="10"/>
  <c r="Y12" i="10"/>
  <c r="V12" i="10"/>
  <c r="Z12" i="10"/>
  <c r="O12" i="10"/>
  <c r="R12" i="10"/>
  <c r="Q12" i="10"/>
  <c r="S12" i="10"/>
  <c r="P12" i="10"/>
  <c r="T12" i="10"/>
  <c r="G12" i="10"/>
  <c r="J12" i="10"/>
  <c r="I12" i="10"/>
  <c r="K12" i="10"/>
  <c r="H12" i="10"/>
  <c r="M12" i="10"/>
  <c r="N10" i="10"/>
  <c r="U10" i="10"/>
  <c r="X10" i="10"/>
  <c r="W10" i="10"/>
  <c r="Y10" i="10"/>
  <c r="V10" i="10"/>
  <c r="Z10" i="10"/>
  <c r="O10" i="10"/>
  <c r="R10" i="10"/>
  <c r="Q10" i="10"/>
  <c r="S10" i="10"/>
  <c r="P10" i="10"/>
  <c r="T10" i="10"/>
  <c r="G10" i="10"/>
  <c r="J10" i="10"/>
  <c r="I10" i="10"/>
  <c r="K10" i="10"/>
  <c r="H10" i="10"/>
  <c r="M10" i="10"/>
  <c r="N7" i="10"/>
  <c r="U7" i="10"/>
  <c r="X7" i="10"/>
  <c r="W7" i="10"/>
  <c r="Y7" i="10"/>
  <c r="V7" i="10"/>
  <c r="Z7" i="10"/>
  <c r="O7" i="10"/>
  <c r="R7" i="10"/>
  <c r="Q7" i="10"/>
  <c r="S7" i="10"/>
  <c r="P7" i="10"/>
  <c r="T7" i="10"/>
  <c r="G7" i="10"/>
  <c r="J7" i="10"/>
  <c r="I7" i="10"/>
  <c r="K7" i="10"/>
  <c r="H7" i="10"/>
  <c r="M7" i="10"/>
  <c r="N6" i="10"/>
  <c r="U6" i="10"/>
  <c r="X6" i="10"/>
  <c r="W6" i="10"/>
  <c r="Y6" i="10"/>
  <c r="V6" i="10"/>
  <c r="Z6" i="10"/>
  <c r="O6" i="10"/>
  <c r="R6" i="10"/>
  <c r="Q6" i="10"/>
  <c r="S6" i="10"/>
  <c r="P6" i="10"/>
  <c r="T6" i="10"/>
  <c r="G6" i="10"/>
  <c r="J6" i="10"/>
  <c r="I6" i="10"/>
  <c r="K6" i="10"/>
  <c r="H6" i="10"/>
  <c r="M6" i="10"/>
  <c r="N5" i="10"/>
  <c r="U5" i="10"/>
  <c r="X5" i="10"/>
  <c r="W5" i="10"/>
  <c r="Y5" i="10"/>
  <c r="V5" i="10"/>
  <c r="Z5" i="10"/>
  <c r="O5" i="10"/>
  <c r="R5" i="10"/>
  <c r="Q5" i="10"/>
  <c r="S5" i="10"/>
  <c r="P5" i="10"/>
  <c r="T5" i="10"/>
  <c r="G5" i="10"/>
  <c r="J5" i="10"/>
  <c r="I5" i="10"/>
  <c r="K5" i="10"/>
  <c r="H5" i="10"/>
  <c r="M5" i="10"/>
  <c r="N4" i="10"/>
  <c r="U4" i="10"/>
  <c r="X4" i="10"/>
  <c r="W4" i="10"/>
  <c r="Y4" i="10"/>
  <c r="V4" i="10"/>
  <c r="Z4" i="10"/>
  <c r="O4" i="10"/>
  <c r="R4" i="10"/>
  <c r="Q4" i="10"/>
  <c r="S4" i="10"/>
  <c r="P4" i="10"/>
  <c r="T4" i="10"/>
  <c r="G4" i="10"/>
  <c r="J4" i="10"/>
  <c r="I4" i="10"/>
  <c r="K4" i="10"/>
  <c r="H4" i="10"/>
  <c r="M4" i="10"/>
  <c r="N3" i="10"/>
  <c r="U3" i="10"/>
  <c r="X3" i="10"/>
  <c r="W3" i="10"/>
  <c r="Y3" i="10"/>
  <c r="V3" i="10"/>
  <c r="Z3" i="10"/>
  <c r="O3" i="10"/>
  <c r="R3" i="10"/>
  <c r="Q3" i="10"/>
  <c r="S3" i="10"/>
  <c r="P3" i="10"/>
  <c r="T3" i="10"/>
  <c r="G3" i="10"/>
  <c r="J3" i="10"/>
  <c r="I3" i="10"/>
  <c r="K3" i="10"/>
  <c r="H3" i="10"/>
  <c r="M3" i="10"/>
  <c r="J2" i="11"/>
  <c r="O3" i="9"/>
  <c r="E3" i="9"/>
  <c r="D3" i="9"/>
  <c r="A3" i="9"/>
  <c r="H5" i="7"/>
  <c r="G2" i="2"/>
  <c r="A2" i="2"/>
  <c r="G3" i="2"/>
  <c r="A3" i="2"/>
  <c r="G4" i="2"/>
  <c r="A4" i="2"/>
  <c r="G5" i="2"/>
  <c r="A5" i="2"/>
  <c r="J5" i="7"/>
  <c r="I5" i="7"/>
  <c r="D5" i="7"/>
  <c r="F5" i="7"/>
  <c r="E5" i="7"/>
  <c r="A5" i="7"/>
  <c r="H4" i="7"/>
  <c r="J4" i="7"/>
  <c r="I4" i="7"/>
  <c r="D4" i="7"/>
  <c r="F4" i="7"/>
  <c r="E4" i="7"/>
  <c r="A4" i="7"/>
  <c r="H3" i="7"/>
  <c r="J3" i="7"/>
  <c r="I3" i="7"/>
  <c r="D3" i="7"/>
  <c r="F3" i="7"/>
  <c r="E3" i="7"/>
  <c r="A3" i="7"/>
  <c r="AF6" i="1"/>
  <c r="AH6" i="1"/>
  <c r="AK6" i="1"/>
  <c r="AI6" i="1"/>
  <c r="AG6" i="1"/>
  <c r="Q6" i="1"/>
  <c r="P6" i="1"/>
  <c r="O6" i="1"/>
  <c r="N6" i="1"/>
  <c r="M6" i="1"/>
  <c r="H6" i="1"/>
  <c r="J6" i="1"/>
  <c r="I6" i="1"/>
  <c r="D6" i="1"/>
  <c r="F6" i="1"/>
  <c r="E6" i="1"/>
  <c r="A6" i="1"/>
  <c r="AF5" i="1"/>
  <c r="AH5" i="1"/>
  <c r="AK5" i="1"/>
  <c r="AI5" i="1"/>
  <c r="AG5" i="1"/>
  <c r="Q5" i="1"/>
  <c r="P5" i="1"/>
  <c r="O5" i="1"/>
  <c r="N5" i="1"/>
  <c r="M5" i="1"/>
  <c r="H5" i="1"/>
  <c r="J5" i="1"/>
  <c r="I5" i="1"/>
  <c r="D5" i="1"/>
  <c r="F5" i="1"/>
  <c r="E5" i="1"/>
  <c r="A5" i="1"/>
  <c r="AF4" i="1"/>
  <c r="AH4" i="1"/>
  <c r="AK4" i="1"/>
  <c r="AI4" i="1"/>
  <c r="AG4" i="1"/>
  <c r="Q4" i="1"/>
  <c r="P4" i="1"/>
  <c r="O4" i="1"/>
  <c r="N4" i="1"/>
  <c r="M4" i="1"/>
  <c r="H4" i="1"/>
  <c r="J4" i="1"/>
  <c r="I4" i="1"/>
  <c r="D4" i="1"/>
  <c r="F4" i="1"/>
  <c r="E4" i="1"/>
  <c r="A4" i="1"/>
  <c r="C15" i="18"/>
  <c r="D15" i="18"/>
  <c r="C14" i="18"/>
  <c r="D14" i="18"/>
  <c r="C13" i="18"/>
  <c r="D13" i="18"/>
  <c r="C12" i="18"/>
  <c r="D12" i="18"/>
  <c r="C11" i="18"/>
  <c r="D11" i="18"/>
  <c r="C10" i="18"/>
  <c r="D10" i="18"/>
  <c r="C9" i="18"/>
  <c r="D9" i="18"/>
  <c r="C8" i="18"/>
  <c r="D8" i="18"/>
  <c r="C7" i="18"/>
  <c r="D7" i="18"/>
  <c r="C6" i="18"/>
  <c r="D6" i="18"/>
  <c r="C5" i="18"/>
  <c r="D5" i="18"/>
  <c r="C4" i="18"/>
  <c r="D4" i="18"/>
  <c r="C3" i="18"/>
  <c r="D3" i="18"/>
  <c r="B13" i="21"/>
  <c r="I13" i="21"/>
  <c r="J13" i="21"/>
  <c r="G13" i="21"/>
  <c r="F13" i="21"/>
  <c r="D13" i="21"/>
  <c r="C13" i="21"/>
  <c r="B12" i="21"/>
  <c r="I12" i="21"/>
  <c r="J12" i="21"/>
  <c r="G12" i="21"/>
  <c r="F12" i="21"/>
  <c r="D12" i="21"/>
  <c r="C12" i="21"/>
  <c r="B11" i="21"/>
  <c r="I11" i="21"/>
  <c r="J11" i="21"/>
  <c r="G11" i="21"/>
  <c r="F11" i="21"/>
  <c r="D11" i="21"/>
  <c r="C11" i="21"/>
  <c r="H5" i="2"/>
  <c r="E5" i="2"/>
  <c r="D5" i="2"/>
  <c r="H2" i="1"/>
  <c r="H3" i="1"/>
  <c r="B5" i="2"/>
  <c r="H4" i="2"/>
  <c r="E4" i="2"/>
  <c r="D4" i="2"/>
  <c r="B4" i="2"/>
  <c r="H3" i="2"/>
  <c r="E3" i="2"/>
  <c r="D3" i="2"/>
  <c r="B3" i="2"/>
  <c r="C13" i="16"/>
  <c r="E13" i="16"/>
  <c r="N2" i="22"/>
  <c r="G2" i="22"/>
  <c r="F2" i="22"/>
  <c r="D2" i="22"/>
  <c r="C2" i="22"/>
  <c r="A2" i="22"/>
  <c r="C12" i="16"/>
  <c r="B2" i="21"/>
  <c r="I2" i="21"/>
  <c r="J2" i="21"/>
  <c r="G2" i="21"/>
  <c r="F2" i="21"/>
  <c r="D2" i="21"/>
  <c r="C2" i="21"/>
  <c r="E12" i="16"/>
  <c r="C10" i="16"/>
  <c r="C11" i="16"/>
  <c r="E11" i="16"/>
  <c r="E10" i="16"/>
  <c r="C2" i="18"/>
  <c r="D2" i="18"/>
  <c r="O2" i="9"/>
  <c r="N2" i="9"/>
  <c r="M2" i="9"/>
  <c r="L2" i="9"/>
  <c r="K2" i="9"/>
  <c r="J2" i="9"/>
  <c r="I2" i="9"/>
  <c r="H2" i="9"/>
  <c r="G2" i="9"/>
  <c r="E2" i="9"/>
  <c r="D2" i="9"/>
  <c r="C4" i="16"/>
  <c r="C5" i="16"/>
  <c r="C6" i="16"/>
  <c r="C7" i="16"/>
  <c r="C8" i="16"/>
  <c r="C9" i="16"/>
  <c r="C3" i="16"/>
  <c r="E9" i="16"/>
  <c r="AF3" i="1"/>
  <c r="AI3" i="1"/>
  <c r="AH3" i="1"/>
  <c r="AG3" i="1"/>
  <c r="AF2" i="1"/>
  <c r="AI2" i="1"/>
  <c r="AH2" i="1"/>
  <c r="AG2" i="1"/>
  <c r="Q3" i="1"/>
  <c r="P3" i="1"/>
  <c r="O3" i="1"/>
  <c r="N3" i="1"/>
  <c r="M3" i="1"/>
  <c r="Q2" i="1"/>
  <c r="P2" i="1"/>
  <c r="O2" i="1"/>
  <c r="N2" i="1"/>
  <c r="M2" i="1"/>
  <c r="N2" i="10"/>
  <c r="U2" i="10"/>
  <c r="W2" i="10"/>
  <c r="O2" i="10"/>
  <c r="Q2" i="10"/>
  <c r="G2" i="10"/>
  <c r="I2" i="10"/>
  <c r="Y2" i="10"/>
  <c r="X2" i="10"/>
  <c r="V2" i="10"/>
  <c r="Z2" i="10"/>
  <c r="S2" i="10"/>
  <c r="R2" i="10"/>
  <c r="P2" i="10"/>
  <c r="T2" i="10"/>
  <c r="K2" i="10"/>
  <c r="J2" i="10"/>
  <c r="H2" i="10"/>
  <c r="M2" i="10"/>
  <c r="AK2" i="1"/>
  <c r="H2" i="7"/>
  <c r="J2" i="7"/>
  <c r="E8" i="16"/>
  <c r="E7" i="16"/>
  <c r="E6" i="16"/>
  <c r="E5" i="16"/>
  <c r="E4" i="16"/>
  <c r="E3" i="16"/>
  <c r="E2" i="16"/>
  <c r="A3" i="1"/>
  <c r="A2" i="1"/>
  <c r="AK3" i="1"/>
  <c r="A2" i="9"/>
  <c r="J3" i="1"/>
  <c r="I3" i="1"/>
  <c r="D3" i="1"/>
  <c r="F3" i="1"/>
  <c r="E3" i="1"/>
  <c r="A2" i="7"/>
  <c r="I2" i="7"/>
  <c r="D2" i="7"/>
  <c r="F2" i="7"/>
  <c r="E2" i="7"/>
  <c r="J2" i="1"/>
  <c r="I2" i="1"/>
  <c r="D2" i="2"/>
  <c r="E2" i="2"/>
  <c r="H2" i="2"/>
  <c r="D2" i="1"/>
  <c r="E2" i="1"/>
  <c r="F2" i="1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R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<sst xmlns="http://schemas.openxmlformats.org/spreadsheetml/2006/main" count="1009" uniqueCount="485">
  <si>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</si>
  <si>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</si>
  <si>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</si>
  <si>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</si>
  <si>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</si>
  <si>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</si>
  <si>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</si>
  <si>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</si>
  <si>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</si>
  <si>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</si>
  <si>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</si>
  <si>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</si>
  <si>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</si>
  <si>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</si>
  <si>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</si>
  <si>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</si>
  <si>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</si>
  <si>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</si>
  <si>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</si>
  <si>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</si>
  <si>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</si>
  <si>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</si>
  <si>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</si>
  <si>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</si>
  <si>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</si>
  <si>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</si>
  <si>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</si>
  <si>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</si>
  <si>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</si>
  <si>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</si>
  <si>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</si>
  <si>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</si>
  <si>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</si>
  <si>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</si>
  <si>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</si>
  <si>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</si>
  <si>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</si>
  <si>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</si>
  <si>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</si>
  <si>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</si>
  <si>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</si>
  <si>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</si>
  <si>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</si>
  <si>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</si>
  <si>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</si>
  <si>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</si>
  <si>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</si>
  <si>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</si>
  <si>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</si>
  <si>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</si>
  <si>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</si>
  <si>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</si>
  <si>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</si>
  <si>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</si>
  <si>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</si>
  <si>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</si>
  <si>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</si>
  <si>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</si>
  <si>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</si>
  <si>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</si>
  <si>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</si>
  <si>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</si>
  <si>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</si>
  <si>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</si>
  <si>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</si>
  <si>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</si>
  <si>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</si>
  <si>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</si>
  <si>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</si>
  <si>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</si>
  <si>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</si>
  <si>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</si>
  <si>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</si>
  <si>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</si>
  <si>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</si>
  <si>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</si>
  <si>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</si>
  <si>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</si>
  <si>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</si>
  <si>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</si>
  <si>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</si>
  <si>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</si>
  <si>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</si>
  <si>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</si>
  <si>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</si>
  <si>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</si>
  <si>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</si>
  <si>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</si>
  <si>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</si>
  <si>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</si>
  <si>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</si>
  <si>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</si>
  <si>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</si>
  <si>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</si>
  <si>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</si>
  <si>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</si>
  <si>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</si>
  <si>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</si>
  <si>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</si>
  <si>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</si>
  <si>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</si>
  <si>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</si>
  <si>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</si>
  <si>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</si>
  <si>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</si>
  <si>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</si>
  <si>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</si>
  <si>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</si>
  <si>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</si>
  <si>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</si>
  <si>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</si>
  <si>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</si>
  <si>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</si>
  <si>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</si>
  <si>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</si>
  <si>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</si>
  <si>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</si>
  <si>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</si>
  <si>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</si>
  <si>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</si>
  <si>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</si>
  <si>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</si>
  <si>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</si>
  <si>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</si>
  <si>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</si>
  <si>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</si>
  <si>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</si>
  <si>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</si>
  <si>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</si>
  <si>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</si>
  <si>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</si>
  <si>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</si>
  <si>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</si>
  <si>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</si>
  <si>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</si>
  <si>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</si>
  <si>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</si>
  <si>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</si>
  <si>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</si>
  <si>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</si>
  <si>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</si>
  <si>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</si>
  <si>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</si>
  <si>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</si>
  <si>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</si>
  <si>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</si>
  <si>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</si>
  <si>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</si>
  <si>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</si>
  <si>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</si>
  <si>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</si>
  <si>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</si>
  <si>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</si>
  <si>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</si>
  <si>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</si>
  <si>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</si>
  <si>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</si>
  <si>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</si>
  <si>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</si>
  <si>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</si>
  <si>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</si>
  <si>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</si>
  <si>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</si>
  <si>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</si>
  <si>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</si>
  <si>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</si>
  <si>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bit</t>
  </si>
  <si>
    <t>null</t>
    <phoneticPr fontId="5"/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</si>
  <si>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</si>
  <si>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</si>
  <si>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</si>
  <si>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</si>
  <si>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</si>
  <si>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</si>
  <si>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</si>
  <si>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</si>
  <si>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</si>
  <si>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</si>
  <si>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</si>
  <si>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</si>
  <si>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</si>
  <si>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</si>
  <si>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</si>
  <si>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</si>
  <si>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</si>
  <si>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</si>
  <si>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skip</t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</si>
  <si>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</si>
  <si>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</si>
  <si>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</si>
  <si>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</si>
  <si>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</si>
  <si>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</si>
  <si>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</si>
  <si>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</si>
  <si>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</si>
  <si>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</si>
  <si>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</si>
  <si>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NULL</t>
    <phoneticPr fontId="5"/>
  </si>
  <si>
    <t>complete</t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</si>
  <si>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</si>
  <si>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</si>
  <si>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</si>
  <si>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</si>
  <si>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</si>
  <si>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</si>
  <si>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</si>
  <si>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</si>
  <si>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</si>
  <si>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stage_hints_failure</t>
    <phoneticPr fontId="5"/>
  </si>
  <si>
    <t>stage_hints_failure</t>
    <phoneticPr fontId="5"/>
  </si>
  <si>
    <t>temp_id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</si>
  <si>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</si>
  <si>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</si>
  <si>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</si>
  <si>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</si>
  <si>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stage_target</t>
    <phoneticPr fontId="5"/>
  </si>
  <si>
    <t>bonus_category</t>
    <phoneticPr fontId="5"/>
  </si>
  <si>
    <t>bonus_id</t>
    <phoneticPr fontId="5"/>
  </si>
  <si>
    <t>weight</t>
    <phoneticPr fontId="5"/>
  </si>
  <si>
    <t>bonus_type</t>
    <phoneticPr fontId="5"/>
  </si>
  <si>
    <t>bonus_count</t>
    <phoneticPr fontId="5"/>
  </si>
  <si>
    <t>skill_level</t>
    <phoneticPr fontId="5"/>
  </si>
  <si>
    <t>definite_start_date</t>
    <phoneticPr fontId="5"/>
  </si>
  <si>
    <t>definite_end_date</t>
    <phoneticPr fontId="5"/>
  </si>
  <si>
    <t>everyone</t>
    <phoneticPr fontId="5"/>
  </si>
  <si>
    <t>unit</t>
    <phoneticPr fontId="5"/>
  </si>
  <si>
    <t>2016-5-27 0:00:00</t>
    <phoneticPr fontId="5"/>
  </si>
  <si>
    <t>2970-01-01 09:00:00</t>
    <phoneticPr fontId="5"/>
  </si>
  <si>
    <t>stage_bonuses</t>
    <phoneticPr fontId="5"/>
  </si>
  <si>
    <t>.tmp</t>
    <phoneticPr fontId="5"/>
  </si>
  <si>
    <t>quest_id</t>
    <phoneticPr fontId="5"/>
  </si>
  <si>
    <t>stage_id</t>
    <phoneticPr fontId="5"/>
  </si>
  <si>
    <t>stage_target</t>
    <phoneticPr fontId="5"/>
  </si>
  <si>
    <t>bonus_category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</si>
  <si>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</si>
  <si>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</si>
  <si>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</si>
  <si>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</si>
  <si>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</si>
  <si>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</si>
  <si>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</si>
  <si>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</si>
  <si>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</si>
  <si>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</si>
  <si>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</si>
  <si>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</si>
  <si>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</si>
  <si>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</si>
  <si>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stage_bonuses_</t>
    <phoneticPr fontId="5"/>
  </si>
  <si>
    <t>hp</t>
    <phoneticPr fontId="5"/>
  </si>
  <si>
    <t>attack</t>
    <phoneticPr fontId="5"/>
  </si>
  <si>
    <t>攻略のヒント</t>
    <rPh sb="0" eb="2">
      <t>コウリャク</t>
    </rPh>
    <phoneticPr fontId="5"/>
  </si>
  <si>
    <t>full_member</t>
    <phoneticPr fontId="5"/>
  </si>
  <si>
    <t>unit</t>
  </si>
  <si>
    <t>old</t>
  </si>
  <si>
    <t>null</t>
    <phoneticPr fontId="5"/>
  </si>
  <si>
    <t>null</t>
    <phoneticPr fontId="5"/>
  </si>
  <si>
    <t>ハンニバル</t>
    <phoneticPr fontId="5"/>
  </si>
  <si>
    <t>アンデルセン</t>
    <phoneticPr fontId="5"/>
  </si>
  <si>
    <t>R5</t>
    <phoneticPr fontId="5"/>
  </si>
  <si>
    <t>R6</t>
    <phoneticPr fontId="5"/>
  </si>
  <si>
    <t>解除するまで全ユニットにスキルバインド</t>
    <phoneticPr fontId="5"/>
  </si>
  <si>
    <t>防御力無視の超大ダメージ</t>
  </si>
  <si>
    <t>2ターン全ユニットの攻撃力80%DOWN</t>
    <phoneticPr fontId="5"/>
  </si>
  <si>
    <t>赤が青パネルに、青が赤パネルに変換+単体攻撃</t>
    <phoneticPr fontId="5"/>
  </si>
  <si>
    <t>青パネルを吸収する程、ダメージがDOWNする攻撃</t>
    <phoneticPr fontId="5"/>
  </si>
  <si>
    <t>緑パネルを吸収する程、ダメージがDOWNする攻撃</t>
    <phoneticPr fontId="5"/>
  </si>
  <si>
    <t>ダメージパネルを吸収して攻撃</t>
  </si>
  <si>
    <t>ダメージパネルを吸収して攻撃</t>
    <phoneticPr fontId="5"/>
  </si>
  <si>
    <t>ja</t>
  </si>
  <si>
    <t>青パネルを吸収する程、ダメージがDOWNする攻撃</t>
    <phoneticPr fontId="5"/>
  </si>
  <si>
    <t>青PTの場合の実質HP</t>
    <phoneticPr fontId="5"/>
  </si>
  <si>
    <t>青PTの場合の実質ダメージ</t>
    <phoneticPr fontId="5"/>
  </si>
  <si>
    <t>4ターン全ユニットにウィルス</t>
    <phoneticPr fontId="5"/>
  </si>
  <si>
    <t>お邪魔パネルを超強力な緑のダメージパネルに変換+
単体攻撃</t>
    <phoneticPr fontId="5"/>
  </si>
  <si>
    <t>黄が緑パネルに、緑が黄パネルに変換+単体攻撃</t>
    <phoneticPr fontId="5"/>
  </si>
  <si>
    <t>排他的インクリメント</t>
    <phoneticPr fontId="5"/>
  </si>
  <si>
    <t>ハニーポット展開</t>
    <phoneticPr fontId="5"/>
  </si>
  <si>
    <t>属性パネルをお邪魔パネルに7個変換+単体攻撃</t>
    <phoneticPr fontId="5"/>
  </si>
  <si>
    <t>攻撃力大UP+単体攻撃</t>
    <phoneticPr fontId="5"/>
  </si>
  <si>
    <t>少しは静かにせぬか！</t>
    <phoneticPr fontId="5"/>
  </si>
  <si>
    <t>…これは警告</t>
    <phoneticPr fontId="5"/>
  </si>
  <si>
    <t>備考</t>
    <phoneticPr fontId="5"/>
  </si>
  <si>
    <t>属性パネルをお邪魔パネルに7個変換+
ウィルス状態のバランスタイプユニットに大ダメージ</t>
    <phoneticPr fontId="5"/>
  </si>
  <si>
    <t>属性パネルを赤のダメージパネルに7個変換+単体攻撃</t>
    <phoneticPr fontId="5"/>
  </si>
  <si>
    <t>全ての効果を解除+2ターン全ユニットにウィルス
状態異常耐性</t>
    <phoneticPr fontId="5"/>
  </si>
  <si>
    <t>属性パネルをお邪魔パネルに10個変換+単体攻撃</t>
    <phoneticPr fontId="5"/>
  </si>
  <si>
    <t>はて、
どこかで会ったかのぅ？</t>
    <phoneticPr fontId="5"/>
  </si>
  <si>
    <t>ふむ…
少し調べさせてもらうぞ</t>
    <phoneticPr fontId="5"/>
  </si>
  <si>
    <t>属性パネルをお邪魔パネルに10個変換+単体攻撃</t>
    <phoneticPr fontId="5"/>
  </si>
  <si>
    <t>お邪魔パネルを全て&amp;属性パネルを3個
超強力な赤のダメージパネルに変換+
単体攻撃</t>
    <phoneticPr fontId="5"/>
  </si>
  <si>
    <t>ウィルス状態のバランスタイプユニットに大ダメージ</t>
    <phoneticPr fontId="5"/>
  </si>
  <si>
    <t>全ての効果を解除+4ターン全ユニットにウィルス+
状態異常耐性</t>
    <phoneticPr fontId="5"/>
  </si>
  <si>
    <t>強制アクセス制御</t>
    <phoneticPr fontId="5"/>
  </si>
  <si>
    <t>[effect:enemy_message, val1:1.4, val2:2.2],[effect:exchange_block, block01:block_red, block02:block_blue],[effect:rush, count:1, val:1.0]</t>
  </si>
  <si>
    <t>[effect:enemy_message, val1:1.2, val2:2.2],[effect:exchange_block, block01:block_yellow, block02:block_green],[effect:rush, count:1, val:1.0]</t>
  </si>
  <si>
    <t>[effect:enemy_message, val1:1.2, val2:1.2],[effect:damage_fix_pierce, target:unit_one, color:red, val:100000]</t>
  </si>
  <si>
    <t>[effect:enemy_message, val1:1.2, val2:2.5],[effect:force_change_block, new_block:damage, target:normal, count:7, val:0.15],[effect:rush, count:1, val:1.0]</t>
  </si>
  <si>
    <t>[effect:enemy_message, val1:1.2, val2:2.3],[effect:force_change_block, new_block:jammer, target:normal, count:10, val:0],[effect:rush, count:1, val:1.0]</t>
  </si>
  <si>
    <t>[effect:enemy_message, val1:1.2, val2:2.8],[effect:force_change_block, new_block:damage, target:jammer, count:0, val:0.9],[effect:rush, count:1, val:1.0]</t>
  </si>
  <si>
    <t>[effect:enemy_message, val1:1.2, val2:3.9],[effect:force_change_block, new_block:damage, target:jammer, count:0, val:0.9],[effect:force_change_block, new_block:damage, target:normal, count:3, val:0.9],[effect:rush, count:1, val:1.0]</t>
  </si>
  <si>
    <t>黄パネルを吸収して攻撃</t>
    <phoneticPr fontId="5"/>
  </si>
  <si>
    <t>4ターン全ユニットの攻撃力80%DOWN+
自身の攻撃力UP</t>
    <phoneticPr fontId="5"/>
  </si>
  <si>
    <t>[effect:enemy_message, val1:1.2, val2:2.0],[effect:attack_break, target:unit_all, turn:2, val:0.8, calc:mul, animation:attack_break02]</t>
  </si>
  <si>
    <t>《チリひとつ残さねー！》</t>
    <phoneticPr fontId="5"/>
  </si>
  <si>
    <t>《崩し甲斐がありそうだ》</t>
    <phoneticPr fontId="5"/>
  </si>
  <si>
    <t>《ブッ壊すことにする！》</t>
    <phoneticPr fontId="5"/>
  </si>
  <si>
    <t>《皆！出陣だ！》</t>
    <phoneticPr fontId="5"/>
  </si>
  <si>
    <t>《計画通りだよ…！》</t>
    <phoneticPr fontId="5"/>
  </si>
  <si>
    <t>《戦の手はずは整ったよ》</t>
    <phoneticPr fontId="5"/>
  </si>
  <si>
    <t>《勝利の一手は見えてるよ》</t>
    <phoneticPr fontId="5"/>
  </si>
  <si>
    <t>《オレが状況を作る！！》</t>
    <phoneticPr fontId="5"/>
  </si>
  <si>
    <t>《不可能なんてあるわけないぜ》</t>
    <phoneticPr fontId="5"/>
  </si>
  <si>
    <t>《出来ないことなどない！》</t>
    <phoneticPr fontId="5"/>
  </si>
  <si>
    <t>あなた達…どこから？</t>
    <phoneticPr fontId="5"/>
  </si>
  <si>
    <t>2ターン全ユニットの回復力80%DOWN</t>
    <phoneticPr fontId="5"/>
  </si>
  <si>
    <t>属性パネルをお邪魔パネルに10個変換+
3ターン全ユニットの攻撃力80%DOWN+単体攻撃</t>
    <phoneticPr fontId="5"/>
  </si>
  <si>
    <t>緑パネルが出現しない+状態異常耐性</t>
  </si>
  <si>
    <t>ハートパネルが出現しない+緑パネルを吸収して攻撃</t>
  </si>
  <si>
    <t>黄パネルが出現しない+ハートパネルを吸収して攻撃</t>
  </si>
  <si>
    <t>[表示しない]</t>
    <phoneticPr fontId="5"/>
  </si>
  <si>
    <t>シヴァ</t>
    <phoneticPr fontId="5"/>
  </si>
  <si>
    <t>死亡時</t>
    <phoneticPr fontId="5"/>
  </si>
  <si>
    <t>…この先はまかせたわ</t>
    <phoneticPr fontId="5"/>
  </si>
  <si>
    <t>4ターン全ユニットにウィルス</t>
    <phoneticPr fontId="5"/>
  </si>
  <si>
    <t>シヴァ…随分遅いのね</t>
    <phoneticPr fontId="5"/>
  </si>
  <si>
    <t>属性パネルをお邪魔パネルに10個変換+
3ターン全ユニットの回復力80%DOWN+
3ターン全ユニットのタップ回数を2DOWN</t>
    <phoneticPr fontId="5"/>
  </si>
  <si>
    <t>属性パネルをお邪魔パネルに10個変換+
3ターン全ユニットの回復力80%DOWN+
3ターン全ユニットのタップ回数を2DOWN</t>
    <phoneticPr fontId="5"/>
  </si>
  <si>
    <t>属性パネルをお邪魔パネルに15個変換+クリティカル！
【次ターン超大ダメージ】</t>
    <phoneticPr fontId="5"/>
  </si>
  <si>
    <t>属性パネルをお邪魔パネルに10個変換+単体攻撃
【2ターン後HPが一定以上で超大ダメージ】</t>
    <phoneticPr fontId="5"/>
  </si>
  <si>
    <t>ラ・メモワール・エテーネル</t>
    <phoneticPr fontId="5"/>
  </si>
  <si>
    <t>ダメージ・アポロフィシー</t>
    <phoneticPr fontId="5"/>
  </si>
  <si>
    <t>セゾン・デュ・ルノヴォー</t>
    <phoneticPr fontId="5"/>
  </si>
  <si>
    <t>そろそろ終わりにしましょう…名も無きヒト…</t>
    <phoneticPr fontId="5"/>
  </si>
  <si>
    <t>クローン…
…じゃないようね</t>
    <phoneticPr fontId="5"/>
  </si>
  <si>
    <t>ふふ…お気に召すかしら？</t>
    <phoneticPr fontId="5"/>
  </si>
  <si>
    <t>全ての効果を解除+緑パネルが出現しない+
状態異常耐性</t>
    <phoneticPr fontId="5"/>
  </si>
  <si>
    <t>見くびらないほうが宜しくてよ</t>
    <phoneticPr fontId="5"/>
  </si>
  <si>
    <t>ja</t>
    <phoneticPr fontId="5"/>
  </si>
  <si>
    <t>歴史に残せないことを残念に思うよ
【緑パネルが出現しない+状態異常耐性】</t>
    <phoneticPr fontId="5"/>
  </si>
  <si>
    <t>大英雄の一閃</t>
    <phoneticPr fontId="5"/>
  </si>
  <si>
    <t>大英雄の一撃</t>
    <phoneticPr fontId="5"/>
  </si>
  <si>
    <t>…君が管理するに値する歴史を僕が刻もう
【緑パネルが出現しない+状態異常耐性】</t>
    <phoneticPr fontId="5"/>
  </si>
  <si>
    <t>ドミネイト・グリーン</t>
    <phoneticPr fontId="5"/>
  </si>
  <si>
    <t>ドミネイト・ハート</t>
    <phoneticPr fontId="5"/>
  </si>
  <si>
    <t>ドミネイト・イエロー</t>
    <phoneticPr fontId="5"/>
  </si>
  <si>
    <t>イスカンダルの双角</t>
    <phoneticPr fontId="5"/>
  </si>
  <si>
    <t>ドミネイト・カラーズ</t>
    <phoneticPr fontId="5"/>
  </si>
  <si>
    <t>分からない人達だね</t>
    <phoneticPr fontId="5"/>
  </si>
  <si>
    <t>炎纏</t>
    <phoneticPr fontId="5"/>
  </si>
  <si>
    <t>アイディアル・アンド・リアリティ</t>
    <phoneticPr fontId="5"/>
  </si>
  <si>
    <t>よく見ておくんだ、真の英雄の姿を！</t>
    <phoneticPr fontId="5"/>
  </si>
  <si>
    <t>夢が…消える…</t>
    <phoneticPr fontId="5"/>
  </si>
  <si>
    <t>君の夢物語と一緒にしないでくれないか
【緑パネルが出現しない+状態異常耐性】</t>
    <phoneticPr fontId="5"/>
  </si>
  <si>
    <t>シヴァ</t>
    <phoneticPr fontId="5"/>
  </si>
  <si>
    <t>R4</t>
    <phoneticPr fontId="5"/>
  </si>
  <si>
    <t>R5</t>
    <phoneticPr fontId="5"/>
  </si>
  <si>
    <t>R6</t>
    <phoneticPr fontId="5"/>
  </si>
  <si>
    <t>シヴァ</t>
    <phoneticPr fontId="5"/>
  </si>
  <si>
    <t>アンデルセン</t>
    <phoneticPr fontId="5"/>
  </si>
  <si>
    <t>ハンニバル</t>
    <phoneticPr fontId="5"/>
  </si>
  <si>
    <t>アンデルセン</t>
    <phoneticPr fontId="5"/>
  </si>
  <si>
    <t>ハンニバル</t>
    <phoneticPr fontId="5"/>
  </si>
  <si>
    <t>シヴァ…自らここへ来るとはね</t>
    <phoneticPr fontId="5"/>
  </si>
  <si>
    <t>ハンニバル、その天賦の才…</t>
    <phoneticPr fontId="5"/>
  </si>
  <si>
    <t>大灯台の覇光</t>
    <phoneticPr fontId="5"/>
  </si>
  <si>
    <t>この理想も…人の世の夢だったね</t>
    <phoneticPr fontId="5"/>
  </si>
  <si>
    <t>君と、そう変わらないのかもしれないな…</t>
    <phoneticPr fontId="5"/>
  </si>
  <si>
    <t>[effect:enemy_message, val1:1.2, val2:1.4],[effect:fix_speed, target:myself, turn:1],[effect:virus, target:unit_all, turn:4, rate:1, val:0.15, animation:enemy_virus]</t>
  </si>
  <si>
    <t>[effect:enemy_message, val1:1.3, val2:2.0],[effect:degrade_unit, target:unit_all, turn:2, status:heal, val:0.8, calc:mul, animation:degrade_unit_all_heal]</t>
  </si>
  <si>
    <t>[effect:enemy_message, val1:1.2, val2:0.0]</t>
  </si>
  <si>
    <t>[effect:enemy_message, val1:1.2, val2:1.2],[effect:enhance_enemy, target:myself, turn:-1, status:attack, val:0.7, calc:mul, animation:enemy_enhance_attack],[effect:rush, count:1, val:1.0]</t>
  </si>
  <si>
    <t>[effect:enemy_message, val1:2.4, val2:2.6],[effect:fix_speed, target:myself, turn:1],[effect:remove_enhancement, target:unit_all, target_effect:all, animation:frozen_wave],[effect:change_panel_ratio, turn:-1, block_type:green, val:0, animation:block_incidence04],[effect:tolerance, target:myself, turn:-1, count:-1, tolerance_effect:all, animation:enemy_tolerance]</t>
  </si>
  <si>
    <t>[effect:enemy_message, val1:1.2, val2:4.9],[effect:force_change_block, new_block:jammer, target:normal, count:10, val:0],[effect:virus, target:unit_all, turn:2, rate:1, val:0.15, animation:enemy_virus],[effect:degrade_unit, target:unit_all, turn:3, status:action, val:2, calc:add, animation:enemy_tap_down]</t>
  </si>
  <si>
    <t>[effect:enemy_message, val1:1.2, val2:4.2],[effect:force_change_block, new_block:jammer, target:normal, count:7, val:0],[effect:damage_anti_abnormal, target:unit_balance, target_effect01:virus, val1:3, val2:0.4]</t>
  </si>
  <si>
    <t>[effect:enemy_message, val1:1.3, val2:2.4],[effect:break_attack_fix, target:unit_one, val:-2000, lowest_val:40000, count:15, block01:block_blue]</t>
  </si>
  <si>
    <t>[effect:enemy_message, val1:2.4, val2:2.9],[effect:fix_speed, target:myself, turn:1],[effect:remove_enhancement, target:unit_all, target_effect:all, animation:frozen_wave],[effect:virus, target:unit_all, turn:2, rate:1, val:0.15, animation:enemy_virus],[effect:tolerance, target:myself, turn:-1, count:-1, tolerance_effect:all, animation:enemy_tolerance]</t>
  </si>
  <si>
    <t>[effect:enemy_message, val1:1.2, val2:4.4],[effect:force_change_block, new_block:jammer, target:normal, count:10, val:0],[effect:attack_break, target:unit_all, turn:3, val:0.8, calc:mul, animation:attack_break02],[effect:rush, count:1, val:1.0]</t>
  </si>
  <si>
    <t>[effect:enemy_message, val1:1.3, val2:2.2],[effect:force_change_block, new_block:jammer, target:normal, count:7, val:0],[effect:rush, count:1, val:1.0]</t>
  </si>
  <si>
    <t>[effect:enemy_message, val1:1.5, val2:1.2],[effect:damage_fix_pierce, target:unit_one, color:red, val:100000]</t>
  </si>
  <si>
    <t>[effect:enemy_message, val1:1.4, val2:2.3],[effect:force_change_block, new_block:jammer, target:normal, count:10, val:0],[effect:rush, count:1, val:1.0]</t>
  </si>
  <si>
    <t>[effect:enemy_message, val1:1.2, val2:2.4],[effect:break_attack_fix, target:unit_one, val:-2000, lowest_val:35000, count:15, block01:block_green]</t>
  </si>
  <si>
    <t>[effect:enemy_message, val1:1.3, val2:6.1],[effect:force_change_block, new_block:jammer, target:normal, count:10, val:0],[effect:degrade_unit, target:unit_all, turn:3, status:action, val:2, calc:add, animation:enemy_tap_down],[effect:degrade_unit, target:unit_all, turn:3, status:heal, val:0.8, calc:mul, animation:degrade_unit_all_heal]</t>
  </si>
  <si>
    <t>[effect:enemy_message, val1:1.2, val2:2.4],[effect:change_panel_ratio, turn:-1, block_type:heal, val:0, animation:block_incidence04],[effect:break_attack_fix, target:unit_one, val:10000, lowest_val:7000, count:-1, block01:block_green]</t>
  </si>
  <si>
    <t>[effect:enemy_message, val1:1.4, val2:3.8],[effect:fix_speed, target:myself, turn:1],[effect:change_panel_ratio, turn:-1, block_type:green, val:0, animation:block_incidence04],[effect:tolerance, target:myself, turn:-1, count:-1, tolerance_effect:all, animation:enemy_tolerance]</t>
  </si>
  <si>
    <t>[effect:enemy_message, val1:1.3, val2:3.5],[effect:fix_speed, target:myself, turn:1],[effect:change_panel_ratio, turn:-1, block_type:green, val:0, animation:block_incidence04],[effect:tolerance, target:myself, turn:-1, count:-1, tolerance_effect:all, animation:enemy_tolerance]</t>
  </si>
  <si>
    <t>[effect:enemy_message, val1:1.6, val2:1.4],[effect:break_attack_fix, target:unit_one, val:4000, lowest_val:10000, count:-1, block01:damage]</t>
  </si>
  <si>
    <t>[effect:enemy_message, val1:1.2, val2:6.1],[effect:force_change_block, new_block:jammer, target:normal, count:10, val:0],[effect:degrade_unit, target:unit_all, turn:3, status:action, val:2, calc:add, animation:enemy_tap_down],[effect:degrade_unit, target:unit_all, turn:3, status:heal, val:0.8, calc:mul, animation:degrade_unit_all_heal]</t>
  </si>
  <si>
    <t>[effect:enemy_message, val1:1.2, val2:2.4],[effect:damage_anti_abnormal, target:unit_balance, target_effect01:virus, val1:3, val2:0.5]</t>
  </si>
  <si>
    <t>[effect:enemy_message, val1:1.2, val2:4.4],[effect:force_change_block, new_block:jammer, target:normal, count:10, val:0],[effect:rush, count:1, val:1.0]</t>
  </si>
  <si>
    <t>この右目に映る理想へと変える</t>
    <phoneticPr fontId="5"/>
  </si>
  <si>
    <t>この左目に映る現実を変える</t>
    <phoneticPr fontId="5"/>
  </si>
  <si>
    <t>皆を導くのは僕だ</t>
    <phoneticPr fontId="5"/>
  </si>
  <si>
    <t>不世出の英傑</t>
    <phoneticPr fontId="5"/>
  </si>
  <si>
    <t>理想と現実</t>
    <phoneticPr fontId="5"/>
  </si>
  <si>
    <t>立ちはだかる者達</t>
    <phoneticPr fontId="5"/>
  </si>
  <si>
    <t>アレキサンダーはヒストリア・アーカイブの
アバターデータをクローンし改ざんする事で
自らを排除しようとする者への盾としました</t>
    <phoneticPr fontId="5"/>
  </si>
  <si>
    <t>諸葛亮は青パネルを吸収するほど
ダメージが軽減される攻撃を行います
なるべく青パネルを残すようにすると
よいでしょう</t>
    <phoneticPr fontId="5"/>
  </si>
  <si>
    <t>ゼノビアは緑パネルを吸収するほど
ダメージが軽減される攻撃を行います
なるべく緑パネルを残すようにすると
よいでしょう</t>
    <phoneticPr fontId="5"/>
  </si>
  <si>
    <t>アレキサンダーの2ゲージ目は
青パネルを吸収するほど
ダメージが軽減される攻撃を行います</t>
    <phoneticPr fontId="5"/>
  </si>
  <si>
    <t>赤、黄、緑パネルを吸収して攻撃
【次ターンHPが一定以上で超大ダメージ】</t>
    <phoneticPr fontId="5"/>
  </si>
  <si>
    <t>ごきげんよう…ここまで楽しんで頂けたかしら？</t>
    <phoneticPr fontId="5"/>
  </si>
  <si>
    <t>属性パネルを緑のダメージパネルに15個変換+
攻撃力UP</t>
    <phoneticPr fontId="5"/>
  </si>
  <si>
    <t>属性パネルをお邪魔パネルに10個変換+
2ターン全ユニットにウィルス+
3ターンタップ回数を2DOWN</t>
    <phoneticPr fontId="5"/>
  </si>
  <si>
    <t>英雄剣 -征討-</t>
    <phoneticPr fontId="5"/>
  </si>
  <si>
    <t>英雄剣 -包囲-</t>
    <phoneticPr fontId="5"/>
  </si>
  <si>
    <t>英雄剣 -征討-</t>
    <phoneticPr fontId="5"/>
  </si>
  <si>
    <t>英雄剣 -帰還-</t>
    <phoneticPr fontId="5"/>
  </si>
  <si>
    <t>理想のため…犠牲になってもらう</t>
    <phoneticPr fontId="5"/>
  </si>
  <si>
    <t>覚めないでくれ…お願いだ…</t>
    <phoneticPr fontId="5"/>
  </si>
  <si>
    <t>これが王道を征く者の力だ…</t>
    <phoneticPr fontId="5"/>
  </si>
  <si>
    <t>いずれ分かることなんだ…語る必要もないよ</t>
    <phoneticPr fontId="5"/>
  </si>
  <si>
    <t>[effect:enemy_message, val1:1.2, val2:1.4],[effect:break_attack_fix, target:unit_one, val:10000, lowest_val:8000, count:-1, block01:damage]</t>
  </si>
  <si>
    <t>[effect:enemy_message, val1:1.2, val2:2.4],[effect:break_attack_fix, target:unit_one, val:-2000, lowest_val:40000, count:15, block01:block_blue]</t>
  </si>
  <si>
    <t>[effect:enemy_message, val1:1.3, val2:3.8],[effect:force_change_block, new_block:jammer, target:normal, count:15, val:0],[effect:critical, val:1.3, animation:enemy_critical]</t>
  </si>
  <si>
    <t>[effect:enemy_message, val1:1.2, val2:1.2],[effect:damage_fix_pierce, target:unit_one, color:red, val:200000]</t>
  </si>
  <si>
    <t>[effect:enemy_message, val1:2.4, val2:2.0]</t>
  </si>
  <si>
    <t>アナンタとヴィシュヌは一定のHP毎に
スキルターンを1短縮します
合計4ターンの短縮を得ることが
できるのでうまく利用しましょう</t>
    <phoneticPr fontId="5"/>
  </si>
  <si>
    <t>属性パネルをお邪魔パネルに10個変換+クリティカル！</t>
    <phoneticPr fontId="5"/>
  </si>
  <si>
    <t>属性パネルを赤のダメージパネルに10個変換+
クリティカル！</t>
    <phoneticPr fontId="5"/>
  </si>
  <si>
    <t>属性パネルをお邪魔パネルに10個変換+クリティカル！</t>
    <phoneticPr fontId="5"/>
  </si>
  <si>
    <t>英雄剣 -継承-</t>
    <phoneticPr fontId="5"/>
  </si>
  <si>
    <t>[id:1138 強制クローニングを開始します]</t>
    <phoneticPr fontId="5"/>
  </si>
  <si>
    <t>[スキル実行 臥竜鳳雛の構え]</t>
    <phoneticPr fontId="5"/>
  </si>
  <si>
    <t>[id:1439 強制クローニングを開始します]</t>
    <phoneticPr fontId="5"/>
  </si>
  <si>
    <t>[スキル実行 ブルートフォース・風林火山]</t>
    <phoneticPr fontId="5"/>
  </si>
  <si>
    <t>[id:1442 強制クローニングを開始します]</t>
    <phoneticPr fontId="5"/>
  </si>
  <si>
    <t>[スキル実行 革盟の劫火]</t>
    <phoneticPr fontId="5"/>
  </si>
  <si>
    <t>アンデルセン…
僕が綴るのはこの世界の歴史なんだ</t>
    <phoneticPr fontId="5"/>
  </si>
  <si>
    <t>青属性ユニットのスキルターンを1ターン短縮+
単体攻撃</t>
    <phoneticPr fontId="5"/>
  </si>
  <si>
    <t>君に教えられるとはね…ハンニバル</t>
    <phoneticPr fontId="5"/>
  </si>
  <si>
    <t>僕には果たさなければならない夢があるんだ…</t>
    <phoneticPr fontId="5"/>
  </si>
  <si>
    <t>このままではいけないと…</t>
    <phoneticPr fontId="5"/>
  </si>
  <si>
    <t>シヴァ…君にも分かっているはずだ…</t>
    <phoneticPr fontId="5"/>
  </si>
  <si>
    <t>一人で成せることじゃない…か</t>
    <phoneticPr fontId="5"/>
  </si>
  <si>
    <t>[effect:enemy_message, val1:1.2, val2:2.6],[effect:sp_boost, target:unit_blue, val:1, animation:sp_boost_one02],[effect:rush, count:1, val:1.0]</t>
  </si>
  <si>
    <t>[effect:enemy_message, val1:2.1, val2:1.7],[effect:fix_speed, target:myself, turn:1],[effect:change_panel_ratio, turn:-1, block_type:green, val:0, animation:block_incidence04],[effect:tolerance, target:myself, turn:-1, count:-1, tolerance_effect:all, animation:enemy_tolerance]</t>
  </si>
  <si>
    <t>[effect:enemy_message, val1:1.2, val2:2.6],[effect:force_change_block, new_block:jammer, target:normal, count:10, val:0],[effect:critical, val:1.1, animation:enemy_critical]</t>
  </si>
  <si>
    <t>[effect:enemy_message, val1:1.2, val2:2.4],[effect:change_panel_ratio, turn:-1, block_type:yellow, val:0, animation:block_incidence04],[effect:break_attack_fix, target:unit_one, val:8000, lowest_val:7000, count:-1, block01:block_heart]</t>
  </si>
  <si>
    <t>[effect:enemy_message, val1:1.2, val2:1.2],[effect:break_attack_fix, target:unit_one, val:8000, lowest_val:7000, count:-1, block01:block_yellow]</t>
  </si>
  <si>
    <t>[effect:enemy_message, val1:2.3, val2:3.7],[effect:fix_speed, target:myself, turn:1],[effect:change_panel_ratio, turn:-1, block_type:green, val:0, animation:block_incidence04],[effect:tolerance, target:myself, turn:-1, count:-1, tolerance_effect:all, animation:enemy_tolerance]</t>
  </si>
  <si>
    <t>[effect:enemy_message, val1:1.7, val2:1.8]</t>
  </si>
  <si>
    <t>[effect:enemy_message, val1:2.2, val2:1.7]</t>
  </si>
  <si>
    <t>[effect:enemy_message, val1:1.9, val2:2.1]</t>
  </si>
  <si>
    <t>アレキサンダーの両眼には左に現実
右に理想の2つの世界が見えています
広がる両世界の乖離は彼を大きく
悩ませていたようです</t>
    <phoneticPr fontId="5"/>
  </si>
  <si>
    <t>諸葛亮はウィルス状態のバランスタイプに
大ダメージを与える攻撃を行います</t>
    <phoneticPr fontId="5"/>
  </si>
  <si>
    <t>ゼノビアがお邪魔パネルから変換する
ダメージパネルは超強力であるうえ
その後の吸収攻撃も強力なので早めに
処理する必要があります</t>
    <phoneticPr fontId="5"/>
  </si>
  <si>
    <t>アレキサンダーの3ゲージ目が行う
即死級の攻撃は一定のダメージを
与える事で一度回避する事ができます</t>
    <phoneticPr fontId="5"/>
  </si>
  <si>
    <t>ALICEの未来</t>
    <phoneticPr fontId="5"/>
  </si>
  <si>
    <t>シヴァ</t>
    <phoneticPr fontId="5"/>
  </si>
  <si>
    <t>属性パネルをお邪魔パネルに7個変換+クリティカル！
【次ターン防御力無視の超大ダメージ】</t>
    <phoneticPr fontId="5"/>
  </si>
  <si>
    <t>天才発明少年！</t>
    <phoneticPr fontId="5"/>
  </si>
  <si>
    <t>戦術家でもあるハンニバルは
専属AI「らいちゃん」と共に
ランドセルの圧縮空間から取り出した
兵器を駆使して戦場を駆け抜けます</t>
    <phoneticPr fontId="5"/>
  </si>
  <si>
    <t>管理AIのシヴァは手段はともかく
世界を憂うアレキサンダーの想いに
一定の理解を示し場合によっては
協力も惜しまないと伝えました</t>
    <phoneticPr fontId="5"/>
  </si>
  <si>
    <t>彼はその知勇と冷静ながらも温かい人柄で
ALICE内でも屈指の大英雄として
広く知られていました</t>
    <phoneticPr fontId="5"/>
  </si>
  <si>
    <t>諸葛亮は5ターン目
武田信玄とナポレオンは4ターン目に
それぞれ即死級の攻撃を行います</t>
    <phoneticPr fontId="5"/>
  </si>
  <si>
    <t>アレキサンダーの1ゲージ目は
特定パネルの出現を無くした2ターン後に
そのパネルを吸収する攻撃を行います</t>
    <phoneticPr fontId="5"/>
  </si>
  <si>
    <t>[effect:enemy_message, val1:1.5, val2:3.0],[effect:fix_speed, target:myself, turn:1],[effect:remove_enhancement, target:unit_all, target_effect:all, animation:frozen_wave],[effect:virus, target:unit_all, turn:4, rate:1, val:0.15, animation:enemy_virus],[effect:tolerance, target:myself, turn:-1, count:-1, tolerance_effect:all, animation:enemy_tolerance]</t>
  </si>
  <si>
    <t>[effect:enemy_message, val1:2.0, val2:2.9],[effect:attack_break, target:unit_all, turn:4, val:0.8, calc:mul, animation:attack_break02],[effect:enhance_enemy, target:myself, turn:-1, status:attack, val:0.3, calc:mul, animation:enemy_enhance_attack]</t>
  </si>
  <si>
    <t>[effect:enemy_message, val1:1.2, val2:3.5],[effect:break_attack_fix, target:unit_one, val:500, lowest_val:10000, count:-1, block01:block_red, block02:block_yellow, block03:block_green]</t>
  </si>
  <si>
    <t>[effect:enemy_message, val1:2.1, val2:2.7],[effect:force_change_block, new_block:damage, target:normal, count:15, val:0.15],[effect:enhance_enemy, target:myself, turn:-1, status:attack, val:0.45, calc:mul, animation:enemy_enhance_attack]</t>
  </si>
  <si>
    <t>6ターンテクニカルタイプのユニットにスキルバインド+
状態異常耐性</t>
    <phoneticPr fontId="5"/>
  </si>
  <si>
    <t>属性パネルを赤のダメージパネルに10個変換+
3ターン全ユニットの回復力80%DOWN+単体攻撃</t>
    <phoneticPr fontId="5"/>
  </si>
  <si>
    <t>4ターン種族マシン&amp;テクニカルタイプのユニットに
スキルバインド+状態異常耐性</t>
    <phoneticPr fontId="5"/>
  </si>
  <si>
    <t>属性パネルを赤のダメージパネルに10個変換+
クリティカル！
【次ターンHPが一定以上で超大ダメージ】</t>
    <phoneticPr fontId="5"/>
  </si>
  <si>
    <t>属性パネルを赤のダメージパネルに10個変換+
クリティカル！
【次ターンHPが一定以上で超大ダメージ】</t>
    <phoneticPr fontId="5"/>
  </si>
  <si>
    <t>[effect:enemy_message, val1:1.5, val2:4.3],[effect:force_change_block, new_block:jammer, target:normal, count:7, val:0],[effect:critical, val:1.1, animation:enemy_critical]</t>
  </si>
  <si>
    <t>[effect:enemy_message, val1:1.2, val2:4.7],[effect:force_change_block, new_block:damage, target:normal, count:10, val:0.15],[effect:degrade_unit, target:unit_all, turn:3, status:heal, val:0.8, calc:mul, animation:degrade_unit_all_heal],[effect:rush, count:1, val:1.0]</t>
  </si>
  <si>
    <t>[effect:enemy_message, val1:1.3, val2:3.1],[effect:break_attack_fix, target:unit_one, val:7000, lowest_val:17000, count:-1, block01:jammer]</t>
  </si>
  <si>
    <t>[effect:enemy_message, val1:1.4, val2:1.9],[effect:fix_speed, target:myself, turn:1],[effect:hungup, target:unit_all, turn:-1, rate:1, animation:hungup01]</t>
    <phoneticPr fontId="5"/>
  </si>
  <si>
    <t>[effect:enemy_message, val1:2.2, val2:3.2],[effect:fix_speed, target:myself, turn:1],[effect:hungup, target:unit_technical, turn:6, rate:1, animation:hungup01],[effect:tolerance, target:myself, turn:-1, count:-1, tolerance_effect:all, animation:enemy_tolerance]</t>
    <phoneticPr fontId="5"/>
  </si>
  <si>
    <t>[effect:enemy_message, val1:1.7, val2:3.8],[effect:fix_speed, target:myself, turn:1],[effect:hungup, target:unit_machine/unit_technical/or, turn:4, rate:1, animation:hungup01],[effect:tolerance, target:myself, turn:-1, count:-1, tolerance_effect:all, animation:enemy_tolerance]</t>
    <phoneticPr fontId="5"/>
  </si>
  <si>
    <t>ダメージパネル吸収して防御力UP+単体攻撃
【次ターン防御力無視の超大ダメージ】</t>
    <phoneticPr fontId="5"/>
  </si>
  <si>
    <t>お邪魔パネルを吸収して攻撃
【次ターン防御力無視の超大ダメージ】</t>
    <phoneticPr fontId="5"/>
  </si>
  <si>
    <t>お邪魔パネル吸収して防御力UP+状態異常耐性</t>
    <phoneticPr fontId="5"/>
  </si>
  <si>
    <t>赤パネル吸収して防御力UP(最大10個)
【次ターン防御力無視の超大ダメージ】</t>
    <phoneticPr fontId="5"/>
  </si>
  <si>
    <t>[effect:enemy_message, val1:2.4, val2:2.2],[effect:fix_speed, target:myself, turn:1],[effect:break_enchance_enemy, target:myself, val:5000, lowest_val:0, count:-1, status:defense, turn:-1, block01:jammer, calc:add, animation:enemy_enhance_defense],[effect:tolerance, target:myself, turn:-1, count:-1, tolerance_effect:all, animation:enemy_tolerance]</t>
    <phoneticPr fontId="5"/>
  </si>
  <si>
    <t>[effect:enemy_message, val1:2.1, val2:3.9],[effect:break_enchance_enemy, target:myself, val:8000, lowest_val:0, count:-1, status:defense, turn:-1, block01:damage, calc:add, animation:enemy_enhance_defense],[effect:rush, count:1, val:1.0]</t>
    <phoneticPr fontId="5"/>
  </si>
  <si>
    <t>[effect:enemy_message, val1:1.2, val2:3.8],[effect:break_enchance_enemy, target:myself, val:3000, lowest_val:0, count:10, status:defense, turn:-1, block01:block_red, calc:add, animation:enemy_enhance_defense]</t>
    <phoneticPr fontId="5"/>
  </si>
  <si>
    <t>属性パネルを黄のダメージパネルに3個変換+
単体攻撃</t>
    <phoneticPr fontId="5"/>
  </si>
  <si>
    <t>[effect:enemy_message, val1:1.2, val2:2.5],[effect:force_change_block, new_block:damage, target:normal, count:3, val:0.15],[effect:rush, count:1, val:1.0]</t>
    <phoneticPr fontId="5"/>
  </si>
  <si>
    <t>[effect:enemy_message, val1:1.2, val2:2.9],[effect:force_change_block, new_block:damage, target:normal, count:10, val:0.15],[effect:critical, val:1.1, animation:enemy_critical]</t>
    <phoneticPr fontId="5"/>
  </si>
  <si>
    <t>[effect:enemy_message, val1:1.3, val2:4.9],[effect:force_change_block, new_block:damage, target:normal, count:10, val:0.15],[effect:critical, val:1.1, animation:enemy_critical]</t>
    <phoneticPr fontId="5"/>
  </si>
  <si>
    <t>[effect:enemy_message, val1:1.4, val2:4.9],[effect:force_change_block, new_block:damage, target:normal, count:10, val:0.15],[effect:critical, val:1.1, animation:enemy_critical]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</si>
</sst>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5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0"/>
      <color theme="1"/>
      <name val="ＭＳ Ｐゴシック"/>
      <family val="3"/>
      <charset val="128"/>
      <scheme val="minor"/>
    </font>
    <font>
      <sz val="10"/>
      <color rgb="FFFF0000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0"/>
      <color theme="5" tint="-0.249977111117893"/>
      <name val="ＭＳ Ｐゴシック"/>
      <family val="3"/>
      <charset val="128"/>
      <scheme val="minor"/>
    </font>
  </fonts>
  <fills count="38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2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</fills>
  <borders count="2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/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</borders>
  <cellStyleXfs count="698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3" applyNumberFormat="0" applyAlignment="0" applyProtection="0"/>
    <xf numFmtId="0" fontId="33" fillId="17" borderId="0" applyNumberFormat="0" applyBorder="0" applyAlignment="0" applyProtection="0"/>
    <xf numFmtId="0" fontId="34" fillId="18" borderId="14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5" applyNumberFormat="0" applyAlignment="0" applyProtection="0"/>
    <xf numFmtId="0" fontId="38" fillId="0" borderId="0" applyNumberFormat="0" applyFill="0" applyBorder="0" applyAlignment="0" applyProtection="0"/>
    <xf numFmtId="0" fontId="39" fillId="0" borderId="16" applyNumberFormat="0" applyFill="0" applyAlignment="0" applyProtection="0"/>
    <xf numFmtId="0" fontId="40" fillId="0" borderId="17" applyNumberFormat="0" applyFill="0" applyAlignment="0" applyProtection="0"/>
    <xf numFmtId="0" fontId="41" fillId="0" borderId="18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9" applyNumberFormat="0" applyFill="0" applyAlignment="0" applyProtection="0"/>
    <xf numFmtId="0" fontId="46" fillId="18" borderId="20" applyNumberFormat="0" applyAlignment="0" applyProtection="0"/>
    <xf numFmtId="0" fontId="46" fillId="29" borderId="20" applyNumberFormat="0" applyAlignment="0" applyProtection="0"/>
    <xf numFmtId="0" fontId="34" fillId="17" borderId="14" applyNumberFormat="0" applyAlignment="0" applyProtection="0"/>
    <xf numFmtId="0" fontId="47" fillId="0" borderId="21" applyNumberFormat="0" applyFill="0" applyAlignment="0" applyProtection="0"/>
    <xf numFmtId="0" fontId="48" fillId="29" borderId="14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2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51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24" fillId="0" borderId="7" xfId="434" applyBorder="1" applyAlignment="1"/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6" fillId="5" borderId="11" xfId="0" applyFont="1" applyFill="1" applyBorder="1" applyAlignment="1">
      <alignment vertical="center"/>
    </xf>
    <xf numFmtId="0" fontId="0" fillId="3" borderId="7" xfId="0" applyFill="1" applyBorder="1"/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2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2" xfId="0" applyFont="1" applyFill="1" applyBorder="1" applyAlignment="1">
      <alignment vertical="center"/>
    </xf>
    <xf numFmtId="0" fontId="30" fillId="14" borderId="7" xfId="0" applyFont="1" applyFill="1" applyBorder="1"/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16" fillId="6" borderId="7" xfId="11" applyFont="1" applyFill="1" applyBorder="1" applyAlignment="1">
      <alignment horizontal="left"/>
    </xf>
    <xf numFmtId="0" fontId="13" fillId="7" borderId="0" xfId="0" applyFont="1" applyFill="1" applyAlignment="1">
      <alignment horizontal="center"/>
    </xf>
    <xf numFmtId="0" fontId="51" fillId="6" borderId="7" xfId="0" applyFont="1" applyFill="1" applyBorder="1" applyAlignment="1">
      <alignment horizontal="center"/>
    </xf>
    <xf numFmtId="0" fontId="13" fillId="7" borderId="0" xfId="0" applyFont="1" applyFill="1" applyAlignment="1">
      <alignment horizontal="left" indent="1"/>
    </xf>
    <xf numFmtId="0" fontId="30" fillId="3" borderId="7" xfId="0" applyFont="1" applyFill="1" applyBorder="1"/>
    <xf numFmtId="22" fontId="30" fillId="0" borderId="7" xfId="0" quotePrefix="1" applyNumberFormat="1" applyFont="1" applyFill="1" applyBorder="1"/>
    <xf numFmtId="0" fontId="30" fillId="0" borderId="7" xfId="0" quotePrefix="1" applyFont="1" applyFill="1" applyBorder="1"/>
    <xf numFmtId="0" fontId="2" fillId="0" borderId="7" xfId="615" applyBorder="1"/>
    <xf numFmtId="0" fontId="2" fillId="6" borderId="7" xfId="615" applyFill="1" applyBorder="1"/>
    <xf numFmtId="0" fontId="4" fillId="31" borderId="7" xfId="0" applyFont="1" applyFill="1" applyBorder="1" applyAlignment="1">
      <alignment horizontal="left" vertical="center"/>
    </xf>
    <xf numFmtId="1" fontId="32" fillId="31" borderId="7" xfId="0" applyNumberFormat="1" applyFont="1" applyFill="1" applyBorder="1" applyAlignment="1">
      <alignment vertical="center"/>
    </xf>
    <xf numFmtId="0" fontId="4" fillId="31" borderId="0" xfId="0" applyFont="1" applyFill="1" applyAlignment="1">
      <alignment vertical="center"/>
    </xf>
    <xf numFmtId="0" fontId="13" fillId="11" borderId="10" xfId="0" applyFont="1" applyFill="1" applyBorder="1"/>
    <xf numFmtId="0" fontId="24" fillId="0" borderId="12" xfId="434" applyBorder="1" applyAlignment="1"/>
    <xf numFmtId="0" fontId="13" fillId="11" borderId="0" xfId="434" applyFont="1" applyFill="1" applyBorder="1" applyAlignment="1"/>
    <xf numFmtId="0" fontId="30" fillId="13" borderId="7" xfId="0" applyFont="1" applyFill="1" applyBorder="1"/>
    <xf numFmtId="0" fontId="31" fillId="13" borderId="7" xfId="0" applyFont="1" applyFill="1" applyBorder="1"/>
    <xf numFmtId="0" fontId="27" fillId="13" borderId="7" xfId="0" applyFont="1" applyFill="1" applyBorder="1"/>
    <xf numFmtId="0" fontId="28" fillId="13" borderId="7" xfId="0" applyFont="1" applyFill="1" applyBorder="1"/>
    <xf numFmtId="0" fontId="29" fillId="13" borderId="12" xfId="0" applyFont="1" applyFill="1" applyBorder="1" applyAlignment="1">
      <alignment vertical="center"/>
    </xf>
    <xf numFmtId="0" fontId="4" fillId="13" borderId="6" xfId="0" applyFont="1" applyFill="1" applyBorder="1" applyAlignment="1">
      <alignment vertical="center"/>
    </xf>
    <xf numFmtId="0" fontId="6" fillId="32" borderId="3" xfId="0" applyFont="1" applyFill="1" applyBorder="1" applyAlignment="1">
      <alignment vertical="center"/>
    </xf>
    <xf numFmtId="0" fontId="16" fillId="13" borderId="7" xfId="0" applyFont="1" applyFill="1" applyBorder="1" applyAlignment="1">
      <alignment vertical="center"/>
    </xf>
    <xf numFmtId="0" fontId="16" fillId="34" borderId="7" xfId="0" applyFont="1" applyFill="1" applyBorder="1" applyAlignment="1">
      <alignment vertical="center"/>
    </xf>
    <xf numFmtId="0" fontId="16" fillId="34" borderId="7" xfId="0" applyFont="1" applyFill="1" applyBorder="1" applyAlignment="1">
      <alignment horizontal="left" vertical="center"/>
    </xf>
    <xf numFmtId="0" fontId="16" fillId="34" borderId="7" xfId="0" applyFont="1" applyFill="1" applyBorder="1" applyAlignment="1">
      <alignment horizontal="left" vertical="center" wrapText="1"/>
    </xf>
    <xf numFmtId="0" fontId="16" fillId="35" borderId="7" xfId="0" applyFont="1" applyFill="1" applyBorder="1" applyAlignment="1">
      <alignment vertical="center"/>
    </xf>
    <xf numFmtId="0" fontId="16" fillId="35" borderId="7" xfId="0" applyFont="1" applyFill="1" applyBorder="1" applyAlignment="1">
      <alignment horizontal="left" vertical="center"/>
    </xf>
    <xf numFmtId="0" fontId="16" fillId="35" borderId="7" xfId="0" applyFont="1" applyFill="1" applyBorder="1" applyAlignment="1">
      <alignment horizontal="left" vertical="center" wrapText="1"/>
    </xf>
    <xf numFmtId="0" fontId="16" fillId="33" borderId="7" xfId="0" applyFont="1" applyFill="1" applyBorder="1" applyAlignment="1">
      <alignment horizontal="left" vertical="center" wrapText="1"/>
    </xf>
    <xf numFmtId="0" fontId="52" fillId="0" borderId="7" xfId="0" applyFont="1" applyFill="1" applyBorder="1" applyAlignment="1">
      <alignment vertical="center"/>
    </xf>
    <xf numFmtId="0" fontId="53" fillId="0" borderId="7" xfId="0" applyFont="1" applyFill="1" applyBorder="1" applyAlignment="1">
      <alignment vertical="center"/>
    </xf>
    <xf numFmtId="0" fontId="52" fillId="34" borderId="7" xfId="0" applyFont="1" applyFill="1" applyBorder="1" applyAlignment="1">
      <alignment vertical="center"/>
    </xf>
    <xf numFmtId="0" fontId="52" fillId="35" borderId="7" xfId="0" applyFont="1" applyFill="1" applyBorder="1" applyAlignment="1">
      <alignment vertical="center"/>
    </xf>
    <xf numFmtId="0" fontId="54" fillId="35" borderId="7" xfId="0" applyFont="1" applyFill="1" applyBorder="1" applyAlignment="1">
      <alignment vertical="center"/>
    </xf>
    <xf numFmtId="0" fontId="54" fillId="0" borderId="7" xfId="0" applyFont="1" applyFill="1" applyBorder="1" applyAlignment="1">
      <alignment vertical="center"/>
    </xf>
    <xf numFmtId="0" fontId="6" fillId="13" borderId="3" xfId="0" applyFont="1" applyFill="1" applyBorder="1" applyAlignment="1">
      <alignment vertical="center"/>
    </xf>
    <xf numFmtId="0" fontId="53" fillId="35" borderId="7" xfId="0" applyFont="1" applyFill="1" applyBorder="1" applyAlignment="1">
      <alignment horizontal="left" vertical="center" wrapText="1"/>
    </xf>
    <xf numFmtId="0" fontId="4" fillId="2" borderId="10" xfId="0" applyFont="1" applyFill="1" applyBorder="1" applyAlignment="1">
      <alignment horizontal="left" vertical="center"/>
    </xf>
    <xf numFmtId="177" fontId="8" fillId="0" borderId="23" xfId="0" applyNumberFormat="1" applyFont="1" applyBorder="1" applyAlignment="1">
      <alignment vertical="center"/>
    </xf>
    <xf numFmtId="1" fontId="4" fillId="36" borderId="7" xfId="0" applyNumberFormat="1" applyFont="1" applyFill="1" applyBorder="1" applyAlignment="1">
      <alignment vertical="center"/>
    </xf>
    <xf numFmtId="0" fontId="8" fillId="0" borderId="23" xfId="0" applyFont="1" applyBorder="1" applyAlignment="1">
      <alignment vertical="center"/>
    </xf>
    <xf numFmtId="1" fontId="4" fillId="13" borderId="7" xfId="0" applyNumberFormat="1" applyFont="1" applyFill="1" applyBorder="1" applyAlignment="1">
      <alignment vertical="center"/>
    </xf>
    <xf numFmtId="177" fontId="8" fillId="0" borderId="7" xfId="0" applyNumberFormat="1" applyFont="1" applyBorder="1" applyAlignment="1">
      <alignment vertical="center"/>
    </xf>
    <xf numFmtId="1" fontId="4" fillId="37" borderId="7" xfId="0" applyNumberFormat="1" applyFont="1" applyFill="1" applyBorder="1" applyAlignment="1">
      <alignment vertical="center"/>
    </xf>
    <xf numFmtId="0" fontId="53" fillId="34" borderId="7" xfId="0" applyFont="1" applyFill="1" applyBorder="1" applyAlignment="1">
      <alignment vertical="center"/>
    </xf>
    <xf numFmtId="0" fontId="16" fillId="0" borderId="7" xfId="0" applyFont="1" applyFill="1" applyBorder="1" applyAlignment="1">
      <alignment horizontal="center" vertical="center"/>
    </xf>
    <xf numFmtId="0" fontId="16" fillId="0" borderId="12" xfId="0" applyFont="1" applyFill="1" applyBorder="1" applyAlignment="1">
      <alignment vertical="center"/>
    </xf>
    <xf numFmtId="0" fontId="16" fillId="3" borderId="12" xfId="0" applyFont="1" applyFill="1" applyBorder="1" applyAlignment="1">
      <alignment vertical="center"/>
    </xf>
    <xf numFmtId="0" fontId="16" fillId="13" borderId="12" xfId="0" applyFont="1" applyFill="1" applyBorder="1" applyAlignment="1">
      <alignment vertical="center"/>
    </xf>
    <xf numFmtId="0" fontId="16" fillId="0" borderId="12" xfId="0" applyFont="1" applyFill="1" applyBorder="1" applyAlignment="1">
      <alignment horizontal="left" vertical="center"/>
    </xf>
    <xf numFmtId="0" fontId="16" fillId="0" borderId="12" xfId="0" applyFont="1" applyFill="1" applyBorder="1" applyAlignment="1">
      <alignment horizontal="left" vertical="center" wrapText="1"/>
    </xf>
    <xf numFmtId="0" fontId="16" fillId="3" borderId="12" xfId="0" applyFont="1" applyFill="1" applyBorder="1" applyAlignment="1">
      <alignment horizontal="left" vertical="center" wrapText="1"/>
    </xf>
    <xf numFmtId="0" fontId="16" fillId="0" borderId="24" xfId="0" applyFont="1" applyFill="1" applyBorder="1" applyAlignment="1">
      <alignment vertical="center"/>
    </xf>
    <xf numFmtId="0" fontId="16" fillId="0" borderId="24" xfId="0" applyFont="1" applyFill="1" applyBorder="1" applyAlignment="1">
      <alignment horizontal="left" vertical="center"/>
    </xf>
    <xf numFmtId="0" fontId="16" fillId="0" borderId="24" xfId="0" applyFont="1" applyFill="1" applyBorder="1" applyAlignment="1">
      <alignment horizontal="left" vertical="center" wrapText="1"/>
    </xf>
    <xf numFmtId="0" fontId="53" fillId="0" borderId="24" xfId="0" applyFont="1" applyFill="1" applyBorder="1" applyAlignment="1">
      <alignment horizontal="left" vertical="center" wrapText="1"/>
    </xf>
    <xf numFmtId="0" fontId="16" fillId="3" borderId="24" xfId="0" applyFont="1" applyFill="1" applyBorder="1" applyAlignment="1">
      <alignment horizontal="left" vertical="center" wrapText="1"/>
    </xf>
    <xf numFmtId="38" fontId="16" fillId="13" borderId="7" xfId="628" applyFont="1" applyFill="1" applyBorder="1" applyAlignment="1">
      <alignment wrapText="1"/>
    </xf>
    <xf numFmtId="38" fontId="16" fillId="0" borderId="7" xfId="628" applyFont="1" applyFill="1" applyBorder="1" applyAlignment="1">
      <alignment wrapText="1"/>
    </xf>
  </cellXfs>
  <cellStyles count="698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赤字強調" xfId="431"/>
    <cellStyle name="青字強調" xfId="43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calcChain" Target="calcChain.xml"/><Relationship Id="rId21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theme" Target="theme/theme1.xml"/><Relationship Id="rId18" Type="http://schemas.openxmlformats.org/officeDocument/2006/relationships/styles" Target="styles.xml"/><Relationship Id="rId1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11230</v>
          </cell>
        </row>
        <row r="89">
          <cell r="A89">
            <v>11231</v>
          </cell>
        </row>
        <row r="90">
          <cell r="A90">
            <v>12001</v>
          </cell>
        </row>
        <row r="91">
          <cell r="A91">
            <v>12002</v>
          </cell>
        </row>
        <row r="92">
          <cell r="A92">
            <v>12003</v>
          </cell>
        </row>
        <row r="93">
          <cell r="A93">
            <v>12004</v>
          </cell>
        </row>
        <row r="94">
          <cell r="A94">
            <v>13001</v>
          </cell>
        </row>
        <row r="95">
          <cell r="A95">
            <v>13101</v>
          </cell>
        </row>
        <row r="96">
          <cell r="A96">
            <v>13300</v>
          </cell>
        </row>
        <row r="97">
          <cell r="A97">
            <v>13301</v>
          </cell>
        </row>
        <row r="98">
          <cell r="A98">
            <v>13302</v>
          </cell>
        </row>
        <row r="99">
          <cell r="A99">
            <v>13400</v>
          </cell>
        </row>
        <row r="100">
          <cell r="A100">
            <v>14001</v>
          </cell>
        </row>
        <row r="101">
          <cell r="A101">
            <v>14002</v>
          </cell>
        </row>
        <row r="102">
          <cell r="A102">
            <v>14003</v>
          </cell>
        </row>
        <row r="103">
          <cell r="A103">
            <v>14004</v>
          </cell>
        </row>
        <row r="104">
          <cell r="A104">
            <v>14005</v>
          </cell>
        </row>
        <row r="105">
          <cell r="A105">
            <v>14006</v>
          </cell>
        </row>
        <row r="106">
          <cell r="A106">
            <v>15027</v>
          </cell>
        </row>
        <row r="107">
          <cell r="A107">
            <v>15028</v>
          </cell>
        </row>
        <row r="108">
          <cell r="A108">
            <v>15029</v>
          </cell>
        </row>
        <row r="109">
          <cell r="A109">
            <v>15030</v>
          </cell>
        </row>
        <row r="110">
          <cell r="A110">
            <v>15031</v>
          </cell>
        </row>
        <row r="111">
          <cell r="A111">
            <v>20001</v>
          </cell>
        </row>
        <row r="112">
          <cell r="A112">
            <v>20002</v>
          </cell>
        </row>
        <row r="113">
          <cell r="A113">
            <v>20003</v>
          </cell>
        </row>
        <row r="114">
          <cell r="A114">
            <v>20004</v>
          </cell>
        </row>
        <row r="115">
          <cell r="A115">
            <v>20005</v>
          </cell>
        </row>
        <row r="116">
          <cell r="A116">
            <v>20006</v>
          </cell>
        </row>
        <row r="117">
          <cell r="A117">
            <v>20007</v>
          </cell>
        </row>
        <row r="118">
          <cell r="A118">
            <v>20008</v>
          </cell>
        </row>
        <row r="119">
          <cell r="A119">
            <v>20009</v>
          </cell>
        </row>
        <row r="120">
          <cell r="A120">
            <v>20010</v>
          </cell>
        </row>
        <row r="121">
          <cell r="A121">
            <v>20011</v>
          </cell>
        </row>
        <row r="122">
          <cell r="A122">
            <v>20012</v>
          </cell>
        </row>
        <row r="123">
          <cell r="A123">
            <v>20013</v>
          </cell>
        </row>
        <row r="124">
          <cell r="A124">
            <v>20014</v>
          </cell>
        </row>
        <row r="125">
          <cell r="A125">
            <v>20015</v>
          </cell>
        </row>
        <row r="126">
          <cell r="A126">
            <v>20016</v>
          </cell>
        </row>
        <row r="127">
          <cell r="A127">
            <v>20017</v>
          </cell>
        </row>
        <row r="128">
          <cell r="A128">
            <v>20018</v>
          </cell>
        </row>
        <row r="129">
          <cell r="A129">
            <v>20019</v>
          </cell>
        </row>
        <row r="130">
          <cell r="A130">
            <v>20020</v>
          </cell>
        </row>
        <row r="131">
          <cell r="A131">
            <v>20021</v>
          </cell>
        </row>
        <row r="132">
          <cell r="A132">
            <v>20022</v>
          </cell>
        </row>
        <row r="133">
          <cell r="A133">
            <v>30001</v>
          </cell>
        </row>
        <row r="134">
          <cell r="A134">
            <v>30002</v>
          </cell>
        </row>
        <row r="135">
          <cell r="A135">
            <v>30003</v>
          </cell>
        </row>
        <row r="136">
          <cell r="A136">
            <v>30004</v>
          </cell>
        </row>
        <row r="137">
          <cell r="A137">
            <v>30005</v>
          </cell>
        </row>
        <row r="138">
          <cell r="A138">
            <v>30006</v>
          </cell>
        </row>
        <row r="139">
          <cell r="A139">
            <v>30007</v>
          </cell>
        </row>
        <row r="140">
          <cell r="A140">
            <v>30008</v>
          </cell>
        </row>
        <row r="141">
          <cell r="A141">
            <v>30009</v>
          </cell>
        </row>
        <row r="142">
          <cell r="A142">
            <v>30010</v>
          </cell>
        </row>
        <row r="143">
          <cell r="A143">
            <v>30011</v>
          </cell>
        </row>
        <row r="144">
          <cell r="A144">
            <v>30012</v>
          </cell>
        </row>
        <row r="145">
          <cell r="A145">
            <v>30013</v>
          </cell>
        </row>
        <row r="146">
          <cell r="A146">
            <v>30014</v>
          </cell>
        </row>
        <row r="147">
          <cell r="A147">
            <v>30015</v>
          </cell>
        </row>
        <row r="148">
          <cell r="A148">
            <v>30016</v>
          </cell>
        </row>
        <row r="149">
          <cell r="A149">
            <v>30017</v>
          </cell>
        </row>
        <row r="150">
          <cell r="A150">
            <v>30018</v>
          </cell>
        </row>
        <row r="151">
          <cell r="A151">
            <v>30019</v>
          </cell>
        </row>
        <row r="152">
          <cell r="A152">
            <v>30020</v>
          </cell>
        </row>
        <row r="153">
          <cell r="A153">
            <v>30021</v>
          </cell>
        </row>
        <row r="154">
          <cell r="A154">
            <v>30022</v>
          </cell>
        </row>
        <row r="155">
          <cell r="A155">
            <v>30023</v>
          </cell>
        </row>
        <row r="156">
          <cell r="A156">
            <v>30024</v>
          </cell>
        </row>
        <row r="157">
          <cell r="A157">
            <v>30025</v>
          </cell>
        </row>
        <row r="158">
          <cell r="A158">
            <v>30026</v>
          </cell>
        </row>
        <row r="159">
          <cell r="A159">
            <v>30027</v>
          </cell>
        </row>
        <row r="160">
          <cell r="A160">
            <v>30028</v>
          </cell>
        </row>
        <row r="161">
          <cell r="A161">
            <v>30029</v>
          </cell>
        </row>
        <row r="162">
          <cell r="A162">
            <v>30030</v>
          </cell>
        </row>
        <row r="163">
          <cell r="A163">
            <v>30031</v>
          </cell>
        </row>
        <row r="164">
          <cell r="A164">
            <v>30032</v>
          </cell>
        </row>
        <row r="165">
          <cell r="A165">
            <v>30033</v>
          </cell>
        </row>
        <row r="166">
          <cell r="A166">
            <v>30034</v>
          </cell>
        </row>
        <row r="167">
          <cell r="A167">
            <v>30035</v>
          </cell>
        </row>
        <row r="168">
          <cell r="A168">
            <v>30036</v>
          </cell>
        </row>
        <row r="169">
          <cell r="A169">
            <v>30037</v>
          </cell>
        </row>
        <row r="170">
          <cell r="A170">
            <v>30038</v>
          </cell>
        </row>
        <row r="171">
          <cell r="A171">
            <v>30039</v>
          </cell>
        </row>
        <row r="172">
          <cell r="A172">
            <v>30040</v>
          </cell>
        </row>
        <row r="173">
          <cell r="A173">
            <v>30041</v>
          </cell>
        </row>
        <row r="174">
          <cell r="A174">
            <v>30042</v>
          </cell>
        </row>
        <row r="175">
          <cell r="A175">
            <v>30043</v>
          </cell>
        </row>
        <row r="176">
          <cell r="A176">
            <v>30044</v>
          </cell>
        </row>
        <row r="177">
          <cell r="A177">
            <v>30045</v>
          </cell>
        </row>
        <row r="178">
          <cell r="A178">
            <v>30046</v>
          </cell>
        </row>
        <row r="179">
          <cell r="A179">
            <v>30047</v>
          </cell>
        </row>
        <row r="180">
          <cell r="A180">
            <v>30048</v>
          </cell>
        </row>
        <row r="181">
          <cell r="A181">
            <v>30049</v>
          </cell>
        </row>
        <row r="182">
          <cell r="A182">
            <v>30050</v>
          </cell>
        </row>
        <row r="183">
          <cell r="A183">
            <v>38101</v>
          </cell>
        </row>
        <row r="184">
          <cell r="A184">
            <v>39001</v>
          </cell>
        </row>
        <row r="185">
          <cell r="A185">
            <v>39002</v>
          </cell>
        </row>
        <row r="186">
          <cell r="A186">
            <v>39003</v>
          </cell>
        </row>
        <row r="187">
          <cell r="A187">
            <v>39004</v>
          </cell>
        </row>
        <row r="188">
          <cell r="A188">
            <v>39005</v>
          </cell>
        </row>
        <row r="189">
          <cell r="A189">
            <v>39006</v>
          </cell>
        </row>
        <row r="190">
          <cell r="A190">
            <v>39007</v>
          </cell>
        </row>
        <row r="191">
          <cell r="A191">
            <v>39008</v>
          </cell>
        </row>
        <row r="192">
          <cell r="A192">
            <v>39009</v>
          </cell>
        </row>
        <row r="193">
          <cell r="A193">
            <v>39010</v>
          </cell>
        </row>
        <row r="194">
          <cell r="A194">
            <v>39011</v>
          </cell>
        </row>
        <row r="195">
          <cell r="A195">
            <v>39012</v>
          </cell>
        </row>
        <row r="196">
          <cell r="A196">
            <v>39013</v>
          </cell>
        </row>
        <row r="197">
          <cell r="A197">
            <v>39014</v>
          </cell>
        </row>
        <row r="198">
          <cell r="A198">
            <v>40001</v>
          </cell>
        </row>
        <row r="199">
          <cell r="A199">
            <v>40002</v>
          </cell>
        </row>
        <row r="200">
          <cell r="A200">
            <v>40003</v>
          </cell>
        </row>
        <row r="201">
          <cell r="A201">
            <v>40004</v>
          </cell>
        </row>
        <row r="202">
          <cell r="A202">
            <v>40005</v>
          </cell>
        </row>
        <row r="203">
          <cell r="A203">
            <v>40006</v>
          </cell>
        </row>
        <row r="204">
          <cell r="A204">
            <v>40007</v>
          </cell>
        </row>
        <row r="205">
          <cell r="A205">
            <v>40008</v>
          </cell>
        </row>
        <row r="206">
          <cell r="A206">
            <v>40009</v>
          </cell>
        </row>
        <row r="207">
          <cell r="A207">
            <v>40010</v>
          </cell>
        </row>
        <row r="208">
          <cell r="A208">
            <v>40011</v>
          </cell>
        </row>
        <row r="209">
          <cell r="A209">
            <v>40012</v>
          </cell>
        </row>
        <row r="210">
          <cell r="A210">
            <v>40013</v>
          </cell>
        </row>
        <row r="211">
          <cell r="A211">
            <v>40014</v>
          </cell>
        </row>
        <row r="212">
          <cell r="A212">
            <v>40015</v>
          </cell>
        </row>
        <row r="213">
          <cell r="A213">
            <v>40016</v>
          </cell>
        </row>
        <row r="214">
          <cell r="A214">
            <v>40017</v>
          </cell>
        </row>
        <row r="215">
          <cell r="A215">
            <v>40018</v>
          </cell>
        </row>
        <row r="216">
          <cell r="A216">
            <v>40019</v>
          </cell>
        </row>
        <row r="217">
          <cell r="A217">
            <v>40021</v>
          </cell>
        </row>
        <row r="218">
          <cell r="A218">
            <v>40022</v>
          </cell>
        </row>
        <row r="219">
          <cell r="A219">
            <v>40023</v>
          </cell>
        </row>
        <row r="220">
          <cell r="A220">
            <v>40024</v>
          </cell>
        </row>
        <row r="221">
          <cell r="A221">
            <v>40025</v>
          </cell>
        </row>
        <row r="222">
          <cell r="A222">
            <v>40026</v>
          </cell>
        </row>
        <row r="223">
          <cell r="A223">
            <v>40027</v>
          </cell>
        </row>
        <row r="224">
          <cell r="A224">
            <v>40028</v>
          </cell>
        </row>
        <row r="225">
          <cell r="A225">
            <v>40029</v>
          </cell>
        </row>
        <row r="226">
          <cell r="A226">
            <v>40030</v>
          </cell>
        </row>
        <row r="227">
          <cell r="A227">
            <v>40031</v>
          </cell>
        </row>
        <row r="228">
          <cell r="A228">
            <v>40032</v>
          </cell>
        </row>
        <row r="229">
          <cell r="A229">
            <v>40033</v>
          </cell>
        </row>
        <row r="230">
          <cell r="A230">
            <v>40034</v>
          </cell>
        </row>
        <row r="231">
          <cell r="A231">
            <v>40035</v>
          </cell>
        </row>
        <row r="232">
          <cell r="A232">
            <v>40036</v>
          </cell>
        </row>
        <row r="233">
          <cell r="A233">
            <v>40037</v>
          </cell>
        </row>
        <row r="234">
          <cell r="A234">
            <v>40038</v>
          </cell>
        </row>
        <row r="235">
          <cell r="A235">
            <v>40039</v>
          </cell>
        </row>
        <row r="236">
          <cell r="A236">
            <v>40040</v>
          </cell>
        </row>
        <row r="237">
          <cell r="A237">
            <v>40041</v>
          </cell>
        </row>
        <row r="238">
          <cell r="A238">
            <v>40042</v>
          </cell>
        </row>
        <row r="239">
          <cell r="A239">
            <v>40043</v>
          </cell>
        </row>
        <row r="240">
          <cell r="A240">
            <v>40044</v>
          </cell>
        </row>
        <row r="241">
          <cell r="A241">
            <v>40045</v>
          </cell>
        </row>
        <row r="242">
          <cell r="A242">
            <v>40046</v>
          </cell>
        </row>
        <row r="243">
          <cell r="A243">
            <v>48001</v>
          </cell>
        </row>
        <row r="244">
          <cell r="A244">
            <v>48002</v>
          </cell>
        </row>
        <row r="245">
          <cell r="A245">
            <v>48003</v>
          </cell>
        </row>
        <row r="246">
          <cell r="A246">
            <v>48004</v>
          </cell>
        </row>
        <row r="247">
          <cell r="A247">
            <v>48005</v>
          </cell>
        </row>
        <row r="248">
          <cell r="A248">
            <v>48006</v>
          </cell>
        </row>
        <row r="249">
          <cell r="A249">
            <v>48007</v>
          </cell>
        </row>
        <row r="250">
          <cell r="A250">
            <v>48008</v>
          </cell>
        </row>
        <row r="251">
          <cell r="A251">
            <v>48009</v>
          </cell>
        </row>
        <row r="252">
          <cell r="A252">
            <v>48010</v>
          </cell>
        </row>
        <row r="253">
          <cell r="A253">
            <v>48011</v>
          </cell>
        </row>
        <row r="254">
          <cell r="A254">
            <v>48012</v>
          </cell>
        </row>
        <row r="255">
          <cell r="A255">
            <v>48013</v>
          </cell>
        </row>
        <row r="256">
          <cell r="A256">
            <v>48014</v>
          </cell>
        </row>
        <row r="257">
          <cell r="A257">
            <v>48015</v>
          </cell>
        </row>
        <row r="258">
          <cell r="A258">
            <v>48101</v>
          </cell>
        </row>
        <row r="259">
          <cell r="A259">
            <v>48501</v>
          </cell>
        </row>
        <row r="260">
          <cell r="A260">
            <v>48502</v>
          </cell>
        </row>
        <row r="261">
          <cell r="A261">
            <v>48503</v>
          </cell>
        </row>
        <row r="262">
          <cell r="A262">
            <v>48504</v>
          </cell>
        </row>
        <row r="263">
          <cell r="A263">
            <v>48701</v>
          </cell>
        </row>
        <row r="264">
          <cell r="A264">
            <v>48702</v>
          </cell>
        </row>
        <row r="265">
          <cell r="A265">
            <v>41001</v>
          </cell>
        </row>
        <row r="266">
          <cell r="A266">
            <v>41002</v>
          </cell>
        </row>
        <row r="267">
          <cell r="A267">
            <v>41003</v>
          </cell>
        </row>
        <row r="268">
          <cell r="A268">
            <v>41004</v>
          </cell>
        </row>
        <row r="269">
          <cell r="A269">
            <v>41005</v>
          </cell>
        </row>
        <row r="270">
          <cell r="A270">
            <v>41006</v>
          </cell>
        </row>
        <row r="271">
          <cell r="A271">
            <v>41007</v>
          </cell>
        </row>
        <row r="272">
          <cell r="A272">
            <v>41008</v>
          </cell>
        </row>
        <row r="273">
          <cell r="A273">
            <v>41009</v>
          </cell>
        </row>
        <row r="274">
          <cell r="A274">
            <v>41010</v>
          </cell>
        </row>
        <row r="275">
          <cell r="A275">
            <v>41011</v>
          </cell>
        </row>
        <row r="276">
          <cell r="A276">
            <v>41012</v>
          </cell>
        </row>
        <row r="277">
          <cell r="A277">
            <v>41013</v>
          </cell>
        </row>
        <row r="278">
          <cell r="A278">
            <v>41014</v>
          </cell>
        </row>
        <row r="279">
          <cell r="A279">
            <v>41015</v>
          </cell>
        </row>
        <row r="280">
          <cell r="A280">
            <v>47001</v>
          </cell>
        </row>
        <row r="281">
          <cell r="A281">
            <v>47002</v>
          </cell>
        </row>
        <row r="282">
          <cell r="A282">
            <v>47003</v>
          </cell>
        </row>
        <row r="283">
          <cell r="A283">
            <v>47004</v>
          </cell>
        </row>
        <row r="284">
          <cell r="A284">
            <v>47005</v>
          </cell>
        </row>
        <row r="285">
          <cell r="A285">
            <v>47006</v>
          </cell>
        </row>
        <row r="286">
          <cell r="A286">
            <v>47007</v>
          </cell>
        </row>
        <row r="287">
          <cell r="A287">
            <v>47008</v>
          </cell>
        </row>
        <row r="288">
          <cell r="A288">
            <v>47009</v>
          </cell>
        </row>
        <row r="289">
          <cell r="A289">
            <v>47010</v>
          </cell>
        </row>
        <row r="290">
          <cell r="A290">
            <v>47011</v>
          </cell>
        </row>
        <row r="291">
          <cell r="A291">
            <v>47012</v>
          </cell>
        </row>
        <row r="292">
          <cell r="A292">
            <v>47013</v>
          </cell>
        </row>
        <row r="293">
          <cell r="A293">
            <v>47014</v>
          </cell>
        </row>
        <row r="294">
          <cell r="A294">
            <v>47015</v>
          </cell>
        </row>
        <row r="295">
          <cell r="A295">
            <v>47016</v>
          </cell>
        </row>
        <row r="296">
          <cell r="A296">
            <v>49001</v>
          </cell>
        </row>
        <row r="297">
          <cell r="A297">
            <v>49002</v>
          </cell>
        </row>
        <row r="298">
          <cell r="A298">
            <v>49003</v>
          </cell>
        </row>
        <row r="299">
          <cell r="A299">
            <v>49004</v>
          </cell>
        </row>
        <row r="300">
          <cell r="A300">
            <v>49005</v>
          </cell>
        </row>
        <row r="301">
          <cell r="A301">
            <v>49006</v>
          </cell>
        </row>
        <row r="302">
          <cell r="A302">
            <v>49007</v>
          </cell>
        </row>
        <row r="303">
          <cell r="A303">
            <v>49008</v>
          </cell>
        </row>
        <row r="304">
          <cell r="A304">
            <v>49009</v>
          </cell>
        </row>
        <row r="305">
          <cell r="A305">
            <v>49010</v>
          </cell>
        </row>
        <row r="306">
          <cell r="A306">
            <v>49011</v>
          </cell>
        </row>
        <row r="307">
          <cell r="A307">
            <v>49012</v>
          </cell>
        </row>
        <row r="308">
          <cell r="A308">
            <v>49013</v>
          </cell>
        </row>
        <row r="309">
          <cell r="A309">
            <v>49014</v>
          </cell>
        </row>
        <row r="310">
          <cell r="A310">
            <v>49015</v>
          </cell>
        </row>
        <row r="311">
          <cell r="A311">
            <v>49016</v>
          </cell>
        </row>
        <row r="312">
          <cell r="A312">
            <v>50001</v>
          </cell>
        </row>
        <row r="313">
          <cell r="A313">
            <v>50002</v>
          </cell>
        </row>
        <row r="314">
          <cell r="A314">
            <v>50003</v>
          </cell>
        </row>
        <row r="315">
          <cell r="A315">
            <v>50004</v>
          </cell>
        </row>
        <row r="316">
          <cell r="A316">
            <v>50005</v>
          </cell>
        </row>
        <row r="317">
          <cell r="A317">
            <v>50006</v>
          </cell>
        </row>
        <row r="318">
          <cell r="A318">
            <v>50007</v>
          </cell>
        </row>
        <row r="319">
          <cell r="A319">
            <v>50008</v>
          </cell>
        </row>
        <row r="320">
          <cell r="A320">
            <v>50009</v>
          </cell>
        </row>
        <row r="321">
          <cell r="A321">
            <v>50010</v>
          </cell>
        </row>
        <row r="322">
          <cell r="A322">
            <v>50011</v>
          </cell>
        </row>
        <row r="323">
          <cell r="A323">
            <v>50012</v>
          </cell>
        </row>
        <row r="324">
          <cell r="A324">
            <v>50013</v>
          </cell>
        </row>
        <row r="325">
          <cell r="A325">
            <v>50014</v>
          </cell>
        </row>
        <row r="326">
          <cell r="A326">
            <v>50015</v>
          </cell>
        </row>
        <row r="327">
          <cell r="A327">
            <v>50016</v>
          </cell>
        </row>
        <row r="328">
          <cell r="A328">
            <v>51001</v>
          </cell>
        </row>
        <row r="329">
          <cell r="A329">
            <v>51002</v>
          </cell>
        </row>
        <row r="330">
          <cell r="A330">
            <v>58001</v>
          </cell>
        </row>
        <row r="331">
          <cell r="A331">
            <v>58002</v>
          </cell>
        </row>
        <row r="332">
          <cell r="A332">
            <v>58003</v>
          </cell>
        </row>
        <row r="333">
          <cell r="A333">
            <v>58101</v>
          </cell>
        </row>
        <row r="334">
          <cell r="A334">
            <v>59001</v>
          </cell>
        </row>
        <row r="335">
          <cell r="A335">
            <v>59002</v>
          </cell>
        </row>
        <row r="336">
          <cell r="A336">
            <v>59003</v>
          </cell>
        </row>
        <row r="337">
          <cell r="A337">
            <v>60001</v>
          </cell>
        </row>
        <row r="338">
          <cell r="A338">
            <v>60002</v>
          </cell>
        </row>
        <row r="339">
          <cell r="A339">
            <v>60003</v>
          </cell>
        </row>
        <row r="340">
          <cell r="A340">
            <v>60004</v>
          </cell>
        </row>
        <row r="341">
          <cell r="A341">
            <v>60005</v>
          </cell>
        </row>
        <row r="342">
          <cell r="A342">
            <v>60006</v>
          </cell>
        </row>
        <row r="343">
          <cell r="A343">
            <v>60007</v>
          </cell>
        </row>
        <row r="344">
          <cell r="A344">
            <v>60010</v>
          </cell>
        </row>
        <row r="345">
          <cell r="A345">
            <v>60011</v>
          </cell>
        </row>
        <row r="346">
          <cell r="A346">
            <v>61011</v>
          </cell>
        </row>
        <row r="347">
          <cell r="A347">
            <v>60012</v>
          </cell>
        </row>
        <row r="348">
          <cell r="A348">
            <v>60013</v>
          </cell>
        </row>
        <row r="349">
          <cell r="A349">
            <v>60014</v>
          </cell>
        </row>
        <row r="350">
          <cell r="A350">
            <v>60015</v>
          </cell>
        </row>
        <row r="351">
          <cell r="A351">
            <v>60016</v>
          </cell>
        </row>
        <row r="352">
          <cell r="A352">
            <v>60017</v>
          </cell>
        </row>
        <row r="353">
          <cell r="A353">
            <v>60018</v>
          </cell>
        </row>
        <row r="354">
          <cell r="A354">
            <v>60019</v>
          </cell>
        </row>
        <row r="355">
          <cell r="A355">
            <v>60020</v>
          </cell>
        </row>
        <row r="356">
          <cell r="A356">
            <v>60025</v>
          </cell>
        </row>
        <row r="357">
          <cell r="A357">
            <v>60026</v>
          </cell>
        </row>
        <row r="358">
          <cell r="A358">
            <v>60027</v>
          </cell>
        </row>
        <row r="359">
          <cell r="A359">
            <v>60028</v>
          </cell>
        </row>
        <row r="360">
          <cell r="A360">
            <v>60029</v>
          </cell>
        </row>
        <row r="361">
          <cell r="A361">
            <v>60030</v>
          </cell>
        </row>
        <row r="362">
          <cell r="A362">
            <v>60031</v>
          </cell>
        </row>
        <row r="363">
          <cell r="A363">
            <v>60032</v>
          </cell>
        </row>
        <row r="364">
          <cell r="A364">
            <v>61001</v>
          </cell>
        </row>
        <row r="365">
          <cell r="A365">
            <v>65523</v>
          </cell>
        </row>
        <row r="366">
          <cell r="A366">
            <v>65524</v>
          </cell>
        </row>
        <row r="367">
          <cell r="A367">
            <v>65525</v>
          </cell>
        </row>
        <row r="368">
          <cell r="A368">
            <v>65526</v>
          </cell>
        </row>
        <row r="369">
          <cell r="A369">
            <v>65527</v>
          </cell>
        </row>
        <row r="370">
          <cell r="A370">
            <v>65528</v>
          </cell>
        </row>
        <row r="371">
          <cell r="A371">
            <v>65529</v>
          </cell>
        </row>
        <row r="372">
          <cell r="A372">
            <v>65530</v>
          </cell>
        </row>
        <row r="373">
          <cell r="A373">
            <v>65531</v>
          </cell>
        </row>
        <row r="374">
          <cell r="A374">
            <v>65532</v>
          </cell>
        </row>
        <row r="375">
          <cell r="A375">
            <v>65533</v>
          </cell>
        </row>
        <row r="376">
          <cell r="A376">
            <v>65534</v>
          </cell>
        </row>
        <row r="377">
          <cell r="A377">
            <v>65535</v>
          </cell>
        </row>
        <row r="378">
          <cell r="A378">
            <v>60021</v>
          </cell>
        </row>
        <row r="379">
          <cell r="A379">
            <v>60022</v>
          </cell>
        </row>
        <row r="380">
          <cell r="A380">
            <v>60023</v>
          </cell>
        </row>
        <row r="381">
          <cell r="A381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  <cell r="AM2" t="str">
            <v>stage_type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11229_1</v>
          </cell>
        </row>
        <row r="299">
          <cell r="A299" t="str">
            <v>11230_1</v>
          </cell>
        </row>
        <row r="300">
          <cell r="A300" t="str">
            <v>11230_2</v>
          </cell>
        </row>
        <row r="301">
          <cell r="A301" t="str">
            <v>11231_1</v>
          </cell>
        </row>
        <row r="302">
          <cell r="A302" t="str">
            <v>12001_1</v>
          </cell>
        </row>
        <row r="303">
          <cell r="A303" t="str">
            <v>12001_2</v>
          </cell>
        </row>
        <row r="304">
          <cell r="A304" t="str">
            <v>12001_3</v>
          </cell>
        </row>
        <row r="305">
          <cell r="A305" t="str">
            <v>12002_1</v>
          </cell>
        </row>
        <row r="306">
          <cell r="A306" t="str">
            <v>12002_2</v>
          </cell>
        </row>
        <row r="307">
          <cell r="A307" t="str">
            <v>12003_1</v>
          </cell>
        </row>
        <row r="308">
          <cell r="A308" t="str">
            <v>12003_2</v>
          </cell>
        </row>
        <row r="309">
          <cell r="A309" t="str">
            <v>12003_3</v>
          </cell>
        </row>
        <row r="310">
          <cell r="A310" t="str">
            <v>12003_4</v>
          </cell>
        </row>
        <row r="311">
          <cell r="A311" t="str">
            <v>12004_1</v>
          </cell>
        </row>
        <row r="312">
          <cell r="A312" t="str">
            <v>13001_1</v>
          </cell>
        </row>
        <row r="313">
          <cell r="A313" t="str">
            <v>13001_2</v>
          </cell>
        </row>
        <row r="314">
          <cell r="A314" t="str">
            <v>13001_3</v>
          </cell>
        </row>
        <row r="315">
          <cell r="A315" t="str">
            <v>13001_4</v>
          </cell>
        </row>
        <row r="316">
          <cell r="A316" t="str">
            <v>13001_5</v>
          </cell>
        </row>
        <row r="317">
          <cell r="A317" t="str">
            <v>13001_6</v>
          </cell>
        </row>
        <row r="318">
          <cell r="A318" t="str">
            <v>13001_7</v>
          </cell>
        </row>
        <row r="319">
          <cell r="A319" t="str">
            <v>13001_8</v>
          </cell>
        </row>
        <row r="320">
          <cell r="A320" t="str">
            <v>13001_9</v>
          </cell>
        </row>
        <row r="321">
          <cell r="A321" t="str">
            <v>13001_10</v>
          </cell>
        </row>
        <row r="322">
          <cell r="A322" t="str">
            <v>13001_11</v>
          </cell>
        </row>
        <row r="323">
          <cell r="A323" t="str">
            <v>13001_12</v>
          </cell>
        </row>
        <row r="324">
          <cell r="A324" t="str">
            <v>13001_13</v>
          </cell>
        </row>
        <row r="325">
          <cell r="A325" t="str">
            <v>13001_14</v>
          </cell>
        </row>
        <row r="326">
          <cell r="A326" t="str">
            <v>13001_15</v>
          </cell>
        </row>
        <row r="327">
          <cell r="A327" t="str">
            <v>13001_16</v>
          </cell>
        </row>
        <row r="328">
          <cell r="A328" t="str">
            <v>13001_17</v>
          </cell>
        </row>
        <row r="329">
          <cell r="A329" t="str">
            <v>13001_18</v>
          </cell>
        </row>
        <row r="330">
          <cell r="A330" t="str">
            <v>13001_19</v>
          </cell>
        </row>
        <row r="331">
          <cell r="A331" t="str">
            <v>13001_20</v>
          </cell>
        </row>
        <row r="332">
          <cell r="A332" t="str">
            <v>13001_21</v>
          </cell>
        </row>
        <row r="333">
          <cell r="A333" t="str">
            <v>13001_22</v>
          </cell>
        </row>
        <row r="334">
          <cell r="A334" t="str">
            <v>13001_23</v>
          </cell>
        </row>
        <row r="335">
          <cell r="A335" t="str">
            <v>13001_24</v>
          </cell>
        </row>
        <row r="336">
          <cell r="A336" t="str">
            <v>13001_25</v>
          </cell>
        </row>
        <row r="337">
          <cell r="A337" t="str">
            <v>13101_1</v>
          </cell>
        </row>
        <row r="338">
          <cell r="A338" t="str">
            <v>13101_2</v>
          </cell>
        </row>
        <row r="339">
          <cell r="A339" t="str">
            <v>13101_3</v>
          </cell>
        </row>
        <row r="340">
          <cell r="A340" t="str">
            <v>13101_4</v>
          </cell>
        </row>
        <row r="341">
          <cell r="A341" t="str">
            <v>13101_5</v>
          </cell>
        </row>
        <row r="342">
          <cell r="A342" t="str">
            <v>13101_6</v>
          </cell>
        </row>
        <row r="343">
          <cell r="A343" t="str">
            <v>13101_7</v>
          </cell>
        </row>
        <row r="344">
          <cell r="A344" t="str">
            <v>13101_8</v>
          </cell>
        </row>
        <row r="345">
          <cell r="A345" t="str">
            <v>13101_9</v>
          </cell>
        </row>
        <row r="346">
          <cell r="A346" t="str">
            <v>13101_10</v>
          </cell>
        </row>
        <row r="347">
          <cell r="A347" t="str">
            <v>13101_11</v>
          </cell>
        </row>
        <row r="348">
          <cell r="A348" t="str">
            <v>13101_12</v>
          </cell>
        </row>
        <row r="349">
          <cell r="A349" t="str">
            <v>13101_13</v>
          </cell>
        </row>
        <row r="350">
          <cell r="A350" t="str">
            <v>13101_14</v>
          </cell>
        </row>
        <row r="351">
          <cell r="A351" t="str">
            <v>13101_15</v>
          </cell>
        </row>
        <row r="352">
          <cell r="A352" t="str">
            <v>13101_16</v>
          </cell>
        </row>
        <row r="353">
          <cell r="A353" t="str">
            <v>13101_17</v>
          </cell>
        </row>
        <row r="354">
          <cell r="A354" t="str">
            <v>13101_18</v>
          </cell>
        </row>
        <row r="355">
          <cell r="A355" t="str">
            <v>13101_19</v>
          </cell>
        </row>
        <row r="356">
          <cell r="A356" t="str">
            <v>13101_20</v>
          </cell>
        </row>
        <row r="357">
          <cell r="A357" t="str">
            <v>13101_21</v>
          </cell>
        </row>
        <row r="358">
          <cell r="A358" t="str">
            <v>13101_22</v>
          </cell>
        </row>
        <row r="359">
          <cell r="A359" t="str">
            <v>13101_23</v>
          </cell>
        </row>
        <row r="360">
          <cell r="A360" t="str">
            <v>13101_24</v>
          </cell>
        </row>
        <row r="361">
          <cell r="A361" t="str">
            <v>13101_25</v>
          </cell>
        </row>
        <row r="362">
          <cell r="A362" t="str">
            <v>13300_1</v>
          </cell>
        </row>
        <row r="363">
          <cell r="A363" t="str">
            <v>13300_2</v>
          </cell>
        </row>
        <row r="364">
          <cell r="A364" t="str">
            <v>13300_3</v>
          </cell>
        </row>
        <row r="365">
          <cell r="A365" t="str">
            <v>13300_4</v>
          </cell>
        </row>
        <row r="366">
          <cell r="A366" t="str">
            <v>13300_5</v>
          </cell>
        </row>
        <row r="367">
          <cell r="A367" t="str">
            <v>13300_6</v>
          </cell>
        </row>
        <row r="368">
          <cell r="A368" t="str">
            <v>13300_7</v>
          </cell>
        </row>
        <row r="369">
          <cell r="A369" t="str">
            <v>13300_8</v>
          </cell>
        </row>
        <row r="370">
          <cell r="A370" t="str">
            <v>13300_9</v>
          </cell>
        </row>
        <row r="371">
          <cell r="A371" t="str">
            <v>13300_10</v>
          </cell>
        </row>
        <row r="372">
          <cell r="A372" t="str">
            <v>13300_11</v>
          </cell>
        </row>
        <row r="373">
          <cell r="A373" t="str">
            <v>13300_12</v>
          </cell>
        </row>
        <row r="374">
          <cell r="A374" t="str">
            <v>13300_13</v>
          </cell>
        </row>
        <row r="375">
          <cell r="A375" t="str">
            <v>13300_14</v>
          </cell>
        </row>
        <row r="376">
          <cell r="A376" t="str">
            <v>13300_15</v>
          </cell>
        </row>
        <row r="377">
          <cell r="A377" t="str">
            <v>13301_1</v>
          </cell>
        </row>
        <row r="378">
          <cell r="A378" t="str">
            <v>13301_2</v>
          </cell>
        </row>
        <row r="379">
          <cell r="A379" t="str">
            <v>13301_3</v>
          </cell>
        </row>
        <row r="380">
          <cell r="A380" t="str">
            <v>13301_4</v>
          </cell>
        </row>
        <row r="381">
          <cell r="A381" t="str">
            <v>13301_5</v>
          </cell>
        </row>
        <row r="382">
          <cell r="A382" t="str">
            <v>13301_6</v>
          </cell>
        </row>
        <row r="383">
          <cell r="A383" t="str">
            <v>13301_7</v>
          </cell>
        </row>
        <row r="384">
          <cell r="A384" t="str">
            <v>13301_8</v>
          </cell>
        </row>
        <row r="385">
          <cell r="A385" t="str">
            <v>13301_9</v>
          </cell>
        </row>
        <row r="386">
          <cell r="A386" t="str">
            <v>13301_10</v>
          </cell>
        </row>
        <row r="387">
          <cell r="A387" t="str">
            <v>13301_11</v>
          </cell>
        </row>
        <row r="388">
          <cell r="A388" t="str">
            <v>13301_12</v>
          </cell>
        </row>
        <row r="389">
          <cell r="A389" t="str">
            <v>13301_13</v>
          </cell>
        </row>
        <row r="390">
          <cell r="A390" t="str">
            <v>13301_14</v>
          </cell>
        </row>
        <row r="391">
          <cell r="A391" t="str">
            <v>13301_15</v>
          </cell>
        </row>
        <row r="392">
          <cell r="A392" t="str">
            <v>13302_1</v>
          </cell>
        </row>
        <row r="393">
          <cell r="A393" t="str">
            <v>13302_2</v>
          </cell>
        </row>
        <row r="394">
          <cell r="A394" t="str">
            <v>13302_3</v>
          </cell>
        </row>
        <row r="395">
          <cell r="A395" t="str">
            <v>13302_4</v>
          </cell>
        </row>
        <row r="396">
          <cell r="A396" t="str">
            <v>13302_5</v>
          </cell>
        </row>
        <row r="397">
          <cell r="A397" t="str">
            <v>13302_6</v>
          </cell>
        </row>
        <row r="398">
          <cell r="A398" t="str">
            <v>13302_7</v>
          </cell>
        </row>
        <row r="399">
          <cell r="A399" t="str">
            <v>13302_8</v>
          </cell>
        </row>
        <row r="400">
          <cell r="A400" t="str">
            <v>13302_9</v>
          </cell>
        </row>
        <row r="401">
          <cell r="A401" t="str">
            <v>13302_10</v>
          </cell>
        </row>
        <row r="402">
          <cell r="A402" t="str">
            <v>13302_11</v>
          </cell>
        </row>
        <row r="403">
          <cell r="A403" t="str">
            <v>13302_12</v>
          </cell>
        </row>
        <row r="404">
          <cell r="A404" t="str">
            <v>13302_13</v>
          </cell>
        </row>
        <row r="405">
          <cell r="A405" t="str">
            <v>13302_14</v>
          </cell>
        </row>
        <row r="406">
          <cell r="A406" t="str">
            <v>13302_15</v>
          </cell>
        </row>
        <row r="407">
          <cell r="A407" t="str">
            <v>13400_1</v>
          </cell>
        </row>
        <row r="408">
          <cell r="A408" t="str">
            <v>13400_2</v>
          </cell>
        </row>
        <row r="409">
          <cell r="A409" t="str">
            <v>13400_3</v>
          </cell>
        </row>
        <row r="410">
          <cell r="A410" t="str">
            <v>13400_4</v>
          </cell>
        </row>
        <row r="411">
          <cell r="A411" t="str">
            <v>13400_5</v>
          </cell>
        </row>
        <row r="412">
          <cell r="A412" t="str">
            <v>13400_6</v>
          </cell>
        </row>
        <row r="413">
          <cell r="A413" t="str">
            <v>13400_7</v>
          </cell>
        </row>
        <row r="414">
          <cell r="A414" t="str">
            <v>13400_8</v>
          </cell>
        </row>
        <row r="415">
          <cell r="A415" t="str">
            <v>13400_9</v>
          </cell>
        </row>
        <row r="416">
          <cell r="A416" t="str">
            <v>13400_10</v>
          </cell>
        </row>
        <row r="417">
          <cell r="A417" t="str">
            <v>13400_11</v>
          </cell>
        </row>
        <row r="418">
          <cell r="A418" t="str">
            <v>13400_12</v>
          </cell>
        </row>
        <row r="419">
          <cell r="A419" t="str">
            <v>13400_13</v>
          </cell>
        </row>
        <row r="420">
          <cell r="A420" t="str">
            <v>13400_14</v>
          </cell>
        </row>
        <row r="421">
          <cell r="A421" t="str">
            <v>13400_15</v>
          </cell>
        </row>
        <row r="422">
          <cell r="A422" t="str">
            <v>14001_1</v>
          </cell>
        </row>
        <row r="423">
          <cell r="A423" t="str">
            <v>14001_2</v>
          </cell>
        </row>
        <row r="424">
          <cell r="A424" t="str">
            <v>14001_3</v>
          </cell>
        </row>
        <row r="425">
          <cell r="A425" t="str">
            <v>14001_4</v>
          </cell>
        </row>
        <row r="426">
          <cell r="A426" t="str">
            <v>14001_5</v>
          </cell>
        </row>
        <row r="427">
          <cell r="A427" t="str">
            <v>14001_6</v>
          </cell>
        </row>
        <row r="428">
          <cell r="A428" t="str">
            <v>14001_7</v>
          </cell>
        </row>
        <row r="429">
          <cell r="A429" t="str">
            <v>14001_8</v>
          </cell>
        </row>
        <row r="430">
          <cell r="A430" t="str">
            <v>14002_1</v>
          </cell>
        </row>
        <row r="431">
          <cell r="A431" t="str">
            <v>14002_2</v>
          </cell>
        </row>
        <row r="432">
          <cell r="A432" t="str">
            <v>14003_1</v>
          </cell>
        </row>
        <row r="433">
          <cell r="A433" t="str">
            <v>14003_2</v>
          </cell>
        </row>
        <row r="434">
          <cell r="A434" t="str">
            <v>14003_3</v>
          </cell>
        </row>
        <row r="435">
          <cell r="A435" t="str">
            <v>14003_4</v>
          </cell>
        </row>
        <row r="436">
          <cell r="A436" t="str">
            <v>14004_1</v>
          </cell>
        </row>
        <row r="437">
          <cell r="A437" t="str">
            <v>14004_2</v>
          </cell>
        </row>
        <row r="438">
          <cell r="A438" t="str">
            <v>14004_3</v>
          </cell>
        </row>
        <row r="439">
          <cell r="A439" t="str">
            <v>14004_4</v>
          </cell>
        </row>
        <row r="440">
          <cell r="A440" t="str">
            <v>14005_1</v>
          </cell>
        </row>
        <row r="441">
          <cell r="A441" t="str">
            <v>14006_1</v>
          </cell>
        </row>
        <row r="442">
          <cell r="A442" t="str">
            <v>15027_1</v>
          </cell>
        </row>
        <row r="443">
          <cell r="A443" t="str">
            <v>15027_2</v>
          </cell>
        </row>
        <row r="444">
          <cell r="A444" t="str">
            <v>15027_3</v>
          </cell>
        </row>
        <row r="445">
          <cell r="A445" t="str">
            <v>15027_4</v>
          </cell>
        </row>
        <row r="446">
          <cell r="A446" t="str">
            <v>15028_1</v>
          </cell>
        </row>
        <row r="447">
          <cell r="A447" t="str">
            <v>15028_2</v>
          </cell>
        </row>
        <row r="448">
          <cell r="A448" t="str">
            <v>15028_3</v>
          </cell>
        </row>
        <row r="449">
          <cell r="A449" t="str">
            <v>15028_4</v>
          </cell>
        </row>
        <row r="450">
          <cell r="A450" t="str">
            <v>15029_1</v>
          </cell>
        </row>
        <row r="451">
          <cell r="A451" t="str">
            <v>15029_2</v>
          </cell>
        </row>
        <row r="452">
          <cell r="A452" t="str">
            <v>15029_3</v>
          </cell>
        </row>
        <row r="453">
          <cell r="A453" t="str">
            <v>15029_4</v>
          </cell>
        </row>
        <row r="454">
          <cell r="A454" t="str">
            <v>15030_1</v>
          </cell>
        </row>
        <row r="455">
          <cell r="A455" t="str">
            <v>15030_2</v>
          </cell>
        </row>
        <row r="456">
          <cell r="A456" t="str">
            <v>15030_3</v>
          </cell>
        </row>
        <row r="457">
          <cell r="A457" t="str">
            <v>15030_4</v>
          </cell>
        </row>
        <row r="458">
          <cell r="A458" t="str">
            <v>15031_1</v>
          </cell>
        </row>
        <row r="459">
          <cell r="A459" t="str">
            <v>15031_2</v>
          </cell>
        </row>
        <row r="460">
          <cell r="A460" t="str">
            <v>15031_3</v>
          </cell>
        </row>
        <row r="461">
          <cell r="A461" t="str">
            <v>15031_4</v>
          </cell>
        </row>
        <row r="462">
          <cell r="A462" t="str">
            <v>20001_1</v>
          </cell>
        </row>
        <row r="463">
          <cell r="A463" t="str">
            <v>20001_2</v>
          </cell>
        </row>
        <row r="464">
          <cell r="A464" t="str">
            <v>20001_3</v>
          </cell>
        </row>
        <row r="465">
          <cell r="A465" t="str">
            <v>20002_1</v>
          </cell>
        </row>
        <row r="466">
          <cell r="A466" t="str">
            <v>20002_2</v>
          </cell>
        </row>
        <row r="467">
          <cell r="A467" t="str">
            <v>20002_3</v>
          </cell>
        </row>
        <row r="468">
          <cell r="A468" t="str">
            <v>20003_1</v>
          </cell>
        </row>
        <row r="469">
          <cell r="A469" t="str">
            <v>20003_2</v>
          </cell>
        </row>
        <row r="470">
          <cell r="A470" t="str">
            <v>20003_3</v>
          </cell>
        </row>
        <row r="471">
          <cell r="A471" t="str">
            <v>20004_1</v>
          </cell>
        </row>
        <row r="472">
          <cell r="A472" t="str">
            <v>20004_2</v>
          </cell>
        </row>
        <row r="473">
          <cell r="A473" t="str">
            <v>20004_3</v>
          </cell>
        </row>
        <row r="474">
          <cell r="A474" t="str">
            <v>20005_1</v>
          </cell>
        </row>
        <row r="475">
          <cell r="A475" t="str">
            <v>20005_2</v>
          </cell>
        </row>
        <row r="476">
          <cell r="A476" t="str">
            <v>20005_3</v>
          </cell>
        </row>
        <row r="477">
          <cell r="A477" t="str">
            <v>20006_1</v>
          </cell>
        </row>
        <row r="478">
          <cell r="A478" t="str">
            <v>20006_2</v>
          </cell>
        </row>
        <row r="479">
          <cell r="A479" t="str">
            <v>20006_3</v>
          </cell>
        </row>
        <row r="480">
          <cell r="A480" t="str">
            <v>20007_1</v>
          </cell>
        </row>
        <row r="481">
          <cell r="A481" t="str">
            <v>20007_2</v>
          </cell>
        </row>
        <row r="482">
          <cell r="A482" t="str">
            <v>20007_3</v>
          </cell>
        </row>
        <row r="483">
          <cell r="A483" t="str">
            <v>20008_1</v>
          </cell>
        </row>
        <row r="484">
          <cell r="A484" t="str">
            <v>20008_2</v>
          </cell>
        </row>
        <row r="485">
          <cell r="A485" t="str">
            <v>20008_3</v>
          </cell>
        </row>
        <row r="486">
          <cell r="A486" t="str">
            <v>20009_1</v>
          </cell>
        </row>
        <row r="487">
          <cell r="A487" t="str">
            <v>20009_2</v>
          </cell>
        </row>
        <row r="488">
          <cell r="A488" t="str">
            <v>20009_3</v>
          </cell>
        </row>
        <row r="489">
          <cell r="A489" t="str">
            <v>20010_1</v>
          </cell>
        </row>
        <row r="490">
          <cell r="A490" t="str">
            <v>20010_2</v>
          </cell>
        </row>
        <row r="491">
          <cell r="A491" t="str">
            <v>20010_3</v>
          </cell>
        </row>
        <row r="492">
          <cell r="A492" t="str">
            <v>20011_1</v>
          </cell>
        </row>
        <row r="493">
          <cell r="A493" t="str">
            <v>20011_2</v>
          </cell>
        </row>
        <row r="494">
          <cell r="A494" t="str">
            <v>20011_3</v>
          </cell>
        </row>
        <row r="495">
          <cell r="A495" t="str">
            <v>20012_1</v>
          </cell>
        </row>
        <row r="496">
          <cell r="A496" t="str">
            <v>20012_2</v>
          </cell>
        </row>
        <row r="497">
          <cell r="A497" t="str">
            <v>20012_3</v>
          </cell>
        </row>
        <row r="498">
          <cell r="A498" t="str">
            <v>20013_1</v>
          </cell>
        </row>
        <row r="499">
          <cell r="A499" t="str">
            <v>20013_2</v>
          </cell>
        </row>
        <row r="500">
          <cell r="A500" t="str">
            <v>20013_3</v>
          </cell>
        </row>
        <row r="501">
          <cell r="A501" t="str">
            <v>20014_1</v>
          </cell>
        </row>
        <row r="502">
          <cell r="A502" t="str">
            <v>20014_2</v>
          </cell>
        </row>
        <row r="503">
          <cell r="A503" t="str">
            <v>20014_3</v>
          </cell>
        </row>
        <row r="504">
          <cell r="A504" t="str">
            <v>20015_1</v>
          </cell>
        </row>
        <row r="505">
          <cell r="A505" t="str">
            <v>20015_2</v>
          </cell>
        </row>
        <row r="506">
          <cell r="A506" t="str">
            <v>20015_3</v>
          </cell>
        </row>
        <row r="507">
          <cell r="A507" t="str">
            <v>20016_1</v>
          </cell>
        </row>
        <row r="508">
          <cell r="A508" t="str">
            <v>20016_2</v>
          </cell>
        </row>
        <row r="509">
          <cell r="A509" t="str">
            <v>20016_3</v>
          </cell>
        </row>
        <row r="510">
          <cell r="A510" t="str">
            <v>20017_1</v>
          </cell>
        </row>
        <row r="511">
          <cell r="A511" t="str">
            <v>20017_2</v>
          </cell>
        </row>
        <row r="512">
          <cell r="A512" t="str">
            <v>20017_3</v>
          </cell>
        </row>
        <row r="513">
          <cell r="A513" t="str">
            <v>20018_1</v>
          </cell>
        </row>
        <row r="514">
          <cell r="A514" t="str">
            <v>20018_2</v>
          </cell>
        </row>
        <row r="515">
          <cell r="A515" t="str">
            <v>20018_3</v>
          </cell>
        </row>
        <row r="516">
          <cell r="A516" t="str">
            <v>20019_1</v>
          </cell>
        </row>
        <row r="517">
          <cell r="A517" t="str">
            <v>20019_2</v>
          </cell>
        </row>
        <row r="518">
          <cell r="A518" t="str">
            <v>20019_3</v>
          </cell>
        </row>
        <row r="519">
          <cell r="A519" t="str">
            <v>20020_1</v>
          </cell>
        </row>
        <row r="520">
          <cell r="A520" t="str">
            <v>20020_2</v>
          </cell>
        </row>
        <row r="521">
          <cell r="A521" t="str">
            <v>20020_3</v>
          </cell>
        </row>
        <row r="522">
          <cell r="A522" t="str">
            <v>20021_1</v>
          </cell>
        </row>
        <row r="523">
          <cell r="A523" t="str">
            <v>20021_2</v>
          </cell>
        </row>
        <row r="524">
          <cell r="A524" t="str">
            <v>20021_3</v>
          </cell>
        </row>
        <row r="525">
          <cell r="A525" t="str">
            <v>20022_1</v>
          </cell>
        </row>
        <row r="526">
          <cell r="A526" t="str">
            <v>30001_1</v>
          </cell>
        </row>
        <row r="527">
          <cell r="A527" t="str">
            <v>30001_2</v>
          </cell>
        </row>
        <row r="528">
          <cell r="A528" t="str">
            <v>30001_3</v>
          </cell>
        </row>
        <row r="529">
          <cell r="A529" t="str">
            <v>30002_1</v>
          </cell>
        </row>
        <row r="530">
          <cell r="A530" t="str">
            <v>30002_2</v>
          </cell>
        </row>
        <row r="531">
          <cell r="A531" t="str">
            <v>30002_3</v>
          </cell>
        </row>
        <row r="532">
          <cell r="A532" t="str">
            <v>30003_1</v>
          </cell>
        </row>
        <row r="533">
          <cell r="A533" t="str">
            <v>30003_2</v>
          </cell>
        </row>
        <row r="534">
          <cell r="A534" t="str">
            <v>30003_3</v>
          </cell>
        </row>
        <row r="535">
          <cell r="A535" t="str">
            <v>30004_1</v>
          </cell>
        </row>
        <row r="536">
          <cell r="A536" t="str">
            <v>30004_2</v>
          </cell>
        </row>
        <row r="537">
          <cell r="A537" t="str">
            <v>30004_3</v>
          </cell>
        </row>
        <row r="538">
          <cell r="A538" t="str">
            <v>30005_1</v>
          </cell>
        </row>
        <row r="539">
          <cell r="A539" t="str">
            <v>30005_2</v>
          </cell>
        </row>
        <row r="540">
          <cell r="A540" t="str">
            <v>30005_3</v>
          </cell>
        </row>
        <row r="541">
          <cell r="A541" t="str">
            <v>30006_1</v>
          </cell>
        </row>
        <row r="542">
          <cell r="A542" t="str">
            <v>30006_2</v>
          </cell>
        </row>
        <row r="543">
          <cell r="A543" t="str">
            <v>30006_3</v>
          </cell>
        </row>
        <row r="544">
          <cell r="A544" t="str">
            <v>30007_1</v>
          </cell>
        </row>
        <row r="545">
          <cell r="A545" t="str">
            <v>30007_2</v>
          </cell>
        </row>
        <row r="546">
          <cell r="A546" t="str">
            <v>30007_3</v>
          </cell>
        </row>
        <row r="547">
          <cell r="A547" t="str">
            <v>30008_1</v>
          </cell>
        </row>
        <row r="548">
          <cell r="A548" t="str">
            <v>30008_2</v>
          </cell>
        </row>
        <row r="549">
          <cell r="A549" t="str">
            <v>30008_3</v>
          </cell>
        </row>
        <row r="550">
          <cell r="A550" t="str">
            <v>30009_3</v>
          </cell>
        </row>
        <row r="551">
          <cell r="A551" t="str">
            <v>30009_1</v>
          </cell>
        </row>
        <row r="552">
          <cell r="A552" t="str">
            <v>30009_2</v>
          </cell>
        </row>
        <row r="553">
          <cell r="A553" t="str">
            <v>30010_1</v>
          </cell>
        </row>
        <row r="554">
          <cell r="A554" t="str">
            <v>30010_2</v>
          </cell>
        </row>
        <row r="555">
          <cell r="A555" t="str">
            <v>30010_3</v>
          </cell>
        </row>
        <row r="556">
          <cell r="A556" t="str">
            <v>30011_1</v>
          </cell>
        </row>
        <row r="557">
          <cell r="A557" t="str">
            <v>30011_2</v>
          </cell>
        </row>
        <row r="558">
          <cell r="A558" t="str">
            <v>30011_3</v>
          </cell>
        </row>
        <row r="559">
          <cell r="A559" t="str">
            <v>30012_1</v>
          </cell>
        </row>
        <row r="560">
          <cell r="A560" t="str">
            <v>30012_2</v>
          </cell>
        </row>
        <row r="561">
          <cell r="A561" t="str">
            <v>30012_3</v>
          </cell>
        </row>
        <row r="562">
          <cell r="A562" t="str">
            <v>30013_1</v>
          </cell>
        </row>
        <row r="563">
          <cell r="A563" t="str">
            <v>30013_2</v>
          </cell>
        </row>
        <row r="564">
          <cell r="A564" t="str">
            <v>30014_1</v>
          </cell>
        </row>
        <row r="565">
          <cell r="A565" t="str">
            <v>30014_2</v>
          </cell>
        </row>
        <row r="566">
          <cell r="A566" t="str">
            <v>30015_1</v>
          </cell>
        </row>
        <row r="567">
          <cell r="A567" t="str">
            <v>30015_2</v>
          </cell>
        </row>
        <row r="568">
          <cell r="A568" t="str">
            <v>30016_1</v>
          </cell>
        </row>
        <row r="569">
          <cell r="A569" t="str">
            <v>30016_2</v>
          </cell>
        </row>
        <row r="570">
          <cell r="A570" t="str">
            <v>30017_1</v>
          </cell>
        </row>
        <row r="571">
          <cell r="A571" t="str">
            <v>30017_2</v>
          </cell>
        </row>
        <row r="572">
          <cell r="A572" t="str">
            <v>30018_1</v>
          </cell>
        </row>
        <row r="573">
          <cell r="A573" t="str">
            <v>30018_2</v>
          </cell>
        </row>
        <row r="574">
          <cell r="A574" t="str">
            <v>30019_1</v>
          </cell>
        </row>
        <row r="575">
          <cell r="A575" t="str">
            <v>30019_2</v>
          </cell>
        </row>
        <row r="576">
          <cell r="A576" t="str">
            <v>30020_1</v>
          </cell>
        </row>
        <row r="577">
          <cell r="A577" t="str">
            <v>30020_2</v>
          </cell>
        </row>
        <row r="578">
          <cell r="A578" t="str">
            <v>30021_1</v>
          </cell>
        </row>
        <row r="579">
          <cell r="A579" t="str">
            <v>30021_2</v>
          </cell>
        </row>
        <row r="580">
          <cell r="A580" t="str">
            <v>30021_3</v>
          </cell>
        </row>
        <row r="581">
          <cell r="A581" t="str">
            <v>30022_1</v>
          </cell>
        </row>
        <row r="582">
          <cell r="A582" t="str">
            <v>30022_2</v>
          </cell>
        </row>
        <row r="583">
          <cell r="A583" t="str">
            <v>30023_1</v>
          </cell>
        </row>
        <row r="584">
          <cell r="A584" t="str">
            <v>30023_2</v>
          </cell>
        </row>
        <row r="585">
          <cell r="A585" t="str">
            <v>30023_3</v>
          </cell>
        </row>
        <row r="586">
          <cell r="A586" t="str">
            <v>30024_1</v>
          </cell>
        </row>
        <row r="587">
          <cell r="A587" t="str">
            <v>30024_2</v>
          </cell>
        </row>
        <row r="588">
          <cell r="A588" t="str">
            <v>30024_3</v>
          </cell>
        </row>
        <row r="589">
          <cell r="A589" t="str">
            <v>30025_1</v>
          </cell>
        </row>
        <row r="590">
          <cell r="A590" t="str">
            <v>30025_2</v>
          </cell>
        </row>
        <row r="591">
          <cell r="A591" t="str">
            <v>30025_3</v>
          </cell>
        </row>
        <row r="592">
          <cell r="A592" t="str">
            <v>30026_1</v>
          </cell>
        </row>
        <row r="593">
          <cell r="A593" t="str">
            <v>30026_2</v>
          </cell>
        </row>
        <row r="594">
          <cell r="A594" t="str">
            <v>30026_3</v>
          </cell>
        </row>
        <row r="595">
          <cell r="A595" t="str">
            <v>30027_1</v>
          </cell>
        </row>
        <row r="596">
          <cell r="A596" t="str">
            <v>30027_2</v>
          </cell>
        </row>
        <row r="597">
          <cell r="A597" t="str">
            <v>30027_3</v>
          </cell>
        </row>
        <row r="598">
          <cell r="A598" t="str">
            <v>30028_1</v>
          </cell>
        </row>
        <row r="599">
          <cell r="A599" t="str">
            <v>30028_2</v>
          </cell>
        </row>
        <row r="600">
          <cell r="A600" t="str">
            <v>30028_3</v>
          </cell>
        </row>
        <row r="601">
          <cell r="A601" t="str">
            <v>30029_1</v>
          </cell>
        </row>
        <row r="602">
          <cell r="A602" t="str">
            <v>30029_2</v>
          </cell>
        </row>
        <row r="603">
          <cell r="A603" t="str">
            <v>30029_3</v>
          </cell>
        </row>
        <row r="604">
          <cell r="A604" t="str">
            <v>30030_1</v>
          </cell>
        </row>
        <row r="605">
          <cell r="A605" t="str">
            <v>30030_2</v>
          </cell>
        </row>
        <row r="606">
          <cell r="A606" t="str">
            <v>30030_3</v>
          </cell>
        </row>
        <row r="607">
          <cell r="A607" t="str">
            <v>30031_1</v>
          </cell>
        </row>
        <row r="608">
          <cell r="A608" t="str">
            <v>30031_2</v>
          </cell>
        </row>
        <row r="609">
          <cell r="A609" t="str">
            <v>30031_3</v>
          </cell>
        </row>
        <row r="610">
          <cell r="A610" t="str">
            <v>30032_1</v>
          </cell>
        </row>
        <row r="611">
          <cell r="A611" t="str">
            <v>30032_2</v>
          </cell>
        </row>
        <row r="612">
          <cell r="A612" t="str">
            <v>30032_3</v>
          </cell>
        </row>
        <row r="613">
          <cell r="A613" t="str">
            <v>30033_1</v>
          </cell>
        </row>
        <row r="614">
          <cell r="A614" t="str">
            <v>30033_2</v>
          </cell>
        </row>
        <row r="615">
          <cell r="A615" t="str">
            <v>30033_3</v>
          </cell>
        </row>
        <row r="616">
          <cell r="A616" t="str">
            <v>30034_1</v>
          </cell>
        </row>
        <row r="617">
          <cell r="A617" t="str">
            <v>30034_2</v>
          </cell>
        </row>
        <row r="618">
          <cell r="A618" t="str">
            <v>30034_3</v>
          </cell>
        </row>
        <row r="619">
          <cell r="A619" t="str">
            <v>30035_1</v>
          </cell>
        </row>
        <row r="620">
          <cell r="A620" t="str">
            <v>30035_2</v>
          </cell>
        </row>
        <row r="621">
          <cell r="A621" t="str">
            <v>30035_3</v>
          </cell>
        </row>
        <row r="622">
          <cell r="A622" t="str">
            <v>30036_1</v>
          </cell>
        </row>
        <row r="623">
          <cell r="A623" t="str">
            <v>30036_2</v>
          </cell>
        </row>
        <row r="624">
          <cell r="A624" t="str">
            <v>30036_3</v>
          </cell>
        </row>
        <row r="625">
          <cell r="A625" t="str">
            <v>30037_1</v>
          </cell>
        </row>
        <row r="626">
          <cell r="A626" t="str">
            <v>30037_2</v>
          </cell>
        </row>
        <row r="627">
          <cell r="A627" t="str">
            <v>30037_3</v>
          </cell>
        </row>
        <row r="628">
          <cell r="A628" t="str">
            <v>30038_1</v>
          </cell>
        </row>
        <row r="629">
          <cell r="A629" t="str">
            <v>30038_2</v>
          </cell>
        </row>
        <row r="630">
          <cell r="A630" t="str">
            <v>30038_3</v>
          </cell>
        </row>
        <row r="631">
          <cell r="A631" t="str">
            <v>30039_1</v>
          </cell>
        </row>
        <row r="632">
          <cell r="A632" t="str">
            <v>30039_2</v>
          </cell>
        </row>
        <row r="633">
          <cell r="A633" t="str">
            <v>30039_3</v>
          </cell>
        </row>
        <row r="634">
          <cell r="A634" t="str">
            <v>30040_1</v>
          </cell>
        </row>
        <row r="635">
          <cell r="A635" t="str">
            <v>30040_2</v>
          </cell>
        </row>
        <row r="636">
          <cell r="A636" t="str">
            <v>30040_3</v>
          </cell>
        </row>
        <row r="637">
          <cell r="A637" t="str">
            <v>30041_1</v>
          </cell>
        </row>
        <row r="638">
          <cell r="A638" t="str">
            <v>30041_2</v>
          </cell>
        </row>
        <row r="639">
          <cell r="A639" t="str">
            <v>30041_3</v>
          </cell>
        </row>
        <row r="640">
          <cell r="A640" t="str">
            <v>30042_1</v>
          </cell>
        </row>
        <row r="641">
          <cell r="A641" t="str">
            <v>30042_2</v>
          </cell>
        </row>
        <row r="642">
          <cell r="A642" t="str">
            <v>30042_3</v>
          </cell>
        </row>
        <row r="643">
          <cell r="A643" t="str">
            <v>30043_1</v>
          </cell>
        </row>
        <row r="644">
          <cell r="A644" t="str">
            <v>30043_2</v>
          </cell>
        </row>
        <row r="645">
          <cell r="A645" t="str">
            <v>30043_3</v>
          </cell>
        </row>
        <row r="646">
          <cell r="A646" t="str">
            <v>30044_1</v>
          </cell>
        </row>
        <row r="647">
          <cell r="A647" t="str">
            <v>30044_2</v>
          </cell>
        </row>
        <row r="648">
          <cell r="A648" t="str">
            <v>30044_3</v>
          </cell>
        </row>
        <row r="649">
          <cell r="A649" t="str">
            <v>30045_1</v>
          </cell>
        </row>
        <row r="650">
          <cell r="A650" t="str">
            <v>30045_2</v>
          </cell>
        </row>
        <row r="651">
          <cell r="A651" t="str">
            <v>30045_3</v>
          </cell>
        </row>
        <row r="652">
          <cell r="A652" t="str">
            <v>30046_1</v>
          </cell>
        </row>
        <row r="653">
          <cell r="A653" t="str">
            <v>30046_2</v>
          </cell>
        </row>
        <row r="654">
          <cell r="A654" t="str">
            <v>30046_3</v>
          </cell>
        </row>
        <row r="655">
          <cell r="A655" t="str">
            <v>30047_1</v>
          </cell>
        </row>
        <row r="656">
          <cell r="A656" t="str">
            <v>30047_2</v>
          </cell>
        </row>
        <row r="657">
          <cell r="A657" t="str">
            <v>30047_3</v>
          </cell>
        </row>
        <row r="658">
          <cell r="A658" t="str">
            <v>30048_1</v>
          </cell>
        </row>
        <row r="659">
          <cell r="A659" t="str">
            <v>30048_2</v>
          </cell>
        </row>
        <row r="660">
          <cell r="A660" t="str">
            <v>30048_3</v>
          </cell>
        </row>
        <row r="661">
          <cell r="A661" t="str">
            <v>30049_1</v>
          </cell>
        </row>
        <row r="662">
          <cell r="A662" t="str">
            <v>30049_2</v>
          </cell>
        </row>
        <row r="663">
          <cell r="A663" t="str">
            <v>30049_3</v>
          </cell>
        </row>
        <row r="664">
          <cell r="A664" t="str">
            <v>30050_1</v>
          </cell>
        </row>
        <row r="665">
          <cell r="A665" t="str">
            <v>30050_2</v>
          </cell>
        </row>
        <row r="666">
          <cell r="A666" t="str">
            <v>30050_3</v>
          </cell>
        </row>
        <row r="667">
          <cell r="A667" t="str">
            <v>38101_1</v>
          </cell>
        </row>
        <row r="668">
          <cell r="A668" t="str">
            <v>38101_2</v>
          </cell>
        </row>
        <row r="669">
          <cell r="A669" t="str">
            <v>38101_3</v>
          </cell>
        </row>
        <row r="670">
          <cell r="A670" t="str">
            <v>39001_1</v>
          </cell>
        </row>
        <row r="671">
          <cell r="A671" t="str">
            <v>39001_2</v>
          </cell>
        </row>
        <row r="672">
          <cell r="A672" t="str">
            <v>39001_3</v>
          </cell>
        </row>
        <row r="673">
          <cell r="A673" t="str">
            <v>39001_4</v>
          </cell>
        </row>
        <row r="674">
          <cell r="A674" t="str">
            <v>39001_5</v>
          </cell>
        </row>
        <row r="675">
          <cell r="A675" t="str">
            <v>39002_1</v>
          </cell>
        </row>
        <row r="676">
          <cell r="A676" t="str">
            <v>39002_2</v>
          </cell>
        </row>
        <row r="677">
          <cell r="A677" t="str">
            <v>39002_3</v>
          </cell>
        </row>
        <row r="678">
          <cell r="A678" t="str">
            <v>39002_4</v>
          </cell>
        </row>
        <row r="679">
          <cell r="A679" t="str">
            <v>39003_1</v>
          </cell>
        </row>
        <row r="680">
          <cell r="A680" t="str">
            <v>39003_2</v>
          </cell>
        </row>
        <row r="681">
          <cell r="A681" t="str">
            <v>39003_3</v>
          </cell>
        </row>
        <row r="682">
          <cell r="A682" t="str">
            <v>39003_4</v>
          </cell>
        </row>
        <row r="683">
          <cell r="A683" t="str">
            <v>39004_1</v>
          </cell>
        </row>
        <row r="684">
          <cell r="A684" t="str">
            <v>39004_2</v>
          </cell>
        </row>
        <row r="685">
          <cell r="A685" t="str">
            <v>39004_3</v>
          </cell>
        </row>
        <row r="686">
          <cell r="A686" t="str">
            <v>39004_4</v>
          </cell>
        </row>
        <row r="687">
          <cell r="A687" t="str">
            <v>39005_1</v>
          </cell>
        </row>
        <row r="688">
          <cell r="A688" t="str">
            <v>39005_2</v>
          </cell>
        </row>
        <row r="689">
          <cell r="A689" t="str">
            <v>39005_3</v>
          </cell>
        </row>
        <row r="690">
          <cell r="A690" t="str">
            <v>39005_4</v>
          </cell>
        </row>
        <row r="691">
          <cell r="A691" t="str">
            <v>39005_5</v>
          </cell>
        </row>
        <row r="692">
          <cell r="A692" t="str">
            <v>39006_1</v>
          </cell>
        </row>
        <row r="693">
          <cell r="A693" t="str">
            <v>39006_2</v>
          </cell>
        </row>
        <row r="694">
          <cell r="A694" t="str">
            <v>39006_3</v>
          </cell>
        </row>
        <row r="695">
          <cell r="A695" t="str">
            <v>39006_4</v>
          </cell>
        </row>
        <row r="696">
          <cell r="A696" t="str">
            <v>39007_1</v>
          </cell>
        </row>
        <row r="697">
          <cell r="A697" t="str">
            <v>39007_2</v>
          </cell>
        </row>
        <row r="698">
          <cell r="A698" t="str">
            <v>39007_3</v>
          </cell>
        </row>
        <row r="699">
          <cell r="A699" t="str">
            <v>39007_4</v>
          </cell>
        </row>
        <row r="700">
          <cell r="A700" t="str">
            <v>39008_1</v>
          </cell>
        </row>
        <row r="701">
          <cell r="A701" t="str">
            <v>39008_2</v>
          </cell>
        </row>
        <row r="702">
          <cell r="A702" t="str">
            <v>39008_3</v>
          </cell>
        </row>
        <row r="703">
          <cell r="A703" t="str">
            <v>39008_4</v>
          </cell>
        </row>
        <row r="704">
          <cell r="A704" t="str">
            <v>39008_5</v>
          </cell>
        </row>
        <row r="705">
          <cell r="A705" t="str">
            <v>39009_1</v>
          </cell>
        </row>
        <row r="706">
          <cell r="A706" t="str">
            <v>39009_2</v>
          </cell>
        </row>
        <row r="707">
          <cell r="A707" t="str">
            <v>39009_3</v>
          </cell>
        </row>
        <row r="708">
          <cell r="A708" t="str">
            <v>39009_4</v>
          </cell>
        </row>
        <row r="709">
          <cell r="A709" t="str">
            <v>39009_5</v>
          </cell>
        </row>
        <row r="710">
          <cell r="A710" t="str">
            <v>39010_1</v>
          </cell>
        </row>
        <row r="711">
          <cell r="A711" t="str">
            <v>39010_2</v>
          </cell>
        </row>
        <row r="712">
          <cell r="A712" t="str">
            <v>39010_3</v>
          </cell>
        </row>
        <row r="713">
          <cell r="A713" t="str">
            <v>39010_4</v>
          </cell>
        </row>
        <row r="714">
          <cell r="A714" t="str">
            <v>39011_1</v>
          </cell>
        </row>
        <row r="715">
          <cell r="A715" t="str">
            <v>39011_2</v>
          </cell>
        </row>
        <row r="716">
          <cell r="A716" t="str">
            <v>39011_3</v>
          </cell>
        </row>
        <row r="717">
          <cell r="A717" t="str">
            <v>39011_4</v>
          </cell>
        </row>
        <row r="718">
          <cell r="A718" t="str">
            <v>39012_1</v>
          </cell>
        </row>
        <row r="719">
          <cell r="A719" t="str">
            <v>39012_2</v>
          </cell>
        </row>
        <row r="720">
          <cell r="A720" t="str">
            <v>39012_3</v>
          </cell>
        </row>
        <row r="721">
          <cell r="A721" t="str">
            <v>39012_4</v>
          </cell>
        </row>
        <row r="722">
          <cell r="A722" t="str">
            <v>39012_5</v>
          </cell>
        </row>
        <row r="723">
          <cell r="A723" t="str">
            <v>39013_1</v>
          </cell>
        </row>
        <row r="724">
          <cell r="A724" t="str">
            <v>39013_2</v>
          </cell>
        </row>
        <row r="725">
          <cell r="A725" t="str">
            <v>39013_3</v>
          </cell>
        </row>
        <row r="726">
          <cell r="A726" t="str">
            <v>39013_4</v>
          </cell>
        </row>
        <row r="727">
          <cell r="A727" t="str">
            <v>39014_1</v>
          </cell>
        </row>
        <row r="728">
          <cell r="A728" t="str">
            <v>39014_2</v>
          </cell>
        </row>
        <row r="729">
          <cell r="A729" t="str">
            <v>40001_1</v>
          </cell>
        </row>
        <row r="730">
          <cell r="A730" t="str">
            <v>40002_1</v>
          </cell>
        </row>
        <row r="731">
          <cell r="A731" t="str">
            <v>40002_2</v>
          </cell>
        </row>
        <row r="732">
          <cell r="A732" t="str">
            <v>40002_3</v>
          </cell>
        </row>
        <row r="733">
          <cell r="A733" t="str">
            <v>40003_1</v>
          </cell>
        </row>
        <row r="734">
          <cell r="A734" t="str">
            <v>40004_1</v>
          </cell>
        </row>
        <row r="735">
          <cell r="A735" t="str">
            <v>40005_1</v>
          </cell>
        </row>
        <row r="736">
          <cell r="A736" t="str">
            <v>40006_1</v>
          </cell>
        </row>
        <row r="737">
          <cell r="A737" t="str">
            <v>40007_1</v>
          </cell>
        </row>
        <row r="738">
          <cell r="A738" t="str">
            <v>40008_1</v>
          </cell>
        </row>
        <row r="739">
          <cell r="A739" t="str">
            <v>40009_1</v>
          </cell>
        </row>
        <row r="740">
          <cell r="A740" t="str">
            <v>40010_1</v>
          </cell>
        </row>
        <row r="741">
          <cell r="A741" t="str">
            <v>40011_1</v>
          </cell>
        </row>
        <row r="742">
          <cell r="A742" t="str">
            <v>40012_1</v>
          </cell>
        </row>
        <row r="743">
          <cell r="A743" t="str">
            <v>40013_1</v>
          </cell>
        </row>
        <row r="744">
          <cell r="A744" t="str">
            <v>40014_1</v>
          </cell>
        </row>
        <row r="745">
          <cell r="A745" t="str">
            <v>40015_1</v>
          </cell>
        </row>
        <row r="746">
          <cell r="A746" t="str">
            <v>40016_1</v>
          </cell>
        </row>
        <row r="747">
          <cell r="A747" t="str">
            <v>40016_2</v>
          </cell>
        </row>
        <row r="748">
          <cell r="A748" t="str">
            <v>40017_1</v>
          </cell>
        </row>
        <row r="749">
          <cell r="A749" t="str">
            <v>40017_2</v>
          </cell>
        </row>
        <row r="750">
          <cell r="A750" t="str">
            <v>40017_3</v>
          </cell>
        </row>
        <row r="751">
          <cell r="A751" t="str">
            <v>40018_1</v>
          </cell>
        </row>
        <row r="752">
          <cell r="A752" t="str">
            <v>40018_2</v>
          </cell>
        </row>
        <row r="753">
          <cell r="A753" t="str">
            <v>40018_3</v>
          </cell>
        </row>
        <row r="754">
          <cell r="A754" t="str">
            <v>40019_1</v>
          </cell>
        </row>
        <row r="755">
          <cell r="A755" t="str">
            <v>40019_2</v>
          </cell>
        </row>
        <row r="756">
          <cell r="A756" t="str">
            <v>40019_3</v>
          </cell>
        </row>
        <row r="757">
          <cell r="A757" t="str">
            <v>40021_1</v>
          </cell>
        </row>
        <row r="758">
          <cell r="A758" t="str">
            <v>40021_2</v>
          </cell>
        </row>
        <row r="759">
          <cell r="A759" t="str">
            <v>40022_1</v>
          </cell>
        </row>
        <row r="760">
          <cell r="A760" t="str">
            <v>40022_2</v>
          </cell>
        </row>
        <row r="761">
          <cell r="A761" t="str">
            <v>40023_1</v>
          </cell>
        </row>
        <row r="762">
          <cell r="A762" t="str">
            <v>40023_2</v>
          </cell>
        </row>
        <row r="763">
          <cell r="A763" t="str">
            <v>40024_1</v>
          </cell>
        </row>
        <row r="764">
          <cell r="A764" t="str">
            <v>40024_2</v>
          </cell>
        </row>
        <row r="765">
          <cell r="A765" t="str">
            <v>40025_1</v>
          </cell>
        </row>
        <row r="766">
          <cell r="A766" t="str">
            <v>40025_2</v>
          </cell>
        </row>
        <row r="767">
          <cell r="A767" t="str">
            <v>40026_1</v>
          </cell>
        </row>
        <row r="768">
          <cell r="A768" t="str">
            <v>40026_2</v>
          </cell>
        </row>
        <row r="769">
          <cell r="A769" t="str">
            <v>40027_1</v>
          </cell>
        </row>
        <row r="770">
          <cell r="A770" t="str">
            <v>40027_2</v>
          </cell>
        </row>
        <row r="771">
          <cell r="A771" t="str">
            <v>40028_1</v>
          </cell>
        </row>
        <row r="772">
          <cell r="A772" t="str">
            <v>40028_2</v>
          </cell>
        </row>
        <row r="773">
          <cell r="A773" t="str">
            <v>40029_1</v>
          </cell>
        </row>
        <row r="774">
          <cell r="A774" t="str">
            <v>40029_2</v>
          </cell>
        </row>
        <row r="775">
          <cell r="A775" t="str">
            <v>40030_1</v>
          </cell>
        </row>
        <row r="776">
          <cell r="A776" t="str">
            <v>40030_2</v>
          </cell>
        </row>
        <row r="777">
          <cell r="A777" t="str">
            <v>40031_1</v>
          </cell>
        </row>
        <row r="778">
          <cell r="A778" t="str">
            <v>40031_2</v>
          </cell>
        </row>
        <row r="779">
          <cell r="A779" t="str">
            <v>40032_1</v>
          </cell>
        </row>
        <row r="780">
          <cell r="A780" t="str">
            <v>40032_2</v>
          </cell>
        </row>
        <row r="781">
          <cell r="A781" t="str">
            <v>40033_1</v>
          </cell>
        </row>
        <row r="782">
          <cell r="A782" t="str">
            <v>40033_2</v>
          </cell>
        </row>
        <row r="783">
          <cell r="A783" t="str">
            <v>40034_1</v>
          </cell>
        </row>
        <row r="784">
          <cell r="A784" t="str">
            <v>40034_2</v>
          </cell>
        </row>
        <row r="785">
          <cell r="A785" t="str">
            <v>40035_1</v>
          </cell>
        </row>
        <row r="786">
          <cell r="A786" t="str">
            <v>40035_2</v>
          </cell>
        </row>
        <row r="787">
          <cell r="A787" t="str">
            <v>40036_1</v>
          </cell>
        </row>
        <row r="788">
          <cell r="A788" t="str">
            <v>40036_2</v>
          </cell>
        </row>
        <row r="789">
          <cell r="A789" t="str">
            <v>40037_1</v>
          </cell>
        </row>
        <row r="790">
          <cell r="A790" t="str">
            <v>40037_2</v>
          </cell>
        </row>
        <row r="791">
          <cell r="A791" t="str">
            <v>40038_1</v>
          </cell>
        </row>
        <row r="792">
          <cell r="A792" t="str">
            <v>40038_2</v>
          </cell>
        </row>
        <row r="793">
          <cell r="A793" t="str">
            <v>40039_1</v>
          </cell>
        </row>
        <row r="794">
          <cell r="A794" t="str">
            <v>40039_2</v>
          </cell>
        </row>
        <row r="795">
          <cell r="A795" t="str">
            <v>40040_1</v>
          </cell>
        </row>
        <row r="796">
          <cell r="A796" t="str">
            <v>40040_2</v>
          </cell>
        </row>
        <row r="797">
          <cell r="A797" t="str">
            <v>40041_1</v>
          </cell>
        </row>
        <row r="798">
          <cell r="A798" t="str">
            <v>40041_2</v>
          </cell>
        </row>
        <row r="799">
          <cell r="A799" t="str">
            <v>40042_1</v>
          </cell>
        </row>
        <row r="800">
          <cell r="A800" t="str">
            <v>40042_2</v>
          </cell>
        </row>
        <row r="801">
          <cell r="A801" t="str">
            <v>40043_1</v>
          </cell>
        </row>
        <row r="802">
          <cell r="A802" t="str">
            <v>40043_2</v>
          </cell>
        </row>
        <row r="803">
          <cell r="A803" t="str">
            <v>40044_1</v>
          </cell>
        </row>
        <row r="804">
          <cell r="A804" t="str">
            <v>40044_2</v>
          </cell>
        </row>
        <row r="805">
          <cell r="A805" t="str">
            <v>40045_1</v>
          </cell>
        </row>
        <row r="806">
          <cell r="A806" t="str">
            <v>40045_2</v>
          </cell>
        </row>
        <row r="807">
          <cell r="A807" t="str">
            <v>40046_1</v>
          </cell>
        </row>
        <row r="808">
          <cell r="A808" t="str">
            <v>40046_2</v>
          </cell>
        </row>
        <row r="809">
          <cell r="A809" t="str">
            <v>41001_1</v>
          </cell>
        </row>
        <row r="810">
          <cell r="A810" t="str">
            <v>41001_2</v>
          </cell>
        </row>
        <row r="811">
          <cell r="A811" t="str">
            <v>41001_3</v>
          </cell>
        </row>
        <row r="812">
          <cell r="A812" t="str">
            <v>41002_1</v>
          </cell>
        </row>
        <row r="813">
          <cell r="A813" t="str">
            <v>41002_2</v>
          </cell>
        </row>
        <row r="814">
          <cell r="A814" t="str">
            <v>41002_3</v>
          </cell>
        </row>
        <row r="815">
          <cell r="A815" t="str">
            <v>41003_1</v>
          </cell>
        </row>
        <row r="816">
          <cell r="A816" t="str">
            <v>41003_2</v>
          </cell>
        </row>
        <row r="817">
          <cell r="A817" t="str">
            <v>41003_3</v>
          </cell>
        </row>
        <row r="818">
          <cell r="A818" t="str">
            <v>41003_4</v>
          </cell>
        </row>
        <row r="819">
          <cell r="A819" t="str">
            <v>41004_1</v>
          </cell>
        </row>
        <row r="820">
          <cell r="A820" t="str">
            <v>41004_2</v>
          </cell>
        </row>
        <row r="821">
          <cell r="A821" t="str">
            <v>41004_3</v>
          </cell>
        </row>
        <row r="822">
          <cell r="A822" t="str">
            <v>41005_1</v>
          </cell>
        </row>
        <row r="823">
          <cell r="A823" t="str">
            <v>41005_2</v>
          </cell>
        </row>
        <row r="824">
          <cell r="A824" t="str">
            <v>41005_3</v>
          </cell>
        </row>
        <row r="825">
          <cell r="A825" t="str">
            <v>41006_1</v>
          </cell>
        </row>
        <row r="826">
          <cell r="A826" t="str">
            <v>41006_2</v>
          </cell>
        </row>
        <row r="827">
          <cell r="A827" t="str">
            <v>41006_3</v>
          </cell>
        </row>
        <row r="828">
          <cell r="A828" t="str">
            <v>41007_1</v>
          </cell>
        </row>
        <row r="829">
          <cell r="A829" t="str">
            <v>41007_2</v>
          </cell>
        </row>
        <row r="830">
          <cell r="A830" t="str">
            <v>41007_3</v>
          </cell>
        </row>
        <row r="831">
          <cell r="A831" t="str">
            <v>41008_1</v>
          </cell>
        </row>
        <row r="832">
          <cell r="A832" t="str">
            <v>41008_2</v>
          </cell>
        </row>
        <row r="833">
          <cell r="A833" t="str">
            <v>41008_3</v>
          </cell>
        </row>
        <row r="834">
          <cell r="A834" t="str">
            <v>41009_1</v>
          </cell>
        </row>
        <row r="835">
          <cell r="A835" t="str">
            <v>41009_2</v>
          </cell>
        </row>
        <row r="836">
          <cell r="A836" t="str">
            <v>41009_3</v>
          </cell>
        </row>
        <row r="837">
          <cell r="A837" t="str">
            <v>41010_1</v>
          </cell>
        </row>
        <row r="838">
          <cell r="A838" t="str">
            <v>41010_2</v>
          </cell>
        </row>
        <row r="839">
          <cell r="A839" t="str">
            <v>41010_3</v>
          </cell>
        </row>
        <row r="840">
          <cell r="A840" t="str">
            <v>41011_1</v>
          </cell>
        </row>
        <row r="841">
          <cell r="A841" t="str">
            <v>41011_2</v>
          </cell>
        </row>
        <row r="842">
          <cell r="A842" t="str">
            <v>41012_1</v>
          </cell>
        </row>
        <row r="843">
          <cell r="A843" t="str">
            <v>41012_2</v>
          </cell>
        </row>
        <row r="844">
          <cell r="A844" t="str">
            <v>41013_1</v>
          </cell>
        </row>
        <row r="845">
          <cell r="A845" t="str">
            <v>41013_2</v>
          </cell>
        </row>
        <row r="846">
          <cell r="A846" t="str">
            <v>41014_1</v>
          </cell>
        </row>
        <row r="847">
          <cell r="A847" t="str">
            <v>41014_2</v>
          </cell>
        </row>
        <row r="848">
          <cell r="A848" t="str">
            <v>41015_1</v>
          </cell>
        </row>
        <row r="849">
          <cell r="A849" t="str">
            <v>41015_2</v>
          </cell>
        </row>
        <row r="850">
          <cell r="A850" t="str">
            <v>47001_1</v>
          </cell>
        </row>
        <row r="851">
          <cell r="A851" t="str">
            <v>47001_2</v>
          </cell>
        </row>
        <row r="852">
          <cell r="A852" t="str">
            <v>47002_1</v>
          </cell>
        </row>
        <row r="853">
          <cell r="A853" t="str">
            <v>47002_2</v>
          </cell>
        </row>
        <row r="854">
          <cell r="A854" t="str">
            <v>47003_1</v>
          </cell>
        </row>
        <row r="855">
          <cell r="A855" t="str">
            <v>47003_2</v>
          </cell>
        </row>
        <row r="856">
          <cell r="A856" t="str">
            <v>47003_3</v>
          </cell>
        </row>
        <row r="857">
          <cell r="A857" t="str">
            <v>47003_4</v>
          </cell>
        </row>
        <row r="858">
          <cell r="A858" t="str">
            <v>47004_1</v>
          </cell>
        </row>
        <row r="859">
          <cell r="A859" t="str">
            <v>47004_2</v>
          </cell>
        </row>
        <row r="860">
          <cell r="A860" t="str">
            <v>47004_3</v>
          </cell>
        </row>
        <row r="861">
          <cell r="A861" t="str">
            <v>47004_4</v>
          </cell>
        </row>
        <row r="862">
          <cell r="A862" t="str">
            <v>47005_1</v>
          </cell>
        </row>
        <row r="863">
          <cell r="A863" t="str">
            <v>47006_1</v>
          </cell>
        </row>
        <row r="864">
          <cell r="A864" t="str">
            <v>47006_2</v>
          </cell>
        </row>
        <row r="865">
          <cell r="A865" t="str">
            <v>47007_1</v>
          </cell>
        </row>
        <row r="866">
          <cell r="A866" t="str">
            <v>47007_2</v>
          </cell>
        </row>
        <row r="867">
          <cell r="A867" t="str">
            <v>47008_1</v>
          </cell>
        </row>
        <row r="868">
          <cell r="A868" t="str">
            <v>47008_2</v>
          </cell>
        </row>
        <row r="869">
          <cell r="A869" t="str">
            <v>47009_1</v>
          </cell>
        </row>
        <row r="870">
          <cell r="A870" t="str">
            <v>47009_2</v>
          </cell>
        </row>
        <row r="871">
          <cell r="A871" t="str">
            <v>47010_1</v>
          </cell>
        </row>
        <row r="872">
          <cell r="A872" t="str">
            <v>47010_2</v>
          </cell>
        </row>
        <row r="873">
          <cell r="A873" t="str">
            <v>47011_1</v>
          </cell>
        </row>
        <row r="874">
          <cell r="A874" t="str">
            <v>47012_1</v>
          </cell>
        </row>
        <row r="875">
          <cell r="A875" t="str">
            <v>47012_2</v>
          </cell>
        </row>
        <row r="876">
          <cell r="A876" t="str">
            <v>47013_1</v>
          </cell>
        </row>
        <row r="877">
          <cell r="A877" t="str">
            <v>47013_2</v>
          </cell>
        </row>
        <row r="878">
          <cell r="A878" t="str">
            <v>47013_3</v>
          </cell>
        </row>
        <row r="879">
          <cell r="A879" t="str">
            <v>47013_4</v>
          </cell>
        </row>
        <row r="880">
          <cell r="A880" t="str">
            <v>47014_1</v>
          </cell>
        </row>
        <row r="881">
          <cell r="A881" t="str">
            <v>47014_2</v>
          </cell>
        </row>
        <row r="882">
          <cell r="A882" t="str">
            <v>47014_3</v>
          </cell>
        </row>
        <row r="883">
          <cell r="A883" t="str">
            <v>47015_1</v>
          </cell>
        </row>
        <row r="884">
          <cell r="A884" t="str">
            <v>47015_2</v>
          </cell>
        </row>
        <row r="885">
          <cell r="A885" t="str">
            <v>47015_3</v>
          </cell>
        </row>
        <row r="886">
          <cell r="A886" t="str">
            <v>47016_1</v>
          </cell>
        </row>
        <row r="887">
          <cell r="A887" t="str">
            <v>47016_2</v>
          </cell>
        </row>
        <row r="888">
          <cell r="A888" t="str">
            <v>47016_3</v>
          </cell>
        </row>
        <row r="889">
          <cell r="A889" t="str">
            <v>48001_1</v>
          </cell>
        </row>
        <row r="890">
          <cell r="A890" t="str">
            <v>48002_1</v>
          </cell>
        </row>
        <row r="891">
          <cell r="A891" t="str">
            <v>48002_2</v>
          </cell>
        </row>
        <row r="892">
          <cell r="A892" t="str">
            <v>48002_3</v>
          </cell>
        </row>
        <row r="893">
          <cell r="A893" t="str">
            <v>48003_1</v>
          </cell>
        </row>
        <row r="894">
          <cell r="A894" t="str">
            <v>48003_2</v>
          </cell>
        </row>
        <row r="895">
          <cell r="A895" t="str">
            <v>48004_1</v>
          </cell>
        </row>
        <row r="896">
          <cell r="A896" t="str">
            <v>48004_2</v>
          </cell>
        </row>
        <row r="897">
          <cell r="A897" t="str">
            <v>48005_1</v>
          </cell>
        </row>
        <row r="898">
          <cell r="A898" t="str">
            <v>48005_2</v>
          </cell>
        </row>
        <row r="899">
          <cell r="A899" t="str">
            <v>48006_1</v>
          </cell>
        </row>
        <row r="900">
          <cell r="A900" t="str">
            <v>48006_2</v>
          </cell>
        </row>
        <row r="901">
          <cell r="A901" t="str">
            <v>48007_1</v>
          </cell>
        </row>
        <row r="902">
          <cell r="A902" t="str">
            <v>48007_2</v>
          </cell>
        </row>
        <row r="903">
          <cell r="A903" t="str">
            <v>48008_1</v>
          </cell>
        </row>
        <row r="904">
          <cell r="A904" t="str">
            <v>48008_2</v>
          </cell>
        </row>
        <row r="905">
          <cell r="A905" t="str">
            <v>48009_1</v>
          </cell>
        </row>
        <row r="906">
          <cell r="A906" t="str">
            <v>48009_2</v>
          </cell>
        </row>
        <row r="907">
          <cell r="A907" t="str">
            <v>48010_1</v>
          </cell>
        </row>
        <row r="908">
          <cell r="A908" t="str">
            <v>48011_1</v>
          </cell>
        </row>
        <row r="909">
          <cell r="A909" t="str">
            <v>48011_2</v>
          </cell>
        </row>
        <row r="910">
          <cell r="A910" t="str">
            <v>48012_1</v>
          </cell>
        </row>
        <row r="911">
          <cell r="A911" t="str">
            <v>48012_2</v>
          </cell>
        </row>
        <row r="912">
          <cell r="A912" t="str">
            <v>48013_1</v>
          </cell>
        </row>
        <row r="913">
          <cell r="A913" t="str">
            <v>48013_2</v>
          </cell>
        </row>
        <row r="914">
          <cell r="A914" t="str">
            <v>48014_1</v>
          </cell>
        </row>
        <row r="915">
          <cell r="A915" t="str">
            <v>48014_2</v>
          </cell>
        </row>
        <row r="916">
          <cell r="A916" t="str">
            <v>48015_1</v>
          </cell>
        </row>
        <row r="917">
          <cell r="A917" t="str">
            <v>48015_2</v>
          </cell>
        </row>
        <row r="918">
          <cell r="A918" t="str">
            <v>48101_1</v>
          </cell>
        </row>
        <row r="919">
          <cell r="A919" t="str">
            <v>48101_2</v>
          </cell>
        </row>
        <row r="920">
          <cell r="A920" t="str">
            <v>48501_1</v>
          </cell>
        </row>
        <row r="921">
          <cell r="A921" t="str">
            <v>48501_2</v>
          </cell>
        </row>
        <row r="922">
          <cell r="A922" t="str">
            <v>48502_1</v>
          </cell>
        </row>
        <row r="923">
          <cell r="A923" t="str">
            <v>48502_2</v>
          </cell>
        </row>
        <row r="924">
          <cell r="A924" t="str">
            <v>48503_1</v>
          </cell>
        </row>
        <row r="925">
          <cell r="A925" t="str">
            <v>48503_2</v>
          </cell>
        </row>
        <row r="926">
          <cell r="A926" t="str">
            <v>48504_1</v>
          </cell>
        </row>
        <row r="927">
          <cell r="A927" t="str">
            <v>48504_2</v>
          </cell>
        </row>
        <row r="928">
          <cell r="A928" t="str">
            <v>48701_1</v>
          </cell>
        </row>
        <row r="929">
          <cell r="A929" t="str">
            <v>48701_2</v>
          </cell>
        </row>
        <row r="930">
          <cell r="A930" t="str">
            <v>48702_1</v>
          </cell>
        </row>
        <row r="931">
          <cell r="A931" t="str">
            <v>48702_2</v>
          </cell>
        </row>
        <row r="932">
          <cell r="A932" t="str">
            <v>49001_1</v>
          </cell>
        </row>
        <row r="933">
          <cell r="A933" t="str">
            <v>49002_1</v>
          </cell>
        </row>
        <row r="934">
          <cell r="A934" t="str">
            <v>49002_2</v>
          </cell>
        </row>
        <row r="935">
          <cell r="A935" t="str">
            <v>49003_1</v>
          </cell>
        </row>
        <row r="936">
          <cell r="A936" t="str">
            <v>49003_2</v>
          </cell>
        </row>
        <row r="937">
          <cell r="A937" t="str">
            <v>49004_1</v>
          </cell>
        </row>
        <row r="938">
          <cell r="A938" t="str">
            <v>49004_2</v>
          </cell>
        </row>
        <row r="939">
          <cell r="A939" t="str">
            <v>49004_3</v>
          </cell>
        </row>
        <row r="940">
          <cell r="A940" t="str">
            <v>49005_1</v>
          </cell>
        </row>
        <row r="941">
          <cell r="A941" t="str">
            <v>49006_1</v>
          </cell>
        </row>
        <row r="942">
          <cell r="A942" t="str">
            <v>49006_2</v>
          </cell>
        </row>
        <row r="943">
          <cell r="A943" t="str">
            <v>49007_1</v>
          </cell>
        </row>
        <row r="944">
          <cell r="A944" t="str">
            <v>49007_2</v>
          </cell>
        </row>
        <row r="945">
          <cell r="A945" t="str">
            <v>49007_3</v>
          </cell>
        </row>
        <row r="946">
          <cell r="A946" t="str">
            <v>49008_1</v>
          </cell>
        </row>
        <row r="947">
          <cell r="A947" t="str">
            <v>49009_1</v>
          </cell>
        </row>
        <row r="948">
          <cell r="A948" t="str">
            <v>49010_1</v>
          </cell>
        </row>
        <row r="949">
          <cell r="A949" t="str">
            <v>49011_1</v>
          </cell>
        </row>
        <row r="950">
          <cell r="A950" t="str">
            <v>49012_1</v>
          </cell>
        </row>
        <row r="951">
          <cell r="A951" t="str">
            <v>49013_1</v>
          </cell>
        </row>
        <row r="952">
          <cell r="A952" t="str">
            <v>49014_1</v>
          </cell>
        </row>
        <row r="953">
          <cell r="A953" t="str">
            <v>49014_2</v>
          </cell>
        </row>
        <row r="954">
          <cell r="A954" t="str">
            <v>49015_1</v>
          </cell>
        </row>
        <row r="955">
          <cell r="A955" t="str">
            <v>49015_2</v>
          </cell>
        </row>
        <row r="956">
          <cell r="A956" t="str">
            <v>49015_3</v>
          </cell>
        </row>
        <row r="957">
          <cell r="A957" t="str">
            <v>49016_1</v>
          </cell>
        </row>
        <row r="958">
          <cell r="A958" t="str">
            <v>49016_2</v>
          </cell>
        </row>
        <row r="959">
          <cell r="A959" t="str">
            <v>50001_1</v>
          </cell>
        </row>
        <row r="960">
          <cell r="A960" t="str">
            <v>50002_1</v>
          </cell>
        </row>
        <row r="961">
          <cell r="A961" t="str">
            <v>50003_1</v>
          </cell>
        </row>
        <row r="962">
          <cell r="A962" t="str">
            <v>50004_1</v>
          </cell>
        </row>
        <row r="963">
          <cell r="A963" t="str">
            <v>50005_1</v>
          </cell>
        </row>
        <row r="964">
          <cell r="A964" t="str">
            <v>50006_1</v>
          </cell>
        </row>
        <row r="965">
          <cell r="A965" t="str">
            <v>50007_1</v>
          </cell>
        </row>
        <row r="966">
          <cell r="A966" t="str">
            <v>50008_1</v>
          </cell>
        </row>
        <row r="967">
          <cell r="A967" t="str">
            <v>50009_1</v>
          </cell>
        </row>
        <row r="968">
          <cell r="A968" t="str">
            <v>50010_1</v>
          </cell>
        </row>
        <row r="969">
          <cell r="A969" t="str">
            <v>50011_1</v>
          </cell>
        </row>
        <row r="970">
          <cell r="A970" t="str">
            <v>50012_1</v>
          </cell>
        </row>
        <row r="971">
          <cell r="A971" t="str">
            <v>50013_1</v>
          </cell>
        </row>
        <row r="972">
          <cell r="A972" t="str">
            <v>50014_1</v>
          </cell>
        </row>
        <row r="973">
          <cell r="A973" t="str">
            <v>50015_1</v>
          </cell>
        </row>
        <row r="974">
          <cell r="A974" t="str">
            <v>50016_1</v>
          </cell>
        </row>
        <row r="975">
          <cell r="A975" t="str">
            <v>51001_1</v>
          </cell>
        </row>
        <row r="976">
          <cell r="A976" t="str">
            <v>51002_1</v>
          </cell>
        </row>
        <row r="977">
          <cell r="A977" t="str">
            <v>58001_1</v>
          </cell>
        </row>
        <row r="978">
          <cell r="A978" t="str">
            <v>58002_1</v>
          </cell>
        </row>
        <row r="979">
          <cell r="A979" t="str">
            <v>58003_1</v>
          </cell>
        </row>
        <row r="980">
          <cell r="A980" t="str">
            <v>58101_1</v>
          </cell>
        </row>
        <row r="981">
          <cell r="A981" t="str">
            <v>59001_1</v>
          </cell>
        </row>
        <row r="982">
          <cell r="A982" t="str">
            <v>59002_1</v>
          </cell>
        </row>
        <row r="983">
          <cell r="A983" t="str">
            <v>59003_1</v>
          </cell>
        </row>
        <row r="984">
          <cell r="A984" t="str">
            <v>59003_2</v>
          </cell>
        </row>
        <row r="985">
          <cell r="A985" t="str">
            <v>60001_1</v>
          </cell>
        </row>
        <row r="986">
          <cell r="A986" t="str">
            <v>60002_1</v>
          </cell>
        </row>
        <row r="987">
          <cell r="A987" t="str">
            <v>60002_2</v>
          </cell>
        </row>
        <row r="988">
          <cell r="A988" t="str">
            <v>60003_1</v>
          </cell>
        </row>
        <row r="989">
          <cell r="A989" t="str">
            <v>60003_2</v>
          </cell>
        </row>
        <row r="990">
          <cell r="A990" t="str">
            <v>60003_3</v>
          </cell>
        </row>
        <row r="991">
          <cell r="A991" t="str">
            <v>60004_1</v>
          </cell>
        </row>
        <row r="992">
          <cell r="A992" t="str">
            <v>60005_1</v>
          </cell>
        </row>
        <row r="993">
          <cell r="A993" t="str">
            <v>60006_1</v>
          </cell>
        </row>
        <row r="994">
          <cell r="A994" t="str">
            <v>60006_2</v>
          </cell>
        </row>
        <row r="995">
          <cell r="A995" t="str">
            <v>60006_3</v>
          </cell>
        </row>
        <row r="996">
          <cell r="A996" t="str">
            <v>60007_1</v>
          </cell>
        </row>
        <row r="997">
          <cell r="A997" t="str">
            <v>60007_2</v>
          </cell>
        </row>
        <row r="998">
          <cell r="A998" t="str">
            <v>60007_3</v>
          </cell>
        </row>
        <row r="999">
          <cell r="A999" t="str">
            <v>60010_1</v>
          </cell>
        </row>
        <row r="1000">
          <cell r="A1000" t="str">
            <v>60011_1</v>
          </cell>
        </row>
        <row r="1001">
          <cell r="A1001" t="str">
            <v>60011_2</v>
          </cell>
        </row>
        <row r="1002">
          <cell r="A1002" t="str">
            <v>60012_1</v>
          </cell>
        </row>
        <row r="1003">
          <cell r="A1003" t="str">
            <v>60013_1</v>
          </cell>
        </row>
        <row r="1004">
          <cell r="A1004" t="str">
            <v>60013_2</v>
          </cell>
        </row>
        <row r="1005">
          <cell r="A1005" t="str">
            <v>60013_3</v>
          </cell>
        </row>
        <row r="1006">
          <cell r="A1006" t="str">
            <v>60014_1</v>
          </cell>
        </row>
        <row r="1007">
          <cell r="A1007" t="str">
            <v>60015_1</v>
          </cell>
        </row>
        <row r="1008">
          <cell r="A1008" t="str">
            <v>60016_1</v>
          </cell>
        </row>
        <row r="1009">
          <cell r="A1009" t="str">
            <v>60017_1</v>
          </cell>
        </row>
        <row r="1010">
          <cell r="A1010" t="str">
            <v>60018_1</v>
          </cell>
        </row>
        <row r="1011">
          <cell r="A1011" t="str">
            <v>60019_1</v>
          </cell>
        </row>
        <row r="1012">
          <cell r="A1012" t="str">
            <v>60020_1</v>
          </cell>
        </row>
        <row r="1013">
          <cell r="A1013" t="str">
            <v>60021_3</v>
          </cell>
        </row>
        <row r="1014">
          <cell r="A1014" t="str">
            <v>60022_3</v>
          </cell>
        </row>
        <row r="1015">
          <cell r="A1015" t="str">
            <v>60023_3</v>
          </cell>
        </row>
        <row r="1016">
          <cell r="A1016" t="str">
            <v>60024_3</v>
          </cell>
        </row>
        <row r="1017">
          <cell r="A1017" t="str">
            <v>60025_1</v>
          </cell>
        </row>
        <row r="1018">
          <cell r="A1018" t="str">
            <v>60026_1</v>
          </cell>
        </row>
        <row r="1019">
          <cell r="A1019" t="str">
            <v>61011_1</v>
          </cell>
        </row>
        <row r="1020">
          <cell r="A1020" t="str">
            <v>60027_1</v>
          </cell>
        </row>
        <row r="1021">
          <cell r="A1021" t="str">
            <v>60028_1</v>
          </cell>
        </row>
        <row r="1022">
          <cell r="A1022" t="str">
            <v>60029_1</v>
          </cell>
        </row>
        <row r="1023">
          <cell r="A1023" t="str">
            <v>60030_1</v>
          </cell>
        </row>
        <row r="1024">
          <cell r="A1024" t="str">
            <v>60031_1</v>
          </cell>
        </row>
        <row r="1025">
          <cell r="A1025" t="str">
            <v>60032_1</v>
          </cell>
        </row>
        <row r="1026">
          <cell r="A1026" t="str">
            <v>61001_1</v>
          </cell>
        </row>
        <row r="1027">
          <cell r="A1027" t="str">
            <v>61001_2</v>
          </cell>
        </row>
        <row r="1028">
          <cell r="A1028" t="str">
            <v>61001_3</v>
          </cell>
        </row>
        <row r="1029">
          <cell r="A1029" t="str">
            <v>61001_4</v>
          </cell>
        </row>
        <row r="1030">
          <cell r="A1030" t="str">
            <v>61001_5</v>
          </cell>
        </row>
        <row r="1031">
          <cell r="A1031" t="str">
            <v>61001_6</v>
          </cell>
        </row>
        <row r="1032">
          <cell r="A1032" t="str">
            <v>61001_7</v>
          </cell>
        </row>
        <row r="1033">
          <cell r="A1033" t="str">
            <v>65523_1</v>
          </cell>
        </row>
        <row r="1034">
          <cell r="A1034" t="str">
            <v>65523_2</v>
          </cell>
        </row>
        <row r="1035">
          <cell r="A1035" t="str">
            <v>65523_3</v>
          </cell>
        </row>
        <row r="1036">
          <cell r="A1036" t="str">
            <v>65524_1</v>
          </cell>
        </row>
        <row r="1037">
          <cell r="A1037" t="str">
            <v>65524_2</v>
          </cell>
        </row>
        <row r="1038">
          <cell r="A1038" t="str">
            <v>65525_1</v>
          </cell>
        </row>
        <row r="1039">
          <cell r="A1039" t="str">
            <v>65526_1</v>
          </cell>
        </row>
        <row r="1040">
          <cell r="A1040" t="str">
            <v>65526_2</v>
          </cell>
        </row>
        <row r="1041">
          <cell r="A1041" t="str">
            <v>65527_1</v>
          </cell>
        </row>
        <row r="1042">
          <cell r="A1042" t="str">
            <v>65528_1</v>
          </cell>
        </row>
        <row r="1043">
          <cell r="A1043" t="str">
            <v>65529_1</v>
          </cell>
        </row>
        <row r="1044">
          <cell r="A1044" t="str">
            <v>65530_1</v>
          </cell>
        </row>
        <row r="1045">
          <cell r="A1045" t="str">
            <v>65531_1</v>
          </cell>
        </row>
        <row r="1046">
          <cell r="A1046" t="str">
            <v>65531_2</v>
          </cell>
        </row>
        <row r="1047">
          <cell r="A1047" t="str">
            <v>65532_1</v>
          </cell>
        </row>
        <row r="1048">
          <cell r="A1048" t="str">
            <v>65532_2</v>
          </cell>
        </row>
        <row r="1049">
          <cell r="A1049" t="str">
            <v>65533_1</v>
          </cell>
        </row>
        <row r="1050">
          <cell r="A1050" t="str">
            <v>65533_2</v>
          </cell>
        </row>
        <row r="1051">
          <cell r="A1051" t="str">
            <v>65534_1</v>
          </cell>
        </row>
        <row r="1052">
          <cell r="A1052" t="str">
            <v>65535_1</v>
          </cell>
        </row>
        <row r="1053">
          <cell r="A1053" t="str">
            <v>65535_2</v>
          </cell>
        </row>
        <row r="1054">
          <cell r="A1054" t="str">
            <v>65535_3</v>
          </cell>
        </row>
        <row r="1055">
          <cell r="A1055" t="str">
            <v>65535_4</v>
          </cell>
        </row>
        <row r="1056">
          <cell r="A1056" t="str">
            <v>65535_5</v>
          </cell>
        </row>
        <row r="1057">
          <cell r="A1057" t="str">
            <v>65535_6</v>
          </cell>
        </row>
        <row r="1058">
          <cell r="A1058" t="str">
            <v>65535_7</v>
          </cell>
        </row>
        <row r="1059">
          <cell r="A1059" t="str">
            <v>65535_8</v>
          </cell>
        </row>
        <row r="1060">
          <cell r="A1060" t="str">
            <v>65535_9</v>
          </cell>
        </row>
        <row r="1061">
          <cell r="A1061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1342</v>
          </cell>
        </row>
        <row r="1324">
          <cell r="A1324">
            <v>1343</v>
          </cell>
        </row>
        <row r="1325">
          <cell r="A1325">
            <v>1351</v>
          </cell>
        </row>
        <row r="1326">
          <cell r="A1326">
            <v>1352</v>
          </cell>
        </row>
        <row r="1327">
          <cell r="A1327">
            <v>1353</v>
          </cell>
        </row>
        <row r="1328">
          <cell r="A1328">
            <v>1354</v>
          </cell>
        </row>
        <row r="1329">
          <cell r="A1329">
            <v>1355</v>
          </cell>
        </row>
        <row r="1330">
          <cell r="A1330">
            <v>1356</v>
          </cell>
        </row>
        <row r="1331">
          <cell r="A1331">
            <v>1357</v>
          </cell>
        </row>
        <row r="1332">
          <cell r="A1332">
            <v>1358</v>
          </cell>
        </row>
        <row r="1333">
          <cell r="A1333">
            <v>1359</v>
          </cell>
        </row>
        <row r="1334">
          <cell r="A1334">
            <v>1360</v>
          </cell>
        </row>
        <row r="1335">
          <cell r="A1335">
            <v>1362</v>
          </cell>
        </row>
        <row r="1336">
          <cell r="A1336">
            <v>1363</v>
          </cell>
        </row>
        <row r="1337">
          <cell r="A1337">
            <v>1364</v>
          </cell>
        </row>
        <row r="1338">
          <cell r="A1338">
            <v>1373</v>
          </cell>
        </row>
        <row r="1339">
          <cell r="A1339">
            <v>1374</v>
          </cell>
        </row>
        <row r="1340">
          <cell r="A1340">
            <v>1375</v>
          </cell>
        </row>
        <row r="1341">
          <cell r="A1341">
            <v>1376</v>
          </cell>
        </row>
        <row r="1342">
          <cell r="A1342">
            <v>1379</v>
          </cell>
        </row>
        <row r="1343">
          <cell r="A1343">
            <v>1380</v>
          </cell>
        </row>
        <row r="1344">
          <cell r="A1344">
            <v>1405</v>
          </cell>
        </row>
        <row r="1345">
          <cell r="A1345">
            <v>1407</v>
          </cell>
        </row>
        <row r="1346">
          <cell r="A1346">
            <v>1408</v>
          </cell>
        </row>
        <row r="1347">
          <cell r="A1347">
            <v>1409</v>
          </cell>
        </row>
        <row r="1348">
          <cell r="A1348">
            <v>1410</v>
          </cell>
        </row>
        <row r="1349">
          <cell r="A1349">
            <v>1431</v>
          </cell>
        </row>
        <row r="1350">
          <cell r="A1350">
            <v>1432</v>
          </cell>
        </row>
        <row r="1351">
          <cell r="A1351">
            <v>1436</v>
          </cell>
        </row>
        <row r="1352">
          <cell r="A1352">
            <v>1437</v>
          </cell>
        </row>
        <row r="1353">
          <cell r="A1353">
            <v>1438</v>
          </cell>
        </row>
        <row r="1354">
          <cell r="A1354">
            <v>1439</v>
          </cell>
        </row>
        <row r="1355">
          <cell r="A1355">
            <v>1440</v>
          </cell>
        </row>
        <row r="1356">
          <cell r="A1356">
            <v>1441</v>
          </cell>
        </row>
        <row r="1357">
          <cell r="A1357">
            <v>1442</v>
          </cell>
        </row>
        <row r="1358">
          <cell r="A1358">
            <v>1443</v>
          </cell>
        </row>
        <row r="1359">
          <cell r="A1359">
            <v>1444</v>
          </cell>
        </row>
        <row r="1360">
          <cell r="A1360">
            <v>1445</v>
          </cell>
        </row>
        <row r="1361">
          <cell r="A1361">
            <v>1446</v>
          </cell>
        </row>
        <row r="1362">
          <cell r="A1362">
            <v>1447</v>
          </cell>
        </row>
        <row r="1363">
          <cell r="A1363">
            <v>1448</v>
          </cell>
        </row>
        <row r="1364">
          <cell r="A1364">
            <v>1449</v>
          </cell>
        </row>
        <row r="1365">
          <cell r="A1365">
            <v>1450</v>
          </cell>
        </row>
        <row r="1366">
          <cell r="A1366">
            <v>1451</v>
          </cell>
        </row>
        <row r="1367">
          <cell r="A1367">
            <v>1466</v>
          </cell>
        </row>
        <row r="1368">
          <cell r="A1368">
            <v>1467</v>
          </cell>
        </row>
        <row r="1369">
          <cell r="A1369">
            <v>1468</v>
          </cell>
        </row>
        <row r="1370">
          <cell r="A1370">
            <v>1469</v>
          </cell>
        </row>
        <row r="1371">
          <cell r="A1371">
            <v>1470</v>
          </cell>
        </row>
        <row r="1372">
          <cell r="A1372">
            <v>1471</v>
          </cell>
        </row>
        <row r="1373">
          <cell r="A1373">
            <v>1495</v>
          </cell>
        </row>
        <row r="1374">
          <cell r="A1374">
            <v>1496</v>
          </cell>
        </row>
        <row r="1375">
          <cell r="A1375">
            <v>1497</v>
          </cell>
        </row>
        <row r="1376">
          <cell r="A1376">
            <v>1498</v>
          </cell>
        </row>
        <row r="1377">
          <cell r="A1377">
            <v>1499</v>
          </cell>
        </row>
        <row r="1378">
          <cell r="A1378">
            <v>1500</v>
          </cell>
        </row>
        <row r="1379">
          <cell r="A1379">
            <v>1501</v>
          </cell>
        </row>
        <row r="1380">
          <cell r="A1380">
            <v>1502</v>
          </cell>
        </row>
        <row r="1381">
          <cell r="A1381">
            <v>1503</v>
          </cell>
        </row>
        <row r="1382">
          <cell r="A1382">
            <v>1504</v>
          </cell>
        </row>
        <row r="1383">
          <cell r="A1383">
            <v>1505</v>
          </cell>
        </row>
        <row r="1384">
          <cell r="A1384">
            <v>1506</v>
          </cell>
        </row>
        <row r="1385">
          <cell r="A1385">
            <v>1507</v>
          </cell>
        </row>
        <row r="1386">
          <cell r="A1386">
            <v>1508</v>
          </cell>
        </row>
        <row r="1387">
          <cell r="A1387">
            <v>1509</v>
          </cell>
        </row>
        <row r="1388">
          <cell r="A1388">
            <v>1510</v>
          </cell>
        </row>
        <row r="1389">
          <cell r="A1389">
            <v>1511</v>
          </cell>
        </row>
        <row r="1390">
          <cell r="A1390">
            <v>1512</v>
          </cell>
        </row>
        <row r="1391">
          <cell r="A1391">
            <v>1523</v>
          </cell>
        </row>
        <row r="1392">
          <cell r="A1392">
            <v>1524</v>
          </cell>
        </row>
        <row r="1393">
          <cell r="A1393">
            <v>1525</v>
          </cell>
        </row>
        <row r="1394">
          <cell r="A1394">
            <v>1526</v>
          </cell>
        </row>
        <row r="1395">
          <cell r="A1395">
            <v>1551</v>
          </cell>
        </row>
        <row r="1396">
          <cell r="A1396">
            <v>1552</v>
          </cell>
        </row>
        <row r="1397">
          <cell r="A1397">
            <v>1553</v>
          </cell>
        </row>
        <row r="1398">
          <cell r="A1398">
            <v>1554</v>
          </cell>
        </row>
        <row r="1399">
          <cell r="A1399">
            <v>1555</v>
          </cell>
        </row>
        <row r="1400">
          <cell r="A1400">
            <v>1556</v>
          </cell>
        </row>
        <row r="1401">
          <cell r="A1401">
            <v>1557</v>
          </cell>
        </row>
        <row r="1402">
          <cell r="A1402">
            <v>1558</v>
          </cell>
        </row>
        <row r="1403">
          <cell r="A1403">
            <v>1559</v>
          </cell>
        </row>
        <row r="1404">
          <cell r="A1404">
            <v>1560</v>
          </cell>
        </row>
        <row r="1405">
          <cell r="A1405">
            <v>1561</v>
          </cell>
        </row>
        <row r="1406">
          <cell r="A1406">
            <v>1562</v>
          </cell>
        </row>
        <row r="1407">
          <cell r="A1407">
            <v>1563</v>
          </cell>
        </row>
        <row r="1408">
          <cell r="A1408">
            <v>1564</v>
          </cell>
        </row>
        <row r="1409">
          <cell r="A1409">
            <v>1565</v>
          </cell>
        </row>
        <row r="1410">
          <cell r="A1410">
            <v>1566</v>
          </cell>
        </row>
        <row r="1411">
          <cell r="A1411">
            <v>1567</v>
          </cell>
        </row>
        <row r="1412">
          <cell r="A1412">
            <v>1568</v>
          </cell>
        </row>
        <row r="1413">
          <cell r="A1413">
            <v>1569</v>
          </cell>
        </row>
        <row r="1414">
          <cell r="A1414">
            <v>1570</v>
          </cell>
        </row>
        <row r="1415">
          <cell r="A1415">
            <v>1571</v>
          </cell>
        </row>
        <row r="1416">
          <cell r="A1416">
            <v>1572</v>
          </cell>
        </row>
        <row r="1417">
          <cell r="A1417">
            <v>1573</v>
          </cell>
        </row>
        <row r="1418">
          <cell r="A1418">
            <v>1574</v>
          </cell>
        </row>
        <row r="1419">
          <cell r="A1419">
            <v>1575</v>
          </cell>
        </row>
        <row r="1420">
          <cell r="A1420">
            <v>1576</v>
          </cell>
        </row>
        <row r="1421">
          <cell r="A1421">
            <v>1577</v>
          </cell>
        </row>
        <row r="1422">
          <cell r="A1422">
            <v>1578</v>
          </cell>
        </row>
        <row r="1423">
          <cell r="A1423">
            <v>1579</v>
          </cell>
        </row>
        <row r="1424">
          <cell r="A1424">
            <v>1580</v>
          </cell>
        </row>
        <row r="1425">
          <cell r="A1425">
            <v>1581</v>
          </cell>
        </row>
        <row r="1426">
          <cell r="A1426">
            <v>1582</v>
          </cell>
        </row>
        <row r="1427">
          <cell r="A1427">
            <v>1583</v>
          </cell>
        </row>
        <row r="1428">
          <cell r="A1428">
            <v>1584</v>
          </cell>
        </row>
        <row r="1429">
          <cell r="A1429">
            <v>1585</v>
          </cell>
        </row>
        <row r="1430">
          <cell r="A1430">
            <v>1586</v>
          </cell>
        </row>
        <row r="1431">
          <cell r="A1431">
            <v>1587</v>
          </cell>
        </row>
        <row r="1432">
          <cell r="A1432">
            <v>1588</v>
          </cell>
        </row>
        <row r="1433">
          <cell r="A1433">
            <v>1697</v>
          </cell>
        </row>
        <row r="1434">
          <cell r="A1434">
            <v>1698</v>
          </cell>
        </row>
        <row r="1435">
          <cell r="A1435">
            <v>1699</v>
          </cell>
        </row>
        <row r="1436">
          <cell r="A1436">
            <v>1700</v>
          </cell>
        </row>
        <row r="1437">
          <cell r="A1437">
            <v>1701</v>
          </cell>
        </row>
        <row r="1438">
          <cell r="A1438">
            <v>1702</v>
          </cell>
        </row>
        <row r="1439">
          <cell r="A1439">
            <v>1703</v>
          </cell>
        </row>
        <row r="1440">
          <cell r="A1440">
            <v>1704</v>
          </cell>
        </row>
        <row r="1441">
          <cell r="A1441">
            <v>1705</v>
          </cell>
        </row>
        <row r="1442">
          <cell r="A1442">
            <v>1706</v>
          </cell>
        </row>
        <row r="1443">
          <cell r="A1443">
            <v>1707</v>
          </cell>
        </row>
        <row r="1444">
          <cell r="A1444">
            <v>1708</v>
          </cell>
        </row>
        <row r="1445">
          <cell r="A1445">
            <v>1709</v>
          </cell>
        </row>
        <row r="1446">
          <cell r="A1446">
            <v>1710</v>
          </cell>
        </row>
        <row r="1447">
          <cell r="A1447">
            <v>1711</v>
          </cell>
        </row>
        <row r="1448">
          <cell r="A1448">
            <v>1712</v>
          </cell>
        </row>
        <row r="1449">
          <cell r="A1449">
            <v>1713</v>
          </cell>
        </row>
        <row r="1450">
          <cell r="A1450">
            <v>1714</v>
          </cell>
        </row>
        <row r="1451">
          <cell r="A1451">
            <v>1715</v>
          </cell>
        </row>
        <row r="1452">
          <cell r="A1452">
            <v>1716</v>
          </cell>
        </row>
        <row r="1453">
          <cell r="A1453">
            <v>1717</v>
          </cell>
        </row>
        <row r="1454">
          <cell r="A1454">
            <v>1718</v>
          </cell>
        </row>
        <row r="1455">
          <cell r="A1455">
            <v>1719</v>
          </cell>
        </row>
        <row r="1456">
          <cell r="A1456">
            <v>5001</v>
          </cell>
        </row>
        <row r="1457">
          <cell r="A1457">
            <v>5002</v>
          </cell>
        </row>
        <row r="1458">
          <cell r="A1458">
            <v>5003</v>
          </cell>
        </row>
        <row r="1459">
          <cell r="A1459">
            <v>5004</v>
          </cell>
        </row>
        <row r="1460">
          <cell r="A1460">
            <v>5005</v>
          </cell>
        </row>
        <row r="1461">
          <cell r="A1461">
            <v>5006</v>
          </cell>
        </row>
        <row r="1462">
          <cell r="A1462">
            <v>5007</v>
          </cell>
        </row>
        <row r="1463">
          <cell r="A1463">
            <v>5008</v>
          </cell>
        </row>
        <row r="1464">
          <cell r="A1464">
            <v>6001</v>
          </cell>
        </row>
        <row r="1465">
          <cell r="A1465">
            <v>6002</v>
          </cell>
        </row>
        <row r="1466">
          <cell r="A1466">
            <v>6003</v>
          </cell>
        </row>
        <row r="1467">
          <cell r="A1467">
            <v>6004</v>
          </cell>
        </row>
        <row r="1468">
          <cell r="A1468">
            <v>6005</v>
          </cell>
        </row>
        <row r="1469">
          <cell r="A1469">
            <v>6006</v>
          </cell>
        </row>
        <row r="1470">
          <cell r="A1470">
            <v>6007</v>
          </cell>
        </row>
        <row r="1471">
          <cell r="A1471">
            <v>6008</v>
          </cell>
        </row>
        <row r="1472">
          <cell r="A1472">
            <v>6009</v>
          </cell>
        </row>
        <row r="1473">
          <cell r="A1473">
            <v>6010</v>
          </cell>
        </row>
        <row r="1474">
          <cell r="A1474">
            <v>6011</v>
          </cell>
        </row>
        <row r="1475">
          <cell r="A1475">
            <v>6012</v>
          </cell>
        </row>
        <row r="1476">
          <cell r="A1476">
            <v>6013</v>
          </cell>
        </row>
        <row r="1477">
          <cell r="A1477">
            <v>6014</v>
          </cell>
        </row>
        <row r="1478">
          <cell r="A1478">
            <v>6015</v>
          </cell>
        </row>
        <row r="1479">
          <cell r="A1479">
            <v>6016</v>
          </cell>
        </row>
        <row r="1480">
          <cell r="A1480">
            <v>6017</v>
          </cell>
        </row>
        <row r="1481">
          <cell r="A1481">
            <v>6018</v>
          </cell>
        </row>
        <row r="1482">
          <cell r="A1482">
            <v>6019</v>
          </cell>
        </row>
        <row r="1483">
          <cell r="A1483">
            <v>6020</v>
          </cell>
        </row>
        <row r="1484">
          <cell r="A1484">
            <v>8001</v>
          </cell>
        </row>
        <row r="1485">
          <cell r="A1485">
            <v>8002</v>
          </cell>
        </row>
        <row r="1486">
          <cell r="A1486">
            <v>8003</v>
          </cell>
        </row>
        <row r="1487">
          <cell r="A1487">
            <v>8004</v>
          </cell>
        </row>
        <row r="1488">
          <cell r="A1488">
            <v>8005</v>
          </cell>
        </row>
        <row r="1489">
          <cell r="A1489">
            <v>8006</v>
          </cell>
        </row>
        <row r="1490">
          <cell r="A1490">
            <v>8007</v>
          </cell>
        </row>
        <row r="1491">
          <cell r="A1491">
            <v>8008</v>
          </cell>
        </row>
        <row r="1492">
          <cell r="A1492">
            <v>8009</v>
          </cell>
        </row>
        <row r="1493">
          <cell r="A1493">
            <v>8010</v>
          </cell>
        </row>
        <row r="1494">
          <cell r="A1494">
            <v>8011</v>
          </cell>
        </row>
        <row r="1495">
          <cell r="A1495">
            <v>8012</v>
          </cell>
        </row>
        <row r="1496">
          <cell r="A1496">
            <v>8013</v>
          </cell>
        </row>
        <row r="1497">
          <cell r="A1497">
            <v>8014</v>
          </cell>
        </row>
        <row r="1498">
          <cell r="A1498">
            <v>8015</v>
          </cell>
        </row>
        <row r="1499">
          <cell r="A1499">
            <v>8016</v>
          </cell>
        </row>
        <row r="1500">
          <cell r="A1500">
            <v>8017</v>
          </cell>
        </row>
        <row r="1501">
          <cell r="A1501">
            <v>8018</v>
          </cell>
        </row>
        <row r="1502">
          <cell r="A1502">
            <v>8019</v>
          </cell>
        </row>
        <row r="1503">
          <cell r="A1503">
            <v>8020</v>
          </cell>
        </row>
        <row r="1504">
          <cell r="A1504">
            <v>8021</v>
          </cell>
        </row>
        <row r="1505">
          <cell r="A1505">
            <v>8022</v>
          </cell>
        </row>
        <row r="1506">
          <cell r="A1506">
            <v>8023</v>
          </cell>
        </row>
        <row r="1507">
          <cell r="A1507">
            <v>8024</v>
          </cell>
        </row>
        <row r="1508">
          <cell r="A1508">
            <v>8025</v>
          </cell>
        </row>
        <row r="1509">
          <cell r="A1509">
            <v>8026</v>
          </cell>
        </row>
        <row r="1510">
          <cell r="A1510">
            <v>8027</v>
          </cell>
        </row>
        <row r="1511">
          <cell r="A1511">
            <v>8028</v>
          </cell>
        </row>
        <row r="1512">
          <cell r="A1512">
            <v>8029</v>
          </cell>
        </row>
        <row r="1513">
          <cell r="A1513">
            <v>8030</v>
          </cell>
        </row>
        <row r="1514">
          <cell r="A1514">
            <v>8031</v>
          </cell>
        </row>
        <row r="1515">
          <cell r="A1515">
            <v>8032</v>
          </cell>
        </row>
        <row r="1516">
          <cell r="A1516">
            <v>8033</v>
          </cell>
        </row>
        <row r="1517">
          <cell r="A1517">
            <v>8034</v>
          </cell>
        </row>
        <row r="1518">
          <cell r="A1518">
            <v>8035</v>
          </cell>
        </row>
        <row r="1519">
          <cell r="A1519">
            <v>8036</v>
          </cell>
        </row>
        <row r="1520">
          <cell r="A1520">
            <v>8037</v>
          </cell>
        </row>
        <row r="1521">
          <cell r="A1521">
            <v>8038</v>
          </cell>
        </row>
        <row r="1522">
          <cell r="A1522">
            <v>8039</v>
          </cell>
        </row>
        <row r="1523">
          <cell r="A1523">
            <v>8040</v>
          </cell>
        </row>
        <row r="1524">
          <cell r="A1524">
            <v>8041</v>
          </cell>
        </row>
        <row r="1525">
          <cell r="A1525">
            <v>8042</v>
          </cell>
        </row>
        <row r="1526">
          <cell r="A1526">
            <v>8043</v>
          </cell>
        </row>
        <row r="1527">
          <cell r="A1527">
            <v>8044</v>
          </cell>
        </row>
        <row r="1528">
          <cell r="A1528">
            <v>8045</v>
          </cell>
        </row>
        <row r="1529">
          <cell r="A1529">
            <v>8046</v>
          </cell>
        </row>
        <row r="1530">
          <cell r="A1530">
            <v>8047</v>
          </cell>
        </row>
        <row r="1531">
          <cell r="A1531">
            <v>8048</v>
          </cell>
        </row>
        <row r="1532">
          <cell r="A1532">
            <v>8049</v>
          </cell>
        </row>
        <row r="1533">
          <cell r="A1533">
            <v>8050</v>
          </cell>
        </row>
        <row r="1534">
          <cell r="A1534">
            <v>8051</v>
          </cell>
        </row>
        <row r="1535">
          <cell r="A1535">
            <v>8052</v>
          </cell>
        </row>
        <row r="1536">
          <cell r="A1536">
            <v>8053</v>
          </cell>
        </row>
        <row r="1537">
          <cell r="A1537">
            <v>8054</v>
          </cell>
        </row>
        <row r="1538">
          <cell r="A1538">
            <v>8055</v>
          </cell>
        </row>
        <row r="1539">
          <cell r="A1539">
            <v>8056</v>
          </cell>
        </row>
        <row r="1540">
          <cell r="A1540">
            <v>8057</v>
          </cell>
        </row>
        <row r="1541">
          <cell r="A1541">
            <v>8058</v>
          </cell>
        </row>
        <row r="1542">
          <cell r="A1542">
            <v>8059</v>
          </cell>
        </row>
        <row r="1543">
          <cell r="A1543">
            <v>8060</v>
          </cell>
        </row>
        <row r="1544">
          <cell r="A1544">
            <v>8061</v>
          </cell>
        </row>
        <row r="1545">
          <cell r="A1545">
            <v>8062</v>
          </cell>
        </row>
        <row r="1546">
          <cell r="A1546">
            <v>8063</v>
          </cell>
        </row>
        <row r="1547">
          <cell r="A1547">
            <v>8064</v>
          </cell>
        </row>
        <row r="1548">
          <cell r="A1548">
            <v>8065</v>
          </cell>
        </row>
        <row r="1549">
          <cell r="A1549">
            <v>8066</v>
          </cell>
        </row>
        <row r="1550">
          <cell r="A1550">
            <v>8067</v>
          </cell>
        </row>
        <row r="1551">
          <cell r="A1551">
            <v>8068</v>
          </cell>
        </row>
        <row r="1552">
          <cell r="A1552">
            <v>8069</v>
          </cell>
        </row>
        <row r="1553">
          <cell r="A1553">
            <v>8070</v>
          </cell>
        </row>
        <row r="1554">
          <cell r="A1554">
            <v>8071</v>
          </cell>
        </row>
        <row r="1555">
          <cell r="A1555">
            <v>8072</v>
          </cell>
        </row>
        <row r="1556">
          <cell r="A1556">
            <v>8073</v>
          </cell>
        </row>
        <row r="1557">
          <cell r="A1557">
            <v>8074</v>
          </cell>
        </row>
        <row r="1558">
          <cell r="A1558">
            <v>8077</v>
          </cell>
        </row>
        <row r="1559">
          <cell r="A1559">
            <v>8078</v>
          </cell>
        </row>
        <row r="1560">
          <cell r="A1560">
            <v>8079</v>
          </cell>
        </row>
        <row r="1561">
          <cell r="A1561">
            <v>8080</v>
          </cell>
        </row>
        <row r="1562">
          <cell r="A1562">
            <v>8081</v>
          </cell>
        </row>
        <row r="1563">
          <cell r="A1563">
            <v>8082</v>
          </cell>
        </row>
        <row r="1564">
          <cell r="A1564">
            <v>8083</v>
          </cell>
        </row>
        <row r="1565">
          <cell r="A1565">
            <v>8084</v>
          </cell>
        </row>
        <row r="1566">
          <cell r="A1566">
            <v>8085</v>
          </cell>
        </row>
        <row r="1567">
          <cell r="A1567">
            <v>8086</v>
          </cell>
        </row>
        <row r="1568">
          <cell r="A1568">
            <v>8087</v>
          </cell>
        </row>
        <row r="1569">
          <cell r="A1569">
            <v>8088</v>
          </cell>
        </row>
        <row r="1570">
          <cell r="A1570">
            <v>8089</v>
          </cell>
        </row>
        <row r="1571">
          <cell r="A1571">
            <v>8090</v>
          </cell>
        </row>
        <row r="1572">
          <cell r="A1572">
            <v>8095</v>
          </cell>
        </row>
        <row r="1573">
          <cell r="A1573">
            <v>8096</v>
          </cell>
        </row>
        <row r="1574">
          <cell r="A1574">
            <v>8097</v>
          </cell>
        </row>
        <row r="1575">
          <cell r="A1575">
            <v>8098</v>
          </cell>
        </row>
        <row r="1576">
          <cell r="A1576">
            <v>8099</v>
          </cell>
        </row>
        <row r="1577">
          <cell r="A1577">
            <v>8100</v>
          </cell>
        </row>
        <row r="1578">
          <cell r="A1578">
            <v>8101</v>
          </cell>
        </row>
        <row r="1579">
          <cell r="A1579">
            <v>8102</v>
          </cell>
        </row>
        <row r="1580">
          <cell r="A1580">
            <v>8103</v>
          </cell>
        </row>
        <row r="1581">
          <cell r="A1581">
            <v>8104</v>
          </cell>
        </row>
        <row r="1582">
          <cell r="A1582">
            <v>8105</v>
          </cell>
        </row>
        <row r="1583">
          <cell r="A1583">
            <v>8106</v>
          </cell>
        </row>
        <row r="1584">
          <cell r="A1584">
            <v>8111</v>
          </cell>
        </row>
        <row r="1585">
          <cell r="A1585">
            <v>8112</v>
          </cell>
        </row>
        <row r="1586">
          <cell r="A1586">
            <v>8113</v>
          </cell>
        </row>
        <row r="1587">
          <cell r="A1587">
            <v>8114</v>
          </cell>
        </row>
        <row r="1588">
          <cell r="A1588">
            <v>8115</v>
          </cell>
        </row>
        <row r="1589">
          <cell r="A1589">
            <v>8116</v>
          </cell>
        </row>
        <row r="1590">
          <cell r="A1590">
            <v>8117</v>
          </cell>
        </row>
        <row r="1591">
          <cell r="A1591">
            <v>8118</v>
          </cell>
        </row>
        <row r="1592">
          <cell r="A1592">
            <v>8119</v>
          </cell>
        </row>
        <row r="1593">
          <cell r="A1593">
            <v>8120</v>
          </cell>
        </row>
        <row r="1594">
          <cell r="A1594">
            <v>8121</v>
          </cell>
        </row>
        <row r="1595">
          <cell r="A1595">
            <v>8122</v>
          </cell>
        </row>
        <row r="1596">
          <cell r="A1596">
            <v>8127</v>
          </cell>
        </row>
        <row r="1597">
          <cell r="A1597">
            <v>8128</v>
          </cell>
        </row>
        <row r="1598">
          <cell r="A1598">
            <v>8129</v>
          </cell>
        </row>
        <row r="1599">
          <cell r="A1599">
            <v>8130</v>
          </cell>
        </row>
        <row r="1600">
          <cell r="A1600">
            <v>8131</v>
          </cell>
        </row>
        <row r="1601">
          <cell r="A1601">
            <v>8132</v>
          </cell>
        </row>
        <row r="1602">
          <cell r="A1602">
            <v>8133</v>
          </cell>
        </row>
        <row r="1603">
          <cell r="A1603">
            <v>8134</v>
          </cell>
        </row>
        <row r="1604">
          <cell r="A1604">
            <v>8135</v>
          </cell>
        </row>
        <row r="1605">
          <cell r="A1605">
            <v>8136</v>
          </cell>
        </row>
        <row r="1606">
          <cell r="A1606">
            <v>8137</v>
          </cell>
        </row>
        <row r="1607">
          <cell r="A1607">
            <v>8138</v>
          </cell>
        </row>
        <row r="1608">
          <cell r="A1608">
            <v>9001</v>
          </cell>
        </row>
        <row r="1609">
          <cell r="A1609">
            <v>9002</v>
          </cell>
        </row>
        <row r="1610">
          <cell r="A1610">
            <v>9003</v>
          </cell>
        </row>
        <row r="1611">
          <cell r="A1611">
            <v>9004</v>
          </cell>
        </row>
        <row r="1612">
          <cell r="A1612">
            <v>9005</v>
          </cell>
        </row>
        <row r="1613">
          <cell r="A1613">
            <v>9006</v>
          </cell>
        </row>
        <row r="1614">
          <cell r="A1614">
            <v>9007</v>
          </cell>
        </row>
        <row r="1615">
          <cell r="A1615">
            <v>9008</v>
          </cell>
        </row>
        <row r="1616">
          <cell r="A1616">
            <v>10101</v>
          </cell>
        </row>
        <row r="1617">
          <cell r="A1617">
            <v>10102</v>
          </cell>
        </row>
        <row r="1618">
          <cell r="A1618">
            <v>10103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1373</v>
          </cell>
        </row>
        <row r="1373">
          <cell r="A1373">
            <v>1374</v>
          </cell>
        </row>
        <row r="1374">
          <cell r="A1374">
            <v>1375</v>
          </cell>
        </row>
        <row r="1375">
          <cell r="A1375">
            <v>1376</v>
          </cell>
        </row>
        <row r="1376">
          <cell r="A1376">
            <v>1377</v>
          </cell>
        </row>
        <row r="1377">
          <cell r="A1377">
            <v>1378</v>
          </cell>
        </row>
        <row r="1378">
          <cell r="A1378">
            <v>1379</v>
          </cell>
        </row>
        <row r="1379">
          <cell r="A1379">
            <v>1380</v>
          </cell>
        </row>
        <row r="1380">
          <cell r="A1380">
            <v>1381</v>
          </cell>
        </row>
        <row r="1381">
          <cell r="A1381">
            <v>1382</v>
          </cell>
        </row>
        <row r="1382">
          <cell r="A1382">
            <v>1383</v>
          </cell>
        </row>
        <row r="1383">
          <cell r="A1383">
            <v>1384</v>
          </cell>
        </row>
        <row r="1384">
          <cell r="A1384">
            <v>1385</v>
          </cell>
        </row>
        <row r="1385">
          <cell r="A1385">
            <v>1386</v>
          </cell>
        </row>
        <row r="1386">
          <cell r="A1386">
            <v>1387</v>
          </cell>
        </row>
        <row r="1387">
          <cell r="A1387">
            <v>1388</v>
          </cell>
        </row>
        <row r="1388">
          <cell r="A1388">
            <v>1389</v>
          </cell>
        </row>
        <row r="1389">
          <cell r="A1389">
            <v>1390</v>
          </cell>
        </row>
        <row r="1390">
          <cell r="A1390">
            <v>1393</v>
          </cell>
        </row>
        <row r="1391">
          <cell r="A1391">
            <v>1394</v>
          </cell>
        </row>
        <row r="1392">
          <cell r="A1392">
            <v>1395</v>
          </cell>
        </row>
        <row r="1393">
          <cell r="A1393">
            <v>1399</v>
          </cell>
        </row>
        <row r="1394">
          <cell r="A1394">
            <v>1400</v>
          </cell>
        </row>
        <row r="1395">
          <cell r="A1395">
            <v>1401</v>
          </cell>
        </row>
        <row r="1396">
          <cell r="A1396">
            <v>1402</v>
          </cell>
        </row>
        <row r="1397">
          <cell r="A1397">
            <v>1403</v>
          </cell>
        </row>
        <row r="1398">
          <cell r="A1398">
            <v>1404</v>
          </cell>
        </row>
        <row r="1399">
          <cell r="A1399">
            <v>1405</v>
          </cell>
        </row>
        <row r="1400">
          <cell r="A1400">
            <v>1406</v>
          </cell>
        </row>
        <row r="1401">
          <cell r="A1401">
            <v>1407</v>
          </cell>
        </row>
        <row r="1402">
          <cell r="A1402">
            <v>1408</v>
          </cell>
        </row>
        <row r="1403">
          <cell r="A1403">
            <v>1409</v>
          </cell>
        </row>
        <row r="1404">
          <cell r="A1404">
            <v>1410</v>
          </cell>
        </row>
        <row r="1405">
          <cell r="A1405">
            <v>1411</v>
          </cell>
        </row>
        <row r="1406">
          <cell r="A1406">
            <v>1412</v>
          </cell>
        </row>
        <row r="1407">
          <cell r="A1407">
            <v>1413</v>
          </cell>
        </row>
        <row r="1408">
          <cell r="A1408">
            <v>1414</v>
          </cell>
        </row>
        <row r="1409">
          <cell r="A1409">
            <v>1415</v>
          </cell>
        </row>
        <row r="1410">
          <cell r="A1410">
            <v>1416</v>
          </cell>
        </row>
        <row r="1411">
          <cell r="A1411">
            <v>1417</v>
          </cell>
        </row>
        <row r="1412">
          <cell r="A1412">
            <v>1418</v>
          </cell>
        </row>
        <row r="1413">
          <cell r="A1413">
            <v>1419</v>
          </cell>
        </row>
        <row r="1414">
          <cell r="A1414">
            <v>1420</v>
          </cell>
        </row>
        <row r="1415">
          <cell r="A1415">
            <v>1421</v>
          </cell>
        </row>
        <row r="1416">
          <cell r="A1416">
            <v>1422</v>
          </cell>
        </row>
        <row r="1417">
          <cell r="A1417">
            <v>1423</v>
          </cell>
        </row>
        <row r="1418">
          <cell r="A1418">
            <v>1424</v>
          </cell>
        </row>
        <row r="1419">
          <cell r="A1419">
            <v>1425</v>
          </cell>
        </row>
        <row r="1420">
          <cell r="A1420">
            <v>1426</v>
          </cell>
        </row>
        <row r="1421">
          <cell r="A1421">
            <v>1427</v>
          </cell>
        </row>
        <row r="1422">
          <cell r="A1422">
            <v>1428</v>
          </cell>
        </row>
        <row r="1423">
          <cell r="A1423">
            <v>1431</v>
          </cell>
        </row>
        <row r="1424">
          <cell r="A1424">
            <v>1432</v>
          </cell>
        </row>
        <row r="1425">
          <cell r="A1425">
            <v>1433</v>
          </cell>
        </row>
        <row r="1426">
          <cell r="A1426">
            <v>1434</v>
          </cell>
        </row>
        <row r="1427">
          <cell r="A1427">
            <v>1435</v>
          </cell>
        </row>
        <row r="1428">
          <cell r="A1428">
            <v>1436</v>
          </cell>
        </row>
        <row r="1429">
          <cell r="A1429">
            <v>1437</v>
          </cell>
        </row>
        <row r="1430">
          <cell r="A1430">
            <v>1438</v>
          </cell>
        </row>
        <row r="1431">
          <cell r="A1431">
            <v>1439</v>
          </cell>
        </row>
        <row r="1432">
          <cell r="A1432">
            <v>1440</v>
          </cell>
        </row>
        <row r="1433">
          <cell r="A1433">
            <v>1441</v>
          </cell>
        </row>
        <row r="1434">
          <cell r="A1434">
            <v>1442</v>
          </cell>
        </row>
        <row r="1435">
          <cell r="A1435">
            <v>1443</v>
          </cell>
        </row>
        <row r="1436">
          <cell r="A1436">
            <v>1444</v>
          </cell>
        </row>
        <row r="1437">
          <cell r="A1437">
            <v>1445</v>
          </cell>
        </row>
        <row r="1438">
          <cell r="A1438">
            <v>1446</v>
          </cell>
        </row>
        <row r="1439">
          <cell r="A1439">
            <v>1447</v>
          </cell>
        </row>
        <row r="1440">
          <cell r="A1440">
            <v>1448</v>
          </cell>
        </row>
        <row r="1441">
          <cell r="A1441">
            <v>1449</v>
          </cell>
        </row>
        <row r="1442">
          <cell r="A1442">
            <v>1450</v>
          </cell>
        </row>
        <row r="1443">
          <cell r="A1443">
            <v>1451</v>
          </cell>
        </row>
        <row r="1444">
          <cell r="A1444">
            <v>1452</v>
          </cell>
        </row>
        <row r="1445">
          <cell r="A1445">
            <v>1453</v>
          </cell>
        </row>
        <row r="1446">
          <cell r="A1446">
            <v>1454</v>
          </cell>
        </row>
        <row r="1447">
          <cell r="A1447">
            <v>1455</v>
          </cell>
        </row>
        <row r="1448">
          <cell r="A1448">
            <v>1456</v>
          </cell>
        </row>
        <row r="1449">
          <cell r="A1449">
            <v>1457</v>
          </cell>
        </row>
        <row r="1450">
          <cell r="A1450">
            <v>1458</v>
          </cell>
        </row>
        <row r="1451">
          <cell r="A1451">
            <v>1459</v>
          </cell>
        </row>
        <row r="1452">
          <cell r="A1452">
            <v>1460</v>
          </cell>
        </row>
        <row r="1453">
          <cell r="A1453">
            <v>1461</v>
          </cell>
        </row>
        <row r="1454">
          <cell r="A1454">
            <v>1462</v>
          </cell>
        </row>
        <row r="1455">
          <cell r="A1455">
            <v>1463</v>
          </cell>
        </row>
        <row r="1456">
          <cell r="A1456">
            <v>1464</v>
          </cell>
        </row>
        <row r="1457">
          <cell r="A1457">
            <v>1465</v>
          </cell>
        </row>
        <row r="1458">
          <cell r="A1458">
            <v>1466</v>
          </cell>
        </row>
        <row r="1459">
          <cell r="A1459">
            <v>1467</v>
          </cell>
        </row>
        <row r="1460">
          <cell r="A1460">
            <v>1468</v>
          </cell>
        </row>
        <row r="1461">
          <cell r="A1461">
            <v>1469</v>
          </cell>
        </row>
        <row r="1462">
          <cell r="A1462">
            <v>1470</v>
          </cell>
        </row>
        <row r="1463">
          <cell r="A1463">
            <v>1471</v>
          </cell>
        </row>
        <row r="1464">
          <cell r="A1464">
            <v>1488</v>
          </cell>
        </row>
        <row r="1465">
          <cell r="A1465">
            <v>1489</v>
          </cell>
        </row>
        <row r="1466">
          <cell r="A1466">
            <v>1490</v>
          </cell>
        </row>
        <row r="1467">
          <cell r="A1467">
            <v>1491</v>
          </cell>
        </row>
        <row r="1468">
          <cell r="A1468">
            <v>1495</v>
          </cell>
        </row>
        <row r="1469">
          <cell r="A1469">
            <v>1496</v>
          </cell>
        </row>
        <row r="1470">
          <cell r="A1470">
            <v>1497</v>
          </cell>
        </row>
        <row r="1471">
          <cell r="A1471">
            <v>1498</v>
          </cell>
        </row>
        <row r="1472">
          <cell r="A1472">
            <v>1499</v>
          </cell>
        </row>
        <row r="1473">
          <cell r="A1473">
            <v>1500</v>
          </cell>
        </row>
        <row r="1474">
          <cell r="A1474">
            <v>1501</v>
          </cell>
        </row>
        <row r="1475">
          <cell r="A1475">
            <v>1502</v>
          </cell>
        </row>
        <row r="1476">
          <cell r="A1476">
            <v>1503</v>
          </cell>
        </row>
        <row r="1477">
          <cell r="A1477">
            <v>1504</v>
          </cell>
        </row>
        <row r="1478">
          <cell r="A1478">
            <v>1505</v>
          </cell>
        </row>
        <row r="1479">
          <cell r="A1479">
            <v>1506</v>
          </cell>
        </row>
        <row r="1480">
          <cell r="A1480">
            <v>1507</v>
          </cell>
        </row>
        <row r="1481">
          <cell r="A1481">
            <v>1508</v>
          </cell>
        </row>
        <row r="1482">
          <cell r="A1482">
            <v>1509</v>
          </cell>
        </row>
        <row r="1483">
          <cell r="A1483">
            <v>1510</v>
          </cell>
        </row>
        <row r="1484">
          <cell r="A1484">
            <v>1511</v>
          </cell>
        </row>
        <row r="1485">
          <cell r="A1485">
            <v>1512</v>
          </cell>
        </row>
        <row r="1486">
          <cell r="A1486">
            <v>1513</v>
          </cell>
        </row>
        <row r="1487">
          <cell r="A1487">
            <v>1514</v>
          </cell>
        </row>
        <row r="1488">
          <cell r="A1488">
            <v>1515</v>
          </cell>
        </row>
        <row r="1489">
          <cell r="A1489">
            <v>1516</v>
          </cell>
        </row>
        <row r="1490">
          <cell r="A1490">
            <v>1517</v>
          </cell>
        </row>
        <row r="1491">
          <cell r="A1491">
            <v>1518</v>
          </cell>
        </row>
        <row r="1492">
          <cell r="A1492">
            <v>1519</v>
          </cell>
        </row>
        <row r="1493">
          <cell r="A1493">
            <v>1520</v>
          </cell>
        </row>
        <row r="1494">
          <cell r="A1494">
            <v>1521</v>
          </cell>
        </row>
        <row r="1495">
          <cell r="A1495">
            <v>1522</v>
          </cell>
        </row>
        <row r="1496">
          <cell r="A1496">
            <v>1523</v>
          </cell>
        </row>
        <row r="1497">
          <cell r="A1497">
            <v>1524</v>
          </cell>
        </row>
        <row r="1498">
          <cell r="A1498">
            <v>1525</v>
          </cell>
        </row>
        <row r="1499">
          <cell r="A1499">
            <v>1526</v>
          </cell>
        </row>
        <row r="1500">
          <cell r="A1500">
            <v>1527</v>
          </cell>
        </row>
        <row r="1501">
          <cell r="A1501">
            <v>1528</v>
          </cell>
        </row>
        <row r="1502">
          <cell r="A1502">
            <v>1529</v>
          </cell>
        </row>
        <row r="1503">
          <cell r="A1503">
            <v>1530</v>
          </cell>
        </row>
        <row r="1504">
          <cell r="A1504">
            <v>1531</v>
          </cell>
        </row>
        <row r="1505">
          <cell r="A1505">
            <v>1532</v>
          </cell>
        </row>
        <row r="1506">
          <cell r="A1506">
            <v>1533</v>
          </cell>
        </row>
        <row r="1507">
          <cell r="A1507">
            <v>1534</v>
          </cell>
        </row>
        <row r="1508">
          <cell r="A1508">
            <v>1535</v>
          </cell>
        </row>
        <row r="1509">
          <cell r="A1509">
            <v>1536</v>
          </cell>
        </row>
        <row r="1510">
          <cell r="A1510">
            <v>1537</v>
          </cell>
        </row>
        <row r="1511">
          <cell r="A1511">
            <v>1538</v>
          </cell>
        </row>
        <row r="1512">
          <cell r="A1512">
            <v>1539</v>
          </cell>
        </row>
        <row r="1513">
          <cell r="A1513">
            <v>1540</v>
          </cell>
        </row>
        <row r="1514">
          <cell r="A1514">
            <v>1541</v>
          </cell>
        </row>
        <row r="1515">
          <cell r="A1515">
            <v>1542</v>
          </cell>
        </row>
        <row r="1516">
          <cell r="A1516">
            <v>1543</v>
          </cell>
        </row>
        <row r="1517">
          <cell r="A1517">
            <v>1544</v>
          </cell>
        </row>
        <row r="1518">
          <cell r="A1518">
            <v>1545</v>
          </cell>
        </row>
        <row r="1519">
          <cell r="A1519">
            <v>1546</v>
          </cell>
        </row>
        <row r="1520">
          <cell r="A1520">
            <v>1547</v>
          </cell>
        </row>
        <row r="1521">
          <cell r="A1521">
            <v>1548</v>
          </cell>
        </row>
        <row r="1522">
          <cell r="A1522">
            <v>1549</v>
          </cell>
        </row>
        <row r="1523">
          <cell r="A1523">
            <v>1550</v>
          </cell>
        </row>
        <row r="1524">
          <cell r="A1524">
            <v>1551</v>
          </cell>
        </row>
        <row r="1525">
          <cell r="A1525">
            <v>1552</v>
          </cell>
        </row>
        <row r="1526">
          <cell r="A1526">
            <v>1553</v>
          </cell>
        </row>
        <row r="1527">
          <cell r="A1527">
            <v>1554</v>
          </cell>
        </row>
        <row r="1528">
          <cell r="A1528">
            <v>1555</v>
          </cell>
        </row>
        <row r="1529">
          <cell r="A1529">
            <v>1556</v>
          </cell>
        </row>
        <row r="1530">
          <cell r="A1530">
            <v>1557</v>
          </cell>
        </row>
        <row r="1531">
          <cell r="A1531">
            <v>1558</v>
          </cell>
        </row>
        <row r="1532">
          <cell r="A1532">
            <v>1559</v>
          </cell>
        </row>
        <row r="1533">
          <cell r="A1533">
            <v>1560</v>
          </cell>
        </row>
        <row r="1534">
          <cell r="A1534">
            <v>1561</v>
          </cell>
        </row>
        <row r="1535">
          <cell r="A1535">
            <v>1562</v>
          </cell>
        </row>
        <row r="1536">
          <cell r="A1536">
            <v>1563</v>
          </cell>
        </row>
        <row r="1537">
          <cell r="A1537">
            <v>1564</v>
          </cell>
        </row>
        <row r="1538">
          <cell r="A1538">
            <v>1565</v>
          </cell>
        </row>
        <row r="1539">
          <cell r="A1539">
            <v>1566</v>
          </cell>
        </row>
        <row r="1540">
          <cell r="A1540">
            <v>1567</v>
          </cell>
        </row>
        <row r="1541">
          <cell r="A1541">
            <v>1568</v>
          </cell>
        </row>
        <row r="1542">
          <cell r="A1542">
            <v>1569</v>
          </cell>
        </row>
        <row r="1543">
          <cell r="A1543">
            <v>1570</v>
          </cell>
        </row>
        <row r="1544">
          <cell r="A1544">
            <v>1571</v>
          </cell>
        </row>
        <row r="1545">
          <cell r="A1545">
            <v>1572</v>
          </cell>
        </row>
        <row r="1546">
          <cell r="A1546">
            <v>1573</v>
          </cell>
        </row>
        <row r="1547">
          <cell r="A1547">
            <v>1574</v>
          </cell>
        </row>
        <row r="1548">
          <cell r="A1548">
            <v>1575</v>
          </cell>
        </row>
        <row r="1549">
          <cell r="A1549">
            <v>1576</v>
          </cell>
        </row>
        <row r="1550">
          <cell r="A1550">
            <v>1577</v>
          </cell>
        </row>
        <row r="1551">
          <cell r="A1551">
            <v>1578</v>
          </cell>
        </row>
        <row r="1552">
          <cell r="A1552">
            <v>1579</v>
          </cell>
        </row>
        <row r="1553">
          <cell r="A1553">
            <v>1580</v>
          </cell>
        </row>
        <row r="1554">
          <cell r="A1554">
            <v>1581</v>
          </cell>
        </row>
        <row r="1555">
          <cell r="A1555">
            <v>1582</v>
          </cell>
        </row>
        <row r="1556">
          <cell r="A1556">
            <v>1583</v>
          </cell>
        </row>
        <row r="1557">
          <cell r="A1557">
            <v>1584</v>
          </cell>
        </row>
        <row r="1558">
          <cell r="A1558">
            <v>1585</v>
          </cell>
        </row>
        <row r="1559">
          <cell r="A1559">
            <v>1586</v>
          </cell>
        </row>
        <row r="1560">
          <cell r="A1560">
            <v>1587</v>
          </cell>
        </row>
        <row r="1561">
          <cell r="A1561">
            <v>1588</v>
          </cell>
        </row>
        <row r="1562">
          <cell r="A1562">
            <v>1603</v>
          </cell>
        </row>
        <row r="1563">
          <cell r="A1563">
            <v>1604</v>
          </cell>
        </row>
        <row r="1564">
          <cell r="A1564">
            <v>1613</v>
          </cell>
        </row>
        <row r="1565">
          <cell r="A1565">
            <v>1614</v>
          </cell>
        </row>
        <row r="1566">
          <cell r="A1566">
            <v>1615</v>
          </cell>
        </row>
        <row r="1567">
          <cell r="A1567">
            <v>1616</v>
          </cell>
        </row>
        <row r="1568">
          <cell r="A1568">
            <v>1617</v>
          </cell>
        </row>
        <row r="1569">
          <cell r="A1569">
            <v>1618</v>
          </cell>
        </row>
        <row r="1570">
          <cell r="A1570">
            <v>1619</v>
          </cell>
        </row>
        <row r="1571">
          <cell r="A1571">
            <v>1620</v>
          </cell>
        </row>
        <row r="1572">
          <cell r="A1572">
            <v>1621</v>
          </cell>
        </row>
        <row r="1573">
          <cell r="A1573">
            <v>1622</v>
          </cell>
        </row>
        <row r="1574">
          <cell r="A1574">
            <v>1623</v>
          </cell>
        </row>
        <row r="1575">
          <cell r="A1575">
            <v>1624</v>
          </cell>
        </row>
        <row r="1576">
          <cell r="A1576">
            <v>1687</v>
          </cell>
        </row>
        <row r="1577">
          <cell r="A1577">
            <v>1688</v>
          </cell>
        </row>
        <row r="1578">
          <cell r="A1578">
            <v>1689</v>
          </cell>
        </row>
        <row r="1579">
          <cell r="A1579">
            <v>1690</v>
          </cell>
        </row>
        <row r="1580">
          <cell r="A1580">
            <v>1691</v>
          </cell>
        </row>
        <row r="1581">
          <cell r="A1581">
            <v>1692</v>
          </cell>
        </row>
        <row r="1582">
          <cell r="A1582">
            <v>1693</v>
          </cell>
        </row>
        <row r="1583">
          <cell r="A1583">
            <v>1694</v>
          </cell>
        </row>
        <row r="1584">
          <cell r="A1584">
            <v>1695</v>
          </cell>
        </row>
        <row r="1585">
          <cell r="A1585">
            <v>1696</v>
          </cell>
        </row>
        <row r="1586">
          <cell r="A1586">
            <v>1697</v>
          </cell>
        </row>
        <row r="1587">
          <cell r="A1587">
            <v>1698</v>
          </cell>
        </row>
        <row r="1588">
          <cell r="A1588">
            <v>1699</v>
          </cell>
        </row>
        <row r="1589">
          <cell r="A1589">
            <v>1700</v>
          </cell>
        </row>
        <row r="1590">
          <cell r="A1590">
            <v>1701</v>
          </cell>
        </row>
        <row r="1591">
          <cell r="A1591">
            <v>1702</v>
          </cell>
        </row>
        <row r="1592">
          <cell r="A1592">
            <v>1703</v>
          </cell>
        </row>
        <row r="1593">
          <cell r="A1593">
            <v>1704</v>
          </cell>
        </row>
        <row r="1594">
          <cell r="A1594">
            <v>1705</v>
          </cell>
        </row>
        <row r="1595">
          <cell r="A1595">
            <v>1706</v>
          </cell>
        </row>
        <row r="1596">
          <cell r="A1596">
            <v>1707</v>
          </cell>
        </row>
        <row r="1597">
          <cell r="A1597">
            <v>1708</v>
          </cell>
        </row>
        <row r="1598">
          <cell r="A1598">
            <v>1709</v>
          </cell>
        </row>
        <row r="1599">
          <cell r="A1599">
            <v>1710</v>
          </cell>
        </row>
        <row r="1600">
          <cell r="A1600">
            <v>1711</v>
          </cell>
        </row>
        <row r="1601">
          <cell r="A1601">
            <v>1712</v>
          </cell>
        </row>
        <row r="1602">
          <cell r="A1602">
            <v>1713</v>
          </cell>
        </row>
        <row r="1603">
          <cell r="A1603">
            <v>1714</v>
          </cell>
        </row>
        <row r="1604">
          <cell r="A1604">
            <v>1715</v>
          </cell>
        </row>
        <row r="1605">
          <cell r="A1605">
            <v>1716</v>
          </cell>
        </row>
        <row r="1606">
          <cell r="A1606">
            <v>1717</v>
          </cell>
        </row>
        <row r="1607">
          <cell r="A1607">
            <v>1718</v>
          </cell>
        </row>
        <row r="1608">
          <cell r="A1608">
            <v>1719</v>
          </cell>
        </row>
        <row r="1609">
          <cell r="A1609">
            <v>5001</v>
          </cell>
        </row>
        <row r="1610">
          <cell r="A1610">
            <v>5002</v>
          </cell>
        </row>
        <row r="1611">
          <cell r="A1611">
            <v>5003</v>
          </cell>
        </row>
        <row r="1612">
          <cell r="A1612">
            <v>5004</v>
          </cell>
        </row>
        <row r="1613">
          <cell r="A1613">
            <v>5005</v>
          </cell>
        </row>
        <row r="1614">
          <cell r="A1614">
            <v>5006</v>
          </cell>
        </row>
        <row r="1615">
          <cell r="A1615">
            <v>5007</v>
          </cell>
        </row>
        <row r="1616">
          <cell r="A1616">
            <v>5008</v>
          </cell>
        </row>
        <row r="1617">
          <cell r="A1617">
            <v>5009</v>
          </cell>
        </row>
        <row r="1618">
          <cell r="A1618">
            <v>5010</v>
          </cell>
        </row>
        <row r="1619">
          <cell r="A1619">
            <v>5011</v>
          </cell>
        </row>
        <row r="1620">
          <cell r="A1620">
            <v>5012</v>
          </cell>
        </row>
        <row r="1621">
          <cell r="A1621">
            <v>6001</v>
          </cell>
        </row>
        <row r="1622">
          <cell r="A1622">
            <v>6002</v>
          </cell>
        </row>
        <row r="1623">
          <cell r="A1623">
            <v>6003</v>
          </cell>
        </row>
        <row r="1624">
          <cell r="A1624">
            <v>6004</v>
          </cell>
        </row>
        <row r="1625">
          <cell r="A1625">
            <v>6005</v>
          </cell>
        </row>
        <row r="1626">
          <cell r="A1626">
            <v>6006</v>
          </cell>
        </row>
        <row r="1627">
          <cell r="A1627">
            <v>6007</v>
          </cell>
        </row>
        <row r="1628">
          <cell r="A1628">
            <v>6008</v>
          </cell>
        </row>
        <row r="1629">
          <cell r="A1629">
            <v>6009</v>
          </cell>
        </row>
        <row r="1630">
          <cell r="A1630">
            <v>6010</v>
          </cell>
        </row>
        <row r="1631">
          <cell r="A1631">
            <v>6011</v>
          </cell>
        </row>
        <row r="1632">
          <cell r="A1632">
            <v>6012</v>
          </cell>
        </row>
        <row r="1633">
          <cell r="A1633">
            <v>6013</v>
          </cell>
        </row>
        <row r="1634">
          <cell r="A1634">
            <v>6014</v>
          </cell>
        </row>
        <row r="1635">
          <cell r="A1635">
            <v>6015</v>
          </cell>
        </row>
        <row r="1636">
          <cell r="A1636">
            <v>6016</v>
          </cell>
        </row>
        <row r="1637">
          <cell r="A1637">
            <v>6017</v>
          </cell>
        </row>
        <row r="1638">
          <cell r="A1638">
            <v>6018</v>
          </cell>
        </row>
        <row r="1639">
          <cell r="A1639">
            <v>6019</v>
          </cell>
        </row>
        <row r="1640">
          <cell r="A1640">
            <v>6020</v>
          </cell>
        </row>
        <row r="1641">
          <cell r="A1641">
            <v>8001</v>
          </cell>
        </row>
        <row r="1642">
          <cell r="A1642">
            <v>8002</v>
          </cell>
        </row>
        <row r="1643">
          <cell r="A1643">
            <v>8003</v>
          </cell>
        </row>
        <row r="1644">
          <cell r="A1644">
            <v>8004</v>
          </cell>
        </row>
        <row r="1645">
          <cell r="A1645">
            <v>8005</v>
          </cell>
        </row>
        <row r="1646">
          <cell r="A1646">
            <v>8006</v>
          </cell>
        </row>
        <row r="1647">
          <cell r="A1647">
            <v>8007</v>
          </cell>
        </row>
        <row r="1648">
          <cell r="A1648">
            <v>8008</v>
          </cell>
        </row>
        <row r="1649">
          <cell r="A1649">
            <v>8009</v>
          </cell>
        </row>
        <row r="1650">
          <cell r="A1650">
            <v>8010</v>
          </cell>
        </row>
        <row r="1651">
          <cell r="A1651">
            <v>8011</v>
          </cell>
        </row>
        <row r="1652">
          <cell r="A1652">
            <v>8012</v>
          </cell>
        </row>
        <row r="1653">
          <cell r="A1653">
            <v>8013</v>
          </cell>
        </row>
        <row r="1654">
          <cell r="A1654">
            <v>8014</v>
          </cell>
        </row>
        <row r="1655">
          <cell r="A1655">
            <v>8015</v>
          </cell>
        </row>
        <row r="1656">
          <cell r="A1656">
            <v>8016</v>
          </cell>
        </row>
        <row r="1657">
          <cell r="A1657">
            <v>8017</v>
          </cell>
        </row>
        <row r="1658">
          <cell r="A1658">
            <v>8018</v>
          </cell>
        </row>
        <row r="1659">
          <cell r="A1659">
            <v>8019</v>
          </cell>
        </row>
        <row r="1660">
          <cell r="A1660">
            <v>8020</v>
          </cell>
        </row>
        <row r="1661">
          <cell r="A1661">
            <v>8021</v>
          </cell>
        </row>
        <row r="1662">
          <cell r="A1662">
            <v>8022</v>
          </cell>
        </row>
        <row r="1663">
          <cell r="A1663">
            <v>8023</v>
          </cell>
        </row>
        <row r="1664">
          <cell r="A1664">
            <v>8024</v>
          </cell>
        </row>
        <row r="1665">
          <cell r="A1665">
            <v>8025</v>
          </cell>
        </row>
        <row r="1666">
          <cell r="A1666">
            <v>8026</v>
          </cell>
        </row>
        <row r="1667">
          <cell r="A1667">
            <v>8027</v>
          </cell>
        </row>
        <row r="1668">
          <cell r="A1668">
            <v>8028</v>
          </cell>
        </row>
        <row r="1669">
          <cell r="A1669">
            <v>8029</v>
          </cell>
        </row>
        <row r="1670">
          <cell r="A1670">
            <v>8030</v>
          </cell>
        </row>
        <row r="1671">
          <cell r="A1671">
            <v>8031</v>
          </cell>
        </row>
        <row r="1672">
          <cell r="A1672">
            <v>8032</v>
          </cell>
        </row>
        <row r="1673">
          <cell r="A1673">
            <v>8033</v>
          </cell>
        </row>
        <row r="1674">
          <cell r="A1674">
            <v>8034</v>
          </cell>
        </row>
        <row r="1675">
          <cell r="A1675">
            <v>8035</v>
          </cell>
        </row>
        <row r="1676">
          <cell r="A1676">
            <v>8036</v>
          </cell>
        </row>
        <row r="1677">
          <cell r="A1677">
            <v>8037</v>
          </cell>
        </row>
        <row r="1678">
          <cell r="A1678">
            <v>8038</v>
          </cell>
        </row>
        <row r="1679">
          <cell r="A1679">
            <v>8039</v>
          </cell>
        </row>
        <row r="1680">
          <cell r="A1680">
            <v>8040</v>
          </cell>
        </row>
        <row r="1681">
          <cell r="A1681">
            <v>8041</v>
          </cell>
        </row>
        <row r="1682">
          <cell r="A1682">
            <v>8042</v>
          </cell>
        </row>
        <row r="1683">
          <cell r="A1683">
            <v>8043</v>
          </cell>
        </row>
        <row r="1684">
          <cell r="A1684">
            <v>8044</v>
          </cell>
        </row>
        <row r="1685">
          <cell r="A1685">
            <v>8045</v>
          </cell>
        </row>
        <row r="1686">
          <cell r="A1686">
            <v>8046</v>
          </cell>
        </row>
        <row r="1687">
          <cell r="A1687">
            <v>8047</v>
          </cell>
        </row>
        <row r="1688">
          <cell r="A1688">
            <v>8048</v>
          </cell>
        </row>
        <row r="1689">
          <cell r="A1689">
            <v>8049</v>
          </cell>
        </row>
        <row r="1690">
          <cell r="A1690">
            <v>8050</v>
          </cell>
        </row>
        <row r="1691">
          <cell r="A1691">
            <v>8051</v>
          </cell>
        </row>
        <row r="1692">
          <cell r="A1692">
            <v>8052</v>
          </cell>
        </row>
        <row r="1693">
          <cell r="A1693">
            <v>8053</v>
          </cell>
        </row>
        <row r="1694">
          <cell r="A1694">
            <v>8054</v>
          </cell>
        </row>
        <row r="1695">
          <cell r="A1695">
            <v>8055</v>
          </cell>
        </row>
        <row r="1696">
          <cell r="A1696">
            <v>8056</v>
          </cell>
        </row>
        <row r="1697">
          <cell r="A1697">
            <v>8057</v>
          </cell>
        </row>
        <row r="1698">
          <cell r="A1698">
            <v>8058</v>
          </cell>
        </row>
        <row r="1699">
          <cell r="A1699">
            <v>8059</v>
          </cell>
        </row>
        <row r="1700">
          <cell r="A1700">
            <v>8060</v>
          </cell>
        </row>
        <row r="1701">
          <cell r="A1701">
            <v>8061</v>
          </cell>
        </row>
        <row r="1702">
          <cell r="A1702">
            <v>8062</v>
          </cell>
        </row>
        <row r="1703">
          <cell r="A1703">
            <v>8063</v>
          </cell>
        </row>
        <row r="1704">
          <cell r="A1704">
            <v>8064</v>
          </cell>
        </row>
        <row r="1705">
          <cell r="A1705">
            <v>8065</v>
          </cell>
        </row>
        <row r="1706">
          <cell r="A1706">
            <v>8066</v>
          </cell>
        </row>
        <row r="1707">
          <cell r="A1707">
            <v>8067</v>
          </cell>
        </row>
        <row r="1708">
          <cell r="A1708">
            <v>8068</v>
          </cell>
        </row>
        <row r="1709">
          <cell r="A1709">
            <v>8069</v>
          </cell>
        </row>
        <row r="1710">
          <cell r="A1710">
            <v>8070</v>
          </cell>
        </row>
        <row r="1711">
          <cell r="A1711">
            <v>8071</v>
          </cell>
        </row>
        <row r="1712">
          <cell r="A1712">
            <v>8072</v>
          </cell>
        </row>
        <row r="1713">
          <cell r="A1713">
            <v>8073</v>
          </cell>
        </row>
        <row r="1714">
          <cell r="A1714">
            <v>8074</v>
          </cell>
        </row>
        <row r="1715">
          <cell r="A1715">
            <v>8075</v>
          </cell>
        </row>
        <row r="1716">
          <cell r="A1716">
            <v>8076</v>
          </cell>
        </row>
        <row r="1717">
          <cell r="A1717">
            <v>8077</v>
          </cell>
        </row>
        <row r="1718">
          <cell r="A1718">
            <v>8078</v>
          </cell>
        </row>
        <row r="1719">
          <cell r="A1719">
            <v>8079</v>
          </cell>
        </row>
        <row r="1720">
          <cell r="A1720">
            <v>8080</v>
          </cell>
        </row>
        <row r="1721">
          <cell r="A1721">
            <v>8081</v>
          </cell>
        </row>
        <row r="1722">
          <cell r="A1722">
            <v>8082</v>
          </cell>
        </row>
        <row r="1723">
          <cell r="A1723">
            <v>8083</v>
          </cell>
        </row>
        <row r="1724">
          <cell r="A1724">
            <v>8084</v>
          </cell>
        </row>
        <row r="1725">
          <cell r="A1725">
            <v>8085</v>
          </cell>
        </row>
        <row r="1726">
          <cell r="A1726">
            <v>8086</v>
          </cell>
        </row>
        <row r="1727">
          <cell r="A1727">
            <v>8087</v>
          </cell>
        </row>
        <row r="1728">
          <cell r="A1728">
            <v>8088</v>
          </cell>
        </row>
        <row r="1729">
          <cell r="A1729">
            <v>8089</v>
          </cell>
        </row>
        <row r="1730">
          <cell r="A1730">
            <v>8090</v>
          </cell>
        </row>
        <row r="1731">
          <cell r="A1731">
            <v>8095</v>
          </cell>
        </row>
        <row r="1732">
          <cell r="A1732">
            <v>8096</v>
          </cell>
        </row>
        <row r="1733">
          <cell r="A1733">
            <v>8097</v>
          </cell>
        </row>
        <row r="1734">
          <cell r="A1734">
            <v>8098</v>
          </cell>
        </row>
        <row r="1735">
          <cell r="A1735">
            <v>8099</v>
          </cell>
        </row>
        <row r="1736">
          <cell r="A1736">
            <v>8100</v>
          </cell>
        </row>
        <row r="1737">
          <cell r="A1737">
            <v>8101</v>
          </cell>
        </row>
        <row r="1738">
          <cell r="A1738">
            <v>8102</v>
          </cell>
        </row>
        <row r="1739">
          <cell r="A1739">
            <v>8103</v>
          </cell>
        </row>
        <row r="1740">
          <cell r="A1740">
            <v>8104</v>
          </cell>
        </row>
        <row r="1741">
          <cell r="A1741">
            <v>8105</v>
          </cell>
        </row>
        <row r="1742">
          <cell r="A1742">
            <v>8106</v>
          </cell>
        </row>
        <row r="1743">
          <cell r="A1743">
            <v>8111</v>
          </cell>
        </row>
        <row r="1744">
          <cell r="A1744">
            <v>8112</v>
          </cell>
        </row>
        <row r="1745">
          <cell r="A1745">
            <v>8113</v>
          </cell>
        </row>
        <row r="1746">
          <cell r="A1746">
            <v>8114</v>
          </cell>
        </row>
        <row r="1747">
          <cell r="A1747">
            <v>8115</v>
          </cell>
        </row>
        <row r="1748">
          <cell r="A1748">
            <v>8116</v>
          </cell>
        </row>
        <row r="1749">
          <cell r="A1749">
            <v>8117</v>
          </cell>
        </row>
        <row r="1750">
          <cell r="A1750">
            <v>8118</v>
          </cell>
        </row>
        <row r="1751">
          <cell r="A1751">
            <v>8119</v>
          </cell>
        </row>
        <row r="1752">
          <cell r="A1752">
            <v>8120</v>
          </cell>
        </row>
        <row r="1753">
          <cell r="A1753">
            <v>8121</v>
          </cell>
        </row>
        <row r="1754">
          <cell r="A1754">
            <v>8122</v>
          </cell>
        </row>
        <row r="1755">
          <cell r="A1755">
            <v>8123</v>
          </cell>
        </row>
        <row r="1756">
          <cell r="A1756">
            <v>8124</v>
          </cell>
        </row>
        <row r="1757">
          <cell r="A1757">
            <v>8125</v>
          </cell>
        </row>
        <row r="1758">
          <cell r="A1758">
            <v>8126</v>
          </cell>
        </row>
        <row r="1759">
          <cell r="A1759">
            <v>8127</v>
          </cell>
        </row>
        <row r="1760">
          <cell r="A1760">
            <v>8128</v>
          </cell>
        </row>
        <row r="1761">
          <cell r="A1761">
            <v>8129</v>
          </cell>
        </row>
        <row r="1762">
          <cell r="A1762">
            <v>8130</v>
          </cell>
        </row>
        <row r="1763">
          <cell r="A1763">
            <v>8131</v>
          </cell>
        </row>
        <row r="1764">
          <cell r="A1764">
            <v>8132</v>
          </cell>
        </row>
        <row r="1765">
          <cell r="A1765">
            <v>8133</v>
          </cell>
        </row>
        <row r="1766">
          <cell r="A1766">
            <v>8134</v>
          </cell>
        </row>
        <row r="1767">
          <cell r="A1767">
            <v>8135</v>
          </cell>
        </row>
        <row r="1768">
          <cell r="A1768">
            <v>8136</v>
          </cell>
        </row>
        <row r="1769">
          <cell r="A1769">
            <v>8137</v>
          </cell>
        </row>
        <row r="1770">
          <cell r="A1770">
            <v>8138</v>
          </cell>
        </row>
        <row r="1771">
          <cell r="A1771">
            <v>9001</v>
          </cell>
        </row>
        <row r="1772">
          <cell r="A1772">
            <v>9002</v>
          </cell>
        </row>
        <row r="1773">
          <cell r="A1773">
            <v>9003</v>
          </cell>
        </row>
        <row r="1774">
          <cell r="A1774">
            <v>9004</v>
          </cell>
        </row>
        <row r="1775">
          <cell r="A1775">
            <v>9005</v>
          </cell>
        </row>
        <row r="1776">
          <cell r="A1776">
            <v>9006</v>
          </cell>
        </row>
        <row r="1777">
          <cell r="A1777">
            <v>9007</v>
          </cell>
        </row>
        <row r="1778">
          <cell r="A1778">
            <v>9008</v>
          </cell>
        </row>
        <row r="1779">
          <cell r="A1779">
            <v>9009</v>
          </cell>
        </row>
        <row r="1780">
          <cell r="A1780">
            <v>9010</v>
          </cell>
        </row>
        <row r="1781">
          <cell r="A1781">
            <v>9011</v>
          </cell>
        </row>
        <row r="1782">
          <cell r="A1782">
            <v>9012</v>
          </cell>
        </row>
        <row r="1783">
          <cell r="A1783">
            <v>10001</v>
          </cell>
        </row>
        <row r="1784">
          <cell r="A1784">
            <v>10002</v>
          </cell>
        </row>
        <row r="1785">
          <cell r="A1785">
            <v>10003</v>
          </cell>
        </row>
        <row r="1786">
          <cell r="A1786">
            <v>10004</v>
          </cell>
        </row>
        <row r="1787">
          <cell r="A1787">
            <v>10005</v>
          </cell>
        </row>
        <row r="1788">
          <cell r="A1788">
            <v>10006</v>
          </cell>
        </row>
        <row r="1789">
          <cell r="A1789">
            <v>10007</v>
          </cell>
        </row>
        <row r="1790">
          <cell r="A1790">
            <v>10008</v>
          </cell>
        </row>
        <row r="1791">
          <cell r="A1791">
            <v>10009</v>
          </cell>
        </row>
        <row r="1792">
          <cell r="A1792">
            <v>10010</v>
          </cell>
        </row>
        <row r="1793">
          <cell r="A1793">
            <v>10011</v>
          </cell>
        </row>
        <row r="1794">
          <cell r="A1794">
            <v>10012</v>
          </cell>
        </row>
        <row r="1795">
          <cell r="A1795">
            <v>10013</v>
          </cell>
        </row>
        <row r="1796">
          <cell r="A1796">
            <v>10014</v>
          </cell>
        </row>
        <row r="1797">
          <cell r="A1797">
            <v>10015</v>
          </cell>
        </row>
        <row r="1798">
          <cell r="A1798">
            <v>10016</v>
          </cell>
        </row>
        <row r="1799">
          <cell r="A1799">
            <v>10017</v>
          </cell>
        </row>
        <row r="1800">
          <cell r="A1800">
            <v>10018</v>
          </cell>
        </row>
        <row r="1801">
          <cell r="A1801">
            <v>10019</v>
          </cell>
        </row>
        <row r="1802">
          <cell r="A1802">
            <v>10020</v>
          </cell>
        </row>
        <row r="1803">
          <cell r="A1803">
            <v>10021</v>
          </cell>
        </row>
        <row r="1804">
          <cell r="A1804">
            <v>10022</v>
          </cell>
        </row>
        <row r="1805">
          <cell r="A1805">
            <v>10023</v>
          </cell>
        </row>
        <row r="1806">
          <cell r="A1806">
            <v>10024</v>
          </cell>
        </row>
        <row r="1807">
          <cell r="A1807">
            <v>10025</v>
          </cell>
        </row>
        <row r="1808">
          <cell r="A1808">
            <v>10026</v>
          </cell>
        </row>
        <row r="1809">
          <cell r="A1809">
            <v>10027</v>
          </cell>
        </row>
        <row r="1810">
          <cell r="A1810">
            <v>10028</v>
          </cell>
        </row>
        <row r="1811">
          <cell r="A1811">
            <v>10029</v>
          </cell>
        </row>
        <row r="1812">
          <cell r="A1812">
            <v>10030</v>
          </cell>
        </row>
        <row r="1813">
          <cell r="A1813">
            <v>10031</v>
          </cell>
        </row>
        <row r="1814">
          <cell r="A1814">
            <v>10032</v>
          </cell>
        </row>
        <row r="1815">
          <cell r="A1815">
            <v>10033</v>
          </cell>
        </row>
        <row r="1816">
          <cell r="A1816">
            <v>10034</v>
          </cell>
        </row>
        <row r="1817">
          <cell r="A1817">
            <v>10035</v>
          </cell>
        </row>
        <row r="1818">
          <cell r="A1818">
            <v>10036</v>
          </cell>
        </row>
        <row r="1819">
          <cell r="A1819">
            <v>10037</v>
          </cell>
        </row>
        <row r="1820">
          <cell r="A1820">
            <v>10038</v>
          </cell>
        </row>
        <row r="1821">
          <cell r="A1821">
            <v>10039</v>
          </cell>
        </row>
        <row r="1822">
          <cell r="A1822">
            <v>10040</v>
          </cell>
        </row>
        <row r="1823">
          <cell r="A1823">
            <v>10041</v>
          </cell>
        </row>
        <row r="1824">
          <cell r="A1824">
            <v>10042</v>
          </cell>
        </row>
        <row r="1825">
          <cell r="A1825">
            <v>10043</v>
          </cell>
        </row>
        <row r="1826">
          <cell r="A1826">
            <v>10044</v>
          </cell>
        </row>
        <row r="1827">
          <cell r="A1827">
            <v>10045</v>
          </cell>
        </row>
        <row r="1828">
          <cell r="A1828">
            <v>10046</v>
          </cell>
        </row>
        <row r="1829">
          <cell r="A1829">
            <v>10047</v>
          </cell>
        </row>
        <row r="1830">
          <cell r="A1830">
            <v>10048</v>
          </cell>
        </row>
        <row r="1831">
          <cell r="A1831">
            <v>10049</v>
          </cell>
        </row>
        <row r="1832">
          <cell r="A1832">
            <v>10050</v>
          </cell>
        </row>
        <row r="1833">
          <cell r="A1833">
            <v>10051</v>
          </cell>
        </row>
        <row r="1834">
          <cell r="A1834">
            <v>10052</v>
          </cell>
        </row>
        <row r="1835">
          <cell r="A1835">
            <v>10053</v>
          </cell>
        </row>
        <row r="1836">
          <cell r="A1836">
            <v>10054</v>
          </cell>
        </row>
        <row r="1837">
          <cell r="A1837">
            <v>10055</v>
          </cell>
        </row>
        <row r="1838">
          <cell r="A1838">
            <v>10056</v>
          </cell>
        </row>
        <row r="1839">
          <cell r="A1839">
            <v>10057</v>
          </cell>
        </row>
        <row r="1840">
          <cell r="A1840">
            <v>10058</v>
          </cell>
        </row>
        <row r="1841">
          <cell r="A1841">
            <v>10059</v>
          </cell>
        </row>
        <row r="1842">
          <cell r="A1842">
            <v>10060</v>
          </cell>
        </row>
        <row r="1843">
          <cell r="A1843">
            <v>10061</v>
          </cell>
        </row>
        <row r="1844">
          <cell r="A1844">
            <v>10062</v>
          </cell>
        </row>
        <row r="1845">
          <cell r="A1845">
            <v>10063</v>
          </cell>
        </row>
        <row r="1846">
          <cell r="A1846">
            <v>10064</v>
          </cell>
        </row>
        <row r="1847">
          <cell r="A1847">
            <v>10065</v>
          </cell>
        </row>
        <row r="1848">
          <cell r="A1848">
            <v>10066</v>
          </cell>
        </row>
        <row r="1849">
          <cell r="A1849">
            <v>10067</v>
          </cell>
        </row>
        <row r="1850">
          <cell r="A1850">
            <v>10068</v>
          </cell>
        </row>
        <row r="1851">
          <cell r="A1851">
            <v>10069</v>
          </cell>
        </row>
        <row r="1852">
          <cell r="A1852">
            <v>10070</v>
          </cell>
        </row>
        <row r="1853">
          <cell r="A1853">
            <v>10071</v>
          </cell>
        </row>
        <row r="1854">
          <cell r="A1854">
            <v>10072</v>
          </cell>
        </row>
        <row r="1855">
          <cell r="A1855">
            <v>10073</v>
          </cell>
        </row>
        <row r="1856">
          <cell r="A1856">
            <v>10074</v>
          </cell>
        </row>
        <row r="1857">
          <cell r="A1857">
            <v>10075</v>
          </cell>
        </row>
        <row r="1858">
          <cell r="A1858">
            <v>10076</v>
          </cell>
        </row>
        <row r="1859">
          <cell r="A1859">
            <v>10077</v>
          </cell>
        </row>
        <row r="1860">
          <cell r="A1860">
            <v>10078</v>
          </cell>
        </row>
        <row r="1861">
          <cell r="A1861">
            <v>10079</v>
          </cell>
        </row>
        <row r="1862">
          <cell r="A1862">
            <v>10080</v>
          </cell>
        </row>
        <row r="1863">
          <cell r="A1863">
            <v>10081</v>
          </cell>
        </row>
        <row r="1864">
          <cell r="A1864">
            <v>10082</v>
          </cell>
        </row>
        <row r="1865">
          <cell r="A1865">
            <v>10083</v>
          </cell>
        </row>
        <row r="1866">
          <cell r="A1866">
            <v>10084</v>
          </cell>
        </row>
        <row r="1867">
          <cell r="A1867">
            <v>10085</v>
          </cell>
        </row>
        <row r="1868">
          <cell r="A1868">
            <v>10086</v>
          </cell>
        </row>
        <row r="1869">
          <cell r="A1869">
            <v>10087</v>
          </cell>
        </row>
        <row r="1870">
          <cell r="A1870">
            <v>10088</v>
          </cell>
        </row>
        <row r="1871">
          <cell r="A1871">
            <v>10089</v>
          </cell>
        </row>
        <row r="1872">
          <cell r="A1872">
            <v>10090</v>
          </cell>
        </row>
        <row r="1873">
          <cell r="A1873">
            <v>10101</v>
          </cell>
        </row>
        <row r="1874">
          <cell r="A1874">
            <v>10102</v>
          </cell>
        </row>
        <row r="1875">
          <cell r="A1875">
            <v>10103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AD13"/>
  <sheetViews>
    <sheetView workbookViewId="0">
      <selection activeCell="F13" sqref="F13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105" t="s">
        <v>128</v>
      </c>
      <c r="B1" s="103" t="s">
        <v>98</v>
      </c>
      <c r="C1" s="54" t="s">
        <v>99</v>
      </c>
      <c r="D1" s="54" t="s">
        <v>100</v>
      </c>
      <c r="E1" s="54" t="s">
        <v>101</v>
      </c>
      <c r="F1" s="54" t="s">
        <v>102</v>
      </c>
      <c r="G1" s="54" t="s">
        <v>103</v>
      </c>
      <c r="H1" s="54"/>
      <c r="I1" s="54"/>
      <c r="J1" s="54"/>
      <c r="K1" s="54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</row>
    <row r="2" spans="1:30" x14ac:dyDescent="0.15">
      <c r="A2" s="104" t="s">
        <v>255</v>
      </c>
      <c r="B2" s="56" t="s">
        <v>104</v>
      </c>
      <c r="C2" s="60">
        <v>50016</v>
      </c>
      <c r="D2" s="56" t="s">
        <v>105</v>
      </c>
      <c r="E2" s="55" t="str">
        <f>B2&amp;C2&amp;D2</f>
        <v>floors_50016.tmp</v>
      </c>
      <c r="F2" s="56" t="s">
        <v>106</v>
      </c>
      <c r="G2" s="57" t="s">
        <v>0</v>
      </c>
      <c r="H2" s="57" t="s">
        <v>1</v>
      </c>
      <c r="I2" s="57" t="s">
        <v>13</v>
      </c>
      <c r="J2" s="57" t="s">
        <v>14</v>
      </c>
      <c r="K2" s="57" t="s">
        <v>15</v>
      </c>
      <c r="L2" s="56"/>
      <c r="M2" s="56"/>
      <c r="N2" s="56"/>
      <c r="O2" s="56"/>
      <c r="P2" s="56"/>
      <c r="Q2" s="56"/>
      <c r="R2" s="56"/>
      <c r="S2" s="56"/>
      <c r="T2" s="56"/>
      <c r="U2" s="56"/>
      <c r="V2" s="56"/>
      <c r="W2" s="56"/>
      <c r="X2" s="56"/>
      <c r="Y2" s="56"/>
      <c r="Z2" s="56"/>
      <c r="AA2" s="56"/>
      <c r="AB2" s="56"/>
      <c r="AC2" s="56"/>
      <c r="AD2" s="56"/>
    </row>
    <row r="3" spans="1:30" x14ac:dyDescent="0.15">
      <c r="A3" s="104" t="s">
        <v>255</v>
      </c>
      <c r="B3" s="56" t="s">
        <v>107</v>
      </c>
      <c r="C3" s="60">
        <f>C$2</f>
        <v>50016</v>
      </c>
      <c r="D3" s="56" t="s">
        <v>105</v>
      </c>
      <c r="E3" s="55" t="str">
        <f>B3&amp;C3&amp;D3</f>
        <v>enemy_habitats_50016.tmp</v>
      </c>
      <c r="F3" s="56" t="s">
        <v>108</v>
      </c>
      <c r="G3" s="57" t="s">
        <v>0</v>
      </c>
      <c r="H3" s="57" t="s">
        <v>1</v>
      </c>
      <c r="I3" s="57" t="s">
        <v>13</v>
      </c>
      <c r="J3" s="57" t="s">
        <v>2</v>
      </c>
      <c r="K3" s="57" t="s">
        <v>3</v>
      </c>
      <c r="L3" s="57" t="s">
        <v>47</v>
      </c>
      <c r="M3" s="57" t="s">
        <v>49</v>
      </c>
      <c r="N3" s="57" t="s">
        <v>51</v>
      </c>
      <c r="O3" s="57" t="s">
        <v>22</v>
      </c>
      <c r="P3" s="57" t="s">
        <v>5</v>
      </c>
      <c r="Q3" s="57" t="s">
        <v>6</v>
      </c>
      <c r="R3" s="57" t="s">
        <v>7</v>
      </c>
      <c r="S3" s="57" t="s">
        <v>8</v>
      </c>
      <c r="T3" s="57" t="s">
        <v>9</v>
      </c>
      <c r="U3" s="57" t="s">
        <v>10</v>
      </c>
      <c r="V3" s="57" t="s">
        <v>11</v>
      </c>
      <c r="W3" s="57" t="s">
        <v>12</v>
      </c>
      <c r="X3" s="57" t="s">
        <v>37</v>
      </c>
      <c r="Y3" s="57" t="s">
        <v>39</v>
      </c>
      <c r="Z3" s="57" t="s">
        <v>41</v>
      </c>
      <c r="AA3" s="57" t="s">
        <v>43</v>
      </c>
      <c r="AB3" s="57" t="s">
        <v>45</v>
      </c>
      <c r="AC3" s="57" t="s">
        <v>54</v>
      </c>
      <c r="AD3" s="57" t="s">
        <v>177</v>
      </c>
    </row>
    <row r="4" spans="1:30" x14ac:dyDescent="0.15">
      <c r="A4" s="104" t="s">
        <v>255</v>
      </c>
      <c r="B4" s="56" t="s">
        <v>109</v>
      </c>
      <c r="C4" s="60">
        <f t="shared" ref="C4:C13" si="0">C$2</f>
        <v>50016</v>
      </c>
      <c r="D4" s="56" t="s">
        <v>105</v>
      </c>
      <c r="E4" s="55" t="str">
        <f>B4&amp;C4&amp;D4</f>
        <v>enemy_habitat_S_50016.tmp</v>
      </c>
      <c r="F4" s="56" t="s">
        <v>110</v>
      </c>
      <c r="G4" s="57" t="s">
        <v>0</v>
      </c>
      <c r="H4" s="57" t="s">
        <v>1</v>
      </c>
      <c r="I4" s="57" t="s">
        <v>13</v>
      </c>
      <c r="J4" s="57" t="s">
        <v>54</v>
      </c>
      <c r="K4" s="57" t="s">
        <v>55</v>
      </c>
      <c r="L4" s="57" t="s">
        <v>56</v>
      </c>
      <c r="M4" s="57" t="s">
        <v>57</v>
      </c>
      <c r="N4" s="57" t="s">
        <v>58</v>
      </c>
      <c r="O4" s="57" t="s">
        <v>59</v>
      </c>
      <c r="P4" s="57" t="s">
        <v>48</v>
      </c>
      <c r="Q4" s="57" t="s">
        <v>50</v>
      </c>
      <c r="R4" s="57" t="s">
        <v>52</v>
      </c>
      <c r="S4" s="56"/>
      <c r="T4" s="56"/>
      <c r="U4" s="56"/>
      <c r="V4" s="56"/>
      <c r="W4" s="56"/>
      <c r="X4" s="56"/>
      <c r="Y4" s="56"/>
      <c r="Z4" s="56"/>
      <c r="AA4" s="56"/>
      <c r="AB4" s="56"/>
      <c r="AC4" s="56"/>
      <c r="AD4" s="56"/>
    </row>
    <row r="5" spans="1:30" x14ac:dyDescent="0.15">
      <c r="A5" s="104" t="s">
        <v>255</v>
      </c>
      <c r="B5" s="56" t="s">
        <v>111</v>
      </c>
      <c r="C5" s="60">
        <f t="shared" si="0"/>
        <v>50016</v>
      </c>
      <c r="D5" s="56" t="s">
        <v>105</v>
      </c>
      <c r="E5" s="55" t="str">
        <f>B5&amp;C5&amp;D5</f>
        <v>enemy_skill_sets_50016.tmp</v>
      </c>
      <c r="F5" s="56" t="s">
        <v>112</v>
      </c>
      <c r="G5" s="58" t="s">
        <v>22</v>
      </c>
      <c r="H5" s="58" t="s">
        <v>97</v>
      </c>
      <c r="I5" s="58" t="s">
        <v>92</v>
      </c>
      <c r="J5" s="56"/>
      <c r="K5" s="56"/>
      <c r="L5" s="56"/>
      <c r="M5" s="56"/>
      <c r="N5" s="56"/>
      <c r="O5" s="56"/>
      <c r="P5" s="56"/>
      <c r="Q5" s="56"/>
      <c r="R5" s="56"/>
      <c r="S5" s="56"/>
      <c r="T5" s="56"/>
      <c r="U5" s="56"/>
      <c r="V5" s="56"/>
      <c r="W5" s="56"/>
      <c r="X5" s="56"/>
      <c r="Y5" s="56"/>
      <c r="Z5" s="56"/>
      <c r="AA5" s="56"/>
      <c r="AB5" s="56"/>
      <c r="AC5" s="56"/>
      <c r="AD5" s="56"/>
    </row>
    <row r="6" spans="1:30" x14ac:dyDescent="0.15">
      <c r="A6" s="104" t="s">
        <v>255</v>
      </c>
      <c r="B6" s="56" t="s">
        <v>113</v>
      </c>
      <c r="C6" s="60">
        <f t="shared" si="0"/>
        <v>50016</v>
      </c>
      <c r="D6" s="56" t="s">
        <v>114</v>
      </c>
      <c r="E6" s="55" t="str">
        <f t="shared" ref="E6:E10" si="1">B6&amp;C6&amp;D6</f>
        <v>enemy_skills_tmp_50016.tmp</v>
      </c>
      <c r="F6" s="56" t="s">
        <v>88</v>
      </c>
      <c r="G6" s="57" t="s">
        <v>79</v>
      </c>
      <c r="H6" s="57" t="s">
        <v>80</v>
      </c>
      <c r="I6" s="57" t="s">
        <v>81</v>
      </c>
      <c r="J6" s="56"/>
      <c r="K6" s="56"/>
      <c r="L6" s="56"/>
      <c r="M6" s="56"/>
      <c r="N6" s="56"/>
      <c r="O6" s="56"/>
      <c r="P6" s="56"/>
      <c r="Q6" s="56"/>
      <c r="R6" s="56"/>
      <c r="S6" s="56"/>
      <c r="T6" s="56"/>
      <c r="U6" s="56"/>
      <c r="V6" s="56"/>
      <c r="W6" s="56"/>
      <c r="X6" s="56"/>
      <c r="Y6" s="56"/>
      <c r="Z6" s="56"/>
      <c r="AA6" s="56"/>
      <c r="AB6" s="56"/>
      <c r="AC6" s="56"/>
      <c r="AD6" s="56"/>
    </row>
    <row r="7" spans="1:30" x14ac:dyDescent="0.15">
      <c r="A7" s="104" t="s">
        <v>255</v>
      </c>
      <c r="B7" s="56" t="s">
        <v>115</v>
      </c>
      <c r="C7" s="60">
        <f t="shared" si="0"/>
        <v>50016</v>
      </c>
      <c r="D7" s="56" t="s">
        <v>105</v>
      </c>
      <c r="E7" s="55" t="str">
        <f>B7&amp;C7&amp;D7</f>
        <v>enemy_skills_i18n_50016.tmp</v>
      </c>
      <c r="F7" s="56" t="s">
        <v>116</v>
      </c>
      <c r="G7" s="57" t="s">
        <v>79</v>
      </c>
      <c r="H7" s="57" t="s">
        <v>89</v>
      </c>
      <c r="I7" s="57" t="s">
        <v>90</v>
      </c>
      <c r="J7" s="57" t="s">
        <v>91</v>
      </c>
      <c r="K7" s="56"/>
      <c r="L7" s="56"/>
      <c r="M7" s="56"/>
      <c r="N7" s="56"/>
      <c r="O7" s="56"/>
      <c r="P7" s="56"/>
      <c r="Q7" s="56"/>
      <c r="R7" s="56"/>
      <c r="S7" s="56"/>
      <c r="T7" s="56"/>
      <c r="U7" s="56"/>
      <c r="V7" s="56"/>
      <c r="W7" s="56"/>
      <c r="X7" s="56"/>
      <c r="Y7" s="56"/>
      <c r="Z7" s="56"/>
      <c r="AA7" s="56"/>
      <c r="AB7" s="56"/>
      <c r="AC7" s="56"/>
      <c r="AD7" s="56"/>
    </row>
    <row r="8" spans="1:30" x14ac:dyDescent="0.15">
      <c r="A8" s="104" t="s">
        <v>255</v>
      </c>
      <c r="B8" s="56" t="s">
        <v>117</v>
      </c>
      <c r="C8" s="60">
        <f t="shared" si="0"/>
        <v>50016</v>
      </c>
      <c r="D8" s="56" t="s">
        <v>118</v>
      </c>
      <c r="E8" s="55" t="str">
        <f t="shared" si="1"/>
        <v>enemy_skill_triggers_50016.tmp</v>
      </c>
      <c r="F8" s="56" t="s">
        <v>119</v>
      </c>
      <c r="G8" s="57" t="s">
        <v>92</v>
      </c>
      <c r="H8" s="57" t="s">
        <v>93</v>
      </c>
      <c r="I8" s="57" t="s">
        <v>94</v>
      </c>
      <c r="J8" s="57" t="s">
        <v>95</v>
      </c>
      <c r="K8" s="57" t="s">
        <v>120</v>
      </c>
      <c r="L8" s="57" t="s">
        <v>96</v>
      </c>
      <c r="M8" s="57" t="s">
        <v>121</v>
      </c>
      <c r="N8" s="57" t="s">
        <v>122</v>
      </c>
      <c r="O8" s="57" t="s">
        <v>123</v>
      </c>
      <c r="P8" s="57" t="s">
        <v>67</v>
      </c>
      <c r="Q8" s="56"/>
      <c r="R8" s="56"/>
      <c r="S8" s="56"/>
      <c r="T8" s="56"/>
      <c r="U8" s="56"/>
      <c r="V8" s="56"/>
      <c r="W8" s="56"/>
      <c r="X8" s="56"/>
      <c r="Y8" s="56"/>
      <c r="Z8" s="56"/>
      <c r="AA8" s="56"/>
      <c r="AB8" s="56"/>
      <c r="AC8" s="56"/>
      <c r="AD8" s="56"/>
    </row>
    <row r="9" spans="1:30" x14ac:dyDescent="0.15">
      <c r="A9" s="104" t="s">
        <v>255</v>
      </c>
      <c r="B9" s="65" t="s">
        <v>176</v>
      </c>
      <c r="C9" s="60">
        <f t="shared" si="0"/>
        <v>50016</v>
      </c>
      <c r="D9" s="65" t="s">
        <v>170</v>
      </c>
      <c r="E9" s="66" t="str">
        <f t="shared" si="1"/>
        <v>stage_bug_bonuses_50016.tmp</v>
      </c>
      <c r="F9" s="65" t="s">
        <v>171</v>
      </c>
      <c r="G9" s="62" t="s">
        <v>148</v>
      </c>
      <c r="H9" s="62" t="s">
        <v>172</v>
      </c>
      <c r="I9" s="62" t="s">
        <v>173</v>
      </c>
      <c r="J9" s="64" t="s">
        <v>174</v>
      </c>
      <c r="K9" s="62" t="s">
        <v>175</v>
      </c>
      <c r="L9" s="62" t="s">
        <v>154</v>
      </c>
      <c r="M9" s="62" t="s">
        <v>155</v>
      </c>
      <c r="N9" s="62" t="s">
        <v>156</v>
      </c>
      <c r="O9" s="62" t="s">
        <v>157</v>
      </c>
      <c r="P9" s="62" t="s">
        <v>158</v>
      </c>
      <c r="Q9" s="62" t="s">
        <v>159</v>
      </c>
      <c r="R9" s="62" t="s">
        <v>160</v>
      </c>
      <c r="S9" s="62" t="s">
        <v>161</v>
      </c>
      <c r="T9" s="62" t="s">
        <v>162</v>
      </c>
      <c r="U9" s="62" t="s">
        <v>163</v>
      </c>
      <c r="V9" s="62" t="s">
        <v>164</v>
      </c>
      <c r="W9" s="62" t="s">
        <v>165</v>
      </c>
      <c r="X9" s="56"/>
      <c r="Y9" s="56"/>
      <c r="Z9" s="56"/>
      <c r="AA9" s="56"/>
      <c r="AB9" s="56"/>
      <c r="AC9" s="56"/>
      <c r="AD9" s="56"/>
    </row>
    <row r="10" spans="1:30" s="73" customFormat="1" x14ac:dyDescent="0.15">
      <c r="A10" s="59" t="s">
        <v>186</v>
      </c>
      <c r="B10" s="65" t="s">
        <v>200</v>
      </c>
      <c r="C10" s="60">
        <f>C$2</f>
        <v>50016</v>
      </c>
      <c r="D10" s="65" t="s">
        <v>179</v>
      </c>
      <c r="E10" s="66" t="str">
        <f t="shared" si="1"/>
        <v>stage_hints_data_c_50016.tmp</v>
      </c>
      <c r="F10" s="65" t="s">
        <v>208</v>
      </c>
      <c r="G10" s="71" t="s">
        <v>180</v>
      </c>
      <c r="H10" s="71" t="s">
        <v>172</v>
      </c>
      <c r="I10" s="72" t="s">
        <v>181</v>
      </c>
      <c r="J10" s="64" t="s">
        <v>182</v>
      </c>
      <c r="K10" s="64" t="s">
        <v>183</v>
      </c>
      <c r="L10" s="98"/>
      <c r="M10" s="98"/>
      <c r="N10" s="98"/>
      <c r="O10" s="98"/>
      <c r="P10" s="98"/>
      <c r="Q10" s="98"/>
      <c r="R10" s="98"/>
      <c r="S10" s="98"/>
      <c r="T10" s="98"/>
      <c r="U10" s="98"/>
      <c r="V10" s="98"/>
      <c r="W10" s="98"/>
      <c r="X10" s="98"/>
      <c r="Y10" s="98"/>
      <c r="Z10" s="98"/>
      <c r="AA10" s="98"/>
      <c r="AB10" s="98"/>
      <c r="AC10" s="98"/>
      <c r="AD10" s="98"/>
    </row>
    <row r="11" spans="1:30" s="73" customFormat="1" x14ac:dyDescent="0.15">
      <c r="A11" s="104" t="s">
        <v>255</v>
      </c>
      <c r="B11" s="65" t="s">
        <v>201</v>
      </c>
      <c r="C11" s="60">
        <f t="shared" si="0"/>
        <v>50016</v>
      </c>
      <c r="D11" s="65" t="s">
        <v>170</v>
      </c>
      <c r="E11" s="66" t="str">
        <f t="shared" ref="E11:E13" si="2">B11&amp;C11&amp;D11</f>
        <v>stage_hints_data_f_50016.tmp</v>
      </c>
      <c r="F11" s="65" t="s">
        <v>209</v>
      </c>
      <c r="G11" s="71" t="s">
        <v>180</v>
      </c>
      <c r="H11" s="71" t="s">
        <v>172</v>
      </c>
      <c r="I11" s="72" t="s">
        <v>181</v>
      </c>
      <c r="J11" s="64" t="s">
        <v>182</v>
      </c>
      <c r="K11" s="64" t="s">
        <v>183</v>
      </c>
      <c r="L11" s="98"/>
      <c r="M11" s="98"/>
      <c r="N11" s="98"/>
      <c r="O11" s="98"/>
      <c r="P11" s="98"/>
      <c r="Q11" s="98"/>
      <c r="R11" s="98"/>
      <c r="S11" s="98"/>
      <c r="T11" s="98"/>
      <c r="U11" s="98"/>
      <c r="V11" s="98"/>
      <c r="W11" s="98"/>
      <c r="X11" s="98"/>
      <c r="Y11" s="98"/>
      <c r="Z11" s="98"/>
      <c r="AA11" s="98"/>
      <c r="AB11" s="98"/>
      <c r="AC11" s="98"/>
      <c r="AD11" s="98"/>
    </row>
    <row r="12" spans="1:30" s="73" customFormat="1" x14ac:dyDescent="0.15">
      <c r="A12" s="104" t="s">
        <v>255</v>
      </c>
      <c r="B12" s="65" t="s">
        <v>202</v>
      </c>
      <c r="C12" s="60">
        <f t="shared" si="0"/>
        <v>50016</v>
      </c>
      <c r="D12" s="65" t="s">
        <v>170</v>
      </c>
      <c r="E12" s="66" t="str">
        <f t="shared" si="2"/>
        <v>stage_hints_i18n_50016.tmp</v>
      </c>
      <c r="F12" s="65" t="s">
        <v>210</v>
      </c>
      <c r="G12" s="72" t="s">
        <v>203</v>
      </c>
      <c r="H12" s="91" t="s">
        <v>204</v>
      </c>
      <c r="I12" s="71" t="s">
        <v>205</v>
      </c>
      <c r="J12" s="99" t="s">
        <v>206</v>
      </c>
      <c r="K12" s="64" t="s">
        <v>207</v>
      </c>
      <c r="L12" s="98"/>
      <c r="M12" s="98"/>
      <c r="N12" s="98"/>
      <c r="O12" s="98"/>
      <c r="P12" s="98"/>
      <c r="Q12" s="98"/>
      <c r="R12" s="98"/>
      <c r="S12" s="98"/>
      <c r="T12" s="98"/>
      <c r="U12" s="98"/>
      <c r="V12" s="98"/>
      <c r="W12" s="98"/>
      <c r="X12" s="98"/>
      <c r="Y12" s="98"/>
      <c r="Z12" s="98"/>
      <c r="AA12" s="98"/>
      <c r="AB12" s="98"/>
      <c r="AC12" s="98"/>
      <c r="AD12" s="98"/>
    </row>
    <row r="13" spans="1:30" s="73" customFormat="1" x14ac:dyDescent="0.15">
      <c r="A13" s="104" t="s">
        <v>255</v>
      </c>
      <c r="B13" s="65" t="s">
        <v>249</v>
      </c>
      <c r="C13" s="60">
        <f t="shared" si="0"/>
        <v>50016</v>
      </c>
      <c r="D13" s="65" t="s">
        <v>230</v>
      </c>
      <c r="E13" s="66" t="str">
        <f t="shared" si="2"/>
        <v>stage_bonuses_50016.tmp</v>
      </c>
      <c r="F13" s="65" t="s">
        <v>229</v>
      </c>
      <c r="G13" s="71" t="s">
        <v>231</v>
      </c>
      <c r="H13" s="71" t="s">
        <v>232</v>
      </c>
      <c r="I13" s="71" t="s">
        <v>233</v>
      </c>
      <c r="J13" s="71" t="s">
        <v>234</v>
      </c>
      <c r="K13" s="71" t="s">
        <v>235</v>
      </c>
      <c r="L13" s="71" t="s">
        <v>236</v>
      </c>
      <c r="M13" s="71" t="s">
        <v>237</v>
      </c>
      <c r="N13" s="71" t="s">
        <v>238</v>
      </c>
      <c r="O13" s="71" t="s">
        <v>239</v>
      </c>
      <c r="P13" s="71" t="s">
        <v>240</v>
      </c>
      <c r="Q13" s="71" t="s">
        <v>241</v>
      </c>
      <c r="R13" s="71" t="s">
        <v>242</v>
      </c>
      <c r="S13" s="71" t="s">
        <v>243</v>
      </c>
      <c r="T13" s="71" t="s">
        <v>244</v>
      </c>
      <c r="U13" s="71" t="s">
        <v>245</v>
      </c>
      <c r="V13" s="71" t="s">
        <v>246</v>
      </c>
      <c r="W13" s="71" t="s">
        <v>247</v>
      </c>
      <c r="X13" s="71" t="s">
        <v>248</v>
      </c>
      <c r="Y13" s="98"/>
      <c r="Z13" s="98"/>
      <c r="AA13" s="98"/>
      <c r="AB13" s="98"/>
      <c r="AC13" s="98"/>
      <c r="AD13" s="98"/>
    </row>
  </sheetData>
  <phoneticPr fontId="5"/>
  <dataValidations count="1">
    <dataValidation type="list" allowBlank="1" showInputMessage="1" showErrorMessage="1" sqref="A2:A13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K5"/>
  <sheetViews>
    <sheetView showGridLines="0" workbookViewId="0">
      <pane ySplit="1" topLeftCell="A2" activePane="bottomLeft" state="frozen"/>
      <selection activeCell="V2" sqref="V2:X34"/>
      <selection pane="bottomLeft" activeCell="F5" sqref="F5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3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6" t="str">
        <f>G2&amp;"-"&amp;I2</f>
        <v>50016_1-1</v>
      </c>
      <c r="B2" s="16" t="str">
        <f>IF(COUNTIF(enemy_habitats!$H:$H,A2),"OK","NG")</f>
        <v>OK</v>
      </c>
      <c r="C2" s="7">
        <v>50016</v>
      </c>
      <c r="D2" s="11" t="str">
        <f ca="1">VLOOKUP($C2,OFFSET([2]quests!$A$1,0,0,COUNTA([2]quests!$A:$A),MATCH(D$1,[2]quests!$1:$1,0)-MATCH($C$1,[2]quests!$1:$1,0)+1),MATCH(D$1,[2]quests!$1:$1,0)-MATCH($C$1,[2]quests!$1:$1,0)+1,FALSE)</f>
        <v>アレキサンダー襲来！</v>
      </c>
      <c r="E2" s="18" t="str">
        <f ca="1">VLOOKUP($C2,OFFSET([2]quests!$A$1,0,0,COUNTA([2]quests!$A:$A),MATCH(E$1,[2]quests!$1:$1,0)-MATCH($C$1,[2]quests!$1:$1,0)+1),MATCH(E$1,[2]quests!$1:$1,0)-MATCH($C$1,[2]quests!$1:$1,0)+1,FALSE)</f>
        <v>超降臨15</v>
      </c>
      <c r="F2" s="21">
        <v>1</v>
      </c>
      <c r="G2" s="23" t="str">
        <f>C2&amp;"_"&amp;F2</f>
        <v>50016_1</v>
      </c>
      <c r="H2" s="15" t="str">
        <f ca="1">VLOOKUP($G2,OFFSET([2]stages!$A$1,0,0,COUNTA([2]stages!$A:$A),MATCH(H$1,[2]stages!$2:$2,0)-MATCH($G$1,[2]stages!$2:$2,0)+1),MATCH(H$1,[2]stages!$2:$2,0)-MATCH($G$1,[2]stages!$2:$2,0)+1,FALSE)</f>
        <v>【超ウィザ】アレキサンダー襲来</v>
      </c>
      <c r="I2" s="21">
        <v>1</v>
      </c>
      <c r="J2" s="12">
        <v>60</v>
      </c>
      <c r="K2" s="12">
        <v>60</v>
      </c>
    </row>
    <row r="3" spans="1:11" ht="21" customHeight="1" x14ac:dyDescent="0.15">
      <c r="A3" s="16" t="str">
        <f t="shared" ref="A3:A5" si="0">G3&amp;"-"&amp;I3</f>
        <v>50016_1-2</v>
      </c>
      <c r="B3" s="16" t="str">
        <f>IF(COUNTIF(enemy_habitats!$H:$H,A3),"OK","NG")</f>
        <v>OK</v>
      </c>
      <c r="C3" s="7">
        <v>50016</v>
      </c>
      <c r="D3" s="11" t="str">
        <f ca="1">VLOOKUP($C3,OFFSET([2]quests!$A$1,0,0,COUNTA([2]quests!$A:$A),MATCH(D$1,[2]quests!$1:$1,0)-MATCH($C$1,[2]quests!$1:$1,0)+1),MATCH(D$1,[2]quests!$1:$1,0)-MATCH($C$1,[2]quests!$1:$1,0)+1,FALSE)</f>
        <v>アレキサンダー襲来！</v>
      </c>
      <c r="E3" s="18" t="str">
        <f ca="1">VLOOKUP($C3,OFFSET([2]quests!$A$1,0,0,COUNTA([2]quests!$A:$A),MATCH(E$1,[2]quests!$1:$1,0)-MATCH($C$1,[2]quests!$1:$1,0)+1),MATCH(E$1,[2]quests!$1:$1,0)-MATCH($C$1,[2]quests!$1:$1,0)+1,FALSE)</f>
        <v>超降臨15</v>
      </c>
      <c r="F3" s="21">
        <v>1</v>
      </c>
      <c r="G3" s="23" t="str">
        <f t="shared" ref="G3:G5" si="1">C3&amp;"_"&amp;F3</f>
        <v>50016_1</v>
      </c>
      <c r="H3" s="15" t="str">
        <f ca="1">VLOOKUP($G3,OFFSET([2]stages!$A$1,0,0,COUNTA([2]stages!$A:$A),MATCH(H$1,[2]stages!$2:$2,0)-MATCH($G$1,[2]stages!$2:$2,0)+1),MATCH(H$1,[2]stages!$2:$2,0)-MATCH($G$1,[2]stages!$2:$2,0)+1,FALSE)</f>
        <v>【超ウィザ】アレキサンダー襲来</v>
      </c>
      <c r="I3" s="21">
        <v>2</v>
      </c>
      <c r="J3" s="12">
        <v>60</v>
      </c>
      <c r="K3" s="12">
        <v>60</v>
      </c>
    </row>
    <row r="4" spans="1:11" ht="21" customHeight="1" x14ac:dyDescent="0.15">
      <c r="A4" s="16" t="str">
        <f t="shared" si="0"/>
        <v>50016_1-3</v>
      </c>
      <c r="B4" s="16" t="str">
        <f>IF(COUNTIF(enemy_habitats!$H:$H,A4),"OK","NG")</f>
        <v>OK</v>
      </c>
      <c r="C4" s="7">
        <v>50016</v>
      </c>
      <c r="D4" s="11" t="str">
        <f ca="1">VLOOKUP($C4,OFFSET([2]quests!$A$1,0,0,COUNTA([2]quests!$A:$A),MATCH(D$1,[2]quests!$1:$1,0)-MATCH($C$1,[2]quests!$1:$1,0)+1),MATCH(D$1,[2]quests!$1:$1,0)-MATCH($C$1,[2]quests!$1:$1,0)+1,FALSE)</f>
        <v>アレキサンダー襲来！</v>
      </c>
      <c r="E4" s="18" t="str">
        <f ca="1">VLOOKUP($C4,OFFSET([2]quests!$A$1,0,0,COUNTA([2]quests!$A:$A),MATCH(E$1,[2]quests!$1:$1,0)-MATCH($C$1,[2]quests!$1:$1,0)+1),MATCH(E$1,[2]quests!$1:$1,0)-MATCH($C$1,[2]quests!$1:$1,0)+1,FALSE)</f>
        <v>超降臨15</v>
      </c>
      <c r="F4" s="21">
        <v>1</v>
      </c>
      <c r="G4" s="23" t="str">
        <f t="shared" si="1"/>
        <v>50016_1</v>
      </c>
      <c r="H4" s="15" t="str">
        <f ca="1">VLOOKUP($G4,OFFSET([2]stages!$A$1,0,0,COUNTA([2]stages!$A:$A),MATCH(H$1,[2]stages!$2:$2,0)-MATCH($G$1,[2]stages!$2:$2,0)+1),MATCH(H$1,[2]stages!$2:$2,0)-MATCH($G$1,[2]stages!$2:$2,0)+1,FALSE)</f>
        <v>【超ウィザ】アレキサンダー襲来</v>
      </c>
      <c r="I4" s="21">
        <v>3</v>
      </c>
      <c r="J4" s="12">
        <v>60</v>
      </c>
      <c r="K4" s="12">
        <v>60</v>
      </c>
    </row>
    <row r="5" spans="1:11" ht="21" customHeight="1" x14ac:dyDescent="0.15">
      <c r="A5" s="16" t="str">
        <f t="shared" si="0"/>
        <v>50016_1-4</v>
      </c>
      <c r="B5" s="16" t="str">
        <f>IF(COUNTIF(enemy_habitats!$H:$H,A5),"OK","NG")</f>
        <v>OK</v>
      </c>
      <c r="C5" s="7">
        <v>50016</v>
      </c>
      <c r="D5" s="11" t="str">
        <f ca="1">VLOOKUP($C5,OFFSET([2]quests!$A$1,0,0,COUNTA([2]quests!$A:$A),MATCH(D$1,[2]quests!$1:$1,0)-MATCH($C$1,[2]quests!$1:$1,0)+1),MATCH(D$1,[2]quests!$1:$1,0)-MATCH($C$1,[2]quests!$1:$1,0)+1,FALSE)</f>
        <v>アレキサンダー襲来！</v>
      </c>
      <c r="E5" s="18" t="str">
        <f ca="1">VLOOKUP($C5,OFFSET([2]quests!$A$1,0,0,COUNTA([2]quests!$A:$A),MATCH(E$1,[2]quests!$1:$1,0)-MATCH($C$1,[2]quests!$1:$1,0)+1),MATCH(E$1,[2]quests!$1:$1,0)-MATCH($C$1,[2]quests!$1:$1,0)+1,FALSE)</f>
        <v>超降臨15</v>
      </c>
      <c r="F5" s="21">
        <v>1</v>
      </c>
      <c r="G5" s="23" t="str">
        <f t="shared" si="1"/>
        <v>50016_1</v>
      </c>
      <c r="H5" s="15" t="str">
        <f ca="1">VLOOKUP($G5,OFFSET([2]stages!$A$1,0,0,COUNTA([2]stages!$A:$A),MATCH(H$1,[2]stages!$2:$2,0)-MATCH($G$1,[2]stages!$2:$2,0)+1),MATCH(H$1,[2]stages!$2:$2,0)-MATCH($G$1,[2]stages!$2:$2,0)+1,FALSE)</f>
        <v>【超ウィザ】アレキサンダー襲来</v>
      </c>
      <c r="I5" s="21">
        <v>4</v>
      </c>
      <c r="J5" s="12">
        <v>60</v>
      </c>
      <c r="K5" s="12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AR6"/>
  <sheetViews>
    <sheetView showGridLines="0" workbookViewId="0">
      <pane xSplit="17" ySplit="1" topLeftCell="R2" activePane="bottomRight" state="frozen"/>
      <selection pane="topRight" activeCell="N1" sqref="N1"/>
      <selection pane="bottomLeft" activeCell="A2" sqref="A2"/>
      <selection pane="bottomRight" activeCell="X5" sqref="X5"/>
    </sheetView>
  </sheetViews>
  <sheetFormatPr baseColWidth="12" defaultColWidth="13" defaultRowHeight="21" customHeight="1" outlineLevelCol="1" x14ac:dyDescent="0.15"/>
  <cols>
    <col min="1" max="1" width="15.83203125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bestFit="1" customWidth="1" collapsed="1"/>
    <col min="13" max="13" width="8.83203125" style="3" hidden="1" customWidth="1" outlineLevel="1"/>
    <col min="14" max="14" width="8.6640625" style="3" hidden="1" customWidth="1" outlineLevel="1"/>
    <col min="15" max="15" width="12" style="3" hidden="1" customWidth="1" outlineLevel="1"/>
    <col min="16" max="16" width="21" style="3" hidden="1" customWidth="1" outlineLevel="1"/>
    <col min="17" max="17" width="8" style="3" hidden="1" customWidth="1" outlineLevel="1"/>
    <col min="18" max="18" width="8.33203125" style="3" bestFit="1" customWidth="1"/>
    <col min="19" max="19" width="14.83203125" style="3" bestFit="1" customWidth="1"/>
    <col min="20" max="21" width="14.83203125" style="102" customWidth="1"/>
    <col min="22" max="22" width="17.5" style="3" bestFit="1" customWidth="1"/>
    <col min="23" max="24" width="17.5" style="3" customWidth="1"/>
    <col min="25" max="25" width="18.33203125" style="3" bestFit="1" customWidth="1"/>
    <col min="26" max="26" width="10" style="3" customWidth="1"/>
    <col min="27" max="27" width="12.1640625" style="3" customWidth="1" outlineLevel="1"/>
    <col min="28" max="28" width="11.33203125" style="3" bestFit="1" customWidth="1"/>
    <col min="29" max="29" width="11.6640625" style="3" bestFit="1" customWidth="1"/>
    <col min="30" max="30" width="10.6640625" style="3" bestFit="1" customWidth="1"/>
    <col min="31" max="31" width="9.33203125" style="3" bestFit="1" customWidth="1"/>
    <col min="32" max="32" width="13" style="3" bestFit="1" customWidth="1"/>
    <col min="33" max="33" width="8.83203125" style="13" bestFit="1" customWidth="1" outlineLevel="1"/>
    <col min="34" max="34" width="8" style="14" bestFit="1" customWidth="1" outlineLevel="1"/>
    <col min="35" max="35" width="12" style="14" bestFit="1" customWidth="1" outlineLevel="1"/>
    <col min="36" max="36" width="15" style="10" bestFit="1" customWidth="1" collapsed="1"/>
    <col min="37" max="38" width="14.83203125" style="3" bestFit="1" customWidth="1"/>
    <col min="39" max="39" width="6.6640625" style="3" bestFit="1" customWidth="1"/>
    <col min="40" max="40" width="9.33203125" style="3" bestFit="1" customWidth="1"/>
    <col min="41" max="41" width="10.33203125" style="3" bestFit="1" customWidth="1"/>
    <col min="42" max="42" width="7.6640625" style="3" bestFit="1" customWidth="1"/>
    <col min="43" max="43" width="4" style="3" bestFit="1" customWidth="1"/>
    <col min="44" max="16384" width="13" style="3"/>
  </cols>
  <sheetData>
    <row r="1" spans="1:44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20</v>
      </c>
      <c r="F1" s="30" t="s">
        <v>20</v>
      </c>
      <c r="G1" s="28" t="s">
        <v>19</v>
      </c>
      <c r="H1" s="29" t="s">
        <v>35</v>
      </c>
      <c r="I1" s="29" t="s">
        <v>14</v>
      </c>
      <c r="J1" s="29" t="s">
        <v>15</v>
      </c>
      <c r="K1" s="36" t="s">
        <v>54</v>
      </c>
      <c r="L1" s="37" t="s">
        <v>2</v>
      </c>
      <c r="M1" s="31" t="s">
        <v>21</v>
      </c>
      <c r="N1" s="29" t="s">
        <v>24</v>
      </c>
      <c r="O1" s="29" t="s">
        <v>23</v>
      </c>
      <c r="P1" s="32" t="s">
        <v>26</v>
      </c>
      <c r="Q1" s="30" t="s">
        <v>25</v>
      </c>
      <c r="R1" s="28" t="s">
        <v>3</v>
      </c>
      <c r="S1" s="26" t="s">
        <v>48</v>
      </c>
      <c r="T1" s="100" t="s">
        <v>250</v>
      </c>
      <c r="U1" s="67" t="s">
        <v>272</v>
      </c>
      <c r="V1" s="26" t="s">
        <v>50</v>
      </c>
      <c r="W1" s="100" t="s">
        <v>251</v>
      </c>
      <c r="X1" s="67" t="s">
        <v>273</v>
      </c>
      <c r="Y1" s="129" t="s">
        <v>52</v>
      </c>
      <c r="Z1" s="29" t="s">
        <v>31</v>
      </c>
      <c r="AA1" s="28" t="s">
        <v>4</v>
      </c>
      <c r="AB1" s="28" t="s">
        <v>5</v>
      </c>
      <c r="AC1" s="28" t="s">
        <v>6</v>
      </c>
      <c r="AD1" s="28" t="s">
        <v>7</v>
      </c>
      <c r="AE1" s="28" t="s">
        <v>8</v>
      </c>
      <c r="AF1" s="33" t="s">
        <v>9</v>
      </c>
      <c r="AG1" s="34" t="s">
        <v>16</v>
      </c>
      <c r="AH1" s="34" t="s">
        <v>17</v>
      </c>
      <c r="AI1" s="34" t="s">
        <v>27</v>
      </c>
      <c r="AJ1" s="33" t="s">
        <v>10</v>
      </c>
      <c r="AK1" s="28" t="s">
        <v>11</v>
      </c>
      <c r="AL1" s="28" t="s">
        <v>12</v>
      </c>
      <c r="AM1" s="28" t="s">
        <v>38</v>
      </c>
      <c r="AN1" s="28" t="s">
        <v>40</v>
      </c>
      <c r="AO1" s="28" t="s">
        <v>42</v>
      </c>
      <c r="AP1" s="28" t="s">
        <v>44</v>
      </c>
      <c r="AQ1" s="28" t="s">
        <v>46</v>
      </c>
      <c r="AR1" s="36" t="s">
        <v>178</v>
      </c>
    </row>
    <row r="2" spans="1:44" ht="21" customHeight="1" x14ac:dyDescent="0.15">
      <c r="A2" s="16" t="str">
        <f>B2&amp;"_"&amp;C2&amp;"-"&amp;G2&amp;"/"&amp;L2&amp;"&lt;lv"&amp;R2&amp;"&gt;s"&amp;AE2</f>
        <v>50016_1-1/652&lt;lv80&gt;s1</v>
      </c>
      <c r="B2" s="22">
        <v>50016</v>
      </c>
      <c r="C2" s="21">
        <v>1</v>
      </c>
      <c r="D2" s="2" t="str">
        <f>B2&amp;"_"&amp;C2</f>
        <v>50016_1</v>
      </c>
      <c r="E2" s="4" t="str">
        <f ca="1">VLOOKUP($B2,OFFSET([2]quests!$A$1,0,0,COUNTA([2]quests!$A:$A),MATCH(E$1,[2]quests!$1:$1,0)-MATCH($B$1,[2]quests!$1:$1,0)+1),MATCH(E$1,[2]quests!$1:$1,0)-MATCH($B$1,[2]quests!$1:$1,0)+1,FALSE)</f>
        <v>アレキサンダー襲来！</v>
      </c>
      <c r="F2" s="4" t="str">
        <f ca="1">VLOOKUP($D2,OFFSET([2]stages!$A$1,0,0,COUNTA([2]stages!$A:$A),MATCH(F$1,[2]stages!$2:$2,0)-MATCH($D$1,[2]stages!$2:$2,0)+1),MATCH(F$1,[2]stages!$2:$2,0)-MATCH($D$1,[2]stages!$2:$2,0)+1,FALSE)</f>
        <v>【超ウィザ】アレキサンダー襲来</v>
      </c>
      <c r="G2" s="21">
        <v>1</v>
      </c>
      <c r="H2" s="15" t="str">
        <f>B2&amp;"_"&amp;C2&amp;"-"&amp;G2</f>
        <v>50016_1-1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 t="s">
        <v>53</v>
      </c>
      <c r="L2" s="20">
        <v>652</v>
      </c>
      <c r="M2" s="17" t="str">
        <f ca="1">VLOOKUP($L2,OFFSET([3]enemies!$A$1,0,0,COUNTA([3]enemies!$A:$A),MATCH(M$1,[3]enemies!$1:$1,0)-MATCH($L$1,[3]enemies!$1:$1,0)+1),MATCH(M$1,[3]enemies!$1:$1,0)-MATCH($L$1,[3]enemies!$1:$1,0)+1,FALSE)</f>
        <v>アナンタ</v>
      </c>
      <c r="N2" s="17" t="str">
        <f ca="1">VLOOKUP($L2,OFFSET([3]enemies!$A$1,0,0,COUNTA([3]enemies!$A:$A),MATCH(N$1,[3]enemies!$1:$1,0)-MATCH($L$1,[3]enemies!$1:$1,0)+1),MATCH(N$1,[3]enemies!$1:$1,0)-MATCH($L$1,[3]enemies!$1:$1,0)+1,FALSE)</f>
        <v>yellow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Drop2N</v>
      </c>
      <c r="P2" s="17" t="str">
        <f ca="1">VLOOKUP($L2,OFFSET([3]enemies!$A$1,0,0,COUNTA([3]enemies!$A:$A),MATCH(P$1,[3]enemies!$1:$1,0)-MATCH($L$1,[3]enemies!$1:$1,0)+1),MATCH(P$1,[3]enemies!$1:$1,0)-MATCH($L$1,[3]enemies!$1:$1,0)+1,FALSE)</f>
        <v>dragon</v>
      </c>
      <c r="Q2" s="17">
        <f ca="1">VLOOKUP($L2,OFFSET([3]enemies!$A$1,0,0,COUNTA([3]enemies!$A:$A),MATCH(Q$1,[3]enemies!$1:$1,0)-MATCH($L$1,[3]enemies!$1:$1,0)+1),MATCH(Q$1,[3]enemies!$1:$1,0)-MATCH($L$1,[3]enemies!$1:$1,0)+1,FALSE)</f>
        <v>30</v>
      </c>
      <c r="R2" s="5">
        <v>80</v>
      </c>
      <c r="S2" s="25">
        <v>0.9</v>
      </c>
      <c r="T2" s="101">
        <f>119406*S2</f>
        <v>107465.40000000001</v>
      </c>
      <c r="U2" s="133">
        <f>T2*(10/7)</f>
        <v>153522.00000000003</v>
      </c>
      <c r="V2" s="134">
        <v>0.2</v>
      </c>
      <c r="W2" s="101">
        <f>12212*V2</f>
        <v>2442.4</v>
      </c>
      <c r="X2" s="133">
        <f>W2*(10/7)</f>
        <v>3489.1428571428573</v>
      </c>
      <c r="Y2" s="132">
        <v>0</v>
      </c>
      <c r="Z2" s="4"/>
      <c r="AA2" s="127">
        <v>50016000</v>
      </c>
      <c r="AB2" s="6">
        <v>1</v>
      </c>
      <c r="AC2" s="6">
        <v>100</v>
      </c>
      <c r="AD2" s="6">
        <v>0</v>
      </c>
      <c r="AE2" s="17">
        <v>1</v>
      </c>
      <c r="AF2" s="24">
        <f>L2</f>
        <v>652</v>
      </c>
      <c r="AG2" s="4" t="str">
        <f ca="1">VLOOKUP($AF2,OFFSET([4]characters!$A$1,0,0,COUNTA([4]characters!$A:$A),MATCH(AG$1,[4]characters!$1:$1,0)-MATCH("character_id",[4]characters!$1:$1,0)+1),MATCH(AG$1,[4]characters!$1:$1,0)-MATCH("character_id",[4]characters!$1:$1,0)+1,FALSE)</f>
        <v>アナンタ</v>
      </c>
      <c r="AH2" s="4">
        <f ca="1">VLOOKUP($AF2,OFFSET([4]characters!$A$1,0,0,COUNTA([4]characters!$A:$A),MATCH(AH$1,[4]characters!$1:$1,0)-MATCH("character_id",[4]characters!$1:$1,0)+1),MATCH(AH$1,[4]characters!$1:$1,0)-MATCH("character_id",[4]characters!$1:$1,0)+1,FALSE)</f>
        <v>4</v>
      </c>
      <c r="AI2" s="4" t="str">
        <f ca="1">VLOOKUP($AF2,OFFSET([4]characters!$A$1,0,0,COUNTA([4]characters!$A:$A),MATCH(AI$1,[4]characters!$1:$1,0)-MATCH("character_id",[4]characters!$1:$1,0)+1),MATCH(AI$1,[4]characters!$1:$1,0)-MATCH("character_id",[4]characters!$1:$1,0)+1,FALSE)</f>
        <v>Drop2N</v>
      </c>
      <c r="AJ2" s="7">
        <v>1</v>
      </c>
      <c r="AK2" s="24">
        <f ca="1">AH2</f>
        <v>4</v>
      </c>
      <c r="AL2" s="8">
        <v>0</v>
      </c>
      <c r="AM2" s="7">
        <v>0</v>
      </c>
      <c r="AN2" s="7">
        <v>0</v>
      </c>
      <c r="AO2" s="7">
        <v>0</v>
      </c>
      <c r="AP2" s="7">
        <v>0</v>
      </c>
      <c r="AQ2" s="7">
        <v>1</v>
      </c>
      <c r="AR2" s="67">
        <v>1</v>
      </c>
    </row>
    <row r="3" spans="1:44" ht="21" customHeight="1" x14ac:dyDescent="0.15">
      <c r="A3" s="16" t="str">
        <f>B3&amp;"_"&amp;C3&amp;"-"&amp;G3&amp;"/"&amp;L3&amp;"&lt;lv"&amp;R3&amp;"&gt;s"&amp;AE3</f>
        <v>50016_1-1/676&lt;lv80&gt;s1</v>
      </c>
      <c r="B3" s="22">
        <v>50016</v>
      </c>
      <c r="C3" s="21">
        <v>1</v>
      </c>
      <c r="D3" s="2" t="str">
        <f>B3&amp;"_"&amp;C3</f>
        <v>50016_1</v>
      </c>
      <c r="E3" s="4" t="str">
        <f ca="1">VLOOKUP($B3,OFFSET([2]quests!$A$1,0,0,COUNTA([2]quests!$A:$A),MATCH(E$1,[2]quests!$1:$1,0)-MATCH($B$1,[2]quests!$1:$1,0)+1),MATCH(E$1,[2]quests!$1:$1,0)-MATCH($B$1,[2]quests!$1:$1,0)+1,FALSE)</f>
        <v>アレキサンダー襲来！</v>
      </c>
      <c r="F3" s="4" t="str">
        <f ca="1">VLOOKUP($D3,OFFSET([2]stages!$A$1,0,0,COUNTA([2]stages!$A:$A),MATCH(F$1,[2]stages!$2:$2,0)-MATCH($D$1,[2]stages!$2:$2,0)+1),MATCH(F$1,[2]stages!$2:$2,0)-MATCH($D$1,[2]stages!$2:$2,0)+1,FALSE)</f>
        <v>【超ウィザ】アレキサンダー襲来</v>
      </c>
      <c r="G3" s="21">
        <v>1</v>
      </c>
      <c r="H3" s="15" t="str">
        <f>B3&amp;"_"&amp;C3&amp;"-"&amp;G3</f>
        <v>50016_1-1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 t="s">
        <v>53</v>
      </c>
      <c r="L3" s="20">
        <v>676</v>
      </c>
      <c r="M3" s="17" t="str">
        <f ca="1">VLOOKUP($L3,OFFSET([3]enemies!$A$1,0,0,COUNTA([3]enemies!$A:$A),MATCH(M$1,[3]enemies!$1:$1,0)-MATCH($L$1,[3]enemies!$1:$1,0)+1),MATCH(M$1,[3]enemies!$1:$1,0)-MATCH($L$1,[3]enemies!$1:$1,0)+1,FALSE)</f>
        <v>ヴィシュヌ</v>
      </c>
      <c r="N3" s="17" t="str">
        <f ca="1">VLOOKUP($L3,OFFSET([3]enemies!$A$1,0,0,COUNTA([3]enemies!$A:$A),MATCH(N$1,[3]enemies!$1:$1,0)-MATCH($L$1,[3]enemies!$1:$1,0)+1),MATCH(N$1,[3]enemies!$1:$1,0)-MATCH($L$1,[3]enemies!$1:$1,0)+1,FALSE)</f>
        <v>yellow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PremiumSS</v>
      </c>
      <c r="P3" s="17" t="str">
        <f ca="1">VLOOKUP($L3,OFFSET([3]enemies!$A$1,0,0,COUNTA([3]enemies!$A:$A),MATCH(P$1,[3]enemies!$1:$1,0)-MATCH($L$1,[3]enemies!$1:$1,0)+1),MATCH(P$1,[3]enemies!$1:$1,0)-MATCH($L$1,[3]enemies!$1:$1,0)+1,FALSE)</f>
        <v>god</v>
      </c>
      <c r="Q3" s="17">
        <f ca="1">VLOOKUP($L3,OFFSET([3]enemies!$A$1,0,0,COUNTA([3]enemies!$A:$A),MATCH(Q$1,[3]enemies!$1:$1,0)-MATCH($L$1,[3]enemies!$1:$1,0)+1),MATCH(Q$1,[3]enemies!$1:$1,0)-MATCH($L$1,[3]enemies!$1:$1,0)+1,FALSE)</f>
        <v>30</v>
      </c>
      <c r="R3" s="5">
        <v>80</v>
      </c>
      <c r="S3" s="25">
        <v>1.1000000000000001</v>
      </c>
      <c r="T3" s="101">
        <f>99679*S3</f>
        <v>109646.90000000001</v>
      </c>
      <c r="U3" s="133">
        <f>T3*(10/7)</f>
        <v>156638.42857142858</v>
      </c>
      <c r="V3" s="134">
        <v>0.2</v>
      </c>
      <c r="W3" s="101">
        <f>11324*V3</f>
        <v>2264.8000000000002</v>
      </c>
      <c r="X3" s="133">
        <f>W3*(10/7)</f>
        <v>3235.4285714285716</v>
      </c>
      <c r="Y3" s="132">
        <v>0</v>
      </c>
      <c r="Z3" s="4"/>
      <c r="AA3" s="127">
        <v>50016010</v>
      </c>
      <c r="AB3" s="6">
        <v>1</v>
      </c>
      <c r="AC3" s="6">
        <v>100</v>
      </c>
      <c r="AD3" s="6">
        <v>0</v>
      </c>
      <c r="AE3" s="17">
        <v>1</v>
      </c>
      <c r="AF3" s="24">
        <f>L3</f>
        <v>676</v>
      </c>
      <c r="AG3" s="4" t="str">
        <f ca="1">VLOOKUP($AF3,OFFSET([4]characters!$A$1,0,0,COUNTA([4]characters!$A:$A),MATCH(AG$1,[4]characters!$1:$1,0)-MATCH("character_id",[4]characters!$1:$1,0)+1),MATCH(AG$1,[4]characters!$1:$1,0)-MATCH("character_id",[4]characters!$1:$1,0)+1,FALSE)</f>
        <v>ヴィシュヌ</v>
      </c>
      <c r="AH3" s="4">
        <f ca="1">VLOOKUP($AF3,OFFSET([4]characters!$A$1,0,0,COUNTA([4]characters!$A:$A),MATCH(AH$1,[4]characters!$1:$1,0)-MATCH("character_id",[4]characters!$1:$1,0)+1),MATCH(AH$1,[4]characters!$1:$1,0)-MATCH("character_id",[4]characters!$1:$1,0)+1,FALSE)</f>
        <v>4</v>
      </c>
      <c r="AI3" s="4" t="str">
        <f ca="1">VLOOKUP($AF3,OFFSET([4]characters!$A$1,0,0,COUNTA([4]characters!$A:$A),MATCH(AI$1,[4]characters!$1:$1,0)-MATCH("character_id",[4]characters!$1:$1,0)+1),MATCH(AI$1,[4]characters!$1:$1,0)-MATCH("character_id",[4]characters!$1:$1,0)+1,FALSE)</f>
        <v>PremiumSS</v>
      </c>
      <c r="AJ3" s="7">
        <v>1</v>
      </c>
      <c r="AK3" s="24">
        <f ca="1">AH3</f>
        <v>4</v>
      </c>
      <c r="AL3" s="8">
        <v>0</v>
      </c>
      <c r="AM3" s="7">
        <v>0</v>
      </c>
      <c r="AN3" s="7">
        <v>0</v>
      </c>
      <c r="AO3" s="7">
        <v>0</v>
      </c>
      <c r="AP3" s="7">
        <v>0</v>
      </c>
      <c r="AQ3" s="7">
        <v>1</v>
      </c>
      <c r="AR3" s="67">
        <v>1</v>
      </c>
    </row>
    <row r="4" spans="1:44" ht="21" customHeight="1" x14ac:dyDescent="0.15">
      <c r="A4" s="16" t="str">
        <f t="shared" ref="A4:A6" si="0">B4&amp;"_"&amp;C4&amp;"-"&amp;G4&amp;"/"&amp;L4&amp;"&lt;lv"&amp;R4&amp;"&gt;s"&amp;AE4</f>
        <v>50016_1-2/1138&lt;lv80&gt;s1</v>
      </c>
      <c r="B4" s="22">
        <v>50016</v>
      </c>
      <c r="C4" s="21">
        <v>1</v>
      </c>
      <c r="D4" s="2" t="str">
        <f t="shared" ref="D4:D6" si="1">B4&amp;"_"&amp;C4</f>
        <v>50016_1</v>
      </c>
      <c r="E4" s="4" t="str">
        <f ca="1">VLOOKUP($B4,OFFSET([2]quests!$A$1,0,0,COUNTA([2]quests!$A:$A),MATCH(E$1,[2]quests!$1:$1,0)-MATCH($B$1,[2]quests!$1:$1,0)+1),MATCH(E$1,[2]quests!$1:$1,0)-MATCH($B$1,[2]quests!$1:$1,0)+1,FALSE)</f>
        <v>アレキサンダー襲来！</v>
      </c>
      <c r="F4" s="4" t="str">
        <f ca="1">VLOOKUP($D4,OFFSET([2]stages!$A$1,0,0,COUNTA([2]stages!$A:$A),MATCH(F$1,[2]stages!$2:$2,0)-MATCH($D$1,[2]stages!$2:$2,0)+1),MATCH(F$1,[2]stages!$2:$2,0)-MATCH($D$1,[2]stages!$2:$2,0)+1,FALSE)</f>
        <v>【超ウィザ】アレキサンダー襲来</v>
      </c>
      <c r="G4" s="21">
        <v>2</v>
      </c>
      <c r="H4" s="15" t="str">
        <f t="shared" ref="H4:H6" si="2">B4&amp;"_"&amp;C4&amp;"-"&amp;G4</f>
        <v>50016_1-2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>
        <v>1</v>
      </c>
      <c r="L4" s="20">
        <v>1138</v>
      </c>
      <c r="M4" s="17" t="str">
        <f ca="1">VLOOKUP($L4,OFFSET([3]enemies!$A$1,0,0,COUNTA([3]enemies!$A:$A),MATCH(M$1,[3]enemies!$1:$1,0)-MATCH($L$1,[3]enemies!$1:$1,0)+1),MATCH(M$1,[3]enemies!$1:$1,0)-MATCH($L$1,[3]enemies!$1:$1,0)+1,FALSE)</f>
        <v>神算鬼謀の宰相 諸葛亮</v>
      </c>
      <c r="N4" s="17" t="str">
        <f ca="1">VLOOKUP($L4,OFFSET([3]enemies!$A$1,0,0,COUNTA([3]enemies!$A:$A),MATCH(N$1,[3]enemies!$1:$1,0)-MATCH($L$1,[3]enemies!$1:$1,0)+1),MATCH(N$1,[3]enemies!$1:$1,0)-MATCH($L$1,[3]enemies!$1:$1,0)+1,FALSE)</f>
        <v>red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PremiumSSw</v>
      </c>
      <c r="P4" s="17" t="str">
        <f ca="1">VLOOKUP($L4,OFFSET([3]enemies!$A$1,0,0,COUNTA([3]enemies!$A:$A),MATCH(P$1,[3]enemies!$1:$1,0)-MATCH($L$1,[3]enemies!$1:$1,0)+1),MATCH(P$1,[3]enemies!$1:$1,0)-MATCH($L$1,[3]enemies!$1:$1,0)+1,FALSE)</f>
        <v>samurai</v>
      </c>
      <c r="Q4" s="17">
        <f ca="1">VLOOKUP($L4,OFFSET([3]enemies!$A$1,0,0,COUNTA([3]enemies!$A:$A),MATCH(Q$1,[3]enemies!$1:$1,0)-MATCH($L$1,[3]enemies!$1:$1,0)+1),MATCH(Q$1,[3]enemies!$1:$1,0)-MATCH($L$1,[3]enemies!$1:$1,0)+1,FALSE)</f>
        <v>60</v>
      </c>
      <c r="R4" s="5">
        <v>80</v>
      </c>
      <c r="S4" s="25">
        <v>7.2</v>
      </c>
      <c r="T4" s="101">
        <f>124695*S4</f>
        <v>897804</v>
      </c>
      <c r="U4" s="131">
        <f>T4*(7/10)</f>
        <v>628462.79999999993</v>
      </c>
      <c r="V4" s="134">
        <v>1.8</v>
      </c>
      <c r="W4" s="101">
        <f>8171*V4</f>
        <v>14707.800000000001</v>
      </c>
      <c r="X4" s="131">
        <f>W4*(7/10)</f>
        <v>10295.460000000001</v>
      </c>
      <c r="Y4" s="132">
        <v>0</v>
      </c>
      <c r="Z4" s="4"/>
      <c r="AA4" s="127">
        <v>50016100</v>
      </c>
      <c r="AB4" s="6">
        <v>1</v>
      </c>
      <c r="AC4" s="6">
        <v>100</v>
      </c>
      <c r="AD4" s="6">
        <v>0</v>
      </c>
      <c r="AE4" s="17">
        <v>1</v>
      </c>
      <c r="AF4" s="24">
        <f t="shared" ref="AF4:AF6" si="3">L4</f>
        <v>1138</v>
      </c>
      <c r="AG4" s="4" t="str">
        <f ca="1">VLOOKUP($AF4,OFFSET([4]characters!$A$1,0,0,COUNTA([4]characters!$A:$A),MATCH(AG$1,[4]characters!$1:$1,0)-MATCH("character_id",[4]characters!$1:$1,0)+1),MATCH(AG$1,[4]characters!$1:$1,0)-MATCH("character_id",[4]characters!$1:$1,0)+1,FALSE)</f>
        <v>神算鬼謀の宰相 諸葛亮</v>
      </c>
      <c r="AH4" s="4">
        <f ca="1">VLOOKUP($AF4,OFFSET([4]characters!$A$1,0,0,COUNTA([4]characters!$A:$A),MATCH(AH$1,[4]characters!$1:$1,0)-MATCH("character_id",[4]characters!$1:$1,0)+1),MATCH(AH$1,[4]characters!$1:$1,0)-MATCH("character_id",[4]characters!$1:$1,0)+1,FALSE)</f>
        <v>6</v>
      </c>
      <c r="AI4" s="4" t="str">
        <f ca="1">VLOOKUP($AF4,OFFSET([4]characters!$A$1,0,0,COUNTA([4]characters!$A:$A),MATCH(AI$1,[4]characters!$1:$1,0)-MATCH("character_id",[4]characters!$1:$1,0)+1),MATCH(AI$1,[4]characters!$1:$1,0)-MATCH("character_id",[4]characters!$1:$1,0)+1,FALSE)</f>
        <v>PremiumSSw</v>
      </c>
      <c r="AJ4" s="7">
        <v>1</v>
      </c>
      <c r="AK4" s="24">
        <f t="shared" ref="AK4:AK6" ca="1" si="4">AH4</f>
        <v>6</v>
      </c>
      <c r="AL4" s="8">
        <v>0</v>
      </c>
      <c r="AM4" s="7">
        <v>0</v>
      </c>
      <c r="AN4" s="7">
        <v>0</v>
      </c>
      <c r="AO4" s="7">
        <v>0</v>
      </c>
      <c r="AP4" s="7">
        <v>0</v>
      </c>
      <c r="AQ4" s="7">
        <v>1</v>
      </c>
      <c r="AR4" s="67">
        <v>1</v>
      </c>
    </row>
    <row r="5" spans="1:44" ht="21" customHeight="1" x14ac:dyDescent="0.15">
      <c r="A5" s="16" t="str">
        <f t="shared" si="0"/>
        <v>50016_1-3/1439&lt;lv80&gt;s1</v>
      </c>
      <c r="B5" s="22">
        <v>50016</v>
      </c>
      <c r="C5" s="21">
        <v>1</v>
      </c>
      <c r="D5" s="2" t="str">
        <f t="shared" si="1"/>
        <v>50016_1</v>
      </c>
      <c r="E5" s="4" t="str">
        <f ca="1">VLOOKUP($B5,OFFSET([2]quests!$A$1,0,0,COUNTA([2]quests!$A:$A),MATCH(E$1,[2]quests!$1:$1,0)-MATCH($B$1,[2]quests!$1:$1,0)+1),MATCH(E$1,[2]quests!$1:$1,0)-MATCH($B$1,[2]quests!$1:$1,0)+1,FALSE)</f>
        <v>アレキサンダー襲来！</v>
      </c>
      <c r="F5" s="4" t="str">
        <f ca="1">VLOOKUP($D5,OFFSET([2]stages!$A$1,0,0,COUNTA([2]stages!$A:$A),MATCH(F$1,[2]stages!$2:$2,0)-MATCH($D$1,[2]stages!$2:$2,0)+1),MATCH(F$1,[2]stages!$2:$2,0)-MATCH($D$1,[2]stages!$2:$2,0)+1,FALSE)</f>
        <v>【超ウィザ】アレキサンダー襲来</v>
      </c>
      <c r="G5" s="21">
        <v>3</v>
      </c>
      <c r="H5" s="15" t="str">
        <f t="shared" si="2"/>
        <v>50016_1-3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8" t="s">
        <v>53</v>
      </c>
      <c r="L5" s="20">
        <v>1439</v>
      </c>
      <c r="M5" s="17" t="str">
        <f ca="1">VLOOKUP($L5,OFFSET([3]enemies!$A$1,0,0,COUNTA([3]enemies!$A:$A),MATCH(M$1,[3]enemies!$1:$1,0)-MATCH($L$1,[3]enemies!$1:$1,0)+1),MATCH(M$1,[3]enemies!$1:$1,0)-MATCH($L$1,[3]enemies!$1:$1,0)+1,FALSE)</f>
        <v>狡貴なる女傑 ゼノビア</v>
      </c>
      <c r="N5" s="17" t="str">
        <f ca="1">VLOOKUP($L5,OFFSET([3]enemies!$A$1,0,0,COUNTA([3]enemies!$A:$A),MATCH(N$1,[3]enemies!$1:$1,0)-MATCH($L$1,[3]enemies!$1:$1,0)+1),MATCH(N$1,[3]enemies!$1:$1,0)-MATCH($L$1,[3]enemies!$1:$1,0)+1,FALSE)</f>
        <v>green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DropWizS</v>
      </c>
      <c r="P5" s="17" t="str">
        <f ca="1">VLOOKUP($L5,OFFSET([3]enemies!$A$1,0,0,COUNTA([3]enemies!$A:$A),MATCH(P$1,[3]enemies!$1:$1,0)-MATCH($L$1,[3]enemies!$1:$1,0)+1),MATCH(P$1,[3]enemies!$1:$1,0)-MATCH($L$1,[3]enemies!$1:$1,0)+1,FALSE)</f>
        <v>hero</v>
      </c>
      <c r="Q5" s="17">
        <f ca="1">VLOOKUP($L5,OFFSET([3]enemies!$A$1,0,0,COUNTA([3]enemies!$A:$A),MATCH(Q$1,[3]enemies!$1:$1,0)-MATCH($L$1,[3]enemies!$1:$1,0)+1),MATCH(Q$1,[3]enemies!$1:$1,0)-MATCH($L$1,[3]enemies!$1:$1,0)+1,FALSE)</f>
        <v>60</v>
      </c>
      <c r="R5" s="5">
        <v>80</v>
      </c>
      <c r="S5" s="25">
        <v>11</v>
      </c>
      <c r="T5" s="101">
        <f>132842*S5</f>
        <v>1461262</v>
      </c>
      <c r="U5" s="135">
        <f>T5</f>
        <v>1461262</v>
      </c>
      <c r="V5" s="134">
        <v>1</v>
      </c>
      <c r="W5" s="101">
        <f>8336*V5</f>
        <v>8336</v>
      </c>
      <c r="X5" s="135">
        <f>W5</f>
        <v>8336</v>
      </c>
      <c r="Y5" s="132">
        <v>0</v>
      </c>
      <c r="Z5" s="4"/>
      <c r="AA5" s="127">
        <v>50016400</v>
      </c>
      <c r="AB5" s="6">
        <v>1</v>
      </c>
      <c r="AC5" s="6">
        <v>100</v>
      </c>
      <c r="AD5" s="6">
        <v>0</v>
      </c>
      <c r="AE5" s="17">
        <v>1</v>
      </c>
      <c r="AF5" s="24">
        <f t="shared" si="3"/>
        <v>1439</v>
      </c>
      <c r="AG5" s="4" t="str">
        <f ca="1">VLOOKUP($AF5,OFFSET([4]characters!$A$1,0,0,COUNTA([4]characters!$A:$A),MATCH(AG$1,[4]characters!$1:$1,0)-MATCH("character_id",[4]characters!$1:$1,0)+1),MATCH(AG$1,[4]characters!$1:$1,0)-MATCH("character_id",[4]characters!$1:$1,0)+1,FALSE)</f>
        <v>狡貴なる女傑 ゼノビア</v>
      </c>
      <c r="AH5" s="4">
        <f ca="1">VLOOKUP($AF5,OFFSET([4]characters!$A$1,0,0,COUNTA([4]characters!$A:$A),MATCH(AH$1,[4]characters!$1:$1,0)-MATCH("character_id",[4]characters!$1:$1,0)+1),MATCH(AH$1,[4]characters!$1:$1,0)-MATCH("character_id",[4]characters!$1:$1,0)+1,FALSE)</f>
        <v>6</v>
      </c>
      <c r="AI5" s="4" t="str">
        <f ca="1">VLOOKUP($AF5,OFFSET([4]characters!$A$1,0,0,COUNTA([4]characters!$A:$A),MATCH(AI$1,[4]characters!$1:$1,0)-MATCH("character_id",[4]characters!$1:$1,0)+1),MATCH(AI$1,[4]characters!$1:$1,0)-MATCH("character_id",[4]characters!$1:$1,0)+1,FALSE)</f>
        <v>DropWizS</v>
      </c>
      <c r="AJ5" s="7">
        <v>1</v>
      </c>
      <c r="AK5" s="24">
        <f t="shared" ca="1" si="4"/>
        <v>6</v>
      </c>
      <c r="AL5" s="8">
        <v>0</v>
      </c>
      <c r="AM5" s="7">
        <v>0</v>
      </c>
      <c r="AN5" s="7">
        <v>0</v>
      </c>
      <c r="AO5" s="7">
        <v>0</v>
      </c>
      <c r="AP5" s="7">
        <v>0</v>
      </c>
      <c r="AQ5" s="7">
        <v>1</v>
      </c>
      <c r="AR5" s="67">
        <v>1</v>
      </c>
    </row>
    <row r="6" spans="1:44" ht="21" customHeight="1" x14ac:dyDescent="0.15">
      <c r="A6" s="16" t="str">
        <f t="shared" si="0"/>
        <v>50016_1-4/1442&lt;lv80&gt;s1</v>
      </c>
      <c r="B6" s="22">
        <v>50016</v>
      </c>
      <c r="C6" s="21">
        <v>1</v>
      </c>
      <c r="D6" s="2" t="str">
        <f t="shared" si="1"/>
        <v>50016_1</v>
      </c>
      <c r="E6" s="4" t="str">
        <f ca="1">VLOOKUP($B6,OFFSET([2]quests!$A$1,0,0,COUNTA([2]quests!$A:$A),MATCH(E$1,[2]quests!$1:$1,0)-MATCH($B$1,[2]quests!$1:$1,0)+1),MATCH(E$1,[2]quests!$1:$1,0)-MATCH($B$1,[2]quests!$1:$1,0)+1,FALSE)</f>
        <v>アレキサンダー襲来！</v>
      </c>
      <c r="F6" s="4" t="str">
        <f ca="1">VLOOKUP($D6,OFFSET([2]stages!$A$1,0,0,COUNTA([2]stages!$A:$A),MATCH(F$1,[2]stages!$2:$2,0)-MATCH($D$1,[2]stages!$2:$2,0)+1),MATCH(F$1,[2]stages!$2:$2,0)-MATCH($D$1,[2]stages!$2:$2,0)+1,FALSE)</f>
        <v>【超ウィザ】アレキサンダー襲来</v>
      </c>
      <c r="G6" s="21">
        <v>4</v>
      </c>
      <c r="H6" s="15" t="str">
        <f t="shared" si="2"/>
        <v>50016_1-4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8">
        <v>2</v>
      </c>
      <c r="L6" s="20">
        <v>1442</v>
      </c>
      <c r="M6" s="17" t="str">
        <f ca="1">VLOOKUP($L6,OFFSET([3]enemies!$A$1,0,0,COUNTA([3]enemies!$A:$A),MATCH(M$1,[3]enemies!$1:$1,0)-MATCH($L$1,[3]enemies!$1:$1,0)+1),MATCH(M$1,[3]enemies!$1:$1,0)-MATCH($L$1,[3]enemies!$1:$1,0)+1,FALSE)</f>
        <v>アレキサンダー</v>
      </c>
      <c r="N6" s="17" t="str">
        <f ca="1">VLOOKUP($L6,OFFSET([3]enemies!$A$1,0,0,COUNTA([3]enemies!$A:$A),MATCH(N$1,[3]enemies!$1:$1,0)-MATCH($L$1,[3]enemies!$1:$1,0)+1),MATCH(N$1,[3]enemies!$1:$1,0)-MATCH($L$1,[3]enemies!$1:$1,0)+1,FALSE)</f>
        <v>red</v>
      </c>
      <c r="O6" s="17" t="str">
        <f ca="1">VLOOKUP($L6,OFFSET([4]characters!$A$1,0,0,COUNTA([4]characters!$A:$A),MATCH(O$1,[4]characters!$1:$1,0)-MATCH($L$1,[4]characters!$1:$1,0)+1),MATCH(O$1,[4]characters!$1:$1,0)-MATCH($L$1,[4]characters!$1:$1,0)+1,FALSE)</f>
        <v>DropWizSS</v>
      </c>
      <c r="P6" s="17" t="str">
        <f ca="1">VLOOKUP($L6,OFFSET([3]enemies!$A$1,0,0,COUNTA([3]enemies!$A:$A),MATCH(P$1,[3]enemies!$1:$1,0)-MATCH($L$1,[3]enemies!$1:$1,0)+1),MATCH(P$1,[3]enemies!$1:$1,0)-MATCH($L$1,[3]enemies!$1:$1,0)+1,FALSE)</f>
        <v>hero</v>
      </c>
      <c r="Q6" s="17">
        <f ca="1">VLOOKUP($L6,OFFSET([3]enemies!$A$1,0,0,COUNTA([3]enemies!$A:$A),MATCH(Q$1,[3]enemies!$1:$1,0)-MATCH($L$1,[3]enemies!$1:$1,0)+1),MATCH(Q$1,[3]enemies!$1:$1,0)-MATCH($L$1,[3]enemies!$1:$1,0)+1,FALSE)</f>
        <v>60</v>
      </c>
      <c r="R6" s="5">
        <v>80</v>
      </c>
      <c r="S6" s="25">
        <v>11</v>
      </c>
      <c r="T6" s="101">
        <f>188844*S6</f>
        <v>2077284</v>
      </c>
      <c r="U6" s="131">
        <f>T6*(7/10)</f>
        <v>1454098.7999999998</v>
      </c>
      <c r="V6" s="134">
        <v>1.8</v>
      </c>
      <c r="W6" s="101">
        <f>7640*V6</f>
        <v>13752</v>
      </c>
      <c r="X6" s="131">
        <f>W6*(7/10)</f>
        <v>9626.4</v>
      </c>
      <c r="Y6" s="132">
        <v>0</v>
      </c>
      <c r="Z6" s="4"/>
      <c r="AA6" s="127">
        <v>50016500</v>
      </c>
      <c r="AB6" s="6">
        <v>1</v>
      </c>
      <c r="AC6" s="6">
        <v>100</v>
      </c>
      <c r="AD6" s="6">
        <v>1</v>
      </c>
      <c r="AE6" s="17">
        <v>1</v>
      </c>
      <c r="AF6" s="24">
        <f t="shared" si="3"/>
        <v>1442</v>
      </c>
      <c r="AG6" s="4" t="str">
        <f ca="1">VLOOKUP($AF6,OFFSET([4]characters!$A$1,0,0,COUNTA([4]characters!$A:$A),MATCH(AG$1,[4]characters!$1:$1,0)-MATCH("character_id",[4]characters!$1:$1,0)+1),MATCH(AG$1,[4]characters!$1:$1,0)-MATCH("character_id",[4]characters!$1:$1,0)+1,FALSE)</f>
        <v>アレキサンダー</v>
      </c>
      <c r="AH6" s="4">
        <f ca="1">VLOOKUP($AF6,OFFSET([4]characters!$A$1,0,0,COUNTA([4]characters!$A:$A),MATCH(AH$1,[4]characters!$1:$1,0)-MATCH("character_id",[4]characters!$1:$1,0)+1),MATCH(AH$1,[4]characters!$1:$1,0)-MATCH("character_id",[4]characters!$1:$1,0)+1,FALSE)</f>
        <v>5</v>
      </c>
      <c r="AI6" s="4" t="str">
        <f ca="1">VLOOKUP($AF6,OFFSET([4]characters!$A$1,0,0,COUNTA([4]characters!$A:$A),MATCH(AI$1,[4]characters!$1:$1,0)-MATCH("character_id",[4]characters!$1:$1,0)+1),MATCH(AI$1,[4]characters!$1:$1,0)-MATCH("character_id",[4]characters!$1:$1,0)+1,FALSE)</f>
        <v>DropWizSS</v>
      </c>
      <c r="AJ6" s="7">
        <v>1</v>
      </c>
      <c r="AK6" s="24">
        <f t="shared" ca="1" si="4"/>
        <v>5</v>
      </c>
      <c r="AL6" s="111">
        <v>85</v>
      </c>
      <c r="AM6" s="7">
        <v>0</v>
      </c>
      <c r="AN6" s="7">
        <v>0</v>
      </c>
      <c r="AO6" s="7">
        <v>0</v>
      </c>
      <c r="AP6" s="7">
        <v>0</v>
      </c>
      <c r="AQ6" s="7">
        <v>1</v>
      </c>
      <c r="AR6" s="67">
        <v>1</v>
      </c>
    </row>
  </sheetData>
  <sheetProtection selectLockedCells="1" selectUnlockedCells="1"/>
  <autoFilter ref="B1:AL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  <outlinePr summaryBelow="0" summaryRight="0"/>
  </sheetPr>
  <dimension ref="A1:AC5"/>
  <sheetViews>
    <sheetView showGridLines="0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T5" sqref="T5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9" bestFit="1" customWidth="1" collapsed="1"/>
    <col min="14" max="14" width="8.83203125" style="3" hidden="1" customWidth="1" outlineLevel="1"/>
    <col min="15" max="15" width="8.6640625" style="3" hidden="1" customWidth="1" outlineLevel="1"/>
    <col min="16" max="16" width="12" style="3" hidden="1" customWidth="1" outlineLevel="1"/>
    <col min="17" max="17" width="21" style="3" hidden="1" customWidth="1" outlineLevel="1"/>
    <col min="18" max="18" width="8" style="3" hidden="1" customWidth="1" outlineLevel="1"/>
    <col min="19" max="19" width="8.33203125" style="3" bestFit="1" customWidth="1"/>
    <col min="20" max="20" width="14.83203125" style="3" bestFit="1" customWidth="1"/>
    <col min="21" max="22" width="14.83203125" style="3" customWidth="1"/>
    <col min="23" max="23" width="17.5" style="3" bestFit="1" customWidth="1"/>
    <col min="24" max="25" width="17.5" style="3" customWidth="1"/>
    <col min="26" max="26" width="18.33203125" style="3" bestFit="1" customWidth="1"/>
    <col min="27" max="27" width="16.6640625" style="3" customWidth="1"/>
    <col min="28" max="28" width="10" style="3" bestFit="1" customWidth="1" outlineLevel="1"/>
    <col min="29" max="29" width="9.33203125" style="3" bestFit="1" customWidth="1"/>
    <col min="30" max="16384" width="13" style="3"/>
  </cols>
  <sheetData>
    <row r="1" spans="1:29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16</v>
      </c>
      <c r="F1" s="30" t="s">
        <v>16</v>
      </c>
      <c r="G1" s="28" t="s">
        <v>19</v>
      </c>
      <c r="H1" s="29" t="s">
        <v>30</v>
      </c>
      <c r="I1" s="29" t="s">
        <v>14</v>
      </c>
      <c r="J1" s="29" t="s">
        <v>15</v>
      </c>
      <c r="K1" s="36" t="s">
        <v>54</v>
      </c>
      <c r="L1" s="36" t="s">
        <v>55</v>
      </c>
      <c r="M1" s="37" t="s">
        <v>2</v>
      </c>
      <c r="N1" s="31" t="s">
        <v>16</v>
      </c>
      <c r="O1" s="29" t="s">
        <v>24</v>
      </c>
      <c r="P1" s="29" t="s">
        <v>23</v>
      </c>
      <c r="Q1" s="32" t="s">
        <v>26</v>
      </c>
      <c r="R1" s="30" t="s">
        <v>25</v>
      </c>
      <c r="S1" s="28" t="s">
        <v>3</v>
      </c>
      <c r="T1" s="26" t="s">
        <v>48</v>
      </c>
      <c r="U1" s="100" t="s">
        <v>250</v>
      </c>
      <c r="V1" s="67" t="s">
        <v>272</v>
      </c>
      <c r="W1" s="129" t="s">
        <v>50</v>
      </c>
      <c r="X1" s="100" t="s">
        <v>251</v>
      </c>
      <c r="Y1" s="67" t="s">
        <v>273</v>
      </c>
      <c r="Z1" s="129" t="s">
        <v>52</v>
      </c>
      <c r="AA1" s="28" t="s">
        <v>127</v>
      </c>
      <c r="AB1" s="29" t="s">
        <v>126</v>
      </c>
      <c r="AC1" s="28" t="s">
        <v>8</v>
      </c>
    </row>
    <row r="2" spans="1:29" ht="21" customHeight="1" x14ac:dyDescent="0.15">
      <c r="A2" s="16" t="str">
        <f>B2&amp;"_"&amp;C2&amp;"-"&amp;G2&amp;"/"&amp;M2&amp;"&lt;lv"&amp;S2&amp;"&gt;sq"&amp;K2&amp;"st"&amp;L2</f>
        <v>50016_1-2/725&lt;lv80&gt;sq1st2</v>
      </c>
      <c r="B2" s="22">
        <v>50016</v>
      </c>
      <c r="C2" s="21">
        <v>1</v>
      </c>
      <c r="D2" s="2" t="str">
        <f>B2&amp;"_"&amp;C2</f>
        <v>50016_1</v>
      </c>
      <c r="E2" s="4" t="str">
        <f ca="1">VLOOKUP($B2,OFFSET([2]quests!$A$1,0,0,COUNTA([2]quests!$A:$A),MATCH(E$1,[2]quests!$1:$1,0)-MATCH($B$1,[2]quests!$1:$1,0)+1),MATCH(E$1,[2]quests!$1:$1,0)-MATCH($B$1,[2]quests!$1:$1,0)+1,FALSE)</f>
        <v>アレキサンダー襲来！</v>
      </c>
      <c r="F2" s="4" t="str">
        <f ca="1">VLOOKUP($D2,OFFSET([2]stages!$A$1,0,0,COUNTA([2]stages!$A:$A),MATCH(F$1,[2]stages!$2:$2,0)-MATCH($D$1,[2]stages!$2:$2,0)+1),MATCH(F$1,[2]stages!$2:$2,0)-MATCH($D$1,[2]stages!$2:$2,0)+1,FALSE)</f>
        <v>【超ウィザ】アレキサンダー襲来</v>
      </c>
      <c r="G2" s="21">
        <v>2</v>
      </c>
      <c r="H2" s="15" t="str">
        <f>B2&amp;"_"&amp;C2&amp;"-"&amp;G2</f>
        <v>50016_1-2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>
        <v>1</v>
      </c>
      <c r="L2" s="38">
        <v>2</v>
      </c>
      <c r="M2" s="20">
        <v>725</v>
      </c>
      <c r="N2" s="17"/>
      <c r="O2" s="17"/>
      <c r="P2" s="17"/>
      <c r="Q2" s="17"/>
      <c r="R2" s="17"/>
      <c r="S2" s="5">
        <v>80</v>
      </c>
      <c r="T2" s="25">
        <v>9.6</v>
      </c>
      <c r="U2" s="101">
        <f>130237*T2</f>
        <v>1250275.2</v>
      </c>
      <c r="V2" s="131">
        <f>U2*(7/10)</f>
        <v>875192.6399999999</v>
      </c>
      <c r="W2" s="130">
        <v>1.5</v>
      </c>
      <c r="X2" s="101">
        <f>11953*W2</f>
        <v>17929.5</v>
      </c>
      <c r="Y2" s="131">
        <f>X2*(7/10)</f>
        <v>12550.65</v>
      </c>
      <c r="Z2" s="132">
        <v>0</v>
      </c>
      <c r="AA2" s="4"/>
      <c r="AB2" s="112">
        <v>50016200</v>
      </c>
      <c r="AC2" s="68">
        <v>1</v>
      </c>
    </row>
    <row r="3" spans="1:29" ht="21" customHeight="1" x14ac:dyDescent="0.15">
      <c r="A3" s="16" t="str">
        <f t="shared" ref="A3:A5" si="0">B3&amp;"_"&amp;C3&amp;"-"&amp;G3&amp;"/"&amp;M3&amp;"&lt;lv"&amp;S3&amp;"&gt;sq"&amp;K3&amp;"st"&amp;L3</f>
        <v>50016_1-2/938&lt;lv80&gt;sq1st3</v>
      </c>
      <c r="B3" s="22">
        <v>50016</v>
      </c>
      <c r="C3" s="21">
        <v>1</v>
      </c>
      <c r="D3" s="2" t="str">
        <f t="shared" ref="D3:D5" si="1">B3&amp;"_"&amp;C3</f>
        <v>50016_1</v>
      </c>
      <c r="E3" s="4" t="str">
        <f ca="1">VLOOKUP($B3,OFFSET([2]quests!$A$1,0,0,COUNTA([2]quests!$A:$A),MATCH(E$1,[2]quests!$1:$1,0)-MATCH($B$1,[2]quests!$1:$1,0)+1),MATCH(E$1,[2]quests!$1:$1,0)-MATCH($B$1,[2]quests!$1:$1,0)+1,FALSE)</f>
        <v>アレキサンダー襲来！</v>
      </c>
      <c r="F3" s="4" t="str">
        <f ca="1">VLOOKUP($D3,OFFSET([2]stages!$A$1,0,0,COUNTA([2]stages!$A:$A),MATCH(F$1,[2]stages!$2:$2,0)-MATCH($D$1,[2]stages!$2:$2,0)+1),MATCH(F$1,[2]stages!$2:$2,0)-MATCH($D$1,[2]stages!$2:$2,0)+1,FALSE)</f>
        <v>【超ウィザ】アレキサンダー襲来</v>
      </c>
      <c r="G3" s="21">
        <v>2</v>
      </c>
      <c r="H3" s="15" t="str">
        <f t="shared" ref="H3:H5" si="2">B3&amp;"_"&amp;C3&amp;"-"&amp;G3</f>
        <v>50016_1-2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>
        <v>1</v>
      </c>
      <c r="L3" s="38">
        <v>3</v>
      </c>
      <c r="M3" s="20">
        <v>938</v>
      </c>
      <c r="N3" s="17"/>
      <c r="O3" s="17"/>
      <c r="P3" s="17"/>
      <c r="Q3" s="17"/>
      <c r="R3" s="17"/>
      <c r="S3" s="5">
        <v>80</v>
      </c>
      <c r="T3" s="25">
        <v>8</v>
      </c>
      <c r="U3" s="101">
        <f t="shared" ref="U3" si="3">130237*T3</f>
        <v>1041896</v>
      </c>
      <c r="V3" s="131">
        <f>U3*(7/10)</f>
        <v>729327.2</v>
      </c>
      <c r="W3" s="130">
        <v>1.6</v>
      </c>
      <c r="X3" s="101">
        <f t="shared" ref="X3" si="4">8987*W3</f>
        <v>14379.2</v>
      </c>
      <c r="Y3" s="131">
        <f>X3*(7/10)</f>
        <v>10065.44</v>
      </c>
      <c r="Z3" s="132">
        <v>0</v>
      </c>
      <c r="AA3" s="4"/>
      <c r="AB3" s="112">
        <v>50016300</v>
      </c>
      <c r="AC3" s="68">
        <v>1</v>
      </c>
    </row>
    <row r="4" spans="1:29" ht="21" customHeight="1" x14ac:dyDescent="0.15">
      <c r="A4" s="16" t="str">
        <f t="shared" si="0"/>
        <v>50016_1-4/1442&lt;lv80&gt;sq2st2</v>
      </c>
      <c r="B4" s="22">
        <v>50016</v>
      </c>
      <c r="C4" s="21">
        <v>1</v>
      </c>
      <c r="D4" s="2" t="str">
        <f t="shared" si="1"/>
        <v>50016_1</v>
      </c>
      <c r="E4" s="4" t="str">
        <f ca="1">VLOOKUP($B4,OFFSET([2]quests!$A$1,0,0,COUNTA([2]quests!$A:$A),MATCH(E$1,[2]quests!$1:$1,0)-MATCH($B$1,[2]quests!$1:$1,0)+1),MATCH(E$1,[2]quests!$1:$1,0)-MATCH($B$1,[2]quests!$1:$1,0)+1,FALSE)</f>
        <v>アレキサンダー襲来！</v>
      </c>
      <c r="F4" s="4" t="str">
        <f ca="1">VLOOKUP($D4,OFFSET([2]stages!$A$1,0,0,COUNTA([2]stages!$A:$A),MATCH(F$1,[2]stages!$2:$2,0)-MATCH($D$1,[2]stages!$2:$2,0)+1),MATCH(F$1,[2]stages!$2:$2,0)-MATCH($D$1,[2]stages!$2:$2,0)+1,FALSE)</f>
        <v>【超ウィザ】アレキサンダー襲来</v>
      </c>
      <c r="G4" s="21">
        <v>4</v>
      </c>
      <c r="H4" s="15" t="str">
        <f t="shared" si="2"/>
        <v>50016_1-4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>
        <v>2</v>
      </c>
      <c r="L4" s="38">
        <v>2</v>
      </c>
      <c r="M4" s="20">
        <v>1442</v>
      </c>
      <c r="N4" s="17"/>
      <c r="O4" s="17"/>
      <c r="P4" s="17"/>
      <c r="Q4" s="17"/>
      <c r="R4" s="17"/>
      <c r="S4" s="5">
        <v>80</v>
      </c>
      <c r="T4" s="25">
        <v>8</v>
      </c>
      <c r="U4" s="101">
        <f>188844*T4</f>
        <v>1510752</v>
      </c>
      <c r="V4" s="131">
        <f>U4*(7/10)</f>
        <v>1057526.3999999999</v>
      </c>
      <c r="W4" s="130">
        <v>1.7</v>
      </c>
      <c r="X4" s="101">
        <f>7640*W4</f>
        <v>12988</v>
      </c>
      <c r="Y4" s="131">
        <f>X4*(7/10)</f>
        <v>9091.5999999999985</v>
      </c>
      <c r="Z4" s="132">
        <v>0</v>
      </c>
      <c r="AA4" s="4"/>
      <c r="AB4" s="112">
        <v>50016600</v>
      </c>
      <c r="AC4" s="68">
        <v>1</v>
      </c>
    </row>
    <row r="5" spans="1:29" ht="21" customHeight="1" x14ac:dyDescent="0.15">
      <c r="A5" s="16" t="str">
        <f t="shared" si="0"/>
        <v>50016_1-4/1443&lt;lv80&gt;sq2st3</v>
      </c>
      <c r="B5" s="22">
        <v>50016</v>
      </c>
      <c r="C5" s="21">
        <v>1</v>
      </c>
      <c r="D5" s="2" t="str">
        <f t="shared" si="1"/>
        <v>50016_1</v>
      </c>
      <c r="E5" s="4" t="str">
        <f ca="1">VLOOKUP($B5,OFFSET([2]quests!$A$1,0,0,COUNTA([2]quests!$A:$A),MATCH(E$1,[2]quests!$1:$1,0)-MATCH($B$1,[2]quests!$1:$1,0)+1),MATCH(E$1,[2]quests!$1:$1,0)-MATCH($B$1,[2]quests!$1:$1,0)+1,FALSE)</f>
        <v>アレキサンダー襲来！</v>
      </c>
      <c r="F5" s="4" t="str">
        <f ca="1">VLOOKUP($D5,OFFSET([2]stages!$A$1,0,0,COUNTA([2]stages!$A:$A),MATCH(F$1,[2]stages!$2:$2,0)-MATCH($D$1,[2]stages!$2:$2,0)+1),MATCH(F$1,[2]stages!$2:$2,0)-MATCH($D$1,[2]stages!$2:$2,0)+1,FALSE)</f>
        <v>【超ウィザ】アレキサンダー襲来</v>
      </c>
      <c r="G5" s="21">
        <v>4</v>
      </c>
      <c r="H5" s="15" t="str">
        <f t="shared" si="2"/>
        <v>50016_1-4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8">
        <v>2</v>
      </c>
      <c r="L5" s="38">
        <v>3</v>
      </c>
      <c r="M5" s="20">
        <v>1443</v>
      </c>
      <c r="N5" s="17"/>
      <c r="O5" s="17"/>
      <c r="P5" s="17"/>
      <c r="Q5" s="17"/>
      <c r="R5" s="17"/>
      <c r="S5" s="5">
        <v>80</v>
      </c>
      <c r="T5" s="25">
        <v>7.5</v>
      </c>
      <c r="U5" s="101">
        <f>188844*T5</f>
        <v>1416330</v>
      </c>
      <c r="V5" s="131">
        <f>U5*(7/10)</f>
        <v>991430.99999999988</v>
      </c>
      <c r="W5" s="130">
        <v>2.2000000000000002</v>
      </c>
      <c r="X5" s="101">
        <f>7640*W5</f>
        <v>16808</v>
      </c>
      <c r="Y5" s="131">
        <f>X5*(7/10)</f>
        <v>11765.599999999999</v>
      </c>
      <c r="Z5" s="132">
        <v>0</v>
      </c>
      <c r="AA5" s="4"/>
      <c r="AB5" s="112">
        <v>50016700</v>
      </c>
      <c r="AC5" s="68">
        <v>1</v>
      </c>
    </row>
  </sheetData>
  <sheetProtection selectLockedCells="1" selectUnlockedCells="1"/>
  <autoFilter ref="B1:AC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R81"/>
  <sheetViews>
    <sheetView showGridLines="0" workbookViewId="0">
      <pane xSplit="5" ySplit="1" topLeftCell="F56" activePane="bottomRight" state="frozen"/>
      <selection pane="topRight"/>
      <selection pane="bottomLeft"/>
      <selection pane="bottomRight" activeCell="B65" sqref="B65"/>
    </sheetView>
  </sheetViews>
  <sheetFormatPr baseColWidth="12" defaultColWidth="12.83203125" defaultRowHeight="21" customHeight="1" outlineLevelCol="1" x14ac:dyDescent="0.15"/>
  <cols>
    <col min="1" max="1" width="11.33203125" style="39" bestFit="1" customWidth="1"/>
    <col min="2" max="2" width="9.5" style="49" bestFit="1" customWidth="1"/>
    <col min="3" max="3" width="9.6640625" style="49" customWidth="1"/>
    <col min="4" max="4" width="18.5" style="49" customWidth="1" outlineLevel="1"/>
    <col min="5" max="5" width="44.1640625" style="49" bestFit="1" customWidth="1" outlineLevel="1"/>
    <col min="6" max="6" width="10.83203125" style="49" bestFit="1" customWidth="1"/>
    <col min="7" max="7" width="8.33203125" style="49" bestFit="1" customWidth="1" outlineLevel="1"/>
    <col min="8" max="9" width="12.83203125" style="49" outlineLevel="1"/>
    <col min="10" max="10" width="17.6640625" style="49" bestFit="1" customWidth="1" outlineLevel="1"/>
    <col min="11" max="15" width="12.83203125" style="49" outlineLevel="1"/>
    <col min="16" max="16" width="8.33203125" style="45" bestFit="1" customWidth="1"/>
    <col min="17" max="17" width="9.6640625" style="45" customWidth="1"/>
    <col min="18" max="18" width="56.5" style="45" bestFit="1" customWidth="1"/>
    <col min="19" max="16384" width="12.83203125" style="45"/>
  </cols>
  <sheetData>
    <row r="1" spans="1:18" ht="21" customHeight="1" x14ac:dyDescent="0.15">
      <c r="A1" s="39" t="s">
        <v>60</v>
      </c>
      <c r="B1" s="40" t="s">
        <v>61</v>
      </c>
      <c r="C1" s="40" t="s">
        <v>62</v>
      </c>
      <c r="D1" s="41" t="s">
        <v>63</v>
      </c>
      <c r="E1" s="41" t="s">
        <v>64</v>
      </c>
      <c r="F1" s="42" t="s">
        <v>65</v>
      </c>
      <c r="G1" s="43" t="s">
        <v>66</v>
      </c>
      <c r="H1" s="43" t="s">
        <v>68</v>
      </c>
      <c r="I1" s="43" t="s">
        <v>69</v>
      </c>
      <c r="J1" s="43" t="s">
        <v>70</v>
      </c>
      <c r="K1" s="44" t="s">
        <v>71</v>
      </c>
      <c r="L1" s="44" t="s">
        <v>72</v>
      </c>
      <c r="M1" s="43" t="s">
        <v>73</v>
      </c>
      <c r="N1" s="43" t="s">
        <v>74</v>
      </c>
      <c r="O1" s="43" t="s">
        <v>75</v>
      </c>
      <c r="P1" s="41" t="s">
        <v>76</v>
      </c>
      <c r="Q1" s="41" t="s">
        <v>77</v>
      </c>
      <c r="R1" s="41" t="s">
        <v>78</v>
      </c>
    </row>
    <row r="2" spans="1:18" ht="21" customHeight="1" x14ac:dyDescent="0.15">
      <c r="A2" s="39" t="str">
        <f t="shared" ref="A2" si="0">B2&amp;"_"&amp;C2</f>
        <v>50016000_50016001</v>
      </c>
      <c r="B2" s="47">
        <v>50016000</v>
      </c>
      <c r="C2" s="47">
        <v>50016001</v>
      </c>
      <c r="D2" s="46" t="str">
        <f ca="1">VLOOKUP($C2,OFFSET(enemy_skills!$A$1,0,0,COUNTA(enemy_skills!$A:$A),MATCH(D$1,enemy_skills!$1:$1,0)-MATCH("enemy_skill_id",enemy_skills!$1:$1,0)+1),MATCH(D$1,enemy_skills!$1:$1,0)-MATCH("enemy_skill_id",enemy_skills!$1:$1,0)+1,FALSE)</f>
        <v>はて、_x000D_どこかで会ったかのぅ？</v>
      </c>
      <c r="E2" s="46" t="str">
        <f ca="1">VLOOKUP($C2,OFFSET(enemy_skills!$A$1,0,0,COUNTA(enemy_skills!$A:$A),MATCH(E$1,enemy_skills!$1:$1,0)-MATCH("enemy_skill_id",enemy_skills!$1:$1,0)+1),MATCH(E$1,enemy_skills!$1:$1,0)-MATCH("enemy_skill_id",enemy_skills!$1:$1,0)+1,FALSE)</f>
        <v>解除するまで全ユニットにスキルバインド</v>
      </c>
      <c r="F2" s="121">
        <v>50016900</v>
      </c>
      <c r="G2" s="48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" s="48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900</v>
      </c>
      <c r="I2" s="48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8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8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8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48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8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8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7"/>
      <c r="Q2" s="47"/>
      <c r="R2" s="47"/>
    </row>
    <row r="3" spans="1:18" ht="21" customHeight="1" x14ac:dyDescent="0.15">
      <c r="A3" s="39" t="str">
        <f t="shared" ref="A3" si="1">B3&amp;"_"&amp;C3</f>
        <v>50016000_50016002</v>
      </c>
      <c r="B3" s="47">
        <v>50016000</v>
      </c>
      <c r="C3" s="47">
        <v>50016002</v>
      </c>
      <c r="D3" s="46" t="str">
        <f ca="1">VLOOKUP($C3,OFFSET(enemy_skills!$A$1,0,0,COUNTA(enemy_skills!$A:$A),MATCH(D$1,enemy_skills!$1:$1,0)-MATCH("enemy_skill_id",enemy_skills!$1:$1,0)+1),MATCH(D$1,enemy_skills!$1:$1,0)-MATCH("enemy_skill_id",enemy_skills!$1:$1,0)+1,FALSE)</f>
        <v>ふむ…_x000D_少し調べさせてもらうぞ</v>
      </c>
      <c r="E3" s="46" t="str">
        <f ca="1">VLOOKUP($C3,OFFSET(enemy_skills!$A$1,0,0,COUNTA(enemy_skills!$A:$A),MATCH(E$1,enemy_skills!$1:$1,0)-MATCH("enemy_skill_id",enemy_skills!$1:$1,0)+1),MATCH(E$1,enemy_skills!$1:$1,0)-MATCH("enemy_skill_id",enemy_skills!$1:$1,0)+1,FALSE)</f>
        <v>赤が青パネルに、青が赤パネルに変換+単体攻撃</v>
      </c>
      <c r="F3" s="47">
        <v>50016002</v>
      </c>
      <c r="G3" s="48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8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200</v>
      </c>
      <c r="I3" s="48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48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8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8" t="str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" s="48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3" s="48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8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47"/>
      <c r="Q3" s="47"/>
      <c r="R3" s="47"/>
    </row>
    <row r="4" spans="1:18" ht="21" customHeight="1" x14ac:dyDescent="0.15">
      <c r="A4" s="39" t="str">
        <f t="shared" ref="A4:A8" si="2">B4&amp;"_"&amp;C4</f>
        <v>50016000_50016003</v>
      </c>
      <c r="B4" s="47">
        <v>50016000</v>
      </c>
      <c r="C4" s="47">
        <v>50016003</v>
      </c>
      <c r="D4" s="46" t="str">
        <f ca="1">VLOOKUP($C4,OFFSET(enemy_skills!$A$1,0,0,COUNTA(enemy_skills!$A:$A),MATCH(D$1,enemy_skills!$1:$1,0)-MATCH("enemy_skill_id",enemy_skills!$1:$1,0)+1),MATCH(D$1,enemy_skills!$1:$1,0)-MATCH("enemy_skill_id",enemy_skills!$1:$1,0)+1,FALSE)</f>
        <v>少しは静かにせぬか！</v>
      </c>
      <c r="E4" s="46" t="str">
        <f ca="1">VLOOKUP($C4,OFFSET(enemy_skills!$A$1,0,0,COUNTA(enemy_skills!$A:$A),MATCH(E$1,enemy_skills!$1:$1,0)-MATCH("enemy_skill_id",enemy_skills!$1:$1,0)+1),MATCH(E$1,enemy_skills!$1:$1,0)-MATCH("enemy_skill_id",enemy_skills!$1:$1,0)+1,FALSE)</f>
        <v>2ターン全ユニットの攻撃力80%DOWN</v>
      </c>
      <c r="F4" s="47">
        <v>50016003</v>
      </c>
      <c r="G4" s="48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48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400</v>
      </c>
      <c r="I4" s="48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48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8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8" t="str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" s="48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4" s="48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8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" s="47"/>
      <c r="Q4" s="47"/>
      <c r="R4" s="47"/>
    </row>
    <row r="5" spans="1:18" ht="21" customHeight="1" x14ac:dyDescent="0.15">
      <c r="A5" s="39" t="str">
        <f t="shared" si="2"/>
        <v>50016000_50016021</v>
      </c>
      <c r="B5" s="47">
        <v>50016000</v>
      </c>
      <c r="C5" s="47">
        <v>50016021</v>
      </c>
      <c r="D5" s="46" t="str">
        <f ca="1">VLOOKUP($C5,OFFSET(enemy_skills!$A$1,0,0,COUNTA(enemy_skills!$A:$A),MATCH(D$1,enemy_skills!$1:$1,0)-MATCH("enemy_skill_id",enemy_skills!$1:$1,0)+1),MATCH(D$1,enemy_skills!$1:$1,0)-MATCH("enemy_skill_id",enemy_skills!$1:$1,0)+1,FALSE)</f>
        <v>排他的インクリメント</v>
      </c>
      <c r="E5" s="46" t="str">
        <f ca="1">VLOOKUP($C5,OFFSET(enemy_skills!$A$1,0,0,COUNTA(enemy_skills!$A:$A),MATCH(E$1,enemy_skills!$1:$1,0)-MATCH("enemy_skill_id",enemy_skills!$1:$1,0)+1),MATCH(E$1,enemy_skills!$1:$1,0)-MATCH("enemy_skill_id",enemy_skills!$1:$1,0)+1,FALSE)</f>
        <v>青属性ユニットのスキルターンを1ターン短縮+_x000D_単体攻撃</v>
      </c>
      <c r="F5" s="117">
        <v>50016021</v>
      </c>
      <c r="G5" s="48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48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5" s="48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48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80</v>
      </c>
      <c r="K5" s="48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5" s="48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" s="48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" s="48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8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47"/>
      <c r="Q5" s="47"/>
      <c r="R5" s="47"/>
    </row>
    <row r="6" spans="1:18" ht="21" customHeight="1" x14ac:dyDescent="0.15">
      <c r="A6" s="39" t="str">
        <f t="shared" ref="A6" si="3">B6&amp;"_"&amp;C6</f>
        <v>50016000_50016021</v>
      </c>
      <c r="B6" s="47">
        <v>50016000</v>
      </c>
      <c r="C6" s="47">
        <v>50016021</v>
      </c>
      <c r="D6" s="46" t="str">
        <f ca="1">VLOOKUP($C6,OFFSET(enemy_skills!$A$1,0,0,COUNTA(enemy_skills!$A:$A),MATCH(D$1,enemy_skills!$1:$1,0)-MATCH("enemy_skill_id",enemy_skills!$1:$1,0)+1),MATCH(D$1,enemy_skills!$1:$1,0)-MATCH("enemy_skill_id",enemy_skills!$1:$1,0)+1,FALSE)</f>
        <v>排他的インクリメント</v>
      </c>
      <c r="E6" s="46" t="str">
        <f ca="1">VLOOKUP($C6,OFFSET(enemy_skills!$A$1,0,0,COUNTA(enemy_skills!$A:$A),MATCH(E$1,enemy_skills!$1:$1,0)-MATCH("enemy_skill_id",enemy_skills!$1:$1,0)+1),MATCH(E$1,enemy_skills!$1:$1,0)-MATCH("enemy_skill_id",enemy_skills!$1:$1,0)+1,FALSE)</f>
        <v>青属性ユニットのスキルターンを1ターン短縮+_x000D_単体攻撃</v>
      </c>
      <c r="F6" s="117">
        <v>50016022</v>
      </c>
      <c r="G6" s="48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48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601</v>
      </c>
      <c r="I6" s="48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48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6" s="48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8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" s="48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6" s="48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8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47"/>
      <c r="Q6" s="47"/>
      <c r="R6" s="47"/>
    </row>
    <row r="7" spans="1:18" ht="21" customHeight="1" x14ac:dyDescent="0.15">
      <c r="A7" s="39" t="str">
        <f t="shared" si="2"/>
        <v>50016000_50016022</v>
      </c>
      <c r="B7" s="47">
        <v>50016000</v>
      </c>
      <c r="C7" s="47">
        <v>50016022</v>
      </c>
      <c r="D7" s="46" t="str">
        <f ca="1">VLOOKUP($C7,OFFSET(enemy_skills!$A$1,0,0,COUNTA(enemy_skills!$A:$A),MATCH(D$1,enemy_skills!$1:$1,0)-MATCH("enemy_skill_id",enemy_skills!$1:$1,0)+1),MATCH(D$1,enemy_skills!$1:$1,0)-MATCH("enemy_skill_id",enemy_skills!$1:$1,0)+1,FALSE)</f>
        <v>強制アクセス制御</v>
      </c>
      <c r="E7" s="46" t="str">
        <f ca="1">VLOOKUP($C7,OFFSET(enemy_skills!$A$1,0,0,COUNTA(enemy_skills!$A:$A),MATCH(E$1,enemy_skills!$1:$1,0)-MATCH("enemy_skill_id",enemy_skills!$1:$1,0)+1),MATCH(E$1,enemy_skills!$1:$1,0)-MATCH("enemy_skill_id",enemy_skills!$1:$1,0)+1,FALSE)</f>
        <v>攻撃力大UP+単体攻撃</v>
      </c>
      <c r="F7" s="117">
        <v>50016023</v>
      </c>
      <c r="G7" s="48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48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600</v>
      </c>
      <c r="I7" s="48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48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7" s="48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8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" s="48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" s="48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8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47"/>
      <c r="Q7" s="47"/>
      <c r="R7" s="47"/>
    </row>
    <row r="8" spans="1:18" ht="21" customHeight="1" x14ac:dyDescent="0.15">
      <c r="A8" s="39" t="str">
        <f t="shared" si="2"/>
        <v>50016000_50016023</v>
      </c>
      <c r="B8" s="47">
        <v>50016000</v>
      </c>
      <c r="C8" s="47">
        <v>50016023</v>
      </c>
      <c r="D8" s="46" t="str">
        <f ca="1">VLOOKUP($C8,OFFSET(enemy_skills!$A$1,0,0,COUNTA(enemy_skills!$A:$A),MATCH(D$1,enemy_skills!$1:$1,0)-MATCH("enemy_skill_id",enemy_skills!$1:$1,0)+1),MATCH(D$1,enemy_skills!$1:$1,0)-MATCH("enemy_skill_id",enemy_skills!$1:$1,0)+1,FALSE)</f>
        <v>ハニーポット展開</v>
      </c>
      <c r="E8" s="46" t="str">
        <f ca="1">VLOOKUP($C8,OFFSET(enemy_skills!$A$1,0,0,COUNTA(enemy_skills!$A:$A),MATCH(E$1,enemy_skills!$1:$1,0)-MATCH("enemy_skill_id",enemy_skills!$1:$1,0)+1),MATCH(E$1,enemy_skills!$1:$1,0)-MATCH("enemy_skill_id",enemy_skills!$1:$1,0)+1,FALSE)</f>
        <v>属性パネルを黄のダメージパネルに3個変換+_x000D_単体攻撃</v>
      </c>
      <c r="F8" s="117">
        <v>50016024</v>
      </c>
      <c r="G8" s="48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48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700</v>
      </c>
      <c r="I8" s="48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48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20</v>
      </c>
      <c r="K8" s="48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8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" s="48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8" s="48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8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47"/>
      <c r="Q8" s="47"/>
      <c r="R8" s="47"/>
    </row>
    <row r="9" spans="1:18" ht="21" customHeight="1" x14ac:dyDescent="0.15">
      <c r="A9" s="39" t="str">
        <f t="shared" ref="A9:A67" si="4">B9&amp;"_"&amp;C9</f>
        <v>50016010_50016011</v>
      </c>
      <c r="B9" s="47">
        <v>50016010</v>
      </c>
      <c r="C9" s="114">
        <v>50016011</v>
      </c>
      <c r="D9" s="46" t="str">
        <f ca="1">VLOOKUP($C9,OFFSET(enemy_skills!$A$1,0,0,COUNTA(enemy_skills!$A:$A),MATCH(D$1,enemy_skills!$1:$1,0)-MATCH("enemy_skill_id",enemy_skills!$1:$1,0)+1),MATCH(D$1,enemy_skills!$1:$1,0)-MATCH("enemy_skill_id",enemy_skills!$1:$1,0)+1,FALSE)</f>
        <v>あなた達…どこから？</v>
      </c>
      <c r="E9" s="46" t="str">
        <f ca="1">VLOOKUP($C9,OFFSET(enemy_skills!$A$1,0,0,COUNTA(enemy_skills!$A:$A),MATCH(E$1,enemy_skills!$1:$1,0)-MATCH("enemy_skill_id",enemy_skills!$1:$1,0)+1),MATCH(E$1,enemy_skills!$1:$1,0)-MATCH("enemy_skill_id",enemy_skills!$1:$1,0)+1,FALSE)</f>
        <v>4ターン全ユニットにウィルス</v>
      </c>
      <c r="F9" s="123">
        <v>50016900</v>
      </c>
      <c r="G9" s="48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" s="48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900</v>
      </c>
      <c r="I9" s="48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48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8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8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" s="48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48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8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47"/>
      <c r="Q9" s="47"/>
      <c r="R9" s="47"/>
    </row>
    <row r="10" spans="1:18" ht="21" customHeight="1" x14ac:dyDescent="0.15">
      <c r="A10" s="39" t="str">
        <f t="shared" ref="A10:A19" si="5">B10&amp;"_"&amp;C10</f>
        <v>50016010_50016012</v>
      </c>
      <c r="B10" s="47">
        <v>50016010</v>
      </c>
      <c r="C10" s="114">
        <v>50016012</v>
      </c>
      <c r="D10" s="46" t="str">
        <f ca="1">VLOOKUP($C10,OFFSET(enemy_skills!$A$1,0,0,COUNTA(enemy_skills!$A:$A),MATCH(D$1,enemy_skills!$1:$1,0)-MATCH("enemy_skill_id",enemy_skills!$1:$1,0)+1),MATCH(D$1,enemy_skills!$1:$1,0)-MATCH("enemy_skill_id",enemy_skills!$1:$1,0)+1,FALSE)</f>
        <v>…これは警告</v>
      </c>
      <c r="E10" s="46" t="str">
        <f ca="1">VLOOKUP($C10,OFFSET(enemy_skills!$A$1,0,0,COUNTA(enemy_skills!$A:$A),MATCH(E$1,enemy_skills!$1:$1,0)-MATCH("enemy_skill_id",enemy_skills!$1:$1,0)+1),MATCH(E$1,enemy_skills!$1:$1,0)-MATCH("enemy_skill_id",enemy_skills!$1:$1,0)+1,FALSE)</f>
        <v>黄が緑パネルに、緑が黄パネルに変換+単体攻撃</v>
      </c>
      <c r="F10" s="114">
        <v>50016012</v>
      </c>
      <c r="G10" s="48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48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200</v>
      </c>
      <c r="I10" s="48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48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48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8" t="str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" s="48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0" s="48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8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47"/>
      <c r="Q10" s="47"/>
      <c r="R10" s="47"/>
    </row>
    <row r="11" spans="1:18" ht="21" customHeight="1" x14ac:dyDescent="0.15">
      <c r="A11" s="39" t="str">
        <f t="shared" si="5"/>
        <v>50016010_50016013</v>
      </c>
      <c r="B11" s="47">
        <v>50016010</v>
      </c>
      <c r="C11" s="114">
        <v>50016013</v>
      </c>
      <c r="D11" s="46" t="str">
        <f ca="1">VLOOKUP($C11,OFFSET(enemy_skills!$A$1,0,0,COUNTA(enemy_skills!$A:$A),MATCH(D$1,enemy_skills!$1:$1,0)-MATCH("enemy_skill_id",enemy_skills!$1:$1,0)+1),MATCH(D$1,enemy_skills!$1:$1,0)-MATCH("enemy_skill_id",enemy_skills!$1:$1,0)+1,FALSE)</f>
        <v>クローン…_x000D_…じゃないようね</v>
      </c>
      <c r="E11" s="46" t="str">
        <f ca="1">VLOOKUP($C11,OFFSET(enemy_skills!$A$1,0,0,COUNTA(enemy_skills!$A:$A),MATCH(E$1,enemy_skills!$1:$1,0)-MATCH("enemy_skill_id",enemy_skills!$1:$1,0)+1),MATCH(E$1,enemy_skills!$1:$1,0)-MATCH("enemy_skill_id",enemy_skills!$1:$1,0)+1,FALSE)</f>
        <v>2ターン全ユニットの回復力80%DOWN</v>
      </c>
      <c r="F11" s="114">
        <v>50016013</v>
      </c>
      <c r="G11" s="48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" s="48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300</v>
      </c>
      <c r="I11" s="48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48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48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8" t="str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" s="48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11" s="48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8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47"/>
      <c r="Q11" s="47"/>
      <c r="R11" s="47"/>
    </row>
    <row r="12" spans="1:18" ht="21" customHeight="1" x14ac:dyDescent="0.15">
      <c r="A12" s="39" t="str">
        <f t="shared" ref="A12" si="6">B12&amp;"_"&amp;C12</f>
        <v>50016010_50016014</v>
      </c>
      <c r="B12" s="47">
        <v>50016010</v>
      </c>
      <c r="C12" s="114">
        <v>50016014</v>
      </c>
      <c r="D12" s="46" t="str">
        <f ca="1">VLOOKUP($C12,OFFSET(enemy_skills!$A$1,0,0,COUNTA(enemy_skills!$A:$A),MATCH(D$1,enemy_skills!$1:$1,0)-MATCH("enemy_skill_id",enemy_skills!$1:$1,0)+1),MATCH(D$1,enemy_skills!$1:$1,0)-MATCH("enemy_skill_id",enemy_skills!$1:$1,0)+1,FALSE)</f>
        <v>シヴァ…随分遅いのね</v>
      </c>
      <c r="E12" s="46" t="str">
        <f ca="1">VLOOKUP($C12,OFFSET(enemy_skills!$A$1,0,0,COUNTA(enemy_skills!$A:$A),MATCH(E$1,enemy_skills!$1:$1,0)-MATCH("enemy_skill_id",enemy_skills!$1:$1,0)+1),MATCH(E$1,enemy_skills!$1:$1,0)-MATCH("enemy_skill_id",enemy_skills!$1:$1,0)+1,FALSE)</f>
        <v>4ターン全ユニットにウィルス</v>
      </c>
      <c r="F12" s="123">
        <v>50016901</v>
      </c>
      <c r="G12" s="48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2" s="48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901</v>
      </c>
      <c r="I12" s="48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48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8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8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" s="48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48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656</v>
      </c>
      <c r="O12" s="48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47"/>
      <c r="Q12" s="47"/>
      <c r="R12" s="47"/>
    </row>
    <row r="13" spans="1:18" ht="21" customHeight="1" x14ac:dyDescent="0.15">
      <c r="A13" s="39" t="str">
        <f t="shared" ref="A13:A14" si="7">B13&amp;"_"&amp;C13</f>
        <v>50016010_50016014</v>
      </c>
      <c r="B13" s="47">
        <v>50016010</v>
      </c>
      <c r="C13" s="114">
        <v>50016014</v>
      </c>
      <c r="D13" s="46" t="str">
        <f ca="1">VLOOKUP($C13,OFFSET(enemy_skills!$A$1,0,0,COUNTA(enemy_skills!$A:$A),MATCH(D$1,enemy_skills!$1:$1,0)-MATCH("enemy_skill_id",enemy_skills!$1:$1,0)+1),MATCH(D$1,enemy_skills!$1:$1,0)-MATCH("enemy_skill_id",enemy_skills!$1:$1,0)+1,FALSE)</f>
        <v>シヴァ…随分遅いのね</v>
      </c>
      <c r="E13" s="46" t="str">
        <f ca="1">VLOOKUP($C13,OFFSET(enemy_skills!$A$1,0,0,COUNTA(enemy_skills!$A:$A),MATCH(E$1,enemy_skills!$1:$1,0)-MATCH("enemy_skill_id",enemy_skills!$1:$1,0)+1),MATCH(E$1,enemy_skills!$1:$1,0)-MATCH("enemy_skill_id",enemy_skills!$1:$1,0)+1,FALSE)</f>
        <v>4ターン全ユニットにウィルス</v>
      </c>
      <c r="F13" s="123">
        <v>50016902</v>
      </c>
      <c r="G13" s="48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3" s="48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902</v>
      </c>
      <c r="I13" s="48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48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48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8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" s="48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48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657</v>
      </c>
      <c r="O13" s="48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47"/>
      <c r="Q13" s="47"/>
      <c r="R13" s="47"/>
    </row>
    <row r="14" spans="1:18" ht="21" customHeight="1" x14ac:dyDescent="0.15">
      <c r="A14" s="39" t="str">
        <f t="shared" si="7"/>
        <v>50016010_50016014</v>
      </c>
      <c r="B14" s="47">
        <v>50016010</v>
      </c>
      <c r="C14" s="114">
        <v>50016014</v>
      </c>
      <c r="D14" s="46" t="str">
        <f ca="1">VLOOKUP($C14,OFFSET(enemy_skills!$A$1,0,0,COUNTA(enemy_skills!$A:$A),MATCH(D$1,enemy_skills!$1:$1,0)-MATCH("enemy_skill_id",enemy_skills!$1:$1,0)+1),MATCH(D$1,enemy_skills!$1:$1,0)-MATCH("enemy_skill_id",enemy_skills!$1:$1,0)+1,FALSE)</f>
        <v>シヴァ…随分遅いのね</v>
      </c>
      <c r="E14" s="46" t="str">
        <f ca="1">VLOOKUP($C14,OFFSET(enemy_skills!$A$1,0,0,COUNTA(enemy_skills!$A:$A),MATCH(E$1,enemy_skills!$1:$1,0)-MATCH("enemy_skill_id",enemy_skills!$1:$1,0)+1),MATCH(E$1,enemy_skills!$1:$1,0)-MATCH("enemy_skill_id",enemy_skills!$1:$1,0)+1,FALSE)</f>
        <v>4ターン全ユニットにウィルス</v>
      </c>
      <c r="F14" s="123">
        <v>50016903</v>
      </c>
      <c r="G14" s="48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4" s="48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903</v>
      </c>
      <c r="I14" s="48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48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48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8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" s="48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48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834</v>
      </c>
      <c r="O14" s="48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" s="47"/>
      <c r="Q14" s="47"/>
      <c r="R14" s="47"/>
    </row>
    <row r="15" spans="1:18" ht="21" customHeight="1" x14ac:dyDescent="0.15">
      <c r="A15" s="39" t="str">
        <f t="shared" ref="A15" si="8">B15&amp;"_"&amp;C15</f>
        <v>50016010_50016015</v>
      </c>
      <c r="B15" s="47">
        <v>50016010</v>
      </c>
      <c r="C15" s="114">
        <v>50016015</v>
      </c>
      <c r="D15" s="46" t="str">
        <f ca="1">VLOOKUP($C15,OFFSET(enemy_skills!$A$1,0,0,COUNTA(enemy_skills!$A:$A),MATCH(D$1,enemy_skills!$1:$1,0)-MATCH("enemy_skill_id",enemy_skills!$1:$1,0)+1),MATCH(D$1,enemy_skills!$1:$1,0)-MATCH("enemy_skill_id",enemy_skills!$1:$1,0)+1,FALSE)</f>
        <v>…この先はまかせたわ</v>
      </c>
      <c r="E15" s="46" t="str">
        <f ca="1">VLOOKUP($C15,OFFSET(enemy_skills!$A$1,0,0,COUNTA(enemy_skills!$A:$A),MATCH(E$1,enemy_skills!$1:$1,0)-MATCH("enemy_skill_id",enemy_skills!$1:$1,0)+1),MATCH(E$1,enemy_skills!$1:$1,0)-MATCH("enemy_skill_id",enemy_skills!$1:$1,0)+1,FALSE)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5" s="123">
        <v>50016950</v>
      </c>
      <c r="G15" s="48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" s="48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950</v>
      </c>
      <c r="I15" s="48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48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48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8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5" s="48" t="str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" s="48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15" s="48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47"/>
      <c r="Q15" s="47"/>
      <c r="R15" s="47"/>
    </row>
    <row r="16" spans="1:18" ht="21" customHeight="1" x14ac:dyDescent="0.15">
      <c r="A16" s="39" t="str">
        <f t="shared" si="5"/>
        <v>50016010_50016021</v>
      </c>
      <c r="B16" s="47">
        <v>50016010</v>
      </c>
      <c r="C16" s="114">
        <v>50016021</v>
      </c>
      <c r="D16" s="46" t="str">
        <f ca="1">VLOOKUP($C16,OFFSET(enemy_skills!$A$1,0,0,COUNTA(enemy_skills!$A:$A),MATCH(D$1,enemy_skills!$1:$1,0)-MATCH("enemy_skill_id",enemy_skills!$1:$1,0)+1),MATCH(D$1,enemy_skills!$1:$1,0)-MATCH("enemy_skill_id",enemy_skills!$1:$1,0)+1,FALSE)</f>
        <v>排他的インクリメント</v>
      </c>
      <c r="E16" s="46" t="str">
        <f ca="1">VLOOKUP($C16,OFFSET(enemy_skills!$A$1,0,0,COUNTA(enemy_skills!$A:$A),MATCH(E$1,enemy_skills!$1:$1,0)-MATCH("enemy_skill_id",enemy_skills!$1:$1,0)+1),MATCH(E$1,enemy_skills!$1:$1,0)-MATCH("enemy_skill_id",enemy_skills!$1:$1,0)+1,FALSE)</f>
        <v>青属性ユニットのスキルターンを1ターン短縮+_x000D_単体攻撃</v>
      </c>
      <c r="F16" s="117">
        <v>50016021</v>
      </c>
      <c r="G16" s="48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" s="48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16" s="48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48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80</v>
      </c>
      <c r="K16" s="48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16" s="48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" s="48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6" s="48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8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47"/>
      <c r="Q16" s="47"/>
      <c r="R16" s="47"/>
    </row>
    <row r="17" spans="1:18" ht="21" customHeight="1" x14ac:dyDescent="0.15">
      <c r="A17" s="39" t="str">
        <f t="shared" ref="A17" si="9">B17&amp;"_"&amp;C17</f>
        <v>50016010_50016021</v>
      </c>
      <c r="B17" s="47">
        <v>50016010</v>
      </c>
      <c r="C17" s="114">
        <v>50016021</v>
      </c>
      <c r="D17" s="46" t="str">
        <f ca="1">VLOOKUP($C17,OFFSET(enemy_skills!$A$1,0,0,COUNTA(enemy_skills!$A:$A),MATCH(D$1,enemy_skills!$1:$1,0)-MATCH("enemy_skill_id",enemy_skills!$1:$1,0)+1),MATCH(D$1,enemy_skills!$1:$1,0)-MATCH("enemy_skill_id",enemy_skills!$1:$1,0)+1,FALSE)</f>
        <v>排他的インクリメント</v>
      </c>
      <c r="E17" s="46" t="str">
        <f ca="1">VLOOKUP($C17,OFFSET(enemy_skills!$A$1,0,0,COUNTA(enemy_skills!$A:$A),MATCH(E$1,enemy_skills!$1:$1,0)-MATCH("enemy_skill_id",enemy_skills!$1:$1,0)+1),MATCH(E$1,enemy_skills!$1:$1,0)-MATCH("enemy_skill_id",enemy_skills!$1:$1,0)+1,FALSE)</f>
        <v>青属性ユニットのスキルターンを1ターン短縮+_x000D_単体攻撃</v>
      </c>
      <c r="F17" s="117">
        <v>50016022</v>
      </c>
      <c r="G17" s="48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" s="48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601</v>
      </c>
      <c r="I17" s="48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48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7" s="48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8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" s="48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7" s="48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8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47"/>
      <c r="Q17" s="47"/>
      <c r="R17" s="47"/>
    </row>
    <row r="18" spans="1:18" ht="21" customHeight="1" x14ac:dyDescent="0.15">
      <c r="A18" s="39" t="str">
        <f t="shared" si="5"/>
        <v>50016010_50016022</v>
      </c>
      <c r="B18" s="47">
        <v>50016010</v>
      </c>
      <c r="C18" s="114">
        <v>50016022</v>
      </c>
      <c r="D18" s="46" t="str">
        <f ca="1">VLOOKUP($C18,OFFSET(enemy_skills!$A$1,0,0,COUNTA(enemy_skills!$A:$A),MATCH(D$1,enemy_skills!$1:$1,0)-MATCH("enemy_skill_id",enemy_skills!$1:$1,0)+1),MATCH(D$1,enemy_skills!$1:$1,0)-MATCH("enemy_skill_id",enemy_skills!$1:$1,0)+1,FALSE)</f>
        <v>強制アクセス制御</v>
      </c>
      <c r="E18" s="46" t="str">
        <f ca="1">VLOOKUP($C18,OFFSET(enemy_skills!$A$1,0,0,COUNTA(enemy_skills!$A:$A),MATCH(E$1,enemy_skills!$1:$1,0)-MATCH("enemy_skill_id",enemy_skills!$1:$1,0)+1),MATCH(E$1,enemy_skills!$1:$1,0)-MATCH("enemy_skill_id",enemy_skills!$1:$1,0)+1,FALSE)</f>
        <v>攻撃力大UP+単体攻撃</v>
      </c>
      <c r="F18" s="117">
        <v>50016023</v>
      </c>
      <c r="G18" s="48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" s="48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600</v>
      </c>
      <c r="I18" s="48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48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8" s="48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8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" s="48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8" s="48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8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" s="47"/>
      <c r="Q18" s="47"/>
      <c r="R18" s="47"/>
    </row>
    <row r="19" spans="1:18" ht="21" customHeight="1" x14ac:dyDescent="0.15">
      <c r="A19" s="39" t="str">
        <f t="shared" si="5"/>
        <v>50016010_50016023</v>
      </c>
      <c r="B19" s="47">
        <v>50016010</v>
      </c>
      <c r="C19" s="114">
        <v>50016023</v>
      </c>
      <c r="D19" s="46" t="str">
        <f ca="1">VLOOKUP($C19,OFFSET(enemy_skills!$A$1,0,0,COUNTA(enemy_skills!$A:$A),MATCH(D$1,enemy_skills!$1:$1,0)-MATCH("enemy_skill_id",enemy_skills!$1:$1,0)+1),MATCH(D$1,enemy_skills!$1:$1,0)-MATCH("enemy_skill_id",enemy_skills!$1:$1,0)+1,FALSE)</f>
        <v>ハニーポット展開</v>
      </c>
      <c r="E19" s="46" t="str">
        <f ca="1">VLOOKUP($C19,OFFSET(enemy_skills!$A$1,0,0,COUNTA(enemy_skills!$A:$A),MATCH(E$1,enemy_skills!$1:$1,0)-MATCH("enemy_skill_id",enemy_skills!$1:$1,0)+1),MATCH(E$1,enemy_skills!$1:$1,0)-MATCH("enemy_skill_id",enemy_skills!$1:$1,0)+1,FALSE)</f>
        <v>属性パネルを黄のダメージパネルに3個変換+_x000D_単体攻撃</v>
      </c>
      <c r="F19" s="117">
        <v>50016024</v>
      </c>
      <c r="G19" s="48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" s="48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700</v>
      </c>
      <c r="I19" s="48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48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20</v>
      </c>
      <c r="K19" s="48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8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" s="48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9" s="48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48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" s="47"/>
      <c r="Q19" s="47"/>
      <c r="R19" s="47"/>
    </row>
    <row r="20" spans="1:18" ht="21" customHeight="1" x14ac:dyDescent="0.15">
      <c r="A20" s="39" t="str">
        <f t="shared" si="4"/>
        <v>50016100_50016101</v>
      </c>
      <c r="B20" s="113">
        <v>50016100</v>
      </c>
      <c r="C20" s="47">
        <v>50016101</v>
      </c>
      <c r="D20" s="46" t="str">
        <f ca="1">VLOOKUP($C20,OFFSET(enemy_skills!$A$1,0,0,COUNTA(enemy_skills!$A:$A),MATCH(D$1,enemy_skills!$1:$1,0)-MATCH("enemy_skill_id",enemy_skills!$1:$1,0)+1),MATCH(D$1,enemy_skills!$1:$1,0)-MATCH("enemy_skill_id",enemy_skills!$1:$1,0)+1,FALSE)</f>
        <v>[id:1138 強制クローニングを開始します]</v>
      </c>
      <c r="E20" s="46" t="str">
        <f ca="1">VLOOKUP($C20,OFFSET(enemy_skills!$A$1,0,0,COUNTA(enemy_skills!$A:$A),MATCH(E$1,enemy_skills!$1:$1,0)-MATCH("enemy_skill_id",enemy_skills!$1:$1,0)+1),MATCH(E$1,enemy_skills!$1:$1,0)-MATCH("enemy_skill_id",enemy_skills!$1:$1,0)+1,FALSE)</f>
        <v>全ての効果を解除+緑パネルが出現しない+_x000D_状態異常耐性</v>
      </c>
      <c r="F20" s="121">
        <v>50016900</v>
      </c>
      <c r="G20" s="48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0" s="48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900</v>
      </c>
      <c r="I20" s="48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" s="48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48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8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0" s="48" t="str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" s="48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48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" s="47"/>
      <c r="Q20" s="47"/>
      <c r="R20" s="47"/>
    </row>
    <row r="21" spans="1:18" ht="21" customHeight="1" x14ac:dyDescent="0.15">
      <c r="A21" s="39" t="str">
        <f t="shared" ref="A21:A24" si="10">B21&amp;"_"&amp;C21</f>
        <v>50016100_50016102</v>
      </c>
      <c r="B21" s="113">
        <v>50016100</v>
      </c>
      <c r="C21" s="47">
        <v>50016102</v>
      </c>
      <c r="D21" s="46" t="str">
        <f ca="1">VLOOKUP($C21,OFFSET(enemy_skills!$A$1,0,0,COUNTA(enemy_skills!$A:$A),MATCH(D$1,enemy_skills!$1:$1,0)-MATCH("enemy_skill_id",enemy_skills!$1:$1,0)+1),MATCH(D$1,enemy_skills!$1:$1,0)-MATCH("enemy_skill_id",enemy_skills!$1:$1,0)+1,FALSE)</f>
        <v>《戦の手はずは整ったよ》</v>
      </c>
      <c r="E21" s="46" t="str">
        <f ca="1">VLOOKUP($C21,OFFSET(enemy_skills!$A$1,0,0,COUNTA(enemy_skills!$A:$A),MATCH(E$1,enemy_skills!$1:$1,0)-MATCH("enemy_skill_id",enemy_skills!$1:$1,0)+1),MATCH(E$1,enemy_skills!$1:$1,0)-MATCH("enemy_skill_id",enemy_skills!$1:$1,0)+1,FALSE)</f>
        <v>属性パネルをお邪魔パネルに10個変換+_x000D_2ターン全ユニットにウィルス+_x000D_3ターンタップ回数を2DOWN</v>
      </c>
      <c r="F21" s="47">
        <v>50016102</v>
      </c>
      <c r="G21" s="48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" s="48" t="str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1" s="48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48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48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8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" s="48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1" s="48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48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47"/>
      <c r="Q21" s="47"/>
      <c r="R21" s="47"/>
    </row>
    <row r="22" spans="1:18" ht="21" customHeight="1" x14ac:dyDescent="0.15">
      <c r="A22" s="39" t="str">
        <f t="shared" si="10"/>
        <v>50016100_50016103</v>
      </c>
      <c r="B22" s="113">
        <v>50016100</v>
      </c>
      <c r="C22" s="47">
        <v>50016103</v>
      </c>
      <c r="D22" s="46" t="str">
        <f ca="1">VLOOKUP($C22,OFFSET(enemy_skills!$A$1,0,0,COUNTA(enemy_skills!$A:$A),MATCH(D$1,enemy_skills!$1:$1,0)-MATCH("enemy_skill_id",enemy_skills!$1:$1,0)+1),MATCH(D$1,enemy_skills!$1:$1,0)-MATCH("enemy_skill_id",enemy_skills!$1:$1,0)+1,FALSE)</f>
        <v>《皆！出陣だ！》</v>
      </c>
      <c r="E22" s="46" t="str">
        <f ca="1">VLOOKUP($C22,OFFSET(enemy_skills!$A$1,0,0,COUNTA(enemy_skills!$A:$A),MATCH(E$1,enemy_skills!$1:$1,0)-MATCH("enemy_skill_id",enemy_skills!$1:$1,0)+1),MATCH(E$1,enemy_skills!$1:$1,0)-MATCH("enemy_skill_id",enemy_skills!$1:$1,0)+1,FALSE)</f>
        <v>属性パネルをお邪魔パネルに7個変換+_x000D_ウィルス状態のバランスタイプユニットに大ダメージ</v>
      </c>
      <c r="F22" s="47">
        <v>50016103</v>
      </c>
      <c r="G22" s="48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" s="48" t="str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2" s="48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" s="48" t="str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" s="48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8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2" s="48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2" s="48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48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" s="47"/>
      <c r="Q22" s="47"/>
      <c r="R22" s="47"/>
    </row>
    <row r="23" spans="1:18" ht="21" customHeight="1" x14ac:dyDescent="0.15">
      <c r="A23" s="39" t="str">
        <f t="shared" si="10"/>
        <v>50016100_50016104</v>
      </c>
      <c r="B23" s="113">
        <v>50016100</v>
      </c>
      <c r="C23" s="47">
        <v>50016104</v>
      </c>
      <c r="D23" s="46" t="str">
        <f ca="1">VLOOKUP($C23,OFFSET(enemy_skills!$A$1,0,0,COUNTA(enemy_skills!$A:$A),MATCH(D$1,enemy_skills!$1:$1,0)-MATCH("enemy_skill_id",enemy_skills!$1:$1,0)+1),MATCH(D$1,enemy_skills!$1:$1,0)-MATCH("enemy_skill_id",enemy_skills!$1:$1,0)+1,FALSE)</f>
        <v>《勝利の一手は見えてるよ》</v>
      </c>
      <c r="E23" s="46" t="str">
        <f ca="1">VLOOKUP($C23,OFFSET(enemy_skills!$A$1,0,0,COUNTA(enemy_skills!$A:$A),MATCH(E$1,enemy_skills!$1:$1,0)-MATCH("enemy_skill_id",enemy_skills!$1:$1,0)+1),MATCH(E$1,enemy_skills!$1:$1,0)-MATCH("enemy_skill_id",enemy_skills!$1:$1,0)+1,FALSE)</f>
        <v>青パネルを吸収する程、ダメージがDOWNする攻撃</v>
      </c>
      <c r="F23" s="47">
        <v>50016104</v>
      </c>
      <c r="G23" s="48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" s="48" t="str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3" s="48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" s="48" t="str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" s="48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48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3" s="48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23" s="48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48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" s="47"/>
      <c r="Q23" s="47"/>
      <c r="R23" s="47"/>
    </row>
    <row r="24" spans="1:18" ht="21" customHeight="1" x14ac:dyDescent="0.15">
      <c r="A24" s="39" t="str">
        <f t="shared" si="10"/>
        <v>50016100_50016105</v>
      </c>
      <c r="B24" s="113">
        <v>50016100</v>
      </c>
      <c r="C24" s="47">
        <v>50016105</v>
      </c>
      <c r="D24" s="46" t="str">
        <f ca="1">VLOOKUP($C24,OFFSET(enemy_skills!$A$1,0,0,COUNTA(enemy_skills!$A:$A),MATCH(D$1,enemy_skills!$1:$1,0)-MATCH("enemy_skill_id",enemy_skills!$1:$1,0)+1),MATCH(D$1,enemy_skills!$1:$1,0)-MATCH("enemy_skill_id",enemy_skills!$1:$1,0)+1,FALSE)</f>
        <v>[スキル実行 臥竜鳳雛の構え]</v>
      </c>
      <c r="E24" s="46" t="str">
        <f ca="1">VLOOKUP($C24,OFFSET(enemy_skills!$A$1,0,0,COUNTA(enemy_skills!$A:$A),MATCH(E$1,enemy_skills!$1:$1,0)-MATCH("enemy_skill_id",enemy_skills!$1:$1,0)+1),MATCH(E$1,enemy_skills!$1:$1,0)-MATCH("enemy_skill_id",enemy_skills!$1:$1,0)+1,FALSE)</f>
        <v>属性パネルをお邪魔パネルに7個変換+クリティカル！_x000D_【次ターン防御力無視の超大ダメージ】</v>
      </c>
      <c r="F24" s="47">
        <v>50016105</v>
      </c>
      <c r="G24" s="48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" s="48" t="str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4" s="48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48" t="str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" s="48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8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4" s="48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24" s="48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48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" s="47"/>
      <c r="Q24" s="47"/>
      <c r="R24" s="47"/>
    </row>
    <row r="25" spans="1:18" ht="21" customHeight="1" x14ac:dyDescent="0.15">
      <c r="A25" s="39" t="str">
        <f t="shared" ref="A25" si="11">B25&amp;"_"&amp;C25</f>
        <v>50016100_50016106</v>
      </c>
      <c r="B25" s="113">
        <v>50016100</v>
      </c>
      <c r="C25" s="47">
        <v>50016106</v>
      </c>
      <c r="D25" s="46" t="str">
        <f ca="1">VLOOKUP($C25,OFFSET(enemy_skills!$A$1,0,0,COUNTA(enemy_skills!$A:$A),MATCH(D$1,enemy_skills!$1:$1,0)-MATCH("enemy_skill_id",enemy_skills!$1:$1,0)+1),MATCH(D$1,enemy_skills!$1:$1,0)-MATCH("enemy_skill_id",enemy_skills!$1:$1,0)+1,FALSE)</f>
        <v>《計画通りだよ…！》</v>
      </c>
      <c r="E25" s="46" t="str">
        <f ca="1">VLOOKUP($C25,OFFSET(enemy_skills!$A$1,0,0,COUNTA(enemy_skills!$A:$A),MATCH(E$1,enemy_skills!$1:$1,0)-MATCH("enemy_skill_id",enemy_skills!$1:$1,0)+1),MATCH(E$1,enemy_skills!$1:$1,0)-MATCH("enemy_skill_id",enemy_skills!$1:$1,0)+1,FALSE)</f>
        <v>防御力無視の超大ダメージ</v>
      </c>
      <c r="F25" s="47">
        <v>50016106</v>
      </c>
      <c r="G25" s="48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" s="48" t="str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5" s="48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48" t="str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" s="48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8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" s="48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25" s="48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48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" s="47"/>
      <c r="Q25" s="47"/>
      <c r="R25" s="47"/>
    </row>
    <row r="26" spans="1:18" ht="21" customHeight="1" x14ac:dyDescent="0.15">
      <c r="A26" s="39" t="str">
        <f t="shared" si="4"/>
        <v>50016200_50016201</v>
      </c>
      <c r="B26" s="113">
        <v>50016200</v>
      </c>
      <c r="C26" s="114">
        <v>50016201</v>
      </c>
      <c r="D26" s="46" t="str">
        <f ca="1">VLOOKUP($C26,OFFSET(enemy_skills!$A$1,0,0,COUNTA(enemy_skills!$A:$A),MATCH(D$1,enemy_skills!$1:$1,0)-MATCH("enemy_skill_id",enemy_skills!$1:$1,0)+1),MATCH(D$1,enemy_skills!$1:$1,0)-MATCH("enemy_skill_id",enemy_skills!$1:$1,0)+1,FALSE)</f>
        <v>[id:1439 強制クローニングを開始します]</v>
      </c>
      <c r="E26" s="46" t="str">
        <f ca="1">VLOOKUP($C26,OFFSET(enemy_skills!$A$1,0,0,COUNTA(enemy_skills!$A:$A),MATCH(E$1,enemy_skills!$1:$1,0)-MATCH("enemy_skill_id",enemy_skills!$1:$1,0)+1),MATCH(E$1,enemy_skills!$1:$1,0)-MATCH("enemy_skill_id",enemy_skills!$1:$1,0)+1,FALSE)</f>
        <v>お邪魔パネル吸収して防御力UP+状態異常耐性</v>
      </c>
      <c r="F26" s="123">
        <v>50016900</v>
      </c>
      <c r="G26" s="48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6" s="48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900</v>
      </c>
      <c r="I26" s="48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" s="48" t="str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" s="48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8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6" s="48" t="str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" s="48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48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" s="47"/>
      <c r="Q26" s="47"/>
      <c r="R26" s="47"/>
    </row>
    <row r="27" spans="1:18" ht="21" customHeight="1" x14ac:dyDescent="0.15">
      <c r="A27" s="39" t="str">
        <f t="shared" ref="A27:A30" si="12">B27&amp;"_"&amp;C27</f>
        <v>50016200_50016202</v>
      </c>
      <c r="B27" s="113">
        <v>50016200</v>
      </c>
      <c r="C27" s="114">
        <v>50016202</v>
      </c>
      <c r="D27" s="46" t="str">
        <f ca="1">VLOOKUP($C27,OFFSET(enemy_skills!$A$1,0,0,COUNTA(enemy_skills!$A:$A),MATCH(D$1,enemy_skills!$1:$1,0)-MATCH("enemy_skill_id",enemy_skills!$1:$1,0)+1),MATCH(D$1,enemy_skills!$1:$1,0)-MATCH("enemy_skill_id",enemy_skills!$1:$1,0)+1,FALSE)</f>
        <v>《崩し甲斐がありそうだ》</v>
      </c>
      <c r="E27" s="46" t="str">
        <f ca="1">VLOOKUP($C27,OFFSET(enemy_skills!$A$1,0,0,COUNTA(enemy_skills!$A:$A),MATCH(E$1,enemy_skills!$1:$1,0)-MATCH("enemy_skill_id",enemy_skills!$1:$1,0)+1),MATCH(E$1,enemy_skills!$1:$1,0)-MATCH("enemy_skill_id",enemy_skills!$1:$1,0)+1,FALSE)</f>
        <v>属性パネルを赤のダメージパネルに10個変換+_x000D_3ターン全ユニットの回復力80%DOWN+単体攻撃</v>
      </c>
      <c r="F27" s="114">
        <v>50016202</v>
      </c>
      <c r="G27" s="48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" s="48" t="str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7" s="48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" s="48" t="str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" s="48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8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7" s="48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7" s="48" t="str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" s="48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" s="47"/>
      <c r="Q27" s="47"/>
      <c r="R27" s="47"/>
    </row>
    <row r="28" spans="1:18" ht="21" customHeight="1" x14ac:dyDescent="0.15">
      <c r="A28" s="39" t="str">
        <f t="shared" si="12"/>
        <v>50016200_50016203</v>
      </c>
      <c r="B28" s="113">
        <v>50016200</v>
      </c>
      <c r="C28" s="114">
        <v>50016203</v>
      </c>
      <c r="D28" s="46" t="str">
        <f ca="1">VLOOKUP($C28,OFFSET(enemy_skills!$A$1,0,0,COUNTA(enemy_skills!$A:$A),MATCH(D$1,enemy_skills!$1:$1,0)-MATCH("enemy_skill_id",enemy_skills!$1:$1,0)+1),MATCH(D$1,enemy_skills!$1:$1,0)-MATCH("enemy_skill_id",enemy_skills!$1:$1,0)+1,FALSE)</f>
        <v>《ブッ壊すことにする！》</v>
      </c>
      <c r="E28" s="46" t="str">
        <f ca="1">VLOOKUP($C28,OFFSET(enemy_skills!$A$1,0,0,COUNTA(enemy_skills!$A:$A),MATCH(E$1,enemy_skills!$1:$1,0)-MATCH("enemy_skill_id",enemy_skills!$1:$1,0)+1),MATCH(E$1,enemy_skills!$1:$1,0)-MATCH("enemy_skill_id",enemy_skills!$1:$1,0)+1,FALSE)</f>
        <v>属性パネルを赤のダメージパネルに7個変換+単体攻撃</v>
      </c>
      <c r="F28" s="114">
        <v>50016203</v>
      </c>
      <c r="G28" s="48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" s="48" t="str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8" s="48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" s="48" t="str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" s="48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48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8" s="48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8" s="48" t="str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" s="48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" s="47"/>
      <c r="Q28" s="47"/>
      <c r="R28" s="47"/>
    </row>
    <row r="29" spans="1:18" ht="21" customHeight="1" x14ac:dyDescent="0.15">
      <c r="A29" s="39" t="str">
        <f t="shared" si="12"/>
        <v>50016200_50016204</v>
      </c>
      <c r="B29" s="113">
        <v>50016200</v>
      </c>
      <c r="C29" s="114">
        <v>50016204</v>
      </c>
      <c r="D29" s="46" t="str">
        <f ca="1">VLOOKUP($C29,OFFSET(enemy_skills!$A$1,0,0,COUNTA(enemy_skills!$A:$A),MATCH(D$1,enemy_skills!$1:$1,0)-MATCH("enemy_skill_id",enemy_skills!$1:$1,0)+1),MATCH(D$1,enemy_skills!$1:$1,0)-MATCH("enemy_skill_id",enemy_skills!$1:$1,0)+1,FALSE)</f>
        <v>[スキル実行 ブルートフォース・風林火山]</v>
      </c>
      <c r="E29" s="46" t="str">
        <f ca="1">VLOOKUP($C29,OFFSET(enemy_skills!$A$1,0,0,COUNTA(enemy_skills!$A:$A),MATCH(E$1,enemy_skills!$1:$1,0)-MATCH("enemy_skill_id",enemy_skills!$1:$1,0)+1),MATCH(E$1,enemy_skills!$1:$1,0)-MATCH("enemy_skill_id",enemy_skills!$1:$1,0)+1,FALSE)</f>
        <v>ダメージパネル吸収して防御力UP+単体攻撃_x000D_【次ターン防御力無視の超大ダメージ】</v>
      </c>
      <c r="F29" s="114">
        <v>50016204</v>
      </c>
      <c r="G29" s="48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" s="48" t="str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9" s="48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" s="48" t="str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" s="48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48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9" s="48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29" s="48" t="str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9" s="48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" s="47"/>
      <c r="Q29" s="47"/>
      <c r="R29" s="47"/>
    </row>
    <row r="30" spans="1:18" ht="21" customHeight="1" x14ac:dyDescent="0.15">
      <c r="A30" s="39" t="str">
        <f t="shared" si="12"/>
        <v>50016200_50016205</v>
      </c>
      <c r="B30" s="113">
        <v>50016200</v>
      </c>
      <c r="C30" s="114">
        <v>50016205</v>
      </c>
      <c r="D30" s="46" t="str">
        <f ca="1">VLOOKUP($C30,OFFSET(enemy_skills!$A$1,0,0,COUNTA(enemy_skills!$A:$A),MATCH(D$1,enemy_skills!$1:$1,0)-MATCH("enemy_skill_id",enemy_skills!$1:$1,0)+1),MATCH(D$1,enemy_skills!$1:$1,0)-MATCH("enemy_skill_id",enemy_skills!$1:$1,0)+1,FALSE)</f>
        <v>《チリひとつ残さねー！》</v>
      </c>
      <c r="E30" s="46" t="str">
        <f ca="1">VLOOKUP($C30,OFFSET(enemy_skills!$A$1,0,0,COUNTA(enemy_skills!$A:$A),MATCH(E$1,enemy_skills!$1:$1,0)-MATCH("enemy_skill_id",enemy_skills!$1:$1,0)+1),MATCH(E$1,enemy_skills!$1:$1,0)-MATCH("enemy_skill_id",enemy_skills!$1:$1,0)+1,FALSE)</f>
        <v>防御力無視の超大ダメージ</v>
      </c>
      <c r="F30" s="114">
        <v>50016205</v>
      </c>
      <c r="G30" s="48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" s="48" t="str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0" s="48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" s="48" t="str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" s="48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48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0" s="48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30" s="48" t="str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0" s="48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" s="47"/>
      <c r="Q30" s="47"/>
      <c r="R30" s="47"/>
    </row>
    <row r="31" spans="1:18" ht="21" customHeight="1" x14ac:dyDescent="0.15">
      <c r="A31" s="39" t="str">
        <f t="shared" si="4"/>
        <v>50016300_50016301</v>
      </c>
      <c r="B31" s="113">
        <v>50016300</v>
      </c>
      <c r="C31" s="117">
        <v>50016301</v>
      </c>
      <c r="D31" s="46" t="str">
        <f ca="1">VLOOKUP($C31,OFFSET(enemy_skills!$A$1,0,0,COUNTA(enemy_skills!$A:$A),MATCH(D$1,enemy_skills!$1:$1,0)-MATCH("enemy_skill_id",enemy_skills!$1:$1,0)+1),MATCH(D$1,enemy_skills!$1:$1,0)-MATCH("enemy_skill_id",enemy_skills!$1:$1,0)+1,FALSE)</f>
        <v>[id:1442 強制クローニングを開始します]</v>
      </c>
      <c r="E31" s="46" t="str">
        <f ca="1">VLOOKUP($C31,OFFSET(enemy_skills!$A$1,0,0,COUNTA(enemy_skills!$A:$A),MATCH(E$1,enemy_skills!$1:$1,0)-MATCH("enemy_skill_id",enemy_skills!$1:$1,0)+1),MATCH(E$1,enemy_skills!$1:$1,0)-MATCH("enemy_skill_id",enemy_skills!$1:$1,0)+1,FALSE)</f>
        <v>全ての効果を解除+2ターン全ユニットにウィルス_x000D_状態異常耐性</v>
      </c>
      <c r="F31" s="124">
        <v>50016900</v>
      </c>
      <c r="G31" s="48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1" s="48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900</v>
      </c>
      <c r="I31" s="48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" s="48" t="str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" s="48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48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1" s="48" t="str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1" s="48" t="str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1" s="48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" s="47"/>
      <c r="Q31" s="47"/>
      <c r="R31" s="47"/>
    </row>
    <row r="32" spans="1:18" ht="21" customHeight="1" x14ac:dyDescent="0.15">
      <c r="A32" s="39" t="str">
        <f t="shared" ref="A32:A35" si="13">B32&amp;"_"&amp;C32</f>
        <v>50016300_50016302</v>
      </c>
      <c r="B32" s="113">
        <v>50016300</v>
      </c>
      <c r="C32" s="117">
        <v>50016302</v>
      </c>
      <c r="D32" s="46" t="str">
        <f ca="1">VLOOKUP($C32,OFFSET(enemy_skills!$A$1,0,0,COUNTA(enemy_skills!$A:$A),MATCH(D$1,enemy_skills!$1:$1,0)-MATCH("enemy_skill_id",enemy_skills!$1:$1,0)+1),MATCH(D$1,enemy_skills!$1:$1,0)-MATCH("enemy_skill_id",enemy_skills!$1:$1,0)+1,FALSE)</f>
        <v>《オレが状況を作る！！》</v>
      </c>
      <c r="E32" s="46" t="str">
        <f ca="1">VLOOKUP($C32,OFFSET(enemy_skills!$A$1,0,0,COUNTA(enemy_skills!$A:$A),MATCH(E$1,enemy_skills!$1:$1,0)-MATCH("enemy_skill_id",enemy_skills!$1:$1,0)+1),MATCH(E$1,enemy_skills!$1:$1,0)-MATCH("enemy_skill_id",enemy_skills!$1:$1,0)+1,FALSE)</f>
        <v>属性パネルをお邪魔パネルに10個変換+_x000D_3ターン全ユニットの攻撃力80%DOWN+単体攻撃</v>
      </c>
      <c r="F32" s="117">
        <v>50016302</v>
      </c>
      <c r="G32" s="48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2" s="48" t="str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2" s="48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" s="48" t="str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" s="48" t="str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" s="48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2" s="48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2" s="48" t="str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2" s="48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2" s="47"/>
      <c r="Q32" s="47"/>
      <c r="R32" s="47"/>
    </row>
    <row r="33" spans="1:18" ht="21" customHeight="1" x14ac:dyDescent="0.15">
      <c r="A33" s="39" t="str">
        <f t="shared" si="13"/>
        <v>50016300_50016303</v>
      </c>
      <c r="B33" s="113">
        <v>50016300</v>
      </c>
      <c r="C33" s="117">
        <v>50016303</v>
      </c>
      <c r="D33" s="46" t="str">
        <f ca="1">VLOOKUP($C33,OFFSET(enemy_skills!$A$1,0,0,COUNTA(enemy_skills!$A:$A),MATCH(D$1,enemy_skills!$1:$1,0)-MATCH("enemy_skill_id",enemy_skills!$1:$1,0)+1),MATCH(D$1,enemy_skills!$1:$1,0)-MATCH("enemy_skill_id",enemy_skills!$1:$1,0)+1,FALSE)</f>
        <v>《出来ないことなどない！》</v>
      </c>
      <c r="E33" s="46" t="str">
        <f ca="1">VLOOKUP($C33,OFFSET(enemy_skills!$A$1,0,0,COUNTA(enemy_skills!$A:$A),MATCH(E$1,enemy_skills!$1:$1,0)-MATCH("enemy_skill_id",enemy_skills!$1:$1,0)+1),MATCH(E$1,enemy_skills!$1:$1,0)-MATCH("enemy_skill_id",enemy_skills!$1:$1,0)+1,FALSE)</f>
        <v>属性パネルをお邪魔パネルに7個変換+単体攻撃</v>
      </c>
      <c r="F33" s="117">
        <v>50016303</v>
      </c>
      <c r="G33" s="48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3" s="48" t="str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3" s="48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3" s="48" t="str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3" s="48" t="str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" s="48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3" s="48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33" s="48" t="str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3" s="48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3" s="47"/>
      <c r="Q33" s="47"/>
      <c r="R33" s="47"/>
    </row>
    <row r="34" spans="1:18" ht="21" customHeight="1" x14ac:dyDescent="0.15">
      <c r="A34" s="39" t="str">
        <f t="shared" si="13"/>
        <v>50016300_50016304</v>
      </c>
      <c r="B34" s="113">
        <v>50016300</v>
      </c>
      <c r="C34" s="117">
        <v>50016304</v>
      </c>
      <c r="D34" s="46" t="str">
        <f ca="1">VLOOKUP($C34,OFFSET(enemy_skills!$A$1,0,0,COUNTA(enemy_skills!$A:$A),MATCH(D$1,enemy_skills!$1:$1,0)-MATCH("enemy_skill_id",enemy_skills!$1:$1,0)+1),MATCH(D$1,enemy_skills!$1:$1,0)-MATCH("enemy_skill_id",enemy_skills!$1:$1,0)+1,FALSE)</f>
        <v>[スキル実行 革盟の劫火]</v>
      </c>
      <c r="E34" s="46" t="str">
        <f ca="1">VLOOKUP($C34,OFFSET(enemy_skills!$A$1,0,0,COUNTA(enemy_skills!$A:$A),MATCH(E$1,enemy_skills!$1:$1,0)-MATCH("enemy_skill_id",enemy_skills!$1:$1,0)+1),MATCH(E$1,enemy_skills!$1:$1,0)-MATCH("enemy_skill_id",enemy_skills!$1:$1,0)+1,FALSE)</f>
        <v>お邪魔パネルを吸収して攻撃_x000D_【次ターン防御力無視の超大ダメージ】</v>
      </c>
      <c r="F34" s="117">
        <v>50016304</v>
      </c>
      <c r="G34" s="48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4" s="48" t="str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4" s="48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4" s="48" t="str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4" s="48" t="str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" s="48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4" s="48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34" s="48" t="str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4" s="48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4" s="47"/>
      <c r="Q34" s="47"/>
      <c r="R34" s="47"/>
    </row>
    <row r="35" spans="1:18" ht="21" customHeight="1" x14ac:dyDescent="0.15">
      <c r="A35" s="39" t="str">
        <f t="shared" si="13"/>
        <v>50016300_50016305</v>
      </c>
      <c r="B35" s="113">
        <v>50016300</v>
      </c>
      <c r="C35" s="117">
        <v>50016305</v>
      </c>
      <c r="D35" s="46" t="str">
        <f ca="1">VLOOKUP($C35,OFFSET(enemy_skills!$A$1,0,0,COUNTA(enemy_skills!$A:$A),MATCH(D$1,enemy_skills!$1:$1,0)-MATCH("enemy_skill_id",enemy_skills!$1:$1,0)+1),MATCH(D$1,enemy_skills!$1:$1,0)-MATCH("enemy_skill_id",enemy_skills!$1:$1,0)+1,FALSE)</f>
        <v>《不可能なんてあるわけないぜ》</v>
      </c>
      <c r="E35" s="46" t="str">
        <f ca="1">VLOOKUP($C35,OFFSET(enemy_skills!$A$1,0,0,COUNTA(enemy_skills!$A:$A),MATCH(E$1,enemy_skills!$1:$1,0)-MATCH("enemy_skill_id",enemy_skills!$1:$1,0)+1),MATCH(E$1,enemy_skills!$1:$1,0)-MATCH("enemy_skill_id",enemy_skills!$1:$1,0)+1,FALSE)</f>
        <v>防御力無視の超大ダメージ</v>
      </c>
      <c r="F35" s="117">
        <v>50016305</v>
      </c>
      <c r="G35" s="48">
        <f ca="1">VLOOKUP($F35,OFFSET(enemy_skill_triggers!$A$1,0,0,COUNTA(enemy_skill_triggers!$A:$A),MATCH(G$1,enemy_skill_triggers!$1:$1,0)-MATCH($F$1,enemy_skill_triggers!$1:$1,0)+1),MATCH(G$1,enemy_skill_triggers!$1:$1,0)-MATCH($F$1,enemy_skill_triggers!$1:$1,0)+1,FALSE)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5" s="48" t="str">
        <f ca="1">VLOOKUP($F35,OFFSET(enemy_skill_triggers!$A$1,0,0,COUNTA(enemy_skill_triggers!$A:$A),MATCH(H$1,enemy_skill_triggers!$1:$1,0)-MATCH($F$1,enemy_skill_triggers!$1:$1,0)+1),MATCH(H$1,enemy_skill_triggers!$1:$1,0)-MATCH($F$1,enemy_skill_triggers!$1:$1,0)+1,FALSE)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5" s="48">
        <f ca="1">VLOOKUP($F35,OFFSET(enemy_skill_triggers!$A$1,0,0,COUNTA(enemy_skill_triggers!$A:$A),MATCH(I$1,enemy_skill_triggers!$1:$1,0)-MATCH($F$1,enemy_skill_triggers!$1:$1,0)+1),MATCH(I$1,enemy_skill_triggers!$1:$1,0)-MATCH($F$1,enemy_skill_triggers!$1:$1,0)+1,FALSE)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5" s="48" t="str">
        <f ca="1">VLOOKUP($F35,OFFSET(enemy_skill_triggers!$A$1,0,0,COUNTA(enemy_skill_triggers!$A:$A),MATCH(J$1,enemy_skill_triggers!$1:$1,0)-MATCH($F$1,enemy_skill_triggers!$1:$1,0)+1),MATCH(J$1,enemy_skill_triggers!$1:$1,0)-MATCH($F$1,enemy_skill_triggers!$1:$1,0)+1,FALSE)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5" s="48" t="str">
        <f ca="1">VLOOKUP($F35,OFFSET(enemy_skill_triggers!$A$1,0,0,COUNTA(enemy_skill_triggers!$A:$A),MATCH(K$1,enemy_skill_triggers!$1:$1,0)-MATCH($F$1,enemy_skill_triggers!$1:$1,0)+1),MATCH(K$1,enemy_skill_triggers!$1:$1,0)-MATCH($F$1,enemy_skill_triggers!$1:$1,0)+1,FALSE)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" s="48">
        <f ca="1">VLOOKUP($F35,OFFSET(enemy_skill_triggers!$A$1,0,0,COUNTA(enemy_skill_triggers!$A:$A),MATCH(L$1,enemy_skill_triggers!$1:$1,0)-MATCH($F$1,enemy_skill_triggers!$1:$1,0)+1),MATCH(L$1,enemy_skill_triggers!$1:$1,0)-MATCH($F$1,enemy_skill_triggers!$1:$1,0)+1,FALSE)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5" s="48">
        <f ca="1">VLOOKUP($F35,OFFSET(enemy_skill_triggers!$A$1,0,0,COUNTA(enemy_skill_triggers!$A:$A),MATCH(M$1,enemy_skill_triggers!$1:$1,0)-MATCH($F$1,enemy_skill_triggers!$1:$1,0)+1),MATCH(M$1,enemy_skill_triggers!$1:$1,0)-MATCH($F$1,enemy_skill_triggers!$1:$1,0)+1,FALSE)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35" s="48" t="str">
        <f ca="1">VLOOKUP($F35,OFFSET(enemy_skill_triggers!$A$1,0,0,COUNTA(enemy_skill_triggers!$A:$A),MATCH(N$1,enemy_skill_triggers!$1:$1,0)-MATCH($F$1,enemy_skill_triggers!$1:$1,0)+1),MATCH(N$1,enemy_skill_triggers!$1:$1,0)-MATCH($F$1,enemy_skill_triggers!$1:$1,0)+1,FALSE)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5" s="48">
        <f ca="1">VLOOKUP($F35,OFFSET(enemy_skill_triggers!$A$1,0,0,COUNTA(enemy_skill_triggers!$A:$A),MATCH(O$1,enemy_skill_triggers!$1:$1,0)-MATCH($F$1,enemy_skill_triggers!$1:$1,0)+1),MATCH(O$1,enemy_skill_triggers!$1:$1,0)-MATCH($F$1,enemy_skill_triggers!$1:$1,0)+1,FALSE)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5" s="47"/>
      <c r="Q35" s="47"/>
      <c r="R35" s="47"/>
    </row>
    <row r="36" spans="1:18" ht="21" customHeight="1" x14ac:dyDescent="0.15">
      <c r="A36" s="39" t="str">
        <f t="shared" si="4"/>
        <v>50016400_50016401</v>
      </c>
      <c r="B36" s="47">
        <v>50016400</v>
      </c>
      <c r="C36" s="47">
        <v>50016401</v>
      </c>
      <c r="D36" s="46" t="str">
        <f ca="1">VLOOKUP($C36,OFFSET(enemy_skills!$A$1,0,0,COUNTA(enemy_skills!$A:$A),MATCH(D$1,enemy_skills!$1:$1,0)-MATCH("enemy_skill_id",enemy_skills!$1:$1,0)+1),MATCH(D$1,enemy_skills!$1:$1,0)-MATCH("enemy_skill_id",enemy_skills!$1:$1,0)+1,FALSE)</f>
        <v>ごきげんよう…ここまで楽しんで頂けたかしら？</v>
      </c>
      <c r="E36" s="46" t="str">
        <f ca="1">VLOOKUP($C36,OFFSET(enemy_skills!$A$1,0,0,COUNTA(enemy_skills!$A:$A),MATCH(E$1,enemy_skills!$1:$1,0)-MATCH("enemy_skill_id",enemy_skills!$1:$1,0)+1),MATCH(E$1,enemy_skills!$1:$1,0)-MATCH("enemy_skill_id",enemy_skills!$1:$1,0)+1,FALSE)</f>
        <v>6ターンテクニカルタイプのユニットにスキルバインド+_x000D_状態異常耐性</v>
      </c>
      <c r="F36" s="121">
        <v>50016900</v>
      </c>
      <c r="G36" s="48">
        <f ca="1">VLOOKUP($F36,OFFSET(enemy_skill_triggers!$A$1,0,0,COUNTA(enemy_skill_triggers!$A:$A),MATCH(G$1,enemy_skill_triggers!$1:$1,0)-MATCH($F$1,enemy_skill_triggers!$1:$1,0)+1),MATCH(G$1,enemy_skill_triggers!$1:$1,0)-MATCH($F$1,enemy_skill_triggers!$1:$1,0)+1,FALSE)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6" s="48">
        <f ca="1">VLOOKUP($F36,OFFSET(enemy_skill_triggers!$A$1,0,0,COUNTA(enemy_skill_triggers!$A:$A),MATCH(H$1,enemy_skill_triggers!$1:$1,0)-MATCH($F$1,enemy_skill_triggers!$1:$1,0)+1),MATCH(H$1,enemy_skill_triggers!$1:$1,0)-MATCH($F$1,enemy_skill_triggers!$1:$1,0)+1,FALSE)</f>
        <v>900</v>
      </c>
      <c r="I36" s="48">
        <f ca="1">VLOOKUP($F36,OFFSET(enemy_skill_triggers!$A$1,0,0,COUNTA(enemy_skill_triggers!$A:$A),MATCH(I$1,enemy_skill_triggers!$1:$1,0)-MATCH($F$1,enemy_skill_triggers!$1:$1,0)+1),MATCH(I$1,enemy_skill_triggers!$1:$1,0)-MATCH($F$1,enemy_skill_triggers!$1:$1,0)+1,FALSE)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6" s="48" t="str">
        <f ca="1">VLOOKUP($F36,OFFSET(enemy_skill_triggers!$A$1,0,0,COUNTA(enemy_skill_triggers!$A:$A),MATCH(J$1,enemy_skill_triggers!$1:$1,0)-MATCH($F$1,enemy_skill_triggers!$1:$1,0)+1),MATCH(J$1,enemy_skill_triggers!$1:$1,0)-MATCH($F$1,enemy_skill_triggers!$1:$1,0)+1,FALSE)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6" s="48" t="str">
        <f ca="1">VLOOKUP($F36,OFFSET(enemy_skill_triggers!$A$1,0,0,COUNTA(enemy_skill_triggers!$A:$A),MATCH(K$1,enemy_skill_triggers!$1:$1,0)-MATCH($F$1,enemy_skill_triggers!$1:$1,0)+1),MATCH(K$1,enemy_skill_triggers!$1:$1,0)-MATCH($F$1,enemy_skill_triggers!$1:$1,0)+1,FALSE)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" s="48">
        <f ca="1">VLOOKUP($F36,OFFSET(enemy_skill_triggers!$A$1,0,0,COUNTA(enemy_skill_triggers!$A:$A),MATCH(L$1,enemy_skill_triggers!$1:$1,0)-MATCH($F$1,enemy_skill_triggers!$1:$1,0)+1),MATCH(L$1,enemy_skill_triggers!$1:$1,0)-MATCH($F$1,enemy_skill_triggers!$1:$1,0)+1,FALSE)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6" s="48" t="str">
        <f ca="1">VLOOKUP($F36,OFFSET(enemy_skill_triggers!$A$1,0,0,COUNTA(enemy_skill_triggers!$A:$A),MATCH(M$1,enemy_skill_triggers!$1:$1,0)-MATCH($F$1,enemy_skill_triggers!$1:$1,0)+1),MATCH(M$1,enemy_skill_triggers!$1:$1,0)-MATCH($F$1,enemy_skill_triggers!$1:$1,0)+1,FALSE)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6" s="48" t="str">
        <f ca="1">VLOOKUP($F36,OFFSET(enemy_skill_triggers!$A$1,0,0,COUNTA(enemy_skill_triggers!$A:$A),MATCH(N$1,enemy_skill_triggers!$1:$1,0)-MATCH($F$1,enemy_skill_triggers!$1:$1,0)+1),MATCH(N$1,enemy_skill_triggers!$1:$1,0)-MATCH($F$1,enemy_skill_triggers!$1:$1,0)+1,FALSE)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6" s="48">
        <f ca="1">VLOOKUP($F36,OFFSET(enemy_skill_triggers!$A$1,0,0,COUNTA(enemy_skill_triggers!$A:$A),MATCH(O$1,enemy_skill_triggers!$1:$1,0)-MATCH($F$1,enemy_skill_triggers!$1:$1,0)+1),MATCH(O$1,enemy_skill_triggers!$1:$1,0)-MATCH($F$1,enemy_skill_triggers!$1:$1,0)+1,FALSE)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6" s="47"/>
      <c r="Q36" s="47"/>
      <c r="R36" s="47"/>
    </row>
    <row r="37" spans="1:18" ht="21" customHeight="1" x14ac:dyDescent="0.15">
      <c r="A37" s="39" t="str">
        <f t="shared" ref="A37:A42" si="14">B37&amp;"_"&amp;C37</f>
        <v>50016400_50016402</v>
      </c>
      <c r="B37" s="47">
        <v>50016400</v>
      </c>
      <c r="C37" s="47">
        <v>50016402</v>
      </c>
      <c r="D37" s="46" t="str">
        <f ca="1">VLOOKUP($C37,OFFSET(enemy_skills!$A$1,0,0,COUNTA(enemy_skills!$A:$A),MATCH(D$1,enemy_skills!$1:$1,0)-MATCH("enemy_skill_id",enemy_skills!$1:$1,0)+1),MATCH(D$1,enemy_skills!$1:$1,0)-MATCH("enemy_skill_id",enemy_skills!$1:$1,0)+1,FALSE)</f>
        <v>見くびらないほうが宜しくてよ</v>
      </c>
      <c r="E37" s="46" t="str">
        <f ca="1">VLOOKUP($C37,OFFSET(enemy_skills!$A$1,0,0,COUNTA(enemy_skills!$A:$A),MATCH(E$1,enemy_skills!$1:$1,0)-MATCH("enemy_skill_id",enemy_skills!$1:$1,0)+1),MATCH(E$1,enemy_skills!$1:$1,0)-MATCH("enemy_skill_id",enemy_skills!$1:$1,0)+1,FALSE)</f>
        <v>属性パネルをお邪魔パネルに10個変換+単体攻撃</v>
      </c>
      <c r="F37" s="47">
        <v>50016402</v>
      </c>
      <c r="G37" s="48">
        <f ca="1">VLOOKUP($F37,OFFSET(enemy_skill_triggers!$A$1,0,0,COUNTA(enemy_skill_triggers!$A:$A),MATCH(G$1,enemy_skill_triggers!$1:$1,0)-MATCH($F$1,enemy_skill_triggers!$1:$1,0)+1),MATCH(G$1,enemy_skill_triggers!$1:$1,0)-MATCH($F$1,enemy_skill_triggers!$1:$1,0)+1,FALSE)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7" s="48">
        <f ca="1">VLOOKUP($F37,OFFSET(enemy_skill_triggers!$A$1,0,0,COUNTA(enemy_skill_triggers!$A:$A),MATCH(H$1,enemy_skill_triggers!$1:$1,0)-MATCH($F$1,enemy_skill_triggers!$1:$1,0)+1),MATCH(H$1,enemy_skill_triggers!$1:$1,0)-MATCH($F$1,enemy_skill_triggers!$1:$1,0)+1,FALSE)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7" s="48">
        <f ca="1">VLOOKUP($F37,OFFSET(enemy_skill_triggers!$A$1,0,0,COUNTA(enemy_skill_triggers!$A:$A),MATCH(I$1,enemy_skill_triggers!$1:$1,0)-MATCH($F$1,enemy_skill_triggers!$1:$1,0)+1),MATCH(I$1,enemy_skill_triggers!$1:$1,0)-MATCH($F$1,enemy_skill_triggers!$1:$1,0)+1,FALSE)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7" s="48" t="str">
        <f ca="1">VLOOKUP($F37,OFFSET(enemy_skill_triggers!$A$1,0,0,COUNTA(enemy_skill_triggers!$A:$A),MATCH(J$1,enemy_skill_triggers!$1:$1,0)-MATCH($F$1,enemy_skill_triggers!$1:$1,0)+1),MATCH(J$1,enemy_skill_triggers!$1:$1,0)-MATCH($F$1,enemy_skill_triggers!$1:$1,0)+1,FALSE)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7" s="48" t="str">
        <f ca="1">VLOOKUP($F37,OFFSET(enemy_skill_triggers!$A$1,0,0,COUNTA(enemy_skill_triggers!$A:$A),MATCH(K$1,enemy_skill_triggers!$1:$1,0)-MATCH($F$1,enemy_skill_triggers!$1:$1,0)+1),MATCH(K$1,enemy_skill_triggers!$1:$1,0)-MATCH($F$1,enemy_skill_triggers!$1:$1,0)+1,FALSE)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" s="48" t="str">
        <f ca="1">VLOOKUP($F37,OFFSET(enemy_skill_triggers!$A$1,0,0,COUNTA(enemy_skill_triggers!$A:$A),MATCH(L$1,enemy_skill_triggers!$1:$1,0)-MATCH($F$1,enemy_skill_triggers!$1:$1,0)+1),MATCH(L$1,enemy_skill_triggers!$1:$1,0)-MATCH($F$1,enemy_skill_triggers!$1:$1,0)+1,FALSE)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7" s="48">
        <f ca="1">VLOOKUP($F37,OFFSET(enemy_skill_triggers!$A$1,0,0,COUNTA(enemy_skill_triggers!$A:$A),MATCH(M$1,enemy_skill_triggers!$1:$1,0)-MATCH($F$1,enemy_skill_triggers!$1:$1,0)+1),MATCH(M$1,enemy_skill_triggers!$1:$1,0)-MATCH($F$1,enemy_skill_triggers!$1:$1,0)+1,FALSE)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7" s="48" t="str">
        <f ca="1">VLOOKUP($F37,OFFSET(enemy_skill_triggers!$A$1,0,0,COUNTA(enemy_skill_triggers!$A:$A),MATCH(N$1,enemy_skill_triggers!$1:$1,0)-MATCH($F$1,enemy_skill_triggers!$1:$1,0)+1),MATCH(N$1,enemy_skill_triggers!$1:$1,0)-MATCH($F$1,enemy_skill_triggers!$1:$1,0)+1,FALSE)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7" s="48">
        <f ca="1">VLOOKUP($F37,OFFSET(enemy_skill_triggers!$A$1,0,0,COUNTA(enemy_skill_triggers!$A:$A),MATCH(O$1,enemy_skill_triggers!$1:$1,0)-MATCH($F$1,enemy_skill_triggers!$1:$1,0)+1),MATCH(O$1,enemy_skill_triggers!$1:$1,0)-MATCH($F$1,enemy_skill_triggers!$1:$1,0)+1,FALSE)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7" s="47"/>
      <c r="Q37" s="47"/>
      <c r="R37" s="47"/>
    </row>
    <row r="38" spans="1:18" ht="21" customHeight="1" x14ac:dyDescent="0.15">
      <c r="A38" s="39" t="str">
        <f t="shared" si="14"/>
        <v>50016400_50016403</v>
      </c>
      <c r="B38" s="47">
        <v>50016400</v>
      </c>
      <c r="C38" s="47">
        <v>50016403</v>
      </c>
      <c r="D38" s="46" t="str">
        <f ca="1">VLOOKUP($C38,OFFSET(enemy_skills!$A$1,0,0,COUNTA(enemy_skills!$A:$A),MATCH(D$1,enemy_skills!$1:$1,0)-MATCH("enemy_skill_id",enemy_skills!$1:$1,0)+1),MATCH(D$1,enemy_skills!$1:$1,0)-MATCH("enemy_skill_id",enemy_skills!$1:$1,0)+1,FALSE)</f>
        <v>セゾン・デュ・ルノヴォー</v>
      </c>
      <c r="E38" s="46" t="str">
        <f ca="1">VLOOKUP($C38,OFFSET(enemy_skills!$A$1,0,0,COUNTA(enemy_skills!$A:$A),MATCH(E$1,enemy_skills!$1:$1,0)-MATCH("enemy_skill_id",enemy_skills!$1:$1,0)+1),MATCH(E$1,enemy_skills!$1:$1,0)-MATCH("enemy_skill_id",enemy_skills!$1:$1,0)+1,FALSE)</f>
        <v>お邪魔パネルを超強力な緑のダメージパネルに変換+_x000D_単体攻撃</v>
      </c>
      <c r="F38" s="47">
        <v>50016403</v>
      </c>
      <c r="G38" s="48">
        <f ca="1">VLOOKUP($F38,OFFSET(enemy_skill_triggers!$A$1,0,0,COUNTA(enemy_skill_triggers!$A:$A),MATCH(G$1,enemy_skill_triggers!$1:$1,0)-MATCH($F$1,enemy_skill_triggers!$1:$1,0)+1),MATCH(G$1,enemy_skill_triggers!$1:$1,0)-MATCH($F$1,enemy_skill_triggers!$1:$1,0)+1,FALSE)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8" s="48">
        <f ca="1">VLOOKUP($F38,OFFSET(enemy_skill_triggers!$A$1,0,0,COUNTA(enemy_skill_triggers!$A:$A),MATCH(H$1,enemy_skill_triggers!$1:$1,0)-MATCH($F$1,enemy_skill_triggers!$1:$1,0)+1),MATCH(H$1,enemy_skill_triggers!$1:$1,0)-MATCH($F$1,enemy_skill_triggers!$1:$1,0)+1,FALSE)</f>
        <v>300</v>
      </c>
      <c r="I38" s="48">
        <f ca="1">VLOOKUP($F38,OFFSET(enemy_skill_triggers!$A$1,0,0,COUNTA(enemy_skill_triggers!$A:$A),MATCH(I$1,enemy_skill_triggers!$1:$1,0)-MATCH($F$1,enemy_skill_triggers!$1:$1,0)+1),MATCH(I$1,enemy_skill_triggers!$1:$1,0)-MATCH($F$1,enemy_skill_triggers!$1:$1,0)+1,FALSE)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8" s="48" t="str">
        <f ca="1">VLOOKUP($F38,OFFSET(enemy_skill_triggers!$A$1,0,0,COUNTA(enemy_skill_triggers!$A:$A),MATCH(J$1,enemy_skill_triggers!$1:$1,0)-MATCH($F$1,enemy_skill_triggers!$1:$1,0)+1),MATCH(J$1,enemy_skill_triggers!$1:$1,0)-MATCH($F$1,enemy_skill_triggers!$1:$1,0)+1,FALSE)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8" s="48" t="str">
        <f ca="1">VLOOKUP($F38,OFFSET(enemy_skill_triggers!$A$1,0,0,COUNTA(enemy_skill_triggers!$A:$A),MATCH(K$1,enemy_skill_triggers!$1:$1,0)-MATCH($F$1,enemy_skill_triggers!$1:$1,0)+1),MATCH(K$1,enemy_skill_triggers!$1:$1,0)-MATCH($F$1,enemy_skill_triggers!$1:$1,0)+1,FALSE)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" s="48" t="str">
        <f ca="1">VLOOKUP($F38,OFFSET(enemy_skill_triggers!$A$1,0,0,COUNTA(enemy_skill_triggers!$A:$A),MATCH(L$1,enemy_skill_triggers!$1:$1,0)-MATCH($F$1,enemy_skill_triggers!$1:$1,0)+1),MATCH(L$1,enemy_skill_triggers!$1:$1,0)-MATCH($F$1,enemy_skill_triggers!$1:$1,0)+1,FALSE)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8" s="48">
        <f ca="1">VLOOKUP($F38,OFFSET(enemy_skill_triggers!$A$1,0,0,COUNTA(enemy_skill_triggers!$A:$A),MATCH(M$1,enemy_skill_triggers!$1:$1,0)-MATCH($F$1,enemy_skill_triggers!$1:$1,0)+1),MATCH(M$1,enemy_skill_triggers!$1:$1,0)-MATCH($F$1,enemy_skill_triggers!$1:$1,0)+1,FALSE)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38" s="48" t="str">
        <f ca="1">VLOOKUP($F38,OFFSET(enemy_skill_triggers!$A$1,0,0,COUNTA(enemy_skill_triggers!$A:$A),MATCH(N$1,enemy_skill_triggers!$1:$1,0)-MATCH($F$1,enemy_skill_triggers!$1:$1,0)+1),MATCH(N$1,enemy_skill_triggers!$1:$1,0)-MATCH($F$1,enemy_skill_triggers!$1:$1,0)+1,FALSE)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8" s="48">
        <f ca="1">VLOOKUP($F38,OFFSET(enemy_skill_triggers!$A$1,0,0,COUNTA(enemy_skill_triggers!$A:$A),MATCH(O$1,enemy_skill_triggers!$1:$1,0)-MATCH($F$1,enemy_skill_triggers!$1:$1,0)+1),MATCH(O$1,enemy_skill_triggers!$1:$1,0)-MATCH($F$1,enemy_skill_triggers!$1:$1,0)+1,FALSE)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8" s="47"/>
      <c r="Q38" s="47"/>
      <c r="R38" s="47"/>
    </row>
    <row r="39" spans="1:18" ht="21" customHeight="1" x14ac:dyDescent="0.15">
      <c r="A39" s="39" t="str">
        <f t="shared" si="14"/>
        <v>50016400_50016404</v>
      </c>
      <c r="B39" s="47">
        <v>50016400</v>
      </c>
      <c r="C39" s="47">
        <v>50016404</v>
      </c>
      <c r="D39" s="46" t="str">
        <f ca="1">VLOOKUP($C39,OFFSET(enemy_skills!$A$1,0,0,COUNTA(enemy_skills!$A:$A),MATCH(D$1,enemy_skills!$1:$1,0)-MATCH("enemy_skill_id",enemy_skills!$1:$1,0)+1),MATCH(D$1,enemy_skills!$1:$1,0)-MATCH("enemy_skill_id",enemy_skills!$1:$1,0)+1,FALSE)</f>
        <v>ふふ…お気に召すかしら？</v>
      </c>
      <c r="E39" s="46" t="str">
        <f ca="1">VLOOKUP($C39,OFFSET(enemy_skills!$A$1,0,0,COUNTA(enemy_skills!$A:$A),MATCH(E$1,enemy_skills!$1:$1,0)-MATCH("enemy_skill_id",enemy_skills!$1:$1,0)+1),MATCH(E$1,enemy_skills!$1:$1,0)-MATCH("enemy_skill_id",enemy_skills!$1:$1,0)+1,FALSE)</f>
        <v>緑パネルを吸収する程、ダメージがDOWNする攻撃</v>
      </c>
      <c r="F39" s="47">
        <v>50016404</v>
      </c>
      <c r="G39" s="48">
        <f ca="1">VLOOKUP($F39,OFFSET(enemy_skill_triggers!$A$1,0,0,COUNTA(enemy_skill_triggers!$A:$A),MATCH(G$1,enemy_skill_triggers!$1:$1,0)-MATCH($F$1,enemy_skill_triggers!$1:$1,0)+1),MATCH(G$1,enemy_skill_triggers!$1:$1,0)-MATCH($F$1,enemy_skill_triggers!$1:$1,0)+1,FALSE)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9" s="48">
        <f ca="1">VLOOKUP($F39,OFFSET(enemy_skill_triggers!$A$1,0,0,COUNTA(enemy_skill_triggers!$A:$A),MATCH(H$1,enemy_skill_triggers!$1:$1,0)-MATCH($F$1,enemy_skill_triggers!$1:$1,0)+1),MATCH(H$1,enemy_skill_triggers!$1:$1,0)-MATCH($F$1,enemy_skill_triggers!$1:$1,0)+1,FALSE)</f>
        <v>200</v>
      </c>
      <c r="I39" s="48">
        <f ca="1">VLOOKUP($F39,OFFSET(enemy_skill_triggers!$A$1,0,0,COUNTA(enemy_skill_triggers!$A:$A),MATCH(I$1,enemy_skill_triggers!$1:$1,0)-MATCH($F$1,enemy_skill_triggers!$1:$1,0)+1),MATCH(I$1,enemy_skill_triggers!$1:$1,0)-MATCH($F$1,enemy_skill_triggers!$1:$1,0)+1,FALSE)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9" s="48" t="str">
        <f ca="1">VLOOKUP($F39,OFFSET(enemy_skill_triggers!$A$1,0,0,COUNTA(enemy_skill_triggers!$A:$A),MATCH(J$1,enemy_skill_triggers!$1:$1,0)-MATCH($F$1,enemy_skill_triggers!$1:$1,0)+1),MATCH(J$1,enemy_skill_triggers!$1:$1,0)-MATCH($F$1,enemy_skill_triggers!$1:$1,0)+1,FALSE)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9" s="48" t="str">
        <f ca="1">VLOOKUP($F39,OFFSET(enemy_skill_triggers!$A$1,0,0,COUNTA(enemy_skill_triggers!$A:$A),MATCH(K$1,enemy_skill_triggers!$1:$1,0)-MATCH($F$1,enemy_skill_triggers!$1:$1,0)+1),MATCH(K$1,enemy_skill_triggers!$1:$1,0)-MATCH($F$1,enemy_skill_triggers!$1:$1,0)+1,FALSE)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9" s="48" t="str">
        <f ca="1">VLOOKUP($F39,OFFSET(enemy_skill_triggers!$A$1,0,0,COUNTA(enemy_skill_triggers!$A:$A),MATCH(L$1,enemy_skill_triggers!$1:$1,0)-MATCH($F$1,enemy_skill_triggers!$1:$1,0)+1),MATCH(L$1,enemy_skill_triggers!$1:$1,0)-MATCH($F$1,enemy_skill_triggers!$1:$1,0)+1,FALSE)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9" s="48">
        <f ca="1">VLOOKUP($F39,OFFSET(enemy_skill_triggers!$A$1,0,0,COUNTA(enemy_skill_triggers!$A:$A),MATCH(M$1,enemy_skill_triggers!$1:$1,0)-MATCH($F$1,enemy_skill_triggers!$1:$1,0)+1),MATCH(M$1,enemy_skill_triggers!$1:$1,0)-MATCH($F$1,enemy_skill_triggers!$1:$1,0)+1,FALSE)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39" s="48" t="str">
        <f ca="1">VLOOKUP($F39,OFFSET(enemy_skill_triggers!$A$1,0,0,COUNTA(enemy_skill_triggers!$A:$A),MATCH(N$1,enemy_skill_triggers!$1:$1,0)-MATCH($F$1,enemy_skill_triggers!$1:$1,0)+1),MATCH(N$1,enemy_skill_triggers!$1:$1,0)-MATCH($F$1,enemy_skill_triggers!$1:$1,0)+1,FALSE)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9" s="48">
        <f ca="1">VLOOKUP($F39,OFFSET(enemy_skill_triggers!$A$1,0,0,COUNTA(enemy_skill_triggers!$A:$A),MATCH(O$1,enemy_skill_triggers!$1:$1,0)-MATCH($F$1,enemy_skill_triggers!$1:$1,0)+1),MATCH(O$1,enemy_skill_triggers!$1:$1,0)-MATCH($F$1,enemy_skill_triggers!$1:$1,0)+1,FALSE)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9" s="47"/>
      <c r="Q39" s="47"/>
      <c r="R39" s="47"/>
    </row>
    <row r="40" spans="1:18" ht="21" customHeight="1" x14ac:dyDescent="0.15">
      <c r="A40" s="39" t="str">
        <f t="shared" si="14"/>
        <v>50016400_50016405</v>
      </c>
      <c r="B40" s="47">
        <v>50016400</v>
      </c>
      <c r="C40" s="47">
        <v>50016405</v>
      </c>
      <c r="D40" s="46" t="str">
        <f ca="1">VLOOKUP($C40,OFFSET(enemy_skills!$A$1,0,0,COUNTA(enemy_skills!$A:$A),MATCH(D$1,enemy_skills!$1:$1,0)-MATCH("enemy_skill_id",enemy_skills!$1:$1,0)+1),MATCH(D$1,enemy_skills!$1:$1,0)-MATCH("enemy_skill_id",enemy_skills!$1:$1,0)+1,FALSE)</f>
        <v>ダメージ・アポロフィシー</v>
      </c>
      <c r="E40" s="46" t="str">
        <f ca="1">VLOOKUP($C40,OFFSET(enemy_skills!$A$1,0,0,COUNTA(enemy_skills!$A:$A),MATCH(E$1,enemy_skills!$1:$1,0)-MATCH("enemy_skill_id",enemy_skills!$1:$1,0)+1),MATCH(E$1,enemy_skills!$1:$1,0)-MATCH("enemy_skill_id",enemy_skills!$1:$1,0)+1,FALSE)</f>
        <v>ダメージパネルを吸収して攻撃</v>
      </c>
      <c r="F40" s="47">
        <v>50016405</v>
      </c>
      <c r="G40" s="48">
        <f ca="1">VLOOKUP($F40,OFFSET(enemy_skill_triggers!$A$1,0,0,COUNTA(enemy_skill_triggers!$A:$A),MATCH(G$1,enemy_skill_triggers!$1:$1,0)-MATCH($F$1,enemy_skill_triggers!$1:$1,0)+1),MATCH(G$1,enemy_skill_triggers!$1:$1,0)-MATCH($F$1,enemy_skill_triggers!$1:$1,0)+1,FALSE)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0" s="48">
        <f ca="1">VLOOKUP($F40,OFFSET(enemy_skill_triggers!$A$1,0,0,COUNTA(enemy_skill_triggers!$A:$A),MATCH(H$1,enemy_skill_triggers!$1:$1,0)-MATCH($F$1,enemy_skill_triggers!$1:$1,0)+1),MATCH(H$1,enemy_skill_triggers!$1:$1,0)-MATCH($F$1,enemy_skill_triggers!$1:$1,0)+1,FALSE)</f>
        <v>400</v>
      </c>
      <c r="I40" s="48">
        <f ca="1">VLOOKUP($F40,OFFSET(enemy_skill_triggers!$A$1,0,0,COUNTA(enemy_skill_triggers!$A:$A),MATCH(I$1,enemy_skill_triggers!$1:$1,0)-MATCH($F$1,enemy_skill_triggers!$1:$1,0)+1),MATCH(I$1,enemy_skill_triggers!$1:$1,0)-MATCH($F$1,enemy_skill_triggers!$1:$1,0)+1,FALSE)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0" s="48" t="str">
        <f ca="1">VLOOKUP($F40,OFFSET(enemy_skill_triggers!$A$1,0,0,COUNTA(enemy_skill_triggers!$A:$A),MATCH(J$1,enemy_skill_triggers!$1:$1,0)-MATCH($F$1,enemy_skill_triggers!$1:$1,0)+1),MATCH(J$1,enemy_skill_triggers!$1:$1,0)-MATCH($F$1,enemy_skill_triggers!$1:$1,0)+1,FALSE)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0" s="48" t="str">
        <f ca="1">VLOOKUP($F40,OFFSET(enemy_skill_triggers!$A$1,0,0,COUNTA(enemy_skill_triggers!$A:$A),MATCH(K$1,enemy_skill_triggers!$1:$1,0)-MATCH($F$1,enemy_skill_triggers!$1:$1,0)+1),MATCH(K$1,enemy_skill_triggers!$1:$1,0)-MATCH($F$1,enemy_skill_triggers!$1:$1,0)+1,FALSE)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0" s="48" t="str">
        <f ca="1">VLOOKUP($F40,OFFSET(enemy_skill_triggers!$A$1,0,0,COUNTA(enemy_skill_triggers!$A:$A),MATCH(L$1,enemy_skill_triggers!$1:$1,0)-MATCH($F$1,enemy_skill_triggers!$1:$1,0)+1),MATCH(L$1,enemy_skill_triggers!$1:$1,0)-MATCH($F$1,enemy_skill_triggers!$1:$1,0)+1,FALSE)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0" s="48">
        <f ca="1">VLOOKUP($F40,OFFSET(enemy_skill_triggers!$A$1,0,0,COUNTA(enemy_skill_triggers!$A:$A),MATCH(M$1,enemy_skill_triggers!$1:$1,0)-MATCH($F$1,enemy_skill_triggers!$1:$1,0)+1),MATCH(M$1,enemy_skill_triggers!$1:$1,0)-MATCH($F$1,enemy_skill_triggers!$1:$1,0)+1,FALSE)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40" s="48" t="str">
        <f ca="1">VLOOKUP($F40,OFFSET(enemy_skill_triggers!$A$1,0,0,COUNTA(enemy_skill_triggers!$A:$A),MATCH(N$1,enemy_skill_triggers!$1:$1,0)-MATCH($F$1,enemy_skill_triggers!$1:$1,0)+1),MATCH(N$1,enemy_skill_triggers!$1:$1,0)-MATCH($F$1,enemy_skill_triggers!$1:$1,0)+1,FALSE)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0" s="48">
        <f ca="1">VLOOKUP($F40,OFFSET(enemy_skill_triggers!$A$1,0,0,COUNTA(enemy_skill_triggers!$A:$A),MATCH(O$1,enemy_skill_triggers!$1:$1,0)-MATCH($F$1,enemy_skill_triggers!$1:$1,0)+1),MATCH(O$1,enemy_skill_triggers!$1:$1,0)-MATCH($F$1,enemy_skill_triggers!$1:$1,0)+1,FALSE)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0" s="47"/>
      <c r="Q40" s="47"/>
      <c r="R40" s="47"/>
    </row>
    <row r="41" spans="1:18" ht="21" customHeight="1" x14ac:dyDescent="0.15">
      <c r="A41" s="39" t="str">
        <f t="shared" si="14"/>
        <v>50016400_50016406</v>
      </c>
      <c r="B41" s="47">
        <v>50016400</v>
      </c>
      <c r="C41" s="47">
        <v>50016406</v>
      </c>
      <c r="D41" s="46" t="str">
        <f ca="1">VLOOKUP($C41,OFFSET(enemy_skills!$A$1,0,0,COUNTA(enemy_skills!$A:$A),MATCH(D$1,enemy_skills!$1:$1,0)-MATCH("enemy_skill_id",enemy_skills!$1:$1,0)+1),MATCH(D$1,enemy_skills!$1:$1,0)-MATCH("enemy_skill_id",enemy_skills!$1:$1,0)+1,FALSE)</f>
        <v>ラ・メモワール・エテーネル</v>
      </c>
      <c r="E41" s="46" t="str">
        <f ca="1">VLOOKUP($C41,OFFSET(enemy_skills!$A$1,0,0,COUNTA(enemy_skills!$A:$A),MATCH(E$1,enemy_skills!$1:$1,0)-MATCH("enemy_skill_id",enemy_skills!$1:$1,0)+1),MATCH(E$1,enemy_skills!$1:$1,0)-MATCH("enemy_skill_id",enemy_skills!$1:$1,0)+1,FALSE)</f>
        <v>属性パネルをお邪魔パネルに10個変換+_x000D_3ターン全ユニットの回復力80%DOWN+_x000D_3ターン全ユニットのタップ回数を2DOWN</v>
      </c>
      <c r="F41" s="47">
        <v>50016406</v>
      </c>
      <c r="G41" s="48">
        <f ca="1">VLOOKUP($F41,OFFSET(enemy_skill_triggers!$A$1,0,0,COUNTA(enemy_skill_triggers!$A:$A),MATCH(G$1,enemy_skill_triggers!$1:$1,0)-MATCH($F$1,enemy_skill_triggers!$1:$1,0)+1),MATCH(G$1,enemy_skill_triggers!$1:$1,0)-MATCH($F$1,enemy_skill_triggers!$1:$1,0)+1,FALSE)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1" s="48">
        <f ca="1">VLOOKUP($F41,OFFSET(enemy_skill_triggers!$A$1,0,0,COUNTA(enemy_skill_triggers!$A:$A),MATCH(H$1,enemy_skill_triggers!$1:$1,0)-MATCH($F$1,enemy_skill_triggers!$1:$1,0)+1),MATCH(H$1,enemy_skill_triggers!$1:$1,0)-MATCH($F$1,enemy_skill_triggers!$1:$1,0)+1,FALSE)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41" s="48">
        <f ca="1">VLOOKUP($F41,OFFSET(enemy_skill_triggers!$A$1,0,0,COUNTA(enemy_skill_triggers!$A:$A),MATCH(I$1,enemy_skill_triggers!$1:$1,0)-MATCH($F$1,enemy_skill_triggers!$1:$1,0)+1),MATCH(I$1,enemy_skill_triggers!$1:$1,0)-MATCH($F$1,enemy_skill_triggers!$1:$1,0)+1,FALSE)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1" s="48" t="str">
        <f ca="1">VLOOKUP($F41,OFFSET(enemy_skill_triggers!$A$1,0,0,COUNTA(enemy_skill_triggers!$A:$A),MATCH(J$1,enemy_skill_triggers!$1:$1,0)-MATCH($F$1,enemy_skill_triggers!$1:$1,0)+1),MATCH(J$1,enemy_skill_triggers!$1:$1,0)-MATCH($F$1,enemy_skill_triggers!$1:$1,0)+1,FALSE)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1" s="48" t="str">
        <f ca="1">VLOOKUP($F41,OFFSET(enemy_skill_triggers!$A$1,0,0,COUNTA(enemy_skill_triggers!$A:$A),MATCH(K$1,enemy_skill_triggers!$1:$1,0)-MATCH($F$1,enemy_skill_triggers!$1:$1,0)+1),MATCH(K$1,enemy_skill_triggers!$1:$1,0)-MATCH($F$1,enemy_skill_triggers!$1:$1,0)+1,FALSE)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1" s="48" t="str">
        <f ca="1">VLOOKUP($F41,OFFSET(enemy_skill_triggers!$A$1,0,0,COUNTA(enemy_skill_triggers!$A:$A),MATCH(L$1,enemy_skill_triggers!$1:$1,0)-MATCH($F$1,enemy_skill_triggers!$1:$1,0)+1),MATCH(L$1,enemy_skill_triggers!$1:$1,0)-MATCH($F$1,enemy_skill_triggers!$1:$1,0)+1,FALSE)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1" s="48">
        <f ca="1">VLOOKUP($F41,OFFSET(enemy_skill_triggers!$A$1,0,0,COUNTA(enemy_skill_triggers!$A:$A),MATCH(M$1,enemy_skill_triggers!$1:$1,0)-MATCH($F$1,enemy_skill_triggers!$1:$1,0)+1),MATCH(M$1,enemy_skill_triggers!$1:$1,0)-MATCH($F$1,enemy_skill_triggers!$1:$1,0)+1,FALSE)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41" s="48" t="str">
        <f ca="1">VLOOKUP($F41,OFFSET(enemy_skill_triggers!$A$1,0,0,COUNTA(enemy_skill_triggers!$A:$A),MATCH(N$1,enemy_skill_triggers!$1:$1,0)-MATCH($F$1,enemy_skill_triggers!$1:$1,0)+1),MATCH(N$1,enemy_skill_triggers!$1:$1,0)-MATCH($F$1,enemy_skill_triggers!$1:$1,0)+1,FALSE)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1" s="48">
        <f ca="1">VLOOKUP($F41,OFFSET(enemy_skill_triggers!$A$1,0,0,COUNTA(enemy_skill_triggers!$A:$A),MATCH(O$1,enemy_skill_triggers!$1:$1,0)-MATCH($F$1,enemy_skill_triggers!$1:$1,0)+1),MATCH(O$1,enemy_skill_triggers!$1:$1,0)-MATCH($F$1,enemy_skill_triggers!$1:$1,0)+1,FALSE)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1" s="47"/>
      <c r="Q41" s="47"/>
      <c r="R41" s="47"/>
    </row>
    <row r="42" spans="1:18" ht="21" customHeight="1" x14ac:dyDescent="0.15">
      <c r="A42" s="39" t="str">
        <f t="shared" si="14"/>
        <v>50016400_50016407</v>
      </c>
      <c r="B42" s="47">
        <v>50016400</v>
      </c>
      <c r="C42" s="47">
        <v>50016407</v>
      </c>
      <c r="D42" s="46" t="str">
        <f ca="1">VLOOKUP($C42,OFFSET(enemy_skills!$A$1,0,0,COUNTA(enemy_skills!$A:$A),MATCH(D$1,enemy_skills!$1:$1,0)-MATCH("enemy_skill_id",enemy_skills!$1:$1,0)+1),MATCH(D$1,enemy_skills!$1:$1,0)-MATCH("enemy_skill_id",enemy_skills!$1:$1,0)+1,FALSE)</f>
        <v>そろそろ終わりにしましょう…名も無きヒト…</v>
      </c>
      <c r="E42" s="46" t="str">
        <f ca="1">VLOOKUP($C42,OFFSET(enemy_skills!$A$1,0,0,COUNTA(enemy_skills!$A:$A),MATCH(E$1,enemy_skills!$1:$1,0)-MATCH("enemy_skill_id",enemy_skills!$1:$1,0)+1),MATCH(E$1,enemy_skills!$1:$1,0)-MATCH("enemy_skill_id",enemy_skills!$1:$1,0)+1,FALSE)</f>
        <v>属性パネルを緑のダメージパネルに15個変換+_x000D_攻撃力UP</v>
      </c>
      <c r="F42" s="47">
        <v>50016407</v>
      </c>
      <c r="G42" s="48">
        <f ca="1">VLOOKUP($F42,OFFSET(enemy_skill_triggers!$A$1,0,0,COUNTA(enemy_skill_triggers!$A:$A),MATCH(G$1,enemy_skill_triggers!$1:$1,0)-MATCH($F$1,enemy_skill_triggers!$1:$1,0)+1),MATCH(G$1,enemy_skill_triggers!$1:$1,0)-MATCH($F$1,enemy_skill_triggers!$1:$1,0)+1,FALSE)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2" s="48">
        <f ca="1">VLOOKUP($F42,OFFSET(enemy_skill_triggers!$A$1,0,0,COUNTA(enemy_skill_triggers!$A:$A),MATCH(H$1,enemy_skill_triggers!$1:$1,0)-MATCH($F$1,enemy_skill_triggers!$1:$1,0)+1),MATCH(H$1,enemy_skill_triggers!$1:$1,0)-MATCH($F$1,enemy_skill_triggers!$1:$1,0)+1,FALSE)</f>
        <v>800</v>
      </c>
      <c r="I42" s="48">
        <f ca="1">VLOOKUP($F42,OFFSET(enemy_skill_triggers!$A$1,0,0,COUNTA(enemy_skill_triggers!$A:$A),MATCH(I$1,enemy_skill_triggers!$1:$1,0)-MATCH($F$1,enemy_skill_triggers!$1:$1,0)+1),MATCH(I$1,enemy_skill_triggers!$1:$1,0)-MATCH($F$1,enemy_skill_triggers!$1:$1,0)+1,FALSE)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2" s="48">
        <f ca="1">VLOOKUP($F42,OFFSET(enemy_skill_triggers!$A$1,0,0,COUNTA(enemy_skill_triggers!$A:$A),MATCH(J$1,enemy_skill_triggers!$1:$1,0)-MATCH($F$1,enemy_skill_triggers!$1:$1,0)+1),MATCH(J$1,enemy_skill_triggers!$1:$1,0)-MATCH($F$1,enemy_skill_triggers!$1:$1,0)+1,FALSE)</f>
        <v>20</v>
      </c>
      <c r="K42" s="48" t="str">
        <f ca="1">VLOOKUP($F42,OFFSET(enemy_skill_triggers!$A$1,0,0,COUNTA(enemy_skill_triggers!$A:$A),MATCH(K$1,enemy_skill_triggers!$1:$1,0)-MATCH($F$1,enemy_skill_triggers!$1:$1,0)+1),MATCH(K$1,enemy_skill_triggers!$1:$1,0)-MATCH($F$1,enemy_skill_triggers!$1:$1,0)+1,FALSE)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2" s="48">
        <f ca="1">VLOOKUP($F42,OFFSET(enemy_skill_triggers!$A$1,0,0,COUNTA(enemy_skill_triggers!$A:$A),MATCH(L$1,enemy_skill_triggers!$1:$1,0)-MATCH($F$1,enemy_skill_triggers!$1:$1,0)+1),MATCH(L$1,enemy_skill_triggers!$1:$1,0)-MATCH($F$1,enemy_skill_triggers!$1:$1,0)+1,FALSE)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2" s="48">
        <f ca="1">VLOOKUP($F42,OFFSET(enemy_skill_triggers!$A$1,0,0,COUNTA(enemy_skill_triggers!$A:$A),MATCH(M$1,enemy_skill_triggers!$1:$1,0)-MATCH($F$1,enemy_skill_triggers!$1:$1,0)+1),MATCH(M$1,enemy_skill_triggers!$1:$1,0)-MATCH($F$1,enemy_skill_triggers!$1:$1,0)+1,FALSE)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2" s="48" t="str">
        <f ca="1">VLOOKUP($F42,OFFSET(enemy_skill_triggers!$A$1,0,0,COUNTA(enemy_skill_triggers!$A:$A),MATCH(N$1,enemy_skill_triggers!$1:$1,0)-MATCH($F$1,enemy_skill_triggers!$1:$1,0)+1),MATCH(N$1,enemy_skill_triggers!$1:$1,0)-MATCH($F$1,enemy_skill_triggers!$1:$1,0)+1,FALSE)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2" s="48">
        <f ca="1">VLOOKUP($F42,OFFSET(enemy_skill_triggers!$A$1,0,0,COUNTA(enemy_skill_triggers!$A:$A),MATCH(O$1,enemy_skill_triggers!$1:$1,0)-MATCH($F$1,enemy_skill_triggers!$1:$1,0)+1),MATCH(O$1,enemy_skill_triggers!$1:$1,0)-MATCH($F$1,enemy_skill_triggers!$1:$1,0)+1,FALSE)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2" s="47"/>
      <c r="Q42" s="47"/>
      <c r="R42" s="47"/>
    </row>
    <row r="43" spans="1:18" ht="21" customHeight="1" x14ac:dyDescent="0.15">
      <c r="A43" s="39" t="str">
        <f t="shared" si="4"/>
        <v>50016500_50016501</v>
      </c>
      <c r="B43" s="113">
        <v>50016500</v>
      </c>
      <c r="C43" s="47">
        <v>50016501</v>
      </c>
      <c r="D43" s="46" t="str">
        <f ca="1">VLOOKUP($C43,OFFSET(enemy_skills!$A$1,0,0,COUNTA(enemy_skills!$A:$A),MATCH(D$1,enemy_skills!$1:$1,0)-MATCH("enemy_skill_id",enemy_skills!$1:$1,0)+1),MATCH(D$1,enemy_skills!$1:$1,0)-MATCH("enemy_skill_id",enemy_skills!$1:$1,0)+1,FALSE)</f>
        <v>僕には果たさなければならない夢があるんだ…</v>
      </c>
      <c r="E43" s="46" t="str">
        <f ca="1">VLOOKUP($C43,OFFSET(enemy_skills!$A$1,0,0,COUNTA(enemy_skills!$A:$A),MATCH(E$1,enemy_skills!$1:$1,0)-MATCH("enemy_skill_id",enemy_skills!$1:$1,0)+1),MATCH(E$1,enemy_skills!$1:$1,0)-MATCH("enemy_skill_id",enemy_skills!$1:$1,0)+1,FALSE)</f>
        <v>緑パネルが出現しない+状態異常耐性</v>
      </c>
      <c r="F43" s="121">
        <v>50016900</v>
      </c>
      <c r="G43" s="48">
        <f ca="1">VLOOKUP($F43,OFFSET(enemy_skill_triggers!$A$1,0,0,COUNTA(enemy_skill_triggers!$A:$A),MATCH(G$1,enemy_skill_triggers!$1:$1,0)-MATCH($F$1,enemy_skill_triggers!$1:$1,0)+1),MATCH(G$1,enemy_skill_triggers!$1:$1,0)-MATCH($F$1,enemy_skill_triggers!$1:$1,0)+1,FALSE)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3" s="48">
        <f ca="1">VLOOKUP($F43,OFFSET(enemy_skill_triggers!$A$1,0,0,COUNTA(enemy_skill_triggers!$A:$A),MATCH(H$1,enemy_skill_triggers!$1:$1,0)-MATCH($F$1,enemy_skill_triggers!$1:$1,0)+1),MATCH(H$1,enemy_skill_triggers!$1:$1,0)-MATCH($F$1,enemy_skill_triggers!$1:$1,0)+1,FALSE)</f>
        <v>900</v>
      </c>
      <c r="I43" s="48">
        <f ca="1">VLOOKUP($F43,OFFSET(enemy_skill_triggers!$A$1,0,0,COUNTA(enemy_skill_triggers!$A:$A),MATCH(I$1,enemy_skill_triggers!$1:$1,0)-MATCH($F$1,enemy_skill_triggers!$1:$1,0)+1),MATCH(I$1,enemy_skill_triggers!$1:$1,0)-MATCH($F$1,enemy_skill_triggers!$1:$1,0)+1,FALSE)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3" s="48" t="str">
        <f ca="1">VLOOKUP($F43,OFFSET(enemy_skill_triggers!$A$1,0,0,COUNTA(enemy_skill_triggers!$A:$A),MATCH(J$1,enemy_skill_triggers!$1:$1,0)-MATCH($F$1,enemy_skill_triggers!$1:$1,0)+1),MATCH(J$1,enemy_skill_triggers!$1:$1,0)-MATCH($F$1,enemy_skill_triggers!$1:$1,0)+1,FALSE)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3" s="48" t="str">
        <f ca="1">VLOOKUP($F43,OFFSET(enemy_skill_triggers!$A$1,0,0,COUNTA(enemy_skill_triggers!$A:$A),MATCH(K$1,enemy_skill_triggers!$1:$1,0)-MATCH($F$1,enemy_skill_triggers!$1:$1,0)+1),MATCH(K$1,enemy_skill_triggers!$1:$1,0)-MATCH($F$1,enemy_skill_triggers!$1:$1,0)+1,FALSE)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3" s="48">
        <f ca="1">VLOOKUP($F43,OFFSET(enemy_skill_triggers!$A$1,0,0,COUNTA(enemy_skill_triggers!$A:$A),MATCH(L$1,enemy_skill_triggers!$1:$1,0)-MATCH($F$1,enemy_skill_triggers!$1:$1,0)+1),MATCH(L$1,enemy_skill_triggers!$1:$1,0)-MATCH($F$1,enemy_skill_triggers!$1:$1,0)+1,FALSE)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3" s="48" t="str">
        <f ca="1">VLOOKUP($F43,OFFSET(enemy_skill_triggers!$A$1,0,0,COUNTA(enemy_skill_triggers!$A:$A),MATCH(M$1,enemy_skill_triggers!$1:$1,0)-MATCH($F$1,enemy_skill_triggers!$1:$1,0)+1),MATCH(M$1,enemy_skill_triggers!$1:$1,0)-MATCH($F$1,enemy_skill_triggers!$1:$1,0)+1,FALSE)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3" s="48" t="str">
        <f ca="1">VLOOKUP($F43,OFFSET(enemy_skill_triggers!$A$1,0,0,COUNTA(enemy_skill_triggers!$A:$A),MATCH(N$1,enemy_skill_triggers!$1:$1,0)-MATCH($F$1,enemy_skill_triggers!$1:$1,0)+1),MATCH(N$1,enemy_skill_triggers!$1:$1,0)-MATCH($F$1,enemy_skill_triggers!$1:$1,0)+1,FALSE)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3" s="48">
        <f ca="1">VLOOKUP($F43,OFFSET(enemy_skill_triggers!$A$1,0,0,COUNTA(enemy_skill_triggers!$A:$A),MATCH(O$1,enemy_skill_triggers!$1:$1,0)-MATCH($F$1,enemy_skill_triggers!$1:$1,0)+1),MATCH(O$1,enemy_skill_triggers!$1:$1,0)-MATCH($F$1,enemy_skill_triggers!$1:$1,0)+1,FALSE)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3" s="47"/>
      <c r="Q43" s="47"/>
      <c r="R43" s="47"/>
    </row>
    <row r="44" spans="1:18" ht="21" customHeight="1" x14ac:dyDescent="0.15">
      <c r="A44" s="39" t="str">
        <f t="shared" ref="A44:A53" si="15">B44&amp;"_"&amp;C44</f>
        <v>50016500_50016502</v>
      </c>
      <c r="B44" s="113">
        <v>50016500</v>
      </c>
      <c r="C44" s="47">
        <v>50016502</v>
      </c>
      <c r="D44" s="46" t="str">
        <f ca="1">VLOOKUP($C44,OFFSET(enemy_skills!$A$1,0,0,COUNTA(enemy_skills!$A:$A),MATCH(D$1,enemy_skills!$1:$1,0)-MATCH("enemy_skill_id",enemy_skills!$1:$1,0)+1),MATCH(D$1,enemy_skills!$1:$1,0)-MATCH("enemy_skill_id",enemy_skills!$1:$1,0)+1,FALSE)</f>
        <v>英雄剣 -征討-</v>
      </c>
      <c r="E44" s="46" t="str">
        <f ca="1">VLOOKUP($C44,OFFSET(enemy_skills!$A$1,0,0,COUNTA(enemy_skills!$A:$A),MATCH(E$1,enemy_skills!$1:$1,0)-MATCH("enemy_skill_id",enemy_skills!$1:$1,0)+1),MATCH(E$1,enemy_skills!$1:$1,0)-MATCH("enemy_skill_id",enemy_skills!$1:$1,0)+1,FALSE)</f>
        <v>属性パネルをお邪魔パネルに10個変換+クリティカル！</v>
      </c>
      <c r="F44" s="47">
        <v>50016502</v>
      </c>
      <c r="G44" s="48">
        <f ca="1">VLOOKUP($F44,OFFSET(enemy_skill_triggers!$A$1,0,0,COUNTA(enemy_skill_triggers!$A:$A),MATCH(G$1,enemy_skill_triggers!$1:$1,0)-MATCH($F$1,enemy_skill_triggers!$1:$1,0)+1),MATCH(G$1,enemy_skill_triggers!$1:$1,0)-MATCH($F$1,enemy_skill_triggers!$1:$1,0)+1,FALSE)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4" s="48" t="str">
        <f ca="1">VLOOKUP($F44,OFFSET(enemy_skill_triggers!$A$1,0,0,COUNTA(enemy_skill_triggers!$A:$A),MATCH(H$1,enemy_skill_triggers!$1:$1,0)-MATCH($F$1,enemy_skill_triggers!$1:$1,0)+1),MATCH(H$1,enemy_skill_triggers!$1:$1,0)-MATCH($F$1,enemy_skill_triggers!$1:$1,0)+1,FALSE)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4" s="48">
        <f ca="1">VLOOKUP($F44,OFFSET(enemy_skill_triggers!$A$1,0,0,COUNTA(enemy_skill_triggers!$A:$A),MATCH(I$1,enemy_skill_triggers!$1:$1,0)-MATCH($F$1,enemy_skill_triggers!$1:$1,0)+1),MATCH(I$1,enemy_skill_triggers!$1:$1,0)-MATCH($F$1,enemy_skill_triggers!$1:$1,0)+1,FALSE)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4" s="48" t="str">
        <f ca="1">VLOOKUP($F44,OFFSET(enemy_skill_triggers!$A$1,0,0,COUNTA(enemy_skill_triggers!$A:$A),MATCH(J$1,enemy_skill_triggers!$1:$1,0)-MATCH($F$1,enemy_skill_triggers!$1:$1,0)+1),MATCH(J$1,enemy_skill_triggers!$1:$1,0)-MATCH($F$1,enemy_skill_triggers!$1:$1,0)+1,FALSE)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4" s="48" t="str">
        <f ca="1">VLOOKUP($F44,OFFSET(enemy_skill_triggers!$A$1,0,0,COUNTA(enemy_skill_triggers!$A:$A),MATCH(K$1,enemy_skill_triggers!$1:$1,0)-MATCH($F$1,enemy_skill_triggers!$1:$1,0)+1),MATCH(K$1,enemy_skill_triggers!$1:$1,0)-MATCH($F$1,enemy_skill_triggers!$1:$1,0)+1,FALSE)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4" s="48">
        <f ca="1">VLOOKUP($F44,OFFSET(enemy_skill_triggers!$A$1,0,0,COUNTA(enemy_skill_triggers!$A:$A),MATCH(L$1,enemy_skill_triggers!$1:$1,0)-MATCH($F$1,enemy_skill_triggers!$1:$1,0)+1),MATCH(L$1,enemy_skill_triggers!$1:$1,0)-MATCH($F$1,enemy_skill_triggers!$1:$1,0)+1,FALSE)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4" s="48">
        <f ca="1">VLOOKUP($F44,OFFSET(enemy_skill_triggers!$A$1,0,0,COUNTA(enemy_skill_triggers!$A:$A),MATCH(M$1,enemy_skill_triggers!$1:$1,0)-MATCH($F$1,enemy_skill_triggers!$1:$1,0)+1),MATCH(M$1,enemy_skill_triggers!$1:$1,0)-MATCH($F$1,enemy_skill_triggers!$1:$1,0)+1,FALSE)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4" s="48" t="str">
        <f ca="1">VLOOKUP($F44,OFFSET(enemy_skill_triggers!$A$1,0,0,COUNTA(enemy_skill_triggers!$A:$A),MATCH(N$1,enemy_skill_triggers!$1:$1,0)-MATCH($F$1,enemy_skill_triggers!$1:$1,0)+1),MATCH(N$1,enemy_skill_triggers!$1:$1,0)-MATCH($F$1,enemy_skill_triggers!$1:$1,0)+1,FALSE)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4" s="48">
        <f ca="1">VLOOKUP($F44,OFFSET(enemy_skill_triggers!$A$1,0,0,COUNTA(enemy_skill_triggers!$A:$A),MATCH(O$1,enemy_skill_triggers!$1:$1,0)-MATCH($F$1,enemy_skill_triggers!$1:$1,0)+1),MATCH(O$1,enemy_skill_triggers!$1:$1,0)-MATCH($F$1,enemy_skill_triggers!$1:$1,0)+1,FALSE)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4" s="47"/>
      <c r="Q44" s="47"/>
      <c r="R44" s="47"/>
    </row>
    <row r="45" spans="1:18" ht="21" customHeight="1" x14ac:dyDescent="0.15">
      <c r="A45" s="39" t="str">
        <f t="shared" si="15"/>
        <v>50016500_50016503</v>
      </c>
      <c r="B45" s="113">
        <v>50016500</v>
      </c>
      <c r="C45" s="47">
        <v>50016503</v>
      </c>
      <c r="D45" s="46" t="str">
        <f ca="1">VLOOKUP($C45,OFFSET(enemy_skills!$A$1,0,0,COUNTA(enemy_skills!$A:$A),MATCH(D$1,enemy_skills!$1:$1,0)-MATCH("enemy_skill_id",enemy_skills!$1:$1,0)+1),MATCH(D$1,enemy_skills!$1:$1,0)-MATCH("enemy_skill_id",enemy_skills!$1:$1,0)+1,FALSE)</f>
        <v>ドミネイト・グリーン</v>
      </c>
      <c r="E45" s="46" t="str">
        <f ca="1">VLOOKUP($C45,OFFSET(enemy_skills!$A$1,0,0,COUNTA(enemy_skills!$A:$A),MATCH(E$1,enemy_skills!$1:$1,0)-MATCH("enemy_skill_id",enemy_skills!$1:$1,0)+1),MATCH(E$1,enemy_skills!$1:$1,0)-MATCH("enemy_skill_id",enemy_skills!$1:$1,0)+1,FALSE)</f>
        <v>ハートパネルが出現しない+緑パネルを吸収して攻撃</v>
      </c>
      <c r="F45" s="47">
        <v>50016503</v>
      </c>
      <c r="G45" s="48">
        <f ca="1">VLOOKUP($F45,OFFSET(enemy_skill_triggers!$A$1,0,0,COUNTA(enemy_skill_triggers!$A:$A),MATCH(G$1,enemy_skill_triggers!$1:$1,0)-MATCH($F$1,enemy_skill_triggers!$1:$1,0)+1),MATCH(G$1,enemy_skill_triggers!$1:$1,0)-MATCH($F$1,enemy_skill_triggers!$1:$1,0)+1,FALSE)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5" s="48" t="str">
        <f ca="1">VLOOKUP($F45,OFFSET(enemy_skill_triggers!$A$1,0,0,COUNTA(enemy_skill_triggers!$A:$A),MATCH(H$1,enemy_skill_triggers!$1:$1,0)-MATCH($F$1,enemy_skill_triggers!$1:$1,0)+1),MATCH(H$1,enemy_skill_triggers!$1:$1,0)-MATCH($F$1,enemy_skill_triggers!$1:$1,0)+1,FALSE)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5" s="48">
        <f ca="1">VLOOKUP($F45,OFFSET(enemy_skill_triggers!$A$1,0,0,COUNTA(enemy_skill_triggers!$A:$A),MATCH(I$1,enemy_skill_triggers!$1:$1,0)-MATCH($F$1,enemy_skill_triggers!$1:$1,0)+1),MATCH(I$1,enemy_skill_triggers!$1:$1,0)-MATCH($F$1,enemy_skill_triggers!$1:$1,0)+1,FALSE)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5" s="48" t="str">
        <f ca="1">VLOOKUP($F45,OFFSET(enemy_skill_triggers!$A$1,0,0,COUNTA(enemy_skill_triggers!$A:$A),MATCH(J$1,enemy_skill_triggers!$1:$1,0)-MATCH($F$1,enemy_skill_triggers!$1:$1,0)+1),MATCH(J$1,enemy_skill_triggers!$1:$1,0)-MATCH($F$1,enemy_skill_triggers!$1:$1,0)+1,FALSE)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5" s="48" t="str">
        <f ca="1">VLOOKUP($F45,OFFSET(enemy_skill_triggers!$A$1,0,0,COUNTA(enemy_skill_triggers!$A:$A),MATCH(K$1,enemy_skill_triggers!$1:$1,0)-MATCH($F$1,enemy_skill_triggers!$1:$1,0)+1),MATCH(K$1,enemy_skill_triggers!$1:$1,0)-MATCH($F$1,enemy_skill_triggers!$1:$1,0)+1,FALSE)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5" s="48">
        <f ca="1">VLOOKUP($F45,OFFSET(enemy_skill_triggers!$A$1,0,0,COUNTA(enemy_skill_triggers!$A:$A),MATCH(L$1,enemy_skill_triggers!$1:$1,0)-MATCH($F$1,enemy_skill_triggers!$1:$1,0)+1),MATCH(L$1,enemy_skill_triggers!$1:$1,0)-MATCH($F$1,enemy_skill_triggers!$1:$1,0)+1,FALSE)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5" s="48">
        <f ca="1">VLOOKUP($F45,OFFSET(enemy_skill_triggers!$A$1,0,0,COUNTA(enemy_skill_triggers!$A:$A),MATCH(M$1,enemy_skill_triggers!$1:$1,0)-MATCH($F$1,enemy_skill_triggers!$1:$1,0)+1),MATCH(M$1,enemy_skill_triggers!$1:$1,0)-MATCH($F$1,enemy_skill_triggers!$1:$1,0)+1,FALSE)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45" s="48" t="str">
        <f ca="1">VLOOKUP($F45,OFFSET(enemy_skill_triggers!$A$1,0,0,COUNTA(enemy_skill_triggers!$A:$A),MATCH(N$1,enemy_skill_triggers!$1:$1,0)-MATCH($F$1,enemy_skill_triggers!$1:$1,0)+1),MATCH(N$1,enemy_skill_triggers!$1:$1,0)-MATCH($F$1,enemy_skill_triggers!$1:$1,0)+1,FALSE)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5" s="48">
        <f ca="1">VLOOKUP($F45,OFFSET(enemy_skill_triggers!$A$1,0,0,COUNTA(enemy_skill_triggers!$A:$A),MATCH(O$1,enemy_skill_triggers!$1:$1,0)-MATCH($F$1,enemy_skill_triggers!$1:$1,0)+1),MATCH(O$1,enemy_skill_triggers!$1:$1,0)-MATCH($F$1,enemy_skill_triggers!$1:$1,0)+1,FALSE)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5" s="47"/>
      <c r="Q45" s="47"/>
      <c r="R45" s="47"/>
    </row>
    <row r="46" spans="1:18" ht="21" customHeight="1" x14ac:dyDescent="0.15">
      <c r="A46" s="39" t="str">
        <f t="shared" si="15"/>
        <v>50016500_50016504</v>
      </c>
      <c r="B46" s="113">
        <v>50016500</v>
      </c>
      <c r="C46" s="47">
        <v>50016504</v>
      </c>
      <c r="D46" s="46" t="str">
        <f ca="1">VLOOKUP($C46,OFFSET(enemy_skills!$A$1,0,0,COUNTA(enemy_skills!$A:$A),MATCH(D$1,enemy_skills!$1:$1,0)-MATCH("enemy_skill_id",enemy_skills!$1:$1,0)+1),MATCH(D$1,enemy_skills!$1:$1,0)-MATCH("enemy_skill_id",enemy_skills!$1:$1,0)+1,FALSE)</f>
        <v>英雄剣 -包囲-</v>
      </c>
      <c r="E46" s="46" t="str">
        <f ca="1">VLOOKUP($C46,OFFSET(enemy_skills!$A$1,0,0,COUNTA(enemy_skills!$A:$A),MATCH(E$1,enemy_skills!$1:$1,0)-MATCH("enemy_skill_id",enemy_skills!$1:$1,0)+1),MATCH(E$1,enemy_skills!$1:$1,0)-MATCH("enemy_skill_id",enemy_skills!$1:$1,0)+1,FALSE)</f>
        <v>属性パネルを赤のダメージパネルに10個変換+_x000D_クリティカル！</v>
      </c>
      <c r="F46" s="47">
        <v>50016504</v>
      </c>
      <c r="G46" s="48">
        <f ca="1">VLOOKUP($F46,OFFSET(enemy_skill_triggers!$A$1,0,0,COUNTA(enemy_skill_triggers!$A:$A),MATCH(G$1,enemy_skill_triggers!$1:$1,0)-MATCH($F$1,enemy_skill_triggers!$1:$1,0)+1),MATCH(G$1,enemy_skill_triggers!$1:$1,0)-MATCH($F$1,enemy_skill_triggers!$1:$1,0)+1,FALSE)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6" s="48" t="str">
        <f ca="1">VLOOKUP($F46,OFFSET(enemy_skill_triggers!$A$1,0,0,COUNTA(enemy_skill_triggers!$A:$A),MATCH(H$1,enemy_skill_triggers!$1:$1,0)-MATCH($F$1,enemy_skill_triggers!$1:$1,0)+1),MATCH(H$1,enemy_skill_triggers!$1:$1,0)-MATCH($F$1,enemy_skill_triggers!$1:$1,0)+1,FALSE)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6" s="48">
        <f ca="1">VLOOKUP($F46,OFFSET(enemy_skill_triggers!$A$1,0,0,COUNTA(enemy_skill_triggers!$A:$A),MATCH(I$1,enemy_skill_triggers!$1:$1,0)-MATCH($F$1,enemy_skill_triggers!$1:$1,0)+1),MATCH(I$1,enemy_skill_triggers!$1:$1,0)-MATCH($F$1,enemy_skill_triggers!$1:$1,0)+1,FALSE)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6" s="48" t="str">
        <f ca="1">VLOOKUP($F46,OFFSET(enemy_skill_triggers!$A$1,0,0,COUNTA(enemy_skill_triggers!$A:$A),MATCH(J$1,enemy_skill_triggers!$1:$1,0)-MATCH($F$1,enemy_skill_triggers!$1:$1,0)+1),MATCH(J$1,enemy_skill_triggers!$1:$1,0)-MATCH($F$1,enemy_skill_triggers!$1:$1,0)+1,FALSE)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6" s="48" t="str">
        <f ca="1">VLOOKUP($F46,OFFSET(enemy_skill_triggers!$A$1,0,0,COUNTA(enemy_skill_triggers!$A:$A),MATCH(K$1,enemy_skill_triggers!$1:$1,0)-MATCH($F$1,enemy_skill_triggers!$1:$1,0)+1),MATCH(K$1,enemy_skill_triggers!$1:$1,0)-MATCH($F$1,enemy_skill_triggers!$1:$1,0)+1,FALSE)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6" s="48">
        <f ca="1">VLOOKUP($F46,OFFSET(enemy_skill_triggers!$A$1,0,0,COUNTA(enemy_skill_triggers!$A:$A),MATCH(L$1,enemy_skill_triggers!$1:$1,0)-MATCH($F$1,enemy_skill_triggers!$1:$1,0)+1),MATCH(L$1,enemy_skill_triggers!$1:$1,0)-MATCH($F$1,enemy_skill_triggers!$1:$1,0)+1,FALSE)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6" s="48">
        <f ca="1">VLOOKUP($F46,OFFSET(enemy_skill_triggers!$A$1,0,0,COUNTA(enemy_skill_triggers!$A:$A),MATCH(M$1,enemy_skill_triggers!$1:$1,0)-MATCH($F$1,enemy_skill_triggers!$1:$1,0)+1),MATCH(M$1,enemy_skill_triggers!$1:$1,0)-MATCH($F$1,enemy_skill_triggers!$1:$1,0)+1,FALSE)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46" s="48" t="str">
        <f ca="1">VLOOKUP($F46,OFFSET(enemy_skill_triggers!$A$1,0,0,COUNTA(enemy_skill_triggers!$A:$A),MATCH(N$1,enemy_skill_triggers!$1:$1,0)-MATCH($F$1,enemy_skill_triggers!$1:$1,0)+1),MATCH(N$1,enemy_skill_triggers!$1:$1,0)-MATCH($F$1,enemy_skill_triggers!$1:$1,0)+1,FALSE)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6" s="48">
        <f ca="1">VLOOKUP($F46,OFFSET(enemy_skill_triggers!$A$1,0,0,COUNTA(enemy_skill_triggers!$A:$A),MATCH(O$1,enemy_skill_triggers!$1:$1,0)-MATCH($F$1,enemy_skill_triggers!$1:$1,0)+1),MATCH(O$1,enemy_skill_triggers!$1:$1,0)-MATCH($F$1,enemy_skill_triggers!$1:$1,0)+1,FALSE)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6" s="47"/>
      <c r="Q46" s="47"/>
      <c r="R46" s="47"/>
    </row>
    <row r="47" spans="1:18" ht="21" customHeight="1" x14ac:dyDescent="0.15">
      <c r="A47" s="39" t="str">
        <f t="shared" si="15"/>
        <v>50016500_50016505</v>
      </c>
      <c r="B47" s="113">
        <v>50016500</v>
      </c>
      <c r="C47" s="47">
        <v>50016505</v>
      </c>
      <c r="D47" s="46" t="str">
        <f ca="1">VLOOKUP($C47,OFFSET(enemy_skills!$A$1,0,0,COUNTA(enemy_skills!$A:$A),MATCH(D$1,enemy_skills!$1:$1,0)-MATCH("enemy_skill_id",enemy_skills!$1:$1,0)+1),MATCH(D$1,enemy_skills!$1:$1,0)-MATCH("enemy_skill_id",enemy_skills!$1:$1,0)+1,FALSE)</f>
        <v>ドミネイト・ハート</v>
      </c>
      <c r="E47" s="46" t="str">
        <f ca="1">VLOOKUP($C47,OFFSET(enemy_skills!$A$1,0,0,COUNTA(enemy_skills!$A:$A),MATCH(E$1,enemy_skills!$1:$1,0)-MATCH("enemy_skill_id",enemy_skills!$1:$1,0)+1),MATCH(E$1,enemy_skills!$1:$1,0)-MATCH("enemy_skill_id",enemy_skills!$1:$1,0)+1,FALSE)</f>
        <v>黄パネルが出現しない+ハートパネルを吸収して攻撃</v>
      </c>
      <c r="F47" s="47">
        <v>50016505</v>
      </c>
      <c r="G47" s="48">
        <f ca="1">VLOOKUP($F47,OFFSET(enemy_skill_triggers!$A$1,0,0,COUNTA(enemy_skill_triggers!$A:$A),MATCH(G$1,enemy_skill_triggers!$1:$1,0)-MATCH($F$1,enemy_skill_triggers!$1:$1,0)+1),MATCH(G$1,enemy_skill_triggers!$1:$1,0)-MATCH($F$1,enemy_skill_triggers!$1:$1,0)+1,FALSE)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7" s="48" t="str">
        <f ca="1">VLOOKUP($F47,OFFSET(enemy_skill_triggers!$A$1,0,0,COUNTA(enemy_skill_triggers!$A:$A),MATCH(H$1,enemy_skill_triggers!$1:$1,0)-MATCH($F$1,enemy_skill_triggers!$1:$1,0)+1),MATCH(H$1,enemy_skill_triggers!$1:$1,0)-MATCH($F$1,enemy_skill_triggers!$1:$1,0)+1,FALSE)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7" s="48">
        <f ca="1">VLOOKUP($F47,OFFSET(enemy_skill_triggers!$A$1,0,0,COUNTA(enemy_skill_triggers!$A:$A),MATCH(I$1,enemy_skill_triggers!$1:$1,0)-MATCH($F$1,enemy_skill_triggers!$1:$1,0)+1),MATCH(I$1,enemy_skill_triggers!$1:$1,0)-MATCH($F$1,enemy_skill_triggers!$1:$1,0)+1,FALSE)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7" s="48" t="str">
        <f ca="1">VLOOKUP($F47,OFFSET(enemy_skill_triggers!$A$1,0,0,COUNTA(enemy_skill_triggers!$A:$A),MATCH(J$1,enemy_skill_triggers!$1:$1,0)-MATCH($F$1,enemy_skill_triggers!$1:$1,0)+1),MATCH(J$1,enemy_skill_triggers!$1:$1,0)-MATCH($F$1,enemy_skill_triggers!$1:$1,0)+1,FALSE)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7" s="48" t="str">
        <f ca="1">VLOOKUP($F47,OFFSET(enemy_skill_triggers!$A$1,0,0,COUNTA(enemy_skill_triggers!$A:$A),MATCH(K$1,enemy_skill_triggers!$1:$1,0)-MATCH($F$1,enemy_skill_triggers!$1:$1,0)+1),MATCH(K$1,enemy_skill_triggers!$1:$1,0)-MATCH($F$1,enemy_skill_triggers!$1:$1,0)+1,FALSE)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7" s="48">
        <f ca="1">VLOOKUP($F47,OFFSET(enemy_skill_triggers!$A$1,0,0,COUNTA(enemy_skill_triggers!$A:$A),MATCH(L$1,enemy_skill_triggers!$1:$1,0)-MATCH($F$1,enemy_skill_triggers!$1:$1,0)+1),MATCH(L$1,enemy_skill_triggers!$1:$1,0)-MATCH($F$1,enemy_skill_triggers!$1:$1,0)+1,FALSE)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7" s="48">
        <f ca="1">VLOOKUP($F47,OFFSET(enemy_skill_triggers!$A$1,0,0,COUNTA(enemy_skill_triggers!$A:$A),MATCH(M$1,enemy_skill_triggers!$1:$1,0)-MATCH($F$1,enemy_skill_triggers!$1:$1,0)+1),MATCH(M$1,enemy_skill_triggers!$1:$1,0)-MATCH($F$1,enemy_skill_triggers!$1:$1,0)+1,FALSE)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47" s="48" t="str">
        <f ca="1">VLOOKUP($F47,OFFSET(enemy_skill_triggers!$A$1,0,0,COUNTA(enemy_skill_triggers!$A:$A),MATCH(N$1,enemy_skill_triggers!$1:$1,0)-MATCH($F$1,enemy_skill_triggers!$1:$1,0)+1),MATCH(N$1,enemy_skill_triggers!$1:$1,0)-MATCH($F$1,enemy_skill_triggers!$1:$1,0)+1,FALSE)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7" s="48">
        <f ca="1">VLOOKUP($F47,OFFSET(enemy_skill_triggers!$A$1,0,0,COUNTA(enemy_skill_triggers!$A:$A),MATCH(O$1,enemy_skill_triggers!$1:$1,0)-MATCH($F$1,enemy_skill_triggers!$1:$1,0)+1),MATCH(O$1,enemy_skill_triggers!$1:$1,0)-MATCH($F$1,enemy_skill_triggers!$1:$1,0)+1,FALSE)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7" s="47"/>
      <c r="Q47" s="47"/>
      <c r="R47" s="47"/>
    </row>
    <row r="48" spans="1:18" ht="21" customHeight="1" x14ac:dyDescent="0.15">
      <c r="A48" s="39" t="str">
        <f t="shared" si="15"/>
        <v>50016500_50016506</v>
      </c>
      <c r="B48" s="113">
        <v>50016500</v>
      </c>
      <c r="C48" s="47">
        <v>50016506</v>
      </c>
      <c r="D48" s="46" t="str">
        <f ca="1">VLOOKUP($C48,OFFSET(enemy_skills!$A$1,0,0,COUNTA(enemy_skills!$A:$A),MATCH(D$1,enemy_skills!$1:$1,0)-MATCH("enemy_skill_id",enemy_skills!$1:$1,0)+1),MATCH(D$1,enemy_skills!$1:$1,0)-MATCH("enemy_skill_id",enemy_skills!$1:$1,0)+1,FALSE)</f>
        <v>英雄剣 -征討-</v>
      </c>
      <c r="E48" s="46" t="str">
        <f ca="1">VLOOKUP($C48,OFFSET(enemy_skills!$A$1,0,0,COUNTA(enemy_skills!$A:$A),MATCH(E$1,enemy_skills!$1:$1,0)-MATCH("enemy_skill_id",enemy_skills!$1:$1,0)+1),MATCH(E$1,enemy_skills!$1:$1,0)-MATCH("enemy_skill_id",enemy_skills!$1:$1,0)+1,FALSE)</f>
        <v>属性パネルをお邪魔パネルに10個変換+クリティカル！</v>
      </c>
      <c r="F48" s="47">
        <v>50016506</v>
      </c>
      <c r="G48" s="48">
        <f ca="1">VLOOKUP($F48,OFFSET(enemy_skill_triggers!$A$1,0,0,COUNTA(enemy_skill_triggers!$A:$A),MATCH(G$1,enemy_skill_triggers!$1:$1,0)-MATCH($F$1,enemy_skill_triggers!$1:$1,0)+1),MATCH(G$1,enemy_skill_triggers!$1:$1,0)-MATCH($F$1,enemy_skill_triggers!$1:$1,0)+1,FALSE)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8" s="48" t="str">
        <f ca="1">VLOOKUP($F48,OFFSET(enemy_skill_triggers!$A$1,0,0,COUNTA(enemy_skill_triggers!$A:$A),MATCH(H$1,enemy_skill_triggers!$1:$1,0)-MATCH($F$1,enemy_skill_triggers!$1:$1,0)+1),MATCH(H$1,enemy_skill_triggers!$1:$1,0)-MATCH($F$1,enemy_skill_triggers!$1:$1,0)+1,FALSE)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8" s="48">
        <f ca="1">VLOOKUP($F48,OFFSET(enemy_skill_triggers!$A$1,0,0,COUNTA(enemy_skill_triggers!$A:$A),MATCH(I$1,enemy_skill_triggers!$1:$1,0)-MATCH($F$1,enemy_skill_triggers!$1:$1,0)+1),MATCH(I$1,enemy_skill_triggers!$1:$1,0)-MATCH($F$1,enemy_skill_triggers!$1:$1,0)+1,FALSE)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8" s="48" t="str">
        <f ca="1">VLOOKUP($F48,OFFSET(enemy_skill_triggers!$A$1,0,0,COUNTA(enemy_skill_triggers!$A:$A),MATCH(J$1,enemy_skill_triggers!$1:$1,0)-MATCH($F$1,enemy_skill_triggers!$1:$1,0)+1),MATCH(J$1,enemy_skill_triggers!$1:$1,0)-MATCH($F$1,enemy_skill_triggers!$1:$1,0)+1,FALSE)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8" s="48" t="str">
        <f ca="1">VLOOKUP($F48,OFFSET(enemy_skill_triggers!$A$1,0,0,COUNTA(enemy_skill_triggers!$A:$A),MATCH(K$1,enemy_skill_triggers!$1:$1,0)-MATCH($F$1,enemy_skill_triggers!$1:$1,0)+1),MATCH(K$1,enemy_skill_triggers!$1:$1,0)-MATCH($F$1,enemy_skill_triggers!$1:$1,0)+1,FALSE)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8" s="48">
        <f ca="1">VLOOKUP($F48,OFFSET(enemy_skill_triggers!$A$1,0,0,COUNTA(enemy_skill_triggers!$A:$A),MATCH(L$1,enemy_skill_triggers!$1:$1,0)-MATCH($F$1,enemy_skill_triggers!$1:$1,0)+1),MATCH(L$1,enemy_skill_triggers!$1:$1,0)-MATCH($F$1,enemy_skill_triggers!$1:$1,0)+1,FALSE)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8" s="48">
        <f ca="1">VLOOKUP($F48,OFFSET(enemy_skill_triggers!$A$1,0,0,COUNTA(enemy_skill_triggers!$A:$A),MATCH(M$1,enemy_skill_triggers!$1:$1,0)-MATCH($F$1,enemy_skill_triggers!$1:$1,0)+1),MATCH(M$1,enemy_skill_triggers!$1:$1,0)-MATCH($F$1,enemy_skill_triggers!$1:$1,0)+1,FALSE)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48" s="48" t="str">
        <f ca="1">VLOOKUP($F48,OFFSET(enemy_skill_triggers!$A$1,0,0,COUNTA(enemy_skill_triggers!$A:$A),MATCH(N$1,enemy_skill_triggers!$1:$1,0)-MATCH($F$1,enemy_skill_triggers!$1:$1,0)+1),MATCH(N$1,enemy_skill_triggers!$1:$1,0)-MATCH($F$1,enemy_skill_triggers!$1:$1,0)+1,FALSE)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8" s="48">
        <f ca="1">VLOOKUP($F48,OFFSET(enemy_skill_triggers!$A$1,0,0,COUNTA(enemy_skill_triggers!$A:$A),MATCH(O$1,enemy_skill_triggers!$1:$1,0)-MATCH($F$1,enemy_skill_triggers!$1:$1,0)+1),MATCH(O$1,enemy_skill_triggers!$1:$1,0)-MATCH($F$1,enemy_skill_triggers!$1:$1,0)+1,FALSE)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8" s="47"/>
      <c r="Q48" s="47"/>
      <c r="R48" s="47"/>
    </row>
    <row r="49" spans="1:18" ht="21" customHeight="1" x14ac:dyDescent="0.15">
      <c r="A49" s="39" t="str">
        <f t="shared" si="15"/>
        <v>50016500_50016507</v>
      </c>
      <c r="B49" s="113">
        <v>50016500</v>
      </c>
      <c r="C49" s="47">
        <v>50016507</v>
      </c>
      <c r="D49" s="46" t="str">
        <f ca="1">VLOOKUP($C49,OFFSET(enemy_skills!$A$1,0,0,COUNTA(enemy_skills!$A:$A),MATCH(D$1,enemy_skills!$1:$1,0)-MATCH("enemy_skill_id",enemy_skills!$1:$1,0)+1),MATCH(D$1,enemy_skills!$1:$1,0)-MATCH("enemy_skill_id",enemy_skills!$1:$1,0)+1,FALSE)</f>
        <v>ドミネイト・イエロー</v>
      </c>
      <c r="E49" s="46" t="str">
        <f ca="1">VLOOKUP($C49,OFFSET(enemy_skills!$A$1,0,0,COUNTA(enemy_skills!$A:$A),MATCH(E$1,enemy_skills!$1:$1,0)-MATCH("enemy_skill_id",enemy_skills!$1:$1,0)+1),MATCH(E$1,enemy_skills!$1:$1,0)-MATCH("enemy_skill_id",enemy_skills!$1:$1,0)+1,FALSE)</f>
        <v>黄パネルを吸収して攻撃</v>
      </c>
      <c r="F49" s="47">
        <v>50016507</v>
      </c>
      <c r="G49" s="48">
        <f ca="1">VLOOKUP($F49,OFFSET(enemy_skill_triggers!$A$1,0,0,COUNTA(enemy_skill_triggers!$A:$A),MATCH(G$1,enemy_skill_triggers!$1:$1,0)-MATCH($F$1,enemy_skill_triggers!$1:$1,0)+1),MATCH(G$1,enemy_skill_triggers!$1:$1,0)-MATCH($F$1,enemy_skill_triggers!$1:$1,0)+1,FALSE)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9" s="48" t="str">
        <f ca="1">VLOOKUP($F49,OFFSET(enemy_skill_triggers!$A$1,0,0,COUNTA(enemy_skill_triggers!$A:$A),MATCH(H$1,enemy_skill_triggers!$1:$1,0)-MATCH($F$1,enemy_skill_triggers!$1:$1,0)+1),MATCH(H$1,enemy_skill_triggers!$1:$1,0)-MATCH($F$1,enemy_skill_triggers!$1:$1,0)+1,FALSE)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9" s="48">
        <f ca="1">VLOOKUP($F49,OFFSET(enemy_skill_triggers!$A$1,0,0,COUNTA(enemy_skill_triggers!$A:$A),MATCH(I$1,enemy_skill_triggers!$1:$1,0)-MATCH($F$1,enemy_skill_triggers!$1:$1,0)+1),MATCH(I$1,enemy_skill_triggers!$1:$1,0)-MATCH($F$1,enemy_skill_triggers!$1:$1,0)+1,FALSE)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9" s="48" t="str">
        <f ca="1">VLOOKUP($F49,OFFSET(enemy_skill_triggers!$A$1,0,0,COUNTA(enemy_skill_triggers!$A:$A),MATCH(J$1,enemy_skill_triggers!$1:$1,0)-MATCH($F$1,enemy_skill_triggers!$1:$1,0)+1),MATCH(J$1,enemy_skill_triggers!$1:$1,0)-MATCH($F$1,enemy_skill_triggers!$1:$1,0)+1,FALSE)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9" s="48" t="str">
        <f ca="1">VLOOKUP($F49,OFFSET(enemy_skill_triggers!$A$1,0,0,COUNTA(enemy_skill_triggers!$A:$A),MATCH(K$1,enemy_skill_triggers!$1:$1,0)-MATCH($F$1,enemy_skill_triggers!$1:$1,0)+1),MATCH(K$1,enemy_skill_triggers!$1:$1,0)-MATCH($F$1,enemy_skill_triggers!$1:$1,0)+1,FALSE)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9" s="48">
        <f ca="1">VLOOKUP($F49,OFFSET(enemy_skill_triggers!$A$1,0,0,COUNTA(enemy_skill_triggers!$A:$A),MATCH(L$1,enemy_skill_triggers!$1:$1,0)-MATCH($F$1,enemy_skill_triggers!$1:$1,0)+1),MATCH(L$1,enemy_skill_triggers!$1:$1,0)-MATCH($F$1,enemy_skill_triggers!$1:$1,0)+1,FALSE)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9" s="48">
        <f ca="1">VLOOKUP($F49,OFFSET(enemy_skill_triggers!$A$1,0,0,COUNTA(enemy_skill_triggers!$A:$A),MATCH(M$1,enemy_skill_triggers!$1:$1,0)-MATCH($F$1,enemy_skill_triggers!$1:$1,0)+1),MATCH(M$1,enemy_skill_triggers!$1:$1,0)-MATCH($F$1,enemy_skill_triggers!$1:$1,0)+1,FALSE)</f>
        <v>6</v>
      </c>
      <c r="N49" s="48" t="str">
        <f ca="1">VLOOKUP($F49,OFFSET(enemy_skill_triggers!$A$1,0,0,COUNTA(enemy_skill_triggers!$A:$A),MATCH(N$1,enemy_skill_triggers!$1:$1,0)-MATCH($F$1,enemy_skill_triggers!$1:$1,0)+1),MATCH(N$1,enemy_skill_triggers!$1:$1,0)-MATCH($F$1,enemy_skill_triggers!$1:$1,0)+1,FALSE)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9" s="48">
        <f ca="1">VLOOKUP($F49,OFFSET(enemy_skill_triggers!$A$1,0,0,COUNTA(enemy_skill_triggers!$A:$A),MATCH(O$1,enemy_skill_triggers!$1:$1,0)-MATCH($F$1,enemy_skill_triggers!$1:$1,0)+1),MATCH(O$1,enemy_skill_triggers!$1:$1,0)-MATCH($F$1,enemy_skill_triggers!$1:$1,0)+1,FALSE)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9" s="47"/>
      <c r="Q49" s="47"/>
      <c r="R49" s="47"/>
    </row>
    <row r="50" spans="1:18" ht="21" customHeight="1" x14ac:dyDescent="0.15">
      <c r="A50" s="39" t="str">
        <f t="shared" si="15"/>
        <v>50016500_50016508</v>
      </c>
      <c r="B50" s="113">
        <v>50016500</v>
      </c>
      <c r="C50" s="47">
        <v>50016508</v>
      </c>
      <c r="D50" s="46" t="str">
        <f ca="1">VLOOKUP($C50,OFFSET(enemy_skills!$A$1,0,0,COUNTA(enemy_skills!$A:$A),MATCH(D$1,enemy_skills!$1:$1,0)-MATCH("enemy_skill_id",enemy_skills!$1:$1,0)+1),MATCH(D$1,enemy_skills!$1:$1,0)-MATCH("enemy_skill_id",enemy_skills!$1:$1,0)+1,FALSE)</f>
        <v>英雄剣 -帰還-</v>
      </c>
      <c r="E50" s="46" t="str">
        <f ca="1">VLOOKUP($C50,OFFSET(enemy_skills!$A$1,0,0,COUNTA(enemy_skills!$A:$A),MATCH(E$1,enemy_skills!$1:$1,0)-MATCH("enemy_skill_id",enemy_skills!$1:$1,0)+1),MATCH(E$1,enemy_skills!$1:$1,0)-MATCH("enemy_skill_id",enemy_skills!$1:$1,0)+1,FALSE)</f>
        <v>赤パネル吸収して防御力UP(最大10個)_x000D_【次ターン防御力無視の超大ダメージ】</v>
      </c>
      <c r="F50" s="47">
        <v>50016508</v>
      </c>
      <c r="G50" s="48">
        <f ca="1">VLOOKUP($F50,OFFSET(enemy_skill_triggers!$A$1,0,0,COUNTA(enemy_skill_triggers!$A:$A),MATCH(G$1,enemy_skill_triggers!$1:$1,0)-MATCH($F$1,enemy_skill_triggers!$1:$1,0)+1),MATCH(G$1,enemy_skill_triggers!$1:$1,0)-MATCH($F$1,enemy_skill_triggers!$1:$1,0)+1,FALSE)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0" s="48" t="str">
        <f ca="1">VLOOKUP($F50,OFFSET(enemy_skill_triggers!$A$1,0,0,COUNTA(enemy_skill_triggers!$A:$A),MATCH(H$1,enemy_skill_triggers!$1:$1,0)-MATCH($F$1,enemy_skill_triggers!$1:$1,0)+1),MATCH(H$1,enemy_skill_triggers!$1:$1,0)-MATCH($F$1,enemy_skill_triggers!$1:$1,0)+1,FALSE)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0" s="48">
        <f ca="1">VLOOKUP($F50,OFFSET(enemy_skill_triggers!$A$1,0,0,COUNTA(enemy_skill_triggers!$A:$A),MATCH(I$1,enemy_skill_triggers!$1:$1,0)-MATCH($F$1,enemy_skill_triggers!$1:$1,0)+1),MATCH(I$1,enemy_skill_triggers!$1:$1,0)-MATCH($F$1,enemy_skill_triggers!$1:$1,0)+1,FALSE)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0" s="48" t="str">
        <f ca="1">VLOOKUP($F50,OFFSET(enemy_skill_triggers!$A$1,0,0,COUNTA(enemy_skill_triggers!$A:$A),MATCH(J$1,enemy_skill_triggers!$1:$1,0)-MATCH($F$1,enemy_skill_triggers!$1:$1,0)+1),MATCH(J$1,enemy_skill_triggers!$1:$1,0)-MATCH($F$1,enemy_skill_triggers!$1:$1,0)+1,FALSE)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0" s="48" t="str">
        <f ca="1">VLOOKUP($F50,OFFSET(enemy_skill_triggers!$A$1,0,0,COUNTA(enemy_skill_triggers!$A:$A),MATCH(K$1,enemy_skill_triggers!$1:$1,0)-MATCH($F$1,enemy_skill_triggers!$1:$1,0)+1),MATCH(K$1,enemy_skill_triggers!$1:$1,0)-MATCH($F$1,enemy_skill_triggers!$1:$1,0)+1,FALSE)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0" s="48">
        <f ca="1">VLOOKUP($F50,OFFSET(enemy_skill_triggers!$A$1,0,0,COUNTA(enemy_skill_triggers!$A:$A),MATCH(L$1,enemy_skill_triggers!$1:$1,0)-MATCH($F$1,enemy_skill_triggers!$1:$1,0)+1),MATCH(L$1,enemy_skill_triggers!$1:$1,0)-MATCH($F$1,enemy_skill_triggers!$1:$1,0)+1,FALSE)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0" s="48">
        <f ca="1">VLOOKUP($F50,OFFSET(enemy_skill_triggers!$A$1,0,0,COUNTA(enemy_skill_triggers!$A:$A),MATCH(M$1,enemy_skill_triggers!$1:$1,0)-MATCH($F$1,enemy_skill_triggers!$1:$1,0)+1),MATCH(M$1,enemy_skill_triggers!$1:$1,0)-MATCH($F$1,enemy_skill_triggers!$1:$1,0)+1,FALSE)</f>
        <v>7</v>
      </c>
      <c r="N50" s="48" t="str">
        <f ca="1">VLOOKUP($F50,OFFSET(enemy_skill_triggers!$A$1,0,0,COUNTA(enemy_skill_triggers!$A:$A),MATCH(N$1,enemy_skill_triggers!$1:$1,0)-MATCH($F$1,enemy_skill_triggers!$1:$1,0)+1),MATCH(N$1,enemy_skill_triggers!$1:$1,0)-MATCH($F$1,enemy_skill_triggers!$1:$1,0)+1,FALSE)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0" s="48">
        <f ca="1">VLOOKUP($F50,OFFSET(enemy_skill_triggers!$A$1,0,0,COUNTA(enemy_skill_triggers!$A:$A),MATCH(O$1,enemy_skill_triggers!$1:$1,0)-MATCH($F$1,enemy_skill_triggers!$1:$1,0)+1),MATCH(O$1,enemy_skill_triggers!$1:$1,0)-MATCH($F$1,enemy_skill_triggers!$1:$1,0)+1,FALSE)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0" s="47"/>
      <c r="Q50" s="47"/>
      <c r="R50" s="47"/>
    </row>
    <row r="51" spans="1:18" ht="21" customHeight="1" x14ac:dyDescent="0.15">
      <c r="A51" s="39" t="str">
        <f t="shared" si="15"/>
        <v>50016500_50016509</v>
      </c>
      <c r="B51" s="113">
        <v>50016500</v>
      </c>
      <c r="C51" s="47">
        <v>50016509</v>
      </c>
      <c r="D51" s="46" t="str">
        <f ca="1">VLOOKUP($C51,OFFSET(enemy_skills!$A$1,0,0,COUNTA(enemy_skills!$A:$A),MATCH(D$1,enemy_skills!$1:$1,0)-MATCH("enemy_skill_id",enemy_skills!$1:$1,0)+1),MATCH(D$1,enemy_skills!$1:$1,0)-MATCH("enemy_skill_id",enemy_skills!$1:$1,0)+1,FALSE)</f>
        <v>大英雄の一閃</v>
      </c>
      <c r="E51" s="46" t="str">
        <f ca="1">VLOOKUP($C51,OFFSET(enemy_skills!$A$1,0,0,COUNTA(enemy_skills!$A:$A),MATCH(E$1,enemy_skills!$1:$1,0)-MATCH("enemy_skill_id",enemy_skills!$1:$1,0)+1),MATCH(E$1,enemy_skills!$1:$1,0)-MATCH("enemy_skill_id",enemy_skills!$1:$1,0)+1,FALSE)</f>
        <v>防御力無視の超大ダメージ</v>
      </c>
      <c r="F51" s="47">
        <v>50016509</v>
      </c>
      <c r="G51" s="48">
        <f ca="1">VLOOKUP($F51,OFFSET(enemy_skill_triggers!$A$1,0,0,COUNTA(enemy_skill_triggers!$A:$A),MATCH(G$1,enemy_skill_triggers!$1:$1,0)-MATCH($F$1,enemy_skill_triggers!$1:$1,0)+1),MATCH(G$1,enemy_skill_triggers!$1:$1,0)-MATCH($F$1,enemy_skill_triggers!$1:$1,0)+1,FALSE)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1" s="48" t="str">
        <f ca="1">VLOOKUP($F51,OFFSET(enemy_skill_triggers!$A$1,0,0,COUNTA(enemy_skill_triggers!$A:$A),MATCH(H$1,enemy_skill_triggers!$1:$1,0)-MATCH($F$1,enemy_skill_triggers!$1:$1,0)+1),MATCH(H$1,enemy_skill_triggers!$1:$1,0)-MATCH($F$1,enemy_skill_triggers!$1:$1,0)+1,FALSE)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1" s="48">
        <f ca="1">VLOOKUP($F51,OFFSET(enemy_skill_triggers!$A$1,0,0,COUNTA(enemy_skill_triggers!$A:$A),MATCH(I$1,enemy_skill_triggers!$1:$1,0)-MATCH($F$1,enemy_skill_triggers!$1:$1,0)+1),MATCH(I$1,enemy_skill_triggers!$1:$1,0)-MATCH($F$1,enemy_skill_triggers!$1:$1,0)+1,FALSE)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1" s="48" t="str">
        <f ca="1">VLOOKUP($F51,OFFSET(enemy_skill_triggers!$A$1,0,0,COUNTA(enemy_skill_triggers!$A:$A),MATCH(J$1,enemy_skill_triggers!$1:$1,0)-MATCH($F$1,enemy_skill_triggers!$1:$1,0)+1),MATCH(J$1,enemy_skill_triggers!$1:$1,0)-MATCH($F$1,enemy_skill_triggers!$1:$1,0)+1,FALSE)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1" s="48" t="str">
        <f ca="1">VLOOKUP($F51,OFFSET(enemy_skill_triggers!$A$1,0,0,COUNTA(enemy_skill_triggers!$A:$A),MATCH(K$1,enemy_skill_triggers!$1:$1,0)-MATCH($F$1,enemy_skill_triggers!$1:$1,0)+1),MATCH(K$1,enemy_skill_triggers!$1:$1,0)-MATCH($F$1,enemy_skill_triggers!$1:$1,0)+1,FALSE)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1" s="48">
        <f ca="1">VLOOKUP($F51,OFFSET(enemy_skill_triggers!$A$1,0,0,COUNTA(enemy_skill_triggers!$A:$A),MATCH(L$1,enemy_skill_triggers!$1:$1,0)-MATCH($F$1,enemy_skill_triggers!$1:$1,0)+1),MATCH(L$1,enemy_skill_triggers!$1:$1,0)-MATCH($F$1,enemy_skill_triggers!$1:$1,0)+1,FALSE)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1" s="48">
        <f ca="1">VLOOKUP($F51,OFFSET(enemy_skill_triggers!$A$1,0,0,COUNTA(enemy_skill_triggers!$A:$A),MATCH(M$1,enemy_skill_triggers!$1:$1,0)-MATCH($F$1,enemy_skill_triggers!$1:$1,0)+1),MATCH(M$1,enemy_skill_triggers!$1:$1,0)-MATCH($F$1,enemy_skill_triggers!$1:$1,0)+1,FALSE)</f>
        <v>8</v>
      </c>
      <c r="N51" s="48" t="str">
        <f ca="1">VLOOKUP($F51,OFFSET(enemy_skill_triggers!$A$1,0,0,COUNTA(enemy_skill_triggers!$A:$A),MATCH(N$1,enemy_skill_triggers!$1:$1,0)-MATCH($F$1,enemy_skill_triggers!$1:$1,0)+1),MATCH(N$1,enemy_skill_triggers!$1:$1,0)-MATCH($F$1,enemy_skill_triggers!$1:$1,0)+1,FALSE)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1" s="48">
        <f ca="1">VLOOKUP($F51,OFFSET(enemy_skill_triggers!$A$1,0,0,COUNTA(enemy_skill_triggers!$A:$A),MATCH(O$1,enemy_skill_triggers!$1:$1,0)-MATCH($F$1,enemy_skill_triggers!$1:$1,0)+1),MATCH(O$1,enemy_skill_triggers!$1:$1,0)-MATCH($F$1,enemy_skill_triggers!$1:$1,0)+1,FALSE)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1" s="47"/>
      <c r="Q51" s="47"/>
      <c r="R51" s="47"/>
    </row>
    <row r="52" spans="1:18" ht="21" customHeight="1" x14ac:dyDescent="0.15">
      <c r="A52" s="39" t="str">
        <f t="shared" si="15"/>
        <v>50016500_50016521</v>
      </c>
      <c r="B52" s="113">
        <v>50016500</v>
      </c>
      <c r="C52" s="47">
        <v>50016521</v>
      </c>
      <c r="D52" s="46" t="str">
        <f ca="1">VLOOKUP($C52,OFFSET(enemy_skills!$A$1,0,0,COUNTA(enemy_skills!$A:$A),MATCH(D$1,enemy_skills!$1:$1,0)-MATCH("enemy_skill_id",enemy_skills!$1:$1,0)+1),MATCH(D$1,enemy_skills!$1:$1,0)-MATCH("enemy_skill_id",enemy_skills!$1:$1,0)+1,FALSE)</f>
        <v>シヴァ…自らここへ来るとはね</v>
      </c>
      <c r="E52" s="46" t="str">
        <f ca="1">VLOOKUP($C52,OFFSET(enemy_skills!$A$1,0,0,COUNTA(enemy_skills!$A:$A),MATCH(E$1,enemy_skills!$1:$1,0)-MATCH("enemy_skill_id",enemy_skills!$1:$1,0)+1),MATCH(E$1,enemy_skills!$1:$1,0)-MATCH("enemy_skill_id",enemy_skills!$1:$1,0)+1,FALSE)</f>
        <v>…君が管理するに値する歴史を僕が刻もう_x000D_【緑パネルが出現しない+状態異常耐性】</v>
      </c>
      <c r="F52" s="121">
        <v>50016901</v>
      </c>
      <c r="G52" s="48">
        <f ca="1">VLOOKUP($F52,OFFSET(enemy_skill_triggers!$A$1,0,0,COUNTA(enemy_skill_triggers!$A:$A),MATCH(G$1,enemy_skill_triggers!$1:$1,0)-MATCH($F$1,enemy_skill_triggers!$1:$1,0)+1),MATCH(G$1,enemy_skill_triggers!$1:$1,0)-MATCH($F$1,enemy_skill_triggers!$1:$1,0)+1,FALSE)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2" s="48">
        <f ca="1">VLOOKUP($F52,OFFSET(enemy_skill_triggers!$A$1,0,0,COUNTA(enemy_skill_triggers!$A:$A),MATCH(H$1,enemy_skill_triggers!$1:$1,0)-MATCH($F$1,enemy_skill_triggers!$1:$1,0)+1),MATCH(H$1,enemy_skill_triggers!$1:$1,0)-MATCH($F$1,enemy_skill_triggers!$1:$1,0)+1,FALSE)</f>
        <v>901</v>
      </c>
      <c r="I52" s="48">
        <f ca="1">VLOOKUP($F52,OFFSET(enemy_skill_triggers!$A$1,0,0,COUNTA(enemy_skill_triggers!$A:$A),MATCH(I$1,enemy_skill_triggers!$1:$1,0)-MATCH($F$1,enemy_skill_triggers!$1:$1,0)+1),MATCH(I$1,enemy_skill_triggers!$1:$1,0)-MATCH($F$1,enemy_skill_triggers!$1:$1,0)+1,FALSE)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2" s="48" t="str">
        <f ca="1">VLOOKUP($F52,OFFSET(enemy_skill_triggers!$A$1,0,0,COUNTA(enemy_skill_triggers!$A:$A),MATCH(J$1,enemy_skill_triggers!$1:$1,0)-MATCH($F$1,enemy_skill_triggers!$1:$1,0)+1),MATCH(J$1,enemy_skill_triggers!$1:$1,0)-MATCH($F$1,enemy_skill_triggers!$1:$1,0)+1,FALSE)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2" s="48" t="str">
        <f ca="1">VLOOKUP($F52,OFFSET(enemy_skill_triggers!$A$1,0,0,COUNTA(enemy_skill_triggers!$A:$A),MATCH(K$1,enemy_skill_triggers!$1:$1,0)-MATCH($F$1,enemy_skill_triggers!$1:$1,0)+1),MATCH(K$1,enemy_skill_triggers!$1:$1,0)-MATCH($F$1,enemy_skill_triggers!$1:$1,0)+1,FALSE)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2" s="48">
        <f ca="1">VLOOKUP($F52,OFFSET(enemy_skill_triggers!$A$1,0,0,COUNTA(enemy_skill_triggers!$A:$A),MATCH(L$1,enemy_skill_triggers!$1:$1,0)-MATCH($F$1,enemy_skill_triggers!$1:$1,0)+1),MATCH(L$1,enemy_skill_triggers!$1:$1,0)-MATCH($F$1,enemy_skill_triggers!$1:$1,0)+1,FALSE)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2" s="48" t="str">
        <f ca="1">VLOOKUP($F52,OFFSET(enemy_skill_triggers!$A$1,0,0,COUNTA(enemy_skill_triggers!$A:$A),MATCH(M$1,enemy_skill_triggers!$1:$1,0)-MATCH($F$1,enemy_skill_triggers!$1:$1,0)+1),MATCH(M$1,enemy_skill_triggers!$1:$1,0)-MATCH($F$1,enemy_skill_triggers!$1:$1,0)+1,FALSE)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2" s="48">
        <f ca="1">VLOOKUP($F52,OFFSET(enemy_skill_triggers!$A$1,0,0,COUNTA(enemy_skill_triggers!$A:$A),MATCH(N$1,enemy_skill_triggers!$1:$1,0)-MATCH($F$1,enemy_skill_triggers!$1:$1,0)+1),MATCH(N$1,enemy_skill_triggers!$1:$1,0)-MATCH($F$1,enemy_skill_triggers!$1:$1,0)+1,FALSE)</f>
        <v>656</v>
      </c>
      <c r="O52" s="48">
        <f ca="1">VLOOKUP($F52,OFFSET(enemy_skill_triggers!$A$1,0,0,COUNTA(enemy_skill_triggers!$A:$A),MATCH(O$1,enemy_skill_triggers!$1:$1,0)-MATCH($F$1,enemy_skill_triggers!$1:$1,0)+1),MATCH(O$1,enemy_skill_triggers!$1:$1,0)-MATCH($F$1,enemy_skill_triggers!$1:$1,0)+1,FALSE)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2" s="47"/>
      <c r="Q52" s="47"/>
      <c r="R52" s="47"/>
    </row>
    <row r="53" spans="1:18" ht="21" customHeight="1" x14ac:dyDescent="0.15">
      <c r="A53" s="39" t="str">
        <f t="shared" si="15"/>
        <v>50016500_50016521</v>
      </c>
      <c r="B53" s="113">
        <v>50016500</v>
      </c>
      <c r="C53" s="47">
        <v>50016521</v>
      </c>
      <c r="D53" s="46" t="str">
        <f ca="1">VLOOKUP($C53,OFFSET(enemy_skills!$A$1,0,0,COUNTA(enemy_skills!$A:$A),MATCH(D$1,enemy_skills!$1:$1,0)-MATCH("enemy_skill_id",enemy_skills!$1:$1,0)+1),MATCH(D$1,enemy_skills!$1:$1,0)-MATCH("enemy_skill_id",enemy_skills!$1:$1,0)+1,FALSE)</f>
        <v>シヴァ…自らここへ来るとはね</v>
      </c>
      <c r="E53" s="46" t="str">
        <f ca="1">VLOOKUP($C53,OFFSET(enemy_skills!$A$1,0,0,COUNTA(enemy_skills!$A:$A),MATCH(E$1,enemy_skills!$1:$1,0)-MATCH("enemy_skill_id",enemy_skills!$1:$1,0)+1),MATCH(E$1,enemy_skills!$1:$1,0)-MATCH("enemy_skill_id",enemy_skills!$1:$1,0)+1,FALSE)</f>
        <v>…君が管理するに値する歴史を僕が刻もう_x000D_【緑パネルが出現しない+状態異常耐性】</v>
      </c>
      <c r="F53" s="121">
        <v>50016902</v>
      </c>
      <c r="G53" s="48">
        <f ca="1">VLOOKUP($F53,OFFSET(enemy_skill_triggers!$A$1,0,0,COUNTA(enemy_skill_triggers!$A:$A),MATCH(G$1,enemy_skill_triggers!$1:$1,0)-MATCH($F$1,enemy_skill_triggers!$1:$1,0)+1),MATCH(G$1,enemy_skill_triggers!$1:$1,0)-MATCH($F$1,enemy_skill_triggers!$1:$1,0)+1,FALSE)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3" s="48">
        <f ca="1">VLOOKUP($F53,OFFSET(enemy_skill_triggers!$A$1,0,0,COUNTA(enemy_skill_triggers!$A:$A),MATCH(H$1,enemy_skill_triggers!$1:$1,0)-MATCH($F$1,enemy_skill_triggers!$1:$1,0)+1),MATCH(H$1,enemy_skill_triggers!$1:$1,0)-MATCH($F$1,enemy_skill_triggers!$1:$1,0)+1,FALSE)</f>
        <v>902</v>
      </c>
      <c r="I53" s="48">
        <f ca="1">VLOOKUP($F53,OFFSET(enemy_skill_triggers!$A$1,0,0,COUNTA(enemy_skill_triggers!$A:$A),MATCH(I$1,enemy_skill_triggers!$1:$1,0)-MATCH($F$1,enemy_skill_triggers!$1:$1,0)+1),MATCH(I$1,enemy_skill_triggers!$1:$1,0)-MATCH($F$1,enemy_skill_triggers!$1:$1,0)+1,FALSE)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3" s="48" t="str">
        <f ca="1">VLOOKUP($F53,OFFSET(enemy_skill_triggers!$A$1,0,0,COUNTA(enemy_skill_triggers!$A:$A),MATCH(J$1,enemy_skill_triggers!$1:$1,0)-MATCH($F$1,enemy_skill_triggers!$1:$1,0)+1),MATCH(J$1,enemy_skill_triggers!$1:$1,0)-MATCH($F$1,enemy_skill_triggers!$1:$1,0)+1,FALSE)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3" s="48" t="str">
        <f ca="1">VLOOKUP($F53,OFFSET(enemy_skill_triggers!$A$1,0,0,COUNTA(enemy_skill_triggers!$A:$A),MATCH(K$1,enemy_skill_triggers!$1:$1,0)-MATCH($F$1,enemy_skill_triggers!$1:$1,0)+1),MATCH(K$1,enemy_skill_triggers!$1:$1,0)-MATCH($F$1,enemy_skill_triggers!$1:$1,0)+1,FALSE)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3" s="48">
        <f ca="1">VLOOKUP($F53,OFFSET(enemy_skill_triggers!$A$1,0,0,COUNTA(enemy_skill_triggers!$A:$A),MATCH(L$1,enemy_skill_triggers!$1:$1,0)-MATCH($F$1,enemy_skill_triggers!$1:$1,0)+1),MATCH(L$1,enemy_skill_triggers!$1:$1,0)-MATCH($F$1,enemy_skill_triggers!$1:$1,0)+1,FALSE)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3" s="48" t="str">
        <f ca="1">VLOOKUP($F53,OFFSET(enemy_skill_triggers!$A$1,0,0,COUNTA(enemy_skill_triggers!$A:$A),MATCH(M$1,enemy_skill_triggers!$1:$1,0)-MATCH($F$1,enemy_skill_triggers!$1:$1,0)+1),MATCH(M$1,enemy_skill_triggers!$1:$1,0)-MATCH($F$1,enemy_skill_triggers!$1:$1,0)+1,FALSE)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3" s="48">
        <f ca="1">VLOOKUP($F53,OFFSET(enemy_skill_triggers!$A$1,0,0,COUNTA(enemy_skill_triggers!$A:$A),MATCH(N$1,enemy_skill_triggers!$1:$1,0)-MATCH($F$1,enemy_skill_triggers!$1:$1,0)+1),MATCH(N$1,enemy_skill_triggers!$1:$1,0)-MATCH($F$1,enemy_skill_triggers!$1:$1,0)+1,FALSE)</f>
        <v>657</v>
      </c>
      <c r="O53" s="48">
        <f ca="1">VLOOKUP($F53,OFFSET(enemy_skill_triggers!$A$1,0,0,COUNTA(enemy_skill_triggers!$A:$A),MATCH(O$1,enemy_skill_triggers!$1:$1,0)-MATCH($F$1,enemy_skill_triggers!$1:$1,0)+1),MATCH(O$1,enemy_skill_triggers!$1:$1,0)-MATCH($F$1,enemy_skill_triggers!$1:$1,0)+1,FALSE)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3" s="47"/>
      <c r="Q53" s="47"/>
      <c r="R53" s="47"/>
    </row>
    <row r="54" spans="1:18" ht="21" customHeight="1" x14ac:dyDescent="0.15">
      <c r="A54" s="39" t="str">
        <f t="shared" ref="A54:A55" si="16">B54&amp;"_"&amp;C54</f>
        <v>50016500_50016521</v>
      </c>
      <c r="B54" s="113">
        <v>50016500</v>
      </c>
      <c r="C54" s="47">
        <v>50016521</v>
      </c>
      <c r="D54" s="46" t="str">
        <f ca="1">VLOOKUP($C54,OFFSET(enemy_skills!$A$1,0,0,COUNTA(enemy_skills!$A:$A),MATCH(D$1,enemy_skills!$1:$1,0)-MATCH("enemy_skill_id",enemy_skills!$1:$1,0)+1),MATCH(D$1,enemy_skills!$1:$1,0)-MATCH("enemy_skill_id",enemy_skills!$1:$1,0)+1,FALSE)</f>
        <v>シヴァ…自らここへ来るとはね</v>
      </c>
      <c r="E54" s="46" t="str">
        <f ca="1">VLOOKUP($C54,OFFSET(enemy_skills!$A$1,0,0,COUNTA(enemy_skills!$A:$A),MATCH(E$1,enemy_skills!$1:$1,0)-MATCH("enemy_skill_id",enemy_skills!$1:$1,0)+1),MATCH(E$1,enemy_skills!$1:$1,0)-MATCH("enemy_skill_id",enemy_skills!$1:$1,0)+1,FALSE)</f>
        <v>…君が管理するに値する歴史を僕が刻もう_x000D_【緑パネルが出現しない+状態異常耐性】</v>
      </c>
      <c r="F54" s="121">
        <v>50016903</v>
      </c>
      <c r="G54" s="48">
        <f ca="1">VLOOKUP($F54,OFFSET(enemy_skill_triggers!$A$1,0,0,COUNTA(enemy_skill_triggers!$A:$A),MATCH(G$1,enemy_skill_triggers!$1:$1,0)-MATCH($F$1,enemy_skill_triggers!$1:$1,0)+1),MATCH(G$1,enemy_skill_triggers!$1:$1,0)-MATCH($F$1,enemy_skill_triggers!$1:$1,0)+1,FALSE)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4" s="48">
        <f ca="1">VLOOKUP($F54,OFFSET(enemy_skill_triggers!$A$1,0,0,COUNTA(enemy_skill_triggers!$A:$A),MATCH(H$1,enemy_skill_triggers!$1:$1,0)-MATCH($F$1,enemy_skill_triggers!$1:$1,0)+1),MATCH(H$1,enemy_skill_triggers!$1:$1,0)-MATCH($F$1,enemy_skill_triggers!$1:$1,0)+1,FALSE)</f>
        <v>903</v>
      </c>
      <c r="I54" s="48">
        <f ca="1">VLOOKUP($F54,OFFSET(enemy_skill_triggers!$A$1,0,0,COUNTA(enemy_skill_triggers!$A:$A),MATCH(I$1,enemy_skill_triggers!$1:$1,0)-MATCH($F$1,enemy_skill_triggers!$1:$1,0)+1),MATCH(I$1,enemy_skill_triggers!$1:$1,0)-MATCH($F$1,enemy_skill_triggers!$1:$1,0)+1,FALSE)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4" s="48" t="str">
        <f ca="1">VLOOKUP($F54,OFFSET(enemy_skill_triggers!$A$1,0,0,COUNTA(enemy_skill_triggers!$A:$A),MATCH(J$1,enemy_skill_triggers!$1:$1,0)-MATCH($F$1,enemy_skill_triggers!$1:$1,0)+1),MATCH(J$1,enemy_skill_triggers!$1:$1,0)-MATCH($F$1,enemy_skill_triggers!$1:$1,0)+1,FALSE)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4" s="48" t="str">
        <f ca="1">VLOOKUP($F54,OFFSET(enemy_skill_triggers!$A$1,0,0,COUNTA(enemy_skill_triggers!$A:$A),MATCH(K$1,enemy_skill_triggers!$1:$1,0)-MATCH($F$1,enemy_skill_triggers!$1:$1,0)+1),MATCH(K$1,enemy_skill_triggers!$1:$1,0)-MATCH($F$1,enemy_skill_triggers!$1:$1,0)+1,FALSE)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4" s="48">
        <f ca="1">VLOOKUP($F54,OFFSET(enemy_skill_triggers!$A$1,0,0,COUNTA(enemy_skill_triggers!$A:$A),MATCH(L$1,enemy_skill_triggers!$1:$1,0)-MATCH($F$1,enemy_skill_triggers!$1:$1,0)+1),MATCH(L$1,enemy_skill_triggers!$1:$1,0)-MATCH($F$1,enemy_skill_triggers!$1:$1,0)+1,FALSE)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4" s="48" t="str">
        <f ca="1">VLOOKUP($F54,OFFSET(enemy_skill_triggers!$A$1,0,0,COUNTA(enemy_skill_triggers!$A:$A),MATCH(M$1,enemy_skill_triggers!$1:$1,0)-MATCH($F$1,enemy_skill_triggers!$1:$1,0)+1),MATCH(M$1,enemy_skill_triggers!$1:$1,0)-MATCH($F$1,enemy_skill_triggers!$1:$1,0)+1,FALSE)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4" s="48">
        <f ca="1">VLOOKUP($F54,OFFSET(enemy_skill_triggers!$A$1,0,0,COUNTA(enemy_skill_triggers!$A:$A),MATCH(N$1,enemy_skill_triggers!$1:$1,0)-MATCH($F$1,enemy_skill_triggers!$1:$1,0)+1),MATCH(N$1,enemy_skill_triggers!$1:$1,0)-MATCH($F$1,enemy_skill_triggers!$1:$1,0)+1,FALSE)</f>
        <v>834</v>
      </c>
      <c r="O54" s="48">
        <f ca="1">VLOOKUP($F54,OFFSET(enemy_skill_triggers!$A$1,0,0,COUNTA(enemy_skill_triggers!$A:$A),MATCH(O$1,enemy_skill_triggers!$1:$1,0)-MATCH($F$1,enemy_skill_triggers!$1:$1,0)+1),MATCH(O$1,enemy_skill_triggers!$1:$1,0)-MATCH($F$1,enemy_skill_triggers!$1:$1,0)+1,FALSE)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4" s="47"/>
      <c r="Q54" s="47"/>
      <c r="R54" s="47"/>
    </row>
    <row r="55" spans="1:18" ht="21" customHeight="1" x14ac:dyDescent="0.15">
      <c r="A55" s="39" t="str">
        <f t="shared" si="16"/>
        <v>50016500_50016522</v>
      </c>
      <c r="B55" s="113">
        <v>50016500</v>
      </c>
      <c r="C55" s="47">
        <v>50016522</v>
      </c>
      <c r="D55" s="46" t="str">
        <f ca="1">VLOOKUP($C55,OFFSET(enemy_skills!$A$1,0,0,COUNTA(enemy_skills!$A:$A),MATCH(D$1,enemy_skills!$1:$1,0)-MATCH("enemy_skill_id",enemy_skills!$1:$1,0)+1),MATCH(D$1,enemy_skills!$1:$1,0)-MATCH("enemy_skill_id",enemy_skills!$1:$1,0)+1,FALSE)</f>
        <v>アンデルセン…_x000D_僕が綴るのはこの世界の歴史なんだ</v>
      </c>
      <c r="E55" s="46" t="str">
        <f ca="1">VLOOKUP($C55,OFFSET(enemy_skills!$A$1,0,0,COUNTA(enemy_skills!$A:$A),MATCH(E$1,enemy_skills!$1:$1,0)-MATCH("enemy_skill_id",enemy_skills!$1:$1,0)+1),MATCH(E$1,enemy_skills!$1:$1,0)-MATCH("enemy_skill_id",enemy_skills!$1:$1,0)+1,FALSE)</f>
        <v>君の夢物語と一緒にしないでくれないか_x000D_【緑パネルが出現しない+状態異常耐性】</v>
      </c>
      <c r="F55" s="121">
        <v>50016904</v>
      </c>
      <c r="G55" s="48">
        <f ca="1">VLOOKUP($F55,OFFSET(enemy_skill_triggers!$A$1,0,0,COUNTA(enemy_skill_triggers!$A:$A),MATCH(G$1,enemy_skill_triggers!$1:$1,0)-MATCH($F$1,enemy_skill_triggers!$1:$1,0)+1),MATCH(G$1,enemy_skill_triggers!$1:$1,0)-MATCH($F$1,enemy_skill_triggers!$1:$1,0)+1,FALSE)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5" s="48">
        <f ca="1">VLOOKUP($F55,OFFSET(enemy_skill_triggers!$A$1,0,0,COUNTA(enemy_skill_triggers!$A:$A),MATCH(H$1,enemy_skill_triggers!$1:$1,0)-MATCH($F$1,enemy_skill_triggers!$1:$1,0)+1),MATCH(H$1,enemy_skill_triggers!$1:$1,0)-MATCH($F$1,enemy_skill_triggers!$1:$1,0)+1,FALSE)</f>
        <v>904</v>
      </c>
      <c r="I55" s="48">
        <f ca="1">VLOOKUP($F55,OFFSET(enemy_skill_triggers!$A$1,0,0,COUNTA(enemy_skill_triggers!$A:$A),MATCH(I$1,enemy_skill_triggers!$1:$1,0)-MATCH($F$1,enemy_skill_triggers!$1:$1,0)+1),MATCH(I$1,enemy_skill_triggers!$1:$1,0)-MATCH($F$1,enemy_skill_triggers!$1:$1,0)+1,FALSE)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5" s="48" t="str">
        <f ca="1">VLOOKUP($F55,OFFSET(enemy_skill_triggers!$A$1,0,0,COUNTA(enemy_skill_triggers!$A:$A),MATCH(J$1,enemy_skill_triggers!$1:$1,0)-MATCH($F$1,enemy_skill_triggers!$1:$1,0)+1),MATCH(J$1,enemy_skill_triggers!$1:$1,0)-MATCH($F$1,enemy_skill_triggers!$1:$1,0)+1,FALSE)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5" s="48" t="str">
        <f ca="1">VLOOKUP($F55,OFFSET(enemy_skill_triggers!$A$1,0,0,COUNTA(enemy_skill_triggers!$A:$A),MATCH(K$1,enemy_skill_triggers!$1:$1,0)-MATCH($F$1,enemy_skill_triggers!$1:$1,0)+1),MATCH(K$1,enemy_skill_triggers!$1:$1,0)-MATCH($F$1,enemy_skill_triggers!$1:$1,0)+1,FALSE)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5" s="48">
        <f ca="1">VLOOKUP($F55,OFFSET(enemy_skill_triggers!$A$1,0,0,COUNTA(enemy_skill_triggers!$A:$A),MATCH(L$1,enemy_skill_triggers!$1:$1,0)-MATCH($F$1,enemy_skill_triggers!$1:$1,0)+1),MATCH(L$1,enemy_skill_triggers!$1:$1,0)-MATCH($F$1,enemy_skill_triggers!$1:$1,0)+1,FALSE)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5" s="48" t="str">
        <f ca="1">VLOOKUP($F55,OFFSET(enemy_skill_triggers!$A$1,0,0,COUNTA(enemy_skill_triggers!$A:$A),MATCH(M$1,enemy_skill_triggers!$1:$1,0)-MATCH($F$1,enemy_skill_triggers!$1:$1,0)+1),MATCH(M$1,enemy_skill_triggers!$1:$1,0)-MATCH($F$1,enemy_skill_triggers!$1:$1,0)+1,FALSE)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5" s="48">
        <f ca="1">VLOOKUP($F55,OFFSET(enemy_skill_triggers!$A$1,0,0,COUNTA(enemy_skill_triggers!$A:$A),MATCH(N$1,enemy_skill_triggers!$1:$1,0)-MATCH($F$1,enemy_skill_triggers!$1:$1,0)+1),MATCH(N$1,enemy_skill_triggers!$1:$1,0)-MATCH($F$1,enemy_skill_triggers!$1:$1,0)+1,FALSE)</f>
        <v>1379</v>
      </c>
      <c r="O55" s="48">
        <f ca="1">VLOOKUP($F55,OFFSET(enemy_skill_triggers!$A$1,0,0,COUNTA(enemy_skill_triggers!$A:$A),MATCH(O$1,enemy_skill_triggers!$1:$1,0)-MATCH($F$1,enemy_skill_triggers!$1:$1,0)+1),MATCH(O$1,enemy_skill_triggers!$1:$1,0)-MATCH($F$1,enemy_skill_triggers!$1:$1,0)+1,FALSE)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5" s="47"/>
      <c r="Q55" s="47"/>
      <c r="R55" s="47"/>
    </row>
    <row r="56" spans="1:18" ht="21" customHeight="1" x14ac:dyDescent="0.15">
      <c r="A56" s="39" t="str">
        <f t="shared" ref="A56:A58" si="17">B56&amp;"_"&amp;C56</f>
        <v>50016500_50016522</v>
      </c>
      <c r="B56" s="113">
        <v>50016500</v>
      </c>
      <c r="C56" s="47">
        <v>50016522</v>
      </c>
      <c r="D56" s="46" t="str">
        <f ca="1">VLOOKUP($C56,OFFSET(enemy_skills!$A$1,0,0,COUNTA(enemy_skills!$A:$A),MATCH(D$1,enemy_skills!$1:$1,0)-MATCH("enemy_skill_id",enemy_skills!$1:$1,0)+1),MATCH(D$1,enemy_skills!$1:$1,0)-MATCH("enemy_skill_id",enemy_skills!$1:$1,0)+1,FALSE)</f>
        <v>アンデルセン…_x000D_僕が綴るのはこの世界の歴史なんだ</v>
      </c>
      <c r="E56" s="46" t="str">
        <f ca="1">VLOOKUP($C56,OFFSET(enemy_skills!$A$1,0,0,COUNTA(enemy_skills!$A:$A),MATCH(E$1,enemy_skills!$1:$1,0)-MATCH("enemy_skill_id",enemy_skills!$1:$1,0)+1),MATCH(E$1,enemy_skills!$1:$1,0)-MATCH("enemy_skill_id",enemy_skills!$1:$1,0)+1,FALSE)</f>
        <v>君の夢物語と一緒にしないでくれないか_x000D_【緑パネルが出現しない+状態異常耐性】</v>
      </c>
      <c r="F56" s="121">
        <v>50016905</v>
      </c>
      <c r="G56" s="48">
        <f ca="1">VLOOKUP($F56,OFFSET(enemy_skill_triggers!$A$1,0,0,COUNTA(enemy_skill_triggers!$A:$A),MATCH(G$1,enemy_skill_triggers!$1:$1,0)-MATCH($F$1,enemy_skill_triggers!$1:$1,0)+1),MATCH(G$1,enemy_skill_triggers!$1:$1,0)-MATCH($F$1,enemy_skill_triggers!$1:$1,0)+1,FALSE)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6" s="48">
        <f ca="1">VLOOKUP($F56,OFFSET(enemy_skill_triggers!$A$1,0,0,COUNTA(enemy_skill_triggers!$A:$A),MATCH(H$1,enemy_skill_triggers!$1:$1,0)-MATCH($F$1,enemy_skill_triggers!$1:$1,0)+1),MATCH(H$1,enemy_skill_triggers!$1:$1,0)-MATCH($F$1,enemy_skill_triggers!$1:$1,0)+1,FALSE)</f>
        <v>905</v>
      </c>
      <c r="I56" s="48">
        <f ca="1">VLOOKUP($F56,OFFSET(enemy_skill_triggers!$A$1,0,0,COUNTA(enemy_skill_triggers!$A:$A),MATCH(I$1,enemy_skill_triggers!$1:$1,0)-MATCH($F$1,enemy_skill_triggers!$1:$1,0)+1),MATCH(I$1,enemy_skill_triggers!$1:$1,0)-MATCH($F$1,enemy_skill_triggers!$1:$1,0)+1,FALSE)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6" s="48" t="str">
        <f ca="1">VLOOKUP($F56,OFFSET(enemy_skill_triggers!$A$1,0,0,COUNTA(enemy_skill_triggers!$A:$A),MATCH(J$1,enemy_skill_triggers!$1:$1,0)-MATCH($F$1,enemy_skill_triggers!$1:$1,0)+1),MATCH(J$1,enemy_skill_triggers!$1:$1,0)-MATCH($F$1,enemy_skill_triggers!$1:$1,0)+1,FALSE)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6" s="48" t="str">
        <f ca="1">VLOOKUP($F56,OFFSET(enemy_skill_triggers!$A$1,0,0,COUNTA(enemy_skill_triggers!$A:$A),MATCH(K$1,enemy_skill_triggers!$1:$1,0)-MATCH($F$1,enemy_skill_triggers!$1:$1,0)+1),MATCH(K$1,enemy_skill_triggers!$1:$1,0)-MATCH($F$1,enemy_skill_triggers!$1:$1,0)+1,FALSE)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6" s="48">
        <f ca="1">VLOOKUP($F56,OFFSET(enemy_skill_triggers!$A$1,0,0,COUNTA(enemy_skill_triggers!$A:$A),MATCH(L$1,enemy_skill_triggers!$1:$1,0)-MATCH($F$1,enemy_skill_triggers!$1:$1,0)+1),MATCH(L$1,enemy_skill_triggers!$1:$1,0)-MATCH($F$1,enemy_skill_triggers!$1:$1,0)+1,FALSE)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6" s="48" t="str">
        <f ca="1">VLOOKUP($F56,OFFSET(enemy_skill_triggers!$A$1,0,0,COUNTA(enemy_skill_triggers!$A:$A),MATCH(M$1,enemy_skill_triggers!$1:$1,0)-MATCH($F$1,enemy_skill_triggers!$1:$1,0)+1),MATCH(M$1,enemy_skill_triggers!$1:$1,0)-MATCH($F$1,enemy_skill_triggers!$1:$1,0)+1,FALSE)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6" s="48">
        <f ca="1">VLOOKUP($F56,OFFSET(enemy_skill_triggers!$A$1,0,0,COUNTA(enemy_skill_triggers!$A:$A),MATCH(N$1,enemy_skill_triggers!$1:$1,0)-MATCH($F$1,enemy_skill_triggers!$1:$1,0)+1),MATCH(N$1,enemy_skill_triggers!$1:$1,0)-MATCH($F$1,enemy_skill_triggers!$1:$1,0)+1,FALSE)</f>
        <v>1380</v>
      </c>
      <c r="O56" s="48">
        <f ca="1">VLOOKUP($F56,OFFSET(enemy_skill_triggers!$A$1,0,0,COUNTA(enemy_skill_triggers!$A:$A),MATCH(O$1,enemy_skill_triggers!$1:$1,0)-MATCH($F$1,enemy_skill_triggers!$1:$1,0)+1),MATCH(O$1,enemy_skill_triggers!$1:$1,0)-MATCH($F$1,enemy_skill_triggers!$1:$1,0)+1,FALSE)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6" s="47"/>
      <c r="Q56" s="47"/>
      <c r="R56" s="47"/>
    </row>
    <row r="57" spans="1:18" ht="21" customHeight="1" x14ac:dyDescent="0.15">
      <c r="A57" s="39" t="str">
        <f t="shared" si="17"/>
        <v>50016500_50016523</v>
      </c>
      <c r="B57" s="113">
        <v>50016500</v>
      </c>
      <c r="C57" s="47">
        <v>50016523</v>
      </c>
      <c r="D57" s="46" t="str">
        <f ca="1">VLOOKUP($C57,OFFSET(enemy_skills!$A$1,0,0,COUNTA(enemy_skills!$A:$A),MATCH(D$1,enemy_skills!$1:$1,0)-MATCH("enemy_skill_id",enemy_skills!$1:$1,0)+1),MATCH(D$1,enemy_skills!$1:$1,0)-MATCH("enemy_skill_id",enemy_skills!$1:$1,0)+1,FALSE)</f>
        <v>ハンニバル、その天賦の才…</v>
      </c>
      <c r="E57" s="46" t="str">
        <f ca="1">VLOOKUP($C57,OFFSET(enemy_skills!$A$1,0,0,COUNTA(enemy_skills!$A:$A),MATCH(E$1,enemy_skills!$1:$1,0)-MATCH("enemy_skill_id",enemy_skills!$1:$1,0)+1),MATCH(E$1,enemy_skills!$1:$1,0)-MATCH("enemy_skill_id",enemy_skills!$1:$1,0)+1,FALSE)</f>
        <v>歴史に残せないことを残念に思うよ_x000D_【緑パネルが出現しない+状態異常耐性】</v>
      </c>
      <c r="F57" s="121">
        <v>50016906</v>
      </c>
      <c r="G57" s="48">
        <f ca="1">VLOOKUP($F57,OFFSET(enemy_skill_triggers!$A$1,0,0,COUNTA(enemy_skill_triggers!$A:$A),MATCH(G$1,enemy_skill_triggers!$1:$1,0)-MATCH($F$1,enemy_skill_triggers!$1:$1,0)+1),MATCH(G$1,enemy_skill_triggers!$1:$1,0)-MATCH($F$1,enemy_skill_triggers!$1:$1,0)+1,FALSE)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7" s="48">
        <f ca="1">VLOOKUP($F57,OFFSET(enemy_skill_triggers!$A$1,0,0,COUNTA(enemy_skill_triggers!$A:$A),MATCH(H$1,enemy_skill_triggers!$1:$1,0)-MATCH($F$1,enemy_skill_triggers!$1:$1,0)+1),MATCH(H$1,enemy_skill_triggers!$1:$1,0)-MATCH($F$1,enemy_skill_triggers!$1:$1,0)+1,FALSE)</f>
        <v>906</v>
      </c>
      <c r="I57" s="48">
        <f ca="1">VLOOKUP($F57,OFFSET(enemy_skill_triggers!$A$1,0,0,COUNTA(enemy_skill_triggers!$A:$A),MATCH(I$1,enemy_skill_triggers!$1:$1,0)-MATCH($F$1,enemy_skill_triggers!$1:$1,0)+1),MATCH(I$1,enemy_skill_triggers!$1:$1,0)-MATCH($F$1,enemy_skill_triggers!$1:$1,0)+1,FALSE)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7" s="48" t="str">
        <f ca="1">VLOOKUP($F57,OFFSET(enemy_skill_triggers!$A$1,0,0,COUNTA(enemy_skill_triggers!$A:$A),MATCH(J$1,enemy_skill_triggers!$1:$1,0)-MATCH($F$1,enemy_skill_triggers!$1:$1,0)+1),MATCH(J$1,enemy_skill_triggers!$1:$1,0)-MATCH($F$1,enemy_skill_triggers!$1:$1,0)+1,FALSE)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7" s="48" t="str">
        <f ca="1">VLOOKUP($F57,OFFSET(enemy_skill_triggers!$A$1,0,0,COUNTA(enemy_skill_triggers!$A:$A),MATCH(K$1,enemy_skill_triggers!$1:$1,0)-MATCH($F$1,enemy_skill_triggers!$1:$1,0)+1),MATCH(K$1,enemy_skill_triggers!$1:$1,0)-MATCH($F$1,enemy_skill_triggers!$1:$1,0)+1,FALSE)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7" s="48">
        <f ca="1">VLOOKUP($F57,OFFSET(enemy_skill_triggers!$A$1,0,0,COUNTA(enemy_skill_triggers!$A:$A),MATCH(L$1,enemy_skill_triggers!$1:$1,0)-MATCH($F$1,enemy_skill_triggers!$1:$1,0)+1),MATCH(L$1,enemy_skill_triggers!$1:$1,0)-MATCH($F$1,enemy_skill_triggers!$1:$1,0)+1,FALSE)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7" s="48" t="str">
        <f ca="1">VLOOKUP($F57,OFFSET(enemy_skill_triggers!$A$1,0,0,COUNTA(enemy_skill_triggers!$A:$A),MATCH(M$1,enemy_skill_triggers!$1:$1,0)-MATCH($F$1,enemy_skill_triggers!$1:$1,0)+1),MATCH(M$1,enemy_skill_triggers!$1:$1,0)-MATCH($F$1,enemy_skill_triggers!$1:$1,0)+1,FALSE)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7" s="48">
        <f ca="1">VLOOKUP($F57,OFFSET(enemy_skill_triggers!$A$1,0,0,COUNTA(enemy_skill_triggers!$A:$A),MATCH(N$1,enemy_skill_triggers!$1:$1,0)-MATCH($F$1,enemy_skill_triggers!$1:$1,0)+1),MATCH(N$1,enemy_skill_triggers!$1:$1,0)-MATCH($F$1,enemy_skill_triggers!$1:$1,0)+1,FALSE)</f>
        <v>1448</v>
      </c>
      <c r="O57" s="48">
        <f ca="1">VLOOKUP($F57,OFFSET(enemy_skill_triggers!$A$1,0,0,COUNTA(enemy_skill_triggers!$A:$A),MATCH(O$1,enemy_skill_triggers!$1:$1,0)-MATCH($F$1,enemy_skill_triggers!$1:$1,0)+1),MATCH(O$1,enemy_skill_triggers!$1:$1,0)-MATCH($F$1,enemy_skill_triggers!$1:$1,0)+1,FALSE)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7" s="47"/>
      <c r="Q57" s="47"/>
      <c r="R57" s="47"/>
    </row>
    <row r="58" spans="1:18" ht="21" customHeight="1" x14ac:dyDescent="0.15">
      <c r="A58" s="39" t="str">
        <f t="shared" si="17"/>
        <v>50016500_50016523</v>
      </c>
      <c r="B58" s="113">
        <v>50016500</v>
      </c>
      <c r="C58" s="47">
        <v>50016523</v>
      </c>
      <c r="D58" s="46" t="str">
        <f ca="1">VLOOKUP($C58,OFFSET(enemy_skills!$A$1,0,0,COUNTA(enemy_skills!$A:$A),MATCH(D$1,enemy_skills!$1:$1,0)-MATCH("enemy_skill_id",enemy_skills!$1:$1,0)+1),MATCH(D$1,enemy_skills!$1:$1,0)-MATCH("enemy_skill_id",enemy_skills!$1:$1,0)+1,FALSE)</f>
        <v>ハンニバル、その天賦の才…</v>
      </c>
      <c r="E58" s="46" t="str">
        <f ca="1">VLOOKUP($C58,OFFSET(enemy_skills!$A$1,0,0,COUNTA(enemy_skills!$A:$A),MATCH(E$1,enemy_skills!$1:$1,0)-MATCH("enemy_skill_id",enemy_skills!$1:$1,0)+1),MATCH(E$1,enemy_skills!$1:$1,0)-MATCH("enemy_skill_id",enemy_skills!$1:$1,0)+1,FALSE)</f>
        <v>歴史に残せないことを残念に思うよ_x000D_【緑パネルが出現しない+状態異常耐性】</v>
      </c>
      <c r="F58" s="121">
        <v>50016907</v>
      </c>
      <c r="G58" s="48">
        <f ca="1">VLOOKUP($F58,OFFSET(enemy_skill_triggers!$A$1,0,0,COUNTA(enemy_skill_triggers!$A:$A),MATCH(G$1,enemy_skill_triggers!$1:$1,0)-MATCH($F$1,enemy_skill_triggers!$1:$1,0)+1),MATCH(G$1,enemy_skill_triggers!$1:$1,0)-MATCH($F$1,enemy_skill_triggers!$1:$1,0)+1,FALSE)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8" s="48">
        <f ca="1">VLOOKUP($F58,OFFSET(enemy_skill_triggers!$A$1,0,0,COUNTA(enemy_skill_triggers!$A:$A),MATCH(H$1,enemy_skill_triggers!$1:$1,0)-MATCH($F$1,enemy_skill_triggers!$1:$1,0)+1),MATCH(H$1,enemy_skill_triggers!$1:$1,0)-MATCH($F$1,enemy_skill_triggers!$1:$1,0)+1,FALSE)</f>
        <v>907</v>
      </c>
      <c r="I58" s="48">
        <f ca="1">VLOOKUP($F58,OFFSET(enemy_skill_triggers!$A$1,0,0,COUNTA(enemy_skill_triggers!$A:$A),MATCH(I$1,enemy_skill_triggers!$1:$1,0)-MATCH($F$1,enemy_skill_triggers!$1:$1,0)+1),MATCH(I$1,enemy_skill_triggers!$1:$1,0)-MATCH($F$1,enemy_skill_triggers!$1:$1,0)+1,FALSE)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8" s="48" t="str">
        <f ca="1">VLOOKUP($F58,OFFSET(enemy_skill_triggers!$A$1,0,0,COUNTA(enemy_skill_triggers!$A:$A),MATCH(J$1,enemy_skill_triggers!$1:$1,0)-MATCH($F$1,enemy_skill_triggers!$1:$1,0)+1),MATCH(J$1,enemy_skill_triggers!$1:$1,0)-MATCH($F$1,enemy_skill_triggers!$1:$1,0)+1,FALSE)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8" s="48" t="str">
        <f ca="1">VLOOKUP($F58,OFFSET(enemy_skill_triggers!$A$1,0,0,COUNTA(enemy_skill_triggers!$A:$A),MATCH(K$1,enemy_skill_triggers!$1:$1,0)-MATCH($F$1,enemy_skill_triggers!$1:$1,0)+1),MATCH(K$1,enemy_skill_triggers!$1:$1,0)-MATCH($F$1,enemy_skill_triggers!$1:$1,0)+1,FALSE)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8" s="48">
        <f ca="1">VLOOKUP($F58,OFFSET(enemy_skill_triggers!$A$1,0,0,COUNTA(enemy_skill_triggers!$A:$A),MATCH(L$1,enemy_skill_triggers!$1:$1,0)-MATCH($F$1,enemy_skill_triggers!$1:$1,0)+1),MATCH(L$1,enemy_skill_triggers!$1:$1,0)-MATCH($F$1,enemy_skill_triggers!$1:$1,0)+1,FALSE)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8" s="48" t="str">
        <f ca="1">VLOOKUP($F58,OFFSET(enemy_skill_triggers!$A$1,0,0,COUNTA(enemy_skill_triggers!$A:$A),MATCH(M$1,enemy_skill_triggers!$1:$1,0)-MATCH($F$1,enemy_skill_triggers!$1:$1,0)+1),MATCH(M$1,enemy_skill_triggers!$1:$1,0)-MATCH($F$1,enemy_skill_triggers!$1:$1,0)+1,FALSE)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8" s="48">
        <f ca="1">VLOOKUP($F58,OFFSET(enemy_skill_triggers!$A$1,0,0,COUNTA(enemy_skill_triggers!$A:$A),MATCH(N$1,enemy_skill_triggers!$1:$1,0)-MATCH($F$1,enemy_skill_triggers!$1:$1,0)+1),MATCH(N$1,enemy_skill_triggers!$1:$1,0)-MATCH($F$1,enemy_skill_triggers!$1:$1,0)+1,FALSE)</f>
        <v>1449</v>
      </c>
      <c r="O58" s="48">
        <f ca="1">VLOOKUP($F58,OFFSET(enemy_skill_triggers!$A$1,0,0,COUNTA(enemy_skill_triggers!$A:$A),MATCH(O$1,enemy_skill_triggers!$1:$1,0)-MATCH($F$1,enemy_skill_triggers!$1:$1,0)+1),MATCH(O$1,enemy_skill_triggers!$1:$1,0)-MATCH($F$1,enemy_skill_triggers!$1:$1,0)+1,FALSE)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8" s="47"/>
      <c r="Q58" s="47"/>
      <c r="R58" s="47"/>
    </row>
    <row r="59" spans="1:18" ht="21" customHeight="1" x14ac:dyDescent="0.15">
      <c r="A59" s="39" t="str">
        <f t="shared" si="4"/>
        <v>50016600_50016601</v>
      </c>
      <c r="B59" s="113">
        <v>50016600</v>
      </c>
      <c r="C59" s="114">
        <v>50016601</v>
      </c>
      <c r="D59" s="46" t="str">
        <f ca="1">VLOOKUP($C59,OFFSET(enemy_skills!$A$1,0,0,COUNTA(enemy_skills!$A:$A),MATCH(D$1,enemy_skills!$1:$1,0)-MATCH("enemy_skill_id",enemy_skills!$1:$1,0)+1),MATCH(D$1,enemy_skills!$1:$1,0)-MATCH("enemy_skill_id",enemy_skills!$1:$1,0)+1,FALSE)</f>
        <v>理想のため…犠牲になってもらう</v>
      </c>
      <c r="E59" s="46" t="str">
        <f ca="1">VLOOKUP($C59,OFFSET(enemy_skills!$A$1,0,0,COUNTA(enemy_skills!$A:$A),MATCH(E$1,enemy_skills!$1:$1,0)-MATCH("enemy_skill_id",enemy_skills!$1:$1,0)+1),MATCH(E$1,enemy_skills!$1:$1,0)-MATCH("enemy_skill_id",enemy_skills!$1:$1,0)+1,FALSE)</f>
        <v>全ての効果を解除+4ターン全ユニットにウィルス+_x000D_状態異常耐性</v>
      </c>
      <c r="F59" s="123">
        <v>50016900</v>
      </c>
      <c r="G59" s="48">
        <f ca="1">VLOOKUP($F59,OFFSET(enemy_skill_triggers!$A$1,0,0,COUNTA(enemy_skill_triggers!$A:$A),MATCH(G$1,enemy_skill_triggers!$1:$1,0)-MATCH($F$1,enemy_skill_triggers!$1:$1,0)+1),MATCH(G$1,enemy_skill_triggers!$1:$1,0)-MATCH($F$1,enemy_skill_triggers!$1:$1,0)+1,FALSE)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9" s="48">
        <f ca="1">VLOOKUP($F59,OFFSET(enemy_skill_triggers!$A$1,0,0,COUNTA(enemy_skill_triggers!$A:$A),MATCH(H$1,enemy_skill_triggers!$1:$1,0)-MATCH($F$1,enemy_skill_triggers!$1:$1,0)+1),MATCH(H$1,enemy_skill_triggers!$1:$1,0)-MATCH($F$1,enemy_skill_triggers!$1:$1,0)+1,FALSE)</f>
        <v>900</v>
      </c>
      <c r="I59" s="48">
        <f ca="1">VLOOKUP($F59,OFFSET(enemy_skill_triggers!$A$1,0,0,COUNTA(enemy_skill_triggers!$A:$A),MATCH(I$1,enemy_skill_triggers!$1:$1,0)-MATCH($F$1,enemy_skill_triggers!$1:$1,0)+1),MATCH(I$1,enemy_skill_triggers!$1:$1,0)-MATCH($F$1,enemy_skill_triggers!$1:$1,0)+1,FALSE)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9" s="48" t="str">
        <f ca="1">VLOOKUP($F59,OFFSET(enemy_skill_triggers!$A$1,0,0,COUNTA(enemy_skill_triggers!$A:$A),MATCH(J$1,enemy_skill_triggers!$1:$1,0)-MATCH($F$1,enemy_skill_triggers!$1:$1,0)+1),MATCH(J$1,enemy_skill_triggers!$1:$1,0)-MATCH($F$1,enemy_skill_triggers!$1:$1,0)+1,FALSE)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9" s="48" t="str">
        <f ca="1">VLOOKUP($F59,OFFSET(enemy_skill_triggers!$A$1,0,0,COUNTA(enemy_skill_triggers!$A:$A),MATCH(K$1,enemy_skill_triggers!$1:$1,0)-MATCH($F$1,enemy_skill_triggers!$1:$1,0)+1),MATCH(K$1,enemy_skill_triggers!$1:$1,0)-MATCH($F$1,enemy_skill_triggers!$1:$1,0)+1,FALSE)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9" s="48">
        <f ca="1">VLOOKUP($F59,OFFSET(enemy_skill_triggers!$A$1,0,0,COUNTA(enemy_skill_triggers!$A:$A),MATCH(L$1,enemy_skill_triggers!$1:$1,0)-MATCH($F$1,enemy_skill_triggers!$1:$1,0)+1),MATCH(L$1,enemy_skill_triggers!$1:$1,0)-MATCH($F$1,enemy_skill_triggers!$1:$1,0)+1,FALSE)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9" s="48" t="str">
        <f ca="1">VLOOKUP($F59,OFFSET(enemy_skill_triggers!$A$1,0,0,COUNTA(enemy_skill_triggers!$A:$A),MATCH(M$1,enemy_skill_triggers!$1:$1,0)-MATCH($F$1,enemy_skill_triggers!$1:$1,0)+1),MATCH(M$1,enemy_skill_triggers!$1:$1,0)-MATCH($F$1,enemy_skill_triggers!$1:$1,0)+1,FALSE)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9" s="48" t="str">
        <f ca="1">VLOOKUP($F59,OFFSET(enemy_skill_triggers!$A$1,0,0,COUNTA(enemy_skill_triggers!$A:$A),MATCH(N$1,enemy_skill_triggers!$1:$1,0)-MATCH($F$1,enemy_skill_triggers!$1:$1,0)+1),MATCH(N$1,enemy_skill_triggers!$1:$1,0)-MATCH($F$1,enemy_skill_triggers!$1:$1,0)+1,FALSE)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9" s="48">
        <f ca="1">VLOOKUP($F59,OFFSET(enemy_skill_triggers!$A$1,0,0,COUNTA(enemy_skill_triggers!$A:$A),MATCH(O$1,enemy_skill_triggers!$1:$1,0)-MATCH($F$1,enemy_skill_triggers!$1:$1,0)+1),MATCH(O$1,enemy_skill_triggers!$1:$1,0)-MATCH($F$1,enemy_skill_triggers!$1:$1,0)+1,FALSE)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9" s="47"/>
      <c r="Q59" s="47"/>
      <c r="R59" s="47"/>
    </row>
    <row r="60" spans="1:18" ht="21" customHeight="1" x14ac:dyDescent="0.15">
      <c r="A60" s="39" t="str">
        <f t="shared" ref="A60:A65" si="18">B60&amp;"_"&amp;C60</f>
        <v>50016600_50016602</v>
      </c>
      <c r="B60" s="113">
        <v>50016600</v>
      </c>
      <c r="C60" s="114">
        <v>50016602</v>
      </c>
      <c r="D60" s="46" t="str">
        <f ca="1">VLOOKUP($C60,OFFSET(enemy_skills!$A$1,0,0,COUNTA(enemy_skills!$A:$A),MATCH(D$1,enemy_skills!$1:$1,0)-MATCH("enemy_skill_id",enemy_skills!$1:$1,0)+1),MATCH(D$1,enemy_skills!$1:$1,0)-MATCH("enemy_skill_id",enemy_skills!$1:$1,0)+1,FALSE)</f>
        <v>分からない人達だね</v>
      </c>
      <c r="E60" s="46" t="str">
        <f ca="1">VLOOKUP($C60,OFFSET(enemy_skills!$A$1,0,0,COUNTA(enemy_skills!$A:$A),MATCH(E$1,enemy_skills!$1:$1,0)-MATCH("enemy_skill_id",enemy_skills!$1:$1,0)+1),MATCH(E$1,enemy_skills!$1:$1,0)-MATCH("enemy_skill_id",enemy_skills!$1:$1,0)+1,FALSE)</f>
        <v>属性パネルをお邪魔パネルに10個変換+単体攻撃</v>
      </c>
      <c r="F60" s="114">
        <v>50016602</v>
      </c>
      <c r="G60" s="48">
        <f ca="1">VLOOKUP($F60,OFFSET(enemy_skill_triggers!$A$1,0,0,COUNTA(enemy_skill_triggers!$A:$A),MATCH(G$1,enemy_skill_triggers!$1:$1,0)-MATCH($F$1,enemy_skill_triggers!$1:$1,0)+1),MATCH(G$1,enemy_skill_triggers!$1:$1,0)-MATCH($F$1,enemy_skill_triggers!$1:$1,0)+1,FALSE)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0" s="48">
        <f ca="1">VLOOKUP($F60,OFFSET(enemy_skill_triggers!$A$1,0,0,COUNTA(enemy_skill_triggers!$A:$A),MATCH(H$1,enemy_skill_triggers!$1:$1,0)-MATCH($F$1,enemy_skill_triggers!$1:$1,0)+1),MATCH(H$1,enemy_skill_triggers!$1:$1,0)-MATCH($F$1,enemy_skill_triggers!$1:$1,0)+1,FALSE)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60" s="48">
        <f ca="1">VLOOKUP($F60,OFFSET(enemy_skill_triggers!$A$1,0,0,COUNTA(enemy_skill_triggers!$A:$A),MATCH(I$1,enemy_skill_triggers!$1:$1,0)-MATCH($F$1,enemy_skill_triggers!$1:$1,0)+1),MATCH(I$1,enemy_skill_triggers!$1:$1,0)-MATCH($F$1,enemy_skill_triggers!$1:$1,0)+1,FALSE)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0" s="48" t="str">
        <f ca="1">VLOOKUP($F60,OFFSET(enemy_skill_triggers!$A$1,0,0,COUNTA(enemy_skill_triggers!$A:$A),MATCH(J$1,enemy_skill_triggers!$1:$1,0)-MATCH($F$1,enemy_skill_triggers!$1:$1,0)+1),MATCH(J$1,enemy_skill_triggers!$1:$1,0)-MATCH($F$1,enemy_skill_triggers!$1:$1,0)+1,FALSE)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0" s="48" t="str">
        <f ca="1">VLOOKUP($F60,OFFSET(enemy_skill_triggers!$A$1,0,0,COUNTA(enemy_skill_triggers!$A:$A),MATCH(K$1,enemy_skill_triggers!$1:$1,0)-MATCH($F$1,enemy_skill_triggers!$1:$1,0)+1),MATCH(K$1,enemy_skill_triggers!$1:$1,0)-MATCH($F$1,enemy_skill_triggers!$1:$1,0)+1,FALSE)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0" s="48" t="str">
        <f ca="1">VLOOKUP($F60,OFFSET(enemy_skill_triggers!$A$1,0,0,COUNTA(enemy_skill_triggers!$A:$A),MATCH(L$1,enemy_skill_triggers!$1:$1,0)-MATCH($F$1,enemy_skill_triggers!$1:$1,0)+1),MATCH(L$1,enemy_skill_triggers!$1:$1,0)-MATCH($F$1,enemy_skill_triggers!$1:$1,0)+1,FALSE)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0" s="48">
        <f ca="1">VLOOKUP($F60,OFFSET(enemy_skill_triggers!$A$1,0,0,COUNTA(enemy_skill_triggers!$A:$A),MATCH(M$1,enemy_skill_triggers!$1:$1,0)-MATCH($F$1,enemy_skill_triggers!$1:$1,0)+1),MATCH(M$1,enemy_skill_triggers!$1:$1,0)-MATCH($F$1,enemy_skill_triggers!$1:$1,0)+1,FALSE)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60" s="48" t="str">
        <f ca="1">VLOOKUP($F60,OFFSET(enemy_skill_triggers!$A$1,0,0,COUNTA(enemy_skill_triggers!$A:$A),MATCH(N$1,enemy_skill_triggers!$1:$1,0)-MATCH($F$1,enemy_skill_triggers!$1:$1,0)+1),MATCH(N$1,enemy_skill_triggers!$1:$1,0)-MATCH($F$1,enemy_skill_triggers!$1:$1,0)+1,FALSE)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0" s="48">
        <f ca="1">VLOOKUP($F60,OFFSET(enemy_skill_triggers!$A$1,0,0,COUNTA(enemy_skill_triggers!$A:$A),MATCH(O$1,enemy_skill_triggers!$1:$1,0)-MATCH($F$1,enemy_skill_triggers!$1:$1,0)+1),MATCH(O$1,enemy_skill_triggers!$1:$1,0)-MATCH($F$1,enemy_skill_triggers!$1:$1,0)+1,FALSE)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0" s="47"/>
      <c r="Q60" s="47"/>
      <c r="R60" s="47"/>
    </row>
    <row r="61" spans="1:18" ht="21" customHeight="1" x14ac:dyDescent="0.15">
      <c r="A61" s="39" t="str">
        <f t="shared" si="18"/>
        <v>50016600_50016603</v>
      </c>
      <c r="B61" s="113">
        <v>50016600</v>
      </c>
      <c r="C61" s="114">
        <v>50016603</v>
      </c>
      <c r="D61" s="46" t="str">
        <f ca="1">VLOOKUP($C61,OFFSET(enemy_skills!$A$1,0,0,COUNTA(enemy_skills!$A:$A),MATCH(D$1,enemy_skills!$1:$1,0)-MATCH("enemy_skill_id",enemy_skills!$1:$1,0)+1),MATCH(D$1,enemy_skills!$1:$1,0)-MATCH("enemy_skill_id",enemy_skills!$1:$1,0)+1,FALSE)</f>
        <v>炎纏</v>
      </c>
      <c r="E61" s="46" t="str">
        <f ca="1">VLOOKUP($C61,OFFSET(enemy_skills!$A$1,0,0,COUNTA(enemy_skills!$A:$A),MATCH(E$1,enemy_skills!$1:$1,0)-MATCH("enemy_skill_id",enemy_skills!$1:$1,0)+1),MATCH(E$1,enemy_skills!$1:$1,0)-MATCH("enemy_skill_id",enemy_skills!$1:$1,0)+1,FALSE)</f>
        <v>お邪魔パネルを全て&amp;属性パネルを3個_x000D_超強力な赤のダメージパネルに変換+_x000D_単体攻撃</v>
      </c>
      <c r="F61" s="114">
        <v>50016603</v>
      </c>
      <c r="G61" s="48">
        <f ca="1">VLOOKUP($F61,OFFSET(enemy_skill_triggers!$A$1,0,0,COUNTA(enemy_skill_triggers!$A:$A),MATCH(G$1,enemy_skill_triggers!$1:$1,0)-MATCH($F$1,enemy_skill_triggers!$1:$1,0)+1),MATCH(G$1,enemy_skill_triggers!$1:$1,0)-MATCH($F$1,enemy_skill_triggers!$1:$1,0)+1,FALSE)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1" s="48">
        <f ca="1">VLOOKUP($F61,OFFSET(enemy_skill_triggers!$A$1,0,0,COUNTA(enemy_skill_triggers!$A:$A),MATCH(H$1,enemy_skill_triggers!$1:$1,0)-MATCH($F$1,enemy_skill_triggers!$1:$1,0)+1),MATCH(H$1,enemy_skill_triggers!$1:$1,0)-MATCH($F$1,enemy_skill_triggers!$1:$1,0)+1,FALSE)</f>
        <v>300</v>
      </c>
      <c r="I61" s="48">
        <f ca="1">VLOOKUP($F61,OFFSET(enemy_skill_triggers!$A$1,0,0,COUNTA(enemy_skill_triggers!$A:$A),MATCH(I$1,enemy_skill_triggers!$1:$1,0)-MATCH($F$1,enemy_skill_triggers!$1:$1,0)+1),MATCH(I$1,enemy_skill_triggers!$1:$1,0)-MATCH($F$1,enemy_skill_triggers!$1:$1,0)+1,FALSE)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1" s="48" t="str">
        <f ca="1">VLOOKUP($F61,OFFSET(enemy_skill_triggers!$A$1,0,0,COUNTA(enemy_skill_triggers!$A:$A),MATCH(J$1,enemy_skill_triggers!$1:$1,0)-MATCH($F$1,enemy_skill_triggers!$1:$1,0)+1),MATCH(J$1,enemy_skill_triggers!$1:$1,0)-MATCH($F$1,enemy_skill_triggers!$1:$1,0)+1,FALSE)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1" s="48" t="str">
        <f ca="1">VLOOKUP($F61,OFFSET(enemy_skill_triggers!$A$1,0,0,COUNTA(enemy_skill_triggers!$A:$A),MATCH(K$1,enemy_skill_triggers!$1:$1,0)-MATCH($F$1,enemy_skill_triggers!$1:$1,0)+1),MATCH(K$1,enemy_skill_triggers!$1:$1,0)-MATCH($F$1,enemy_skill_triggers!$1:$1,0)+1,FALSE)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1" s="48" t="str">
        <f ca="1">VLOOKUP($F61,OFFSET(enemy_skill_triggers!$A$1,0,0,COUNTA(enemy_skill_triggers!$A:$A),MATCH(L$1,enemy_skill_triggers!$1:$1,0)-MATCH($F$1,enemy_skill_triggers!$1:$1,0)+1),MATCH(L$1,enemy_skill_triggers!$1:$1,0)-MATCH($F$1,enemy_skill_triggers!$1:$1,0)+1,FALSE)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1" s="48">
        <f ca="1">VLOOKUP($F61,OFFSET(enemy_skill_triggers!$A$1,0,0,COUNTA(enemy_skill_triggers!$A:$A),MATCH(M$1,enemy_skill_triggers!$1:$1,0)-MATCH($F$1,enemy_skill_triggers!$1:$1,0)+1),MATCH(M$1,enemy_skill_triggers!$1:$1,0)-MATCH($F$1,enemy_skill_triggers!$1:$1,0)+1,FALSE)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61" s="48" t="str">
        <f ca="1">VLOOKUP($F61,OFFSET(enemy_skill_triggers!$A$1,0,0,COUNTA(enemy_skill_triggers!$A:$A),MATCH(N$1,enemy_skill_triggers!$1:$1,0)-MATCH($F$1,enemy_skill_triggers!$1:$1,0)+1),MATCH(N$1,enemy_skill_triggers!$1:$1,0)-MATCH($F$1,enemy_skill_triggers!$1:$1,0)+1,FALSE)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1" s="48">
        <f ca="1">VLOOKUP($F61,OFFSET(enemy_skill_triggers!$A$1,0,0,COUNTA(enemy_skill_triggers!$A:$A),MATCH(O$1,enemy_skill_triggers!$1:$1,0)-MATCH($F$1,enemy_skill_triggers!$1:$1,0)+1),MATCH(O$1,enemy_skill_triggers!$1:$1,0)-MATCH($F$1,enemy_skill_triggers!$1:$1,0)+1,FALSE)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1" s="47"/>
      <c r="Q61" s="47"/>
      <c r="R61" s="47"/>
    </row>
    <row r="62" spans="1:18" ht="21" customHeight="1" x14ac:dyDescent="0.15">
      <c r="A62" s="39" t="str">
        <f t="shared" si="18"/>
        <v>50016600_50016604</v>
      </c>
      <c r="B62" s="113">
        <v>50016600</v>
      </c>
      <c r="C62" s="114">
        <v>50016604</v>
      </c>
      <c r="D62" s="46" t="str">
        <f ca="1">VLOOKUP($C62,OFFSET(enemy_skills!$A$1,0,0,COUNTA(enemy_skills!$A:$A),MATCH(D$1,enemy_skills!$1:$1,0)-MATCH("enemy_skill_id",enemy_skills!$1:$1,0)+1),MATCH(D$1,enemy_skills!$1:$1,0)-MATCH("enemy_skill_id",enemy_skills!$1:$1,0)+1,FALSE)</f>
        <v>皆を導くのは僕だ</v>
      </c>
      <c r="E62" s="46" t="str">
        <f ca="1">VLOOKUP($C62,OFFSET(enemy_skills!$A$1,0,0,COUNTA(enemy_skills!$A:$A),MATCH(E$1,enemy_skills!$1:$1,0)-MATCH("enemy_skill_id",enemy_skills!$1:$1,0)+1),MATCH(E$1,enemy_skills!$1:$1,0)-MATCH("enemy_skill_id",enemy_skills!$1:$1,0)+1,FALSE)</f>
        <v>青パネルを吸収する程、ダメージがDOWNする攻撃</v>
      </c>
      <c r="F62" s="114">
        <v>50016604</v>
      </c>
      <c r="G62" s="48">
        <f ca="1">VLOOKUP($F62,OFFSET(enemy_skill_triggers!$A$1,0,0,COUNTA(enemy_skill_triggers!$A:$A),MATCH(G$1,enemy_skill_triggers!$1:$1,0)-MATCH($F$1,enemy_skill_triggers!$1:$1,0)+1),MATCH(G$1,enemy_skill_triggers!$1:$1,0)-MATCH($F$1,enemy_skill_triggers!$1:$1,0)+1,FALSE)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2" s="48">
        <f ca="1">VLOOKUP($F62,OFFSET(enemy_skill_triggers!$A$1,0,0,COUNTA(enemy_skill_triggers!$A:$A),MATCH(H$1,enemy_skill_triggers!$1:$1,0)-MATCH($F$1,enemy_skill_triggers!$1:$1,0)+1),MATCH(H$1,enemy_skill_triggers!$1:$1,0)-MATCH($F$1,enemy_skill_triggers!$1:$1,0)+1,FALSE)</f>
        <v>200</v>
      </c>
      <c r="I62" s="48">
        <f ca="1">VLOOKUP($F62,OFFSET(enemy_skill_triggers!$A$1,0,0,COUNTA(enemy_skill_triggers!$A:$A),MATCH(I$1,enemy_skill_triggers!$1:$1,0)-MATCH($F$1,enemy_skill_triggers!$1:$1,0)+1),MATCH(I$1,enemy_skill_triggers!$1:$1,0)-MATCH($F$1,enemy_skill_triggers!$1:$1,0)+1,FALSE)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2" s="48" t="str">
        <f ca="1">VLOOKUP($F62,OFFSET(enemy_skill_triggers!$A$1,0,0,COUNTA(enemy_skill_triggers!$A:$A),MATCH(J$1,enemy_skill_triggers!$1:$1,0)-MATCH($F$1,enemy_skill_triggers!$1:$1,0)+1),MATCH(J$1,enemy_skill_triggers!$1:$1,0)-MATCH($F$1,enemy_skill_triggers!$1:$1,0)+1,FALSE)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2" s="48" t="str">
        <f ca="1">VLOOKUP($F62,OFFSET(enemy_skill_triggers!$A$1,0,0,COUNTA(enemy_skill_triggers!$A:$A),MATCH(K$1,enemy_skill_triggers!$1:$1,0)-MATCH($F$1,enemy_skill_triggers!$1:$1,0)+1),MATCH(K$1,enemy_skill_triggers!$1:$1,0)-MATCH($F$1,enemy_skill_triggers!$1:$1,0)+1,FALSE)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2" s="48" t="str">
        <f ca="1">VLOOKUP($F62,OFFSET(enemy_skill_triggers!$A$1,0,0,COUNTA(enemy_skill_triggers!$A:$A),MATCH(L$1,enemy_skill_triggers!$1:$1,0)-MATCH($F$1,enemy_skill_triggers!$1:$1,0)+1),MATCH(L$1,enemy_skill_triggers!$1:$1,0)-MATCH($F$1,enemy_skill_triggers!$1:$1,0)+1,FALSE)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2" s="48">
        <f ca="1">VLOOKUP($F62,OFFSET(enemy_skill_triggers!$A$1,0,0,COUNTA(enemy_skill_triggers!$A:$A),MATCH(M$1,enemy_skill_triggers!$1:$1,0)-MATCH($F$1,enemy_skill_triggers!$1:$1,0)+1),MATCH(M$1,enemy_skill_triggers!$1:$1,0)-MATCH($F$1,enemy_skill_triggers!$1:$1,0)+1,FALSE)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62" s="48" t="str">
        <f ca="1">VLOOKUP($F62,OFFSET(enemy_skill_triggers!$A$1,0,0,COUNTA(enemy_skill_triggers!$A:$A),MATCH(N$1,enemy_skill_triggers!$1:$1,0)-MATCH($F$1,enemy_skill_triggers!$1:$1,0)+1),MATCH(N$1,enemy_skill_triggers!$1:$1,0)-MATCH($F$1,enemy_skill_triggers!$1:$1,0)+1,FALSE)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2" s="48">
        <f ca="1">VLOOKUP($F62,OFFSET(enemy_skill_triggers!$A$1,0,0,COUNTA(enemy_skill_triggers!$A:$A),MATCH(O$1,enemy_skill_triggers!$1:$1,0)-MATCH($F$1,enemy_skill_triggers!$1:$1,0)+1),MATCH(O$1,enemy_skill_triggers!$1:$1,0)-MATCH($F$1,enemy_skill_triggers!$1:$1,0)+1,FALSE)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2" s="47"/>
      <c r="Q62" s="47"/>
      <c r="R62" s="47"/>
    </row>
    <row r="63" spans="1:18" ht="21" customHeight="1" x14ac:dyDescent="0.15">
      <c r="A63" s="39" t="str">
        <f t="shared" si="18"/>
        <v>50016600_50016605</v>
      </c>
      <c r="B63" s="113">
        <v>50016600</v>
      </c>
      <c r="C63" s="114">
        <v>50016605</v>
      </c>
      <c r="D63" s="46" t="str">
        <f ca="1">VLOOKUP($C63,OFFSET(enemy_skills!$A$1,0,0,COUNTA(enemy_skills!$A:$A),MATCH(D$1,enemy_skills!$1:$1,0)-MATCH("enemy_skill_id",enemy_skills!$1:$1,0)+1),MATCH(D$1,enemy_skills!$1:$1,0)-MATCH("enemy_skill_id",enemy_skills!$1:$1,0)+1,FALSE)</f>
        <v>アイディアル・アンド・リアリティ</v>
      </c>
      <c r="E63" s="46" t="str">
        <f ca="1">VLOOKUP($C63,OFFSET(enemy_skills!$A$1,0,0,COUNTA(enemy_skills!$A:$A),MATCH(E$1,enemy_skills!$1:$1,0)-MATCH("enemy_skill_id",enemy_skills!$1:$1,0)+1),MATCH(E$1,enemy_skills!$1:$1,0)-MATCH("enemy_skill_id",enemy_skills!$1:$1,0)+1,FALSE)</f>
        <v>ダメージパネルを吸収して攻撃</v>
      </c>
      <c r="F63" s="114">
        <v>50016605</v>
      </c>
      <c r="G63" s="48">
        <f ca="1">VLOOKUP($F63,OFFSET(enemy_skill_triggers!$A$1,0,0,COUNTA(enemy_skill_triggers!$A:$A),MATCH(G$1,enemy_skill_triggers!$1:$1,0)-MATCH($F$1,enemy_skill_triggers!$1:$1,0)+1),MATCH(G$1,enemy_skill_triggers!$1:$1,0)-MATCH($F$1,enemy_skill_triggers!$1:$1,0)+1,FALSE)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3" s="48">
        <f ca="1">VLOOKUP($F63,OFFSET(enemy_skill_triggers!$A$1,0,0,COUNTA(enemy_skill_triggers!$A:$A),MATCH(H$1,enemy_skill_triggers!$1:$1,0)-MATCH($F$1,enemy_skill_triggers!$1:$1,0)+1),MATCH(H$1,enemy_skill_triggers!$1:$1,0)-MATCH($F$1,enemy_skill_triggers!$1:$1,0)+1,FALSE)</f>
        <v>400</v>
      </c>
      <c r="I63" s="48">
        <f ca="1">VLOOKUP($F63,OFFSET(enemy_skill_triggers!$A$1,0,0,COUNTA(enemy_skill_triggers!$A:$A),MATCH(I$1,enemy_skill_triggers!$1:$1,0)-MATCH($F$1,enemy_skill_triggers!$1:$1,0)+1),MATCH(I$1,enemy_skill_triggers!$1:$1,0)-MATCH($F$1,enemy_skill_triggers!$1:$1,0)+1,FALSE)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3" s="48" t="str">
        <f ca="1">VLOOKUP($F63,OFFSET(enemy_skill_triggers!$A$1,0,0,COUNTA(enemy_skill_triggers!$A:$A),MATCH(J$1,enemy_skill_triggers!$1:$1,0)-MATCH($F$1,enemy_skill_triggers!$1:$1,0)+1),MATCH(J$1,enemy_skill_triggers!$1:$1,0)-MATCH($F$1,enemy_skill_triggers!$1:$1,0)+1,FALSE)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3" s="48" t="str">
        <f ca="1">VLOOKUP($F63,OFFSET(enemy_skill_triggers!$A$1,0,0,COUNTA(enemy_skill_triggers!$A:$A),MATCH(K$1,enemy_skill_triggers!$1:$1,0)-MATCH($F$1,enemy_skill_triggers!$1:$1,0)+1),MATCH(K$1,enemy_skill_triggers!$1:$1,0)-MATCH($F$1,enemy_skill_triggers!$1:$1,0)+1,FALSE)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3" s="48" t="str">
        <f ca="1">VLOOKUP($F63,OFFSET(enemy_skill_triggers!$A$1,0,0,COUNTA(enemy_skill_triggers!$A:$A),MATCH(L$1,enemy_skill_triggers!$1:$1,0)-MATCH($F$1,enemy_skill_triggers!$1:$1,0)+1),MATCH(L$1,enemy_skill_triggers!$1:$1,0)-MATCH($F$1,enemy_skill_triggers!$1:$1,0)+1,FALSE)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3" s="48">
        <f ca="1">VLOOKUP($F63,OFFSET(enemy_skill_triggers!$A$1,0,0,COUNTA(enemy_skill_triggers!$A:$A),MATCH(M$1,enemy_skill_triggers!$1:$1,0)-MATCH($F$1,enemy_skill_triggers!$1:$1,0)+1),MATCH(M$1,enemy_skill_triggers!$1:$1,0)-MATCH($F$1,enemy_skill_triggers!$1:$1,0)+1,FALSE)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63" s="48" t="str">
        <f ca="1">VLOOKUP($F63,OFFSET(enemy_skill_triggers!$A$1,0,0,COUNTA(enemy_skill_triggers!$A:$A),MATCH(N$1,enemy_skill_triggers!$1:$1,0)-MATCH($F$1,enemy_skill_triggers!$1:$1,0)+1),MATCH(N$1,enemy_skill_triggers!$1:$1,0)-MATCH($F$1,enemy_skill_triggers!$1:$1,0)+1,FALSE)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3" s="48">
        <f ca="1">VLOOKUP($F63,OFFSET(enemy_skill_triggers!$A$1,0,0,COUNTA(enemy_skill_triggers!$A:$A),MATCH(O$1,enemy_skill_triggers!$1:$1,0)-MATCH($F$1,enemy_skill_triggers!$1:$1,0)+1),MATCH(O$1,enemy_skill_triggers!$1:$1,0)-MATCH($F$1,enemy_skill_triggers!$1:$1,0)+1,FALSE)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3" s="47"/>
      <c r="Q63" s="47"/>
      <c r="R63" s="47"/>
    </row>
    <row r="64" spans="1:18" ht="21" customHeight="1" x14ac:dyDescent="0.15">
      <c r="A64" s="39" t="str">
        <f t="shared" si="18"/>
        <v>50016600_50016606</v>
      </c>
      <c r="B64" s="113">
        <v>50016600</v>
      </c>
      <c r="C64" s="114">
        <v>50016606</v>
      </c>
      <c r="D64" s="46" t="str">
        <f ca="1">VLOOKUP($C64,OFFSET(enemy_skills!$A$1,0,0,COUNTA(enemy_skills!$A:$A),MATCH(D$1,enemy_skills!$1:$1,0)-MATCH("enemy_skill_id",enemy_skills!$1:$1,0)+1),MATCH(D$1,enemy_skills!$1:$1,0)-MATCH("enemy_skill_id",enemy_skills!$1:$1,0)+1,FALSE)</f>
        <v>大灯台の覇光</v>
      </c>
      <c r="E64" s="46" t="str">
        <f ca="1">VLOOKUP($C64,OFFSET(enemy_skills!$A$1,0,0,COUNTA(enemy_skills!$A:$A),MATCH(E$1,enemy_skills!$1:$1,0)-MATCH("enemy_skill_id",enemy_skills!$1:$1,0)+1),MATCH(E$1,enemy_skills!$1:$1,0)-MATCH("enemy_skill_id",enemy_skills!$1:$1,0)+1,FALSE)</f>
        <v>属性パネルをお邪魔パネルに10個変換+_x000D_3ターン全ユニットの回復力80%DOWN+_x000D_3ターン全ユニットのタップ回数を2DOWN</v>
      </c>
      <c r="F64" s="114">
        <v>50016606</v>
      </c>
      <c r="G64" s="48">
        <f ca="1">VLOOKUP($F64,OFFSET(enemy_skill_triggers!$A$1,0,0,COUNTA(enemy_skill_triggers!$A:$A),MATCH(G$1,enemy_skill_triggers!$1:$1,0)-MATCH($F$1,enemy_skill_triggers!$1:$1,0)+1),MATCH(G$1,enemy_skill_triggers!$1:$1,0)-MATCH($F$1,enemy_skill_triggers!$1:$1,0)+1,FALSE)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4" s="48">
        <f ca="1">VLOOKUP($F64,OFFSET(enemy_skill_triggers!$A$1,0,0,COUNTA(enemy_skill_triggers!$A:$A),MATCH(H$1,enemy_skill_triggers!$1:$1,0)-MATCH($F$1,enemy_skill_triggers!$1:$1,0)+1),MATCH(H$1,enemy_skill_triggers!$1:$1,0)-MATCH($F$1,enemy_skill_triggers!$1:$1,0)+1,FALSE)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64" s="48">
        <f ca="1">VLOOKUP($F64,OFFSET(enemy_skill_triggers!$A$1,0,0,COUNTA(enemy_skill_triggers!$A:$A),MATCH(I$1,enemy_skill_triggers!$1:$1,0)-MATCH($F$1,enemy_skill_triggers!$1:$1,0)+1),MATCH(I$1,enemy_skill_triggers!$1:$1,0)-MATCH($F$1,enemy_skill_triggers!$1:$1,0)+1,FALSE)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4" s="48" t="str">
        <f ca="1">VLOOKUP($F64,OFFSET(enemy_skill_triggers!$A$1,0,0,COUNTA(enemy_skill_triggers!$A:$A),MATCH(J$1,enemy_skill_triggers!$1:$1,0)-MATCH($F$1,enemy_skill_triggers!$1:$1,0)+1),MATCH(J$1,enemy_skill_triggers!$1:$1,0)-MATCH($F$1,enemy_skill_triggers!$1:$1,0)+1,FALSE)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4" s="48" t="str">
        <f ca="1">VLOOKUP($F64,OFFSET(enemy_skill_triggers!$A$1,0,0,COUNTA(enemy_skill_triggers!$A:$A),MATCH(K$1,enemy_skill_triggers!$1:$1,0)-MATCH($F$1,enemy_skill_triggers!$1:$1,0)+1),MATCH(K$1,enemy_skill_triggers!$1:$1,0)-MATCH($F$1,enemy_skill_triggers!$1:$1,0)+1,FALSE)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4" s="48" t="str">
        <f ca="1">VLOOKUP($F64,OFFSET(enemy_skill_triggers!$A$1,0,0,COUNTA(enemy_skill_triggers!$A:$A),MATCH(L$1,enemy_skill_triggers!$1:$1,0)-MATCH($F$1,enemy_skill_triggers!$1:$1,0)+1),MATCH(L$1,enemy_skill_triggers!$1:$1,0)-MATCH($F$1,enemy_skill_triggers!$1:$1,0)+1,FALSE)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4" s="48">
        <f ca="1">VLOOKUP($F64,OFFSET(enemy_skill_triggers!$A$1,0,0,COUNTA(enemy_skill_triggers!$A:$A),MATCH(M$1,enemy_skill_triggers!$1:$1,0)-MATCH($F$1,enemy_skill_triggers!$1:$1,0)+1),MATCH(M$1,enemy_skill_triggers!$1:$1,0)-MATCH($F$1,enemy_skill_triggers!$1:$1,0)+1,FALSE)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64" s="48" t="str">
        <f ca="1">VLOOKUP($F64,OFFSET(enemy_skill_triggers!$A$1,0,0,COUNTA(enemy_skill_triggers!$A:$A),MATCH(N$1,enemy_skill_triggers!$1:$1,0)-MATCH($F$1,enemy_skill_triggers!$1:$1,0)+1),MATCH(N$1,enemy_skill_triggers!$1:$1,0)-MATCH($F$1,enemy_skill_triggers!$1:$1,0)+1,FALSE)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4" s="48">
        <f ca="1">VLOOKUP($F64,OFFSET(enemy_skill_triggers!$A$1,0,0,COUNTA(enemy_skill_triggers!$A:$A),MATCH(O$1,enemy_skill_triggers!$1:$1,0)-MATCH($F$1,enemy_skill_triggers!$1:$1,0)+1),MATCH(O$1,enemy_skill_triggers!$1:$1,0)-MATCH($F$1,enemy_skill_triggers!$1:$1,0)+1,FALSE)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4" s="47"/>
      <c r="Q64" s="47"/>
      <c r="R64" s="47"/>
    </row>
    <row r="65" spans="1:18" ht="21" customHeight="1" x14ac:dyDescent="0.15">
      <c r="A65" s="39" t="str">
        <f t="shared" si="18"/>
        <v>50016600_50016607</v>
      </c>
      <c r="B65" s="113">
        <v>50016600</v>
      </c>
      <c r="C65" s="114">
        <v>50016607</v>
      </c>
      <c r="D65" s="46" t="str">
        <f ca="1">VLOOKUP($C65,OFFSET(enemy_skills!$A$1,0,0,COUNTA(enemy_skills!$A:$A),MATCH(D$1,enemy_skills!$1:$1,0)-MATCH("enemy_skill_id",enemy_skills!$1:$1,0)+1),MATCH(D$1,enemy_skills!$1:$1,0)-MATCH("enemy_skill_id",enemy_skills!$1:$1,0)+1,FALSE)</f>
        <v>イスカンダルの双角</v>
      </c>
      <c r="E65" s="46" t="str">
        <f ca="1">VLOOKUP($C65,OFFSET(enemy_skills!$A$1,0,0,COUNTA(enemy_skills!$A:$A),MATCH(E$1,enemy_skills!$1:$1,0)-MATCH("enemy_skill_id",enemy_skills!$1:$1,0)+1),MATCH(E$1,enemy_skills!$1:$1,0)-MATCH("enemy_skill_id",enemy_skills!$1:$1,0)+1,FALSE)</f>
        <v>ウィルス状態のバランスタイプユニットに大ダメージ</v>
      </c>
      <c r="F65" s="114">
        <v>50016607</v>
      </c>
      <c r="G65" s="48">
        <f ca="1">VLOOKUP($F65,OFFSET(enemy_skill_triggers!$A$1,0,0,COUNTA(enemy_skill_triggers!$A:$A),MATCH(G$1,enemy_skill_triggers!$1:$1,0)-MATCH($F$1,enemy_skill_triggers!$1:$1,0)+1),MATCH(G$1,enemy_skill_triggers!$1:$1,0)-MATCH($F$1,enemy_skill_triggers!$1:$1,0)+1,FALSE)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5" s="48">
        <f ca="1">VLOOKUP($F65,OFFSET(enemy_skill_triggers!$A$1,0,0,COUNTA(enemy_skill_triggers!$A:$A),MATCH(H$1,enemy_skill_triggers!$1:$1,0)-MATCH($F$1,enemy_skill_triggers!$1:$1,0)+1),MATCH(H$1,enemy_skill_triggers!$1:$1,0)-MATCH($F$1,enemy_skill_triggers!$1:$1,0)+1,FALSE)</f>
        <v>800</v>
      </c>
      <c r="I65" s="48">
        <f ca="1">VLOOKUP($F65,OFFSET(enemy_skill_triggers!$A$1,0,0,COUNTA(enemy_skill_triggers!$A:$A),MATCH(I$1,enemy_skill_triggers!$1:$1,0)-MATCH($F$1,enemy_skill_triggers!$1:$1,0)+1),MATCH(I$1,enemy_skill_triggers!$1:$1,0)-MATCH($F$1,enemy_skill_triggers!$1:$1,0)+1,FALSE)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5" s="48" t="str">
        <f ca="1">VLOOKUP($F65,OFFSET(enemy_skill_triggers!$A$1,0,0,COUNTA(enemy_skill_triggers!$A:$A),MATCH(J$1,enemy_skill_triggers!$1:$1,0)-MATCH($F$1,enemy_skill_triggers!$1:$1,0)+1),MATCH(J$1,enemy_skill_triggers!$1:$1,0)-MATCH($F$1,enemy_skill_triggers!$1:$1,0)+1,FALSE)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5" s="48" t="str">
        <f ca="1">VLOOKUP($F65,OFFSET(enemy_skill_triggers!$A$1,0,0,COUNTA(enemy_skill_triggers!$A:$A),MATCH(K$1,enemy_skill_triggers!$1:$1,0)-MATCH($F$1,enemy_skill_triggers!$1:$1,0)+1),MATCH(K$1,enemy_skill_triggers!$1:$1,0)-MATCH($F$1,enemy_skill_triggers!$1:$1,0)+1,FALSE)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5" s="48">
        <f ca="1">VLOOKUP($F65,OFFSET(enemy_skill_triggers!$A$1,0,0,COUNTA(enemy_skill_triggers!$A:$A),MATCH(L$1,enemy_skill_triggers!$1:$1,0)-MATCH($F$1,enemy_skill_triggers!$1:$1,0)+1),MATCH(L$1,enemy_skill_triggers!$1:$1,0)-MATCH($F$1,enemy_skill_triggers!$1:$1,0)+1,FALSE)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5" s="48">
        <f ca="1">VLOOKUP($F65,OFFSET(enemy_skill_triggers!$A$1,0,0,COUNTA(enemy_skill_triggers!$A:$A),MATCH(M$1,enemy_skill_triggers!$1:$1,0)-MATCH($F$1,enemy_skill_triggers!$1:$1,0)+1),MATCH(M$1,enemy_skill_triggers!$1:$1,0)-MATCH($F$1,enemy_skill_triggers!$1:$1,0)+1,FALSE)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65" s="48" t="str">
        <f ca="1">VLOOKUP($F65,OFFSET(enemy_skill_triggers!$A$1,0,0,COUNTA(enemy_skill_triggers!$A:$A),MATCH(N$1,enemy_skill_triggers!$1:$1,0)-MATCH($F$1,enemy_skill_triggers!$1:$1,0)+1),MATCH(N$1,enemy_skill_triggers!$1:$1,0)-MATCH($F$1,enemy_skill_triggers!$1:$1,0)+1,FALSE)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5" s="48">
        <f ca="1">VLOOKUP($F65,OFFSET(enemy_skill_triggers!$A$1,0,0,COUNTA(enemy_skill_triggers!$A:$A),MATCH(O$1,enemy_skill_triggers!$1:$1,0)-MATCH($F$1,enemy_skill_triggers!$1:$1,0)+1),MATCH(O$1,enemy_skill_triggers!$1:$1,0)-MATCH($F$1,enemy_skill_triggers!$1:$1,0)+1,FALSE)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5" s="47"/>
      <c r="Q65" s="47"/>
      <c r="R65" s="47"/>
    </row>
    <row r="66" spans="1:18" ht="21" customHeight="1" x14ac:dyDescent="0.15">
      <c r="A66" s="39" t="str">
        <f t="shared" ref="A66" si="19">B66&amp;"_"&amp;C66</f>
        <v>50016600_50016608</v>
      </c>
      <c r="B66" s="113">
        <v>50016600</v>
      </c>
      <c r="C66" s="114">
        <v>50016608</v>
      </c>
      <c r="D66" s="46" t="str">
        <f ca="1">VLOOKUP($C66,OFFSET(enemy_skills!$A$1,0,0,COUNTA(enemy_skills!$A:$A),MATCH(D$1,enemy_skills!$1:$1,0)-MATCH("enemy_skill_id",enemy_skills!$1:$1,0)+1),MATCH(D$1,enemy_skills!$1:$1,0)-MATCH("enemy_skill_id",enemy_skills!$1:$1,0)+1,FALSE)</f>
        <v>いずれ分かることなんだ…語る必要もないよ</v>
      </c>
      <c r="E66" s="46" t="str">
        <f ca="1">VLOOKUP($C66,OFFSET(enemy_skills!$A$1,0,0,COUNTA(enemy_skills!$A:$A),MATCH(E$1,enemy_skills!$1:$1,0)-MATCH("enemy_skill_id",enemy_skills!$1:$1,0)+1),MATCH(E$1,enemy_skills!$1:$1,0)-MATCH("enemy_skill_id",enemy_skills!$1:$1,0)+1,FALSE)</f>
        <v>4ターン全ユニットの攻撃力80%DOWN+_x000D_自身の攻撃力UP</v>
      </c>
      <c r="F66" s="114">
        <v>50016608</v>
      </c>
      <c r="G66" s="48">
        <f ca="1">VLOOKUP($F66,OFFSET(enemy_skill_triggers!$A$1,0,0,COUNTA(enemy_skill_triggers!$A:$A),MATCH(G$1,enemy_skill_triggers!$1:$1,0)-MATCH($F$1,enemy_skill_triggers!$1:$1,0)+1),MATCH(G$1,enemy_skill_triggers!$1:$1,0)-MATCH($F$1,enemy_skill_triggers!$1:$1,0)+1,FALSE)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6" s="48">
        <f ca="1">VLOOKUP($F66,OFFSET(enemy_skill_triggers!$A$1,0,0,COUNTA(enemy_skill_triggers!$A:$A),MATCH(H$1,enemy_skill_triggers!$1:$1,0)-MATCH($F$1,enemy_skill_triggers!$1:$1,0)+1),MATCH(H$1,enemy_skill_triggers!$1:$1,0)-MATCH($F$1,enemy_skill_triggers!$1:$1,0)+1,FALSE)</f>
        <v>801</v>
      </c>
      <c r="I66" s="48">
        <f ca="1">VLOOKUP($F66,OFFSET(enemy_skill_triggers!$A$1,0,0,COUNTA(enemy_skill_triggers!$A:$A),MATCH(I$1,enemy_skill_triggers!$1:$1,0)-MATCH($F$1,enemy_skill_triggers!$1:$1,0)+1),MATCH(I$1,enemy_skill_triggers!$1:$1,0)-MATCH($F$1,enemy_skill_triggers!$1:$1,0)+1,FALSE)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6" s="48" t="str">
        <f ca="1">VLOOKUP($F66,OFFSET(enemy_skill_triggers!$A$1,0,0,COUNTA(enemy_skill_triggers!$A:$A),MATCH(J$1,enemy_skill_triggers!$1:$1,0)-MATCH($F$1,enemy_skill_triggers!$1:$1,0)+1),MATCH(J$1,enemy_skill_triggers!$1:$1,0)-MATCH($F$1,enemy_skill_triggers!$1:$1,0)+1,FALSE)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6" s="48" t="str">
        <f ca="1">VLOOKUP($F66,OFFSET(enemy_skill_triggers!$A$1,0,0,COUNTA(enemy_skill_triggers!$A:$A),MATCH(K$1,enemy_skill_triggers!$1:$1,0)-MATCH($F$1,enemy_skill_triggers!$1:$1,0)+1),MATCH(K$1,enemy_skill_triggers!$1:$1,0)-MATCH($F$1,enemy_skill_triggers!$1:$1,0)+1,FALSE)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6" s="48">
        <f ca="1">VLOOKUP($F66,OFFSET(enemy_skill_triggers!$A$1,0,0,COUNTA(enemy_skill_triggers!$A:$A),MATCH(L$1,enemy_skill_triggers!$1:$1,0)-MATCH($F$1,enemy_skill_triggers!$1:$1,0)+1),MATCH(L$1,enemy_skill_triggers!$1:$1,0)-MATCH($F$1,enemy_skill_triggers!$1:$1,0)+1,FALSE)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6" s="48">
        <f ca="1">VLOOKUP($F66,OFFSET(enemy_skill_triggers!$A$1,0,0,COUNTA(enemy_skill_triggers!$A:$A),MATCH(M$1,enemy_skill_triggers!$1:$1,0)-MATCH($F$1,enemy_skill_triggers!$1:$1,0)+1),MATCH(M$1,enemy_skill_triggers!$1:$1,0)-MATCH($F$1,enemy_skill_triggers!$1:$1,0)+1,FALSE)</f>
        <v>9</v>
      </c>
      <c r="N66" s="48" t="str">
        <f ca="1">VLOOKUP($F66,OFFSET(enemy_skill_triggers!$A$1,0,0,COUNTA(enemy_skill_triggers!$A:$A),MATCH(N$1,enemy_skill_triggers!$1:$1,0)-MATCH($F$1,enemy_skill_triggers!$1:$1,0)+1),MATCH(N$1,enemy_skill_triggers!$1:$1,0)-MATCH($F$1,enemy_skill_triggers!$1:$1,0)+1,FALSE)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6" s="48">
        <f ca="1">VLOOKUP($F66,OFFSET(enemy_skill_triggers!$A$1,0,0,COUNTA(enemy_skill_triggers!$A:$A),MATCH(O$1,enemy_skill_triggers!$1:$1,0)-MATCH($F$1,enemy_skill_triggers!$1:$1,0)+1),MATCH(O$1,enemy_skill_triggers!$1:$1,0)-MATCH($F$1,enemy_skill_triggers!$1:$1,0)+1,FALSE)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6" s="47"/>
      <c r="Q66" s="47"/>
      <c r="R66" s="47"/>
    </row>
    <row r="67" spans="1:18" ht="21" customHeight="1" x14ac:dyDescent="0.15">
      <c r="A67" s="39" t="str">
        <f t="shared" si="4"/>
        <v>50016700_50016701</v>
      </c>
      <c r="B67" s="113">
        <v>50016700</v>
      </c>
      <c r="C67" s="117">
        <v>50016701</v>
      </c>
      <c r="D67" s="46" t="str">
        <f ca="1">VLOOKUP($C67,OFFSET(enemy_skills!$A$1,0,0,COUNTA(enemy_skills!$A:$A),MATCH(D$1,enemy_skills!$1:$1,0)-MATCH("enemy_skill_id",enemy_skills!$1:$1,0)+1),MATCH(D$1,enemy_skills!$1:$1,0)-MATCH("enemy_skill_id",enemy_skills!$1:$1,0)+1,FALSE)</f>
        <v>よく見ておくんだ、真の英雄の姿を！</v>
      </c>
      <c r="E67" s="46" t="str">
        <f ca="1">VLOOKUP($C67,OFFSET(enemy_skills!$A$1,0,0,COUNTA(enemy_skills!$A:$A),MATCH(E$1,enemy_skills!$1:$1,0)-MATCH("enemy_skill_id",enemy_skills!$1:$1,0)+1),MATCH(E$1,enemy_skills!$1:$1,0)-MATCH("enemy_skill_id",enemy_skills!$1:$1,0)+1,FALSE)</f>
        <v>4ターン種族マシン&amp;テクニカルタイプのユニットに_x000D_スキルバインド+状態異常耐性</v>
      </c>
      <c r="F67" s="124">
        <v>50016900</v>
      </c>
      <c r="G67" s="48">
        <f ca="1">VLOOKUP($F67,OFFSET(enemy_skill_triggers!$A$1,0,0,COUNTA(enemy_skill_triggers!$A:$A),MATCH(G$1,enemy_skill_triggers!$1:$1,0)-MATCH($F$1,enemy_skill_triggers!$1:$1,0)+1),MATCH(G$1,enemy_skill_triggers!$1:$1,0)-MATCH($F$1,enemy_skill_triggers!$1:$1,0)+1,FALSE)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7" s="48">
        <f ca="1">VLOOKUP($F67,OFFSET(enemy_skill_triggers!$A$1,0,0,COUNTA(enemy_skill_triggers!$A:$A),MATCH(H$1,enemy_skill_triggers!$1:$1,0)-MATCH($F$1,enemy_skill_triggers!$1:$1,0)+1),MATCH(H$1,enemy_skill_triggers!$1:$1,0)-MATCH($F$1,enemy_skill_triggers!$1:$1,0)+1,FALSE)</f>
        <v>900</v>
      </c>
      <c r="I67" s="48">
        <f ca="1">VLOOKUP($F67,OFFSET(enemy_skill_triggers!$A$1,0,0,COUNTA(enemy_skill_triggers!$A:$A),MATCH(I$1,enemy_skill_triggers!$1:$1,0)-MATCH($F$1,enemy_skill_triggers!$1:$1,0)+1),MATCH(I$1,enemy_skill_triggers!$1:$1,0)-MATCH($F$1,enemy_skill_triggers!$1:$1,0)+1,FALSE)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7" s="48" t="str">
        <f ca="1">VLOOKUP($F67,OFFSET(enemy_skill_triggers!$A$1,0,0,COUNTA(enemy_skill_triggers!$A:$A),MATCH(J$1,enemy_skill_triggers!$1:$1,0)-MATCH($F$1,enemy_skill_triggers!$1:$1,0)+1),MATCH(J$1,enemy_skill_triggers!$1:$1,0)-MATCH($F$1,enemy_skill_triggers!$1:$1,0)+1,FALSE)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7" s="48" t="str">
        <f ca="1">VLOOKUP($F67,OFFSET(enemy_skill_triggers!$A$1,0,0,COUNTA(enemy_skill_triggers!$A:$A),MATCH(K$1,enemy_skill_triggers!$1:$1,0)-MATCH($F$1,enemy_skill_triggers!$1:$1,0)+1),MATCH(K$1,enemy_skill_triggers!$1:$1,0)-MATCH($F$1,enemy_skill_triggers!$1:$1,0)+1,FALSE)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7" s="48">
        <f ca="1">VLOOKUP($F67,OFFSET(enemy_skill_triggers!$A$1,0,0,COUNTA(enemy_skill_triggers!$A:$A),MATCH(L$1,enemy_skill_triggers!$1:$1,0)-MATCH($F$1,enemy_skill_triggers!$1:$1,0)+1),MATCH(L$1,enemy_skill_triggers!$1:$1,0)-MATCH($F$1,enemy_skill_triggers!$1:$1,0)+1,FALSE)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7" s="48" t="str">
        <f ca="1">VLOOKUP($F67,OFFSET(enemy_skill_triggers!$A$1,0,0,COUNTA(enemy_skill_triggers!$A:$A),MATCH(M$1,enemy_skill_triggers!$1:$1,0)-MATCH($F$1,enemy_skill_triggers!$1:$1,0)+1),MATCH(M$1,enemy_skill_triggers!$1:$1,0)-MATCH($F$1,enemy_skill_triggers!$1:$1,0)+1,FALSE)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7" s="48" t="str">
        <f ca="1">VLOOKUP($F67,OFFSET(enemy_skill_triggers!$A$1,0,0,COUNTA(enemy_skill_triggers!$A:$A),MATCH(N$1,enemy_skill_triggers!$1:$1,0)-MATCH($F$1,enemy_skill_triggers!$1:$1,0)+1),MATCH(N$1,enemy_skill_triggers!$1:$1,0)-MATCH($F$1,enemy_skill_triggers!$1:$1,0)+1,FALSE)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7" s="48">
        <f ca="1">VLOOKUP($F67,OFFSET(enemy_skill_triggers!$A$1,0,0,COUNTA(enemy_skill_triggers!$A:$A),MATCH(O$1,enemy_skill_triggers!$1:$1,0)-MATCH($F$1,enemy_skill_triggers!$1:$1,0)+1),MATCH(O$1,enemy_skill_triggers!$1:$1,0)-MATCH($F$1,enemy_skill_triggers!$1:$1,0)+1,FALSE)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7" s="47"/>
      <c r="Q67" s="47"/>
      <c r="R67" s="47"/>
    </row>
    <row r="68" spans="1:18" ht="21" customHeight="1" x14ac:dyDescent="0.15">
      <c r="A68" s="39" t="str">
        <f t="shared" ref="A68:A76" si="20">B68&amp;"_"&amp;C68</f>
        <v>50016700_50016702</v>
      </c>
      <c r="B68" s="113">
        <v>50016700</v>
      </c>
      <c r="C68" s="117">
        <v>50016702</v>
      </c>
      <c r="D68" s="46" t="str">
        <f ca="1">VLOOKUP($C68,OFFSET(enemy_skills!$A$1,0,0,COUNTA(enemy_skills!$A:$A),MATCH(D$1,enemy_skills!$1:$1,0)-MATCH("enemy_skill_id",enemy_skills!$1:$1,0)+1),MATCH(D$1,enemy_skills!$1:$1,0)-MATCH("enemy_skill_id",enemy_skills!$1:$1,0)+1,FALSE)</f>
        <v>英雄剣 -継承-</v>
      </c>
      <c r="E68" s="46" t="str">
        <f ca="1">VLOOKUP($C68,OFFSET(enemy_skills!$A$1,0,0,COUNTA(enemy_skills!$A:$A),MATCH(E$1,enemy_skills!$1:$1,0)-MATCH("enemy_skill_id",enemy_skills!$1:$1,0)+1),MATCH(E$1,enemy_skills!$1:$1,0)-MATCH("enemy_skill_id",enemy_skills!$1:$1,0)+1,FALSE)</f>
        <v>属性パネルをお邪魔パネルに10個変換+単体攻撃_x000D_【2ターン後HPが一定以上で超大ダメージ】</v>
      </c>
      <c r="F68" s="117">
        <v>50016702</v>
      </c>
      <c r="G68" s="48">
        <f ca="1">VLOOKUP($F68,OFFSET(enemy_skill_triggers!$A$1,0,0,COUNTA(enemy_skill_triggers!$A:$A),MATCH(G$1,enemy_skill_triggers!$1:$1,0)-MATCH($F$1,enemy_skill_triggers!$1:$1,0)+1),MATCH(G$1,enemy_skill_triggers!$1:$1,0)-MATCH($F$1,enemy_skill_triggers!$1:$1,0)+1,FALSE)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8" s="48">
        <f ca="1">VLOOKUP($F68,OFFSET(enemy_skill_triggers!$A$1,0,0,COUNTA(enemy_skill_triggers!$A:$A),MATCH(H$1,enemy_skill_triggers!$1:$1,0)-MATCH($F$1,enemy_skill_triggers!$1:$1,0)+1),MATCH(H$1,enemy_skill_triggers!$1:$1,0)-MATCH($F$1,enemy_skill_triggers!$1:$1,0)+1,FALSE)</f>
        <v>102</v>
      </c>
      <c r="I68" s="48">
        <f ca="1">VLOOKUP($F68,OFFSET(enemy_skill_triggers!$A$1,0,0,COUNTA(enemy_skill_triggers!$A:$A),MATCH(I$1,enemy_skill_triggers!$1:$1,0)-MATCH($F$1,enemy_skill_triggers!$1:$1,0)+1),MATCH(I$1,enemy_skill_triggers!$1:$1,0)-MATCH($F$1,enemy_skill_triggers!$1:$1,0)+1,FALSE)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8" s="48" t="str">
        <f ca="1">VLOOKUP($F68,OFFSET(enemy_skill_triggers!$A$1,0,0,COUNTA(enemy_skill_triggers!$A:$A),MATCH(J$1,enemy_skill_triggers!$1:$1,0)-MATCH($F$1,enemy_skill_triggers!$1:$1,0)+1),MATCH(J$1,enemy_skill_triggers!$1:$1,0)-MATCH($F$1,enemy_skill_triggers!$1:$1,0)+1,FALSE)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8" s="48">
        <f ca="1">VLOOKUP($F68,OFFSET(enemy_skill_triggers!$A$1,0,0,COUNTA(enemy_skill_triggers!$A:$A),MATCH(K$1,enemy_skill_triggers!$1:$1,0)-MATCH($F$1,enemy_skill_triggers!$1:$1,0)+1),MATCH(K$1,enemy_skill_triggers!$1:$1,0)-MATCH($F$1,enemy_skill_triggers!$1:$1,0)+1,FALSE)</f>
        <v>70</v>
      </c>
      <c r="L68" s="48">
        <f ca="1">VLOOKUP($F68,OFFSET(enemy_skill_triggers!$A$1,0,0,COUNTA(enemy_skill_triggers!$A:$A),MATCH(L$1,enemy_skill_triggers!$1:$1,0)-MATCH($F$1,enemy_skill_triggers!$1:$1,0)+1),MATCH(L$1,enemy_skill_triggers!$1:$1,0)-MATCH($F$1,enemy_skill_triggers!$1:$1,0)+1,FALSE)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8" s="48">
        <f ca="1">VLOOKUP($F68,OFFSET(enemy_skill_triggers!$A$1,0,0,COUNTA(enemy_skill_triggers!$A:$A),MATCH(M$1,enemy_skill_triggers!$1:$1,0)-MATCH($F$1,enemy_skill_triggers!$1:$1,0)+1),MATCH(M$1,enemy_skill_triggers!$1:$1,0)-MATCH($F$1,enemy_skill_triggers!$1:$1,0)+1,FALSE)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68" s="48" t="str">
        <f ca="1">VLOOKUP($F68,OFFSET(enemy_skill_triggers!$A$1,0,0,COUNTA(enemy_skill_triggers!$A:$A),MATCH(N$1,enemy_skill_triggers!$1:$1,0)-MATCH($F$1,enemy_skill_triggers!$1:$1,0)+1),MATCH(N$1,enemy_skill_triggers!$1:$1,0)-MATCH($F$1,enemy_skill_triggers!$1:$1,0)+1,FALSE)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8" s="48">
        <f ca="1">VLOOKUP($F68,OFFSET(enemy_skill_triggers!$A$1,0,0,COUNTA(enemy_skill_triggers!$A:$A),MATCH(O$1,enemy_skill_triggers!$1:$1,0)-MATCH($F$1,enemy_skill_triggers!$1:$1,0)+1),MATCH(O$1,enemy_skill_triggers!$1:$1,0)-MATCH($F$1,enemy_skill_triggers!$1:$1,0)+1,FALSE)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8" s="47"/>
      <c r="Q68" s="47"/>
      <c r="R68" s="47"/>
    </row>
    <row r="69" spans="1:18" ht="21" customHeight="1" x14ac:dyDescent="0.15">
      <c r="A69" s="39" t="str">
        <f t="shared" si="20"/>
        <v>50016700_50016703</v>
      </c>
      <c r="B69" s="113">
        <v>50016700</v>
      </c>
      <c r="C69" s="117">
        <v>50016703</v>
      </c>
      <c r="D69" s="46" t="str">
        <f ca="1">VLOOKUP($C69,OFFSET(enemy_skills!$A$1,0,0,COUNTA(enemy_skills!$A:$A),MATCH(D$1,enemy_skills!$1:$1,0)-MATCH("enemy_skill_id",enemy_skills!$1:$1,0)+1),MATCH(D$1,enemy_skills!$1:$1,0)-MATCH("enemy_skill_id",enemy_skills!$1:$1,0)+1,FALSE)</f>
        <v>ドミネイト・カラーズ</v>
      </c>
      <c r="E69" s="46" t="str">
        <f ca="1">VLOOKUP($C69,OFFSET(enemy_skills!$A$1,0,0,COUNTA(enemy_skills!$A:$A),MATCH(E$1,enemy_skills!$1:$1,0)-MATCH("enemy_skill_id",enemy_skills!$1:$1,0)+1),MATCH(E$1,enemy_skills!$1:$1,0)-MATCH("enemy_skill_id",enemy_skills!$1:$1,0)+1,FALSE)</f>
        <v>赤、黄、緑パネルを吸収して攻撃_x000D_【次ターンHPが一定以上で超大ダメージ】</v>
      </c>
      <c r="F69" s="117">
        <v>50016703</v>
      </c>
      <c r="G69" s="48">
        <f ca="1">VLOOKUP($F69,OFFSET(enemy_skill_triggers!$A$1,0,0,COUNTA(enemy_skill_triggers!$A:$A),MATCH(G$1,enemy_skill_triggers!$1:$1,0)-MATCH($F$1,enemy_skill_triggers!$1:$1,0)+1),MATCH(G$1,enemy_skill_triggers!$1:$1,0)-MATCH($F$1,enemy_skill_triggers!$1:$1,0)+1,FALSE)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9" s="48">
        <f ca="1">VLOOKUP($F69,OFFSET(enemy_skill_triggers!$A$1,0,0,COUNTA(enemy_skill_triggers!$A:$A),MATCH(H$1,enemy_skill_triggers!$1:$1,0)-MATCH($F$1,enemy_skill_triggers!$1:$1,0)+1),MATCH(H$1,enemy_skill_triggers!$1:$1,0)-MATCH($F$1,enemy_skill_triggers!$1:$1,0)+1,FALSE)</f>
        <v>101</v>
      </c>
      <c r="I69" s="48">
        <f ca="1">VLOOKUP($F69,OFFSET(enemy_skill_triggers!$A$1,0,0,COUNTA(enemy_skill_triggers!$A:$A),MATCH(I$1,enemy_skill_triggers!$1:$1,0)-MATCH($F$1,enemy_skill_triggers!$1:$1,0)+1),MATCH(I$1,enemy_skill_triggers!$1:$1,0)-MATCH($F$1,enemy_skill_triggers!$1:$1,0)+1,FALSE)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9" s="48" t="str">
        <f ca="1">VLOOKUP($F69,OFFSET(enemy_skill_triggers!$A$1,0,0,COUNTA(enemy_skill_triggers!$A:$A),MATCH(J$1,enemy_skill_triggers!$1:$1,0)-MATCH($F$1,enemy_skill_triggers!$1:$1,0)+1),MATCH(J$1,enemy_skill_triggers!$1:$1,0)-MATCH($F$1,enemy_skill_triggers!$1:$1,0)+1,FALSE)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9" s="48">
        <f ca="1">VLOOKUP($F69,OFFSET(enemy_skill_triggers!$A$1,0,0,COUNTA(enemy_skill_triggers!$A:$A),MATCH(K$1,enemy_skill_triggers!$1:$1,0)-MATCH($F$1,enemy_skill_triggers!$1:$1,0)+1),MATCH(K$1,enemy_skill_triggers!$1:$1,0)-MATCH($F$1,enemy_skill_triggers!$1:$1,0)+1,FALSE)</f>
        <v>70</v>
      </c>
      <c r="L69" s="48">
        <f ca="1">VLOOKUP($F69,OFFSET(enemy_skill_triggers!$A$1,0,0,COUNTA(enemy_skill_triggers!$A:$A),MATCH(L$1,enemy_skill_triggers!$1:$1,0)-MATCH($F$1,enemy_skill_triggers!$1:$1,0)+1),MATCH(L$1,enemy_skill_triggers!$1:$1,0)-MATCH($F$1,enemy_skill_triggers!$1:$1,0)+1,FALSE)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9" s="48">
        <f ca="1">VLOOKUP($F69,OFFSET(enemy_skill_triggers!$A$1,0,0,COUNTA(enemy_skill_triggers!$A:$A),MATCH(M$1,enemy_skill_triggers!$1:$1,0)-MATCH($F$1,enemy_skill_triggers!$1:$1,0)+1),MATCH(M$1,enemy_skill_triggers!$1:$1,0)-MATCH($F$1,enemy_skill_triggers!$1:$1,0)+1,FALSE)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69" s="48" t="str">
        <f ca="1">VLOOKUP($F69,OFFSET(enemy_skill_triggers!$A$1,0,0,COUNTA(enemy_skill_triggers!$A:$A),MATCH(N$1,enemy_skill_triggers!$1:$1,0)-MATCH($F$1,enemy_skill_triggers!$1:$1,0)+1),MATCH(N$1,enemy_skill_triggers!$1:$1,0)-MATCH($F$1,enemy_skill_triggers!$1:$1,0)+1,FALSE)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9" s="48">
        <f ca="1">VLOOKUP($F69,OFFSET(enemy_skill_triggers!$A$1,0,0,COUNTA(enemy_skill_triggers!$A:$A),MATCH(O$1,enemy_skill_triggers!$1:$1,0)-MATCH($F$1,enemy_skill_triggers!$1:$1,0)+1),MATCH(O$1,enemy_skill_triggers!$1:$1,0)-MATCH($F$1,enemy_skill_triggers!$1:$1,0)+1,FALSE)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9" s="47"/>
      <c r="Q69" s="47"/>
      <c r="R69" s="47"/>
    </row>
    <row r="70" spans="1:18" ht="21" customHeight="1" x14ac:dyDescent="0.15">
      <c r="A70" s="39" t="str">
        <f t="shared" ref="A70" si="21">B70&amp;"_"&amp;C70</f>
        <v>50016700_50016704</v>
      </c>
      <c r="B70" s="113">
        <v>50016700</v>
      </c>
      <c r="C70" s="117">
        <v>50016704</v>
      </c>
      <c r="D70" s="46" t="str">
        <f ca="1">VLOOKUP($C70,OFFSET(enemy_skills!$A$1,0,0,COUNTA(enemy_skills!$A:$A),MATCH(D$1,enemy_skills!$1:$1,0)-MATCH("enemy_skill_id",enemy_skills!$1:$1,0)+1),MATCH(D$1,enemy_skills!$1:$1,0)-MATCH("enemy_skill_id",enemy_skills!$1:$1,0)+1,FALSE)</f>
        <v>この左目に映る現実を変える</v>
      </c>
      <c r="E70" s="46" t="str">
        <f ca="1">VLOOKUP($C70,OFFSET(enemy_skills!$A$1,0,0,COUNTA(enemy_skills!$A:$A),MATCH(E$1,enemy_skills!$1:$1,0)-MATCH("enemy_skill_id",enemy_skills!$1:$1,0)+1),MATCH(E$1,enemy_skills!$1:$1,0)-MATCH("enemy_skill_id",enemy_skills!$1:$1,0)+1,FALSE)</f>
        <v>属性パネルを赤のダメージパネルに10個変換+_x000D_クリティカル！_x000D_【次ターンHPが一定以上で超大ダメージ】</v>
      </c>
      <c r="F70" s="117">
        <v>50016704</v>
      </c>
      <c r="G70" s="48">
        <f ca="1">VLOOKUP($F70,OFFSET(enemy_skill_triggers!$A$1,0,0,COUNTA(enemy_skill_triggers!$A:$A),MATCH(G$1,enemy_skill_triggers!$1:$1,0)-MATCH($F$1,enemy_skill_triggers!$1:$1,0)+1),MATCH(G$1,enemy_skill_triggers!$1:$1,0)-MATCH($F$1,enemy_skill_triggers!$1:$1,0)+1,FALSE)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0" s="48">
        <f ca="1">VLOOKUP($F70,OFFSET(enemy_skill_triggers!$A$1,0,0,COUNTA(enemy_skill_triggers!$A:$A),MATCH(H$1,enemy_skill_triggers!$1:$1,0)-MATCH($F$1,enemy_skill_triggers!$1:$1,0)+1),MATCH(H$1,enemy_skill_triggers!$1:$1,0)-MATCH($F$1,enemy_skill_triggers!$1:$1,0)+1,FALSE)</f>
        <v>200</v>
      </c>
      <c r="I70" s="48">
        <f ca="1">VLOOKUP($F70,OFFSET(enemy_skill_triggers!$A$1,0,0,COUNTA(enemy_skill_triggers!$A:$A),MATCH(I$1,enemy_skill_triggers!$1:$1,0)-MATCH($F$1,enemy_skill_triggers!$1:$1,0)+1),MATCH(I$1,enemy_skill_triggers!$1:$1,0)-MATCH($F$1,enemy_skill_triggers!$1:$1,0)+1,FALSE)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0" s="48">
        <f ca="1">VLOOKUP($F70,OFFSET(enemy_skill_triggers!$A$1,0,0,COUNTA(enemy_skill_triggers!$A:$A),MATCH(J$1,enemy_skill_triggers!$1:$1,0)-MATCH($F$1,enemy_skill_triggers!$1:$1,0)+1),MATCH(J$1,enemy_skill_triggers!$1:$1,0)-MATCH($F$1,enemy_skill_triggers!$1:$1,0)+1,FALSE)</f>
        <v>70</v>
      </c>
      <c r="K70" s="48">
        <f ca="1">VLOOKUP($F70,OFFSET(enemy_skill_triggers!$A$1,0,0,COUNTA(enemy_skill_triggers!$A:$A),MATCH(K$1,enemy_skill_triggers!$1:$1,0)-MATCH($F$1,enemy_skill_triggers!$1:$1,0)+1),MATCH(K$1,enemy_skill_triggers!$1:$1,0)-MATCH($F$1,enemy_skill_triggers!$1:$1,0)+1,FALSE)</f>
        <v>40</v>
      </c>
      <c r="L70" s="48">
        <f ca="1">VLOOKUP($F70,OFFSET(enemy_skill_triggers!$A$1,0,0,COUNTA(enemy_skill_triggers!$A:$A),MATCH(L$1,enemy_skill_triggers!$1:$1,0)-MATCH($F$1,enemy_skill_triggers!$1:$1,0)+1),MATCH(L$1,enemy_skill_triggers!$1:$1,0)-MATCH($F$1,enemy_skill_triggers!$1:$1,0)+1,FALSE)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0" s="48">
        <f ca="1">VLOOKUP($F70,OFFSET(enemy_skill_triggers!$A$1,0,0,COUNTA(enemy_skill_triggers!$A:$A),MATCH(M$1,enemy_skill_triggers!$1:$1,0)-MATCH($F$1,enemy_skill_triggers!$1:$1,0)+1),MATCH(M$1,enemy_skill_triggers!$1:$1,0)-MATCH($F$1,enemy_skill_triggers!$1:$1,0)+1,FALSE)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0" s="48" t="str">
        <f ca="1">VLOOKUP($F70,OFFSET(enemy_skill_triggers!$A$1,0,0,COUNTA(enemy_skill_triggers!$A:$A),MATCH(N$1,enemy_skill_triggers!$1:$1,0)-MATCH($F$1,enemy_skill_triggers!$1:$1,0)+1),MATCH(N$1,enemy_skill_triggers!$1:$1,0)-MATCH($F$1,enemy_skill_triggers!$1:$1,0)+1,FALSE)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0" s="48">
        <f ca="1">VLOOKUP($F70,OFFSET(enemy_skill_triggers!$A$1,0,0,COUNTA(enemy_skill_triggers!$A:$A),MATCH(O$1,enemy_skill_triggers!$1:$1,0)-MATCH($F$1,enemy_skill_triggers!$1:$1,0)+1),MATCH(O$1,enemy_skill_triggers!$1:$1,0)-MATCH($F$1,enemy_skill_triggers!$1:$1,0)+1,FALSE)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0" s="47"/>
      <c r="Q70" s="47"/>
      <c r="R70" s="47"/>
    </row>
    <row r="71" spans="1:18" ht="21" customHeight="1" x14ac:dyDescent="0.15">
      <c r="A71" s="39" t="str">
        <f t="shared" si="20"/>
        <v>50016700_50016705</v>
      </c>
      <c r="B71" s="113">
        <v>50016700</v>
      </c>
      <c r="C71" s="117">
        <v>50016705</v>
      </c>
      <c r="D71" s="46" t="str">
        <f ca="1">VLOOKUP($C71,OFFSET(enemy_skills!$A$1,0,0,COUNTA(enemy_skills!$A:$A),MATCH(D$1,enemy_skills!$1:$1,0)-MATCH("enemy_skill_id",enemy_skills!$1:$1,0)+1),MATCH(D$1,enemy_skills!$1:$1,0)-MATCH("enemy_skill_id",enemy_skills!$1:$1,0)+1,FALSE)</f>
        <v>この右目に映る理想へと変える</v>
      </c>
      <c r="E71" s="46" t="str">
        <f ca="1">VLOOKUP($C71,OFFSET(enemy_skills!$A$1,0,0,COUNTA(enemy_skills!$A:$A),MATCH(E$1,enemy_skills!$1:$1,0)-MATCH("enemy_skill_id",enemy_skills!$1:$1,0)+1),MATCH(E$1,enemy_skills!$1:$1,0)-MATCH("enemy_skill_id",enemy_skills!$1:$1,0)+1,FALSE)</f>
        <v>属性パネルを赤のダメージパネルに10個変換+_x000D_クリティカル！_x000D_【次ターンHPが一定以上で超大ダメージ】</v>
      </c>
      <c r="F71" s="117">
        <v>50016705</v>
      </c>
      <c r="G71" s="48">
        <f ca="1">VLOOKUP($F71,OFFSET(enemy_skill_triggers!$A$1,0,0,COUNTA(enemy_skill_triggers!$A:$A),MATCH(G$1,enemy_skill_triggers!$1:$1,0)-MATCH($F$1,enemy_skill_triggers!$1:$1,0)+1),MATCH(G$1,enemy_skill_triggers!$1:$1,0)-MATCH($F$1,enemy_skill_triggers!$1:$1,0)+1,FALSE)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1" s="48">
        <f ca="1">VLOOKUP($F71,OFFSET(enemy_skill_triggers!$A$1,0,0,COUNTA(enemy_skill_triggers!$A:$A),MATCH(H$1,enemy_skill_triggers!$1:$1,0)-MATCH($F$1,enemy_skill_triggers!$1:$1,0)+1),MATCH(H$1,enemy_skill_triggers!$1:$1,0)-MATCH($F$1,enemy_skill_triggers!$1:$1,0)+1,FALSE)</f>
        <v>300</v>
      </c>
      <c r="I71" s="48">
        <f ca="1">VLOOKUP($F71,OFFSET(enemy_skill_triggers!$A$1,0,0,COUNTA(enemy_skill_triggers!$A:$A),MATCH(I$1,enemy_skill_triggers!$1:$1,0)-MATCH($F$1,enemy_skill_triggers!$1:$1,0)+1),MATCH(I$1,enemy_skill_triggers!$1:$1,0)-MATCH($F$1,enemy_skill_triggers!$1:$1,0)+1,FALSE)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1" s="48">
        <f ca="1">VLOOKUP($F71,OFFSET(enemy_skill_triggers!$A$1,0,0,COUNTA(enemy_skill_triggers!$A:$A),MATCH(J$1,enemy_skill_triggers!$1:$1,0)-MATCH($F$1,enemy_skill_triggers!$1:$1,0)+1),MATCH(J$1,enemy_skill_triggers!$1:$1,0)-MATCH($F$1,enemy_skill_triggers!$1:$1,0)+1,FALSE)</f>
        <v>40</v>
      </c>
      <c r="K71" s="48">
        <f ca="1">VLOOKUP($F71,OFFSET(enemy_skill_triggers!$A$1,0,0,COUNTA(enemy_skill_triggers!$A:$A),MATCH(K$1,enemy_skill_triggers!$1:$1,0)-MATCH($F$1,enemy_skill_triggers!$1:$1,0)+1),MATCH(K$1,enemy_skill_triggers!$1:$1,0)-MATCH($F$1,enemy_skill_triggers!$1:$1,0)+1,FALSE)</f>
        <v>10</v>
      </c>
      <c r="L71" s="48">
        <f ca="1">VLOOKUP($F71,OFFSET(enemy_skill_triggers!$A$1,0,0,COUNTA(enemy_skill_triggers!$A:$A),MATCH(L$1,enemy_skill_triggers!$1:$1,0)-MATCH($F$1,enemy_skill_triggers!$1:$1,0)+1),MATCH(L$1,enemy_skill_triggers!$1:$1,0)-MATCH($F$1,enemy_skill_triggers!$1:$1,0)+1,FALSE)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1" s="48">
        <f ca="1">VLOOKUP($F71,OFFSET(enemy_skill_triggers!$A$1,0,0,COUNTA(enemy_skill_triggers!$A:$A),MATCH(M$1,enemy_skill_triggers!$1:$1,0)-MATCH($F$1,enemy_skill_triggers!$1:$1,0)+1),MATCH(M$1,enemy_skill_triggers!$1:$1,0)-MATCH($F$1,enemy_skill_triggers!$1:$1,0)+1,FALSE)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1" s="48" t="str">
        <f ca="1">VLOOKUP($F71,OFFSET(enemy_skill_triggers!$A$1,0,0,COUNTA(enemy_skill_triggers!$A:$A),MATCH(N$1,enemy_skill_triggers!$1:$1,0)-MATCH($F$1,enemy_skill_triggers!$1:$1,0)+1),MATCH(N$1,enemy_skill_triggers!$1:$1,0)-MATCH($F$1,enemy_skill_triggers!$1:$1,0)+1,FALSE)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1" s="48">
        <f ca="1">VLOOKUP($F71,OFFSET(enemy_skill_triggers!$A$1,0,0,COUNTA(enemy_skill_triggers!$A:$A),MATCH(O$1,enemy_skill_triggers!$1:$1,0)-MATCH($F$1,enemy_skill_triggers!$1:$1,0)+1),MATCH(O$1,enemy_skill_triggers!$1:$1,0)-MATCH($F$1,enemy_skill_triggers!$1:$1,0)+1,FALSE)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1" s="47"/>
      <c r="Q71" s="47"/>
      <c r="R71" s="47"/>
    </row>
    <row r="72" spans="1:18" ht="21" customHeight="1" x14ac:dyDescent="0.15">
      <c r="A72" s="39" t="str">
        <f t="shared" si="20"/>
        <v>50016700_50016706</v>
      </c>
      <c r="B72" s="113">
        <v>50016700</v>
      </c>
      <c r="C72" s="117">
        <v>50016706</v>
      </c>
      <c r="D72" s="46" t="str">
        <f ca="1">VLOOKUP($C72,OFFSET(enemy_skills!$A$1,0,0,COUNTA(enemy_skills!$A:$A),MATCH(D$1,enemy_skills!$1:$1,0)-MATCH("enemy_skill_id",enemy_skills!$1:$1,0)+1),MATCH(D$1,enemy_skills!$1:$1,0)-MATCH("enemy_skill_id",enemy_skills!$1:$1,0)+1,FALSE)</f>
        <v>これが王道を征く者の力だ…</v>
      </c>
      <c r="E72" s="46" t="str">
        <f ca="1">VLOOKUP($C72,OFFSET(enemy_skills!$A$1,0,0,COUNTA(enemy_skills!$A:$A),MATCH(E$1,enemy_skills!$1:$1,0)-MATCH("enemy_skill_id",enemy_skills!$1:$1,0)+1),MATCH(E$1,enemy_skills!$1:$1,0)-MATCH("enemy_skill_id",enemy_skills!$1:$1,0)+1,FALSE)</f>
        <v>属性パネルをお邪魔パネルに15個変換+クリティカル！_x000D_【次ターン超大ダメージ】</v>
      </c>
      <c r="F72" s="117">
        <v>50016706</v>
      </c>
      <c r="G72" s="48">
        <f ca="1">VLOOKUP($F72,OFFSET(enemy_skill_triggers!$A$1,0,0,COUNTA(enemy_skill_triggers!$A:$A),MATCH(G$1,enemy_skill_triggers!$1:$1,0)-MATCH($F$1,enemy_skill_triggers!$1:$1,0)+1),MATCH(G$1,enemy_skill_triggers!$1:$1,0)-MATCH($F$1,enemy_skill_triggers!$1:$1,0)+1,FALSE)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2" s="48">
        <f ca="1">VLOOKUP($F72,OFFSET(enemy_skill_triggers!$A$1,0,0,COUNTA(enemy_skill_triggers!$A:$A),MATCH(H$1,enemy_skill_triggers!$1:$1,0)-MATCH($F$1,enemy_skill_triggers!$1:$1,0)+1),MATCH(H$1,enemy_skill_triggers!$1:$1,0)-MATCH($F$1,enemy_skill_triggers!$1:$1,0)+1,FALSE)</f>
        <v>400</v>
      </c>
      <c r="I72" s="48">
        <f ca="1">VLOOKUP($F72,OFFSET(enemy_skill_triggers!$A$1,0,0,COUNTA(enemy_skill_triggers!$A:$A),MATCH(I$1,enemy_skill_triggers!$1:$1,0)-MATCH($F$1,enemy_skill_triggers!$1:$1,0)+1),MATCH(I$1,enemy_skill_triggers!$1:$1,0)-MATCH($F$1,enemy_skill_triggers!$1:$1,0)+1,FALSE)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2" s="48">
        <f ca="1">VLOOKUP($F72,OFFSET(enemy_skill_triggers!$A$1,0,0,COUNTA(enemy_skill_triggers!$A:$A),MATCH(J$1,enemy_skill_triggers!$1:$1,0)-MATCH($F$1,enemy_skill_triggers!$1:$1,0)+1),MATCH(J$1,enemy_skill_triggers!$1:$1,0)-MATCH($F$1,enemy_skill_triggers!$1:$1,0)+1,FALSE)</f>
        <v>10</v>
      </c>
      <c r="K72" s="48" t="str">
        <f ca="1">VLOOKUP($F72,OFFSET(enemy_skill_triggers!$A$1,0,0,COUNTA(enemy_skill_triggers!$A:$A),MATCH(K$1,enemy_skill_triggers!$1:$1,0)-MATCH($F$1,enemy_skill_triggers!$1:$1,0)+1),MATCH(K$1,enemy_skill_triggers!$1:$1,0)-MATCH($F$1,enemy_skill_triggers!$1:$1,0)+1,FALSE)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2" s="48">
        <f ca="1">VLOOKUP($F72,OFFSET(enemy_skill_triggers!$A$1,0,0,COUNTA(enemy_skill_triggers!$A:$A),MATCH(L$1,enemy_skill_triggers!$1:$1,0)-MATCH($F$1,enemy_skill_triggers!$1:$1,0)+1),MATCH(L$1,enemy_skill_triggers!$1:$1,0)-MATCH($F$1,enemy_skill_triggers!$1:$1,0)+1,FALSE)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2" s="48">
        <f ca="1">VLOOKUP($F72,OFFSET(enemy_skill_triggers!$A$1,0,0,COUNTA(enemy_skill_triggers!$A:$A),MATCH(M$1,enemy_skill_triggers!$1:$1,0)-MATCH($F$1,enemy_skill_triggers!$1:$1,0)+1),MATCH(M$1,enemy_skill_triggers!$1:$1,0)-MATCH($F$1,enemy_skill_triggers!$1:$1,0)+1,FALSE)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2" s="48" t="str">
        <f ca="1">VLOOKUP($F72,OFFSET(enemy_skill_triggers!$A$1,0,0,COUNTA(enemy_skill_triggers!$A:$A),MATCH(N$1,enemy_skill_triggers!$1:$1,0)-MATCH($F$1,enemy_skill_triggers!$1:$1,0)+1),MATCH(N$1,enemy_skill_triggers!$1:$1,0)-MATCH($F$1,enemy_skill_triggers!$1:$1,0)+1,FALSE)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2" s="48">
        <f ca="1">VLOOKUP($F72,OFFSET(enemy_skill_triggers!$A$1,0,0,COUNTA(enemy_skill_triggers!$A:$A),MATCH(O$1,enemy_skill_triggers!$1:$1,0)-MATCH($F$1,enemy_skill_triggers!$1:$1,0)+1),MATCH(O$1,enemy_skill_triggers!$1:$1,0)-MATCH($F$1,enemy_skill_triggers!$1:$1,0)+1,FALSE)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2" s="47"/>
      <c r="Q72" s="47"/>
      <c r="R72" s="47"/>
    </row>
    <row r="73" spans="1:18" ht="21" customHeight="1" x14ac:dyDescent="0.15">
      <c r="A73" s="39" t="str">
        <f t="shared" si="20"/>
        <v>50016700_50016707</v>
      </c>
      <c r="B73" s="113">
        <v>50016700</v>
      </c>
      <c r="C73" s="117">
        <v>50016707</v>
      </c>
      <c r="D73" s="46" t="str">
        <f ca="1">VLOOKUP($C73,OFFSET(enemy_skills!$A$1,0,0,COUNTA(enemy_skills!$A:$A),MATCH(D$1,enemy_skills!$1:$1,0)-MATCH("enemy_skill_id",enemy_skills!$1:$1,0)+1),MATCH(D$1,enemy_skills!$1:$1,0)-MATCH("enemy_skill_id",enemy_skills!$1:$1,0)+1,FALSE)</f>
        <v>大英雄の一撃</v>
      </c>
      <c r="E73" s="46" t="str">
        <f ca="1">VLOOKUP($C73,OFFSET(enemy_skills!$A$1,0,0,COUNTA(enemy_skills!$A:$A),MATCH(E$1,enemy_skills!$1:$1,0)-MATCH("enemy_skill_id",enemy_skills!$1:$1,0)+1),MATCH(E$1,enemy_skills!$1:$1,0)-MATCH("enemy_skill_id",enemy_skills!$1:$1,0)+1,FALSE)</f>
        <v>防御力無視の超大ダメージ</v>
      </c>
      <c r="F73" s="117">
        <v>50016707</v>
      </c>
      <c r="G73" s="48">
        <f ca="1">VLOOKUP($F73,OFFSET(enemy_skill_triggers!$A$1,0,0,COUNTA(enemy_skill_triggers!$A:$A),MATCH(G$1,enemy_skill_triggers!$1:$1,0)-MATCH($F$1,enemy_skill_triggers!$1:$1,0)+1),MATCH(G$1,enemy_skill_triggers!$1:$1,0)-MATCH($F$1,enemy_skill_triggers!$1:$1,0)+1,FALSE)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3" s="48">
        <f ca="1">VLOOKUP($F73,OFFSET(enemy_skill_triggers!$A$1,0,0,COUNTA(enemy_skill_triggers!$A:$A),MATCH(H$1,enemy_skill_triggers!$1:$1,0)-MATCH($F$1,enemy_skill_triggers!$1:$1,0)+1),MATCH(H$1,enemy_skill_triggers!$1:$1,0)-MATCH($F$1,enemy_skill_triggers!$1:$1,0)+1,FALSE)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73" s="48">
        <f ca="1">VLOOKUP($F73,OFFSET(enemy_skill_triggers!$A$1,0,0,COUNTA(enemy_skill_triggers!$A:$A),MATCH(I$1,enemy_skill_triggers!$1:$1,0)-MATCH($F$1,enemy_skill_triggers!$1:$1,0)+1),MATCH(I$1,enemy_skill_triggers!$1:$1,0)-MATCH($F$1,enemy_skill_triggers!$1:$1,0)+1,FALSE)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3" s="48" t="str">
        <f ca="1">VLOOKUP($F73,OFFSET(enemy_skill_triggers!$A$1,0,0,COUNTA(enemy_skill_triggers!$A:$A),MATCH(J$1,enemy_skill_triggers!$1:$1,0)-MATCH($F$1,enemy_skill_triggers!$1:$1,0)+1),MATCH(J$1,enemy_skill_triggers!$1:$1,0)-MATCH($F$1,enemy_skill_triggers!$1:$1,0)+1,FALSE)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3" s="48" t="str">
        <f ca="1">VLOOKUP($F73,OFFSET(enemy_skill_triggers!$A$1,0,0,COUNTA(enemy_skill_triggers!$A:$A),MATCH(K$1,enemy_skill_triggers!$1:$1,0)-MATCH($F$1,enemy_skill_triggers!$1:$1,0)+1),MATCH(K$1,enemy_skill_triggers!$1:$1,0)-MATCH($F$1,enemy_skill_triggers!$1:$1,0)+1,FALSE)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3" s="48" t="str">
        <f ca="1">VLOOKUP($F73,OFFSET(enemy_skill_triggers!$A$1,0,0,COUNTA(enemy_skill_triggers!$A:$A),MATCH(L$1,enemy_skill_triggers!$1:$1,0)-MATCH($F$1,enemy_skill_triggers!$1:$1,0)+1),MATCH(L$1,enemy_skill_triggers!$1:$1,0)-MATCH($F$1,enemy_skill_triggers!$1:$1,0)+1,FALSE)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3" s="48">
        <f ca="1">VLOOKUP($F73,OFFSET(enemy_skill_triggers!$A$1,0,0,COUNTA(enemy_skill_triggers!$A:$A),MATCH(M$1,enemy_skill_triggers!$1:$1,0)-MATCH($F$1,enemy_skill_triggers!$1:$1,0)+1),MATCH(M$1,enemy_skill_triggers!$1:$1,0)-MATCH($F$1,enemy_skill_triggers!$1:$1,0)+1,FALSE)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3" s="48" t="str">
        <f ca="1">VLOOKUP($F73,OFFSET(enemy_skill_triggers!$A$1,0,0,COUNTA(enemy_skill_triggers!$A:$A),MATCH(N$1,enemy_skill_triggers!$1:$1,0)-MATCH($F$1,enemy_skill_triggers!$1:$1,0)+1),MATCH(N$1,enemy_skill_triggers!$1:$1,0)-MATCH($F$1,enemy_skill_triggers!$1:$1,0)+1,FALSE)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3" s="48">
        <f ca="1">VLOOKUP($F73,OFFSET(enemy_skill_triggers!$A$1,0,0,COUNTA(enemy_skill_triggers!$A:$A),MATCH(O$1,enemy_skill_triggers!$1:$1,0)-MATCH($F$1,enemy_skill_triggers!$1:$1,0)+1),MATCH(O$1,enemy_skill_triggers!$1:$1,0)-MATCH($F$1,enemy_skill_triggers!$1:$1,0)+1,FALSE)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3" s="47"/>
      <c r="Q73" s="47"/>
      <c r="R73" s="47"/>
    </row>
    <row r="74" spans="1:18" ht="21" customHeight="1" x14ac:dyDescent="0.15">
      <c r="A74" s="39" t="str">
        <f t="shared" si="20"/>
        <v>50016700_50016708</v>
      </c>
      <c r="B74" s="113">
        <v>50016700</v>
      </c>
      <c r="C74" s="117">
        <v>50016708</v>
      </c>
      <c r="D74" s="46" t="str">
        <f ca="1">VLOOKUP($C74,OFFSET(enemy_skills!$A$1,0,0,COUNTA(enemy_skills!$A:$A),MATCH(D$1,enemy_skills!$1:$1,0)-MATCH("enemy_skill_id",enemy_skills!$1:$1,0)+1),MATCH(D$1,enemy_skills!$1:$1,0)-MATCH("enemy_skill_id",enemy_skills!$1:$1,0)+1,FALSE)</f>
        <v>夢が…消える…</v>
      </c>
      <c r="E74" s="46" t="str">
        <f ca="1">VLOOKUP($C74,OFFSET(enemy_skills!$A$1,0,0,COUNTA(enemy_skills!$A:$A),MATCH(E$1,enemy_skills!$1:$1,0)-MATCH("enemy_skill_id",enemy_skills!$1:$1,0)+1),MATCH(E$1,enemy_skills!$1:$1,0)-MATCH("enemy_skill_id",enemy_skills!$1:$1,0)+1,FALSE)</f>
        <v>覚めないでくれ…お願いだ…</v>
      </c>
      <c r="F74" s="125">
        <v>50016950</v>
      </c>
      <c r="G74" s="48">
        <f ca="1">VLOOKUP($F74,OFFSET(enemy_skill_triggers!$A$1,0,0,COUNTA(enemy_skill_triggers!$A:$A),MATCH(G$1,enemy_skill_triggers!$1:$1,0)-MATCH($F$1,enemy_skill_triggers!$1:$1,0)+1),MATCH(G$1,enemy_skill_triggers!$1:$1,0)-MATCH($F$1,enemy_skill_triggers!$1:$1,0)+1,FALSE)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4" s="48">
        <f ca="1">VLOOKUP($F74,OFFSET(enemy_skill_triggers!$A$1,0,0,COUNTA(enemy_skill_triggers!$A:$A),MATCH(H$1,enemy_skill_triggers!$1:$1,0)-MATCH($F$1,enemy_skill_triggers!$1:$1,0)+1),MATCH(H$1,enemy_skill_triggers!$1:$1,0)-MATCH($F$1,enemy_skill_triggers!$1:$1,0)+1,FALSE)</f>
        <v>950</v>
      </c>
      <c r="I74" s="48">
        <f ca="1">VLOOKUP($F74,OFFSET(enemy_skill_triggers!$A$1,0,0,COUNTA(enemy_skill_triggers!$A:$A),MATCH(I$1,enemy_skill_triggers!$1:$1,0)-MATCH($F$1,enemy_skill_triggers!$1:$1,0)+1),MATCH(I$1,enemy_skill_triggers!$1:$1,0)-MATCH($F$1,enemy_skill_triggers!$1:$1,0)+1,FALSE)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4" s="48" t="str">
        <f ca="1">VLOOKUP($F74,OFFSET(enemy_skill_triggers!$A$1,0,0,COUNTA(enemy_skill_triggers!$A:$A),MATCH(J$1,enemy_skill_triggers!$1:$1,0)-MATCH($F$1,enemy_skill_triggers!$1:$1,0)+1),MATCH(J$1,enemy_skill_triggers!$1:$1,0)-MATCH($F$1,enemy_skill_triggers!$1:$1,0)+1,FALSE)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4" s="48" t="str">
        <f ca="1">VLOOKUP($F74,OFFSET(enemy_skill_triggers!$A$1,0,0,COUNTA(enemy_skill_triggers!$A:$A),MATCH(K$1,enemy_skill_triggers!$1:$1,0)-MATCH($F$1,enemy_skill_triggers!$1:$1,0)+1),MATCH(K$1,enemy_skill_triggers!$1:$1,0)-MATCH($F$1,enemy_skill_triggers!$1:$1,0)+1,FALSE)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4" s="48">
        <f ca="1">VLOOKUP($F74,OFFSET(enemy_skill_triggers!$A$1,0,0,COUNTA(enemy_skill_triggers!$A:$A),MATCH(L$1,enemy_skill_triggers!$1:$1,0)-MATCH($F$1,enemy_skill_triggers!$1:$1,0)+1),MATCH(L$1,enemy_skill_triggers!$1:$1,0)-MATCH($F$1,enemy_skill_triggers!$1:$1,0)+1,FALSE)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74" s="48" t="str">
        <f ca="1">VLOOKUP($F74,OFFSET(enemy_skill_triggers!$A$1,0,0,COUNTA(enemy_skill_triggers!$A:$A),MATCH(M$1,enemy_skill_triggers!$1:$1,0)-MATCH($F$1,enemy_skill_triggers!$1:$1,0)+1),MATCH(M$1,enemy_skill_triggers!$1:$1,0)-MATCH($F$1,enemy_skill_triggers!$1:$1,0)+1,FALSE)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4" s="48">
        <f ca="1">VLOOKUP($F74,OFFSET(enemy_skill_triggers!$A$1,0,0,COUNTA(enemy_skill_triggers!$A:$A),MATCH(N$1,enemy_skill_triggers!$1:$1,0)-MATCH($F$1,enemy_skill_triggers!$1:$1,0)+1),MATCH(N$1,enemy_skill_triggers!$1:$1,0)-MATCH($F$1,enemy_skill_triggers!$1:$1,0)+1,FALSE)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74" s="48">
        <f ca="1">VLOOKUP($F74,OFFSET(enemy_skill_triggers!$A$1,0,0,COUNTA(enemy_skill_triggers!$A:$A),MATCH(O$1,enemy_skill_triggers!$1:$1,0)-MATCH($F$1,enemy_skill_triggers!$1:$1,0)+1),MATCH(O$1,enemy_skill_triggers!$1:$1,0)-MATCH($F$1,enemy_skill_triggers!$1:$1,0)+1,FALSE)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4" s="47"/>
      <c r="Q74" s="47"/>
      <c r="R74" s="47"/>
    </row>
    <row r="75" spans="1:18" ht="21" customHeight="1" x14ac:dyDescent="0.15">
      <c r="A75" s="39" t="str">
        <f t="shared" si="20"/>
        <v>50016700_50016721</v>
      </c>
      <c r="B75" s="113">
        <v>50016700</v>
      </c>
      <c r="C75" s="117">
        <v>50016721</v>
      </c>
      <c r="D75" s="46" t="str">
        <f ca="1">VLOOKUP($C75,OFFSET(enemy_skills!$A$1,0,0,COUNTA(enemy_skills!$A:$A),MATCH(D$1,enemy_skills!$1:$1,0)-MATCH("enemy_skill_id",enemy_skills!$1:$1,0)+1),MATCH(D$1,enemy_skills!$1:$1,0)-MATCH("enemy_skill_id",enemy_skills!$1:$1,0)+1,FALSE)</f>
        <v>シヴァ…君にも分かっているはずだ…</v>
      </c>
      <c r="E75" s="46" t="str">
        <f ca="1">VLOOKUP($C75,OFFSET(enemy_skills!$A$1,0,0,COUNTA(enemy_skills!$A:$A),MATCH(E$1,enemy_skills!$1:$1,0)-MATCH("enemy_skill_id",enemy_skills!$1:$1,0)+1),MATCH(E$1,enemy_skills!$1:$1,0)-MATCH("enemy_skill_id",enemy_skills!$1:$1,0)+1,FALSE)</f>
        <v>このままではいけないと…</v>
      </c>
      <c r="F75" s="125">
        <v>50016951</v>
      </c>
      <c r="G75" s="48">
        <f ca="1">VLOOKUP($F75,OFFSET(enemy_skill_triggers!$A$1,0,0,COUNTA(enemy_skill_triggers!$A:$A),MATCH(G$1,enemy_skill_triggers!$1:$1,0)-MATCH($F$1,enemy_skill_triggers!$1:$1,0)+1),MATCH(G$1,enemy_skill_triggers!$1:$1,0)-MATCH($F$1,enemy_skill_triggers!$1:$1,0)+1,FALSE)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5" s="48">
        <f ca="1">VLOOKUP($F75,OFFSET(enemy_skill_triggers!$A$1,0,0,COUNTA(enemy_skill_triggers!$A:$A),MATCH(H$1,enemy_skill_triggers!$1:$1,0)-MATCH($F$1,enemy_skill_triggers!$1:$1,0)+1),MATCH(H$1,enemy_skill_triggers!$1:$1,0)-MATCH($F$1,enemy_skill_triggers!$1:$1,0)+1,FALSE)</f>
        <v>951</v>
      </c>
      <c r="I75" s="48">
        <f ca="1">VLOOKUP($F75,OFFSET(enemy_skill_triggers!$A$1,0,0,COUNTA(enemy_skill_triggers!$A:$A),MATCH(I$1,enemy_skill_triggers!$1:$1,0)-MATCH($F$1,enemy_skill_triggers!$1:$1,0)+1),MATCH(I$1,enemy_skill_triggers!$1:$1,0)-MATCH($F$1,enemy_skill_triggers!$1:$1,0)+1,FALSE)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5" s="48" t="str">
        <f ca="1">VLOOKUP($F75,OFFSET(enemy_skill_triggers!$A$1,0,0,COUNTA(enemy_skill_triggers!$A:$A),MATCH(J$1,enemy_skill_triggers!$1:$1,0)-MATCH($F$1,enemy_skill_triggers!$1:$1,0)+1),MATCH(J$1,enemy_skill_triggers!$1:$1,0)-MATCH($F$1,enemy_skill_triggers!$1:$1,0)+1,FALSE)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5" s="48" t="str">
        <f ca="1">VLOOKUP($F75,OFFSET(enemy_skill_triggers!$A$1,0,0,COUNTA(enemy_skill_triggers!$A:$A),MATCH(K$1,enemy_skill_triggers!$1:$1,0)-MATCH($F$1,enemy_skill_triggers!$1:$1,0)+1),MATCH(K$1,enemy_skill_triggers!$1:$1,0)-MATCH($F$1,enemy_skill_triggers!$1:$1,0)+1,FALSE)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5" s="48">
        <f ca="1">VLOOKUP($F75,OFFSET(enemy_skill_triggers!$A$1,0,0,COUNTA(enemy_skill_triggers!$A:$A),MATCH(L$1,enemy_skill_triggers!$1:$1,0)-MATCH($F$1,enemy_skill_triggers!$1:$1,0)+1),MATCH(L$1,enemy_skill_triggers!$1:$1,0)-MATCH($F$1,enemy_skill_triggers!$1:$1,0)+1,FALSE)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75" s="48" t="str">
        <f ca="1">VLOOKUP($F75,OFFSET(enemy_skill_triggers!$A$1,0,0,COUNTA(enemy_skill_triggers!$A:$A),MATCH(M$1,enemy_skill_triggers!$1:$1,0)-MATCH($F$1,enemy_skill_triggers!$1:$1,0)+1),MATCH(M$1,enemy_skill_triggers!$1:$1,0)-MATCH($F$1,enemy_skill_triggers!$1:$1,0)+1,FALSE)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5" s="48">
        <f ca="1">VLOOKUP($F75,OFFSET(enemy_skill_triggers!$A$1,0,0,COUNTA(enemy_skill_triggers!$A:$A),MATCH(N$1,enemy_skill_triggers!$1:$1,0)-MATCH($F$1,enemy_skill_triggers!$1:$1,0)+1),MATCH(N$1,enemy_skill_triggers!$1:$1,0)-MATCH($F$1,enemy_skill_triggers!$1:$1,0)+1,FALSE)</f>
        <v>656</v>
      </c>
      <c r="O75" s="48">
        <f ca="1">VLOOKUP($F75,OFFSET(enemy_skill_triggers!$A$1,0,0,COUNTA(enemy_skill_triggers!$A:$A),MATCH(O$1,enemy_skill_triggers!$1:$1,0)-MATCH($F$1,enemy_skill_triggers!$1:$1,0)+1),MATCH(O$1,enemy_skill_triggers!$1:$1,0)-MATCH($F$1,enemy_skill_triggers!$1:$1,0)+1,FALSE)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5" s="47"/>
      <c r="Q75" s="47"/>
      <c r="R75" s="47"/>
    </row>
    <row r="76" spans="1:18" ht="21" customHeight="1" x14ac:dyDescent="0.15">
      <c r="A76" s="39" t="str">
        <f t="shared" si="20"/>
        <v>50016700_50016721</v>
      </c>
      <c r="B76" s="113">
        <v>50016700</v>
      </c>
      <c r="C76" s="117">
        <v>50016721</v>
      </c>
      <c r="D76" s="46" t="str">
        <f ca="1">VLOOKUP($C76,OFFSET(enemy_skills!$A$1,0,0,COUNTA(enemy_skills!$A:$A),MATCH(D$1,enemy_skills!$1:$1,0)-MATCH("enemy_skill_id",enemy_skills!$1:$1,0)+1),MATCH(D$1,enemy_skills!$1:$1,0)-MATCH("enemy_skill_id",enemy_skills!$1:$1,0)+1,FALSE)</f>
        <v>シヴァ…君にも分かっているはずだ…</v>
      </c>
      <c r="E76" s="46" t="str">
        <f ca="1">VLOOKUP($C76,OFFSET(enemy_skills!$A$1,0,0,COUNTA(enemy_skills!$A:$A),MATCH(E$1,enemy_skills!$1:$1,0)-MATCH("enemy_skill_id",enemy_skills!$1:$1,0)+1),MATCH(E$1,enemy_skills!$1:$1,0)-MATCH("enemy_skill_id",enemy_skills!$1:$1,0)+1,FALSE)</f>
        <v>このままではいけないと…</v>
      </c>
      <c r="F76" s="125">
        <v>50016952</v>
      </c>
      <c r="G76" s="48">
        <f ca="1">VLOOKUP($F76,OFFSET(enemy_skill_triggers!$A$1,0,0,COUNTA(enemy_skill_triggers!$A:$A),MATCH(G$1,enemy_skill_triggers!$1:$1,0)-MATCH($F$1,enemy_skill_triggers!$1:$1,0)+1),MATCH(G$1,enemy_skill_triggers!$1:$1,0)-MATCH($F$1,enemy_skill_triggers!$1:$1,0)+1,FALSE)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6" s="48">
        <f ca="1">VLOOKUP($F76,OFFSET(enemy_skill_triggers!$A$1,0,0,COUNTA(enemy_skill_triggers!$A:$A),MATCH(H$1,enemy_skill_triggers!$1:$1,0)-MATCH($F$1,enemy_skill_triggers!$1:$1,0)+1),MATCH(H$1,enemy_skill_triggers!$1:$1,0)-MATCH($F$1,enemy_skill_triggers!$1:$1,0)+1,FALSE)</f>
        <v>952</v>
      </c>
      <c r="I76" s="48">
        <f ca="1">VLOOKUP($F76,OFFSET(enemy_skill_triggers!$A$1,0,0,COUNTA(enemy_skill_triggers!$A:$A),MATCH(I$1,enemy_skill_triggers!$1:$1,0)-MATCH($F$1,enemy_skill_triggers!$1:$1,0)+1),MATCH(I$1,enemy_skill_triggers!$1:$1,0)-MATCH($F$1,enemy_skill_triggers!$1:$1,0)+1,FALSE)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6" s="48" t="str">
        <f ca="1">VLOOKUP($F76,OFFSET(enemy_skill_triggers!$A$1,0,0,COUNTA(enemy_skill_triggers!$A:$A),MATCH(J$1,enemy_skill_triggers!$1:$1,0)-MATCH($F$1,enemy_skill_triggers!$1:$1,0)+1),MATCH(J$1,enemy_skill_triggers!$1:$1,0)-MATCH($F$1,enemy_skill_triggers!$1:$1,0)+1,FALSE)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6" s="48" t="str">
        <f ca="1">VLOOKUP($F76,OFFSET(enemy_skill_triggers!$A$1,0,0,COUNTA(enemy_skill_triggers!$A:$A),MATCH(K$1,enemy_skill_triggers!$1:$1,0)-MATCH($F$1,enemy_skill_triggers!$1:$1,0)+1),MATCH(K$1,enemy_skill_triggers!$1:$1,0)-MATCH($F$1,enemy_skill_triggers!$1:$1,0)+1,FALSE)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6" s="48">
        <f ca="1">VLOOKUP($F76,OFFSET(enemy_skill_triggers!$A$1,0,0,COUNTA(enemy_skill_triggers!$A:$A),MATCH(L$1,enemy_skill_triggers!$1:$1,0)-MATCH($F$1,enemy_skill_triggers!$1:$1,0)+1),MATCH(L$1,enemy_skill_triggers!$1:$1,0)-MATCH($F$1,enemy_skill_triggers!$1:$1,0)+1,FALSE)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76" s="48" t="str">
        <f ca="1">VLOOKUP($F76,OFFSET(enemy_skill_triggers!$A$1,0,0,COUNTA(enemy_skill_triggers!$A:$A),MATCH(M$1,enemy_skill_triggers!$1:$1,0)-MATCH($F$1,enemy_skill_triggers!$1:$1,0)+1),MATCH(M$1,enemy_skill_triggers!$1:$1,0)-MATCH($F$1,enemy_skill_triggers!$1:$1,0)+1,FALSE)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6" s="48">
        <f ca="1">VLOOKUP($F76,OFFSET(enemy_skill_triggers!$A$1,0,0,COUNTA(enemy_skill_triggers!$A:$A),MATCH(N$1,enemy_skill_triggers!$1:$1,0)-MATCH($F$1,enemy_skill_triggers!$1:$1,0)+1),MATCH(N$1,enemy_skill_triggers!$1:$1,0)-MATCH($F$1,enemy_skill_triggers!$1:$1,0)+1,FALSE)</f>
        <v>657</v>
      </c>
      <c r="O76" s="48">
        <f ca="1">VLOOKUP($F76,OFFSET(enemy_skill_triggers!$A$1,0,0,COUNTA(enemy_skill_triggers!$A:$A),MATCH(O$1,enemy_skill_triggers!$1:$1,0)-MATCH($F$1,enemy_skill_triggers!$1:$1,0)+1),MATCH(O$1,enemy_skill_triggers!$1:$1,0)-MATCH($F$1,enemy_skill_triggers!$1:$1,0)+1,FALSE)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6" s="47"/>
      <c r="Q76" s="47"/>
      <c r="R76" s="47"/>
    </row>
    <row r="77" spans="1:18" ht="21" customHeight="1" x14ac:dyDescent="0.15">
      <c r="A77" s="39" t="str">
        <f t="shared" ref="A77:A78" si="22">B77&amp;"_"&amp;C77</f>
        <v>50016700_50016721</v>
      </c>
      <c r="B77" s="113">
        <v>50016700</v>
      </c>
      <c r="C77" s="117">
        <v>50016721</v>
      </c>
      <c r="D77" s="46" t="str">
        <f ca="1">VLOOKUP($C77,OFFSET(enemy_skills!$A$1,0,0,COUNTA(enemy_skills!$A:$A),MATCH(D$1,enemy_skills!$1:$1,0)-MATCH("enemy_skill_id",enemy_skills!$1:$1,0)+1),MATCH(D$1,enemy_skills!$1:$1,0)-MATCH("enemy_skill_id",enemy_skills!$1:$1,0)+1,FALSE)</f>
        <v>シヴァ…君にも分かっているはずだ…</v>
      </c>
      <c r="E77" s="46" t="str">
        <f ca="1">VLOOKUP($C77,OFFSET(enemy_skills!$A$1,0,0,COUNTA(enemy_skills!$A:$A),MATCH(E$1,enemy_skills!$1:$1,0)-MATCH("enemy_skill_id",enemy_skills!$1:$1,0)+1),MATCH(E$1,enemy_skills!$1:$1,0)-MATCH("enemy_skill_id",enemy_skills!$1:$1,0)+1,FALSE)</f>
        <v>このままではいけないと…</v>
      </c>
      <c r="F77" s="125">
        <v>50016953</v>
      </c>
      <c r="G77" s="48">
        <f ca="1">VLOOKUP($F77,OFFSET(enemy_skill_triggers!$A$1,0,0,COUNTA(enemy_skill_triggers!$A:$A),MATCH(G$1,enemy_skill_triggers!$1:$1,0)-MATCH($F$1,enemy_skill_triggers!$1:$1,0)+1),MATCH(G$1,enemy_skill_triggers!$1:$1,0)-MATCH($F$1,enemy_skill_triggers!$1:$1,0)+1,FALSE)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7" s="48">
        <f ca="1">VLOOKUP($F77,OFFSET(enemy_skill_triggers!$A$1,0,0,COUNTA(enemy_skill_triggers!$A:$A),MATCH(H$1,enemy_skill_triggers!$1:$1,0)-MATCH($F$1,enemy_skill_triggers!$1:$1,0)+1),MATCH(H$1,enemy_skill_triggers!$1:$1,0)-MATCH($F$1,enemy_skill_triggers!$1:$1,0)+1,FALSE)</f>
        <v>953</v>
      </c>
      <c r="I77" s="48">
        <f ca="1">VLOOKUP($F77,OFFSET(enemy_skill_triggers!$A$1,0,0,COUNTA(enemy_skill_triggers!$A:$A),MATCH(I$1,enemy_skill_triggers!$1:$1,0)-MATCH($F$1,enemy_skill_triggers!$1:$1,0)+1),MATCH(I$1,enemy_skill_triggers!$1:$1,0)-MATCH($F$1,enemy_skill_triggers!$1:$1,0)+1,FALSE)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7" s="48" t="str">
        <f ca="1">VLOOKUP($F77,OFFSET(enemy_skill_triggers!$A$1,0,0,COUNTA(enemy_skill_triggers!$A:$A),MATCH(J$1,enemy_skill_triggers!$1:$1,0)-MATCH($F$1,enemy_skill_triggers!$1:$1,0)+1),MATCH(J$1,enemy_skill_triggers!$1:$1,0)-MATCH($F$1,enemy_skill_triggers!$1:$1,0)+1,FALSE)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7" s="48" t="str">
        <f ca="1">VLOOKUP($F77,OFFSET(enemy_skill_triggers!$A$1,0,0,COUNTA(enemy_skill_triggers!$A:$A),MATCH(K$1,enemy_skill_triggers!$1:$1,0)-MATCH($F$1,enemy_skill_triggers!$1:$1,0)+1),MATCH(K$1,enemy_skill_triggers!$1:$1,0)-MATCH($F$1,enemy_skill_triggers!$1:$1,0)+1,FALSE)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7" s="48">
        <f ca="1">VLOOKUP($F77,OFFSET(enemy_skill_triggers!$A$1,0,0,COUNTA(enemy_skill_triggers!$A:$A),MATCH(L$1,enemy_skill_triggers!$1:$1,0)-MATCH($F$1,enemy_skill_triggers!$1:$1,0)+1),MATCH(L$1,enemy_skill_triggers!$1:$1,0)-MATCH($F$1,enemy_skill_triggers!$1:$1,0)+1,FALSE)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77" s="48" t="str">
        <f ca="1">VLOOKUP($F77,OFFSET(enemy_skill_triggers!$A$1,0,0,COUNTA(enemy_skill_triggers!$A:$A),MATCH(M$1,enemy_skill_triggers!$1:$1,0)-MATCH($F$1,enemy_skill_triggers!$1:$1,0)+1),MATCH(M$1,enemy_skill_triggers!$1:$1,0)-MATCH($F$1,enemy_skill_triggers!$1:$1,0)+1,FALSE)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7" s="48">
        <f ca="1">VLOOKUP($F77,OFFSET(enemy_skill_triggers!$A$1,0,0,COUNTA(enemy_skill_triggers!$A:$A),MATCH(N$1,enemy_skill_triggers!$1:$1,0)-MATCH($F$1,enemy_skill_triggers!$1:$1,0)+1),MATCH(N$1,enemy_skill_triggers!$1:$1,0)-MATCH($F$1,enemy_skill_triggers!$1:$1,0)+1,FALSE)</f>
        <v>834</v>
      </c>
      <c r="O77" s="48">
        <f ca="1">VLOOKUP($F77,OFFSET(enemy_skill_triggers!$A$1,0,0,COUNTA(enemy_skill_triggers!$A:$A),MATCH(O$1,enemy_skill_triggers!$1:$1,0)-MATCH($F$1,enemy_skill_triggers!$1:$1,0)+1),MATCH(O$1,enemy_skill_triggers!$1:$1,0)-MATCH($F$1,enemy_skill_triggers!$1:$1,0)+1,FALSE)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7" s="47"/>
      <c r="Q77" s="47"/>
      <c r="R77" s="47"/>
    </row>
    <row r="78" spans="1:18" ht="21" customHeight="1" x14ac:dyDescent="0.15">
      <c r="A78" s="39" t="str">
        <f t="shared" si="22"/>
        <v>50016700_50016722</v>
      </c>
      <c r="B78" s="113">
        <v>50016700</v>
      </c>
      <c r="C78" s="117">
        <v>50016722</v>
      </c>
      <c r="D78" s="46" t="str">
        <f ca="1">VLOOKUP($C78,OFFSET(enemy_skills!$A$1,0,0,COUNTA(enemy_skills!$A:$A),MATCH(D$1,enemy_skills!$1:$1,0)-MATCH("enemy_skill_id",enemy_skills!$1:$1,0)+1),MATCH(D$1,enemy_skills!$1:$1,0)-MATCH("enemy_skill_id",enemy_skills!$1:$1,0)+1,FALSE)</f>
        <v>君と、そう変わらないのかもしれないな…</v>
      </c>
      <c r="E78" s="46" t="str">
        <f ca="1">VLOOKUP($C78,OFFSET(enemy_skills!$A$1,0,0,COUNTA(enemy_skills!$A:$A),MATCH(E$1,enemy_skills!$1:$1,0)-MATCH("enemy_skill_id",enemy_skills!$1:$1,0)+1),MATCH(E$1,enemy_skills!$1:$1,0)-MATCH("enemy_skill_id",enemy_skills!$1:$1,0)+1,FALSE)</f>
        <v>この理想も…人の世の夢だったね</v>
      </c>
      <c r="F78" s="125">
        <v>50016954</v>
      </c>
      <c r="G78" s="48">
        <f ca="1">VLOOKUP($F78,OFFSET(enemy_skill_triggers!$A$1,0,0,COUNTA(enemy_skill_triggers!$A:$A),MATCH(G$1,enemy_skill_triggers!$1:$1,0)-MATCH($F$1,enemy_skill_triggers!$1:$1,0)+1),MATCH(G$1,enemy_skill_triggers!$1:$1,0)-MATCH($F$1,enemy_skill_triggers!$1:$1,0)+1,FALSE)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8" s="48">
        <f ca="1">VLOOKUP($F78,OFFSET(enemy_skill_triggers!$A$1,0,0,COUNTA(enemy_skill_triggers!$A:$A),MATCH(H$1,enemy_skill_triggers!$1:$1,0)-MATCH($F$1,enemy_skill_triggers!$1:$1,0)+1),MATCH(H$1,enemy_skill_triggers!$1:$1,0)-MATCH($F$1,enemy_skill_triggers!$1:$1,0)+1,FALSE)</f>
        <v>954</v>
      </c>
      <c r="I78" s="48">
        <f ca="1">VLOOKUP($F78,OFFSET(enemy_skill_triggers!$A$1,0,0,COUNTA(enemy_skill_triggers!$A:$A),MATCH(I$1,enemy_skill_triggers!$1:$1,0)-MATCH($F$1,enemy_skill_triggers!$1:$1,0)+1),MATCH(I$1,enemy_skill_triggers!$1:$1,0)-MATCH($F$1,enemy_skill_triggers!$1:$1,0)+1,FALSE)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8" s="48" t="str">
        <f ca="1">VLOOKUP($F78,OFFSET(enemy_skill_triggers!$A$1,0,0,COUNTA(enemy_skill_triggers!$A:$A),MATCH(J$1,enemy_skill_triggers!$1:$1,0)-MATCH($F$1,enemy_skill_triggers!$1:$1,0)+1),MATCH(J$1,enemy_skill_triggers!$1:$1,0)-MATCH($F$1,enemy_skill_triggers!$1:$1,0)+1,FALSE)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8" s="48" t="str">
        <f ca="1">VLOOKUP($F78,OFFSET(enemy_skill_triggers!$A$1,0,0,COUNTA(enemy_skill_triggers!$A:$A),MATCH(K$1,enemy_skill_triggers!$1:$1,0)-MATCH($F$1,enemy_skill_triggers!$1:$1,0)+1),MATCH(K$1,enemy_skill_triggers!$1:$1,0)-MATCH($F$1,enemy_skill_triggers!$1:$1,0)+1,FALSE)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8" s="48">
        <f ca="1">VLOOKUP($F78,OFFSET(enemy_skill_triggers!$A$1,0,0,COUNTA(enemy_skill_triggers!$A:$A),MATCH(L$1,enemy_skill_triggers!$1:$1,0)-MATCH($F$1,enemy_skill_triggers!$1:$1,0)+1),MATCH(L$1,enemy_skill_triggers!$1:$1,0)-MATCH($F$1,enemy_skill_triggers!$1:$1,0)+1,FALSE)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78" s="48" t="str">
        <f ca="1">VLOOKUP($F78,OFFSET(enemy_skill_triggers!$A$1,0,0,COUNTA(enemy_skill_triggers!$A:$A),MATCH(M$1,enemy_skill_triggers!$1:$1,0)-MATCH($F$1,enemy_skill_triggers!$1:$1,0)+1),MATCH(M$1,enemy_skill_triggers!$1:$1,0)-MATCH($F$1,enemy_skill_triggers!$1:$1,0)+1,FALSE)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8" s="48">
        <f ca="1">VLOOKUP($F78,OFFSET(enemy_skill_triggers!$A$1,0,0,COUNTA(enemy_skill_triggers!$A:$A),MATCH(N$1,enemy_skill_triggers!$1:$1,0)-MATCH($F$1,enemy_skill_triggers!$1:$1,0)+1),MATCH(N$1,enemy_skill_triggers!$1:$1,0)-MATCH($F$1,enemy_skill_triggers!$1:$1,0)+1,FALSE)</f>
        <v>1379</v>
      </c>
      <c r="O78" s="48">
        <f ca="1">VLOOKUP($F78,OFFSET(enemy_skill_triggers!$A$1,0,0,COUNTA(enemy_skill_triggers!$A:$A),MATCH(O$1,enemy_skill_triggers!$1:$1,0)-MATCH($F$1,enemy_skill_triggers!$1:$1,0)+1),MATCH(O$1,enemy_skill_triggers!$1:$1,0)-MATCH($F$1,enemy_skill_triggers!$1:$1,0)+1,FALSE)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8" s="47"/>
      <c r="Q78" s="47"/>
      <c r="R78" s="47"/>
    </row>
    <row r="79" spans="1:18" ht="21" customHeight="1" x14ac:dyDescent="0.15">
      <c r="A79" s="39" t="str">
        <f t="shared" ref="A79:A81" si="23">B79&amp;"_"&amp;C79</f>
        <v>50016700_50016722</v>
      </c>
      <c r="B79" s="113">
        <v>50016700</v>
      </c>
      <c r="C79" s="117">
        <v>50016722</v>
      </c>
      <c r="D79" s="46" t="str">
        <f ca="1">VLOOKUP($C79,OFFSET(enemy_skills!$A$1,0,0,COUNTA(enemy_skills!$A:$A),MATCH(D$1,enemy_skills!$1:$1,0)-MATCH("enemy_skill_id",enemy_skills!$1:$1,0)+1),MATCH(D$1,enemy_skills!$1:$1,0)-MATCH("enemy_skill_id",enemy_skills!$1:$1,0)+1,FALSE)</f>
        <v>君と、そう変わらないのかもしれないな…</v>
      </c>
      <c r="E79" s="46" t="str">
        <f ca="1">VLOOKUP($C79,OFFSET(enemy_skills!$A$1,0,0,COUNTA(enemy_skills!$A:$A),MATCH(E$1,enemy_skills!$1:$1,0)-MATCH("enemy_skill_id",enemy_skills!$1:$1,0)+1),MATCH(E$1,enemy_skills!$1:$1,0)-MATCH("enemy_skill_id",enemy_skills!$1:$1,0)+1,FALSE)</f>
        <v>この理想も…人の世の夢だったね</v>
      </c>
      <c r="F79" s="125">
        <v>50016955</v>
      </c>
      <c r="G79" s="48">
        <f ca="1">VLOOKUP($F79,OFFSET(enemy_skill_triggers!$A$1,0,0,COUNTA(enemy_skill_triggers!$A:$A),MATCH(G$1,enemy_skill_triggers!$1:$1,0)-MATCH($F$1,enemy_skill_triggers!$1:$1,0)+1),MATCH(G$1,enemy_skill_triggers!$1:$1,0)-MATCH($F$1,enemy_skill_triggers!$1:$1,0)+1,FALSE)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9" s="48">
        <f ca="1">VLOOKUP($F79,OFFSET(enemy_skill_triggers!$A$1,0,0,COUNTA(enemy_skill_triggers!$A:$A),MATCH(H$1,enemy_skill_triggers!$1:$1,0)-MATCH($F$1,enemy_skill_triggers!$1:$1,0)+1),MATCH(H$1,enemy_skill_triggers!$1:$1,0)-MATCH($F$1,enemy_skill_triggers!$1:$1,0)+1,FALSE)</f>
        <v>955</v>
      </c>
      <c r="I79" s="48">
        <f ca="1">VLOOKUP($F79,OFFSET(enemy_skill_triggers!$A$1,0,0,COUNTA(enemy_skill_triggers!$A:$A),MATCH(I$1,enemy_skill_triggers!$1:$1,0)-MATCH($F$1,enemy_skill_triggers!$1:$1,0)+1),MATCH(I$1,enemy_skill_triggers!$1:$1,0)-MATCH($F$1,enemy_skill_triggers!$1:$1,0)+1,FALSE)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9" s="48" t="str">
        <f ca="1">VLOOKUP($F79,OFFSET(enemy_skill_triggers!$A$1,0,0,COUNTA(enemy_skill_triggers!$A:$A),MATCH(J$1,enemy_skill_triggers!$1:$1,0)-MATCH($F$1,enemy_skill_triggers!$1:$1,0)+1),MATCH(J$1,enemy_skill_triggers!$1:$1,0)-MATCH($F$1,enemy_skill_triggers!$1:$1,0)+1,FALSE)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9" s="48" t="str">
        <f ca="1">VLOOKUP($F79,OFFSET(enemy_skill_triggers!$A$1,0,0,COUNTA(enemy_skill_triggers!$A:$A),MATCH(K$1,enemy_skill_triggers!$1:$1,0)-MATCH($F$1,enemy_skill_triggers!$1:$1,0)+1),MATCH(K$1,enemy_skill_triggers!$1:$1,0)-MATCH($F$1,enemy_skill_triggers!$1:$1,0)+1,FALSE)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9" s="48">
        <f ca="1">VLOOKUP($F79,OFFSET(enemy_skill_triggers!$A$1,0,0,COUNTA(enemy_skill_triggers!$A:$A),MATCH(L$1,enemy_skill_triggers!$1:$1,0)-MATCH($F$1,enemy_skill_triggers!$1:$1,0)+1),MATCH(L$1,enemy_skill_triggers!$1:$1,0)-MATCH($F$1,enemy_skill_triggers!$1:$1,0)+1,FALSE)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79" s="48" t="str">
        <f ca="1">VLOOKUP($F79,OFFSET(enemy_skill_triggers!$A$1,0,0,COUNTA(enemy_skill_triggers!$A:$A),MATCH(M$1,enemy_skill_triggers!$1:$1,0)-MATCH($F$1,enemy_skill_triggers!$1:$1,0)+1),MATCH(M$1,enemy_skill_triggers!$1:$1,0)-MATCH($F$1,enemy_skill_triggers!$1:$1,0)+1,FALSE)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9" s="48">
        <f ca="1">VLOOKUP($F79,OFFSET(enemy_skill_triggers!$A$1,0,0,COUNTA(enemy_skill_triggers!$A:$A),MATCH(N$1,enemy_skill_triggers!$1:$1,0)-MATCH($F$1,enemy_skill_triggers!$1:$1,0)+1),MATCH(N$1,enemy_skill_triggers!$1:$1,0)-MATCH($F$1,enemy_skill_triggers!$1:$1,0)+1,FALSE)</f>
        <v>1380</v>
      </c>
      <c r="O79" s="48">
        <f ca="1">VLOOKUP($F79,OFFSET(enemy_skill_triggers!$A$1,0,0,COUNTA(enemy_skill_triggers!$A:$A),MATCH(O$1,enemy_skill_triggers!$1:$1,0)-MATCH($F$1,enemy_skill_triggers!$1:$1,0)+1),MATCH(O$1,enemy_skill_triggers!$1:$1,0)-MATCH($F$1,enemy_skill_triggers!$1:$1,0)+1,FALSE)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9" s="47"/>
      <c r="Q79" s="47"/>
      <c r="R79" s="47"/>
    </row>
    <row r="80" spans="1:18" ht="21" customHeight="1" x14ac:dyDescent="0.15">
      <c r="A80" s="39" t="str">
        <f t="shared" si="23"/>
        <v>50016700_50016723</v>
      </c>
      <c r="B80" s="113">
        <v>50016700</v>
      </c>
      <c r="C80" s="117">
        <v>50016723</v>
      </c>
      <c r="D80" s="46" t="str">
        <f ca="1">VLOOKUP($C80,OFFSET(enemy_skills!$A$1,0,0,COUNTA(enemy_skills!$A:$A),MATCH(D$1,enemy_skills!$1:$1,0)-MATCH("enemy_skill_id",enemy_skills!$1:$1,0)+1),MATCH(D$1,enemy_skills!$1:$1,0)-MATCH("enemy_skill_id",enemy_skills!$1:$1,0)+1,FALSE)</f>
        <v>一人で成せることじゃない…か</v>
      </c>
      <c r="E80" s="46" t="str">
        <f ca="1">VLOOKUP($C80,OFFSET(enemy_skills!$A$1,0,0,COUNTA(enemy_skills!$A:$A),MATCH(E$1,enemy_skills!$1:$1,0)-MATCH("enemy_skill_id",enemy_skills!$1:$1,0)+1),MATCH(E$1,enemy_skills!$1:$1,0)-MATCH("enemy_skill_id",enemy_skills!$1:$1,0)+1,FALSE)</f>
        <v>君に教えられるとはね…ハンニバル</v>
      </c>
      <c r="F80" s="125">
        <v>50016956</v>
      </c>
      <c r="G80" s="48">
        <f ca="1">VLOOKUP($F80,OFFSET(enemy_skill_triggers!$A$1,0,0,COUNTA(enemy_skill_triggers!$A:$A),MATCH(G$1,enemy_skill_triggers!$1:$1,0)-MATCH($F$1,enemy_skill_triggers!$1:$1,0)+1),MATCH(G$1,enemy_skill_triggers!$1:$1,0)-MATCH($F$1,enemy_skill_triggers!$1:$1,0)+1,FALSE)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0" s="48">
        <f ca="1">VLOOKUP($F80,OFFSET(enemy_skill_triggers!$A$1,0,0,COUNTA(enemy_skill_triggers!$A:$A),MATCH(H$1,enemy_skill_triggers!$1:$1,0)-MATCH($F$1,enemy_skill_triggers!$1:$1,0)+1),MATCH(H$1,enemy_skill_triggers!$1:$1,0)-MATCH($F$1,enemy_skill_triggers!$1:$1,0)+1,FALSE)</f>
        <v>956</v>
      </c>
      <c r="I80" s="48">
        <f ca="1">VLOOKUP($F80,OFFSET(enemy_skill_triggers!$A$1,0,0,COUNTA(enemy_skill_triggers!$A:$A),MATCH(I$1,enemy_skill_triggers!$1:$1,0)-MATCH($F$1,enemy_skill_triggers!$1:$1,0)+1),MATCH(I$1,enemy_skill_triggers!$1:$1,0)-MATCH($F$1,enemy_skill_triggers!$1:$1,0)+1,FALSE)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0" s="48" t="str">
        <f ca="1">VLOOKUP($F80,OFFSET(enemy_skill_triggers!$A$1,0,0,COUNTA(enemy_skill_triggers!$A:$A),MATCH(J$1,enemy_skill_triggers!$1:$1,0)-MATCH($F$1,enemy_skill_triggers!$1:$1,0)+1),MATCH(J$1,enemy_skill_triggers!$1:$1,0)-MATCH($F$1,enemy_skill_triggers!$1:$1,0)+1,FALSE)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0" s="48" t="str">
        <f ca="1">VLOOKUP($F80,OFFSET(enemy_skill_triggers!$A$1,0,0,COUNTA(enemy_skill_triggers!$A:$A),MATCH(K$1,enemy_skill_triggers!$1:$1,0)-MATCH($F$1,enemy_skill_triggers!$1:$1,0)+1),MATCH(K$1,enemy_skill_triggers!$1:$1,0)-MATCH($F$1,enemy_skill_triggers!$1:$1,0)+1,FALSE)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0" s="48">
        <f ca="1">VLOOKUP($F80,OFFSET(enemy_skill_triggers!$A$1,0,0,COUNTA(enemy_skill_triggers!$A:$A),MATCH(L$1,enemy_skill_triggers!$1:$1,0)-MATCH($F$1,enemy_skill_triggers!$1:$1,0)+1),MATCH(L$1,enemy_skill_triggers!$1:$1,0)-MATCH($F$1,enemy_skill_triggers!$1:$1,0)+1,FALSE)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80" s="48" t="str">
        <f ca="1">VLOOKUP($F80,OFFSET(enemy_skill_triggers!$A$1,0,0,COUNTA(enemy_skill_triggers!$A:$A),MATCH(M$1,enemy_skill_triggers!$1:$1,0)-MATCH($F$1,enemy_skill_triggers!$1:$1,0)+1),MATCH(M$1,enemy_skill_triggers!$1:$1,0)-MATCH($F$1,enemy_skill_triggers!$1:$1,0)+1,FALSE)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0" s="48">
        <f ca="1">VLOOKUP($F80,OFFSET(enemy_skill_triggers!$A$1,0,0,COUNTA(enemy_skill_triggers!$A:$A),MATCH(N$1,enemy_skill_triggers!$1:$1,0)-MATCH($F$1,enemy_skill_triggers!$1:$1,0)+1),MATCH(N$1,enemy_skill_triggers!$1:$1,0)-MATCH($F$1,enemy_skill_triggers!$1:$1,0)+1,FALSE)</f>
        <v>1448</v>
      </c>
      <c r="O80" s="48">
        <f ca="1">VLOOKUP($F80,OFFSET(enemy_skill_triggers!$A$1,0,0,COUNTA(enemy_skill_triggers!$A:$A),MATCH(O$1,enemy_skill_triggers!$1:$1,0)-MATCH($F$1,enemy_skill_triggers!$1:$1,0)+1),MATCH(O$1,enemy_skill_triggers!$1:$1,0)-MATCH($F$1,enemy_skill_triggers!$1:$1,0)+1,FALSE)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0" s="47"/>
      <c r="Q80" s="47"/>
      <c r="R80" s="47"/>
    </row>
    <row r="81" spans="1:18" ht="21" customHeight="1" x14ac:dyDescent="0.15">
      <c r="A81" s="39" t="str">
        <f t="shared" si="23"/>
        <v>50016700_50016723</v>
      </c>
      <c r="B81" s="113">
        <v>50016700</v>
      </c>
      <c r="C81" s="117">
        <v>50016723</v>
      </c>
      <c r="D81" s="46" t="str">
        <f ca="1">VLOOKUP($C81,OFFSET(enemy_skills!$A$1,0,0,COUNTA(enemy_skills!$A:$A),MATCH(D$1,enemy_skills!$1:$1,0)-MATCH("enemy_skill_id",enemy_skills!$1:$1,0)+1),MATCH(D$1,enemy_skills!$1:$1,0)-MATCH("enemy_skill_id",enemy_skills!$1:$1,0)+1,FALSE)</f>
        <v>一人で成せることじゃない…か</v>
      </c>
      <c r="E81" s="46" t="str">
        <f ca="1">VLOOKUP($C81,OFFSET(enemy_skills!$A$1,0,0,COUNTA(enemy_skills!$A:$A),MATCH(E$1,enemy_skills!$1:$1,0)-MATCH("enemy_skill_id",enemy_skills!$1:$1,0)+1),MATCH(E$1,enemy_skills!$1:$1,0)-MATCH("enemy_skill_id",enemy_skills!$1:$1,0)+1,FALSE)</f>
        <v>君に教えられるとはね…ハンニバル</v>
      </c>
      <c r="F81" s="125">
        <v>50016957</v>
      </c>
      <c r="G81" s="48">
        <f ca="1">VLOOKUP($F81,OFFSET(enemy_skill_triggers!$A$1,0,0,COUNTA(enemy_skill_triggers!$A:$A),MATCH(G$1,enemy_skill_triggers!$1:$1,0)-MATCH($F$1,enemy_skill_triggers!$1:$1,0)+1),MATCH(G$1,enemy_skill_triggers!$1:$1,0)-MATCH($F$1,enemy_skill_triggers!$1:$1,0)+1,FALSE)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1" s="48">
        <f ca="1">VLOOKUP($F81,OFFSET(enemy_skill_triggers!$A$1,0,0,COUNTA(enemy_skill_triggers!$A:$A),MATCH(H$1,enemy_skill_triggers!$1:$1,0)-MATCH($F$1,enemy_skill_triggers!$1:$1,0)+1),MATCH(H$1,enemy_skill_triggers!$1:$1,0)-MATCH($F$1,enemy_skill_triggers!$1:$1,0)+1,FALSE)</f>
        <v>957</v>
      </c>
      <c r="I81" s="48">
        <f ca="1">VLOOKUP($F81,OFFSET(enemy_skill_triggers!$A$1,0,0,COUNTA(enemy_skill_triggers!$A:$A),MATCH(I$1,enemy_skill_triggers!$1:$1,0)-MATCH($F$1,enemy_skill_triggers!$1:$1,0)+1),MATCH(I$1,enemy_skill_triggers!$1:$1,0)-MATCH($F$1,enemy_skill_triggers!$1:$1,0)+1,FALSE)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1" s="48" t="str">
        <f ca="1">VLOOKUP($F81,OFFSET(enemy_skill_triggers!$A$1,0,0,COUNTA(enemy_skill_triggers!$A:$A),MATCH(J$1,enemy_skill_triggers!$1:$1,0)-MATCH($F$1,enemy_skill_triggers!$1:$1,0)+1),MATCH(J$1,enemy_skill_triggers!$1:$1,0)-MATCH($F$1,enemy_skill_triggers!$1:$1,0)+1,FALSE)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1" s="48" t="str">
        <f ca="1">VLOOKUP($F81,OFFSET(enemy_skill_triggers!$A$1,0,0,COUNTA(enemy_skill_triggers!$A:$A),MATCH(K$1,enemy_skill_triggers!$1:$1,0)-MATCH($F$1,enemy_skill_triggers!$1:$1,0)+1),MATCH(K$1,enemy_skill_triggers!$1:$1,0)-MATCH($F$1,enemy_skill_triggers!$1:$1,0)+1,FALSE)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1" s="48">
        <f ca="1">VLOOKUP($F81,OFFSET(enemy_skill_triggers!$A$1,0,0,COUNTA(enemy_skill_triggers!$A:$A),MATCH(L$1,enemy_skill_triggers!$1:$1,0)-MATCH($F$1,enemy_skill_triggers!$1:$1,0)+1),MATCH(L$1,enemy_skill_triggers!$1:$1,0)-MATCH($F$1,enemy_skill_triggers!$1:$1,0)+1,FALSE)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81" s="48" t="str">
        <f ca="1">VLOOKUP($F81,OFFSET(enemy_skill_triggers!$A$1,0,0,COUNTA(enemy_skill_triggers!$A:$A),MATCH(M$1,enemy_skill_triggers!$1:$1,0)-MATCH($F$1,enemy_skill_triggers!$1:$1,0)+1),MATCH(M$1,enemy_skill_triggers!$1:$1,0)-MATCH($F$1,enemy_skill_triggers!$1:$1,0)+1,FALSE)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1" s="48">
        <f ca="1">VLOOKUP($F81,OFFSET(enemy_skill_triggers!$A$1,0,0,COUNTA(enemy_skill_triggers!$A:$A),MATCH(N$1,enemy_skill_triggers!$1:$1,0)-MATCH($F$1,enemy_skill_triggers!$1:$1,0)+1),MATCH(N$1,enemy_skill_triggers!$1:$1,0)-MATCH($F$1,enemy_skill_triggers!$1:$1,0)+1,FALSE)</f>
        <v>1449</v>
      </c>
      <c r="O81" s="48">
        <f ca="1">VLOOKUP($F81,OFFSET(enemy_skill_triggers!$A$1,0,0,COUNTA(enemy_skill_triggers!$A:$A),MATCH(O$1,enemy_skill_triggers!$1:$1,0)-MATCH($F$1,enemy_skill_triggers!$1:$1,0)+1),MATCH(O$1,enemy_skill_triggers!$1:$1,0)-MATCH($F$1,enemy_skill_triggers!$1:$1,0)+1,FALSE)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1" s="47"/>
      <c r="Q81" s="47"/>
      <c r="R81" s="47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</sheetPr>
  <dimension ref="A1:AC66"/>
  <sheetViews>
    <sheetView showGridLines="0" tabSelected="1" workbookViewId="0">
      <pane ySplit="1" topLeftCell="A5" activePane="bottomLeft" state="frozenSplit"/>
      <selection pane="bottomLeft" activeCell="C8" sqref="C8"/>
    </sheetView>
  </sheetViews>
  <sheetFormatPr baseColWidth="12" defaultColWidth="12.83203125" defaultRowHeight="43" customHeight="1" outlineLevelCol="1" x14ac:dyDescent="0.15"/>
  <cols>
    <col min="1" max="1" width="10.83203125" style="49" customWidth="1"/>
    <col min="2" max="2" width="67.1640625" style="49" customWidth="1"/>
    <col min="3" max="3" width="6.5" style="49" customWidth="1"/>
    <col min="4" max="4" width="7.33203125" style="49" customWidth="1"/>
    <col min="5" max="5" width="44.1640625" style="49" customWidth="1"/>
    <col min="6" max="6" width="44.1640625" style="49" bestFit="1" customWidth="1"/>
    <col min="7" max="7" width="52" style="49" hidden="1" customWidth="1" outlineLevel="1"/>
    <col min="8" max="8" width="18.33203125" style="49" hidden="1" customWidth="1" outlineLevel="1"/>
    <col min="9" max="11" width="18.6640625" style="49" hidden="1" customWidth="1" outlineLevel="1"/>
    <col min="12" max="12" width="18.6640625" style="49" customWidth="1" outlineLevel="1"/>
    <col min="13" max="13" width="23.6640625" style="49" customWidth="1"/>
    <col min="14" max="19" width="23.6640625" style="49" hidden="1" customWidth="1" outlineLevel="1"/>
    <col min="20" max="20" width="23.6640625" style="49" customWidth="1" collapsed="1"/>
    <col min="21" max="25" width="23.6640625" style="49" hidden="1" customWidth="1" outlineLevel="1"/>
    <col min="26" max="26" width="23.6640625" style="49" customWidth="1" collapsed="1"/>
    <col min="27" max="28" width="12.83203125" style="49"/>
    <col min="29" max="29" width="44.5" style="49" customWidth="1"/>
    <col min="30" max="16384" width="12.83203125" style="49"/>
  </cols>
  <sheetData>
    <row r="1" spans="1:29" ht="43" customHeight="1" x14ac:dyDescent="0.15">
      <c r="A1" s="40" t="s">
        <v>79</v>
      </c>
      <c r="B1" s="40" t="s">
        <v>80</v>
      </c>
      <c r="C1" s="40" t="s">
        <v>81</v>
      </c>
      <c r="D1" s="40" t="s">
        <v>124</v>
      </c>
      <c r="E1" s="40" t="s">
        <v>82</v>
      </c>
      <c r="F1" s="40" t="s">
        <v>83</v>
      </c>
      <c r="G1" s="41" t="s">
        <v>130</v>
      </c>
      <c r="H1" s="41" t="s">
        <v>136</v>
      </c>
      <c r="I1" s="41" t="s">
        <v>138</v>
      </c>
      <c r="J1" s="41" t="s">
        <v>137</v>
      </c>
      <c r="K1" s="41" t="s">
        <v>139</v>
      </c>
      <c r="L1" s="137" t="s">
        <v>283</v>
      </c>
      <c r="M1" s="41" t="s">
        <v>131</v>
      </c>
      <c r="N1" s="41" t="s">
        <v>129</v>
      </c>
      <c r="O1" s="41" t="s">
        <v>132</v>
      </c>
      <c r="P1" s="41" t="s">
        <v>140</v>
      </c>
      <c r="Q1" s="41" t="s">
        <v>141</v>
      </c>
      <c r="R1" s="41" t="s">
        <v>142</v>
      </c>
      <c r="S1" s="41" t="s">
        <v>143</v>
      </c>
      <c r="T1" s="41" t="s">
        <v>133</v>
      </c>
      <c r="U1" s="41" t="s">
        <v>134</v>
      </c>
      <c r="V1" s="41" t="s">
        <v>144</v>
      </c>
      <c r="W1" s="41" t="s">
        <v>145</v>
      </c>
      <c r="X1" s="41" t="s">
        <v>146</v>
      </c>
      <c r="Y1" s="41" t="s">
        <v>147</v>
      </c>
      <c r="Z1" s="41" t="s">
        <v>135</v>
      </c>
      <c r="AA1" s="41" t="s">
        <v>76</v>
      </c>
      <c r="AB1" s="41" t="s">
        <v>77</v>
      </c>
      <c r="AC1" s="41" t="s">
        <v>78</v>
      </c>
    </row>
    <row r="2" spans="1:29" ht="43" customHeight="1" x14ac:dyDescent="0.15">
      <c r="A2" s="47">
        <v>50016001</v>
      </c>
      <c r="B2" s="47" t="s">
        <v>470</v>
      </c>
      <c r="C2" s="50">
        <v>1</v>
      </c>
      <c r="D2" s="50" t="s">
        <v>125</v>
      </c>
      <c r="E2" s="51" t="s">
        <v>288</v>
      </c>
      <c r="F2" s="51" t="s">
        <v>262</v>
      </c>
      <c r="G2" s="61" t="str">
        <f>IFERROR(LEFT(B2,FIND("],",B2)),B2)</f>
        <v>[effect:enemy_message, val1:1.4, val2:1.9]</v>
      </c>
      <c r="H2" s="61">
        <f>FIND("effect:",G2)+7</f>
        <v>9</v>
      </c>
      <c r="I2" s="61">
        <f>IFERROR(FIND(",",G2),LEN(G2))</f>
        <v>22</v>
      </c>
      <c r="J2" s="61" t="e">
        <f>FIND("target:",G2)+7</f>
        <v>#VALUE!</v>
      </c>
      <c r="K2" s="61">
        <f>FIND(",",G2,I2+1)</f>
        <v>32</v>
      </c>
      <c r="L2" s="51"/>
      <c r="M2" s="61" t="str">
        <f>IFERROR(VLOOKUP(MID(G2,J2,K2-J2),[5]skilldef!$C:$D,2,FALSE),"-") &amp; " / " &amp; IFERROR(VLOOKUP(MID(G2,H2,I2-H2),[5]skilldef!$A:$B,2,FALSE),"-")</f>
        <v>- / -</v>
      </c>
      <c r="N2" s="61" t="str">
        <f>IFERROR(RIGHT(B2,LEN(B2)-FIND("],",B2)-1),"none")</f>
        <v>[effect:fix_speed, target:myself, turn:1],[effect:hungup, target:unit_all, turn:-1, rate:1, animation:hungup01]</v>
      </c>
      <c r="O2" s="48" t="str">
        <f>IFERROR(LEFT(N2,FIND("],",N2)+#REF!),N2)</f>
        <v>[effect:fix_speed, target:myself, turn:1],[effect:hungup, target:unit_all, turn:-1, rate:1, animation:hungup01]</v>
      </c>
      <c r="P2" s="61">
        <f>FIND("effect:",O2)+7</f>
        <v>9</v>
      </c>
      <c r="Q2" s="61">
        <f>IFERROR(FIND(",",O2),LEN(O2))</f>
        <v>18</v>
      </c>
      <c r="R2" s="61">
        <f>FIND("target:",O2)+7</f>
        <v>27</v>
      </c>
      <c r="S2" s="61">
        <f>FIND(",",O2,Q2+1)</f>
        <v>33</v>
      </c>
      <c r="T2" s="61" t="str">
        <f>IFERROR(VLOOKUP(MID(O2,R2,S2-R2),[5]skilldef!$C:$D,2,FALSE),"-") &amp; " / " &amp; IFERROR(VLOOKUP(MID(O2,P2,Q2-P2),[5]skilldef!$A:$B,2,FALSE),"-")</f>
        <v>自分自身に / 行動値設定</v>
      </c>
      <c r="U2" s="48" t="str">
        <f>IFERROR(RIGHT(N2,LEN(N2)-FIND("],",N2)-1),"none")</f>
        <v>[effect:hungup, target:unit_all, turn:-1, rate:1, animation:hungup01]</v>
      </c>
      <c r="V2" s="61">
        <f>FIND("effect:",U2)+7</f>
        <v>9</v>
      </c>
      <c r="W2" s="61">
        <f>IFERROR(FIND(",",U2),LEN(U2))</f>
        <v>15</v>
      </c>
      <c r="X2" s="61">
        <f>FIND("target:",U2)+7</f>
        <v>24</v>
      </c>
      <c r="Y2" s="61">
        <f>FIND(",",U2,W2+1)</f>
        <v>32</v>
      </c>
      <c r="Z2" s="61" t="str">
        <f>IFERROR(VLOOKUP(MID(U2,X2,Y2-X2),[5]skilldef!$C:$D,2,FALSE),"-") &amp; " / " &amp; IFERROR(VLOOKUP(MID(U2,V2,W2-V2),[5]skilldef!$A:$B,2,FALSE),"-")</f>
        <v>味方全体に / ハングアップ</v>
      </c>
      <c r="AA2" s="50"/>
      <c r="AB2" s="52"/>
      <c r="AC2" s="50"/>
    </row>
    <row r="3" spans="1:29" ht="43" customHeight="1" x14ac:dyDescent="0.15">
      <c r="A3" s="47">
        <v>50016002</v>
      </c>
      <c r="B3" s="47" t="s">
        <v>295</v>
      </c>
      <c r="C3" s="50">
        <v>1</v>
      </c>
      <c r="D3" s="50" t="s">
        <v>125</v>
      </c>
      <c r="E3" s="51" t="s">
        <v>289</v>
      </c>
      <c r="F3" s="51" t="s">
        <v>265</v>
      </c>
      <c r="G3" s="61" t="str">
        <f>IFERROR(LEFT(B3,FIND("],",B3)),B3)</f>
        <v>[effect:enemy_message, val1:1.4, val2:2.2]</v>
      </c>
      <c r="H3" s="61">
        <f>FIND("effect:",G3)+7</f>
        <v>9</v>
      </c>
      <c r="I3" s="61">
        <f>IFERROR(FIND(",",G3),LEN(G3))</f>
        <v>22</v>
      </c>
      <c r="J3" s="61" t="e">
        <f>FIND("target:",G3)+7</f>
        <v>#VALUE!</v>
      </c>
      <c r="K3" s="61">
        <f>FIND(",",G3,I3+1)</f>
        <v>32</v>
      </c>
      <c r="L3" s="51"/>
      <c r="M3" s="61" t="str">
        <f>IFERROR(VLOOKUP(MID(G3,J3,K3-J3),[5]skilldef!$C:$D,2,FALSE),"-") &amp; " / " &amp; IFERROR(VLOOKUP(MID(G3,H3,I3-H3),[5]skilldef!$A:$B,2,FALSE),"-")</f>
        <v>- / -</v>
      </c>
      <c r="N3" s="61" t="str">
        <f>IFERROR(RIGHT(B3,LEN(B3)-FIND("],",B3)-1),"none")</f>
        <v>[effect:exchange_block, block01:block_red, block02:block_blue],[effect:rush, count:1, val:1.0]</v>
      </c>
      <c r="O3" s="48" t="str">
        <f>IFERROR(LEFT(N3,FIND("],",N3)+#REF!),N3)</f>
        <v>[effect:exchange_block, block01:block_red, block02:block_blue],[effect:rush, count:1, val:1.0]</v>
      </c>
      <c r="P3" s="61">
        <f>FIND("effect:",O3)+7</f>
        <v>9</v>
      </c>
      <c r="Q3" s="61">
        <f>IFERROR(FIND(",",O3),LEN(O3))</f>
        <v>23</v>
      </c>
      <c r="R3" s="61" t="e">
        <f>FIND("target:",O3)+7</f>
        <v>#VALUE!</v>
      </c>
      <c r="S3" s="61">
        <f>FIND(",",O3,Q3+1)</f>
        <v>42</v>
      </c>
      <c r="T3" s="61" t="str">
        <f>IFERROR(VLOOKUP(MID(O3,R3,S3-R3),[5]skilldef!$C:$D,2,FALSE),"-") &amp; " / " &amp; IFERROR(VLOOKUP(MID(O3,P3,Q3-P3),[5]skilldef!$A:$B,2,FALSE),"-")</f>
        <v>- / -</v>
      </c>
      <c r="U3" s="48" t="str">
        <f>IFERROR(RIGHT(N3,LEN(N3)-FIND("],",N3)-1),"none")</f>
        <v>[effect:rush, count:1, val:1.0]</v>
      </c>
      <c r="V3" s="61">
        <f>FIND("effect:",U3)+7</f>
        <v>9</v>
      </c>
      <c r="W3" s="61">
        <f>IFERROR(FIND(",",U3),LEN(U3))</f>
        <v>13</v>
      </c>
      <c r="X3" s="61" t="e">
        <f>FIND("target:",U3)+7</f>
        <v>#VALUE!</v>
      </c>
      <c r="Y3" s="61">
        <f>FIND(",",U3,W3+1)</f>
        <v>22</v>
      </c>
      <c r="Z3" s="61" t="str">
        <f>IFERROR(VLOOKUP(MID(U3,X3,Y3-X3),[5]skilldef!$C:$D,2,FALSE),"-") &amp; " / " &amp; IFERROR(VLOOKUP(MID(U3,V3,W3-V3),[5]skilldef!$A:$B,2,FALSE),"-")</f>
        <v>- / 連続攻撃</v>
      </c>
      <c r="AA3" s="50"/>
      <c r="AB3" s="52"/>
      <c r="AC3" s="50"/>
    </row>
    <row r="4" spans="1:29" ht="43" customHeight="1" x14ac:dyDescent="0.15">
      <c r="A4" s="47">
        <v>50016003</v>
      </c>
      <c r="B4" s="47" t="s">
        <v>304</v>
      </c>
      <c r="C4" s="50">
        <v>1</v>
      </c>
      <c r="D4" s="50" t="s">
        <v>125</v>
      </c>
      <c r="E4" s="51" t="s">
        <v>281</v>
      </c>
      <c r="F4" s="51" t="s">
        <v>264</v>
      </c>
      <c r="G4" s="61" t="str">
        <f t="shared" ref="G4" si="0">IFERROR(LEFT(B4,FIND("],",B4)),B4)</f>
        <v>[effect:enemy_message, val1:1.2, val2:2.0]</v>
      </c>
      <c r="H4" s="61">
        <f t="shared" ref="H4" si="1">FIND("effect:",G4)+7</f>
        <v>9</v>
      </c>
      <c r="I4" s="61">
        <f t="shared" ref="I4" si="2">IFERROR(FIND(",",G4),LEN(G4))</f>
        <v>22</v>
      </c>
      <c r="J4" s="61" t="e">
        <f t="shared" ref="J4" si="3">FIND("target:",G4)+7</f>
        <v>#VALUE!</v>
      </c>
      <c r="K4" s="61">
        <f t="shared" ref="K4" si="4">FIND(",",G4,I4+1)</f>
        <v>32</v>
      </c>
      <c r="L4" s="51"/>
      <c r="M4" s="61" t="str">
        <f>IFERROR(VLOOKUP(MID(G4,J4,K4-J4),[5]skilldef!$C:$D,2,FALSE),"-") &amp; " / " &amp; IFERROR(VLOOKUP(MID(G4,H4,I4-H4),[5]skilldef!$A:$B,2,FALSE),"-")</f>
        <v>- / -</v>
      </c>
      <c r="N4" s="61" t="str">
        <f t="shared" ref="N4" si="5">IFERROR(RIGHT(B4,LEN(B4)-FIND("],",B4)-1),"none")</f>
        <v>[effect:attack_break, target:unit_all, turn:2, val:0.8, calc:mul, animation:attack_break02]</v>
      </c>
      <c r="O4" s="48" t="str">
        <f>IFERROR(LEFT(N4,FIND("],",N4)+T10),N4)</f>
        <v>[effect:attack_break, target:unit_all, turn:2, val:0.8, calc:mul, animation:attack_break02]</v>
      </c>
      <c r="P4" s="61">
        <f t="shared" ref="P4" si="6">FIND("effect:",O4)+7</f>
        <v>9</v>
      </c>
      <c r="Q4" s="61">
        <f t="shared" ref="Q4" si="7">IFERROR(FIND(",",O4),LEN(O4))</f>
        <v>21</v>
      </c>
      <c r="R4" s="61">
        <f t="shared" ref="R4" si="8">FIND("target:",O4)+7</f>
        <v>30</v>
      </c>
      <c r="S4" s="61">
        <f t="shared" ref="S4" si="9">FIND(",",O4,Q4+1)</f>
        <v>38</v>
      </c>
      <c r="T4" s="61" t="str">
        <f>IFERROR(VLOOKUP(MID(O4,R4,S4-R4),[5]skilldef!$C:$D,2,FALSE),"-") &amp; " / " &amp; IFERROR(VLOOKUP(MID(O4,P4,Q4-P4),[5]skilldef!$A:$B,2,FALSE),"-")</f>
        <v>味方全体に / -</v>
      </c>
      <c r="U4" s="48" t="str">
        <f t="shared" ref="U4" si="10">IFERROR(RIGHT(N4,LEN(N4)-FIND("],",N4)-1),"none")</f>
        <v>none</v>
      </c>
      <c r="V4" s="61" t="e">
        <f t="shared" ref="V4" si="11">FIND("effect:",U4)+7</f>
        <v>#VALUE!</v>
      </c>
      <c r="W4" s="61">
        <f t="shared" ref="W4" si="12">IFERROR(FIND(",",U4),LEN(U4))</f>
        <v>4</v>
      </c>
      <c r="X4" s="61" t="e">
        <f t="shared" ref="X4" si="13">FIND("target:",U4)+7</f>
        <v>#VALUE!</v>
      </c>
      <c r="Y4" s="61" t="e">
        <f t="shared" ref="Y4" si="14">FIND(",",U4,W4+1)</f>
        <v>#VALUE!</v>
      </c>
      <c r="Z4" s="61" t="str">
        <f>IFERROR(VLOOKUP(MID(U4,X4,Y4-X4),[5]skilldef!$C:$D,2,FALSE),"-") &amp; " / " &amp; IFERROR(VLOOKUP(MID(U4,V4,W4-V4),[5]skilldef!$A:$B,2,FALSE),"-")</f>
        <v>- / -</v>
      </c>
      <c r="AA4" s="50"/>
      <c r="AB4" s="52"/>
      <c r="AC4" s="50"/>
    </row>
    <row r="5" spans="1:29" ht="43" customHeight="1" x14ac:dyDescent="0.15">
      <c r="A5" s="47">
        <v>50016011</v>
      </c>
      <c r="B5" s="114" t="s">
        <v>369</v>
      </c>
      <c r="C5" s="115">
        <v>1</v>
      </c>
      <c r="D5" s="115" t="s">
        <v>125</v>
      </c>
      <c r="E5" s="116" t="s">
        <v>315</v>
      </c>
      <c r="F5" s="116" t="s">
        <v>274</v>
      </c>
      <c r="G5" s="61" t="str">
        <f>IFERROR(LEFT(B5,FIND("],",B5)),B5)</f>
        <v>[effect:enemy_message, val1:1.2, val2:1.4]</v>
      </c>
      <c r="H5" s="61">
        <f>FIND("effect:",G5)+7</f>
        <v>9</v>
      </c>
      <c r="I5" s="61">
        <f>IFERROR(FIND(",",G5),LEN(G5))</f>
        <v>22</v>
      </c>
      <c r="J5" s="61" t="e">
        <f>FIND("target:",G5)+7</f>
        <v>#VALUE!</v>
      </c>
      <c r="K5" s="61">
        <f>FIND(",",G5,I5+1)</f>
        <v>32</v>
      </c>
      <c r="L5" s="51"/>
      <c r="M5" s="61" t="str">
        <f>IFERROR(VLOOKUP(MID(G5,J5,K5-J5),[5]skilldef!$C:$D,2,FALSE),"-") &amp; " / " &amp; IFERROR(VLOOKUP(MID(G5,H5,I5-H5),[5]skilldef!$A:$B,2,FALSE),"-")</f>
        <v>- / -</v>
      </c>
      <c r="N5" s="61" t="str">
        <f>IFERROR(RIGHT(B5,LEN(B5)-FIND("],",B5)-1),"none")</f>
        <v>[effect:fix_speed, target:myself, turn:1],[effect:virus, target:unit_all, turn:4, rate:1, val:0.15, animation:enemy_virus]</v>
      </c>
      <c r="O5" s="48" t="str">
        <f>IFERROR(LEFT(N5,FIND("],",N5)+T14),N5)</f>
        <v>[effect:fix_speed, target:myself, turn:1],[effect:virus, target:unit_all, turn:4, rate:1, val:0.15, animation:enemy_virus]</v>
      </c>
      <c r="P5" s="61">
        <f>FIND("effect:",O5)+7</f>
        <v>9</v>
      </c>
      <c r="Q5" s="61">
        <f>IFERROR(FIND(",",O5),LEN(O5))</f>
        <v>18</v>
      </c>
      <c r="R5" s="61">
        <f>FIND("target:",O5)+7</f>
        <v>27</v>
      </c>
      <c r="S5" s="61">
        <f>FIND(",",O5,Q5+1)</f>
        <v>33</v>
      </c>
      <c r="T5" s="61" t="str">
        <f>IFERROR(VLOOKUP(MID(O5,R5,S5-R5),[5]skilldef!$C:$D,2,FALSE),"-") &amp; " / " &amp; IFERROR(VLOOKUP(MID(O5,P5,Q5-P5),[5]skilldef!$A:$B,2,FALSE),"-")</f>
        <v>自分自身に / 行動値設定</v>
      </c>
      <c r="U5" s="48" t="str">
        <f>IFERROR(RIGHT(N5,LEN(N5)-FIND("],",N5)-1),"none")</f>
        <v>[effect:virus, target:unit_all, turn:4, rate:1, val:0.15, animation:enemy_virus]</v>
      </c>
      <c r="V5" s="61">
        <f>FIND("effect:",U5)+7</f>
        <v>9</v>
      </c>
      <c r="W5" s="61">
        <f>IFERROR(FIND(",",U5),LEN(U5))</f>
        <v>14</v>
      </c>
      <c r="X5" s="61">
        <f>FIND("target:",U5)+7</f>
        <v>23</v>
      </c>
      <c r="Y5" s="61">
        <f>FIND(",",U5,W5+1)</f>
        <v>31</v>
      </c>
      <c r="Z5" s="61" t="str">
        <f>IFERROR(VLOOKUP(MID(U5,X5,Y5-X5),[5]skilldef!$C:$D,2,FALSE),"-") &amp; " / " &amp; IFERROR(VLOOKUP(MID(U5,V5,W5-V5),[5]skilldef!$A:$B,2,FALSE),"-")</f>
        <v>味方全体に / ウィルス</v>
      </c>
      <c r="AA5" s="50"/>
      <c r="AB5" s="52"/>
      <c r="AC5" s="50"/>
    </row>
    <row r="6" spans="1:29" ht="43" customHeight="1" x14ac:dyDescent="0.15">
      <c r="A6" s="47">
        <v>50016012</v>
      </c>
      <c r="B6" s="114" t="s">
        <v>296</v>
      </c>
      <c r="C6" s="115">
        <v>1</v>
      </c>
      <c r="D6" s="115" t="s">
        <v>125</v>
      </c>
      <c r="E6" s="116" t="s">
        <v>282</v>
      </c>
      <c r="F6" s="116" t="s">
        <v>276</v>
      </c>
      <c r="G6" s="61" t="str">
        <f>IFERROR(LEFT(B6,FIND("],",B6)),B6)</f>
        <v>[effect:enemy_message, val1:1.2, val2:2.2]</v>
      </c>
      <c r="H6" s="61">
        <f>FIND("effect:",G6)+7</f>
        <v>9</v>
      </c>
      <c r="I6" s="61">
        <f>IFERROR(FIND(",",G6),LEN(G6))</f>
        <v>22</v>
      </c>
      <c r="J6" s="61" t="e">
        <f>FIND("target:",G6)+7</f>
        <v>#VALUE!</v>
      </c>
      <c r="K6" s="61">
        <f>FIND(",",G6,I6+1)</f>
        <v>32</v>
      </c>
      <c r="L6" s="51"/>
      <c r="M6" s="61" t="str">
        <f>IFERROR(VLOOKUP(MID(G6,J6,K6-J6),[5]skilldef!$C:$D,2,FALSE),"-") &amp; " / " &amp; IFERROR(VLOOKUP(MID(G6,H6,I6-H6),[5]skilldef!$A:$B,2,FALSE),"-")</f>
        <v>- / -</v>
      </c>
      <c r="N6" s="61" t="str">
        <f>IFERROR(RIGHT(B6,LEN(B6)-FIND("],",B6)-1),"none")</f>
        <v>[effect:exchange_block, block01:block_yellow, block02:block_green],[effect:rush, count:1, val:1.0]</v>
      </c>
      <c r="O6" s="48" t="str">
        <f>IFERROR(LEFT(N6,FIND("],",N6)+T15),N6)</f>
        <v>[effect:exchange_block, block01:block_yellow, block02:block_green],[effect:rush, count:1, val:1.0]</v>
      </c>
      <c r="P6" s="61">
        <f>FIND("effect:",O6)+7</f>
        <v>9</v>
      </c>
      <c r="Q6" s="61">
        <f>IFERROR(FIND(",",O6),LEN(O6))</f>
        <v>23</v>
      </c>
      <c r="R6" s="61" t="e">
        <f>FIND("target:",O6)+7</f>
        <v>#VALUE!</v>
      </c>
      <c r="S6" s="61">
        <f>FIND(",",O6,Q6+1)</f>
        <v>45</v>
      </c>
      <c r="T6" s="61" t="str">
        <f>IFERROR(VLOOKUP(MID(O6,R6,S6-R6),[5]skilldef!$C:$D,2,FALSE),"-") &amp; " / " &amp; IFERROR(VLOOKUP(MID(O6,P6,Q6-P6),[5]skilldef!$A:$B,2,FALSE),"-")</f>
        <v>- / -</v>
      </c>
      <c r="U6" s="48" t="str">
        <f>IFERROR(RIGHT(N6,LEN(N6)-FIND("],",N6)-1),"none")</f>
        <v>[effect:rush, count:1, val:1.0]</v>
      </c>
      <c r="V6" s="61">
        <f>FIND("effect:",U6)+7</f>
        <v>9</v>
      </c>
      <c r="W6" s="61">
        <f>IFERROR(FIND(",",U6),LEN(U6))</f>
        <v>13</v>
      </c>
      <c r="X6" s="61" t="e">
        <f>FIND("target:",U6)+7</f>
        <v>#VALUE!</v>
      </c>
      <c r="Y6" s="61">
        <f>FIND(",",U6,W6+1)</f>
        <v>22</v>
      </c>
      <c r="Z6" s="61" t="str">
        <f>IFERROR(VLOOKUP(MID(U6,X6,Y6-X6),[5]skilldef!$C:$D,2,FALSE),"-") &amp; " / " &amp; IFERROR(VLOOKUP(MID(U6,V6,W6-V6),[5]skilldef!$A:$B,2,FALSE),"-")</f>
        <v>- / 連続攻撃</v>
      </c>
      <c r="AA6" s="50"/>
      <c r="AB6" s="52"/>
      <c r="AC6" s="50"/>
    </row>
    <row r="7" spans="1:29" ht="43" customHeight="1" x14ac:dyDescent="0.15">
      <c r="A7" s="47">
        <v>50016013</v>
      </c>
      <c r="B7" s="114" t="s">
        <v>370</v>
      </c>
      <c r="C7" s="115">
        <v>1</v>
      </c>
      <c r="D7" s="115" t="s">
        <v>125</v>
      </c>
      <c r="E7" s="116" t="s">
        <v>335</v>
      </c>
      <c r="F7" s="116" t="s">
        <v>316</v>
      </c>
      <c r="G7" s="61" t="str">
        <f t="shared" ref="G7:G12" si="15">IFERROR(LEFT(B7,FIND("],",B7)),B7)</f>
        <v>[effect:enemy_message, val1:1.3, val2:2.0]</v>
      </c>
      <c r="H7" s="61">
        <f t="shared" ref="H7:H12" si="16">FIND("effect:",G7)+7</f>
        <v>9</v>
      </c>
      <c r="I7" s="61">
        <f t="shared" ref="I7:I12" si="17">IFERROR(FIND(",",G7),LEN(G7))</f>
        <v>22</v>
      </c>
      <c r="J7" s="61" t="e">
        <f t="shared" ref="J7:J12" si="18">FIND("target:",G7)+7</f>
        <v>#VALUE!</v>
      </c>
      <c r="K7" s="61">
        <f t="shared" ref="K7:K12" si="19">FIND(",",G7,I7+1)</f>
        <v>32</v>
      </c>
      <c r="L7" s="51"/>
      <c r="M7" s="61" t="str">
        <f>IFERROR(VLOOKUP(MID(G7,J7,K7-J7),[5]skilldef!$C:$D,2,FALSE),"-") &amp; " / " &amp; IFERROR(VLOOKUP(MID(G7,H7,I7-H7),[5]skilldef!$A:$B,2,FALSE),"-")</f>
        <v>- / -</v>
      </c>
      <c r="N7" s="61" t="str">
        <f t="shared" ref="N7:N12" si="20">IFERROR(RIGHT(B7,LEN(B7)-FIND("],",B7)-1),"none")</f>
        <v>[effect:degrade_unit, target:unit_all, turn:2, status:heal, val:0.8, calc:mul, animation:degrade_unit_all_heal]</v>
      </c>
      <c r="O7" s="48" t="str">
        <f>IFERROR(LEFT(N7,FIND("],",N7)+T16),N7)</f>
        <v>[effect:degrade_unit, target:unit_all, turn:2, status:heal, val:0.8, calc:mul, animation:degrade_unit_all_heal]</v>
      </c>
      <c r="P7" s="61">
        <f t="shared" ref="P7:P12" si="21">FIND("effect:",O7)+7</f>
        <v>9</v>
      </c>
      <c r="Q7" s="61">
        <f t="shared" ref="Q7:Q12" si="22">IFERROR(FIND(",",O7),LEN(O7))</f>
        <v>21</v>
      </c>
      <c r="R7" s="61">
        <f t="shared" ref="R7:R12" si="23">FIND("target:",O7)+7</f>
        <v>30</v>
      </c>
      <c r="S7" s="61">
        <f t="shared" ref="S7:S12" si="24">FIND(",",O7,Q7+1)</f>
        <v>38</v>
      </c>
      <c r="T7" s="61" t="str">
        <f>IFERROR(VLOOKUP(MID(O7,R7,S7-R7),[5]skilldef!$C:$D,2,FALSE),"-") &amp; " / " &amp; IFERROR(VLOOKUP(MID(O7,P7,Q7-P7),[5]skilldef!$A:$B,2,FALSE),"-")</f>
        <v>味方全体に / ステータスDOWN</v>
      </c>
      <c r="U7" s="48" t="str">
        <f t="shared" ref="U7:U12" si="25">IFERROR(RIGHT(N7,LEN(N7)-FIND("],",N7)-1),"none")</f>
        <v>none</v>
      </c>
      <c r="V7" s="61" t="e">
        <f t="shared" ref="V7:V12" si="26">FIND("effect:",U7)+7</f>
        <v>#VALUE!</v>
      </c>
      <c r="W7" s="61">
        <f t="shared" ref="W7:W12" si="27">IFERROR(FIND(",",U7),LEN(U7))</f>
        <v>4</v>
      </c>
      <c r="X7" s="61" t="e">
        <f t="shared" ref="X7:X12" si="28">FIND("target:",U7)+7</f>
        <v>#VALUE!</v>
      </c>
      <c r="Y7" s="61" t="e">
        <f t="shared" ref="Y7:Y12" si="29">FIND(",",U7,W7+1)</f>
        <v>#VALUE!</v>
      </c>
      <c r="Z7" s="61" t="str">
        <f>IFERROR(VLOOKUP(MID(U7,X7,Y7-X7),[5]skilldef!$C:$D,2,FALSE),"-") &amp; " / " &amp; IFERROR(VLOOKUP(MID(U7,V7,W7-V7),[5]skilldef!$A:$B,2,FALSE),"-")</f>
        <v>- / -</v>
      </c>
      <c r="AA7" s="50"/>
      <c r="AB7" s="52"/>
      <c r="AC7" s="50"/>
    </row>
    <row r="8" spans="1:29" ht="43" customHeight="1" x14ac:dyDescent="0.15">
      <c r="A8" s="47">
        <v>50016014</v>
      </c>
      <c r="B8" s="114" t="s">
        <v>369</v>
      </c>
      <c r="C8" s="115">
        <v>1</v>
      </c>
      <c r="D8" s="115" t="s">
        <v>125</v>
      </c>
      <c r="E8" s="120" t="s">
        <v>326</v>
      </c>
      <c r="F8" s="120" t="s">
        <v>325</v>
      </c>
      <c r="G8" s="61" t="str">
        <f t="shared" ref="G8" si="30">IFERROR(LEFT(B8,FIND("],",B8)),B8)</f>
        <v>[effect:enemy_message, val1:1.2, val2:1.4]</v>
      </c>
      <c r="H8" s="61">
        <f t="shared" ref="H8" si="31">FIND("effect:",G8)+7</f>
        <v>9</v>
      </c>
      <c r="I8" s="61">
        <f t="shared" ref="I8" si="32">IFERROR(FIND(",",G8),LEN(G8))</f>
        <v>22</v>
      </c>
      <c r="J8" s="61" t="e">
        <f t="shared" ref="J8" si="33">FIND("target:",G8)+7</f>
        <v>#VALUE!</v>
      </c>
      <c r="K8" s="61">
        <f t="shared" ref="K8" si="34">FIND(",",G8,I8+1)</f>
        <v>32</v>
      </c>
      <c r="L8" s="51" t="s">
        <v>322</v>
      </c>
      <c r="M8" s="61" t="str">
        <f>IFERROR(VLOOKUP(MID(G8,J8,K8-J8),[5]skilldef!$C:$D,2,FALSE),"-") &amp; " / " &amp; IFERROR(VLOOKUP(MID(G8,H8,I8-H8),[5]skilldef!$A:$B,2,FALSE),"-")</f>
        <v>- / -</v>
      </c>
      <c r="N8" s="61" t="str">
        <f t="shared" ref="N8" si="35">IFERROR(RIGHT(B8,LEN(B8)-FIND("],",B8)-1),"none")</f>
        <v>[effect:fix_speed, target:myself, turn:1],[effect:virus, target:unit_all, turn:4, rate:1, val:0.15, animation:enemy_virus]</v>
      </c>
      <c r="O8" s="48" t="str">
        <f>IFERROR(LEFT(N8,FIND("],",N8)+T17),N8)</f>
        <v>[effect:fix_speed, target:myself, turn:1],[effect:virus, target:unit_all, turn:4, rate:1, val:0.15, animation:enemy_virus]</v>
      </c>
      <c r="P8" s="61">
        <f t="shared" ref="P8" si="36">FIND("effect:",O8)+7</f>
        <v>9</v>
      </c>
      <c r="Q8" s="61">
        <f t="shared" ref="Q8" si="37">IFERROR(FIND(",",O8),LEN(O8))</f>
        <v>18</v>
      </c>
      <c r="R8" s="61">
        <f t="shared" ref="R8" si="38">FIND("target:",O8)+7</f>
        <v>27</v>
      </c>
      <c r="S8" s="61">
        <f t="shared" ref="S8" si="39">FIND(",",O8,Q8+1)</f>
        <v>33</v>
      </c>
      <c r="T8" s="61" t="str">
        <f>IFERROR(VLOOKUP(MID(O8,R8,S8-R8),[5]skilldef!$C:$D,2,FALSE),"-") &amp; " / " &amp; IFERROR(VLOOKUP(MID(O8,P8,Q8-P8),[5]skilldef!$A:$B,2,FALSE),"-")</f>
        <v>自分自身に / 行動値設定</v>
      </c>
      <c r="U8" s="48" t="str">
        <f t="shared" ref="U8" si="40">IFERROR(RIGHT(N8,LEN(N8)-FIND("],",N8)-1),"none")</f>
        <v>[effect:virus, target:unit_all, turn:4, rate:1, val:0.15, animation:enemy_virus]</v>
      </c>
      <c r="V8" s="61">
        <f t="shared" ref="V8" si="41">FIND("effect:",U8)+7</f>
        <v>9</v>
      </c>
      <c r="W8" s="61">
        <f t="shared" ref="W8" si="42">IFERROR(FIND(",",U8),LEN(U8))</f>
        <v>14</v>
      </c>
      <c r="X8" s="61">
        <f t="shared" ref="X8" si="43">FIND("target:",U8)+7</f>
        <v>23</v>
      </c>
      <c r="Y8" s="61">
        <f t="shared" ref="Y8" si="44">FIND(",",U8,W8+1)</f>
        <v>31</v>
      </c>
      <c r="Z8" s="61" t="str">
        <f>IFERROR(VLOOKUP(MID(U8,X8,Y8-X8),[5]skilldef!$C:$D,2,FALSE),"-") &amp; " / " &amp; IFERROR(VLOOKUP(MID(U8,V8,W8-V8),[5]skilldef!$A:$B,2,FALSE),"-")</f>
        <v>味方全体に / ウィルス</v>
      </c>
      <c r="AA8" s="50"/>
      <c r="AB8" s="52"/>
      <c r="AC8" s="50"/>
    </row>
    <row r="9" spans="1:29" ht="43" customHeight="1" x14ac:dyDescent="0.15">
      <c r="A9" s="47">
        <v>50016015</v>
      </c>
      <c r="B9" s="114" t="s">
        <v>371</v>
      </c>
      <c r="C9" s="115">
        <v>1</v>
      </c>
      <c r="D9" s="115" t="s">
        <v>125</v>
      </c>
      <c r="E9" s="120" t="s">
        <v>324</v>
      </c>
      <c r="F9" s="120" t="s">
        <v>321</v>
      </c>
      <c r="G9" s="61" t="str">
        <f t="shared" ref="G9" si="45">IFERROR(LEFT(B9,FIND("],",B9)),B9)</f>
        <v>[effect:enemy_message, val1:1.2, val2:0.0]</v>
      </c>
      <c r="H9" s="61">
        <f t="shared" ref="H9" si="46">FIND("effect:",G9)+7</f>
        <v>9</v>
      </c>
      <c r="I9" s="61">
        <f t="shared" ref="I9" si="47">IFERROR(FIND(",",G9),LEN(G9))</f>
        <v>22</v>
      </c>
      <c r="J9" s="61" t="e">
        <f t="shared" ref="J9" si="48">FIND("target:",G9)+7</f>
        <v>#VALUE!</v>
      </c>
      <c r="K9" s="61">
        <f t="shared" ref="K9" si="49">FIND(",",G9,I9+1)</f>
        <v>32</v>
      </c>
      <c r="L9" s="51" t="s">
        <v>323</v>
      </c>
      <c r="M9" s="61" t="str">
        <f>IFERROR(VLOOKUP(MID(G9,J9,K9-J9),[5]skilldef!$C:$D,2,FALSE),"-") &amp; " / " &amp; IFERROR(VLOOKUP(MID(G9,H9,I9-H9),[5]skilldef!$A:$B,2,FALSE),"-")</f>
        <v>- / -</v>
      </c>
      <c r="N9" s="61" t="str">
        <f t="shared" ref="N9" si="50">IFERROR(RIGHT(B9,LEN(B9)-FIND("],",B9)-1),"none")</f>
        <v>none</v>
      </c>
      <c r="O9" s="48" t="str">
        <f>IFERROR(LEFT(N9,FIND("],",N9)+T18),N9)</f>
        <v>none</v>
      </c>
      <c r="P9" s="61" t="e">
        <f t="shared" ref="P9" si="51">FIND("effect:",O9)+7</f>
        <v>#VALUE!</v>
      </c>
      <c r="Q9" s="61">
        <f t="shared" ref="Q9" si="52">IFERROR(FIND(",",O9),LEN(O9))</f>
        <v>4</v>
      </c>
      <c r="R9" s="61" t="e">
        <f t="shared" ref="R9" si="53">FIND("target:",O9)+7</f>
        <v>#VALUE!</v>
      </c>
      <c r="S9" s="61" t="e">
        <f t="shared" ref="S9" si="54">FIND(",",O9,Q9+1)</f>
        <v>#VALUE!</v>
      </c>
      <c r="T9" s="61" t="str">
        <f>IFERROR(VLOOKUP(MID(O9,R9,S9-R9),[5]skilldef!$C:$D,2,FALSE),"-") &amp; " / " &amp; IFERROR(VLOOKUP(MID(O9,P9,Q9-P9),[5]skilldef!$A:$B,2,FALSE),"-")</f>
        <v>- / -</v>
      </c>
      <c r="U9" s="48" t="str">
        <f t="shared" ref="U9" si="55">IFERROR(RIGHT(N9,LEN(N9)-FIND("],",N9)-1),"none")</f>
        <v>none</v>
      </c>
      <c r="V9" s="61" t="e">
        <f t="shared" ref="V9" si="56">FIND("effect:",U9)+7</f>
        <v>#VALUE!</v>
      </c>
      <c r="W9" s="61">
        <f t="shared" ref="W9" si="57">IFERROR(FIND(",",U9),LEN(U9))</f>
        <v>4</v>
      </c>
      <c r="X9" s="61" t="e">
        <f t="shared" ref="X9" si="58">FIND("target:",U9)+7</f>
        <v>#VALUE!</v>
      </c>
      <c r="Y9" s="61" t="e">
        <f t="shared" ref="Y9" si="59">FIND(",",U9,W9+1)</f>
        <v>#VALUE!</v>
      </c>
      <c r="Z9" s="61" t="str">
        <f>IFERROR(VLOOKUP(MID(U9,X9,Y9-X9),[5]skilldef!$C:$D,2,FALSE),"-") &amp; " / " &amp; IFERROR(VLOOKUP(MID(U9,V9,W9-V9),[5]skilldef!$A:$B,2,FALSE),"-")</f>
        <v>- / -</v>
      </c>
      <c r="AA9" s="50"/>
      <c r="AB9" s="52"/>
      <c r="AC9" s="50"/>
    </row>
    <row r="10" spans="1:29" ht="43" customHeight="1" x14ac:dyDescent="0.15">
      <c r="A10" s="47">
        <v>50016021</v>
      </c>
      <c r="B10" s="117" t="s">
        <v>436</v>
      </c>
      <c r="C10" s="118">
        <v>1</v>
      </c>
      <c r="D10" s="118" t="s">
        <v>125</v>
      </c>
      <c r="E10" s="119" t="s">
        <v>277</v>
      </c>
      <c r="F10" s="119" t="s">
        <v>430</v>
      </c>
      <c r="G10" s="61" t="str">
        <f t="shared" si="15"/>
        <v>[effect:enemy_message, val1:1.2, val2:2.6]</v>
      </c>
      <c r="H10" s="61">
        <f t="shared" si="16"/>
        <v>9</v>
      </c>
      <c r="I10" s="61">
        <f t="shared" si="17"/>
        <v>22</v>
      </c>
      <c r="J10" s="61" t="e">
        <f t="shared" si="18"/>
        <v>#VALUE!</v>
      </c>
      <c r="K10" s="61">
        <f t="shared" si="19"/>
        <v>32</v>
      </c>
      <c r="L10" s="51"/>
      <c r="M10" s="61" t="str">
        <f>IFERROR(VLOOKUP(MID(G10,J10,K10-J10),[5]skilldef!$C:$D,2,FALSE),"-") &amp; " / " &amp; IFERROR(VLOOKUP(MID(G10,H10,I10-H10),[5]skilldef!$A:$B,2,FALSE),"-")</f>
        <v>- / -</v>
      </c>
      <c r="N10" s="61" t="str">
        <f t="shared" si="20"/>
        <v>[effect:sp_boost, target:unit_blue, val:1, animation:sp_boost_one02],[effect:rush, count:1, val:1.0]</v>
      </c>
      <c r="O10" s="48" t="str">
        <f>IFERROR(LEFT(N10,FIND("],",N10)+T17),N10)</f>
        <v>[effect:sp_boost, target:unit_blue, val:1, animation:sp_boost_one02],[effect:rush, count:1, val:1.0]</v>
      </c>
      <c r="P10" s="61">
        <f t="shared" si="21"/>
        <v>9</v>
      </c>
      <c r="Q10" s="61">
        <f t="shared" si="22"/>
        <v>17</v>
      </c>
      <c r="R10" s="61">
        <f t="shared" si="23"/>
        <v>26</v>
      </c>
      <c r="S10" s="61">
        <f t="shared" si="24"/>
        <v>35</v>
      </c>
      <c r="T10" s="61" t="str">
        <f>IFERROR(VLOOKUP(MID(O10,R10,S10-R10),[5]skilldef!$C:$D,2,FALSE),"-") &amp; " / " &amp; IFERROR(VLOOKUP(MID(O10,P10,Q10-P10),[5]skilldef!$A:$B,2,FALSE),"-")</f>
        <v>青の味方に / -</v>
      </c>
      <c r="U10" s="48" t="str">
        <f t="shared" si="25"/>
        <v>[effect:rush, count:1, val:1.0]</v>
      </c>
      <c r="V10" s="61">
        <f t="shared" si="26"/>
        <v>9</v>
      </c>
      <c r="W10" s="61">
        <f t="shared" si="27"/>
        <v>13</v>
      </c>
      <c r="X10" s="61" t="e">
        <f t="shared" si="28"/>
        <v>#VALUE!</v>
      </c>
      <c r="Y10" s="61">
        <f t="shared" si="29"/>
        <v>22</v>
      </c>
      <c r="Z10" s="61" t="str">
        <f>IFERROR(VLOOKUP(MID(U10,X10,Y10-X10),[5]skilldef!$C:$D,2,FALSE),"-") &amp; " / " &amp; IFERROR(VLOOKUP(MID(U10,V10,W10-V10),[5]skilldef!$A:$B,2,FALSE),"-")</f>
        <v>- / 連続攻撃</v>
      </c>
      <c r="AA10" s="50"/>
      <c r="AB10" s="52"/>
      <c r="AC10" s="50"/>
    </row>
    <row r="11" spans="1:29" ht="43" customHeight="1" x14ac:dyDescent="0.15">
      <c r="A11" s="47">
        <v>50016022</v>
      </c>
      <c r="B11" s="117" t="s">
        <v>372</v>
      </c>
      <c r="C11" s="118">
        <v>1</v>
      </c>
      <c r="D11" s="118" t="s">
        <v>125</v>
      </c>
      <c r="E11" s="119" t="s">
        <v>294</v>
      </c>
      <c r="F11" s="119" t="s">
        <v>280</v>
      </c>
      <c r="G11" s="61" t="str">
        <f t="shared" ref="G11" si="60">IFERROR(LEFT(B11,FIND("],",B11)),B11)</f>
        <v>[effect:enemy_message, val1:1.2, val2:1.2]</v>
      </c>
      <c r="H11" s="61">
        <f t="shared" ref="H11" si="61">FIND("effect:",G11)+7</f>
        <v>9</v>
      </c>
      <c r="I11" s="61">
        <f t="shared" ref="I11" si="62">IFERROR(FIND(",",G11),LEN(G11))</f>
        <v>22</v>
      </c>
      <c r="J11" s="61" t="e">
        <f t="shared" ref="J11" si="63">FIND("target:",G11)+7</f>
        <v>#VALUE!</v>
      </c>
      <c r="K11" s="61">
        <f t="shared" ref="K11" si="64">FIND(",",G11,I11+1)</f>
        <v>32</v>
      </c>
      <c r="L11" s="51"/>
      <c r="M11" s="61" t="str">
        <f>IFERROR(VLOOKUP(MID(G11,J11,K11-J11),[5]skilldef!$C:$D,2,FALSE),"-") &amp; " / " &amp; IFERROR(VLOOKUP(MID(G11,H11,I11-H11),[5]skilldef!$A:$B,2,FALSE),"-")</f>
        <v>- / -</v>
      </c>
      <c r="N11" s="61" t="str">
        <f t="shared" ref="N11" si="65">IFERROR(RIGHT(B11,LEN(B11)-FIND("],",B11)-1),"none")</f>
        <v>[effect:enhance_enemy, target:myself, turn:-1, status:attack, val:0.7, calc:mul, animation:enemy_enhance_attack],[effect:rush, count:1, val:1.0]</v>
      </c>
      <c r="O11" s="48" t="str">
        <f>IFERROR(LEFT(N11,FIND("],",N11)+T17),N11)</f>
        <v>[effect:enhance_enemy, target:myself, turn:-1, status:attack, val:0.7, calc:mul, animation:enemy_enhance_attack],[effect:rush, count:1, val:1.0]</v>
      </c>
      <c r="P11" s="61">
        <f t="shared" ref="P11" si="66">FIND("effect:",O11)+7</f>
        <v>9</v>
      </c>
      <c r="Q11" s="61">
        <f t="shared" ref="Q11" si="67">IFERROR(FIND(",",O11),LEN(O11))</f>
        <v>22</v>
      </c>
      <c r="R11" s="61">
        <f t="shared" ref="R11" si="68">FIND("target:",O11)+7</f>
        <v>31</v>
      </c>
      <c r="S11" s="61">
        <f t="shared" ref="S11" si="69">FIND(",",O11,Q11+1)</f>
        <v>37</v>
      </c>
      <c r="T11" s="61" t="str">
        <f>IFERROR(VLOOKUP(MID(O11,R11,S11-R11),[5]skilldef!$C:$D,2,FALSE),"-") &amp; " / " &amp; IFERROR(VLOOKUP(MID(O11,P11,Q11-P11),[5]skilldef!$A:$B,2,FALSE),"-")</f>
        <v>自分自身に / ステータス強化</v>
      </c>
      <c r="U11" s="48" t="str">
        <f t="shared" ref="U11" si="70">IFERROR(RIGHT(N11,LEN(N11)-FIND("],",N11)-1),"none")</f>
        <v>[effect:rush, count:1, val:1.0]</v>
      </c>
      <c r="V11" s="61">
        <f t="shared" ref="V11" si="71">FIND("effect:",U11)+7</f>
        <v>9</v>
      </c>
      <c r="W11" s="61">
        <f t="shared" ref="W11" si="72">IFERROR(FIND(",",U11),LEN(U11))</f>
        <v>13</v>
      </c>
      <c r="X11" s="61" t="e">
        <f t="shared" ref="X11" si="73">FIND("target:",U11)+7</f>
        <v>#VALUE!</v>
      </c>
      <c r="Y11" s="61">
        <f t="shared" ref="Y11" si="74">FIND(",",U11,W11+1)</f>
        <v>22</v>
      </c>
      <c r="Z11" s="61" t="str">
        <f>IFERROR(VLOOKUP(MID(U11,X11,Y11-X11),[5]skilldef!$C:$D,2,FALSE),"-") &amp; " / " &amp; IFERROR(VLOOKUP(MID(U11,V11,W11-V11),[5]skilldef!$A:$B,2,FALSE),"-")</f>
        <v>- / 連続攻撃</v>
      </c>
      <c r="AA11" s="50"/>
      <c r="AB11" s="52"/>
      <c r="AC11" s="50"/>
    </row>
    <row r="12" spans="1:29" ht="43" customHeight="1" x14ac:dyDescent="0.15">
      <c r="A12" s="47">
        <v>50016023</v>
      </c>
      <c r="B12" s="117" t="s">
        <v>481</v>
      </c>
      <c r="C12" s="118">
        <v>1</v>
      </c>
      <c r="D12" s="118" t="s">
        <v>125</v>
      </c>
      <c r="E12" s="119" t="s">
        <v>278</v>
      </c>
      <c r="F12" s="119" t="s">
        <v>480</v>
      </c>
      <c r="G12" s="61" t="str">
        <f t="shared" si="15"/>
        <v>[effect:enemy_message, val1:1.2, val2:2.5]</v>
      </c>
      <c r="H12" s="61">
        <f t="shared" si="16"/>
        <v>9</v>
      </c>
      <c r="I12" s="61">
        <f t="shared" si="17"/>
        <v>22</v>
      </c>
      <c r="J12" s="61" t="e">
        <f t="shared" si="18"/>
        <v>#VALUE!</v>
      </c>
      <c r="K12" s="61">
        <f t="shared" si="19"/>
        <v>32</v>
      </c>
      <c r="L12" s="51"/>
      <c r="M12" s="61" t="str">
        <f>IFERROR(VLOOKUP(MID(G12,J12,K12-J12),[5]skilldef!$C:$D,2,FALSE),"-") &amp; " / " &amp; IFERROR(VLOOKUP(MID(G12,H12,I12-H12),[5]skilldef!$A:$B,2,FALSE),"-")</f>
        <v>- / -</v>
      </c>
      <c r="N12" s="61" t="str">
        <f t="shared" si="20"/>
        <v>[effect:force_change_block, new_block:damage, target:normal, count:3, val:0.15],[effect:rush, count:1, val:1.0]</v>
      </c>
      <c r="O12" s="48" t="str">
        <f>IFERROR(LEFT(N12,FIND("],",N12)+T18),N12)</f>
        <v>[effect:force_change_block, new_block:damage, target:normal, count:3, val:0.15],[effect:rush, count:1, val:1.0]</v>
      </c>
      <c r="P12" s="61">
        <f t="shared" si="21"/>
        <v>9</v>
      </c>
      <c r="Q12" s="61">
        <f t="shared" si="22"/>
        <v>27</v>
      </c>
      <c r="R12" s="61">
        <f t="shared" si="23"/>
        <v>54</v>
      </c>
      <c r="S12" s="61">
        <f t="shared" si="24"/>
        <v>45</v>
      </c>
      <c r="T12" s="61" t="str">
        <f>IFERROR(VLOOKUP(MID(O12,R12,S12-R12),[5]skilldef!$C:$D,2,FALSE),"-") &amp; " / " &amp; IFERROR(VLOOKUP(MID(O12,P12,Q12-P12),[5]skilldef!$A:$B,2,FALSE),"-")</f>
        <v>- / -</v>
      </c>
      <c r="U12" s="48" t="str">
        <f t="shared" si="25"/>
        <v>[effect:rush, count:1, val:1.0]</v>
      </c>
      <c r="V12" s="61">
        <f t="shared" si="26"/>
        <v>9</v>
      </c>
      <c r="W12" s="61">
        <f t="shared" si="27"/>
        <v>13</v>
      </c>
      <c r="X12" s="61" t="e">
        <f t="shared" si="28"/>
        <v>#VALUE!</v>
      </c>
      <c r="Y12" s="61">
        <f t="shared" si="29"/>
        <v>22</v>
      </c>
      <c r="Z12" s="61" t="str">
        <f>IFERROR(VLOOKUP(MID(U12,X12,Y12-X12),[5]skilldef!$C:$D,2,FALSE),"-") &amp; " / " &amp; IFERROR(VLOOKUP(MID(U12,V12,W12-V12),[5]skilldef!$A:$B,2,FALSE),"-")</f>
        <v>- / 連続攻撃</v>
      </c>
      <c r="AA12" s="50"/>
      <c r="AB12" s="52"/>
      <c r="AC12" s="50"/>
    </row>
    <row r="13" spans="1:29" ht="43" customHeight="1" x14ac:dyDescent="0.15">
      <c r="A13" s="113">
        <v>50016101</v>
      </c>
      <c r="B13" s="47" t="s">
        <v>373</v>
      </c>
      <c r="C13" s="50">
        <v>1</v>
      </c>
      <c r="D13" s="50" t="s">
        <v>125</v>
      </c>
      <c r="E13" s="51" t="s">
        <v>423</v>
      </c>
      <c r="F13" s="51" t="s">
        <v>337</v>
      </c>
      <c r="G13" s="61" t="str">
        <f>IFERROR(LEFT(B13,FIND("],",B13)),B13)</f>
        <v>[effect:enemy_message, val1:2.4, val2:2.6]</v>
      </c>
      <c r="H13" s="61">
        <f>FIND("effect:",G13)+7</f>
        <v>9</v>
      </c>
      <c r="I13" s="61">
        <f>IFERROR(FIND(",",G13),LEN(G13))</f>
        <v>22</v>
      </c>
      <c r="J13" s="61" t="e">
        <f>FIND("target:",G13)+7</f>
        <v>#VALUE!</v>
      </c>
      <c r="K13" s="61">
        <f>FIND(",",G13,I13+1)</f>
        <v>32</v>
      </c>
      <c r="L13" s="51"/>
      <c r="M13" s="61" t="str">
        <f>IFERROR(VLOOKUP(MID(G13,J13,K13-J13),[5]skilldef!$C:$D,2,FALSE),"-") &amp; " / " &amp; IFERROR(VLOOKUP(MID(G13,H13,I13-H13),[5]skilldef!$A:$B,2,FALSE),"-")</f>
        <v>- / -</v>
      </c>
      <c r="N13" s="61" t="str">
        <f>IFERROR(RIGHT(B13,LEN(B13)-FIND("],",B13)-1),"none")</f>
        <v>[effect:fix_speed, target:myself, turn:1],[effect:remove_enhancement, target:unit_all, target_effect:all, animation:frozen_wave],[effect:change_panel_ratio, turn:-1, block_type:green, val:0, animation:block_incidence04],[effect:tolerance, target:myself, turn:-1, count:-1, tolerance_effect:all, animation:enemy_tolerance]</v>
      </c>
      <c r="O13" s="48" t="str">
        <f>IFERROR(LEFT(N13,FIND("],",N13)+#REF!),N13)</f>
        <v>[effect:fix_speed, target:myself, turn:1],[effect:remove_enhancement, target:unit_all, target_effect:all, animation:frozen_wave],[effect:change_panel_ratio, turn:-1, block_type:green, val:0, animation:block_incidence04],[effect:tolerance, target:myself, turn:-1, count:-1, tolerance_effect:all, animation:enemy_tolerance]</v>
      </c>
      <c r="P13" s="61">
        <f>FIND("effect:",O13)+7</f>
        <v>9</v>
      </c>
      <c r="Q13" s="61">
        <f>IFERROR(FIND(",",O13),LEN(O13))</f>
        <v>18</v>
      </c>
      <c r="R13" s="61">
        <f>FIND("target:",O13)+7</f>
        <v>27</v>
      </c>
      <c r="S13" s="61">
        <f>FIND(",",O13,Q13+1)</f>
        <v>33</v>
      </c>
      <c r="T13" s="61" t="str">
        <f>IFERROR(VLOOKUP(MID(O13,R13,S13-R13),[5]skilldef!$C:$D,2,FALSE),"-") &amp; " / " &amp; IFERROR(VLOOKUP(MID(O13,P13,Q13-P13),[5]skilldef!$A:$B,2,FALSE),"-")</f>
        <v>自分自身に / 行動値設定</v>
      </c>
      <c r="U13" s="48" t="str">
        <f>IFERROR(RIGHT(N13,LEN(N13)-FIND("],",N13)-1),"none")</f>
        <v>[effect:remove_enhancement, target:unit_all, target_effect:all, animation:frozen_wave],[effect:change_panel_ratio, turn:-1, block_type:green, val:0, animation:block_incidence04],[effect:tolerance, target:myself, turn:-1, count:-1, tolerance_effect:all, animation:enemy_tolerance]</v>
      </c>
      <c r="V13" s="61">
        <f>FIND("effect:",U13)+7</f>
        <v>9</v>
      </c>
      <c r="W13" s="61">
        <f>IFERROR(FIND(",",U13),LEN(U13))</f>
        <v>27</v>
      </c>
      <c r="X13" s="61">
        <f>FIND("target:",U13)+7</f>
        <v>36</v>
      </c>
      <c r="Y13" s="61">
        <f>FIND(",",U13,W13+1)</f>
        <v>44</v>
      </c>
      <c r="Z13" s="61" t="str">
        <f>IFERROR(VLOOKUP(MID(U13,X13,Y13-X13),[5]skilldef!$C:$D,2,FALSE),"-") &amp; " / " &amp; IFERROR(VLOOKUP(MID(U13,V13,W13-V13),[5]skilldef!$A:$B,2,FALSE),"-")</f>
        <v>味方全体に / -</v>
      </c>
      <c r="AA13" s="50"/>
      <c r="AB13" s="52"/>
      <c r="AC13" s="50"/>
    </row>
    <row r="14" spans="1:29" ht="43" customHeight="1" x14ac:dyDescent="0.15">
      <c r="A14" s="113">
        <v>50016102</v>
      </c>
      <c r="B14" s="47" t="s">
        <v>374</v>
      </c>
      <c r="C14" s="50">
        <v>1</v>
      </c>
      <c r="D14" s="50" t="s">
        <v>125</v>
      </c>
      <c r="E14" s="51" t="s">
        <v>310</v>
      </c>
      <c r="F14" s="51" t="s">
        <v>404</v>
      </c>
      <c r="G14" s="61" t="str">
        <f t="shared" ref="G14:G17" si="75">IFERROR(LEFT(B14,FIND("],",B14)),B14)</f>
        <v>[effect:enemy_message, val1:1.2, val2:4.9]</v>
      </c>
      <c r="H14" s="61">
        <f t="shared" ref="H14:H28" si="76">FIND("effect:",G14)+7</f>
        <v>9</v>
      </c>
      <c r="I14" s="61">
        <f t="shared" ref="I14:I17" si="77">IFERROR(FIND(",",G14),LEN(G14))</f>
        <v>22</v>
      </c>
      <c r="J14" s="61" t="e">
        <f t="shared" ref="J14:J17" si="78">FIND("target:",G14)+7</f>
        <v>#VALUE!</v>
      </c>
      <c r="K14" s="61">
        <f t="shared" ref="K14:K17" si="79">FIND(",",G14,I14+1)</f>
        <v>32</v>
      </c>
      <c r="L14" s="51"/>
      <c r="M14" s="61" t="str">
        <f>IFERROR(VLOOKUP(MID(G14,J14,K14-J14),[5]skilldef!$C:$D,2,FALSE),"-") &amp; " / " &amp; IFERROR(VLOOKUP(MID(G14,H14,I14-H14),[5]skilldef!$A:$B,2,FALSE),"-")</f>
        <v>- / -</v>
      </c>
      <c r="N14" s="61" t="str">
        <f t="shared" ref="N14:N17" si="80">IFERROR(RIGHT(B14,LEN(B14)-FIND("],",B14)-1),"none")</f>
        <v>[effect:force_change_block, new_block:jammer, target:normal, count:10, val:0],[effect:virus, target:unit_all, turn:2, rate:1, val:0.15, animation:enemy_virus],[effect:degrade_unit, target:unit_all, turn:3, status:action, val:2, calc:add, animation:enemy_tap_down]</v>
      </c>
      <c r="O14" s="48" t="str">
        <f>IFERROR(LEFT(N14,FIND("],",N14)+#REF!),N14)</f>
        <v>[effect:force_change_block, new_block:jammer, target:normal, count:10, val:0],[effect:virus, target:unit_all, turn:2, rate:1, val:0.15, animation:enemy_virus],[effect:degrade_unit, target:unit_all, turn:3, status:action, val:2, calc:add, animation:enemy_tap_down]</v>
      </c>
      <c r="P14" s="61">
        <f t="shared" ref="P14:P28" si="81">FIND("effect:",O14)+7</f>
        <v>9</v>
      </c>
      <c r="Q14" s="61">
        <f t="shared" ref="Q14:Q17" si="82">IFERROR(FIND(",",O14),LEN(O14))</f>
        <v>27</v>
      </c>
      <c r="R14" s="61">
        <f t="shared" ref="R14:R17" si="83">FIND("target:",O14)+7</f>
        <v>54</v>
      </c>
      <c r="S14" s="61">
        <f t="shared" ref="S14:S17" si="84">FIND(",",O14,Q14+1)</f>
        <v>45</v>
      </c>
      <c r="T14" s="61" t="str">
        <f>IFERROR(VLOOKUP(MID(O14,R14,S14-R14),[5]skilldef!$C:$D,2,FALSE),"-") &amp; " / " &amp; IFERROR(VLOOKUP(MID(O14,P14,Q14-P14),[5]skilldef!$A:$B,2,FALSE),"-")</f>
        <v>- / -</v>
      </c>
      <c r="U14" s="48" t="str">
        <f t="shared" ref="U14:U17" si="85">IFERROR(RIGHT(N14,LEN(N14)-FIND("],",N14)-1),"none")</f>
        <v>[effect:virus, target:unit_all, turn:2, rate:1, val:0.15, animation:enemy_virus],[effect:degrade_unit, target:unit_all, turn:3, status:action, val:2, calc:add, animation:enemy_tap_down]</v>
      </c>
      <c r="V14" s="61">
        <f t="shared" ref="V14:V28" si="86">FIND("effect:",U14)+7</f>
        <v>9</v>
      </c>
      <c r="W14" s="61">
        <f t="shared" ref="W14:W17" si="87">IFERROR(FIND(",",U14),LEN(U14))</f>
        <v>14</v>
      </c>
      <c r="X14" s="61">
        <f t="shared" ref="X14:X17" si="88">FIND("target:",U14)+7</f>
        <v>23</v>
      </c>
      <c r="Y14" s="61">
        <f t="shared" ref="Y14:Y17" si="89">FIND(",",U14,W14+1)</f>
        <v>31</v>
      </c>
      <c r="Z14" s="61" t="str">
        <f>IFERROR(VLOOKUP(MID(U14,X14,Y14-X14),[5]skilldef!$C:$D,2,FALSE),"-") &amp; " / " &amp; IFERROR(VLOOKUP(MID(U14,V14,W14-V14),[5]skilldef!$A:$B,2,FALSE),"-")</f>
        <v>味方全体に / ウィルス</v>
      </c>
      <c r="AA14" s="50"/>
      <c r="AB14" s="52"/>
      <c r="AC14" s="50"/>
    </row>
    <row r="15" spans="1:29" ht="43" customHeight="1" x14ac:dyDescent="0.15">
      <c r="A15" s="113">
        <v>50016103</v>
      </c>
      <c r="B15" s="47" t="s">
        <v>375</v>
      </c>
      <c r="C15" s="50">
        <v>1</v>
      </c>
      <c r="D15" s="50" t="s">
        <v>125</v>
      </c>
      <c r="E15" s="51" t="s">
        <v>308</v>
      </c>
      <c r="F15" s="51" t="s">
        <v>284</v>
      </c>
      <c r="G15" s="61" t="str">
        <f t="shared" si="75"/>
        <v>[effect:enemy_message, val1:1.2, val2:4.2]</v>
      </c>
      <c r="H15" s="61">
        <f t="shared" si="76"/>
        <v>9</v>
      </c>
      <c r="I15" s="61">
        <f t="shared" si="77"/>
        <v>22</v>
      </c>
      <c r="J15" s="61" t="e">
        <f t="shared" si="78"/>
        <v>#VALUE!</v>
      </c>
      <c r="K15" s="61">
        <f t="shared" si="79"/>
        <v>32</v>
      </c>
      <c r="L15" s="51"/>
      <c r="M15" s="61" t="str">
        <f>IFERROR(VLOOKUP(MID(G15,J15,K15-J15),[5]skilldef!$C:$D,2,FALSE),"-") &amp; " / " &amp; IFERROR(VLOOKUP(MID(G15,H15,I15-H15),[5]skilldef!$A:$B,2,FALSE),"-")</f>
        <v>- / -</v>
      </c>
      <c r="N15" s="61" t="str">
        <f t="shared" si="80"/>
        <v>[effect:force_change_block, new_block:jammer, target:normal, count:7, val:0],[effect:damage_anti_abnormal, target:unit_balance, target_effect01:virus, val1:3, val2:0.4]</v>
      </c>
      <c r="O15" s="48" t="str">
        <f>IFERROR(LEFT(N15,FIND("],",N15)+#REF!),N15)</f>
        <v>[effect:force_change_block, new_block:jammer, target:normal, count:7, val:0],[effect:damage_anti_abnormal, target:unit_balance, target_effect01:virus, val1:3, val2:0.4]</v>
      </c>
      <c r="P15" s="61">
        <f t="shared" si="81"/>
        <v>9</v>
      </c>
      <c r="Q15" s="61">
        <f t="shared" si="82"/>
        <v>27</v>
      </c>
      <c r="R15" s="61">
        <f t="shared" si="83"/>
        <v>54</v>
      </c>
      <c r="S15" s="61">
        <f t="shared" si="84"/>
        <v>45</v>
      </c>
      <c r="T15" s="61" t="str">
        <f>IFERROR(VLOOKUP(MID(O15,R15,S15-R15),[5]skilldef!$C:$D,2,FALSE),"-") &amp; " / " &amp; IFERROR(VLOOKUP(MID(O15,P15,Q15-P15),[5]skilldef!$A:$B,2,FALSE),"-")</f>
        <v>- / -</v>
      </c>
      <c r="U15" s="48" t="str">
        <f t="shared" si="85"/>
        <v>[effect:damage_anti_abnormal, target:unit_balance, target_effect01:virus, val1:3, val2:0.4]</v>
      </c>
      <c r="V15" s="61">
        <f t="shared" si="86"/>
        <v>9</v>
      </c>
      <c r="W15" s="61">
        <f t="shared" si="87"/>
        <v>29</v>
      </c>
      <c r="X15" s="61">
        <f t="shared" si="88"/>
        <v>38</v>
      </c>
      <c r="Y15" s="61">
        <f t="shared" si="89"/>
        <v>50</v>
      </c>
      <c r="Z15" s="61" t="str">
        <f>IFERROR(VLOOKUP(MID(U15,X15,Y15-X15),[5]skilldef!$C:$D,2,FALSE),"-") &amp; " / " &amp; IFERROR(VLOOKUP(MID(U15,V15,W15-V15),[5]skilldef!$A:$B,2,FALSE),"-")</f>
        <v>バランスタイプの味方に / -</v>
      </c>
      <c r="AA15" s="50"/>
      <c r="AB15" s="52"/>
      <c r="AC15" s="50"/>
    </row>
    <row r="16" spans="1:29" ht="43" customHeight="1" x14ac:dyDescent="0.15">
      <c r="A16" s="113">
        <v>50016104</v>
      </c>
      <c r="B16" s="47" t="s">
        <v>376</v>
      </c>
      <c r="C16" s="50">
        <v>1</v>
      </c>
      <c r="D16" s="50" t="s">
        <v>125</v>
      </c>
      <c r="E16" s="51" t="s">
        <v>311</v>
      </c>
      <c r="F16" s="51" t="s">
        <v>266</v>
      </c>
      <c r="G16" s="61" t="str">
        <f t="shared" si="75"/>
        <v>[effect:enemy_message, val1:1.3, val2:2.4]</v>
      </c>
      <c r="H16" s="61">
        <f t="shared" si="76"/>
        <v>9</v>
      </c>
      <c r="I16" s="61">
        <f t="shared" si="77"/>
        <v>22</v>
      </c>
      <c r="J16" s="61" t="e">
        <f t="shared" si="78"/>
        <v>#VALUE!</v>
      </c>
      <c r="K16" s="61">
        <f t="shared" si="79"/>
        <v>32</v>
      </c>
      <c r="L16" s="51"/>
      <c r="M16" s="61" t="str">
        <f>IFERROR(VLOOKUP(MID(G16,J16,K16-J16),[5]skilldef!$C:$D,2,FALSE),"-") &amp; " / " &amp; IFERROR(VLOOKUP(MID(G16,H16,I16-H16),[5]skilldef!$A:$B,2,FALSE),"-")</f>
        <v>- / -</v>
      </c>
      <c r="N16" s="61" t="str">
        <f t="shared" si="80"/>
        <v>[effect:break_attack_fix, target:unit_one, val:-2000, lowest_val:40000, count:15, block01:block_blue]</v>
      </c>
      <c r="O16" s="48" t="str">
        <f>IFERROR(LEFT(N16,FIND("],",N16)+#REF!),N16)</f>
        <v>[effect:break_attack_fix, target:unit_one, val:-2000, lowest_val:40000, count:15, block01:block_blue]</v>
      </c>
      <c r="P16" s="61">
        <f t="shared" si="81"/>
        <v>9</v>
      </c>
      <c r="Q16" s="61">
        <f t="shared" si="82"/>
        <v>25</v>
      </c>
      <c r="R16" s="61">
        <f t="shared" si="83"/>
        <v>34</v>
      </c>
      <c r="S16" s="61">
        <f t="shared" si="84"/>
        <v>42</v>
      </c>
      <c r="T16" s="61" t="str">
        <f>IFERROR(VLOOKUP(MID(O16,R16,S16-R16),[5]skilldef!$C:$D,2,FALSE),"-") &amp; " / " &amp; IFERROR(VLOOKUP(MID(O16,P16,Q16-P16),[5]skilldef!$A:$B,2,FALSE),"-")</f>
        <v>味方単体に / -</v>
      </c>
      <c r="U16" s="48" t="str">
        <f t="shared" si="85"/>
        <v>none</v>
      </c>
      <c r="V16" s="61" t="e">
        <f t="shared" si="86"/>
        <v>#VALUE!</v>
      </c>
      <c r="W16" s="61">
        <f t="shared" si="87"/>
        <v>4</v>
      </c>
      <c r="X16" s="61" t="e">
        <f t="shared" si="88"/>
        <v>#VALUE!</v>
      </c>
      <c r="Y16" s="61" t="e">
        <f t="shared" si="89"/>
        <v>#VALUE!</v>
      </c>
      <c r="Z16" s="61" t="str">
        <f>IFERROR(VLOOKUP(MID(U16,X16,Y16-X16),[5]skilldef!$C:$D,2,FALSE),"-") &amp; " / " &amp; IFERROR(VLOOKUP(MID(U16,V16,W16-V16),[5]skilldef!$A:$B,2,FALSE),"-")</f>
        <v>- / -</v>
      </c>
      <c r="AA16" s="50"/>
      <c r="AB16" s="52"/>
      <c r="AC16" s="50"/>
    </row>
    <row r="17" spans="1:29" ht="43" customHeight="1" x14ac:dyDescent="0.15">
      <c r="A17" s="113">
        <v>50016105</v>
      </c>
      <c r="B17" s="47" t="s">
        <v>467</v>
      </c>
      <c r="C17" s="50">
        <v>1</v>
      </c>
      <c r="D17" s="50" t="s">
        <v>125</v>
      </c>
      <c r="E17" s="51" t="s">
        <v>424</v>
      </c>
      <c r="F17" s="51" t="s">
        <v>451</v>
      </c>
      <c r="G17" s="61" t="str">
        <f t="shared" si="75"/>
        <v>[effect:enemy_message, val1:1.5, val2:4.3]</v>
      </c>
      <c r="H17" s="61">
        <f t="shared" si="76"/>
        <v>9</v>
      </c>
      <c r="I17" s="61">
        <f t="shared" si="77"/>
        <v>22</v>
      </c>
      <c r="J17" s="61" t="e">
        <f t="shared" si="78"/>
        <v>#VALUE!</v>
      </c>
      <c r="K17" s="61">
        <f t="shared" si="79"/>
        <v>32</v>
      </c>
      <c r="L17" s="51"/>
      <c r="M17" s="61" t="str">
        <f>IFERROR(VLOOKUP(MID(G17,J17,K17-J17),[5]skilldef!$C:$D,2,FALSE),"-") &amp; " / " &amp; IFERROR(VLOOKUP(MID(G17,H17,I17-H17),[5]skilldef!$A:$B,2,FALSE),"-")</f>
        <v>- / -</v>
      </c>
      <c r="N17" s="61" t="str">
        <f t="shared" si="80"/>
        <v>[effect:force_change_block, new_block:jammer, target:normal, count:7, val:0],[effect:critical, val:1.1, animation:enemy_critical]</v>
      </c>
      <c r="O17" s="48" t="str">
        <f>IFERROR(LEFT(N17,FIND("],",N17)+#REF!),N17)</f>
        <v>[effect:force_change_block, new_block:jammer, target:normal, count:7, val:0],[effect:critical, val:1.1, animation:enemy_critical]</v>
      </c>
      <c r="P17" s="61">
        <f t="shared" si="81"/>
        <v>9</v>
      </c>
      <c r="Q17" s="61">
        <f t="shared" si="82"/>
        <v>27</v>
      </c>
      <c r="R17" s="61">
        <f t="shared" si="83"/>
        <v>54</v>
      </c>
      <c r="S17" s="61">
        <f t="shared" si="84"/>
        <v>45</v>
      </c>
      <c r="T17" s="61" t="str">
        <f>IFERROR(VLOOKUP(MID(O17,R17,S17-R17),[5]skilldef!$C:$D,2,FALSE),"-") &amp; " / " &amp; IFERROR(VLOOKUP(MID(O17,P17,Q17-P17),[5]skilldef!$A:$B,2,FALSE),"-")</f>
        <v>- / -</v>
      </c>
      <c r="U17" s="48" t="str">
        <f t="shared" si="85"/>
        <v>[effect:critical, val:1.1, animation:enemy_critical]</v>
      </c>
      <c r="V17" s="61">
        <f t="shared" si="86"/>
        <v>9</v>
      </c>
      <c r="W17" s="61">
        <f t="shared" si="87"/>
        <v>17</v>
      </c>
      <c r="X17" s="61" t="e">
        <f t="shared" si="88"/>
        <v>#VALUE!</v>
      </c>
      <c r="Y17" s="61">
        <f t="shared" si="89"/>
        <v>26</v>
      </c>
      <c r="Z17" s="61" t="str">
        <f>IFERROR(VLOOKUP(MID(U17,X17,Y17-X17),[5]skilldef!$C:$D,2,FALSE),"-") &amp; " / " &amp; IFERROR(VLOOKUP(MID(U17,V17,W17-V17),[5]skilldef!$A:$B,2,FALSE),"-")</f>
        <v>- / 大攻撃</v>
      </c>
      <c r="AA17" s="50"/>
      <c r="AB17" s="52"/>
      <c r="AC17" s="50"/>
    </row>
    <row r="18" spans="1:29" ht="43" customHeight="1" x14ac:dyDescent="0.15">
      <c r="A18" s="113">
        <v>50016106</v>
      </c>
      <c r="B18" s="122" t="s">
        <v>297</v>
      </c>
      <c r="C18" s="50">
        <v>1</v>
      </c>
      <c r="D18" s="50" t="s">
        <v>125</v>
      </c>
      <c r="E18" s="51" t="s">
        <v>309</v>
      </c>
      <c r="F18" s="51" t="s">
        <v>263</v>
      </c>
      <c r="G18" s="61" t="str">
        <f t="shared" ref="G18" si="90">IFERROR(LEFT(B18,FIND("],",B18)),B18)</f>
        <v>[effect:enemy_message, val1:1.2, val2:1.2]</v>
      </c>
      <c r="H18" s="61">
        <f t="shared" si="76"/>
        <v>9</v>
      </c>
      <c r="I18" s="61">
        <f t="shared" ref="I18" si="91">IFERROR(FIND(",",G18),LEN(G18))</f>
        <v>22</v>
      </c>
      <c r="J18" s="61" t="e">
        <f t="shared" ref="J18" si="92">FIND("target:",G18)+7</f>
        <v>#VALUE!</v>
      </c>
      <c r="K18" s="61">
        <f t="shared" ref="K18" si="93">FIND(",",G18,I18+1)</f>
        <v>32</v>
      </c>
      <c r="L18" s="51"/>
      <c r="M18" s="61" t="str">
        <f>IFERROR(VLOOKUP(MID(G18,J18,K18-J18),[5]skilldef!$C:$D,2,FALSE),"-") &amp; " / " &amp; IFERROR(VLOOKUP(MID(G18,H18,I18-H18),[5]skilldef!$A:$B,2,FALSE),"-")</f>
        <v>- / -</v>
      </c>
      <c r="N18" s="61" t="str">
        <f t="shared" ref="N18" si="94">IFERROR(RIGHT(B18,LEN(B18)-FIND("],",B18)-1),"none")</f>
        <v>[effect:damage_fix_pierce, target:unit_one, color:red, val:100000]</v>
      </c>
      <c r="O18" s="48" t="str">
        <f>IFERROR(LEFT(N18,FIND("],",N18)+#REF!),N18)</f>
        <v>[effect:damage_fix_pierce, target:unit_one, color:red, val:100000]</v>
      </c>
      <c r="P18" s="61">
        <f t="shared" si="81"/>
        <v>9</v>
      </c>
      <c r="Q18" s="61">
        <f t="shared" ref="Q18" si="95">IFERROR(FIND(",",O18),LEN(O18))</f>
        <v>26</v>
      </c>
      <c r="R18" s="61">
        <f t="shared" ref="R18" si="96">FIND("target:",O18)+7</f>
        <v>35</v>
      </c>
      <c r="S18" s="61">
        <f t="shared" ref="S18" si="97">FIND(",",O18,Q18+1)</f>
        <v>43</v>
      </c>
      <c r="T18" s="61" t="str">
        <f>IFERROR(VLOOKUP(MID(O18,R18,S18-R18),[5]skilldef!$C:$D,2,FALSE),"-") &amp; " / " &amp; IFERROR(VLOOKUP(MID(O18,P18,Q18-P18),[5]skilldef!$A:$B,2,FALSE),"-")</f>
        <v>味方単体に / -</v>
      </c>
      <c r="U18" s="48" t="str">
        <f t="shared" ref="U18" si="98">IFERROR(RIGHT(N18,LEN(N18)-FIND("],",N18)-1),"none")</f>
        <v>none</v>
      </c>
      <c r="V18" s="61" t="e">
        <f t="shared" si="86"/>
        <v>#VALUE!</v>
      </c>
      <c r="W18" s="61">
        <f t="shared" ref="W18" si="99">IFERROR(FIND(",",U18),LEN(U18))</f>
        <v>4</v>
      </c>
      <c r="X18" s="61" t="e">
        <f t="shared" ref="X18" si="100">FIND("target:",U18)+7</f>
        <v>#VALUE!</v>
      </c>
      <c r="Y18" s="61" t="e">
        <f t="shared" ref="Y18" si="101">FIND(",",U18,W18+1)</f>
        <v>#VALUE!</v>
      </c>
      <c r="Z18" s="61" t="str">
        <f>IFERROR(VLOOKUP(MID(U18,X18,Y18-X18),[5]skilldef!$C:$D,2,FALSE),"-") &amp; " / " &amp; IFERROR(VLOOKUP(MID(U18,V18,W18-V18),[5]skilldef!$A:$B,2,FALSE),"-")</f>
        <v>- / -</v>
      </c>
      <c r="AA18" s="50"/>
      <c r="AB18" s="52"/>
      <c r="AC18" s="50"/>
    </row>
    <row r="19" spans="1:29" ht="43" customHeight="1" x14ac:dyDescent="0.15">
      <c r="A19" s="113">
        <v>50016201</v>
      </c>
      <c r="B19" s="114" t="s">
        <v>477</v>
      </c>
      <c r="C19" s="115">
        <v>1</v>
      </c>
      <c r="D19" s="115" t="s">
        <v>125</v>
      </c>
      <c r="E19" s="116" t="s">
        <v>425</v>
      </c>
      <c r="F19" s="116" t="s">
        <v>475</v>
      </c>
      <c r="G19" s="61" t="str">
        <f>IFERROR(LEFT(B19,FIND("],",B19)),B19)</f>
        <v>[effect:enemy_message, val1:2.4, val2:2.2]</v>
      </c>
      <c r="H19" s="61">
        <f>FIND("effect:",G19)+7</f>
        <v>9</v>
      </c>
      <c r="I19" s="61">
        <f>IFERROR(FIND(",",G19),LEN(G19))</f>
        <v>22</v>
      </c>
      <c r="J19" s="61" t="e">
        <f>FIND("target:",G19)+7</f>
        <v>#VALUE!</v>
      </c>
      <c r="K19" s="61">
        <f>FIND(",",G19,I19+1)</f>
        <v>32</v>
      </c>
      <c r="L19" s="51"/>
      <c r="M19" s="61" t="str">
        <f>IFERROR(VLOOKUP(MID(G19,J19,K19-J19),[5]skilldef!$C:$D,2,FALSE),"-") &amp; " / " &amp; IFERROR(VLOOKUP(MID(G19,H19,I19-H19),[5]skilldef!$A:$B,2,FALSE),"-")</f>
        <v>- / -</v>
      </c>
      <c r="N19" s="61" t="str">
        <f>IFERROR(RIGHT(B19,LEN(B19)-FIND("],",B19)-1),"none")</f>
        <v>[effect:fix_speed, target:myself, turn:1],[effect:break_enchance_enemy, target:myself, val:5000, lowest_val:0, count:-1, status:defense, turn:-1, block01:jammer, calc:add, animation:enemy_enhance_defense],[effect:tolerance, target:myself, turn:-1, count:-1, tolerance_effect:all, animation:enemy_tolerance]</v>
      </c>
      <c r="O19" s="48" t="str">
        <f>IFERROR(LEFT(N19,FIND("],",N19)+#REF!),N19)</f>
        <v>[effect:fix_speed, target:myself, turn:1],[effect:break_enchance_enemy, target:myself, val:5000, lowest_val:0, count:-1, status:defense, turn:-1, block01:jammer, calc:add, animation:enemy_enhance_defense],[effect:tolerance, target:myself, turn:-1, count:-1, tolerance_effect:all, animation:enemy_tolerance]</v>
      </c>
      <c r="P19" s="61">
        <f>FIND("effect:",O19)+7</f>
        <v>9</v>
      </c>
      <c r="Q19" s="61">
        <f>IFERROR(FIND(",",O19),LEN(O19))</f>
        <v>18</v>
      </c>
      <c r="R19" s="61">
        <f>FIND("target:",O19)+7</f>
        <v>27</v>
      </c>
      <c r="S19" s="61">
        <f>FIND(",",O19,Q19+1)</f>
        <v>33</v>
      </c>
      <c r="T19" s="61" t="str">
        <f>IFERROR(VLOOKUP(MID(O19,R19,S19-R19),[5]skilldef!$C:$D,2,FALSE),"-") &amp; " / " &amp; IFERROR(VLOOKUP(MID(O19,P19,Q19-P19),[5]skilldef!$A:$B,2,FALSE),"-")</f>
        <v>自分自身に / 行動値設定</v>
      </c>
      <c r="U19" s="48" t="str">
        <f>IFERROR(RIGHT(N19,LEN(N19)-FIND("],",N19)-1),"none")</f>
        <v>[effect:break_enchance_enemy, target:myself, val:5000, lowest_val:0, count:-1, status:defense, turn:-1, block01:jammer, calc:add, animation:enemy_enhance_defense],[effect:tolerance, target:myself, turn:-1, count:-1, tolerance_effect:all, animation:enemy_tolerance]</v>
      </c>
      <c r="V19" s="61">
        <f>FIND("effect:",U19)+7</f>
        <v>9</v>
      </c>
      <c r="W19" s="61">
        <f>IFERROR(FIND(",",U19),LEN(U19))</f>
        <v>29</v>
      </c>
      <c r="X19" s="61">
        <f>FIND("target:",U19)+7</f>
        <v>38</v>
      </c>
      <c r="Y19" s="61">
        <f>FIND(",",U19,W19+1)</f>
        <v>44</v>
      </c>
      <c r="Z19" s="61" t="str">
        <f>IFERROR(VLOOKUP(MID(U19,X19,Y19-X19),[5]skilldef!$C:$D,2,FALSE),"-") &amp; " / " &amp; IFERROR(VLOOKUP(MID(U19,V19,W19-V19),[5]skilldef!$A:$B,2,FALSE),"-")</f>
        <v>自分自身に / -</v>
      </c>
      <c r="AA19" s="50"/>
      <c r="AB19" s="52"/>
      <c r="AC19" s="50"/>
    </row>
    <row r="20" spans="1:29" ht="43" customHeight="1" x14ac:dyDescent="0.15">
      <c r="A20" s="113">
        <v>50016202</v>
      </c>
      <c r="B20" s="114" t="s">
        <v>468</v>
      </c>
      <c r="C20" s="115">
        <v>1</v>
      </c>
      <c r="D20" s="115" t="s">
        <v>125</v>
      </c>
      <c r="E20" s="116" t="s">
        <v>306</v>
      </c>
      <c r="F20" s="116" t="s">
        <v>463</v>
      </c>
      <c r="G20" s="61" t="str">
        <f t="shared" ref="G20:G23" si="102">IFERROR(LEFT(B20,FIND("],",B20)),B20)</f>
        <v>[effect:enemy_message, val1:1.2, val2:4.7]</v>
      </c>
      <c r="H20" s="61">
        <f t="shared" si="76"/>
        <v>9</v>
      </c>
      <c r="I20" s="61">
        <f t="shared" ref="I20:I23" si="103">IFERROR(FIND(",",G20),LEN(G20))</f>
        <v>22</v>
      </c>
      <c r="J20" s="61" t="e">
        <f t="shared" ref="J20:J23" si="104">FIND("target:",G20)+7</f>
        <v>#VALUE!</v>
      </c>
      <c r="K20" s="61">
        <f t="shared" ref="K20:K23" si="105">FIND(",",G20,I20+1)</f>
        <v>32</v>
      </c>
      <c r="L20" s="51"/>
      <c r="M20" s="61" t="str">
        <f>IFERROR(VLOOKUP(MID(G20,J20,K20-J20),[5]skilldef!$C:$D,2,FALSE),"-") &amp; " / " &amp; IFERROR(VLOOKUP(MID(G20,H20,I20-H20),[5]skilldef!$A:$B,2,FALSE),"-")</f>
        <v>- / -</v>
      </c>
      <c r="N20" s="61" t="str">
        <f t="shared" ref="N20:N23" si="106">IFERROR(RIGHT(B20,LEN(B20)-FIND("],",B20)-1),"none")</f>
        <v>[effect:force_change_block, new_block:damage, target:normal, count:10, val:0.15],[effect:degrade_unit, target:unit_all, turn:3, status:heal, val:0.8, calc:mul, animation:degrade_unit_all_heal],[effect:rush, count:1, val:1.0]</v>
      </c>
      <c r="O20" s="48" t="str">
        <f>IFERROR(LEFT(N20,FIND("],",N20)+#REF!),N20)</f>
        <v>[effect:force_change_block, new_block:damage, target:normal, count:10, val:0.15],[effect:degrade_unit, target:unit_all, turn:3, status:heal, val:0.8, calc:mul, animation:degrade_unit_all_heal],[effect:rush, count:1, val:1.0]</v>
      </c>
      <c r="P20" s="61">
        <f t="shared" si="81"/>
        <v>9</v>
      </c>
      <c r="Q20" s="61">
        <f t="shared" ref="Q20:Q23" si="107">IFERROR(FIND(",",O20),LEN(O20))</f>
        <v>27</v>
      </c>
      <c r="R20" s="61">
        <f t="shared" ref="R20:R23" si="108">FIND("target:",O20)+7</f>
        <v>54</v>
      </c>
      <c r="S20" s="61">
        <f t="shared" ref="S20:S23" si="109">FIND(",",O20,Q20+1)</f>
        <v>45</v>
      </c>
      <c r="T20" s="61" t="str">
        <f>IFERROR(VLOOKUP(MID(O20,R20,S20-R20),[5]skilldef!$C:$D,2,FALSE),"-") &amp; " / " &amp; IFERROR(VLOOKUP(MID(O20,P20,Q20-P20),[5]skilldef!$A:$B,2,FALSE),"-")</f>
        <v>- / -</v>
      </c>
      <c r="U20" s="48" t="str">
        <f t="shared" ref="U20:U23" si="110">IFERROR(RIGHT(N20,LEN(N20)-FIND("],",N20)-1),"none")</f>
        <v>[effect:degrade_unit, target:unit_all, turn:3, status:heal, val:0.8, calc:mul, animation:degrade_unit_all_heal],[effect:rush, count:1, val:1.0]</v>
      </c>
      <c r="V20" s="61">
        <f t="shared" si="86"/>
        <v>9</v>
      </c>
      <c r="W20" s="61">
        <f t="shared" ref="W20:W23" si="111">IFERROR(FIND(",",U20),LEN(U20))</f>
        <v>21</v>
      </c>
      <c r="X20" s="61">
        <f t="shared" ref="X20:X23" si="112">FIND("target:",U20)+7</f>
        <v>30</v>
      </c>
      <c r="Y20" s="61">
        <f t="shared" ref="Y20:Y23" si="113">FIND(",",U20,W20+1)</f>
        <v>38</v>
      </c>
      <c r="Z20" s="61" t="str">
        <f>IFERROR(VLOOKUP(MID(U20,X20,Y20-X20),[5]skilldef!$C:$D,2,FALSE),"-") &amp; " / " &amp; IFERROR(VLOOKUP(MID(U20,V20,W20-V20),[5]skilldef!$A:$B,2,FALSE),"-")</f>
        <v>味方全体に / ステータスDOWN</v>
      </c>
      <c r="AA20" s="50"/>
      <c r="AB20" s="52"/>
      <c r="AC20" s="50"/>
    </row>
    <row r="21" spans="1:29" ht="43" customHeight="1" x14ac:dyDescent="0.15">
      <c r="A21" s="113">
        <v>50016203</v>
      </c>
      <c r="B21" s="114" t="s">
        <v>298</v>
      </c>
      <c r="C21" s="115">
        <v>1</v>
      </c>
      <c r="D21" s="115" t="s">
        <v>125</v>
      </c>
      <c r="E21" s="116" t="s">
        <v>307</v>
      </c>
      <c r="F21" s="116" t="s">
        <v>285</v>
      </c>
      <c r="G21" s="61" t="str">
        <f t="shared" si="102"/>
        <v>[effect:enemy_message, val1:1.2, val2:2.5]</v>
      </c>
      <c r="H21" s="61">
        <f t="shared" si="76"/>
        <v>9</v>
      </c>
      <c r="I21" s="61">
        <f t="shared" si="103"/>
        <v>22</v>
      </c>
      <c r="J21" s="61" t="e">
        <f t="shared" si="104"/>
        <v>#VALUE!</v>
      </c>
      <c r="K21" s="61">
        <f t="shared" si="105"/>
        <v>32</v>
      </c>
      <c r="L21" s="51"/>
      <c r="M21" s="61" t="str">
        <f>IFERROR(VLOOKUP(MID(G21,J21,K21-J21),[5]skilldef!$C:$D,2,FALSE),"-") &amp; " / " &amp; IFERROR(VLOOKUP(MID(G21,H21,I21-H21),[5]skilldef!$A:$B,2,FALSE),"-")</f>
        <v>- / -</v>
      </c>
      <c r="N21" s="61" t="str">
        <f t="shared" si="106"/>
        <v>[effect:force_change_block, new_block:damage, target:normal, count:7, val:0.15],[effect:rush, count:1, val:1.0]</v>
      </c>
      <c r="O21" s="48" t="str">
        <f>IFERROR(LEFT(N21,FIND("],",N21)+#REF!),N21)</f>
        <v>[effect:force_change_block, new_block:damage, target:normal, count:7, val:0.15],[effect:rush, count:1, val:1.0]</v>
      </c>
      <c r="P21" s="61">
        <f t="shared" si="81"/>
        <v>9</v>
      </c>
      <c r="Q21" s="61">
        <f t="shared" si="107"/>
        <v>27</v>
      </c>
      <c r="R21" s="61">
        <f t="shared" si="108"/>
        <v>54</v>
      </c>
      <c r="S21" s="61">
        <f t="shared" si="109"/>
        <v>45</v>
      </c>
      <c r="T21" s="61" t="str">
        <f>IFERROR(VLOOKUP(MID(O21,R21,S21-R21),[5]skilldef!$C:$D,2,FALSE),"-") &amp; " / " &amp; IFERROR(VLOOKUP(MID(O21,P21,Q21-P21),[5]skilldef!$A:$B,2,FALSE),"-")</f>
        <v>- / -</v>
      </c>
      <c r="U21" s="48" t="str">
        <f t="shared" si="110"/>
        <v>[effect:rush, count:1, val:1.0]</v>
      </c>
      <c r="V21" s="61">
        <f t="shared" si="86"/>
        <v>9</v>
      </c>
      <c r="W21" s="61">
        <f t="shared" si="111"/>
        <v>13</v>
      </c>
      <c r="X21" s="61" t="e">
        <f t="shared" si="112"/>
        <v>#VALUE!</v>
      </c>
      <c r="Y21" s="61">
        <f t="shared" si="113"/>
        <v>22</v>
      </c>
      <c r="Z21" s="61" t="str">
        <f>IFERROR(VLOOKUP(MID(U21,X21,Y21-X21),[5]skilldef!$C:$D,2,FALSE),"-") &amp; " / " &amp; IFERROR(VLOOKUP(MID(U21,V21,W21-V21),[5]skilldef!$A:$B,2,FALSE),"-")</f>
        <v>- / 連続攻撃</v>
      </c>
      <c r="AA21" s="50"/>
      <c r="AB21" s="52"/>
      <c r="AC21" s="50"/>
    </row>
    <row r="22" spans="1:29" ht="43" customHeight="1" x14ac:dyDescent="0.15">
      <c r="A22" s="113">
        <v>50016204</v>
      </c>
      <c r="B22" s="114" t="s">
        <v>478</v>
      </c>
      <c r="C22" s="115">
        <v>1</v>
      </c>
      <c r="D22" s="115" t="s">
        <v>125</v>
      </c>
      <c r="E22" s="116" t="s">
        <v>426</v>
      </c>
      <c r="F22" s="116" t="s">
        <v>473</v>
      </c>
      <c r="G22" s="61" t="str">
        <f t="shared" si="102"/>
        <v>[effect:enemy_message, val1:2.1, val2:3.9]</v>
      </c>
      <c r="H22" s="61">
        <f t="shared" si="76"/>
        <v>9</v>
      </c>
      <c r="I22" s="61">
        <f t="shared" si="103"/>
        <v>22</v>
      </c>
      <c r="J22" s="61" t="e">
        <f t="shared" si="104"/>
        <v>#VALUE!</v>
      </c>
      <c r="K22" s="61">
        <f t="shared" si="105"/>
        <v>32</v>
      </c>
      <c r="L22" s="51"/>
      <c r="M22" s="61" t="str">
        <f>IFERROR(VLOOKUP(MID(G22,J22,K22-J22),[5]skilldef!$C:$D,2,FALSE),"-") &amp; " / " &amp; IFERROR(VLOOKUP(MID(G22,H22,I22-H22),[5]skilldef!$A:$B,2,FALSE),"-")</f>
        <v>- / -</v>
      </c>
      <c r="N22" s="61" t="str">
        <f t="shared" si="106"/>
        <v>[effect:break_enchance_enemy, target:myself, val:8000, lowest_val:0, count:-1, status:defense, turn:-1, block01:damage, calc:add, animation:enemy_enhance_defense],[effect:rush, count:1, val:1.0]</v>
      </c>
      <c r="O22" s="48" t="str">
        <f>IFERROR(LEFT(N22,FIND("],",N22)+#REF!),N22)</f>
        <v>[effect:break_enchance_enemy, target:myself, val:8000, lowest_val:0, count:-1, status:defense, turn:-1, block01:damage, calc:add, animation:enemy_enhance_defense],[effect:rush, count:1, val:1.0]</v>
      </c>
      <c r="P22" s="61">
        <f t="shared" si="81"/>
        <v>9</v>
      </c>
      <c r="Q22" s="61">
        <f t="shared" si="107"/>
        <v>29</v>
      </c>
      <c r="R22" s="61">
        <f t="shared" si="108"/>
        <v>38</v>
      </c>
      <c r="S22" s="61">
        <f t="shared" si="109"/>
        <v>44</v>
      </c>
      <c r="T22" s="61" t="str">
        <f>IFERROR(VLOOKUP(MID(O22,R22,S22-R22),[5]skilldef!$C:$D,2,FALSE),"-") &amp; " / " &amp; IFERROR(VLOOKUP(MID(O22,P22,Q22-P22),[5]skilldef!$A:$B,2,FALSE),"-")</f>
        <v>自分自身に / -</v>
      </c>
      <c r="U22" s="48" t="str">
        <f t="shared" si="110"/>
        <v>[effect:rush, count:1, val:1.0]</v>
      </c>
      <c r="V22" s="61">
        <f t="shared" si="86"/>
        <v>9</v>
      </c>
      <c r="W22" s="61">
        <f t="shared" si="111"/>
        <v>13</v>
      </c>
      <c r="X22" s="61" t="e">
        <f t="shared" si="112"/>
        <v>#VALUE!</v>
      </c>
      <c r="Y22" s="61">
        <f t="shared" si="113"/>
        <v>22</v>
      </c>
      <c r="Z22" s="61" t="str">
        <f>IFERROR(VLOOKUP(MID(U22,X22,Y22-X22),[5]skilldef!$C:$D,2,FALSE),"-") &amp; " / " &amp; IFERROR(VLOOKUP(MID(U22,V22,W22-V22),[5]skilldef!$A:$B,2,FALSE),"-")</f>
        <v>- / 連続攻撃</v>
      </c>
      <c r="AA22" s="50"/>
      <c r="AB22" s="52"/>
      <c r="AC22" s="50"/>
    </row>
    <row r="23" spans="1:29" ht="43" customHeight="1" x14ac:dyDescent="0.15">
      <c r="A23" s="113">
        <v>50016205</v>
      </c>
      <c r="B23" s="136" t="s">
        <v>297</v>
      </c>
      <c r="C23" s="115">
        <v>1</v>
      </c>
      <c r="D23" s="115" t="s">
        <v>125</v>
      </c>
      <c r="E23" s="116" t="s">
        <v>305</v>
      </c>
      <c r="F23" s="116" t="s">
        <v>263</v>
      </c>
      <c r="G23" s="61" t="str">
        <f t="shared" si="102"/>
        <v>[effect:enemy_message, val1:1.2, val2:1.2]</v>
      </c>
      <c r="H23" s="61">
        <f t="shared" si="76"/>
        <v>9</v>
      </c>
      <c r="I23" s="61">
        <f t="shared" si="103"/>
        <v>22</v>
      </c>
      <c r="J23" s="61" t="e">
        <f t="shared" si="104"/>
        <v>#VALUE!</v>
      </c>
      <c r="K23" s="61">
        <f t="shared" si="105"/>
        <v>32</v>
      </c>
      <c r="L23" s="51"/>
      <c r="M23" s="61" t="str">
        <f>IFERROR(VLOOKUP(MID(G23,J23,K23-J23),[5]skilldef!$C:$D,2,FALSE),"-") &amp; " / " &amp; IFERROR(VLOOKUP(MID(G23,H23,I23-H23),[5]skilldef!$A:$B,2,FALSE),"-")</f>
        <v>- / -</v>
      </c>
      <c r="N23" s="61" t="str">
        <f t="shared" si="106"/>
        <v>[effect:damage_fix_pierce, target:unit_one, color:red, val:100000]</v>
      </c>
      <c r="O23" s="48" t="str">
        <f>IFERROR(LEFT(N23,FIND("],",N23)+#REF!),N23)</f>
        <v>[effect:damage_fix_pierce, target:unit_one, color:red, val:100000]</v>
      </c>
      <c r="P23" s="61">
        <f t="shared" si="81"/>
        <v>9</v>
      </c>
      <c r="Q23" s="61">
        <f t="shared" si="107"/>
        <v>26</v>
      </c>
      <c r="R23" s="61">
        <f t="shared" si="108"/>
        <v>35</v>
      </c>
      <c r="S23" s="61">
        <f t="shared" si="109"/>
        <v>43</v>
      </c>
      <c r="T23" s="61" t="str">
        <f>IFERROR(VLOOKUP(MID(O23,R23,S23-R23),[5]skilldef!$C:$D,2,FALSE),"-") &amp; " / " &amp; IFERROR(VLOOKUP(MID(O23,P23,Q23-P23),[5]skilldef!$A:$B,2,FALSE),"-")</f>
        <v>味方単体に / -</v>
      </c>
      <c r="U23" s="48" t="str">
        <f t="shared" si="110"/>
        <v>none</v>
      </c>
      <c r="V23" s="61" t="e">
        <f t="shared" si="86"/>
        <v>#VALUE!</v>
      </c>
      <c r="W23" s="61">
        <f t="shared" si="111"/>
        <v>4</v>
      </c>
      <c r="X23" s="61" t="e">
        <f t="shared" si="112"/>
        <v>#VALUE!</v>
      </c>
      <c r="Y23" s="61" t="e">
        <f t="shared" si="113"/>
        <v>#VALUE!</v>
      </c>
      <c r="Z23" s="61" t="str">
        <f>IFERROR(VLOOKUP(MID(U23,X23,Y23-X23),[5]skilldef!$C:$D,2,FALSE),"-") &amp; " / " &amp; IFERROR(VLOOKUP(MID(U23,V23,W23-V23),[5]skilldef!$A:$B,2,FALSE),"-")</f>
        <v>- / -</v>
      </c>
      <c r="AA23" s="50"/>
      <c r="AB23" s="52"/>
      <c r="AC23" s="50"/>
    </row>
    <row r="24" spans="1:29" ht="43" customHeight="1" x14ac:dyDescent="0.15">
      <c r="A24" s="113">
        <v>50016301</v>
      </c>
      <c r="B24" s="117" t="s">
        <v>377</v>
      </c>
      <c r="C24" s="118">
        <v>1</v>
      </c>
      <c r="D24" s="118" t="s">
        <v>125</v>
      </c>
      <c r="E24" s="119" t="s">
        <v>427</v>
      </c>
      <c r="F24" s="128" t="s">
        <v>286</v>
      </c>
      <c r="G24" s="61" t="str">
        <f>IFERROR(LEFT(B24,FIND("],",B24)),B24)</f>
        <v>[effect:enemy_message, val1:2.4, val2:2.9]</v>
      </c>
      <c r="H24" s="61">
        <f>FIND("effect:",G24)+7</f>
        <v>9</v>
      </c>
      <c r="I24" s="61">
        <f>IFERROR(FIND(",",G24),LEN(G24))</f>
        <v>22</v>
      </c>
      <c r="J24" s="61" t="e">
        <f>FIND("target:",G24)+7</f>
        <v>#VALUE!</v>
      </c>
      <c r="K24" s="61">
        <f>FIND(",",G24,I24+1)</f>
        <v>32</v>
      </c>
      <c r="L24" s="51"/>
      <c r="M24" s="61" t="str">
        <f>IFERROR(VLOOKUP(MID(G24,J24,K24-J24),[5]skilldef!$C:$D,2,FALSE),"-") &amp; " / " &amp; IFERROR(VLOOKUP(MID(G24,H24,I24-H24),[5]skilldef!$A:$B,2,FALSE),"-")</f>
        <v>- / -</v>
      </c>
      <c r="N24" s="61" t="str">
        <f>IFERROR(RIGHT(B24,LEN(B24)-FIND("],",B24)-1),"none")</f>
        <v>[effect:fix_speed, target:myself, turn:1],[effect:remove_enhancement, target:unit_all, target_effect:all, animation:frozen_wave],[effect:virus, target:unit_all, turn:2, rate:1, val:0.15, animation:enemy_virus],[effect:tolerance, target:myself, turn:-1, count:-1, tolerance_effect:all, animation:enemy_tolerance]</v>
      </c>
      <c r="O24" s="48" t="str">
        <f>IFERROR(LEFT(N24,FIND("],",N24)+#REF!),N24)</f>
        <v>[effect:fix_speed, target:myself, turn:1],[effect:remove_enhancement, target:unit_all, target_effect:all, animation:frozen_wave],[effect:virus, target:unit_all, turn:2, rate:1, val:0.15, animation:enemy_virus],[effect:tolerance, target:myself, turn:-1, count:-1, tolerance_effect:all, animation:enemy_tolerance]</v>
      </c>
      <c r="P24" s="61">
        <f>FIND("effect:",O24)+7</f>
        <v>9</v>
      </c>
      <c r="Q24" s="61">
        <f>IFERROR(FIND(",",O24),LEN(O24))</f>
        <v>18</v>
      </c>
      <c r="R24" s="61">
        <f>FIND("target:",O24)+7</f>
        <v>27</v>
      </c>
      <c r="S24" s="61">
        <f>FIND(",",O24,Q24+1)</f>
        <v>33</v>
      </c>
      <c r="T24" s="61" t="str">
        <f>IFERROR(VLOOKUP(MID(O24,R24,S24-R24),[5]skilldef!$C:$D,2,FALSE),"-") &amp; " / " &amp; IFERROR(VLOOKUP(MID(O24,P24,Q24-P24),[5]skilldef!$A:$B,2,FALSE),"-")</f>
        <v>自分自身に / 行動値設定</v>
      </c>
      <c r="U24" s="48" t="str">
        <f>IFERROR(RIGHT(N24,LEN(N24)-FIND("],",N24)-1),"none")</f>
        <v>[effect:remove_enhancement, target:unit_all, target_effect:all, animation:frozen_wave],[effect:virus, target:unit_all, turn:2, rate:1, val:0.15, animation:enemy_virus],[effect:tolerance, target:myself, turn:-1, count:-1, tolerance_effect:all, animation:enemy_tolerance]</v>
      </c>
      <c r="V24" s="61">
        <f>FIND("effect:",U24)+7</f>
        <v>9</v>
      </c>
      <c r="W24" s="61">
        <f>IFERROR(FIND(",",U24),LEN(U24))</f>
        <v>27</v>
      </c>
      <c r="X24" s="61">
        <f>FIND("target:",U24)+7</f>
        <v>36</v>
      </c>
      <c r="Y24" s="61">
        <f>FIND(",",U24,W24+1)</f>
        <v>44</v>
      </c>
      <c r="Z24" s="61" t="str">
        <f>IFERROR(VLOOKUP(MID(U24,X24,Y24-X24),[5]skilldef!$C:$D,2,FALSE),"-") &amp; " / " &amp; IFERROR(VLOOKUP(MID(U24,V24,W24-V24),[5]skilldef!$A:$B,2,FALSE),"-")</f>
        <v>味方全体に / -</v>
      </c>
      <c r="AA24" s="50"/>
      <c r="AB24" s="52"/>
      <c r="AC24" s="50"/>
    </row>
    <row r="25" spans="1:29" ht="43" customHeight="1" x14ac:dyDescent="0.15">
      <c r="A25" s="113">
        <v>50016302</v>
      </c>
      <c r="B25" s="117" t="s">
        <v>378</v>
      </c>
      <c r="C25" s="118">
        <v>1</v>
      </c>
      <c r="D25" s="118" t="s">
        <v>125</v>
      </c>
      <c r="E25" s="119" t="s">
        <v>312</v>
      </c>
      <c r="F25" s="119" t="s">
        <v>317</v>
      </c>
      <c r="G25" s="61" t="str">
        <f t="shared" ref="G25:G28" si="114">IFERROR(LEFT(B25,FIND("],",B25)),B25)</f>
        <v>[effect:enemy_message, val1:1.2, val2:4.4]</v>
      </c>
      <c r="H25" s="61">
        <f t="shared" si="76"/>
        <v>9</v>
      </c>
      <c r="I25" s="61">
        <f t="shared" ref="I25:I28" si="115">IFERROR(FIND(",",G25),LEN(G25))</f>
        <v>22</v>
      </c>
      <c r="J25" s="61" t="e">
        <f t="shared" ref="J25:J28" si="116">FIND("target:",G25)+7</f>
        <v>#VALUE!</v>
      </c>
      <c r="K25" s="61">
        <f t="shared" ref="K25:K28" si="117">FIND(",",G25,I25+1)</f>
        <v>32</v>
      </c>
      <c r="L25" s="51"/>
      <c r="M25" s="61" t="str">
        <f>IFERROR(VLOOKUP(MID(G25,J25,K25-J25),[5]skilldef!$C:$D,2,FALSE),"-") &amp; " / " &amp; IFERROR(VLOOKUP(MID(G25,H25,I25-H25),[5]skilldef!$A:$B,2,FALSE),"-")</f>
        <v>- / -</v>
      </c>
      <c r="N25" s="61" t="str">
        <f t="shared" ref="N25:N28" si="118">IFERROR(RIGHT(B25,LEN(B25)-FIND("],",B25)-1),"none")</f>
        <v>[effect:force_change_block, new_block:jammer, target:normal, count:10, val:0],[effect:attack_break, target:unit_all, turn:3, val:0.8, calc:mul, animation:attack_break02],[effect:rush, count:1, val:1.0]</v>
      </c>
      <c r="O25" s="48" t="str">
        <f>IFERROR(LEFT(N25,FIND("],",N25)+#REF!),N25)</f>
        <v>[effect:force_change_block, new_block:jammer, target:normal, count:10, val:0],[effect:attack_break, target:unit_all, turn:3, val:0.8, calc:mul, animation:attack_break02],[effect:rush, count:1, val:1.0]</v>
      </c>
      <c r="P25" s="61">
        <f t="shared" si="81"/>
        <v>9</v>
      </c>
      <c r="Q25" s="61">
        <f t="shared" ref="Q25:Q28" si="119">IFERROR(FIND(",",O25),LEN(O25))</f>
        <v>27</v>
      </c>
      <c r="R25" s="61">
        <f t="shared" ref="R25:R28" si="120">FIND("target:",O25)+7</f>
        <v>54</v>
      </c>
      <c r="S25" s="61">
        <f t="shared" ref="S25:S28" si="121">FIND(",",O25,Q25+1)</f>
        <v>45</v>
      </c>
      <c r="T25" s="61" t="str">
        <f>IFERROR(VLOOKUP(MID(O25,R25,S25-R25),[5]skilldef!$C:$D,2,FALSE),"-") &amp; " / " &amp; IFERROR(VLOOKUP(MID(O25,P25,Q25-P25),[5]skilldef!$A:$B,2,FALSE),"-")</f>
        <v>- / -</v>
      </c>
      <c r="U25" s="48" t="str">
        <f t="shared" ref="U25:U28" si="122">IFERROR(RIGHT(N25,LEN(N25)-FIND("],",N25)-1),"none")</f>
        <v>[effect:attack_break, target:unit_all, turn:3, val:0.8, calc:mul, animation:attack_break02],[effect:rush, count:1, val:1.0]</v>
      </c>
      <c r="V25" s="61">
        <f t="shared" si="86"/>
        <v>9</v>
      </c>
      <c r="W25" s="61">
        <f t="shared" ref="W25:W28" si="123">IFERROR(FIND(",",U25),LEN(U25))</f>
        <v>21</v>
      </c>
      <c r="X25" s="61">
        <f t="shared" ref="X25:X28" si="124">FIND("target:",U25)+7</f>
        <v>30</v>
      </c>
      <c r="Y25" s="61">
        <f t="shared" ref="Y25:Y28" si="125">FIND(",",U25,W25+1)</f>
        <v>38</v>
      </c>
      <c r="Z25" s="61" t="str">
        <f>IFERROR(VLOOKUP(MID(U25,X25,Y25-X25),[5]skilldef!$C:$D,2,FALSE),"-") &amp; " / " &amp; IFERROR(VLOOKUP(MID(U25,V25,W25-V25),[5]skilldef!$A:$B,2,FALSE),"-")</f>
        <v>味方全体に / -</v>
      </c>
      <c r="AA25" s="50"/>
      <c r="AB25" s="52"/>
      <c r="AC25" s="50"/>
    </row>
    <row r="26" spans="1:29" ht="43" customHeight="1" x14ac:dyDescent="0.15">
      <c r="A26" s="113">
        <v>50016303</v>
      </c>
      <c r="B26" s="117" t="s">
        <v>379</v>
      </c>
      <c r="C26" s="118">
        <v>1</v>
      </c>
      <c r="D26" s="118" t="s">
        <v>125</v>
      </c>
      <c r="E26" s="119" t="s">
        <v>314</v>
      </c>
      <c r="F26" s="119" t="s">
        <v>279</v>
      </c>
      <c r="G26" s="61" t="str">
        <f t="shared" si="114"/>
        <v>[effect:enemy_message, val1:1.3, val2:2.2]</v>
      </c>
      <c r="H26" s="61">
        <f t="shared" si="76"/>
        <v>9</v>
      </c>
      <c r="I26" s="61">
        <f t="shared" si="115"/>
        <v>22</v>
      </c>
      <c r="J26" s="61" t="e">
        <f t="shared" si="116"/>
        <v>#VALUE!</v>
      </c>
      <c r="K26" s="61">
        <f t="shared" si="117"/>
        <v>32</v>
      </c>
      <c r="L26" s="51"/>
      <c r="M26" s="61" t="str">
        <f>IFERROR(VLOOKUP(MID(G26,J26,K26-J26),[5]skilldef!$C:$D,2,FALSE),"-") &amp; " / " &amp; IFERROR(VLOOKUP(MID(G26,H26,I26-H26),[5]skilldef!$A:$B,2,FALSE),"-")</f>
        <v>- / -</v>
      </c>
      <c r="N26" s="61" t="str">
        <f t="shared" si="118"/>
        <v>[effect:force_change_block, new_block:jammer, target:normal, count:7, val:0],[effect:rush, count:1, val:1.0]</v>
      </c>
      <c r="O26" s="48" t="str">
        <f>IFERROR(LEFT(N26,FIND("],",N26)+#REF!),N26)</f>
        <v>[effect:force_change_block, new_block:jammer, target:normal, count:7, val:0],[effect:rush, count:1, val:1.0]</v>
      </c>
      <c r="P26" s="61">
        <f t="shared" si="81"/>
        <v>9</v>
      </c>
      <c r="Q26" s="61">
        <f t="shared" si="119"/>
        <v>27</v>
      </c>
      <c r="R26" s="61">
        <f t="shared" si="120"/>
        <v>54</v>
      </c>
      <c r="S26" s="61">
        <f t="shared" si="121"/>
        <v>45</v>
      </c>
      <c r="T26" s="61" t="str">
        <f>IFERROR(VLOOKUP(MID(O26,R26,S26-R26),[5]skilldef!$C:$D,2,FALSE),"-") &amp; " / " &amp; IFERROR(VLOOKUP(MID(O26,P26,Q26-P26),[5]skilldef!$A:$B,2,FALSE),"-")</f>
        <v>- / -</v>
      </c>
      <c r="U26" s="48" t="str">
        <f t="shared" si="122"/>
        <v>[effect:rush, count:1, val:1.0]</v>
      </c>
      <c r="V26" s="61">
        <f t="shared" si="86"/>
        <v>9</v>
      </c>
      <c r="W26" s="61">
        <f t="shared" si="123"/>
        <v>13</v>
      </c>
      <c r="X26" s="61" t="e">
        <f t="shared" si="124"/>
        <v>#VALUE!</v>
      </c>
      <c r="Y26" s="61">
        <f t="shared" si="125"/>
        <v>22</v>
      </c>
      <c r="Z26" s="61" t="str">
        <f>IFERROR(VLOOKUP(MID(U26,X26,Y26-X26),[5]skilldef!$C:$D,2,FALSE),"-") &amp; " / " &amp; IFERROR(VLOOKUP(MID(U26,V26,W26-V26),[5]skilldef!$A:$B,2,FALSE),"-")</f>
        <v>- / 連続攻撃</v>
      </c>
      <c r="AA26" s="50"/>
      <c r="AB26" s="52"/>
      <c r="AC26" s="50"/>
    </row>
    <row r="27" spans="1:29" ht="43" customHeight="1" x14ac:dyDescent="0.15">
      <c r="A27" s="113">
        <v>50016304</v>
      </c>
      <c r="B27" s="117" t="s">
        <v>469</v>
      </c>
      <c r="C27" s="118">
        <v>1</v>
      </c>
      <c r="D27" s="118" t="s">
        <v>125</v>
      </c>
      <c r="E27" s="119" t="s">
        <v>428</v>
      </c>
      <c r="F27" s="119" t="s">
        <v>474</v>
      </c>
      <c r="G27" s="61" t="str">
        <f t="shared" si="114"/>
        <v>[effect:enemy_message, val1:1.3, val2:3.1]</v>
      </c>
      <c r="H27" s="61">
        <f t="shared" si="76"/>
        <v>9</v>
      </c>
      <c r="I27" s="61">
        <f t="shared" si="115"/>
        <v>22</v>
      </c>
      <c r="J27" s="61" t="e">
        <f t="shared" si="116"/>
        <v>#VALUE!</v>
      </c>
      <c r="K27" s="61">
        <f t="shared" si="117"/>
        <v>32</v>
      </c>
      <c r="L27" s="51"/>
      <c r="M27" s="61" t="str">
        <f>IFERROR(VLOOKUP(MID(G27,J27,K27-J27),[5]skilldef!$C:$D,2,FALSE),"-") &amp; " / " &amp; IFERROR(VLOOKUP(MID(G27,H27,I27-H27),[5]skilldef!$A:$B,2,FALSE),"-")</f>
        <v>- / -</v>
      </c>
      <c r="N27" s="61" t="str">
        <f t="shared" si="118"/>
        <v>[effect:break_attack_fix, target:unit_one, val:7000, lowest_val:17000, count:-1, block01:jammer]</v>
      </c>
      <c r="O27" s="48" t="str">
        <f>IFERROR(LEFT(N27,FIND("],",N27)+#REF!),N27)</f>
        <v>[effect:break_attack_fix, target:unit_one, val:7000, lowest_val:17000, count:-1, block01:jammer]</v>
      </c>
      <c r="P27" s="61">
        <f t="shared" si="81"/>
        <v>9</v>
      </c>
      <c r="Q27" s="61">
        <f t="shared" si="119"/>
        <v>25</v>
      </c>
      <c r="R27" s="61">
        <f t="shared" si="120"/>
        <v>34</v>
      </c>
      <c r="S27" s="61">
        <f t="shared" si="121"/>
        <v>42</v>
      </c>
      <c r="T27" s="61" t="str">
        <f>IFERROR(VLOOKUP(MID(O27,R27,S27-R27),[5]skilldef!$C:$D,2,FALSE),"-") &amp; " / " &amp; IFERROR(VLOOKUP(MID(O27,P27,Q27-P27),[5]skilldef!$A:$B,2,FALSE),"-")</f>
        <v>味方単体に / -</v>
      </c>
      <c r="U27" s="48" t="str">
        <f t="shared" si="122"/>
        <v>none</v>
      </c>
      <c r="V27" s="61" t="e">
        <f t="shared" si="86"/>
        <v>#VALUE!</v>
      </c>
      <c r="W27" s="61">
        <f t="shared" si="123"/>
        <v>4</v>
      </c>
      <c r="X27" s="61" t="e">
        <f t="shared" si="124"/>
        <v>#VALUE!</v>
      </c>
      <c r="Y27" s="61" t="e">
        <f t="shared" si="125"/>
        <v>#VALUE!</v>
      </c>
      <c r="Z27" s="61" t="str">
        <f>IFERROR(VLOOKUP(MID(U27,X27,Y27-X27),[5]skilldef!$C:$D,2,FALSE),"-") &amp; " / " &amp; IFERROR(VLOOKUP(MID(U27,V27,W27-V27),[5]skilldef!$A:$B,2,FALSE),"-")</f>
        <v>- / -</v>
      </c>
      <c r="AA27" s="50"/>
      <c r="AB27" s="52"/>
      <c r="AC27" s="50"/>
    </row>
    <row r="28" spans="1:29" ht="43" customHeight="1" x14ac:dyDescent="0.15">
      <c r="A28" s="113">
        <v>50016305</v>
      </c>
      <c r="B28" s="117" t="s">
        <v>380</v>
      </c>
      <c r="C28" s="118">
        <v>1</v>
      </c>
      <c r="D28" s="118" t="s">
        <v>125</v>
      </c>
      <c r="E28" s="119" t="s">
        <v>313</v>
      </c>
      <c r="F28" s="119" t="s">
        <v>263</v>
      </c>
      <c r="G28" s="61" t="str">
        <f t="shared" si="114"/>
        <v>[effect:enemy_message, val1:1.5, val2:1.2]</v>
      </c>
      <c r="H28" s="61">
        <f t="shared" si="76"/>
        <v>9</v>
      </c>
      <c r="I28" s="61">
        <f t="shared" si="115"/>
        <v>22</v>
      </c>
      <c r="J28" s="61" t="e">
        <f t="shared" si="116"/>
        <v>#VALUE!</v>
      </c>
      <c r="K28" s="61">
        <f t="shared" si="117"/>
        <v>32</v>
      </c>
      <c r="L28" s="51"/>
      <c r="M28" s="61" t="str">
        <f>IFERROR(VLOOKUP(MID(G28,J28,K28-J28),[5]skilldef!$C:$D,2,FALSE),"-") &amp; " / " &amp; IFERROR(VLOOKUP(MID(G28,H28,I28-H28),[5]skilldef!$A:$B,2,FALSE),"-")</f>
        <v>- / -</v>
      </c>
      <c r="N28" s="61" t="str">
        <f t="shared" si="118"/>
        <v>[effect:damage_fix_pierce, target:unit_one, color:red, val:100000]</v>
      </c>
      <c r="O28" s="48" t="str">
        <f>IFERROR(LEFT(N28,FIND("],",N28)+#REF!),N28)</f>
        <v>[effect:damage_fix_pierce, target:unit_one, color:red, val:100000]</v>
      </c>
      <c r="P28" s="61">
        <f t="shared" si="81"/>
        <v>9</v>
      </c>
      <c r="Q28" s="61">
        <f t="shared" si="119"/>
        <v>26</v>
      </c>
      <c r="R28" s="61">
        <f t="shared" si="120"/>
        <v>35</v>
      </c>
      <c r="S28" s="61">
        <f t="shared" si="121"/>
        <v>43</v>
      </c>
      <c r="T28" s="61" t="str">
        <f>IFERROR(VLOOKUP(MID(O28,R28,S28-R28),[5]skilldef!$C:$D,2,FALSE),"-") &amp; " / " &amp; IFERROR(VLOOKUP(MID(O28,P28,Q28-P28),[5]skilldef!$A:$B,2,FALSE),"-")</f>
        <v>味方単体に / -</v>
      </c>
      <c r="U28" s="48" t="str">
        <f t="shared" si="122"/>
        <v>none</v>
      </c>
      <c r="V28" s="61" t="e">
        <f t="shared" si="86"/>
        <v>#VALUE!</v>
      </c>
      <c r="W28" s="61">
        <f t="shared" si="123"/>
        <v>4</v>
      </c>
      <c r="X28" s="61" t="e">
        <f t="shared" si="124"/>
        <v>#VALUE!</v>
      </c>
      <c r="Y28" s="61" t="e">
        <f t="shared" si="125"/>
        <v>#VALUE!</v>
      </c>
      <c r="Z28" s="61" t="str">
        <f>IFERROR(VLOOKUP(MID(U28,X28,Y28-X28),[5]skilldef!$C:$D,2,FALSE),"-") &amp; " / " &amp; IFERROR(VLOOKUP(MID(U28,V28,W28-V28),[5]skilldef!$A:$B,2,FALSE),"-")</f>
        <v>- / -</v>
      </c>
      <c r="AA28" s="50"/>
      <c r="AB28" s="52"/>
      <c r="AC28" s="50"/>
    </row>
    <row r="29" spans="1:29" ht="43" customHeight="1" x14ac:dyDescent="0.15">
      <c r="A29" s="47">
        <v>50016401</v>
      </c>
      <c r="B29" s="47" t="s">
        <v>471</v>
      </c>
      <c r="C29" s="50">
        <v>1</v>
      </c>
      <c r="D29" s="50" t="s">
        <v>125</v>
      </c>
      <c r="E29" s="51" t="s">
        <v>402</v>
      </c>
      <c r="F29" s="51" t="s">
        <v>462</v>
      </c>
      <c r="G29" s="61" t="str">
        <f>IFERROR(LEFT(B29,FIND("],",B29)),B29)</f>
        <v>[effect:enemy_message, val1:2.2, val2:3.2]</v>
      </c>
      <c r="H29" s="61">
        <f>FIND("effect:",G29)+7</f>
        <v>9</v>
      </c>
      <c r="I29" s="61">
        <f>IFERROR(FIND(",",G29),LEN(G29))</f>
        <v>22</v>
      </c>
      <c r="J29" s="61" t="e">
        <f>FIND("target:",G29)+7</f>
        <v>#VALUE!</v>
      </c>
      <c r="K29" s="61">
        <f>FIND(",",G29,I29+1)</f>
        <v>32</v>
      </c>
      <c r="L29" s="51"/>
      <c r="M29" s="61" t="str">
        <f>IFERROR(VLOOKUP(MID(G29,J29,K29-J29),[5]skilldef!$C:$D,2,FALSE),"-") &amp; " / " &amp; IFERROR(VLOOKUP(MID(G29,H29,I29-H29),[5]skilldef!$A:$B,2,FALSE),"-")</f>
        <v>- / -</v>
      </c>
      <c r="N29" s="61" t="str">
        <f>IFERROR(RIGHT(B29,LEN(B29)-FIND("],",B29)-1),"none")</f>
        <v>[effect:fix_speed, target:myself, turn:1],[effect:hungup, target:unit_technical, turn:6, rate:1, animation:hungup01],[effect:tolerance, target:myself, turn:-1, count:-1, tolerance_effect:all, animation:enemy_tolerance]</v>
      </c>
      <c r="O29" s="48" t="str">
        <f>IFERROR(LEFT(N29,FIND("],",N29)+#REF!),N29)</f>
        <v>[effect:fix_speed, target:myself, turn:1],[effect:hungup, target:unit_technical, turn:6, rate:1, animation:hungup01],[effect:tolerance, target:myself, turn:-1, count:-1, tolerance_effect:all, animation:enemy_tolerance]</v>
      </c>
      <c r="P29" s="61">
        <f>FIND("effect:",O29)+7</f>
        <v>9</v>
      </c>
      <c r="Q29" s="61">
        <f>IFERROR(FIND(",",O29),LEN(O29))</f>
        <v>18</v>
      </c>
      <c r="R29" s="61">
        <f>FIND("target:",O29)+7</f>
        <v>27</v>
      </c>
      <c r="S29" s="61">
        <f>FIND(",",O29,Q29+1)</f>
        <v>33</v>
      </c>
      <c r="T29" s="61" t="str">
        <f>IFERROR(VLOOKUP(MID(O29,R29,S29-R29),[5]skilldef!$C:$D,2,FALSE),"-") &amp; " / " &amp; IFERROR(VLOOKUP(MID(O29,P29,Q29-P29),[5]skilldef!$A:$B,2,FALSE),"-")</f>
        <v>自分自身に / 行動値設定</v>
      </c>
      <c r="U29" s="48" t="str">
        <f>IFERROR(RIGHT(N29,LEN(N29)-FIND("],",N29)-1),"none")</f>
        <v>[effect:hungup, target:unit_technical, turn:6, rate:1, animation:hungup01],[effect:tolerance, target:myself, turn:-1, count:-1, tolerance_effect:all, animation:enemy_tolerance]</v>
      </c>
      <c r="V29" s="61">
        <f>FIND("effect:",U29)+7</f>
        <v>9</v>
      </c>
      <c r="W29" s="61">
        <f>IFERROR(FIND(",",U29),LEN(U29))</f>
        <v>15</v>
      </c>
      <c r="X29" s="61">
        <f>FIND("target:",U29)+7</f>
        <v>24</v>
      </c>
      <c r="Y29" s="61">
        <f>FIND(",",U29,W29+1)</f>
        <v>38</v>
      </c>
      <c r="Z29" s="61" t="str">
        <f>IFERROR(VLOOKUP(MID(U29,X29,Y29-X29),[5]skilldef!$C:$D,2,FALSE),"-") &amp; " / " &amp; IFERROR(VLOOKUP(MID(U29,V29,W29-V29),[5]skilldef!$A:$B,2,FALSE),"-")</f>
        <v>- / ハングアップ</v>
      </c>
      <c r="AA29" s="50"/>
      <c r="AB29" s="52"/>
      <c r="AC29" s="50"/>
    </row>
    <row r="30" spans="1:29" ht="43" customHeight="1" x14ac:dyDescent="0.15">
      <c r="A30" s="47">
        <v>50016402</v>
      </c>
      <c r="B30" s="47" t="s">
        <v>381</v>
      </c>
      <c r="C30" s="50">
        <v>1</v>
      </c>
      <c r="D30" s="50" t="s">
        <v>125</v>
      </c>
      <c r="E30" s="51" t="s">
        <v>338</v>
      </c>
      <c r="F30" s="51" t="s">
        <v>287</v>
      </c>
      <c r="G30" s="61" t="str">
        <f t="shared" ref="G30:G35" si="126">IFERROR(LEFT(B30,FIND("],",B30)),B30)</f>
        <v>[effect:enemy_message, val1:1.4, val2:2.3]</v>
      </c>
      <c r="H30" s="61">
        <f t="shared" ref="H30:H35" si="127">FIND("effect:",G30)+7</f>
        <v>9</v>
      </c>
      <c r="I30" s="61">
        <f t="shared" ref="I30:I35" si="128">IFERROR(FIND(",",G30),LEN(G30))</f>
        <v>22</v>
      </c>
      <c r="J30" s="61" t="e">
        <f t="shared" ref="J30:J35" si="129">FIND("target:",G30)+7</f>
        <v>#VALUE!</v>
      </c>
      <c r="K30" s="61">
        <f t="shared" ref="K30:K35" si="130">FIND(",",G30,I30+1)</f>
        <v>32</v>
      </c>
      <c r="L30" s="51"/>
      <c r="M30" s="61" t="str">
        <f>IFERROR(VLOOKUP(MID(G30,J30,K30-J30),[5]skilldef!$C:$D,2,FALSE),"-") &amp; " / " &amp; IFERROR(VLOOKUP(MID(G30,H30,I30-H30),[5]skilldef!$A:$B,2,FALSE),"-")</f>
        <v>- / -</v>
      </c>
      <c r="N30" s="61" t="str">
        <f t="shared" ref="N30:N35" si="131">IFERROR(RIGHT(B30,LEN(B30)-FIND("],",B30)-1),"none")</f>
        <v>[effect:force_change_block, new_block:jammer, target:normal, count:10, val:0],[effect:rush, count:1, val:1.0]</v>
      </c>
      <c r="O30" s="48" t="str">
        <f>IFERROR(LEFT(N30,FIND("],",N30)+#REF!),N30)</f>
        <v>[effect:force_change_block, new_block:jammer, target:normal, count:10, val:0],[effect:rush, count:1, val:1.0]</v>
      </c>
      <c r="P30" s="61">
        <f t="shared" ref="P30:P35" si="132">FIND("effect:",O30)+7</f>
        <v>9</v>
      </c>
      <c r="Q30" s="61">
        <f t="shared" ref="Q30:Q35" si="133">IFERROR(FIND(",",O30),LEN(O30))</f>
        <v>27</v>
      </c>
      <c r="R30" s="61">
        <f t="shared" ref="R30:R35" si="134">FIND("target:",O30)+7</f>
        <v>54</v>
      </c>
      <c r="S30" s="61">
        <f t="shared" ref="S30:S35" si="135">FIND(",",O30,Q30+1)</f>
        <v>45</v>
      </c>
      <c r="T30" s="61" t="str">
        <f>IFERROR(VLOOKUP(MID(O30,R30,S30-R30),[5]skilldef!$C:$D,2,FALSE),"-") &amp; " / " &amp; IFERROR(VLOOKUP(MID(O30,P30,Q30-P30),[5]skilldef!$A:$B,2,FALSE),"-")</f>
        <v>- / -</v>
      </c>
      <c r="U30" s="48" t="str">
        <f t="shared" ref="U30:U35" si="136">IFERROR(RIGHT(N30,LEN(N30)-FIND("],",N30)-1),"none")</f>
        <v>[effect:rush, count:1, val:1.0]</v>
      </c>
      <c r="V30" s="61">
        <f t="shared" ref="V30:V35" si="137">FIND("effect:",U30)+7</f>
        <v>9</v>
      </c>
      <c r="W30" s="61">
        <f t="shared" ref="W30:W35" si="138">IFERROR(FIND(",",U30),LEN(U30))</f>
        <v>13</v>
      </c>
      <c r="X30" s="61" t="e">
        <f t="shared" ref="X30:X35" si="139">FIND("target:",U30)+7</f>
        <v>#VALUE!</v>
      </c>
      <c r="Y30" s="61">
        <f t="shared" ref="Y30:Y35" si="140">FIND(",",U30,W30+1)</f>
        <v>22</v>
      </c>
      <c r="Z30" s="61" t="str">
        <f>IFERROR(VLOOKUP(MID(U30,X30,Y30-X30),[5]skilldef!$C:$D,2,FALSE),"-") &amp; " / " &amp; IFERROR(VLOOKUP(MID(U30,V30,W30-V30),[5]skilldef!$A:$B,2,FALSE),"-")</f>
        <v>- / 連続攻撃</v>
      </c>
      <c r="AA30" s="50"/>
      <c r="AB30" s="52"/>
      <c r="AC30" s="50"/>
    </row>
    <row r="31" spans="1:29" ht="43" customHeight="1" x14ac:dyDescent="0.15">
      <c r="A31" s="47">
        <v>50016403</v>
      </c>
      <c r="B31" s="47" t="s">
        <v>300</v>
      </c>
      <c r="C31" s="50">
        <v>1</v>
      </c>
      <c r="D31" s="50" t="s">
        <v>125</v>
      </c>
      <c r="E31" s="51" t="s">
        <v>333</v>
      </c>
      <c r="F31" s="51" t="s">
        <v>275</v>
      </c>
      <c r="G31" s="61" t="str">
        <f t="shared" si="126"/>
        <v>[effect:enemy_message, val1:1.2, val2:2.8]</v>
      </c>
      <c r="H31" s="61">
        <f t="shared" si="127"/>
        <v>9</v>
      </c>
      <c r="I31" s="61">
        <f t="shared" si="128"/>
        <v>22</v>
      </c>
      <c r="J31" s="61" t="e">
        <f t="shared" si="129"/>
        <v>#VALUE!</v>
      </c>
      <c r="K31" s="61">
        <f t="shared" si="130"/>
        <v>32</v>
      </c>
      <c r="L31" s="51"/>
      <c r="M31" s="61" t="str">
        <f>IFERROR(VLOOKUP(MID(G31,J31,K31-J31),[5]skilldef!$C:$D,2,FALSE),"-") &amp; " / " &amp; IFERROR(VLOOKUP(MID(G31,H31,I31-H31),[5]skilldef!$A:$B,2,FALSE),"-")</f>
        <v>- / -</v>
      </c>
      <c r="N31" s="61" t="str">
        <f t="shared" si="131"/>
        <v>[effect:force_change_block, new_block:damage, target:jammer, count:0, val:0.9],[effect:rush, count:1, val:1.0]</v>
      </c>
      <c r="O31" s="48" t="str">
        <f>IFERROR(LEFT(N31,FIND("],",N31)+#REF!),N31)</f>
        <v>[effect:force_change_block, new_block:damage, target:jammer, count:0, val:0.9],[effect:rush, count:1, val:1.0]</v>
      </c>
      <c r="P31" s="61">
        <f t="shared" si="132"/>
        <v>9</v>
      </c>
      <c r="Q31" s="61">
        <f t="shared" si="133"/>
        <v>27</v>
      </c>
      <c r="R31" s="61">
        <f t="shared" si="134"/>
        <v>54</v>
      </c>
      <c r="S31" s="61">
        <f t="shared" si="135"/>
        <v>45</v>
      </c>
      <c r="T31" s="61" t="str">
        <f>IFERROR(VLOOKUP(MID(O31,R31,S31-R31),[5]skilldef!$C:$D,2,FALSE),"-") &amp; " / " &amp; IFERROR(VLOOKUP(MID(O31,P31,Q31-P31),[5]skilldef!$A:$B,2,FALSE),"-")</f>
        <v>- / -</v>
      </c>
      <c r="U31" s="48" t="str">
        <f t="shared" si="136"/>
        <v>[effect:rush, count:1, val:1.0]</v>
      </c>
      <c r="V31" s="61">
        <f t="shared" si="137"/>
        <v>9</v>
      </c>
      <c r="W31" s="61">
        <f t="shared" si="138"/>
        <v>13</v>
      </c>
      <c r="X31" s="61" t="e">
        <f t="shared" si="139"/>
        <v>#VALUE!</v>
      </c>
      <c r="Y31" s="61">
        <f t="shared" si="140"/>
        <v>22</v>
      </c>
      <c r="Z31" s="61" t="str">
        <f>IFERROR(VLOOKUP(MID(U31,X31,Y31-X31),[5]skilldef!$C:$D,2,FALSE),"-") &amp; " / " &amp; IFERROR(VLOOKUP(MID(U31,V31,W31-V31),[5]skilldef!$A:$B,2,FALSE),"-")</f>
        <v>- / 連続攻撃</v>
      </c>
      <c r="AA31" s="50"/>
      <c r="AB31" s="52"/>
      <c r="AC31" s="50"/>
    </row>
    <row r="32" spans="1:29" ht="43" customHeight="1" x14ac:dyDescent="0.15">
      <c r="A32" s="47">
        <v>50016404</v>
      </c>
      <c r="B32" s="47" t="s">
        <v>382</v>
      </c>
      <c r="C32" s="50">
        <v>1</v>
      </c>
      <c r="D32" s="50" t="s">
        <v>125</v>
      </c>
      <c r="E32" s="51" t="s">
        <v>336</v>
      </c>
      <c r="F32" s="51" t="s">
        <v>267</v>
      </c>
      <c r="G32" s="61" t="str">
        <f t="shared" si="126"/>
        <v>[effect:enemy_message, val1:1.2, val2:2.4]</v>
      </c>
      <c r="H32" s="61">
        <f t="shared" si="127"/>
        <v>9</v>
      </c>
      <c r="I32" s="61">
        <f t="shared" si="128"/>
        <v>22</v>
      </c>
      <c r="J32" s="61" t="e">
        <f t="shared" si="129"/>
        <v>#VALUE!</v>
      </c>
      <c r="K32" s="61">
        <f t="shared" si="130"/>
        <v>32</v>
      </c>
      <c r="L32" s="51"/>
      <c r="M32" s="61" t="str">
        <f>IFERROR(VLOOKUP(MID(G32,J32,K32-J32),[5]skilldef!$C:$D,2,FALSE),"-") &amp; " / " &amp; IFERROR(VLOOKUP(MID(G32,H32,I32-H32),[5]skilldef!$A:$B,2,FALSE),"-")</f>
        <v>- / -</v>
      </c>
      <c r="N32" s="61" t="str">
        <f t="shared" si="131"/>
        <v>[effect:break_attack_fix, target:unit_one, val:-2000, lowest_val:35000, count:15, block01:block_green]</v>
      </c>
      <c r="O32" s="48" t="str">
        <f>IFERROR(LEFT(N32,FIND("],",N32)+#REF!),N32)</f>
        <v>[effect:break_attack_fix, target:unit_one, val:-2000, lowest_val:35000, count:15, block01:block_green]</v>
      </c>
      <c r="P32" s="61">
        <f t="shared" si="132"/>
        <v>9</v>
      </c>
      <c r="Q32" s="61">
        <f t="shared" si="133"/>
        <v>25</v>
      </c>
      <c r="R32" s="61">
        <f t="shared" si="134"/>
        <v>34</v>
      </c>
      <c r="S32" s="61">
        <f t="shared" si="135"/>
        <v>42</v>
      </c>
      <c r="T32" s="61" t="str">
        <f>IFERROR(VLOOKUP(MID(O32,R32,S32-R32),[5]skilldef!$C:$D,2,FALSE),"-") &amp; " / " &amp; IFERROR(VLOOKUP(MID(O32,P32,Q32-P32),[5]skilldef!$A:$B,2,FALSE),"-")</f>
        <v>味方単体に / -</v>
      </c>
      <c r="U32" s="48" t="str">
        <f t="shared" si="136"/>
        <v>none</v>
      </c>
      <c r="V32" s="61" t="e">
        <f t="shared" si="137"/>
        <v>#VALUE!</v>
      </c>
      <c r="W32" s="61">
        <f t="shared" si="138"/>
        <v>4</v>
      </c>
      <c r="X32" s="61" t="e">
        <f t="shared" si="139"/>
        <v>#VALUE!</v>
      </c>
      <c r="Y32" s="61" t="e">
        <f t="shared" si="140"/>
        <v>#VALUE!</v>
      </c>
      <c r="Z32" s="61" t="str">
        <f>IFERROR(VLOOKUP(MID(U32,X32,Y32-X32),[5]skilldef!$C:$D,2,FALSE),"-") &amp; " / " &amp; IFERROR(VLOOKUP(MID(U32,V32,W32-V32),[5]skilldef!$A:$B,2,FALSE),"-")</f>
        <v>- / -</v>
      </c>
      <c r="AA32" s="50"/>
      <c r="AB32" s="52"/>
      <c r="AC32" s="50"/>
    </row>
    <row r="33" spans="1:29" ht="43" customHeight="1" x14ac:dyDescent="0.15">
      <c r="A33" s="47">
        <v>50016405</v>
      </c>
      <c r="B33" s="47" t="s">
        <v>413</v>
      </c>
      <c r="C33" s="50">
        <v>1</v>
      </c>
      <c r="D33" s="50" t="s">
        <v>125</v>
      </c>
      <c r="E33" s="51" t="s">
        <v>332</v>
      </c>
      <c r="F33" s="51" t="s">
        <v>269</v>
      </c>
      <c r="G33" s="61" t="str">
        <f t="shared" si="126"/>
        <v>[effect:enemy_message, val1:1.2, val2:1.4]</v>
      </c>
      <c r="H33" s="61">
        <f t="shared" si="127"/>
        <v>9</v>
      </c>
      <c r="I33" s="61">
        <f t="shared" si="128"/>
        <v>22</v>
      </c>
      <c r="J33" s="61" t="e">
        <f t="shared" si="129"/>
        <v>#VALUE!</v>
      </c>
      <c r="K33" s="61">
        <f t="shared" si="130"/>
        <v>32</v>
      </c>
      <c r="L33" s="51"/>
      <c r="M33" s="61" t="str">
        <f>IFERROR(VLOOKUP(MID(G33,J33,K33-J33),[5]skilldef!$C:$D,2,FALSE),"-") &amp; " / " &amp; IFERROR(VLOOKUP(MID(G33,H33,I33-H33),[5]skilldef!$A:$B,2,FALSE),"-")</f>
        <v>- / -</v>
      </c>
      <c r="N33" s="61" t="str">
        <f t="shared" si="131"/>
        <v>[effect:break_attack_fix, target:unit_one, val:10000, lowest_val:8000, count:-1, block01:damage]</v>
      </c>
      <c r="O33" s="48" t="str">
        <f>IFERROR(LEFT(N33,FIND("],",N33)+#REF!),N33)</f>
        <v>[effect:break_attack_fix, target:unit_one, val:10000, lowest_val:8000, count:-1, block01:damage]</v>
      </c>
      <c r="P33" s="61">
        <f t="shared" si="132"/>
        <v>9</v>
      </c>
      <c r="Q33" s="61">
        <f t="shared" si="133"/>
        <v>25</v>
      </c>
      <c r="R33" s="61">
        <f t="shared" si="134"/>
        <v>34</v>
      </c>
      <c r="S33" s="61">
        <f t="shared" si="135"/>
        <v>42</v>
      </c>
      <c r="T33" s="61" t="str">
        <f>IFERROR(VLOOKUP(MID(O33,R33,S33-R33),[5]skilldef!$C:$D,2,FALSE),"-") &amp; " / " &amp; IFERROR(VLOOKUP(MID(O33,P33,Q33-P33),[5]skilldef!$A:$B,2,FALSE),"-")</f>
        <v>味方単体に / -</v>
      </c>
      <c r="U33" s="48" t="str">
        <f t="shared" si="136"/>
        <v>none</v>
      </c>
      <c r="V33" s="61" t="e">
        <f t="shared" si="137"/>
        <v>#VALUE!</v>
      </c>
      <c r="W33" s="61">
        <f t="shared" si="138"/>
        <v>4</v>
      </c>
      <c r="X33" s="61" t="e">
        <f t="shared" si="139"/>
        <v>#VALUE!</v>
      </c>
      <c r="Y33" s="61" t="e">
        <f t="shared" si="140"/>
        <v>#VALUE!</v>
      </c>
      <c r="Z33" s="61" t="str">
        <f>IFERROR(VLOOKUP(MID(U33,X33,Y33-X33),[5]skilldef!$C:$D,2,FALSE),"-") &amp; " / " &amp; IFERROR(VLOOKUP(MID(U33,V33,W33-V33),[5]skilldef!$A:$B,2,FALSE),"-")</f>
        <v>- / -</v>
      </c>
      <c r="AA33" s="50"/>
      <c r="AB33" s="52"/>
      <c r="AC33" s="50"/>
    </row>
    <row r="34" spans="1:29" ht="43" customHeight="1" x14ac:dyDescent="0.15">
      <c r="A34" s="47">
        <v>50016406</v>
      </c>
      <c r="B34" s="47" t="s">
        <v>383</v>
      </c>
      <c r="C34" s="50">
        <v>1</v>
      </c>
      <c r="D34" s="50" t="s">
        <v>125</v>
      </c>
      <c r="E34" s="51" t="s">
        <v>331</v>
      </c>
      <c r="F34" s="51" t="s">
        <v>327</v>
      </c>
      <c r="G34" s="61" t="str">
        <f t="shared" si="126"/>
        <v>[effect:enemy_message, val1:1.3, val2:6.1]</v>
      </c>
      <c r="H34" s="61">
        <f t="shared" si="127"/>
        <v>9</v>
      </c>
      <c r="I34" s="61">
        <f t="shared" si="128"/>
        <v>22</v>
      </c>
      <c r="J34" s="61" t="e">
        <f t="shared" si="129"/>
        <v>#VALUE!</v>
      </c>
      <c r="K34" s="61">
        <f t="shared" si="130"/>
        <v>32</v>
      </c>
      <c r="L34" s="51"/>
      <c r="M34" s="61" t="str">
        <f>IFERROR(VLOOKUP(MID(G34,J34,K34-J34),[5]skilldef!$C:$D,2,FALSE),"-") &amp; " / " &amp; IFERROR(VLOOKUP(MID(G34,H34,I34-H34),[5]skilldef!$A:$B,2,FALSE),"-")</f>
        <v>- / -</v>
      </c>
      <c r="N34" s="61" t="str">
        <f t="shared" si="131"/>
        <v>[effect:force_change_block, new_block:jammer, target:normal, count:10, val:0],[effect:degrade_unit, target:unit_all, turn:3, status:action, val:2, calc:add, animation:enemy_tap_down],[effect:degrade_unit, target:unit_all, turn:3, status:heal, val:0.8, calc:mul, animation:degrade_unit_all_heal]</v>
      </c>
      <c r="O34" s="48" t="str">
        <f>IFERROR(LEFT(N34,FIND("],",N34)+#REF!),N34)</f>
        <v>[effect:force_change_block, new_block:jammer, target:normal, count:10, val:0],[effect:degrade_unit, target:unit_all, turn:3, status:action, val:2, calc:add, animation:enemy_tap_down],[effect:degrade_unit, target:unit_all, turn:3, status:heal, val:0.8, calc:mul, animation:degrade_unit_all_heal]</v>
      </c>
      <c r="P34" s="61">
        <f t="shared" si="132"/>
        <v>9</v>
      </c>
      <c r="Q34" s="61">
        <f t="shared" si="133"/>
        <v>27</v>
      </c>
      <c r="R34" s="61">
        <f t="shared" si="134"/>
        <v>54</v>
      </c>
      <c r="S34" s="61">
        <f t="shared" si="135"/>
        <v>45</v>
      </c>
      <c r="T34" s="61" t="str">
        <f>IFERROR(VLOOKUP(MID(O34,R34,S34-R34),[5]skilldef!$C:$D,2,FALSE),"-") &amp; " / " &amp; IFERROR(VLOOKUP(MID(O34,P34,Q34-P34),[5]skilldef!$A:$B,2,FALSE),"-")</f>
        <v>- / -</v>
      </c>
      <c r="U34" s="48" t="str">
        <f t="shared" si="136"/>
        <v>[effect:degrade_unit, target:unit_all, turn:3, status:action, val:2, calc:add, animation:enemy_tap_down],[effect:degrade_unit, target:unit_all, turn:3, status:heal, val:0.8, calc:mul, animation:degrade_unit_all_heal]</v>
      </c>
      <c r="V34" s="61">
        <f t="shared" si="137"/>
        <v>9</v>
      </c>
      <c r="W34" s="61">
        <f t="shared" si="138"/>
        <v>21</v>
      </c>
      <c r="X34" s="61">
        <f t="shared" si="139"/>
        <v>30</v>
      </c>
      <c r="Y34" s="61">
        <f t="shared" si="140"/>
        <v>38</v>
      </c>
      <c r="Z34" s="61" t="str">
        <f>IFERROR(VLOOKUP(MID(U34,X34,Y34-X34),[5]skilldef!$C:$D,2,FALSE),"-") &amp; " / " &amp; IFERROR(VLOOKUP(MID(U34,V34,W34-V34),[5]skilldef!$A:$B,2,FALSE),"-")</f>
        <v>味方全体に / ステータスDOWN</v>
      </c>
      <c r="AA34" s="50"/>
      <c r="AB34" s="52"/>
      <c r="AC34" s="50"/>
    </row>
    <row r="35" spans="1:29" ht="43" customHeight="1" thickBot="1" x14ac:dyDescent="0.2">
      <c r="A35" s="144">
        <v>50016407</v>
      </c>
      <c r="B35" s="144" t="s">
        <v>461</v>
      </c>
      <c r="C35" s="145">
        <v>1</v>
      </c>
      <c r="D35" s="145" t="s">
        <v>125</v>
      </c>
      <c r="E35" s="146" t="s">
        <v>334</v>
      </c>
      <c r="F35" s="147" t="s">
        <v>403</v>
      </c>
      <c r="G35" s="148" t="str">
        <f t="shared" si="126"/>
        <v>[effect:enemy_message, val1:2.1, val2:2.7]</v>
      </c>
      <c r="H35" s="148">
        <f t="shared" si="127"/>
        <v>9</v>
      </c>
      <c r="I35" s="148">
        <f t="shared" si="128"/>
        <v>22</v>
      </c>
      <c r="J35" s="148" t="e">
        <f t="shared" si="129"/>
        <v>#VALUE!</v>
      </c>
      <c r="K35" s="148">
        <f t="shared" si="130"/>
        <v>32</v>
      </c>
      <c r="L35" s="146"/>
      <c r="M35" s="61" t="str">
        <f>IFERROR(VLOOKUP(MID(G35,J35,K35-J35),[5]skilldef!$C:$D,2,FALSE),"-") &amp; " / " &amp; IFERROR(VLOOKUP(MID(G35,H35,I35-H35),[5]skilldef!$A:$B,2,FALSE),"-")</f>
        <v>- / -</v>
      </c>
      <c r="N35" s="61" t="str">
        <f t="shared" si="131"/>
        <v>[effect:force_change_block, new_block:damage, target:normal, count:15, val:0.15],[effect:enhance_enemy, target:myself, turn:-1, status:attack, val:0.45, calc:mul, animation:enemy_enhance_attack]</v>
      </c>
      <c r="O35" s="48" t="str">
        <f>IFERROR(LEFT(N35,FIND("],",N35)+#REF!),N35)</f>
        <v>[effect:force_change_block, new_block:damage, target:normal, count:15, val:0.15],[effect:enhance_enemy, target:myself, turn:-1, status:attack, val:0.45, calc:mul, animation:enemy_enhance_attack]</v>
      </c>
      <c r="P35" s="61">
        <f t="shared" si="132"/>
        <v>9</v>
      </c>
      <c r="Q35" s="61">
        <f t="shared" si="133"/>
        <v>27</v>
      </c>
      <c r="R35" s="61">
        <f t="shared" si="134"/>
        <v>54</v>
      </c>
      <c r="S35" s="61">
        <f t="shared" si="135"/>
        <v>45</v>
      </c>
      <c r="T35" s="61" t="str">
        <f>IFERROR(VLOOKUP(MID(O35,R35,S35-R35),[5]skilldef!$C:$D,2,FALSE),"-") &amp; " / " &amp; IFERROR(VLOOKUP(MID(O35,P35,Q35-P35),[5]skilldef!$A:$B,2,FALSE),"-")</f>
        <v>- / -</v>
      </c>
      <c r="U35" s="48" t="str">
        <f t="shared" si="136"/>
        <v>[effect:enhance_enemy, target:myself, turn:-1, status:attack, val:0.45, calc:mul, animation:enemy_enhance_attack]</v>
      </c>
      <c r="V35" s="61">
        <f t="shared" si="137"/>
        <v>9</v>
      </c>
      <c r="W35" s="61">
        <f t="shared" si="138"/>
        <v>22</v>
      </c>
      <c r="X35" s="61">
        <f t="shared" si="139"/>
        <v>31</v>
      </c>
      <c r="Y35" s="61">
        <f t="shared" si="140"/>
        <v>37</v>
      </c>
      <c r="Z35" s="61" t="str">
        <f>IFERROR(VLOOKUP(MID(U35,X35,Y35-X35),[5]skilldef!$C:$D,2,FALSE),"-") &amp; " / " &amp; IFERROR(VLOOKUP(MID(U35,V35,W35-V35),[5]skilldef!$A:$B,2,FALSE),"-")</f>
        <v>自分自身に / ステータス強化</v>
      </c>
      <c r="AA35" s="50"/>
      <c r="AB35" s="52"/>
      <c r="AC35" s="50"/>
    </row>
    <row r="36" spans="1:29" ht="43" customHeight="1" x14ac:dyDescent="0.15">
      <c r="A36" s="140">
        <v>50016501</v>
      </c>
      <c r="B36" s="138" t="s">
        <v>437</v>
      </c>
      <c r="C36" s="141">
        <v>1</v>
      </c>
      <c r="D36" s="141" t="s">
        <v>125</v>
      </c>
      <c r="E36" s="142" t="s">
        <v>432</v>
      </c>
      <c r="F36" s="142" t="s">
        <v>318</v>
      </c>
      <c r="G36" s="143" t="str">
        <f>IFERROR(LEFT(B36,FIND("],",B36)),B36)</f>
        <v>[effect:enemy_message, val1:2.1, val2:1.7]</v>
      </c>
      <c r="H36" s="143">
        <f>FIND("effect:",G36)+7</f>
        <v>9</v>
      </c>
      <c r="I36" s="143">
        <f>IFERROR(FIND(",",G36),LEN(G36))</f>
        <v>22</v>
      </c>
      <c r="J36" s="143" t="e">
        <f>FIND("target:",G36)+7</f>
        <v>#VALUE!</v>
      </c>
      <c r="K36" s="143">
        <f>FIND(",",G36,I36+1)</f>
        <v>32</v>
      </c>
      <c r="L36" s="142"/>
      <c r="M36" s="61" t="str">
        <f>IFERROR(VLOOKUP(MID(G36,J36,K36-J36),[5]skilldef!$C:$D,2,FALSE),"-") &amp; " / " &amp; IFERROR(VLOOKUP(MID(G36,H36,I36-H36),[5]skilldef!$A:$B,2,FALSE),"-")</f>
        <v>- / -</v>
      </c>
      <c r="N36" s="61" t="str">
        <f>IFERROR(RIGHT(B36,LEN(B36)-FIND("],",B36)-1),"none")</f>
        <v>[effect:fix_speed, target:myself, turn:1],[effect:change_panel_ratio, turn:-1, block_type:green, val:0, animation:block_incidence04],[effect:tolerance, target:myself, turn:-1, count:-1, tolerance_effect:all, animation:enemy_tolerance]</v>
      </c>
      <c r="O36" s="48" t="str">
        <f>IFERROR(LEFT(N36,FIND("],",N36)+#REF!),N36)</f>
        <v>[effect:fix_speed, target:myself, turn:1],[effect:change_panel_ratio, turn:-1, block_type:green, val:0, animation:block_incidence04],[effect:tolerance, target:myself, turn:-1, count:-1, tolerance_effect:all, animation:enemy_tolerance]</v>
      </c>
      <c r="P36" s="61">
        <f>FIND("effect:",O36)+7</f>
        <v>9</v>
      </c>
      <c r="Q36" s="61">
        <f>IFERROR(FIND(",",O36),LEN(O36))</f>
        <v>18</v>
      </c>
      <c r="R36" s="61">
        <f>FIND("target:",O36)+7</f>
        <v>27</v>
      </c>
      <c r="S36" s="61">
        <f>FIND(",",O36,Q36+1)</f>
        <v>33</v>
      </c>
      <c r="T36" s="61" t="str">
        <f>IFERROR(VLOOKUP(MID(O36,R36,S36-R36),[5]skilldef!$C:$D,2,FALSE),"-") &amp; " / " &amp; IFERROR(VLOOKUP(MID(O36,P36,Q36-P36),[5]skilldef!$A:$B,2,FALSE),"-")</f>
        <v>自分自身に / 行動値設定</v>
      </c>
      <c r="U36" s="48" t="str">
        <f>IFERROR(RIGHT(N36,LEN(N36)-FIND("],",N36)-1),"none")</f>
        <v>[effect:change_panel_ratio, turn:-1, block_type:green, val:0, animation:block_incidence04],[effect:tolerance, target:myself, turn:-1, count:-1, tolerance_effect:all, animation:enemy_tolerance]</v>
      </c>
      <c r="V36" s="61">
        <f>FIND("effect:",U36)+7</f>
        <v>9</v>
      </c>
      <c r="W36" s="61">
        <f>IFERROR(FIND(",",U36),LEN(U36))</f>
        <v>27</v>
      </c>
      <c r="X36" s="61">
        <f>FIND("target:",U36)+7</f>
        <v>118</v>
      </c>
      <c r="Y36" s="61">
        <f>FIND(",",U36,W36+1)</f>
        <v>36</v>
      </c>
      <c r="Z36" s="61" t="str">
        <f>IFERROR(VLOOKUP(MID(U36,X36,Y36-X36),[5]skilldef!$C:$D,2,FALSE),"-") &amp; " / " &amp; IFERROR(VLOOKUP(MID(U36,V36,W36-V36),[5]skilldef!$A:$B,2,FALSE),"-")</f>
        <v>- / -</v>
      </c>
      <c r="AA36" s="50"/>
      <c r="AB36" s="52"/>
      <c r="AC36" s="50"/>
    </row>
    <row r="37" spans="1:29" ht="43" customHeight="1" x14ac:dyDescent="0.15">
      <c r="A37" s="113">
        <v>50016502</v>
      </c>
      <c r="B37" s="47" t="s">
        <v>438</v>
      </c>
      <c r="C37" s="50">
        <v>1</v>
      </c>
      <c r="D37" s="50" t="s">
        <v>125</v>
      </c>
      <c r="E37" s="51" t="s">
        <v>405</v>
      </c>
      <c r="F37" s="51" t="s">
        <v>421</v>
      </c>
      <c r="G37" s="61" t="str">
        <f t="shared" ref="G37:G53" si="141">IFERROR(LEFT(B37,FIND("],",B37)),B37)</f>
        <v>[effect:enemy_message, val1:1.2, val2:2.6]</v>
      </c>
      <c r="H37" s="61">
        <f t="shared" ref="H37:H66" si="142">FIND("effect:",G37)+7</f>
        <v>9</v>
      </c>
      <c r="I37" s="61">
        <f t="shared" ref="I37:I53" si="143">IFERROR(FIND(",",G37),LEN(G37))</f>
        <v>22</v>
      </c>
      <c r="J37" s="61" t="e">
        <f t="shared" ref="J37:J53" si="144">FIND("target:",G37)+7</f>
        <v>#VALUE!</v>
      </c>
      <c r="K37" s="61">
        <f t="shared" ref="K37:K53" si="145">FIND(",",G37,I37+1)</f>
        <v>32</v>
      </c>
      <c r="L37" s="51"/>
      <c r="M37" s="61" t="str">
        <f>IFERROR(VLOOKUP(MID(G37,J37,K37-J37),[5]skilldef!$C:$D,2,FALSE),"-") &amp; " / " &amp; IFERROR(VLOOKUP(MID(G37,H37,I37-H37),[5]skilldef!$A:$B,2,FALSE),"-")</f>
        <v>- / -</v>
      </c>
      <c r="N37" s="61" t="str">
        <f t="shared" ref="N37:N53" si="146">IFERROR(RIGHT(B37,LEN(B37)-FIND("],",B37)-1),"none")</f>
        <v>[effect:force_change_block, new_block:jammer, target:normal, count:10, val:0],[effect:critical, val:1.1, animation:enemy_critical]</v>
      </c>
      <c r="O37" s="48" t="str">
        <f>IFERROR(LEFT(N37,FIND("],",N37)+#REF!),N37)</f>
        <v>[effect:force_change_block, new_block:jammer, target:normal, count:10, val:0],[effect:critical, val:1.1, animation:enemy_critical]</v>
      </c>
      <c r="P37" s="61">
        <f t="shared" ref="P37:P66" si="147">FIND("effect:",O37)+7</f>
        <v>9</v>
      </c>
      <c r="Q37" s="61">
        <f t="shared" ref="Q37:Q53" si="148">IFERROR(FIND(",",O37),LEN(O37))</f>
        <v>27</v>
      </c>
      <c r="R37" s="61">
        <f t="shared" ref="R37:R53" si="149">FIND("target:",O37)+7</f>
        <v>54</v>
      </c>
      <c r="S37" s="61">
        <f t="shared" ref="S37:S53" si="150">FIND(",",O37,Q37+1)</f>
        <v>45</v>
      </c>
      <c r="T37" s="61" t="str">
        <f>IFERROR(VLOOKUP(MID(O37,R37,S37-R37),[5]skilldef!$C:$D,2,FALSE),"-") &amp; " / " &amp; IFERROR(VLOOKUP(MID(O37,P37,Q37-P37),[5]skilldef!$A:$B,2,FALSE),"-")</f>
        <v>- / -</v>
      </c>
      <c r="U37" s="48" t="str">
        <f t="shared" ref="U37:U53" si="151">IFERROR(RIGHT(N37,LEN(N37)-FIND("],",N37)-1),"none")</f>
        <v>[effect:critical, val:1.1, animation:enemy_critical]</v>
      </c>
      <c r="V37" s="61">
        <f t="shared" ref="V37:V66" si="152">FIND("effect:",U37)+7</f>
        <v>9</v>
      </c>
      <c r="W37" s="61">
        <f t="shared" ref="W37:W53" si="153">IFERROR(FIND(",",U37),LEN(U37))</f>
        <v>17</v>
      </c>
      <c r="X37" s="61" t="e">
        <f t="shared" ref="X37:X53" si="154">FIND("target:",U37)+7</f>
        <v>#VALUE!</v>
      </c>
      <c r="Y37" s="61">
        <f t="shared" ref="Y37:Y53" si="155">FIND(",",U37,W37+1)</f>
        <v>26</v>
      </c>
      <c r="Z37" s="61" t="str">
        <f>IFERROR(VLOOKUP(MID(U37,X37,Y37-X37),[5]skilldef!$C:$D,2,FALSE),"-") &amp; " / " &amp; IFERROR(VLOOKUP(MID(U37,V37,W37-V37),[5]skilldef!$A:$B,2,FALSE),"-")</f>
        <v>- / 大攻撃</v>
      </c>
      <c r="AA37" s="50"/>
      <c r="AB37" s="52"/>
      <c r="AC37" s="50"/>
    </row>
    <row r="38" spans="1:29" ht="43" customHeight="1" x14ac:dyDescent="0.15">
      <c r="A38" s="113">
        <v>50016503</v>
      </c>
      <c r="B38" s="47" t="s">
        <v>384</v>
      </c>
      <c r="C38" s="50">
        <v>1</v>
      </c>
      <c r="D38" s="50" t="s">
        <v>125</v>
      </c>
      <c r="E38" s="51" t="s">
        <v>344</v>
      </c>
      <c r="F38" s="51" t="s">
        <v>319</v>
      </c>
      <c r="G38" s="61" t="str">
        <f t="shared" si="141"/>
        <v>[effect:enemy_message, val1:1.2, val2:2.4]</v>
      </c>
      <c r="H38" s="61">
        <f t="shared" si="142"/>
        <v>9</v>
      </c>
      <c r="I38" s="61">
        <f t="shared" si="143"/>
        <v>22</v>
      </c>
      <c r="J38" s="61" t="e">
        <f t="shared" si="144"/>
        <v>#VALUE!</v>
      </c>
      <c r="K38" s="61">
        <f t="shared" si="145"/>
        <v>32</v>
      </c>
      <c r="L38" s="51"/>
      <c r="M38" s="61" t="str">
        <f>IFERROR(VLOOKUP(MID(G38,J38,K38-J38),[5]skilldef!$C:$D,2,FALSE),"-") &amp; " / " &amp; IFERROR(VLOOKUP(MID(G38,H38,I38-H38),[5]skilldef!$A:$B,2,FALSE),"-")</f>
        <v>- / -</v>
      </c>
      <c r="N38" s="61" t="str">
        <f t="shared" si="146"/>
        <v>[effect:change_panel_ratio, turn:-1, block_type:heal, val:0, animation:block_incidence04],[effect:break_attack_fix, target:unit_one, val:10000, lowest_val:7000, count:-1, block01:block_green]</v>
      </c>
      <c r="O38" s="48" t="str">
        <f>IFERROR(LEFT(N38,FIND("],",N38)+#REF!),N38)</f>
        <v>[effect:change_panel_ratio, turn:-1, block_type:heal, val:0, animation:block_incidence04],[effect:break_attack_fix, target:unit_one, val:10000, lowest_val:7000, count:-1, block01:block_green]</v>
      </c>
      <c r="P38" s="61">
        <f t="shared" si="147"/>
        <v>9</v>
      </c>
      <c r="Q38" s="61">
        <f t="shared" si="148"/>
        <v>27</v>
      </c>
      <c r="R38" s="61">
        <f t="shared" si="149"/>
        <v>124</v>
      </c>
      <c r="S38" s="61">
        <f t="shared" si="150"/>
        <v>36</v>
      </c>
      <c r="T38" s="61" t="str">
        <f>IFERROR(VLOOKUP(MID(O38,R38,S38-R38),[5]skilldef!$C:$D,2,FALSE),"-") &amp; " / " &amp; IFERROR(VLOOKUP(MID(O38,P38,Q38-P38),[5]skilldef!$A:$B,2,FALSE),"-")</f>
        <v>- / -</v>
      </c>
      <c r="U38" s="48" t="str">
        <f t="shared" si="151"/>
        <v>[effect:break_attack_fix, target:unit_one, val:10000, lowest_val:7000, count:-1, block01:block_green]</v>
      </c>
      <c r="V38" s="61">
        <f t="shared" si="152"/>
        <v>9</v>
      </c>
      <c r="W38" s="61">
        <f t="shared" si="153"/>
        <v>25</v>
      </c>
      <c r="X38" s="61">
        <f t="shared" si="154"/>
        <v>34</v>
      </c>
      <c r="Y38" s="61">
        <f t="shared" si="155"/>
        <v>42</v>
      </c>
      <c r="Z38" s="61" t="str">
        <f>IFERROR(VLOOKUP(MID(U38,X38,Y38-X38),[5]skilldef!$C:$D,2,FALSE),"-") &amp; " / " &amp; IFERROR(VLOOKUP(MID(U38,V38,W38-V38),[5]skilldef!$A:$B,2,FALSE),"-")</f>
        <v>味方単体に / -</v>
      </c>
      <c r="AA38" s="50"/>
      <c r="AB38" s="52"/>
      <c r="AC38" s="50"/>
    </row>
    <row r="39" spans="1:29" ht="43" customHeight="1" x14ac:dyDescent="0.15">
      <c r="A39" s="113">
        <v>50016504</v>
      </c>
      <c r="B39" s="47" t="s">
        <v>482</v>
      </c>
      <c r="C39" s="50">
        <v>1</v>
      </c>
      <c r="D39" s="50" t="s">
        <v>125</v>
      </c>
      <c r="E39" s="51" t="s">
        <v>406</v>
      </c>
      <c r="F39" s="51" t="s">
        <v>420</v>
      </c>
      <c r="G39" s="61" t="str">
        <f t="shared" si="141"/>
        <v>[effect:enemy_message, val1:1.2, val2:2.9]</v>
      </c>
      <c r="H39" s="61">
        <f t="shared" si="142"/>
        <v>9</v>
      </c>
      <c r="I39" s="61">
        <f t="shared" si="143"/>
        <v>22</v>
      </c>
      <c r="J39" s="61" t="e">
        <f t="shared" si="144"/>
        <v>#VALUE!</v>
      </c>
      <c r="K39" s="61">
        <f t="shared" si="145"/>
        <v>32</v>
      </c>
      <c r="L39" s="51"/>
      <c r="M39" s="61" t="str">
        <f>IFERROR(VLOOKUP(MID(G39,J39,K39-J39),[5]skilldef!$C:$D,2,FALSE),"-") &amp; " / " &amp; IFERROR(VLOOKUP(MID(G39,H39,I39-H39),[5]skilldef!$A:$B,2,FALSE),"-")</f>
        <v>- / -</v>
      </c>
      <c r="N39" s="61" t="str">
        <f t="shared" si="146"/>
        <v>[effect:force_change_block, new_block:damage, target:normal, count:10, val:0.15],[effect:critical, val:1.1, animation:enemy_critical]</v>
      </c>
      <c r="O39" s="48" t="str">
        <f>IFERROR(LEFT(N39,FIND("],",N39)+#REF!),N39)</f>
        <v>[effect:force_change_block, new_block:damage, target:normal, count:10, val:0.15],[effect:critical, val:1.1, animation:enemy_critical]</v>
      </c>
      <c r="P39" s="61">
        <f t="shared" si="147"/>
        <v>9</v>
      </c>
      <c r="Q39" s="61">
        <f t="shared" si="148"/>
        <v>27</v>
      </c>
      <c r="R39" s="61">
        <f t="shared" si="149"/>
        <v>54</v>
      </c>
      <c r="S39" s="61">
        <f t="shared" si="150"/>
        <v>45</v>
      </c>
      <c r="T39" s="61" t="str">
        <f>IFERROR(VLOOKUP(MID(O39,R39,S39-R39),[5]skilldef!$C:$D,2,FALSE),"-") &amp; " / " &amp; IFERROR(VLOOKUP(MID(O39,P39,Q39-P39),[5]skilldef!$A:$B,2,FALSE),"-")</f>
        <v>- / -</v>
      </c>
      <c r="U39" s="48" t="str">
        <f t="shared" si="151"/>
        <v>[effect:critical, val:1.1, animation:enemy_critical]</v>
      </c>
      <c r="V39" s="61">
        <f t="shared" si="152"/>
        <v>9</v>
      </c>
      <c r="W39" s="61">
        <f t="shared" si="153"/>
        <v>17</v>
      </c>
      <c r="X39" s="61" t="e">
        <f t="shared" si="154"/>
        <v>#VALUE!</v>
      </c>
      <c r="Y39" s="61">
        <f t="shared" si="155"/>
        <v>26</v>
      </c>
      <c r="Z39" s="61" t="str">
        <f>IFERROR(VLOOKUP(MID(U39,X39,Y39-X39),[5]skilldef!$C:$D,2,FALSE),"-") &amp; " / " &amp; IFERROR(VLOOKUP(MID(U39,V39,W39-V39),[5]skilldef!$A:$B,2,FALSE),"-")</f>
        <v>- / 大攻撃</v>
      </c>
      <c r="AA39" s="50"/>
      <c r="AB39" s="52"/>
      <c r="AC39" s="50"/>
    </row>
    <row r="40" spans="1:29" ht="43" customHeight="1" x14ac:dyDescent="0.15">
      <c r="A40" s="113">
        <v>50016505</v>
      </c>
      <c r="B40" s="47" t="s">
        <v>439</v>
      </c>
      <c r="C40" s="50">
        <v>1</v>
      </c>
      <c r="D40" s="50" t="s">
        <v>125</v>
      </c>
      <c r="E40" s="51" t="s">
        <v>345</v>
      </c>
      <c r="F40" s="51" t="s">
        <v>320</v>
      </c>
      <c r="G40" s="61" t="str">
        <f t="shared" si="141"/>
        <v>[effect:enemy_message, val1:1.2, val2:2.4]</v>
      </c>
      <c r="H40" s="61">
        <f t="shared" si="142"/>
        <v>9</v>
      </c>
      <c r="I40" s="61">
        <f t="shared" si="143"/>
        <v>22</v>
      </c>
      <c r="J40" s="61" t="e">
        <f t="shared" si="144"/>
        <v>#VALUE!</v>
      </c>
      <c r="K40" s="61">
        <f t="shared" si="145"/>
        <v>32</v>
      </c>
      <c r="L40" s="51"/>
      <c r="M40" s="61" t="str">
        <f>IFERROR(VLOOKUP(MID(G40,J40,K40-J40),[5]skilldef!$C:$D,2,FALSE),"-") &amp; " / " &amp; IFERROR(VLOOKUP(MID(G40,H40,I40-H40),[5]skilldef!$A:$B,2,FALSE),"-")</f>
        <v>- / -</v>
      </c>
      <c r="N40" s="61" t="str">
        <f t="shared" si="146"/>
        <v>[effect:change_panel_ratio, turn:-1, block_type:yellow, val:0, animation:block_incidence04],[effect:break_attack_fix, target:unit_one, val:8000, lowest_val:7000, count:-1, block01:block_heart]</v>
      </c>
      <c r="O40" s="48" t="str">
        <f>IFERROR(LEFT(N40,FIND("],",N40)+#REF!),N40)</f>
        <v>[effect:change_panel_ratio, turn:-1, block_type:yellow, val:0, animation:block_incidence04],[effect:break_attack_fix, target:unit_one, val:8000, lowest_val:7000, count:-1, block01:block_heart]</v>
      </c>
      <c r="P40" s="61">
        <f t="shared" si="147"/>
        <v>9</v>
      </c>
      <c r="Q40" s="61">
        <f t="shared" si="148"/>
        <v>27</v>
      </c>
      <c r="R40" s="61">
        <f t="shared" si="149"/>
        <v>126</v>
      </c>
      <c r="S40" s="61">
        <f t="shared" si="150"/>
        <v>36</v>
      </c>
      <c r="T40" s="61" t="str">
        <f>IFERROR(VLOOKUP(MID(O40,R40,S40-R40),[5]skilldef!$C:$D,2,FALSE),"-") &amp; " / " &amp; IFERROR(VLOOKUP(MID(O40,P40,Q40-P40),[5]skilldef!$A:$B,2,FALSE),"-")</f>
        <v>- / -</v>
      </c>
      <c r="U40" s="48" t="str">
        <f t="shared" si="151"/>
        <v>[effect:break_attack_fix, target:unit_one, val:8000, lowest_val:7000, count:-1, block01:block_heart]</v>
      </c>
      <c r="V40" s="61">
        <f t="shared" si="152"/>
        <v>9</v>
      </c>
      <c r="W40" s="61">
        <f t="shared" si="153"/>
        <v>25</v>
      </c>
      <c r="X40" s="61">
        <f t="shared" si="154"/>
        <v>34</v>
      </c>
      <c r="Y40" s="61">
        <f t="shared" si="155"/>
        <v>42</v>
      </c>
      <c r="Z40" s="61" t="str">
        <f>IFERROR(VLOOKUP(MID(U40,X40,Y40-X40),[5]skilldef!$C:$D,2,FALSE),"-") &amp; " / " &amp; IFERROR(VLOOKUP(MID(U40,V40,W40-V40),[5]skilldef!$A:$B,2,FALSE),"-")</f>
        <v>味方単体に / -</v>
      </c>
      <c r="AA40" s="50"/>
      <c r="AB40" s="52"/>
      <c r="AC40" s="50"/>
    </row>
    <row r="41" spans="1:29" ht="43" customHeight="1" x14ac:dyDescent="0.15">
      <c r="A41" s="113">
        <v>50016506</v>
      </c>
      <c r="B41" s="47" t="s">
        <v>438</v>
      </c>
      <c r="C41" s="50">
        <v>1</v>
      </c>
      <c r="D41" s="50" t="s">
        <v>125</v>
      </c>
      <c r="E41" s="51" t="s">
        <v>407</v>
      </c>
      <c r="F41" s="51" t="s">
        <v>419</v>
      </c>
      <c r="G41" s="61" t="str">
        <f t="shared" si="141"/>
        <v>[effect:enemy_message, val1:1.2, val2:2.6]</v>
      </c>
      <c r="H41" s="61">
        <f t="shared" si="142"/>
        <v>9</v>
      </c>
      <c r="I41" s="61">
        <f t="shared" si="143"/>
        <v>22</v>
      </c>
      <c r="J41" s="61" t="e">
        <f t="shared" si="144"/>
        <v>#VALUE!</v>
      </c>
      <c r="K41" s="61">
        <f t="shared" si="145"/>
        <v>32</v>
      </c>
      <c r="L41" s="51"/>
      <c r="M41" s="61" t="str">
        <f>IFERROR(VLOOKUP(MID(G41,J41,K41-J41),[5]skilldef!$C:$D,2,FALSE),"-") &amp; " / " &amp; IFERROR(VLOOKUP(MID(G41,H41,I41-H41),[5]skilldef!$A:$B,2,FALSE),"-")</f>
        <v>- / -</v>
      </c>
      <c r="N41" s="61" t="str">
        <f t="shared" si="146"/>
        <v>[effect:force_change_block, new_block:jammer, target:normal, count:10, val:0],[effect:critical, val:1.1, animation:enemy_critical]</v>
      </c>
      <c r="O41" s="48" t="str">
        <f>IFERROR(LEFT(N41,FIND("],",N41)+#REF!),N41)</f>
        <v>[effect:force_change_block, new_block:jammer, target:normal, count:10, val:0],[effect:critical, val:1.1, animation:enemy_critical]</v>
      </c>
      <c r="P41" s="61">
        <f t="shared" si="147"/>
        <v>9</v>
      </c>
      <c r="Q41" s="61">
        <f t="shared" si="148"/>
        <v>27</v>
      </c>
      <c r="R41" s="61">
        <f t="shared" si="149"/>
        <v>54</v>
      </c>
      <c r="S41" s="61">
        <f t="shared" si="150"/>
        <v>45</v>
      </c>
      <c r="T41" s="61" t="str">
        <f>IFERROR(VLOOKUP(MID(O41,R41,S41-R41),[5]skilldef!$C:$D,2,FALSE),"-") &amp; " / " &amp; IFERROR(VLOOKUP(MID(O41,P41,Q41-P41),[5]skilldef!$A:$B,2,FALSE),"-")</f>
        <v>- / -</v>
      </c>
      <c r="U41" s="48" t="str">
        <f t="shared" si="151"/>
        <v>[effect:critical, val:1.1, animation:enemy_critical]</v>
      </c>
      <c r="V41" s="61">
        <f t="shared" si="152"/>
        <v>9</v>
      </c>
      <c r="W41" s="61">
        <f t="shared" si="153"/>
        <v>17</v>
      </c>
      <c r="X41" s="61" t="e">
        <f t="shared" si="154"/>
        <v>#VALUE!</v>
      </c>
      <c r="Y41" s="61">
        <f t="shared" si="155"/>
        <v>26</v>
      </c>
      <c r="Z41" s="61" t="str">
        <f>IFERROR(VLOOKUP(MID(U41,X41,Y41-X41),[5]skilldef!$C:$D,2,FALSE),"-") &amp; " / " &amp; IFERROR(VLOOKUP(MID(U41,V41,W41-V41),[5]skilldef!$A:$B,2,FALSE),"-")</f>
        <v>- / 大攻撃</v>
      </c>
      <c r="AA41" s="50"/>
      <c r="AB41" s="52"/>
      <c r="AC41" s="50"/>
    </row>
    <row r="42" spans="1:29" ht="43" customHeight="1" x14ac:dyDescent="0.15">
      <c r="A42" s="113">
        <v>50016507</v>
      </c>
      <c r="B42" s="47" t="s">
        <v>440</v>
      </c>
      <c r="C42" s="50">
        <v>1</v>
      </c>
      <c r="D42" s="50" t="s">
        <v>125</v>
      </c>
      <c r="E42" s="51" t="s">
        <v>346</v>
      </c>
      <c r="F42" s="51" t="s">
        <v>302</v>
      </c>
      <c r="G42" s="61" t="str">
        <f t="shared" si="141"/>
        <v>[effect:enemy_message, val1:1.2, val2:1.2]</v>
      </c>
      <c r="H42" s="61">
        <f t="shared" si="142"/>
        <v>9</v>
      </c>
      <c r="I42" s="61">
        <f t="shared" si="143"/>
        <v>22</v>
      </c>
      <c r="J42" s="61" t="e">
        <f t="shared" si="144"/>
        <v>#VALUE!</v>
      </c>
      <c r="K42" s="61">
        <f t="shared" si="145"/>
        <v>32</v>
      </c>
      <c r="L42" s="51"/>
      <c r="M42" s="61" t="str">
        <f>IFERROR(VLOOKUP(MID(G42,J42,K42-J42),[5]skilldef!$C:$D,2,FALSE),"-") &amp; " / " &amp; IFERROR(VLOOKUP(MID(G42,H42,I42-H42),[5]skilldef!$A:$B,2,FALSE),"-")</f>
        <v>- / -</v>
      </c>
      <c r="N42" s="61" t="str">
        <f t="shared" si="146"/>
        <v>[effect:break_attack_fix, target:unit_one, val:8000, lowest_val:7000, count:-1, block01:block_yellow]</v>
      </c>
      <c r="O42" s="48" t="str">
        <f>IFERROR(LEFT(N42,FIND("],",N42)+#REF!),N42)</f>
        <v>[effect:break_attack_fix, target:unit_one, val:8000, lowest_val:7000, count:-1, block01:block_yellow]</v>
      </c>
      <c r="P42" s="61">
        <f t="shared" si="147"/>
        <v>9</v>
      </c>
      <c r="Q42" s="61">
        <f t="shared" si="148"/>
        <v>25</v>
      </c>
      <c r="R42" s="61">
        <f t="shared" si="149"/>
        <v>34</v>
      </c>
      <c r="S42" s="61">
        <f t="shared" si="150"/>
        <v>42</v>
      </c>
      <c r="T42" s="61" t="str">
        <f>IFERROR(VLOOKUP(MID(O42,R42,S42-R42),[5]skilldef!$C:$D,2,FALSE),"-") &amp; " / " &amp; IFERROR(VLOOKUP(MID(O42,P42,Q42-P42),[5]skilldef!$A:$B,2,FALSE),"-")</f>
        <v>味方単体に / -</v>
      </c>
      <c r="U42" s="48" t="str">
        <f t="shared" si="151"/>
        <v>none</v>
      </c>
      <c r="V42" s="61" t="e">
        <f t="shared" si="152"/>
        <v>#VALUE!</v>
      </c>
      <c r="W42" s="61">
        <f t="shared" si="153"/>
        <v>4</v>
      </c>
      <c r="X42" s="61" t="e">
        <f t="shared" si="154"/>
        <v>#VALUE!</v>
      </c>
      <c r="Y42" s="61" t="e">
        <f t="shared" si="155"/>
        <v>#VALUE!</v>
      </c>
      <c r="Z42" s="61" t="str">
        <f>IFERROR(VLOOKUP(MID(U42,X42,Y42-X42),[5]skilldef!$C:$D,2,FALSE),"-") &amp; " / " &amp; IFERROR(VLOOKUP(MID(U42,V42,W42-V42),[5]skilldef!$A:$B,2,FALSE),"-")</f>
        <v>- / -</v>
      </c>
      <c r="AA42" s="50"/>
      <c r="AB42" s="52"/>
      <c r="AC42" s="50"/>
    </row>
    <row r="43" spans="1:29" ht="43" customHeight="1" x14ac:dyDescent="0.15">
      <c r="A43" s="113">
        <v>50016508</v>
      </c>
      <c r="B43" s="47" t="s">
        <v>479</v>
      </c>
      <c r="C43" s="50">
        <v>1</v>
      </c>
      <c r="D43" s="50" t="s">
        <v>125</v>
      </c>
      <c r="E43" s="51" t="s">
        <v>408</v>
      </c>
      <c r="F43" s="51" t="s">
        <v>476</v>
      </c>
      <c r="G43" s="61" t="str">
        <f t="shared" si="141"/>
        <v>[effect:enemy_message, val1:1.2, val2:3.8]</v>
      </c>
      <c r="H43" s="61">
        <f t="shared" si="142"/>
        <v>9</v>
      </c>
      <c r="I43" s="61">
        <f t="shared" si="143"/>
        <v>22</v>
      </c>
      <c r="J43" s="61" t="e">
        <f t="shared" si="144"/>
        <v>#VALUE!</v>
      </c>
      <c r="K43" s="61">
        <f t="shared" si="145"/>
        <v>32</v>
      </c>
      <c r="L43" s="51"/>
      <c r="M43" s="61" t="str">
        <f>IFERROR(VLOOKUP(MID(G43,J43,K43-J43),[5]skilldef!$C:$D,2,FALSE),"-") &amp; " / " &amp; IFERROR(VLOOKUP(MID(G43,H43,I43-H43),[5]skilldef!$A:$B,2,FALSE),"-")</f>
        <v>- / -</v>
      </c>
      <c r="N43" s="61" t="str">
        <f t="shared" si="146"/>
        <v>[effect:break_enchance_enemy, target:myself, val:3000, lowest_val:0, count:10, status:defense, turn:-1, block01:block_red, calc:add, animation:enemy_enhance_defense]</v>
      </c>
      <c r="O43" s="48" t="str">
        <f>IFERROR(LEFT(N43,FIND("],",N43)+#REF!),N43)</f>
        <v>[effect:break_enchance_enemy, target:myself, val:3000, lowest_val:0, count:10, status:defense, turn:-1, block01:block_red, calc:add, animation:enemy_enhance_defense]</v>
      </c>
      <c r="P43" s="61">
        <f t="shared" si="147"/>
        <v>9</v>
      </c>
      <c r="Q43" s="61">
        <f t="shared" si="148"/>
        <v>29</v>
      </c>
      <c r="R43" s="61">
        <f t="shared" si="149"/>
        <v>38</v>
      </c>
      <c r="S43" s="61">
        <f t="shared" si="150"/>
        <v>44</v>
      </c>
      <c r="T43" s="61" t="str">
        <f>IFERROR(VLOOKUP(MID(O43,R43,S43-R43),[5]skilldef!$C:$D,2,FALSE),"-") &amp; " / " &amp; IFERROR(VLOOKUP(MID(O43,P43,Q43-P43),[5]skilldef!$A:$B,2,FALSE),"-")</f>
        <v>自分自身に / -</v>
      </c>
      <c r="U43" s="48" t="str">
        <f t="shared" si="151"/>
        <v>none</v>
      </c>
      <c r="V43" s="61" t="e">
        <f t="shared" si="152"/>
        <v>#VALUE!</v>
      </c>
      <c r="W43" s="61">
        <f t="shared" si="153"/>
        <v>4</v>
      </c>
      <c r="X43" s="61" t="e">
        <f t="shared" si="154"/>
        <v>#VALUE!</v>
      </c>
      <c r="Y43" s="61" t="e">
        <f t="shared" si="155"/>
        <v>#VALUE!</v>
      </c>
      <c r="Z43" s="61" t="str">
        <f>IFERROR(VLOOKUP(MID(U43,X43,Y43-X43),[5]skilldef!$C:$D,2,FALSE),"-") &amp; " / " &amp; IFERROR(VLOOKUP(MID(U43,V43,W43-V43),[5]skilldef!$A:$B,2,FALSE),"-")</f>
        <v>- / -</v>
      </c>
      <c r="AA43" s="50"/>
      <c r="AB43" s="52"/>
      <c r="AC43" s="50"/>
    </row>
    <row r="44" spans="1:29" ht="43" customHeight="1" x14ac:dyDescent="0.15">
      <c r="A44" s="113">
        <v>50016509</v>
      </c>
      <c r="B44" s="122" t="s">
        <v>297</v>
      </c>
      <c r="C44" s="50">
        <v>1</v>
      </c>
      <c r="D44" s="50" t="s">
        <v>125</v>
      </c>
      <c r="E44" s="51" t="s">
        <v>341</v>
      </c>
      <c r="F44" s="51" t="s">
        <v>263</v>
      </c>
      <c r="G44" s="61" t="str">
        <f t="shared" si="141"/>
        <v>[effect:enemy_message, val1:1.2, val2:1.2]</v>
      </c>
      <c r="H44" s="61">
        <f t="shared" si="142"/>
        <v>9</v>
      </c>
      <c r="I44" s="61">
        <f t="shared" si="143"/>
        <v>22</v>
      </c>
      <c r="J44" s="61" t="e">
        <f t="shared" si="144"/>
        <v>#VALUE!</v>
      </c>
      <c r="K44" s="61">
        <f t="shared" si="145"/>
        <v>32</v>
      </c>
      <c r="L44" s="51"/>
      <c r="M44" s="61" t="str">
        <f>IFERROR(VLOOKUP(MID(G44,J44,K44-J44),[5]skilldef!$C:$D,2,FALSE),"-") &amp; " / " &amp; IFERROR(VLOOKUP(MID(G44,H44,I44-H44),[5]skilldef!$A:$B,2,FALSE),"-")</f>
        <v>- / -</v>
      </c>
      <c r="N44" s="61" t="str">
        <f t="shared" si="146"/>
        <v>[effect:damage_fix_pierce, target:unit_one, color:red, val:100000]</v>
      </c>
      <c r="O44" s="48" t="str">
        <f>IFERROR(LEFT(N44,FIND("],",N44)+#REF!),N44)</f>
        <v>[effect:damage_fix_pierce, target:unit_one, color:red, val:100000]</v>
      </c>
      <c r="P44" s="61">
        <f t="shared" si="147"/>
        <v>9</v>
      </c>
      <c r="Q44" s="61">
        <f t="shared" si="148"/>
        <v>26</v>
      </c>
      <c r="R44" s="61">
        <f t="shared" si="149"/>
        <v>35</v>
      </c>
      <c r="S44" s="61">
        <f t="shared" si="150"/>
        <v>43</v>
      </c>
      <c r="T44" s="61" t="str">
        <f>IFERROR(VLOOKUP(MID(O44,R44,S44-R44),[5]skilldef!$C:$D,2,FALSE),"-") &amp; " / " &amp; IFERROR(VLOOKUP(MID(O44,P44,Q44-P44),[5]skilldef!$A:$B,2,FALSE),"-")</f>
        <v>味方単体に / -</v>
      </c>
      <c r="U44" s="48" t="str">
        <f t="shared" si="151"/>
        <v>none</v>
      </c>
      <c r="V44" s="61" t="e">
        <f t="shared" si="152"/>
        <v>#VALUE!</v>
      </c>
      <c r="W44" s="61">
        <f t="shared" si="153"/>
        <v>4</v>
      </c>
      <c r="X44" s="61" t="e">
        <f t="shared" si="154"/>
        <v>#VALUE!</v>
      </c>
      <c r="Y44" s="61" t="e">
        <f t="shared" si="155"/>
        <v>#VALUE!</v>
      </c>
      <c r="Z44" s="61" t="str">
        <f>IFERROR(VLOOKUP(MID(U44,X44,Y44-X44),[5]skilldef!$C:$D,2,FALSE),"-") &amp; " / " &amp; IFERROR(VLOOKUP(MID(U44,V44,W44-V44),[5]skilldef!$A:$B,2,FALSE),"-")</f>
        <v>- / -</v>
      </c>
      <c r="AA44" s="50"/>
      <c r="AB44" s="52"/>
      <c r="AC44" s="50"/>
    </row>
    <row r="45" spans="1:29" ht="43" customHeight="1" x14ac:dyDescent="0.15">
      <c r="A45" s="113">
        <v>50016521</v>
      </c>
      <c r="B45" s="47" t="s">
        <v>385</v>
      </c>
      <c r="C45" s="50">
        <v>1</v>
      </c>
      <c r="D45" s="50" t="s">
        <v>339</v>
      </c>
      <c r="E45" s="120" t="s">
        <v>364</v>
      </c>
      <c r="F45" s="120" t="s">
        <v>343</v>
      </c>
      <c r="G45" s="61" t="str">
        <f t="shared" si="141"/>
        <v>[effect:enemy_message, val1:1.4, val2:3.8]</v>
      </c>
      <c r="H45" s="61">
        <f t="shared" ref="H45" si="156">FIND("effect:",G45)+7</f>
        <v>9</v>
      </c>
      <c r="I45" s="61">
        <f t="shared" si="143"/>
        <v>22</v>
      </c>
      <c r="J45" s="61" t="e">
        <f t="shared" si="144"/>
        <v>#VALUE!</v>
      </c>
      <c r="K45" s="61">
        <f t="shared" si="145"/>
        <v>32</v>
      </c>
      <c r="L45" s="51" t="s">
        <v>359</v>
      </c>
      <c r="M45" s="61" t="str">
        <f>IFERROR(VLOOKUP(MID(G45,J45,K45-J45),[5]skilldef!$C:$D,2,FALSE),"-") &amp; " / " &amp; IFERROR(VLOOKUP(MID(G45,H45,I45-H45),[5]skilldef!$A:$B,2,FALSE),"-")</f>
        <v>- / -</v>
      </c>
      <c r="N45" s="61" t="str">
        <f t="shared" si="146"/>
        <v>[effect:fix_speed, target:myself, turn:1],[effect:change_panel_ratio, turn:-1, block_type:green, val:0, animation:block_incidence04],[effect:tolerance, target:myself, turn:-1, count:-1, tolerance_effect:all, animation:enemy_tolerance]</v>
      </c>
      <c r="O45" s="48" t="str">
        <f>IFERROR(LEFT(N45,FIND("],",N45)+#REF!),N45)</f>
        <v>[effect:fix_speed, target:myself, turn:1],[effect:change_panel_ratio, turn:-1, block_type:green, val:0, animation:block_incidence04],[effect:tolerance, target:myself, turn:-1, count:-1, tolerance_effect:all, animation:enemy_tolerance]</v>
      </c>
      <c r="P45" s="61">
        <f t="shared" ref="P45" si="157">FIND("effect:",O45)+7</f>
        <v>9</v>
      </c>
      <c r="Q45" s="61">
        <f t="shared" si="148"/>
        <v>18</v>
      </c>
      <c r="R45" s="61">
        <f t="shared" si="149"/>
        <v>27</v>
      </c>
      <c r="S45" s="61">
        <f t="shared" si="150"/>
        <v>33</v>
      </c>
      <c r="T45" s="61" t="str">
        <f>IFERROR(VLOOKUP(MID(O45,R45,S45-R45),[5]skilldef!$C:$D,2,FALSE),"-") &amp; " / " &amp; IFERROR(VLOOKUP(MID(O45,P45,Q45-P45),[5]skilldef!$A:$B,2,FALSE),"-")</f>
        <v>自分自身に / 行動値設定</v>
      </c>
      <c r="U45" s="48" t="str">
        <f t="shared" si="151"/>
        <v>[effect:change_panel_ratio, turn:-1, block_type:green, val:0, animation:block_incidence04],[effect:tolerance, target:myself, turn:-1, count:-1, tolerance_effect:all, animation:enemy_tolerance]</v>
      </c>
      <c r="V45" s="61">
        <f t="shared" ref="V45" si="158">FIND("effect:",U45)+7</f>
        <v>9</v>
      </c>
      <c r="W45" s="61">
        <f t="shared" si="153"/>
        <v>27</v>
      </c>
      <c r="X45" s="61">
        <f t="shared" si="154"/>
        <v>118</v>
      </c>
      <c r="Y45" s="61">
        <f t="shared" si="155"/>
        <v>36</v>
      </c>
      <c r="Z45" s="61" t="str">
        <f>IFERROR(VLOOKUP(MID(U45,X45,Y45-X45),[5]skilldef!$C:$D,2,FALSE),"-") &amp; " / " &amp; IFERROR(VLOOKUP(MID(U45,V45,W45-V45),[5]skilldef!$A:$B,2,FALSE),"-")</f>
        <v>- / -</v>
      </c>
      <c r="AA45" s="50"/>
      <c r="AB45" s="52"/>
      <c r="AC45" s="50"/>
    </row>
    <row r="46" spans="1:29" ht="43" customHeight="1" x14ac:dyDescent="0.15">
      <c r="A46" s="113">
        <v>50016522</v>
      </c>
      <c r="B46" s="47" t="s">
        <v>441</v>
      </c>
      <c r="C46" s="50">
        <v>1</v>
      </c>
      <c r="D46" s="50" t="s">
        <v>339</v>
      </c>
      <c r="E46" s="120" t="s">
        <v>429</v>
      </c>
      <c r="F46" s="120" t="s">
        <v>354</v>
      </c>
      <c r="G46" s="61" t="str">
        <f t="shared" ref="G46:G47" si="159">IFERROR(LEFT(B46,FIND("],",B46)),B46)</f>
        <v>[effect:enemy_message, val1:2.3, val2:3.7]</v>
      </c>
      <c r="H46" s="61">
        <f t="shared" si="142"/>
        <v>9</v>
      </c>
      <c r="I46" s="61">
        <f t="shared" ref="I46:I47" si="160">IFERROR(FIND(",",G46),LEN(G46))</f>
        <v>22</v>
      </c>
      <c r="J46" s="61" t="e">
        <f t="shared" ref="J46:J47" si="161">FIND("target:",G46)+7</f>
        <v>#VALUE!</v>
      </c>
      <c r="K46" s="61">
        <f t="shared" ref="K46:K47" si="162">FIND(",",G46,I46+1)</f>
        <v>32</v>
      </c>
      <c r="L46" s="51" t="s">
        <v>360</v>
      </c>
      <c r="M46" s="61" t="str">
        <f>IFERROR(VLOOKUP(MID(G46,J46,K46-J46),[5]skilldef!$C:$D,2,FALSE),"-") &amp; " / " &amp; IFERROR(VLOOKUP(MID(G46,H46,I46-H46),[5]skilldef!$A:$B,2,FALSE),"-")</f>
        <v>- / -</v>
      </c>
      <c r="N46" s="61" t="str">
        <f t="shared" ref="N46:N47" si="163">IFERROR(RIGHT(B46,LEN(B46)-FIND("],",B46)-1),"none")</f>
        <v>[effect:fix_speed, target:myself, turn:1],[effect:change_panel_ratio, turn:-1, block_type:green, val:0, animation:block_incidence04],[effect:tolerance, target:myself, turn:-1, count:-1, tolerance_effect:all, animation:enemy_tolerance]</v>
      </c>
      <c r="O46" s="48" t="str">
        <f>IFERROR(LEFT(N46,FIND("],",N46)+#REF!),N46)</f>
        <v>[effect:fix_speed, target:myself, turn:1],[effect:change_panel_ratio, turn:-1, block_type:green, val:0, animation:block_incidence04],[effect:tolerance, target:myself, turn:-1, count:-1, tolerance_effect:all, animation:enemy_tolerance]</v>
      </c>
      <c r="P46" s="61">
        <f t="shared" si="147"/>
        <v>9</v>
      </c>
      <c r="Q46" s="61">
        <f t="shared" ref="Q46:Q47" si="164">IFERROR(FIND(",",O46),LEN(O46))</f>
        <v>18</v>
      </c>
      <c r="R46" s="61">
        <f t="shared" ref="R46:R47" si="165">FIND("target:",O46)+7</f>
        <v>27</v>
      </c>
      <c r="S46" s="61">
        <f t="shared" ref="S46:S47" si="166">FIND(",",O46,Q46+1)</f>
        <v>33</v>
      </c>
      <c r="T46" s="61" t="str">
        <f>IFERROR(VLOOKUP(MID(O46,R46,S46-R46),[5]skilldef!$C:$D,2,FALSE),"-") &amp; " / " &amp; IFERROR(VLOOKUP(MID(O46,P46,Q46-P46),[5]skilldef!$A:$B,2,FALSE),"-")</f>
        <v>自分自身に / 行動値設定</v>
      </c>
      <c r="U46" s="48" t="str">
        <f t="shared" ref="U46:U47" si="167">IFERROR(RIGHT(N46,LEN(N46)-FIND("],",N46)-1),"none")</f>
        <v>[effect:change_panel_ratio, turn:-1, block_type:green, val:0, animation:block_incidence04],[effect:tolerance, target:myself, turn:-1, count:-1, tolerance_effect:all, animation:enemy_tolerance]</v>
      </c>
      <c r="V46" s="61">
        <f t="shared" si="152"/>
        <v>9</v>
      </c>
      <c r="W46" s="61">
        <f t="shared" ref="W46:W47" si="168">IFERROR(FIND(",",U46),LEN(U46))</f>
        <v>27</v>
      </c>
      <c r="X46" s="61">
        <f t="shared" ref="X46:X47" si="169">FIND("target:",U46)+7</f>
        <v>118</v>
      </c>
      <c r="Y46" s="61">
        <f t="shared" ref="Y46:Y47" si="170">FIND(",",U46,W46+1)</f>
        <v>36</v>
      </c>
      <c r="Z46" s="61" t="str">
        <f>IFERROR(VLOOKUP(MID(U46,X46,Y46-X46),[5]skilldef!$C:$D,2,FALSE),"-") &amp; " / " &amp; IFERROR(VLOOKUP(MID(U46,V46,W46-V46),[5]skilldef!$A:$B,2,FALSE),"-")</f>
        <v>- / -</v>
      </c>
      <c r="AA46" s="50"/>
      <c r="AB46" s="52"/>
      <c r="AC46" s="50"/>
    </row>
    <row r="47" spans="1:29" ht="43" customHeight="1" x14ac:dyDescent="0.15">
      <c r="A47" s="113">
        <v>50016523</v>
      </c>
      <c r="B47" s="47" t="s">
        <v>386</v>
      </c>
      <c r="C47" s="50">
        <v>1</v>
      </c>
      <c r="D47" s="50" t="s">
        <v>125</v>
      </c>
      <c r="E47" s="120" t="s">
        <v>365</v>
      </c>
      <c r="F47" s="120" t="s">
        <v>340</v>
      </c>
      <c r="G47" s="61" t="str">
        <f t="shared" si="159"/>
        <v>[effect:enemy_message, val1:1.3, val2:3.5]</v>
      </c>
      <c r="H47" s="61">
        <f t="shared" si="142"/>
        <v>9</v>
      </c>
      <c r="I47" s="61">
        <f t="shared" si="160"/>
        <v>22</v>
      </c>
      <c r="J47" s="61" t="e">
        <f t="shared" si="161"/>
        <v>#VALUE!</v>
      </c>
      <c r="K47" s="61">
        <f t="shared" si="162"/>
        <v>32</v>
      </c>
      <c r="L47" s="51" t="s">
        <v>361</v>
      </c>
      <c r="M47" s="61" t="str">
        <f>IFERROR(VLOOKUP(MID(G47,J47,K47-J47),[5]skilldef!$C:$D,2,FALSE),"-") &amp; " / " &amp; IFERROR(VLOOKUP(MID(G47,H47,I47-H47),[5]skilldef!$A:$B,2,FALSE),"-")</f>
        <v>- / -</v>
      </c>
      <c r="N47" s="61" t="str">
        <f t="shared" si="163"/>
        <v>[effect:fix_speed, target:myself, turn:1],[effect:change_panel_ratio, turn:-1, block_type:green, val:0, animation:block_incidence04],[effect:tolerance, target:myself, turn:-1, count:-1, tolerance_effect:all, animation:enemy_tolerance]</v>
      </c>
      <c r="O47" s="48" t="str">
        <f>IFERROR(LEFT(N47,FIND("],",N47)+#REF!),N47)</f>
        <v>[effect:fix_speed, target:myself, turn:1],[effect:change_panel_ratio, turn:-1, block_type:green, val:0, animation:block_incidence04],[effect:tolerance, target:myself, turn:-1, count:-1, tolerance_effect:all, animation:enemy_tolerance]</v>
      </c>
      <c r="P47" s="61">
        <f t="shared" si="147"/>
        <v>9</v>
      </c>
      <c r="Q47" s="61">
        <f t="shared" si="164"/>
        <v>18</v>
      </c>
      <c r="R47" s="61">
        <f t="shared" si="165"/>
        <v>27</v>
      </c>
      <c r="S47" s="61">
        <f t="shared" si="166"/>
        <v>33</v>
      </c>
      <c r="T47" s="61" t="str">
        <f>IFERROR(VLOOKUP(MID(O47,R47,S47-R47),[5]skilldef!$C:$D,2,FALSE),"-") &amp; " / " &amp; IFERROR(VLOOKUP(MID(O47,P47,Q47-P47),[5]skilldef!$A:$B,2,FALSE),"-")</f>
        <v>自分自身に / 行動値設定</v>
      </c>
      <c r="U47" s="48" t="str">
        <f t="shared" si="167"/>
        <v>[effect:change_panel_ratio, turn:-1, block_type:green, val:0, animation:block_incidence04],[effect:tolerance, target:myself, turn:-1, count:-1, tolerance_effect:all, animation:enemy_tolerance]</v>
      </c>
      <c r="V47" s="61">
        <f t="shared" si="152"/>
        <v>9</v>
      </c>
      <c r="W47" s="61">
        <f t="shared" si="168"/>
        <v>27</v>
      </c>
      <c r="X47" s="61">
        <f t="shared" si="169"/>
        <v>118</v>
      </c>
      <c r="Y47" s="61">
        <f t="shared" si="170"/>
        <v>36</v>
      </c>
      <c r="Z47" s="61" t="str">
        <f>IFERROR(VLOOKUP(MID(U47,X47,Y47-X47),[5]skilldef!$C:$D,2,FALSE),"-") &amp; " / " &amp; IFERROR(VLOOKUP(MID(U47,V47,W47-V47),[5]skilldef!$A:$B,2,FALSE),"-")</f>
        <v>- / -</v>
      </c>
      <c r="AA47" s="50"/>
      <c r="AB47" s="52"/>
      <c r="AC47" s="50"/>
    </row>
    <row r="48" spans="1:29" ht="43" customHeight="1" x14ac:dyDescent="0.15">
      <c r="A48" s="113">
        <v>50016601</v>
      </c>
      <c r="B48" s="114" t="s">
        <v>458</v>
      </c>
      <c r="C48" s="115">
        <v>1</v>
      </c>
      <c r="D48" s="115" t="s">
        <v>125</v>
      </c>
      <c r="E48" s="116" t="s">
        <v>409</v>
      </c>
      <c r="F48" s="116" t="s">
        <v>293</v>
      </c>
      <c r="G48" s="61" t="str">
        <f t="shared" si="141"/>
        <v>[effect:enemy_message, val1:1.5, val2:3.0]</v>
      </c>
      <c r="H48" s="61">
        <f t="shared" si="142"/>
        <v>9</v>
      </c>
      <c r="I48" s="61">
        <f t="shared" si="143"/>
        <v>22</v>
      </c>
      <c r="J48" s="61" t="e">
        <f t="shared" si="144"/>
        <v>#VALUE!</v>
      </c>
      <c r="K48" s="61">
        <f t="shared" si="145"/>
        <v>32</v>
      </c>
      <c r="L48" s="51"/>
      <c r="M48" s="61" t="str">
        <f>IFERROR(VLOOKUP(MID(G48,J48,K48-J48),[5]skilldef!$C:$D,2,FALSE),"-") &amp; " / " &amp; IFERROR(VLOOKUP(MID(G48,H48,I48-H48),[5]skilldef!$A:$B,2,FALSE),"-")</f>
        <v>- / -</v>
      </c>
      <c r="N48" s="61" t="str">
        <f t="shared" si="146"/>
        <v>[effect:fix_speed, target:myself, turn:1],[effect:remove_enhancement, target:unit_all, target_effect:all, animation:frozen_wave],[effect:virus, target:unit_all, turn:4, rate:1, val:0.15, animation:enemy_virus],[effect:tolerance, target:myself, turn:-1, count:-1, tolerance_effect:all, animation:enemy_tolerance]</v>
      </c>
      <c r="O48" s="48" t="str">
        <f>IFERROR(LEFT(N48,FIND("],",N48)+#REF!),N48)</f>
        <v>[effect:fix_speed, target:myself, turn:1],[effect:remove_enhancement, target:unit_all, target_effect:all, animation:frozen_wave],[effect:virus, target:unit_all, turn:4, rate:1, val:0.15, animation:enemy_virus],[effect:tolerance, target:myself, turn:-1, count:-1, tolerance_effect:all, animation:enemy_tolerance]</v>
      </c>
      <c r="P48" s="61">
        <f t="shared" si="147"/>
        <v>9</v>
      </c>
      <c r="Q48" s="61">
        <f t="shared" si="148"/>
        <v>18</v>
      </c>
      <c r="R48" s="61">
        <f t="shared" si="149"/>
        <v>27</v>
      </c>
      <c r="S48" s="61">
        <f t="shared" si="150"/>
        <v>33</v>
      </c>
      <c r="T48" s="61" t="str">
        <f>IFERROR(VLOOKUP(MID(O48,R48,S48-R48),[5]skilldef!$C:$D,2,FALSE),"-") &amp; " / " &amp; IFERROR(VLOOKUP(MID(O48,P48,Q48-P48),[5]skilldef!$A:$B,2,FALSE),"-")</f>
        <v>自分自身に / 行動値設定</v>
      </c>
      <c r="U48" s="48" t="str">
        <f t="shared" si="151"/>
        <v>[effect:remove_enhancement, target:unit_all, target_effect:all, animation:frozen_wave],[effect:virus, target:unit_all, turn:4, rate:1, val:0.15, animation:enemy_virus],[effect:tolerance, target:myself, turn:-1, count:-1, tolerance_effect:all, animation:enemy_tolerance]</v>
      </c>
      <c r="V48" s="61">
        <f t="shared" si="152"/>
        <v>9</v>
      </c>
      <c r="W48" s="61">
        <f t="shared" si="153"/>
        <v>27</v>
      </c>
      <c r="X48" s="61">
        <f t="shared" si="154"/>
        <v>36</v>
      </c>
      <c r="Y48" s="61">
        <f t="shared" si="155"/>
        <v>44</v>
      </c>
      <c r="Z48" s="61" t="str">
        <f>IFERROR(VLOOKUP(MID(U48,X48,Y48-X48),[5]skilldef!$C:$D,2,FALSE),"-") &amp; " / " &amp; IFERROR(VLOOKUP(MID(U48,V48,W48-V48),[5]skilldef!$A:$B,2,FALSE),"-")</f>
        <v>味方全体に / -</v>
      </c>
      <c r="AA48" s="50"/>
      <c r="AB48" s="52"/>
      <c r="AC48" s="50"/>
    </row>
    <row r="49" spans="1:29" ht="43" customHeight="1" x14ac:dyDescent="0.15">
      <c r="A49" s="113">
        <v>50016602</v>
      </c>
      <c r="B49" s="114" t="s">
        <v>299</v>
      </c>
      <c r="C49" s="115">
        <v>1</v>
      </c>
      <c r="D49" s="115" t="s">
        <v>125</v>
      </c>
      <c r="E49" s="116" t="s">
        <v>349</v>
      </c>
      <c r="F49" s="116" t="s">
        <v>290</v>
      </c>
      <c r="G49" s="61" t="str">
        <f t="shared" si="141"/>
        <v>[effect:enemy_message, val1:1.2, val2:2.3]</v>
      </c>
      <c r="H49" s="61">
        <f t="shared" si="142"/>
        <v>9</v>
      </c>
      <c r="I49" s="61">
        <f t="shared" si="143"/>
        <v>22</v>
      </c>
      <c r="J49" s="61" t="e">
        <f t="shared" si="144"/>
        <v>#VALUE!</v>
      </c>
      <c r="K49" s="61">
        <f t="shared" si="145"/>
        <v>32</v>
      </c>
      <c r="L49" s="51"/>
      <c r="M49" s="61" t="str">
        <f>IFERROR(VLOOKUP(MID(G49,J49,K49-J49),[5]skilldef!$C:$D,2,FALSE),"-") &amp; " / " &amp; IFERROR(VLOOKUP(MID(G49,H49,I49-H49),[5]skilldef!$A:$B,2,FALSE),"-")</f>
        <v>- / -</v>
      </c>
      <c r="N49" s="61" t="str">
        <f t="shared" si="146"/>
        <v>[effect:force_change_block, new_block:jammer, target:normal, count:10, val:0],[effect:rush, count:1, val:1.0]</v>
      </c>
      <c r="O49" s="48" t="str">
        <f>IFERROR(LEFT(N49,FIND("],",N49)+#REF!),N49)</f>
        <v>[effect:force_change_block, new_block:jammer, target:normal, count:10, val:0],[effect:rush, count:1, val:1.0]</v>
      </c>
      <c r="P49" s="61">
        <f t="shared" si="147"/>
        <v>9</v>
      </c>
      <c r="Q49" s="61">
        <f t="shared" si="148"/>
        <v>27</v>
      </c>
      <c r="R49" s="61">
        <f t="shared" si="149"/>
        <v>54</v>
      </c>
      <c r="S49" s="61">
        <f t="shared" si="150"/>
        <v>45</v>
      </c>
      <c r="T49" s="61" t="str">
        <f>IFERROR(VLOOKUP(MID(O49,R49,S49-R49),[5]skilldef!$C:$D,2,FALSE),"-") &amp; " / " &amp; IFERROR(VLOOKUP(MID(O49,P49,Q49-P49),[5]skilldef!$A:$B,2,FALSE),"-")</f>
        <v>- / -</v>
      </c>
      <c r="U49" s="48" t="str">
        <f t="shared" si="151"/>
        <v>[effect:rush, count:1, val:1.0]</v>
      </c>
      <c r="V49" s="61">
        <f t="shared" si="152"/>
        <v>9</v>
      </c>
      <c r="W49" s="61">
        <f t="shared" si="153"/>
        <v>13</v>
      </c>
      <c r="X49" s="61" t="e">
        <f t="shared" si="154"/>
        <v>#VALUE!</v>
      </c>
      <c r="Y49" s="61">
        <f t="shared" si="155"/>
        <v>22</v>
      </c>
      <c r="Z49" s="61" t="str">
        <f>IFERROR(VLOOKUP(MID(U49,X49,Y49-X49),[5]skilldef!$C:$D,2,FALSE),"-") &amp; " / " &amp; IFERROR(VLOOKUP(MID(U49,V49,W49-V49),[5]skilldef!$A:$B,2,FALSE),"-")</f>
        <v>- / 連続攻撃</v>
      </c>
      <c r="AA49" s="50"/>
      <c r="AB49" s="52"/>
      <c r="AC49" s="50"/>
    </row>
    <row r="50" spans="1:29" ht="43" customHeight="1" x14ac:dyDescent="0.15">
      <c r="A50" s="113">
        <v>50016603</v>
      </c>
      <c r="B50" s="114" t="s">
        <v>301</v>
      </c>
      <c r="C50" s="115">
        <v>1</v>
      </c>
      <c r="D50" s="115" t="s">
        <v>125</v>
      </c>
      <c r="E50" s="116" t="s">
        <v>350</v>
      </c>
      <c r="F50" s="116" t="s">
        <v>291</v>
      </c>
      <c r="G50" s="61" t="str">
        <f t="shared" si="141"/>
        <v>[effect:enemy_message, val1:1.2, val2:3.9]</v>
      </c>
      <c r="H50" s="61">
        <f t="shared" si="142"/>
        <v>9</v>
      </c>
      <c r="I50" s="61">
        <f t="shared" si="143"/>
        <v>22</v>
      </c>
      <c r="J50" s="61" t="e">
        <f t="shared" si="144"/>
        <v>#VALUE!</v>
      </c>
      <c r="K50" s="61">
        <f t="shared" si="145"/>
        <v>32</v>
      </c>
      <c r="L50" s="51"/>
      <c r="M50" s="61" t="str">
        <f>IFERROR(VLOOKUP(MID(G50,J50,K50-J50),[5]skilldef!$C:$D,2,FALSE),"-") &amp; " / " &amp; IFERROR(VLOOKUP(MID(G50,H50,I50-H50),[5]skilldef!$A:$B,2,FALSE),"-")</f>
        <v>- / -</v>
      </c>
      <c r="N50" s="61" t="str">
        <f t="shared" si="146"/>
        <v>[effect:force_change_block, new_block:damage, target:jammer, count:0, val:0.9],[effect:force_change_block, new_block:damage, target:normal, count:3, val:0.9],[effect:rush, count:1, val:1.0]</v>
      </c>
      <c r="O50" s="48" t="str">
        <f>IFERROR(LEFT(N50,FIND("],",N50)+#REF!),N50)</f>
        <v>[effect:force_change_block, new_block:damage, target:jammer, count:0, val:0.9],[effect:force_change_block, new_block:damage, target:normal, count:3, val:0.9],[effect:rush, count:1, val:1.0]</v>
      </c>
      <c r="P50" s="61">
        <f t="shared" si="147"/>
        <v>9</v>
      </c>
      <c r="Q50" s="61">
        <f t="shared" si="148"/>
        <v>27</v>
      </c>
      <c r="R50" s="61">
        <f t="shared" si="149"/>
        <v>54</v>
      </c>
      <c r="S50" s="61">
        <f t="shared" si="150"/>
        <v>45</v>
      </c>
      <c r="T50" s="61" t="str">
        <f>IFERROR(VLOOKUP(MID(O50,R50,S50-R50),[5]skilldef!$C:$D,2,FALSE),"-") &amp; " / " &amp; IFERROR(VLOOKUP(MID(O50,P50,Q50-P50),[5]skilldef!$A:$B,2,FALSE),"-")</f>
        <v>- / -</v>
      </c>
      <c r="U50" s="48" t="str">
        <f t="shared" si="151"/>
        <v>[effect:force_change_block, new_block:damage, target:normal, count:3, val:0.9],[effect:rush, count:1, val:1.0]</v>
      </c>
      <c r="V50" s="61">
        <f t="shared" si="152"/>
        <v>9</v>
      </c>
      <c r="W50" s="61">
        <f t="shared" si="153"/>
        <v>27</v>
      </c>
      <c r="X50" s="61">
        <f t="shared" si="154"/>
        <v>54</v>
      </c>
      <c r="Y50" s="61">
        <f t="shared" si="155"/>
        <v>45</v>
      </c>
      <c r="Z50" s="61" t="str">
        <f>IFERROR(VLOOKUP(MID(U50,X50,Y50-X50),[5]skilldef!$C:$D,2,FALSE),"-") &amp; " / " &amp; IFERROR(VLOOKUP(MID(U50,V50,W50-V50),[5]skilldef!$A:$B,2,FALSE),"-")</f>
        <v>- / -</v>
      </c>
      <c r="AA50" s="50"/>
      <c r="AB50" s="52"/>
      <c r="AC50" s="50"/>
    </row>
    <row r="51" spans="1:29" ht="43" customHeight="1" x14ac:dyDescent="0.15">
      <c r="A51" s="113">
        <v>50016604</v>
      </c>
      <c r="B51" s="114" t="s">
        <v>414</v>
      </c>
      <c r="C51" s="115">
        <v>1</v>
      </c>
      <c r="D51" s="115" t="s">
        <v>125</v>
      </c>
      <c r="E51" s="116" t="s">
        <v>393</v>
      </c>
      <c r="F51" s="116" t="s">
        <v>271</v>
      </c>
      <c r="G51" s="61" t="str">
        <f t="shared" si="141"/>
        <v>[effect:enemy_message, val1:1.2, val2:2.4]</v>
      </c>
      <c r="H51" s="61">
        <f t="shared" si="142"/>
        <v>9</v>
      </c>
      <c r="I51" s="61">
        <f t="shared" si="143"/>
        <v>22</v>
      </c>
      <c r="J51" s="61" t="e">
        <f t="shared" si="144"/>
        <v>#VALUE!</v>
      </c>
      <c r="K51" s="61">
        <f t="shared" si="145"/>
        <v>32</v>
      </c>
      <c r="L51" s="51"/>
      <c r="M51" s="61" t="str">
        <f>IFERROR(VLOOKUP(MID(G51,J51,K51-J51),[5]skilldef!$C:$D,2,FALSE),"-") &amp; " / " &amp; IFERROR(VLOOKUP(MID(G51,H51,I51-H51),[5]skilldef!$A:$B,2,FALSE),"-")</f>
        <v>- / -</v>
      </c>
      <c r="N51" s="61" t="str">
        <f t="shared" si="146"/>
        <v>[effect:break_attack_fix, target:unit_one, val:-2000, lowest_val:40000, count:15, block01:block_blue]</v>
      </c>
      <c r="O51" s="48" t="str">
        <f>IFERROR(LEFT(N51,FIND("],",N51)+#REF!),N51)</f>
        <v>[effect:break_attack_fix, target:unit_one, val:-2000, lowest_val:40000, count:15, block01:block_blue]</v>
      </c>
      <c r="P51" s="61">
        <f t="shared" si="147"/>
        <v>9</v>
      </c>
      <c r="Q51" s="61">
        <f t="shared" si="148"/>
        <v>25</v>
      </c>
      <c r="R51" s="61">
        <f t="shared" si="149"/>
        <v>34</v>
      </c>
      <c r="S51" s="61">
        <f t="shared" si="150"/>
        <v>42</v>
      </c>
      <c r="T51" s="61" t="str">
        <f>IFERROR(VLOOKUP(MID(O51,R51,S51-R51),[5]skilldef!$C:$D,2,FALSE),"-") &amp; " / " &amp; IFERROR(VLOOKUP(MID(O51,P51,Q51-P51),[5]skilldef!$A:$B,2,FALSE),"-")</f>
        <v>味方単体に / -</v>
      </c>
      <c r="U51" s="48" t="str">
        <f t="shared" si="151"/>
        <v>none</v>
      </c>
      <c r="V51" s="61" t="e">
        <f t="shared" si="152"/>
        <v>#VALUE!</v>
      </c>
      <c r="W51" s="61">
        <f t="shared" si="153"/>
        <v>4</v>
      </c>
      <c r="X51" s="61" t="e">
        <f t="shared" si="154"/>
        <v>#VALUE!</v>
      </c>
      <c r="Y51" s="61" t="e">
        <f t="shared" si="155"/>
        <v>#VALUE!</v>
      </c>
      <c r="Z51" s="61" t="str">
        <f>IFERROR(VLOOKUP(MID(U51,X51,Y51-X51),[5]skilldef!$C:$D,2,FALSE),"-") &amp; " / " &amp; IFERROR(VLOOKUP(MID(U51,V51,W51-V51),[5]skilldef!$A:$B,2,FALSE),"-")</f>
        <v>- / -</v>
      </c>
      <c r="AA51" s="50"/>
      <c r="AB51" s="52"/>
      <c r="AC51" s="50"/>
    </row>
    <row r="52" spans="1:29" ht="43" customHeight="1" x14ac:dyDescent="0.15">
      <c r="A52" s="113">
        <v>50016605</v>
      </c>
      <c r="B52" s="114" t="s">
        <v>387</v>
      </c>
      <c r="C52" s="115">
        <v>1</v>
      </c>
      <c r="D52" s="115" t="s">
        <v>125</v>
      </c>
      <c r="E52" s="116" t="s">
        <v>351</v>
      </c>
      <c r="F52" s="116" t="s">
        <v>268</v>
      </c>
      <c r="G52" s="61" t="str">
        <f t="shared" si="141"/>
        <v>[effect:enemy_message, val1:1.6, val2:1.4]</v>
      </c>
      <c r="H52" s="61">
        <f t="shared" si="142"/>
        <v>9</v>
      </c>
      <c r="I52" s="61">
        <f t="shared" si="143"/>
        <v>22</v>
      </c>
      <c r="J52" s="61" t="e">
        <f t="shared" si="144"/>
        <v>#VALUE!</v>
      </c>
      <c r="K52" s="61">
        <f t="shared" si="145"/>
        <v>32</v>
      </c>
      <c r="L52" s="51"/>
      <c r="M52" s="61" t="str">
        <f>IFERROR(VLOOKUP(MID(G52,J52,K52-J52),[5]skilldef!$C:$D,2,FALSE),"-") &amp; " / " &amp; IFERROR(VLOOKUP(MID(G52,H52,I52-H52),[5]skilldef!$A:$B,2,FALSE),"-")</f>
        <v>- / -</v>
      </c>
      <c r="N52" s="61" t="str">
        <f t="shared" si="146"/>
        <v>[effect:break_attack_fix, target:unit_one, val:4000, lowest_val:10000, count:-1, block01:damage]</v>
      </c>
      <c r="O52" s="48" t="str">
        <f>IFERROR(LEFT(N52,FIND("],",N52)+#REF!),N52)</f>
        <v>[effect:break_attack_fix, target:unit_one, val:4000, lowest_val:10000, count:-1, block01:damage]</v>
      </c>
      <c r="P52" s="61">
        <f t="shared" si="147"/>
        <v>9</v>
      </c>
      <c r="Q52" s="61">
        <f t="shared" si="148"/>
        <v>25</v>
      </c>
      <c r="R52" s="61">
        <f t="shared" si="149"/>
        <v>34</v>
      </c>
      <c r="S52" s="61">
        <f t="shared" si="150"/>
        <v>42</v>
      </c>
      <c r="T52" s="61" t="str">
        <f>IFERROR(VLOOKUP(MID(O52,R52,S52-R52),[5]skilldef!$C:$D,2,FALSE),"-") &amp; " / " &amp; IFERROR(VLOOKUP(MID(O52,P52,Q52-P52),[5]skilldef!$A:$B,2,FALSE),"-")</f>
        <v>味方単体に / -</v>
      </c>
      <c r="U52" s="48" t="str">
        <f t="shared" si="151"/>
        <v>none</v>
      </c>
      <c r="V52" s="61" t="e">
        <f t="shared" si="152"/>
        <v>#VALUE!</v>
      </c>
      <c r="W52" s="61">
        <f t="shared" si="153"/>
        <v>4</v>
      </c>
      <c r="X52" s="61" t="e">
        <f t="shared" si="154"/>
        <v>#VALUE!</v>
      </c>
      <c r="Y52" s="61" t="e">
        <f t="shared" si="155"/>
        <v>#VALUE!</v>
      </c>
      <c r="Z52" s="61" t="str">
        <f>IFERROR(VLOOKUP(MID(U52,X52,Y52-X52),[5]skilldef!$C:$D,2,FALSE),"-") &amp; " / " &amp; IFERROR(VLOOKUP(MID(U52,V52,W52-V52),[5]skilldef!$A:$B,2,FALSE),"-")</f>
        <v>- / -</v>
      </c>
      <c r="AA52" s="50"/>
      <c r="AB52" s="52"/>
      <c r="AC52" s="50"/>
    </row>
    <row r="53" spans="1:29" ht="43" customHeight="1" x14ac:dyDescent="0.15">
      <c r="A53" s="113">
        <v>50016606</v>
      </c>
      <c r="B53" s="114" t="s">
        <v>388</v>
      </c>
      <c r="C53" s="115">
        <v>1</v>
      </c>
      <c r="D53" s="115" t="s">
        <v>125</v>
      </c>
      <c r="E53" s="116" t="s">
        <v>366</v>
      </c>
      <c r="F53" s="116" t="s">
        <v>328</v>
      </c>
      <c r="G53" s="61" t="str">
        <f t="shared" si="141"/>
        <v>[effect:enemy_message, val1:1.2, val2:6.1]</v>
      </c>
      <c r="H53" s="61">
        <f t="shared" si="142"/>
        <v>9</v>
      </c>
      <c r="I53" s="61">
        <f t="shared" si="143"/>
        <v>22</v>
      </c>
      <c r="J53" s="61" t="e">
        <f t="shared" si="144"/>
        <v>#VALUE!</v>
      </c>
      <c r="K53" s="61">
        <f t="shared" si="145"/>
        <v>32</v>
      </c>
      <c r="L53" s="51"/>
      <c r="M53" s="61" t="str">
        <f>IFERROR(VLOOKUP(MID(G53,J53,K53-J53),[5]skilldef!$C:$D,2,FALSE),"-") &amp; " / " &amp; IFERROR(VLOOKUP(MID(G53,H53,I53-H53),[5]skilldef!$A:$B,2,FALSE),"-")</f>
        <v>- / -</v>
      </c>
      <c r="N53" s="61" t="str">
        <f t="shared" si="146"/>
        <v>[effect:force_change_block, new_block:jammer, target:normal, count:10, val:0],[effect:degrade_unit, target:unit_all, turn:3, status:action, val:2, calc:add, animation:enemy_tap_down],[effect:degrade_unit, target:unit_all, turn:3, status:heal, val:0.8, calc:mul, animation:degrade_unit_all_heal]</v>
      </c>
      <c r="O53" s="48" t="str">
        <f>IFERROR(LEFT(N53,FIND("],",N53)+#REF!),N53)</f>
        <v>[effect:force_change_block, new_block:jammer, target:normal, count:10, val:0],[effect:degrade_unit, target:unit_all, turn:3, status:action, val:2, calc:add, animation:enemy_tap_down],[effect:degrade_unit, target:unit_all, turn:3, status:heal, val:0.8, calc:mul, animation:degrade_unit_all_heal]</v>
      </c>
      <c r="P53" s="61">
        <f t="shared" si="147"/>
        <v>9</v>
      </c>
      <c r="Q53" s="61">
        <f t="shared" si="148"/>
        <v>27</v>
      </c>
      <c r="R53" s="61">
        <f t="shared" si="149"/>
        <v>54</v>
      </c>
      <c r="S53" s="61">
        <f t="shared" si="150"/>
        <v>45</v>
      </c>
      <c r="T53" s="61" t="str">
        <f>IFERROR(VLOOKUP(MID(O53,R53,S53-R53),[5]skilldef!$C:$D,2,FALSE),"-") &amp; " / " &amp; IFERROR(VLOOKUP(MID(O53,P53,Q53-P53),[5]skilldef!$A:$B,2,FALSE),"-")</f>
        <v>- / -</v>
      </c>
      <c r="U53" s="48" t="str">
        <f t="shared" si="151"/>
        <v>[effect:degrade_unit, target:unit_all, turn:3, status:action, val:2, calc:add, animation:enemy_tap_down],[effect:degrade_unit, target:unit_all, turn:3, status:heal, val:0.8, calc:mul, animation:degrade_unit_all_heal]</v>
      </c>
      <c r="V53" s="61">
        <f t="shared" si="152"/>
        <v>9</v>
      </c>
      <c r="W53" s="61">
        <f t="shared" si="153"/>
        <v>21</v>
      </c>
      <c r="X53" s="61">
        <f t="shared" si="154"/>
        <v>30</v>
      </c>
      <c r="Y53" s="61">
        <f t="shared" si="155"/>
        <v>38</v>
      </c>
      <c r="Z53" s="61" t="str">
        <f>IFERROR(VLOOKUP(MID(U53,X53,Y53-X53),[5]skilldef!$C:$D,2,FALSE),"-") &amp; " / " &amp; IFERROR(VLOOKUP(MID(U53,V53,W53-V53),[5]skilldef!$A:$B,2,FALSE),"-")</f>
        <v>味方全体に / ステータスDOWN</v>
      </c>
      <c r="AA53" s="50"/>
      <c r="AB53" s="52"/>
      <c r="AC53" s="50"/>
    </row>
    <row r="54" spans="1:29" ht="43" customHeight="1" x14ac:dyDescent="0.15">
      <c r="A54" s="113">
        <v>50016607</v>
      </c>
      <c r="B54" s="114" t="s">
        <v>389</v>
      </c>
      <c r="C54" s="115">
        <v>1</v>
      </c>
      <c r="D54" s="115" t="s">
        <v>125</v>
      </c>
      <c r="E54" s="116" t="s">
        <v>347</v>
      </c>
      <c r="F54" s="116" t="s">
        <v>292</v>
      </c>
      <c r="G54" s="61" t="str">
        <f t="shared" ref="G54:G59" si="171">IFERROR(LEFT(B54,FIND("],",B54)),B54)</f>
        <v>[effect:enemy_message, val1:1.2, val2:2.4]</v>
      </c>
      <c r="H54" s="61">
        <f t="shared" si="142"/>
        <v>9</v>
      </c>
      <c r="I54" s="61">
        <f t="shared" ref="I54:I59" si="172">IFERROR(FIND(",",G54),LEN(G54))</f>
        <v>22</v>
      </c>
      <c r="J54" s="61" t="e">
        <f t="shared" ref="J54:J59" si="173">FIND("target:",G54)+7</f>
        <v>#VALUE!</v>
      </c>
      <c r="K54" s="61">
        <f t="shared" ref="K54:K59" si="174">FIND(",",G54,I54+1)</f>
        <v>32</v>
      </c>
      <c r="L54" s="51"/>
      <c r="M54" s="61" t="str">
        <f>IFERROR(VLOOKUP(MID(G54,J54,K54-J54),[5]skilldef!$C:$D,2,FALSE),"-") &amp; " / " &amp; IFERROR(VLOOKUP(MID(G54,H54,I54-H54),[5]skilldef!$A:$B,2,FALSE),"-")</f>
        <v>- / -</v>
      </c>
      <c r="N54" s="61" t="str">
        <f t="shared" ref="N54:N59" si="175">IFERROR(RIGHT(B54,LEN(B54)-FIND("],",B54)-1),"none")</f>
        <v>[effect:damage_anti_abnormal, target:unit_balance, target_effect01:virus, val1:3, val2:0.5]</v>
      </c>
      <c r="O54" s="48" t="str">
        <f>IFERROR(LEFT(N54,FIND("],",N54)+#REF!),N54)</f>
        <v>[effect:damage_anti_abnormal, target:unit_balance, target_effect01:virus, val1:3, val2:0.5]</v>
      </c>
      <c r="P54" s="61">
        <f t="shared" si="147"/>
        <v>9</v>
      </c>
      <c r="Q54" s="61">
        <f t="shared" ref="Q54:Q59" si="176">IFERROR(FIND(",",O54),LEN(O54))</f>
        <v>29</v>
      </c>
      <c r="R54" s="61">
        <f t="shared" ref="R54:R59" si="177">FIND("target:",O54)+7</f>
        <v>38</v>
      </c>
      <c r="S54" s="61">
        <f t="shared" ref="S54:S59" si="178">FIND(",",O54,Q54+1)</f>
        <v>50</v>
      </c>
      <c r="T54" s="61" t="str">
        <f>IFERROR(VLOOKUP(MID(O54,R54,S54-R54),[5]skilldef!$C:$D,2,FALSE),"-") &amp; " / " &amp; IFERROR(VLOOKUP(MID(O54,P54,Q54-P54),[5]skilldef!$A:$B,2,FALSE),"-")</f>
        <v>バランスタイプの味方に / -</v>
      </c>
      <c r="U54" s="48" t="str">
        <f t="shared" ref="U54:U59" si="179">IFERROR(RIGHT(N54,LEN(N54)-FIND("],",N54)-1),"none")</f>
        <v>none</v>
      </c>
      <c r="V54" s="61" t="e">
        <f t="shared" si="152"/>
        <v>#VALUE!</v>
      </c>
      <c r="W54" s="61">
        <f t="shared" ref="W54:W59" si="180">IFERROR(FIND(",",U54),LEN(U54))</f>
        <v>4</v>
      </c>
      <c r="X54" s="61" t="e">
        <f t="shared" ref="X54:X59" si="181">FIND("target:",U54)+7</f>
        <v>#VALUE!</v>
      </c>
      <c r="Y54" s="61" t="e">
        <f t="shared" ref="Y54:Y59" si="182">FIND(",",U54,W54+1)</f>
        <v>#VALUE!</v>
      </c>
      <c r="Z54" s="61" t="str">
        <f>IFERROR(VLOOKUP(MID(U54,X54,Y54-X54),[5]skilldef!$C:$D,2,FALSE),"-") &amp; " / " &amp; IFERROR(VLOOKUP(MID(U54,V54,W54-V54),[5]skilldef!$A:$B,2,FALSE),"-")</f>
        <v>- / -</v>
      </c>
      <c r="AA54" s="50"/>
      <c r="AB54" s="52"/>
      <c r="AC54" s="50"/>
    </row>
    <row r="55" spans="1:29" ht="43" customHeight="1" x14ac:dyDescent="0.15">
      <c r="A55" s="113">
        <v>50016608</v>
      </c>
      <c r="B55" s="114" t="s">
        <v>459</v>
      </c>
      <c r="C55" s="115">
        <v>1</v>
      </c>
      <c r="D55" s="115" t="s">
        <v>125</v>
      </c>
      <c r="E55" s="116" t="s">
        <v>412</v>
      </c>
      <c r="F55" s="116" t="s">
        <v>303</v>
      </c>
      <c r="G55" s="61" t="str">
        <f t="shared" si="171"/>
        <v>[effect:enemy_message, val1:2.0, val2:2.9]</v>
      </c>
      <c r="H55" s="61">
        <f t="shared" si="142"/>
        <v>9</v>
      </c>
      <c r="I55" s="61">
        <f t="shared" si="172"/>
        <v>22</v>
      </c>
      <c r="J55" s="61" t="e">
        <f t="shared" si="173"/>
        <v>#VALUE!</v>
      </c>
      <c r="K55" s="61">
        <f t="shared" si="174"/>
        <v>32</v>
      </c>
      <c r="L55" s="51"/>
      <c r="M55" s="61" t="str">
        <f>IFERROR(VLOOKUP(MID(G55,J55,K55-J55),[5]skilldef!$C:$D,2,FALSE),"-") &amp; " / " &amp; IFERROR(VLOOKUP(MID(G55,H55,I55-H55),[5]skilldef!$A:$B,2,FALSE),"-")</f>
        <v>- / -</v>
      </c>
      <c r="N55" s="61" t="str">
        <f t="shared" si="175"/>
        <v>[effect:attack_break, target:unit_all, turn:4, val:0.8, calc:mul, animation:attack_break02],[effect:enhance_enemy, target:myself, turn:-1, status:attack, val:0.3, calc:mul, animation:enemy_enhance_attack]</v>
      </c>
      <c r="O55" s="48" t="str">
        <f>IFERROR(LEFT(N55,FIND("],",N55)+#REF!),N55)</f>
        <v>[effect:attack_break, target:unit_all, turn:4, val:0.8, calc:mul, animation:attack_break02],[effect:enhance_enemy, target:myself, turn:-1, status:attack, val:0.3, calc:mul, animation:enemy_enhance_attack]</v>
      </c>
      <c r="P55" s="61">
        <f t="shared" si="147"/>
        <v>9</v>
      </c>
      <c r="Q55" s="61">
        <f t="shared" si="176"/>
        <v>21</v>
      </c>
      <c r="R55" s="61">
        <f t="shared" si="177"/>
        <v>30</v>
      </c>
      <c r="S55" s="61">
        <f t="shared" si="178"/>
        <v>38</v>
      </c>
      <c r="T55" s="61" t="str">
        <f>IFERROR(VLOOKUP(MID(O55,R55,S55-R55),[5]skilldef!$C:$D,2,FALSE),"-") &amp; " / " &amp; IFERROR(VLOOKUP(MID(O55,P55,Q55-P55),[5]skilldef!$A:$B,2,FALSE),"-")</f>
        <v>味方全体に / -</v>
      </c>
      <c r="U55" s="48" t="str">
        <f t="shared" si="179"/>
        <v>[effect:enhance_enemy, target:myself, turn:-1, status:attack, val:0.3, calc:mul, animation:enemy_enhance_attack]</v>
      </c>
      <c r="V55" s="61">
        <f t="shared" si="152"/>
        <v>9</v>
      </c>
      <c r="W55" s="61">
        <f t="shared" si="180"/>
        <v>22</v>
      </c>
      <c r="X55" s="61">
        <f t="shared" si="181"/>
        <v>31</v>
      </c>
      <c r="Y55" s="61">
        <f t="shared" si="182"/>
        <v>37</v>
      </c>
      <c r="Z55" s="61" t="str">
        <f>IFERROR(VLOOKUP(MID(U55,X55,Y55-X55),[5]skilldef!$C:$D,2,FALSE),"-") &amp; " / " &amp; IFERROR(VLOOKUP(MID(U55,V55,W55-V55),[5]skilldef!$A:$B,2,FALSE),"-")</f>
        <v>自分自身に / ステータス強化</v>
      </c>
      <c r="AA55" s="50"/>
      <c r="AB55" s="52"/>
      <c r="AC55" s="50"/>
    </row>
    <row r="56" spans="1:29" ht="43" customHeight="1" x14ac:dyDescent="0.15">
      <c r="A56" s="113">
        <v>50016701</v>
      </c>
      <c r="B56" s="117" t="s">
        <v>472</v>
      </c>
      <c r="C56" s="118">
        <v>1</v>
      </c>
      <c r="D56" s="118" t="s">
        <v>270</v>
      </c>
      <c r="E56" s="119" t="s">
        <v>352</v>
      </c>
      <c r="F56" s="119" t="s">
        <v>464</v>
      </c>
      <c r="G56" s="61" t="str">
        <f t="shared" si="171"/>
        <v>[effect:enemy_message, val1:1.7, val2:3.8]</v>
      </c>
      <c r="H56" s="61">
        <f t="shared" si="142"/>
        <v>9</v>
      </c>
      <c r="I56" s="61">
        <f t="shared" si="172"/>
        <v>22</v>
      </c>
      <c r="J56" s="61" t="e">
        <f t="shared" si="173"/>
        <v>#VALUE!</v>
      </c>
      <c r="K56" s="61">
        <f t="shared" si="174"/>
        <v>32</v>
      </c>
      <c r="L56" s="51"/>
      <c r="M56" s="61" t="str">
        <f>IFERROR(VLOOKUP(MID(G56,J56,K56-J56),[5]skilldef!$C:$D,2,FALSE),"-") &amp; " / " &amp; IFERROR(VLOOKUP(MID(G56,H56,I56-H56),[5]skilldef!$A:$B,2,FALSE),"-")</f>
        <v>- / -</v>
      </c>
      <c r="N56" s="61" t="str">
        <f t="shared" si="175"/>
        <v>[effect:fix_speed, target:myself, turn:1],[effect:hungup, target:unit_machine/unit_technical/or, turn:4, rate:1, animation:hungup01],[effect:tolerance, target:myself, turn:-1, count:-1, tolerance_effect:all, animation:enemy_tolerance]</v>
      </c>
      <c r="O56" s="48" t="str">
        <f>IFERROR(LEFT(N56,FIND("],",N56)+#REF!),N56)</f>
        <v>[effect:fix_speed, target:myself, turn:1],[effect:hungup, target:unit_machine/unit_technical/or, turn:4, rate:1, animation:hungup01],[effect:tolerance, target:myself, turn:-1, count:-1, tolerance_effect:all, animation:enemy_tolerance]</v>
      </c>
      <c r="P56" s="61">
        <f t="shared" si="147"/>
        <v>9</v>
      </c>
      <c r="Q56" s="61">
        <f t="shared" si="176"/>
        <v>18</v>
      </c>
      <c r="R56" s="61">
        <f t="shared" si="177"/>
        <v>27</v>
      </c>
      <c r="S56" s="61">
        <f t="shared" si="178"/>
        <v>33</v>
      </c>
      <c r="T56" s="61" t="str">
        <f>IFERROR(VLOOKUP(MID(O56,R56,S56-R56),[5]skilldef!$C:$D,2,FALSE),"-") &amp; " / " &amp; IFERROR(VLOOKUP(MID(O56,P56,Q56-P56),[5]skilldef!$A:$B,2,FALSE),"-")</f>
        <v>自分自身に / 行動値設定</v>
      </c>
      <c r="U56" s="48" t="str">
        <f t="shared" si="179"/>
        <v>[effect:hungup, target:unit_machine/unit_technical/or, turn:4, rate:1, animation:hungup01],[effect:tolerance, target:myself, turn:-1, count:-1, tolerance_effect:all, animation:enemy_tolerance]</v>
      </c>
      <c r="V56" s="61">
        <f t="shared" si="152"/>
        <v>9</v>
      </c>
      <c r="W56" s="61">
        <f t="shared" si="180"/>
        <v>15</v>
      </c>
      <c r="X56" s="61">
        <f t="shared" si="181"/>
        <v>24</v>
      </c>
      <c r="Y56" s="61">
        <f t="shared" si="182"/>
        <v>54</v>
      </c>
      <c r="Z56" s="61" t="str">
        <f>IFERROR(VLOOKUP(MID(U56,X56,Y56-X56),[5]skilldef!$C:$D,2,FALSE),"-") &amp; " / " &amp; IFERROR(VLOOKUP(MID(U56,V56,W56-V56),[5]skilldef!$A:$B,2,FALSE),"-")</f>
        <v>- / ハングアップ</v>
      </c>
      <c r="AA56" s="50"/>
      <c r="AB56" s="52"/>
      <c r="AC56" s="50"/>
    </row>
    <row r="57" spans="1:29" ht="43" customHeight="1" x14ac:dyDescent="0.15">
      <c r="A57" s="113">
        <v>50016702</v>
      </c>
      <c r="B57" s="117" t="s">
        <v>390</v>
      </c>
      <c r="C57" s="118">
        <v>1</v>
      </c>
      <c r="D57" s="118" t="s">
        <v>125</v>
      </c>
      <c r="E57" s="119" t="s">
        <v>422</v>
      </c>
      <c r="F57" s="119" t="s">
        <v>330</v>
      </c>
      <c r="G57" s="61" t="str">
        <f t="shared" si="171"/>
        <v>[effect:enemy_message, val1:1.2, val2:4.4]</v>
      </c>
      <c r="H57" s="61">
        <f t="shared" si="142"/>
        <v>9</v>
      </c>
      <c r="I57" s="61">
        <f t="shared" si="172"/>
        <v>22</v>
      </c>
      <c r="J57" s="61" t="e">
        <f t="shared" si="173"/>
        <v>#VALUE!</v>
      </c>
      <c r="K57" s="61">
        <f t="shared" si="174"/>
        <v>32</v>
      </c>
      <c r="L57" s="51"/>
      <c r="M57" s="61" t="str">
        <f>IFERROR(VLOOKUP(MID(G57,J57,K57-J57),[5]skilldef!$C:$D,2,FALSE),"-") &amp; " / " &amp; IFERROR(VLOOKUP(MID(G57,H57,I57-H57),[5]skilldef!$A:$B,2,FALSE),"-")</f>
        <v>- / -</v>
      </c>
      <c r="N57" s="61" t="str">
        <f t="shared" si="175"/>
        <v>[effect:force_change_block, new_block:jammer, target:normal, count:10, val:0],[effect:rush, count:1, val:1.0]</v>
      </c>
      <c r="O57" s="48" t="str">
        <f>IFERROR(LEFT(N57,FIND("],",N57)+#REF!),N57)</f>
        <v>[effect:force_change_block, new_block:jammer, target:normal, count:10, val:0],[effect:rush, count:1, val:1.0]</v>
      </c>
      <c r="P57" s="61">
        <f t="shared" si="147"/>
        <v>9</v>
      </c>
      <c r="Q57" s="61">
        <f t="shared" si="176"/>
        <v>27</v>
      </c>
      <c r="R57" s="61">
        <f t="shared" si="177"/>
        <v>54</v>
      </c>
      <c r="S57" s="61">
        <f t="shared" si="178"/>
        <v>45</v>
      </c>
      <c r="T57" s="61" t="str">
        <f>IFERROR(VLOOKUP(MID(O57,R57,S57-R57),[5]skilldef!$C:$D,2,FALSE),"-") &amp; " / " &amp; IFERROR(VLOOKUP(MID(O57,P57,Q57-P57),[5]skilldef!$A:$B,2,FALSE),"-")</f>
        <v>- / -</v>
      </c>
      <c r="U57" s="48" t="str">
        <f t="shared" si="179"/>
        <v>[effect:rush, count:1, val:1.0]</v>
      </c>
      <c r="V57" s="61">
        <f t="shared" si="152"/>
        <v>9</v>
      </c>
      <c r="W57" s="61">
        <f t="shared" si="180"/>
        <v>13</v>
      </c>
      <c r="X57" s="61" t="e">
        <f t="shared" si="181"/>
        <v>#VALUE!</v>
      </c>
      <c r="Y57" s="61">
        <f t="shared" si="182"/>
        <v>22</v>
      </c>
      <c r="Z57" s="61" t="str">
        <f>IFERROR(VLOOKUP(MID(U57,X57,Y57-X57),[5]skilldef!$C:$D,2,FALSE),"-") &amp; " / " &amp; IFERROR(VLOOKUP(MID(U57,V57,W57-V57),[5]skilldef!$A:$B,2,FALSE),"-")</f>
        <v>- / 連続攻撃</v>
      </c>
      <c r="AA57" s="50"/>
      <c r="AB57" s="52"/>
      <c r="AC57" s="50"/>
    </row>
    <row r="58" spans="1:29" ht="43" customHeight="1" x14ac:dyDescent="0.15">
      <c r="A58" s="113">
        <v>50016703</v>
      </c>
      <c r="B58" s="117" t="s">
        <v>460</v>
      </c>
      <c r="C58" s="118">
        <v>1</v>
      </c>
      <c r="D58" s="118" t="s">
        <v>125</v>
      </c>
      <c r="E58" s="119" t="s">
        <v>348</v>
      </c>
      <c r="F58" s="119" t="s">
        <v>401</v>
      </c>
      <c r="G58" s="61" t="str">
        <f t="shared" si="171"/>
        <v>[effect:enemy_message, val1:1.2, val2:3.5]</v>
      </c>
      <c r="H58" s="61">
        <f t="shared" si="142"/>
        <v>9</v>
      </c>
      <c r="I58" s="61">
        <f t="shared" si="172"/>
        <v>22</v>
      </c>
      <c r="J58" s="61" t="e">
        <f t="shared" si="173"/>
        <v>#VALUE!</v>
      </c>
      <c r="K58" s="61">
        <f t="shared" si="174"/>
        <v>32</v>
      </c>
      <c r="L58" s="51"/>
      <c r="M58" s="61" t="str">
        <f>IFERROR(VLOOKUP(MID(G58,J58,K58-J58),[5]skilldef!$C:$D,2,FALSE),"-") &amp; " / " &amp; IFERROR(VLOOKUP(MID(G58,H58,I58-H58),[5]skilldef!$A:$B,2,FALSE),"-")</f>
        <v>- / -</v>
      </c>
      <c r="N58" s="61" t="str">
        <f t="shared" si="175"/>
        <v>[effect:break_attack_fix, target:unit_one, val:500, lowest_val:10000, count:-1, block01:block_red, block02:block_yellow, block03:block_green]</v>
      </c>
      <c r="O58" s="48" t="str">
        <f>IFERROR(LEFT(N58,FIND("],",N58)+#REF!),N58)</f>
        <v>[effect:break_attack_fix, target:unit_one, val:500, lowest_val:10000, count:-1, block01:block_red, block02:block_yellow, block03:block_green]</v>
      </c>
      <c r="P58" s="61">
        <f t="shared" si="147"/>
        <v>9</v>
      </c>
      <c r="Q58" s="61">
        <f t="shared" si="176"/>
        <v>25</v>
      </c>
      <c r="R58" s="61">
        <f t="shared" si="177"/>
        <v>34</v>
      </c>
      <c r="S58" s="61">
        <f t="shared" si="178"/>
        <v>42</v>
      </c>
      <c r="T58" s="61" t="str">
        <f>IFERROR(VLOOKUP(MID(O58,R58,S58-R58),[5]skilldef!$C:$D,2,FALSE),"-") &amp; " / " &amp; IFERROR(VLOOKUP(MID(O58,P58,Q58-P58),[5]skilldef!$A:$B,2,FALSE),"-")</f>
        <v>味方単体に / -</v>
      </c>
      <c r="U58" s="48" t="str">
        <f t="shared" si="179"/>
        <v>none</v>
      </c>
      <c r="V58" s="61" t="e">
        <f t="shared" si="152"/>
        <v>#VALUE!</v>
      </c>
      <c r="W58" s="61">
        <f t="shared" si="180"/>
        <v>4</v>
      </c>
      <c r="X58" s="61" t="e">
        <f t="shared" si="181"/>
        <v>#VALUE!</v>
      </c>
      <c r="Y58" s="61" t="e">
        <f t="shared" si="182"/>
        <v>#VALUE!</v>
      </c>
      <c r="Z58" s="61" t="str">
        <f>IFERROR(VLOOKUP(MID(U58,X58,Y58-X58),[5]skilldef!$C:$D,2,FALSE),"-") &amp; " / " &amp; IFERROR(VLOOKUP(MID(U58,V58,W58-V58),[5]skilldef!$A:$B,2,FALSE),"-")</f>
        <v>- / -</v>
      </c>
      <c r="AA58" s="50"/>
      <c r="AB58" s="52"/>
      <c r="AC58" s="50"/>
    </row>
    <row r="59" spans="1:29" ht="43" customHeight="1" x14ac:dyDescent="0.15">
      <c r="A59" s="113">
        <v>50016704</v>
      </c>
      <c r="B59" s="117" t="s">
        <v>483</v>
      </c>
      <c r="C59" s="118">
        <v>1</v>
      </c>
      <c r="D59" s="118" t="s">
        <v>125</v>
      </c>
      <c r="E59" s="119" t="s">
        <v>392</v>
      </c>
      <c r="F59" s="119" t="s">
        <v>465</v>
      </c>
      <c r="G59" s="61" t="str">
        <f t="shared" si="171"/>
        <v>[effect:enemy_message, val1:1.3, val2:4.9]</v>
      </c>
      <c r="H59" s="61">
        <f t="shared" si="142"/>
        <v>9</v>
      </c>
      <c r="I59" s="61">
        <f t="shared" si="172"/>
        <v>22</v>
      </c>
      <c r="J59" s="61" t="e">
        <f t="shared" si="173"/>
        <v>#VALUE!</v>
      </c>
      <c r="K59" s="61">
        <f t="shared" si="174"/>
        <v>32</v>
      </c>
      <c r="L59" s="51"/>
      <c r="M59" s="61" t="str">
        <f>IFERROR(VLOOKUP(MID(G59,J59,K59-J59),[5]skilldef!$C:$D,2,FALSE),"-") &amp; " / " &amp; IFERROR(VLOOKUP(MID(G59,H59,I59-H59),[5]skilldef!$A:$B,2,FALSE),"-")</f>
        <v>- / -</v>
      </c>
      <c r="N59" s="61" t="str">
        <f t="shared" si="175"/>
        <v>[effect:force_change_block, new_block:damage, target:normal, count:10, val:0.15],[effect:critical, val:1.1, animation:enemy_critical]</v>
      </c>
      <c r="O59" s="48" t="str">
        <f>IFERROR(LEFT(N59,FIND("],",N59)+#REF!),N59)</f>
        <v>[effect:force_change_block, new_block:damage, target:normal, count:10, val:0.15],[effect:critical, val:1.1, animation:enemy_critical]</v>
      </c>
      <c r="P59" s="61">
        <f t="shared" si="147"/>
        <v>9</v>
      </c>
      <c r="Q59" s="61">
        <f t="shared" si="176"/>
        <v>27</v>
      </c>
      <c r="R59" s="61">
        <f t="shared" si="177"/>
        <v>54</v>
      </c>
      <c r="S59" s="61">
        <f t="shared" si="178"/>
        <v>45</v>
      </c>
      <c r="T59" s="61" t="str">
        <f>IFERROR(VLOOKUP(MID(O59,R59,S59-R59),[5]skilldef!$C:$D,2,FALSE),"-") &amp; " / " &amp; IFERROR(VLOOKUP(MID(O59,P59,Q59-P59),[5]skilldef!$A:$B,2,FALSE),"-")</f>
        <v>- / -</v>
      </c>
      <c r="U59" s="48" t="str">
        <f t="shared" si="179"/>
        <v>[effect:critical, val:1.1, animation:enemy_critical]</v>
      </c>
      <c r="V59" s="61">
        <f t="shared" si="152"/>
        <v>9</v>
      </c>
      <c r="W59" s="61">
        <f t="shared" si="180"/>
        <v>17</v>
      </c>
      <c r="X59" s="61" t="e">
        <f t="shared" si="181"/>
        <v>#VALUE!</v>
      </c>
      <c r="Y59" s="61">
        <f t="shared" si="182"/>
        <v>26</v>
      </c>
      <c r="Z59" s="61" t="str">
        <f>IFERROR(VLOOKUP(MID(U59,X59,Y59-X59),[5]skilldef!$C:$D,2,FALSE),"-") &amp; " / " &amp; IFERROR(VLOOKUP(MID(U59,V59,W59-V59),[5]skilldef!$A:$B,2,FALSE),"-")</f>
        <v>- / 大攻撃</v>
      </c>
      <c r="AA59" s="50"/>
      <c r="AB59" s="52"/>
      <c r="AC59" s="50"/>
    </row>
    <row r="60" spans="1:29" ht="43" customHeight="1" x14ac:dyDescent="0.15">
      <c r="A60" s="113">
        <v>50016705</v>
      </c>
      <c r="B60" s="117" t="s">
        <v>484</v>
      </c>
      <c r="C60" s="118">
        <v>1</v>
      </c>
      <c r="D60" s="118" t="s">
        <v>125</v>
      </c>
      <c r="E60" s="119" t="s">
        <v>391</v>
      </c>
      <c r="F60" s="119" t="s">
        <v>466</v>
      </c>
      <c r="G60" s="61" t="str">
        <f t="shared" ref="G60" si="183">IFERROR(LEFT(B60,FIND("],",B60)),B60)</f>
        <v>[effect:enemy_message, val1:1.4, val2:4.9]</v>
      </c>
      <c r="H60" s="61">
        <f t="shared" si="142"/>
        <v>9</v>
      </c>
      <c r="I60" s="61">
        <f t="shared" ref="I60" si="184">IFERROR(FIND(",",G60),LEN(G60))</f>
        <v>22</v>
      </c>
      <c r="J60" s="61" t="e">
        <f t="shared" ref="J60" si="185">FIND("target:",G60)+7</f>
        <v>#VALUE!</v>
      </c>
      <c r="K60" s="61">
        <f t="shared" ref="K60" si="186">FIND(",",G60,I60+1)</f>
        <v>32</v>
      </c>
      <c r="L60" s="51"/>
      <c r="M60" s="61" t="str">
        <f>IFERROR(VLOOKUP(MID(G60,J60,K60-J60),[5]skilldef!$C:$D,2,FALSE),"-") &amp; " / " &amp; IFERROR(VLOOKUP(MID(G60,H60,I60-H60),[5]skilldef!$A:$B,2,FALSE),"-")</f>
        <v>- / -</v>
      </c>
      <c r="N60" s="61" t="str">
        <f t="shared" ref="N60" si="187">IFERROR(RIGHT(B60,LEN(B60)-FIND("],",B60)-1),"none")</f>
        <v>[effect:force_change_block, new_block:damage, target:normal, count:10, val:0.15],[effect:critical, val:1.1, animation:enemy_critical]</v>
      </c>
      <c r="O60" s="48" t="str">
        <f>IFERROR(LEFT(N60,FIND("],",N60)+#REF!),N60)</f>
        <v>[effect:force_change_block, new_block:damage, target:normal, count:10, val:0.15],[effect:critical, val:1.1, animation:enemy_critical]</v>
      </c>
      <c r="P60" s="61">
        <f t="shared" si="147"/>
        <v>9</v>
      </c>
      <c r="Q60" s="61">
        <f t="shared" ref="Q60" si="188">IFERROR(FIND(",",O60),LEN(O60))</f>
        <v>27</v>
      </c>
      <c r="R60" s="61">
        <f t="shared" ref="R60" si="189">FIND("target:",O60)+7</f>
        <v>54</v>
      </c>
      <c r="S60" s="61">
        <f t="shared" ref="S60" si="190">FIND(",",O60,Q60+1)</f>
        <v>45</v>
      </c>
      <c r="T60" s="61" t="str">
        <f>IFERROR(VLOOKUP(MID(O60,R60,S60-R60),[5]skilldef!$C:$D,2,FALSE),"-") &amp; " / " &amp; IFERROR(VLOOKUP(MID(O60,P60,Q60-P60),[5]skilldef!$A:$B,2,FALSE),"-")</f>
        <v>- / -</v>
      </c>
      <c r="U60" s="48" t="str">
        <f t="shared" ref="U60" si="191">IFERROR(RIGHT(N60,LEN(N60)-FIND("],",N60)-1),"none")</f>
        <v>[effect:critical, val:1.1, animation:enemy_critical]</v>
      </c>
      <c r="V60" s="61">
        <f t="shared" si="152"/>
        <v>9</v>
      </c>
      <c r="W60" s="61">
        <f t="shared" ref="W60" si="192">IFERROR(FIND(",",U60),LEN(U60))</f>
        <v>17</v>
      </c>
      <c r="X60" s="61" t="e">
        <f t="shared" ref="X60" si="193">FIND("target:",U60)+7</f>
        <v>#VALUE!</v>
      </c>
      <c r="Y60" s="61">
        <f t="shared" ref="Y60" si="194">FIND(",",U60,W60+1)</f>
        <v>26</v>
      </c>
      <c r="Z60" s="61" t="str">
        <f>IFERROR(VLOOKUP(MID(U60,X60,Y60-X60),[5]skilldef!$C:$D,2,FALSE),"-") &amp; " / " &amp; IFERROR(VLOOKUP(MID(U60,V60,W60-V60),[5]skilldef!$A:$B,2,FALSE),"-")</f>
        <v>- / 大攻撃</v>
      </c>
      <c r="AA60" s="50"/>
      <c r="AB60" s="52"/>
      <c r="AC60" s="50"/>
    </row>
    <row r="61" spans="1:29" ht="43" customHeight="1" x14ac:dyDescent="0.15">
      <c r="A61" s="113">
        <v>50016706</v>
      </c>
      <c r="B61" s="117" t="s">
        <v>415</v>
      </c>
      <c r="C61" s="118">
        <v>1</v>
      </c>
      <c r="D61" s="118" t="s">
        <v>125</v>
      </c>
      <c r="E61" s="119" t="s">
        <v>411</v>
      </c>
      <c r="F61" s="119" t="s">
        <v>329</v>
      </c>
      <c r="G61" s="61" t="str">
        <f t="shared" ref="G61:G62" si="195">IFERROR(LEFT(B61,FIND("],",B61)),B61)</f>
        <v>[effect:enemy_message, val1:1.3, val2:3.8]</v>
      </c>
      <c r="H61" s="61">
        <f t="shared" si="142"/>
        <v>9</v>
      </c>
      <c r="I61" s="61">
        <f t="shared" ref="I61:I62" si="196">IFERROR(FIND(",",G61),LEN(G61))</f>
        <v>22</v>
      </c>
      <c r="J61" s="61" t="e">
        <f t="shared" ref="J61:J62" si="197">FIND("target:",G61)+7</f>
        <v>#VALUE!</v>
      </c>
      <c r="K61" s="61">
        <f t="shared" ref="K61:K62" si="198">FIND(",",G61,I61+1)</f>
        <v>32</v>
      </c>
      <c r="L61" s="51"/>
      <c r="M61" s="61" t="str">
        <f>IFERROR(VLOOKUP(MID(G61,J61,K61-J61),[5]skilldef!$C:$D,2,FALSE),"-") &amp; " / " &amp; IFERROR(VLOOKUP(MID(G61,H61,I61-H61),[5]skilldef!$A:$B,2,FALSE),"-")</f>
        <v>- / -</v>
      </c>
      <c r="N61" s="61" t="str">
        <f t="shared" ref="N61:N62" si="199">IFERROR(RIGHT(B61,LEN(B61)-FIND("],",B61)-1),"none")</f>
        <v>[effect:force_change_block, new_block:jammer, target:normal, count:15, val:0],[effect:critical, val:1.3, animation:enemy_critical]</v>
      </c>
      <c r="O61" s="48" t="str">
        <f>IFERROR(LEFT(N61,FIND("],",N61)+#REF!),N61)</f>
        <v>[effect:force_change_block, new_block:jammer, target:normal, count:15, val:0],[effect:critical, val:1.3, animation:enemy_critical]</v>
      </c>
      <c r="P61" s="61">
        <f t="shared" si="147"/>
        <v>9</v>
      </c>
      <c r="Q61" s="61">
        <f t="shared" ref="Q61:Q62" si="200">IFERROR(FIND(",",O61),LEN(O61))</f>
        <v>27</v>
      </c>
      <c r="R61" s="61">
        <f t="shared" ref="R61:R62" si="201">FIND("target:",O61)+7</f>
        <v>54</v>
      </c>
      <c r="S61" s="61">
        <f t="shared" ref="S61:S62" si="202">FIND(",",O61,Q61+1)</f>
        <v>45</v>
      </c>
      <c r="T61" s="61" t="str">
        <f>IFERROR(VLOOKUP(MID(O61,R61,S61-R61),[5]skilldef!$C:$D,2,FALSE),"-") &amp; " / " &amp; IFERROR(VLOOKUP(MID(O61,P61,Q61-P61),[5]skilldef!$A:$B,2,FALSE),"-")</f>
        <v>- / -</v>
      </c>
      <c r="U61" s="48" t="str">
        <f t="shared" ref="U61:U62" si="203">IFERROR(RIGHT(N61,LEN(N61)-FIND("],",N61)-1),"none")</f>
        <v>[effect:critical, val:1.3, animation:enemy_critical]</v>
      </c>
      <c r="V61" s="61">
        <f t="shared" si="152"/>
        <v>9</v>
      </c>
      <c r="W61" s="61">
        <f t="shared" ref="W61:W62" si="204">IFERROR(FIND(",",U61),LEN(U61))</f>
        <v>17</v>
      </c>
      <c r="X61" s="61" t="e">
        <f t="shared" ref="X61:X62" si="205">FIND("target:",U61)+7</f>
        <v>#VALUE!</v>
      </c>
      <c r="Y61" s="61">
        <f t="shared" ref="Y61:Y62" si="206">FIND(",",U61,W61+1)</f>
        <v>26</v>
      </c>
      <c r="Z61" s="61" t="str">
        <f>IFERROR(VLOOKUP(MID(U61,X61,Y61-X61),[5]skilldef!$C:$D,2,FALSE),"-") &amp; " / " &amp; IFERROR(VLOOKUP(MID(U61,V61,W61-V61),[5]skilldef!$A:$B,2,FALSE),"-")</f>
        <v>- / 大攻撃</v>
      </c>
      <c r="AA61" s="50"/>
      <c r="AB61" s="52"/>
      <c r="AC61" s="50"/>
    </row>
    <row r="62" spans="1:29" ht="43" customHeight="1" x14ac:dyDescent="0.15">
      <c r="A62" s="113">
        <v>50016707</v>
      </c>
      <c r="B62" s="117" t="s">
        <v>416</v>
      </c>
      <c r="C62" s="118">
        <v>1</v>
      </c>
      <c r="D62" s="118" t="s">
        <v>125</v>
      </c>
      <c r="E62" s="119" t="s">
        <v>342</v>
      </c>
      <c r="F62" s="119" t="s">
        <v>263</v>
      </c>
      <c r="G62" s="61" t="str">
        <f t="shared" si="195"/>
        <v>[effect:enemy_message, val1:1.2, val2:1.2]</v>
      </c>
      <c r="H62" s="61">
        <f t="shared" si="142"/>
        <v>9</v>
      </c>
      <c r="I62" s="61">
        <f t="shared" si="196"/>
        <v>22</v>
      </c>
      <c r="J62" s="61" t="e">
        <f t="shared" si="197"/>
        <v>#VALUE!</v>
      </c>
      <c r="K62" s="61">
        <f t="shared" si="198"/>
        <v>32</v>
      </c>
      <c r="L62" s="51"/>
      <c r="M62" s="61" t="str">
        <f>IFERROR(VLOOKUP(MID(G62,J62,K62-J62),[5]skilldef!$C:$D,2,FALSE),"-") &amp; " / " &amp; IFERROR(VLOOKUP(MID(G62,H62,I62-H62),[5]skilldef!$A:$B,2,FALSE),"-")</f>
        <v>- / -</v>
      </c>
      <c r="N62" s="61" t="str">
        <f t="shared" si="199"/>
        <v>[effect:damage_fix_pierce, target:unit_one, color:red, val:200000]</v>
      </c>
      <c r="O62" s="48" t="str">
        <f>IFERROR(LEFT(N62,FIND("],",N62)+#REF!),N62)</f>
        <v>[effect:damage_fix_pierce, target:unit_one, color:red, val:200000]</v>
      </c>
      <c r="P62" s="61">
        <f t="shared" si="147"/>
        <v>9</v>
      </c>
      <c r="Q62" s="61">
        <f t="shared" si="200"/>
        <v>26</v>
      </c>
      <c r="R62" s="61">
        <f t="shared" si="201"/>
        <v>35</v>
      </c>
      <c r="S62" s="61">
        <f t="shared" si="202"/>
        <v>43</v>
      </c>
      <c r="T62" s="61" t="str">
        <f>IFERROR(VLOOKUP(MID(O62,R62,S62-R62),[5]skilldef!$C:$D,2,FALSE),"-") &amp; " / " &amp; IFERROR(VLOOKUP(MID(O62,P62,Q62-P62),[5]skilldef!$A:$B,2,FALSE),"-")</f>
        <v>味方単体に / -</v>
      </c>
      <c r="U62" s="48" t="str">
        <f t="shared" si="203"/>
        <v>none</v>
      </c>
      <c r="V62" s="61" t="e">
        <f t="shared" si="152"/>
        <v>#VALUE!</v>
      </c>
      <c r="W62" s="61">
        <f t="shared" si="204"/>
        <v>4</v>
      </c>
      <c r="X62" s="61" t="e">
        <f t="shared" si="205"/>
        <v>#VALUE!</v>
      </c>
      <c r="Y62" s="61" t="e">
        <f t="shared" si="206"/>
        <v>#VALUE!</v>
      </c>
      <c r="Z62" s="61" t="str">
        <f>IFERROR(VLOOKUP(MID(U62,X62,Y62-X62),[5]skilldef!$C:$D,2,FALSE),"-") &amp; " / " &amp; IFERROR(VLOOKUP(MID(U62,V62,W62-V62),[5]skilldef!$A:$B,2,FALSE),"-")</f>
        <v>- / -</v>
      </c>
      <c r="AA62" s="50"/>
      <c r="AB62" s="52"/>
      <c r="AC62" s="50"/>
    </row>
    <row r="63" spans="1:29" ht="43" customHeight="1" x14ac:dyDescent="0.15">
      <c r="A63" s="113">
        <v>50016708</v>
      </c>
      <c r="B63" s="117" t="s">
        <v>442</v>
      </c>
      <c r="C63" s="118">
        <v>1</v>
      </c>
      <c r="D63" s="118" t="s">
        <v>125</v>
      </c>
      <c r="E63" s="119" t="s">
        <v>353</v>
      </c>
      <c r="F63" s="119" t="s">
        <v>410</v>
      </c>
      <c r="G63" s="61" t="str">
        <f t="shared" ref="G63:G65" si="207">IFERROR(LEFT(B63,FIND("],",B63)),B63)</f>
        <v>[effect:enemy_message, val1:1.7, val2:1.8]</v>
      </c>
      <c r="H63" s="61">
        <f t="shared" si="142"/>
        <v>9</v>
      </c>
      <c r="I63" s="61">
        <f t="shared" ref="I63:I65" si="208">IFERROR(FIND(",",G63),LEN(G63))</f>
        <v>22</v>
      </c>
      <c r="J63" s="61" t="e">
        <f t="shared" ref="J63:J65" si="209">FIND("target:",G63)+7</f>
        <v>#VALUE!</v>
      </c>
      <c r="K63" s="61">
        <f t="shared" ref="K63:K65" si="210">FIND(",",G63,I63+1)</f>
        <v>32</v>
      </c>
      <c r="L63" s="51"/>
      <c r="M63" s="61" t="str">
        <f>IFERROR(VLOOKUP(MID(G63,J63,K63-J63),[5]skilldef!$C:$D,2,FALSE),"-") &amp; " / " &amp; IFERROR(VLOOKUP(MID(G63,H63,I63-H63),[5]skilldef!$A:$B,2,FALSE),"-")</f>
        <v>- / -</v>
      </c>
      <c r="N63" s="61" t="str">
        <f t="shared" ref="N63:N65" si="211">IFERROR(RIGHT(B63,LEN(B63)-FIND("],",B63)-1),"none")</f>
        <v>none</v>
      </c>
      <c r="O63" s="48" t="str">
        <f>IFERROR(LEFT(N63,FIND("],",N63)+#REF!),N63)</f>
        <v>none</v>
      </c>
      <c r="P63" s="61" t="e">
        <f t="shared" si="147"/>
        <v>#VALUE!</v>
      </c>
      <c r="Q63" s="61">
        <f t="shared" ref="Q63:Q65" si="212">IFERROR(FIND(",",O63),LEN(O63))</f>
        <v>4</v>
      </c>
      <c r="R63" s="61" t="e">
        <f t="shared" ref="R63:R65" si="213">FIND("target:",O63)+7</f>
        <v>#VALUE!</v>
      </c>
      <c r="S63" s="61" t="e">
        <f t="shared" ref="S63:S65" si="214">FIND(",",O63,Q63+1)</f>
        <v>#VALUE!</v>
      </c>
      <c r="T63" s="61" t="str">
        <f>IFERROR(VLOOKUP(MID(O63,R63,S63-R63),[5]skilldef!$C:$D,2,FALSE),"-") &amp; " / " &amp; IFERROR(VLOOKUP(MID(O63,P63,Q63-P63),[5]skilldef!$A:$B,2,FALSE),"-")</f>
        <v>- / -</v>
      </c>
      <c r="U63" s="48" t="str">
        <f t="shared" ref="U63:U65" si="215">IFERROR(RIGHT(N63,LEN(N63)-FIND("],",N63)-1),"none")</f>
        <v>none</v>
      </c>
      <c r="V63" s="61" t="e">
        <f t="shared" si="152"/>
        <v>#VALUE!</v>
      </c>
      <c r="W63" s="61">
        <f t="shared" ref="W63:W65" si="216">IFERROR(FIND(",",U63),LEN(U63))</f>
        <v>4</v>
      </c>
      <c r="X63" s="61" t="e">
        <f t="shared" ref="X63:X65" si="217">FIND("target:",U63)+7</f>
        <v>#VALUE!</v>
      </c>
      <c r="Y63" s="61" t="e">
        <f t="shared" ref="Y63:Y65" si="218">FIND(",",U63,W63+1)</f>
        <v>#VALUE!</v>
      </c>
      <c r="Z63" s="61" t="str">
        <f>IFERROR(VLOOKUP(MID(U63,X63,Y63-X63),[5]skilldef!$C:$D,2,FALSE),"-") &amp; " / " &amp; IFERROR(VLOOKUP(MID(U63,V63,W63-V63),[5]skilldef!$A:$B,2,FALSE),"-")</f>
        <v>- / -</v>
      </c>
      <c r="AA63" s="50"/>
      <c r="AB63" s="52"/>
      <c r="AC63" s="50"/>
    </row>
    <row r="64" spans="1:29" ht="43" customHeight="1" x14ac:dyDescent="0.15">
      <c r="A64" s="113">
        <v>50016721</v>
      </c>
      <c r="B64" s="117" t="s">
        <v>443</v>
      </c>
      <c r="C64" s="118">
        <v>1</v>
      </c>
      <c r="D64" s="118" t="s">
        <v>125</v>
      </c>
      <c r="E64" s="120" t="s">
        <v>434</v>
      </c>
      <c r="F64" s="120" t="s">
        <v>433</v>
      </c>
      <c r="G64" s="61" t="str">
        <f t="shared" ref="G64" si="219">IFERROR(LEFT(B64,FIND("],",B64)),B64)</f>
        <v>[effect:enemy_message, val1:2.2, val2:1.7]</v>
      </c>
      <c r="H64" s="61">
        <f t="shared" ref="H64" si="220">FIND("effect:",G64)+7</f>
        <v>9</v>
      </c>
      <c r="I64" s="61">
        <f t="shared" ref="I64" si="221">IFERROR(FIND(",",G64),LEN(G64))</f>
        <v>22</v>
      </c>
      <c r="J64" s="61" t="e">
        <f t="shared" ref="J64" si="222">FIND("target:",G64)+7</f>
        <v>#VALUE!</v>
      </c>
      <c r="K64" s="61">
        <f t="shared" ref="K64" si="223">FIND(",",G64,I64+1)</f>
        <v>32</v>
      </c>
      <c r="L64" s="51" t="s">
        <v>450</v>
      </c>
      <c r="M64" s="61" t="str">
        <f>IFERROR(VLOOKUP(MID(G64,J64,K64-J64),[5]skilldef!$C:$D,2,FALSE),"-") &amp; " / " &amp; IFERROR(VLOOKUP(MID(G64,H64,I64-H64),[5]skilldef!$A:$B,2,FALSE),"-")</f>
        <v>- / -</v>
      </c>
      <c r="N64" s="61" t="str">
        <f t="shared" ref="N64" si="224">IFERROR(RIGHT(B64,LEN(B64)-FIND("],",B64)-1),"none")</f>
        <v>none</v>
      </c>
      <c r="O64" s="48" t="str">
        <f>IFERROR(LEFT(N64,FIND("],",N64)+#REF!),N64)</f>
        <v>none</v>
      </c>
      <c r="P64" s="61" t="e">
        <f t="shared" ref="P64" si="225">FIND("effect:",O64)+7</f>
        <v>#VALUE!</v>
      </c>
      <c r="Q64" s="61">
        <f t="shared" ref="Q64" si="226">IFERROR(FIND(",",O64),LEN(O64))</f>
        <v>4</v>
      </c>
      <c r="R64" s="61" t="e">
        <f t="shared" ref="R64" si="227">FIND("target:",O64)+7</f>
        <v>#VALUE!</v>
      </c>
      <c r="S64" s="61" t="e">
        <f t="shared" ref="S64" si="228">FIND(",",O64,Q64+1)</f>
        <v>#VALUE!</v>
      </c>
      <c r="T64" s="61" t="str">
        <f>IFERROR(VLOOKUP(MID(O64,R64,S64-R64),[5]skilldef!$C:$D,2,FALSE),"-") &amp; " / " &amp; IFERROR(VLOOKUP(MID(O64,P64,Q64-P64),[5]skilldef!$A:$B,2,FALSE),"-")</f>
        <v>- / -</v>
      </c>
      <c r="U64" s="48" t="str">
        <f t="shared" ref="U64" si="229">IFERROR(RIGHT(N64,LEN(N64)-FIND("],",N64)-1),"none")</f>
        <v>none</v>
      </c>
      <c r="V64" s="61" t="e">
        <f t="shared" ref="V64" si="230">FIND("effect:",U64)+7</f>
        <v>#VALUE!</v>
      </c>
      <c r="W64" s="61">
        <f t="shared" ref="W64" si="231">IFERROR(FIND(",",U64),LEN(U64))</f>
        <v>4</v>
      </c>
      <c r="X64" s="61" t="e">
        <f t="shared" ref="X64" si="232">FIND("target:",U64)+7</f>
        <v>#VALUE!</v>
      </c>
      <c r="Y64" s="61" t="e">
        <f t="shared" ref="Y64" si="233">FIND(",",U64,W64+1)</f>
        <v>#VALUE!</v>
      </c>
      <c r="Z64" s="61" t="str">
        <f>IFERROR(VLOOKUP(MID(U64,X64,Y64-X64),[5]skilldef!$C:$D,2,FALSE),"-") &amp; " / " &amp; IFERROR(VLOOKUP(MID(U64,V64,W64-V64),[5]skilldef!$A:$B,2,FALSE),"-")</f>
        <v>- / -</v>
      </c>
      <c r="AA64" s="50"/>
      <c r="AB64" s="52"/>
      <c r="AC64" s="50"/>
    </row>
    <row r="65" spans="1:29" ht="43" customHeight="1" x14ac:dyDescent="0.15">
      <c r="A65" s="113">
        <v>50016722</v>
      </c>
      <c r="B65" s="117" t="s">
        <v>417</v>
      </c>
      <c r="C65" s="118">
        <v>1</v>
      </c>
      <c r="D65" s="118" t="s">
        <v>125</v>
      </c>
      <c r="E65" s="120" t="s">
        <v>368</v>
      </c>
      <c r="F65" s="120" t="s">
        <v>367</v>
      </c>
      <c r="G65" s="61" t="str">
        <f t="shared" si="207"/>
        <v>[effect:enemy_message, val1:2.4, val2:2.0]</v>
      </c>
      <c r="H65" s="61">
        <f t="shared" si="142"/>
        <v>9</v>
      </c>
      <c r="I65" s="61">
        <f t="shared" si="208"/>
        <v>22</v>
      </c>
      <c r="J65" s="61" t="e">
        <f t="shared" si="209"/>
        <v>#VALUE!</v>
      </c>
      <c r="K65" s="61">
        <f t="shared" si="210"/>
        <v>32</v>
      </c>
      <c r="L65" s="51" t="s">
        <v>362</v>
      </c>
      <c r="M65" s="61" t="str">
        <f>IFERROR(VLOOKUP(MID(G65,J65,K65-J65),[5]skilldef!$C:$D,2,FALSE),"-") &amp; " / " &amp; IFERROR(VLOOKUP(MID(G65,H65,I65-H65),[5]skilldef!$A:$B,2,FALSE),"-")</f>
        <v>- / -</v>
      </c>
      <c r="N65" s="61" t="str">
        <f t="shared" si="211"/>
        <v>none</v>
      </c>
      <c r="O65" s="48" t="str">
        <f>IFERROR(LEFT(N65,FIND("],",N65)+#REF!),N65)</f>
        <v>none</v>
      </c>
      <c r="P65" s="61" t="e">
        <f t="shared" si="147"/>
        <v>#VALUE!</v>
      </c>
      <c r="Q65" s="61">
        <f t="shared" si="212"/>
        <v>4</v>
      </c>
      <c r="R65" s="61" t="e">
        <f t="shared" si="213"/>
        <v>#VALUE!</v>
      </c>
      <c r="S65" s="61" t="e">
        <f t="shared" si="214"/>
        <v>#VALUE!</v>
      </c>
      <c r="T65" s="61" t="str">
        <f>IFERROR(VLOOKUP(MID(O65,R65,S65-R65),[5]skilldef!$C:$D,2,FALSE),"-") &amp; " / " &amp; IFERROR(VLOOKUP(MID(O65,P65,Q65-P65),[5]skilldef!$A:$B,2,FALSE),"-")</f>
        <v>- / -</v>
      </c>
      <c r="U65" s="48" t="str">
        <f t="shared" si="215"/>
        <v>none</v>
      </c>
      <c r="V65" s="61" t="e">
        <f t="shared" si="152"/>
        <v>#VALUE!</v>
      </c>
      <c r="W65" s="61">
        <f t="shared" si="216"/>
        <v>4</v>
      </c>
      <c r="X65" s="61" t="e">
        <f t="shared" si="217"/>
        <v>#VALUE!</v>
      </c>
      <c r="Y65" s="61" t="e">
        <f t="shared" si="218"/>
        <v>#VALUE!</v>
      </c>
      <c r="Z65" s="61" t="str">
        <f>IFERROR(VLOOKUP(MID(U65,X65,Y65-X65),[5]skilldef!$C:$D,2,FALSE),"-") &amp; " / " &amp; IFERROR(VLOOKUP(MID(U65,V65,W65-V65),[5]skilldef!$A:$B,2,FALSE),"-")</f>
        <v>- / -</v>
      </c>
      <c r="AA65" s="50"/>
      <c r="AB65" s="52"/>
      <c r="AC65" s="50"/>
    </row>
    <row r="66" spans="1:29" ht="43" customHeight="1" x14ac:dyDescent="0.15">
      <c r="A66" s="113">
        <v>50016723</v>
      </c>
      <c r="B66" s="117" t="s">
        <v>444</v>
      </c>
      <c r="C66" s="118">
        <v>1</v>
      </c>
      <c r="D66" s="118" t="s">
        <v>125</v>
      </c>
      <c r="E66" s="120" t="s">
        <v>435</v>
      </c>
      <c r="F66" s="120" t="s">
        <v>431</v>
      </c>
      <c r="G66" s="61" t="str">
        <f t="shared" ref="G66" si="234">IFERROR(LEFT(B66,FIND("],",B66)),B66)</f>
        <v>[effect:enemy_message, val1:1.9, val2:2.1]</v>
      </c>
      <c r="H66" s="61">
        <f t="shared" si="142"/>
        <v>9</v>
      </c>
      <c r="I66" s="61">
        <f t="shared" ref="I66" si="235">IFERROR(FIND(",",G66),LEN(G66))</f>
        <v>22</v>
      </c>
      <c r="J66" s="61" t="e">
        <f t="shared" ref="J66" si="236">FIND("target:",G66)+7</f>
        <v>#VALUE!</v>
      </c>
      <c r="K66" s="61">
        <f t="shared" ref="K66" si="237">FIND(",",G66,I66+1)</f>
        <v>32</v>
      </c>
      <c r="L66" s="51" t="s">
        <v>363</v>
      </c>
      <c r="M66" s="61" t="str">
        <f>IFERROR(VLOOKUP(MID(G66,J66,K66-J66),[5]skilldef!$C:$D,2,FALSE),"-") &amp; " / " &amp; IFERROR(VLOOKUP(MID(G66,H66,I66-H66),[5]skilldef!$A:$B,2,FALSE),"-")</f>
        <v>- / -</v>
      </c>
      <c r="N66" s="61" t="str">
        <f t="shared" ref="N66" si="238">IFERROR(RIGHT(B66,LEN(B66)-FIND("],",B66)-1),"none")</f>
        <v>none</v>
      </c>
      <c r="O66" s="48" t="str">
        <f>IFERROR(LEFT(N66,FIND("],",N66)+#REF!),N66)</f>
        <v>none</v>
      </c>
      <c r="P66" s="61" t="e">
        <f t="shared" si="147"/>
        <v>#VALUE!</v>
      </c>
      <c r="Q66" s="61">
        <f t="shared" ref="Q66" si="239">IFERROR(FIND(",",O66),LEN(O66))</f>
        <v>4</v>
      </c>
      <c r="R66" s="61" t="e">
        <f t="shared" ref="R66" si="240">FIND("target:",O66)+7</f>
        <v>#VALUE!</v>
      </c>
      <c r="S66" s="61" t="e">
        <f t="shared" ref="S66" si="241">FIND(",",O66,Q66+1)</f>
        <v>#VALUE!</v>
      </c>
      <c r="T66" s="61" t="str">
        <f>IFERROR(VLOOKUP(MID(O66,R66,S66-R66),[5]skilldef!$C:$D,2,FALSE),"-") &amp; " / " &amp; IFERROR(VLOOKUP(MID(O66,P66,Q66-P66),[5]skilldef!$A:$B,2,FALSE),"-")</f>
        <v>- / -</v>
      </c>
      <c r="U66" s="48" t="str">
        <f t="shared" ref="U66" si="242">IFERROR(RIGHT(N66,LEN(N66)-FIND("],",N66)-1),"none")</f>
        <v>none</v>
      </c>
      <c r="V66" s="61" t="e">
        <f t="shared" si="152"/>
        <v>#VALUE!</v>
      </c>
      <c r="W66" s="61">
        <f t="shared" ref="W66" si="243">IFERROR(FIND(",",U66),LEN(U66))</f>
        <v>4</v>
      </c>
      <c r="X66" s="61" t="e">
        <f t="shared" ref="X66" si="244">FIND("target:",U66)+7</f>
        <v>#VALUE!</v>
      </c>
      <c r="Y66" s="61" t="e">
        <f t="shared" ref="Y66" si="245">FIND(",",U66,W66+1)</f>
        <v>#VALUE!</v>
      </c>
      <c r="Z66" s="61" t="str">
        <f>IFERROR(VLOOKUP(MID(U66,X66,Y66-X66),[5]skilldef!$C:$D,2,FALSE),"-") &amp; " / " &amp; IFERROR(VLOOKUP(MID(U66,V66,W66-V66),[5]skilldef!$A:$B,2,FALSE),"-")</f>
        <v>- / -</v>
      </c>
      <c r="AA66" s="50"/>
      <c r="AB66" s="52"/>
      <c r="AC66" s="50"/>
    </row>
  </sheetData>
  <autoFilter ref="A1:AC1"/>
  <phoneticPr fontId="5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</sheetPr>
  <dimension ref="A1:L65"/>
  <sheetViews>
    <sheetView showGridLines="0" workbookViewId="0">
      <pane ySplit="1" topLeftCell="A41" activePane="bottomLeft" state="frozenSplit"/>
      <selection pane="bottomLeft" activeCell="A58" sqref="A58"/>
    </sheetView>
  </sheetViews>
  <sheetFormatPr baseColWidth="12" defaultColWidth="12.83203125" defaultRowHeight="21" customHeight="1" x14ac:dyDescent="0.15"/>
  <cols>
    <col min="1" max="1" width="16.1640625" style="49" bestFit="1" customWidth="1"/>
    <col min="2" max="2" width="13.33203125" style="49" bestFit="1" customWidth="1"/>
    <col min="3" max="3" width="11.83203125" style="49" bestFit="1" customWidth="1"/>
    <col min="4" max="4" width="14.6640625" style="49" bestFit="1" customWidth="1"/>
    <col min="5" max="5" width="15.6640625" style="49" bestFit="1" customWidth="1"/>
    <col min="6" max="6" width="17" style="49" bestFit="1" customWidth="1"/>
    <col min="7" max="7" width="15.6640625" style="49" bestFit="1" customWidth="1"/>
    <col min="8" max="9" width="14.6640625" style="49" customWidth="1"/>
    <col min="10" max="10" width="14.6640625" style="49" bestFit="1" customWidth="1"/>
    <col min="11" max="16384" width="12.83203125" style="45"/>
  </cols>
  <sheetData>
    <row r="1" spans="1:10" ht="21" customHeight="1" x14ac:dyDescent="0.15">
      <c r="A1" s="42" t="s">
        <v>84</v>
      </c>
      <c r="B1" s="42" t="s">
        <v>85</v>
      </c>
      <c r="C1" s="42" t="s">
        <v>86</v>
      </c>
      <c r="D1" s="42" t="s">
        <v>87</v>
      </c>
      <c r="E1" s="42" t="s">
        <v>70</v>
      </c>
      <c r="F1" s="53" t="s">
        <v>71</v>
      </c>
      <c r="G1" s="53" t="s">
        <v>72</v>
      </c>
      <c r="H1" s="42" t="s">
        <v>73</v>
      </c>
      <c r="I1" s="42" t="s">
        <v>74</v>
      </c>
      <c r="J1" s="42" t="s">
        <v>75</v>
      </c>
    </row>
    <row r="2" spans="1:10" ht="21" customHeight="1" x14ac:dyDescent="0.15">
      <c r="A2" s="47">
        <v>50016002</v>
      </c>
      <c r="B2" s="47">
        <v>0</v>
      </c>
      <c r="C2" s="47">
        <v>200</v>
      </c>
      <c r="D2" s="47">
        <v>100</v>
      </c>
      <c r="E2" s="47" t="s">
        <v>53</v>
      </c>
      <c r="F2" s="47" t="s">
        <v>53</v>
      </c>
      <c r="G2" s="47" t="s">
        <v>53</v>
      </c>
      <c r="H2" s="47">
        <v>2</v>
      </c>
      <c r="I2" s="47" t="s">
        <v>53</v>
      </c>
      <c r="J2" s="48">
        <f t="shared" ref="J2:J30" si="0">D2</f>
        <v>100</v>
      </c>
    </row>
    <row r="3" spans="1:10" ht="21" customHeight="1" x14ac:dyDescent="0.15">
      <c r="A3" s="47">
        <v>50016003</v>
      </c>
      <c r="B3" s="47">
        <v>0</v>
      </c>
      <c r="C3" s="47">
        <v>400</v>
      </c>
      <c r="D3" s="47">
        <v>100</v>
      </c>
      <c r="E3" s="47" t="s">
        <v>53</v>
      </c>
      <c r="F3" s="47" t="s">
        <v>53</v>
      </c>
      <c r="G3" s="47" t="s">
        <v>53</v>
      </c>
      <c r="H3" s="47">
        <v>4</v>
      </c>
      <c r="I3" s="47" t="s">
        <v>53</v>
      </c>
      <c r="J3" s="48">
        <f t="shared" si="0"/>
        <v>100</v>
      </c>
    </row>
    <row r="4" spans="1:10" ht="21" customHeight="1" x14ac:dyDescent="0.15">
      <c r="A4" s="114">
        <v>50016012</v>
      </c>
      <c r="B4" s="114">
        <v>0</v>
      </c>
      <c r="C4" s="114">
        <v>200</v>
      </c>
      <c r="D4" s="114">
        <v>100</v>
      </c>
      <c r="E4" s="114" t="s">
        <v>53</v>
      </c>
      <c r="F4" s="114" t="s">
        <v>53</v>
      </c>
      <c r="G4" s="114" t="s">
        <v>53</v>
      </c>
      <c r="H4" s="114">
        <v>2</v>
      </c>
      <c r="I4" s="114" t="s">
        <v>53</v>
      </c>
      <c r="J4" s="48">
        <f t="shared" si="0"/>
        <v>100</v>
      </c>
    </row>
    <row r="5" spans="1:10" ht="21" customHeight="1" x14ac:dyDescent="0.15">
      <c r="A5" s="114">
        <v>50016013</v>
      </c>
      <c r="B5" s="114">
        <v>0</v>
      </c>
      <c r="C5" s="114">
        <v>300</v>
      </c>
      <c r="D5" s="114">
        <v>100</v>
      </c>
      <c r="E5" s="114" t="s">
        <v>53</v>
      </c>
      <c r="F5" s="114" t="s">
        <v>53</v>
      </c>
      <c r="G5" s="114" t="s">
        <v>53</v>
      </c>
      <c r="H5" s="114">
        <v>3</v>
      </c>
      <c r="I5" s="114" t="s">
        <v>53</v>
      </c>
      <c r="J5" s="48">
        <f t="shared" si="0"/>
        <v>100</v>
      </c>
    </row>
    <row r="6" spans="1:10" ht="21" customHeight="1" x14ac:dyDescent="0.15">
      <c r="A6" s="117">
        <v>50016021</v>
      </c>
      <c r="B6" s="117">
        <v>0</v>
      </c>
      <c r="C6" s="117">
        <v>500</v>
      </c>
      <c r="D6" s="117">
        <v>100</v>
      </c>
      <c r="E6" s="117">
        <v>80</v>
      </c>
      <c r="F6" s="117">
        <v>50</v>
      </c>
      <c r="G6" s="117">
        <v>1</v>
      </c>
      <c r="H6" s="117">
        <v>1</v>
      </c>
      <c r="I6" s="117" t="s">
        <v>53</v>
      </c>
      <c r="J6" s="48">
        <f t="shared" si="0"/>
        <v>100</v>
      </c>
    </row>
    <row r="7" spans="1:10" ht="21" customHeight="1" x14ac:dyDescent="0.15">
      <c r="A7" s="117">
        <v>50016022</v>
      </c>
      <c r="B7" s="117">
        <v>0</v>
      </c>
      <c r="C7" s="117">
        <v>601</v>
      </c>
      <c r="D7" s="117">
        <v>100</v>
      </c>
      <c r="E7" s="117">
        <v>50</v>
      </c>
      <c r="F7" s="117" t="s">
        <v>53</v>
      </c>
      <c r="G7" s="117">
        <v>1</v>
      </c>
      <c r="H7" s="117">
        <v>1</v>
      </c>
      <c r="I7" s="117" t="s">
        <v>53</v>
      </c>
      <c r="J7" s="48">
        <f t="shared" si="0"/>
        <v>100</v>
      </c>
    </row>
    <row r="8" spans="1:10" ht="21" customHeight="1" x14ac:dyDescent="0.15">
      <c r="A8" s="117">
        <v>50016023</v>
      </c>
      <c r="B8" s="117">
        <v>0</v>
      </c>
      <c r="C8" s="117">
        <v>600</v>
      </c>
      <c r="D8" s="117">
        <v>100</v>
      </c>
      <c r="E8" s="117">
        <v>50</v>
      </c>
      <c r="F8" s="117" t="s">
        <v>53</v>
      </c>
      <c r="G8" s="117">
        <v>1</v>
      </c>
      <c r="H8" s="117">
        <v>1</v>
      </c>
      <c r="I8" s="117" t="s">
        <v>53</v>
      </c>
      <c r="J8" s="48">
        <f t="shared" si="0"/>
        <v>100</v>
      </c>
    </row>
    <row r="9" spans="1:10" ht="21" customHeight="1" x14ac:dyDescent="0.15">
      <c r="A9" s="117">
        <v>50016024</v>
      </c>
      <c r="B9" s="117">
        <v>0</v>
      </c>
      <c r="C9" s="117">
        <v>700</v>
      </c>
      <c r="D9" s="117">
        <v>100</v>
      </c>
      <c r="E9" s="117">
        <v>20</v>
      </c>
      <c r="F9" s="117" t="s">
        <v>53</v>
      </c>
      <c r="G9" s="117">
        <v>1</v>
      </c>
      <c r="H9" s="117">
        <v>1</v>
      </c>
      <c r="I9" s="117" t="s">
        <v>53</v>
      </c>
      <c r="J9" s="48">
        <f t="shared" si="0"/>
        <v>100</v>
      </c>
    </row>
    <row r="10" spans="1:10" ht="21" customHeight="1" x14ac:dyDescent="0.15">
      <c r="A10" s="113">
        <v>50016102</v>
      </c>
      <c r="B10" s="47">
        <v>0</v>
      </c>
      <c r="C10" s="47" t="s">
        <v>256</v>
      </c>
      <c r="D10" s="47">
        <v>100</v>
      </c>
      <c r="E10" s="47" t="s">
        <v>53</v>
      </c>
      <c r="F10" s="47" t="s">
        <v>53</v>
      </c>
      <c r="G10" s="47">
        <v>1</v>
      </c>
      <c r="H10" s="47">
        <v>1</v>
      </c>
      <c r="I10" s="47" t="s">
        <v>53</v>
      </c>
      <c r="J10" s="48">
        <f t="shared" si="0"/>
        <v>100</v>
      </c>
    </row>
    <row r="11" spans="1:10" ht="21" customHeight="1" x14ac:dyDescent="0.15">
      <c r="A11" s="113">
        <v>50016103</v>
      </c>
      <c r="B11" s="47">
        <v>0</v>
      </c>
      <c r="C11" s="47" t="s">
        <v>256</v>
      </c>
      <c r="D11" s="47">
        <v>100</v>
      </c>
      <c r="E11" s="47" t="s">
        <v>53</v>
      </c>
      <c r="F11" s="47" t="s">
        <v>53</v>
      </c>
      <c r="G11" s="47">
        <v>1</v>
      </c>
      <c r="H11" s="47">
        <v>2</v>
      </c>
      <c r="I11" s="47" t="s">
        <v>53</v>
      </c>
      <c r="J11" s="48">
        <f t="shared" si="0"/>
        <v>100</v>
      </c>
    </row>
    <row r="12" spans="1:10" ht="21" customHeight="1" x14ac:dyDescent="0.15">
      <c r="A12" s="113">
        <v>50016104</v>
      </c>
      <c r="B12" s="47">
        <v>0</v>
      </c>
      <c r="C12" s="47" t="s">
        <v>256</v>
      </c>
      <c r="D12" s="47">
        <v>100</v>
      </c>
      <c r="E12" s="47" t="s">
        <v>53</v>
      </c>
      <c r="F12" s="47" t="s">
        <v>53</v>
      </c>
      <c r="G12" s="47">
        <v>1</v>
      </c>
      <c r="H12" s="47">
        <v>3</v>
      </c>
      <c r="I12" s="47" t="s">
        <v>53</v>
      </c>
      <c r="J12" s="48">
        <f t="shared" si="0"/>
        <v>100</v>
      </c>
    </row>
    <row r="13" spans="1:10" ht="21" customHeight="1" x14ac:dyDescent="0.15">
      <c r="A13" s="113">
        <v>50016105</v>
      </c>
      <c r="B13" s="47">
        <v>0</v>
      </c>
      <c r="C13" s="47" t="s">
        <v>256</v>
      </c>
      <c r="D13" s="47">
        <v>100</v>
      </c>
      <c r="E13" s="47" t="s">
        <v>53</v>
      </c>
      <c r="F13" s="47" t="s">
        <v>53</v>
      </c>
      <c r="G13" s="47">
        <v>1</v>
      </c>
      <c r="H13" s="47">
        <v>4</v>
      </c>
      <c r="I13" s="47" t="s">
        <v>53</v>
      </c>
      <c r="J13" s="48">
        <f t="shared" si="0"/>
        <v>100</v>
      </c>
    </row>
    <row r="14" spans="1:10" ht="21" customHeight="1" x14ac:dyDescent="0.15">
      <c r="A14" s="113">
        <v>50016106</v>
      </c>
      <c r="B14" s="47">
        <v>0</v>
      </c>
      <c r="C14" s="47" t="s">
        <v>256</v>
      </c>
      <c r="D14" s="47">
        <v>100</v>
      </c>
      <c r="E14" s="47" t="s">
        <v>53</v>
      </c>
      <c r="F14" s="47" t="s">
        <v>53</v>
      </c>
      <c r="G14" s="47">
        <v>1</v>
      </c>
      <c r="H14" s="47">
        <v>5</v>
      </c>
      <c r="I14" s="47" t="s">
        <v>53</v>
      </c>
      <c r="J14" s="48">
        <f t="shared" si="0"/>
        <v>100</v>
      </c>
    </row>
    <row r="15" spans="1:10" ht="21" customHeight="1" x14ac:dyDescent="0.15">
      <c r="A15" s="113">
        <v>50016202</v>
      </c>
      <c r="B15" s="114">
        <v>0</v>
      </c>
      <c r="C15" s="114" t="s">
        <v>256</v>
      </c>
      <c r="D15" s="114">
        <v>100</v>
      </c>
      <c r="E15" s="114" t="s">
        <v>53</v>
      </c>
      <c r="F15" s="114" t="s">
        <v>53</v>
      </c>
      <c r="G15" s="114">
        <v>1</v>
      </c>
      <c r="H15" s="114">
        <v>1</v>
      </c>
      <c r="I15" s="114" t="s">
        <v>53</v>
      </c>
      <c r="J15" s="48">
        <f t="shared" si="0"/>
        <v>100</v>
      </c>
    </row>
    <row r="16" spans="1:10" ht="21" customHeight="1" x14ac:dyDescent="0.15">
      <c r="A16" s="113">
        <v>50016203</v>
      </c>
      <c r="B16" s="114">
        <v>0</v>
      </c>
      <c r="C16" s="114" t="s">
        <v>256</v>
      </c>
      <c r="D16" s="114">
        <v>100</v>
      </c>
      <c r="E16" s="114" t="s">
        <v>53</v>
      </c>
      <c r="F16" s="114" t="s">
        <v>53</v>
      </c>
      <c r="G16" s="114">
        <v>1</v>
      </c>
      <c r="H16" s="114">
        <v>2</v>
      </c>
      <c r="I16" s="114" t="s">
        <v>53</v>
      </c>
      <c r="J16" s="48">
        <f t="shared" si="0"/>
        <v>100</v>
      </c>
    </row>
    <row r="17" spans="1:10" ht="21" customHeight="1" x14ac:dyDescent="0.15">
      <c r="A17" s="113">
        <v>50016204</v>
      </c>
      <c r="B17" s="114">
        <v>0</v>
      </c>
      <c r="C17" s="114" t="s">
        <v>256</v>
      </c>
      <c r="D17" s="114">
        <v>100</v>
      </c>
      <c r="E17" s="114" t="s">
        <v>53</v>
      </c>
      <c r="F17" s="114" t="s">
        <v>53</v>
      </c>
      <c r="G17" s="114">
        <v>1</v>
      </c>
      <c r="H17" s="114">
        <v>3</v>
      </c>
      <c r="I17" s="114" t="s">
        <v>53</v>
      </c>
      <c r="J17" s="48">
        <f t="shared" si="0"/>
        <v>100</v>
      </c>
    </row>
    <row r="18" spans="1:10" ht="21" customHeight="1" x14ac:dyDescent="0.15">
      <c r="A18" s="113">
        <v>50016205</v>
      </c>
      <c r="B18" s="114">
        <v>0</v>
      </c>
      <c r="C18" s="114" t="s">
        <v>256</v>
      </c>
      <c r="D18" s="114">
        <v>100</v>
      </c>
      <c r="E18" s="114" t="s">
        <v>53</v>
      </c>
      <c r="F18" s="114" t="s">
        <v>53</v>
      </c>
      <c r="G18" s="114">
        <v>1</v>
      </c>
      <c r="H18" s="114">
        <v>4</v>
      </c>
      <c r="I18" s="114" t="s">
        <v>53</v>
      </c>
      <c r="J18" s="48">
        <f t="shared" si="0"/>
        <v>100</v>
      </c>
    </row>
    <row r="19" spans="1:10" ht="21" customHeight="1" x14ac:dyDescent="0.15">
      <c r="A19" s="113">
        <v>50016302</v>
      </c>
      <c r="B19" s="117">
        <v>0</v>
      </c>
      <c r="C19" s="117" t="s">
        <v>256</v>
      </c>
      <c r="D19" s="117">
        <v>100</v>
      </c>
      <c r="E19" s="117" t="s">
        <v>53</v>
      </c>
      <c r="F19" s="117" t="s">
        <v>53</v>
      </c>
      <c r="G19" s="117">
        <v>1</v>
      </c>
      <c r="H19" s="117">
        <v>1</v>
      </c>
      <c r="I19" s="117" t="s">
        <v>53</v>
      </c>
      <c r="J19" s="48">
        <f t="shared" si="0"/>
        <v>100</v>
      </c>
    </row>
    <row r="20" spans="1:10" ht="21" customHeight="1" x14ac:dyDescent="0.15">
      <c r="A20" s="113">
        <v>50016303</v>
      </c>
      <c r="B20" s="117">
        <v>0</v>
      </c>
      <c r="C20" s="117" t="s">
        <v>256</v>
      </c>
      <c r="D20" s="117">
        <v>100</v>
      </c>
      <c r="E20" s="117" t="s">
        <v>53</v>
      </c>
      <c r="F20" s="117" t="s">
        <v>53</v>
      </c>
      <c r="G20" s="117">
        <v>1</v>
      </c>
      <c r="H20" s="117">
        <v>2</v>
      </c>
      <c r="I20" s="117" t="s">
        <v>53</v>
      </c>
      <c r="J20" s="48">
        <f t="shared" si="0"/>
        <v>100</v>
      </c>
    </row>
    <row r="21" spans="1:10" ht="21" customHeight="1" x14ac:dyDescent="0.15">
      <c r="A21" s="113">
        <v>50016304</v>
      </c>
      <c r="B21" s="117">
        <v>0</v>
      </c>
      <c r="C21" s="117" t="s">
        <v>256</v>
      </c>
      <c r="D21" s="117">
        <v>100</v>
      </c>
      <c r="E21" s="117" t="s">
        <v>53</v>
      </c>
      <c r="F21" s="117" t="s">
        <v>53</v>
      </c>
      <c r="G21" s="117">
        <v>1</v>
      </c>
      <c r="H21" s="117">
        <v>3</v>
      </c>
      <c r="I21" s="117" t="s">
        <v>53</v>
      </c>
      <c r="J21" s="48">
        <f t="shared" si="0"/>
        <v>100</v>
      </c>
    </row>
    <row r="22" spans="1:10" ht="21" customHeight="1" x14ac:dyDescent="0.15">
      <c r="A22" s="113">
        <v>50016305</v>
      </c>
      <c r="B22" s="117">
        <v>0</v>
      </c>
      <c r="C22" s="117" t="s">
        <v>256</v>
      </c>
      <c r="D22" s="117">
        <v>100</v>
      </c>
      <c r="E22" s="117" t="s">
        <v>53</v>
      </c>
      <c r="F22" s="117" t="s">
        <v>53</v>
      </c>
      <c r="G22" s="117">
        <v>1</v>
      </c>
      <c r="H22" s="117">
        <v>4</v>
      </c>
      <c r="I22" s="117" t="s">
        <v>53</v>
      </c>
      <c r="J22" s="48">
        <f t="shared" si="0"/>
        <v>100</v>
      </c>
    </row>
    <row r="23" spans="1:10" ht="21" customHeight="1" x14ac:dyDescent="0.15">
      <c r="A23" s="47">
        <v>50016402</v>
      </c>
      <c r="B23" s="47">
        <v>0</v>
      </c>
      <c r="C23" s="47">
        <v>100</v>
      </c>
      <c r="D23" s="47">
        <v>100</v>
      </c>
      <c r="E23" s="47" t="s">
        <v>53</v>
      </c>
      <c r="F23" s="47" t="s">
        <v>53</v>
      </c>
      <c r="G23" s="47" t="s">
        <v>53</v>
      </c>
      <c r="H23" s="47">
        <v>1</v>
      </c>
      <c r="I23" s="47" t="s">
        <v>53</v>
      </c>
      <c r="J23" s="48">
        <f t="shared" si="0"/>
        <v>100</v>
      </c>
    </row>
    <row r="24" spans="1:10" ht="21" customHeight="1" x14ac:dyDescent="0.15">
      <c r="A24" s="47">
        <v>50016403</v>
      </c>
      <c r="B24" s="47">
        <v>0</v>
      </c>
      <c r="C24" s="47">
        <v>300</v>
      </c>
      <c r="D24" s="47">
        <v>100</v>
      </c>
      <c r="E24" s="47" t="s">
        <v>53</v>
      </c>
      <c r="F24" s="47" t="s">
        <v>53</v>
      </c>
      <c r="G24" s="47" t="s">
        <v>53</v>
      </c>
      <c r="H24" s="47">
        <v>2</v>
      </c>
      <c r="I24" s="47" t="s">
        <v>53</v>
      </c>
      <c r="J24" s="48">
        <f t="shared" si="0"/>
        <v>100</v>
      </c>
    </row>
    <row r="25" spans="1:10" ht="21" customHeight="1" x14ac:dyDescent="0.15">
      <c r="A25" s="47">
        <v>50016404</v>
      </c>
      <c r="B25" s="47">
        <v>0</v>
      </c>
      <c r="C25" s="47">
        <v>200</v>
      </c>
      <c r="D25" s="47">
        <v>100</v>
      </c>
      <c r="E25" s="47" t="s">
        <v>53</v>
      </c>
      <c r="F25" s="47" t="s">
        <v>53</v>
      </c>
      <c r="G25" s="47" t="s">
        <v>53</v>
      </c>
      <c r="H25" s="47">
        <v>3</v>
      </c>
      <c r="I25" s="47" t="s">
        <v>53</v>
      </c>
      <c r="J25" s="48">
        <f t="shared" si="0"/>
        <v>100</v>
      </c>
    </row>
    <row r="26" spans="1:10" ht="21" customHeight="1" x14ac:dyDescent="0.15">
      <c r="A26" s="47">
        <v>50016405</v>
      </c>
      <c r="B26" s="47">
        <v>0</v>
      </c>
      <c r="C26" s="47">
        <v>400</v>
      </c>
      <c r="D26" s="47">
        <v>100</v>
      </c>
      <c r="E26" s="47" t="s">
        <v>53</v>
      </c>
      <c r="F26" s="47" t="s">
        <v>53</v>
      </c>
      <c r="G26" s="47" t="s">
        <v>53</v>
      </c>
      <c r="H26" s="47">
        <v>4</v>
      </c>
      <c r="I26" s="47" t="s">
        <v>53</v>
      </c>
      <c r="J26" s="48">
        <f t="shared" si="0"/>
        <v>100</v>
      </c>
    </row>
    <row r="27" spans="1:10" ht="21" customHeight="1" x14ac:dyDescent="0.15">
      <c r="A27" s="47">
        <v>50016406</v>
      </c>
      <c r="B27" s="47">
        <v>0</v>
      </c>
      <c r="C27" s="47">
        <v>500</v>
      </c>
      <c r="D27" s="47">
        <v>100</v>
      </c>
      <c r="E27" s="47" t="s">
        <v>53</v>
      </c>
      <c r="F27" s="47" t="s">
        <v>53</v>
      </c>
      <c r="G27" s="47" t="s">
        <v>53</v>
      </c>
      <c r="H27" s="47">
        <v>5</v>
      </c>
      <c r="I27" s="47" t="s">
        <v>53</v>
      </c>
      <c r="J27" s="48">
        <f t="shared" si="0"/>
        <v>100</v>
      </c>
    </row>
    <row r="28" spans="1:10" ht="21" customHeight="1" x14ac:dyDescent="0.15">
      <c r="A28" s="47">
        <v>50016407</v>
      </c>
      <c r="B28" s="47">
        <v>0</v>
      </c>
      <c r="C28" s="47">
        <v>800</v>
      </c>
      <c r="D28" s="47">
        <v>100</v>
      </c>
      <c r="E28" s="47">
        <v>20</v>
      </c>
      <c r="F28" s="47" t="s">
        <v>53</v>
      </c>
      <c r="G28" s="47">
        <v>1</v>
      </c>
      <c r="H28" s="47">
        <v>1</v>
      </c>
      <c r="I28" s="47" t="s">
        <v>53</v>
      </c>
      <c r="J28" s="48">
        <f t="shared" si="0"/>
        <v>100</v>
      </c>
    </row>
    <row r="29" spans="1:10" ht="21" customHeight="1" x14ac:dyDescent="0.15">
      <c r="A29" s="140">
        <v>50016502</v>
      </c>
      <c r="B29" s="138">
        <v>0</v>
      </c>
      <c r="C29" s="138" t="s">
        <v>256</v>
      </c>
      <c r="D29" s="138">
        <v>100</v>
      </c>
      <c r="E29" s="138" t="s">
        <v>53</v>
      </c>
      <c r="F29" s="138" t="s">
        <v>53</v>
      </c>
      <c r="G29" s="138">
        <v>1</v>
      </c>
      <c r="H29" s="138">
        <v>1</v>
      </c>
      <c r="I29" s="138" t="s">
        <v>53</v>
      </c>
      <c r="J29" s="139">
        <f t="shared" si="0"/>
        <v>100</v>
      </c>
    </row>
    <row r="30" spans="1:10" ht="21" customHeight="1" x14ac:dyDescent="0.15">
      <c r="A30" s="113">
        <v>50016503</v>
      </c>
      <c r="B30" s="47">
        <v>0</v>
      </c>
      <c r="C30" s="47" t="s">
        <v>256</v>
      </c>
      <c r="D30" s="47">
        <v>100</v>
      </c>
      <c r="E30" s="47" t="s">
        <v>53</v>
      </c>
      <c r="F30" s="47" t="s">
        <v>53</v>
      </c>
      <c r="G30" s="47">
        <v>1</v>
      </c>
      <c r="H30" s="47">
        <v>2</v>
      </c>
      <c r="I30" s="47" t="s">
        <v>53</v>
      </c>
      <c r="J30" s="48">
        <f t="shared" si="0"/>
        <v>100</v>
      </c>
    </row>
    <row r="31" spans="1:10" ht="21" customHeight="1" x14ac:dyDescent="0.15">
      <c r="A31" s="113">
        <v>50016504</v>
      </c>
      <c r="B31" s="47">
        <v>0</v>
      </c>
      <c r="C31" s="47" t="s">
        <v>256</v>
      </c>
      <c r="D31" s="47">
        <v>100</v>
      </c>
      <c r="E31" s="47" t="s">
        <v>53</v>
      </c>
      <c r="F31" s="47" t="s">
        <v>53</v>
      </c>
      <c r="G31" s="47">
        <v>1</v>
      </c>
      <c r="H31" s="47">
        <v>3</v>
      </c>
      <c r="I31" s="47" t="s">
        <v>53</v>
      </c>
      <c r="J31" s="48">
        <f t="shared" ref="J31:J65" si="1">D31</f>
        <v>100</v>
      </c>
    </row>
    <row r="32" spans="1:10" ht="21" customHeight="1" x14ac:dyDescent="0.15">
      <c r="A32" s="113">
        <v>50016505</v>
      </c>
      <c r="B32" s="47">
        <v>0</v>
      </c>
      <c r="C32" s="47" t="s">
        <v>256</v>
      </c>
      <c r="D32" s="47">
        <v>100</v>
      </c>
      <c r="E32" s="47" t="s">
        <v>53</v>
      </c>
      <c r="F32" s="47" t="s">
        <v>53</v>
      </c>
      <c r="G32" s="47">
        <v>1</v>
      </c>
      <c r="H32" s="47">
        <v>4</v>
      </c>
      <c r="I32" s="47" t="s">
        <v>53</v>
      </c>
      <c r="J32" s="48">
        <f t="shared" si="1"/>
        <v>100</v>
      </c>
    </row>
    <row r="33" spans="1:10" ht="21" customHeight="1" x14ac:dyDescent="0.15">
      <c r="A33" s="113">
        <v>50016506</v>
      </c>
      <c r="B33" s="47">
        <v>0</v>
      </c>
      <c r="C33" s="47" t="s">
        <v>256</v>
      </c>
      <c r="D33" s="47">
        <v>100</v>
      </c>
      <c r="E33" s="47" t="s">
        <v>53</v>
      </c>
      <c r="F33" s="47" t="s">
        <v>53</v>
      </c>
      <c r="G33" s="47">
        <v>1</v>
      </c>
      <c r="H33" s="47">
        <v>5</v>
      </c>
      <c r="I33" s="47" t="s">
        <v>53</v>
      </c>
      <c r="J33" s="48">
        <f t="shared" si="1"/>
        <v>100</v>
      </c>
    </row>
    <row r="34" spans="1:10" ht="21" customHeight="1" x14ac:dyDescent="0.15">
      <c r="A34" s="113">
        <v>50016507</v>
      </c>
      <c r="B34" s="47">
        <v>0</v>
      </c>
      <c r="C34" s="47" t="s">
        <v>256</v>
      </c>
      <c r="D34" s="47">
        <v>100</v>
      </c>
      <c r="E34" s="47" t="s">
        <v>53</v>
      </c>
      <c r="F34" s="47" t="s">
        <v>53</v>
      </c>
      <c r="G34" s="47">
        <v>1</v>
      </c>
      <c r="H34" s="47">
        <v>6</v>
      </c>
      <c r="I34" s="47" t="s">
        <v>53</v>
      </c>
      <c r="J34" s="48">
        <f t="shared" si="1"/>
        <v>100</v>
      </c>
    </row>
    <row r="35" spans="1:10" ht="21" customHeight="1" x14ac:dyDescent="0.15">
      <c r="A35" s="113">
        <v>50016508</v>
      </c>
      <c r="B35" s="47">
        <v>0</v>
      </c>
      <c r="C35" s="47" t="s">
        <v>256</v>
      </c>
      <c r="D35" s="47">
        <v>100</v>
      </c>
      <c r="E35" s="47" t="s">
        <v>53</v>
      </c>
      <c r="F35" s="47" t="s">
        <v>53</v>
      </c>
      <c r="G35" s="47">
        <v>1</v>
      </c>
      <c r="H35" s="47">
        <v>7</v>
      </c>
      <c r="I35" s="47" t="s">
        <v>53</v>
      </c>
      <c r="J35" s="48">
        <f t="shared" si="1"/>
        <v>100</v>
      </c>
    </row>
    <row r="36" spans="1:10" ht="21" customHeight="1" x14ac:dyDescent="0.15">
      <c r="A36" s="113">
        <v>50016509</v>
      </c>
      <c r="B36" s="47">
        <v>0</v>
      </c>
      <c r="C36" s="47" t="s">
        <v>256</v>
      </c>
      <c r="D36" s="47">
        <v>100</v>
      </c>
      <c r="E36" s="47" t="s">
        <v>53</v>
      </c>
      <c r="F36" s="47" t="s">
        <v>53</v>
      </c>
      <c r="G36" s="47">
        <v>1</v>
      </c>
      <c r="H36" s="47">
        <v>8</v>
      </c>
      <c r="I36" s="47" t="s">
        <v>53</v>
      </c>
      <c r="J36" s="48">
        <f t="shared" si="1"/>
        <v>100</v>
      </c>
    </row>
    <row r="37" spans="1:10" ht="21" customHeight="1" x14ac:dyDescent="0.15">
      <c r="A37" s="113">
        <v>50016602</v>
      </c>
      <c r="B37" s="114">
        <v>0</v>
      </c>
      <c r="C37" s="114">
        <v>100</v>
      </c>
      <c r="D37" s="114">
        <v>100</v>
      </c>
      <c r="E37" s="114" t="s">
        <v>53</v>
      </c>
      <c r="F37" s="114" t="s">
        <v>53</v>
      </c>
      <c r="G37" s="114" t="s">
        <v>53</v>
      </c>
      <c r="H37" s="114">
        <v>1</v>
      </c>
      <c r="I37" s="114" t="s">
        <v>53</v>
      </c>
      <c r="J37" s="48">
        <f t="shared" si="1"/>
        <v>100</v>
      </c>
    </row>
    <row r="38" spans="1:10" ht="21" customHeight="1" x14ac:dyDescent="0.15">
      <c r="A38" s="113">
        <v>50016603</v>
      </c>
      <c r="B38" s="114">
        <v>0</v>
      </c>
      <c r="C38" s="114">
        <v>300</v>
      </c>
      <c r="D38" s="114">
        <v>100</v>
      </c>
      <c r="E38" s="114" t="s">
        <v>53</v>
      </c>
      <c r="F38" s="114" t="s">
        <v>53</v>
      </c>
      <c r="G38" s="114" t="s">
        <v>53</v>
      </c>
      <c r="H38" s="114">
        <v>2</v>
      </c>
      <c r="I38" s="114" t="s">
        <v>53</v>
      </c>
      <c r="J38" s="48">
        <f t="shared" si="1"/>
        <v>100</v>
      </c>
    </row>
    <row r="39" spans="1:10" ht="21" customHeight="1" x14ac:dyDescent="0.15">
      <c r="A39" s="113">
        <v>50016604</v>
      </c>
      <c r="B39" s="114">
        <v>0</v>
      </c>
      <c r="C39" s="114">
        <v>200</v>
      </c>
      <c r="D39" s="114">
        <v>100</v>
      </c>
      <c r="E39" s="114" t="s">
        <v>53</v>
      </c>
      <c r="F39" s="114" t="s">
        <v>53</v>
      </c>
      <c r="G39" s="114" t="s">
        <v>53</v>
      </c>
      <c r="H39" s="114">
        <v>3</v>
      </c>
      <c r="I39" s="114" t="s">
        <v>53</v>
      </c>
      <c r="J39" s="48">
        <f t="shared" si="1"/>
        <v>100</v>
      </c>
    </row>
    <row r="40" spans="1:10" ht="21" customHeight="1" x14ac:dyDescent="0.15">
      <c r="A40" s="113">
        <v>50016605</v>
      </c>
      <c r="B40" s="114">
        <v>0</v>
      </c>
      <c r="C40" s="114">
        <v>400</v>
      </c>
      <c r="D40" s="114">
        <v>100</v>
      </c>
      <c r="E40" s="114" t="s">
        <v>53</v>
      </c>
      <c r="F40" s="114" t="s">
        <v>53</v>
      </c>
      <c r="G40" s="114" t="s">
        <v>53</v>
      </c>
      <c r="H40" s="114">
        <v>4</v>
      </c>
      <c r="I40" s="114" t="s">
        <v>53</v>
      </c>
      <c r="J40" s="48">
        <f t="shared" si="1"/>
        <v>100</v>
      </c>
    </row>
    <row r="41" spans="1:10" ht="21" customHeight="1" x14ac:dyDescent="0.15">
      <c r="A41" s="113">
        <v>50016606</v>
      </c>
      <c r="B41" s="114">
        <v>0</v>
      </c>
      <c r="C41" s="114">
        <v>500</v>
      </c>
      <c r="D41" s="114">
        <v>100</v>
      </c>
      <c r="E41" s="114" t="s">
        <v>53</v>
      </c>
      <c r="F41" s="114" t="s">
        <v>53</v>
      </c>
      <c r="G41" s="114" t="s">
        <v>53</v>
      </c>
      <c r="H41" s="114">
        <v>5</v>
      </c>
      <c r="I41" s="114" t="s">
        <v>53</v>
      </c>
      <c r="J41" s="48">
        <f t="shared" si="1"/>
        <v>100</v>
      </c>
    </row>
    <row r="42" spans="1:10" ht="21" customHeight="1" x14ac:dyDescent="0.15">
      <c r="A42" s="113">
        <v>50016607</v>
      </c>
      <c r="B42" s="114">
        <v>0</v>
      </c>
      <c r="C42" s="114">
        <v>800</v>
      </c>
      <c r="D42" s="114">
        <v>100</v>
      </c>
      <c r="E42" s="114" t="s">
        <v>53</v>
      </c>
      <c r="F42" s="114" t="s">
        <v>53</v>
      </c>
      <c r="G42" s="114">
        <v>1</v>
      </c>
      <c r="H42" s="114">
        <v>4</v>
      </c>
      <c r="I42" s="114" t="s">
        <v>53</v>
      </c>
      <c r="J42" s="48">
        <f t="shared" si="1"/>
        <v>100</v>
      </c>
    </row>
    <row r="43" spans="1:10" ht="21" customHeight="1" x14ac:dyDescent="0.15">
      <c r="A43" s="113">
        <v>50016608</v>
      </c>
      <c r="B43" s="114">
        <v>0</v>
      </c>
      <c r="C43" s="114">
        <v>801</v>
      </c>
      <c r="D43" s="114">
        <v>100</v>
      </c>
      <c r="E43" s="114" t="s">
        <v>53</v>
      </c>
      <c r="F43" s="114" t="s">
        <v>53</v>
      </c>
      <c r="G43" s="114">
        <v>1</v>
      </c>
      <c r="H43" s="114">
        <v>9</v>
      </c>
      <c r="I43" s="114" t="s">
        <v>53</v>
      </c>
      <c r="J43" s="48">
        <f t="shared" si="1"/>
        <v>100</v>
      </c>
    </row>
    <row r="44" spans="1:10" ht="21" customHeight="1" x14ac:dyDescent="0.15">
      <c r="A44" s="113">
        <v>50016702</v>
      </c>
      <c r="B44" s="117">
        <v>0</v>
      </c>
      <c r="C44" s="117">
        <v>102</v>
      </c>
      <c r="D44" s="117">
        <v>100</v>
      </c>
      <c r="E44" s="117" t="s">
        <v>53</v>
      </c>
      <c r="F44" s="117">
        <v>70</v>
      </c>
      <c r="G44" s="117">
        <v>1</v>
      </c>
      <c r="H44" s="117">
        <v>1</v>
      </c>
      <c r="I44" s="117" t="s">
        <v>53</v>
      </c>
      <c r="J44" s="48">
        <f t="shared" si="1"/>
        <v>100</v>
      </c>
    </row>
    <row r="45" spans="1:10" ht="21" customHeight="1" x14ac:dyDescent="0.15">
      <c r="A45" s="113">
        <v>50016703</v>
      </c>
      <c r="B45" s="117">
        <v>0</v>
      </c>
      <c r="C45" s="117">
        <v>101</v>
      </c>
      <c r="D45" s="117">
        <v>100</v>
      </c>
      <c r="E45" s="117" t="s">
        <v>53</v>
      </c>
      <c r="F45" s="117">
        <v>70</v>
      </c>
      <c r="G45" s="117">
        <v>1</v>
      </c>
      <c r="H45" s="117">
        <v>1</v>
      </c>
      <c r="I45" s="117" t="s">
        <v>53</v>
      </c>
      <c r="J45" s="48">
        <f t="shared" si="1"/>
        <v>100</v>
      </c>
    </row>
    <row r="46" spans="1:10" ht="21" customHeight="1" x14ac:dyDescent="0.15">
      <c r="A46" s="113">
        <v>50016704</v>
      </c>
      <c r="B46" s="117">
        <v>0</v>
      </c>
      <c r="C46" s="117">
        <v>200</v>
      </c>
      <c r="D46" s="117">
        <v>100</v>
      </c>
      <c r="E46" s="117">
        <v>70</v>
      </c>
      <c r="F46" s="117">
        <v>40</v>
      </c>
      <c r="G46" s="117">
        <v>1</v>
      </c>
      <c r="H46" s="117">
        <v>1</v>
      </c>
      <c r="I46" s="117" t="s">
        <v>53</v>
      </c>
      <c r="J46" s="48">
        <f t="shared" si="1"/>
        <v>100</v>
      </c>
    </row>
    <row r="47" spans="1:10" ht="21" customHeight="1" x14ac:dyDescent="0.15">
      <c r="A47" s="113">
        <v>50016705</v>
      </c>
      <c r="B47" s="117">
        <v>0</v>
      </c>
      <c r="C47" s="117">
        <v>300</v>
      </c>
      <c r="D47" s="117">
        <v>100</v>
      </c>
      <c r="E47" s="117">
        <v>40</v>
      </c>
      <c r="F47" s="117">
        <v>10</v>
      </c>
      <c r="G47" s="117">
        <v>1</v>
      </c>
      <c r="H47" s="117">
        <v>1</v>
      </c>
      <c r="I47" s="117" t="s">
        <v>53</v>
      </c>
      <c r="J47" s="48">
        <f t="shared" si="1"/>
        <v>100</v>
      </c>
    </row>
    <row r="48" spans="1:10" ht="21" customHeight="1" x14ac:dyDescent="0.15">
      <c r="A48" s="113">
        <v>50016706</v>
      </c>
      <c r="B48" s="117">
        <v>0</v>
      </c>
      <c r="C48" s="117">
        <v>400</v>
      </c>
      <c r="D48" s="117">
        <v>100</v>
      </c>
      <c r="E48" s="117">
        <v>10</v>
      </c>
      <c r="F48" s="117" t="s">
        <v>53</v>
      </c>
      <c r="G48" s="117">
        <v>1</v>
      </c>
      <c r="H48" s="117">
        <v>1</v>
      </c>
      <c r="I48" s="117" t="s">
        <v>53</v>
      </c>
      <c r="J48" s="48">
        <f t="shared" si="1"/>
        <v>100</v>
      </c>
    </row>
    <row r="49" spans="1:12" ht="21" customHeight="1" x14ac:dyDescent="0.15">
      <c r="A49" s="113">
        <v>50016707</v>
      </c>
      <c r="B49" s="117">
        <v>0</v>
      </c>
      <c r="C49" s="117">
        <v>100</v>
      </c>
      <c r="D49" s="117">
        <v>100</v>
      </c>
      <c r="E49" s="117" t="s">
        <v>257</v>
      </c>
      <c r="F49" s="117" t="s">
        <v>53</v>
      </c>
      <c r="G49" s="117" t="s">
        <v>53</v>
      </c>
      <c r="H49" s="117">
        <v>1</v>
      </c>
      <c r="I49" s="117" t="s">
        <v>53</v>
      </c>
      <c r="J49" s="48">
        <f t="shared" si="1"/>
        <v>100</v>
      </c>
    </row>
    <row r="50" spans="1:12" ht="21" customHeight="1" x14ac:dyDescent="0.15">
      <c r="A50" s="121">
        <v>50016900</v>
      </c>
      <c r="B50" s="47">
        <v>1</v>
      </c>
      <c r="C50" s="47">
        <v>900</v>
      </c>
      <c r="D50" s="47">
        <v>100</v>
      </c>
      <c r="E50" s="47" t="s">
        <v>53</v>
      </c>
      <c r="F50" s="47" t="s">
        <v>53</v>
      </c>
      <c r="G50" s="47">
        <v>1</v>
      </c>
      <c r="H50" s="47" t="s">
        <v>53</v>
      </c>
      <c r="I50" s="47" t="s">
        <v>53</v>
      </c>
      <c r="J50" s="48">
        <f t="shared" si="1"/>
        <v>100</v>
      </c>
    </row>
    <row r="51" spans="1:12" ht="21" customHeight="1" x14ac:dyDescent="0.15">
      <c r="A51" s="121">
        <v>50016901</v>
      </c>
      <c r="B51" s="47">
        <v>1</v>
      </c>
      <c r="C51" s="47">
        <v>901</v>
      </c>
      <c r="D51" s="47">
        <v>100</v>
      </c>
      <c r="E51" s="47" t="s">
        <v>53</v>
      </c>
      <c r="F51" s="47" t="s">
        <v>53</v>
      </c>
      <c r="G51" s="47">
        <v>1</v>
      </c>
      <c r="H51" s="47" t="s">
        <v>53</v>
      </c>
      <c r="I51" s="47">
        <v>656</v>
      </c>
      <c r="J51" s="48">
        <f t="shared" si="1"/>
        <v>100</v>
      </c>
      <c r="K51" s="45" t="s">
        <v>355</v>
      </c>
      <c r="L51" s="45" t="s">
        <v>356</v>
      </c>
    </row>
    <row r="52" spans="1:12" ht="21" customHeight="1" x14ac:dyDescent="0.15">
      <c r="A52" s="121">
        <v>50016902</v>
      </c>
      <c r="B52" s="47">
        <v>1</v>
      </c>
      <c r="C52" s="47">
        <v>902</v>
      </c>
      <c r="D52" s="47">
        <v>100</v>
      </c>
      <c r="E52" s="47" t="s">
        <v>53</v>
      </c>
      <c r="F52" s="47" t="s">
        <v>53</v>
      </c>
      <c r="G52" s="47">
        <v>1</v>
      </c>
      <c r="H52" s="47" t="s">
        <v>53</v>
      </c>
      <c r="I52" s="47">
        <v>657</v>
      </c>
      <c r="J52" s="48">
        <f t="shared" si="1"/>
        <v>100</v>
      </c>
      <c r="K52" s="45" t="s">
        <v>355</v>
      </c>
      <c r="L52" s="45" t="s">
        <v>357</v>
      </c>
    </row>
    <row r="53" spans="1:12" ht="21" customHeight="1" x14ac:dyDescent="0.15">
      <c r="A53" s="121">
        <v>50016903</v>
      </c>
      <c r="B53" s="47">
        <v>1</v>
      </c>
      <c r="C53" s="47">
        <v>903</v>
      </c>
      <c r="D53" s="47">
        <v>100</v>
      </c>
      <c r="E53" s="47" t="s">
        <v>53</v>
      </c>
      <c r="F53" s="47" t="s">
        <v>53</v>
      </c>
      <c r="G53" s="47">
        <v>1</v>
      </c>
      <c r="H53" s="47" t="s">
        <v>53</v>
      </c>
      <c r="I53" s="47">
        <v>834</v>
      </c>
      <c r="J53" s="48">
        <f t="shared" si="1"/>
        <v>100</v>
      </c>
      <c r="K53" s="45" t="s">
        <v>355</v>
      </c>
      <c r="L53" s="45" t="s">
        <v>358</v>
      </c>
    </row>
    <row r="54" spans="1:12" ht="21" customHeight="1" x14ac:dyDescent="0.15">
      <c r="A54" s="121">
        <v>50016904</v>
      </c>
      <c r="B54" s="47">
        <v>1</v>
      </c>
      <c r="C54" s="47">
        <v>904</v>
      </c>
      <c r="D54" s="47">
        <v>100</v>
      </c>
      <c r="E54" s="47" t="s">
        <v>53</v>
      </c>
      <c r="F54" s="47" t="s">
        <v>53</v>
      </c>
      <c r="G54" s="47">
        <v>1</v>
      </c>
      <c r="H54" s="47" t="s">
        <v>53</v>
      </c>
      <c r="I54" s="47">
        <v>1379</v>
      </c>
      <c r="J54" s="48">
        <f t="shared" ref="J54:J57" si="2">D54</f>
        <v>100</v>
      </c>
      <c r="K54" s="45" t="s">
        <v>259</v>
      </c>
      <c r="L54" s="45" t="s">
        <v>261</v>
      </c>
    </row>
    <row r="55" spans="1:12" ht="21" customHeight="1" x14ac:dyDescent="0.15">
      <c r="A55" s="121">
        <v>50016905</v>
      </c>
      <c r="B55" s="47">
        <v>1</v>
      </c>
      <c r="C55" s="47">
        <v>905</v>
      </c>
      <c r="D55" s="47">
        <v>100</v>
      </c>
      <c r="E55" s="47" t="s">
        <v>53</v>
      </c>
      <c r="F55" s="47" t="s">
        <v>53</v>
      </c>
      <c r="G55" s="47">
        <v>1</v>
      </c>
      <c r="H55" s="47" t="s">
        <v>53</v>
      </c>
      <c r="I55" s="47">
        <v>1380</v>
      </c>
      <c r="J55" s="48">
        <f t="shared" si="2"/>
        <v>100</v>
      </c>
      <c r="K55" s="45" t="s">
        <v>259</v>
      </c>
      <c r="L55" s="45" t="s">
        <v>260</v>
      </c>
    </row>
    <row r="56" spans="1:12" ht="21" customHeight="1" x14ac:dyDescent="0.15">
      <c r="A56" s="121">
        <v>50016906</v>
      </c>
      <c r="B56" s="47">
        <v>1</v>
      </c>
      <c r="C56" s="47">
        <v>906</v>
      </c>
      <c r="D56" s="47">
        <v>100</v>
      </c>
      <c r="E56" s="47" t="s">
        <v>53</v>
      </c>
      <c r="F56" s="47" t="s">
        <v>53</v>
      </c>
      <c r="G56" s="47">
        <v>1</v>
      </c>
      <c r="H56" s="47" t="s">
        <v>53</v>
      </c>
      <c r="I56" s="47">
        <v>1448</v>
      </c>
      <c r="J56" s="48">
        <f t="shared" si="2"/>
        <v>100</v>
      </c>
      <c r="K56" s="45" t="s">
        <v>258</v>
      </c>
      <c r="L56" s="45" t="s">
        <v>261</v>
      </c>
    </row>
    <row r="57" spans="1:12" ht="21" customHeight="1" x14ac:dyDescent="0.15">
      <c r="A57" s="121">
        <v>50016907</v>
      </c>
      <c r="B57" s="47">
        <v>1</v>
      </c>
      <c r="C57" s="47">
        <v>907</v>
      </c>
      <c r="D57" s="47">
        <v>100</v>
      </c>
      <c r="E57" s="47" t="s">
        <v>53</v>
      </c>
      <c r="F57" s="47" t="s">
        <v>53</v>
      </c>
      <c r="G57" s="47">
        <v>1</v>
      </c>
      <c r="H57" s="47" t="s">
        <v>53</v>
      </c>
      <c r="I57" s="47">
        <v>1449</v>
      </c>
      <c r="J57" s="48">
        <f t="shared" si="2"/>
        <v>100</v>
      </c>
      <c r="K57" s="45" t="s">
        <v>258</v>
      </c>
      <c r="L57" s="45" t="s">
        <v>261</v>
      </c>
    </row>
    <row r="58" spans="1:12" ht="21" customHeight="1" x14ac:dyDescent="0.15">
      <c r="A58" s="126">
        <v>50016950</v>
      </c>
      <c r="B58" s="47">
        <v>0</v>
      </c>
      <c r="C58" s="47">
        <v>950</v>
      </c>
      <c r="D58" s="47">
        <v>100</v>
      </c>
      <c r="E58" s="47" t="s">
        <v>53</v>
      </c>
      <c r="F58" s="47" t="s">
        <v>53</v>
      </c>
      <c r="G58" s="47">
        <v>0</v>
      </c>
      <c r="H58" s="47" t="s">
        <v>53</v>
      </c>
      <c r="I58" s="47">
        <v>0</v>
      </c>
      <c r="J58" s="48">
        <f t="shared" si="1"/>
        <v>100</v>
      </c>
    </row>
    <row r="59" spans="1:12" ht="21" customHeight="1" x14ac:dyDescent="0.15">
      <c r="A59" s="126">
        <v>50016951</v>
      </c>
      <c r="B59" s="47">
        <v>0</v>
      </c>
      <c r="C59" s="47">
        <v>951</v>
      </c>
      <c r="D59" s="47">
        <v>100</v>
      </c>
      <c r="E59" s="47" t="s">
        <v>53</v>
      </c>
      <c r="F59" s="47" t="s">
        <v>53</v>
      </c>
      <c r="G59" s="47">
        <v>0</v>
      </c>
      <c r="H59" s="47" t="s">
        <v>53</v>
      </c>
      <c r="I59" s="47">
        <v>656</v>
      </c>
      <c r="J59" s="48">
        <f t="shared" ref="J59:J61" si="3">D59</f>
        <v>100</v>
      </c>
      <c r="K59" s="45" t="s">
        <v>322</v>
      </c>
      <c r="L59" s="45" t="s">
        <v>356</v>
      </c>
    </row>
    <row r="60" spans="1:12" ht="21" customHeight="1" x14ac:dyDescent="0.15">
      <c r="A60" s="126">
        <v>50016952</v>
      </c>
      <c r="B60" s="47">
        <v>0</v>
      </c>
      <c r="C60" s="47">
        <v>952</v>
      </c>
      <c r="D60" s="47">
        <v>100</v>
      </c>
      <c r="E60" s="47" t="s">
        <v>53</v>
      </c>
      <c r="F60" s="47" t="s">
        <v>53</v>
      </c>
      <c r="G60" s="47">
        <v>0</v>
      </c>
      <c r="H60" s="47" t="s">
        <v>53</v>
      </c>
      <c r="I60" s="47">
        <v>657</v>
      </c>
      <c r="J60" s="48">
        <f t="shared" si="3"/>
        <v>100</v>
      </c>
      <c r="K60" s="45" t="s">
        <v>322</v>
      </c>
      <c r="L60" s="45" t="s">
        <v>357</v>
      </c>
    </row>
    <row r="61" spans="1:12" ht="21" customHeight="1" x14ac:dyDescent="0.15">
      <c r="A61" s="126">
        <v>50016953</v>
      </c>
      <c r="B61" s="47">
        <v>0</v>
      </c>
      <c r="C61" s="47">
        <v>953</v>
      </c>
      <c r="D61" s="47">
        <v>100</v>
      </c>
      <c r="E61" s="47" t="s">
        <v>53</v>
      </c>
      <c r="F61" s="47" t="s">
        <v>53</v>
      </c>
      <c r="G61" s="47">
        <v>0</v>
      </c>
      <c r="H61" s="47" t="s">
        <v>53</v>
      </c>
      <c r="I61" s="47">
        <v>834</v>
      </c>
      <c r="J61" s="48">
        <f t="shared" si="3"/>
        <v>100</v>
      </c>
      <c r="K61" s="45" t="s">
        <v>322</v>
      </c>
      <c r="L61" s="45" t="s">
        <v>261</v>
      </c>
    </row>
    <row r="62" spans="1:12" ht="21" customHeight="1" x14ac:dyDescent="0.15">
      <c r="A62" s="126">
        <v>50016954</v>
      </c>
      <c r="B62" s="47">
        <v>0</v>
      </c>
      <c r="C62" s="47">
        <v>954</v>
      </c>
      <c r="D62" s="47">
        <v>100</v>
      </c>
      <c r="E62" s="47" t="s">
        <v>53</v>
      </c>
      <c r="F62" s="47" t="s">
        <v>53</v>
      </c>
      <c r="G62" s="47">
        <v>0</v>
      </c>
      <c r="H62" s="47" t="s">
        <v>53</v>
      </c>
      <c r="I62" s="47">
        <v>1379</v>
      </c>
      <c r="J62" s="48">
        <f t="shared" si="1"/>
        <v>100</v>
      </c>
      <c r="K62" s="45" t="s">
        <v>259</v>
      </c>
      <c r="L62" s="45" t="s">
        <v>260</v>
      </c>
    </row>
    <row r="63" spans="1:12" ht="21" customHeight="1" x14ac:dyDescent="0.15">
      <c r="A63" s="126">
        <v>50016955</v>
      </c>
      <c r="B63" s="47">
        <v>0</v>
      </c>
      <c r="C63" s="47">
        <v>955</v>
      </c>
      <c r="D63" s="47">
        <v>100</v>
      </c>
      <c r="E63" s="47" t="s">
        <v>53</v>
      </c>
      <c r="F63" s="47" t="s">
        <v>53</v>
      </c>
      <c r="G63" s="47">
        <v>0</v>
      </c>
      <c r="H63" s="47" t="s">
        <v>53</v>
      </c>
      <c r="I63" s="47">
        <v>1380</v>
      </c>
      <c r="J63" s="48">
        <f t="shared" si="1"/>
        <v>100</v>
      </c>
      <c r="K63" s="45" t="s">
        <v>259</v>
      </c>
      <c r="L63" s="45" t="s">
        <v>261</v>
      </c>
    </row>
    <row r="64" spans="1:12" ht="21" customHeight="1" x14ac:dyDescent="0.15">
      <c r="A64" s="126">
        <v>50016956</v>
      </c>
      <c r="B64" s="47">
        <v>0</v>
      </c>
      <c r="C64" s="47">
        <v>956</v>
      </c>
      <c r="D64" s="47">
        <v>100</v>
      </c>
      <c r="E64" s="47" t="s">
        <v>53</v>
      </c>
      <c r="F64" s="47" t="s">
        <v>53</v>
      </c>
      <c r="G64" s="47">
        <v>0</v>
      </c>
      <c r="H64" s="47" t="s">
        <v>53</v>
      </c>
      <c r="I64" s="47">
        <v>1448</v>
      </c>
      <c r="J64" s="48">
        <f t="shared" si="1"/>
        <v>100</v>
      </c>
      <c r="K64" s="45" t="s">
        <v>258</v>
      </c>
      <c r="L64" s="45" t="s">
        <v>260</v>
      </c>
    </row>
    <row r="65" spans="1:12" ht="21" customHeight="1" x14ac:dyDescent="0.15">
      <c r="A65" s="126">
        <v>50016957</v>
      </c>
      <c r="B65" s="47">
        <v>0</v>
      </c>
      <c r="C65" s="47">
        <v>957</v>
      </c>
      <c r="D65" s="47">
        <v>100</v>
      </c>
      <c r="E65" s="47" t="s">
        <v>53</v>
      </c>
      <c r="F65" s="47" t="s">
        <v>53</v>
      </c>
      <c r="G65" s="47">
        <v>0</v>
      </c>
      <c r="H65" s="47" t="s">
        <v>53</v>
      </c>
      <c r="I65" s="47">
        <v>1449</v>
      </c>
      <c r="J65" s="48">
        <f t="shared" si="1"/>
        <v>100</v>
      </c>
      <c r="K65" s="45" t="s">
        <v>258</v>
      </c>
      <c r="L65" s="45" t="s">
        <v>261</v>
      </c>
    </row>
  </sheetData>
  <autoFilter ref="A1:G1"/>
  <sortState ref="C62:C65">
    <sortCondition descending="1" ref="C62"/>
  </sortState>
  <phoneticPr fontId="5"/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R15"/>
  <sheetViews>
    <sheetView workbookViewId="0">
      <selection activeCell="H13" sqref="H13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2" t="s">
        <v>148</v>
      </c>
      <c r="B1" s="62" t="s">
        <v>149</v>
      </c>
      <c r="C1" s="63" t="s">
        <v>150</v>
      </c>
      <c r="D1" s="70" t="s">
        <v>151</v>
      </c>
      <c r="E1" s="64" t="s">
        <v>152</v>
      </c>
      <c r="F1" s="62" t="s">
        <v>153</v>
      </c>
      <c r="G1" s="62" t="s">
        <v>154</v>
      </c>
      <c r="H1" s="62" t="s">
        <v>155</v>
      </c>
      <c r="I1" s="62" t="s">
        <v>156</v>
      </c>
      <c r="J1" s="62" t="s">
        <v>157</v>
      </c>
      <c r="K1" s="62" t="s">
        <v>158</v>
      </c>
      <c r="L1" s="62" t="s">
        <v>159</v>
      </c>
      <c r="M1" s="62" t="s">
        <v>160</v>
      </c>
      <c r="N1" s="62" t="s">
        <v>161</v>
      </c>
      <c r="O1" s="62" t="s">
        <v>162</v>
      </c>
      <c r="P1" s="62" t="s">
        <v>163</v>
      </c>
      <c r="Q1" s="62" t="s">
        <v>164</v>
      </c>
      <c r="R1" s="62" t="s">
        <v>165</v>
      </c>
    </row>
    <row r="2" spans="1:18" x14ac:dyDescent="0.15">
      <c r="A2" s="56">
        <v>50016</v>
      </c>
      <c r="B2" s="56">
        <v>1</v>
      </c>
      <c r="C2" s="69" t="str">
        <f>A2&amp; "_"&amp;B2</f>
        <v>50016_1</v>
      </c>
      <c r="D2" s="11" t="str">
        <f ca="1">VLOOKUP($C2,OFFSET([2]stages!$A$1,0,0,COUNTA([2]stages!$A:$A),MATCH(D$1,[2]stages!$2:$2,0)-MATCH($C$1,[2]stages!$2:$2,0)+1),MATCH(D$1,[2]stages!$2:$2,0)-MATCH($C$1,[2]stages!$2:$2,0)+1,FALSE)</f>
        <v>everyone</v>
      </c>
      <c r="E2" s="56">
        <v>1</v>
      </c>
      <c r="F2" s="56" t="s">
        <v>166</v>
      </c>
      <c r="G2" s="56">
        <v>65000</v>
      </c>
      <c r="H2" s="56" t="s">
        <v>167</v>
      </c>
      <c r="I2" s="56">
        <v>1</v>
      </c>
      <c r="J2" s="56">
        <v>1</v>
      </c>
      <c r="K2" s="56">
        <v>0</v>
      </c>
      <c r="L2" s="56">
        <v>0</v>
      </c>
      <c r="M2" s="56">
        <v>0</v>
      </c>
      <c r="N2" s="56">
        <v>0</v>
      </c>
      <c r="O2" s="56">
        <v>1</v>
      </c>
      <c r="P2" s="56">
        <v>50</v>
      </c>
      <c r="Q2" s="56" t="s">
        <v>168</v>
      </c>
      <c r="R2" s="56" t="s">
        <v>169</v>
      </c>
    </row>
    <row r="3" spans="1:18" x14ac:dyDescent="0.15">
      <c r="A3" s="56">
        <v>50016</v>
      </c>
      <c r="B3" s="56">
        <v>1</v>
      </c>
      <c r="C3" s="69" t="str">
        <f t="shared" ref="C3:C14" si="0">A3&amp; "_"&amp;B3</f>
        <v>50016_1</v>
      </c>
      <c r="D3" s="11" t="str">
        <f ca="1">VLOOKUP($C3,OFFSET([2]stages!$A$1,0,0,COUNTA([2]stages!$A:$A),MATCH(D$1,[2]stages!$2:$2,0)-MATCH($C$1,[2]stages!$2:$2,0)+1),MATCH(D$1,[2]stages!$2:$2,0)-MATCH($C$1,[2]stages!$2:$2,0)+1,FALSE)</f>
        <v>everyone</v>
      </c>
      <c r="E3" s="56">
        <v>2</v>
      </c>
      <c r="F3" s="56" t="s">
        <v>254</v>
      </c>
      <c r="G3" s="56">
        <v>335</v>
      </c>
      <c r="H3" s="56">
        <v>1</v>
      </c>
      <c r="I3" s="56">
        <v>1</v>
      </c>
      <c r="J3" s="56">
        <v>1</v>
      </c>
      <c r="K3" s="56">
        <v>0</v>
      </c>
      <c r="L3" s="56">
        <v>0</v>
      </c>
      <c r="M3" s="56">
        <v>0</v>
      </c>
      <c r="N3" s="56">
        <v>0</v>
      </c>
      <c r="O3" s="56">
        <v>1</v>
      </c>
      <c r="P3" s="56">
        <v>250</v>
      </c>
      <c r="Q3" s="56" t="s">
        <v>168</v>
      </c>
      <c r="R3" s="56" t="s">
        <v>169</v>
      </c>
    </row>
    <row r="4" spans="1:18" x14ac:dyDescent="0.15">
      <c r="A4" s="56">
        <v>50016</v>
      </c>
      <c r="B4" s="56">
        <v>1</v>
      </c>
      <c r="C4" s="69" t="str">
        <f t="shared" si="0"/>
        <v>50016_1</v>
      </c>
      <c r="D4" s="11" t="str">
        <f ca="1">VLOOKUP($C4,OFFSET([2]stages!$A$1,0,0,COUNTA([2]stages!$A:$A),MATCH(D$1,[2]stages!$2:$2,0)-MATCH($C$1,[2]stages!$2:$2,0)+1),MATCH(D$1,[2]stages!$2:$2,0)-MATCH($C$1,[2]stages!$2:$2,0)+1,FALSE)</f>
        <v>everyone</v>
      </c>
      <c r="E4" s="56">
        <v>3</v>
      </c>
      <c r="F4" s="56" t="s">
        <v>254</v>
      </c>
      <c r="G4" s="56">
        <v>349</v>
      </c>
      <c r="H4" s="56">
        <v>1</v>
      </c>
      <c r="I4" s="56">
        <v>1</v>
      </c>
      <c r="J4" s="56">
        <v>1</v>
      </c>
      <c r="K4" s="56">
        <v>0</v>
      </c>
      <c r="L4" s="56">
        <v>0</v>
      </c>
      <c r="M4" s="56">
        <v>0</v>
      </c>
      <c r="N4" s="56">
        <v>0</v>
      </c>
      <c r="O4" s="56">
        <v>1</v>
      </c>
      <c r="P4" s="56">
        <v>50</v>
      </c>
      <c r="Q4" s="56" t="s">
        <v>168</v>
      </c>
      <c r="R4" s="56" t="s">
        <v>169</v>
      </c>
    </row>
    <row r="5" spans="1:18" x14ac:dyDescent="0.15">
      <c r="A5" s="56">
        <v>50016</v>
      </c>
      <c r="B5" s="56">
        <v>1</v>
      </c>
      <c r="C5" s="69" t="str">
        <f t="shared" si="0"/>
        <v>50016_1</v>
      </c>
      <c r="D5" s="11" t="str">
        <f ca="1">VLOOKUP($C5,OFFSET([2]stages!$A$1,0,0,COUNTA([2]stages!$A:$A),MATCH(D$1,[2]stages!$2:$2,0)-MATCH($C$1,[2]stages!$2:$2,0)+1),MATCH(D$1,[2]stages!$2:$2,0)-MATCH($C$1,[2]stages!$2:$2,0)+1,FALSE)</f>
        <v>everyone</v>
      </c>
      <c r="E5" s="56">
        <v>4</v>
      </c>
      <c r="F5" s="56" t="s">
        <v>254</v>
      </c>
      <c r="G5" s="56">
        <v>125</v>
      </c>
      <c r="H5" s="56">
        <v>1</v>
      </c>
      <c r="I5" s="56">
        <v>1</v>
      </c>
      <c r="J5" s="56">
        <v>1</v>
      </c>
      <c r="K5" s="56">
        <v>0</v>
      </c>
      <c r="L5" s="56">
        <v>0</v>
      </c>
      <c r="M5" s="56">
        <v>0</v>
      </c>
      <c r="N5" s="56">
        <v>0</v>
      </c>
      <c r="O5" s="56">
        <v>1</v>
      </c>
      <c r="P5" s="56">
        <v>30</v>
      </c>
      <c r="Q5" s="56" t="s">
        <v>168</v>
      </c>
      <c r="R5" s="56" t="s">
        <v>169</v>
      </c>
    </row>
    <row r="6" spans="1:18" x14ac:dyDescent="0.15">
      <c r="A6" s="56">
        <v>50016</v>
      </c>
      <c r="B6" s="56">
        <v>1</v>
      </c>
      <c r="C6" s="69" t="str">
        <f t="shared" si="0"/>
        <v>50016_1</v>
      </c>
      <c r="D6" s="11" t="str">
        <f ca="1">VLOOKUP($C6,OFFSET([2]stages!$A$1,0,0,COUNTA([2]stages!$A:$A),MATCH(D$1,[2]stages!$2:$2,0)-MATCH($C$1,[2]stages!$2:$2,0)+1),MATCH(D$1,[2]stages!$2:$2,0)-MATCH($C$1,[2]stages!$2:$2,0)+1,FALSE)</f>
        <v>everyone</v>
      </c>
      <c r="E6" s="56">
        <v>5</v>
      </c>
      <c r="F6" s="56" t="s">
        <v>254</v>
      </c>
      <c r="G6" s="56">
        <v>607</v>
      </c>
      <c r="H6" s="56">
        <v>1</v>
      </c>
      <c r="I6" s="56">
        <v>1</v>
      </c>
      <c r="J6" s="56">
        <v>1</v>
      </c>
      <c r="K6" s="56">
        <v>0</v>
      </c>
      <c r="L6" s="56">
        <v>0</v>
      </c>
      <c r="M6" s="56">
        <v>0</v>
      </c>
      <c r="N6" s="56">
        <v>0</v>
      </c>
      <c r="O6" s="56">
        <v>1</v>
      </c>
      <c r="P6" s="56">
        <v>80</v>
      </c>
      <c r="Q6" s="56" t="s">
        <v>168</v>
      </c>
      <c r="R6" s="56" t="s">
        <v>169</v>
      </c>
    </row>
    <row r="7" spans="1:18" x14ac:dyDescent="0.15">
      <c r="A7" s="56">
        <v>50016</v>
      </c>
      <c r="B7" s="56">
        <v>1</v>
      </c>
      <c r="C7" s="69" t="str">
        <f t="shared" si="0"/>
        <v>50016_1</v>
      </c>
      <c r="D7" s="11" t="str">
        <f ca="1">VLOOKUP($C7,OFFSET([2]stages!$A$1,0,0,COUNTA([2]stages!$A:$A),MATCH(D$1,[2]stages!$2:$2,0)-MATCH($C$1,[2]stages!$2:$2,0)+1),MATCH(D$1,[2]stages!$2:$2,0)-MATCH($C$1,[2]stages!$2:$2,0)+1,FALSE)</f>
        <v>everyone</v>
      </c>
      <c r="E7" s="56">
        <v>6</v>
      </c>
      <c r="F7" s="56" t="s">
        <v>254</v>
      </c>
      <c r="G7" s="56">
        <v>608</v>
      </c>
      <c r="H7" s="56">
        <v>1</v>
      </c>
      <c r="I7" s="56">
        <v>1</v>
      </c>
      <c r="J7" s="56">
        <v>1</v>
      </c>
      <c r="K7" s="56">
        <v>0</v>
      </c>
      <c r="L7" s="56">
        <v>0</v>
      </c>
      <c r="M7" s="56">
        <v>0</v>
      </c>
      <c r="N7" s="56">
        <v>0</v>
      </c>
      <c r="O7" s="56">
        <v>1</v>
      </c>
      <c r="P7" s="56">
        <v>80</v>
      </c>
      <c r="Q7" s="56" t="s">
        <v>168</v>
      </c>
      <c r="R7" s="56" t="s">
        <v>169</v>
      </c>
    </row>
    <row r="8" spans="1:18" x14ac:dyDescent="0.15">
      <c r="A8" s="56">
        <v>50016</v>
      </c>
      <c r="B8" s="56">
        <v>1</v>
      </c>
      <c r="C8" s="69" t="str">
        <f t="shared" si="0"/>
        <v>50016_1</v>
      </c>
      <c r="D8" s="11" t="str">
        <f ca="1">VLOOKUP($C8,OFFSET([2]stages!$A$1,0,0,COUNTA([2]stages!$A:$A),MATCH(D$1,[2]stages!$2:$2,0)-MATCH($C$1,[2]stages!$2:$2,0)+1),MATCH(D$1,[2]stages!$2:$2,0)-MATCH($C$1,[2]stages!$2:$2,0)+1,FALSE)</f>
        <v>everyone</v>
      </c>
      <c r="E8" s="56">
        <v>7</v>
      </c>
      <c r="F8" s="56" t="s">
        <v>254</v>
      </c>
      <c r="G8" s="56">
        <v>609</v>
      </c>
      <c r="H8" s="56">
        <v>1</v>
      </c>
      <c r="I8" s="56">
        <v>1</v>
      </c>
      <c r="J8" s="56">
        <v>1</v>
      </c>
      <c r="K8" s="56">
        <v>0</v>
      </c>
      <c r="L8" s="56">
        <v>0</v>
      </c>
      <c r="M8" s="56">
        <v>0</v>
      </c>
      <c r="N8" s="56">
        <v>0</v>
      </c>
      <c r="O8" s="56">
        <v>1</v>
      </c>
      <c r="P8" s="56">
        <v>80</v>
      </c>
      <c r="Q8" s="56" t="s">
        <v>168</v>
      </c>
      <c r="R8" s="56" t="s">
        <v>169</v>
      </c>
    </row>
    <row r="9" spans="1:18" x14ac:dyDescent="0.15">
      <c r="A9" s="56">
        <v>50016</v>
      </c>
      <c r="B9" s="56">
        <v>1</v>
      </c>
      <c r="C9" s="69" t="str">
        <f t="shared" si="0"/>
        <v>50016_1</v>
      </c>
      <c r="D9" s="11" t="str">
        <f ca="1">VLOOKUP($C9,OFFSET([2]stages!$A$1,0,0,COUNTA([2]stages!$A:$A),MATCH(D$1,[2]stages!$2:$2,0)-MATCH($C$1,[2]stages!$2:$2,0)+1),MATCH(D$1,[2]stages!$2:$2,0)-MATCH($C$1,[2]stages!$2:$2,0)+1,FALSE)</f>
        <v>everyone</v>
      </c>
      <c r="E9" s="56">
        <v>8</v>
      </c>
      <c r="F9" s="56" t="s">
        <v>254</v>
      </c>
      <c r="G9" s="56">
        <v>610</v>
      </c>
      <c r="H9" s="56">
        <v>1</v>
      </c>
      <c r="I9" s="56">
        <v>1</v>
      </c>
      <c r="J9" s="56">
        <v>1</v>
      </c>
      <c r="K9" s="56">
        <v>0</v>
      </c>
      <c r="L9" s="56">
        <v>0</v>
      </c>
      <c r="M9" s="56">
        <v>0</v>
      </c>
      <c r="N9" s="56">
        <v>0</v>
      </c>
      <c r="O9" s="56">
        <v>1</v>
      </c>
      <c r="P9" s="56">
        <v>20</v>
      </c>
      <c r="Q9" s="56" t="s">
        <v>168</v>
      </c>
      <c r="R9" s="56" t="s">
        <v>169</v>
      </c>
    </row>
    <row r="10" spans="1:18" x14ac:dyDescent="0.15">
      <c r="A10" s="56">
        <v>50016</v>
      </c>
      <c r="B10" s="56">
        <v>1</v>
      </c>
      <c r="C10" s="69" t="str">
        <f t="shared" si="0"/>
        <v>50016_1</v>
      </c>
      <c r="D10" s="11" t="str">
        <f ca="1">VLOOKUP($C10,OFFSET([2]stages!$A$1,0,0,COUNTA([2]stages!$A:$A),MATCH(D$1,[2]stages!$2:$2,0)-MATCH($C$1,[2]stages!$2:$2,0)+1),MATCH(D$1,[2]stages!$2:$2,0)-MATCH($C$1,[2]stages!$2:$2,0)+1,FALSE)</f>
        <v>everyone</v>
      </c>
      <c r="E10" s="56">
        <v>9</v>
      </c>
      <c r="F10" s="56" t="s">
        <v>254</v>
      </c>
      <c r="G10" s="56">
        <v>611</v>
      </c>
      <c r="H10" s="56">
        <v>1</v>
      </c>
      <c r="I10" s="56">
        <v>1</v>
      </c>
      <c r="J10" s="56">
        <v>1</v>
      </c>
      <c r="K10" s="56">
        <v>0</v>
      </c>
      <c r="L10" s="56">
        <v>0</v>
      </c>
      <c r="M10" s="56">
        <v>0</v>
      </c>
      <c r="N10" s="56">
        <v>0</v>
      </c>
      <c r="O10" s="56">
        <v>1</v>
      </c>
      <c r="P10" s="56">
        <v>30</v>
      </c>
      <c r="Q10" s="56" t="s">
        <v>168</v>
      </c>
      <c r="R10" s="56" t="s">
        <v>169</v>
      </c>
    </row>
    <row r="11" spans="1:18" x14ac:dyDescent="0.15">
      <c r="A11" s="56">
        <v>50016</v>
      </c>
      <c r="B11" s="56">
        <v>1</v>
      </c>
      <c r="C11" s="69" t="str">
        <f t="shared" si="0"/>
        <v>50016_1</v>
      </c>
      <c r="D11" s="11" t="str">
        <f ca="1">VLOOKUP($C11,OFFSET([2]stages!$A$1,0,0,COUNTA([2]stages!$A:$A),MATCH(D$1,[2]stages!$2:$2,0)-MATCH($C$1,[2]stages!$2:$2,0)+1),MATCH(D$1,[2]stages!$2:$2,0)-MATCH($C$1,[2]stages!$2:$2,0)+1,FALSE)</f>
        <v>everyone</v>
      </c>
      <c r="E11" s="56">
        <v>10</v>
      </c>
      <c r="F11" s="56" t="s">
        <v>254</v>
      </c>
      <c r="G11" s="56">
        <v>612</v>
      </c>
      <c r="H11" s="56">
        <v>1</v>
      </c>
      <c r="I11" s="56">
        <v>1</v>
      </c>
      <c r="J11" s="56">
        <v>1</v>
      </c>
      <c r="K11" s="56">
        <v>0</v>
      </c>
      <c r="L11" s="56">
        <v>0</v>
      </c>
      <c r="M11" s="56">
        <v>0</v>
      </c>
      <c r="N11" s="56">
        <v>0</v>
      </c>
      <c r="O11" s="56">
        <v>1</v>
      </c>
      <c r="P11" s="56">
        <v>30</v>
      </c>
      <c r="Q11" s="56" t="s">
        <v>168</v>
      </c>
      <c r="R11" s="56" t="s">
        <v>169</v>
      </c>
    </row>
    <row r="12" spans="1:18" x14ac:dyDescent="0.15">
      <c r="A12" s="56">
        <v>50016</v>
      </c>
      <c r="B12" s="56">
        <v>1</v>
      </c>
      <c r="C12" s="69" t="str">
        <f t="shared" si="0"/>
        <v>50016_1</v>
      </c>
      <c r="D12" s="11" t="str">
        <f ca="1">VLOOKUP($C12,OFFSET([2]stages!$A$1,0,0,COUNTA([2]stages!$A:$A),MATCH(D$1,[2]stages!$2:$2,0)-MATCH($C$1,[2]stages!$2:$2,0)+1),MATCH(D$1,[2]stages!$2:$2,0)-MATCH($C$1,[2]stages!$2:$2,0)+1,FALSE)</f>
        <v>everyone</v>
      </c>
      <c r="E12" s="56">
        <v>11</v>
      </c>
      <c r="F12" s="56" t="s">
        <v>254</v>
      </c>
      <c r="G12" s="56">
        <v>613</v>
      </c>
      <c r="H12" s="56">
        <v>1</v>
      </c>
      <c r="I12" s="56">
        <v>1</v>
      </c>
      <c r="J12" s="56">
        <v>1</v>
      </c>
      <c r="K12" s="56">
        <v>0</v>
      </c>
      <c r="L12" s="56">
        <v>0</v>
      </c>
      <c r="M12" s="56">
        <v>0</v>
      </c>
      <c r="N12" s="56">
        <v>0</v>
      </c>
      <c r="O12" s="56">
        <v>1</v>
      </c>
      <c r="P12" s="56">
        <v>30</v>
      </c>
      <c r="Q12" s="56" t="s">
        <v>168</v>
      </c>
      <c r="R12" s="56" t="s">
        <v>169</v>
      </c>
    </row>
    <row r="13" spans="1:18" x14ac:dyDescent="0.15">
      <c r="A13" s="56">
        <v>50016</v>
      </c>
      <c r="B13" s="56">
        <v>1</v>
      </c>
      <c r="C13" s="69" t="str">
        <f t="shared" si="0"/>
        <v>50016_1</v>
      </c>
      <c r="D13" s="11" t="str">
        <f ca="1">VLOOKUP($C13,OFFSET([2]stages!$A$1,0,0,COUNTA([2]stages!$A:$A),MATCH(D$1,[2]stages!$2:$2,0)-MATCH($C$1,[2]stages!$2:$2,0)+1),MATCH(D$1,[2]stages!$2:$2,0)-MATCH($C$1,[2]stages!$2:$2,0)+1,FALSE)</f>
        <v>everyone</v>
      </c>
      <c r="E13" s="56">
        <v>12</v>
      </c>
      <c r="F13" s="56" t="s">
        <v>254</v>
      </c>
      <c r="G13" s="56">
        <v>614</v>
      </c>
      <c r="H13" s="56">
        <v>1</v>
      </c>
      <c r="I13" s="56">
        <v>1</v>
      </c>
      <c r="J13" s="56">
        <v>1</v>
      </c>
      <c r="K13" s="56">
        <v>0</v>
      </c>
      <c r="L13" s="56">
        <v>0</v>
      </c>
      <c r="M13" s="56">
        <v>0</v>
      </c>
      <c r="N13" s="56">
        <v>0</v>
      </c>
      <c r="O13" s="56">
        <v>1</v>
      </c>
      <c r="P13" s="56">
        <v>10</v>
      </c>
      <c r="Q13" s="56" t="s">
        <v>168</v>
      </c>
      <c r="R13" s="56" t="s">
        <v>169</v>
      </c>
    </row>
    <row r="14" spans="1:18" x14ac:dyDescent="0.15">
      <c r="A14" s="56">
        <v>50016</v>
      </c>
      <c r="B14" s="56">
        <v>1</v>
      </c>
      <c r="C14" s="69" t="str">
        <f t="shared" si="0"/>
        <v>50016_1</v>
      </c>
      <c r="D14" s="11" t="str">
        <f ca="1">VLOOKUP($C14,OFFSET([2]stages!$A$1,0,0,COUNTA([2]stages!$A:$A),MATCH(D$1,[2]stages!$2:$2,0)-MATCH($C$1,[2]stages!$2:$2,0)+1),MATCH(D$1,[2]stages!$2:$2,0)-MATCH($C$1,[2]stages!$2:$2,0)+1,FALSE)</f>
        <v>everyone</v>
      </c>
      <c r="E14" s="56">
        <v>13</v>
      </c>
      <c r="F14" s="56" t="s">
        <v>254</v>
      </c>
      <c r="G14" s="56">
        <v>837</v>
      </c>
      <c r="H14" s="56">
        <v>1</v>
      </c>
      <c r="I14" s="56">
        <v>1</v>
      </c>
      <c r="J14" s="56">
        <v>1</v>
      </c>
      <c r="K14" s="56">
        <v>0</v>
      </c>
      <c r="L14" s="56">
        <v>0</v>
      </c>
      <c r="M14" s="56">
        <v>0</v>
      </c>
      <c r="N14" s="56">
        <v>0</v>
      </c>
      <c r="O14" s="56">
        <v>1</v>
      </c>
      <c r="P14" s="56">
        <v>10</v>
      </c>
      <c r="Q14" s="56" t="s">
        <v>168</v>
      </c>
      <c r="R14" s="56" t="s">
        <v>169</v>
      </c>
    </row>
    <row r="15" spans="1:18" x14ac:dyDescent="0.15">
      <c r="A15" s="56">
        <v>50016</v>
      </c>
      <c r="B15" s="56">
        <v>1</v>
      </c>
      <c r="C15" s="69" t="str">
        <f t="shared" ref="C15" si="1">A15&amp; "_"&amp;B15</f>
        <v>50016_1</v>
      </c>
      <c r="D15" s="11" t="str">
        <f ca="1">VLOOKUP($C15,OFFSET([2]stages!$A$1,0,0,COUNTA([2]stages!$A:$A),MATCH(D$1,[2]stages!$2:$2,0)-MATCH($C$1,[2]stages!$2:$2,0)+1),MATCH(D$1,[2]stages!$2:$2,0)-MATCH($C$1,[2]stages!$2:$2,0)+1,FALSE)</f>
        <v>everyone</v>
      </c>
      <c r="E15" s="56">
        <v>14</v>
      </c>
      <c r="F15" s="56" t="s">
        <v>254</v>
      </c>
      <c r="G15" s="56">
        <v>1442</v>
      </c>
      <c r="H15" s="56">
        <v>1</v>
      </c>
      <c r="I15" s="56">
        <v>1</v>
      </c>
      <c r="J15" s="56">
        <v>1</v>
      </c>
      <c r="K15" s="56">
        <v>0</v>
      </c>
      <c r="L15" s="56">
        <v>0</v>
      </c>
      <c r="M15" s="56">
        <v>0</v>
      </c>
      <c r="N15" s="56">
        <v>0</v>
      </c>
      <c r="O15" s="56">
        <v>1</v>
      </c>
      <c r="P15" s="56">
        <v>250</v>
      </c>
      <c r="Q15" s="56" t="s">
        <v>168</v>
      </c>
      <c r="R15" s="56" t="s">
        <v>169</v>
      </c>
    </row>
  </sheetData>
  <phoneticPr fontId="5"/>
  <dataValidations count="1">
    <dataValidation type="list" allowBlank="1" showInputMessage="1" showErrorMessage="1" sqref="F2:F15">
      <formula1>"bit,link,polygon,unit"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  <outlinePr summaryBelow="0" summaryRight="0"/>
  </sheetPr>
  <dimension ref="A1:M1"/>
  <sheetViews>
    <sheetView showGridLines="0" workbookViewId="0">
      <pane ySplit="1" topLeftCell="A2" activePane="bottomLeft" state="frozen"/>
      <selection pane="bottomLeft" activeCell="L28" sqref="L28"/>
    </sheetView>
  </sheetViews>
  <sheetFormatPr baseColWidth="12" defaultColWidth="13" defaultRowHeight="15" outlineLevelCol="1" x14ac:dyDescent="0.15"/>
  <cols>
    <col min="1" max="1" width="13" style="86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4" t="s">
        <v>187</v>
      </c>
      <c r="B1" s="71" t="s">
        <v>188</v>
      </c>
      <c r="C1" s="75" t="s">
        <v>189</v>
      </c>
      <c r="D1" s="75" t="s">
        <v>33</v>
      </c>
      <c r="E1" s="71" t="s">
        <v>190</v>
      </c>
      <c r="F1" s="75" t="s">
        <v>191</v>
      </c>
      <c r="G1" s="75" t="s">
        <v>33</v>
      </c>
      <c r="H1" s="71" t="s">
        <v>192</v>
      </c>
      <c r="I1" s="89" t="s">
        <v>194</v>
      </c>
      <c r="J1" s="77" t="s">
        <v>124</v>
      </c>
      <c r="K1" s="76" t="s">
        <v>185</v>
      </c>
      <c r="L1" s="90" t="s">
        <v>184</v>
      </c>
      <c r="M1" s="78" t="s">
        <v>195</v>
      </c>
    </row>
  </sheetData>
  <phoneticPr fontId="5"/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O15"/>
  <sheetViews>
    <sheetView showGridLines="0" workbookViewId="0">
      <pane ySplit="1" topLeftCell="A2" activePane="bottomLeft" state="frozen"/>
      <selection pane="bottomLeft" activeCell="A7" sqref="A7"/>
    </sheetView>
  </sheetViews>
  <sheetFormatPr baseColWidth="12" defaultColWidth="13" defaultRowHeight="15" outlineLevelCol="1" x14ac:dyDescent="0.15"/>
  <cols>
    <col min="1" max="1" width="13" style="86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1" width="11.1640625" customWidth="1"/>
    <col min="12" max="12" width="13.5" customWidth="1"/>
    <col min="13" max="13" width="42.6640625" customWidth="1"/>
  </cols>
  <sheetData>
    <row r="1" spans="1:15" x14ac:dyDescent="0.15">
      <c r="A1" s="74" t="s">
        <v>187</v>
      </c>
      <c r="B1" s="71" t="s">
        <v>148</v>
      </c>
      <c r="C1" s="75" t="s">
        <v>189</v>
      </c>
      <c r="D1" s="75" t="s">
        <v>33</v>
      </c>
      <c r="E1" s="71" t="s">
        <v>190</v>
      </c>
      <c r="F1" s="75" t="s">
        <v>18</v>
      </c>
      <c r="G1" s="75" t="s">
        <v>33</v>
      </c>
      <c r="H1" s="71" t="s">
        <v>192</v>
      </c>
      <c r="I1" s="87" t="s">
        <v>193</v>
      </c>
      <c r="J1" s="89" t="s">
        <v>194</v>
      </c>
      <c r="K1" s="77" t="s">
        <v>124</v>
      </c>
      <c r="L1" s="76" t="s">
        <v>185</v>
      </c>
      <c r="M1" s="90" t="s">
        <v>184</v>
      </c>
      <c r="N1" s="78" t="s">
        <v>195</v>
      </c>
    </row>
    <row r="2" spans="1:15" ht="56" x14ac:dyDescent="0.15">
      <c r="A2" s="79" t="s">
        <v>196</v>
      </c>
      <c r="B2" s="80">
        <f>floors!$C$2</f>
        <v>50016</v>
      </c>
      <c r="C2" s="81" t="str">
        <f ca="1">VLOOKUP($B2,OFFSET([2]quests!$A$1,0,0,COUNTA([2]quests!$A:$A),MATCH(C$1,[2]quests!$1:$1,0)-MATCH($B$1,[2]quests!$1:$1,0)+1),MATCH(C$1,[2]quests!$1:$1,0)-MATCH($B$1,[2]quests!$1:$1,0)+1,FALSE)</f>
        <v>アレキサンダー襲来！</v>
      </c>
      <c r="D2" s="81" t="str">
        <f ca="1">VLOOKUP($B2,OFFSET([2]quests!$A$1,0,0,COUNTA([2]quests!$A:$A),MATCH(D$1,[2]quests!$1:$1,0)-MATCH($B$1,[2]quests!$1:$1,0)+1),MATCH(D$1,[2]quests!$1:$1,0)-MATCH($B$1,[2]quests!$1:$1,0)+1,FALSE)</f>
        <v>超降臨15</v>
      </c>
      <c r="E2" s="82">
        <v>1</v>
      </c>
      <c r="F2" s="81" t="str">
        <f ca="1">VLOOKUP($B2&amp;"_"&amp;$E2,OFFSET([2]stages!$A$1,0,0,COUNTA([2]stages!$A:$A),MATCH(F$1,[2]stages!$2:$2,0)-MATCH("temp_stage",[2]stages!$2:$2,0)+1),MATCH(F$1,[2]stages!$2:$2,0)-MATCH("temp_stage",[2]stages!$2:$2,0)+1,FALSE)</f>
        <v>【超ウィザ】アレキサンダー襲来</v>
      </c>
      <c r="G2" s="81" t="str">
        <f ca="1">VLOOKUP($B2&amp;"_"&amp;$E2,OFFSET([2]stages!$A$1,0,0,COUNTA([2]stages!$A:$A),MATCH(G$1,[2]stages!$2:$2,0)-MATCH("temp_stage",[2]stages!$2:$2,0)+1),MATCH(G$1,[2]stages!$2:$2,0)-MATCH("temp_stage",[2]stages!$2:$2,0)+1,FALSE)</f>
        <v>超降臨15</v>
      </c>
      <c r="H2" s="83">
        <v>1</v>
      </c>
      <c r="I2" s="88">
        <f>ROW()-1</f>
        <v>1</v>
      </c>
      <c r="J2" s="84" t="str">
        <f>B2&amp;TEXT(I2,"00")</f>
        <v>5001601</v>
      </c>
      <c r="K2" s="82" t="s">
        <v>197</v>
      </c>
      <c r="L2" s="85" t="s">
        <v>252</v>
      </c>
      <c r="M2" s="150" t="s">
        <v>418</v>
      </c>
      <c r="N2" s="56" t="s">
        <v>198</v>
      </c>
      <c r="O2">
        <f>LEN(M2)</f>
        <v>64</v>
      </c>
    </row>
    <row r="3" spans="1:15" ht="42" x14ac:dyDescent="0.15">
      <c r="A3" s="79" t="s">
        <v>196</v>
      </c>
      <c r="B3" s="80">
        <f>floors!$C$2</f>
        <v>50016</v>
      </c>
      <c r="C3" s="81" t="str">
        <f ca="1">VLOOKUP($B3,OFFSET([2]quests!$A$1,0,0,COUNTA([2]quests!$A:$A),MATCH(C$1,[2]quests!$1:$1,0)-MATCH($B$1,[2]quests!$1:$1,0)+1),MATCH(C$1,[2]quests!$1:$1,0)-MATCH($B$1,[2]quests!$1:$1,0)+1,FALSE)</f>
        <v>アレキサンダー襲来！</v>
      </c>
      <c r="D3" s="81" t="str">
        <f ca="1">VLOOKUP($B3,OFFSET([2]quests!$A$1,0,0,COUNTA([2]quests!$A:$A),MATCH(D$1,[2]quests!$1:$1,0)-MATCH($B$1,[2]quests!$1:$1,0)+1),MATCH(D$1,[2]quests!$1:$1,0)-MATCH($B$1,[2]quests!$1:$1,0)+1,FALSE)</f>
        <v>超降臨15</v>
      </c>
      <c r="E3" s="82">
        <v>1</v>
      </c>
      <c r="F3" s="81" t="str">
        <f ca="1">VLOOKUP($B3&amp;"_"&amp;$E3,OFFSET([2]stages!$A$1,0,0,COUNTA([2]stages!$A:$A),MATCH(F$1,[2]stages!$2:$2,0)-MATCH("temp_stage",[2]stages!$2:$2,0)+1),MATCH(F$1,[2]stages!$2:$2,0)-MATCH("temp_stage",[2]stages!$2:$2,0)+1,FALSE)</f>
        <v>【超ウィザ】アレキサンダー襲来</v>
      </c>
      <c r="G3" s="81" t="str">
        <f ca="1">VLOOKUP($B3&amp;"_"&amp;$E3,OFFSET([2]stages!$A$1,0,0,COUNTA([2]stages!$A:$A),MATCH(G$1,[2]stages!$2:$2,0)-MATCH("temp_stage",[2]stages!$2:$2,0)+1),MATCH(G$1,[2]stages!$2:$2,0)-MATCH("temp_stage",[2]stages!$2:$2,0)+1,FALSE)</f>
        <v>超降臨15</v>
      </c>
      <c r="H3" s="83">
        <v>2</v>
      </c>
      <c r="I3" s="88">
        <f t="shared" ref="I3:I10" si="0">ROW()-1</f>
        <v>2</v>
      </c>
      <c r="J3" s="84" t="str">
        <f t="shared" ref="J3:J9" si="1">B3&amp;TEXT(I3,"00")</f>
        <v>5001602</v>
      </c>
      <c r="K3" s="82" t="s">
        <v>197</v>
      </c>
      <c r="L3" s="85" t="s">
        <v>252</v>
      </c>
      <c r="M3" s="150" t="s">
        <v>456</v>
      </c>
      <c r="N3" s="56" t="s">
        <v>198</v>
      </c>
      <c r="O3">
        <f t="shared" ref="O3:O15" si="2">LEN(M3)</f>
        <v>43</v>
      </c>
    </row>
    <row r="4" spans="1:15" ht="56" x14ac:dyDescent="0.15">
      <c r="A4" s="79" t="s">
        <v>196</v>
      </c>
      <c r="B4" s="80">
        <f>floors!$C$2</f>
        <v>50016</v>
      </c>
      <c r="C4" s="81" t="str">
        <f ca="1">VLOOKUP($B4,OFFSET([2]quests!$A$1,0,0,COUNTA([2]quests!$A:$A),MATCH(C$1,[2]quests!$1:$1,0)-MATCH($B$1,[2]quests!$1:$1,0)+1),MATCH(C$1,[2]quests!$1:$1,0)-MATCH($B$1,[2]quests!$1:$1,0)+1,FALSE)</f>
        <v>アレキサンダー襲来！</v>
      </c>
      <c r="D4" s="81" t="str">
        <f ca="1">VLOOKUP($B4,OFFSET([2]quests!$A$1,0,0,COUNTA([2]quests!$A:$A),MATCH(D$1,[2]quests!$1:$1,0)-MATCH($B$1,[2]quests!$1:$1,0)+1),MATCH(D$1,[2]quests!$1:$1,0)-MATCH($B$1,[2]quests!$1:$1,0)+1,FALSE)</f>
        <v>超降臨15</v>
      </c>
      <c r="E4" s="82">
        <v>1</v>
      </c>
      <c r="F4" s="81" t="str">
        <f ca="1">VLOOKUP($B4&amp;"_"&amp;$E4,OFFSET([2]stages!$A$1,0,0,COUNTA([2]stages!$A:$A),MATCH(F$1,[2]stages!$2:$2,0)-MATCH("temp_stage",[2]stages!$2:$2,0)+1),MATCH(F$1,[2]stages!$2:$2,0)-MATCH("temp_stage",[2]stages!$2:$2,0)+1,FALSE)</f>
        <v>【超ウィザ】アレキサンダー襲来</v>
      </c>
      <c r="G4" s="81" t="str">
        <f ca="1">VLOOKUP($B4&amp;"_"&amp;$E4,OFFSET([2]stages!$A$1,0,0,COUNTA([2]stages!$A:$A),MATCH(G$1,[2]stages!$2:$2,0)-MATCH("temp_stage",[2]stages!$2:$2,0)+1),MATCH(G$1,[2]stages!$2:$2,0)-MATCH("temp_stage",[2]stages!$2:$2,0)+1,FALSE)</f>
        <v>超降臨15</v>
      </c>
      <c r="H4" s="83">
        <v>2</v>
      </c>
      <c r="I4" s="88">
        <f t="shared" si="0"/>
        <v>3</v>
      </c>
      <c r="J4" s="84" t="str">
        <f t="shared" si="1"/>
        <v>5001603</v>
      </c>
      <c r="K4" s="82" t="s">
        <v>197</v>
      </c>
      <c r="L4" s="85" t="s">
        <v>252</v>
      </c>
      <c r="M4" s="150" t="s">
        <v>398</v>
      </c>
      <c r="N4" s="56" t="s">
        <v>198</v>
      </c>
      <c r="O4">
        <f t="shared" si="2"/>
        <v>58</v>
      </c>
    </row>
    <row r="5" spans="1:15" ht="28" x14ac:dyDescent="0.15">
      <c r="A5" s="79" t="s">
        <v>196</v>
      </c>
      <c r="B5" s="80">
        <f>floors!$C$2</f>
        <v>50016</v>
      </c>
      <c r="C5" s="81" t="str">
        <f ca="1">VLOOKUP($B5,OFFSET([2]quests!$A$1,0,0,COUNTA([2]quests!$A:$A),MATCH(C$1,[2]quests!$1:$1,0)-MATCH($B$1,[2]quests!$1:$1,0)+1),MATCH(C$1,[2]quests!$1:$1,0)-MATCH($B$1,[2]quests!$1:$1,0)+1,FALSE)</f>
        <v>アレキサンダー襲来！</v>
      </c>
      <c r="D5" s="81" t="str">
        <f ca="1">VLOOKUP($B5,OFFSET([2]quests!$A$1,0,0,COUNTA([2]quests!$A:$A),MATCH(D$1,[2]quests!$1:$1,0)-MATCH($B$1,[2]quests!$1:$1,0)+1),MATCH(D$1,[2]quests!$1:$1,0)-MATCH($B$1,[2]quests!$1:$1,0)+1,FALSE)</f>
        <v>超降臨15</v>
      </c>
      <c r="E5" s="82">
        <v>1</v>
      </c>
      <c r="F5" s="81" t="str">
        <f ca="1">VLOOKUP($B5&amp;"_"&amp;$E5,OFFSET([2]stages!$A$1,0,0,COUNTA([2]stages!$A:$A),MATCH(F$1,[2]stages!$2:$2,0)-MATCH("temp_stage",[2]stages!$2:$2,0)+1),MATCH(F$1,[2]stages!$2:$2,0)-MATCH("temp_stage",[2]stages!$2:$2,0)+1,FALSE)</f>
        <v>【超ウィザ】アレキサンダー襲来</v>
      </c>
      <c r="G5" s="81" t="str">
        <f ca="1">VLOOKUP($B5&amp;"_"&amp;$E5,OFFSET([2]stages!$A$1,0,0,COUNTA([2]stages!$A:$A),MATCH(G$1,[2]stages!$2:$2,0)-MATCH("temp_stage",[2]stages!$2:$2,0)+1),MATCH(G$1,[2]stages!$2:$2,0)-MATCH("temp_stage",[2]stages!$2:$2,0)+1,FALSE)</f>
        <v>超降臨15</v>
      </c>
      <c r="H5" s="83">
        <v>2</v>
      </c>
      <c r="I5" s="88">
        <f t="shared" si="0"/>
        <v>4</v>
      </c>
      <c r="J5" s="84" t="str">
        <f t="shared" ref="J5" si="3">B5&amp;TEXT(I5,"00")</f>
        <v>5001604</v>
      </c>
      <c r="K5" s="82" t="s">
        <v>197</v>
      </c>
      <c r="L5" s="85" t="s">
        <v>252</v>
      </c>
      <c r="M5" s="150" t="s">
        <v>446</v>
      </c>
      <c r="N5" s="56" t="s">
        <v>198</v>
      </c>
      <c r="O5">
        <f t="shared" ref="O5" si="4">LEN(M5)</f>
        <v>36</v>
      </c>
    </row>
    <row r="6" spans="1:15" ht="56" x14ac:dyDescent="0.15">
      <c r="A6" s="79" t="s">
        <v>196</v>
      </c>
      <c r="B6" s="80">
        <f>floors!$C$2</f>
        <v>50016</v>
      </c>
      <c r="C6" s="81" t="str">
        <f ca="1">VLOOKUP($B6,OFFSET([2]quests!$A$1,0,0,COUNTA([2]quests!$A:$A),MATCH(C$1,[2]quests!$1:$1,0)-MATCH($B$1,[2]quests!$1:$1,0)+1),MATCH(C$1,[2]quests!$1:$1,0)-MATCH($B$1,[2]quests!$1:$1,0)+1,FALSE)</f>
        <v>アレキサンダー襲来！</v>
      </c>
      <c r="D6" s="81" t="str">
        <f ca="1">VLOOKUP($B6,OFFSET([2]quests!$A$1,0,0,COUNTA([2]quests!$A:$A),MATCH(D$1,[2]quests!$1:$1,0)-MATCH($B$1,[2]quests!$1:$1,0)+1),MATCH(D$1,[2]quests!$1:$1,0)-MATCH($B$1,[2]quests!$1:$1,0)+1,FALSE)</f>
        <v>超降臨15</v>
      </c>
      <c r="E6" s="82">
        <v>1</v>
      </c>
      <c r="F6" s="81" t="str">
        <f ca="1">VLOOKUP($B6&amp;"_"&amp;$E6,OFFSET([2]stages!$A$1,0,0,COUNTA([2]stages!$A:$A),MATCH(F$1,[2]stages!$2:$2,0)-MATCH("temp_stage",[2]stages!$2:$2,0)+1),MATCH(F$1,[2]stages!$2:$2,0)-MATCH("temp_stage",[2]stages!$2:$2,0)+1,FALSE)</f>
        <v>【超ウィザ】アレキサンダー襲来</v>
      </c>
      <c r="G6" s="81" t="str">
        <f ca="1">VLOOKUP($B6&amp;"_"&amp;$E6,OFFSET([2]stages!$A$1,0,0,COUNTA([2]stages!$A:$A),MATCH(G$1,[2]stages!$2:$2,0)-MATCH("temp_stage",[2]stages!$2:$2,0)+1),MATCH(G$1,[2]stages!$2:$2,0)-MATCH("temp_stage",[2]stages!$2:$2,0)+1,FALSE)</f>
        <v>超降臨15</v>
      </c>
      <c r="H6" s="83">
        <v>3</v>
      </c>
      <c r="I6" s="88">
        <f t="shared" si="0"/>
        <v>5</v>
      </c>
      <c r="J6" s="84" t="str">
        <f t="shared" si="1"/>
        <v>5001605</v>
      </c>
      <c r="K6" s="82" t="s">
        <v>197</v>
      </c>
      <c r="L6" s="85" t="s">
        <v>252</v>
      </c>
      <c r="M6" s="150" t="s">
        <v>399</v>
      </c>
      <c r="N6" s="56" t="s">
        <v>198</v>
      </c>
      <c r="O6">
        <f t="shared" si="2"/>
        <v>59</v>
      </c>
    </row>
    <row r="7" spans="1:15" ht="56" x14ac:dyDescent="0.15">
      <c r="A7" s="79" t="s">
        <v>196</v>
      </c>
      <c r="B7" s="80">
        <f>floors!$C$2</f>
        <v>50016</v>
      </c>
      <c r="C7" s="81" t="str">
        <f ca="1">VLOOKUP($B7,OFFSET([2]quests!$A$1,0,0,COUNTA([2]quests!$A:$A),MATCH(C$1,[2]quests!$1:$1,0)-MATCH($B$1,[2]quests!$1:$1,0)+1),MATCH(C$1,[2]quests!$1:$1,0)-MATCH($B$1,[2]quests!$1:$1,0)+1,FALSE)</f>
        <v>アレキサンダー襲来！</v>
      </c>
      <c r="D7" s="81" t="str">
        <f ca="1">VLOOKUP($B7,OFFSET([2]quests!$A$1,0,0,COUNTA([2]quests!$A:$A),MATCH(D$1,[2]quests!$1:$1,0)-MATCH($B$1,[2]quests!$1:$1,0)+1),MATCH(D$1,[2]quests!$1:$1,0)-MATCH($B$1,[2]quests!$1:$1,0)+1,FALSE)</f>
        <v>超降臨15</v>
      </c>
      <c r="E7" s="82">
        <v>1</v>
      </c>
      <c r="F7" s="81" t="str">
        <f ca="1">VLOOKUP($B7&amp;"_"&amp;$E7,OFFSET([2]stages!$A$1,0,0,COUNTA([2]stages!$A:$A),MATCH(F$1,[2]stages!$2:$2,0)-MATCH("temp_stage",[2]stages!$2:$2,0)+1),MATCH(F$1,[2]stages!$2:$2,0)-MATCH("temp_stage",[2]stages!$2:$2,0)+1,FALSE)</f>
        <v>【超ウィザ】アレキサンダー襲来</v>
      </c>
      <c r="G7" s="81" t="str">
        <f ca="1">VLOOKUP($B7&amp;"_"&amp;$E7,OFFSET([2]stages!$A$1,0,0,COUNTA([2]stages!$A:$A),MATCH(G$1,[2]stages!$2:$2,0)-MATCH("temp_stage",[2]stages!$2:$2,0)+1),MATCH(G$1,[2]stages!$2:$2,0)-MATCH("temp_stage",[2]stages!$2:$2,0)+1,FALSE)</f>
        <v>超降臨15</v>
      </c>
      <c r="H7" s="83">
        <v>3</v>
      </c>
      <c r="I7" s="88">
        <f t="shared" si="0"/>
        <v>6</v>
      </c>
      <c r="J7" s="84" t="str">
        <f t="shared" si="1"/>
        <v>5001606</v>
      </c>
      <c r="K7" s="82" t="s">
        <v>197</v>
      </c>
      <c r="L7" s="85" t="s">
        <v>252</v>
      </c>
      <c r="M7" s="150" t="s">
        <v>447</v>
      </c>
      <c r="N7" s="56" t="s">
        <v>198</v>
      </c>
      <c r="O7">
        <f t="shared" si="2"/>
        <v>64</v>
      </c>
    </row>
    <row r="8" spans="1:15" ht="42" x14ac:dyDescent="0.15">
      <c r="A8" s="79" t="s">
        <v>196</v>
      </c>
      <c r="B8" s="80">
        <f>floors!$C$2</f>
        <v>50016</v>
      </c>
      <c r="C8" s="81" t="str">
        <f ca="1">VLOOKUP($B8,OFFSET([2]quests!$A$1,0,0,COUNTA([2]quests!$A:$A),MATCH(C$1,[2]quests!$1:$1,0)-MATCH($B$1,[2]quests!$1:$1,0)+1),MATCH(C$1,[2]quests!$1:$1,0)-MATCH($B$1,[2]quests!$1:$1,0)+1,FALSE)</f>
        <v>アレキサンダー襲来！</v>
      </c>
      <c r="D8" s="81" t="str">
        <f ca="1">VLOOKUP($B8,OFFSET([2]quests!$A$1,0,0,COUNTA([2]quests!$A:$A),MATCH(D$1,[2]quests!$1:$1,0)-MATCH($B$1,[2]quests!$1:$1,0)+1),MATCH(D$1,[2]quests!$1:$1,0)-MATCH($B$1,[2]quests!$1:$1,0)+1,FALSE)</f>
        <v>超降臨15</v>
      </c>
      <c r="E8" s="82">
        <v>1</v>
      </c>
      <c r="F8" s="81" t="str">
        <f ca="1">VLOOKUP($B8&amp;"_"&amp;$E8,OFFSET([2]stages!$A$1,0,0,COUNTA([2]stages!$A:$A),MATCH(F$1,[2]stages!$2:$2,0)-MATCH("temp_stage",[2]stages!$2:$2,0)+1),MATCH(F$1,[2]stages!$2:$2,0)-MATCH("temp_stage",[2]stages!$2:$2,0)+1,FALSE)</f>
        <v>【超ウィザ】アレキサンダー襲来</v>
      </c>
      <c r="G8" s="81" t="str">
        <f ca="1">VLOOKUP($B8&amp;"_"&amp;$E8,OFFSET([2]stages!$A$1,0,0,COUNTA([2]stages!$A:$A),MATCH(G$1,[2]stages!$2:$2,0)-MATCH("temp_stage",[2]stages!$2:$2,0)+1),MATCH(G$1,[2]stages!$2:$2,0)-MATCH("temp_stage",[2]stages!$2:$2,0)+1,FALSE)</f>
        <v>超降臨15</v>
      </c>
      <c r="H8" s="83">
        <v>4</v>
      </c>
      <c r="I8" s="88">
        <f t="shared" si="0"/>
        <v>7</v>
      </c>
      <c r="J8" s="84" t="str">
        <f t="shared" si="1"/>
        <v>5001607</v>
      </c>
      <c r="K8" s="82" t="s">
        <v>197</v>
      </c>
      <c r="L8" s="85" t="s">
        <v>252</v>
      </c>
      <c r="M8" s="150" t="s">
        <v>457</v>
      </c>
      <c r="N8" s="56" t="s">
        <v>198</v>
      </c>
      <c r="O8">
        <f t="shared" si="2"/>
        <v>52</v>
      </c>
    </row>
    <row r="9" spans="1:15" ht="42" x14ac:dyDescent="0.15">
      <c r="A9" s="79" t="s">
        <v>196</v>
      </c>
      <c r="B9" s="80">
        <f>floors!$C$2</f>
        <v>50016</v>
      </c>
      <c r="C9" s="81" t="str">
        <f ca="1">VLOOKUP($B9,OFFSET([2]quests!$A$1,0,0,COUNTA([2]quests!$A:$A),MATCH(C$1,[2]quests!$1:$1,0)-MATCH($B$1,[2]quests!$1:$1,0)+1),MATCH(C$1,[2]quests!$1:$1,0)-MATCH($B$1,[2]quests!$1:$1,0)+1,FALSE)</f>
        <v>アレキサンダー襲来！</v>
      </c>
      <c r="D9" s="81" t="str">
        <f ca="1">VLOOKUP($B9,OFFSET([2]quests!$A$1,0,0,COUNTA([2]quests!$A:$A),MATCH(D$1,[2]quests!$1:$1,0)-MATCH($B$1,[2]quests!$1:$1,0)+1),MATCH(D$1,[2]quests!$1:$1,0)-MATCH($B$1,[2]quests!$1:$1,0)+1,FALSE)</f>
        <v>超降臨15</v>
      </c>
      <c r="E9" s="82">
        <v>1</v>
      </c>
      <c r="F9" s="81" t="str">
        <f ca="1">VLOOKUP($B9&amp;"_"&amp;$E9,OFFSET([2]stages!$A$1,0,0,COUNTA([2]stages!$A:$A),MATCH(F$1,[2]stages!$2:$2,0)-MATCH("temp_stage",[2]stages!$2:$2,0)+1),MATCH(F$1,[2]stages!$2:$2,0)-MATCH("temp_stage",[2]stages!$2:$2,0)+1,FALSE)</f>
        <v>【超ウィザ】アレキサンダー襲来</v>
      </c>
      <c r="G9" s="81" t="str">
        <f ca="1">VLOOKUP($B9&amp;"_"&amp;$E9,OFFSET([2]stages!$A$1,0,0,COUNTA([2]stages!$A:$A),MATCH(G$1,[2]stages!$2:$2,0)-MATCH("temp_stage",[2]stages!$2:$2,0)+1),MATCH(G$1,[2]stages!$2:$2,0)-MATCH("temp_stage",[2]stages!$2:$2,0)+1,FALSE)</f>
        <v>超降臨15</v>
      </c>
      <c r="H9" s="83">
        <v>4</v>
      </c>
      <c r="I9" s="88">
        <f t="shared" si="0"/>
        <v>8</v>
      </c>
      <c r="J9" s="84" t="str">
        <f t="shared" si="1"/>
        <v>5001608</v>
      </c>
      <c r="K9" s="82" t="s">
        <v>197</v>
      </c>
      <c r="L9" s="85" t="s">
        <v>252</v>
      </c>
      <c r="M9" s="150" t="s">
        <v>400</v>
      </c>
      <c r="N9" s="56" t="s">
        <v>198</v>
      </c>
      <c r="O9">
        <f t="shared" si="2"/>
        <v>44</v>
      </c>
    </row>
    <row r="10" spans="1:15" ht="42" x14ac:dyDescent="0.15">
      <c r="A10" s="79" t="s">
        <v>196</v>
      </c>
      <c r="B10" s="80">
        <f>floors!$C$2</f>
        <v>50016</v>
      </c>
      <c r="C10" s="81" t="str">
        <f ca="1">VLOOKUP($B10,OFFSET([2]quests!$A$1,0,0,COUNTA([2]quests!$A:$A),MATCH(C$1,[2]quests!$1:$1,0)-MATCH($B$1,[2]quests!$1:$1,0)+1),MATCH(C$1,[2]quests!$1:$1,0)-MATCH($B$1,[2]quests!$1:$1,0)+1,FALSE)</f>
        <v>アレキサンダー襲来！</v>
      </c>
      <c r="D10" s="81" t="str">
        <f ca="1">VLOOKUP($B10,OFFSET([2]quests!$A$1,0,0,COUNTA([2]quests!$A:$A),MATCH(D$1,[2]quests!$1:$1,0)-MATCH($B$1,[2]quests!$1:$1,0)+1),MATCH(D$1,[2]quests!$1:$1,0)-MATCH($B$1,[2]quests!$1:$1,0)+1,FALSE)</f>
        <v>超降臨15</v>
      </c>
      <c r="E10" s="82">
        <v>1</v>
      </c>
      <c r="F10" s="81" t="str">
        <f ca="1">VLOOKUP($B10&amp;"_"&amp;$E10,OFFSET([2]stages!$A$1,0,0,COUNTA([2]stages!$A:$A),MATCH(F$1,[2]stages!$2:$2,0)-MATCH("temp_stage",[2]stages!$2:$2,0)+1),MATCH(F$1,[2]stages!$2:$2,0)-MATCH("temp_stage",[2]stages!$2:$2,0)+1,FALSE)</f>
        <v>【超ウィザ】アレキサンダー襲来</v>
      </c>
      <c r="G10" s="81" t="str">
        <f ca="1">VLOOKUP($B10&amp;"_"&amp;$E10,OFFSET([2]stages!$A$1,0,0,COUNTA([2]stages!$A:$A),MATCH(G$1,[2]stages!$2:$2,0)-MATCH("temp_stage",[2]stages!$2:$2,0)+1),MATCH(G$1,[2]stages!$2:$2,0)-MATCH("temp_stage",[2]stages!$2:$2,0)+1,FALSE)</f>
        <v>超降臨15</v>
      </c>
      <c r="H10" s="83">
        <v>4</v>
      </c>
      <c r="I10" s="88">
        <f t="shared" si="0"/>
        <v>9</v>
      </c>
      <c r="J10" s="84" t="str">
        <f t="shared" ref="J10" si="5">B10&amp;TEXT(I10,"00")</f>
        <v>5001609</v>
      </c>
      <c r="K10" s="82" t="s">
        <v>197</v>
      </c>
      <c r="L10" s="85" t="s">
        <v>252</v>
      </c>
      <c r="M10" s="150" t="s">
        <v>448</v>
      </c>
      <c r="N10" s="56" t="s">
        <v>198</v>
      </c>
      <c r="O10">
        <f t="shared" si="2"/>
        <v>50</v>
      </c>
    </row>
    <row r="11" spans="1:15" ht="42" x14ac:dyDescent="0.15">
      <c r="A11" s="108" t="s">
        <v>199</v>
      </c>
      <c r="B11" s="109">
        <f>floors!$C$2</f>
        <v>50016</v>
      </c>
      <c r="C11" s="110" t="str">
        <f ca="1">VLOOKUP($B11,OFFSET([2]quests!$A$1,0,0,COUNTA([2]quests!$A:$A),MATCH(C$1,[2]quests!$1:$1,0)-MATCH($B$1,[2]quests!$1:$1,0)+1),MATCH(C$1,[2]quests!$1:$1,0)-MATCH($B$1,[2]quests!$1:$1,0)+1,FALSE)</f>
        <v>アレキサンダー襲来！</v>
      </c>
      <c r="D11" s="110" t="str">
        <f ca="1">VLOOKUP($B11,OFFSET([2]quests!$A$1,0,0,COUNTA([2]quests!$A:$A),MATCH(D$1,[2]quests!$1:$1,0)-MATCH($B$1,[2]quests!$1:$1,0)+1),MATCH(D$1,[2]quests!$1:$1,0)-MATCH($B$1,[2]quests!$1:$1,0)+1,FALSE)</f>
        <v>超降臨15</v>
      </c>
      <c r="E11" s="106">
        <v>1</v>
      </c>
      <c r="F11" s="110" t="str">
        <f ca="1">VLOOKUP($B11&amp;"_"&amp;$E11,OFFSET([2]stages!$A$1,0,0,COUNTA([2]stages!$A:$A),MATCH(F$1,[2]stages!$2:$2,0)-MATCH("temp_stage",[2]stages!$2:$2,0)+1),MATCH(F$1,[2]stages!$2:$2,0)-MATCH("temp_stage",[2]stages!$2:$2,0)+1,FALSE)</f>
        <v>【超ウィザ】アレキサンダー襲来</v>
      </c>
      <c r="G11" s="110" t="str">
        <f ca="1">VLOOKUP($B11&amp;"_"&amp;$E11,OFFSET([2]stages!$A$1,0,0,COUNTA([2]stages!$A:$A),MATCH(G$1,[2]stages!$2:$2,0)-MATCH("temp_stage",[2]stages!$2:$2,0)+1),MATCH(G$1,[2]stages!$2:$2,0)-MATCH("temp_stage",[2]stages!$2:$2,0)+1,FALSE)</f>
        <v>超降臨15</v>
      </c>
      <c r="H11" s="110">
        <v>0</v>
      </c>
      <c r="I11" s="88">
        <f>ROW()-1</f>
        <v>10</v>
      </c>
      <c r="J11" s="84" t="str">
        <f>B11&amp;TEXT(I11,"00")</f>
        <v>5001610</v>
      </c>
      <c r="K11" s="106" t="s">
        <v>125</v>
      </c>
      <c r="L11" s="107" t="s">
        <v>394</v>
      </c>
      <c r="M11" s="149" t="s">
        <v>455</v>
      </c>
      <c r="N11" s="56" t="s">
        <v>198</v>
      </c>
      <c r="O11">
        <f t="shared" si="2"/>
        <v>48</v>
      </c>
    </row>
    <row r="12" spans="1:15" ht="56" x14ac:dyDescent="0.15">
      <c r="A12" s="108" t="s">
        <v>199</v>
      </c>
      <c r="B12" s="109">
        <f>floors!$C$2</f>
        <v>50016</v>
      </c>
      <c r="C12" s="110" t="str">
        <f ca="1">VLOOKUP($B12,OFFSET([2]quests!$A$1,0,0,COUNTA([2]quests!$A:$A),MATCH(C$1,[2]quests!$1:$1,0)-MATCH($B$1,[2]quests!$1:$1,0)+1),MATCH(C$1,[2]quests!$1:$1,0)-MATCH($B$1,[2]quests!$1:$1,0)+1,FALSE)</f>
        <v>アレキサンダー襲来！</v>
      </c>
      <c r="D12" s="110" t="str">
        <f ca="1">VLOOKUP($B12,OFFSET([2]quests!$A$1,0,0,COUNTA([2]quests!$A:$A),MATCH(D$1,[2]quests!$1:$1,0)-MATCH($B$1,[2]quests!$1:$1,0)+1),MATCH(D$1,[2]quests!$1:$1,0)-MATCH($B$1,[2]quests!$1:$1,0)+1,FALSE)</f>
        <v>超降臨15</v>
      </c>
      <c r="E12" s="106">
        <v>1</v>
      </c>
      <c r="F12" s="110" t="str">
        <f ca="1">VLOOKUP($B12&amp;"_"&amp;$E12,OFFSET([2]stages!$A$1,0,0,COUNTA([2]stages!$A:$A),MATCH(F$1,[2]stages!$2:$2,0)-MATCH("temp_stage",[2]stages!$2:$2,0)+1),MATCH(F$1,[2]stages!$2:$2,0)-MATCH("temp_stage",[2]stages!$2:$2,0)+1,FALSE)</f>
        <v>【超ウィザ】アレキサンダー襲来</v>
      </c>
      <c r="G12" s="110" t="str">
        <f ca="1">VLOOKUP($B12&amp;"_"&amp;$E12,OFFSET([2]stages!$A$1,0,0,COUNTA([2]stages!$A:$A),MATCH(G$1,[2]stages!$2:$2,0)-MATCH("temp_stage",[2]stages!$2:$2,0)+1),MATCH(G$1,[2]stages!$2:$2,0)-MATCH("temp_stage",[2]stages!$2:$2,0)+1,FALSE)</f>
        <v>超降臨15</v>
      </c>
      <c r="H12" s="110">
        <v>0</v>
      </c>
      <c r="I12" s="88">
        <f t="shared" ref="I12:I15" si="6">ROW()-1</f>
        <v>11</v>
      </c>
      <c r="J12" s="84" t="str">
        <f t="shared" ref="J12:J13" si="7">B12&amp;TEXT(I12,"00")</f>
        <v>5001611</v>
      </c>
      <c r="K12" s="106" t="s">
        <v>125</v>
      </c>
      <c r="L12" s="107" t="s">
        <v>395</v>
      </c>
      <c r="M12" s="149" t="s">
        <v>445</v>
      </c>
      <c r="N12" s="56" t="s">
        <v>198</v>
      </c>
      <c r="O12">
        <f t="shared" si="2"/>
        <v>61</v>
      </c>
    </row>
    <row r="13" spans="1:15" ht="42" x14ac:dyDescent="0.15">
      <c r="A13" s="108" t="s">
        <v>199</v>
      </c>
      <c r="B13" s="109">
        <f>floors!$C$2</f>
        <v>50016</v>
      </c>
      <c r="C13" s="110" t="str">
        <f ca="1">VLOOKUP($B13,OFFSET([2]quests!$A$1,0,0,COUNTA([2]quests!$A:$A),MATCH(C$1,[2]quests!$1:$1,0)-MATCH($B$1,[2]quests!$1:$1,0)+1),MATCH(C$1,[2]quests!$1:$1,0)-MATCH($B$1,[2]quests!$1:$1,0)+1,FALSE)</f>
        <v>アレキサンダー襲来！</v>
      </c>
      <c r="D13" s="110" t="str">
        <f ca="1">VLOOKUP($B13,OFFSET([2]quests!$A$1,0,0,COUNTA([2]quests!$A:$A),MATCH(D$1,[2]quests!$1:$1,0)-MATCH($B$1,[2]quests!$1:$1,0)+1),MATCH(D$1,[2]quests!$1:$1,0)-MATCH($B$1,[2]quests!$1:$1,0)+1,FALSE)</f>
        <v>超降臨15</v>
      </c>
      <c r="E13" s="106">
        <v>1</v>
      </c>
      <c r="F13" s="110" t="str">
        <f ca="1">VLOOKUP($B13&amp;"_"&amp;$E13,OFFSET([2]stages!$A$1,0,0,COUNTA([2]stages!$A:$A),MATCH(F$1,[2]stages!$2:$2,0)-MATCH("temp_stage",[2]stages!$2:$2,0)+1),MATCH(F$1,[2]stages!$2:$2,0)-MATCH("temp_stage",[2]stages!$2:$2,0)+1,FALSE)</f>
        <v>【超ウィザ】アレキサンダー襲来</v>
      </c>
      <c r="G13" s="110" t="str">
        <f ca="1">VLOOKUP($B13&amp;"_"&amp;$E13,OFFSET([2]stages!$A$1,0,0,COUNTA([2]stages!$A:$A),MATCH(G$1,[2]stages!$2:$2,0)-MATCH("temp_stage",[2]stages!$2:$2,0)+1),MATCH(G$1,[2]stages!$2:$2,0)-MATCH("temp_stage",[2]stages!$2:$2,0)+1,FALSE)</f>
        <v>超降臨15</v>
      </c>
      <c r="H13" s="110">
        <v>0</v>
      </c>
      <c r="I13" s="88">
        <f t="shared" si="6"/>
        <v>12</v>
      </c>
      <c r="J13" s="84" t="str">
        <f t="shared" si="7"/>
        <v>5001612</v>
      </c>
      <c r="K13" s="106" t="s">
        <v>125</v>
      </c>
      <c r="L13" s="107" t="s">
        <v>396</v>
      </c>
      <c r="M13" s="149" t="s">
        <v>397</v>
      </c>
      <c r="N13" s="56" t="s">
        <v>198</v>
      </c>
      <c r="O13">
        <f t="shared" si="2"/>
        <v>62</v>
      </c>
    </row>
    <row r="14" spans="1:15" ht="56" x14ac:dyDescent="0.15">
      <c r="A14" s="108" t="s">
        <v>199</v>
      </c>
      <c r="B14" s="109">
        <f>floors!$C$2</f>
        <v>50016</v>
      </c>
      <c r="C14" s="110" t="str">
        <f ca="1">VLOOKUP($B14,OFFSET([2]quests!$A$1,0,0,COUNTA([2]quests!$A:$A),MATCH(C$1,[2]quests!$1:$1,0)-MATCH($B$1,[2]quests!$1:$1,0)+1),MATCH(C$1,[2]quests!$1:$1,0)-MATCH($B$1,[2]quests!$1:$1,0)+1,FALSE)</f>
        <v>アレキサンダー襲来！</v>
      </c>
      <c r="D14" s="110" t="str">
        <f ca="1">VLOOKUP($B14,OFFSET([2]quests!$A$1,0,0,COUNTA([2]quests!$A:$A),MATCH(D$1,[2]quests!$1:$1,0)-MATCH($B$1,[2]quests!$1:$1,0)+1),MATCH(D$1,[2]quests!$1:$1,0)-MATCH($B$1,[2]quests!$1:$1,0)+1,FALSE)</f>
        <v>超降臨15</v>
      </c>
      <c r="E14" s="106">
        <v>1</v>
      </c>
      <c r="F14" s="110" t="str">
        <f ca="1">VLOOKUP($B14&amp;"_"&amp;$E14,OFFSET([2]stages!$A$1,0,0,COUNTA([2]stages!$A:$A),MATCH(F$1,[2]stages!$2:$2,0)-MATCH("temp_stage",[2]stages!$2:$2,0)+1),MATCH(F$1,[2]stages!$2:$2,0)-MATCH("temp_stage",[2]stages!$2:$2,0)+1,FALSE)</f>
        <v>【超ウィザ】アレキサンダー襲来</v>
      </c>
      <c r="G14" s="110" t="str">
        <f ca="1">VLOOKUP($B14&amp;"_"&amp;$E14,OFFSET([2]stages!$A$1,0,0,COUNTA([2]stages!$A:$A),MATCH(G$1,[2]stages!$2:$2,0)-MATCH("temp_stage",[2]stages!$2:$2,0)+1),MATCH(G$1,[2]stages!$2:$2,0)-MATCH("temp_stage",[2]stages!$2:$2,0)+1,FALSE)</f>
        <v>超降臨15</v>
      </c>
      <c r="H14" s="110">
        <v>0</v>
      </c>
      <c r="I14" s="88">
        <f t="shared" si="6"/>
        <v>13</v>
      </c>
      <c r="J14" s="84" t="str">
        <f t="shared" ref="J14:J15" si="8">B14&amp;TEXT(I14,"00")</f>
        <v>5001613</v>
      </c>
      <c r="K14" s="106" t="s">
        <v>125</v>
      </c>
      <c r="L14" s="107" t="s">
        <v>452</v>
      </c>
      <c r="M14" s="149" t="s">
        <v>453</v>
      </c>
      <c r="N14" s="56" t="s">
        <v>198</v>
      </c>
      <c r="O14">
        <f t="shared" si="2"/>
        <v>63</v>
      </c>
    </row>
    <row r="15" spans="1:15" ht="56" x14ac:dyDescent="0.15">
      <c r="A15" s="108" t="s">
        <v>199</v>
      </c>
      <c r="B15" s="109">
        <f>floors!$C$2</f>
        <v>50016</v>
      </c>
      <c r="C15" s="110" t="str">
        <f ca="1">VLOOKUP($B15,OFFSET([2]quests!$A$1,0,0,COUNTA([2]quests!$A:$A),MATCH(C$1,[2]quests!$1:$1,0)-MATCH($B$1,[2]quests!$1:$1,0)+1),MATCH(C$1,[2]quests!$1:$1,0)-MATCH($B$1,[2]quests!$1:$1,0)+1,FALSE)</f>
        <v>アレキサンダー襲来！</v>
      </c>
      <c r="D15" s="110" t="str">
        <f ca="1">VLOOKUP($B15,OFFSET([2]quests!$A$1,0,0,COUNTA([2]quests!$A:$A),MATCH(D$1,[2]quests!$1:$1,0)-MATCH($B$1,[2]quests!$1:$1,0)+1),MATCH(D$1,[2]quests!$1:$1,0)-MATCH($B$1,[2]quests!$1:$1,0)+1,FALSE)</f>
        <v>超降臨15</v>
      </c>
      <c r="E15" s="106">
        <v>1</v>
      </c>
      <c r="F15" s="110" t="str">
        <f ca="1">VLOOKUP($B15&amp;"_"&amp;$E15,OFFSET([2]stages!$A$1,0,0,COUNTA([2]stages!$A:$A),MATCH(F$1,[2]stages!$2:$2,0)-MATCH("temp_stage",[2]stages!$2:$2,0)+1),MATCH(F$1,[2]stages!$2:$2,0)-MATCH("temp_stage",[2]stages!$2:$2,0)+1,FALSE)</f>
        <v>【超ウィザ】アレキサンダー襲来</v>
      </c>
      <c r="G15" s="110" t="str">
        <f ca="1">VLOOKUP($B15&amp;"_"&amp;$E15,OFFSET([2]stages!$A$1,0,0,COUNTA([2]stages!$A:$A),MATCH(G$1,[2]stages!$2:$2,0)-MATCH("temp_stage",[2]stages!$2:$2,0)+1),MATCH(G$1,[2]stages!$2:$2,0)-MATCH("temp_stage",[2]stages!$2:$2,0)+1,FALSE)</f>
        <v>超降臨15</v>
      </c>
      <c r="H15" s="110">
        <v>0</v>
      </c>
      <c r="I15" s="88">
        <f t="shared" si="6"/>
        <v>14</v>
      </c>
      <c r="J15" s="84" t="str">
        <f t="shared" si="8"/>
        <v>5001614</v>
      </c>
      <c r="K15" s="106" t="s">
        <v>125</v>
      </c>
      <c r="L15" s="107" t="s">
        <v>449</v>
      </c>
      <c r="M15" s="149" t="s">
        <v>454</v>
      </c>
      <c r="N15" s="56" t="s">
        <v>198</v>
      </c>
      <c r="O15">
        <f t="shared" si="2"/>
        <v>64</v>
      </c>
    </row>
  </sheetData>
  <phoneticPr fontId="5"/>
  <dataValidations count="1">
    <dataValidation type="list" allowBlank="1" showInputMessage="1" showErrorMessage="1" sqref="A2:A15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rgb="FF0000FF"/>
    <outlinePr summaryBelow="0" summaryRight="0"/>
  </sheetPr>
  <dimension ref="A1:X2"/>
  <sheetViews>
    <sheetView showGridLines="0" topLeftCell="G1" workbookViewId="0">
      <pane ySplit="1" topLeftCell="A2" activePane="bottomLeft" state="frozen"/>
      <selection pane="bottomLeft" activeCell="I2" sqref="I2"/>
    </sheetView>
  </sheetViews>
  <sheetFormatPr baseColWidth="12" defaultColWidth="13" defaultRowHeight="15" outlineLevelCol="1" x14ac:dyDescent="0.15"/>
  <cols>
    <col min="1" max="1" width="8.33203125" customWidth="1"/>
    <col min="2" max="2" width="7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12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92" t="s">
        <v>211</v>
      </c>
      <c r="B1" s="93" t="s">
        <v>212</v>
      </c>
      <c r="C1" s="75" t="s">
        <v>213</v>
      </c>
      <c r="D1" s="75" t="s">
        <v>33</v>
      </c>
      <c r="E1" s="93" t="s">
        <v>214</v>
      </c>
      <c r="F1" s="75" t="s">
        <v>215</v>
      </c>
      <c r="G1" s="75" t="s">
        <v>33</v>
      </c>
      <c r="H1" s="93" t="s">
        <v>216</v>
      </c>
      <c r="I1" s="93" t="s">
        <v>217</v>
      </c>
      <c r="J1" s="93" t="s">
        <v>218</v>
      </c>
      <c r="K1" s="71" t="s">
        <v>219</v>
      </c>
      <c r="L1" s="71" t="s">
        <v>220</v>
      </c>
      <c r="M1" s="71" t="s">
        <v>154</v>
      </c>
      <c r="N1" s="75" t="s">
        <v>16</v>
      </c>
      <c r="O1" s="71" t="s">
        <v>221</v>
      </c>
      <c r="P1" s="71" t="s">
        <v>57</v>
      </c>
      <c r="Q1" s="71" t="s">
        <v>222</v>
      </c>
      <c r="R1" s="71" t="s">
        <v>38</v>
      </c>
      <c r="S1" s="71" t="s">
        <v>40</v>
      </c>
      <c r="T1" s="71" t="s">
        <v>42</v>
      </c>
      <c r="U1" s="71" t="s">
        <v>44</v>
      </c>
      <c r="V1" s="71" t="s">
        <v>46</v>
      </c>
      <c r="W1" s="71" t="s">
        <v>223</v>
      </c>
      <c r="X1" s="71" t="s">
        <v>224</v>
      </c>
    </row>
    <row r="2" spans="1:24" x14ac:dyDescent="0.15">
      <c r="A2" s="94" t="str">
        <f>B2&amp;"_"&amp;E2&amp;"_"&amp;H2&amp;"_"&amp;I2&amp;"_"&amp;J2</f>
        <v>50016_1_everyone_full_member_1</v>
      </c>
      <c r="B2" s="80">
        <v>50016</v>
      </c>
      <c r="C2" s="81" t="str">
        <f ca="1">VLOOKUP($B2,OFFSET([2]quests!$A$1,0,0,COUNTA([2]quests!$A:$A),MATCH(C$1,[2]quests!$1:$1,0)-MATCH($B$1,[2]quests!$1:$1,0)+1),MATCH(C$1,[2]quests!$1:$1,0)-MATCH($B$1,[2]quests!$1:$1,0)+1,FALSE)</f>
        <v>アレキサンダー襲来！</v>
      </c>
      <c r="D2" s="81" t="str">
        <f ca="1">VLOOKUP($B2,OFFSET([2]quests!$A$1,0,0,COUNTA([2]quests!$A:$A),MATCH(D$1,[2]quests!$1:$1,0)-MATCH($B$1,[2]quests!$1:$1,0)+1),MATCH(D$1,[2]quests!$1:$1,0)-MATCH($B$1,[2]quests!$1:$1,0)+1,FALSE)</f>
        <v>超降臨15</v>
      </c>
      <c r="E2" s="82">
        <v>1</v>
      </c>
      <c r="F2" s="81" t="str">
        <f ca="1">VLOOKUP($B2&amp;"_"&amp;$E2,OFFSET([2]stages!$A$1,0,0,COUNTA([2]stages!$A:$A),MATCH(F$1,[2]stages!$2:$2,0)-MATCH("temp_stage",[2]stages!$2:$2,0)+1),MATCH(F$1,[2]stages!$2:$2,0)-MATCH("temp_stage",[2]stages!$2:$2,0)+1,FALSE)</f>
        <v>【超ウィザ】アレキサンダー襲来</v>
      </c>
      <c r="G2" s="81" t="str">
        <f ca="1">VLOOKUP($B2&amp;"_"&amp;$E2,OFFSET([2]stages!$A$1,0,0,COUNTA([2]stages!$A:$A),MATCH(G$1,[2]stages!$2:$2,0)-MATCH("temp_stage",[2]stages!$2:$2,0)+1),MATCH(G$1,[2]stages!$2:$2,0)-MATCH("temp_stage",[2]stages!$2:$2,0)+1,FALSE)</f>
        <v>超降臨15</v>
      </c>
      <c r="H2" s="83" t="s">
        <v>225</v>
      </c>
      <c r="I2" s="82" t="s">
        <v>253</v>
      </c>
      <c r="J2" s="82">
        <v>1</v>
      </c>
      <c r="K2" s="82">
        <v>100</v>
      </c>
      <c r="L2" s="82" t="s">
        <v>226</v>
      </c>
      <c r="M2" s="82">
        <v>1442</v>
      </c>
      <c r="N2" s="95" t="str">
        <f ca="1">IF(L2="unit",VLOOKUP($M2,OFFSET([4]characters!$A$1,0,0,COUNTA([4]characters!$A:$A),MATCH(N$1,[4]characters!$1:$1,0)-MATCH("character_id",[4]characters!$1:$1,0)+1),MATCH(N$1,[4]characters!$1:$1,0)-MATCH("character_id",[4]characters!$1:$1,0)+1,FALSE),"")</f>
        <v>アレキサンダー</v>
      </c>
      <c r="O2" s="82">
        <v>1</v>
      </c>
      <c r="P2" s="82">
        <v>1</v>
      </c>
      <c r="Q2" s="82">
        <v>1</v>
      </c>
      <c r="R2" s="82">
        <v>0</v>
      </c>
      <c r="S2" s="82">
        <v>0</v>
      </c>
      <c r="T2" s="82">
        <v>0</v>
      </c>
      <c r="U2" s="82">
        <v>0</v>
      </c>
      <c r="V2" s="82">
        <v>1</v>
      </c>
      <c r="W2" s="96" t="s">
        <v>227</v>
      </c>
      <c r="X2" s="97" t="s">
        <v>228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2017-06-02T07:36:42Z</dcterms:modified>
</cp:coreProperties>
</file>