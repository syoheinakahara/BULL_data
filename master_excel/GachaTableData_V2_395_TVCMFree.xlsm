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2"/>
  </bookViews>
  <sheets>
    <sheet name="確率の考え方" sheetId="110" r:id="rId1"/>
    <sheet name="Sheet1" sheetId="107" r:id="rId2"/>
    <sheet name="output" sheetId="103" r:id="rId3"/>
    <sheet name="input_395010" sheetId="157" r:id="rId4"/>
    <sheet name="tables_395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tables_395010!$A$1:$V$294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03" l="1"/>
  <c r="C4" i="10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B30" i="157"/>
  <c r="E27" i="157"/>
  <c r="B27" i="157"/>
  <c r="E25" i="157"/>
  <c r="B25" i="157"/>
  <c r="E24" i="157"/>
  <c r="B24" i="157"/>
  <c r="E22" i="157"/>
  <c r="B22" i="157"/>
  <c r="E19" i="157"/>
  <c r="B19" i="157"/>
  <c r="B17" i="157"/>
  <c r="E18" i="157"/>
  <c r="B18" i="157"/>
  <c r="A2" i="157"/>
  <c r="A36" i="157"/>
  <c r="G27" i="157"/>
  <c r="H27" i="157"/>
  <c r="G17" i="157"/>
  <c r="E17" i="157"/>
  <c r="H17" i="157"/>
  <c r="G18" i="157"/>
  <c r="H18" i="157"/>
  <c r="G24" i="157"/>
  <c r="H24" i="157"/>
  <c r="G25" i="157"/>
  <c r="H25" i="157"/>
  <c r="G26" i="157"/>
  <c r="H26" i="157"/>
  <c r="G19" i="157"/>
  <c r="H19" i="157"/>
  <c r="G20" i="157"/>
  <c r="H20" i="157"/>
  <c r="G21" i="157"/>
  <c r="E21" i="157"/>
  <c r="H21" i="157"/>
  <c r="G28" i="157"/>
  <c r="H28" i="157"/>
  <c r="G22" i="157"/>
  <c r="H22" i="157"/>
  <c r="G23" i="157"/>
  <c r="H23" i="157"/>
  <c r="G29" i="157"/>
  <c r="H29" i="157"/>
  <c r="O138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<sst xmlns="http://schemas.openxmlformats.org/spreadsheetml/2006/main" count="398" uniqueCount="251">
  <si>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</si>
  <si>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</si>
  <si>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</si>
  <si>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</si>
  <si>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</si>
  <si>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</si>
  <si>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</si>
  <si>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</si>
  <si>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</si>
  <si>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</si>
  <si>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</si>
  <si>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</si>
  <si>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</si>
  <si>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</si>
  <si>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</si>
  <si>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</si>
  <si>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</si>
  <si>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</si>
  <si>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</si>
  <si>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</si>
  <si>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</si>
  <si>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</si>
  <si>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</si>
  <si>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</si>
  <si>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</si>
  <si>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</si>
  <si>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</si>
  <si>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</si>
  <si>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</si>
  <si>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</si>
  <si>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</si>
  <si>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</si>
  <si>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</si>
  <si>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</si>
  <si>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</si>
  <si>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</si>
  <si>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</si>
  <si>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</si>
  <si>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</si>
  <si>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</si>
  <si>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</si>
  <si>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</si>
  <si>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</si>
  <si>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</si>
  <si>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</si>
  <si>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</si>
  <si>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</si>
  <si>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</si>
  <si>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</si>
  <si>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</si>
  <si>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</si>
  <si>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</si>
  <si>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</si>
  <si>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</si>
  <si>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</si>
  <si>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</si>
  <si>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</si>
  <si>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</si>
  <si>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</si>
  <si>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</si>
  <si>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</si>
  <si>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</si>
  <si>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</si>
  <si>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</si>
  <si>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</si>
  <si>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</si>
  <si>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</si>
  <si>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</si>
  <si>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</si>
  <si>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</si>
  <si>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</si>
  <si>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</si>
  <si>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</si>
  <si>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</si>
  <si>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</si>
  <si>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</si>
  <si>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</si>
  <si>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</si>
  <si>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</si>
  <si>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</si>
  <si>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</si>
  <si>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</si>
  <si>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</si>
  <si>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</si>
  <si>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</si>
  <si>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</si>
  <si>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</si>
  <si>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</si>
  <si>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</si>
  <si>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</si>
  <si>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</si>
  <si>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</si>
  <si>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</si>
  <si>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</si>
  <si>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</si>
  <si>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</si>
  <si>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</si>
  <si>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</si>
  <si>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</si>
  <si>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</si>
  <si>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</si>
  <si>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</si>
  <si>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</si>
  <si>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</si>
  <si>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</si>
  <si>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</si>
  <si>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</si>
  <si>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</si>
  <si>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</si>
  <si>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</si>
  <si>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</si>
  <si>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</si>
  <si>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</si>
  <si>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</si>
  <si>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</si>
  <si>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</si>
  <si>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</si>
  <si>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</si>
  <si>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</si>
  <si>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</si>
  <si>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</si>
  <si>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</si>
  <si>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</si>
  <si>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</si>
  <si>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</si>
  <si>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</si>
  <si>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</si>
  <si>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</si>
  <si>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</si>
  <si>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</si>
  <si>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</si>
  <si>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</si>
  <si>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</si>
  <si>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</si>
  <si>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</si>
  <si>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</si>
  <si>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</si>
  <si>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</si>
  <si>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</si>
  <si>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</si>
  <si>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</si>
  <si>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</si>
  <si>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</si>
  <si>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</si>
  <si>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</si>
  <si>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</si>
  <si>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</si>
  <si>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</si>
  <si>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</si>
  <si>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</si>
  <si>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</si>
  <si>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</si>
  <si>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</si>
  <si>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</si>
  <si>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</si>
  <si>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</si>
  <si>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</si>
  <si>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</si>
  <si>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</si>
  <si>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</si>
  <si>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</si>
  <si>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</si>
  <si>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</si>
  <si>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</si>
  <si>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</si>
  <si>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</si>
  <si>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</si>
  <si>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</si>
  <si>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</si>
  <si>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</si>
  <si>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</si>
  <si>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</si>
  <si>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</si>
  <si>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</si>
  <si>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</si>
  <si>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</si>
  <si>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</si>
  <si>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</si>
  <si>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</si>
  <si>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</si>
  <si>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</si>
  <si>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</si>
  <si>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</si>
  <si>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</si>
  <si>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</si>
  <si>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</si>
  <si>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</si>
  <si>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</si>
  <si>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</si>
  <si>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</si>
  <si>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</si>
  <si>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</si>
  <si>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</si>
  <si>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</si>
  <si>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</si>
  <si>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</si>
  <si>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</si>
  <si>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</si>
  <si>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</si>
  <si>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</si>
  <si>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</si>
  <si>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</si>
  <si>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</si>
  <si>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</si>
  <si>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</si>
  <si>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</si>
  <si>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</si>
  <si>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</si>
  <si>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</si>
  <si>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</si>
  <si>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</si>
  <si>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</si>
  <si>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</si>
  <si>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</si>
  <si>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</si>
  <si>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</si>
  <si>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</si>
  <si>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</si>
  <si>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</si>
  <si>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</si>
  <si>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</si>
  <si>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</si>
  <si>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</si>
  <si>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</si>
  <si>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</si>
  <si>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</si>
  <si>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</si>
  <si>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</si>
  <si>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</si>
  <si>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</si>
  <si>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</si>
  <si>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</si>
  <si>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</si>
  <si>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</si>
  <si>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</si>
  <si>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</si>
  <si>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</si>
  <si>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</si>
  <si>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</si>
  <si>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</si>
  <si>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</si>
  <si>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</si>
  <si>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</si>
  <si>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</si>
  <si>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</si>
  <si>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</si>
  <si>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</si>
  <si>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tables_391100</t>
    <phoneticPr fontId="22"/>
  </si>
  <si>
    <t>tables_391011</t>
    <phoneticPr fontId="22"/>
  </si>
  <si>
    <t>gacha_select_tables_</t>
    <phoneticPr fontId="22"/>
  </si>
  <si>
    <t>tables_395010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</si>
</sst>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9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0" fontId="4" fillId="4" borderId="1" xfId="2978" applyFont="1" applyFill="1" applyBorder="1"/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2978" applyFont="1" applyBorder="1"/>
    <xf numFmtId="0" fontId="1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 t="shared" ref="C2" si="0">RIGHT(F2,6)</f>
        <v>391100</v>
      </c>
      <c r="D2" s="19" t="s">
        <v>45</v>
      </c>
      <c r="E2" s="17" t="str">
        <f t="shared" ref="E2" si="1">B2&amp;C2&amp;D2</f>
        <v>gacha_select_tables_391100.tmp</v>
      </c>
      <c r="F2" s="93" t="s">
        <v>247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395010</v>
      </c>
      <c r="D3" s="19" t="s">
        <v>45</v>
      </c>
      <c r="E3" s="17" t="str">
        <f t="shared" ref="E3:E10" si="3">B3&amp;C3&amp;D3</f>
        <v>gacha_select_tables_395010.tmp</v>
      </c>
      <c r="F3" s="97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6" t="s">
        <v>249</v>
      </c>
      <c r="C4" s="50" t="str">
        <f>RIGHT(F4,6)</f>
        <v>391011</v>
      </c>
      <c r="D4" s="19" t="s">
        <v>45</v>
      </c>
      <c r="E4" s="17" t="str">
        <f>B4&amp;C4&amp;D4</f>
        <v>gacha_select_tables_391011.tmp</v>
      </c>
      <c r="F4" s="95" t="s">
        <v>248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2" workbookViewId="0">
      <selection activeCell="E36" sqref="E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1.1111111111111111E-3</v>
      </c>
      <c r="F5">
        <f>(COUNTIF(tables_395010!C:C,input_395010!A28)+COUNTIF(tables_395010!C:C,input_395010!A29))</f>
        <v>45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1.0919540229885057E-2</v>
      </c>
      <c r="F6">
        <f>(COUNTIF(tables_395010!C:C,input_395010!A25)+COUNTIF(tables_395010!C:C,input_395010!A18)+COUNTIF(tables_395010!C:C,input_395010!A20)+COUNTIF(tables_395010!C:C,input_395010!A22))</f>
        <v>87</v>
      </c>
      <c r="H6" s="89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0.19425287356321841</v>
      </c>
      <c r="C17" s="85">
        <f t="shared" ref="C17:C31" si="2">SUMIF(Q:Q,A17,N:N)</f>
        <v>0</v>
      </c>
      <c r="D17" s="74">
        <f t="shared" ref="D17:D32" si="3">B17-C17</f>
        <v>0.19425287356321841</v>
      </c>
      <c r="E17">
        <f>COUNTIF(tables_395010!C:C,input_395010!A17)-COUNTIF(Q:Q,A17)</f>
        <v>20</v>
      </c>
      <c r="F17" s="43">
        <f>IFERROR(B17/E17,0)</f>
        <v>9.7126436781609198E-3</v>
      </c>
      <c r="G17">
        <f t="shared" ref="G17:G31" si="4">A$36*B17</f>
        <v>5070000.0000000009</v>
      </c>
      <c r="H17">
        <f t="shared" ref="H17:H31" si="5">IFERROR(ROUND(G17/E17,5),0)</f>
        <v>253500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2.4137931034482751E-2</v>
      </c>
      <c r="C18" s="85">
        <f t="shared" si="2"/>
        <v>0</v>
      </c>
      <c r="D18" s="74">
        <f t="shared" si="3"/>
        <v>2.4137931034482751E-2</v>
      </c>
      <c r="E18">
        <f>COUNTIF(tables_395010!C:C,input_395010!A18)-COUNTIF(Q:Q,A18)</f>
        <v>20</v>
      </c>
      <c r="F18" s="43">
        <f>IFERROR(B18/E18,0)</f>
        <v>1.2068965517241376E-3</v>
      </c>
      <c r="G18">
        <f t="shared" si="4"/>
        <v>629999.99999999977</v>
      </c>
      <c r="H18">
        <f t="shared" si="5"/>
        <v>31500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0.28390804597701147</v>
      </c>
      <c r="C19" s="85">
        <f t="shared" si="2"/>
        <v>0</v>
      </c>
      <c r="D19" s="74">
        <f t="shared" si="3"/>
        <v>0.28390804597701147</v>
      </c>
      <c r="E19">
        <f>COUNTIF(tables_395010!C:C,input_395010!A19)-COUNTIF(Q:Q,A19)</f>
        <v>52</v>
      </c>
      <c r="F19" s="43">
        <f t="shared" ref="F19:F31" si="8">IFERROR(B19/E19,0)</f>
        <v>5.4597701149425287E-3</v>
      </c>
      <c r="G19">
        <f t="shared" si="4"/>
        <v>7409999.9999999991</v>
      </c>
      <c r="H19">
        <f t="shared" si="5"/>
        <v>142500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0.2625421455938699</v>
      </c>
      <c r="C20" s="85">
        <f t="shared" si="2"/>
        <v>0</v>
      </c>
      <c r="D20" s="74">
        <f t="shared" si="3"/>
        <v>0.2625421455938699</v>
      </c>
      <c r="E20">
        <f>COUNTIF(tables_395010!C:C,input_395010!A20)-COUNTIF(Q:Q,A20)</f>
        <v>52</v>
      </c>
      <c r="F20" s="43">
        <f t="shared" si="8"/>
        <v>5.0488874152667292E-3</v>
      </c>
      <c r="G20">
        <f t="shared" si="4"/>
        <v>6852350.0000000047</v>
      </c>
      <c r="H20">
        <f t="shared" si="5"/>
        <v>131775.96153999999</v>
      </c>
      <c r="I20">
        <f t="shared" si="6"/>
        <v>0.96153999998932704</v>
      </c>
      <c r="J20">
        <f t="shared" si="7"/>
        <v>1.0399983360142062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2.1365900383141765E-2</v>
      </c>
      <c r="C21" s="85">
        <f t="shared" si="2"/>
        <v>0</v>
      </c>
      <c r="D21" s="74">
        <f t="shared" si="3"/>
        <v>2.1365900383141765E-2</v>
      </c>
      <c r="E21">
        <f>COUNTIF(tables_395010!C:C,input_395010!A21)-COUNTIF(Q:Q,A21)</f>
        <v>52</v>
      </c>
      <c r="F21" s="43">
        <f t="shared" si="8"/>
        <v>4.1088269967580319E-4</v>
      </c>
      <c r="G21">
        <f t="shared" si="4"/>
        <v>557650.00000000012</v>
      </c>
      <c r="H21">
        <f t="shared" si="5"/>
        <v>10724.03846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0.11410919540229884</v>
      </c>
      <c r="C22" s="85">
        <f t="shared" si="2"/>
        <v>0</v>
      </c>
      <c r="D22" s="74">
        <f t="shared" si="3"/>
        <v>0.11410919540229884</v>
      </c>
      <c r="E22">
        <f>COUNTIF(tables_395010!C:C,input_395010!A22)-COUNTIF(Q:Q,A22)</f>
        <v>11</v>
      </c>
      <c r="F22" s="43">
        <f t="shared" si="8"/>
        <v>1.0373563218390804E-2</v>
      </c>
      <c r="G22">
        <f t="shared" si="4"/>
        <v>2978250</v>
      </c>
      <c r="H22">
        <f t="shared" si="5"/>
        <v>270750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6.0057471264367817E-3</v>
      </c>
      <c r="C23" s="85">
        <f t="shared" si="2"/>
        <v>0</v>
      </c>
      <c r="D23" s="74">
        <f t="shared" si="3"/>
        <v>6.0057471264367817E-3</v>
      </c>
      <c r="E23">
        <f>COUNTIF(tables_395010!C:C,input_395010!A23)-COUNTIF(Q:Q,A23)</f>
        <v>11</v>
      </c>
      <c r="F23" s="43">
        <f t="shared" si="8"/>
        <v>5.4597701149425293E-4</v>
      </c>
      <c r="G23">
        <f t="shared" si="4"/>
        <v>156750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2.1839080459770115E-2</v>
      </c>
      <c r="C24" s="85">
        <f t="shared" si="2"/>
        <v>0</v>
      </c>
      <c r="D24" s="74">
        <f t="shared" si="3"/>
        <v>2.1839080459770115E-2</v>
      </c>
      <c r="E24">
        <f>COUNTIF(tables_395010!C:C,input_395010!A24)-COUNTIF(Q:Q,A24)</f>
        <v>4</v>
      </c>
      <c r="F24" s="43">
        <f t="shared" si="8"/>
        <v>5.4597701149425287E-3</v>
      </c>
      <c r="G24">
        <f t="shared" si="4"/>
        <v>570000</v>
      </c>
      <c r="H24">
        <f t="shared" si="5"/>
        <v>142500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1.9655172413793102E-2</v>
      </c>
      <c r="C25" s="85">
        <f t="shared" si="2"/>
        <v>0</v>
      </c>
      <c r="D25" s="74">
        <f t="shared" si="3"/>
        <v>1.9655172413793102E-2</v>
      </c>
      <c r="E25">
        <f>COUNTIF(tables_395010!C:C,input_395010!A25)-COUNTIF(Q:Q,A25)</f>
        <v>4</v>
      </c>
      <c r="F25" s="43">
        <f t="shared" si="8"/>
        <v>4.9137931034482756E-3</v>
      </c>
      <c r="G25">
        <f t="shared" si="4"/>
        <v>513000</v>
      </c>
      <c r="H25">
        <f t="shared" si="5"/>
        <v>128250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2.1839080459770117E-3</v>
      </c>
      <c r="C26" s="85">
        <f t="shared" si="2"/>
        <v>0</v>
      </c>
      <c r="D26" s="74">
        <f t="shared" si="3"/>
        <v>2.1839080459770117E-3</v>
      </c>
      <c r="E26">
        <f>COUNTIF(tables_395010!C:C,input_395010!A26)-COUNTIF(Q:Q,A26)</f>
        <v>4</v>
      </c>
      <c r="F26" s="43">
        <f t="shared" si="8"/>
        <v>5.4597701149425293E-4</v>
      </c>
      <c r="G26">
        <f t="shared" si="4"/>
        <v>57000.000000000007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2.9555555555555554E-2</v>
      </c>
      <c r="C27" s="85">
        <f t="shared" si="2"/>
        <v>0</v>
      </c>
      <c r="D27" s="74">
        <f t="shared" si="3"/>
        <v>2.9555555555555554E-2</v>
      </c>
      <c r="E27">
        <f>COUNTIF(tables_395010!C:C,input_395010!A27)-COUNTIF(Q:Q,A27)</f>
        <v>28</v>
      </c>
      <c r="F27" s="43">
        <f>IFERROR(B27/E27,0)</f>
        <v>1.0555555555555555E-3</v>
      </c>
      <c r="G27">
        <f t="shared" si="4"/>
        <v>771400</v>
      </c>
      <c r="H27">
        <f t="shared" si="5"/>
        <v>27550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1.5555555555555557E-3</v>
      </c>
      <c r="C28" s="85">
        <f t="shared" si="2"/>
        <v>0</v>
      </c>
      <c r="D28" s="74">
        <f t="shared" si="3"/>
        <v>1.5555555555555557E-3</v>
      </c>
      <c r="E28">
        <f>COUNTIF(tables_395010!C:C,input_395010!A28)-COUNTIF(Q:Q,A28)</f>
        <v>28</v>
      </c>
      <c r="F28" s="43">
        <f t="shared" si="8"/>
        <v>5.5555555555555558E-5</v>
      </c>
      <c r="G28">
        <f t="shared" si="4"/>
        <v>40600</v>
      </c>
      <c r="H28">
        <f t="shared" si="5"/>
        <v>1450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1.8888888888888889E-2</v>
      </c>
      <c r="C29" s="85">
        <f t="shared" si="2"/>
        <v>0</v>
      </c>
      <c r="D29" s="74">
        <f t="shared" si="3"/>
        <v>1.8888888888888889E-2</v>
      </c>
      <c r="E29">
        <f>COUNTIF(tables_395010!C:C,input_395010!A29)-COUNTIF(Q:Q,A29)</f>
        <v>17</v>
      </c>
      <c r="F29" s="43">
        <f t="shared" si="8"/>
        <v>1.1111111111111111E-3</v>
      </c>
      <c r="G29">
        <f t="shared" si="4"/>
        <v>493000</v>
      </c>
      <c r="H29">
        <f t="shared" si="5"/>
        <v>29000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COUNTIF(tables_395010!C:C,input_395010!A30)-COUNTIF(Q:Q,A30)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COUNTIF(tables_395010!C:C,input_395010!A31)-COUNTIF(Q:Q,A31)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7.0249042145595908E-3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SUMIF(tables_395010!C:C,input_395010!A40,tables_395010!O:O)</f>
        <v>7410000</v>
      </c>
      <c r="C40" s="54">
        <f t="shared" ref="C40:C46" ca="1" si="9">B40/B$47</f>
        <v>0.47402763561924283</v>
      </c>
      <c r="E40">
        <v>3</v>
      </c>
      <c r="F40">
        <f ca="1">SUMIF(tables_395010!J:J,input_395010!E40,tables_395010!O:O)</f>
        <v>13050000</v>
      </c>
      <c r="G40">
        <f ca="1">F40/A36</f>
        <v>0.5</v>
      </c>
    </row>
    <row r="41" spans="1:7" x14ac:dyDescent="0.15">
      <c r="A41" s="33" t="s">
        <v>104</v>
      </c>
      <c r="B41">
        <f ca="1">SUMIF(tables_395010!C:C,input_395010!A41,tables_395010!O:O)</f>
        <v>6852350.0000799922</v>
      </c>
      <c r="C41" s="54">
        <f t="shared" ca="1" si="9"/>
        <v>0.43835401740532215</v>
      </c>
      <c r="E41">
        <v>4</v>
      </c>
      <c r="F41">
        <f ca="1">SUMIF(tables_395010!J:J,input_395010!E41,tables_395010!O:O)</f>
        <v>11745000.000079991</v>
      </c>
      <c r="G41">
        <f ca="1">F41/A36</f>
        <v>0.45000000000306478</v>
      </c>
    </row>
    <row r="42" spans="1:7" x14ac:dyDescent="0.15">
      <c r="A42" s="33" t="s">
        <v>106</v>
      </c>
      <c r="B42">
        <f ca="1">SUMIF(tables_395010!C:C,input_395010!A42,tables_395010!O:O)</f>
        <v>771400</v>
      </c>
      <c r="C42" s="54">
        <f t="shared" ca="1" si="9"/>
        <v>4.9347492323439122E-2</v>
      </c>
      <c r="E42">
        <v>5</v>
      </c>
      <c r="F42">
        <f ca="1">SUMIF(tables_395010!J:J,input_395010!E42,tables_395010!O:O)</f>
        <v>1304999.9999199999</v>
      </c>
      <c r="G42">
        <f ca="1">F42/A36</f>
        <v>4.9999999996934857E-2</v>
      </c>
    </row>
    <row r="43" spans="1:7" x14ac:dyDescent="0.15">
      <c r="A43" s="33" t="s">
        <v>109</v>
      </c>
      <c r="B43">
        <f>SUMIF(tables_395010!C:C,input_395010!A43,tables_395010!O:O)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SUMIF(tables_395010!C:C,input_395010!A44,tables_395010!O:O)</f>
        <v>557649.99992000021</v>
      </c>
      <c r="C44" s="54">
        <f t="shared" ca="1" si="9"/>
        <v>3.5673618213920191E-2</v>
      </c>
      <c r="E44" t="s">
        <v>54</v>
      </c>
      <c r="F44" s="55"/>
    </row>
    <row r="45" spans="1:7" x14ac:dyDescent="0.15">
      <c r="A45" s="33" t="s">
        <v>107</v>
      </c>
      <c r="B45">
        <f ca="1">SUMIF(tables_395010!C:C,input_395010!A45,tables_395010!O:O)</f>
        <v>40600</v>
      </c>
      <c r="C45" s="54">
        <f t="shared" ca="1" si="9"/>
        <v>2.5972364380757434E-3</v>
      </c>
      <c r="E45" t="s">
        <v>204</v>
      </c>
      <c r="F45" s="55">
        <f ca="1">SUMIF(tables_395010!I:I,input_395010!E45,tables_395010!P:P)</f>
        <v>0.21839080459770122</v>
      </c>
    </row>
    <row r="46" spans="1:7" x14ac:dyDescent="0.15">
      <c r="A46" s="33" t="s">
        <v>108</v>
      </c>
      <c r="B46">
        <f>SUMIF(tables_395010!C:C,input_395010!A46,tables_395010!O:O)</f>
        <v>0</v>
      </c>
      <c r="C46" s="54">
        <f t="shared" ca="1" si="9"/>
        <v>0</v>
      </c>
      <c r="E46" t="s">
        <v>205</v>
      </c>
      <c r="F46" s="55">
        <f ca="1">SUMIF(tables_395010!I:I,input_395010!E46,tables_395010!P:P)</f>
        <v>0.21839080459770113</v>
      </c>
    </row>
    <row r="47" spans="1:7" x14ac:dyDescent="0.15">
      <c r="A47" s="39" t="s">
        <v>59</v>
      </c>
      <c r="B47">
        <f ca="1">SUM(B40:B46)</f>
        <v>15631999.999999993</v>
      </c>
      <c r="C47" s="55">
        <f ca="1">SUM(C40:C46)</f>
        <v>1</v>
      </c>
      <c r="E47" t="s">
        <v>206</v>
      </c>
      <c r="F47" s="55">
        <f ca="1">SUMIF(tables_395010!I:I,input_395010!E47,tables_395010!P:P)</f>
        <v>0.5132183908045973</v>
      </c>
    </row>
    <row r="48" spans="1:7" x14ac:dyDescent="0.15">
      <c r="E48" t="s">
        <v>207</v>
      </c>
      <c r="F48" s="55">
        <f ca="1">SUMIF(tables_395010!I:I,input_395010!E48,tables_395010!P:P)</f>
        <v>5.000000000000001E-2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77" activePane="bottomLeft" state="frozen"/>
      <selection activeCell="H276" sqref="H276"/>
      <selection pane="bottomLeft" activeCell="B305" sqref="B3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input_395010!A$2</f>
        <v>395010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IFERROR(VLOOKUP(B2,input_395010!L:R,7,FALSE),VLOOKUP(tables_395010!C2,input_395010!A:H,8,FALSE))</f>
        <v>253500</v>
      </c>
      <c r="P2" s="46">
        <f t="shared" ref="P2:P65" ca="1" si="2">O2/SUM(O:O)</f>
        <v>9.7126436781609198E-3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input_395010!A$2</f>
        <v>395010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IFERROR(VLOOKUP(B3,input_395010!L:R,7,FALSE),VLOOKUP(tables_395010!C3,input_395010!A:H,8,FALSE))</f>
        <v>31500</v>
      </c>
      <c r="P3" s="46">
        <f t="shared" ca="1" si="2"/>
        <v>1.206896551724138E-3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input_395010!A$2</f>
        <v>395010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IFERROR(VLOOKUP(B4,input_395010!L:R,7,FALSE),VLOOKUP(tables_395010!C4,input_395010!A:H,8,FALSE))</f>
        <v>253500</v>
      </c>
      <c r="P4" s="46">
        <f t="shared" ca="1" si="2"/>
        <v>9.7126436781609198E-3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input_395010!A$2</f>
        <v>395010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IFERROR(VLOOKUP(B5,input_395010!L:R,7,FALSE),VLOOKUP(tables_395010!C5,input_395010!A:H,8,FALSE))</f>
        <v>31500</v>
      </c>
      <c r="P5" s="46">
        <f t="shared" ca="1" si="2"/>
        <v>1.206896551724138E-3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input_395010!A$2</f>
        <v>395010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IFERROR(VLOOKUP(B6,input_395010!L:R,7,FALSE),VLOOKUP(tables_395010!C6,input_395010!A:H,8,FALSE))</f>
        <v>253500</v>
      </c>
      <c r="P6" s="46">
        <f t="shared" ca="1" si="2"/>
        <v>9.7126436781609198E-3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input_395010!A$2</f>
        <v>395010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IFERROR(VLOOKUP(B7,input_395010!L:R,7,FALSE),VLOOKUP(tables_395010!C7,input_395010!A:H,8,FALSE))</f>
        <v>31500</v>
      </c>
      <c r="P7" s="46">
        <f t="shared" ca="1" si="2"/>
        <v>1.206896551724138E-3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input_395010!A$2</f>
        <v>395010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IFERROR(VLOOKUP(B8,input_395010!L:R,7,FALSE),VLOOKUP(tables_395010!C8,input_395010!A:H,8,FALSE))</f>
        <v>253500</v>
      </c>
      <c r="P8" s="46">
        <f t="shared" ca="1" si="2"/>
        <v>9.7126436781609198E-3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input_395010!A$2</f>
        <v>395010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IFERROR(VLOOKUP(B9,input_395010!L:R,7,FALSE),VLOOKUP(tables_395010!C9,input_395010!A:H,8,FALSE))</f>
        <v>31500</v>
      </c>
      <c r="P9" s="46">
        <f t="shared" ca="1" si="2"/>
        <v>1.206896551724138E-3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input_395010!A$2</f>
        <v>395010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IFERROR(VLOOKUP(B10,input_395010!L:R,7,FALSE),VLOOKUP(tables_395010!C10,input_395010!A:H,8,FALSE))</f>
        <v>253500</v>
      </c>
      <c r="P10" s="46">
        <f t="shared" ca="1" si="2"/>
        <v>9.7126436781609198E-3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input_395010!A$2</f>
        <v>395010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IFERROR(VLOOKUP(B11,input_395010!L:R,7,FALSE),VLOOKUP(tables_395010!C11,input_395010!A:H,8,FALSE))</f>
        <v>31500</v>
      </c>
      <c r="P11" s="46">
        <f t="shared" ca="1" si="2"/>
        <v>1.206896551724138E-3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input_395010!A$2</f>
        <v>395010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IFERROR(VLOOKUP(B12,input_395010!L:R,7,FALSE),VLOOKUP(tables_395010!C12,input_395010!A:H,8,FALSE))</f>
        <v>253500</v>
      </c>
      <c r="P12" s="46">
        <f t="shared" ca="1" si="2"/>
        <v>9.7126436781609198E-3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input_395010!A$2</f>
        <v>395010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IFERROR(VLOOKUP(B13,input_395010!L:R,7,FALSE),VLOOKUP(tables_395010!C13,input_395010!A:H,8,FALSE))</f>
        <v>31500</v>
      </c>
      <c r="P13" s="46">
        <f t="shared" ca="1" si="2"/>
        <v>1.206896551724138E-3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input_395010!A$2</f>
        <v>395010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IFERROR(VLOOKUP(B14,input_395010!L:R,7,FALSE),VLOOKUP(tables_395010!C14,input_395010!A:H,8,FALSE))</f>
        <v>253500</v>
      </c>
      <c r="P14" s="46">
        <f t="shared" ca="1" si="2"/>
        <v>9.7126436781609198E-3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input_395010!A$2</f>
        <v>395010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IFERROR(VLOOKUP(B15,input_395010!L:R,7,FALSE),VLOOKUP(tables_395010!C15,input_395010!A:H,8,FALSE))</f>
        <v>31500</v>
      </c>
      <c r="P15" s="46">
        <f t="shared" ca="1" si="2"/>
        <v>1.206896551724138E-3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input_395010!A$2</f>
        <v>395010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IFERROR(VLOOKUP(B16,input_395010!L:R,7,FALSE),VLOOKUP(tables_395010!C16,input_395010!A:H,8,FALSE))</f>
        <v>253500</v>
      </c>
      <c r="P16" s="46">
        <f t="shared" ca="1" si="2"/>
        <v>9.7126436781609198E-3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input_395010!A$2</f>
        <v>395010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IFERROR(VLOOKUP(B17,input_395010!L:R,7,FALSE),VLOOKUP(tables_395010!C17,input_395010!A:H,8,FALSE))</f>
        <v>31500</v>
      </c>
      <c r="P17" s="46">
        <f t="shared" ca="1" si="2"/>
        <v>1.206896551724138E-3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input_395010!A$2</f>
        <v>395010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IFERROR(VLOOKUP(B18,input_395010!L:R,7,FALSE),VLOOKUP(tables_395010!C18,input_395010!A:H,8,FALSE))</f>
        <v>253500</v>
      </c>
      <c r="P18" s="46">
        <f t="shared" ca="1" si="2"/>
        <v>9.7126436781609198E-3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input_395010!A$2</f>
        <v>395010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IFERROR(VLOOKUP(B19,input_395010!L:R,7,FALSE),VLOOKUP(tables_395010!C19,input_395010!A:H,8,FALSE))</f>
        <v>31500</v>
      </c>
      <c r="P19" s="46">
        <f t="shared" ca="1" si="2"/>
        <v>1.206896551724138E-3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input_395010!A$2</f>
        <v>395010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IFERROR(VLOOKUP(B20,input_395010!L:R,7,FALSE),VLOOKUP(tables_395010!C20,input_395010!A:H,8,FALSE))</f>
        <v>253500</v>
      </c>
      <c r="P20" s="46">
        <f t="shared" ca="1" si="2"/>
        <v>9.7126436781609198E-3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input_395010!A$2</f>
        <v>395010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IFERROR(VLOOKUP(B21,input_395010!L:R,7,FALSE),VLOOKUP(tables_395010!C21,input_395010!A:H,8,FALSE))</f>
        <v>31500</v>
      </c>
      <c r="P21" s="46">
        <f t="shared" ca="1" si="2"/>
        <v>1.206896551724138E-3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input_395010!A$2</f>
        <v>395010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IFERROR(VLOOKUP(B22,input_395010!L:R,7,FALSE),VLOOKUP(tables_395010!C22,input_395010!A:H,8,FALSE))</f>
        <v>253500</v>
      </c>
      <c r="P22" s="46">
        <f t="shared" ca="1" si="2"/>
        <v>9.7126436781609198E-3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input_395010!A$2</f>
        <v>395010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IFERROR(VLOOKUP(B23,input_395010!L:R,7,FALSE),VLOOKUP(tables_395010!C23,input_395010!A:H,8,FALSE))</f>
        <v>31500</v>
      </c>
      <c r="P23" s="46">
        <f t="shared" ca="1" si="2"/>
        <v>1.206896551724138E-3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input_395010!A$2</f>
        <v>395010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IFERROR(VLOOKUP(B24,input_395010!L:R,7,FALSE),VLOOKUP(tables_395010!C24,input_395010!A:H,8,FALSE))</f>
        <v>253500</v>
      </c>
      <c r="P24" s="46">
        <f t="shared" ca="1" si="2"/>
        <v>9.7126436781609198E-3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input_395010!A$2</f>
        <v>395010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IFERROR(VLOOKUP(B25,input_395010!L:R,7,FALSE),VLOOKUP(tables_395010!C25,input_395010!A:H,8,FALSE))</f>
        <v>31500</v>
      </c>
      <c r="P25" s="46">
        <f t="shared" ca="1" si="2"/>
        <v>1.206896551724138E-3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input_395010!A$2</f>
        <v>395010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IFERROR(VLOOKUP(B26,input_395010!L:R,7,FALSE),VLOOKUP(tables_395010!C26,input_395010!A:H,8,FALSE))</f>
        <v>253500</v>
      </c>
      <c r="P26" s="46">
        <f t="shared" ca="1" si="2"/>
        <v>9.7126436781609198E-3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input_395010!A$2</f>
        <v>395010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IFERROR(VLOOKUP(B27,input_395010!L:R,7,FALSE),VLOOKUP(tables_395010!C27,input_395010!A:H,8,FALSE))</f>
        <v>31500</v>
      </c>
      <c r="P27" s="46">
        <f t="shared" ca="1" si="2"/>
        <v>1.206896551724138E-3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input_395010!A$2</f>
        <v>395010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IFERROR(VLOOKUP(B28,input_395010!L:R,7,FALSE),VLOOKUP(tables_395010!C28,input_395010!A:H,8,FALSE))</f>
        <v>253500</v>
      </c>
      <c r="P28" s="46">
        <f t="shared" ca="1" si="2"/>
        <v>9.7126436781609198E-3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input_395010!A$2</f>
        <v>395010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IFERROR(VLOOKUP(B29,input_395010!L:R,7,FALSE),VLOOKUP(tables_395010!C29,input_395010!A:H,8,FALSE))</f>
        <v>31500</v>
      </c>
      <c r="P29" s="46">
        <f t="shared" ca="1" si="2"/>
        <v>1.206896551724138E-3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input_395010!A$2</f>
        <v>395010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IFERROR(VLOOKUP(B30,input_395010!L:R,7,FALSE),VLOOKUP(tables_395010!C30,input_395010!A:H,8,FALSE))</f>
        <v>253500</v>
      </c>
      <c r="P30" s="46">
        <f t="shared" ca="1" si="2"/>
        <v>9.7126436781609198E-3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input_395010!A$2</f>
        <v>395010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IFERROR(VLOOKUP(B31,input_395010!L:R,7,FALSE),VLOOKUP(tables_395010!C31,input_395010!A:H,8,FALSE))</f>
        <v>31500</v>
      </c>
      <c r="P31" s="46">
        <f t="shared" ca="1" si="2"/>
        <v>1.206896551724138E-3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input_395010!A$2</f>
        <v>395010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IFERROR(VLOOKUP(B32,input_395010!L:R,7,FALSE),VLOOKUP(tables_395010!C32,input_395010!A:H,8,FALSE))</f>
        <v>253500</v>
      </c>
      <c r="P32" s="46">
        <f t="shared" ca="1" si="2"/>
        <v>9.7126436781609198E-3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input_395010!A$2</f>
        <v>395010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IFERROR(VLOOKUP(B33,input_395010!L:R,7,FALSE),VLOOKUP(tables_395010!C33,input_395010!A:H,8,FALSE))</f>
        <v>31500</v>
      </c>
      <c r="P33" s="46">
        <f t="shared" ca="1" si="2"/>
        <v>1.206896551724138E-3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input_395010!A$2</f>
        <v>395010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IFERROR(VLOOKUP(B34,input_395010!L:R,7,FALSE),VLOOKUP(tables_395010!C34,input_395010!A:H,8,FALSE))</f>
        <v>253500</v>
      </c>
      <c r="P34" s="46">
        <f t="shared" ca="1" si="2"/>
        <v>9.7126436781609198E-3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input_395010!A$2</f>
        <v>395010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IFERROR(VLOOKUP(B35,input_395010!L:R,7,FALSE),VLOOKUP(tables_395010!C35,input_395010!A:H,8,FALSE))</f>
        <v>31500</v>
      </c>
      <c r="P35" s="46">
        <f t="shared" ca="1" si="2"/>
        <v>1.206896551724138E-3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input_395010!A$2</f>
        <v>395010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IFERROR(VLOOKUP(B36,input_395010!L:R,7,FALSE),VLOOKUP(tables_395010!C36,input_395010!A:H,8,FALSE))</f>
        <v>253500</v>
      </c>
      <c r="P36" s="46">
        <f t="shared" ca="1" si="2"/>
        <v>9.7126436781609198E-3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input_395010!A$2</f>
        <v>395010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IFERROR(VLOOKUP(B37,input_395010!L:R,7,FALSE),VLOOKUP(tables_395010!C37,input_395010!A:H,8,FALSE))</f>
        <v>31500</v>
      </c>
      <c r="P37" s="46">
        <f t="shared" ca="1" si="2"/>
        <v>1.206896551724138E-3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input_395010!A$2</f>
        <v>395010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IFERROR(VLOOKUP(B38,input_395010!L:R,7,FALSE),VLOOKUP(tables_395010!C38,input_395010!A:H,8,FALSE))</f>
        <v>253500</v>
      </c>
      <c r="P38" s="46">
        <f t="shared" ca="1" si="2"/>
        <v>9.7126436781609198E-3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input_395010!A$2</f>
        <v>395010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IFERROR(VLOOKUP(B39,input_395010!L:R,7,FALSE),VLOOKUP(tables_395010!C39,input_395010!A:H,8,FALSE))</f>
        <v>31500</v>
      </c>
      <c r="P39" s="46">
        <f t="shared" ca="1" si="2"/>
        <v>1.206896551724138E-3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input_395010!A$2</f>
        <v>395010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IFERROR(VLOOKUP(B40,input_395010!L:R,7,FALSE),VLOOKUP(tables_395010!C40,input_395010!A:H,8,FALSE))</f>
        <v>253500</v>
      </c>
      <c r="P40" s="46">
        <f t="shared" ca="1" si="2"/>
        <v>9.7126436781609198E-3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input_395010!A$2</f>
        <v>395010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IFERROR(VLOOKUP(B41,input_395010!L:R,7,FALSE),VLOOKUP(tables_395010!C41,input_395010!A:H,8,FALSE))</f>
        <v>31500</v>
      </c>
      <c r="P41" s="46">
        <f t="shared" ca="1" si="2"/>
        <v>1.206896551724138E-3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input_395010!A$2</f>
        <v>395010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IFERROR(VLOOKUP(B42,input_395010!L:R,7,FALSE),VLOOKUP(tables_395010!C42,input_395010!A:H,8,FALSE))</f>
        <v>142500</v>
      </c>
      <c r="P42" s="46">
        <f t="shared" ca="1" si="2"/>
        <v>5.4597701149425287E-3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input_395010!A$2</f>
        <v>395010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IFERROR(VLOOKUP(B43,input_395010!L:R,7,FALSE),VLOOKUP(tables_395010!C43,input_395010!A:H,8,FALSE))</f>
        <v>128250</v>
      </c>
      <c r="P43" s="46">
        <f t="shared" ca="1" si="2"/>
        <v>4.9137931034482756E-3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input_395010!A$2</f>
        <v>395010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IFERROR(VLOOKUP(B44,input_395010!L:R,7,FALSE),VLOOKUP(tables_395010!C44,input_395010!A:H,8,FALSE))</f>
        <v>14250</v>
      </c>
      <c r="P44" s="46">
        <f t="shared" ca="1" si="2"/>
        <v>5.4597701149425282E-4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input_395010!A$2</f>
        <v>395010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IFERROR(VLOOKUP(B45,input_395010!L:R,7,FALSE),VLOOKUP(tables_395010!C45,input_395010!A:H,8,FALSE))</f>
        <v>142500</v>
      </c>
      <c r="P45" s="46">
        <f t="shared" ca="1" si="2"/>
        <v>5.4597701149425287E-3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input_395010!A$2</f>
        <v>395010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IFERROR(VLOOKUP(B46,input_395010!L:R,7,FALSE),VLOOKUP(tables_395010!C46,input_395010!A:H,8,FALSE))</f>
        <v>128250</v>
      </c>
      <c r="P46" s="46">
        <f t="shared" ca="1" si="2"/>
        <v>4.9137931034482756E-3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input_395010!A$2</f>
        <v>395010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IFERROR(VLOOKUP(B47,input_395010!L:R,7,FALSE),VLOOKUP(tables_395010!C47,input_395010!A:H,8,FALSE))</f>
        <v>14250</v>
      </c>
      <c r="P47" s="46">
        <f t="shared" ca="1" si="2"/>
        <v>5.4597701149425282E-4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input_395010!A$2</f>
        <v>395010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IFERROR(VLOOKUP(B48,input_395010!L:R,7,FALSE),VLOOKUP(tables_395010!C48,input_395010!A:H,8,FALSE))</f>
        <v>142500</v>
      </c>
      <c r="P48" s="46">
        <f t="shared" ca="1" si="2"/>
        <v>5.4597701149425287E-3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input_395010!A$2</f>
        <v>395010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IFERROR(VLOOKUP(B49,input_395010!L:R,7,FALSE),VLOOKUP(tables_395010!C49,input_395010!A:H,8,FALSE))</f>
        <v>128250</v>
      </c>
      <c r="P49" s="46">
        <f t="shared" ca="1" si="2"/>
        <v>4.9137931034482756E-3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input_395010!A$2</f>
        <v>395010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IFERROR(VLOOKUP(B50,input_395010!L:R,7,FALSE),VLOOKUP(tables_395010!C50,input_395010!A:H,8,FALSE))</f>
        <v>14250</v>
      </c>
      <c r="P50" s="46">
        <f t="shared" ca="1" si="2"/>
        <v>5.4597701149425282E-4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input_395010!A$2</f>
        <v>395010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IFERROR(VLOOKUP(B51,input_395010!L:R,7,FALSE),VLOOKUP(tables_395010!C51,input_395010!A:H,8,FALSE))</f>
        <v>142500</v>
      </c>
      <c r="P51" s="46">
        <f t="shared" ca="1" si="2"/>
        <v>5.4597701149425287E-3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input_395010!A$2</f>
        <v>395010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IFERROR(VLOOKUP(B52,input_395010!L:R,7,FALSE),VLOOKUP(tables_395010!C52,input_395010!A:H,8,FALSE))</f>
        <v>131775.96153999999</v>
      </c>
      <c r="P52" s="46">
        <f t="shared" ca="1" si="2"/>
        <v>5.0488874153256699E-3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input_395010!A$2</f>
        <v>395010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IFERROR(VLOOKUP(B53,input_395010!L:R,7,FALSE),VLOOKUP(tables_395010!C53,input_395010!A:H,8,FALSE))</f>
        <v>10724.03846</v>
      </c>
      <c r="P53" s="46">
        <f t="shared" ca="1" si="2"/>
        <v>4.1088269961685821E-4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input_395010!A$2</f>
        <v>395010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IFERROR(VLOOKUP(B54,input_395010!L:R,7,FALSE),VLOOKUP(tables_395010!C54,input_395010!A:H,8,FALSE))</f>
        <v>142500</v>
      </c>
      <c r="P54" s="46">
        <f t="shared" ca="1" si="2"/>
        <v>5.4597701149425287E-3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input_395010!A$2</f>
        <v>395010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IFERROR(VLOOKUP(B55,input_395010!L:R,7,FALSE),VLOOKUP(tables_395010!C55,input_395010!A:H,8,FALSE))</f>
        <v>131775.96153999999</v>
      </c>
      <c r="P55" s="46">
        <f t="shared" ca="1" si="2"/>
        <v>5.0488874153256699E-3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input_395010!A$2</f>
        <v>395010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IFERROR(VLOOKUP(B56,input_395010!L:R,7,FALSE),VLOOKUP(tables_395010!C56,input_395010!A:H,8,FALSE))</f>
        <v>10724.03846</v>
      </c>
      <c r="P56" s="46">
        <f t="shared" ca="1" si="2"/>
        <v>4.1088269961685821E-4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input_395010!A$2</f>
        <v>395010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IFERROR(VLOOKUP(B57,input_395010!L:R,7,FALSE),VLOOKUP(tables_395010!C57,input_395010!A:H,8,FALSE))</f>
        <v>142500</v>
      </c>
      <c r="P57" s="46">
        <f t="shared" ca="1" si="2"/>
        <v>5.4597701149425287E-3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input_395010!A$2</f>
        <v>395010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IFERROR(VLOOKUP(B58,input_395010!L:R,7,FALSE),VLOOKUP(tables_395010!C58,input_395010!A:H,8,FALSE))</f>
        <v>131775.96153999999</v>
      </c>
      <c r="P58" s="46">
        <f t="shared" ca="1" si="2"/>
        <v>5.0488874153256699E-3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input_395010!A$2</f>
        <v>395010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IFERROR(VLOOKUP(B59,input_395010!L:R,7,FALSE),VLOOKUP(tables_395010!C59,input_395010!A:H,8,FALSE))</f>
        <v>10724.03846</v>
      </c>
      <c r="P59" s="46">
        <f t="shared" ca="1" si="2"/>
        <v>4.1088269961685821E-4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input_395010!A$2</f>
        <v>395010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IFERROR(VLOOKUP(B60,input_395010!L:R,7,FALSE),VLOOKUP(tables_395010!C60,input_395010!A:H,8,FALSE))</f>
        <v>142500</v>
      </c>
      <c r="P60" s="46">
        <f t="shared" ca="1" si="2"/>
        <v>5.4597701149425287E-3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input_395010!A$2</f>
        <v>395010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IFERROR(VLOOKUP(B61,input_395010!L:R,7,FALSE),VLOOKUP(tables_395010!C61,input_395010!A:H,8,FALSE))</f>
        <v>131775.96153999999</v>
      </c>
      <c r="P61" s="46">
        <f t="shared" ca="1" si="2"/>
        <v>5.0488874153256699E-3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input_395010!A$2</f>
        <v>395010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IFERROR(VLOOKUP(B62,input_395010!L:R,7,FALSE),VLOOKUP(tables_395010!C62,input_395010!A:H,8,FALSE))</f>
        <v>10724.03846</v>
      </c>
      <c r="P62" s="46">
        <f t="shared" ca="1" si="2"/>
        <v>4.1088269961685821E-4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input_395010!A$2</f>
        <v>395010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IFERROR(VLOOKUP(B63,input_395010!L:R,7,FALSE),VLOOKUP(tables_395010!C63,input_395010!A:H,8,FALSE))</f>
        <v>142500</v>
      </c>
      <c r="P63" s="46">
        <f t="shared" ca="1" si="2"/>
        <v>5.4597701149425287E-3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input_395010!A$2</f>
        <v>395010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IFERROR(VLOOKUP(B64,input_395010!L:R,7,FALSE),VLOOKUP(tables_395010!C64,input_395010!A:H,8,FALSE))</f>
        <v>131775.96153999999</v>
      </c>
      <c r="P64" s="46">
        <f t="shared" ca="1" si="2"/>
        <v>5.0488874153256699E-3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input_395010!A$2</f>
        <v>395010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IFERROR(VLOOKUP(B65,input_395010!L:R,7,FALSE),VLOOKUP(tables_395010!C65,input_395010!A:H,8,FALSE))</f>
        <v>10724.03846</v>
      </c>
      <c r="P65" s="46">
        <f t="shared" ca="1" si="2"/>
        <v>4.1088269961685821E-4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input_395010!A$2</f>
        <v>395010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IFERROR(VLOOKUP(B66,input_395010!L:R,7,FALSE),VLOOKUP(tables_395010!C66,input_395010!A:H,8,FALSE))</f>
        <v>142500</v>
      </c>
      <c r="P66" s="46">
        <f t="shared" ref="P66:P129" ca="1" si="5">O66/SUM(O:O)</f>
        <v>5.4597701149425287E-3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input_395010!A$2</f>
        <v>395010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IFERROR(VLOOKUP(B67,input_395010!L:R,7,FALSE),VLOOKUP(tables_395010!C67,input_395010!A:H,8,FALSE))</f>
        <v>131775.96153999999</v>
      </c>
      <c r="P67" s="46">
        <f t="shared" ca="1" si="5"/>
        <v>5.0488874153256699E-3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input_395010!A$2</f>
        <v>395010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IFERROR(VLOOKUP(B68,input_395010!L:R,7,FALSE),VLOOKUP(tables_395010!C68,input_395010!A:H,8,FALSE))</f>
        <v>10724.03846</v>
      </c>
      <c r="P68" s="46">
        <f t="shared" ca="1" si="5"/>
        <v>4.1088269961685821E-4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input_395010!A$2</f>
        <v>395010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IFERROR(VLOOKUP(B69,input_395010!L:R,7,FALSE),VLOOKUP(tables_395010!C69,input_395010!A:H,8,FALSE))</f>
        <v>142500</v>
      </c>
      <c r="P69" s="46">
        <f t="shared" ca="1" si="5"/>
        <v>5.4597701149425287E-3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input_395010!A$2</f>
        <v>395010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IFERROR(VLOOKUP(B70,input_395010!L:R,7,FALSE),VLOOKUP(tables_395010!C70,input_395010!A:H,8,FALSE))</f>
        <v>131775.96153999999</v>
      </c>
      <c r="P70" s="46">
        <f t="shared" ca="1" si="5"/>
        <v>5.0488874153256699E-3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input_395010!A$2</f>
        <v>395010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IFERROR(VLOOKUP(B71,input_395010!L:R,7,FALSE),VLOOKUP(tables_395010!C71,input_395010!A:H,8,FALSE))</f>
        <v>10724.03846</v>
      </c>
      <c r="P71" s="46">
        <f t="shared" ca="1" si="5"/>
        <v>4.1088269961685821E-4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input_395010!A$2</f>
        <v>395010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IFERROR(VLOOKUP(B72,input_395010!L:R,7,FALSE),VLOOKUP(tables_395010!C72,input_395010!A:H,8,FALSE))</f>
        <v>142500</v>
      </c>
      <c r="P72" s="46">
        <f t="shared" ca="1" si="5"/>
        <v>5.4597701149425287E-3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input_395010!A$2</f>
        <v>395010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IFERROR(VLOOKUP(B73,input_395010!L:R,7,FALSE),VLOOKUP(tables_395010!C73,input_395010!A:H,8,FALSE))</f>
        <v>131775.96153999999</v>
      </c>
      <c r="P73" s="46">
        <f t="shared" ca="1" si="5"/>
        <v>5.0488874153256699E-3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input_395010!A$2</f>
        <v>395010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IFERROR(VLOOKUP(B74,input_395010!L:R,7,FALSE),VLOOKUP(tables_395010!C74,input_395010!A:H,8,FALSE))</f>
        <v>10724.03846</v>
      </c>
      <c r="P74" s="46">
        <f t="shared" ca="1" si="5"/>
        <v>4.1088269961685821E-4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input_395010!A$2</f>
        <v>395010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IFERROR(VLOOKUP(B75,input_395010!L:R,7,FALSE),VLOOKUP(tables_395010!C75,input_395010!A:H,8,FALSE))</f>
        <v>142500</v>
      </c>
      <c r="P75" s="46">
        <f t="shared" ca="1" si="5"/>
        <v>5.4597701149425287E-3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input_395010!A$2</f>
        <v>395010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IFERROR(VLOOKUP(B76,input_395010!L:R,7,FALSE),VLOOKUP(tables_395010!C76,input_395010!A:H,8,FALSE))</f>
        <v>131775.96153999999</v>
      </c>
      <c r="P76" s="46">
        <f t="shared" ca="1" si="5"/>
        <v>5.0488874153256699E-3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input_395010!A$2</f>
        <v>395010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IFERROR(VLOOKUP(B77,input_395010!L:R,7,FALSE),VLOOKUP(tables_395010!C77,input_395010!A:H,8,FALSE))</f>
        <v>10724.03846</v>
      </c>
      <c r="P77" s="46">
        <f t="shared" ca="1" si="5"/>
        <v>4.1088269961685821E-4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input_395010!A$2</f>
        <v>395010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IFERROR(VLOOKUP(B78,input_395010!L:R,7,FALSE),VLOOKUP(tables_395010!C78,input_395010!A:H,8,FALSE))</f>
        <v>142500</v>
      </c>
      <c r="P78" s="46">
        <f t="shared" ca="1" si="5"/>
        <v>5.4597701149425287E-3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input_395010!A$2</f>
        <v>395010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IFERROR(VLOOKUP(B79,input_395010!L:R,7,FALSE),VLOOKUP(tables_395010!C79,input_395010!A:H,8,FALSE))</f>
        <v>131775.96153999999</v>
      </c>
      <c r="P79" s="46">
        <f t="shared" ca="1" si="5"/>
        <v>5.0488874153256699E-3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input_395010!A$2</f>
        <v>395010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IFERROR(VLOOKUP(B80,input_395010!L:R,7,FALSE),VLOOKUP(tables_395010!C80,input_395010!A:H,8,FALSE))</f>
        <v>10724.03846</v>
      </c>
      <c r="P80" s="46">
        <f t="shared" ca="1" si="5"/>
        <v>4.1088269961685821E-4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input_395010!A$2</f>
        <v>395010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IFERROR(VLOOKUP(B81,input_395010!L:R,7,FALSE),VLOOKUP(tables_395010!C81,input_395010!A:H,8,FALSE))</f>
        <v>142500</v>
      </c>
      <c r="P81" s="46">
        <f t="shared" ca="1" si="5"/>
        <v>5.4597701149425287E-3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input_395010!A$2</f>
        <v>395010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IFERROR(VLOOKUP(B82,input_395010!L:R,7,FALSE),VLOOKUP(tables_395010!C82,input_395010!A:H,8,FALSE))</f>
        <v>131775.96153999999</v>
      </c>
      <c r="P82" s="46">
        <f t="shared" ca="1" si="5"/>
        <v>5.0488874153256699E-3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input_395010!A$2</f>
        <v>395010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IFERROR(VLOOKUP(B83,input_395010!L:R,7,FALSE),VLOOKUP(tables_395010!C83,input_395010!A:H,8,FALSE))</f>
        <v>10724.03846</v>
      </c>
      <c r="P83" s="46">
        <f t="shared" ca="1" si="5"/>
        <v>4.1088269961685821E-4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input_395010!A$2</f>
        <v>395010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IFERROR(VLOOKUP(B84,input_395010!L:R,7,FALSE),VLOOKUP(tables_395010!C84,input_395010!A:H,8,FALSE))</f>
        <v>142500</v>
      </c>
      <c r="P84" s="46">
        <f t="shared" ca="1" si="5"/>
        <v>5.4597701149425287E-3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input_395010!A$2</f>
        <v>395010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IFERROR(VLOOKUP(B85,input_395010!L:R,7,FALSE),VLOOKUP(tables_395010!C85,input_395010!A:H,8,FALSE))</f>
        <v>131775.96153999999</v>
      </c>
      <c r="P85" s="46">
        <f t="shared" ca="1" si="5"/>
        <v>5.0488874153256699E-3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input_395010!A$2</f>
        <v>395010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IFERROR(VLOOKUP(B86,input_395010!L:R,7,FALSE),VLOOKUP(tables_395010!C86,input_395010!A:H,8,FALSE))</f>
        <v>10724.03846</v>
      </c>
      <c r="P86" s="46">
        <f t="shared" ca="1" si="5"/>
        <v>4.1088269961685821E-4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input_395010!A$2</f>
        <v>395010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IFERROR(VLOOKUP(B87,input_395010!L:R,7,FALSE),VLOOKUP(tables_395010!C87,input_395010!A:H,8,FALSE))</f>
        <v>142500</v>
      </c>
      <c r="P87" s="46">
        <f t="shared" ca="1" si="5"/>
        <v>5.4597701149425287E-3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input_395010!A$2</f>
        <v>395010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IFERROR(VLOOKUP(B88,input_395010!L:R,7,FALSE),VLOOKUP(tables_395010!C88,input_395010!A:H,8,FALSE))</f>
        <v>131775.96153999999</v>
      </c>
      <c r="P88" s="46">
        <f t="shared" ca="1" si="5"/>
        <v>5.0488874153256699E-3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input_395010!A$2</f>
        <v>395010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IFERROR(VLOOKUP(B89,input_395010!L:R,7,FALSE),VLOOKUP(tables_395010!C89,input_395010!A:H,8,FALSE))</f>
        <v>10724.03846</v>
      </c>
      <c r="P89" s="46">
        <f t="shared" ca="1" si="5"/>
        <v>4.1088269961685821E-4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input_395010!A$2</f>
        <v>395010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IFERROR(VLOOKUP(B90,input_395010!L:R,7,FALSE),VLOOKUP(tables_395010!C90,input_395010!A:H,8,FALSE))</f>
        <v>142500</v>
      </c>
      <c r="P90" s="46">
        <f t="shared" ca="1" si="5"/>
        <v>5.4597701149425287E-3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input_395010!A$2</f>
        <v>395010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IFERROR(VLOOKUP(B91,input_395010!L:R,7,FALSE),VLOOKUP(tables_395010!C91,input_395010!A:H,8,FALSE))</f>
        <v>131775.96153999999</v>
      </c>
      <c r="P91" s="46">
        <f t="shared" ca="1" si="5"/>
        <v>5.0488874153256699E-3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input_395010!A$2</f>
        <v>395010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IFERROR(VLOOKUP(B92,input_395010!L:R,7,FALSE),VLOOKUP(tables_395010!C92,input_395010!A:H,8,FALSE))</f>
        <v>10724.03846</v>
      </c>
      <c r="P92" s="46">
        <f t="shared" ca="1" si="5"/>
        <v>4.1088269961685821E-4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input_395010!A$2</f>
        <v>395010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IFERROR(VLOOKUP(B93,input_395010!L:R,7,FALSE),VLOOKUP(tables_395010!C93,input_395010!A:H,8,FALSE))</f>
        <v>142500</v>
      </c>
      <c r="P93" s="46">
        <f t="shared" ca="1" si="5"/>
        <v>5.4597701149425287E-3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input_395010!A$2</f>
        <v>395010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IFERROR(VLOOKUP(B94,input_395010!L:R,7,FALSE),VLOOKUP(tables_395010!C94,input_395010!A:H,8,FALSE))</f>
        <v>131775.96153999999</v>
      </c>
      <c r="P94" s="46">
        <f t="shared" ca="1" si="5"/>
        <v>5.0488874153256699E-3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input_395010!A$2</f>
        <v>395010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IFERROR(VLOOKUP(B95,input_395010!L:R,7,FALSE),VLOOKUP(tables_395010!C95,input_395010!A:H,8,FALSE))</f>
        <v>10724.03846</v>
      </c>
      <c r="P95" s="46">
        <f t="shared" ca="1" si="5"/>
        <v>4.1088269961685821E-4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input_395010!A$2</f>
        <v>395010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IFERROR(VLOOKUP(B96,input_395010!L:R,7,FALSE),VLOOKUP(tables_395010!C96,input_395010!A:H,8,FALSE))</f>
        <v>142500</v>
      </c>
      <c r="P96" s="46">
        <f t="shared" ca="1" si="5"/>
        <v>5.4597701149425287E-3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input_395010!A$2</f>
        <v>395010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IFERROR(VLOOKUP(B97,input_395010!L:R,7,FALSE),VLOOKUP(tables_395010!C97,input_395010!A:H,8,FALSE))</f>
        <v>131775.96153999999</v>
      </c>
      <c r="P97" s="46">
        <f t="shared" ca="1" si="5"/>
        <v>5.0488874153256699E-3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input_395010!A$2</f>
        <v>395010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IFERROR(VLOOKUP(B98,input_395010!L:R,7,FALSE),VLOOKUP(tables_395010!C98,input_395010!A:H,8,FALSE))</f>
        <v>10724.03846</v>
      </c>
      <c r="P98" s="46">
        <f t="shared" ca="1" si="5"/>
        <v>4.1088269961685821E-4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input_395010!A$2</f>
        <v>395010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IFERROR(VLOOKUP(B99,input_395010!L:R,7,FALSE),VLOOKUP(tables_395010!C99,input_395010!A:H,8,FALSE))</f>
        <v>142500</v>
      </c>
      <c r="P99" s="46">
        <f t="shared" ca="1" si="5"/>
        <v>5.4597701149425287E-3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input_395010!A$2</f>
        <v>395010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IFERROR(VLOOKUP(B100,input_395010!L:R,7,FALSE),VLOOKUP(tables_395010!C100,input_395010!A:H,8,FALSE))</f>
        <v>131775.96153999999</v>
      </c>
      <c r="P100" s="46">
        <f t="shared" ca="1" si="5"/>
        <v>5.0488874153256699E-3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input_395010!A$2</f>
        <v>395010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IFERROR(VLOOKUP(B101,input_395010!L:R,7,FALSE),VLOOKUP(tables_395010!C101,input_395010!A:H,8,FALSE))</f>
        <v>10724.03846</v>
      </c>
      <c r="P101" s="46">
        <f t="shared" ca="1" si="5"/>
        <v>4.1088269961685821E-4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input_395010!A$2</f>
        <v>395010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IFERROR(VLOOKUP(B102,input_395010!L:R,7,FALSE),VLOOKUP(tables_395010!C102,input_395010!A:H,8,FALSE))</f>
        <v>142500</v>
      </c>
      <c r="P102" s="46">
        <f t="shared" ca="1" si="5"/>
        <v>5.4597701149425287E-3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input_395010!A$2</f>
        <v>395010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IFERROR(VLOOKUP(B103,input_395010!L:R,7,FALSE),VLOOKUP(tables_395010!C103,input_395010!A:H,8,FALSE))</f>
        <v>131775.96153999999</v>
      </c>
      <c r="P103" s="46">
        <f t="shared" ca="1" si="5"/>
        <v>5.0488874153256699E-3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input_395010!A$2</f>
        <v>395010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IFERROR(VLOOKUP(B104,input_395010!L:R,7,FALSE),VLOOKUP(tables_395010!C104,input_395010!A:H,8,FALSE))</f>
        <v>10724.03846</v>
      </c>
      <c r="P104" s="46">
        <f t="shared" ca="1" si="5"/>
        <v>4.1088269961685821E-4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input_395010!A$2</f>
        <v>395010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IFERROR(VLOOKUP(B105,input_395010!L:R,7,FALSE),VLOOKUP(tables_395010!C105,input_395010!A:H,8,FALSE))</f>
        <v>142500</v>
      </c>
      <c r="P105" s="46">
        <f t="shared" ca="1" si="5"/>
        <v>5.4597701149425287E-3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input_395010!A$2</f>
        <v>395010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IFERROR(VLOOKUP(B106,input_395010!L:R,7,FALSE),VLOOKUP(tables_395010!C106,input_395010!A:H,8,FALSE))</f>
        <v>131775.96153999999</v>
      </c>
      <c r="P106" s="46">
        <f t="shared" ca="1" si="5"/>
        <v>5.0488874153256699E-3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input_395010!A$2</f>
        <v>395010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IFERROR(VLOOKUP(B107,input_395010!L:R,7,FALSE),VLOOKUP(tables_395010!C107,input_395010!A:H,8,FALSE))</f>
        <v>10724.03846</v>
      </c>
      <c r="P107" s="46">
        <f t="shared" ca="1" si="5"/>
        <v>4.1088269961685821E-4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input_395010!A$2</f>
        <v>395010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IFERROR(VLOOKUP(B108,input_395010!L:R,7,FALSE),VLOOKUP(tables_395010!C108,input_395010!A:H,8,FALSE))</f>
        <v>142500</v>
      </c>
      <c r="P108" s="46">
        <f t="shared" ca="1" si="5"/>
        <v>5.4597701149425287E-3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input_395010!A$2</f>
        <v>395010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IFERROR(VLOOKUP(B109,input_395010!L:R,7,FALSE),VLOOKUP(tables_395010!C109,input_395010!A:H,8,FALSE))</f>
        <v>131775.96153999999</v>
      </c>
      <c r="P109" s="46">
        <f t="shared" ca="1" si="5"/>
        <v>5.0488874153256699E-3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input_395010!A$2</f>
        <v>395010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IFERROR(VLOOKUP(B110,input_395010!L:R,7,FALSE),VLOOKUP(tables_395010!C110,input_395010!A:H,8,FALSE))</f>
        <v>10724.03846</v>
      </c>
      <c r="P110" s="46">
        <f t="shared" ca="1" si="5"/>
        <v>4.1088269961685821E-4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input_395010!A$2</f>
        <v>395010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IFERROR(VLOOKUP(B111,input_395010!L:R,7,FALSE),VLOOKUP(tables_395010!C111,input_395010!A:H,8,FALSE))</f>
        <v>142500</v>
      </c>
      <c r="P111" s="46">
        <f t="shared" ca="1" si="5"/>
        <v>5.4597701149425287E-3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input_395010!A$2</f>
        <v>395010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IFERROR(VLOOKUP(B112,input_395010!L:R,7,FALSE),VLOOKUP(tables_395010!C112,input_395010!A:H,8,FALSE))</f>
        <v>128250</v>
      </c>
      <c r="P112" s="46">
        <f t="shared" ca="1" si="5"/>
        <v>4.9137931034482756E-3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input_395010!A$2</f>
        <v>395010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IFERROR(VLOOKUP(B113,input_395010!L:R,7,FALSE),VLOOKUP(tables_395010!C113,input_395010!A:H,8,FALSE))</f>
        <v>14250</v>
      </c>
      <c r="P113" s="46">
        <f t="shared" ca="1" si="5"/>
        <v>5.4597701149425282E-4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input_395010!A$2</f>
        <v>395010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IFERROR(VLOOKUP(B114,input_395010!L:R,7,FALSE),VLOOKUP(tables_395010!C114,input_395010!A:H,8,FALSE))</f>
        <v>142500</v>
      </c>
      <c r="P114" s="46">
        <f t="shared" ca="1" si="5"/>
        <v>5.4597701149425287E-3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input_395010!A$2</f>
        <v>395010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IFERROR(VLOOKUP(B115,input_395010!L:R,7,FALSE),VLOOKUP(tables_395010!C115,input_395010!A:H,8,FALSE))</f>
        <v>131775.96153999999</v>
      </c>
      <c r="P115" s="46">
        <f t="shared" ca="1" si="5"/>
        <v>5.0488874153256699E-3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input_395010!A$2</f>
        <v>395010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IFERROR(VLOOKUP(B116,input_395010!L:R,7,FALSE),VLOOKUP(tables_395010!C116,input_395010!A:H,8,FALSE))</f>
        <v>10724.03846</v>
      </c>
      <c r="P116" s="46">
        <f t="shared" ca="1" si="5"/>
        <v>4.1088269961685821E-4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input_395010!A$2</f>
        <v>395010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IFERROR(VLOOKUP(B117,input_395010!L:R,7,FALSE),VLOOKUP(tables_395010!C117,input_395010!A:H,8,FALSE))</f>
        <v>142500</v>
      </c>
      <c r="P117" s="46">
        <f t="shared" ca="1" si="5"/>
        <v>5.4597701149425287E-3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input_395010!A$2</f>
        <v>395010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IFERROR(VLOOKUP(B118,input_395010!L:R,7,FALSE),VLOOKUP(tables_395010!C118,input_395010!A:H,8,FALSE))</f>
        <v>131775.96153999999</v>
      </c>
      <c r="P118" s="46">
        <f t="shared" ca="1" si="5"/>
        <v>5.0488874153256699E-3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input_395010!A$2</f>
        <v>395010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IFERROR(VLOOKUP(B119,input_395010!L:R,7,FALSE),VLOOKUP(tables_395010!C119,input_395010!A:H,8,FALSE))</f>
        <v>10724.03846</v>
      </c>
      <c r="P119" s="46">
        <f t="shared" ca="1" si="5"/>
        <v>4.1088269961685821E-4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input_395010!A$2</f>
        <v>395010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IFERROR(VLOOKUP(B120,input_395010!L:R,7,FALSE),VLOOKUP(tables_395010!C120,input_395010!A:H,8,FALSE))</f>
        <v>142500</v>
      </c>
      <c r="P120" s="46">
        <f t="shared" ca="1" si="5"/>
        <v>5.4597701149425287E-3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input_395010!A$2</f>
        <v>395010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IFERROR(VLOOKUP(B121,input_395010!L:R,7,FALSE),VLOOKUP(tables_395010!C121,input_395010!A:H,8,FALSE))</f>
        <v>131775.96153999999</v>
      </c>
      <c r="P121" s="46">
        <f t="shared" ca="1" si="5"/>
        <v>5.0488874153256699E-3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input_395010!A$2</f>
        <v>395010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IFERROR(VLOOKUP(B122,input_395010!L:R,7,FALSE),VLOOKUP(tables_395010!C122,input_395010!A:H,8,FALSE))</f>
        <v>10724.03846</v>
      </c>
      <c r="P122" s="46">
        <f t="shared" ca="1" si="5"/>
        <v>4.1088269961685821E-4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input_395010!A$2</f>
        <v>395010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IFERROR(VLOOKUP(B123,input_395010!L:R,7,FALSE),VLOOKUP(tables_395010!C123,input_395010!A:H,8,FALSE))</f>
        <v>142500</v>
      </c>
      <c r="P123" s="46">
        <f t="shared" ca="1" si="5"/>
        <v>5.4597701149425287E-3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input_395010!A$2</f>
        <v>395010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IFERROR(VLOOKUP(B124,input_395010!L:R,7,FALSE),VLOOKUP(tables_395010!C124,input_395010!A:H,8,FALSE))</f>
        <v>131775.96153999999</v>
      </c>
      <c r="P124" s="46">
        <f t="shared" ca="1" si="5"/>
        <v>5.0488874153256699E-3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input_395010!A$2</f>
        <v>395010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IFERROR(VLOOKUP(B125,input_395010!L:R,7,FALSE),VLOOKUP(tables_395010!C125,input_395010!A:H,8,FALSE))</f>
        <v>10724.03846</v>
      </c>
      <c r="P125" s="46">
        <f t="shared" ca="1" si="5"/>
        <v>4.1088269961685821E-4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input_395010!A$2</f>
        <v>395010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IFERROR(VLOOKUP(B126,input_395010!L:R,7,FALSE),VLOOKUP(tables_395010!C126,input_395010!A:H,8,FALSE))</f>
        <v>142500</v>
      </c>
      <c r="P126" s="46">
        <f t="shared" ca="1" si="5"/>
        <v>5.4597701149425287E-3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input_395010!A$2</f>
        <v>395010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IFERROR(VLOOKUP(B127,input_395010!L:R,7,FALSE),VLOOKUP(tables_395010!C127,input_395010!A:H,8,FALSE))</f>
        <v>131775.96153999999</v>
      </c>
      <c r="P127" s="46">
        <f t="shared" ca="1" si="5"/>
        <v>5.0488874153256699E-3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input_395010!A$2</f>
        <v>395010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IFERROR(VLOOKUP(B128,input_395010!L:R,7,FALSE),VLOOKUP(tables_395010!C128,input_395010!A:H,8,FALSE))</f>
        <v>10724.03846</v>
      </c>
      <c r="P128" s="46">
        <f t="shared" ca="1" si="5"/>
        <v>4.1088269961685821E-4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input_395010!A$2</f>
        <v>395010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IFERROR(VLOOKUP(B129,input_395010!L:R,7,FALSE),VLOOKUP(tables_395010!C129,input_395010!A:H,8,FALSE))</f>
        <v>142500</v>
      </c>
      <c r="P129" s="46">
        <f t="shared" ca="1" si="5"/>
        <v>5.4597701149425287E-3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input_395010!A$2</f>
        <v>395010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IFERROR(VLOOKUP(B130,input_395010!L:R,7,FALSE),VLOOKUP(tables_395010!C130,input_395010!A:H,8,FALSE))</f>
        <v>131775.96153999999</v>
      </c>
      <c r="P130" s="46">
        <f t="shared" ref="P130:P193" ca="1" si="8">O130/SUM(O:O)</f>
        <v>5.0488874153256699E-3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input_395010!A$2</f>
        <v>395010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IFERROR(VLOOKUP(B131,input_395010!L:R,7,FALSE),VLOOKUP(tables_395010!C131,input_395010!A:H,8,FALSE))</f>
        <v>10724.03846</v>
      </c>
      <c r="P131" s="46">
        <f t="shared" ca="1" si="8"/>
        <v>4.1088269961685821E-4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input_395010!A$2</f>
        <v>395010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IFERROR(VLOOKUP(B132,input_395010!L:R,7,FALSE),VLOOKUP(tables_395010!C132,input_395010!A:H,8,FALSE))</f>
        <v>142500</v>
      </c>
      <c r="P132" s="46">
        <f t="shared" ca="1" si="8"/>
        <v>5.4597701149425287E-3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input_395010!A$2</f>
        <v>395010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IFERROR(VLOOKUP(B133,input_395010!L:R,7,FALSE),VLOOKUP(tables_395010!C133,input_395010!A:H,8,FALSE))</f>
        <v>131775.96153999999</v>
      </c>
      <c r="P133" s="46">
        <f t="shared" ca="1" si="8"/>
        <v>5.0488874153256699E-3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input_395010!A$2</f>
        <v>395010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IFERROR(VLOOKUP(B134,input_395010!L:R,7,FALSE),VLOOKUP(tables_395010!C134,input_395010!A:H,8,FALSE))</f>
        <v>10724.03846</v>
      </c>
      <c r="P134" s="46">
        <f t="shared" ca="1" si="8"/>
        <v>4.1088269961685821E-4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input_395010!A$2</f>
        <v>395010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IFERROR(VLOOKUP(B135,input_395010!L:R,7,FALSE),VLOOKUP(tables_395010!C135,input_395010!A:H,8,FALSE))</f>
        <v>142500</v>
      </c>
      <c r="P135" s="46">
        <f t="shared" ca="1" si="8"/>
        <v>5.4597701149425287E-3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input_395010!A$2</f>
        <v>395010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IFERROR(VLOOKUP(B136,input_395010!L:R,7,FALSE),VLOOKUP(tables_395010!C136,input_395010!A:H,8,FALSE))</f>
        <v>131775.96153999999</v>
      </c>
      <c r="P136" s="46">
        <f t="shared" ca="1" si="8"/>
        <v>5.0488874153256699E-3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input_395010!A$2</f>
        <v>395010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IFERROR(VLOOKUP(B137,input_395010!L:R,7,FALSE),VLOOKUP(tables_395010!C137,input_395010!A:H,8,FALSE))</f>
        <v>10724.03846</v>
      </c>
      <c r="P137" s="46">
        <f t="shared" ca="1" si="8"/>
        <v>4.1088269961685821E-4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input_395010!A$2</f>
        <v>395010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IFERROR(VLOOKUP(B138,input_395010!L:R,7,FALSE),VLOOKUP(tables_395010!C138,input_395010!A:H,8,FALSE))</f>
        <v>27550</v>
      </c>
      <c r="P138" s="46">
        <f t="shared" ca="1" si="8"/>
        <v>1.0555555555555555E-3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input_395010!A$2</f>
        <v>395010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IFERROR(VLOOKUP(B139,input_395010!L:R,7,FALSE),VLOOKUP(tables_395010!C139,input_395010!A:H,8,FALSE))</f>
        <v>1450</v>
      </c>
      <c r="P139" s="46">
        <f t="shared" ca="1" si="8"/>
        <v>5.5555555555555558E-5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input_395010!A$2</f>
        <v>395010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IFERROR(VLOOKUP(B140,input_395010!L:R,7,FALSE),VLOOKUP(tables_395010!C140,input_395010!A:H,8,FALSE))</f>
        <v>27550</v>
      </c>
      <c r="P140" s="46">
        <f t="shared" ca="1" si="8"/>
        <v>1.0555555555555555E-3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input_395010!A$2</f>
        <v>395010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IFERROR(VLOOKUP(B141,input_395010!L:R,7,FALSE),VLOOKUP(tables_395010!C141,input_395010!A:H,8,FALSE))</f>
        <v>1450</v>
      </c>
      <c r="P141" s="46">
        <f t="shared" ca="1" si="8"/>
        <v>5.5555555555555558E-5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input_395010!A$2</f>
        <v>395010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IFERROR(VLOOKUP(B142,input_395010!L:R,7,FALSE),VLOOKUP(tables_395010!C142,input_395010!A:H,8,FALSE))</f>
        <v>27550</v>
      </c>
      <c r="P142" s="46">
        <f t="shared" ca="1" si="8"/>
        <v>1.0555555555555555E-3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input_395010!A$2</f>
        <v>395010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IFERROR(VLOOKUP(B143,input_395010!L:R,7,FALSE),VLOOKUP(tables_395010!C143,input_395010!A:H,8,FALSE))</f>
        <v>1450</v>
      </c>
      <c r="P143" s="46">
        <f t="shared" ca="1" si="8"/>
        <v>5.5555555555555558E-5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input_395010!A$2</f>
        <v>395010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IFERROR(VLOOKUP(B144,input_395010!L:R,7,FALSE),VLOOKUP(tables_395010!C144,input_395010!A:H,8,FALSE))</f>
        <v>27550</v>
      </c>
      <c r="P144" s="46">
        <f t="shared" ca="1" si="8"/>
        <v>1.0555555555555555E-3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input_395010!A$2</f>
        <v>395010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IFERROR(VLOOKUP(B145,input_395010!L:R,7,FALSE),VLOOKUP(tables_395010!C145,input_395010!A:H,8,FALSE))</f>
        <v>1450</v>
      </c>
      <c r="P145" s="46">
        <f t="shared" ca="1" si="8"/>
        <v>5.5555555555555558E-5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input_395010!A$2</f>
        <v>395010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IFERROR(VLOOKUP(B146,input_395010!L:R,7,FALSE),VLOOKUP(tables_395010!C146,input_395010!A:H,8,FALSE))</f>
        <v>142500</v>
      </c>
      <c r="P146" s="46">
        <f t="shared" ca="1" si="8"/>
        <v>5.4597701149425287E-3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input_395010!A$2</f>
        <v>395010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IFERROR(VLOOKUP(B147,input_395010!L:R,7,FALSE),VLOOKUP(tables_395010!C147,input_395010!A:H,8,FALSE))</f>
        <v>131775.96153999999</v>
      </c>
      <c r="P147" s="46">
        <f t="shared" ca="1" si="8"/>
        <v>5.0488874153256699E-3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input_395010!A$2</f>
        <v>395010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IFERROR(VLOOKUP(B148,input_395010!L:R,7,FALSE),VLOOKUP(tables_395010!C148,input_395010!A:H,8,FALSE))</f>
        <v>10724.03846</v>
      </c>
      <c r="P148" s="46">
        <f t="shared" ca="1" si="8"/>
        <v>4.1088269961685821E-4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input_395010!A$2</f>
        <v>395010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IFERROR(VLOOKUP(B149,input_395010!L:R,7,FALSE),VLOOKUP(tables_395010!C149,input_395010!A:H,8,FALSE))</f>
        <v>27550</v>
      </c>
      <c r="P149" s="46">
        <f t="shared" ca="1" si="8"/>
        <v>1.0555555555555555E-3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input_395010!A$2</f>
        <v>395010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IFERROR(VLOOKUP(B150,input_395010!L:R,7,FALSE),VLOOKUP(tables_395010!C150,input_395010!A:H,8,FALSE))</f>
        <v>1450</v>
      </c>
      <c r="P150" s="46">
        <f t="shared" ca="1" si="8"/>
        <v>5.5555555555555558E-5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input_395010!A$2</f>
        <v>395010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IFERROR(VLOOKUP(B151,input_395010!L:R,7,FALSE),VLOOKUP(tables_395010!C151,input_395010!A:H,8,FALSE))</f>
        <v>27550</v>
      </c>
      <c r="P151" s="46">
        <f t="shared" ca="1" si="8"/>
        <v>1.0555555555555555E-3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input_395010!A$2</f>
        <v>395010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IFERROR(VLOOKUP(B152,input_395010!L:R,7,FALSE),VLOOKUP(tables_395010!C152,input_395010!A:H,8,FALSE))</f>
        <v>1450</v>
      </c>
      <c r="P152" s="46">
        <f t="shared" ca="1" si="8"/>
        <v>5.5555555555555558E-5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input_395010!A$2</f>
        <v>395010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IFERROR(VLOOKUP(B153,input_395010!L:R,7,FALSE),VLOOKUP(tables_395010!C153,input_395010!A:H,8,FALSE))</f>
        <v>142500</v>
      </c>
      <c r="P153" s="46">
        <f t="shared" ca="1" si="8"/>
        <v>5.4597701149425287E-3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input_395010!A$2</f>
        <v>395010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IFERROR(VLOOKUP(B154,input_395010!L:R,7,FALSE),VLOOKUP(tables_395010!C154,input_395010!A:H,8,FALSE))</f>
        <v>131775.96153999999</v>
      </c>
      <c r="P154" s="46">
        <f t="shared" ca="1" si="8"/>
        <v>5.0488874153256699E-3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input_395010!A$2</f>
        <v>395010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IFERROR(VLOOKUP(B155,input_395010!L:R,7,FALSE),VLOOKUP(tables_395010!C155,input_395010!A:H,8,FALSE))</f>
        <v>10724.03846</v>
      </c>
      <c r="P155" s="46">
        <f t="shared" ca="1" si="8"/>
        <v>4.1088269961685821E-4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input_395010!A$2</f>
        <v>395010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IFERROR(VLOOKUP(B156,input_395010!L:R,7,FALSE),VLOOKUP(tables_395010!C156,input_395010!A:H,8,FALSE))</f>
        <v>27550</v>
      </c>
      <c r="P156" s="46">
        <f t="shared" ca="1" si="8"/>
        <v>1.0555555555555555E-3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input_395010!A$2</f>
        <v>395010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IFERROR(VLOOKUP(B157,input_395010!L:R,7,FALSE),VLOOKUP(tables_395010!C157,input_395010!A:H,8,FALSE))</f>
        <v>1450</v>
      </c>
      <c r="P157" s="46">
        <f t="shared" ca="1" si="8"/>
        <v>5.5555555555555558E-5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input_395010!A$2</f>
        <v>395010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IFERROR(VLOOKUP(B158,input_395010!L:R,7,FALSE),VLOOKUP(tables_395010!C158,input_395010!A:H,8,FALSE))</f>
        <v>142500</v>
      </c>
      <c r="P158" s="46">
        <f t="shared" ca="1" si="8"/>
        <v>5.4597701149425287E-3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input_395010!A$2</f>
        <v>395010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IFERROR(VLOOKUP(B159,input_395010!L:R,7,FALSE),VLOOKUP(tables_395010!C159,input_395010!A:H,8,FALSE))</f>
        <v>131775.96153999999</v>
      </c>
      <c r="P159" s="46">
        <f t="shared" ca="1" si="8"/>
        <v>5.0488874153256699E-3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input_395010!A$2</f>
        <v>395010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IFERROR(VLOOKUP(B160,input_395010!L:R,7,FALSE),VLOOKUP(tables_395010!C160,input_395010!A:H,8,FALSE))</f>
        <v>10724.03846</v>
      </c>
      <c r="P160" s="46">
        <f t="shared" ca="1" si="8"/>
        <v>4.1088269961685821E-4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input_395010!A$2</f>
        <v>395010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IFERROR(VLOOKUP(B161,input_395010!L:R,7,FALSE),VLOOKUP(tables_395010!C161,input_395010!A:H,8,FALSE))</f>
        <v>142500</v>
      </c>
      <c r="P161" s="46">
        <f t="shared" ca="1" si="8"/>
        <v>5.4597701149425287E-3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input_395010!A$2</f>
        <v>395010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IFERROR(VLOOKUP(B162,input_395010!L:R,7,FALSE),VLOOKUP(tables_395010!C162,input_395010!A:H,8,FALSE))</f>
        <v>131775.96153999999</v>
      </c>
      <c r="P162" s="46">
        <f t="shared" ca="1" si="8"/>
        <v>5.0488874153256699E-3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input_395010!A$2</f>
        <v>395010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IFERROR(VLOOKUP(B163,input_395010!L:R,7,FALSE),VLOOKUP(tables_395010!C163,input_395010!A:H,8,FALSE))</f>
        <v>10724.03846</v>
      </c>
      <c r="P163" s="46">
        <f t="shared" ca="1" si="8"/>
        <v>4.1088269961685821E-4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input_395010!A$2</f>
        <v>395010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IFERROR(VLOOKUP(B164,input_395010!L:R,7,FALSE),VLOOKUP(tables_395010!C164,input_395010!A:H,8,FALSE))</f>
        <v>27550</v>
      </c>
      <c r="P164" s="46">
        <f t="shared" ca="1" si="8"/>
        <v>1.0555555555555555E-3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input_395010!A$2</f>
        <v>395010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IFERROR(VLOOKUP(B165,input_395010!L:R,7,FALSE),VLOOKUP(tables_395010!C165,input_395010!A:H,8,FALSE))</f>
        <v>1450</v>
      </c>
      <c r="P165" s="46">
        <f t="shared" ca="1" si="8"/>
        <v>5.5555555555555558E-5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input_395010!A$2</f>
        <v>395010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IFERROR(VLOOKUP(B166,input_395010!L:R,7,FALSE),VLOOKUP(tables_395010!C166,input_395010!A:H,8,FALSE))</f>
        <v>142500</v>
      </c>
      <c r="P166" s="46">
        <f t="shared" ca="1" si="8"/>
        <v>5.4597701149425287E-3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input_395010!A$2</f>
        <v>395010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IFERROR(VLOOKUP(B167,input_395010!L:R,7,FALSE),VLOOKUP(tables_395010!C167,input_395010!A:H,8,FALSE))</f>
        <v>131775.96153999999</v>
      </c>
      <c r="P167" s="46">
        <f t="shared" ca="1" si="8"/>
        <v>5.0488874153256699E-3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input_395010!A$2</f>
        <v>395010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IFERROR(VLOOKUP(B168,input_395010!L:R,7,FALSE),VLOOKUP(tables_395010!C168,input_395010!A:H,8,FALSE))</f>
        <v>10724.03846</v>
      </c>
      <c r="P168" s="46">
        <f t="shared" ca="1" si="8"/>
        <v>4.1088269961685821E-4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input_395010!A$2</f>
        <v>395010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IFERROR(VLOOKUP(B169,input_395010!L:R,7,FALSE),VLOOKUP(tables_395010!C169,input_395010!A:H,8,FALSE))</f>
        <v>27550</v>
      </c>
      <c r="P169" s="46">
        <f t="shared" ca="1" si="8"/>
        <v>1.0555555555555555E-3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input_395010!A$2</f>
        <v>395010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IFERROR(VLOOKUP(B170,input_395010!L:R,7,FALSE),VLOOKUP(tables_395010!C170,input_395010!A:H,8,FALSE))</f>
        <v>1450</v>
      </c>
      <c r="P170" s="46">
        <f t="shared" ca="1" si="8"/>
        <v>5.5555555555555558E-5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input_395010!A$2</f>
        <v>395010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IFERROR(VLOOKUP(B171,input_395010!L:R,7,FALSE),VLOOKUP(tables_395010!C171,input_395010!A:H,8,FALSE))</f>
        <v>142500</v>
      </c>
      <c r="P171" s="46">
        <f t="shared" ca="1" si="8"/>
        <v>5.4597701149425287E-3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input_395010!A$2</f>
        <v>395010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IFERROR(VLOOKUP(B172,input_395010!L:R,7,FALSE),VLOOKUP(tables_395010!C172,input_395010!A:H,8,FALSE))</f>
        <v>131775.96153999999</v>
      </c>
      <c r="P172" s="46">
        <f t="shared" ca="1" si="8"/>
        <v>5.0488874153256699E-3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input_395010!A$2</f>
        <v>395010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IFERROR(VLOOKUP(B173,input_395010!L:R,7,FALSE),VLOOKUP(tables_395010!C173,input_395010!A:H,8,FALSE))</f>
        <v>10724.03846</v>
      </c>
      <c r="P173" s="46">
        <f t="shared" ca="1" si="8"/>
        <v>4.1088269961685821E-4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input_395010!A$2</f>
        <v>395010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IFERROR(VLOOKUP(B174,input_395010!L:R,7,FALSE),VLOOKUP(tables_395010!C174,input_395010!A:H,8,FALSE))</f>
        <v>27550</v>
      </c>
      <c r="P174" s="46">
        <f t="shared" ca="1" si="8"/>
        <v>1.0555555555555555E-3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input_395010!A$2</f>
        <v>395010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IFERROR(VLOOKUP(B175,input_395010!L:R,7,FALSE),VLOOKUP(tables_395010!C175,input_395010!A:H,8,FALSE))</f>
        <v>1450</v>
      </c>
      <c r="P175" s="46">
        <f t="shared" ca="1" si="8"/>
        <v>5.5555555555555558E-5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input_395010!A$2</f>
        <v>395010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IFERROR(VLOOKUP(B176,input_395010!L:R,7,FALSE),VLOOKUP(tables_395010!C176,input_395010!A:H,8,FALSE))</f>
        <v>27550</v>
      </c>
      <c r="P176" s="46">
        <f t="shared" ca="1" si="8"/>
        <v>1.0555555555555555E-3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input_395010!A$2</f>
        <v>395010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IFERROR(VLOOKUP(B177,input_395010!L:R,7,FALSE),VLOOKUP(tables_395010!C177,input_395010!A:H,8,FALSE))</f>
        <v>1450</v>
      </c>
      <c r="P177" s="46">
        <f t="shared" ca="1" si="8"/>
        <v>5.5555555555555558E-5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input_395010!A$2</f>
        <v>395010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IFERROR(VLOOKUP(B178,input_395010!L:R,7,FALSE),VLOOKUP(tables_395010!C178,input_395010!A:H,8,FALSE))</f>
        <v>142500</v>
      </c>
      <c r="P178" s="46">
        <f t="shared" ca="1" si="8"/>
        <v>5.4597701149425287E-3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input_395010!A$2</f>
        <v>395010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IFERROR(VLOOKUP(B179,input_395010!L:R,7,FALSE),VLOOKUP(tables_395010!C179,input_395010!A:H,8,FALSE))</f>
        <v>131775.96153999999</v>
      </c>
      <c r="P179" s="46">
        <f t="shared" ca="1" si="8"/>
        <v>5.0488874153256699E-3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input_395010!A$2</f>
        <v>395010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IFERROR(VLOOKUP(B180,input_395010!L:R,7,FALSE),VLOOKUP(tables_395010!C180,input_395010!A:H,8,FALSE))</f>
        <v>10724.03846</v>
      </c>
      <c r="P180" s="46">
        <f t="shared" ca="1" si="8"/>
        <v>4.1088269961685821E-4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input_395010!A$2</f>
        <v>395010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IFERROR(VLOOKUP(B181,input_395010!L:R,7,FALSE),VLOOKUP(tables_395010!C181,input_395010!A:H,8,FALSE))</f>
        <v>142500</v>
      </c>
      <c r="P181" s="46">
        <f t="shared" ca="1" si="8"/>
        <v>5.4597701149425287E-3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input_395010!A$2</f>
        <v>395010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IFERROR(VLOOKUP(B182,input_395010!L:R,7,FALSE),VLOOKUP(tables_395010!C182,input_395010!A:H,8,FALSE))</f>
        <v>131775.96153999999</v>
      </c>
      <c r="P182" s="46">
        <f t="shared" ca="1" si="8"/>
        <v>5.0488874153256699E-3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input_395010!A$2</f>
        <v>395010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IFERROR(VLOOKUP(B183,input_395010!L:R,7,FALSE),VLOOKUP(tables_395010!C183,input_395010!A:H,8,FALSE))</f>
        <v>10724.03846</v>
      </c>
      <c r="P183" s="46">
        <f t="shared" ca="1" si="8"/>
        <v>4.1088269961685821E-4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input_395010!A$2</f>
        <v>395010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IFERROR(VLOOKUP(B184,input_395010!L:R,7,FALSE),VLOOKUP(tables_395010!C184,input_395010!A:H,8,FALSE))</f>
        <v>27550</v>
      </c>
      <c r="P184" s="46">
        <f t="shared" ca="1" si="8"/>
        <v>1.0555555555555555E-3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input_395010!A$2</f>
        <v>395010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IFERROR(VLOOKUP(B185,input_395010!L:R,7,FALSE),VLOOKUP(tables_395010!C185,input_395010!A:H,8,FALSE))</f>
        <v>1450</v>
      </c>
      <c r="P185" s="46">
        <f t="shared" ca="1" si="8"/>
        <v>5.5555555555555558E-5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input_395010!A$2</f>
        <v>395010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IFERROR(VLOOKUP(B186,input_395010!L:R,7,FALSE),VLOOKUP(tables_395010!C186,input_395010!A:H,8,FALSE))</f>
        <v>142500</v>
      </c>
      <c r="P186" s="46">
        <f t="shared" ca="1" si="8"/>
        <v>5.4597701149425287E-3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input_395010!A$2</f>
        <v>395010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IFERROR(VLOOKUP(B187,input_395010!L:R,7,FALSE),VLOOKUP(tables_395010!C187,input_395010!A:H,8,FALSE))</f>
        <v>131775.96153999999</v>
      </c>
      <c r="P187" s="46">
        <f t="shared" ca="1" si="8"/>
        <v>5.0488874153256699E-3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input_395010!A$2</f>
        <v>395010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IFERROR(VLOOKUP(B188,input_395010!L:R,7,FALSE),VLOOKUP(tables_395010!C188,input_395010!A:H,8,FALSE))</f>
        <v>10724.03846</v>
      </c>
      <c r="P188" s="46">
        <f t="shared" ca="1" si="8"/>
        <v>4.1088269961685821E-4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input_395010!A$2</f>
        <v>395010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IFERROR(VLOOKUP(B189,input_395010!L:R,7,FALSE),VLOOKUP(tables_395010!C189,input_395010!A:H,8,FALSE))</f>
        <v>27550</v>
      </c>
      <c r="P189" s="46">
        <f t="shared" ca="1" si="8"/>
        <v>1.0555555555555555E-3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input_395010!A$2</f>
        <v>395010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IFERROR(VLOOKUP(B190,input_395010!L:R,7,FALSE),VLOOKUP(tables_395010!C190,input_395010!A:H,8,FALSE))</f>
        <v>1450</v>
      </c>
      <c r="P190" s="46">
        <f t="shared" ca="1" si="8"/>
        <v>5.5555555555555558E-5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input_395010!A$2</f>
        <v>395010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IFERROR(VLOOKUP(B191,input_395010!L:R,7,FALSE),VLOOKUP(tables_395010!C191,input_395010!A:H,8,FALSE))</f>
        <v>27550</v>
      </c>
      <c r="P191" s="46">
        <f t="shared" ca="1" si="8"/>
        <v>1.0555555555555555E-3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input_395010!A$2</f>
        <v>395010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IFERROR(VLOOKUP(B192,input_395010!L:R,7,FALSE),VLOOKUP(tables_395010!C192,input_395010!A:H,8,FALSE))</f>
        <v>1450</v>
      </c>
      <c r="P192" s="46">
        <f t="shared" ca="1" si="8"/>
        <v>5.5555555555555558E-5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input_395010!A$2</f>
        <v>395010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IFERROR(VLOOKUP(B193,input_395010!L:R,7,FALSE),VLOOKUP(tables_395010!C193,input_395010!A:H,8,FALSE))</f>
        <v>142500</v>
      </c>
      <c r="P193" s="46">
        <f t="shared" ca="1" si="8"/>
        <v>5.4597701149425287E-3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input_395010!A$2</f>
        <v>395010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IFERROR(VLOOKUP(B194,input_395010!L:R,7,FALSE),VLOOKUP(tables_395010!C194,input_395010!A:H,8,FALSE))</f>
        <v>131775.96153999999</v>
      </c>
      <c r="P194" s="46">
        <f t="shared" ref="P194:P257" ca="1" si="11">O194/SUM(O:O)</f>
        <v>5.0488874153256699E-3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input_395010!A$2</f>
        <v>395010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IFERROR(VLOOKUP(B195,input_395010!L:R,7,FALSE),VLOOKUP(tables_395010!C195,input_395010!A:H,8,FALSE))</f>
        <v>10724.03846</v>
      </c>
      <c r="P195" s="46">
        <f t="shared" ca="1" si="11"/>
        <v>4.1088269961685821E-4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input_395010!A$2</f>
        <v>395010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IFERROR(VLOOKUP(B196,input_395010!L:R,7,FALSE),VLOOKUP(tables_395010!C196,input_395010!A:H,8,FALSE))</f>
        <v>27550</v>
      </c>
      <c r="P196" s="46">
        <f t="shared" ca="1" si="11"/>
        <v>1.0555555555555555E-3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input_395010!A$2</f>
        <v>395010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IFERROR(VLOOKUP(B197,input_395010!L:R,7,FALSE),VLOOKUP(tables_395010!C197,input_395010!A:H,8,FALSE))</f>
        <v>1450</v>
      </c>
      <c r="P197" s="46">
        <f t="shared" ca="1" si="11"/>
        <v>5.5555555555555558E-5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input_395010!A$2</f>
        <v>395010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IFERROR(VLOOKUP(B198,input_395010!L:R,7,FALSE),VLOOKUP(tables_395010!C198,input_395010!A:H,8,FALSE))</f>
        <v>142500</v>
      </c>
      <c r="P198" s="46">
        <f t="shared" ca="1" si="11"/>
        <v>5.4597701149425287E-3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input_395010!A$2</f>
        <v>395010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IFERROR(VLOOKUP(B199,input_395010!L:R,7,FALSE),VLOOKUP(tables_395010!C199,input_395010!A:H,8,FALSE))</f>
        <v>131775.96153999999</v>
      </c>
      <c r="P199" s="46">
        <f t="shared" ca="1" si="11"/>
        <v>5.0488874153256699E-3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input_395010!A$2</f>
        <v>395010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IFERROR(VLOOKUP(B200,input_395010!L:R,7,FALSE),VLOOKUP(tables_395010!C200,input_395010!A:H,8,FALSE))</f>
        <v>10724.03846</v>
      </c>
      <c r="P200" s="46">
        <f t="shared" ca="1" si="11"/>
        <v>4.1088269961685821E-4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input_395010!A$2</f>
        <v>395010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IFERROR(VLOOKUP(B201,input_395010!L:R,7,FALSE),VLOOKUP(tables_395010!C201,input_395010!A:H,8,FALSE))</f>
        <v>27550</v>
      </c>
      <c r="P201" s="46">
        <f t="shared" ca="1" si="11"/>
        <v>1.0555555555555555E-3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input_395010!A$2</f>
        <v>395010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IFERROR(VLOOKUP(B202,input_395010!L:R,7,FALSE),VLOOKUP(tables_395010!C202,input_395010!A:H,8,FALSE))</f>
        <v>1450</v>
      </c>
      <c r="P202" s="46">
        <f t="shared" ca="1" si="11"/>
        <v>5.5555555555555558E-5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input_395010!A$2</f>
        <v>395010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IFERROR(VLOOKUP(B203,input_395010!L:R,7,FALSE),VLOOKUP(tables_395010!C203,input_395010!A:H,8,FALSE))</f>
        <v>142500</v>
      </c>
      <c r="P203" s="46">
        <f t="shared" ca="1" si="11"/>
        <v>5.4597701149425287E-3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input_395010!A$2</f>
        <v>395010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IFERROR(VLOOKUP(B204,input_395010!L:R,7,FALSE),VLOOKUP(tables_395010!C204,input_395010!A:H,8,FALSE))</f>
        <v>131775.96153999999</v>
      </c>
      <c r="P204" s="46">
        <f t="shared" ca="1" si="11"/>
        <v>5.0488874153256699E-3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input_395010!A$2</f>
        <v>395010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IFERROR(VLOOKUP(B205,input_395010!L:R,7,FALSE),VLOOKUP(tables_395010!C205,input_395010!A:H,8,FALSE))</f>
        <v>10724.03846</v>
      </c>
      <c r="P205" s="46">
        <f t="shared" ca="1" si="11"/>
        <v>4.1088269961685821E-4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input_395010!A$2</f>
        <v>395010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IFERROR(VLOOKUP(B206,input_395010!L:R,7,FALSE),VLOOKUP(tables_395010!C206,input_395010!A:H,8,FALSE))</f>
        <v>27550</v>
      </c>
      <c r="P206" s="46">
        <f t="shared" ca="1" si="11"/>
        <v>1.0555555555555555E-3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input_395010!A$2</f>
        <v>395010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IFERROR(VLOOKUP(B207,input_395010!L:R,7,FALSE),VLOOKUP(tables_395010!C207,input_395010!A:H,8,FALSE))</f>
        <v>1450</v>
      </c>
      <c r="P207" s="46">
        <f t="shared" ca="1" si="11"/>
        <v>5.5555555555555558E-5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input_395010!A$2</f>
        <v>395010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IFERROR(VLOOKUP(B208,input_395010!L:R,7,FALSE),VLOOKUP(tables_395010!C208,input_395010!A:H,8,FALSE))</f>
        <v>27550</v>
      </c>
      <c r="P208" s="46">
        <f t="shared" ca="1" si="11"/>
        <v>1.0555555555555555E-3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input_395010!A$2</f>
        <v>395010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IFERROR(VLOOKUP(B209,input_395010!L:R,7,FALSE),VLOOKUP(tables_395010!C209,input_395010!A:H,8,FALSE))</f>
        <v>1450</v>
      </c>
      <c r="P209" s="46">
        <f t="shared" ca="1" si="11"/>
        <v>5.5555555555555558E-5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input_395010!A$2</f>
        <v>395010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IFERROR(VLOOKUP(B210,input_395010!L:R,7,FALSE),VLOOKUP(tables_395010!C210,input_395010!A:H,8,FALSE))</f>
        <v>142500</v>
      </c>
      <c r="P210" s="46">
        <f t="shared" ca="1" si="11"/>
        <v>5.4597701149425287E-3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input_395010!A$2</f>
        <v>395010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IFERROR(VLOOKUP(B211,input_395010!L:R,7,FALSE),VLOOKUP(tables_395010!C211,input_395010!A:H,8,FALSE))</f>
        <v>131775.96153999999</v>
      </c>
      <c r="P211" s="46">
        <f t="shared" ca="1" si="11"/>
        <v>5.0488874153256699E-3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input_395010!A$2</f>
        <v>395010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IFERROR(VLOOKUP(B212,input_395010!L:R,7,FALSE),VLOOKUP(tables_395010!C212,input_395010!A:H,8,FALSE))</f>
        <v>10724.03846</v>
      </c>
      <c r="P212" s="46">
        <f t="shared" ca="1" si="11"/>
        <v>4.1088269961685821E-4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input_395010!A$2</f>
        <v>395010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IFERROR(VLOOKUP(B213,input_395010!L:R,7,FALSE),VLOOKUP(tables_395010!C213,input_395010!A:H,8,FALSE))</f>
        <v>27550</v>
      </c>
      <c r="P213" s="46">
        <f t="shared" ca="1" si="11"/>
        <v>1.0555555555555555E-3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input_395010!A$2</f>
        <v>395010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IFERROR(VLOOKUP(B214,input_395010!L:R,7,FALSE),VLOOKUP(tables_395010!C214,input_395010!A:H,8,FALSE))</f>
        <v>1450</v>
      </c>
      <c r="P214" s="46">
        <f t="shared" ca="1" si="11"/>
        <v>5.5555555555555558E-5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input_395010!A$2</f>
        <v>395010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IFERROR(VLOOKUP(B215,input_395010!L:R,7,FALSE),VLOOKUP(tables_395010!C215,input_395010!A:H,8,FALSE))</f>
        <v>27550</v>
      </c>
      <c r="P215" s="46">
        <f t="shared" ca="1" si="11"/>
        <v>1.0555555555555555E-3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input_395010!A$2</f>
        <v>395010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IFERROR(VLOOKUP(B216,input_395010!L:R,7,FALSE),VLOOKUP(tables_395010!C216,input_395010!A:H,8,FALSE))</f>
        <v>1450</v>
      </c>
      <c r="P216" s="46">
        <f t="shared" ca="1" si="11"/>
        <v>5.5555555555555558E-5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input_395010!A$2</f>
        <v>395010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IFERROR(VLOOKUP(B217,input_395010!L:R,7,FALSE),VLOOKUP(tables_395010!C217,input_395010!A:H,8,FALSE))</f>
        <v>142500</v>
      </c>
      <c r="P217" s="46">
        <f t="shared" ca="1" si="11"/>
        <v>5.4597701149425287E-3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input_395010!A$2</f>
        <v>395010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IFERROR(VLOOKUP(B218,input_395010!L:R,7,FALSE),VLOOKUP(tables_395010!C218,input_395010!A:H,8,FALSE))</f>
        <v>131775.96153999999</v>
      </c>
      <c r="P218" s="46">
        <f t="shared" ca="1" si="11"/>
        <v>5.0488874153256699E-3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input_395010!A$2</f>
        <v>395010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IFERROR(VLOOKUP(B219,input_395010!L:R,7,FALSE),VLOOKUP(tables_395010!C219,input_395010!A:H,8,FALSE))</f>
        <v>10724.03846</v>
      </c>
      <c r="P219" s="46">
        <f t="shared" ca="1" si="11"/>
        <v>4.1088269961685821E-4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input_395010!A$2</f>
        <v>395010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IFERROR(VLOOKUP(B220,input_395010!L:R,7,FALSE),VLOOKUP(tables_395010!C220,input_395010!A:H,8,FALSE))</f>
        <v>142500</v>
      </c>
      <c r="P220" s="46">
        <f t="shared" ca="1" si="11"/>
        <v>5.4597701149425287E-3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input_395010!A$2</f>
        <v>395010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IFERROR(VLOOKUP(B221,input_395010!L:R,7,FALSE),VLOOKUP(tables_395010!C221,input_395010!A:H,8,FALSE))</f>
        <v>131775.96153999999</v>
      </c>
      <c r="P221" s="46">
        <f t="shared" ca="1" si="11"/>
        <v>5.0488874153256699E-3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input_395010!A$2</f>
        <v>395010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IFERROR(VLOOKUP(B222,input_395010!L:R,7,FALSE),VLOOKUP(tables_395010!C222,input_395010!A:H,8,FALSE))</f>
        <v>10724.03846</v>
      </c>
      <c r="P222" s="46">
        <f t="shared" ca="1" si="11"/>
        <v>4.1088269961685821E-4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input_395010!A$2</f>
        <v>395010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IFERROR(VLOOKUP(B223,input_395010!L:R,7,FALSE),VLOOKUP(tables_395010!C223,input_395010!A:H,8,FALSE))</f>
        <v>27550</v>
      </c>
      <c r="P223" s="46">
        <f t="shared" ca="1" si="11"/>
        <v>1.0555555555555555E-3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input_395010!A$2</f>
        <v>395010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IFERROR(VLOOKUP(B224,input_395010!L:R,7,FALSE),VLOOKUP(tables_395010!C224,input_395010!A:H,8,FALSE))</f>
        <v>1450</v>
      </c>
      <c r="P224" s="46">
        <f t="shared" ca="1" si="11"/>
        <v>5.5555555555555558E-5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input_395010!A$2</f>
        <v>395010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IFERROR(VLOOKUP(B225,input_395010!L:R,7,FALSE),VLOOKUP(tables_395010!C225,input_395010!A:H,8,FALSE))</f>
        <v>142500</v>
      </c>
      <c r="P225" s="46">
        <f t="shared" ca="1" si="11"/>
        <v>5.4597701149425287E-3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input_395010!A$2</f>
        <v>395010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IFERROR(VLOOKUP(B226,input_395010!L:R,7,FALSE),VLOOKUP(tables_395010!C226,input_395010!A:H,8,FALSE))</f>
        <v>131775.96153999999</v>
      </c>
      <c r="P226" s="46">
        <f t="shared" ca="1" si="11"/>
        <v>5.0488874153256699E-3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input_395010!A$2</f>
        <v>395010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IFERROR(VLOOKUP(B227,input_395010!L:R,7,FALSE),VLOOKUP(tables_395010!C227,input_395010!A:H,8,FALSE))</f>
        <v>10724.03846</v>
      </c>
      <c r="P227" s="46">
        <f t="shared" ca="1" si="11"/>
        <v>4.1088269961685821E-4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input_395010!A$2</f>
        <v>395010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IFERROR(VLOOKUP(B228,input_395010!L:R,7,FALSE),VLOOKUP(tables_395010!C228,input_395010!A:H,8,FALSE))</f>
        <v>142500</v>
      </c>
      <c r="P228" s="46">
        <f t="shared" ca="1" si="11"/>
        <v>5.4597701149425287E-3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input_395010!A$2</f>
        <v>395010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IFERROR(VLOOKUP(B229,input_395010!L:R,7,FALSE),VLOOKUP(tables_395010!C229,input_395010!A:H,8,FALSE))</f>
        <v>131775.96153999999</v>
      </c>
      <c r="P229" s="46">
        <f t="shared" ca="1" si="11"/>
        <v>5.0488874153256699E-3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input_395010!A$2</f>
        <v>395010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IFERROR(VLOOKUP(B230,input_395010!L:R,7,FALSE),VLOOKUP(tables_395010!C230,input_395010!A:H,8,FALSE))</f>
        <v>10724.03846</v>
      </c>
      <c r="P230" s="46">
        <f t="shared" ca="1" si="11"/>
        <v>4.1088269961685821E-4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input_395010!A$2</f>
        <v>395010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IFERROR(VLOOKUP(B231,input_395010!L:R,7,FALSE),VLOOKUP(tables_395010!C231,input_395010!A:H,8,FALSE))</f>
        <v>27550</v>
      </c>
      <c r="P231" s="46">
        <f t="shared" ca="1" si="11"/>
        <v>1.0555555555555555E-3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input_395010!A$2</f>
        <v>395010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IFERROR(VLOOKUP(B232,input_395010!L:R,7,FALSE),VLOOKUP(tables_395010!C232,input_395010!A:H,8,FALSE))</f>
        <v>1450</v>
      </c>
      <c r="P232" s="46">
        <f t="shared" ca="1" si="11"/>
        <v>5.5555555555555558E-5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input_395010!A$2</f>
        <v>395010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IFERROR(VLOOKUP(B233,input_395010!L:R,7,FALSE),VLOOKUP(tables_395010!C233,input_395010!A:H,8,FALSE))</f>
        <v>142500</v>
      </c>
      <c r="P233" s="46">
        <f t="shared" ca="1" si="11"/>
        <v>5.4597701149425287E-3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input_395010!A$2</f>
        <v>395010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IFERROR(VLOOKUP(B234,input_395010!L:R,7,FALSE),VLOOKUP(tables_395010!C234,input_395010!A:H,8,FALSE))</f>
        <v>131775.96153999999</v>
      </c>
      <c r="P234" s="46">
        <f t="shared" ca="1" si="11"/>
        <v>5.0488874153256699E-3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input_395010!A$2</f>
        <v>395010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IFERROR(VLOOKUP(B235,input_395010!L:R,7,FALSE),VLOOKUP(tables_395010!C235,input_395010!A:H,8,FALSE))</f>
        <v>10724.03846</v>
      </c>
      <c r="P235" s="46">
        <f t="shared" ca="1" si="11"/>
        <v>4.1088269961685821E-4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input_395010!A$2</f>
        <v>395010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IFERROR(VLOOKUP(B236,input_395010!L:R,7,FALSE),VLOOKUP(tables_395010!C236,input_395010!A:H,8,FALSE))</f>
        <v>27550</v>
      </c>
      <c r="P236" s="46">
        <f t="shared" ca="1" si="11"/>
        <v>1.0555555555555555E-3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input_395010!A$2</f>
        <v>395010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IFERROR(VLOOKUP(B237,input_395010!L:R,7,FALSE),VLOOKUP(tables_395010!C237,input_395010!A:H,8,FALSE))</f>
        <v>1450</v>
      </c>
      <c r="P237" s="46">
        <f t="shared" ca="1" si="11"/>
        <v>5.5555555555555558E-5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input_395010!A$2</f>
        <v>395010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IFERROR(VLOOKUP(B238,input_395010!L:R,7,FALSE),VLOOKUP(tables_395010!C238,input_395010!A:H,8,FALSE))</f>
        <v>27550</v>
      </c>
      <c r="P238" s="46">
        <f t="shared" ca="1" si="11"/>
        <v>1.0555555555555555E-3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input_395010!A$2</f>
        <v>395010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IFERROR(VLOOKUP(B239,input_395010!L:R,7,FALSE),VLOOKUP(tables_395010!C239,input_395010!A:H,8,FALSE))</f>
        <v>1450</v>
      </c>
      <c r="P239" s="46">
        <f t="shared" ca="1" si="11"/>
        <v>5.5555555555555558E-5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input_395010!A$2</f>
        <v>395010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IFERROR(VLOOKUP(B240,input_395010!L:R,7,FALSE),VLOOKUP(tables_395010!C240,input_395010!A:H,8,FALSE))</f>
        <v>142500</v>
      </c>
      <c r="P240" s="46">
        <f t="shared" ca="1" si="11"/>
        <v>5.4597701149425287E-3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input_395010!A$2</f>
        <v>395010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IFERROR(VLOOKUP(B241,input_395010!L:R,7,FALSE),VLOOKUP(tables_395010!C241,input_395010!A:H,8,FALSE))</f>
        <v>131775.96153999999</v>
      </c>
      <c r="P241" s="46">
        <f t="shared" ca="1" si="11"/>
        <v>5.0488874153256699E-3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input_395010!A$2</f>
        <v>395010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IFERROR(VLOOKUP(B242,input_395010!L:R,7,FALSE),VLOOKUP(tables_395010!C242,input_395010!A:H,8,FALSE))</f>
        <v>10724.03846</v>
      </c>
      <c r="P242" s="46">
        <f t="shared" ca="1" si="11"/>
        <v>4.1088269961685821E-4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input_395010!A$2</f>
        <v>395010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IFERROR(VLOOKUP(B243,input_395010!L:R,7,FALSE),VLOOKUP(tables_395010!C243,input_395010!A:H,8,FALSE))</f>
        <v>142500</v>
      </c>
      <c r="P243" s="46">
        <f t="shared" ca="1" si="11"/>
        <v>5.4597701149425287E-3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input_395010!A$2</f>
        <v>395010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IFERROR(VLOOKUP(B244,input_395010!L:R,7,FALSE),VLOOKUP(tables_395010!C244,input_395010!A:H,8,FALSE))</f>
        <v>131775.96153999999</v>
      </c>
      <c r="P244" s="46">
        <f t="shared" ca="1" si="11"/>
        <v>5.0488874153256699E-3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input_395010!A$2</f>
        <v>395010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IFERROR(VLOOKUP(B245,input_395010!L:R,7,FALSE),VLOOKUP(tables_395010!C245,input_395010!A:H,8,FALSE))</f>
        <v>10724.03846</v>
      </c>
      <c r="P245" s="46">
        <f t="shared" ca="1" si="11"/>
        <v>4.1088269961685821E-4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input_395010!A$2</f>
        <v>395010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IFERROR(VLOOKUP(B246,input_395010!L:R,7,FALSE),VLOOKUP(tables_395010!C246,input_395010!A:H,8,FALSE))</f>
        <v>142500</v>
      </c>
      <c r="P246" s="46">
        <f t="shared" ca="1" si="11"/>
        <v>5.4597701149425287E-3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input_395010!A$2</f>
        <v>395010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IFERROR(VLOOKUP(B247,input_395010!L:R,7,FALSE),VLOOKUP(tables_395010!C247,input_395010!A:H,8,FALSE))</f>
        <v>131775.96153999999</v>
      </c>
      <c r="P247" s="46">
        <f t="shared" ca="1" si="11"/>
        <v>5.0488874153256699E-3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input_395010!A$2</f>
        <v>395010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IFERROR(VLOOKUP(B248,input_395010!L:R,7,FALSE),VLOOKUP(tables_395010!C248,input_395010!A:H,8,FALSE))</f>
        <v>10724.03846</v>
      </c>
      <c r="P248" s="46">
        <f t="shared" ca="1" si="11"/>
        <v>4.1088269961685821E-4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input_395010!A$2</f>
        <v>395010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IFERROR(VLOOKUP(B249,input_395010!L:R,7,FALSE),VLOOKUP(tables_395010!C249,input_395010!A:H,8,FALSE))</f>
        <v>142500</v>
      </c>
      <c r="P249" s="46">
        <f t="shared" ca="1" si="11"/>
        <v>5.4597701149425287E-3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input_395010!A$2</f>
        <v>395010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IFERROR(VLOOKUP(B250,input_395010!L:R,7,FALSE),VLOOKUP(tables_395010!C250,input_395010!A:H,8,FALSE))</f>
        <v>131775.96153999999</v>
      </c>
      <c r="P250" s="46">
        <f t="shared" ca="1" si="11"/>
        <v>5.0488874153256699E-3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input_395010!A$2</f>
        <v>395010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IFERROR(VLOOKUP(B251,input_395010!L:R,7,FALSE),VLOOKUP(tables_395010!C251,input_395010!A:H,8,FALSE))</f>
        <v>10724.03846</v>
      </c>
      <c r="P251" s="46">
        <f t="shared" ca="1" si="11"/>
        <v>4.1088269961685821E-4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input_395010!A$2</f>
        <v>395010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IFERROR(VLOOKUP(B252,input_395010!L:R,7,FALSE),VLOOKUP(tables_395010!C252,input_395010!A:H,8,FALSE))</f>
        <v>27550</v>
      </c>
      <c r="P252" s="46">
        <f t="shared" ca="1" si="11"/>
        <v>1.0555555555555555E-3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input_395010!A$2</f>
        <v>395010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IFERROR(VLOOKUP(B253,input_395010!L:R,7,FALSE),VLOOKUP(tables_395010!C253,input_395010!A:H,8,FALSE))</f>
        <v>1450</v>
      </c>
      <c r="P253" s="46">
        <f t="shared" ca="1" si="11"/>
        <v>5.5555555555555558E-5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input_395010!A$2</f>
        <v>395010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IFERROR(VLOOKUP(B254,input_395010!L:R,7,FALSE),VLOOKUP(tables_395010!C254,input_395010!A:H,8,FALSE))</f>
        <v>27550</v>
      </c>
      <c r="P254" s="46">
        <f t="shared" ca="1" si="11"/>
        <v>1.0555555555555555E-3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input_395010!A$2</f>
        <v>395010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IFERROR(VLOOKUP(B255,input_395010!L:R,7,FALSE),VLOOKUP(tables_395010!C255,input_395010!A:H,8,FALSE))</f>
        <v>1450</v>
      </c>
      <c r="P255" s="46">
        <f t="shared" ca="1" si="11"/>
        <v>5.5555555555555558E-5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input_395010!A$2</f>
        <v>395010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IFERROR(VLOOKUP(B256,input_395010!L:R,7,FALSE),VLOOKUP(tables_395010!C256,input_395010!A:H,8,FALSE))</f>
        <v>270750</v>
      </c>
      <c r="P256" s="46">
        <f t="shared" ca="1" si="11"/>
        <v>1.0373563218390804E-2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input_395010!A$2</f>
        <v>395010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IFERROR(VLOOKUP(B257,input_395010!L:R,7,FALSE),VLOOKUP(tables_395010!C257,input_395010!A:H,8,FALSE))</f>
        <v>14250</v>
      </c>
      <c r="P257" s="46">
        <f t="shared" ca="1" si="11"/>
        <v>5.4597701149425282E-4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input_395010!A$2</f>
        <v>395010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IFERROR(VLOOKUP(B258,input_395010!L:R,7,FALSE),VLOOKUP(tables_395010!C258,input_395010!A:H,8,FALSE))</f>
        <v>270750</v>
      </c>
      <c r="P258" s="46">
        <f t="shared" ref="P258:P294" ca="1" si="14">O258/SUM(O:O)</f>
        <v>1.0373563218390804E-2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input_395010!A$2</f>
        <v>395010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IFERROR(VLOOKUP(B259,input_395010!L:R,7,FALSE),VLOOKUP(tables_395010!C259,input_395010!A:H,8,FALSE))</f>
        <v>14250</v>
      </c>
      <c r="P259" s="46">
        <f t="shared" ca="1" si="14"/>
        <v>5.4597701149425282E-4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input_395010!A$2</f>
        <v>395010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IFERROR(VLOOKUP(B260,input_395010!L:R,7,FALSE),VLOOKUP(tables_395010!C260,input_395010!A:H,8,FALSE))</f>
        <v>29000</v>
      </c>
      <c r="P260" s="46">
        <f t="shared" ca="1" si="14"/>
        <v>1.1111111111111111E-3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input_395010!A$2</f>
        <v>395010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IFERROR(VLOOKUP(B261,input_395010!L:R,7,FALSE),VLOOKUP(tables_395010!C261,input_395010!A:H,8,FALSE))</f>
        <v>29000</v>
      </c>
      <c r="P261" s="46">
        <f t="shared" ca="1" si="14"/>
        <v>1.1111111111111111E-3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input_395010!A$2</f>
        <v>395010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IFERROR(VLOOKUP(B262,input_395010!L:R,7,FALSE),VLOOKUP(tables_395010!C262,input_395010!A:H,8,FALSE))</f>
        <v>27550</v>
      </c>
      <c r="P262" s="46">
        <f t="shared" ca="1" si="14"/>
        <v>1.0555555555555555E-3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input_395010!A$2</f>
        <v>395010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IFERROR(VLOOKUP(B263,input_395010!L:R,7,FALSE),VLOOKUP(tables_395010!C263,input_395010!A:H,8,FALSE))</f>
        <v>1450</v>
      </c>
      <c r="P263" s="46">
        <f t="shared" ca="1" si="14"/>
        <v>5.5555555555555558E-5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input_395010!A$2</f>
        <v>395010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IFERROR(VLOOKUP(B264,input_395010!L:R,7,FALSE),VLOOKUP(tables_395010!C264,input_395010!A:H,8,FALSE))</f>
        <v>27550</v>
      </c>
      <c r="P264" s="46">
        <f t="shared" ca="1" si="14"/>
        <v>1.0555555555555555E-3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input_395010!A$2</f>
        <v>395010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IFERROR(VLOOKUP(B265,input_395010!L:R,7,FALSE),VLOOKUP(tables_395010!C265,input_395010!A:H,8,FALSE))</f>
        <v>1450</v>
      </c>
      <c r="P265" s="46">
        <f t="shared" ca="1" si="14"/>
        <v>5.5555555555555558E-5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input_395010!A$2</f>
        <v>395010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IFERROR(VLOOKUP(B266,input_395010!L:R,7,FALSE),VLOOKUP(tables_395010!C266,input_395010!A:H,8,FALSE))</f>
        <v>142500</v>
      </c>
      <c r="P266" s="46">
        <f t="shared" ca="1" si="14"/>
        <v>5.4597701149425287E-3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input_395010!A$2</f>
        <v>395010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IFERROR(VLOOKUP(B267,input_395010!L:R,7,FALSE),VLOOKUP(tables_395010!C267,input_395010!A:H,8,FALSE))</f>
        <v>131775.96153999999</v>
      </c>
      <c r="P267" s="46">
        <f t="shared" ca="1" si="14"/>
        <v>5.0488874153256699E-3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input_395010!A$2</f>
        <v>395010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IFERROR(VLOOKUP(B268,input_395010!L:R,7,FALSE),VLOOKUP(tables_395010!C268,input_395010!A:H,8,FALSE))</f>
        <v>10724.03846</v>
      </c>
      <c r="P268" s="46">
        <f t="shared" ca="1" si="14"/>
        <v>4.1088269961685821E-4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input_395010!A$2</f>
        <v>395010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IFERROR(VLOOKUP(B269,input_395010!L:R,7,FALSE),VLOOKUP(tables_395010!C269,input_395010!A:H,8,FALSE))</f>
        <v>142500</v>
      </c>
      <c r="P269" s="46">
        <f t="shared" ca="1" si="14"/>
        <v>5.4597701149425287E-3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input_395010!A$2</f>
        <v>395010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IFERROR(VLOOKUP(B270,input_395010!L:R,7,FALSE),VLOOKUP(tables_395010!C270,input_395010!A:H,8,FALSE))</f>
        <v>131775.96153999999</v>
      </c>
      <c r="P270" s="46">
        <f t="shared" ca="1" si="14"/>
        <v>5.0488874153256699E-3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input_395010!A$2</f>
        <v>395010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IFERROR(VLOOKUP(B271,input_395010!L:R,7,FALSE),VLOOKUP(tables_395010!C271,input_395010!A:H,8,FALSE))</f>
        <v>10724.03846</v>
      </c>
      <c r="P271" s="46">
        <f t="shared" ca="1" si="14"/>
        <v>4.1088269961685821E-4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input_395010!A$2</f>
        <v>395010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IFERROR(VLOOKUP(B272,input_395010!L:R,7,FALSE),VLOOKUP(tables_395010!C272,input_395010!A:H,8,FALSE))</f>
        <v>29000</v>
      </c>
      <c r="P272" s="46">
        <f t="shared" ca="1" si="14"/>
        <v>1.1111111111111111E-3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input_395010!A$2</f>
        <v>395010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IFERROR(VLOOKUP(B273,input_395010!L:R,7,FALSE),VLOOKUP(tables_395010!C273,input_395010!A:H,8,FALSE))</f>
        <v>29000</v>
      </c>
      <c r="P273" s="46">
        <f t="shared" ca="1" si="14"/>
        <v>1.1111111111111111E-3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input_395010!A$2</f>
        <v>395010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IFERROR(VLOOKUP(B274,input_395010!L:R,7,FALSE),VLOOKUP(tables_395010!C274,input_395010!A:H,8,FALSE))</f>
        <v>270750</v>
      </c>
      <c r="P274" s="46">
        <f t="shared" ca="1" si="14"/>
        <v>1.0373563218390804E-2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input_395010!A$2</f>
        <v>395010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IFERROR(VLOOKUP(B275,input_395010!L:R,7,FALSE),VLOOKUP(tables_395010!C275,input_395010!A:H,8,FALSE))</f>
        <v>14250</v>
      </c>
      <c r="P275" s="46">
        <f t="shared" ca="1" si="14"/>
        <v>5.4597701149425282E-4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input_395010!A$2</f>
        <v>395010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IFERROR(VLOOKUP(B276,input_395010!L:R,7,FALSE),VLOOKUP(tables_395010!C276,input_395010!A:H,8,FALSE))</f>
        <v>270750</v>
      </c>
      <c r="P276" s="46">
        <f t="shared" ca="1" si="14"/>
        <v>1.0373563218390804E-2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input_395010!A$2</f>
        <v>395010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IFERROR(VLOOKUP(B277,input_395010!L:R,7,FALSE),VLOOKUP(tables_395010!C277,input_395010!A:H,8,FALSE))</f>
        <v>14250</v>
      </c>
      <c r="P277" s="46">
        <f t="shared" ca="1" si="14"/>
        <v>5.4597701149425282E-4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input_395010!A$2</f>
        <v>395010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IFERROR(VLOOKUP(B278,input_395010!L:R,7,FALSE),VLOOKUP(tables_395010!C278,input_395010!A:H,8,FALSE))</f>
        <v>270750</v>
      </c>
      <c r="P278" s="46">
        <f t="shared" ca="1" si="14"/>
        <v>1.0373563218390804E-2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input_395010!A$2</f>
        <v>395010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IFERROR(VLOOKUP(B279,input_395010!L:R,7,FALSE),VLOOKUP(tables_395010!C279,input_395010!A:H,8,FALSE))</f>
        <v>14250</v>
      </c>
      <c r="P279" s="46">
        <f t="shared" ca="1" si="14"/>
        <v>5.4597701149425282E-4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input_395010!A$2</f>
        <v>395010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IFERROR(VLOOKUP(B280,input_395010!L:R,7,FALSE),VLOOKUP(tables_395010!C280,input_395010!A:H,8,FALSE))</f>
        <v>270750</v>
      </c>
      <c r="P280" s="46">
        <f t="shared" ca="1" si="14"/>
        <v>1.0373563218390804E-2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input_395010!A$2</f>
        <v>395010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IFERROR(VLOOKUP(B281,input_395010!L:R,7,FALSE),VLOOKUP(tables_395010!C281,input_395010!A:H,8,FALSE))</f>
        <v>14250</v>
      </c>
      <c r="P281" s="46">
        <f t="shared" ca="1" si="14"/>
        <v>5.4597701149425282E-4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input_395010!A$2</f>
        <v>395010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IFERROR(VLOOKUP(B282,input_395010!L:R,7,FALSE),VLOOKUP(tables_395010!C282,input_395010!A:H,8,FALSE))</f>
        <v>29000</v>
      </c>
      <c r="P282" s="46">
        <f t="shared" ca="1" si="14"/>
        <v>1.1111111111111111E-3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input_395010!A$2</f>
        <v>395010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IFERROR(VLOOKUP(B283,input_395010!L:R,7,FALSE),VLOOKUP(tables_395010!C283,input_395010!A:H,8,FALSE))</f>
        <v>29000</v>
      </c>
      <c r="P283" s="46">
        <f t="shared" ca="1" si="14"/>
        <v>1.1111111111111111E-3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input_395010!A$2</f>
        <v>395010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IFERROR(VLOOKUP(B284,input_395010!L:R,7,FALSE),VLOOKUP(tables_395010!C284,input_395010!A:H,8,FALSE))</f>
        <v>29000</v>
      </c>
      <c r="P284" s="46">
        <f t="shared" ca="1" si="14"/>
        <v>1.1111111111111111E-3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input_395010!A$2</f>
        <v>395010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IFERROR(VLOOKUP(B285,input_395010!L:R,7,FALSE),VLOOKUP(tables_395010!C285,input_395010!A:H,8,FALSE))</f>
        <v>29000</v>
      </c>
      <c r="P285" s="46">
        <f t="shared" ca="1" si="14"/>
        <v>1.1111111111111111E-3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input_395010!A$2</f>
        <v>395010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IFERROR(VLOOKUP(B286,input_395010!L:R,7,FALSE),VLOOKUP(tables_395010!C286,input_395010!A:H,8,FALSE))</f>
        <v>270750</v>
      </c>
      <c r="P286" s="46">
        <f t="shared" ca="1" si="14"/>
        <v>1.0373563218390804E-2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input_395010!A$2</f>
        <v>395010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IFERROR(VLOOKUP(B287,input_395010!L:R,7,FALSE),VLOOKUP(tables_395010!C287,input_395010!A:H,8,FALSE))</f>
        <v>14250</v>
      </c>
      <c r="P287" s="46">
        <f t="shared" ca="1" si="14"/>
        <v>5.4597701149425282E-4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input_395010!A$2</f>
        <v>395010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IFERROR(VLOOKUP(B288,input_395010!L:R,7,FALSE),VLOOKUP(tables_395010!C288,input_395010!A:H,8,FALSE))</f>
        <v>270750</v>
      </c>
      <c r="P288" s="46">
        <f t="shared" ca="1" si="14"/>
        <v>1.0373563218390804E-2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input_395010!A$2</f>
        <v>395010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IFERROR(VLOOKUP(B289,input_395010!L:R,7,FALSE),VLOOKUP(tables_395010!C289,input_395010!A:H,8,FALSE))</f>
        <v>14250</v>
      </c>
      <c r="P289" s="46">
        <f t="shared" ca="1" si="14"/>
        <v>5.4597701149425282E-4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input_395010!A$2</f>
        <v>395010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IFERROR(VLOOKUP(B290,input_395010!L:R,7,FALSE),VLOOKUP(tables_395010!C290,input_395010!A:H,8,FALSE))</f>
        <v>29000</v>
      </c>
      <c r="P290" s="46">
        <f t="shared" ca="1" si="14"/>
        <v>1.1111111111111111E-3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input_395010!A$2</f>
        <v>395010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IFERROR(VLOOKUP(B291,input_395010!L:R,7,FALSE),VLOOKUP(tables_395010!C291,input_395010!A:H,8,FALSE))</f>
        <v>270750</v>
      </c>
      <c r="P291" s="46">
        <f t="shared" ca="1" si="14"/>
        <v>1.0373563218390804E-2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input_395010!A$2</f>
        <v>395010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IFERROR(VLOOKUP(B292,input_395010!L:R,7,FALSE),VLOOKUP(tables_395010!C292,input_395010!A:H,8,FALSE))</f>
        <v>14250</v>
      </c>
      <c r="P292" s="46">
        <f t="shared" ca="1" si="14"/>
        <v>5.4597701149425282E-4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input_395010!A$2</f>
        <v>395010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IFERROR(VLOOKUP(B293,input_395010!L:R,7,FALSE),VLOOKUP(tables_395010!C293,input_395010!A:H,8,FALSE))</f>
        <v>29000</v>
      </c>
      <c r="P293" s="46">
        <f t="shared" ca="1" si="14"/>
        <v>1.1111111111111111E-3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input_395010!A$2</f>
        <v>395010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IFERROR(VLOOKUP(B294,input_395010!L:R,7,FALSE),VLOOKUP(tables_395010!C294,input_395010!A:H,8,FALSE))</f>
        <v>29000</v>
      </c>
      <c r="P294" s="46">
        <f t="shared" ca="1" si="14"/>
        <v>1.1111111111111111E-3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input_395010!A$2</f>
        <v>395010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IFERROR(VLOOKUP(B295,input_395010!L:R,7,FALSE),VLOOKUP(tables_395010!C295,input_395010!A:H,8,FALSE))</f>
        <v>29000</v>
      </c>
      <c r="P295" s="46">
        <f t="shared" ref="P295:P299" ca="1" si="21">O295/SUM(O:O)</f>
        <v>1.1111111111111111E-3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input_395010!A$2</f>
        <v>395010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IFERROR(VLOOKUP(B296,input_395010!L:R,7,FALSE),VLOOKUP(tables_395010!C296,input_395010!A:H,8,FALSE))</f>
        <v>29000</v>
      </c>
      <c r="P296" s="46">
        <f t="shared" ca="1" si="21"/>
        <v>1.1111111111111111E-3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input_395010!A$2</f>
        <v>395010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IFERROR(VLOOKUP(B297,input_395010!L:R,7,FALSE),VLOOKUP(tables_395010!C297,input_395010!A:H,8,FALSE))</f>
        <v>270750</v>
      </c>
      <c r="P297" s="46">
        <f t="shared" ca="1" si="21"/>
        <v>1.0373563218390804E-2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input_395010!A$2</f>
        <v>395010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IFERROR(VLOOKUP(B298,input_395010!L:R,7,FALSE),VLOOKUP(tables_395010!C298,input_395010!A:H,8,FALSE))</f>
        <v>14250</v>
      </c>
      <c r="P298" s="46">
        <f t="shared" ca="1" si="21"/>
        <v>5.4597701149425282E-4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input_395010!A$2</f>
        <v>395010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IFERROR(VLOOKUP(B299,input_395010!L:R,7,FALSE),VLOOKUP(tables_395010!C299,input_395010!A:H,8,FALSE))</f>
        <v>29000</v>
      </c>
      <c r="P299" s="46">
        <f t="shared" ca="1" si="21"/>
        <v>1.1111111111111111E-3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input_395010!A$2</f>
        <v>395010</v>
      </c>
      <c r="B300" s="5">
        <v>1026</v>
      </c>
      <c r="C300" s="7" t="str">
        <f t="shared" ref="C300:C304" si="22">D300&amp;J300&amp;E300&amp;F300&amp;G300</f>
        <v>Premium4R3less</v>
      </c>
      <c r="D300" s="7" t="str">
        <f t="shared" ref="D300:D304" si="23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IFERROR(VLOOKUP(B300,input_395010!L:R,7,FALSE),VLOOKUP(tables_395010!C300,input_395010!A:H,8,FALSE))</f>
        <v>270750</v>
      </c>
      <c r="P300" s="46">
        <f t="shared" ref="P300:P304" ca="1" si="24">O300/SUM(O:O)</f>
        <v>1.0373563218390804E-2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input_395010!A$2</f>
        <v>395010</v>
      </c>
      <c r="B301" s="5">
        <v>1027</v>
      </c>
      <c r="C301" s="7" t="str">
        <f t="shared" si="22"/>
        <v>Premium5R3less</v>
      </c>
      <c r="D301" s="7" t="str">
        <f t="shared" si="2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IFERROR(VLOOKUP(B301,input_395010!L:R,7,FALSE),VLOOKUP(tables_395010!C301,input_395010!A:H,8,FALSE))</f>
        <v>14250</v>
      </c>
      <c r="P301" s="46">
        <f t="shared" ca="1" si="24"/>
        <v>5.4597701149425282E-4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input_395010!A$2</f>
        <v>395010</v>
      </c>
      <c r="B302" s="5">
        <v>1028</v>
      </c>
      <c r="C302" s="7" t="str">
        <f t="shared" si="22"/>
        <v>PremiumSS5R5only</v>
      </c>
      <c r="D302" s="7" t="str">
        <f t="shared" si="2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IFERROR(VLOOKUP(B302,input_395010!L:R,7,FALSE),VLOOKUP(tables_395010!C302,input_395010!A:H,8,FALSE))</f>
        <v>29000</v>
      </c>
      <c r="P302" s="46">
        <f t="shared" ca="1" si="24"/>
        <v>1.1111111111111111E-3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input_395010!A$2</f>
        <v>395010</v>
      </c>
      <c r="B303" s="5">
        <v>1031</v>
      </c>
      <c r="C303" s="7" t="str">
        <f t="shared" si="22"/>
        <v>PremiumSS5R5only</v>
      </c>
      <c r="D303" s="7" t="str">
        <f t="shared" si="2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IFERROR(VLOOKUP(B303,input_395010!L:R,7,FALSE),VLOOKUP(tables_395010!C303,input_395010!A:H,8,FALSE))</f>
        <v>29000</v>
      </c>
      <c r="P303" s="46">
        <f t="shared" ca="1" si="24"/>
        <v>1.1111111111111111E-3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input_395010!A$2</f>
        <v>395010</v>
      </c>
      <c r="B304" s="5">
        <v>1033</v>
      </c>
      <c r="C304" s="7" t="str">
        <f t="shared" si="22"/>
        <v>PremiumSS5R5only</v>
      </c>
      <c r="D304" s="7" t="str">
        <f t="shared" si="2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IFERROR(VLOOKUP(B304,input_395010!L:R,7,FALSE),VLOOKUP(tables_395010!C304,input_395010!A:H,8,FALSE))</f>
        <v>29000</v>
      </c>
      <c r="P304" s="46">
        <f t="shared" ca="1" si="24"/>
        <v>1.1111111111111111E-3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input_395010</vt:lpstr>
      <vt:lpstr>tables_395010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2016-08-24T06:32:33Z</dcterms:modified>
</cp:coreProperties>
</file>